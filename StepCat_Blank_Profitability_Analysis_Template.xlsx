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af3978598e41ca" /></Relationships>
</file>

<file path=xl/workbook.xml><?xml version="1.0" encoding="utf-8"?>
<x:workbook xmlns:x="http://schemas.openxmlformats.org/spreadsheetml/2006/main">
  <x:sheets>
    <x:sheet xmlns:r="http://schemas.openxmlformats.org/officeDocument/2006/relationships" name="Instructions" sheetId="1" r:id="R6ce781f07de34933"/>
    <x:sheet xmlns:r="http://schemas.openxmlformats.org/officeDocument/2006/relationships" name="Game Records" sheetId="2" r:id="R1e4d0a7c5e9b4ec1"/>
    <x:sheet xmlns:r="http://schemas.openxmlformats.org/officeDocument/2006/relationships" name="Record Review" sheetId="3" r:id="R78402273f6954add"/>
    <x:sheet xmlns:r="http://schemas.openxmlformats.org/officeDocument/2006/relationships" name="Summary" sheetId="4" r:id="R1aa6be9ecb89407e"/>
    <x:sheet xmlns:r="http://schemas.openxmlformats.org/officeDocument/2006/relationships" name="Game Comparisons" sheetId="5" r:id="R5ff3b9d133e14815"/>
    <x:sheet xmlns:r="http://schemas.openxmlformats.org/officeDocument/2006/relationships" name="Best Results" sheetId="6" r:id="Rd2a6150b72974a20"/>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mm-dd-yyyy"/>
    <x:numFmt numFmtId="201" formatCode="$#,##0.00"/>
    <x:numFmt numFmtId="202" formatCode="0.0%"/>
    <x:numFmt numFmtId="203" formatCode="0"/>
    <x:numFmt numFmtId="204" formatCode="m/d/yyyy"/>
    <x:numFmt numFmtId="205" formatCode="@"/>
    <x:numFmt numFmtId="206" formatCode="mm/dd/yyyy"/>
  </x:numFmts>
  <x:fonts count="24">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s>
  <x:fills count="84">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89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cellXfs>
  <x:cellStyles count="1">
    <x:cellStyle name="Normal" xfId="0"/>
  </x:cellStyles>
  <x:dxfs count="22">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1a5fa6a5814502" /><Relationship Type="http://schemas.openxmlformats.org/officeDocument/2006/relationships/theme" Target="/xl/theme/theme1.xml" Id="Re7788d9805364a96" /><Relationship Type="http://schemas.openxmlformats.org/officeDocument/2006/relationships/sharedStrings" Target="/xl/sharedStrings.xml" Id="Rce474a75d7e84472" /><Relationship Type="http://schemas.openxmlformats.org/officeDocument/2006/relationships/worksheet" Target="/xl/worksheets/sheet1.xml" Id="R6ce781f07de34933" /><Relationship Type="http://schemas.openxmlformats.org/officeDocument/2006/relationships/worksheet" Target="/xl/worksheets/sheet2.xml" Id="R1e4d0a7c5e9b4ec1" /><Relationship Type="http://schemas.openxmlformats.org/officeDocument/2006/relationships/worksheet" Target="/xl/worksheets/sheet3.xml" Id="R78402273f6954add" /><Relationship Type="http://schemas.openxmlformats.org/officeDocument/2006/relationships/worksheet" Target="/xl/worksheets/sheet4.xml" Id="R1aa6be9ecb89407e" /><Relationship Type="http://schemas.openxmlformats.org/officeDocument/2006/relationships/worksheet" Target="/xl/worksheets/sheet5.xml" Id="R5ff3b9d133e14815" /><Relationship Type="http://schemas.openxmlformats.org/officeDocument/2006/relationships/worksheet" Target="/xl/worksheets/sheet6.xml" Id="Rd2a6150b72974a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0"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2" customHeight="1">
      <x:c r="A1" s="837" t="str">
        <x:v>StepCat Workbook Instructions — v230</x:v>
      </x:c>
      <x:c r="B1" s="837"/>
      <x:c r="C1" s="837"/>
      <x:c r="D1" s="837"/>
      <x:c r="E1" s="837"/>
      <x:c r="F1" s="837"/>
      <x:c r="G1" s="837"/>
      <x:c r="H1" s="837"/>
      <x:c r="I1" s="837"/>
      <x:c r="J1" s="837"/>
    </x:row>
    <x:row r="2" ht="28" customHeight="1">
      <x:c r="A2" s="841" t="str">
        <x:v>Use this sheet as the reference for entering records, carrying totals forward, and understanding calculations.</x:v>
      </x:c>
      <x:c r="B2" s="841"/>
      <x:c r="C2" s="833"/>
      <x:c r="D2" s="833"/>
      <x:c r="E2" s="833"/>
      <x:c r="F2" s="833"/>
      <x:c r="G2" s="833"/>
      <x:c r="H2" s="833"/>
      <x:c r="I2" s="833"/>
      <x:c r="J2" s="833"/>
    </x:row>
    <x:row r="3" ht="54" hidden="0" customHeight="1">
      <x:c r="A3" s="843" t="str">
        <x:v>Start here</x:v>
      </x:c>
      <x:c r="B3" s="532" t="str">
        <x:v>Enter each new record in the next blank row on Game Records, beginning with row 5. For a multi-row paste, select A5 once, then paste; do not open the cell for editing.</x:v>
      </x:c>
      <x:c r="C3" s="833"/>
      <x:c r="D3" s="833"/>
      <x:c r="E3" s="833"/>
      <x:c r="F3" s="833"/>
      <x:c r="G3" s="833"/>
      <x:c r="H3" s="833"/>
      <x:c r="I3" s="833"/>
      <x:c r="J3" s="833"/>
    </x:row>
    <x:row r="4" ht="36" hidden="0" customHeight="1">
      <x:c r="A4" s="843" t="str">
        <x:v>Editable columns</x:v>
      </x:c>
      <x:c r="B4" s="532" t="str">
        <x:v>Use columns A–M for record information. Columns N–Z contain formulas and update automatically.</x:v>
      </x:c>
      <x:c r="C4" s="833"/>
      <x:c r="D4" s="833"/>
      <x:c r="E4" s="833"/>
      <x:c r="F4" s="833"/>
      <x:c r="G4" s="833"/>
      <x:c r="H4" s="833"/>
      <x:c r="I4" s="833"/>
      <x:c r="J4" s="833"/>
    </x:row>
    <x:row r="5" ht="42" hidden="0" customHeight="1">
      <x:c r="A5" s="843"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36" hidden="0" customHeight="1">
      <x:c r="A6" s="843" t="str">
        <x:v>Yellow input cells</x:v>
      </x:c>
      <x:c r="B6" s="532" t="str">
        <x:v>All A:M input cells are yellow because they are editable. They remain yellow whether blank or filled.</x:v>
      </x:c>
      <x:c r="C6" s="833"/>
      <x:c r="D6" s="833"/>
      <x:c r="E6" s="833"/>
      <x:c r="F6" s="833"/>
      <x:c r="G6" s="833"/>
      <x:c r="H6" s="833"/>
      <x:c r="I6" s="833"/>
      <x:c r="J6" s="833"/>
    </x:row>
    <x:row r="7" ht="60" hidden="0" customHeight="1">
      <x:c r="A7" s="843"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843" t="str">
        <x:v>Profit rule</x:v>
      </x:c>
      <x:c r="B8" s="532" t="str">
        <x:v>Profit means Result Earned is above Entry Fee.</x:v>
      </x:c>
      <x:c r="C8" s="833"/>
      <x:c r="D8" s="833"/>
      <x:c r="E8" s="833"/>
      <x:c r="F8" s="833"/>
      <x:c r="G8" s="833"/>
      <x:c r="H8" s="833"/>
      <x:c r="I8" s="833"/>
      <x:c r="J8" s="833"/>
    </x:row>
    <x:row r="9" ht="36" hidden="0" customHeight="1">
      <x:c r="A9" s="843" t="str">
        <x:v>Draw rule</x:v>
      </x:c>
      <x:c r="B9" s="532" t="str">
        <x:v>A normal completed game earning the Entry Fee or less is treated as a Draw with $0.00 net profit.</x:v>
      </x:c>
      <x:c r="C9" s="833"/>
      <x:c r="D9" s="833"/>
      <x:c r="E9" s="833"/>
      <x:c r="F9" s="833"/>
      <x:c r="G9" s="833"/>
      <x:c r="H9" s="833"/>
      <x:c r="I9" s="833"/>
      <x:c r="J9" s="833"/>
    </x:row>
    <x:row r="10" ht="42" hidden="0" customHeight="1">
      <x:c r="A10" s="843" t="str">
        <x:v>Loss rule</x:v>
      </x:c>
      <x:c r="B10" s="532" t="str">
        <x:v>A true loss occurs only when Disqualified / Lost Entry Fee is Yes; the full game Entry Fee is counted as lost.</x:v>
      </x:c>
      <x:c r="C10" s="833"/>
      <x:c r="D10" s="833"/>
      <x:c r="E10" s="833"/>
      <x:c r="F10" s="833"/>
      <x:c r="G10" s="833"/>
      <x:c r="H10" s="833"/>
      <x:c r="I10" s="833"/>
      <x:c r="J10" s="833"/>
    </x:row>
    <x:row r="11" ht="54" hidden="0" customHeight="1">
      <x:c r="A11" s="843"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42" hidden="0" customHeight="1">
      <x:c r="A12" s="843" t="str">
        <x:v>Free games</x:v>
      </x:c>
      <x:c r="B12" s="532" t="str">
        <x:v>Select Payment Type = Free Game. Free-game rows are excluded from membership costs and lost-entry-fee totals.</x:v>
      </x:c>
      <x:c r="C12" s="833"/>
      <x:c r="D12" s="833"/>
      <x:c r="E12" s="833"/>
      <x:c r="F12" s="833"/>
      <x:c r="G12" s="833"/>
      <x:c r="H12" s="833"/>
      <x:c r="I12" s="833"/>
      <x:c r="J12" s="833"/>
    </x:row>
    <x:row r="13" ht="36" hidden="0" customHeight="1">
      <x:c r="A13" s="843" t="str">
        <x:v>Summary</x:v>
      </x:c>
      <x:c r="B13" s="532" t="str">
        <x:v>Summary uses exact numerical counts, shares, and financial totals. Charts and chart-helper sheets are not used.</x:v>
      </x:c>
      <x:c r="C13" s="833"/>
      <x:c r="D13" s="833"/>
      <x:c r="E13" s="833"/>
      <x:c r="F13" s="833"/>
      <x:c r="G13" s="833"/>
      <x:c r="H13" s="833"/>
      <x:c r="I13" s="833"/>
      <x:c r="J13" s="833"/>
    </x:row>
    <x:row r="14" ht="54" hidden="0" customHeight="1">
      <x:c r="A14" s="843" t="str">
        <x:v>Game Comparisons</x:v>
      </x:c>
      <x:c r="B14" s="532" t="str">
        <x:v>Member, Non-Member, Unclassified, and All Completed Games update from Game Records. Filling Game Type moves a record out of Unclassified without changing the overall game count.</x:v>
      </x:c>
      <x:c r="C14" s="833"/>
      <x:c r="D14" s="833"/>
      <x:c r="E14" s="833"/>
      <x:c r="F14" s="833"/>
      <x:c r="G14" s="833"/>
      <x:c r="H14" s="833"/>
      <x:c r="I14" s="833"/>
      <x:c r="J14" s="833"/>
    </x:row>
    <x:row r="15" ht="42" hidden="0" customHeight="1">
      <x:c r="A15" s="843" t="str">
        <x:v>Gross Profit Earned</x:v>
      </x:c>
      <x:c r="B15" s="532" t="str">
        <x:v>The sum of positive profit from profitable games before subtracting lost entry fees or membership fees.</x:v>
      </x:c>
      <x:c r="C15" s="833"/>
      <x:c r="D15" s="833"/>
      <x:c r="E15" s="833"/>
      <x:c r="F15" s="833"/>
      <x:c r="G15" s="833"/>
      <x:c r="H15" s="833"/>
      <x:c r="I15" s="833"/>
      <x:c r="J15" s="833"/>
    </x:row>
    <x:row r="16" ht="28" hidden="0" customHeight="1">
      <x:c r="A16" s="843" t="str">
        <x:v>Net Game Profit</x:v>
      </x:c>
      <x:c r="B16" s="532" t="str">
        <x:v>Gross Profit Earned minus total lost entry fees.</x:v>
      </x:c>
      <x:c r="C16" s="833"/>
      <x:c r="D16" s="833"/>
      <x:c r="E16" s="833"/>
      <x:c r="F16" s="833"/>
      <x:c r="G16" s="833"/>
      <x:c r="H16" s="833"/>
      <x:c r="I16" s="833"/>
      <x:c r="J16" s="833"/>
    </x:row>
    <x:row r="17" ht="28" hidden="0" customHeight="1">
      <x:c r="A17" s="843" t="str">
        <x:v>Actual Net Profit</x:v>
      </x:c>
      <x:c r="B17" s="532" t="str">
        <x:v>Net Game Profit minus annual subscription or membership costs.</x:v>
      </x:c>
      <x:c r="C17" s="833"/>
      <x:c r="D17" s="833"/>
      <x:c r="E17" s="833"/>
      <x:c r="F17" s="833"/>
      <x:c r="G17" s="833"/>
      <x:c r="H17" s="833"/>
      <x:c r="I17" s="833"/>
      <x:c r="J17" s="833"/>
    </x:row>
    <x:row r="18" ht="72" hidden="0" customHeight="1">
      <x:c r="A18" s="843"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4" hidden="0" customHeight="1">
      <x:c r="A19" s="877" t="str">
        <x:v>Light green</x:v>
      </x:c>
      <x:c r="B19" s="598" t="str">
        <x:v>Profit</x:v>
      </x:c>
      <x:c r="C19" s="833"/>
      <x:c r="D19" s="833"/>
      <x:c r="E19" s="833"/>
      <x:c r="F19" s="833"/>
      <x:c r="G19" s="833"/>
      <x:c r="H19" s="833"/>
      <x:c r="I19" s="833"/>
      <x:c r="J19" s="833"/>
    </x:row>
    <x:row r="20" ht="24" hidden="0" customHeight="1">
      <x:c r="A20" s="877" t="str">
        <x:v>Light gray</x:v>
      </x:c>
      <x:c r="B20" s="599" t="str">
        <x:v>Draw</x:v>
      </x:c>
      <x:c r="C20" s="833"/>
      <x:c r="D20" s="833"/>
      <x:c r="E20" s="833"/>
      <x:c r="F20" s="833"/>
      <x:c r="G20" s="833"/>
      <x:c r="H20" s="833"/>
      <x:c r="I20" s="833"/>
      <x:c r="J20" s="833"/>
    </x:row>
    <x:row r="21" ht="24" hidden="0" customHeight="1">
      <x:c r="A21" s="877" t="str">
        <x:v>Pale yellow / cream</x:v>
      </x:c>
      <x:c r="B21" s="600" t="str">
        <x:v>Free Game</x:v>
      </x:c>
      <x:c r="C21" s="833"/>
      <x:c r="D21" s="833"/>
      <x:c r="E21" s="833"/>
      <x:c r="F21" s="833"/>
      <x:c r="G21" s="833"/>
      <x:c r="H21" s="833"/>
      <x:c r="I21" s="833"/>
      <x:c r="J21" s="833"/>
    </x:row>
    <x:row r="22" ht="24" hidden="0" customHeight="1">
      <x:c r="A22" s="877" t="str">
        <x:v>Light blue</x:v>
      </x:c>
      <x:c r="B22" s="554" t="str">
        <x:v>Subscription</x:v>
      </x:c>
      <x:c r="C22" s="833"/>
      <x:c r="D22" s="833"/>
      <x:c r="E22" s="833"/>
      <x:c r="F22" s="833"/>
      <x:c r="G22" s="833"/>
      <x:c r="H22" s="833"/>
      <x:c r="I22" s="833"/>
      <x:c r="J22" s="833"/>
    </x:row>
    <x:row r="23" ht="24" hidden="0" customHeight="1">
      <x:c r="A23" s="877" t="str">
        <x:v>Light red</x:v>
      </x:c>
      <x:c r="B23" s="601" t="str">
        <x:v>Disqualified / Lost Entry Fee</x:v>
      </x:c>
      <x:c r="C23" s="833"/>
      <x:c r="D23" s="833"/>
      <x:c r="E23" s="833"/>
      <x:c r="F23" s="833"/>
      <x:c r="G23" s="833"/>
      <x:c r="H23" s="833"/>
      <x:c r="I23" s="833"/>
      <x:c r="J23" s="833"/>
    </x:row>
    <x:row r="24" ht="42" hidden="0" customHeight="1">
      <x:c r="A24" s="843"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36" hidden="0" customHeight="1">
      <x:c r="A25" s="843" t="str">
        <x:v>Starting Midyear</x:v>
      </x:c>
      <x:c r="B25" s="532" t="str">
        <x:v>Enter prior net game profit, prior subscription costs, and prior completed-game count in Carryover Setup.</x:v>
      </x:c>
      <x:c r="C25" s="833"/>
      <x:c r="D25" s="833"/>
      <x:c r="E25" s="833"/>
      <x:c r="F25" s="833"/>
      <x:c r="G25" s="833"/>
      <x:c r="H25" s="833"/>
      <x:c r="I25" s="833"/>
      <x:c r="J25" s="833"/>
    </x:row>
    <x:row r="26" ht="42" hidden="0" customHeight="1">
      <x:c r="A26" s="843" t="str">
        <x:v>Manual Entry</x:v>
      </x:c>
      <x:c r="B26" s="532" t="str">
        <x:v>All A:M input cells remain yellow to identify editable cells. Categorical fields also provide dropdown choices.</x:v>
      </x:c>
      <x:c r="C26" s="833"/>
      <x:c r="D26" s="833"/>
      <x:c r="E26" s="833"/>
      <x:c r="F26" s="833"/>
      <x:c r="G26" s="833"/>
      <x:c r="H26" s="833"/>
      <x:c r="I26" s="833"/>
      <x:c r="J26" s="833"/>
    </x:row>
    <x:row r="27" ht="8" hidden="0" customHeight="1">
      <x:c r="A27" s="809"/>
      <x:c r="B27" s="809"/>
      <x:c r="C27" s="833"/>
      <x:c r="D27" s="833"/>
      <x:c r="E27" s="833"/>
      <x:c r="F27" s="833"/>
      <x:c r="G27" s="833"/>
      <x:c r="H27" s="833"/>
      <x:c r="I27" s="833"/>
      <x:c r="J27" s="833"/>
    </x:row>
    <x:row r="28" ht="28" hidden="0" customHeight="1">
      <x:c r="A28" s="860" t="str">
        <x:v>Carryover</x:v>
      </x:c>
      <x:c r="B28" s="685" t="str">
        <x:v>Enter prior totals once, then continue with only new records.</x:v>
      </x:c>
      <x:c r="C28" s="835"/>
      <x:c r="D28" s="835"/>
      <x:c r="E28" s="835"/>
      <x:c r="F28" s="835"/>
      <x:c r="G28" s="835"/>
      <x:c r="H28" s="835"/>
      <x:c r="I28" s="835"/>
      <x:c r="J28" s="835"/>
    </x:row>
    <x:row r="29" ht="26" hidden="0" customHeight="1">
      <x:c r="A29" s="844" t="str">
        <x:v>Prior Net Game Profit</x:v>
      </x:c>
      <x:c r="B29" s="602" t="n">
        <x:v>0</x:v>
      </x:c>
      <x:c r="C29" s="833"/>
      <x:c r="D29" s="833"/>
      <x:c r="E29" s="833"/>
      <x:c r="F29" s="833"/>
      <x:c r="G29" s="833"/>
      <x:c r="H29" s="833"/>
      <x:c r="I29" s="833"/>
      <x:c r="J29" s="833"/>
    </x:row>
    <x:row r="30" ht="26" hidden="0" customHeight="1">
      <x:c r="A30" s="845" t="str">
        <x:v>Prior Subscription Costs</x:v>
      </x:c>
      <x:c r="B30" s="602" t="n">
        <x:v>0</x:v>
      </x:c>
      <x:c r="C30" s="833"/>
      <x:c r="D30" s="833"/>
      <x:c r="E30" s="833"/>
      <x:c r="F30" s="833"/>
      <x:c r="G30" s="833"/>
      <x:c r="H30" s="833"/>
      <x:c r="I30" s="833"/>
      <x:c r="J30" s="833"/>
    </x:row>
    <x:row r="31" ht="26" hidden="0" customHeight="1">
      <x:c r="A31" s="845" t="str">
        <x:v>Prior Game Count</x:v>
      </x:c>
      <x:c r="B31" s="603" t="n">
        <x:v>0</x:v>
      </x:c>
      <x:c r="C31" s="833"/>
      <x:c r="D31" s="833"/>
      <x:c r="E31" s="833"/>
      <x:c r="F31" s="833"/>
      <x:c r="G31" s="833"/>
      <x:c r="H31" s="833"/>
      <x:c r="I31" s="833"/>
      <x:c r="J31" s="833"/>
    </x:row>
    <x:row r="32" ht="48" hidden="0" customHeight="1">
      <x:c r="A32" s="845"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2" hidden="0" customHeight="1">
      <x:c r="A33" s="845" t="str">
        <x:v>Step 2 — Enter once</x:v>
      </x:c>
      <x:c r="B33" s="532" t="str">
        <x:v>Enter those three figures once in B29:B31. Do not create Game Records rows for the carryover values.</x:v>
      </x:c>
      <x:c r="C33" s="833"/>
      <x:c r="D33" s="833"/>
      <x:c r="E33" s="833"/>
      <x:c r="F33" s="833"/>
      <x:c r="G33" s="833"/>
      <x:c r="H33" s="833"/>
      <x:c r="I33" s="833"/>
      <x:c r="J33" s="833"/>
    </x:row>
    <x:row r="34" ht="42" hidden="0" customHeight="1">
      <x:c r="A34" s="845"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8" hidden="0" customHeight="1">
      <x:c r="A35" s="845"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2" hidden="0" customHeight="1">
      <x:c r="A36" s="846" t="str">
        <x:v>Important</x:v>
      </x:c>
      <x:c r="B36" s="532"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8" hidden="0" customHeight="1">
      <x:c r="A37" s="808"/>
      <x:c r="B37" s="809"/>
      <x:c r="C37" s="833"/>
      <x:c r="D37" s="833"/>
      <x:c r="E37" s="833"/>
      <x:c r="F37" s="833"/>
      <x:c r="G37" s="833"/>
      <x:c r="H37" s="833"/>
      <x:c r="I37" s="833"/>
      <x:c r="J37" s="833"/>
    </x:row>
    <x:row r="38" ht="28" hidden="0" customHeight="1">
      <x:c r="A38" s="860" t="str">
        <x:v>Calculations</x:v>
      </x:c>
      <x:c r="B38" s="685" t="str">
        <x:v>Reference for how the workbook determines results and totals.</x:v>
      </x:c>
      <x:c r="C38" s="835"/>
      <x:c r="D38" s="835"/>
      <x:c r="E38" s="835"/>
      <x:c r="F38" s="835"/>
      <x:c r="G38" s="835"/>
      <x:c r="H38" s="835"/>
      <x:c r="I38" s="835"/>
      <x:c r="J38" s="835"/>
    </x:row>
    <x:row r="39" ht="28" hidden="0" customHeight="1">
      <x:c r="A39" s="844" t="str">
        <x:v>Member games</x:v>
      </x:c>
      <x:c r="B39" s="532" t="str">
        <x:v>Adjusted Pot uses 100% of Gross Pot.</x:v>
      </x:c>
      <x:c r="C39" s="833"/>
      <x:c r="D39" s="833"/>
      <x:c r="E39" s="833"/>
      <x:c r="F39" s="833"/>
      <x:c r="G39" s="833"/>
      <x:c r="H39" s="833"/>
      <x:c r="I39" s="833"/>
      <x:c r="J39" s="833"/>
    </x:row>
    <x:row r="40" ht="28" hidden="0" customHeight="1">
      <x:c r="A40" s="845" t="str">
        <x:v>Non-Member games</x:v>
      </x:c>
      <x:c r="B40" s="532" t="str">
        <x:v>Adjusted Pot uses 85% of Gross Pot.</x:v>
      </x:c>
      <x:c r="C40" s="833"/>
      <x:c r="D40" s="833"/>
      <x:c r="E40" s="833"/>
      <x:c r="F40" s="833"/>
      <x:c r="G40" s="833"/>
      <x:c r="H40" s="833"/>
      <x:c r="I40" s="833"/>
      <x:c r="J40" s="833"/>
    </x:row>
    <x:row r="41" ht="28" hidden="0" customHeight="1">
      <x:c r="A41" s="845" t="str">
        <x:v>Estimated Earned</x:v>
      </x:c>
      <x:c r="B41" s="532" t="str">
        <x:v>Adjusted Pot divided by Eligible Players.</x:v>
      </x:c>
      <x:c r="C41" s="833"/>
      <x:c r="D41" s="833"/>
      <x:c r="E41" s="833"/>
      <x:c r="F41" s="833"/>
      <x:c r="G41" s="833"/>
      <x:c r="H41" s="833"/>
      <x:c r="I41" s="833"/>
      <x:c r="J41" s="833"/>
    </x:row>
    <x:row r="42" ht="36" hidden="0" customHeight="1">
      <x:c r="A42" s="845" t="str">
        <x:v>Profit</x:v>
      </x:c>
      <x:c r="B42" s="532" t="str">
        <x:v>Result Earned above Entry Fee; Net Profit is Result Earned minus Entry Fee.</x:v>
      </x:c>
      <x:c r="C42" s="833"/>
      <x:c r="D42" s="833"/>
      <x:c r="E42" s="833"/>
      <x:c r="F42" s="833"/>
      <x:c r="G42" s="833"/>
      <x:c r="H42" s="833"/>
      <x:c r="I42" s="833"/>
      <x:c r="J42" s="833"/>
    </x:row>
    <x:row r="43" ht="36" hidden="0" customHeight="1">
      <x:c r="A43" s="845" t="str">
        <x:v>Draw</x:v>
      </x:c>
      <x:c r="B43" s="532" t="str">
        <x:v>A normal completed game earning the Entry Fee or less records $0.00 Net Profit.</x:v>
      </x:c>
      <x:c r="C43" s="833"/>
      <x:c r="D43" s="833"/>
      <x:c r="E43" s="833"/>
      <x:c r="F43" s="833"/>
      <x:c r="G43" s="833"/>
      <x:c r="H43" s="833"/>
      <x:c r="I43" s="833"/>
      <x:c r="J43" s="833"/>
    </x:row>
    <x:row r="44" ht="36" hidden="0" customHeight="1">
      <x:c r="A44" s="845" t="str">
        <x:v>Disqualified</x:v>
      </x:c>
      <x:c r="B44" s="532" t="str">
        <x:v>Result Earned becomes $0.00 and the full game Entry Fee is recorded as lost.</x:v>
      </x:c>
      <x:c r="C44" s="833"/>
      <x:c r="D44" s="833"/>
      <x:c r="E44" s="833"/>
      <x:c r="F44" s="833"/>
      <x:c r="G44" s="833"/>
      <x:c r="H44" s="833"/>
      <x:c r="I44" s="833"/>
      <x:c r="J44" s="833"/>
    </x:row>
    <x:row r="45" ht="28" hidden="0" customHeight="1">
      <x:c r="A45" s="845" t="str">
        <x:v>ROI</x:v>
      </x:c>
      <x:c r="B45" s="532" t="str">
        <x:v>Net Profit divided by Entry Fee. Free Game ROI displays 0.0%.</x:v>
      </x:c>
      <x:c r="C45" s="833"/>
      <x:c r="D45" s="833"/>
      <x:c r="E45" s="833"/>
      <x:c r="F45" s="833"/>
      <x:c r="G45" s="833"/>
      <x:c r="H45" s="833"/>
      <x:c r="I45" s="833"/>
      <x:c r="J45" s="833"/>
    </x:row>
    <x:row r="46" ht="60" hidden="0" customHeight="1">
      <x:c r="A46" s="845" t="str">
        <x:v>Running Net Profit</x:v>
      </x:c>
      <x:c r="B46" s="532" t="str">
        <x:v>Prior Net Game Profit plus current-workbook Net Profit, accumulated row by row. Draw and Subscription rows may repeat the preceding total because they do not change Net Game Profit.</x:v>
      </x:c>
      <x:c r="C46" s="833"/>
      <x:c r="D46" s="833"/>
      <x:c r="E46" s="833"/>
      <x:c r="F46" s="833"/>
      <x:c r="G46" s="833"/>
      <x:c r="H46" s="833"/>
      <x:c r="I46" s="833"/>
      <x:c r="J46" s="833"/>
    </x:row>
    <x:row r="47" ht="42" hidden="0" customHeight="1">
      <x:c r="A47" s="846"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4" customHeight="1">
      <x:c r="A48" s="808"/>
      <x:c r="B48" s="809"/>
      <x:c r="C48" s="833"/>
      <x:c r="D48" s="833"/>
      <x:c r="E48" s="833"/>
      <x:c r="F48" s="833"/>
      <x:c r="G48" s="833"/>
      <x:c r="H48" s="833"/>
      <x:c r="I48" s="833"/>
      <x:c r="J48" s="833"/>
    </x:row>
    <x:row r="49" customHeight="1">
      <x:c r="A49" s="808"/>
      <x:c r="B49" s="809"/>
      <x:c r="C49" s="833"/>
      <x:c r="D49" s="833"/>
      <x:c r="E49" s="833"/>
      <x:c r="F49" s="833"/>
      <x:c r="G49" s="833"/>
      <x:c r="H49" s="833"/>
      <x:c r="I49" s="833"/>
      <x:c r="J49" s="833"/>
    </x:row>
    <x:row r="50" customHeight="1">
      <x:c r="A50" s="808"/>
      <x:c r="B50" s="809"/>
      <x:c r="C50" s="833"/>
      <x:c r="D50" s="833"/>
      <x:c r="E50" s="833"/>
      <x:c r="F50" s="833"/>
      <x:c r="G50" s="833"/>
      <x:c r="H50" s="833"/>
      <x:c r="I50" s="833"/>
      <x:c r="J50" s="833"/>
    </x:row>
    <x:row r="51" customHeight="1">
      <x:c r="A51" s="833"/>
      <x:c r="B51" s="833"/>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2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14"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39" t="str">
        <x:f>"Running Net Game Profit: "&amp;TEXT(Instructions!$B$29+SUM($W$5:$W$504),"$#,##0.00")&amp;"  |  Gross Profit Earned: "&amp;TEXT(SUM($Q$5:$Q$504),"$#,##0.00")&amp;"  |  Total Lost Entry Fees: "&amp;TEXT(SUM($S$5:$S$504),"$#,##0.00")&amp;"  |  StepCat v230"</x:f>
        <x:v>Running Net Game Profit: $0.00  |  Gross Profit Earned: $0.00  |  Total Lost Entry Fees: $0.00  |  StepCat v230</x:v>
      </x:c>
      <x:c r="B1" s="139"/>
      <x:c r="C1" s="139"/>
      <x:c r="D1" s="139"/>
      <x:c r="E1" s="139"/>
      <x:c r="F1" s="139"/>
      <x:c r="G1" s="139"/>
      <x:c r="H1" s="139"/>
      <x:c r="I1" s="139"/>
      <x:c r="J1" s="139"/>
      <x:c r="K1" s="139"/>
      <x:c r="L1" s="139"/>
      <x:c r="M1" s="139"/>
      <x:c r="N1" s="139"/>
      <x:c r="O1" s="139"/>
      <x:c r="P1" s="139"/>
      <x:c r="Q1" s="139"/>
      <x:c r="R1" s="139"/>
      <x:c r="S1" s="139"/>
      <x:c r="T1" s="139"/>
      <x:c r="U1" s="139"/>
      <x:c r="V1" s="139"/>
      <x:c r="W1" s="139"/>
      <x:c r="X1" s="139"/>
      <x:c r="Y1" s="139"/>
      <x:c r="Z1" s="139"/>
    </x:row>
    <x:row r="2" ht="44" customHeight="1">
      <x:c r="A2" s="140" t="str">
        <x:v>Rows 5–504 provide exactly 500 record rows. Enter or paste in A:M only; N:Z calculate automatically. Archive the workbook at row 505.</x:v>
      </x:c>
      <x:c r="B2" s="140"/>
      <x:c r="C2" s="140"/>
      <x:c r="D2" s="140"/>
      <x:c r="E2" s="140"/>
      <x:c r="F2" s="140"/>
      <x:c r="G2" s="140"/>
      <x:c r="H2" s="140"/>
      <x:c r="I2" s="140"/>
      <x:c r="J2" s="140"/>
      <x:c r="K2" s="140"/>
      <x:c r="L2" s="140"/>
      <x:c r="M2" s="140"/>
      <x:c r="N2" s="140"/>
      <x:c r="O2" s="140"/>
      <x:c r="P2" s="140"/>
      <x:c r="Q2" s="140"/>
      <x:c r="R2" s="140"/>
      <x:c r="S2" s="140"/>
      <x:c r="T2" s="140"/>
      <x:c r="U2" s="140"/>
      <x:c r="V2" s="140"/>
      <x:c r="W2" s="140"/>
      <x:c r="X2" s="140"/>
      <x:c r="Y2" s="140"/>
      <x:c r="Z2" s="140"/>
    </x:row>
    <x:row r="3" ht="34" customHeight="1">
      <x:c r="A3" s="876" t="str">
        <x:v>A:M — Inputs only</x:v>
      </x:c>
      <x:c r="B3" s="876"/>
      <x:c r="C3" s="876"/>
      <x:c r="D3" s="876"/>
      <x:c r="E3" s="876"/>
      <x:c r="F3" s="876"/>
      <x:c r="G3" s="876"/>
      <x:c r="H3" s="876"/>
      <x:c r="I3" s="876"/>
      <x:c r="J3" s="876"/>
      <x:c r="K3" s="876"/>
      <x:c r="L3" s="876"/>
      <x:c r="M3" s="876"/>
      <x:c r="N3" s="142" t="str">
        <x:v>N:Z — Formula columns — do not edit</x:v>
      </x:c>
      <x:c r="O3" s="142"/>
      <x:c r="P3" s="142"/>
      <x:c r="Q3" s="142"/>
      <x:c r="R3" s="142"/>
      <x:c r="S3" s="142"/>
      <x:c r="T3" s="142"/>
      <x:c r="U3" s="142"/>
      <x:c r="V3" s="142"/>
      <x:c r="W3" s="142"/>
      <x:c r="X3" s="142"/>
      <x:c r="Y3" s="142"/>
      <x:c r="Z3" s="142"/>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Profit</x:v>
      </x:c>
      <x:c r="L4" s="95" t="str">
        <x:v>Disqualified / Lost Entry Fee</x:v>
      </x:c>
      <x:c r="M4" s="95" t="str">
        <x:v>Notes</x:v>
      </x:c>
      <x:c r="N4" s="294" t="str">
        <x:v>Adjusted Pot</x:v>
      </x:c>
      <x:c r="O4" s="294" t="str">
        <x:v>Estimated Earned</x:v>
      </x:c>
      <x:c r="P4" s="294" t="str">
        <x:v>Result Earned</x:v>
      </x:c>
      <x:c r="Q4" s="294" t="str">
        <x:v>Profit</x:v>
      </x:c>
      <x:c r="R4" s="294" t="str">
        <x:v>Draw</x:v>
      </x:c>
      <x:c r="S4" s="294" t="str">
        <x:v>Lost</x:v>
      </x:c>
      <x:c r="T4" s="294" t="str">
        <x:v>ROI</x:v>
      </x:c>
      <x:c r="U4" s="294" t="str">
        <x:v>Result</x:v>
      </x:c>
      <x:c r="V4" s="879" t="str">
        <x:v>Challenge Length (Weeks)</x:v>
      </x:c>
      <x:c r="W4" s="294" t="str">
        <x:v>Net Profit</x:v>
      </x:c>
      <x:c r="X4" s="294" t="str">
        <x:v>Eliminated Players</x:v>
      </x:c>
      <x:c r="Y4" s="294" t="str">
        <x:v>Elimination Rate</x:v>
      </x:c>
      <x:c r="Z4" s="294" t="str">
        <x:v>Running Net Profit</x:v>
      </x:c>
    </x:row>
    <x:row r="5" ht="30" customHeight="1">
      <x:c r="A5" s="477"/>
      <x:c r="B5" s="478"/>
      <x:c r="C5" s="478"/>
      <x:c r="D5" s="479"/>
      <x:c r="E5" s="479"/>
      <x:c r="F5" s="479"/>
      <x:c r="G5" s="480"/>
      <x:c r="H5" s="480"/>
      <x:c r="I5" s="481"/>
      <x:c r="J5" s="481"/>
      <x:c r="K5" s="480"/>
      <x:c r="L5" s="479"/>
      <x:c r="M5" s="477"/>
      <x:c r="N5" s="112" t="str">
        <x:f>IF(COUNTA($A5:$M5)=0,"",IF(OR(LOWER($F5&amp;"")="subscription",LOWER($F5&amp;"")="membership"),"",IF($G5="","",IF(ISNUMBER(SEARCH("non",LOWER($E5&amp;""))),$G5*0.85,$G5))))</x:f>
      </x:c>
      <x:c r="O5" s="112" t="str">
        <x:f>IF(COUNTA($A5:$M5)=0,"",IF(OR(LOWER($F5&amp;"")="subscription",LOWER($F5&amp;"")="membership"),"",IF(OR($N5="",$I5="",$I5=0),"",IFERROR($N5/$I5,""))))</x:f>
      </x:c>
      <x:c r="P5" s="112" t="str">
        <x:f>IF(COUNTA($A5:$M5)=0,"",IF(OR(LOWER($F5&amp;"")="subscription",LOWER($F5&amp;"")="membership"),"",IF(LOWER($L5&amp;"")="yes",0,IF($K5&lt;&gt;"",$K5,IF($O5&lt;&gt;"",$O5,"")))))</x:f>
      </x:c>
      <x:c r="Q5" s="112" t="str">
        <x:f>IF(COUNTA($A5:$M5)=0,"",IF(OR($U5="Subscription",$U5=""),"",IF($U5="Profit",ROUND($P5-$H5,2),0)))</x:f>
      </x:c>
      <x:c r="R5" s="112" t="str">
        <x:f>IF(COUNTA($A5:$M5)=0,"",IF(OR($U5="Subscription",$U5=""),"",IF($U5="Draw",$H5,0)))</x:f>
      </x:c>
      <x:c r="S5" s="112" t="str">
        <x:f>IF(COUNTA($A5:$M5)=0,"",IF(OR($U5="Subscription",$U5=""),"",IF($U5="Disqualified",$H5,0)))</x:f>
      </x:c>
      <x:c r="T5" s="116" t="str">
        <x:f>IF(COUNTA($A5:$M5)=0,"",IF(OR($U5="Subscription",$U5=""),"",IF($H5=0,0,IF($U5="Profit",$Q5/$H5,IF($U5="Disqualified",-$S5/$H5,0)))))</x:f>
      </x:c>
      <x:c r="U5" s="290" t="str">
        <x:f>IF(COUNTA($A5:$M5)=0,"",IF(OR(LOWER($F5&amp;"")="subscription",LOWER($F5&amp;"")="membership"),"Subscription",IF(LOWER($L5&amp;"")="yes","Disqualified",IF(OR(LOWER($F5&amp;"")="free game",LOWER($F5&amp;"")="free"),IF(AND(ISNUMBER($P5),ISNUMBER($H5),$P5&gt;$H5),"Profit","Free Game"),IF($P5="","",IF(ROUND(IFERROR(VALUE($P5),0)-IFERROR(VALUE($H5),0),2)&gt;0,"Profit","Draw"))))))</x:f>
      </x:c>
      <x:c r="V5" s="144" t="str">
        <x:f>IF(COUNTA($A5:$M5)=0,"",IF(OR($B5="",$C5="",$U5="Subscription"),"",IFERROR(ROUNDUP(($C5-$B5)/7,0),"")))</x:f>
      </x:c>
      <x:c r="W5" s="112" t="str">
        <x:f>IF(COUNTA($A5:$M5)=0,"",IF(OR($U5="Subscription",$U5=""),"",ROUND(IFERROR($Q5,0)-IFERROR($S5,0),2)))</x:f>
      </x:c>
      <x:c r="X5" s="144" t="str">
        <x:f>IF(COUNTA($A5:$M5)=0,"",IF(OR($U5="Subscription",$U5="Free Game",NOT(ISNUMBER($J5)),NOT(ISNUMBER($I5)),$J5=0,$I5=0,$I5&gt;$J5),"",$J5-$I5))</x:f>
      </x:c>
      <x:c r="Y5" s="116" t="str">
        <x:f>IF(COUNTA($A5:$M5)=0,"",IF(OR($U5="Subscription",$U5="Free Game",NOT(ISNUMBER($J5)),$J5=0,$X5=""),"",$X5/$J5))</x:f>
      </x:c>
      <x:c r="Z5" s="118" t="str">
        <x:f>IF(COUNTA($A5:$M5)=0,"",Instructions!$B$29+SUM($W$5:W5))</x:f>
      </x:c>
    </x:row>
    <x:row r="6" ht="30" customHeight="1">
      <x:c r="A6" s="477"/>
      <x:c r="B6" s="482"/>
      <x:c r="C6" s="482"/>
      <x:c r="D6" s="483"/>
      <x:c r="E6" s="483"/>
      <x:c r="F6" s="483"/>
      <x:c r="G6" s="484"/>
      <x:c r="H6" s="484"/>
      <x:c r="I6" s="485"/>
      <x:c r="J6" s="485"/>
      <x:c r="K6" s="484"/>
      <x:c r="L6" s="483"/>
      <x:c r="M6" s="477"/>
      <x:c r="N6" s="112" t="str">
        <x:f>IF(COUNTA($A6:$M6)=0,"",IF(OR(LOWER($F6&amp;"")="subscription",LOWER($F6&amp;"")="membership"),"",IF($G6="","",IF(ISNUMBER(SEARCH("non",LOWER($E6&amp;""))),$G6*0.85,$G6))))</x:f>
      </x:c>
      <x:c r="O6" s="112" t="str">
        <x:f>IF(COUNTA($A6:$M6)=0,"",IF(OR(LOWER($F6&amp;"")="subscription",LOWER($F6&amp;"")="membership"),"",IF(OR($N6="",$I6="",$I6=0),"",IFERROR($N6/$I6,""))))</x:f>
      </x:c>
      <x:c r="P6" s="112" t="str">
        <x:f>IF(COUNTA($A6:$M6)=0,"",IF(OR(LOWER($F6&amp;"")="subscription",LOWER($F6&amp;"")="membership"),"",IF(LOWER($L6&amp;"")="yes",0,IF($K6&lt;&gt;"",$K6,IF($O6&lt;&gt;"",$O6,"")))))</x:f>
      </x:c>
      <x:c r="Q6" s="112" t="str">
        <x:f>IF(COUNTA($A6:$M6)=0,"",IF(OR($U6="Subscription",$U6=""),"",IF($U6="Profit",ROUND($P6-$H6,2),0)))</x:f>
      </x:c>
      <x:c r="R6" s="112" t="str">
        <x:f>IF(COUNTA($A6:$M6)=0,"",IF(OR($U6="Subscription",$U6=""),"",IF($U6="Draw",$H6,0)))</x:f>
      </x:c>
      <x:c r="S6" s="112" t="str">
        <x:f>IF(COUNTA($A6:$M6)=0,"",IF(OR($U6="Subscription",$U6=""),"",IF($U6="Disqualified",$H6,0)))</x:f>
      </x:c>
      <x:c r="T6" s="116" t="str">
        <x:f>IF(COUNTA($A6:$M6)=0,"",IF(OR($U6="Subscription",$U6=""),"",IF($H6=0,0,IF($U6="Profit",$Q6/$H6,IF($U6="Disqualified",-$S6/$H6,0)))))</x:f>
      </x:c>
      <x:c r="U6" s="290" t="str">
        <x:f>IF(COUNTA($A6:$M6)=0,"",IF(OR(LOWER($F6&amp;"")="subscription",LOWER($F6&amp;"")="membership"),"Subscription",IF(LOWER($L6&amp;"")="yes","Disqualified",IF(OR(LOWER($F6&amp;"")="free game",LOWER($F6&amp;"")="free"),IF(AND(ISNUMBER($P6),ISNUMBER($H6),$P6&gt;$H6),"Profit","Free Game"),IF($P6="","",IF(ROUND(IFERROR(VALUE($P6),0)-IFERROR(VALUE($H6),0),2)&gt;0,"Profit","Draw"))))))</x:f>
      </x:c>
      <x:c r="V6" s="144" t="str">
        <x:f>IF(COUNTA($A6:$M6)=0,"",IF(OR($B6="",$C6="",$U6="Subscription"),"",IFERROR(ROUNDUP(($C6-$B6)/7,0),"")))</x:f>
      </x:c>
      <x:c r="W6" s="112" t="str">
        <x:f>IF(COUNTA($A6:$M6)=0,"",IF(OR($U6="Subscription",$U6=""),"",ROUND(IFERROR($Q6,0)-IFERROR($S6,0),2)))</x:f>
      </x:c>
      <x:c r="X6" s="144" t="str">
        <x:f>IF(COUNTA($A6:$M6)=0,"",IF(OR($U6="Subscription",$U6="Free Game",NOT(ISNUMBER($J6)),NOT(ISNUMBER($I6)),$J6=0,$I6=0,$I6&gt;$J6),"",$J6-$I6))</x:f>
      </x:c>
      <x:c r="Y6" s="116" t="str">
        <x:f>IF(COUNTA($A6:$M6)=0,"",IF(OR($U6="Subscription",$U6="Free Game",NOT(ISNUMBER($J6)),$J6=0,$X6=""),"",$X6/$J6))</x:f>
      </x:c>
      <x:c r="Z6" s="118" t="str">
        <x:f>IF(COUNTA($A6:$M6)=0,"",Instructions!$B$29+SUM($W$5:W6))</x:f>
      </x:c>
    </x:row>
    <x:row r="7" ht="30" customHeight="1">
      <x:c r="A7" s="477"/>
      <x:c r="B7" s="482"/>
      <x:c r="C7" s="482"/>
      <x:c r="D7" s="483"/>
      <x:c r="E7" s="483"/>
      <x:c r="F7" s="483"/>
      <x:c r="G7" s="484"/>
      <x:c r="H7" s="484"/>
      <x:c r="I7" s="485"/>
      <x:c r="J7" s="485"/>
      <x:c r="K7" s="484"/>
      <x:c r="L7" s="483"/>
      <x:c r="M7" s="477"/>
      <x:c r="N7" s="112" t="str">
        <x:f>IF(COUNTA($A7:$M7)=0,"",IF(OR(LOWER($F7&amp;"")="subscription",LOWER($F7&amp;"")="membership"),"",IF($G7="","",IF(ISNUMBER(SEARCH("non",LOWER($E7&amp;""))),$G7*0.85,$G7))))</x:f>
      </x:c>
      <x:c r="O7" s="112" t="str">
        <x:f>IF(COUNTA($A7:$M7)=0,"",IF(OR(LOWER($F7&amp;"")="subscription",LOWER($F7&amp;"")="membership"),"",IF(OR($N7="",$I7="",$I7=0),"",IFERROR($N7/$I7,""))))</x:f>
      </x:c>
      <x:c r="P7" s="112" t="str">
        <x:f>IF(COUNTA($A7:$M7)=0,"",IF(OR(LOWER($F7&amp;"")="subscription",LOWER($F7&amp;"")="membership"),"",IF(LOWER($L7&amp;"")="yes",0,IF($K7&lt;&gt;"",$K7,IF($O7&lt;&gt;"",$O7,"")))))</x:f>
      </x:c>
      <x:c r="Q7" s="112" t="str">
        <x:f>IF(COUNTA($A7:$M7)=0,"",IF(OR($U7="Subscription",$U7=""),"",IF($U7="Profit",ROUND($P7-$H7,2),0)))</x:f>
      </x:c>
      <x:c r="R7" s="112" t="str">
        <x:f>IF(COUNTA($A7:$M7)=0,"",IF(OR($U7="Subscription",$U7=""),"",IF($U7="Draw",$H7,0)))</x:f>
      </x:c>
      <x:c r="S7" s="112" t="str">
        <x:f>IF(COUNTA($A7:$M7)=0,"",IF(OR($U7="Subscription",$U7=""),"",IF($U7="Disqualified",$H7,0)))</x:f>
      </x:c>
      <x:c r="T7" s="116" t="str">
        <x:f>IF(COUNTA($A7:$M7)=0,"",IF(OR($U7="Subscription",$U7=""),"",IF($H7=0,0,IF($U7="Profit",$Q7/$H7,IF($U7="Disqualified",-$S7/$H7,0)))))</x:f>
      </x:c>
      <x:c r="U7" s="290" t="str">
        <x:f>IF(COUNTA($A7:$M7)=0,"",IF(OR(LOWER($F7&amp;"")="subscription",LOWER($F7&amp;"")="membership"),"Subscription",IF(LOWER($L7&amp;"")="yes","Disqualified",IF(OR(LOWER($F7&amp;"")="free game",LOWER($F7&amp;"")="free"),IF(AND(ISNUMBER($P7),ISNUMBER($H7),$P7&gt;$H7),"Profit","Free Game"),IF($P7="","",IF(ROUND(IFERROR(VALUE($P7),0)-IFERROR(VALUE($H7),0),2)&gt;0,"Profit","Draw"))))))</x:f>
      </x:c>
      <x:c r="V7" s="144" t="str">
        <x:f>IF(COUNTA($A7:$M7)=0,"",IF(OR($B7="",$C7="",$U7="Subscription"),"",IFERROR(ROUNDUP(($C7-$B7)/7,0),"")))</x:f>
      </x:c>
      <x:c r="W7" s="112" t="str">
        <x:f>IF(COUNTA($A7:$M7)=0,"",IF(OR($U7="Subscription",$U7=""),"",ROUND(IFERROR($Q7,0)-IFERROR($S7,0),2)))</x:f>
      </x:c>
      <x:c r="X7" s="144" t="str">
        <x:f>IF(COUNTA($A7:$M7)=0,"",IF(OR($U7="Subscription",$U7="Free Game",NOT(ISNUMBER($J7)),NOT(ISNUMBER($I7)),$J7=0,$I7=0,$I7&gt;$J7),"",$J7-$I7))</x:f>
      </x:c>
      <x:c r="Y7" s="116" t="str">
        <x:f>IF(COUNTA($A7:$M7)=0,"",IF(OR($U7="Subscription",$U7="Free Game",NOT(ISNUMBER($J7)),$J7=0,$X7=""),"",$X7/$J7))</x:f>
      </x:c>
      <x:c r="Z7" s="118" t="str">
        <x:f>IF(COUNTA($A7:$M7)=0,"",Instructions!$B$29+SUM($W$5:W7))</x:f>
      </x:c>
    </x:row>
    <x:row r="8" ht="30" customHeight="1">
      <x:c r="A8" s="477"/>
      <x:c r="B8" s="482"/>
      <x:c r="C8" s="482"/>
      <x:c r="D8" s="483"/>
      <x:c r="E8" s="483"/>
      <x:c r="F8" s="483"/>
      <x:c r="G8" s="484"/>
      <x:c r="H8" s="484"/>
      <x:c r="I8" s="485"/>
      <x:c r="J8" s="485"/>
      <x:c r="K8" s="484"/>
      <x:c r="L8" s="483"/>
      <x:c r="M8" s="477"/>
      <x:c r="N8" s="112" t="str">
        <x:f>IF(COUNTA($A8:$M8)=0,"",IF(OR(LOWER($F8&amp;"")="subscription",LOWER($F8&amp;"")="membership"),"",IF($G8="","",IF(ISNUMBER(SEARCH("non",LOWER($E8&amp;""))),$G8*0.85,$G8))))</x:f>
      </x:c>
      <x:c r="O8" s="112" t="str">
        <x:f>IF(COUNTA($A8:$M8)=0,"",IF(OR(LOWER($F8&amp;"")="subscription",LOWER($F8&amp;"")="membership"),"",IF(OR($N8="",$I8="",$I8=0),"",IFERROR($N8/$I8,""))))</x:f>
      </x:c>
      <x:c r="P8" s="112" t="str">
        <x:f>IF(COUNTA($A8:$M8)=0,"",IF(OR(LOWER($F8&amp;"")="subscription",LOWER($F8&amp;"")="membership"),"",IF(LOWER($L8&amp;"")="yes",0,IF($K8&lt;&gt;"",$K8,IF($O8&lt;&gt;"",$O8,"")))))</x:f>
      </x:c>
      <x:c r="Q8" s="112" t="str">
        <x:f>IF(COUNTA($A8:$M8)=0,"",IF(OR($U8="Subscription",$U8=""),"",IF($U8="Profit",ROUND($P8-$H8,2),0)))</x:f>
      </x:c>
      <x:c r="R8" s="112" t="str">
        <x:f>IF(COUNTA($A8:$M8)=0,"",IF(OR($U8="Subscription",$U8=""),"",IF($U8="Draw",$H8,0)))</x:f>
      </x:c>
      <x:c r="S8" s="112" t="str">
        <x:f>IF(COUNTA($A8:$M8)=0,"",IF(OR($U8="Subscription",$U8=""),"",IF($U8="Disqualified",$H8,0)))</x:f>
      </x:c>
      <x:c r="T8" s="116" t="str">
        <x:f>IF(COUNTA($A8:$M8)=0,"",IF(OR($U8="Subscription",$U8=""),"",IF($H8=0,0,IF($U8="Profit",$Q8/$H8,IF($U8="Disqualified",-$S8/$H8,0)))))</x:f>
      </x:c>
      <x:c r="U8" s="290" t="str">
        <x:f>IF(COUNTA($A8:$M8)=0,"",IF(OR(LOWER($F8&amp;"")="subscription",LOWER($F8&amp;"")="membership"),"Subscription",IF(LOWER($L8&amp;"")="yes","Disqualified",IF(OR(LOWER($F8&amp;"")="free game",LOWER($F8&amp;"")="free"),IF(AND(ISNUMBER($P8),ISNUMBER($H8),$P8&gt;$H8),"Profit","Free Game"),IF($P8="","",IF(ROUND(IFERROR(VALUE($P8),0)-IFERROR(VALUE($H8),0),2)&gt;0,"Profit","Draw"))))))</x:f>
      </x:c>
      <x:c r="V8" s="144" t="str">
        <x:f>IF(COUNTA($A8:$M8)=0,"",IF(OR($B8="",$C8="",$U8="Subscription"),"",IFERROR(ROUNDUP(($C8-$B8)/7,0),"")))</x:f>
      </x:c>
      <x:c r="W8" s="112" t="str">
        <x:f>IF(COUNTA($A8:$M8)=0,"",IF(OR($U8="Subscription",$U8=""),"",ROUND(IFERROR($Q8,0)-IFERROR($S8,0),2)))</x:f>
      </x:c>
      <x:c r="X8" s="144" t="str">
        <x:f>IF(COUNTA($A8:$M8)=0,"",IF(OR($U8="Subscription",$U8="Free Game",NOT(ISNUMBER($J8)),NOT(ISNUMBER($I8)),$J8=0,$I8=0,$I8&gt;$J8),"",$J8-$I8))</x:f>
      </x:c>
      <x:c r="Y8" s="116" t="str">
        <x:f>IF(COUNTA($A8:$M8)=0,"",IF(OR($U8="Subscription",$U8="Free Game",NOT(ISNUMBER($J8)),$J8=0,$X8=""),"",$X8/$J8))</x:f>
      </x:c>
      <x:c r="Z8" s="118" t="str">
        <x:f>IF(COUNTA($A8:$M8)=0,"",Instructions!$B$29+SUM($W$5:W8))</x:f>
      </x:c>
    </x:row>
    <x:row r="9" ht="30" customHeight="1">
      <x:c r="A9" s="477"/>
      <x:c r="B9" s="482"/>
      <x:c r="C9" s="482"/>
      <x:c r="D9" s="483"/>
      <x:c r="E9" s="483"/>
      <x:c r="F9" s="483"/>
      <x:c r="G9" s="484"/>
      <x:c r="H9" s="484"/>
      <x:c r="I9" s="485"/>
      <x:c r="J9" s="485"/>
      <x:c r="K9" s="484"/>
      <x:c r="L9" s="483"/>
      <x:c r="M9" s="477"/>
      <x:c r="N9" s="112" t="str">
        <x:f>IF(COUNTA($A9:$M9)=0,"",IF(OR(LOWER($F9&amp;"")="subscription",LOWER($F9&amp;"")="membership"),"",IF($G9="","",IF(ISNUMBER(SEARCH("non",LOWER($E9&amp;""))),$G9*0.85,$G9))))</x:f>
      </x:c>
      <x:c r="O9" s="112" t="str">
        <x:f>IF(COUNTA($A9:$M9)=0,"",IF(OR(LOWER($F9&amp;"")="subscription",LOWER($F9&amp;"")="membership"),"",IF(OR($N9="",$I9="",$I9=0),"",IFERROR($N9/$I9,""))))</x:f>
      </x:c>
      <x:c r="P9" s="112" t="str">
        <x:f>IF(COUNTA($A9:$M9)=0,"",IF(OR(LOWER($F9&amp;"")="subscription",LOWER($F9&amp;"")="membership"),"",IF(LOWER($L9&amp;"")="yes",0,IF($K9&lt;&gt;"",$K9,IF($O9&lt;&gt;"",$O9,"")))))</x:f>
      </x:c>
      <x:c r="Q9" s="112" t="str">
        <x:f>IF(COUNTA($A9:$M9)=0,"",IF(OR($U9="Subscription",$U9=""),"",IF($U9="Profit",ROUND($P9-$H9,2),0)))</x:f>
      </x:c>
      <x:c r="R9" s="112" t="str">
        <x:f>IF(COUNTA($A9:$M9)=0,"",IF(OR($U9="Subscription",$U9=""),"",IF($U9="Draw",$H9,0)))</x:f>
      </x:c>
      <x:c r="S9" s="112" t="str">
        <x:f>IF(COUNTA($A9:$M9)=0,"",IF(OR($U9="Subscription",$U9=""),"",IF($U9="Disqualified",$H9,0)))</x:f>
      </x:c>
      <x:c r="T9" s="116" t="str">
        <x:f>IF(COUNTA($A9:$M9)=0,"",IF(OR($U9="Subscription",$U9=""),"",IF($H9=0,0,IF($U9="Profit",$Q9/$H9,IF($U9="Disqualified",-$S9/$H9,0)))))</x:f>
      </x:c>
      <x:c r="U9" s="290" t="str">
        <x:f>IF(COUNTA($A9:$M9)=0,"",IF(OR(LOWER($F9&amp;"")="subscription",LOWER($F9&amp;"")="membership"),"Subscription",IF(LOWER($L9&amp;"")="yes","Disqualified",IF(OR(LOWER($F9&amp;"")="free game",LOWER($F9&amp;"")="free"),IF(AND(ISNUMBER($P9),ISNUMBER($H9),$P9&gt;$H9),"Profit","Free Game"),IF($P9="","",IF(ROUND(IFERROR(VALUE($P9),0)-IFERROR(VALUE($H9),0),2)&gt;0,"Profit","Draw"))))))</x:f>
      </x:c>
      <x:c r="V9" s="144" t="str">
        <x:f>IF(COUNTA($A9:$M9)=0,"",IF(OR($B9="",$C9="",$U9="Subscription"),"",IFERROR(ROUNDUP(($C9-$B9)/7,0),"")))</x:f>
      </x:c>
      <x:c r="W9" s="112" t="str">
        <x:f>IF(COUNTA($A9:$M9)=0,"",IF(OR($U9="Subscription",$U9=""),"",ROUND(IFERROR($Q9,0)-IFERROR($S9,0),2)))</x:f>
      </x:c>
      <x:c r="X9" s="144" t="str">
        <x:f>IF(COUNTA($A9:$M9)=0,"",IF(OR($U9="Subscription",$U9="Free Game",NOT(ISNUMBER($J9)),NOT(ISNUMBER($I9)),$J9=0,$I9=0,$I9&gt;$J9),"",$J9-$I9))</x:f>
      </x:c>
      <x:c r="Y9" s="116" t="str">
        <x:f>IF(COUNTA($A9:$M9)=0,"",IF(OR($U9="Subscription",$U9="Free Game",NOT(ISNUMBER($J9)),$J9=0,$X9=""),"",$X9/$J9))</x:f>
      </x:c>
      <x:c r="Z9" s="118" t="str">
        <x:f>IF(COUNTA($A9:$M9)=0,"",Instructions!$B$29+SUM($W$5:W9))</x:f>
      </x:c>
    </x:row>
    <x:row r="10" ht="30" customHeight="1">
      <x:c r="A10" s="477"/>
      <x:c r="B10" s="482"/>
      <x:c r="C10" s="482"/>
      <x:c r="D10" s="483"/>
      <x:c r="E10" s="483"/>
      <x:c r="F10" s="483"/>
      <x:c r="G10" s="484"/>
      <x:c r="H10" s="484"/>
      <x:c r="I10" s="485"/>
      <x:c r="J10" s="485"/>
      <x:c r="K10" s="484"/>
      <x:c r="L10" s="483"/>
      <x:c r="M10" s="477"/>
      <x:c r="N10" s="112" t="str">
        <x:f>IF(COUNTA($A10:$M10)=0,"",IF(OR(LOWER($F10&amp;"")="subscription",LOWER($F10&amp;"")="membership"),"",IF($G10="","",IF(ISNUMBER(SEARCH("non",LOWER($E10&amp;""))),$G10*0.85,$G10))))</x:f>
      </x:c>
      <x:c r="O10" s="112" t="str">
        <x:f>IF(COUNTA($A10:$M10)=0,"",IF(OR(LOWER($F10&amp;"")="subscription",LOWER($F10&amp;"")="membership"),"",IF(OR($N10="",$I10="",$I10=0),"",IFERROR($N10/$I10,""))))</x:f>
      </x:c>
      <x:c r="P10" s="112" t="str">
        <x:f>IF(COUNTA($A10:$M10)=0,"",IF(OR(LOWER($F10&amp;"")="subscription",LOWER($F10&amp;"")="membership"),"",IF(LOWER($L10&amp;"")="yes",0,IF($K10&lt;&gt;"",$K10,IF($O10&lt;&gt;"",$O10,"")))))</x:f>
      </x:c>
      <x:c r="Q10" s="112" t="str">
        <x:f>IF(COUNTA($A10:$M10)=0,"",IF(OR($U10="Subscription",$U10=""),"",IF($U10="Profit",ROUND($P10-$H10,2),0)))</x:f>
      </x:c>
      <x:c r="R10" s="112" t="str">
        <x:f>IF(COUNTA($A10:$M10)=0,"",IF(OR($U10="Subscription",$U10=""),"",IF($U10="Draw",$H10,0)))</x:f>
      </x:c>
      <x:c r="S10" s="112" t="str">
        <x:f>IF(COUNTA($A10:$M10)=0,"",IF(OR($U10="Subscription",$U10=""),"",IF($U10="Disqualified",$H10,0)))</x:f>
      </x:c>
      <x:c r="T10" s="116" t="str">
        <x:f>IF(COUNTA($A10:$M10)=0,"",IF(OR($U10="Subscription",$U10=""),"",IF($H10=0,0,IF($U10="Profit",$Q10/$H10,IF($U10="Disqualified",-$S10/$H10,0)))))</x:f>
      </x:c>
      <x:c r="U10" s="290" t="str">
        <x:f>IF(COUNTA($A10:$M10)=0,"",IF(OR(LOWER($F10&amp;"")="subscription",LOWER($F10&amp;"")="membership"),"Subscription",IF(LOWER($L10&amp;"")="yes","Disqualified",IF(OR(LOWER($F10&amp;"")="free game",LOWER($F10&amp;"")="free"),IF(AND(ISNUMBER($P10),ISNUMBER($H10),$P10&gt;$H10),"Profit","Free Game"),IF($P10="","",IF(ROUND(IFERROR(VALUE($P10),0)-IFERROR(VALUE($H10),0),2)&gt;0,"Profit","Draw"))))))</x:f>
      </x:c>
      <x:c r="V10" s="144" t="str">
        <x:f>IF(COUNTA($A10:$M10)=0,"",IF(OR($B10="",$C10="",$U10="Subscription"),"",IFERROR(ROUNDUP(($C10-$B10)/7,0),"")))</x:f>
      </x:c>
      <x:c r="W10" s="112" t="str">
        <x:f>IF(COUNTA($A10:$M10)=0,"",IF(OR($U10="Subscription",$U10=""),"",ROUND(IFERROR($Q10,0)-IFERROR($S10,0),2)))</x:f>
      </x:c>
      <x:c r="X10" s="144" t="str">
        <x:f>IF(COUNTA($A10:$M10)=0,"",IF(OR($U10="Subscription",$U10="Free Game",NOT(ISNUMBER($J10)),NOT(ISNUMBER($I10)),$J10=0,$I10=0,$I10&gt;$J10),"",$J10-$I10))</x:f>
      </x:c>
      <x:c r="Y10" s="116" t="str">
        <x:f>IF(COUNTA($A10:$M10)=0,"",IF(OR($U10="Subscription",$U10="Free Game",NOT(ISNUMBER($J10)),$J10=0,$X10=""),"",$X10/$J10))</x:f>
      </x:c>
      <x:c r="Z10" s="118" t="str">
        <x:f>IF(COUNTA($A10:$M10)=0,"",Instructions!$B$29+SUM($W$5:W10))</x:f>
      </x:c>
    </x:row>
    <x:row r="11" ht="30" customHeight="1">
      <x:c r="A11" s="477"/>
      <x:c r="B11" s="482"/>
      <x:c r="C11" s="482"/>
      <x:c r="D11" s="483"/>
      <x:c r="E11" s="483"/>
      <x:c r="F11" s="483"/>
      <x:c r="G11" s="484"/>
      <x:c r="H11" s="484"/>
      <x:c r="I11" s="485"/>
      <x:c r="J11" s="485"/>
      <x:c r="K11" s="484"/>
      <x:c r="L11" s="483"/>
      <x:c r="M11" s="477"/>
      <x:c r="N11" s="112" t="str">
        <x:f>IF(COUNTA($A11:$M11)=0,"",IF(OR(LOWER($F11&amp;"")="subscription",LOWER($F11&amp;"")="membership"),"",IF($G11="","",IF(ISNUMBER(SEARCH("non",LOWER($E11&amp;""))),$G11*0.85,$G11))))</x:f>
      </x:c>
      <x:c r="O11" s="112" t="str">
        <x:f>IF(COUNTA($A11:$M11)=0,"",IF(OR(LOWER($F11&amp;"")="subscription",LOWER($F11&amp;"")="membership"),"",IF(OR($N11="",$I11="",$I11=0),"",IFERROR($N11/$I11,""))))</x:f>
      </x:c>
      <x:c r="P11" s="112" t="str">
        <x:f>IF(COUNTA($A11:$M11)=0,"",IF(OR(LOWER($F11&amp;"")="subscription",LOWER($F11&amp;"")="membership"),"",IF(LOWER($L11&amp;"")="yes",0,IF($K11&lt;&gt;"",$K11,IF($O11&lt;&gt;"",$O11,"")))))</x:f>
      </x:c>
      <x:c r="Q11" s="112" t="str">
        <x:f>IF(COUNTA($A11:$M11)=0,"",IF(OR($U11="Subscription",$U11=""),"",IF($U11="Profit",ROUND($P11-$H11,2),0)))</x:f>
      </x:c>
      <x:c r="R11" s="112" t="str">
        <x:f>IF(COUNTA($A11:$M11)=0,"",IF(OR($U11="Subscription",$U11=""),"",IF($U11="Draw",$H11,0)))</x:f>
      </x:c>
      <x:c r="S11" s="112" t="str">
        <x:f>IF(COUNTA($A11:$M11)=0,"",IF(OR($U11="Subscription",$U11=""),"",IF($U11="Disqualified",$H11,0)))</x:f>
      </x:c>
      <x:c r="T11" s="116" t="str">
        <x:f>IF(COUNTA($A11:$M11)=0,"",IF(OR($U11="Subscription",$U11=""),"",IF($H11=0,0,IF($U11="Profit",$Q11/$H11,IF($U11="Disqualified",-$S11/$H11,0)))))</x:f>
      </x:c>
      <x:c r="U11" s="290" t="str">
        <x:f>IF(COUNTA($A11:$M11)=0,"",IF(OR(LOWER($F11&amp;"")="subscription",LOWER($F11&amp;"")="membership"),"Subscription",IF(LOWER($L11&amp;"")="yes","Disqualified",IF(OR(LOWER($F11&amp;"")="free game",LOWER($F11&amp;"")="free"),IF(AND(ISNUMBER($P11),ISNUMBER($H11),$P11&gt;$H11),"Profit","Free Game"),IF($P11="","",IF(ROUND(IFERROR(VALUE($P11),0)-IFERROR(VALUE($H11),0),2)&gt;0,"Profit","Draw"))))))</x:f>
      </x:c>
      <x:c r="V11" s="144" t="str">
        <x:f>IF(COUNTA($A11:$M11)=0,"",IF(OR($B11="",$C11="",$U11="Subscription"),"",IFERROR(ROUNDUP(($C11-$B11)/7,0),"")))</x:f>
      </x:c>
      <x:c r="W11" s="112" t="str">
        <x:f>IF(COUNTA($A11:$M11)=0,"",IF(OR($U11="Subscription",$U11=""),"",ROUND(IFERROR($Q11,0)-IFERROR($S11,0),2)))</x:f>
      </x:c>
      <x:c r="X11" s="144" t="str">
        <x:f>IF(COUNTA($A11:$M11)=0,"",IF(OR($U11="Subscription",$U11="Free Game",NOT(ISNUMBER($J11)),NOT(ISNUMBER($I11)),$J11=0,$I11=0,$I11&gt;$J11),"",$J11-$I11))</x:f>
      </x:c>
      <x:c r="Y11" s="116" t="str">
        <x:f>IF(COUNTA($A11:$M11)=0,"",IF(OR($U11="Subscription",$U11="Free Game",NOT(ISNUMBER($J11)),$J11=0,$X11=""),"",$X11/$J11))</x:f>
      </x:c>
      <x:c r="Z11" s="118" t="str">
        <x:f>IF(COUNTA($A11:$M11)=0,"",Instructions!$B$29+SUM($W$5:W11))</x:f>
      </x:c>
    </x:row>
    <x:row r="12" ht="30" customHeight="1">
      <x:c r="A12" s="477"/>
      <x:c r="B12" s="482"/>
      <x:c r="C12" s="482"/>
      <x:c r="D12" s="483"/>
      <x:c r="E12" s="483"/>
      <x:c r="F12" s="483"/>
      <x:c r="G12" s="484"/>
      <x:c r="H12" s="484"/>
      <x:c r="I12" s="485"/>
      <x:c r="J12" s="485"/>
      <x:c r="K12" s="484"/>
      <x:c r="L12" s="483"/>
      <x:c r="M12" s="477"/>
      <x:c r="N12" s="112" t="str">
        <x:f>IF(COUNTA($A12:$M12)=0,"",IF(OR(LOWER($F12&amp;"")="subscription",LOWER($F12&amp;"")="membership"),"",IF($G12="","",IF(ISNUMBER(SEARCH("non",LOWER($E12&amp;""))),$G12*0.85,$G12))))</x:f>
      </x:c>
      <x:c r="O12" s="112" t="str">
        <x:f>IF(COUNTA($A12:$M12)=0,"",IF(OR(LOWER($F12&amp;"")="subscription",LOWER($F12&amp;"")="membership"),"",IF(OR($N12="",$I12="",$I12=0),"",IFERROR($N12/$I12,""))))</x:f>
      </x:c>
      <x:c r="P12" s="112" t="str">
        <x:f>IF(COUNTA($A12:$M12)=0,"",IF(OR(LOWER($F12&amp;"")="subscription",LOWER($F12&amp;"")="membership"),"",IF(LOWER($L12&amp;"")="yes",0,IF($K12&lt;&gt;"",$K12,IF($O12&lt;&gt;"",$O12,"")))))</x:f>
      </x:c>
      <x:c r="Q12" s="112" t="str">
        <x:f>IF(COUNTA($A12:$M12)=0,"",IF(OR($U12="Subscription",$U12=""),"",IF($U12="Profit",ROUND($P12-$H12,2),0)))</x:f>
      </x:c>
      <x:c r="R12" s="112" t="str">
        <x:f>IF(COUNTA($A12:$M12)=0,"",IF(OR($U12="Subscription",$U12=""),"",IF($U12="Draw",$H12,0)))</x:f>
      </x:c>
      <x:c r="S12" s="112" t="str">
        <x:f>IF(COUNTA($A12:$M12)=0,"",IF(OR($U12="Subscription",$U12=""),"",IF($U12="Disqualified",$H12,0)))</x:f>
      </x:c>
      <x:c r="T12" s="116" t="str">
        <x:f>IF(COUNTA($A12:$M12)=0,"",IF(OR($U12="Subscription",$U12=""),"",IF($H12=0,0,IF($U12="Profit",$Q12/$H12,IF($U12="Disqualified",-$S12/$H12,0)))))</x:f>
      </x:c>
      <x:c r="U12" s="290" t="str">
        <x:f>IF(COUNTA($A12:$M12)=0,"",IF(OR(LOWER($F12&amp;"")="subscription",LOWER($F12&amp;"")="membership"),"Subscription",IF(LOWER($L12&amp;"")="yes","Disqualified",IF(OR(LOWER($F12&amp;"")="free game",LOWER($F12&amp;"")="free"),IF(AND(ISNUMBER($P12),ISNUMBER($H12),$P12&gt;$H12),"Profit","Free Game"),IF($P12="","",IF(ROUND(IFERROR(VALUE($P12),0)-IFERROR(VALUE($H12),0),2)&gt;0,"Profit","Draw"))))))</x:f>
      </x:c>
      <x:c r="V12" s="144" t="str">
        <x:f>IF(COUNTA($A12:$M12)=0,"",IF(OR($B12="",$C12="",$U12="Subscription"),"",IFERROR(ROUNDUP(($C12-$B12)/7,0),"")))</x:f>
      </x:c>
      <x:c r="W12" s="112" t="str">
        <x:f>IF(COUNTA($A12:$M12)=0,"",IF(OR($U12="Subscription",$U12=""),"",ROUND(IFERROR($Q12,0)-IFERROR($S12,0),2)))</x:f>
      </x:c>
      <x:c r="X12" s="144" t="str">
        <x:f>IF(COUNTA($A12:$M12)=0,"",IF(OR($U12="Subscription",$U12="Free Game",NOT(ISNUMBER($J12)),NOT(ISNUMBER($I12)),$J12=0,$I12=0,$I12&gt;$J12),"",$J12-$I12))</x:f>
      </x:c>
      <x:c r="Y12" s="116" t="str">
        <x:f>IF(COUNTA($A12:$M12)=0,"",IF(OR($U12="Subscription",$U12="Free Game",NOT(ISNUMBER($J12)),$J12=0,$X12=""),"",$X12/$J12))</x:f>
      </x:c>
      <x:c r="Z12" s="118" t="str">
        <x:f>IF(COUNTA($A12:$M12)=0,"",Instructions!$B$29+SUM($W$5:W12))</x:f>
      </x:c>
    </x:row>
    <x:row r="13" ht="30" customHeight="1">
      <x:c r="A13" s="477"/>
      <x:c r="B13" s="482"/>
      <x:c r="C13" s="482"/>
      <x:c r="D13" s="483"/>
      <x:c r="E13" s="483"/>
      <x:c r="F13" s="483"/>
      <x:c r="G13" s="484"/>
      <x:c r="H13" s="484"/>
      <x:c r="I13" s="485"/>
      <x:c r="J13" s="485"/>
      <x:c r="K13" s="484"/>
      <x:c r="L13" s="483"/>
      <x:c r="M13" s="477"/>
      <x:c r="N13" s="112" t="str">
        <x:f>IF(COUNTA($A13:$M13)=0,"",IF(OR(LOWER($F13&amp;"")="subscription",LOWER($F13&amp;"")="membership"),"",IF($G13="","",IF(ISNUMBER(SEARCH("non",LOWER($E13&amp;""))),$G13*0.85,$G13))))</x:f>
      </x:c>
      <x:c r="O13" s="112" t="str">
        <x:f>IF(COUNTA($A13:$M13)=0,"",IF(OR(LOWER($F13&amp;"")="subscription",LOWER($F13&amp;"")="membership"),"",IF(OR($N13="",$I13="",$I13=0),"",IFERROR($N13/$I13,""))))</x:f>
      </x:c>
      <x:c r="P13" s="112" t="str">
        <x:f>IF(COUNTA($A13:$M13)=0,"",IF(OR(LOWER($F13&amp;"")="subscription",LOWER($F13&amp;"")="membership"),"",IF(LOWER($L13&amp;"")="yes",0,IF($K13&lt;&gt;"",$K13,IF($O13&lt;&gt;"",$O13,"")))))</x:f>
      </x:c>
      <x:c r="Q13" s="112" t="str">
        <x:f>IF(COUNTA($A13:$M13)=0,"",IF(OR($U13="Subscription",$U13=""),"",IF($U13="Profit",ROUND($P13-$H13,2),0)))</x:f>
      </x:c>
      <x:c r="R13" s="112" t="str">
        <x:f>IF(COUNTA($A13:$M13)=0,"",IF(OR($U13="Subscription",$U13=""),"",IF($U13="Draw",$H13,0)))</x:f>
      </x:c>
      <x:c r="S13" s="112" t="str">
        <x:f>IF(COUNTA($A13:$M13)=0,"",IF(OR($U13="Subscription",$U13=""),"",IF($U13="Disqualified",$H13,0)))</x:f>
      </x:c>
      <x:c r="T13" s="116" t="str">
        <x:f>IF(COUNTA($A13:$M13)=0,"",IF(OR($U13="Subscription",$U13=""),"",IF($H13=0,0,IF($U13="Profit",$Q13/$H13,IF($U13="Disqualified",-$S13/$H13,0)))))</x:f>
      </x:c>
      <x:c r="U13" s="290" t="str">
        <x:f>IF(COUNTA($A13:$M13)=0,"",IF(OR(LOWER($F13&amp;"")="subscription",LOWER($F13&amp;"")="membership"),"Subscription",IF(LOWER($L13&amp;"")="yes","Disqualified",IF(OR(LOWER($F13&amp;"")="free game",LOWER($F13&amp;"")="free"),IF(AND(ISNUMBER($P13),ISNUMBER($H13),$P13&gt;$H13),"Profit","Free Game"),IF($P13="","",IF(ROUND(IFERROR(VALUE($P13),0)-IFERROR(VALUE($H13),0),2)&gt;0,"Profit","Draw"))))))</x:f>
      </x:c>
      <x:c r="V13" s="144" t="str">
        <x:f>IF(COUNTA($A13:$M13)=0,"",IF(OR($B13="",$C13="",$U13="Subscription"),"",IFERROR(ROUNDUP(($C13-$B13)/7,0),"")))</x:f>
      </x:c>
      <x:c r="W13" s="112" t="str">
        <x:f>IF(COUNTA($A13:$M13)=0,"",IF(OR($U13="Subscription",$U13=""),"",ROUND(IFERROR($Q13,0)-IFERROR($S13,0),2)))</x:f>
      </x:c>
      <x:c r="X13" s="144" t="str">
        <x:f>IF(COUNTA($A13:$M13)=0,"",IF(OR($U13="Subscription",$U13="Free Game",NOT(ISNUMBER($J13)),NOT(ISNUMBER($I13)),$J13=0,$I13=0,$I13&gt;$J13),"",$J13-$I13))</x:f>
      </x:c>
      <x:c r="Y13" s="116" t="str">
        <x:f>IF(COUNTA($A13:$M13)=0,"",IF(OR($U13="Subscription",$U13="Free Game",NOT(ISNUMBER($J13)),$J13=0,$X13=""),"",$X13/$J13))</x:f>
      </x:c>
      <x:c r="Z13" s="118" t="str">
        <x:f>IF(COUNTA($A13:$M13)=0,"",Instructions!$B$29+SUM($W$5:W13))</x:f>
      </x:c>
    </x:row>
    <x:row r="14" ht="30" customHeight="1">
      <x:c r="A14" s="477"/>
      <x:c r="B14" s="482"/>
      <x:c r="C14" s="482"/>
      <x:c r="D14" s="483"/>
      <x:c r="E14" s="483"/>
      <x:c r="F14" s="483"/>
      <x:c r="G14" s="484"/>
      <x:c r="H14" s="484"/>
      <x:c r="I14" s="485"/>
      <x:c r="J14" s="485"/>
      <x:c r="K14" s="484"/>
      <x:c r="L14" s="483"/>
      <x:c r="M14" s="477"/>
      <x:c r="N14" s="112" t="str">
        <x:f>IF(COUNTA($A14:$M14)=0,"",IF(OR(LOWER($F14&amp;"")="subscription",LOWER($F14&amp;"")="membership"),"",IF($G14="","",IF(ISNUMBER(SEARCH("non",LOWER($E14&amp;""))),$G14*0.85,$G14))))</x:f>
      </x:c>
      <x:c r="O14" s="112" t="str">
        <x:f>IF(COUNTA($A14:$M14)=0,"",IF(OR(LOWER($F14&amp;"")="subscription",LOWER($F14&amp;"")="membership"),"",IF(OR($N14="",$I14="",$I14=0),"",IFERROR($N14/$I14,""))))</x:f>
      </x:c>
      <x:c r="P14" s="112" t="str">
        <x:f>IF(COUNTA($A14:$M14)=0,"",IF(OR(LOWER($F14&amp;"")="subscription",LOWER($F14&amp;"")="membership"),"",IF(LOWER($L14&amp;"")="yes",0,IF($K14&lt;&gt;"",$K14,IF($O14&lt;&gt;"",$O14,"")))))</x:f>
      </x:c>
      <x:c r="Q14" s="112" t="str">
        <x:f>IF(COUNTA($A14:$M14)=0,"",IF(OR($U14="Subscription",$U14=""),"",IF($U14="Profit",ROUND($P14-$H14,2),0)))</x:f>
      </x:c>
      <x:c r="R14" s="112" t="str">
        <x:f>IF(COUNTA($A14:$M14)=0,"",IF(OR($U14="Subscription",$U14=""),"",IF($U14="Draw",$H14,0)))</x:f>
      </x:c>
      <x:c r="S14" s="112" t="str">
        <x:f>IF(COUNTA($A14:$M14)=0,"",IF(OR($U14="Subscription",$U14=""),"",IF($U14="Disqualified",$H14,0)))</x:f>
      </x:c>
      <x:c r="T14" s="116" t="str">
        <x:f>IF(COUNTA($A14:$M14)=0,"",IF(OR($U14="Subscription",$U14=""),"",IF($H14=0,0,IF($U14="Profit",$Q14/$H14,IF($U14="Disqualified",-$S14/$H14,0)))))</x:f>
      </x:c>
      <x:c r="U14" s="290" t="str">
        <x:f>IF(COUNTA($A14:$M14)=0,"",IF(OR(LOWER($F14&amp;"")="subscription",LOWER($F14&amp;"")="membership"),"Subscription",IF(LOWER($L14&amp;"")="yes","Disqualified",IF(OR(LOWER($F14&amp;"")="free game",LOWER($F14&amp;"")="free"),IF(AND(ISNUMBER($P14),ISNUMBER($H14),$P14&gt;$H14),"Profit","Free Game"),IF($P14="","",IF(ROUND(IFERROR(VALUE($P14),0)-IFERROR(VALUE($H14),0),2)&gt;0,"Profit","Draw"))))))</x:f>
      </x:c>
      <x:c r="V14" s="144" t="str">
        <x:f>IF(COUNTA($A14:$M14)=0,"",IF(OR($B14="",$C14="",$U14="Subscription"),"",IFERROR(ROUNDUP(($C14-$B14)/7,0),"")))</x:f>
      </x:c>
      <x:c r="W14" s="112" t="str">
        <x:f>IF(COUNTA($A14:$M14)=0,"",IF(OR($U14="Subscription",$U14=""),"",ROUND(IFERROR($Q14,0)-IFERROR($S14,0),2)))</x:f>
      </x:c>
      <x:c r="X14" s="144" t="str">
        <x:f>IF(COUNTA($A14:$M14)=0,"",IF(OR($U14="Subscription",$U14="Free Game",NOT(ISNUMBER($J14)),NOT(ISNUMBER($I14)),$J14=0,$I14=0,$I14&gt;$J14),"",$J14-$I14))</x:f>
      </x:c>
      <x:c r="Y14" s="116" t="str">
        <x:f>IF(COUNTA($A14:$M14)=0,"",IF(OR($U14="Subscription",$U14="Free Game",NOT(ISNUMBER($J14)),$J14=0,$X14=""),"",$X14/$J14))</x:f>
      </x:c>
      <x:c r="Z14" s="118" t="str">
        <x:f>IF(COUNTA($A14:$M14)=0,"",Instructions!$B$29+SUM($W$5:W14))</x:f>
      </x:c>
    </x:row>
    <x:row r="15" ht="30" customHeight="1">
      <x:c r="A15" s="477"/>
      <x:c r="B15" s="482"/>
      <x:c r="C15" s="482"/>
      <x:c r="D15" s="483"/>
      <x:c r="E15" s="483"/>
      <x:c r="F15" s="483"/>
      <x:c r="G15" s="484"/>
      <x:c r="H15" s="484"/>
      <x:c r="I15" s="485"/>
      <x:c r="J15" s="485"/>
      <x:c r="K15" s="484"/>
      <x:c r="L15" s="483"/>
      <x:c r="M15" s="477"/>
      <x:c r="N15" s="112" t="str">
        <x:f>IF(COUNTA($A15:$M15)=0,"",IF(OR(LOWER($F15&amp;"")="subscription",LOWER($F15&amp;"")="membership"),"",IF($G15="","",IF(ISNUMBER(SEARCH("non",LOWER($E15&amp;""))),$G15*0.85,$G15))))</x:f>
      </x:c>
      <x:c r="O15" s="112" t="str">
        <x:f>IF(COUNTA($A15:$M15)=0,"",IF(OR(LOWER($F15&amp;"")="subscription",LOWER($F15&amp;"")="membership"),"",IF(OR($N15="",$I15="",$I15=0),"",IFERROR($N15/$I15,""))))</x:f>
      </x:c>
      <x:c r="P15" s="112" t="str">
        <x:f>IF(COUNTA($A15:$M15)=0,"",IF(OR(LOWER($F15&amp;"")="subscription",LOWER($F15&amp;"")="membership"),"",IF(LOWER($L15&amp;"")="yes",0,IF($K15&lt;&gt;"",$K15,IF($O15&lt;&gt;"",$O15,"")))))</x:f>
      </x:c>
      <x:c r="Q15" s="112" t="str">
        <x:f>IF(COUNTA($A15:$M15)=0,"",IF(OR($U15="Subscription",$U15=""),"",IF($U15="Profit",ROUND($P15-$H15,2),0)))</x:f>
      </x:c>
      <x:c r="R15" s="112" t="str">
        <x:f>IF(COUNTA($A15:$M15)=0,"",IF(OR($U15="Subscription",$U15=""),"",IF($U15="Draw",$H15,0)))</x:f>
      </x:c>
      <x:c r="S15" s="112" t="str">
        <x:f>IF(COUNTA($A15:$M15)=0,"",IF(OR($U15="Subscription",$U15=""),"",IF($U15="Disqualified",$H15,0)))</x:f>
      </x:c>
      <x:c r="T15" s="116" t="str">
        <x:f>IF(COUNTA($A15:$M15)=0,"",IF(OR($U15="Subscription",$U15=""),"",IF($H15=0,0,IF($U15="Profit",$Q15/$H15,IF($U15="Disqualified",-$S15/$H15,0)))))</x:f>
      </x:c>
      <x:c r="U15" s="290" t="str">
        <x:f>IF(COUNTA($A15:$M15)=0,"",IF(OR(LOWER($F15&amp;"")="subscription",LOWER($F15&amp;"")="membership"),"Subscription",IF(LOWER($L15&amp;"")="yes","Disqualified",IF(OR(LOWER($F15&amp;"")="free game",LOWER($F15&amp;"")="free"),IF(AND(ISNUMBER($P15),ISNUMBER($H15),$P15&gt;$H15),"Profit","Free Game"),IF($P15="","",IF(ROUND(IFERROR(VALUE($P15),0)-IFERROR(VALUE($H15),0),2)&gt;0,"Profit","Draw"))))))</x:f>
      </x:c>
      <x:c r="V15" s="144" t="str">
        <x:f>IF(COUNTA($A15:$M15)=0,"",IF(OR($B15="",$C15="",$U15="Subscription"),"",IFERROR(ROUNDUP(($C15-$B15)/7,0),"")))</x:f>
      </x:c>
      <x:c r="W15" s="112" t="str">
        <x:f>IF(COUNTA($A15:$M15)=0,"",IF(OR($U15="Subscription",$U15=""),"",ROUND(IFERROR($Q15,0)-IFERROR($S15,0),2)))</x:f>
      </x:c>
      <x:c r="X15" s="144" t="str">
        <x:f>IF(COUNTA($A15:$M15)=0,"",IF(OR($U15="Subscription",$U15="Free Game",NOT(ISNUMBER($J15)),NOT(ISNUMBER($I15)),$J15=0,$I15=0,$I15&gt;$J15),"",$J15-$I15))</x:f>
      </x:c>
      <x:c r="Y15" s="116" t="str">
        <x:f>IF(COUNTA($A15:$M15)=0,"",IF(OR($U15="Subscription",$U15="Free Game",NOT(ISNUMBER($J15)),$J15=0,$X15=""),"",$X15/$J15))</x:f>
      </x:c>
      <x:c r="Z15" s="118" t="str">
        <x:f>IF(COUNTA($A15:$M15)=0,"",Instructions!$B$29+SUM($W$5:W15))</x:f>
      </x:c>
    </x:row>
    <x:row r="16" ht="30" customHeight="1">
      <x:c r="A16" s="477"/>
      <x:c r="B16" s="482"/>
      <x:c r="C16" s="482"/>
      <x:c r="D16" s="483"/>
      <x:c r="E16" s="483"/>
      <x:c r="F16" s="483"/>
      <x:c r="G16" s="484"/>
      <x:c r="H16" s="484"/>
      <x:c r="I16" s="485"/>
      <x:c r="J16" s="485"/>
      <x:c r="K16" s="484"/>
      <x:c r="L16" s="483"/>
      <x:c r="M16" s="477"/>
      <x:c r="N16" s="112" t="str">
        <x:f>IF(COUNTA($A16:$M16)=0,"",IF(OR(LOWER($F16&amp;"")="subscription",LOWER($F16&amp;"")="membership"),"",IF($G16="","",IF(ISNUMBER(SEARCH("non",LOWER($E16&amp;""))),$G16*0.85,$G16))))</x:f>
      </x:c>
      <x:c r="O16" s="112" t="str">
        <x:f>IF(COUNTA($A16:$M16)=0,"",IF(OR(LOWER($F16&amp;"")="subscription",LOWER($F16&amp;"")="membership"),"",IF(OR($N16="",$I16="",$I16=0),"",IFERROR($N16/$I16,""))))</x:f>
      </x:c>
      <x:c r="P16" s="112" t="str">
        <x:f>IF(COUNTA($A16:$M16)=0,"",IF(OR(LOWER($F16&amp;"")="subscription",LOWER($F16&amp;"")="membership"),"",IF(LOWER($L16&amp;"")="yes",0,IF($K16&lt;&gt;"",$K16,IF($O16&lt;&gt;"",$O16,"")))))</x:f>
      </x:c>
      <x:c r="Q16" s="112" t="str">
        <x:f>IF(COUNTA($A16:$M16)=0,"",IF(OR($U16="Subscription",$U16=""),"",IF($U16="Profit",ROUND($P16-$H16,2),0)))</x:f>
      </x:c>
      <x:c r="R16" s="112" t="str">
        <x:f>IF(COUNTA($A16:$M16)=0,"",IF(OR($U16="Subscription",$U16=""),"",IF($U16="Draw",$H16,0)))</x:f>
      </x:c>
      <x:c r="S16" s="112" t="str">
        <x:f>IF(COUNTA($A16:$M16)=0,"",IF(OR($U16="Subscription",$U16=""),"",IF($U16="Disqualified",$H16,0)))</x:f>
      </x:c>
      <x:c r="T16" s="116" t="str">
        <x:f>IF(COUNTA($A16:$M16)=0,"",IF(OR($U16="Subscription",$U16=""),"",IF($H16=0,0,IF($U16="Profit",$Q16/$H16,IF($U16="Disqualified",-$S16/$H16,0)))))</x:f>
      </x:c>
      <x:c r="U16" s="290" t="str">
        <x:f>IF(COUNTA($A16:$M16)=0,"",IF(OR(LOWER($F16&amp;"")="subscription",LOWER($F16&amp;"")="membership"),"Subscription",IF(LOWER($L16&amp;"")="yes","Disqualified",IF(OR(LOWER($F16&amp;"")="free game",LOWER($F16&amp;"")="free"),IF(AND(ISNUMBER($P16),ISNUMBER($H16),$P16&gt;$H16),"Profit","Free Game"),IF($P16="","",IF(ROUND(IFERROR(VALUE($P16),0)-IFERROR(VALUE($H16),0),2)&gt;0,"Profit","Draw"))))))</x:f>
      </x:c>
      <x:c r="V16" s="144" t="str">
        <x:f>IF(COUNTA($A16:$M16)=0,"",IF(OR($B16="",$C16="",$U16="Subscription"),"",IFERROR(ROUNDUP(($C16-$B16)/7,0),"")))</x:f>
      </x:c>
      <x:c r="W16" s="112" t="str">
        <x:f>IF(COUNTA($A16:$M16)=0,"",IF(OR($U16="Subscription",$U16=""),"",ROUND(IFERROR($Q16,0)-IFERROR($S16,0),2)))</x:f>
      </x:c>
      <x:c r="X16" s="144" t="str">
        <x:f>IF(COUNTA($A16:$M16)=0,"",IF(OR($U16="Subscription",$U16="Free Game",NOT(ISNUMBER($J16)),NOT(ISNUMBER($I16)),$J16=0,$I16=0,$I16&gt;$J16),"",$J16-$I16))</x:f>
      </x:c>
      <x:c r="Y16" s="116" t="str">
        <x:f>IF(COUNTA($A16:$M16)=0,"",IF(OR($U16="Subscription",$U16="Free Game",NOT(ISNUMBER($J16)),$J16=0,$X16=""),"",$X16/$J16))</x:f>
      </x:c>
      <x:c r="Z16" s="118" t="str">
        <x:f>IF(COUNTA($A16:$M16)=0,"",Instructions!$B$29+SUM($W$5:W16))</x:f>
      </x:c>
    </x:row>
    <x:row r="17" ht="30" customHeight="1">
      <x:c r="A17" s="477"/>
      <x:c r="B17" s="482"/>
      <x:c r="C17" s="482"/>
      <x:c r="D17" s="483"/>
      <x:c r="E17" s="483"/>
      <x:c r="F17" s="483"/>
      <x:c r="G17" s="484"/>
      <x:c r="H17" s="484"/>
      <x:c r="I17" s="485"/>
      <x:c r="J17" s="485"/>
      <x:c r="K17" s="484"/>
      <x:c r="L17" s="483"/>
      <x:c r="M17" s="477"/>
      <x:c r="N17" s="112" t="str">
        <x:f>IF(COUNTA($A17:$M17)=0,"",IF(OR(LOWER($F17&amp;"")="subscription",LOWER($F17&amp;"")="membership"),"",IF($G17="","",IF(ISNUMBER(SEARCH("non",LOWER($E17&amp;""))),$G17*0.85,$G17))))</x:f>
      </x:c>
      <x:c r="O17" s="112" t="str">
        <x:f>IF(COUNTA($A17:$M17)=0,"",IF(OR(LOWER($F17&amp;"")="subscription",LOWER($F17&amp;"")="membership"),"",IF(OR($N17="",$I17="",$I17=0),"",IFERROR($N17/$I17,""))))</x:f>
      </x:c>
      <x:c r="P17" s="112" t="str">
        <x:f>IF(COUNTA($A17:$M17)=0,"",IF(OR(LOWER($F17&amp;"")="subscription",LOWER($F17&amp;"")="membership"),"",IF(LOWER($L17&amp;"")="yes",0,IF($K17&lt;&gt;"",$K17,IF($O17&lt;&gt;"",$O17,"")))))</x:f>
      </x:c>
      <x:c r="Q17" s="112" t="str">
        <x:f>IF(COUNTA($A17:$M17)=0,"",IF(OR($U17="Subscription",$U17=""),"",IF($U17="Profit",ROUND($P17-$H17,2),0)))</x:f>
      </x:c>
      <x:c r="R17" s="112" t="str">
        <x:f>IF(COUNTA($A17:$M17)=0,"",IF(OR($U17="Subscription",$U17=""),"",IF($U17="Draw",$H17,0)))</x:f>
      </x:c>
      <x:c r="S17" s="112" t="str">
        <x:f>IF(COUNTA($A17:$M17)=0,"",IF(OR($U17="Subscription",$U17=""),"",IF($U17="Disqualified",$H17,0)))</x:f>
      </x:c>
      <x:c r="T17" s="116" t="str">
        <x:f>IF(COUNTA($A17:$M17)=0,"",IF(OR($U17="Subscription",$U17=""),"",IF($H17=0,0,IF($U17="Profit",$Q17/$H17,IF($U17="Disqualified",-$S17/$H17,0)))))</x:f>
      </x:c>
      <x:c r="U17" s="290" t="str">
        <x:f>IF(COUNTA($A17:$M17)=0,"",IF(OR(LOWER($F17&amp;"")="subscription",LOWER($F17&amp;"")="membership"),"Subscription",IF(LOWER($L17&amp;"")="yes","Disqualified",IF(OR(LOWER($F17&amp;"")="free game",LOWER($F17&amp;"")="free"),IF(AND(ISNUMBER($P17),ISNUMBER($H17),$P17&gt;$H17),"Profit","Free Game"),IF($P17="","",IF(ROUND(IFERROR(VALUE($P17),0)-IFERROR(VALUE($H17),0),2)&gt;0,"Profit","Draw"))))))</x:f>
      </x:c>
      <x:c r="V17" s="144" t="str">
        <x:f>IF(COUNTA($A17:$M17)=0,"",IF(OR($B17="",$C17="",$U17="Subscription"),"",IFERROR(ROUNDUP(($C17-$B17)/7,0),"")))</x:f>
      </x:c>
      <x:c r="W17" s="112" t="str">
        <x:f>IF(COUNTA($A17:$M17)=0,"",IF(OR($U17="Subscription",$U17=""),"",ROUND(IFERROR($Q17,0)-IFERROR($S17,0),2)))</x:f>
      </x:c>
      <x:c r="X17" s="144" t="str">
        <x:f>IF(COUNTA($A17:$M17)=0,"",IF(OR($U17="Subscription",$U17="Free Game",NOT(ISNUMBER($J17)),NOT(ISNUMBER($I17)),$J17=0,$I17=0,$I17&gt;$J17),"",$J17-$I17))</x:f>
      </x:c>
      <x:c r="Y17" s="116" t="str">
        <x:f>IF(COUNTA($A17:$M17)=0,"",IF(OR($U17="Subscription",$U17="Free Game",NOT(ISNUMBER($J17)),$J17=0,$X17=""),"",$X17/$J17))</x:f>
      </x:c>
      <x:c r="Z17" s="118" t="str">
        <x:f>IF(COUNTA($A17:$M17)=0,"",Instructions!$B$29+SUM($W$5:W17))</x:f>
      </x:c>
    </x:row>
    <x:row r="18" ht="30" customHeight="1">
      <x:c r="A18" s="477"/>
      <x:c r="B18" s="482"/>
      <x:c r="C18" s="482"/>
      <x:c r="D18" s="483"/>
      <x:c r="E18" s="483"/>
      <x:c r="F18" s="483"/>
      <x:c r="G18" s="484"/>
      <x:c r="H18" s="484"/>
      <x:c r="I18" s="485"/>
      <x:c r="J18" s="485"/>
      <x:c r="K18" s="484"/>
      <x:c r="L18" s="483"/>
      <x:c r="M18" s="477"/>
      <x:c r="N18" s="112" t="str">
        <x:f>IF(COUNTA($A18:$M18)=0,"",IF(OR(LOWER($F18&amp;"")="subscription",LOWER($F18&amp;"")="membership"),"",IF($G18="","",IF(ISNUMBER(SEARCH("non",LOWER($E18&amp;""))),$G18*0.85,$G18))))</x:f>
      </x:c>
      <x:c r="O18" s="112" t="str">
        <x:f>IF(COUNTA($A18:$M18)=0,"",IF(OR(LOWER($F18&amp;"")="subscription",LOWER($F18&amp;"")="membership"),"",IF(OR($N18="",$I18="",$I18=0),"",IFERROR($N18/$I18,""))))</x:f>
      </x:c>
      <x:c r="P18" s="112" t="str">
        <x:f>IF(COUNTA($A18:$M18)=0,"",IF(OR(LOWER($F18&amp;"")="subscription",LOWER($F18&amp;"")="membership"),"",IF(LOWER($L18&amp;"")="yes",0,IF($K18&lt;&gt;"",$K18,IF($O18&lt;&gt;"",$O18,"")))))</x:f>
      </x:c>
      <x:c r="Q18" s="112" t="str">
        <x:f>IF(COUNTA($A18:$M18)=0,"",IF(OR($U18="Subscription",$U18=""),"",IF($U18="Profit",ROUND($P18-$H18,2),0)))</x:f>
      </x:c>
      <x:c r="R18" s="112" t="str">
        <x:f>IF(COUNTA($A18:$M18)=0,"",IF(OR($U18="Subscription",$U18=""),"",IF($U18="Draw",$H18,0)))</x:f>
      </x:c>
      <x:c r="S18" s="112" t="str">
        <x:f>IF(COUNTA($A18:$M18)=0,"",IF(OR($U18="Subscription",$U18=""),"",IF($U18="Disqualified",$H18,0)))</x:f>
      </x:c>
      <x:c r="T18" s="116" t="str">
        <x:f>IF(COUNTA($A18:$M18)=0,"",IF(OR($U18="Subscription",$U18=""),"",IF($H18=0,0,IF($U18="Profit",$Q18/$H18,IF($U18="Disqualified",-$S18/$H18,0)))))</x:f>
      </x:c>
      <x:c r="U18" s="290" t="str">
        <x:f>IF(COUNTA($A18:$M18)=0,"",IF(OR(LOWER($F18&amp;"")="subscription",LOWER($F18&amp;"")="membership"),"Subscription",IF(LOWER($L18&amp;"")="yes","Disqualified",IF(OR(LOWER($F18&amp;"")="free game",LOWER($F18&amp;"")="free"),IF(AND(ISNUMBER($P18),ISNUMBER($H18),$P18&gt;$H18),"Profit","Free Game"),IF($P18="","",IF(ROUND(IFERROR(VALUE($P18),0)-IFERROR(VALUE($H18),0),2)&gt;0,"Profit","Draw"))))))</x:f>
      </x:c>
      <x:c r="V18" s="144" t="str">
        <x:f>IF(COUNTA($A18:$M18)=0,"",IF(OR($B18="",$C18="",$U18="Subscription"),"",IFERROR(ROUNDUP(($C18-$B18)/7,0),"")))</x:f>
      </x:c>
      <x:c r="W18" s="112" t="str">
        <x:f>IF(COUNTA($A18:$M18)=0,"",IF(OR($U18="Subscription",$U18=""),"",ROUND(IFERROR($Q18,0)-IFERROR($S18,0),2)))</x:f>
      </x:c>
      <x:c r="X18" s="144" t="str">
        <x:f>IF(COUNTA($A18:$M18)=0,"",IF(OR($U18="Subscription",$U18="Free Game",NOT(ISNUMBER($J18)),NOT(ISNUMBER($I18)),$J18=0,$I18=0,$I18&gt;$J18),"",$J18-$I18))</x:f>
      </x:c>
      <x:c r="Y18" s="116" t="str">
        <x:f>IF(COUNTA($A18:$M18)=0,"",IF(OR($U18="Subscription",$U18="Free Game",NOT(ISNUMBER($J18)),$J18=0,$X18=""),"",$X18/$J18))</x:f>
      </x:c>
      <x:c r="Z18" s="118" t="str">
        <x:f>IF(COUNTA($A18:$M18)=0,"",Instructions!$B$29+SUM($W$5:W18))</x:f>
      </x:c>
    </x:row>
    <x:row r="19" ht="30" customHeight="1">
      <x:c r="A19" s="477"/>
      <x:c r="B19" s="482"/>
      <x:c r="C19" s="482"/>
      <x:c r="D19" s="483"/>
      <x:c r="E19" s="483"/>
      <x:c r="F19" s="483"/>
      <x:c r="G19" s="484"/>
      <x:c r="H19" s="484"/>
      <x:c r="I19" s="485"/>
      <x:c r="J19" s="485"/>
      <x:c r="K19" s="484"/>
      <x:c r="L19" s="483"/>
      <x:c r="M19" s="477"/>
      <x:c r="N19" s="112" t="str">
        <x:f>IF(COUNTA($A19:$M19)=0,"",IF(OR(LOWER($F19&amp;"")="subscription",LOWER($F19&amp;"")="membership"),"",IF($G19="","",IF(ISNUMBER(SEARCH("non",LOWER($E19&amp;""))),$G19*0.85,$G19))))</x:f>
      </x:c>
      <x:c r="O19" s="112" t="str">
        <x:f>IF(COUNTA($A19:$M19)=0,"",IF(OR(LOWER($F19&amp;"")="subscription",LOWER($F19&amp;"")="membership"),"",IF(OR($N19="",$I19="",$I19=0),"",IFERROR($N19/$I19,""))))</x:f>
      </x:c>
      <x:c r="P19" s="112" t="str">
        <x:f>IF(COUNTA($A19:$M19)=0,"",IF(OR(LOWER($F19&amp;"")="subscription",LOWER($F19&amp;"")="membership"),"",IF(LOWER($L19&amp;"")="yes",0,IF($K19&lt;&gt;"",$K19,IF($O19&lt;&gt;"",$O19,"")))))</x:f>
      </x:c>
      <x:c r="Q19" s="112" t="str">
        <x:f>IF(COUNTA($A19:$M19)=0,"",IF(OR($U19="Subscription",$U19=""),"",IF($U19="Profit",ROUND($P19-$H19,2),0)))</x:f>
      </x:c>
      <x:c r="R19" s="112" t="str">
        <x:f>IF(COUNTA($A19:$M19)=0,"",IF(OR($U19="Subscription",$U19=""),"",IF($U19="Draw",$H19,0)))</x:f>
      </x:c>
      <x:c r="S19" s="112" t="str">
        <x:f>IF(COUNTA($A19:$M19)=0,"",IF(OR($U19="Subscription",$U19=""),"",IF($U19="Disqualified",$H19,0)))</x:f>
      </x:c>
      <x:c r="T19" s="116" t="str">
        <x:f>IF(COUNTA($A19:$M19)=0,"",IF(OR($U19="Subscription",$U19=""),"",IF($H19=0,0,IF($U19="Profit",$Q19/$H19,IF($U19="Disqualified",-$S19/$H19,0)))))</x:f>
      </x:c>
      <x:c r="U19" s="290" t="str">
        <x:f>IF(COUNTA($A19:$M19)=0,"",IF(OR(LOWER($F19&amp;"")="subscription",LOWER($F19&amp;"")="membership"),"Subscription",IF(LOWER($L19&amp;"")="yes","Disqualified",IF(OR(LOWER($F19&amp;"")="free game",LOWER($F19&amp;"")="free"),IF(AND(ISNUMBER($P19),ISNUMBER($H19),$P19&gt;$H19),"Profit","Free Game"),IF($P19="","",IF(ROUND(IFERROR(VALUE($P19),0)-IFERROR(VALUE($H19),0),2)&gt;0,"Profit","Draw"))))))</x:f>
      </x:c>
      <x:c r="V19" s="144" t="str">
        <x:f>IF(COUNTA($A19:$M19)=0,"",IF(OR($B19="",$C19="",$U19="Subscription"),"",IFERROR(ROUNDUP(($C19-$B19)/7,0),"")))</x:f>
      </x:c>
      <x:c r="W19" s="112" t="str">
        <x:f>IF(COUNTA($A19:$M19)=0,"",IF(OR($U19="Subscription",$U19=""),"",ROUND(IFERROR($Q19,0)-IFERROR($S19,0),2)))</x:f>
      </x:c>
      <x:c r="X19" s="144" t="str">
        <x:f>IF(COUNTA($A19:$M19)=0,"",IF(OR($U19="Subscription",$U19="Free Game",NOT(ISNUMBER($J19)),NOT(ISNUMBER($I19)),$J19=0,$I19=0,$I19&gt;$J19),"",$J19-$I19))</x:f>
      </x:c>
      <x:c r="Y19" s="116" t="str">
        <x:f>IF(COUNTA($A19:$M19)=0,"",IF(OR($U19="Subscription",$U19="Free Game",NOT(ISNUMBER($J19)),$J19=0,$X19=""),"",$X19/$J19))</x:f>
      </x:c>
      <x:c r="Z19" s="118" t="str">
        <x:f>IF(COUNTA($A19:$M19)=0,"",Instructions!$B$29+SUM($W$5:W19))</x:f>
      </x:c>
    </x:row>
    <x:row r="20" ht="30" customHeight="1">
      <x:c r="A20" s="477"/>
      <x:c r="B20" s="482"/>
      <x:c r="C20" s="482"/>
      <x:c r="D20" s="483"/>
      <x:c r="E20" s="483"/>
      <x:c r="F20" s="483"/>
      <x:c r="G20" s="484"/>
      <x:c r="H20" s="484"/>
      <x:c r="I20" s="485"/>
      <x:c r="J20" s="485"/>
      <x:c r="K20" s="484"/>
      <x:c r="L20" s="483"/>
      <x:c r="M20" s="477"/>
      <x:c r="N20" s="112" t="str">
        <x:f>IF(COUNTA($A20:$M20)=0,"",IF(OR(LOWER($F20&amp;"")="subscription",LOWER($F20&amp;"")="membership"),"",IF($G20="","",IF(ISNUMBER(SEARCH("non",LOWER($E20&amp;""))),$G20*0.85,$G20))))</x:f>
      </x:c>
      <x:c r="O20" s="112" t="str">
        <x:f>IF(COUNTA($A20:$M20)=0,"",IF(OR(LOWER($F20&amp;"")="subscription",LOWER($F20&amp;"")="membership"),"",IF(OR($N20="",$I20="",$I20=0),"",IFERROR($N20/$I20,""))))</x:f>
      </x:c>
      <x:c r="P20" s="112" t="str">
        <x:f>IF(COUNTA($A20:$M20)=0,"",IF(OR(LOWER($F20&amp;"")="subscription",LOWER($F20&amp;"")="membership"),"",IF(LOWER($L20&amp;"")="yes",0,IF($K20&lt;&gt;"",$K20,IF($O20&lt;&gt;"",$O20,"")))))</x:f>
      </x:c>
      <x:c r="Q20" s="112" t="str">
        <x:f>IF(COUNTA($A20:$M20)=0,"",IF(OR($U20="Subscription",$U20=""),"",IF($U20="Profit",ROUND($P20-$H20,2),0)))</x:f>
      </x:c>
      <x:c r="R20" s="112" t="str">
        <x:f>IF(COUNTA($A20:$M20)=0,"",IF(OR($U20="Subscription",$U20=""),"",IF($U20="Draw",$H20,0)))</x:f>
      </x:c>
      <x:c r="S20" s="112" t="str">
        <x:f>IF(COUNTA($A20:$M20)=0,"",IF(OR($U20="Subscription",$U20=""),"",IF($U20="Disqualified",$H20,0)))</x:f>
      </x:c>
      <x:c r="T20" s="116" t="str">
        <x:f>IF(COUNTA($A20:$M20)=0,"",IF(OR($U20="Subscription",$U20=""),"",IF($H20=0,0,IF($U20="Profit",$Q20/$H20,IF($U20="Disqualified",-$S20/$H20,0)))))</x:f>
      </x:c>
      <x:c r="U20" s="290" t="str">
        <x:f>IF(COUNTA($A20:$M20)=0,"",IF(OR(LOWER($F20&amp;"")="subscription",LOWER($F20&amp;"")="membership"),"Subscription",IF(LOWER($L20&amp;"")="yes","Disqualified",IF(OR(LOWER($F20&amp;"")="free game",LOWER($F20&amp;"")="free"),IF(AND(ISNUMBER($P20),ISNUMBER($H20),$P20&gt;$H20),"Profit","Free Game"),IF($P20="","",IF(ROUND(IFERROR(VALUE($P20),0)-IFERROR(VALUE($H20),0),2)&gt;0,"Profit","Draw"))))))</x:f>
      </x:c>
      <x:c r="V20" s="144" t="str">
        <x:f>IF(COUNTA($A20:$M20)=0,"",IF(OR($B20="",$C20="",$U20="Subscription"),"",IFERROR(ROUNDUP(($C20-$B20)/7,0),"")))</x:f>
      </x:c>
      <x:c r="W20" s="112" t="str">
        <x:f>IF(COUNTA($A20:$M20)=0,"",IF(OR($U20="Subscription",$U20=""),"",ROUND(IFERROR($Q20,0)-IFERROR($S20,0),2)))</x:f>
      </x:c>
      <x:c r="X20" s="144" t="str">
        <x:f>IF(COUNTA($A20:$M20)=0,"",IF(OR($U20="Subscription",$U20="Free Game",NOT(ISNUMBER($J20)),NOT(ISNUMBER($I20)),$J20=0,$I20=0,$I20&gt;$J20),"",$J20-$I20))</x:f>
      </x:c>
      <x:c r="Y20" s="116" t="str">
        <x:f>IF(COUNTA($A20:$M20)=0,"",IF(OR($U20="Subscription",$U20="Free Game",NOT(ISNUMBER($J20)),$J20=0,$X20=""),"",$X20/$J20))</x:f>
      </x:c>
      <x:c r="Z20" s="118" t="str">
        <x:f>IF(COUNTA($A20:$M20)=0,"",Instructions!$B$29+SUM($W$5:W20))</x:f>
      </x:c>
    </x:row>
    <x:row r="21" ht="30" customHeight="1">
      <x:c r="A21" s="477"/>
      <x:c r="B21" s="482"/>
      <x:c r="C21" s="482"/>
      <x:c r="D21" s="483"/>
      <x:c r="E21" s="483"/>
      <x:c r="F21" s="483"/>
      <x:c r="G21" s="484"/>
      <x:c r="H21" s="484"/>
      <x:c r="I21" s="485"/>
      <x:c r="J21" s="485"/>
      <x:c r="K21" s="484"/>
      <x:c r="L21" s="483"/>
      <x:c r="M21" s="477"/>
      <x:c r="N21" s="112" t="str">
        <x:f>IF(COUNTA($A21:$M21)=0,"",IF(OR(LOWER($F21&amp;"")="subscription",LOWER($F21&amp;"")="membership"),"",IF($G21="","",IF(ISNUMBER(SEARCH("non",LOWER($E21&amp;""))),$G21*0.85,$G21))))</x:f>
      </x:c>
      <x:c r="O21" s="112" t="str">
        <x:f>IF(COUNTA($A21:$M21)=0,"",IF(OR(LOWER($F21&amp;"")="subscription",LOWER($F21&amp;"")="membership"),"",IF(OR($N21="",$I21="",$I21=0),"",IFERROR($N21/$I21,""))))</x:f>
      </x:c>
      <x:c r="P21" s="112" t="str">
        <x:f>IF(COUNTA($A21:$M21)=0,"",IF(OR(LOWER($F21&amp;"")="subscription",LOWER($F21&amp;"")="membership"),"",IF(LOWER($L21&amp;"")="yes",0,IF($K21&lt;&gt;"",$K21,IF($O21&lt;&gt;"",$O21,"")))))</x:f>
      </x:c>
      <x:c r="Q21" s="112" t="str">
        <x:f>IF(COUNTA($A21:$M21)=0,"",IF(OR($U21="Subscription",$U21=""),"",IF($U21="Profit",ROUND($P21-$H21,2),0)))</x:f>
      </x:c>
      <x:c r="R21" s="112" t="str">
        <x:f>IF(COUNTA($A21:$M21)=0,"",IF(OR($U21="Subscription",$U21=""),"",IF($U21="Draw",$H21,0)))</x:f>
      </x:c>
      <x:c r="S21" s="112" t="str">
        <x:f>IF(COUNTA($A21:$M21)=0,"",IF(OR($U21="Subscription",$U21=""),"",IF($U21="Disqualified",$H21,0)))</x:f>
      </x:c>
      <x:c r="T21" s="116" t="str">
        <x:f>IF(COUNTA($A21:$M21)=0,"",IF(OR($U21="Subscription",$U21=""),"",IF($H21=0,0,IF($U21="Profit",$Q21/$H21,IF($U21="Disqualified",-$S21/$H21,0)))))</x:f>
      </x:c>
      <x:c r="U21" s="290" t="str">
        <x:f>IF(COUNTA($A21:$M21)=0,"",IF(OR(LOWER($F21&amp;"")="subscription",LOWER($F21&amp;"")="membership"),"Subscription",IF(LOWER($L21&amp;"")="yes","Disqualified",IF(OR(LOWER($F21&amp;"")="free game",LOWER($F21&amp;"")="free"),IF(AND(ISNUMBER($P21),ISNUMBER($H21),$P21&gt;$H21),"Profit","Free Game"),IF($P21="","",IF(ROUND(IFERROR(VALUE($P21),0)-IFERROR(VALUE($H21),0),2)&gt;0,"Profit","Draw"))))))</x:f>
      </x:c>
      <x:c r="V21" s="144" t="str">
        <x:f>IF(COUNTA($A21:$M21)=0,"",IF(OR($B21="",$C21="",$U21="Subscription"),"",IFERROR(ROUNDUP(($C21-$B21)/7,0),"")))</x:f>
      </x:c>
      <x:c r="W21" s="112" t="str">
        <x:f>IF(COUNTA($A21:$M21)=0,"",IF(OR($U21="Subscription",$U21=""),"",ROUND(IFERROR($Q21,0)-IFERROR($S21,0),2)))</x:f>
      </x:c>
      <x:c r="X21" s="144" t="str">
        <x:f>IF(COUNTA($A21:$M21)=0,"",IF(OR($U21="Subscription",$U21="Free Game",NOT(ISNUMBER($J21)),NOT(ISNUMBER($I21)),$J21=0,$I21=0,$I21&gt;$J21),"",$J21-$I21))</x:f>
      </x:c>
      <x:c r="Y21" s="116" t="str">
        <x:f>IF(COUNTA($A21:$M21)=0,"",IF(OR($U21="Subscription",$U21="Free Game",NOT(ISNUMBER($J21)),$J21=0,$X21=""),"",$X21/$J21))</x:f>
      </x:c>
      <x:c r="Z21" s="118" t="str">
        <x:f>IF(COUNTA($A21:$M21)=0,"",Instructions!$B$29+SUM($W$5:W21))</x:f>
      </x:c>
    </x:row>
    <x:row r="22" ht="30" customHeight="1">
      <x:c r="A22" s="477"/>
      <x:c r="B22" s="482"/>
      <x:c r="C22" s="482"/>
      <x:c r="D22" s="483"/>
      <x:c r="E22" s="483"/>
      <x:c r="F22" s="483"/>
      <x:c r="G22" s="484"/>
      <x:c r="H22" s="484"/>
      <x:c r="I22" s="485"/>
      <x:c r="J22" s="485"/>
      <x:c r="K22" s="484"/>
      <x:c r="L22" s="483"/>
      <x:c r="M22" s="477"/>
      <x:c r="N22" s="112" t="str">
        <x:f>IF(COUNTA($A22:$M22)=0,"",IF(OR(LOWER($F22&amp;"")="subscription",LOWER($F22&amp;"")="membership"),"",IF($G22="","",IF(ISNUMBER(SEARCH("non",LOWER($E22&amp;""))),$G22*0.85,$G22))))</x:f>
      </x:c>
      <x:c r="O22" s="112" t="str">
        <x:f>IF(COUNTA($A22:$M22)=0,"",IF(OR(LOWER($F22&amp;"")="subscription",LOWER($F22&amp;"")="membership"),"",IF(OR($N22="",$I22="",$I22=0),"",IFERROR($N22/$I22,""))))</x:f>
      </x:c>
      <x:c r="P22" s="112" t="str">
        <x:f>IF(COUNTA($A22:$M22)=0,"",IF(OR(LOWER($F22&amp;"")="subscription",LOWER($F22&amp;"")="membership"),"",IF(LOWER($L22&amp;"")="yes",0,IF($K22&lt;&gt;"",$K22,IF($O22&lt;&gt;"",$O22,"")))))</x:f>
      </x:c>
      <x:c r="Q22" s="112" t="str">
        <x:f>IF(COUNTA($A22:$M22)=0,"",IF(OR($U22="Subscription",$U22=""),"",IF($U22="Profit",ROUND($P22-$H22,2),0)))</x:f>
      </x:c>
      <x:c r="R22" s="112" t="str">
        <x:f>IF(COUNTA($A22:$M22)=0,"",IF(OR($U22="Subscription",$U22=""),"",IF($U22="Draw",$H22,0)))</x:f>
      </x:c>
      <x:c r="S22" s="112" t="str">
        <x:f>IF(COUNTA($A22:$M22)=0,"",IF(OR($U22="Subscription",$U22=""),"",IF($U22="Disqualified",$H22,0)))</x:f>
      </x:c>
      <x:c r="T22" s="116" t="str">
        <x:f>IF(COUNTA($A22:$M22)=0,"",IF(OR($U22="Subscription",$U22=""),"",IF($H22=0,0,IF($U22="Profit",$Q22/$H22,IF($U22="Disqualified",-$S22/$H22,0)))))</x:f>
      </x:c>
      <x:c r="U22" s="290" t="str">
        <x:f>IF(COUNTA($A22:$M22)=0,"",IF(OR(LOWER($F22&amp;"")="subscription",LOWER($F22&amp;"")="membership"),"Subscription",IF(LOWER($L22&amp;"")="yes","Disqualified",IF(OR(LOWER($F22&amp;"")="free game",LOWER($F22&amp;"")="free"),IF(AND(ISNUMBER($P22),ISNUMBER($H22),$P22&gt;$H22),"Profit","Free Game"),IF($P22="","",IF(ROUND(IFERROR(VALUE($P22),0)-IFERROR(VALUE($H22),0),2)&gt;0,"Profit","Draw"))))))</x:f>
      </x:c>
      <x:c r="V22" s="144" t="str">
        <x:f>IF(COUNTA($A22:$M22)=0,"",IF(OR($B22="",$C22="",$U22="Subscription"),"",IFERROR(ROUNDUP(($C22-$B22)/7,0),"")))</x:f>
      </x:c>
      <x:c r="W22" s="112" t="str">
        <x:f>IF(COUNTA($A22:$M22)=0,"",IF(OR($U22="Subscription",$U22=""),"",ROUND(IFERROR($Q22,0)-IFERROR($S22,0),2)))</x:f>
      </x:c>
      <x:c r="X22" s="144" t="str">
        <x:f>IF(COUNTA($A22:$M22)=0,"",IF(OR($U22="Subscription",$U22="Free Game",NOT(ISNUMBER($J22)),NOT(ISNUMBER($I22)),$J22=0,$I22=0,$I22&gt;$J22),"",$J22-$I22))</x:f>
      </x:c>
      <x:c r="Y22" s="116" t="str">
        <x:f>IF(COUNTA($A22:$M22)=0,"",IF(OR($U22="Subscription",$U22="Free Game",NOT(ISNUMBER($J22)),$J22=0,$X22=""),"",$X22/$J22))</x:f>
      </x:c>
      <x:c r="Z22" s="118" t="str">
        <x:f>IF(COUNTA($A22:$M22)=0,"",Instructions!$B$29+SUM($W$5:W22))</x:f>
      </x:c>
    </x:row>
    <x:row r="23" ht="30" customHeight="1">
      <x:c r="A23" s="477"/>
      <x:c r="B23" s="482"/>
      <x:c r="C23" s="482"/>
      <x:c r="D23" s="483"/>
      <x:c r="E23" s="483"/>
      <x:c r="F23" s="483"/>
      <x:c r="G23" s="484"/>
      <x:c r="H23" s="484"/>
      <x:c r="I23" s="485"/>
      <x:c r="J23" s="485"/>
      <x:c r="K23" s="484"/>
      <x:c r="L23" s="483"/>
      <x:c r="M23" s="477"/>
      <x:c r="N23" s="112" t="str">
        <x:f>IF(COUNTA($A23:$M23)=0,"",IF(OR(LOWER($F23&amp;"")="subscription",LOWER($F23&amp;"")="membership"),"",IF($G23="","",IF(ISNUMBER(SEARCH("non",LOWER($E23&amp;""))),$G23*0.85,$G23))))</x:f>
      </x:c>
      <x:c r="O23" s="112" t="str">
        <x:f>IF(COUNTA($A23:$M23)=0,"",IF(OR(LOWER($F23&amp;"")="subscription",LOWER($F23&amp;"")="membership"),"",IF(OR($N23="",$I23="",$I23=0),"",IFERROR($N23/$I23,""))))</x:f>
      </x:c>
      <x:c r="P23" s="112" t="str">
        <x:f>IF(COUNTA($A23:$M23)=0,"",IF(OR(LOWER($F23&amp;"")="subscription",LOWER($F23&amp;"")="membership"),"",IF(LOWER($L23&amp;"")="yes",0,IF($K23&lt;&gt;"",$K23,IF($O23&lt;&gt;"",$O23,"")))))</x:f>
      </x:c>
      <x:c r="Q23" s="112" t="str">
        <x:f>IF(COUNTA($A23:$M23)=0,"",IF(OR($U23="Subscription",$U23=""),"",IF($U23="Profit",ROUND($P23-$H23,2),0)))</x:f>
      </x:c>
      <x:c r="R23" s="112" t="str">
        <x:f>IF(COUNTA($A23:$M23)=0,"",IF(OR($U23="Subscription",$U23=""),"",IF($U23="Draw",$H23,0)))</x:f>
      </x:c>
      <x:c r="S23" s="112" t="str">
        <x:f>IF(COUNTA($A23:$M23)=0,"",IF(OR($U23="Subscription",$U23=""),"",IF($U23="Disqualified",$H23,0)))</x:f>
      </x:c>
      <x:c r="T23" s="116" t="str">
        <x:f>IF(COUNTA($A23:$M23)=0,"",IF(OR($U23="Subscription",$U23=""),"",IF($H23=0,0,IF($U23="Profit",$Q23/$H23,IF($U23="Disqualified",-$S23/$H23,0)))))</x:f>
      </x:c>
      <x:c r="U23" s="290" t="str">
        <x:f>IF(COUNTA($A23:$M23)=0,"",IF(OR(LOWER($F23&amp;"")="subscription",LOWER($F23&amp;"")="membership"),"Subscription",IF(LOWER($L23&amp;"")="yes","Disqualified",IF(OR(LOWER($F23&amp;"")="free game",LOWER($F23&amp;"")="free"),IF(AND(ISNUMBER($P23),ISNUMBER($H23),$P23&gt;$H23),"Profit","Free Game"),IF($P23="","",IF(ROUND(IFERROR(VALUE($P23),0)-IFERROR(VALUE($H23),0),2)&gt;0,"Profit","Draw"))))))</x:f>
      </x:c>
      <x:c r="V23" s="144" t="str">
        <x:f>IF(COUNTA($A23:$M23)=0,"",IF(OR($B23="",$C23="",$U23="Subscription"),"",IFERROR(ROUNDUP(($C23-$B23)/7,0),"")))</x:f>
      </x:c>
      <x:c r="W23" s="112" t="str">
        <x:f>IF(COUNTA($A23:$M23)=0,"",IF(OR($U23="Subscription",$U23=""),"",ROUND(IFERROR($Q23,0)-IFERROR($S23,0),2)))</x:f>
      </x:c>
      <x:c r="X23" s="144" t="str">
        <x:f>IF(COUNTA($A23:$M23)=0,"",IF(OR($U23="Subscription",$U23="Free Game",NOT(ISNUMBER($J23)),NOT(ISNUMBER($I23)),$J23=0,$I23=0,$I23&gt;$J23),"",$J23-$I23))</x:f>
      </x:c>
      <x:c r="Y23" s="116" t="str">
        <x:f>IF(COUNTA($A23:$M23)=0,"",IF(OR($U23="Subscription",$U23="Free Game",NOT(ISNUMBER($J23)),$J23=0,$X23=""),"",$X23/$J23))</x:f>
      </x:c>
      <x:c r="Z23" s="118" t="str">
        <x:f>IF(COUNTA($A23:$M23)=0,"",Instructions!$B$29+SUM($W$5:W23))</x:f>
      </x:c>
    </x:row>
    <x:row r="24" ht="30" customHeight="1">
      <x:c r="A24" s="477"/>
      <x:c r="B24" s="482"/>
      <x:c r="C24" s="482"/>
      <x:c r="D24" s="483"/>
      <x:c r="E24" s="483"/>
      <x:c r="F24" s="483"/>
      <x:c r="G24" s="484"/>
      <x:c r="H24" s="484"/>
      <x:c r="I24" s="485"/>
      <x:c r="J24" s="485"/>
      <x:c r="K24" s="484"/>
      <x:c r="L24" s="483"/>
      <x:c r="M24" s="477"/>
      <x:c r="N24" s="112" t="str">
        <x:f>IF(COUNTA($A24:$M24)=0,"",IF(OR(LOWER($F24&amp;"")="subscription",LOWER($F24&amp;"")="membership"),"",IF($G24="","",IF(ISNUMBER(SEARCH("non",LOWER($E24&amp;""))),$G24*0.85,$G24))))</x:f>
      </x:c>
      <x:c r="O24" s="112" t="str">
        <x:f>IF(COUNTA($A24:$M24)=0,"",IF(OR(LOWER($F24&amp;"")="subscription",LOWER($F24&amp;"")="membership"),"",IF(OR($N24="",$I24="",$I24=0),"",IFERROR($N24/$I24,""))))</x:f>
      </x:c>
      <x:c r="P24" s="112" t="str">
        <x:f>IF(COUNTA($A24:$M24)=0,"",IF(OR(LOWER($F24&amp;"")="subscription",LOWER($F24&amp;"")="membership"),"",IF(LOWER($L24&amp;"")="yes",0,IF($K24&lt;&gt;"",$K24,IF($O24&lt;&gt;"",$O24,"")))))</x:f>
      </x:c>
      <x:c r="Q24" s="112" t="str">
        <x:f>IF(COUNTA($A24:$M24)=0,"",IF(OR($U24="Subscription",$U24=""),"",IF($U24="Profit",ROUND($P24-$H24,2),0)))</x:f>
      </x:c>
      <x:c r="R24" s="112" t="str">
        <x:f>IF(COUNTA($A24:$M24)=0,"",IF(OR($U24="Subscription",$U24=""),"",IF($U24="Draw",$H24,0)))</x:f>
      </x:c>
      <x:c r="S24" s="112" t="str">
        <x:f>IF(COUNTA($A24:$M24)=0,"",IF(OR($U24="Subscription",$U24=""),"",IF($U24="Disqualified",$H24,0)))</x:f>
      </x:c>
      <x:c r="T24" s="116" t="str">
        <x:f>IF(COUNTA($A24:$M24)=0,"",IF(OR($U24="Subscription",$U24=""),"",IF($H24=0,0,IF($U24="Profit",$Q24/$H24,IF($U24="Disqualified",-$S24/$H24,0)))))</x:f>
      </x:c>
      <x:c r="U24" s="290" t="str">
        <x:f>IF(COUNTA($A24:$M24)=0,"",IF(OR(LOWER($F24&amp;"")="subscription",LOWER($F24&amp;"")="membership"),"Subscription",IF(LOWER($L24&amp;"")="yes","Disqualified",IF(OR(LOWER($F24&amp;"")="free game",LOWER($F24&amp;"")="free"),IF(AND(ISNUMBER($P24),ISNUMBER($H24),$P24&gt;$H24),"Profit","Free Game"),IF($P24="","",IF(ROUND(IFERROR(VALUE($P24),0)-IFERROR(VALUE($H24),0),2)&gt;0,"Profit","Draw"))))))</x:f>
      </x:c>
      <x:c r="V24" s="144" t="str">
        <x:f>IF(COUNTA($A24:$M24)=0,"",IF(OR($B24="",$C24="",$U24="Subscription"),"",IFERROR(ROUNDUP(($C24-$B24)/7,0),"")))</x:f>
      </x:c>
      <x:c r="W24" s="112" t="str">
        <x:f>IF(COUNTA($A24:$M24)=0,"",IF(OR($U24="Subscription",$U24=""),"",ROUND(IFERROR($Q24,0)-IFERROR($S24,0),2)))</x:f>
      </x:c>
      <x:c r="X24" s="144" t="str">
        <x:f>IF(COUNTA($A24:$M24)=0,"",IF(OR($U24="Subscription",$U24="Free Game",NOT(ISNUMBER($J24)),NOT(ISNUMBER($I24)),$J24=0,$I24=0,$I24&gt;$J24),"",$J24-$I24))</x:f>
      </x:c>
      <x:c r="Y24" s="116" t="str">
        <x:f>IF(COUNTA($A24:$M24)=0,"",IF(OR($U24="Subscription",$U24="Free Game",NOT(ISNUMBER($J24)),$J24=0,$X24=""),"",$X24/$J24))</x:f>
      </x:c>
      <x:c r="Z24" s="118" t="str">
        <x:f>IF(COUNTA($A24:$M24)=0,"",Instructions!$B$29+SUM($W$5:W24))</x:f>
      </x:c>
    </x:row>
    <x:row r="25" ht="30" customHeight="1">
      <x:c r="A25" s="477"/>
      <x:c r="B25" s="482"/>
      <x:c r="C25" s="482"/>
      <x:c r="D25" s="483"/>
      <x:c r="E25" s="483"/>
      <x:c r="F25" s="483"/>
      <x:c r="G25" s="484"/>
      <x:c r="H25" s="484"/>
      <x:c r="I25" s="485"/>
      <x:c r="J25" s="485"/>
      <x:c r="K25" s="484"/>
      <x:c r="L25" s="483"/>
      <x:c r="M25" s="477"/>
      <x:c r="N25" s="112" t="str">
        <x:f>IF(COUNTA($A25:$M25)=0,"",IF(OR(LOWER($F25&amp;"")="subscription",LOWER($F25&amp;"")="membership"),"",IF($G25="","",IF(ISNUMBER(SEARCH("non",LOWER($E25&amp;""))),$G25*0.85,$G25))))</x:f>
      </x:c>
      <x:c r="O25" s="112" t="str">
        <x:f>IF(COUNTA($A25:$M25)=0,"",IF(OR(LOWER($F25&amp;"")="subscription",LOWER($F25&amp;"")="membership"),"",IF(OR($N25="",$I25="",$I25=0),"",IFERROR($N25/$I25,""))))</x:f>
      </x:c>
      <x:c r="P25" s="112" t="str">
        <x:f>IF(COUNTA($A25:$M25)=0,"",IF(OR(LOWER($F25&amp;"")="subscription",LOWER($F25&amp;"")="membership"),"",IF(LOWER($L25&amp;"")="yes",0,IF($K25&lt;&gt;"",$K25,IF($O25&lt;&gt;"",$O25,"")))))</x:f>
      </x:c>
      <x:c r="Q25" s="112" t="str">
        <x:f>IF(COUNTA($A25:$M25)=0,"",IF(OR($U25="Subscription",$U25=""),"",IF($U25="Profit",ROUND($P25-$H25,2),0)))</x:f>
      </x:c>
      <x:c r="R25" s="112" t="str">
        <x:f>IF(COUNTA($A25:$M25)=0,"",IF(OR($U25="Subscription",$U25=""),"",IF($U25="Draw",$H25,0)))</x:f>
      </x:c>
      <x:c r="S25" s="112" t="str">
        <x:f>IF(COUNTA($A25:$M25)=0,"",IF(OR($U25="Subscription",$U25=""),"",IF($U25="Disqualified",$H25,0)))</x:f>
      </x:c>
      <x:c r="T25" s="116" t="str">
        <x:f>IF(COUNTA($A25:$M25)=0,"",IF(OR($U25="Subscription",$U25=""),"",IF($H25=0,0,IF($U25="Profit",$Q25/$H25,IF($U25="Disqualified",-$S25/$H25,0)))))</x:f>
      </x:c>
      <x:c r="U25" s="290" t="str">
        <x:f>IF(COUNTA($A25:$M25)=0,"",IF(OR(LOWER($F25&amp;"")="subscription",LOWER($F25&amp;"")="membership"),"Subscription",IF(LOWER($L25&amp;"")="yes","Disqualified",IF(OR(LOWER($F25&amp;"")="free game",LOWER($F25&amp;"")="free"),IF(AND(ISNUMBER($P25),ISNUMBER($H25),$P25&gt;$H25),"Profit","Free Game"),IF($P25="","",IF(ROUND(IFERROR(VALUE($P25),0)-IFERROR(VALUE($H25),0),2)&gt;0,"Profit","Draw"))))))</x:f>
      </x:c>
      <x:c r="V25" s="144" t="str">
        <x:f>IF(COUNTA($A25:$M25)=0,"",IF(OR($B25="",$C25="",$U25="Subscription"),"",IFERROR(ROUNDUP(($C25-$B25)/7,0),"")))</x:f>
      </x:c>
      <x:c r="W25" s="112" t="str">
        <x:f>IF(COUNTA($A25:$M25)=0,"",IF(OR($U25="Subscription",$U25=""),"",ROUND(IFERROR($Q25,0)-IFERROR($S25,0),2)))</x:f>
      </x:c>
      <x:c r="X25" s="144" t="str">
        <x:f>IF(COUNTA($A25:$M25)=0,"",IF(OR($U25="Subscription",$U25="Free Game",NOT(ISNUMBER($J25)),NOT(ISNUMBER($I25)),$J25=0,$I25=0,$I25&gt;$J25),"",$J25-$I25))</x:f>
      </x:c>
      <x:c r="Y25" s="116" t="str">
        <x:f>IF(COUNTA($A25:$M25)=0,"",IF(OR($U25="Subscription",$U25="Free Game",NOT(ISNUMBER($J25)),$J25=0,$X25=""),"",$X25/$J25))</x:f>
      </x:c>
      <x:c r="Z25" s="118" t="str">
        <x:f>IF(COUNTA($A25:$M25)=0,"",Instructions!$B$29+SUM($W$5:W25))</x:f>
      </x:c>
    </x:row>
    <x:row r="26" ht="30" customHeight="1">
      <x:c r="A26" s="477"/>
      <x:c r="B26" s="482"/>
      <x:c r="C26" s="482"/>
      <x:c r="D26" s="483"/>
      <x:c r="E26" s="483"/>
      <x:c r="F26" s="483"/>
      <x:c r="G26" s="484"/>
      <x:c r="H26" s="484"/>
      <x:c r="I26" s="485"/>
      <x:c r="J26" s="485"/>
      <x:c r="K26" s="484"/>
      <x:c r="L26" s="483"/>
      <x:c r="M26" s="477"/>
      <x:c r="N26" s="112" t="str">
        <x:f>IF(COUNTA($A26:$M26)=0,"",IF(OR(LOWER($F26&amp;"")="subscription",LOWER($F26&amp;"")="membership"),"",IF($G26="","",IF(ISNUMBER(SEARCH("non",LOWER($E26&amp;""))),$G26*0.85,$G26))))</x:f>
      </x:c>
      <x:c r="O26" s="112" t="str">
        <x:f>IF(COUNTA($A26:$M26)=0,"",IF(OR(LOWER($F26&amp;"")="subscription",LOWER($F26&amp;"")="membership"),"",IF(OR($N26="",$I26="",$I26=0),"",IFERROR($N26/$I26,""))))</x:f>
      </x:c>
      <x:c r="P26" s="112" t="str">
        <x:f>IF(COUNTA($A26:$M26)=0,"",IF(OR(LOWER($F26&amp;"")="subscription",LOWER($F26&amp;"")="membership"),"",IF(LOWER($L26&amp;"")="yes",0,IF($K26&lt;&gt;"",$K26,IF($O26&lt;&gt;"",$O26,"")))))</x:f>
      </x:c>
      <x:c r="Q26" s="112" t="str">
        <x:f>IF(COUNTA($A26:$M26)=0,"",IF(OR($U26="Subscription",$U26=""),"",IF($U26="Profit",ROUND($P26-$H26,2),0)))</x:f>
      </x:c>
      <x:c r="R26" s="112" t="str">
        <x:f>IF(COUNTA($A26:$M26)=0,"",IF(OR($U26="Subscription",$U26=""),"",IF($U26="Draw",$H26,0)))</x:f>
      </x:c>
      <x:c r="S26" s="112" t="str">
        <x:f>IF(COUNTA($A26:$M26)=0,"",IF(OR($U26="Subscription",$U26=""),"",IF($U26="Disqualified",$H26,0)))</x:f>
      </x:c>
      <x:c r="T26" s="116" t="str">
        <x:f>IF(COUNTA($A26:$M26)=0,"",IF(OR($U26="Subscription",$U26=""),"",IF($H26=0,0,IF($U26="Profit",$Q26/$H26,IF($U26="Disqualified",-$S26/$H26,0)))))</x:f>
      </x:c>
      <x:c r="U26" s="290" t="str">
        <x:f>IF(COUNTA($A26:$M26)=0,"",IF(OR(LOWER($F26&amp;"")="subscription",LOWER($F26&amp;"")="membership"),"Subscription",IF(LOWER($L26&amp;"")="yes","Disqualified",IF(OR(LOWER($F26&amp;"")="free game",LOWER($F26&amp;"")="free"),IF(AND(ISNUMBER($P26),ISNUMBER($H26),$P26&gt;$H26),"Profit","Free Game"),IF($P26="","",IF(ROUND(IFERROR(VALUE($P26),0)-IFERROR(VALUE($H26),0),2)&gt;0,"Profit","Draw"))))))</x:f>
      </x:c>
      <x:c r="V26" s="144" t="str">
        <x:f>IF(COUNTA($A26:$M26)=0,"",IF(OR($B26="",$C26="",$U26="Subscription"),"",IFERROR(ROUNDUP(($C26-$B26)/7,0),"")))</x:f>
      </x:c>
      <x:c r="W26" s="112" t="str">
        <x:f>IF(COUNTA($A26:$M26)=0,"",IF(OR($U26="Subscription",$U26=""),"",ROUND(IFERROR($Q26,0)-IFERROR($S26,0),2)))</x:f>
      </x:c>
      <x:c r="X26" s="144" t="str">
        <x:f>IF(COUNTA($A26:$M26)=0,"",IF(OR($U26="Subscription",$U26="Free Game",NOT(ISNUMBER($J26)),NOT(ISNUMBER($I26)),$J26=0,$I26=0,$I26&gt;$J26),"",$J26-$I26))</x:f>
      </x:c>
      <x:c r="Y26" s="116" t="str">
        <x:f>IF(COUNTA($A26:$M26)=0,"",IF(OR($U26="Subscription",$U26="Free Game",NOT(ISNUMBER($J26)),$J26=0,$X26=""),"",$X26/$J26))</x:f>
      </x:c>
      <x:c r="Z26" s="118" t="str">
        <x:f>IF(COUNTA($A26:$M26)=0,"",Instructions!$B$29+SUM($W$5:W26))</x:f>
      </x:c>
    </x:row>
    <x:row r="27" ht="30" customHeight="1">
      <x:c r="A27" s="477"/>
      <x:c r="B27" s="482"/>
      <x:c r="C27" s="482"/>
      <x:c r="D27" s="483"/>
      <x:c r="E27" s="483"/>
      <x:c r="F27" s="483"/>
      <x:c r="G27" s="484"/>
      <x:c r="H27" s="484"/>
      <x:c r="I27" s="485"/>
      <x:c r="J27" s="485"/>
      <x:c r="K27" s="484"/>
      <x:c r="L27" s="483"/>
      <x:c r="M27" s="477"/>
      <x:c r="N27" s="112" t="str">
        <x:f>IF(COUNTA($A27:$M27)=0,"",IF(OR(LOWER($F27&amp;"")="subscription",LOWER($F27&amp;"")="membership"),"",IF($G27="","",IF(ISNUMBER(SEARCH("non",LOWER($E27&amp;""))),$G27*0.85,$G27))))</x:f>
      </x:c>
      <x:c r="O27" s="112" t="str">
        <x:f>IF(COUNTA($A27:$M27)=0,"",IF(OR(LOWER($F27&amp;"")="subscription",LOWER($F27&amp;"")="membership"),"",IF(OR($N27="",$I27="",$I27=0),"",IFERROR($N27/$I27,""))))</x:f>
      </x:c>
      <x:c r="P27" s="112" t="str">
        <x:f>IF(COUNTA($A27:$M27)=0,"",IF(OR(LOWER($F27&amp;"")="subscription",LOWER($F27&amp;"")="membership"),"",IF(LOWER($L27&amp;"")="yes",0,IF($K27&lt;&gt;"",$K27,IF($O27&lt;&gt;"",$O27,"")))))</x:f>
      </x:c>
      <x:c r="Q27" s="112" t="str">
        <x:f>IF(COUNTA($A27:$M27)=0,"",IF(OR($U27="Subscription",$U27=""),"",IF($U27="Profit",ROUND($P27-$H27,2),0)))</x:f>
      </x:c>
      <x:c r="R27" s="112" t="str">
        <x:f>IF(COUNTA($A27:$M27)=0,"",IF(OR($U27="Subscription",$U27=""),"",IF($U27="Draw",$H27,0)))</x:f>
      </x:c>
      <x:c r="S27" s="112" t="str">
        <x:f>IF(COUNTA($A27:$M27)=0,"",IF(OR($U27="Subscription",$U27=""),"",IF($U27="Disqualified",$H27,0)))</x:f>
      </x:c>
      <x:c r="T27" s="116" t="str">
        <x:f>IF(COUNTA($A27:$M27)=0,"",IF(OR($U27="Subscription",$U27=""),"",IF($H27=0,0,IF($U27="Profit",$Q27/$H27,IF($U27="Disqualified",-$S27/$H27,0)))))</x:f>
      </x:c>
      <x:c r="U27" s="290" t="str">
        <x:f>IF(COUNTA($A27:$M27)=0,"",IF(OR(LOWER($F27&amp;"")="subscription",LOWER($F27&amp;"")="membership"),"Subscription",IF(LOWER($L27&amp;"")="yes","Disqualified",IF(OR(LOWER($F27&amp;"")="free game",LOWER($F27&amp;"")="free"),IF(AND(ISNUMBER($P27),ISNUMBER($H27),$P27&gt;$H27),"Profit","Free Game"),IF($P27="","",IF(ROUND(IFERROR(VALUE($P27),0)-IFERROR(VALUE($H27),0),2)&gt;0,"Profit","Draw"))))))</x:f>
      </x:c>
      <x:c r="V27" s="144" t="str">
        <x:f>IF(COUNTA($A27:$M27)=0,"",IF(OR($B27="",$C27="",$U27="Subscription"),"",IFERROR(ROUNDUP(($C27-$B27)/7,0),"")))</x:f>
      </x:c>
      <x:c r="W27" s="112" t="str">
        <x:f>IF(COUNTA($A27:$M27)=0,"",IF(OR($U27="Subscription",$U27=""),"",ROUND(IFERROR($Q27,0)-IFERROR($S27,0),2)))</x:f>
      </x:c>
      <x:c r="X27" s="144" t="str">
        <x:f>IF(COUNTA($A27:$M27)=0,"",IF(OR($U27="Subscription",$U27="Free Game",NOT(ISNUMBER($J27)),NOT(ISNUMBER($I27)),$J27=0,$I27=0,$I27&gt;$J27),"",$J27-$I27))</x:f>
      </x:c>
      <x:c r="Y27" s="116" t="str">
        <x:f>IF(COUNTA($A27:$M27)=0,"",IF(OR($U27="Subscription",$U27="Free Game",NOT(ISNUMBER($J27)),$J27=0,$X27=""),"",$X27/$J27))</x:f>
      </x:c>
      <x:c r="Z27" s="118" t="str">
        <x:f>IF(COUNTA($A27:$M27)=0,"",Instructions!$B$29+SUM($W$5:W27))</x:f>
      </x:c>
    </x:row>
    <x:row r="28" ht="30" customHeight="1">
      <x:c r="A28" s="477"/>
      <x:c r="B28" s="482"/>
      <x:c r="C28" s="482"/>
      <x:c r="D28" s="483"/>
      <x:c r="E28" s="483"/>
      <x:c r="F28" s="483"/>
      <x:c r="G28" s="484"/>
      <x:c r="H28" s="484"/>
      <x:c r="I28" s="485"/>
      <x:c r="J28" s="485"/>
      <x:c r="K28" s="484"/>
      <x:c r="L28" s="483"/>
      <x:c r="M28" s="477"/>
      <x:c r="N28" s="112" t="str">
        <x:f>IF(COUNTA($A28:$M28)=0,"",IF(OR(LOWER($F28&amp;"")="subscription",LOWER($F28&amp;"")="membership"),"",IF($G28="","",IF(ISNUMBER(SEARCH("non",LOWER($E28&amp;""))),$G28*0.85,$G28))))</x:f>
      </x:c>
      <x:c r="O28" s="112" t="str">
        <x:f>IF(COUNTA($A28:$M28)=0,"",IF(OR(LOWER($F28&amp;"")="subscription",LOWER($F28&amp;"")="membership"),"",IF(OR($N28="",$I28="",$I28=0),"",IFERROR($N28/$I28,""))))</x:f>
      </x:c>
      <x:c r="P28" s="112" t="str">
        <x:f>IF(COUNTA($A28:$M28)=0,"",IF(OR(LOWER($F28&amp;"")="subscription",LOWER($F28&amp;"")="membership"),"",IF(LOWER($L28&amp;"")="yes",0,IF($K28&lt;&gt;"",$K28,IF($O28&lt;&gt;"",$O28,"")))))</x:f>
      </x:c>
      <x:c r="Q28" s="112" t="str">
        <x:f>IF(COUNTA($A28:$M28)=0,"",IF(OR($U28="Subscription",$U28=""),"",IF($U28="Profit",ROUND($P28-$H28,2),0)))</x:f>
      </x:c>
      <x:c r="R28" s="112" t="str">
        <x:f>IF(COUNTA($A28:$M28)=0,"",IF(OR($U28="Subscription",$U28=""),"",IF($U28="Draw",$H28,0)))</x:f>
      </x:c>
      <x:c r="S28" s="112" t="str">
        <x:f>IF(COUNTA($A28:$M28)=0,"",IF(OR($U28="Subscription",$U28=""),"",IF($U28="Disqualified",$H28,0)))</x:f>
      </x:c>
      <x:c r="T28" s="116" t="str">
        <x:f>IF(COUNTA($A28:$M28)=0,"",IF(OR($U28="Subscription",$U28=""),"",IF($H28=0,0,IF($U28="Profit",$Q28/$H28,IF($U28="Disqualified",-$S28/$H28,0)))))</x:f>
      </x:c>
      <x:c r="U28" s="290" t="str">
        <x:f>IF(COUNTA($A28:$M28)=0,"",IF(OR(LOWER($F28&amp;"")="subscription",LOWER($F28&amp;"")="membership"),"Subscription",IF(LOWER($L28&amp;"")="yes","Disqualified",IF(OR(LOWER($F28&amp;"")="free game",LOWER($F28&amp;"")="free"),IF(AND(ISNUMBER($P28),ISNUMBER($H28),$P28&gt;$H28),"Profit","Free Game"),IF($P28="","",IF(ROUND(IFERROR(VALUE($P28),0)-IFERROR(VALUE($H28),0),2)&gt;0,"Profit","Draw"))))))</x:f>
      </x:c>
      <x:c r="V28" s="144" t="str">
        <x:f>IF(COUNTA($A28:$M28)=0,"",IF(OR($B28="",$C28="",$U28="Subscription"),"",IFERROR(ROUNDUP(($C28-$B28)/7,0),"")))</x:f>
      </x:c>
      <x:c r="W28" s="112" t="str">
        <x:f>IF(COUNTA($A28:$M28)=0,"",IF(OR($U28="Subscription",$U28=""),"",ROUND(IFERROR($Q28,0)-IFERROR($S28,0),2)))</x:f>
      </x:c>
      <x:c r="X28" s="144" t="str">
        <x:f>IF(COUNTA($A28:$M28)=0,"",IF(OR($U28="Subscription",$U28="Free Game",NOT(ISNUMBER($J28)),NOT(ISNUMBER($I28)),$J28=0,$I28=0,$I28&gt;$J28),"",$J28-$I28))</x:f>
      </x:c>
      <x:c r="Y28" s="116" t="str">
        <x:f>IF(COUNTA($A28:$M28)=0,"",IF(OR($U28="Subscription",$U28="Free Game",NOT(ISNUMBER($J28)),$J28=0,$X28=""),"",$X28/$J28))</x:f>
      </x:c>
      <x:c r="Z28" s="118" t="str">
        <x:f>IF(COUNTA($A28:$M28)=0,"",Instructions!$B$29+SUM($W$5:W28))</x:f>
      </x:c>
    </x:row>
    <x:row r="29" ht="30" customHeight="1">
      <x:c r="A29" s="477"/>
      <x:c r="B29" s="482"/>
      <x:c r="C29" s="482"/>
      <x:c r="D29" s="483"/>
      <x:c r="E29" s="483"/>
      <x:c r="F29" s="483"/>
      <x:c r="G29" s="484"/>
      <x:c r="H29" s="484"/>
      <x:c r="I29" s="485"/>
      <x:c r="J29" s="485"/>
      <x:c r="K29" s="484"/>
      <x:c r="L29" s="483"/>
      <x:c r="M29" s="477"/>
      <x:c r="N29" s="112" t="str">
        <x:f>IF(COUNTA($A29:$M29)=0,"",IF(OR(LOWER($F29&amp;"")="subscription",LOWER($F29&amp;"")="membership"),"",IF($G29="","",IF(ISNUMBER(SEARCH("non",LOWER($E29&amp;""))),$G29*0.85,$G29))))</x:f>
      </x:c>
      <x:c r="O29" s="112" t="str">
        <x:f>IF(COUNTA($A29:$M29)=0,"",IF(OR(LOWER($F29&amp;"")="subscription",LOWER($F29&amp;"")="membership"),"",IF(OR($N29="",$I29="",$I29=0),"",IFERROR($N29/$I29,""))))</x:f>
      </x:c>
      <x:c r="P29" s="112" t="str">
        <x:f>IF(COUNTA($A29:$M29)=0,"",IF(OR(LOWER($F29&amp;"")="subscription",LOWER($F29&amp;"")="membership"),"",IF(LOWER($L29&amp;"")="yes",0,IF($K29&lt;&gt;"",$K29,IF($O29&lt;&gt;"",$O29,"")))))</x:f>
      </x:c>
      <x:c r="Q29" s="112" t="str">
        <x:f>IF(COUNTA($A29:$M29)=0,"",IF(OR($U29="Subscription",$U29=""),"",IF($U29="Profit",ROUND($P29-$H29,2),0)))</x:f>
      </x:c>
      <x:c r="R29" s="112" t="str">
        <x:f>IF(COUNTA($A29:$M29)=0,"",IF(OR($U29="Subscription",$U29=""),"",IF($U29="Draw",$H29,0)))</x:f>
      </x:c>
      <x:c r="S29" s="112" t="str">
        <x:f>IF(COUNTA($A29:$M29)=0,"",IF(OR($U29="Subscription",$U29=""),"",IF($U29="Disqualified",$H29,0)))</x:f>
      </x:c>
      <x:c r="T29" s="116" t="str">
        <x:f>IF(COUNTA($A29:$M29)=0,"",IF(OR($U29="Subscription",$U29=""),"",IF($H29=0,0,IF($U29="Profit",$Q29/$H29,IF($U29="Disqualified",-$S29/$H29,0)))))</x:f>
      </x:c>
      <x:c r="U29" s="290" t="str">
        <x:f>IF(COUNTA($A29:$M29)=0,"",IF(OR(LOWER($F29&amp;"")="subscription",LOWER($F29&amp;"")="membership"),"Subscription",IF(LOWER($L29&amp;"")="yes","Disqualified",IF(OR(LOWER($F29&amp;"")="free game",LOWER($F29&amp;"")="free"),IF(AND(ISNUMBER($P29),ISNUMBER($H29),$P29&gt;$H29),"Profit","Free Game"),IF($P29="","",IF(ROUND(IFERROR(VALUE($P29),0)-IFERROR(VALUE($H29),0),2)&gt;0,"Profit","Draw"))))))</x:f>
      </x:c>
      <x:c r="V29" s="144" t="str">
        <x:f>IF(COUNTA($A29:$M29)=0,"",IF(OR($B29="",$C29="",$U29="Subscription"),"",IFERROR(ROUNDUP(($C29-$B29)/7,0),"")))</x:f>
      </x:c>
      <x:c r="W29" s="112" t="str">
        <x:f>IF(COUNTA($A29:$M29)=0,"",IF(OR($U29="Subscription",$U29=""),"",ROUND(IFERROR($Q29,0)-IFERROR($S29,0),2)))</x:f>
      </x:c>
      <x:c r="X29" s="144" t="str">
        <x:f>IF(COUNTA($A29:$M29)=0,"",IF(OR($U29="Subscription",$U29="Free Game",NOT(ISNUMBER($J29)),NOT(ISNUMBER($I29)),$J29=0,$I29=0,$I29&gt;$J29),"",$J29-$I29))</x:f>
      </x:c>
      <x:c r="Y29" s="116" t="str">
        <x:f>IF(COUNTA($A29:$M29)=0,"",IF(OR($U29="Subscription",$U29="Free Game",NOT(ISNUMBER($J29)),$J29=0,$X29=""),"",$X29/$J29))</x:f>
      </x:c>
      <x:c r="Z29" s="118" t="str">
        <x:f>IF(COUNTA($A29:$M29)=0,"",Instructions!$B$29+SUM($W$5:W29))</x:f>
      </x:c>
    </x:row>
    <x:row r="30" ht="30" customHeight="1">
      <x:c r="A30" s="477"/>
      <x:c r="B30" s="482"/>
      <x:c r="C30" s="482"/>
      <x:c r="D30" s="483"/>
      <x:c r="E30" s="483"/>
      <x:c r="F30" s="483"/>
      <x:c r="G30" s="484"/>
      <x:c r="H30" s="484"/>
      <x:c r="I30" s="485"/>
      <x:c r="J30" s="485"/>
      <x:c r="K30" s="484"/>
      <x:c r="L30" s="483"/>
      <x:c r="M30" s="477"/>
      <x:c r="N30" s="112" t="str">
        <x:f>IF(COUNTA($A30:$M30)=0,"",IF(OR(LOWER($F30&amp;"")="subscription",LOWER($F30&amp;"")="membership"),"",IF($G30="","",IF(ISNUMBER(SEARCH("non",LOWER($E30&amp;""))),$G30*0.85,$G30))))</x:f>
      </x:c>
      <x:c r="O30" s="112" t="str">
        <x:f>IF(COUNTA($A30:$M30)=0,"",IF(OR(LOWER($F30&amp;"")="subscription",LOWER($F30&amp;"")="membership"),"",IF(OR($N30="",$I30="",$I30=0),"",IFERROR($N30/$I30,""))))</x:f>
      </x:c>
      <x:c r="P30" s="112" t="str">
        <x:f>IF(COUNTA($A30:$M30)=0,"",IF(OR(LOWER($F30&amp;"")="subscription",LOWER($F30&amp;"")="membership"),"",IF(LOWER($L30&amp;"")="yes",0,IF($K30&lt;&gt;"",$K30,IF($O30&lt;&gt;"",$O30,"")))))</x:f>
      </x:c>
      <x:c r="Q30" s="112" t="str">
        <x:f>IF(COUNTA($A30:$M30)=0,"",IF(OR($U30="Subscription",$U30=""),"",IF($U30="Profit",ROUND($P30-$H30,2),0)))</x:f>
      </x:c>
      <x:c r="R30" s="112" t="str">
        <x:f>IF(COUNTA($A30:$M30)=0,"",IF(OR($U30="Subscription",$U30=""),"",IF($U30="Draw",$H30,0)))</x:f>
      </x:c>
      <x:c r="S30" s="112" t="str">
        <x:f>IF(COUNTA($A30:$M30)=0,"",IF(OR($U30="Subscription",$U30=""),"",IF($U30="Disqualified",$H30,0)))</x:f>
      </x:c>
      <x:c r="T30" s="116" t="str">
        <x:f>IF(COUNTA($A30:$M30)=0,"",IF(OR($U30="Subscription",$U30=""),"",IF($H30=0,0,IF($U30="Profit",$Q30/$H30,IF($U30="Disqualified",-$S30/$H30,0)))))</x:f>
      </x:c>
      <x:c r="U30" s="290" t="str">
        <x:f>IF(COUNTA($A30:$M30)=0,"",IF(OR(LOWER($F30&amp;"")="subscription",LOWER($F30&amp;"")="membership"),"Subscription",IF(LOWER($L30&amp;"")="yes","Disqualified",IF(OR(LOWER($F30&amp;"")="free game",LOWER($F30&amp;"")="free"),IF(AND(ISNUMBER($P30),ISNUMBER($H30),$P30&gt;$H30),"Profit","Free Game"),IF($P30="","",IF(ROUND(IFERROR(VALUE($P30),0)-IFERROR(VALUE($H30),0),2)&gt;0,"Profit","Draw"))))))</x:f>
      </x:c>
      <x:c r="V30" s="144" t="str">
        <x:f>IF(COUNTA($A30:$M30)=0,"",IF(OR($B30="",$C30="",$U30="Subscription"),"",IFERROR(ROUNDUP(($C30-$B30)/7,0),"")))</x:f>
      </x:c>
      <x:c r="W30" s="112" t="str">
        <x:f>IF(COUNTA($A30:$M30)=0,"",IF(OR($U30="Subscription",$U30=""),"",ROUND(IFERROR($Q30,0)-IFERROR($S30,0),2)))</x:f>
      </x:c>
      <x:c r="X30" s="144" t="str">
        <x:f>IF(COUNTA($A30:$M30)=0,"",IF(OR($U30="Subscription",$U30="Free Game",NOT(ISNUMBER($J30)),NOT(ISNUMBER($I30)),$J30=0,$I30=0,$I30&gt;$J30),"",$J30-$I30))</x:f>
      </x:c>
      <x:c r="Y30" s="116" t="str">
        <x:f>IF(COUNTA($A30:$M30)=0,"",IF(OR($U30="Subscription",$U30="Free Game",NOT(ISNUMBER($J30)),$J30=0,$X30=""),"",$X30/$J30))</x:f>
      </x:c>
      <x:c r="Z30" s="118" t="str">
        <x:f>IF(COUNTA($A30:$M30)=0,"",Instructions!$B$29+SUM($W$5:W30))</x:f>
      </x:c>
    </x:row>
    <x:row r="31" ht="30" customHeight="1">
      <x:c r="A31" s="477"/>
      <x:c r="B31" s="482"/>
      <x:c r="C31" s="482"/>
      <x:c r="D31" s="483"/>
      <x:c r="E31" s="483"/>
      <x:c r="F31" s="483"/>
      <x:c r="G31" s="484"/>
      <x:c r="H31" s="484"/>
      <x:c r="I31" s="485"/>
      <x:c r="J31" s="485"/>
      <x:c r="K31" s="484"/>
      <x:c r="L31" s="483"/>
      <x:c r="M31" s="477"/>
      <x:c r="N31" s="112" t="str">
        <x:f>IF(COUNTA($A31:$M31)=0,"",IF(OR(LOWER($F31&amp;"")="subscription",LOWER($F31&amp;"")="membership"),"",IF($G31="","",IF(ISNUMBER(SEARCH("non",LOWER($E31&amp;""))),$G31*0.85,$G31))))</x:f>
      </x:c>
      <x:c r="O31" s="112" t="str">
        <x:f>IF(COUNTA($A31:$M31)=0,"",IF(OR(LOWER($F31&amp;"")="subscription",LOWER($F31&amp;"")="membership"),"",IF(OR($N31="",$I31="",$I31=0),"",IFERROR($N31/$I31,""))))</x:f>
      </x:c>
      <x:c r="P31" s="112" t="str">
        <x:f>IF(COUNTA($A31:$M31)=0,"",IF(OR(LOWER($F31&amp;"")="subscription",LOWER($F31&amp;"")="membership"),"",IF(LOWER($L31&amp;"")="yes",0,IF($K31&lt;&gt;"",$K31,IF($O31&lt;&gt;"",$O31,"")))))</x:f>
      </x:c>
      <x:c r="Q31" s="112" t="str">
        <x:f>IF(COUNTA($A31:$M31)=0,"",IF(OR($U31="Subscription",$U31=""),"",IF($U31="Profit",ROUND($P31-$H31,2),0)))</x:f>
      </x:c>
      <x:c r="R31" s="112" t="str">
        <x:f>IF(COUNTA($A31:$M31)=0,"",IF(OR($U31="Subscription",$U31=""),"",IF($U31="Draw",$H31,0)))</x:f>
      </x:c>
      <x:c r="S31" s="112" t="str">
        <x:f>IF(COUNTA($A31:$M31)=0,"",IF(OR($U31="Subscription",$U31=""),"",IF($U31="Disqualified",$H31,0)))</x:f>
      </x:c>
      <x:c r="T31" s="116" t="str">
        <x:f>IF(COUNTA($A31:$M31)=0,"",IF(OR($U31="Subscription",$U31=""),"",IF($H31=0,0,IF($U31="Profit",$Q31/$H31,IF($U31="Disqualified",-$S31/$H31,0)))))</x:f>
      </x:c>
      <x:c r="U31" s="290" t="str">
        <x:f>IF(COUNTA($A31:$M31)=0,"",IF(OR(LOWER($F31&amp;"")="subscription",LOWER($F31&amp;"")="membership"),"Subscription",IF(LOWER($L31&amp;"")="yes","Disqualified",IF(OR(LOWER($F31&amp;"")="free game",LOWER($F31&amp;"")="free"),IF(AND(ISNUMBER($P31),ISNUMBER($H31),$P31&gt;$H31),"Profit","Free Game"),IF($P31="","",IF(ROUND(IFERROR(VALUE($P31),0)-IFERROR(VALUE($H31),0),2)&gt;0,"Profit","Draw"))))))</x:f>
      </x:c>
      <x:c r="V31" s="144" t="str">
        <x:f>IF(COUNTA($A31:$M31)=0,"",IF(OR($B31="",$C31="",$U31="Subscription"),"",IFERROR(ROUNDUP(($C31-$B31)/7,0),"")))</x:f>
      </x:c>
      <x:c r="W31" s="112" t="str">
        <x:f>IF(COUNTA($A31:$M31)=0,"",IF(OR($U31="Subscription",$U31=""),"",ROUND(IFERROR($Q31,0)-IFERROR($S31,0),2)))</x:f>
      </x:c>
      <x:c r="X31" s="144" t="str">
        <x:f>IF(COUNTA($A31:$M31)=0,"",IF(OR($U31="Subscription",$U31="Free Game",NOT(ISNUMBER($J31)),NOT(ISNUMBER($I31)),$J31=0,$I31=0,$I31&gt;$J31),"",$J31-$I31))</x:f>
      </x:c>
      <x:c r="Y31" s="116" t="str">
        <x:f>IF(COUNTA($A31:$M31)=0,"",IF(OR($U31="Subscription",$U31="Free Game",NOT(ISNUMBER($J31)),$J31=0,$X31=""),"",$X31/$J31))</x:f>
      </x:c>
      <x:c r="Z31" s="118" t="str">
        <x:f>IF(COUNTA($A31:$M31)=0,"",Instructions!$B$29+SUM($W$5:W31))</x:f>
      </x:c>
    </x:row>
    <x:row r="32" ht="30" customHeight="1">
      <x:c r="A32" s="477"/>
      <x:c r="B32" s="482"/>
      <x:c r="C32" s="482"/>
      <x:c r="D32" s="483"/>
      <x:c r="E32" s="483"/>
      <x:c r="F32" s="483"/>
      <x:c r="G32" s="484"/>
      <x:c r="H32" s="484"/>
      <x:c r="I32" s="485"/>
      <x:c r="J32" s="485"/>
      <x:c r="K32" s="484"/>
      <x:c r="L32" s="483"/>
      <x:c r="M32" s="477"/>
      <x:c r="N32" s="112" t="str">
        <x:f>IF(COUNTA($A32:$M32)=0,"",IF(OR(LOWER($F32&amp;"")="subscription",LOWER($F32&amp;"")="membership"),"",IF($G32="","",IF(ISNUMBER(SEARCH("non",LOWER($E32&amp;""))),$G32*0.85,$G32))))</x:f>
      </x:c>
      <x:c r="O32" s="112" t="str">
        <x:f>IF(COUNTA($A32:$M32)=0,"",IF(OR(LOWER($F32&amp;"")="subscription",LOWER($F32&amp;"")="membership"),"",IF(OR($N32="",$I32="",$I32=0),"",IFERROR($N32/$I32,""))))</x:f>
      </x:c>
      <x:c r="P32" s="112" t="str">
        <x:f>IF(COUNTA($A32:$M32)=0,"",IF(OR(LOWER($F32&amp;"")="subscription",LOWER($F32&amp;"")="membership"),"",IF(LOWER($L32&amp;"")="yes",0,IF($K32&lt;&gt;"",$K32,IF($O32&lt;&gt;"",$O32,"")))))</x:f>
      </x:c>
      <x:c r="Q32" s="112" t="str">
        <x:f>IF(COUNTA($A32:$M32)=0,"",IF(OR($U32="Subscription",$U32=""),"",IF($U32="Profit",ROUND($P32-$H32,2),0)))</x:f>
      </x:c>
      <x:c r="R32" s="112" t="str">
        <x:f>IF(COUNTA($A32:$M32)=0,"",IF(OR($U32="Subscription",$U32=""),"",IF($U32="Draw",$H32,0)))</x:f>
      </x:c>
      <x:c r="S32" s="112" t="str">
        <x:f>IF(COUNTA($A32:$M32)=0,"",IF(OR($U32="Subscription",$U32=""),"",IF($U32="Disqualified",$H32,0)))</x:f>
      </x:c>
      <x:c r="T32" s="116" t="str">
        <x:f>IF(COUNTA($A32:$M32)=0,"",IF(OR($U32="Subscription",$U32=""),"",IF($H32=0,0,IF($U32="Profit",$Q32/$H32,IF($U32="Disqualified",-$S32/$H32,0)))))</x:f>
      </x:c>
      <x:c r="U32" s="290" t="str">
        <x:f>IF(COUNTA($A32:$M32)=0,"",IF(OR(LOWER($F32&amp;"")="subscription",LOWER($F32&amp;"")="membership"),"Subscription",IF(LOWER($L32&amp;"")="yes","Disqualified",IF(OR(LOWER($F32&amp;"")="free game",LOWER($F32&amp;"")="free"),IF(AND(ISNUMBER($P32),ISNUMBER($H32),$P32&gt;$H32),"Profit","Free Game"),IF($P32="","",IF(ROUND(IFERROR(VALUE($P32),0)-IFERROR(VALUE($H32),0),2)&gt;0,"Profit","Draw"))))))</x:f>
      </x:c>
      <x:c r="V32" s="144" t="str">
        <x:f>IF(COUNTA($A32:$M32)=0,"",IF(OR($B32="",$C32="",$U32="Subscription"),"",IFERROR(ROUNDUP(($C32-$B32)/7,0),"")))</x:f>
      </x:c>
      <x:c r="W32" s="112" t="str">
        <x:f>IF(COUNTA($A32:$M32)=0,"",IF(OR($U32="Subscription",$U32=""),"",ROUND(IFERROR($Q32,0)-IFERROR($S32,0),2)))</x:f>
      </x:c>
      <x:c r="X32" s="144" t="str">
        <x:f>IF(COUNTA($A32:$M32)=0,"",IF(OR($U32="Subscription",$U32="Free Game",NOT(ISNUMBER($J32)),NOT(ISNUMBER($I32)),$J32=0,$I32=0,$I32&gt;$J32),"",$J32-$I32))</x:f>
      </x:c>
      <x:c r="Y32" s="116" t="str">
        <x:f>IF(COUNTA($A32:$M32)=0,"",IF(OR($U32="Subscription",$U32="Free Game",NOT(ISNUMBER($J32)),$J32=0,$X32=""),"",$X32/$J32))</x:f>
      </x:c>
      <x:c r="Z32" s="118" t="str">
        <x:f>IF(COUNTA($A32:$M32)=0,"",Instructions!$B$29+SUM($W$5:W32))</x:f>
      </x:c>
    </x:row>
    <x:row r="33" ht="30" customHeight="1">
      <x:c r="A33" s="477"/>
      <x:c r="B33" s="482"/>
      <x:c r="C33" s="482"/>
      <x:c r="D33" s="483"/>
      <x:c r="E33" s="483"/>
      <x:c r="F33" s="483"/>
      <x:c r="G33" s="484"/>
      <x:c r="H33" s="484"/>
      <x:c r="I33" s="485"/>
      <x:c r="J33" s="485"/>
      <x:c r="K33" s="484"/>
      <x:c r="L33" s="483"/>
      <x:c r="M33" s="477"/>
      <x:c r="N33" s="112" t="str">
        <x:f>IF(COUNTA($A33:$M33)=0,"",IF(OR(LOWER($F33&amp;"")="subscription",LOWER($F33&amp;"")="membership"),"",IF($G33="","",IF(ISNUMBER(SEARCH("non",LOWER($E33&amp;""))),$G33*0.85,$G33))))</x:f>
      </x:c>
      <x:c r="O33" s="112" t="str">
        <x:f>IF(COUNTA($A33:$M33)=0,"",IF(OR(LOWER($F33&amp;"")="subscription",LOWER($F33&amp;"")="membership"),"",IF(OR($N33="",$I33="",$I33=0),"",IFERROR($N33/$I33,""))))</x:f>
      </x:c>
      <x:c r="P33" s="112" t="str">
        <x:f>IF(COUNTA($A33:$M33)=0,"",IF(OR(LOWER($F33&amp;"")="subscription",LOWER($F33&amp;"")="membership"),"",IF(LOWER($L33&amp;"")="yes",0,IF($K33&lt;&gt;"",$K33,IF($O33&lt;&gt;"",$O33,"")))))</x:f>
      </x:c>
      <x:c r="Q33" s="112" t="str">
        <x:f>IF(COUNTA($A33:$M33)=0,"",IF(OR($U33="Subscription",$U33=""),"",IF($U33="Profit",ROUND($P33-$H33,2),0)))</x:f>
      </x:c>
      <x:c r="R33" s="112" t="str">
        <x:f>IF(COUNTA($A33:$M33)=0,"",IF(OR($U33="Subscription",$U33=""),"",IF($U33="Draw",$H33,0)))</x:f>
      </x:c>
      <x:c r="S33" s="112" t="str">
        <x:f>IF(COUNTA($A33:$M33)=0,"",IF(OR($U33="Subscription",$U33=""),"",IF($U33="Disqualified",$H33,0)))</x:f>
      </x:c>
      <x:c r="T33" s="116" t="str">
        <x:f>IF(COUNTA($A33:$M33)=0,"",IF(OR($U33="Subscription",$U33=""),"",IF($H33=0,0,IF($U33="Profit",$Q33/$H33,IF($U33="Disqualified",-$S33/$H33,0)))))</x:f>
      </x:c>
      <x:c r="U33" s="290" t="str">
        <x:f>IF(COUNTA($A33:$M33)=0,"",IF(OR(LOWER($F33&amp;"")="subscription",LOWER($F33&amp;"")="membership"),"Subscription",IF(LOWER($L33&amp;"")="yes","Disqualified",IF(OR(LOWER($F33&amp;"")="free game",LOWER($F33&amp;"")="free"),IF(AND(ISNUMBER($P33),ISNUMBER($H33),$P33&gt;$H33),"Profit","Free Game"),IF($P33="","",IF(ROUND(IFERROR(VALUE($P33),0)-IFERROR(VALUE($H33),0),2)&gt;0,"Profit","Draw"))))))</x:f>
      </x:c>
      <x:c r="V33" s="144" t="str">
        <x:f>IF(COUNTA($A33:$M33)=0,"",IF(OR($B33="",$C33="",$U33="Subscription"),"",IFERROR(ROUNDUP(($C33-$B33)/7,0),"")))</x:f>
      </x:c>
      <x:c r="W33" s="112" t="str">
        <x:f>IF(COUNTA($A33:$M33)=0,"",IF(OR($U33="Subscription",$U33=""),"",ROUND(IFERROR($Q33,0)-IFERROR($S33,0),2)))</x:f>
      </x:c>
      <x:c r="X33" s="144" t="str">
        <x:f>IF(COUNTA($A33:$M33)=0,"",IF(OR($U33="Subscription",$U33="Free Game",NOT(ISNUMBER($J33)),NOT(ISNUMBER($I33)),$J33=0,$I33=0,$I33&gt;$J33),"",$J33-$I33))</x:f>
      </x:c>
      <x:c r="Y33" s="116" t="str">
        <x:f>IF(COUNTA($A33:$M33)=0,"",IF(OR($U33="Subscription",$U33="Free Game",NOT(ISNUMBER($J33)),$J33=0,$X33=""),"",$X33/$J33))</x:f>
      </x:c>
      <x:c r="Z33" s="118" t="str">
        <x:f>IF(COUNTA($A33:$M33)=0,"",Instructions!$B$29+SUM($W$5:W33))</x:f>
      </x:c>
    </x:row>
    <x:row r="34" ht="30" customHeight="1">
      <x:c r="A34" s="477"/>
      <x:c r="B34" s="482"/>
      <x:c r="C34" s="482"/>
      <x:c r="D34" s="483"/>
      <x:c r="E34" s="483"/>
      <x:c r="F34" s="483"/>
      <x:c r="G34" s="484"/>
      <x:c r="H34" s="484"/>
      <x:c r="I34" s="485"/>
      <x:c r="J34" s="485"/>
      <x:c r="K34" s="484"/>
      <x:c r="L34" s="483"/>
      <x:c r="M34" s="477"/>
      <x:c r="N34" s="112" t="str">
        <x:f>IF(COUNTA($A34:$M34)=0,"",IF(OR(LOWER($F34&amp;"")="subscription",LOWER($F34&amp;"")="membership"),"",IF($G34="","",IF(ISNUMBER(SEARCH("non",LOWER($E34&amp;""))),$G34*0.85,$G34))))</x:f>
      </x:c>
      <x:c r="O34" s="112" t="str">
        <x:f>IF(COUNTA($A34:$M34)=0,"",IF(OR(LOWER($F34&amp;"")="subscription",LOWER($F34&amp;"")="membership"),"",IF(OR($N34="",$I34="",$I34=0),"",IFERROR($N34/$I34,""))))</x:f>
      </x:c>
      <x:c r="P34" s="112" t="str">
        <x:f>IF(COUNTA($A34:$M34)=0,"",IF(OR(LOWER($F34&amp;"")="subscription",LOWER($F34&amp;"")="membership"),"",IF(LOWER($L34&amp;"")="yes",0,IF($K34&lt;&gt;"",$K34,IF($O34&lt;&gt;"",$O34,"")))))</x:f>
      </x:c>
      <x:c r="Q34" s="112" t="str">
        <x:f>IF(COUNTA($A34:$M34)=0,"",IF(OR($U34="Subscription",$U34=""),"",IF($U34="Profit",ROUND($P34-$H34,2),0)))</x:f>
      </x:c>
      <x:c r="R34" s="112" t="str">
        <x:f>IF(COUNTA($A34:$M34)=0,"",IF(OR($U34="Subscription",$U34=""),"",IF($U34="Draw",$H34,0)))</x:f>
      </x:c>
      <x:c r="S34" s="112" t="str">
        <x:f>IF(COUNTA($A34:$M34)=0,"",IF(OR($U34="Subscription",$U34=""),"",IF($U34="Disqualified",$H34,0)))</x:f>
      </x:c>
      <x:c r="T34" s="116" t="str">
        <x:f>IF(COUNTA($A34:$M34)=0,"",IF(OR($U34="Subscription",$U34=""),"",IF($H34=0,0,IF($U34="Profit",$Q34/$H34,IF($U34="Disqualified",-$S34/$H34,0)))))</x:f>
      </x:c>
      <x:c r="U34" s="290" t="str">
        <x:f>IF(COUNTA($A34:$M34)=0,"",IF(OR(LOWER($F34&amp;"")="subscription",LOWER($F34&amp;"")="membership"),"Subscription",IF(LOWER($L34&amp;"")="yes","Disqualified",IF(OR(LOWER($F34&amp;"")="free game",LOWER($F34&amp;"")="free"),IF(AND(ISNUMBER($P34),ISNUMBER($H34),$P34&gt;$H34),"Profit","Free Game"),IF($P34="","",IF(ROUND(IFERROR(VALUE($P34),0)-IFERROR(VALUE($H34),0),2)&gt;0,"Profit","Draw"))))))</x:f>
      </x:c>
      <x:c r="V34" s="144" t="str">
        <x:f>IF(COUNTA($A34:$M34)=0,"",IF(OR($B34="",$C34="",$U34="Subscription"),"",IFERROR(ROUNDUP(($C34-$B34)/7,0),"")))</x:f>
      </x:c>
      <x:c r="W34" s="112" t="str">
        <x:f>IF(COUNTA($A34:$M34)=0,"",IF(OR($U34="Subscription",$U34=""),"",ROUND(IFERROR($Q34,0)-IFERROR($S34,0),2)))</x:f>
      </x:c>
      <x:c r="X34" s="144" t="str">
        <x:f>IF(COUNTA($A34:$M34)=0,"",IF(OR($U34="Subscription",$U34="Free Game",NOT(ISNUMBER($J34)),NOT(ISNUMBER($I34)),$J34=0,$I34=0,$I34&gt;$J34),"",$J34-$I34))</x:f>
      </x:c>
      <x:c r="Y34" s="116" t="str">
        <x:f>IF(COUNTA($A34:$M34)=0,"",IF(OR($U34="Subscription",$U34="Free Game",NOT(ISNUMBER($J34)),$J34=0,$X34=""),"",$X34/$J34))</x:f>
      </x:c>
      <x:c r="Z34" s="118" t="str">
        <x:f>IF(COUNTA($A34:$M34)=0,"",Instructions!$B$29+SUM($W$5:W34))</x:f>
      </x:c>
    </x:row>
    <x:row r="35" ht="30" customHeight="1">
      <x:c r="A35" s="477"/>
      <x:c r="B35" s="482"/>
      <x:c r="C35" s="482"/>
      <x:c r="D35" s="483"/>
      <x:c r="E35" s="483"/>
      <x:c r="F35" s="483"/>
      <x:c r="G35" s="484"/>
      <x:c r="H35" s="484"/>
      <x:c r="I35" s="485"/>
      <x:c r="J35" s="485"/>
      <x:c r="K35" s="484"/>
      <x:c r="L35" s="483"/>
      <x:c r="M35" s="477"/>
      <x:c r="N35" s="112" t="str">
        <x:f>IF(COUNTA($A35:$M35)=0,"",IF(OR(LOWER($F35&amp;"")="subscription",LOWER($F35&amp;"")="membership"),"",IF($G35="","",IF(ISNUMBER(SEARCH("non",LOWER($E35&amp;""))),$G35*0.85,$G35))))</x:f>
      </x:c>
      <x:c r="O35" s="112" t="str">
        <x:f>IF(COUNTA($A35:$M35)=0,"",IF(OR(LOWER($F35&amp;"")="subscription",LOWER($F35&amp;"")="membership"),"",IF(OR($N35="",$I35="",$I35=0),"",IFERROR($N35/$I35,""))))</x:f>
      </x:c>
      <x:c r="P35" s="112" t="str">
        <x:f>IF(COUNTA($A35:$M35)=0,"",IF(OR(LOWER($F35&amp;"")="subscription",LOWER($F35&amp;"")="membership"),"",IF(LOWER($L35&amp;"")="yes",0,IF($K35&lt;&gt;"",$K35,IF($O35&lt;&gt;"",$O35,"")))))</x:f>
      </x:c>
      <x:c r="Q35" s="112" t="str">
        <x:f>IF(COUNTA($A35:$M35)=0,"",IF(OR($U35="Subscription",$U35=""),"",IF($U35="Profit",ROUND($P35-$H35,2),0)))</x:f>
      </x:c>
      <x:c r="R35" s="112" t="str">
        <x:f>IF(COUNTA($A35:$M35)=0,"",IF(OR($U35="Subscription",$U35=""),"",IF($U35="Draw",$H35,0)))</x:f>
      </x:c>
      <x:c r="S35" s="112" t="str">
        <x:f>IF(COUNTA($A35:$M35)=0,"",IF(OR($U35="Subscription",$U35=""),"",IF($U35="Disqualified",$H35,0)))</x:f>
      </x:c>
      <x:c r="T35" s="116" t="str">
        <x:f>IF(COUNTA($A35:$M35)=0,"",IF(OR($U35="Subscription",$U35=""),"",IF($H35=0,0,IF($U35="Profit",$Q35/$H35,IF($U35="Disqualified",-$S35/$H35,0)))))</x:f>
      </x:c>
      <x:c r="U35" s="290" t="str">
        <x:f>IF(COUNTA($A35:$M35)=0,"",IF(OR(LOWER($F35&amp;"")="subscription",LOWER($F35&amp;"")="membership"),"Subscription",IF(LOWER($L35&amp;"")="yes","Disqualified",IF(OR(LOWER($F35&amp;"")="free game",LOWER($F35&amp;"")="free"),IF(AND(ISNUMBER($P35),ISNUMBER($H35),$P35&gt;$H35),"Profit","Free Game"),IF($P35="","",IF(ROUND(IFERROR(VALUE($P35),0)-IFERROR(VALUE($H35),0),2)&gt;0,"Profit","Draw"))))))</x:f>
      </x:c>
      <x:c r="V35" s="144" t="str">
        <x:f>IF(COUNTA($A35:$M35)=0,"",IF(OR($B35="",$C35="",$U35="Subscription"),"",IFERROR(ROUNDUP(($C35-$B35)/7,0),"")))</x:f>
      </x:c>
      <x:c r="W35" s="112" t="str">
        <x:f>IF(COUNTA($A35:$M35)=0,"",IF(OR($U35="Subscription",$U35=""),"",ROUND(IFERROR($Q35,0)-IFERROR($S35,0),2)))</x:f>
      </x:c>
      <x:c r="X35" s="144" t="str">
        <x:f>IF(COUNTA($A35:$M35)=0,"",IF(OR($U35="Subscription",$U35="Free Game",NOT(ISNUMBER($J35)),NOT(ISNUMBER($I35)),$J35=0,$I35=0,$I35&gt;$J35),"",$J35-$I35))</x:f>
      </x:c>
      <x:c r="Y35" s="116" t="str">
        <x:f>IF(COUNTA($A35:$M35)=0,"",IF(OR($U35="Subscription",$U35="Free Game",NOT(ISNUMBER($J35)),$J35=0,$X35=""),"",$X35/$J35))</x:f>
      </x:c>
      <x:c r="Z35" s="118" t="str">
        <x:f>IF(COUNTA($A35:$M35)=0,"",Instructions!$B$29+SUM($W$5:W35))</x:f>
      </x:c>
    </x:row>
    <x:row r="36" ht="30" customHeight="1">
      <x:c r="A36" s="477"/>
      <x:c r="B36" s="482"/>
      <x:c r="C36" s="482"/>
      <x:c r="D36" s="483"/>
      <x:c r="E36" s="483"/>
      <x:c r="F36" s="483"/>
      <x:c r="G36" s="484"/>
      <x:c r="H36" s="484"/>
      <x:c r="I36" s="485"/>
      <x:c r="J36" s="485"/>
      <x:c r="K36" s="484"/>
      <x:c r="L36" s="483"/>
      <x:c r="M36" s="477"/>
      <x:c r="N36" s="112" t="str">
        <x:f>IF(COUNTA($A36:$M36)=0,"",IF(OR(LOWER($F36&amp;"")="subscription",LOWER($F36&amp;"")="membership"),"",IF($G36="","",IF(ISNUMBER(SEARCH("non",LOWER($E36&amp;""))),$G36*0.85,$G36))))</x:f>
      </x:c>
      <x:c r="O36" s="112" t="str">
        <x:f>IF(COUNTA($A36:$M36)=0,"",IF(OR(LOWER($F36&amp;"")="subscription",LOWER($F36&amp;"")="membership"),"",IF(OR($N36="",$I36="",$I36=0),"",IFERROR($N36/$I36,""))))</x:f>
      </x:c>
      <x:c r="P36" s="112" t="str">
        <x:f>IF(COUNTA($A36:$M36)=0,"",IF(OR(LOWER($F36&amp;"")="subscription",LOWER($F36&amp;"")="membership"),"",IF(LOWER($L36&amp;"")="yes",0,IF($K36&lt;&gt;"",$K36,IF($O36&lt;&gt;"",$O36,"")))))</x:f>
      </x:c>
      <x:c r="Q36" s="112" t="str">
        <x:f>IF(COUNTA($A36:$M36)=0,"",IF(OR($U36="Subscription",$U36=""),"",IF($U36="Profit",ROUND($P36-$H36,2),0)))</x:f>
      </x:c>
      <x:c r="R36" s="112" t="str">
        <x:f>IF(COUNTA($A36:$M36)=0,"",IF(OR($U36="Subscription",$U36=""),"",IF($U36="Draw",$H36,0)))</x:f>
      </x:c>
      <x:c r="S36" s="112" t="str">
        <x:f>IF(COUNTA($A36:$M36)=0,"",IF(OR($U36="Subscription",$U36=""),"",IF($U36="Disqualified",$H36,0)))</x:f>
      </x:c>
      <x:c r="T36" s="116" t="str">
        <x:f>IF(COUNTA($A36:$M36)=0,"",IF(OR($U36="Subscription",$U36=""),"",IF($H36=0,0,IF($U36="Profit",$Q36/$H36,IF($U36="Disqualified",-$S36/$H36,0)))))</x:f>
      </x:c>
      <x:c r="U36" s="290" t="str">
        <x:f>IF(COUNTA($A36:$M36)=0,"",IF(OR(LOWER($F36&amp;"")="subscription",LOWER($F36&amp;"")="membership"),"Subscription",IF(LOWER($L36&amp;"")="yes","Disqualified",IF(OR(LOWER($F36&amp;"")="free game",LOWER($F36&amp;"")="free"),IF(AND(ISNUMBER($P36),ISNUMBER($H36),$P36&gt;$H36),"Profit","Free Game"),IF($P36="","",IF(ROUND(IFERROR(VALUE($P36),0)-IFERROR(VALUE($H36),0),2)&gt;0,"Profit","Draw"))))))</x:f>
      </x:c>
      <x:c r="V36" s="144" t="str">
        <x:f>IF(COUNTA($A36:$M36)=0,"",IF(OR($B36="",$C36="",$U36="Subscription"),"",IFERROR(ROUNDUP(($C36-$B36)/7,0),"")))</x:f>
      </x:c>
      <x:c r="W36" s="112" t="str">
        <x:f>IF(COUNTA($A36:$M36)=0,"",IF(OR($U36="Subscription",$U36=""),"",ROUND(IFERROR($Q36,0)-IFERROR($S36,0),2)))</x:f>
      </x:c>
      <x:c r="X36" s="144" t="str">
        <x:f>IF(COUNTA($A36:$M36)=0,"",IF(OR($U36="Subscription",$U36="Free Game",NOT(ISNUMBER($J36)),NOT(ISNUMBER($I36)),$J36=0,$I36=0,$I36&gt;$J36),"",$J36-$I36))</x:f>
      </x:c>
      <x:c r="Y36" s="116" t="str">
        <x:f>IF(COUNTA($A36:$M36)=0,"",IF(OR($U36="Subscription",$U36="Free Game",NOT(ISNUMBER($J36)),$J36=0,$X36=""),"",$X36/$J36))</x:f>
      </x:c>
      <x:c r="Z36" s="118" t="str">
        <x:f>IF(COUNTA($A36:$M36)=0,"",Instructions!$B$29+SUM($W$5:W36))</x:f>
      </x:c>
    </x:row>
    <x:row r="37" ht="30" customHeight="1">
      <x:c r="A37" s="477"/>
      <x:c r="B37" s="482"/>
      <x:c r="C37" s="482"/>
      <x:c r="D37" s="483"/>
      <x:c r="E37" s="483"/>
      <x:c r="F37" s="483"/>
      <x:c r="G37" s="484"/>
      <x:c r="H37" s="484"/>
      <x:c r="I37" s="485"/>
      <x:c r="J37" s="485"/>
      <x:c r="K37" s="484"/>
      <x:c r="L37" s="483"/>
      <x:c r="M37" s="477"/>
      <x:c r="N37" s="112" t="str">
        <x:f>IF(COUNTA($A37:$M37)=0,"",IF(OR(LOWER($F37&amp;"")="subscription",LOWER($F37&amp;"")="membership"),"",IF($G37="","",IF(ISNUMBER(SEARCH("non",LOWER($E37&amp;""))),$G37*0.85,$G37))))</x:f>
      </x:c>
      <x:c r="O37" s="112" t="str">
        <x:f>IF(COUNTA($A37:$M37)=0,"",IF(OR(LOWER($F37&amp;"")="subscription",LOWER($F37&amp;"")="membership"),"",IF(OR($N37="",$I37="",$I37=0),"",IFERROR($N37/$I37,""))))</x:f>
      </x:c>
      <x:c r="P37" s="112" t="str">
        <x:f>IF(COUNTA($A37:$M37)=0,"",IF(OR(LOWER($F37&amp;"")="subscription",LOWER($F37&amp;"")="membership"),"",IF(LOWER($L37&amp;"")="yes",0,IF($K37&lt;&gt;"",$K37,IF($O37&lt;&gt;"",$O37,"")))))</x:f>
      </x:c>
      <x:c r="Q37" s="112" t="str">
        <x:f>IF(COUNTA($A37:$M37)=0,"",IF(OR($U37="Subscription",$U37=""),"",IF($U37="Profit",ROUND($P37-$H37,2),0)))</x:f>
      </x:c>
      <x:c r="R37" s="112" t="str">
        <x:f>IF(COUNTA($A37:$M37)=0,"",IF(OR($U37="Subscription",$U37=""),"",IF($U37="Draw",$H37,0)))</x:f>
      </x:c>
      <x:c r="S37" s="112" t="str">
        <x:f>IF(COUNTA($A37:$M37)=0,"",IF(OR($U37="Subscription",$U37=""),"",IF($U37="Disqualified",$H37,0)))</x:f>
      </x:c>
      <x:c r="T37" s="116" t="str">
        <x:f>IF(COUNTA($A37:$M37)=0,"",IF(OR($U37="Subscription",$U37=""),"",IF($H37=0,0,IF($U37="Profit",$Q37/$H37,IF($U37="Disqualified",-$S37/$H37,0)))))</x:f>
      </x:c>
      <x:c r="U37" s="290" t="str">
        <x:f>IF(COUNTA($A37:$M37)=0,"",IF(OR(LOWER($F37&amp;"")="subscription",LOWER($F37&amp;"")="membership"),"Subscription",IF(LOWER($L37&amp;"")="yes","Disqualified",IF(OR(LOWER($F37&amp;"")="free game",LOWER($F37&amp;"")="free"),IF(AND(ISNUMBER($P37),ISNUMBER($H37),$P37&gt;$H37),"Profit","Free Game"),IF($P37="","",IF(ROUND(IFERROR(VALUE($P37),0)-IFERROR(VALUE($H37),0),2)&gt;0,"Profit","Draw"))))))</x:f>
      </x:c>
      <x:c r="V37" s="144" t="str">
        <x:f>IF(COUNTA($A37:$M37)=0,"",IF(OR($B37="",$C37="",$U37="Subscription"),"",IFERROR(ROUNDUP(($C37-$B37)/7,0),"")))</x:f>
      </x:c>
      <x:c r="W37" s="112" t="str">
        <x:f>IF(COUNTA($A37:$M37)=0,"",IF(OR($U37="Subscription",$U37=""),"",ROUND(IFERROR($Q37,0)-IFERROR($S37,0),2)))</x:f>
      </x:c>
      <x:c r="X37" s="144" t="str">
        <x:f>IF(COUNTA($A37:$M37)=0,"",IF(OR($U37="Subscription",$U37="Free Game",NOT(ISNUMBER($J37)),NOT(ISNUMBER($I37)),$J37=0,$I37=0,$I37&gt;$J37),"",$J37-$I37))</x:f>
      </x:c>
      <x:c r="Y37" s="116" t="str">
        <x:f>IF(COUNTA($A37:$M37)=0,"",IF(OR($U37="Subscription",$U37="Free Game",NOT(ISNUMBER($J37)),$J37=0,$X37=""),"",$X37/$J37))</x:f>
      </x:c>
      <x:c r="Z37" s="118" t="str">
        <x:f>IF(COUNTA($A37:$M37)=0,"",Instructions!$B$29+SUM($W$5:W37))</x:f>
      </x:c>
    </x:row>
    <x:row r="38" ht="30" customHeight="1">
      <x:c r="A38" s="477"/>
      <x:c r="B38" s="482"/>
      <x:c r="C38" s="482"/>
      <x:c r="D38" s="483"/>
      <x:c r="E38" s="483"/>
      <x:c r="F38" s="483"/>
      <x:c r="G38" s="484"/>
      <x:c r="H38" s="484"/>
      <x:c r="I38" s="485"/>
      <x:c r="J38" s="485"/>
      <x:c r="K38" s="484"/>
      <x:c r="L38" s="483"/>
      <x:c r="M38" s="477"/>
      <x:c r="N38" s="112" t="str">
        <x:f>IF(COUNTA($A38:$M38)=0,"",IF(OR(LOWER($F38&amp;"")="subscription",LOWER($F38&amp;"")="membership"),"",IF($G38="","",IF(ISNUMBER(SEARCH("non",LOWER($E38&amp;""))),$G38*0.85,$G38))))</x:f>
      </x:c>
      <x:c r="O38" s="112" t="str">
        <x:f>IF(COUNTA($A38:$M38)=0,"",IF(OR(LOWER($F38&amp;"")="subscription",LOWER($F38&amp;"")="membership"),"",IF(OR($N38="",$I38="",$I38=0),"",IFERROR($N38/$I38,""))))</x:f>
      </x:c>
      <x:c r="P38" s="112" t="str">
        <x:f>IF(COUNTA($A38:$M38)=0,"",IF(OR(LOWER($F38&amp;"")="subscription",LOWER($F38&amp;"")="membership"),"",IF(LOWER($L38&amp;"")="yes",0,IF($K38&lt;&gt;"",$K38,IF($O38&lt;&gt;"",$O38,"")))))</x:f>
      </x:c>
      <x:c r="Q38" s="112" t="str">
        <x:f>IF(COUNTA($A38:$M38)=0,"",IF(OR($U38="Subscription",$U38=""),"",IF($U38="Profit",ROUND($P38-$H38,2),0)))</x:f>
      </x:c>
      <x:c r="R38" s="112" t="str">
        <x:f>IF(COUNTA($A38:$M38)=0,"",IF(OR($U38="Subscription",$U38=""),"",IF($U38="Draw",$H38,0)))</x:f>
      </x:c>
      <x:c r="S38" s="112" t="str">
        <x:f>IF(COUNTA($A38:$M38)=0,"",IF(OR($U38="Subscription",$U38=""),"",IF($U38="Disqualified",$H38,0)))</x:f>
      </x:c>
      <x:c r="T38" s="116" t="str">
        <x:f>IF(COUNTA($A38:$M38)=0,"",IF(OR($U38="Subscription",$U38=""),"",IF($H38=0,0,IF($U38="Profit",$Q38/$H38,IF($U38="Disqualified",-$S38/$H38,0)))))</x:f>
      </x:c>
      <x:c r="U38" s="290" t="str">
        <x:f>IF(COUNTA($A38:$M38)=0,"",IF(OR(LOWER($F38&amp;"")="subscription",LOWER($F38&amp;"")="membership"),"Subscription",IF(LOWER($L38&amp;"")="yes","Disqualified",IF(OR(LOWER($F38&amp;"")="free game",LOWER($F38&amp;"")="free"),IF(AND(ISNUMBER($P38),ISNUMBER($H38),$P38&gt;$H38),"Profit","Free Game"),IF($P38="","",IF(ROUND(IFERROR(VALUE($P38),0)-IFERROR(VALUE($H38),0),2)&gt;0,"Profit","Draw"))))))</x:f>
      </x:c>
      <x:c r="V38" s="144" t="str">
        <x:f>IF(COUNTA($A38:$M38)=0,"",IF(OR($B38="",$C38="",$U38="Subscription"),"",IFERROR(ROUNDUP(($C38-$B38)/7,0),"")))</x:f>
      </x:c>
      <x:c r="W38" s="112" t="str">
        <x:f>IF(COUNTA($A38:$M38)=0,"",IF(OR($U38="Subscription",$U38=""),"",ROUND(IFERROR($Q38,0)-IFERROR($S38,0),2)))</x:f>
      </x:c>
      <x:c r="X38" s="144" t="str">
        <x:f>IF(COUNTA($A38:$M38)=0,"",IF(OR($U38="Subscription",$U38="Free Game",NOT(ISNUMBER($J38)),NOT(ISNUMBER($I38)),$J38=0,$I38=0,$I38&gt;$J38),"",$J38-$I38))</x:f>
      </x:c>
      <x:c r="Y38" s="116" t="str">
        <x:f>IF(COUNTA($A38:$M38)=0,"",IF(OR($U38="Subscription",$U38="Free Game",NOT(ISNUMBER($J38)),$J38=0,$X38=""),"",$X38/$J38))</x:f>
      </x:c>
      <x:c r="Z38" s="118" t="str">
        <x:f>IF(COUNTA($A38:$M38)=0,"",Instructions!$B$29+SUM($W$5:W38))</x:f>
      </x:c>
    </x:row>
    <x:row r="39" ht="30" customHeight="1">
      <x:c r="A39" s="477"/>
      <x:c r="B39" s="482"/>
      <x:c r="C39" s="482"/>
      <x:c r="D39" s="483"/>
      <x:c r="E39" s="483"/>
      <x:c r="F39" s="483"/>
      <x:c r="G39" s="484"/>
      <x:c r="H39" s="484"/>
      <x:c r="I39" s="485"/>
      <x:c r="J39" s="485"/>
      <x:c r="K39" s="484"/>
      <x:c r="L39" s="483"/>
      <x:c r="M39" s="477"/>
      <x:c r="N39" s="112" t="str">
        <x:f>IF(COUNTA($A39:$M39)=0,"",IF(OR(LOWER($F39&amp;"")="subscription",LOWER($F39&amp;"")="membership"),"",IF($G39="","",IF(ISNUMBER(SEARCH("non",LOWER($E39&amp;""))),$G39*0.85,$G39))))</x:f>
      </x:c>
      <x:c r="O39" s="112" t="str">
        <x:f>IF(COUNTA($A39:$M39)=0,"",IF(OR(LOWER($F39&amp;"")="subscription",LOWER($F39&amp;"")="membership"),"",IF(OR($N39="",$I39="",$I39=0),"",IFERROR($N39/$I39,""))))</x:f>
      </x:c>
      <x:c r="P39" s="112" t="str">
        <x:f>IF(COUNTA($A39:$M39)=0,"",IF(OR(LOWER($F39&amp;"")="subscription",LOWER($F39&amp;"")="membership"),"",IF(LOWER($L39&amp;"")="yes",0,IF($K39&lt;&gt;"",$K39,IF($O39&lt;&gt;"",$O39,"")))))</x:f>
      </x:c>
      <x:c r="Q39" s="112" t="str">
        <x:f>IF(COUNTA($A39:$M39)=0,"",IF(OR($U39="Subscription",$U39=""),"",IF($U39="Profit",ROUND($P39-$H39,2),0)))</x:f>
      </x:c>
      <x:c r="R39" s="112" t="str">
        <x:f>IF(COUNTA($A39:$M39)=0,"",IF(OR($U39="Subscription",$U39=""),"",IF($U39="Draw",$H39,0)))</x:f>
      </x:c>
      <x:c r="S39" s="112" t="str">
        <x:f>IF(COUNTA($A39:$M39)=0,"",IF(OR($U39="Subscription",$U39=""),"",IF($U39="Disqualified",$H39,0)))</x:f>
      </x:c>
      <x:c r="T39" s="116" t="str">
        <x:f>IF(COUNTA($A39:$M39)=0,"",IF(OR($U39="Subscription",$U39=""),"",IF($H39=0,0,IF($U39="Profit",$Q39/$H39,IF($U39="Disqualified",-$S39/$H39,0)))))</x:f>
      </x:c>
      <x:c r="U39" s="290" t="str">
        <x:f>IF(COUNTA($A39:$M39)=0,"",IF(OR(LOWER($F39&amp;"")="subscription",LOWER($F39&amp;"")="membership"),"Subscription",IF(LOWER($L39&amp;"")="yes","Disqualified",IF(OR(LOWER($F39&amp;"")="free game",LOWER($F39&amp;"")="free"),IF(AND(ISNUMBER($P39),ISNUMBER($H39),$P39&gt;$H39),"Profit","Free Game"),IF($P39="","",IF(ROUND(IFERROR(VALUE($P39),0)-IFERROR(VALUE($H39),0),2)&gt;0,"Profit","Draw"))))))</x:f>
      </x:c>
      <x:c r="V39" s="144" t="str">
        <x:f>IF(COUNTA($A39:$M39)=0,"",IF(OR($B39="",$C39="",$U39="Subscription"),"",IFERROR(ROUNDUP(($C39-$B39)/7,0),"")))</x:f>
      </x:c>
      <x:c r="W39" s="112" t="str">
        <x:f>IF(COUNTA($A39:$M39)=0,"",IF(OR($U39="Subscription",$U39=""),"",ROUND(IFERROR($Q39,0)-IFERROR($S39,0),2)))</x:f>
      </x:c>
      <x:c r="X39" s="144" t="str">
        <x:f>IF(COUNTA($A39:$M39)=0,"",IF(OR($U39="Subscription",$U39="Free Game",NOT(ISNUMBER($J39)),NOT(ISNUMBER($I39)),$J39=0,$I39=0,$I39&gt;$J39),"",$J39-$I39))</x:f>
      </x:c>
      <x:c r="Y39" s="116" t="str">
        <x:f>IF(COUNTA($A39:$M39)=0,"",IF(OR($U39="Subscription",$U39="Free Game",NOT(ISNUMBER($J39)),$J39=0,$X39=""),"",$X39/$J39))</x:f>
      </x:c>
      <x:c r="Z39" s="118" t="str">
        <x:f>IF(COUNTA($A39:$M39)=0,"",Instructions!$B$29+SUM($W$5:W39))</x:f>
      </x:c>
    </x:row>
    <x:row r="40" ht="30" customHeight="1">
      <x:c r="A40" s="477"/>
      <x:c r="B40" s="482"/>
      <x:c r="C40" s="482"/>
      <x:c r="D40" s="483"/>
      <x:c r="E40" s="483"/>
      <x:c r="F40" s="483"/>
      <x:c r="G40" s="484"/>
      <x:c r="H40" s="484"/>
      <x:c r="I40" s="485"/>
      <x:c r="J40" s="485"/>
      <x:c r="K40" s="484"/>
      <x:c r="L40" s="483"/>
      <x:c r="M40" s="477"/>
      <x:c r="N40" s="112" t="str">
        <x:f>IF(COUNTA($A40:$M40)=0,"",IF(OR(LOWER($F40&amp;"")="subscription",LOWER($F40&amp;"")="membership"),"",IF($G40="","",IF(ISNUMBER(SEARCH("non",LOWER($E40&amp;""))),$G40*0.85,$G40))))</x:f>
      </x:c>
      <x:c r="O40" s="112" t="str">
        <x:f>IF(COUNTA($A40:$M40)=0,"",IF(OR(LOWER($F40&amp;"")="subscription",LOWER($F40&amp;"")="membership"),"",IF(OR($N40="",$I40="",$I40=0),"",IFERROR($N40/$I40,""))))</x:f>
      </x:c>
      <x:c r="P40" s="112" t="str">
        <x:f>IF(COUNTA($A40:$M40)=0,"",IF(OR(LOWER($F40&amp;"")="subscription",LOWER($F40&amp;"")="membership"),"",IF(LOWER($L40&amp;"")="yes",0,IF($K40&lt;&gt;"",$K40,IF($O40&lt;&gt;"",$O40,"")))))</x:f>
      </x:c>
      <x:c r="Q40" s="112" t="str">
        <x:f>IF(COUNTA($A40:$M40)=0,"",IF(OR($U40="Subscription",$U40=""),"",IF($U40="Profit",ROUND($P40-$H40,2),0)))</x:f>
      </x:c>
      <x:c r="R40" s="112" t="str">
        <x:f>IF(COUNTA($A40:$M40)=0,"",IF(OR($U40="Subscription",$U40=""),"",IF($U40="Draw",$H40,0)))</x:f>
      </x:c>
      <x:c r="S40" s="112" t="str">
        <x:f>IF(COUNTA($A40:$M40)=0,"",IF(OR($U40="Subscription",$U40=""),"",IF($U40="Disqualified",$H40,0)))</x:f>
      </x:c>
      <x:c r="T40" s="116" t="str">
        <x:f>IF(COUNTA($A40:$M40)=0,"",IF(OR($U40="Subscription",$U40=""),"",IF($H40=0,0,IF($U40="Profit",$Q40/$H40,IF($U40="Disqualified",-$S40/$H40,0)))))</x:f>
      </x:c>
      <x:c r="U40" s="290" t="str">
        <x:f>IF(COUNTA($A40:$M40)=0,"",IF(OR(LOWER($F40&amp;"")="subscription",LOWER($F40&amp;"")="membership"),"Subscription",IF(LOWER($L40&amp;"")="yes","Disqualified",IF(OR(LOWER($F40&amp;"")="free game",LOWER($F40&amp;"")="free"),IF(AND(ISNUMBER($P40),ISNUMBER($H40),$P40&gt;$H40),"Profit","Free Game"),IF($P40="","",IF(ROUND(IFERROR(VALUE($P40),0)-IFERROR(VALUE($H40),0),2)&gt;0,"Profit","Draw"))))))</x:f>
      </x:c>
      <x:c r="V40" s="144" t="str">
        <x:f>IF(COUNTA($A40:$M40)=0,"",IF(OR($B40="",$C40="",$U40="Subscription"),"",IFERROR(ROUNDUP(($C40-$B40)/7,0),"")))</x:f>
      </x:c>
      <x:c r="W40" s="112" t="str">
        <x:f>IF(COUNTA($A40:$M40)=0,"",IF(OR($U40="Subscription",$U40=""),"",ROUND(IFERROR($Q40,0)-IFERROR($S40,0),2)))</x:f>
      </x:c>
      <x:c r="X40" s="144" t="str">
        <x:f>IF(COUNTA($A40:$M40)=0,"",IF(OR($U40="Subscription",$U40="Free Game",NOT(ISNUMBER($J40)),NOT(ISNUMBER($I40)),$J40=0,$I40=0,$I40&gt;$J40),"",$J40-$I40))</x:f>
      </x:c>
      <x:c r="Y40" s="116" t="str">
        <x:f>IF(COUNTA($A40:$M40)=0,"",IF(OR($U40="Subscription",$U40="Free Game",NOT(ISNUMBER($J40)),$J40=0,$X40=""),"",$X40/$J40))</x:f>
      </x:c>
      <x:c r="Z40" s="118" t="str">
        <x:f>IF(COUNTA($A40:$M40)=0,"",Instructions!$B$29+SUM($W$5:W40))</x:f>
      </x:c>
    </x:row>
    <x:row r="41" ht="30" customHeight="1">
      <x:c r="A41" s="477"/>
      <x:c r="B41" s="482"/>
      <x:c r="C41" s="482"/>
      <x:c r="D41" s="483"/>
      <x:c r="E41" s="483"/>
      <x:c r="F41" s="483"/>
      <x:c r="G41" s="484"/>
      <x:c r="H41" s="484"/>
      <x:c r="I41" s="485"/>
      <x:c r="J41" s="485"/>
      <x:c r="K41" s="484"/>
      <x:c r="L41" s="483"/>
      <x:c r="M41" s="477"/>
      <x:c r="N41" s="112" t="str">
        <x:f>IF(COUNTA($A41:$M41)=0,"",IF(OR(LOWER($F41&amp;"")="subscription",LOWER($F41&amp;"")="membership"),"",IF($G41="","",IF(ISNUMBER(SEARCH("non",LOWER($E41&amp;""))),$G41*0.85,$G41))))</x:f>
      </x:c>
      <x:c r="O41" s="112" t="str">
        <x:f>IF(COUNTA($A41:$M41)=0,"",IF(OR(LOWER($F41&amp;"")="subscription",LOWER($F41&amp;"")="membership"),"",IF(OR($N41="",$I41="",$I41=0),"",IFERROR($N41/$I41,""))))</x:f>
      </x:c>
      <x:c r="P41" s="112" t="str">
        <x:f>IF(COUNTA($A41:$M41)=0,"",IF(OR(LOWER($F41&amp;"")="subscription",LOWER($F41&amp;"")="membership"),"",IF(LOWER($L41&amp;"")="yes",0,IF($K41&lt;&gt;"",$K41,IF($O41&lt;&gt;"",$O41,"")))))</x:f>
      </x:c>
      <x:c r="Q41" s="112" t="str">
        <x:f>IF(COUNTA($A41:$M41)=0,"",IF(OR($U41="Subscription",$U41=""),"",IF($U41="Profit",ROUND($P41-$H41,2),0)))</x:f>
      </x:c>
      <x:c r="R41" s="112" t="str">
        <x:f>IF(COUNTA($A41:$M41)=0,"",IF(OR($U41="Subscription",$U41=""),"",IF($U41="Draw",$H41,0)))</x:f>
      </x:c>
      <x:c r="S41" s="112" t="str">
        <x:f>IF(COUNTA($A41:$M41)=0,"",IF(OR($U41="Subscription",$U41=""),"",IF($U41="Disqualified",$H41,0)))</x:f>
      </x:c>
      <x:c r="T41" s="116" t="str">
        <x:f>IF(COUNTA($A41:$M41)=0,"",IF(OR($U41="Subscription",$U41=""),"",IF($H41=0,0,IF($U41="Profit",$Q41/$H41,IF($U41="Disqualified",-$S41/$H41,0)))))</x:f>
      </x:c>
      <x:c r="U41" s="290" t="str">
        <x:f>IF(COUNTA($A41:$M41)=0,"",IF(OR(LOWER($F41&amp;"")="subscription",LOWER($F41&amp;"")="membership"),"Subscription",IF(LOWER($L41&amp;"")="yes","Disqualified",IF(OR(LOWER($F41&amp;"")="free game",LOWER($F41&amp;"")="free"),IF(AND(ISNUMBER($P41),ISNUMBER($H41),$P41&gt;$H41),"Profit","Free Game"),IF($P41="","",IF(ROUND(IFERROR(VALUE($P41),0)-IFERROR(VALUE($H41),0),2)&gt;0,"Profit","Draw"))))))</x:f>
      </x:c>
      <x:c r="V41" s="144" t="str">
        <x:f>IF(COUNTA($A41:$M41)=0,"",IF(OR($B41="",$C41="",$U41="Subscription"),"",IFERROR(ROUNDUP(($C41-$B41)/7,0),"")))</x:f>
      </x:c>
      <x:c r="W41" s="112" t="str">
        <x:f>IF(COUNTA($A41:$M41)=0,"",IF(OR($U41="Subscription",$U41=""),"",ROUND(IFERROR($Q41,0)-IFERROR($S41,0),2)))</x:f>
      </x:c>
      <x:c r="X41" s="144" t="str">
        <x:f>IF(COUNTA($A41:$M41)=0,"",IF(OR($U41="Subscription",$U41="Free Game",NOT(ISNUMBER($J41)),NOT(ISNUMBER($I41)),$J41=0,$I41=0,$I41&gt;$J41),"",$J41-$I41))</x:f>
      </x:c>
      <x:c r="Y41" s="116" t="str">
        <x:f>IF(COUNTA($A41:$M41)=0,"",IF(OR($U41="Subscription",$U41="Free Game",NOT(ISNUMBER($J41)),$J41=0,$X41=""),"",$X41/$J41))</x:f>
      </x:c>
      <x:c r="Z41" s="118" t="str">
        <x:f>IF(COUNTA($A41:$M41)=0,"",Instructions!$B$29+SUM($W$5:W41))</x:f>
      </x:c>
    </x:row>
    <x:row r="42" ht="30" customHeight="1">
      <x:c r="A42" s="477"/>
      <x:c r="B42" s="482"/>
      <x:c r="C42" s="482"/>
      <x:c r="D42" s="483"/>
      <x:c r="E42" s="483"/>
      <x:c r="F42" s="483"/>
      <x:c r="G42" s="484"/>
      <x:c r="H42" s="484"/>
      <x:c r="I42" s="485"/>
      <x:c r="J42" s="485"/>
      <x:c r="K42" s="484"/>
      <x:c r="L42" s="483"/>
      <x:c r="M42" s="477"/>
      <x:c r="N42" s="112" t="str">
        <x:f>IF(COUNTA($A42:$M42)=0,"",IF(OR(LOWER($F42&amp;"")="subscription",LOWER($F42&amp;"")="membership"),"",IF($G42="","",IF(ISNUMBER(SEARCH("non",LOWER($E42&amp;""))),$G42*0.85,$G42))))</x:f>
      </x:c>
      <x:c r="O42" s="112" t="str">
        <x:f>IF(COUNTA($A42:$M42)=0,"",IF(OR(LOWER($F42&amp;"")="subscription",LOWER($F42&amp;"")="membership"),"",IF(OR($N42="",$I42="",$I42=0),"",IFERROR($N42/$I42,""))))</x:f>
      </x:c>
      <x:c r="P42" s="112" t="str">
        <x:f>IF(COUNTA($A42:$M42)=0,"",IF(OR(LOWER($F42&amp;"")="subscription",LOWER($F42&amp;"")="membership"),"",IF(LOWER($L42&amp;"")="yes",0,IF($K42&lt;&gt;"",$K42,IF($O42&lt;&gt;"",$O42,"")))))</x:f>
      </x:c>
      <x:c r="Q42" s="112" t="str">
        <x:f>IF(COUNTA($A42:$M42)=0,"",IF(OR($U42="Subscription",$U42=""),"",IF($U42="Profit",ROUND($P42-$H42,2),0)))</x:f>
      </x:c>
      <x:c r="R42" s="112" t="str">
        <x:f>IF(COUNTA($A42:$M42)=0,"",IF(OR($U42="Subscription",$U42=""),"",IF($U42="Draw",$H42,0)))</x:f>
      </x:c>
      <x:c r="S42" s="112" t="str">
        <x:f>IF(COUNTA($A42:$M42)=0,"",IF(OR($U42="Subscription",$U42=""),"",IF($U42="Disqualified",$H42,0)))</x:f>
      </x:c>
      <x:c r="T42" s="116" t="str">
        <x:f>IF(COUNTA($A42:$M42)=0,"",IF(OR($U42="Subscription",$U42=""),"",IF($H42=0,0,IF($U42="Profit",$Q42/$H42,IF($U42="Disqualified",-$S42/$H42,0)))))</x:f>
      </x:c>
      <x:c r="U42" s="290" t="str">
        <x:f>IF(COUNTA($A42:$M42)=0,"",IF(OR(LOWER($F42&amp;"")="subscription",LOWER($F42&amp;"")="membership"),"Subscription",IF(LOWER($L42&amp;"")="yes","Disqualified",IF(OR(LOWER($F42&amp;"")="free game",LOWER($F42&amp;"")="free"),IF(AND(ISNUMBER($P42),ISNUMBER($H42),$P42&gt;$H42),"Profit","Free Game"),IF($P42="","",IF(ROUND(IFERROR(VALUE($P42),0)-IFERROR(VALUE($H42),0),2)&gt;0,"Profit","Draw"))))))</x:f>
      </x:c>
      <x:c r="V42" s="144" t="str">
        <x:f>IF(COUNTA($A42:$M42)=0,"",IF(OR($B42="",$C42="",$U42="Subscription"),"",IFERROR(ROUNDUP(($C42-$B42)/7,0),"")))</x:f>
      </x:c>
      <x:c r="W42" s="112" t="str">
        <x:f>IF(COUNTA($A42:$M42)=0,"",IF(OR($U42="Subscription",$U42=""),"",ROUND(IFERROR($Q42,0)-IFERROR($S42,0),2)))</x:f>
      </x:c>
      <x:c r="X42" s="144" t="str">
        <x:f>IF(COUNTA($A42:$M42)=0,"",IF(OR($U42="Subscription",$U42="Free Game",NOT(ISNUMBER($J42)),NOT(ISNUMBER($I42)),$J42=0,$I42=0,$I42&gt;$J42),"",$J42-$I42))</x:f>
      </x:c>
      <x:c r="Y42" s="116" t="str">
        <x:f>IF(COUNTA($A42:$M42)=0,"",IF(OR($U42="Subscription",$U42="Free Game",NOT(ISNUMBER($J42)),$J42=0,$X42=""),"",$X42/$J42))</x:f>
      </x:c>
      <x:c r="Z42" s="118" t="str">
        <x:f>IF(COUNTA($A42:$M42)=0,"",Instructions!$B$29+SUM($W$5:W42))</x:f>
      </x:c>
    </x:row>
    <x:row r="43" ht="30" customHeight="1">
      <x:c r="A43" s="477"/>
      <x:c r="B43" s="482"/>
      <x:c r="C43" s="482"/>
      <x:c r="D43" s="483"/>
      <x:c r="E43" s="483"/>
      <x:c r="F43" s="483"/>
      <x:c r="G43" s="484"/>
      <x:c r="H43" s="484"/>
      <x:c r="I43" s="485"/>
      <x:c r="J43" s="485"/>
      <x:c r="K43" s="484"/>
      <x:c r="L43" s="483"/>
      <x:c r="M43" s="477"/>
      <x:c r="N43" s="112" t="str">
        <x:f>IF(COUNTA($A43:$M43)=0,"",IF(OR(LOWER($F43&amp;"")="subscription",LOWER($F43&amp;"")="membership"),"",IF($G43="","",IF(ISNUMBER(SEARCH("non",LOWER($E43&amp;""))),$G43*0.85,$G43))))</x:f>
      </x:c>
      <x:c r="O43" s="112" t="str">
        <x:f>IF(COUNTA($A43:$M43)=0,"",IF(OR(LOWER($F43&amp;"")="subscription",LOWER($F43&amp;"")="membership"),"",IF(OR($N43="",$I43="",$I43=0),"",IFERROR($N43/$I43,""))))</x:f>
      </x:c>
      <x:c r="P43" s="112" t="str">
        <x:f>IF(COUNTA($A43:$M43)=0,"",IF(OR(LOWER($F43&amp;"")="subscription",LOWER($F43&amp;"")="membership"),"",IF(LOWER($L43&amp;"")="yes",0,IF($K43&lt;&gt;"",$K43,IF($O43&lt;&gt;"",$O43,"")))))</x:f>
      </x:c>
      <x:c r="Q43" s="112" t="str">
        <x:f>IF(COUNTA($A43:$M43)=0,"",IF(OR($U43="Subscription",$U43=""),"",IF($U43="Profit",ROUND($P43-$H43,2),0)))</x:f>
      </x:c>
      <x:c r="R43" s="112" t="str">
        <x:f>IF(COUNTA($A43:$M43)=0,"",IF(OR($U43="Subscription",$U43=""),"",IF($U43="Draw",$H43,0)))</x:f>
      </x:c>
      <x:c r="S43" s="112" t="str">
        <x:f>IF(COUNTA($A43:$M43)=0,"",IF(OR($U43="Subscription",$U43=""),"",IF($U43="Disqualified",$H43,0)))</x:f>
      </x:c>
      <x:c r="T43" s="116" t="str">
        <x:f>IF(COUNTA($A43:$M43)=0,"",IF(OR($U43="Subscription",$U43=""),"",IF($H43=0,0,IF($U43="Profit",$Q43/$H43,IF($U43="Disqualified",-$S43/$H43,0)))))</x:f>
      </x:c>
      <x:c r="U43" s="290" t="str">
        <x:f>IF(COUNTA($A43:$M43)=0,"",IF(OR(LOWER($F43&amp;"")="subscription",LOWER($F43&amp;"")="membership"),"Subscription",IF(LOWER($L43&amp;"")="yes","Disqualified",IF(OR(LOWER($F43&amp;"")="free game",LOWER($F43&amp;"")="free"),IF(AND(ISNUMBER($P43),ISNUMBER($H43),$P43&gt;$H43),"Profit","Free Game"),IF($P43="","",IF(ROUND(IFERROR(VALUE($P43),0)-IFERROR(VALUE($H43),0),2)&gt;0,"Profit","Draw"))))))</x:f>
      </x:c>
      <x:c r="V43" s="144" t="str">
        <x:f>IF(COUNTA($A43:$M43)=0,"",IF(OR($B43="",$C43="",$U43="Subscription"),"",IFERROR(ROUNDUP(($C43-$B43)/7,0),"")))</x:f>
      </x:c>
      <x:c r="W43" s="112" t="str">
        <x:f>IF(COUNTA($A43:$M43)=0,"",IF(OR($U43="Subscription",$U43=""),"",ROUND(IFERROR($Q43,0)-IFERROR($S43,0),2)))</x:f>
      </x:c>
      <x:c r="X43" s="144" t="str">
        <x:f>IF(COUNTA($A43:$M43)=0,"",IF(OR($U43="Subscription",$U43="Free Game",NOT(ISNUMBER($J43)),NOT(ISNUMBER($I43)),$J43=0,$I43=0,$I43&gt;$J43),"",$J43-$I43))</x:f>
      </x:c>
      <x:c r="Y43" s="116" t="str">
        <x:f>IF(COUNTA($A43:$M43)=0,"",IF(OR($U43="Subscription",$U43="Free Game",NOT(ISNUMBER($J43)),$J43=0,$X43=""),"",$X43/$J43))</x:f>
      </x:c>
      <x:c r="Z43" s="118" t="str">
        <x:f>IF(COUNTA($A43:$M43)=0,"",Instructions!$B$29+SUM($W$5:W43))</x:f>
      </x:c>
    </x:row>
    <x:row r="44" ht="30" customHeight="1">
      <x:c r="A44" s="477"/>
      <x:c r="B44" s="482"/>
      <x:c r="C44" s="482"/>
      <x:c r="D44" s="483"/>
      <x:c r="E44" s="483"/>
      <x:c r="F44" s="483"/>
      <x:c r="G44" s="484"/>
      <x:c r="H44" s="484"/>
      <x:c r="I44" s="485"/>
      <x:c r="J44" s="485"/>
      <x:c r="K44" s="484"/>
      <x:c r="L44" s="483"/>
      <x:c r="M44" s="477"/>
      <x:c r="N44" s="112" t="str">
        <x:f>IF(COUNTA($A44:$M44)=0,"",IF(OR(LOWER($F44&amp;"")="subscription",LOWER($F44&amp;"")="membership"),"",IF($G44="","",IF(ISNUMBER(SEARCH("non",LOWER($E44&amp;""))),$G44*0.85,$G44))))</x:f>
      </x:c>
      <x:c r="O44" s="112" t="str">
        <x:f>IF(COUNTA($A44:$M44)=0,"",IF(OR(LOWER($F44&amp;"")="subscription",LOWER($F44&amp;"")="membership"),"",IF(OR($N44="",$I44="",$I44=0),"",IFERROR($N44/$I44,""))))</x:f>
      </x:c>
      <x:c r="P44" s="112" t="str">
        <x:f>IF(COUNTA($A44:$M44)=0,"",IF(OR(LOWER($F44&amp;"")="subscription",LOWER($F44&amp;"")="membership"),"",IF(LOWER($L44&amp;"")="yes",0,IF($K44&lt;&gt;"",$K44,IF($O44&lt;&gt;"",$O44,"")))))</x:f>
      </x:c>
      <x:c r="Q44" s="112" t="str">
        <x:f>IF(COUNTA($A44:$M44)=0,"",IF(OR($U44="Subscription",$U44=""),"",IF($U44="Profit",ROUND($P44-$H44,2),0)))</x:f>
      </x:c>
      <x:c r="R44" s="112" t="str">
        <x:f>IF(COUNTA($A44:$M44)=0,"",IF(OR($U44="Subscription",$U44=""),"",IF($U44="Draw",$H44,0)))</x:f>
      </x:c>
      <x:c r="S44" s="112" t="str">
        <x:f>IF(COUNTA($A44:$M44)=0,"",IF(OR($U44="Subscription",$U44=""),"",IF($U44="Disqualified",$H44,0)))</x:f>
      </x:c>
      <x:c r="T44" s="116" t="str">
        <x:f>IF(COUNTA($A44:$M44)=0,"",IF(OR($U44="Subscription",$U44=""),"",IF($H44=0,0,IF($U44="Profit",$Q44/$H44,IF($U44="Disqualified",-$S44/$H44,0)))))</x:f>
      </x:c>
      <x:c r="U44" s="290" t="str">
        <x:f>IF(COUNTA($A44:$M44)=0,"",IF(OR(LOWER($F44&amp;"")="subscription",LOWER($F44&amp;"")="membership"),"Subscription",IF(LOWER($L44&amp;"")="yes","Disqualified",IF(OR(LOWER($F44&amp;"")="free game",LOWER($F44&amp;"")="free"),IF(AND(ISNUMBER($P44),ISNUMBER($H44),$P44&gt;$H44),"Profit","Free Game"),IF($P44="","",IF(ROUND(IFERROR(VALUE($P44),0)-IFERROR(VALUE($H44),0),2)&gt;0,"Profit","Draw"))))))</x:f>
      </x:c>
      <x:c r="V44" s="144" t="str">
        <x:f>IF(COUNTA($A44:$M44)=0,"",IF(OR($B44="",$C44="",$U44="Subscription"),"",IFERROR(ROUNDUP(($C44-$B44)/7,0),"")))</x:f>
      </x:c>
      <x:c r="W44" s="112" t="str">
        <x:f>IF(COUNTA($A44:$M44)=0,"",IF(OR($U44="Subscription",$U44=""),"",ROUND(IFERROR($Q44,0)-IFERROR($S44,0),2)))</x:f>
      </x:c>
      <x:c r="X44" s="144" t="str">
        <x:f>IF(COUNTA($A44:$M44)=0,"",IF(OR($U44="Subscription",$U44="Free Game",NOT(ISNUMBER($J44)),NOT(ISNUMBER($I44)),$J44=0,$I44=0,$I44&gt;$J44),"",$J44-$I44))</x:f>
      </x:c>
      <x:c r="Y44" s="116" t="str">
        <x:f>IF(COUNTA($A44:$M44)=0,"",IF(OR($U44="Subscription",$U44="Free Game",NOT(ISNUMBER($J44)),$J44=0,$X44=""),"",$X44/$J44))</x:f>
      </x:c>
      <x:c r="Z44" s="118" t="str">
        <x:f>IF(COUNTA($A44:$M44)=0,"",Instructions!$B$29+SUM($W$5:W44))</x:f>
      </x:c>
    </x:row>
    <x:row r="45" ht="30" customHeight="1">
      <x:c r="A45" s="477"/>
      <x:c r="B45" s="482"/>
      <x:c r="C45" s="482"/>
      <x:c r="D45" s="483"/>
      <x:c r="E45" s="483"/>
      <x:c r="F45" s="483"/>
      <x:c r="G45" s="484"/>
      <x:c r="H45" s="484"/>
      <x:c r="I45" s="485"/>
      <x:c r="J45" s="485"/>
      <x:c r="K45" s="484"/>
      <x:c r="L45" s="483"/>
      <x:c r="M45" s="477"/>
      <x:c r="N45" s="112" t="str">
        <x:f>IF(COUNTA($A45:$M45)=0,"",IF(OR(LOWER($F45&amp;"")="subscription",LOWER($F45&amp;"")="membership"),"",IF($G45="","",IF(ISNUMBER(SEARCH("non",LOWER($E45&amp;""))),$G45*0.85,$G45))))</x:f>
      </x:c>
      <x:c r="O45" s="112" t="str">
        <x:f>IF(COUNTA($A45:$M45)=0,"",IF(OR(LOWER($F45&amp;"")="subscription",LOWER($F45&amp;"")="membership"),"",IF(OR($N45="",$I45="",$I45=0),"",IFERROR($N45/$I45,""))))</x:f>
      </x:c>
      <x:c r="P45" s="112" t="str">
        <x:f>IF(COUNTA($A45:$M45)=0,"",IF(OR(LOWER($F45&amp;"")="subscription",LOWER($F45&amp;"")="membership"),"",IF(LOWER($L45&amp;"")="yes",0,IF($K45&lt;&gt;"",$K45,IF($O45&lt;&gt;"",$O45,"")))))</x:f>
      </x:c>
      <x:c r="Q45" s="112" t="str">
        <x:f>IF(COUNTA($A45:$M45)=0,"",IF(OR($U45="Subscription",$U45=""),"",IF($U45="Profit",ROUND($P45-$H45,2),0)))</x:f>
      </x:c>
      <x:c r="R45" s="112" t="str">
        <x:f>IF(COUNTA($A45:$M45)=0,"",IF(OR($U45="Subscription",$U45=""),"",IF($U45="Draw",$H45,0)))</x:f>
      </x:c>
      <x:c r="S45" s="112" t="str">
        <x:f>IF(COUNTA($A45:$M45)=0,"",IF(OR($U45="Subscription",$U45=""),"",IF($U45="Disqualified",$H45,0)))</x:f>
      </x:c>
      <x:c r="T45" s="116" t="str">
        <x:f>IF(COUNTA($A45:$M45)=0,"",IF(OR($U45="Subscription",$U45=""),"",IF($H45=0,0,IF($U45="Profit",$Q45/$H45,IF($U45="Disqualified",-$S45/$H45,0)))))</x:f>
      </x:c>
      <x:c r="U45" s="290" t="str">
        <x:f>IF(COUNTA($A45:$M45)=0,"",IF(OR(LOWER($F45&amp;"")="subscription",LOWER($F45&amp;"")="membership"),"Subscription",IF(LOWER($L45&amp;"")="yes","Disqualified",IF(OR(LOWER($F45&amp;"")="free game",LOWER($F45&amp;"")="free"),IF(AND(ISNUMBER($P45),ISNUMBER($H45),$P45&gt;$H45),"Profit","Free Game"),IF($P45="","",IF(ROUND(IFERROR(VALUE($P45),0)-IFERROR(VALUE($H45),0),2)&gt;0,"Profit","Draw"))))))</x:f>
      </x:c>
      <x:c r="V45" s="144" t="str">
        <x:f>IF(COUNTA($A45:$M45)=0,"",IF(OR($B45="",$C45="",$U45="Subscription"),"",IFERROR(ROUNDUP(($C45-$B45)/7,0),"")))</x:f>
      </x:c>
      <x:c r="W45" s="112" t="str">
        <x:f>IF(COUNTA($A45:$M45)=0,"",IF(OR($U45="Subscription",$U45=""),"",ROUND(IFERROR($Q45,0)-IFERROR($S45,0),2)))</x:f>
      </x:c>
      <x:c r="X45" s="144" t="str">
        <x:f>IF(COUNTA($A45:$M45)=0,"",IF(OR($U45="Subscription",$U45="Free Game",NOT(ISNUMBER($J45)),NOT(ISNUMBER($I45)),$J45=0,$I45=0,$I45&gt;$J45),"",$J45-$I45))</x:f>
      </x:c>
      <x:c r="Y45" s="116" t="str">
        <x:f>IF(COUNTA($A45:$M45)=0,"",IF(OR($U45="Subscription",$U45="Free Game",NOT(ISNUMBER($J45)),$J45=0,$X45=""),"",$X45/$J45))</x:f>
      </x:c>
      <x:c r="Z45" s="118" t="str">
        <x:f>IF(COUNTA($A45:$M45)=0,"",Instructions!$B$29+SUM($W$5:W45))</x:f>
      </x:c>
    </x:row>
    <x:row r="46" ht="30" customHeight="1">
      <x:c r="A46" s="477"/>
      <x:c r="B46" s="482"/>
      <x:c r="C46" s="482"/>
      <x:c r="D46" s="483"/>
      <x:c r="E46" s="483"/>
      <x:c r="F46" s="483"/>
      <x:c r="G46" s="484"/>
      <x:c r="H46" s="484"/>
      <x:c r="I46" s="485"/>
      <x:c r="J46" s="485"/>
      <x:c r="K46" s="484"/>
      <x:c r="L46" s="483"/>
      <x:c r="M46" s="477"/>
      <x:c r="N46" s="112" t="str">
        <x:f>IF(COUNTA($A46:$M46)=0,"",IF(OR(LOWER($F46&amp;"")="subscription",LOWER($F46&amp;"")="membership"),"",IF($G46="","",IF(ISNUMBER(SEARCH("non",LOWER($E46&amp;""))),$G46*0.85,$G46))))</x:f>
      </x:c>
      <x:c r="O46" s="112" t="str">
        <x:f>IF(COUNTA($A46:$M46)=0,"",IF(OR(LOWER($F46&amp;"")="subscription",LOWER($F46&amp;"")="membership"),"",IF(OR($N46="",$I46="",$I46=0),"",IFERROR($N46/$I46,""))))</x:f>
      </x:c>
      <x:c r="P46" s="112" t="str">
        <x:f>IF(COUNTA($A46:$M46)=0,"",IF(OR(LOWER($F46&amp;"")="subscription",LOWER($F46&amp;"")="membership"),"",IF(LOWER($L46&amp;"")="yes",0,IF($K46&lt;&gt;"",$K46,IF($O46&lt;&gt;"",$O46,"")))))</x:f>
      </x:c>
      <x:c r="Q46" s="112" t="str">
        <x:f>IF(COUNTA($A46:$M46)=0,"",IF(OR($U46="Subscription",$U46=""),"",IF($U46="Profit",ROUND($P46-$H46,2),0)))</x:f>
      </x:c>
      <x:c r="R46" s="112" t="str">
        <x:f>IF(COUNTA($A46:$M46)=0,"",IF(OR($U46="Subscription",$U46=""),"",IF($U46="Draw",$H46,0)))</x:f>
      </x:c>
      <x:c r="S46" s="112" t="str">
        <x:f>IF(COUNTA($A46:$M46)=0,"",IF(OR($U46="Subscription",$U46=""),"",IF($U46="Disqualified",$H46,0)))</x:f>
      </x:c>
      <x:c r="T46" s="116" t="str">
        <x:f>IF(COUNTA($A46:$M46)=0,"",IF(OR($U46="Subscription",$U46=""),"",IF($H46=0,0,IF($U46="Profit",$Q46/$H46,IF($U46="Disqualified",-$S46/$H46,0)))))</x:f>
      </x:c>
      <x:c r="U46" s="290" t="str">
        <x:f>IF(COUNTA($A46:$M46)=0,"",IF(OR(LOWER($F46&amp;"")="subscription",LOWER($F46&amp;"")="membership"),"Subscription",IF(LOWER($L46&amp;"")="yes","Disqualified",IF(OR(LOWER($F46&amp;"")="free game",LOWER($F46&amp;"")="free"),IF(AND(ISNUMBER($P46),ISNUMBER($H46),$P46&gt;$H46),"Profit","Free Game"),IF($P46="","",IF(ROUND(IFERROR(VALUE($P46),0)-IFERROR(VALUE($H46),0),2)&gt;0,"Profit","Draw"))))))</x:f>
      </x:c>
      <x:c r="V46" s="144" t="str">
        <x:f>IF(COUNTA($A46:$M46)=0,"",IF(OR($B46="",$C46="",$U46="Subscription"),"",IFERROR(ROUNDUP(($C46-$B46)/7,0),"")))</x:f>
      </x:c>
      <x:c r="W46" s="112" t="str">
        <x:f>IF(COUNTA($A46:$M46)=0,"",IF(OR($U46="Subscription",$U46=""),"",ROUND(IFERROR($Q46,0)-IFERROR($S46,0),2)))</x:f>
      </x:c>
      <x:c r="X46" s="144" t="str">
        <x:f>IF(COUNTA($A46:$M46)=0,"",IF(OR($U46="Subscription",$U46="Free Game",NOT(ISNUMBER($J46)),NOT(ISNUMBER($I46)),$J46=0,$I46=0,$I46&gt;$J46),"",$J46-$I46))</x:f>
      </x:c>
      <x:c r="Y46" s="116" t="str">
        <x:f>IF(COUNTA($A46:$M46)=0,"",IF(OR($U46="Subscription",$U46="Free Game",NOT(ISNUMBER($J46)),$J46=0,$X46=""),"",$X46/$J46))</x:f>
      </x:c>
      <x:c r="Z46" s="118" t="str">
        <x:f>IF(COUNTA($A46:$M46)=0,"",Instructions!$B$29+SUM($W$5:W46))</x:f>
      </x:c>
    </x:row>
    <x:row r="47" ht="30" customHeight="1">
      <x:c r="A47" s="477"/>
      <x:c r="B47" s="482"/>
      <x:c r="C47" s="482"/>
      <x:c r="D47" s="483"/>
      <x:c r="E47" s="483"/>
      <x:c r="F47" s="483"/>
      <x:c r="G47" s="484"/>
      <x:c r="H47" s="484"/>
      <x:c r="I47" s="485"/>
      <x:c r="J47" s="485"/>
      <x:c r="K47" s="484"/>
      <x:c r="L47" s="483"/>
      <x:c r="M47" s="477"/>
      <x:c r="N47" s="112" t="str">
        <x:f>IF(COUNTA($A47:$M47)=0,"",IF(OR(LOWER($F47&amp;"")="subscription",LOWER($F47&amp;"")="membership"),"",IF($G47="","",IF(ISNUMBER(SEARCH("non",LOWER($E47&amp;""))),$G47*0.85,$G47))))</x:f>
      </x:c>
      <x:c r="O47" s="112" t="str">
        <x:f>IF(COUNTA($A47:$M47)=0,"",IF(OR(LOWER($F47&amp;"")="subscription",LOWER($F47&amp;"")="membership"),"",IF(OR($N47="",$I47="",$I47=0),"",IFERROR($N47/$I47,""))))</x:f>
      </x:c>
      <x:c r="P47" s="112" t="str">
        <x:f>IF(COUNTA($A47:$M47)=0,"",IF(OR(LOWER($F47&amp;"")="subscription",LOWER($F47&amp;"")="membership"),"",IF(LOWER($L47&amp;"")="yes",0,IF($K47&lt;&gt;"",$K47,IF($O47&lt;&gt;"",$O47,"")))))</x:f>
      </x:c>
      <x:c r="Q47" s="112" t="str">
        <x:f>IF(COUNTA($A47:$M47)=0,"",IF(OR($U47="Subscription",$U47=""),"",IF($U47="Profit",ROUND($P47-$H47,2),0)))</x:f>
      </x:c>
      <x:c r="R47" s="112" t="str">
        <x:f>IF(COUNTA($A47:$M47)=0,"",IF(OR($U47="Subscription",$U47=""),"",IF($U47="Draw",$H47,0)))</x:f>
      </x:c>
      <x:c r="S47" s="112" t="str">
        <x:f>IF(COUNTA($A47:$M47)=0,"",IF(OR($U47="Subscription",$U47=""),"",IF($U47="Disqualified",$H47,0)))</x:f>
      </x:c>
      <x:c r="T47" s="116" t="str">
        <x:f>IF(COUNTA($A47:$M47)=0,"",IF(OR($U47="Subscription",$U47=""),"",IF($H47=0,0,IF($U47="Profit",$Q47/$H47,IF($U47="Disqualified",-$S47/$H47,0)))))</x:f>
      </x:c>
      <x:c r="U47" s="290" t="str">
        <x:f>IF(COUNTA($A47:$M47)=0,"",IF(OR(LOWER($F47&amp;"")="subscription",LOWER($F47&amp;"")="membership"),"Subscription",IF(LOWER($L47&amp;"")="yes","Disqualified",IF(OR(LOWER($F47&amp;"")="free game",LOWER($F47&amp;"")="free"),IF(AND(ISNUMBER($P47),ISNUMBER($H47),$P47&gt;$H47),"Profit","Free Game"),IF($P47="","",IF(ROUND(IFERROR(VALUE($P47),0)-IFERROR(VALUE($H47),0),2)&gt;0,"Profit","Draw"))))))</x:f>
      </x:c>
      <x:c r="V47" s="144" t="str">
        <x:f>IF(COUNTA($A47:$M47)=0,"",IF(OR($B47="",$C47="",$U47="Subscription"),"",IFERROR(ROUNDUP(($C47-$B47)/7,0),"")))</x:f>
      </x:c>
      <x:c r="W47" s="112" t="str">
        <x:f>IF(COUNTA($A47:$M47)=0,"",IF(OR($U47="Subscription",$U47=""),"",ROUND(IFERROR($Q47,0)-IFERROR($S47,0),2)))</x:f>
      </x:c>
      <x:c r="X47" s="144" t="str">
        <x:f>IF(COUNTA($A47:$M47)=0,"",IF(OR($U47="Subscription",$U47="Free Game",NOT(ISNUMBER($J47)),NOT(ISNUMBER($I47)),$J47=0,$I47=0,$I47&gt;$J47),"",$J47-$I47))</x:f>
      </x:c>
      <x:c r="Y47" s="116" t="str">
        <x:f>IF(COUNTA($A47:$M47)=0,"",IF(OR($U47="Subscription",$U47="Free Game",NOT(ISNUMBER($J47)),$J47=0,$X47=""),"",$X47/$J47))</x:f>
      </x:c>
      <x:c r="Z47" s="118" t="str">
        <x:f>IF(COUNTA($A47:$M47)=0,"",Instructions!$B$29+SUM($W$5:W47))</x:f>
      </x:c>
    </x:row>
    <x:row r="48" ht="30" customHeight="1">
      <x:c r="A48" s="477"/>
      <x:c r="B48" s="482"/>
      <x:c r="C48" s="482"/>
      <x:c r="D48" s="483"/>
      <x:c r="E48" s="483"/>
      <x:c r="F48" s="483"/>
      <x:c r="G48" s="484"/>
      <x:c r="H48" s="484"/>
      <x:c r="I48" s="485"/>
      <x:c r="J48" s="485"/>
      <x:c r="K48" s="484"/>
      <x:c r="L48" s="483"/>
      <x:c r="M48" s="477"/>
      <x:c r="N48" s="112" t="str">
        <x:f>IF(COUNTA($A48:$M48)=0,"",IF(OR(LOWER($F48&amp;"")="subscription",LOWER($F48&amp;"")="membership"),"",IF($G48="","",IF(ISNUMBER(SEARCH("non",LOWER($E48&amp;""))),$G48*0.85,$G48))))</x:f>
      </x:c>
      <x:c r="O48" s="112" t="str">
        <x:f>IF(COUNTA($A48:$M48)=0,"",IF(OR(LOWER($F48&amp;"")="subscription",LOWER($F48&amp;"")="membership"),"",IF(OR($N48="",$I48="",$I48=0),"",IFERROR($N48/$I48,""))))</x:f>
      </x:c>
      <x:c r="P48" s="112" t="str">
        <x:f>IF(COUNTA($A48:$M48)=0,"",IF(OR(LOWER($F48&amp;"")="subscription",LOWER($F48&amp;"")="membership"),"",IF(LOWER($L48&amp;"")="yes",0,IF($K48&lt;&gt;"",$K48,IF($O48&lt;&gt;"",$O48,"")))))</x:f>
      </x:c>
      <x:c r="Q48" s="112" t="str">
        <x:f>IF(COUNTA($A48:$M48)=0,"",IF(OR($U48="Subscription",$U48=""),"",IF($U48="Profit",ROUND($P48-$H48,2),0)))</x:f>
      </x:c>
      <x:c r="R48" s="112" t="str">
        <x:f>IF(COUNTA($A48:$M48)=0,"",IF(OR($U48="Subscription",$U48=""),"",IF($U48="Draw",$H48,0)))</x:f>
      </x:c>
      <x:c r="S48" s="112" t="str">
        <x:f>IF(COUNTA($A48:$M48)=0,"",IF(OR($U48="Subscription",$U48=""),"",IF($U48="Disqualified",$H48,0)))</x:f>
      </x:c>
      <x:c r="T48" s="116" t="str">
        <x:f>IF(COUNTA($A48:$M48)=0,"",IF(OR($U48="Subscription",$U48=""),"",IF($H48=0,0,IF($U48="Profit",$Q48/$H48,IF($U48="Disqualified",-$S48/$H48,0)))))</x:f>
      </x:c>
      <x:c r="U48" s="290" t="str">
        <x:f>IF(COUNTA($A48:$M48)=0,"",IF(OR(LOWER($F48&amp;"")="subscription",LOWER($F48&amp;"")="membership"),"Subscription",IF(LOWER($L48&amp;"")="yes","Disqualified",IF(OR(LOWER($F48&amp;"")="free game",LOWER($F48&amp;"")="free"),IF(AND(ISNUMBER($P48),ISNUMBER($H48),$P48&gt;$H48),"Profit","Free Game"),IF($P48="","",IF(ROUND(IFERROR(VALUE($P48),0)-IFERROR(VALUE($H48),0),2)&gt;0,"Profit","Draw"))))))</x:f>
      </x:c>
      <x:c r="V48" s="144" t="str">
        <x:f>IF(COUNTA($A48:$M48)=0,"",IF(OR($B48="",$C48="",$U48="Subscription"),"",IFERROR(ROUNDUP(($C48-$B48)/7,0),"")))</x:f>
      </x:c>
      <x:c r="W48" s="112" t="str">
        <x:f>IF(COUNTA($A48:$M48)=0,"",IF(OR($U48="Subscription",$U48=""),"",ROUND(IFERROR($Q48,0)-IFERROR($S48,0),2)))</x:f>
      </x:c>
      <x:c r="X48" s="144" t="str">
        <x:f>IF(COUNTA($A48:$M48)=0,"",IF(OR($U48="Subscription",$U48="Free Game",NOT(ISNUMBER($J48)),NOT(ISNUMBER($I48)),$J48=0,$I48=0,$I48&gt;$J48),"",$J48-$I48))</x:f>
      </x:c>
      <x:c r="Y48" s="116" t="str">
        <x:f>IF(COUNTA($A48:$M48)=0,"",IF(OR($U48="Subscription",$U48="Free Game",NOT(ISNUMBER($J48)),$J48=0,$X48=""),"",$X48/$J48))</x:f>
      </x:c>
      <x:c r="Z48" s="118" t="str">
        <x:f>IF(COUNTA($A48:$M48)=0,"",Instructions!$B$29+SUM($W$5:W48))</x:f>
      </x:c>
    </x:row>
    <x:row r="49" ht="30" customHeight="1">
      <x:c r="A49" s="477"/>
      <x:c r="B49" s="482"/>
      <x:c r="C49" s="482"/>
      <x:c r="D49" s="483"/>
      <x:c r="E49" s="483"/>
      <x:c r="F49" s="483"/>
      <x:c r="G49" s="484"/>
      <x:c r="H49" s="484"/>
      <x:c r="I49" s="485"/>
      <x:c r="J49" s="485"/>
      <x:c r="K49" s="484"/>
      <x:c r="L49" s="483"/>
      <x:c r="M49" s="477"/>
      <x:c r="N49" s="112" t="str">
        <x:f>IF(COUNTA($A49:$M49)=0,"",IF(OR(LOWER($F49&amp;"")="subscription",LOWER($F49&amp;"")="membership"),"",IF($G49="","",IF(ISNUMBER(SEARCH("non",LOWER($E49&amp;""))),$G49*0.85,$G49))))</x:f>
      </x:c>
      <x:c r="O49" s="112" t="str">
        <x:f>IF(COUNTA($A49:$M49)=0,"",IF(OR(LOWER($F49&amp;"")="subscription",LOWER($F49&amp;"")="membership"),"",IF(OR($N49="",$I49="",$I49=0),"",IFERROR($N49/$I49,""))))</x:f>
      </x:c>
      <x:c r="P49" s="112" t="str">
        <x:f>IF(COUNTA($A49:$M49)=0,"",IF(OR(LOWER($F49&amp;"")="subscription",LOWER($F49&amp;"")="membership"),"",IF(LOWER($L49&amp;"")="yes",0,IF($K49&lt;&gt;"",$K49,IF($O49&lt;&gt;"",$O49,"")))))</x:f>
      </x:c>
      <x:c r="Q49" s="112" t="str">
        <x:f>IF(COUNTA($A49:$M49)=0,"",IF(OR($U49="Subscription",$U49=""),"",IF($U49="Profit",ROUND($P49-$H49,2),0)))</x:f>
      </x:c>
      <x:c r="R49" s="112" t="str">
        <x:f>IF(COUNTA($A49:$M49)=0,"",IF(OR($U49="Subscription",$U49=""),"",IF($U49="Draw",$H49,0)))</x:f>
      </x:c>
      <x:c r="S49" s="112" t="str">
        <x:f>IF(COUNTA($A49:$M49)=0,"",IF(OR($U49="Subscription",$U49=""),"",IF($U49="Disqualified",$H49,0)))</x:f>
      </x:c>
      <x:c r="T49" s="116" t="str">
        <x:f>IF(COUNTA($A49:$M49)=0,"",IF(OR($U49="Subscription",$U49=""),"",IF($H49=0,0,IF($U49="Profit",$Q49/$H49,IF($U49="Disqualified",-$S49/$H49,0)))))</x:f>
      </x:c>
      <x:c r="U49" s="290" t="str">
        <x:f>IF(COUNTA($A49:$M49)=0,"",IF(OR(LOWER($F49&amp;"")="subscription",LOWER($F49&amp;"")="membership"),"Subscription",IF(LOWER($L49&amp;"")="yes","Disqualified",IF(OR(LOWER($F49&amp;"")="free game",LOWER($F49&amp;"")="free"),IF(AND(ISNUMBER($P49),ISNUMBER($H49),$P49&gt;$H49),"Profit","Free Game"),IF($P49="","",IF(ROUND(IFERROR(VALUE($P49),0)-IFERROR(VALUE($H49),0),2)&gt;0,"Profit","Draw"))))))</x:f>
      </x:c>
      <x:c r="V49" s="144" t="str">
        <x:f>IF(COUNTA($A49:$M49)=0,"",IF(OR($B49="",$C49="",$U49="Subscription"),"",IFERROR(ROUNDUP(($C49-$B49)/7,0),"")))</x:f>
      </x:c>
      <x:c r="W49" s="112" t="str">
        <x:f>IF(COUNTA($A49:$M49)=0,"",IF(OR($U49="Subscription",$U49=""),"",ROUND(IFERROR($Q49,0)-IFERROR($S49,0),2)))</x:f>
      </x:c>
      <x:c r="X49" s="144" t="str">
        <x:f>IF(COUNTA($A49:$M49)=0,"",IF(OR($U49="Subscription",$U49="Free Game",NOT(ISNUMBER($J49)),NOT(ISNUMBER($I49)),$J49=0,$I49=0,$I49&gt;$J49),"",$J49-$I49))</x:f>
      </x:c>
      <x:c r="Y49" s="116" t="str">
        <x:f>IF(COUNTA($A49:$M49)=0,"",IF(OR($U49="Subscription",$U49="Free Game",NOT(ISNUMBER($J49)),$J49=0,$X49=""),"",$X49/$J49))</x:f>
      </x:c>
      <x:c r="Z49" s="118" t="str">
        <x:f>IF(COUNTA($A49:$M49)=0,"",Instructions!$B$29+SUM($W$5:W49))</x:f>
      </x:c>
    </x:row>
    <x:row r="50" ht="30" customHeight="1">
      <x:c r="A50" s="477"/>
      <x:c r="B50" s="482"/>
      <x:c r="C50" s="482"/>
      <x:c r="D50" s="483"/>
      <x:c r="E50" s="483"/>
      <x:c r="F50" s="483"/>
      <x:c r="G50" s="484"/>
      <x:c r="H50" s="484"/>
      <x:c r="I50" s="485"/>
      <x:c r="J50" s="485"/>
      <x:c r="K50" s="484"/>
      <x:c r="L50" s="483"/>
      <x:c r="M50" s="477"/>
      <x:c r="N50" s="112" t="str">
        <x:f>IF(COUNTA($A50:$M50)=0,"",IF(OR(LOWER($F50&amp;"")="subscription",LOWER($F50&amp;"")="membership"),"",IF($G50="","",IF(ISNUMBER(SEARCH("non",LOWER($E50&amp;""))),$G50*0.85,$G50))))</x:f>
      </x:c>
      <x:c r="O50" s="112" t="str">
        <x:f>IF(COUNTA($A50:$M50)=0,"",IF(OR(LOWER($F50&amp;"")="subscription",LOWER($F50&amp;"")="membership"),"",IF(OR($N50="",$I50="",$I50=0),"",IFERROR($N50/$I50,""))))</x:f>
      </x:c>
      <x:c r="P50" s="112" t="str">
        <x:f>IF(COUNTA($A50:$M50)=0,"",IF(OR(LOWER($F50&amp;"")="subscription",LOWER($F50&amp;"")="membership"),"",IF(LOWER($L50&amp;"")="yes",0,IF($K50&lt;&gt;"",$K50,IF($O50&lt;&gt;"",$O50,"")))))</x:f>
      </x:c>
      <x:c r="Q50" s="112" t="str">
        <x:f>IF(COUNTA($A50:$M50)=0,"",IF(OR($U50="Subscription",$U50=""),"",IF($U50="Profit",ROUND($P50-$H50,2),0)))</x:f>
      </x:c>
      <x:c r="R50" s="112" t="str">
        <x:f>IF(COUNTA($A50:$M50)=0,"",IF(OR($U50="Subscription",$U50=""),"",IF($U50="Draw",$H50,0)))</x:f>
      </x:c>
      <x:c r="S50" s="112" t="str">
        <x:f>IF(COUNTA($A50:$M50)=0,"",IF(OR($U50="Subscription",$U50=""),"",IF($U50="Disqualified",$H50,0)))</x:f>
      </x:c>
      <x:c r="T50" s="116" t="str">
        <x:f>IF(COUNTA($A50:$M50)=0,"",IF(OR($U50="Subscription",$U50=""),"",IF($H50=0,0,IF($U50="Profit",$Q50/$H50,IF($U50="Disqualified",-$S50/$H50,0)))))</x:f>
      </x:c>
      <x:c r="U50" s="290" t="str">
        <x:f>IF(COUNTA($A50:$M50)=0,"",IF(OR(LOWER($F50&amp;"")="subscription",LOWER($F50&amp;"")="membership"),"Subscription",IF(LOWER($L50&amp;"")="yes","Disqualified",IF(OR(LOWER($F50&amp;"")="free game",LOWER($F50&amp;"")="free"),IF(AND(ISNUMBER($P50),ISNUMBER($H50),$P50&gt;$H50),"Profit","Free Game"),IF($P50="","",IF(ROUND(IFERROR(VALUE($P50),0)-IFERROR(VALUE($H50),0),2)&gt;0,"Profit","Draw"))))))</x:f>
      </x:c>
      <x:c r="V50" s="144" t="str">
        <x:f>IF(COUNTA($A50:$M50)=0,"",IF(OR($B50="",$C50="",$U50="Subscription"),"",IFERROR(ROUNDUP(($C50-$B50)/7,0),"")))</x:f>
      </x:c>
      <x:c r="W50" s="112" t="str">
        <x:f>IF(COUNTA($A50:$M50)=0,"",IF(OR($U50="Subscription",$U50=""),"",ROUND(IFERROR($Q50,0)-IFERROR($S50,0),2)))</x:f>
      </x:c>
      <x:c r="X50" s="144" t="str">
        <x:f>IF(COUNTA($A50:$M50)=0,"",IF(OR($U50="Subscription",$U50="Free Game",NOT(ISNUMBER($J50)),NOT(ISNUMBER($I50)),$J50=0,$I50=0,$I50&gt;$J50),"",$J50-$I50))</x:f>
      </x:c>
      <x:c r="Y50" s="116" t="str">
        <x:f>IF(COUNTA($A50:$M50)=0,"",IF(OR($U50="Subscription",$U50="Free Game",NOT(ISNUMBER($J50)),$J50=0,$X50=""),"",$X50/$J50))</x:f>
      </x:c>
      <x:c r="Z50" s="118" t="str">
        <x:f>IF(COUNTA($A50:$M50)=0,"",Instructions!$B$29+SUM($W$5:W50))</x:f>
      </x:c>
    </x:row>
    <x:row r="51" ht="30" customHeight="1">
      <x:c r="A51" s="477"/>
      <x:c r="B51" s="482"/>
      <x:c r="C51" s="482"/>
      <x:c r="D51" s="483"/>
      <x:c r="E51" s="483"/>
      <x:c r="F51" s="483"/>
      <x:c r="G51" s="484"/>
      <x:c r="H51" s="484"/>
      <x:c r="I51" s="485"/>
      <x:c r="J51" s="485"/>
      <x:c r="K51" s="484"/>
      <x:c r="L51" s="483"/>
      <x:c r="M51" s="477"/>
      <x:c r="N51" s="112" t="str">
        <x:f>IF(COUNTA($A51:$M51)=0,"",IF(OR(LOWER($F51&amp;"")="subscription",LOWER($F51&amp;"")="membership"),"",IF($G51="","",IF(ISNUMBER(SEARCH("non",LOWER($E51&amp;""))),$G51*0.85,$G51))))</x:f>
      </x:c>
      <x:c r="O51" s="112" t="str">
        <x:f>IF(COUNTA($A51:$M51)=0,"",IF(OR(LOWER($F51&amp;"")="subscription",LOWER($F51&amp;"")="membership"),"",IF(OR($N51="",$I51="",$I51=0),"",IFERROR($N51/$I51,""))))</x:f>
      </x:c>
      <x:c r="P51" s="112" t="str">
        <x:f>IF(COUNTA($A51:$M51)=0,"",IF(OR(LOWER($F51&amp;"")="subscription",LOWER($F51&amp;"")="membership"),"",IF(LOWER($L51&amp;"")="yes",0,IF($K51&lt;&gt;"",$K51,IF($O51&lt;&gt;"",$O51,"")))))</x:f>
      </x:c>
      <x:c r="Q51" s="112" t="str">
        <x:f>IF(COUNTA($A51:$M51)=0,"",IF(OR($U51="Subscription",$U51=""),"",IF($U51="Profit",ROUND($P51-$H51,2),0)))</x:f>
      </x:c>
      <x:c r="R51" s="112" t="str">
        <x:f>IF(COUNTA($A51:$M51)=0,"",IF(OR($U51="Subscription",$U51=""),"",IF($U51="Draw",$H51,0)))</x:f>
      </x:c>
      <x:c r="S51" s="112" t="str">
        <x:f>IF(COUNTA($A51:$M51)=0,"",IF(OR($U51="Subscription",$U51=""),"",IF($U51="Disqualified",$H51,0)))</x:f>
      </x:c>
      <x:c r="T51" s="116" t="str">
        <x:f>IF(COUNTA($A51:$M51)=0,"",IF(OR($U51="Subscription",$U51=""),"",IF($H51=0,0,IF($U51="Profit",$Q51/$H51,IF($U51="Disqualified",-$S51/$H51,0)))))</x:f>
      </x:c>
      <x:c r="U51" s="290" t="str">
        <x:f>IF(COUNTA($A51:$M51)=0,"",IF(OR(LOWER($F51&amp;"")="subscription",LOWER($F51&amp;"")="membership"),"Subscription",IF(LOWER($L51&amp;"")="yes","Disqualified",IF(OR(LOWER($F51&amp;"")="free game",LOWER($F51&amp;"")="free"),IF(AND(ISNUMBER($P51),ISNUMBER($H51),$P51&gt;$H51),"Profit","Free Game"),IF($P51="","",IF(ROUND(IFERROR(VALUE($P51),0)-IFERROR(VALUE($H51),0),2)&gt;0,"Profit","Draw"))))))</x:f>
      </x:c>
      <x:c r="V51" s="144" t="str">
        <x:f>IF(COUNTA($A51:$M51)=0,"",IF(OR($B51="",$C51="",$U51="Subscription"),"",IFERROR(ROUNDUP(($C51-$B51)/7,0),"")))</x:f>
      </x:c>
      <x:c r="W51" s="112" t="str">
        <x:f>IF(COUNTA($A51:$M51)=0,"",IF(OR($U51="Subscription",$U51=""),"",ROUND(IFERROR($Q51,0)-IFERROR($S51,0),2)))</x:f>
      </x:c>
      <x:c r="X51" s="144" t="str">
        <x:f>IF(COUNTA($A51:$M51)=0,"",IF(OR($U51="Subscription",$U51="Free Game",NOT(ISNUMBER($J51)),NOT(ISNUMBER($I51)),$J51=0,$I51=0,$I51&gt;$J51),"",$J51-$I51))</x:f>
      </x:c>
      <x:c r="Y51" s="116" t="str">
        <x:f>IF(COUNTA($A51:$M51)=0,"",IF(OR($U51="Subscription",$U51="Free Game",NOT(ISNUMBER($J51)),$J51=0,$X51=""),"",$X51/$J51))</x:f>
      </x:c>
      <x:c r="Z51" s="118" t="str">
        <x:f>IF(COUNTA($A51:$M51)=0,"",Instructions!$B$29+SUM($W$5:W51))</x:f>
      </x:c>
    </x:row>
    <x:row r="52" ht="30" customHeight="1">
      <x:c r="A52" s="477"/>
      <x:c r="B52" s="482"/>
      <x:c r="C52" s="482"/>
      <x:c r="D52" s="483"/>
      <x:c r="E52" s="483"/>
      <x:c r="F52" s="483"/>
      <x:c r="G52" s="484"/>
      <x:c r="H52" s="484"/>
      <x:c r="I52" s="485"/>
      <x:c r="J52" s="485"/>
      <x:c r="K52" s="484"/>
      <x:c r="L52" s="483"/>
      <x:c r="M52" s="477"/>
      <x:c r="N52" s="112" t="str">
        <x:f>IF(COUNTA($A52:$M52)=0,"",IF(OR(LOWER($F52&amp;"")="subscription",LOWER($F52&amp;"")="membership"),"",IF($G52="","",IF(ISNUMBER(SEARCH("non",LOWER($E52&amp;""))),$G52*0.85,$G52))))</x:f>
      </x:c>
      <x:c r="O52" s="112" t="str">
        <x:f>IF(COUNTA($A52:$M52)=0,"",IF(OR(LOWER($F52&amp;"")="subscription",LOWER($F52&amp;"")="membership"),"",IF(OR($N52="",$I52="",$I52=0),"",IFERROR($N52/$I52,""))))</x:f>
      </x:c>
      <x:c r="P52" s="112" t="str">
        <x:f>IF(COUNTA($A52:$M52)=0,"",IF(OR(LOWER($F52&amp;"")="subscription",LOWER($F52&amp;"")="membership"),"",IF(LOWER($L52&amp;"")="yes",0,IF($K52&lt;&gt;"",$K52,IF($O52&lt;&gt;"",$O52,"")))))</x:f>
      </x:c>
      <x:c r="Q52" s="112" t="str">
        <x:f>IF(COUNTA($A52:$M52)=0,"",IF(OR($U52="Subscription",$U52=""),"",IF($U52="Profit",ROUND($P52-$H52,2),0)))</x:f>
      </x:c>
      <x:c r="R52" s="112" t="str">
        <x:f>IF(COUNTA($A52:$M52)=0,"",IF(OR($U52="Subscription",$U52=""),"",IF($U52="Draw",$H52,0)))</x:f>
      </x:c>
      <x:c r="S52" s="112" t="str">
        <x:f>IF(COUNTA($A52:$M52)=0,"",IF(OR($U52="Subscription",$U52=""),"",IF($U52="Disqualified",$H52,0)))</x:f>
      </x:c>
      <x:c r="T52" s="116" t="str">
        <x:f>IF(COUNTA($A52:$M52)=0,"",IF(OR($U52="Subscription",$U52=""),"",IF($H52=0,0,IF($U52="Profit",$Q52/$H52,IF($U52="Disqualified",-$S52/$H52,0)))))</x:f>
      </x:c>
      <x:c r="U52" s="290" t="str">
        <x:f>IF(COUNTA($A52:$M52)=0,"",IF(OR(LOWER($F52&amp;"")="subscription",LOWER($F52&amp;"")="membership"),"Subscription",IF(LOWER($L52&amp;"")="yes","Disqualified",IF(OR(LOWER($F52&amp;"")="free game",LOWER($F52&amp;"")="free"),IF(AND(ISNUMBER($P52),ISNUMBER($H52),$P52&gt;$H52),"Profit","Free Game"),IF($P52="","",IF(ROUND(IFERROR(VALUE($P52),0)-IFERROR(VALUE($H52),0),2)&gt;0,"Profit","Draw"))))))</x:f>
      </x:c>
      <x:c r="V52" s="144" t="str">
        <x:f>IF(COUNTA($A52:$M52)=0,"",IF(OR($B52="",$C52="",$U52="Subscription"),"",IFERROR(ROUNDUP(($C52-$B52)/7,0),"")))</x:f>
      </x:c>
      <x:c r="W52" s="112" t="str">
        <x:f>IF(COUNTA($A52:$M52)=0,"",IF(OR($U52="Subscription",$U52=""),"",ROUND(IFERROR($Q52,0)-IFERROR($S52,0),2)))</x:f>
      </x:c>
      <x:c r="X52" s="144" t="str">
        <x:f>IF(COUNTA($A52:$M52)=0,"",IF(OR($U52="Subscription",$U52="Free Game",NOT(ISNUMBER($J52)),NOT(ISNUMBER($I52)),$J52=0,$I52=0,$I52&gt;$J52),"",$J52-$I52))</x:f>
      </x:c>
      <x:c r="Y52" s="116" t="str">
        <x:f>IF(COUNTA($A52:$M52)=0,"",IF(OR($U52="Subscription",$U52="Free Game",NOT(ISNUMBER($J52)),$J52=0,$X52=""),"",$X52/$J52))</x:f>
      </x:c>
      <x:c r="Z52" s="118" t="str">
        <x:f>IF(COUNTA($A52:$M52)=0,"",Instructions!$B$29+SUM($W$5:W52))</x:f>
      </x:c>
    </x:row>
    <x:row r="53" ht="30" customHeight="1">
      <x:c r="A53" s="477"/>
      <x:c r="B53" s="482"/>
      <x:c r="C53" s="482"/>
      <x:c r="D53" s="483"/>
      <x:c r="E53" s="483"/>
      <x:c r="F53" s="483"/>
      <x:c r="G53" s="484"/>
      <x:c r="H53" s="484"/>
      <x:c r="I53" s="485"/>
      <x:c r="J53" s="485"/>
      <x:c r="K53" s="484"/>
      <x:c r="L53" s="483"/>
      <x:c r="M53" s="477"/>
      <x:c r="N53" s="112" t="str">
        <x:f>IF(COUNTA($A53:$M53)=0,"",IF(OR(LOWER($F53&amp;"")="subscription",LOWER($F53&amp;"")="membership"),"",IF($G53="","",IF(ISNUMBER(SEARCH("non",LOWER($E53&amp;""))),$G53*0.85,$G53))))</x:f>
      </x:c>
      <x:c r="O53" s="112" t="str">
        <x:f>IF(COUNTA($A53:$M53)=0,"",IF(OR(LOWER($F53&amp;"")="subscription",LOWER($F53&amp;"")="membership"),"",IF(OR($N53="",$I53="",$I53=0),"",IFERROR($N53/$I53,""))))</x:f>
      </x:c>
      <x:c r="P53" s="112" t="str">
        <x:f>IF(COUNTA($A53:$M53)=0,"",IF(OR(LOWER($F53&amp;"")="subscription",LOWER($F53&amp;"")="membership"),"",IF(LOWER($L53&amp;"")="yes",0,IF($K53&lt;&gt;"",$K53,IF($O53&lt;&gt;"",$O53,"")))))</x:f>
      </x:c>
      <x:c r="Q53" s="112" t="str">
        <x:f>IF(COUNTA($A53:$M53)=0,"",IF(OR($U53="Subscription",$U53=""),"",IF($U53="Profit",ROUND($P53-$H53,2),0)))</x:f>
      </x:c>
      <x:c r="R53" s="112" t="str">
        <x:f>IF(COUNTA($A53:$M53)=0,"",IF(OR($U53="Subscription",$U53=""),"",IF($U53="Draw",$H53,0)))</x:f>
      </x:c>
      <x:c r="S53" s="112" t="str">
        <x:f>IF(COUNTA($A53:$M53)=0,"",IF(OR($U53="Subscription",$U53=""),"",IF($U53="Disqualified",$H53,0)))</x:f>
      </x:c>
      <x:c r="T53" s="116" t="str">
        <x:f>IF(COUNTA($A53:$M53)=0,"",IF(OR($U53="Subscription",$U53=""),"",IF($H53=0,0,IF($U53="Profit",$Q53/$H53,IF($U53="Disqualified",-$S53/$H53,0)))))</x:f>
      </x:c>
      <x:c r="U53" s="290" t="str">
        <x:f>IF(COUNTA($A53:$M53)=0,"",IF(OR(LOWER($F53&amp;"")="subscription",LOWER($F53&amp;"")="membership"),"Subscription",IF(LOWER($L53&amp;"")="yes","Disqualified",IF(OR(LOWER($F53&amp;"")="free game",LOWER($F53&amp;"")="free"),IF(AND(ISNUMBER($P53),ISNUMBER($H53),$P53&gt;$H53),"Profit","Free Game"),IF($P53="","",IF(ROUND(IFERROR(VALUE($P53),0)-IFERROR(VALUE($H53),0),2)&gt;0,"Profit","Draw"))))))</x:f>
      </x:c>
      <x:c r="V53" s="144" t="str">
        <x:f>IF(COUNTA($A53:$M53)=0,"",IF(OR($B53="",$C53="",$U53="Subscription"),"",IFERROR(ROUNDUP(($C53-$B53)/7,0),"")))</x:f>
      </x:c>
      <x:c r="W53" s="112" t="str">
        <x:f>IF(COUNTA($A53:$M53)=0,"",IF(OR($U53="Subscription",$U53=""),"",ROUND(IFERROR($Q53,0)-IFERROR($S53,0),2)))</x:f>
      </x:c>
      <x:c r="X53" s="144" t="str">
        <x:f>IF(COUNTA($A53:$M53)=0,"",IF(OR($U53="Subscription",$U53="Free Game",NOT(ISNUMBER($J53)),NOT(ISNUMBER($I53)),$J53=0,$I53=0,$I53&gt;$J53),"",$J53-$I53))</x:f>
      </x:c>
      <x:c r="Y53" s="116" t="str">
        <x:f>IF(COUNTA($A53:$M53)=0,"",IF(OR($U53="Subscription",$U53="Free Game",NOT(ISNUMBER($J53)),$J53=0,$X53=""),"",$X53/$J53))</x:f>
      </x:c>
      <x:c r="Z53" s="118" t="str">
        <x:f>IF(COUNTA($A53:$M53)=0,"",Instructions!$B$29+SUM($W$5:W53))</x:f>
      </x:c>
    </x:row>
    <x:row r="54" ht="30" customHeight="1">
      <x:c r="A54" s="477"/>
      <x:c r="B54" s="482"/>
      <x:c r="C54" s="482"/>
      <x:c r="D54" s="483"/>
      <x:c r="E54" s="483"/>
      <x:c r="F54" s="483"/>
      <x:c r="G54" s="484"/>
      <x:c r="H54" s="484"/>
      <x:c r="I54" s="485"/>
      <x:c r="J54" s="485"/>
      <x:c r="K54" s="484"/>
      <x:c r="L54" s="483"/>
      <x:c r="M54" s="477"/>
      <x:c r="N54" s="112" t="str">
        <x:f>IF(COUNTA($A54:$M54)=0,"",IF(OR(LOWER($F54&amp;"")="subscription",LOWER($F54&amp;"")="membership"),"",IF($G54="","",IF(ISNUMBER(SEARCH("non",LOWER($E54&amp;""))),$G54*0.85,$G54))))</x:f>
      </x:c>
      <x:c r="O54" s="112" t="str">
        <x:f>IF(COUNTA($A54:$M54)=0,"",IF(OR(LOWER($F54&amp;"")="subscription",LOWER($F54&amp;"")="membership"),"",IF(OR($N54="",$I54="",$I54=0),"",IFERROR($N54/$I54,""))))</x:f>
      </x:c>
      <x:c r="P54" s="112" t="str">
        <x:f>IF(COUNTA($A54:$M54)=0,"",IF(OR(LOWER($F54&amp;"")="subscription",LOWER($F54&amp;"")="membership"),"",IF(LOWER($L54&amp;"")="yes",0,IF($K54&lt;&gt;"",$K54,IF($O54&lt;&gt;"",$O54,"")))))</x:f>
      </x:c>
      <x:c r="Q54" s="112" t="str">
        <x:f>IF(COUNTA($A54:$M54)=0,"",IF(OR($U54="Subscription",$U54=""),"",IF($U54="Profit",ROUND($P54-$H54,2),0)))</x:f>
      </x:c>
      <x:c r="R54" s="112" t="str">
        <x:f>IF(COUNTA($A54:$M54)=0,"",IF(OR($U54="Subscription",$U54=""),"",IF($U54="Draw",$H54,0)))</x:f>
      </x:c>
      <x:c r="S54" s="112" t="str">
        <x:f>IF(COUNTA($A54:$M54)=0,"",IF(OR($U54="Subscription",$U54=""),"",IF($U54="Disqualified",$H54,0)))</x:f>
      </x:c>
      <x:c r="T54" s="116" t="str">
        <x:f>IF(COUNTA($A54:$M54)=0,"",IF(OR($U54="Subscription",$U54=""),"",IF($H54=0,0,IF($U54="Profit",$Q54/$H54,IF($U54="Disqualified",-$S54/$H54,0)))))</x:f>
      </x:c>
      <x:c r="U54" s="290" t="str">
        <x:f>IF(COUNTA($A54:$M54)=0,"",IF(OR(LOWER($F54&amp;"")="subscription",LOWER($F54&amp;"")="membership"),"Subscription",IF(LOWER($L54&amp;"")="yes","Disqualified",IF(OR(LOWER($F54&amp;"")="free game",LOWER($F54&amp;"")="free"),IF(AND(ISNUMBER($P54),ISNUMBER($H54),$P54&gt;$H54),"Profit","Free Game"),IF($P54="","",IF(ROUND(IFERROR(VALUE($P54),0)-IFERROR(VALUE($H54),0),2)&gt;0,"Profit","Draw"))))))</x:f>
      </x:c>
      <x:c r="V54" s="144" t="str">
        <x:f>IF(COUNTA($A54:$M54)=0,"",IF(OR($B54="",$C54="",$U54="Subscription"),"",IFERROR(ROUNDUP(($C54-$B54)/7,0),"")))</x:f>
      </x:c>
      <x:c r="W54" s="112" t="str">
        <x:f>IF(COUNTA($A54:$M54)=0,"",IF(OR($U54="Subscription",$U54=""),"",ROUND(IFERROR($Q54,0)-IFERROR($S54,0),2)))</x:f>
      </x:c>
      <x:c r="X54" s="144" t="str">
        <x:f>IF(COUNTA($A54:$M54)=0,"",IF(OR($U54="Subscription",$U54="Free Game",NOT(ISNUMBER($J54)),NOT(ISNUMBER($I54)),$J54=0,$I54=0,$I54&gt;$J54),"",$J54-$I54))</x:f>
      </x:c>
      <x:c r="Y54" s="116" t="str">
        <x:f>IF(COUNTA($A54:$M54)=0,"",IF(OR($U54="Subscription",$U54="Free Game",NOT(ISNUMBER($J54)),$J54=0,$X54=""),"",$X54/$J54))</x:f>
      </x:c>
      <x:c r="Z54" s="118" t="str">
        <x:f>IF(COUNTA($A54:$M54)=0,"",Instructions!$B$29+SUM($W$5:W54))</x:f>
      </x:c>
    </x:row>
    <x:row r="55" ht="30" customHeight="1">
      <x:c r="A55" s="477"/>
      <x:c r="B55" s="482"/>
      <x:c r="C55" s="482"/>
      <x:c r="D55" s="483"/>
      <x:c r="E55" s="483"/>
      <x:c r="F55" s="483"/>
      <x:c r="G55" s="484"/>
      <x:c r="H55" s="484"/>
      <x:c r="I55" s="485"/>
      <x:c r="J55" s="485"/>
      <x:c r="K55" s="484"/>
      <x:c r="L55" s="483"/>
      <x:c r="M55" s="477"/>
      <x:c r="N55" s="112" t="str">
        <x:f>IF(COUNTA($A55:$M55)=0,"",IF(OR(LOWER($F55&amp;"")="subscription",LOWER($F55&amp;"")="membership"),"",IF($G55="","",IF(ISNUMBER(SEARCH("non",LOWER($E55&amp;""))),$G55*0.85,$G55))))</x:f>
      </x:c>
      <x:c r="O55" s="112" t="str">
        <x:f>IF(COUNTA($A55:$M55)=0,"",IF(OR(LOWER($F55&amp;"")="subscription",LOWER($F55&amp;"")="membership"),"",IF(OR($N55="",$I55="",$I55=0),"",IFERROR($N55/$I55,""))))</x:f>
      </x:c>
      <x:c r="P55" s="112" t="str">
        <x:f>IF(COUNTA($A55:$M55)=0,"",IF(OR(LOWER($F55&amp;"")="subscription",LOWER($F55&amp;"")="membership"),"",IF(LOWER($L55&amp;"")="yes",0,IF($K55&lt;&gt;"",$K55,IF($O55&lt;&gt;"",$O55,"")))))</x:f>
      </x:c>
      <x:c r="Q55" s="112" t="str">
        <x:f>IF(COUNTA($A55:$M55)=0,"",IF(OR($U55="Subscription",$U55=""),"",IF($U55="Profit",ROUND($P55-$H55,2),0)))</x:f>
      </x:c>
      <x:c r="R55" s="112" t="str">
        <x:f>IF(COUNTA($A55:$M55)=0,"",IF(OR($U55="Subscription",$U55=""),"",IF($U55="Draw",$H55,0)))</x:f>
      </x:c>
      <x:c r="S55" s="112" t="str">
        <x:f>IF(COUNTA($A55:$M55)=0,"",IF(OR($U55="Subscription",$U55=""),"",IF($U55="Disqualified",$H55,0)))</x:f>
      </x:c>
      <x:c r="T55" s="116" t="str">
        <x:f>IF(COUNTA($A55:$M55)=0,"",IF(OR($U55="Subscription",$U55=""),"",IF($H55=0,0,IF($U55="Profit",$Q55/$H55,IF($U55="Disqualified",-$S55/$H55,0)))))</x:f>
      </x:c>
      <x:c r="U55" s="290" t="str">
        <x:f>IF(COUNTA($A55:$M55)=0,"",IF(OR(LOWER($F55&amp;"")="subscription",LOWER($F55&amp;"")="membership"),"Subscription",IF(LOWER($L55&amp;"")="yes","Disqualified",IF(OR(LOWER($F55&amp;"")="free game",LOWER($F55&amp;"")="free"),IF(AND(ISNUMBER($P55),ISNUMBER($H55),$P55&gt;$H55),"Profit","Free Game"),IF($P55="","",IF(ROUND(IFERROR(VALUE($P55),0)-IFERROR(VALUE($H55),0),2)&gt;0,"Profit","Draw"))))))</x:f>
      </x:c>
      <x:c r="V55" s="144" t="str">
        <x:f>IF(COUNTA($A55:$M55)=0,"",IF(OR($B55="",$C55="",$U55="Subscription"),"",IFERROR(ROUNDUP(($C55-$B55)/7,0),"")))</x:f>
      </x:c>
      <x:c r="W55" s="112" t="str">
        <x:f>IF(COUNTA($A55:$M55)=0,"",IF(OR($U55="Subscription",$U55=""),"",ROUND(IFERROR($Q55,0)-IFERROR($S55,0),2)))</x:f>
      </x:c>
      <x:c r="X55" s="144" t="str">
        <x:f>IF(COUNTA($A55:$M55)=0,"",IF(OR($U55="Subscription",$U55="Free Game",NOT(ISNUMBER($J55)),NOT(ISNUMBER($I55)),$J55=0,$I55=0,$I55&gt;$J55),"",$J55-$I55))</x:f>
      </x:c>
      <x:c r="Y55" s="116" t="str">
        <x:f>IF(COUNTA($A55:$M55)=0,"",IF(OR($U55="Subscription",$U55="Free Game",NOT(ISNUMBER($J55)),$J55=0,$X55=""),"",$X55/$J55))</x:f>
      </x:c>
      <x:c r="Z55" s="118" t="str">
        <x:f>IF(COUNTA($A55:$M55)=0,"",Instructions!$B$29+SUM($W$5:W55))</x:f>
      </x:c>
    </x:row>
    <x:row r="56" ht="30" customHeight="1">
      <x:c r="A56" s="477"/>
      <x:c r="B56" s="482"/>
      <x:c r="C56" s="482"/>
      <x:c r="D56" s="483"/>
      <x:c r="E56" s="483"/>
      <x:c r="F56" s="483"/>
      <x:c r="G56" s="484"/>
      <x:c r="H56" s="484"/>
      <x:c r="I56" s="485"/>
      <x:c r="J56" s="485"/>
      <x:c r="K56" s="484"/>
      <x:c r="L56" s="483"/>
      <x:c r="M56" s="477"/>
      <x:c r="N56" s="112" t="str">
        <x:f>IF(COUNTA($A56:$M56)=0,"",IF(OR(LOWER($F56&amp;"")="subscription",LOWER($F56&amp;"")="membership"),"",IF($G56="","",IF(ISNUMBER(SEARCH("non",LOWER($E56&amp;""))),$G56*0.85,$G56))))</x:f>
      </x:c>
      <x:c r="O56" s="112" t="str">
        <x:f>IF(COUNTA($A56:$M56)=0,"",IF(OR(LOWER($F56&amp;"")="subscription",LOWER($F56&amp;"")="membership"),"",IF(OR($N56="",$I56="",$I56=0),"",IFERROR($N56/$I56,""))))</x:f>
      </x:c>
      <x:c r="P56" s="112" t="str">
        <x:f>IF(COUNTA($A56:$M56)=0,"",IF(OR(LOWER($F56&amp;"")="subscription",LOWER($F56&amp;"")="membership"),"",IF(LOWER($L56&amp;"")="yes",0,IF($K56&lt;&gt;"",$K56,IF($O56&lt;&gt;"",$O56,"")))))</x:f>
      </x:c>
      <x:c r="Q56" s="112" t="str">
        <x:f>IF(COUNTA($A56:$M56)=0,"",IF(OR($U56="Subscription",$U56=""),"",IF($U56="Profit",ROUND($P56-$H56,2),0)))</x:f>
      </x:c>
      <x:c r="R56" s="112" t="str">
        <x:f>IF(COUNTA($A56:$M56)=0,"",IF(OR($U56="Subscription",$U56=""),"",IF($U56="Draw",$H56,0)))</x:f>
      </x:c>
      <x:c r="S56" s="112" t="str">
        <x:f>IF(COUNTA($A56:$M56)=0,"",IF(OR($U56="Subscription",$U56=""),"",IF($U56="Disqualified",$H56,0)))</x:f>
      </x:c>
      <x:c r="T56" s="116" t="str">
        <x:f>IF(COUNTA($A56:$M56)=0,"",IF(OR($U56="Subscription",$U56=""),"",IF($H56=0,0,IF($U56="Profit",$Q56/$H56,IF($U56="Disqualified",-$S56/$H56,0)))))</x:f>
      </x:c>
      <x:c r="U56" s="290" t="str">
        <x:f>IF(COUNTA($A56:$M56)=0,"",IF(OR(LOWER($F56&amp;"")="subscription",LOWER($F56&amp;"")="membership"),"Subscription",IF(LOWER($L56&amp;"")="yes","Disqualified",IF(OR(LOWER($F56&amp;"")="free game",LOWER($F56&amp;"")="free"),IF(AND(ISNUMBER($P56),ISNUMBER($H56),$P56&gt;$H56),"Profit","Free Game"),IF($P56="","",IF(ROUND(IFERROR(VALUE($P56),0)-IFERROR(VALUE($H56),0),2)&gt;0,"Profit","Draw"))))))</x:f>
      </x:c>
      <x:c r="V56" s="144" t="str">
        <x:f>IF(COUNTA($A56:$M56)=0,"",IF(OR($B56="",$C56="",$U56="Subscription"),"",IFERROR(ROUNDUP(($C56-$B56)/7,0),"")))</x:f>
      </x:c>
      <x:c r="W56" s="112" t="str">
        <x:f>IF(COUNTA($A56:$M56)=0,"",IF(OR($U56="Subscription",$U56=""),"",ROUND(IFERROR($Q56,0)-IFERROR($S56,0),2)))</x:f>
      </x:c>
      <x:c r="X56" s="144" t="str">
        <x:f>IF(COUNTA($A56:$M56)=0,"",IF(OR($U56="Subscription",$U56="Free Game",NOT(ISNUMBER($J56)),NOT(ISNUMBER($I56)),$J56=0,$I56=0,$I56&gt;$J56),"",$J56-$I56))</x:f>
      </x:c>
      <x:c r="Y56" s="116" t="str">
        <x:f>IF(COUNTA($A56:$M56)=0,"",IF(OR($U56="Subscription",$U56="Free Game",NOT(ISNUMBER($J56)),$J56=0,$X56=""),"",$X56/$J56))</x:f>
      </x:c>
      <x:c r="Z56" s="118" t="str">
        <x:f>IF(COUNTA($A56:$M56)=0,"",Instructions!$B$29+SUM($W$5:W56))</x:f>
      </x:c>
    </x:row>
    <x:row r="57" ht="30" customHeight="1">
      <x:c r="A57" s="477"/>
      <x:c r="B57" s="482"/>
      <x:c r="C57" s="482"/>
      <x:c r="D57" s="483"/>
      <x:c r="E57" s="483"/>
      <x:c r="F57" s="483"/>
      <x:c r="G57" s="484"/>
      <x:c r="H57" s="484"/>
      <x:c r="I57" s="485"/>
      <x:c r="J57" s="485"/>
      <x:c r="K57" s="484"/>
      <x:c r="L57" s="483"/>
      <x:c r="M57" s="477"/>
      <x:c r="N57" s="112" t="str">
        <x:f>IF(COUNTA($A57:$M57)=0,"",IF(OR(LOWER($F57&amp;"")="subscription",LOWER($F57&amp;"")="membership"),"",IF($G57="","",IF(ISNUMBER(SEARCH("non",LOWER($E57&amp;""))),$G57*0.85,$G57))))</x:f>
      </x:c>
      <x:c r="O57" s="112" t="str">
        <x:f>IF(COUNTA($A57:$M57)=0,"",IF(OR(LOWER($F57&amp;"")="subscription",LOWER($F57&amp;"")="membership"),"",IF(OR($N57="",$I57="",$I57=0),"",IFERROR($N57/$I57,""))))</x:f>
      </x:c>
      <x:c r="P57" s="112" t="str">
        <x:f>IF(COUNTA($A57:$M57)=0,"",IF(OR(LOWER($F57&amp;"")="subscription",LOWER($F57&amp;"")="membership"),"",IF(LOWER($L57&amp;"")="yes",0,IF($K57&lt;&gt;"",$K57,IF($O57&lt;&gt;"",$O57,"")))))</x:f>
      </x:c>
      <x:c r="Q57" s="112" t="str">
        <x:f>IF(COUNTA($A57:$M57)=0,"",IF(OR($U57="Subscription",$U57=""),"",IF($U57="Profit",ROUND($P57-$H57,2),0)))</x:f>
      </x:c>
      <x:c r="R57" s="112" t="str">
        <x:f>IF(COUNTA($A57:$M57)=0,"",IF(OR($U57="Subscription",$U57=""),"",IF($U57="Draw",$H57,0)))</x:f>
      </x:c>
      <x:c r="S57" s="112" t="str">
        <x:f>IF(COUNTA($A57:$M57)=0,"",IF(OR($U57="Subscription",$U57=""),"",IF($U57="Disqualified",$H57,0)))</x:f>
      </x:c>
      <x:c r="T57" s="116" t="str">
        <x:f>IF(COUNTA($A57:$M57)=0,"",IF(OR($U57="Subscription",$U57=""),"",IF($H57=0,0,IF($U57="Profit",$Q57/$H57,IF($U57="Disqualified",-$S57/$H57,0)))))</x:f>
      </x:c>
      <x:c r="U57" s="290" t="str">
        <x:f>IF(COUNTA($A57:$M57)=0,"",IF(OR(LOWER($F57&amp;"")="subscription",LOWER($F57&amp;"")="membership"),"Subscription",IF(LOWER($L57&amp;"")="yes","Disqualified",IF(OR(LOWER($F57&amp;"")="free game",LOWER($F57&amp;"")="free"),IF(AND(ISNUMBER($P57),ISNUMBER($H57),$P57&gt;$H57),"Profit","Free Game"),IF($P57="","",IF(ROUND(IFERROR(VALUE($P57),0)-IFERROR(VALUE($H57),0),2)&gt;0,"Profit","Draw"))))))</x:f>
      </x:c>
      <x:c r="V57" s="144" t="str">
        <x:f>IF(COUNTA($A57:$M57)=0,"",IF(OR($B57="",$C57="",$U57="Subscription"),"",IFERROR(ROUNDUP(($C57-$B57)/7,0),"")))</x:f>
      </x:c>
      <x:c r="W57" s="112" t="str">
        <x:f>IF(COUNTA($A57:$M57)=0,"",IF(OR($U57="Subscription",$U57=""),"",ROUND(IFERROR($Q57,0)-IFERROR($S57,0),2)))</x:f>
      </x:c>
      <x:c r="X57" s="144" t="str">
        <x:f>IF(COUNTA($A57:$M57)=0,"",IF(OR($U57="Subscription",$U57="Free Game",NOT(ISNUMBER($J57)),NOT(ISNUMBER($I57)),$J57=0,$I57=0,$I57&gt;$J57),"",$J57-$I57))</x:f>
      </x:c>
      <x:c r="Y57" s="116" t="str">
        <x:f>IF(COUNTA($A57:$M57)=0,"",IF(OR($U57="Subscription",$U57="Free Game",NOT(ISNUMBER($J57)),$J57=0,$X57=""),"",$X57/$J57))</x:f>
      </x:c>
      <x:c r="Z57" s="118" t="str">
        <x:f>IF(COUNTA($A57:$M57)=0,"",Instructions!$B$29+SUM($W$5:W57))</x:f>
      </x:c>
    </x:row>
    <x:row r="58" ht="30" customHeight="1">
      <x:c r="A58" s="477"/>
      <x:c r="B58" s="482"/>
      <x:c r="C58" s="482"/>
      <x:c r="D58" s="483"/>
      <x:c r="E58" s="483"/>
      <x:c r="F58" s="483"/>
      <x:c r="G58" s="484"/>
      <x:c r="H58" s="484"/>
      <x:c r="I58" s="485"/>
      <x:c r="J58" s="485"/>
      <x:c r="K58" s="484"/>
      <x:c r="L58" s="483"/>
      <x:c r="M58" s="477"/>
      <x:c r="N58" s="112" t="str">
        <x:f>IF(COUNTA($A58:$M58)=0,"",IF(OR(LOWER($F58&amp;"")="subscription",LOWER($F58&amp;"")="membership"),"",IF($G58="","",IF(ISNUMBER(SEARCH("non",LOWER($E58&amp;""))),$G58*0.85,$G58))))</x:f>
      </x:c>
      <x:c r="O58" s="112" t="str">
        <x:f>IF(COUNTA($A58:$M58)=0,"",IF(OR(LOWER($F58&amp;"")="subscription",LOWER($F58&amp;"")="membership"),"",IF(OR($N58="",$I58="",$I58=0),"",IFERROR($N58/$I58,""))))</x:f>
      </x:c>
      <x:c r="P58" s="112" t="str">
        <x:f>IF(COUNTA($A58:$M58)=0,"",IF(OR(LOWER($F58&amp;"")="subscription",LOWER($F58&amp;"")="membership"),"",IF(LOWER($L58&amp;"")="yes",0,IF($K58&lt;&gt;"",$K58,IF($O58&lt;&gt;"",$O58,"")))))</x:f>
      </x:c>
      <x:c r="Q58" s="112" t="str">
        <x:f>IF(COUNTA($A58:$M58)=0,"",IF(OR($U58="Subscription",$U58=""),"",IF($U58="Profit",ROUND($P58-$H58,2),0)))</x:f>
      </x:c>
      <x:c r="R58" s="112" t="str">
        <x:f>IF(COUNTA($A58:$M58)=0,"",IF(OR($U58="Subscription",$U58=""),"",IF($U58="Draw",$H58,0)))</x:f>
      </x:c>
      <x:c r="S58" s="112" t="str">
        <x:f>IF(COUNTA($A58:$M58)=0,"",IF(OR($U58="Subscription",$U58=""),"",IF($U58="Disqualified",$H58,0)))</x:f>
      </x:c>
      <x:c r="T58" s="116" t="str">
        <x:f>IF(COUNTA($A58:$M58)=0,"",IF(OR($U58="Subscription",$U58=""),"",IF($H58=0,0,IF($U58="Profit",$Q58/$H58,IF($U58="Disqualified",-$S58/$H58,0)))))</x:f>
      </x:c>
      <x:c r="U58" s="290" t="str">
        <x:f>IF(COUNTA($A58:$M58)=0,"",IF(OR(LOWER($F58&amp;"")="subscription",LOWER($F58&amp;"")="membership"),"Subscription",IF(LOWER($L58&amp;"")="yes","Disqualified",IF(OR(LOWER($F58&amp;"")="free game",LOWER($F58&amp;"")="free"),IF(AND(ISNUMBER($P58),ISNUMBER($H58),$P58&gt;$H58),"Profit","Free Game"),IF($P58="","",IF(ROUND(IFERROR(VALUE($P58),0)-IFERROR(VALUE($H58),0),2)&gt;0,"Profit","Draw"))))))</x:f>
      </x:c>
      <x:c r="V58" s="144" t="str">
        <x:f>IF(COUNTA($A58:$M58)=0,"",IF(OR($B58="",$C58="",$U58="Subscription"),"",IFERROR(ROUNDUP(($C58-$B58)/7,0),"")))</x:f>
      </x:c>
      <x:c r="W58" s="112" t="str">
        <x:f>IF(COUNTA($A58:$M58)=0,"",IF(OR($U58="Subscription",$U58=""),"",ROUND(IFERROR($Q58,0)-IFERROR($S58,0),2)))</x:f>
      </x:c>
      <x:c r="X58" s="144" t="str">
        <x:f>IF(COUNTA($A58:$M58)=0,"",IF(OR($U58="Subscription",$U58="Free Game",NOT(ISNUMBER($J58)),NOT(ISNUMBER($I58)),$J58=0,$I58=0,$I58&gt;$J58),"",$J58-$I58))</x:f>
      </x:c>
      <x:c r="Y58" s="116" t="str">
        <x:f>IF(COUNTA($A58:$M58)=0,"",IF(OR($U58="Subscription",$U58="Free Game",NOT(ISNUMBER($J58)),$J58=0,$X58=""),"",$X58/$J58))</x:f>
      </x:c>
      <x:c r="Z58" s="118" t="str">
        <x:f>IF(COUNTA($A58:$M58)=0,"",Instructions!$B$29+SUM($W$5:W58))</x:f>
      </x:c>
    </x:row>
    <x:row r="59" ht="30" customHeight="1">
      <x:c r="A59" s="477"/>
      <x:c r="B59" s="482"/>
      <x:c r="C59" s="482"/>
      <x:c r="D59" s="483"/>
      <x:c r="E59" s="483"/>
      <x:c r="F59" s="483"/>
      <x:c r="G59" s="484"/>
      <x:c r="H59" s="484"/>
      <x:c r="I59" s="485"/>
      <x:c r="J59" s="485"/>
      <x:c r="K59" s="484"/>
      <x:c r="L59" s="483"/>
      <x:c r="M59" s="477"/>
      <x:c r="N59" s="112" t="str">
        <x:f>IF(COUNTA($A59:$M59)=0,"",IF(OR(LOWER($F59&amp;"")="subscription",LOWER($F59&amp;"")="membership"),"",IF($G59="","",IF(ISNUMBER(SEARCH("non",LOWER($E59&amp;""))),$G59*0.85,$G59))))</x:f>
      </x:c>
      <x:c r="O59" s="112" t="str">
        <x:f>IF(COUNTA($A59:$M59)=0,"",IF(OR(LOWER($F59&amp;"")="subscription",LOWER($F59&amp;"")="membership"),"",IF(OR($N59="",$I59="",$I59=0),"",IFERROR($N59/$I59,""))))</x:f>
      </x:c>
      <x:c r="P59" s="112" t="str">
        <x:f>IF(COUNTA($A59:$M59)=0,"",IF(OR(LOWER($F59&amp;"")="subscription",LOWER($F59&amp;"")="membership"),"",IF(LOWER($L59&amp;"")="yes",0,IF($K59&lt;&gt;"",$K59,IF($O59&lt;&gt;"",$O59,"")))))</x:f>
      </x:c>
      <x:c r="Q59" s="112" t="str">
        <x:f>IF(COUNTA($A59:$M59)=0,"",IF(OR($U59="Subscription",$U59=""),"",IF($U59="Profit",ROUND($P59-$H59,2),0)))</x:f>
      </x:c>
      <x:c r="R59" s="112" t="str">
        <x:f>IF(COUNTA($A59:$M59)=0,"",IF(OR($U59="Subscription",$U59=""),"",IF($U59="Draw",$H59,0)))</x:f>
      </x:c>
      <x:c r="S59" s="112" t="str">
        <x:f>IF(COUNTA($A59:$M59)=0,"",IF(OR($U59="Subscription",$U59=""),"",IF($U59="Disqualified",$H59,0)))</x:f>
      </x:c>
      <x:c r="T59" s="116" t="str">
        <x:f>IF(COUNTA($A59:$M59)=0,"",IF(OR($U59="Subscription",$U59=""),"",IF($H59=0,0,IF($U59="Profit",$Q59/$H59,IF($U59="Disqualified",-$S59/$H59,0)))))</x:f>
      </x:c>
      <x:c r="U59" s="290" t="str">
        <x:f>IF(COUNTA($A59:$M59)=0,"",IF(OR(LOWER($F59&amp;"")="subscription",LOWER($F59&amp;"")="membership"),"Subscription",IF(LOWER($L59&amp;"")="yes","Disqualified",IF(OR(LOWER($F59&amp;"")="free game",LOWER($F59&amp;"")="free"),IF(AND(ISNUMBER($P59),ISNUMBER($H59),$P59&gt;$H59),"Profit","Free Game"),IF($P59="","",IF(ROUND(IFERROR(VALUE($P59),0)-IFERROR(VALUE($H59),0),2)&gt;0,"Profit","Draw"))))))</x:f>
      </x:c>
      <x:c r="V59" s="144" t="str">
        <x:f>IF(COUNTA($A59:$M59)=0,"",IF(OR($B59="",$C59="",$U59="Subscription"),"",IFERROR(ROUNDUP(($C59-$B59)/7,0),"")))</x:f>
      </x:c>
      <x:c r="W59" s="112" t="str">
        <x:f>IF(COUNTA($A59:$M59)=0,"",IF(OR($U59="Subscription",$U59=""),"",ROUND(IFERROR($Q59,0)-IFERROR($S59,0),2)))</x:f>
      </x:c>
      <x:c r="X59" s="144" t="str">
        <x:f>IF(COUNTA($A59:$M59)=0,"",IF(OR($U59="Subscription",$U59="Free Game",NOT(ISNUMBER($J59)),NOT(ISNUMBER($I59)),$J59=0,$I59=0,$I59&gt;$J59),"",$J59-$I59))</x:f>
      </x:c>
      <x:c r="Y59" s="116" t="str">
        <x:f>IF(COUNTA($A59:$M59)=0,"",IF(OR($U59="Subscription",$U59="Free Game",NOT(ISNUMBER($J59)),$J59=0,$X59=""),"",$X59/$J59))</x:f>
      </x:c>
      <x:c r="Z59" s="118" t="str">
        <x:f>IF(COUNTA($A59:$M59)=0,"",Instructions!$B$29+SUM($W$5:W59))</x:f>
      </x:c>
    </x:row>
    <x:row r="60" ht="30" customHeight="1">
      <x:c r="A60" s="477"/>
      <x:c r="B60" s="482"/>
      <x:c r="C60" s="482"/>
      <x:c r="D60" s="483"/>
      <x:c r="E60" s="483"/>
      <x:c r="F60" s="483"/>
      <x:c r="G60" s="484"/>
      <x:c r="H60" s="484"/>
      <x:c r="I60" s="485"/>
      <x:c r="J60" s="485"/>
      <x:c r="K60" s="484"/>
      <x:c r="L60" s="483"/>
      <x:c r="M60" s="477"/>
      <x:c r="N60" s="112" t="str">
        <x:f>IF(COUNTA($A60:$M60)=0,"",IF(OR(LOWER($F60&amp;"")="subscription",LOWER($F60&amp;"")="membership"),"",IF($G60="","",IF(ISNUMBER(SEARCH("non",LOWER($E60&amp;""))),$G60*0.85,$G60))))</x:f>
      </x:c>
      <x:c r="O60" s="112" t="str">
        <x:f>IF(COUNTA($A60:$M60)=0,"",IF(OR(LOWER($F60&amp;"")="subscription",LOWER($F60&amp;"")="membership"),"",IF(OR($N60="",$I60="",$I60=0),"",IFERROR($N60/$I60,""))))</x:f>
      </x:c>
      <x:c r="P60" s="112" t="str">
        <x:f>IF(COUNTA($A60:$M60)=0,"",IF(OR(LOWER($F60&amp;"")="subscription",LOWER($F60&amp;"")="membership"),"",IF(LOWER($L60&amp;"")="yes",0,IF($K60&lt;&gt;"",$K60,IF($O60&lt;&gt;"",$O60,"")))))</x:f>
      </x:c>
      <x:c r="Q60" s="112" t="str">
        <x:f>IF(COUNTA($A60:$M60)=0,"",IF(OR($U60="Subscription",$U60=""),"",IF($U60="Profit",ROUND($P60-$H60,2),0)))</x:f>
      </x:c>
      <x:c r="R60" s="112" t="str">
        <x:f>IF(COUNTA($A60:$M60)=0,"",IF(OR($U60="Subscription",$U60=""),"",IF($U60="Draw",$H60,0)))</x:f>
      </x:c>
      <x:c r="S60" s="112" t="str">
        <x:f>IF(COUNTA($A60:$M60)=0,"",IF(OR($U60="Subscription",$U60=""),"",IF($U60="Disqualified",$H60,0)))</x:f>
      </x:c>
      <x:c r="T60" s="116" t="str">
        <x:f>IF(COUNTA($A60:$M60)=0,"",IF(OR($U60="Subscription",$U60=""),"",IF($H60=0,0,IF($U60="Profit",$Q60/$H60,IF($U60="Disqualified",-$S60/$H60,0)))))</x:f>
      </x:c>
      <x:c r="U60" s="290" t="str">
        <x:f>IF(COUNTA($A60:$M60)=0,"",IF(OR(LOWER($F60&amp;"")="subscription",LOWER($F60&amp;"")="membership"),"Subscription",IF(LOWER($L60&amp;"")="yes","Disqualified",IF(OR(LOWER($F60&amp;"")="free game",LOWER($F60&amp;"")="free"),IF(AND(ISNUMBER($P60),ISNUMBER($H60),$P60&gt;$H60),"Profit","Free Game"),IF($P60="","",IF(ROUND(IFERROR(VALUE($P60),0)-IFERROR(VALUE($H60),0),2)&gt;0,"Profit","Draw"))))))</x:f>
      </x:c>
      <x:c r="V60" s="144" t="str">
        <x:f>IF(COUNTA($A60:$M60)=0,"",IF(OR($B60="",$C60="",$U60="Subscription"),"",IFERROR(ROUNDUP(($C60-$B60)/7,0),"")))</x:f>
      </x:c>
      <x:c r="W60" s="112" t="str">
        <x:f>IF(COUNTA($A60:$M60)=0,"",IF(OR($U60="Subscription",$U60=""),"",ROUND(IFERROR($Q60,0)-IFERROR($S60,0),2)))</x:f>
      </x:c>
      <x:c r="X60" s="144" t="str">
        <x:f>IF(COUNTA($A60:$M60)=0,"",IF(OR($U60="Subscription",$U60="Free Game",NOT(ISNUMBER($J60)),NOT(ISNUMBER($I60)),$J60=0,$I60=0,$I60&gt;$J60),"",$J60-$I60))</x:f>
      </x:c>
      <x:c r="Y60" s="116" t="str">
        <x:f>IF(COUNTA($A60:$M60)=0,"",IF(OR($U60="Subscription",$U60="Free Game",NOT(ISNUMBER($J60)),$J60=0,$X60=""),"",$X60/$J60))</x:f>
      </x:c>
      <x:c r="Z60" s="118" t="str">
        <x:f>IF(COUNTA($A60:$M60)=0,"",Instructions!$B$29+SUM($W$5:W60))</x:f>
      </x:c>
    </x:row>
    <x:row r="61" ht="30" customHeight="1">
      <x:c r="A61" s="477"/>
      <x:c r="B61" s="482"/>
      <x:c r="C61" s="482"/>
      <x:c r="D61" s="483"/>
      <x:c r="E61" s="483"/>
      <x:c r="F61" s="483"/>
      <x:c r="G61" s="484"/>
      <x:c r="H61" s="484"/>
      <x:c r="I61" s="485"/>
      <x:c r="J61" s="485"/>
      <x:c r="K61" s="484"/>
      <x:c r="L61" s="483"/>
      <x:c r="M61" s="477"/>
      <x:c r="N61" s="112" t="str">
        <x:f>IF(COUNTA($A61:$M61)=0,"",IF(OR(LOWER($F61&amp;"")="subscription",LOWER($F61&amp;"")="membership"),"",IF($G61="","",IF(ISNUMBER(SEARCH("non",LOWER($E61&amp;""))),$G61*0.85,$G61))))</x:f>
      </x:c>
      <x:c r="O61" s="112" t="str">
        <x:f>IF(COUNTA($A61:$M61)=0,"",IF(OR(LOWER($F61&amp;"")="subscription",LOWER($F61&amp;"")="membership"),"",IF(OR($N61="",$I61="",$I61=0),"",IFERROR($N61/$I61,""))))</x:f>
      </x:c>
      <x:c r="P61" s="112" t="str">
        <x:f>IF(COUNTA($A61:$M61)=0,"",IF(OR(LOWER($F61&amp;"")="subscription",LOWER($F61&amp;"")="membership"),"",IF(LOWER($L61&amp;"")="yes",0,IF($K61&lt;&gt;"",$K61,IF($O61&lt;&gt;"",$O61,"")))))</x:f>
      </x:c>
      <x:c r="Q61" s="112" t="str">
        <x:f>IF(COUNTA($A61:$M61)=0,"",IF(OR($U61="Subscription",$U61=""),"",IF($U61="Profit",ROUND($P61-$H61,2),0)))</x:f>
      </x:c>
      <x:c r="R61" s="112" t="str">
        <x:f>IF(COUNTA($A61:$M61)=0,"",IF(OR($U61="Subscription",$U61=""),"",IF($U61="Draw",$H61,0)))</x:f>
      </x:c>
      <x:c r="S61" s="112" t="str">
        <x:f>IF(COUNTA($A61:$M61)=0,"",IF(OR($U61="Subscription",$U61=""),"",IF($U61="Disqualified",$H61,0)))</x:f>
      </x:c>
      <x:c r="T61" s="116" t="str">
        <x:f>IF(COUNTA($A61:$M61)=0,"",IF(OR($U61="Subscription",$U61=""),"",IF($H61=0,0,IF($U61="Profit",$Q61/$H61,IF($U61="Disqualified",-$S61/$H61,0)))))</x:f>
      </x:c>
      <x:c r="U61" s="290" t="str">
        <x:f>IF(COUNTA($A61:$M61)=0,"",IF(OR(LOWER($F61&amp;"")="subscription",LOWER($F61&amp;"")="membership"),"Subscription",IF(LOWER($L61&amp;"")="yes","Disqualified",IF(OR(LOWER($F61&amp;"")="free game",LOWER($F61&amp;"")="free"),IF(AND(ISNUMBER($P61),ISNUMBER($H61),$P61&gt;$H61),"Profit","Free Game"),IF($P61="","",IF(ROUND(IFERROR(VALUE($P61),0)-IFERROR(VALUE($H61),0),2)&gt;0,"Profit","Draw"))))))</x:f>
      </x:c>
      <x:c r="V61" s="144" t="str">
        <x:f>IF(COUNTA($A61:$M61)=0,"",IF(OR($B61="",$C61="",$U61="Subscription"),"",IFERROR(ROUNDUP(($C61-$B61)/7,0),"")))</x:f>
      </x:c>
      <x:c r="W61" s="112" t="str">
        <x:f>IF(COUNTA($A61:$M61)=0,"",IF(OR($U61="Subscription",$U61=""),"",ROUND(IFERROR($Q61,0)-IFERROR($S61,0),2)))</x:f>
      </x:c>
      <x:c r="X61" s="144" t="str">
        <x:f>IF(COUNTA($A61:$M61)=0,"",IF(OR($U61="Subscription",$U61="Free Game",NOT(ISNUMBER($J61)),NOT(ISNUMBER($I61)),$J61=0,$I61=0,$I61&gt;$J61),"",$J61-$I61))</x:f>
      </x:c>
      <x:c r="Y61" s="116" t="str">
        <x:f>IF(COUNTA($A61:$M61)=0,"",IF(OR($U61="Subscription",$U61="Free Game",NOT(ISNUMBER($J61)),$J61=0,$X61=""),"",$X61/$J61))</x:f>
      </x:c>
      <x:c r="Z61" s="118" t="str">
        <x:f>IF(COUNTA($A61:$M61)=0,"",Instructions!$B$29+SUM($W$5:W61))</x:f>
      </x:c>
    </x:row>
    <x:row r="62" ht="30" customHeight="1">
      <x:c r="A62" s="477"/>
      <x:c r="B62" s="482"/>
      <x:c r="C62" s="482"/>
      <x:c r="D62" s="483"/>
      <x:c r="E62" s="483"/>
      <x:c r="F62" s="483"/>
      <x:c r="G62" s="484"/>
      <x:c r="H62" s="484"/>
      <x:c r="I62" s="485"/>
      <x:c r="J62" s="485"/>
      <x:c r="K62" s="484"/>
      <x:c r="L62" s="483"/>
      <x:c r="M62" s="477"/>
      <x:c r="N62" s="112" t="str">
        <x:f>IF(COUNTA($A62:$M62)=0,"",IF(OR(LOWER($F62&amp;"")="subscription",LOWER($F62&amp;"")="membership"),"",IF($G62="","",IF(ISNUMBER(SEARCH("non",LOWER($E62&amp;""))),$G62*0.85,$G62))))</x:f>
      </x:c>
      <x:c r="O62" s="112" t="str">
        <x:f>IF(COUNTA($A62:$M62)=0,"",IF(OR(LOWER($F62&amp;"")="subscription",LOWER($F62&amp;"")="membership"),"",IF(OR($N62="",$I62="",$I62=0),"",IFERROR($N62/$I62,""))))</x:f>
      </x:c>
      <x:c r="P62" s="112" t="str">
        <x:f>IF(COUNTA($A62:$M62)=0,"",IF(OR(LOWER($F62&amp;"")="subscription",LOWER($F62&amp;"")="membership"),"",IF(LOWER($L62&amp;"")="yes",0,IF($K62&lt;&gt;"",$K62,IF($O62&lt;&gt;"",$O62,"")))))</x:f>
      </x:c>
      <x:c r="Q62" s="112" t="str">
        <x:f>IF(COUNTA($A62:$M62)=0,"",IF(OR($U62="Subscription",$U62=""),"",IF($U62="Profit",ROUND($P62-$H62,2),0)))</x:f>
      </x:c>
      <x:c r="R62" s="112" t="str">
        <x:f>IF(COUNTA($A62:$M62)=0,"",IF(OR($U62="Subscription",$U62=""),"",IF($U62="Draw",$H62,0)))</x:f>
      </x:c>
      <x:c r="S62" s="112" t="str">
        <x:f>IF(COUNTA($A62:$M62)=0,"",IF(OR($U62="Subscription",$U62=""),"",IF($U62="Disqualified",$H62,0)))</x:f>
      </x:c>
      <x:c r="T62" s="116" t="str">
        <x:f>IF(COUNTA($A62:$M62)=0,"",IF(OR($U62="Subscription",$U62=""),"",IF($H62=0,0,IF($U62="Profit",$Q62/$H62,IF($U62="Disqualified",-$S62/$H62,0)))))</x:f>
      </x:c>
      <x:c r="U62" s="290" t="str">
        <x:f>IF(COUNTA($A62:$M62)=0,"",IF(OR(LOWER($F62&amp;"")="subscription",LOWER($F62&amp;"")="membership"),"Subscription",IF(LOWER($L62&amp;"")="yes","Disqualified",IF(OR(LOWER($F62&amp;"")="free game",LOWER($F62&amp;"")="free"),IF(AND(ISNUMBER($P62),ISNUMBER($H62),$P62&gt;$H62),"Profit","Free Game"),IF($P62="","",IF(ROUND(IFERROR(VALUE($P62),0)-IFERROR(VALUE($H62),0),2)&gt;0,"Profit","Draw"))))))</x:f>
      </x:c>
      <x:c r="V62" s="144" t="str">
        <x:f>IF(COUNTA($A62:$M62)=0,"",IF(OR($B62="",$C62="",$U62="Subscription"),"",IFERROR(ROUNDUP(($C62-$B62)/7,0),"")))</x:f>
      </x:c>
      <x:c r="W62" s="112" t="str">
        <x:f>IF(COUNTA($A62:$M62)=0,"",IF(OR($U62="Subscription",$U62=""),"",ROUND(IFERROR($Q62,0)-IFERROR($S62,0),2)))</x:f>
      </x:c>
      <x:c r="X62" s="144" t="str">
        <x:f>IF(COUNTA($A62:$M62)=0,"",IF(OR($U62="Subscription",$U62="Free Game",NOT(ISNUMBER($J62)),NOT(ISNUMBER($I62)),$J62=0,$I62=0,$I62&gt;$J62),"",$J62-$I62))</x:f>
      </x:c>
      <x:c r="Y62" s="116" t="str">
        <x:f>IF(COUNTA($A62:$M62)=0,"",IF(OR($U62="Subscription",$U62="Free Game",NOT(ISNUMBER($J62)),$J62=0,$X62=""),"",$X62/$J62))</x:f>
      </x:c>
      <x:c r="Z62" s="118" t="str">
        <x:f>IF(COUNTA($A62:$M62)=0,"",Instructions!$B$29+SUM($W$5:W62))</x:f>
      </x:c>
    </x:row>
    <x:row r="63" ht="30" customHeight="1">
      <x:c r="A63" s="477"/>
      <x:c r="B63" s="482"/>
      <x:c r="C63" s="482"/>
      <x:c r="D63" s="483"/>
      <x:c r="E63" s="483"/>
      <x:c r="F63" s="483"/>
      <x:c r="G63" s="484"/>
      <x:c r="H63" s="484"/>
      <x:c r="I63" s="485"/>
      <x:c r="J63" s="485"/>
      <x:c r="K63" s="484"/>
      <x:c r="L63" s="483"/>
      <x:c r="M63" s="477"/>
      <x:c r="N63" s="112" t="str">
        <x:f>IF(COUNTA($A63:$M63)=0,"",IF(OR(LOWER($F63&amp;"")="subscription",LOWER($F63&amp;"")="membership"),"",IF($G63="","",IF(ISNUMBER(SEARCH("non",LOWER($E63&amp;""))),$G63*0.85,$G63))))</x:f>
      </x:c>
      <x:c r="O63" s="112" t="str">
        <x:f>IF(COUNTA($A63:$M63)=0,"",IF(OR(LOWER($F63&amp;"")="subscription",LOWER($F63&amp;"")="membership"),"",IF(OR($N63="",$I63="",$I63=0),"",IFERROR($N63/$I63,""))))</x:f>
      </x:c>
      <x:c r="P63" s="112" t="str">
        <x:f>IF(COUNTA($A63:$M63)=0,"",IF(OR(LOWER($F63&amp;"")="subscription",LOWER($F63&amp;"")="membership"),"",IF(LOWER($L63&amp;"")="yes",0,IF($K63&lt;&gt;"",$K63,IF($O63&lt;&gt;"",$O63,"")))))</x:f>
      </x:c>
      <x:c r="Q63" s="112" t="str">
        <x:f>IF(COUNTA($A63:$M63)=0,"",IF(OR($U63="Subscription",$U63=""),"",IF($U63="Profit",ROUND($P63-$H63,2),0)))</x:f>
      </x:c>
      <x:c r="R63" s="112" t="str">
        <x:f>IF(COUNTA($A63:$M63)=0,"",IF(OR($U63="Subscription",$U63=""),"",IF($U63="Draw",$H63,0)))</x:f>
      </x:c>
      <x:c r="S63" s="112" t="str">
        <x:f>IF(COUNTA($A63:$M63)=0,"",IF(OR($U63="Subscription",$U63=""),"",IF($U63="Disqualified",$H63,0)))</x:f>
      </x:c>
      <x:c r="T63" s="116" t="str">
        <x:f>IF(COUNTA($A63:$M63)=0,"",IF(OR($U63="Subscription",$U63=""),"",IF($H63=0,0,IF($U63="Profit",$Q63/$H63,IF($U63="Disqualified",-$S63/$H63,0)))))</x:f>
      </x:c>
      <x:c r="U63" s="290" t="str">
        <x:f>IF(COUNTA($A63:$M63)=0,"",IF(OR(LOWER($F63&amp;"")="subscription",LOWER($F63&amp;"")="membership"),"Subscription",IF(LOWER($L63&amp;"")="yes","Disqualified",IF(OR(LOWER($F63&amp;"")="free game",LOWER($F63&amp;"")="free"),IF(AND(ISNUMBER($P63),ISNUMBER($H63),$P63&gt;$H63),"Profit","Free Game"),IF($P63="","",IF(ROUND(IFERROR(VALUE($P63),0)-IFERROR(VALUE($H63),0),2)&gt;0,"Profit","Draw"))))))</x:f>
      </x:c>
      <x:c r="V63" s="144" t="str">
        <x:f>IF(COUNTA($A63:$M63)=0,"",IF(OR($B63="",$C63="",$U63="Subscription"),"",IFERROR(ROUNDUP(($C63-$B63)/7,0),"")))</x:f>
      </x:c>
      <x:c r="W63" s="112" t="str">
        <x:f>IF(COUNTA($A63:$M63)=0,"",IF(OR($U63="Subscription",$U63=""),"",ROUND(IFERROR($Q63,0)-IFERROR($S63,0),2)))</x:f>
      </x:c>
      <x:c r="X63" s="144" t="str">
        <x:f>IF(COUNTA($A63:$M63)=0,"",IF(OR($U63="Subscription",$U63="Free Game",NOT(ISNUMBER($J63)),NOT(ISNUMBER($I63)),$J63=0,$I63=0,$I63&gt;$J63),"",$J63-$I63))</x:f>
      </x:c>
      <x:c r="Y63" s="116" t="str">
        <x:f>IF(COUNTA($A63:$M63)=0,"",IF(OR($U63="Subscription",$U63="Free Game",NOT(ISNUMBER($J63)),$J63=0,$X63=""),"",$X63/$J63))</x:f>
      </x:c>
      <x:c r="Z63" s="118" t="str">
        <x:f>IF(COUNTA($A63:$M63)=0,"",Instructions!$B$29+SUM($W$5:W63))</x:f>
      </x:c>
    </x:row>
    <x:row r="64" ht="30" customHeight="1">
      <x:c r="A64" s="477"/>
      <x:c r="B64" s="482"/>
      <x:c r="C64" s="482"/>
      <x:c r="D64" s="483"/>
      <x:c r="E64" s="483"/>
      <x:c r="F64" s="483"/>
      <x:c r="G64" s="484"/>
      <x:c r="H64" s="484"/>
      <x:c r="I64" s="485"/>
      <x:c r="J64" s="485"/>
      <x:c r="K64" s="484"/>
      <x:c r="L64" s="483"/>
      <x:c r="M64" s="477"/>
      <x:c r="N64" s="112" t="str">
        <x:f>IF(COUNTA($A64:$M64)=0,"",IF(OR(LOWER($F64&amp;"")="subscription",LOWER($F64&amp;"")="membership"),"",IF($G64="","",IF(ISNUMBER(SEARCH("non",LOWER($E64&amp;""))),$G64*0.85,$G64))))</x:f>
      </x:c>
      <x:c r="O64" s="112" t="str">
        <x:f>IF(COUNTA($A64:$M64)=0,"",IF(OR(LOWER($F64&amp;"")="subscription",LOWER($F64&amp;"")="membership"),"",IF(OR($N64="",$I64="",$I64=0),"",IFERROR($N64/$I64,""))))</x:f>
      </x:c>
      <x:c r="P64" s="112" t="str">
        <x:f>IF(COUNTA($A64:$M64)=0,"",IF(OR(LOWER($F64&amp;"")="subscription",LOWER($F64&amp;"")="membership"),"",IF(LOWER($L64&amp;"")="yes",0,IF($K64&lt;&gt;"",$K64,IF($O64&lt;&gt;"",$O64,"")))))</x:f>
      </x:c>
      <x:c r="Q64" s="112" t="str">
        <x:f>IF(COUNTA($A64:$M64)=0,"",IF(OR($U64="Subscription",$U64=""),"",IF($U64="Profit",ROUND($P64-$H64,2),0)))</x:f>
      </x:c>
      <x:c r="R64" s="112" t="str">
        <x:f>IF(COUNTA($A64:$M64)=0,"",IF(OR($U64="Subscription",$U64=""),"",IF($U64="Draw",$H64,0)))</x:f>
      </x:c>
      <x:c r="S64" s="112" t="str">
        <x:f>IF(COUNTA($A64:$M64)=0,"",IF(OR($U64="Subscription",$U64=""),"",IF($U64="Disqualified",$H64,0)))</x:f>
      </x:c>
      <x:c r="T64" s="116" t="str">
        <x:f>IF(COUNTA($A64:$M64)=0,"",IF(OR($U64="Subscription",$U64=""),"",IF($H64=0,0,IF($U64="Profit",$Q64/$H64,IF($U64="Disqualified",-$S64/$H64,0)))))</x:f>
      </x:c>
      <x:c r="U64" s="290" t="str">
        <x:f>IF(COUNTA($A64:$M64)=0,"",IF(OR(LOWER($F64&amp;"")="subscription",LOWER($F64&amp;"")="membership"),"Subscription",IF(LOWER($L64&amp;"")="yes","Disqualified",IF(OR(LOWER($F64&amp;"")="free game",LOWER($F64&amp;"")="free"),IF(AND(ISNUMBER($P64),ISNUMBER($H64),$P64&gt;$H64),"Profit","Free Game"),IF($P64="","",IF(ROUND(IFERROR(VALUE($P64),0)-IFERROR(VALUE($H64),0),2)&gt;0,"Profit","Draw"))))))</x:f>
      </x:c>
      <x:c r="V64" s="144" t="str">
        <x:f>IF(COUNTA($A64:$M64)=0,"",IF(OR($B64="",$C64="",$U64="Subscription"),"",IFERROR(ROUNDUP(($C64-$B64)/7,0),"")))</x:f>
      </x:c>
      <x:c r="W64" s="112" t="str">
        <x:f>IF(COUNTA($A64:$M64)=0,"",IF(OR($U64="Subscription",$U64=""),"",ROUND(IFERROR($Q64,0)-IFERROR($S64,0),2)))</x:f>
      </x:c>
      <x:c r="X64" s="144" t="str">
        <x:f>IF(COUNTA($A64:$M64)=0,"",IF(OR($U64="Subscription",$U64="Free Game",NOT(ISNUMBER($J64)),NOT(ISNUMBER($I64)),$J64=0,$I64=0,$I64&gt;$J64),"",$J64-$I64))</x:f>
      </x:c>
      <x:c r="Y64" s="116" t="str">
        <x:f>IF(COUNTA($A64:$M64)=0,"",IF(OR($U64="Subscription",$U64="Free Game",NOT(ISNUMBER($J64)),$J64=0,$X64=""),"",$X64/$J64))</x:f>
      </x:c>
      <x:c r="Z64" s="118" t="str">
        <x:f>IF(COUNTA($A64:$M64)=0,"",Instructions!$B$29+SUM($W$5:W64))</x:f>
      </x:c>
    </x:row>
    <x:row r="65" ht="30" customHeight="1">
      <x:c r="A65" s="477"/>
      <x:c r="B65" s="482"/>
      <x:c r="C65" s="482"/>
      <x:c r="D65" s="483"/>
      <x:c r="E65" s="483"/>
      <x:c r="F65" s="483"/>
      <x:c r="G65" s="484"/>
      <x:c r="H65" s="484"/>
      <x:c r="I65" s="485"/>
      <x:c r="J65" s="485"/>
      <x:c r="K65" s="484"/>
      <x:c r="L65" s="483"/>
      <x:c r="M65" s="477"/>
      <x:c r="N65" s="112" t="str">
        <x:f>IF(COUNTA($A65:$M65)=0,"",IF(OR(LOWER($F65&amp;"")="subscription",LOWER($F65&amp;"")="membership"),"",IF($G65="","",IF(ISNUMBER(SEARCH("non",LOWER($E65&amp;""))),$G65*0.85,$G65))))</x:f>
      </x:c>
      <x:c r="O65" s="112" t="str">
        <x:f>IF(COUNTA($A65:$M65)=0,"",IF(OR(LOWER($F65&amp;"")="subscription",LOWER($F65&amp;"")="membership"),"",IF(OR($N65="",$I65="",$I65=0),"",IFERROR($N65/$I65,""))))</x:f>
      </x:c>
      <x:c r="P65" s="112" t="str">
        <x:f>IF(COUNTA($A65:$M65)=0,"",IF(OR(LOWER($F65&amp;"")="subscription",LOWER($F65&amp;"")="membership"),"",IF(LOWER($L65&amp;"")="yes",0,IF($K65&lt;&gt;"",$K65,IF($O65&lt;&gt;"",$O65,"")))))</x:f>
      </x:c>
      <x:c r="Q65" s="112" t="str">
        <x:f>IF(COUNTA($A65:$M65)=0,"",IF(OR($U65="Subscription",$U65=""),"",IF($U65="Profit",ROUND($P65-$H65,2),0)))</x:f>
      </x:c>
      <x:c r="R65" s="112" t="str">
        <x:f>IF(COUNTA($A65:$M65)=0,"",IF(OR($U65="Subscription",$U65=""),"",IF($U65="Draw",$H65,0)))</x:f>
      </x:c>
      <x:c r="S65" s="112" t="str">
        <x:f>IF(COUNTA($A65:$M65)=0,"",IF(OR($U65="Subscription",$U65=""),"",IF($U65="Disqualified",$H65,0)))</x:f>
      </x:c>
      <x:c r="T65" s="116" t="str">
        <x:f>IF(COUNTA($A65:$M65)=0,"",IF(OR($U65="Subscription",$U65=""),"",IF($H65=0,0,IF($U65="Profit",$Q65/$H65,IF($U65="Disqualified",-$S65/$H65,0)))))</x:f>
      </x:c>
      <x:c r="U65" s="290" t="str">
        <x:f>IF(COUNTA($A65:$M65)=0,"",IF(OR(LOWER($F65&amp;"")="subscription",LOWER($F65&amp;"")="membership"),"Subscription",IF(LOWER($L65&amp;"")="yes","Disqualified",IF(OR(LOWER($F65&amp;"")="free game",LOWER($F65&amp;"")="free"),IF(AND(ISNUMBER($P65),ISNUMBER($H65),$P65&gt;$H65),"Profit","Free Game"),IF($P65="","",IF(ROUND(IFERROR(VALUE($P65),0)-IFERROR(VALUE($H65),0),2)&gt;0,"Profit","Draw"))))))</x:f>
      </x:c>
      <x:c r="V65" s="144" t="str">
        <x:f>IF(COUNTA($A65:$M65)=0,"",IF(OR($B65="",$C65="",$U65="Subscription"),"",IFERROR(ROUNDUP(($C65-$B65)/7,0),"")))</x:f>
      </x:c>
      <x:c r="W65" s="112" t="str">
        <x:f>IF(COUNTA($A65:$M65)=0,"",IF(OR($U65="Subscription",$U65=""),"",ROUND(IFERROR($Q65,0)-IFERROR($S65,0),2)))</x:f>
      </x:c>
      <x:c r="X65" s="144" t="str">
        <x:f>IF(COUNTA($A65:$M65)=0,"",IF(OR($U65="Subscription",$U65="Free Game",NOT(ISNUMBER($J65)),NOT(ISNUMBER($I65)),$J65=0,$I65=0,$I65&gt;$J65),"",$J65-$I65))</x:f>
      </x:c>
      <x:c r="Y65" s="116" t="str">
        <x:f>IF(COUNTA($A65:$M65)=0,"",IF(OR($U65="Subscription",$U65="Free Game",NOT(ISNUMBER($J65)),$J65=0,$X65=""),"",$X65/$J65))</x:f>
      </x:c>
      <x:c r="Z65" s="118" t="str">
        <x:f>IF(COUNTA($A65:$M65)=0,"",Instructions!$B$29+SUM($W$5:W65))</x:f>
      </x:c>
    </x:row>
    <x:row r="66" ht="30" customHeight="1">
      <x:c r="A66" s="477"/>
      <x:c r="B66" s="482"/>
      <x:c r="C66" s="482"/>
      <x:c r="D66" s="483"/>
      <x:c r="E66" s="483"/>
      <x:c r="F66" s="483"/>
      <x:c r="G66" s="484"/>
      <x:c r="H66" s="484"/>
      <x:c r="I66" s="485"/>
      <x:c r="J66" s="485"/>
      <x:c r="K66" s="484"/>
      <x:c r="L66" s="483"/>
      <x:c r="M66" s="477"/>
      <x:c r="N66" s="112" t="str">
        <x:f>IF(COUNTA($A66:$M66)=0,"",IF(OR(LOWER($F66&amp;"")="subscription",LOWER($F66&amp;"")="membership"),"",IF($G66="","",IF(ISNUMBER(SEARCH("non",LOWER($E66&amp;""))),$G66*0.85,$G66))))</x:f>
      </x:c>
      <x:c r="O66" s="112" t="str">
        <x:f>IF(COUNTA($A66:$M66)=0,"",IF(OR(LOWER($F66&amp;"")="subscription",LOWER($F66&amp;"")="membership"),"",IF(OR($N66="",$I66="",$I66=0),"",IFERROR($N66/$I66,""))))</x:f>
      </x:c>
      <x:c r="P66" s="112" t="str">
        <x:f>IF(COUNTA($A66:$M66)=0,"",IF(OR(LOWER($F66&amp;"")="subscription",LOWER($F66&amp;"")="membership"),"",IF(LOWER($L66&amp;"")="yes",0,IF($K66&lt;&gt;"",$K66,IF($O66&lt;&gt;"",$O66,"")))))</x:f>
      </x:c>
      <x:c r="Q66" s="112" t="str">
        <x:f>IF(COUNTA($A66:$M66)=0,"",IF(OR($U66="Subscription",$U66=""),"",IF($U66="Profit",ROUND($P66-$H66,2),0)))</x:f>
      </x:c>
      <x:c r="R66" s="112" t="str">
        <x:f>IF(COUNTA($A66:$M66)=0,"",IF(OR($U66="Subscription",$U66=""),"",IF($U66="Draw",$H66,0)))</x:f>
      </x:c>
      <x:c r="S66" s="112" t="str">
        <x:f>IF(COUNTA($A66:$M66)=0,"",IF(OR($U66="Subscription",$U66=""),"",IF($U66="Disqualified",$H66,0)))</x:f>
      </x:c>
      <x:c r="T66" s="116" t="str">
        <x:f>IF(COUNTA($A66:$M66)=0,"",IF(OR($U66="Subscription",$U66=""),"",IF($H66=0,0,IF($U66="Profit",$Q66/$H66,IF($U66="Disqualified",-$S66/$H66,0)))))</x:f>
      </x:c>
      <x:c r="U66" s="290" t="str">
        <x:f>IF(COUNTA($A66:$M66)=0,"",IF(OR(LOWER($F66&amp;"")="subscription",LOWER($F66&amp;"")="membership"),"Subscription",IF(LOWER($L66&amp;"")="yes","Disqualified",IF(OR(LOWER($F66&amp;"")="free game",LOWER($F66&amp;"")="free"),IF(AND(ISNUMBER($P66),ISNUMBER($H66),$P66&gt;$H66),"Profit","Free Game"),IF($P66="","",IF(ROUND(IFERROR(VALUE($P66),0)-IFERROR(VALUE($H66),0),2)&gt;0,"Profit","Draw"))))))</x:f>
      </x:c>
      <x:c r="V66" s="144" t="str">
        <x:f>IF(COUNTA($A66:$M66)=0,"",IF(OR($B66="",$C66="",$U66="Subscription"),"",IFERROR(ROUNDUP(($C66-$B66)/7,0),"")))</x:f>
      </x:c>
      <x:c r="W66" s="112" t="str">
        <x:f>IF(COUNTA($A66:$M66)=0,"",IF(OR($U66="Subscription",$U66=""),"",ROUND(IFERROR($Q66,0)-IFERROR($S66,0),2)))</x:f>
      </x:c>
      <x:c r="X66" s="144" t="str">
        <x:f>IF(COUNTA($A66:$M66)=0,"",IF(OR($U66="Subscription",$U66="Free Game",NOT(ISNUMBER($J66)),NOT(ISNUMBER($I66)),$J66=0,$I66=0,$I66&gt;$J66),"",$J66-$I66))</x:f>
      </x:c>
      <x:c r="Y66" s="116" t="str">
        <x:f>IF(COUNTA($A66:$M66)=0,"",IF(OR($U66="Subscription",$U66="Free Game",NOT(ISNUMBER($J66)),$J66=0,$X66=""),"",$X66/$J66))</x:f>
      </x:c>
      <x:c r="Z66" s="118" t="str">
        <x:f>IF(COUNTA($A66:$M66)=0,"",Instructions!$B$29+SUM($W$5:W66))</x:f>
      </x:c>
    </x:row>
    <x:row r="67" ht="30" customHeight="1">
      <x:c r="A67" s="477"/>
      <x:c r="B67" s="482"/>
      <x:c r="C67" s="482"/>
      <x:c r="D67" s="483"/>
      <x:c r="E67" s="483"/>
      <x:c r="F67" s="483"/>
      <x:c r="G67" s="484"/>
      <x:c r="H67" s="484"/>
      <x:c r="I67" s="485"/>
      <x:c r="J67" s="485"/>
      <x:c r="K67" s="484"/>
      <x:c r="L67" s="483"/>
      <x:c r="M67" s="477"/>
      <x:c r="N67" s="112" t="str">
        <x:f>IF(COUNTA($A67:$M67)=0,"",IF(OR(LOWER($F67&amp;"")="subscription",LOWER($F67&amp;"")="membership"),"",IF($G67="","",IF(ISNUMBER(SEARCH("non",LOWER($E67&amp;""))),$G67*0.85,$G67))))</x:f>
      </x:c>
      <x:c r="O67" s="112" t="str">
        <x:f>IF(COUNTA($A67:$M67)=0,"",IF(OR(LOWER($F67&amp;"")="subscription",LOWER($F67&amp;"")="membership"),"",IF(OR($N67="",$I67="",$I67=0),"",IFERROR($N67/$I67,""))))</x:f>
      </x:c>
      <x:c r="P67" s="112" t="str">
        <x:f>IF(COUNTA($A67:$M67)=0,"",IF(OR(LOWER($F67&amp;"")="subscription",LOWER($F67&amp;"")="membership"),"",IF(LOWER($L67&amp;"")="yes",0,IF($K67&lt;&gt;"",$K67,IF($O67&lt;&gt;"",$O67,"")))))</x:f>
      </x:c>
      <x:c r="Q67" s="112" t="str">
        <x:f>IF(COUNTA($A67:$M67)=0,"",IF(OR($U67="Subscription",$U67=""),"",IF($U67="Profit",ROUND($P67-$H67,2),0)))</x:f>
      </x:c>
      <x:c r="R67" s="112" t="str">
        <x:f>IF(COUNTA($A67:$M67)=0,"",IF(OR($U67="Subscription",$U67=""),"",IF($U67="Draw",$H67,0)))</x:f>
      </x:c>
      <x:c r="S67" s="112" t="str">
        <x:f>IF(COUNTA($A67:$M67)=0,"",IF(OR($U67="Subscription",$U67=""),"",IF($U67="Disqualified",$H67,0)))</x:f>
      </x:c>
      <x:c r="T67" s="116" t="str">
        <x:f>IF(COUNTA($A67:$M67)=0,"",IF(OR($U67="Subscription",$U67=""),"",IF($H67=0,0,IF($U67="Profit",$Q67/$H67,IF($U67="Disqualified",-$S67/$H67,0)))))</x:f>
      </x:c>
      <x:c r="U67" s="290" t="str">
        <x:f>IF(COUNTA($A67:$M67)=0,"",IF(OR(LOWER($F67&amp;"")="subscription",LOWER($F67&amp;"")="membership"),"Subscription",IF(LOWER($L67&amp;"")="yes","Disqualified",IF(OR(LOWER($F67&amp;"")="free game",LOWER($F67&amp;"")="free"),IF(AND(ISNUMBER($P67),ISNUMBER($H67),$P67&gt;$H67),"Profit","Free Game"),IF($P67="","",IF(ROUND(IFERROR(VALUE($P67),0)-IFERROR(VALUE($H67),0),2)&gt;0,"Profit","Draw"))))))</x:f>
      </x:c>
      <x:c r="V67" s="144" t="str">
        <x:f>IF(COUNTA($A67:$M67)=0,"",IF(OR($B67="",$C67="",$U67="Subscription"),"",IFERROR(ROUNDUP(($C67-$B67)/7,0),"")))</x:f>
      </x:c>
      <x:c r="W67" s="112" t="str">
        <x:f>IF(COUNTA($A67:$M67)=0,"",IF(OR($U67="Subscription",$U67=""),"",ROUND(IFERROR($Q67,0)-IFERROR($S67,0),2)))</x:f>
      </x:c>
      <x:c r="X67" s="144" t="str">
        <x:f>IF(COUNTA($A67:$M67)=0,"",IF(OR($U67="Subscription",$U67="Free Game",NOT(ISNUMBER($J67)),NOT(ISNUMBER($I67)),$J67=0,$I67=0,$I67&gt;$J67),"",$J67-$I67))</x:f>
      </x:c>
      <x:c r="Y67" s="116" t="str">
        <x:f>IF(COUNTA($A67:$M67)=0,"",IF(OR($U67="Subscription",$U67="Free Game",NOT(ISNUMBER($J67)),$J67=0,$X67=""),"",$X67/$J67))</x:f>
      </x:c>
      <x:c r="Z67" s="118" t="str">
        <x:f>IF(COUNTA($A67:$M67)=0,"",Instructions!$B$29+SUM($W$5:W67))</x:f>
      </x:c>
    </x:row>
    <x:row r="68" ht="30" customHeight="1">
      <x:c r="A68" s="477"/>
      <x:c r="B68" s="482"/>
      <x:c r="C68" s="482"/>
      <x:c r="D68" s="483"/>
      <x:c r="E68" s="483"/>
      <x:c r="F68" s="483"/>
      <x:c r="G68" s="484"/>
      <x:c r="H68" s="484"/>
      <x:c r="I68" s="485"/>
      <x:c r="J68" s="485"/>
      <x:c r="K68" s="484"/>
      <x:c r="L68" s="483"/>
      <x:c r="M68" s="477"/>
      <x:c r="N68" s="112" t="str">
        <x:f>IF(COUNTA($A68:$M68)=0,"",IF(OR(LOWER($F68&amp;"")="subscription",LOWER($F68&amp;"")="membership"),"",IF($G68="","",IF(ISNUMBER(SEARCH("non",LOWER($E68&amp;""))),$G68*0.85,$G68))))</x:f>
      </x:c>
      <x:c r="O68" s="112" t="str">
        <x:f>IF(COUNTA($A68:$M68)=0,"",IF(OR(LOWER($F68&amp;"")="subscription",LOWER($F68&amp;"")="membership"),"",IF(OR($N68="",$I68="",$I68=0),"",IFERROR($N68/$I68,""))))</x:f>
      </x:c>
      <x:c r="P68" s="112" t="str">
        <x:f>IF(COUNTA($A68:$M68)=0,"",IF(OR(LOWER($F68&amp;"")="subscription",LOWER($F68&amp;"")="membership"),"",IF(LOWER($L68&amp;"")="yes",0,IF($K68&lt;&gt;"",$K68,IF($O68&lt;&gt;"",$O68,"")))))</x:f>
      </x:c>
      <x:c r="Q68" s="112" t="str">
        <x:f>IF(COUNTA($A68:$M68)=0,"",IF(OR($U68="Subscription",$U68=""),"",IF($U68="Profit",ROUND($P68-$H68,2),0)))</x:f>
      </x:c>
      <x:c r="R68" s="112" t="str">
        <x:f>IF(COUNTA($A68:$M68)=0,"",IF(OR($U68="Subscription",$U68=""),"",IF($U68="Draw",$H68,0)))</x:f>
      </x:c>
      <x:c r="S68" s="112" t="str">
        <x:f>IF(COUNTA($A68:$M68)=0,"",IF(OR($U68="Subscription",$U68=""),"",IF($U68="Disqualified",$H68,0)))</x:f>
      </x:c>
      <x:c r="T68" s="116" t="str">
        <x:f>IF(COUNTA($A68:$M68)=0,"",IF(OR($U68="Subscription",$U68=""),"",IF($H68=0,0,IF($U68="Profit",$Q68/$H68,IF($U68="Disqualified",-$S68/$H68,0)))))</x:f>
      </x:c>
      <x:c r="U68" s="290" t="str">
        <x:f>IF(COUNTA($A68:$M68)=0,"",IF(OR(LOWER($F68&amp;"")="subscription",LOWER($F68&amp;"")="membership"),"Subscription",IF(LOWER($L68&amp;"")="yes","Disqualified",IF(OR(LOWER($F68&amp;"")="free game",LOWER($F68&amp;"")="free"),IF(AND(ISNUMBER($P68),ISNUMBER($H68),$P68&gt;$H68),"Profit","Free Game"),IF($P68="","",IF(ROUND(IFERROR(VALUE($P68),0)-IFERROR(VALUE($H68),0),2)&gt;0,"Profit","Draw"))))))</x:f>
      </x:c>
      <x:c r="V68" s="144" t="str">
        <x:f>IF(COUNTA($A68:$M68)=0,"",IF(OR($B68="",$C68="",$U68="Subscription"),"",IFERROR(ROUNDUP(($C68-$B68)/7,0),"")))</x:f>
      </x:c>
      <x:c r="W68" s="112" t="str">
        <x:f>IF(COUNTA($A68:$M68)=0,"",IF(OR($U68="Subscription",$U68=""),"",ROUND(IFERROR($Q68,0)-IFERROR($S68,0),2)))</x:f>
      </x:c>
      <x:c r="X68" s="144" t="str">
        <x:f>IF(COUNTA($A68:$M68)=0,"",IF(OR($U68="Subscription",$U68="Free Game",NOT(ISNUMBER($J68)),NOT(ISNUMBER($I68)),$J68=0,$I68=0,$I68&gt;$J68),"",$J68-$I68))</x:f>
      </x:c>
      <x:c r="Y68" s="116" t="str">
        <x:f>IF(COUNTA($A68:$M68)=0,"",IF(OR($U68="Subscription",$U68="Free Game",NOT(ISNUMBER($J68)),$J68=0,$X68=""),"",$X68/$J68))</x:f>
      </x:c>
      <x:c r="Z68" s="118" t="str">
        <x:f>IF(COUNTA($A68:$M68)=0,"",Instructions!$B$29+SUM($W$5:W68))</x:f>
      </x:c>
    </x:row>
    <x:row r="69" ht="30" customHeight="1">
      <x:c r="A69" s="477"/>
      <x:c r="B69" s="482"/>
      <x:c r="C69" s="482"/>
      <x:c r="D69" s="483"/>
      <x:c r="E69" s="483"/>
      <x:c r="F69" s="483"/>
      <x:c r="G69" s="484"/>
      <x:c r="H69" s="484"/>
      <x:c r="I69" s="485"/>
      <x:c r="J69" s="485"/>
      <x:c r="K69" s="484"/>
      <x:c r="L69" s="483"/>
      <x:c r="M69" s="477"/>
      <x:c r="N69" s="112" t="str">
        <x:f>IF(COUNTA($A69:$M69)=0,"",IF(OR(LOWER($F69&amp;"")="subscription",LOWER($F69&amp;"")="membership"),"",IF($G69="","",IF(ISNUMBER(SEARCH("non",LOWER($E69&amp;""))),$G69*0.85,$G69))))</x:f>
      </x:c>
      <x:c r="O69" s="112" t="str">
        <x:f>IF(COUNTA($A69:$M69)=0,"",IF(OR(LOWER($F69&amp;"")="subscription",LOWER($F69&amp;"")="membership"),"",IF(OR($N69="",$I69="",$I69=0),"",IFERROR($N69/$I69,""))))</x:f>
      </x:c>
      <x:c r="P69" s="112" t="str">
        <x:f>IF(COUNTA($A69:$M69)=0,"",IF(OR(LOWER($F69&amp;"")="subscription",LOWER($F69&amp;"")="membership"),"",IF(LOWER($L69&amp;"")="yes",0,IF($K69&lt;&gt;"",$K69,IF($O69&lt;&gt;"",$O69,"")))))</x:f>
      </x:c>
      <x:c r="Q69" s="112" t="str">
        <x:f>IF(COUNTA($A69:$M69)=0,"",IF(OR($U69="Subscription",$U69=""),"",IF($U69="Profit",ROUND($P69-$H69,2),0)))</x:f>
      </x:c>
      <x:c r="R69" s="112" t="str">
        <x:f>IF(COUNTA($A69:$M69)=0,"",IF(OR($U69="Subscription",$U69=""),"",IF($U69="Draw",$H69,0)))</x:f>
      </x:c>
      <x:c r="S69" s="112" t="str">
        <x:f>IF(COUNTA($A69:$M69)=0,"",IF(OR($U69="Subscription",$U69=""),"",IF($U69="Disqualified",$H69,0)))</x:f>
      </x:c>
      <x:c r="T69" s="116" t="str">
        <x:f>IF(COUNTA($A69:$M69)=0,"",IF(OR($U69="Subscription",$U69=""),"",IF($H69=0,0,IF($U69="Profit",$Q69/$H69,IF($U69="Disqualified",-$S69/$H69,0)))))</x:f>
      </x:c>
      <x:c r="U69" s="290" t="str">
        <x:f>IF(COUNTA($A69:$M69)=0,"",IF(OR(LOWER($F69&amp;"")="subscription",LOWER($F69&amp;"")="membership"),"Subscription",IF(LOWER($L69&amp;"")="yes","Disqualified",IF(OR(LOWER($F69&amp;"")="free game",LOWER($F69&amp;"")="free"),IF(AND(ISNUMBER($P69),ISNUMBER($H69),$P69&gt;$H69),"Profit","Free Game"),IF($P69="","",IF(ROUND(IFERROR(VALUE($P69),0)-IFERROR(VALUE($H69),0),2)&gt;0,"Profit","Draw"))))))</x:f>
      </x:c>
      <x:c r="V69" s="144" t="str">
        <x:f>IF(COUNTA($A69:$M69)=0,"",IF(OR($B69="",$C69="",$U69="Subscription"),"",IFERROR(ROUNDUP(($C69-$B69)/7,0),"")))</x:f>
      </x:c>
      <x:c r="W69" s="112" t="str">
        <x:f>IF(COUNTA($A69:$M69)=0,"",IF(OR($U69="Subscription",$U69=""),"",ROUND(IFERROR($Q69,0)-IFERROR($S69,0),2)))</x:f>
      </x:c>
      <x:c r="X69" s="144" t="str">
        <x:f>IF(COUNTA($A69:$M69)=0,"",IF(OR($U69="Subscription",$U69="Free Game",NOT(ISNUMBER($J69)),NOT(ISNUMBER($I69)),$J69=0,$I69=0,$I69&gt;$J69),"",$J69-$I69))</x:f>
      </x:c>
      <x:c r="Y69" s="116" t="str">
        <x:f>IF(COUNTA($A69:$M69)=0,"",IF(OR($U69="Subscription",$U69="Free Game",NOT(ISNUMBER($J69)),$J69=0,$X69=""),"",$X69/$J69))</x:f>
      </x:c>
      <x:c r="Z69" s="118" t="str">
        <x:f>IF(COUNTA($A69:$M69)=0,"",Instructions!$B$29+SUM($W$5:W69))</x:f>
      </x:c>
    </x:row>
    <x:row r="70" ht="30" customHeight="1">
      <x:c r="A70" s="477"/>
      <x:c r="B70" s="482"/>
      <x:c r="C70" s="482"/>
      <x:c r="D70" s="483"/>
      <x:c r="E70" s="483"/>
      <x:c r="F70" s="483"/>
      <x:c r="G70" s="484"/>
      <x:c r="H70" s="484"/>
      <x:c r="I70" s="485"/>
      <x:c r="J70" s="485"/>
      <x:c r="K70" s="484"/>
      <x:c r="L70" s="483"/>
      <x:c r="M70" s="477"/>
      <x:c r="N70" s="112" t="str">
        <x:f>IF(COUNTA($A70:$M70)=0,"",IF(OR(LOWER($F70&amp;"")="subscription",LOWER($F70&amp;"")="membership"),"",IF($G70="","",IF(ISNUMBER(SEARCH("non",LOWER($E70&amp;""))),$G70*0.85,$G70))))</x:f>
      </x:c>
      <x:c r="O70" s="112" t="str">
        <x:f>IF(COUNTA($A70:$M70)=0,"",IF(OR(LOWER($F70&amp;"")="subscription",LOWER($F70&amp;"")="membership"),"",IF(OR($N70="",$I70="",$I70=0),"",IFERROR($N70/$I70,""))))</x:f>
      </x:c>
      <x:c r="P70" s="112" t="str">
        <x:f>IF(COUNTA($A70:$M70)=0,"",IF(OR(LOWER($F70&amp;"")="subscription",LOWER($F70&amp;"")="membership"),"",IF(LOWER($L70&amp;"")="yes",0,IF($K70&lt;&gt;"",$K70,IF($O70&lt;&gt;"",$O70,"")))))</x:f>
      </x:c>
      <x:c r="Q70" s="112" t="str">
        <x:f>IF(COUNTA($A70:$M70)=0,"",IF(OR($U70="Subscription",$U70=""),"",IF($U70="Profit",ROUND($P70-$H70,2),0)))</x:f>
      </x:c>
      <x:c r="R70" s="112" t="str">
        <x:f>IF(COUNTA($A70:$M70)=0,"",IF(OR($U70="Subscription",$U70=""),"",IF($U70="Draw",$H70,0)))</x:f>
      </x:c>
      <x:c r="S70" s="112" t="str">
        <x:f>IF(COUNTA($A70:$M70)=0,"",IF(OR($U70="Subscription",$U70=""),"",IF($U70="Disqualified",$H70,0)))</x:f>
      </x:c>
      <x:c r="T70" s="116" t="str">
        <x:f>IF(COUNTA($A70:$M70)=0,"",IF(OR($U70="Subscription",$U70=""),"",IF($H70=0,0,IF($U70="Profit",$Q70/$H70,IF($U70="Disqualified",-$S70/$H70,0)))))</x:f>
      </x:c>
      <x:c r="U70" s="290" t="str">
        <x:f>IF(COUNTA($A70:$M70)=0,"",IF(OR(LOWER($F70&amp;"")="subscription",LOWER($F70&amp;"")="membership"),"Subscription",IF(LOWER($L70&amp;"")="yes","Disqualified",IF(OR(LOWER($F70&amp;"")="free game",LOWER($F70&amp;"")="free"),IF(AND(ISNUMBER($P70),ISNUMBER($H70),$P70&gt;$H70),"Profit","Free Game"),IF($P70="","",IF(ROUND(IFERROR(VALUE($P70),0)-IFERROR(VALUE($H70),0),2)&gt;0,"Profit","Draw"))))))</x:f>
      </x:c>
      <x:c r="V70" s="144" t="str">
        <x:f>IF(COUNTA($A70:$M70)=0,"",IF(OR($B70="",$C70="",$U70="Subscription"),"",IFERROR(ROUNDUP(($C70-$B70)/7,0),"")))</x:f>
      </x:c>
      <x:c r="W70" s="112" t="str">
        <x:f>IF(COUNTA($A70:$M70)=0,"",IF(OR($U70="Subscription",$U70=""),"",ROUND(IFERROR($Q70,0)-IFERROR($S70,0),2)))</x:f>
      </x:c>
      <x:c r="X70" s="144" t="str">
        <x:f>IF(COUNTA($A70:$M70)=0,"",IF(OR($U70="Subscription",$U70="Free Game",NOT(ISNUMBER($J70)),NOT(ISNUMBER($I70)),$J70=0,$I70=0,$I70&gt;$J70),"",$J70-$I70))</x:f>
      </x:c>
      <x:c r="Y70" s="116" t="str">
        <x:f>IF(COUNTA($A70:$M70)=0,"",IF(OR($U70="Subscription",$U70="Free Game",NOT(ISNUMBER($J70)),$J70=0,$X70=""),"",$X70/$J70))</x:f>
      </x:c>
      <x:c r="Z70" s="118" t="str">
        <x:f>IF(COUNTA($A70:$M70)=0,"",Instructions!$B$29+SUM($W$5:W70))</x:f>
      </x:c>
    </x:row>
    <x:row r="71" ht="30" customHeight="1">
      <x:c r="A71" s="477"/>
      <x:c r="B71" s="482"/>
      <x:c r="C71" s="482"/>
      <x:c r="D71" s="483"/>
      <x:c r="E71" s="483"/>
      <x:c r="F71" s="483"/>
      <x:c r="G71" s="484"/>
      <x:c r="H71" s="484"/>
      <x:c r="I71" s="485"/>
      <x:c r="J71" s="485"/>
      <x:c r="K71" s="484"/>
      <x:c r="L71" s="483"/>
      <x:c r="M71" s="477"/>
      <x:c r="N71" s="112" t="str">
        <x:f>IF(COUNTA($A71:$M71)=0,"",IF(OR(LOWER($F71&amp;"")="subscription",LOWER($F71&amp;"")="membership"),"",IF($G71="","",IF(ISNUMBER(SEARCH("non",LOWER($E71&amp;""))),$G71*0.85,$G71))))</x:f>
      </x:c>
      <x:c r="O71" s="112" t="str">
        <x:f>IF(COUNTA($A71:$M71)=0,"",IF(OR(LOWER($F71&amp;"")="subscription",LOWER($F71&amp;"")="membership"),"",IF(OR($N71="",$I71="",$I71=0),"",IFERROR($N71/$I71,""))))</x:f>
      </x:c>
      <x:c r="P71" s="112" t="str">
        <x:f>IF(COUNTA($A71:$M71)=0,"",IF(OR(LOWER($F71&amp;"")="subscription",LOWER($F71&amp;"")="membership"),"",IF(LOWER($L71&amp;"")="yes",0,IF($K71&lt;&gt;"",$K71,IF($O71&lt;&gt;"",$O71,"")))))</x:f>
      </x:c>
      <x:c r="Q71" s="112" t="str">
        <x:f>IF(COUNTA($A71:$M71)=0,"",IF(OR($U71="Subscription",$U71=""),"",IF($U71="Profit",ROUND($P71-$H71,2),0)))</x:f>
      </x:c>
      <x:c r="R71" s="112" t="str">
        <x:f>IF(COUNTA($A71:$M71)=0,"",IF(OR($U71="Subscription",$U71=""),"",IF($U71="Draw",$H71,0)))</x:f>
      </x:c>
      <x:c r="S71" s="112" t="str">
        <x:f>IF(COUNTA($A71:$M71)=0,"",IF(OR($U71="Subscription",$U71=""),"",IF($U71="Disqualified",$H71,0)))</x:f>
      </x:c>
      <x:c r="T71" s="116" t="str">
        <x:f>IF(COUNTA($A71:$M71)=0,"",IF(OR($U71="Subscription",$U71=""),"",IF($H71=0,0,IF($U71="Profit",$Q71/$H71,IF($U71="Disqualified",-$S71/$H71,0)))))</x:f>
      </x:c>
      <x:c r="U71" s="290" t="str">
        <x:f>IF(COUNTA($A71:$M71)=0,"",IF(OR(LOWER($F71&amp;"")="subscription",LOWER($F71&amp;"")="membership"),"Subscription",IF(LOWER($L71&amp;"")="yes","Disqualified",IF(OR(LOWER($F71&amp;"")="free game",LOWER($F71&amp;"")="free"),IF(AND(ISNUMBER($P71),ISNUMBER($H71),$P71&gt;$H71),"Profit","Free Game"),IF($P71="","",IF(ROUND(IFERROR(VALUE($P71),0)-IFERROR(VALUE($H71),0),2)&gt;0,"Profit","Draw"))))))</x:f>
      </x:c>
      <x:c r="V71" s="144" t="str">
        <x:f>IF(COUNTA($A71:$M71)=0,"",IF(OR($B71="",$C71="",$U71="Subscription"),"",IFERROR(ROUNDUP(($C71-$B71)/7,0),"")))</x:f>
      </x:c>
      <x:c r="W71" s="112" t="str">
        <x:f>IF(COUNTA($A71:$M71)=0,"",IF(OR($U71="Subscription",$U71=""),"",ROUND(IFERROR($Q71,0)-IFERROR($S71,0),2)))</x:f>
      </x:c>
      <x:c r="X71" s="144" t="str">
        <x:f>IF(COUNTA($A71:$M71)=0,"",IF(OR($U71="Subscription",$U71="Free Game",NOT(ISNUMBER($J71)),NOT(ISNUMBER($I71)),$J71=0,$I71=0,$I71&gt;$J71),"",$J71-$I71))</x:f>
      </x:c>
      <x:c r="Y71" s="116" t="str">
        <x:f>IF(COUNTA($A71:$M71)=0,"",IF(OR($U71="Subscription",$U71="Free Game",NOT(ISNUMBER($J71)),$J71=0,$X71=""),"",$X71/$J71))</x:f>
      </x:c>
      <x:c r="Z71" s="118" t="str">
        <x:f>IF(COUNTA($A71:$M71)=0,"",Instructions!$B$29+SUM($W$5:W71))</x:f>
      </x:c>
    </x:row>
    <x:row r="72" ht="30" customHeight="1">
      <x:c r="A72" s="477"/>
      <x:c r="B72" s="482"/>
      <x:c r="C72" s="482"/>
      <x:c r="D72" s="483"/>
      <x:c r="E72" s="483"/>
      <x:c r="F72" s="483"/>
      <x:c r="G72" s="484"/>
      <x:c r="H72" s="484"/>
      <x:c r="I72" s="485"/>
      <x:c r="J72" s="485"/>
      <x:c r="K72" s="484"/>
      <x:c r="L72" s="483"/>
      <x:c r="M72" s="477"/>
      <x:c r="N72" s="112" t="str">
        <x:f>IF(COUNTA($A72:$M72)=0,"",IF(OR(LOWER($F72&amp;"")="subscription",LOWER($F72&amp;"")="membership"),"",IF($G72="","",IF(ISNUMBER(SEARCH("non",LOWER($E72&amp;""))),$G72*0.85,$G72))))</x:f>
      </x:c>
      <x:c r="O72" s="112" t="str">
        <x:f>IF(COUNTA($A72:$M72)=0,"",IF(OR(LOWER($F72&amp;"")="subscription",LOWER($F72&amp;"")="membership"),"",IF(OR($N72="",$I72="",$I72=0),"",IFERROR($N72/$I72,""))))</x:f>
      </x:c>
      <x:c r="P72" s="112" t="str">
        <x:f>IF(COUNTA($A72:$M72)=0,"",IF(OR(LOWER($F72&amp;"")="subscription",LOWER($F72&amp;"")="membership"),"",IF(LOWER($L72&amp;"")="yes",0,IF($K72&lt;&gt;"",$K72,IF($O72&lt;&gt;"",$O72,"")))))</x:f>
      </x:c>
      <x:c r="Q72" s="112" t="str">
        <x:f>IF(COUNTA($A72:$M72)=0,"",IF(OR($U72="Subscription",$U72=""),"",IF($U72="Profit",ROUND($P72-$H72,2),0)))</x:f>
      </x:c>
      <x:c r="R72" s="112" t="str">
        <x:f>IF(COUNTA($A72:$M72)=0,"",IF(OR($U72="Subscription",$U72=""),"",IF($U72="Draw",$H72,0)))</x:f>
      </x:c>
      <x:c r="S72" s="112" t="str">
        <x:f>IF(COUNTA($A72:$M72)=0,"",IF(OR($U72="Subscription",$U72=""),"",IF($U72="Disqualified",$H72,0)))</x:f>
      </x:c>
      <x:c r="T72" s="116" t="str">
        <x:f>IF(COUNTA($A72:$M72)=0,"",IF(OR($U72="Subscription",$U72=""),"",IF($H72=0,0,IF($U72="Profit",$Q72/$H72,IF($U72="Disqualified",-$S72/$H72,0)))))</x:f>
      </x:c>
      <x:c r="U72" s="290" t="str">
        <x:f>IF(COUNTA($A72:$M72)=0,"",IF(OR(LOWER($F72&amp;"")="subscription",LOWER($F72&amp;"")="membership"),"Subscription",IF(LOWER($L72&amp;"")="yes","Disqualified",IF(OR(LOWER($F72&amp;"")="free game",LOWER($F72&amp;"")="free"),IF(AND(ISNUMBER($P72),ISNUMBER($H72),$P72&gt;$H72),"Profit","Free Game"),IF($P72="","",IF(ROUND(IFERROR(VALUE($P72),0)-IFERROR(VALUE($H72),0),2)&gt;0,"Profit","Draw"))))))</x:f>
      </x:c>
      <x:c r="V72" s="144" t="str">
        <x:f>IF(COUNTA($A72:$M72)=0,"",IF(OR($B72="",$C72="",$U72="Subscription"),"",IFERROR(ROUNDUP(($C72-$B72)/7,0),"")))</x:f>
      </x:c>
      <x:c r="W72" s="112" t="str">
        <x:f>IF(COUNTA($A72:$M72)=0,"",IF(OR($U72="Subscription",$U72=""),"",ROUND(IFERROR($Q72,0)-IFERROR($S72,0),2)))</x:f>
      </x:c>
      <x:c r="X72" s="144" t="str">
        <x:f>IF(COUNTA($A72:$M72)=0,"",IF(OR($U72="Subscription",$U72="Free Game",NOT(ISNUMBER($J72)),NOT(ISNUMBER($I72)),$J72=0,$I72=0,$I72&gt;$J72),"",$J72-$I72))</x:f>
      </x:c>
      <x:c r="Y72" s="116" t="str">
        <x:f>IF(COUNTA($A72:$M72)=0,"",IF(OR($U72="Subscription",$U72="Free Game",NOT(ISNUMBER($J72)),$J72=0,$X72=""),"",$X72/$J72))</x:f>
      </x:c>
      <x:c r="Z72" s="118" t="str">
        <x:f>IF(COUNTA($A72:$M72)=0,"",Instructions!$B$29+SUM($W$5:W72))</x:f>
      </x:c>
    </x:row>
    <x:row r="73" ht="30" customHeight="1">
      <x:c r="A73" s="477"/>
      <x:c r="B73" s="482"/>
      <x:c r="C73" s="482"/>
      <x:c r="D73" s="483"/>
      <x:c r="E73" s="483"/>
      <x:c r="F73" s="483"/>
      <x:c r="G73" s="484"/>
      <x:c r="H73" s="484"/>
      <x:c r="I73" s="485"/>
      <x:c r="J73" s="485"/>
      <x:c r="K73" s="484"/>
      <x:c r="L73" s="483"/>
      <x:c r="M73" s="477"/>
      <x:c r="N73" s="112" t="str">
        <x:f>IF(COUNTA($A73:$M73)=0,"",IF(OR(LOWER($F73&amp;"")="subscription",LOWER($F73&amp;"")="membership"),"",IF($G73="","",IF(ISNUMBER(SEARCH("non",LOWER($E73&amp;""))),$G73*0.85,$G73))))</x:f>
      </x:c>
      <x:c r="O73" s="112" t="str">
        <x:f>IF(COUNTA($A73:$M73)=0,"",IF(OR(LOWER($F73&amp;"")="subscription",LOWER($F73&amp;"")="membership"),"",IF(OR($N73="",$I73="",$I73=0),"",IFERROR($N73/$I73,""))))</x:f>
      </x:c>
      <x:c r="P73" s="112" t="str">
        <x:f>IF(COUNTA($A73:$M73)=0,"",IF(OR(LOWER($F73&amp;"")="subscription",LOWER($F73&amp;"")="membership"),"",IF(LOWER($L73&amp;"")="yes",0,IF($K73&lt;&gt;"",$K73,IF($O73&lt;&gt;"",$O73,"")))))</x:f>
      </x:c>
      <x:c r="Q73" s="112" t="str">
        <x:f>IF(COUNTA($A73:$M73)=0,"",IF(OR($U73="Subscription",$U73=""),"",IF($U73="Profit",ROUND($P73-$H73,2),0)))</x:f>
      </x:c>
      <x:c r="R73" s="112" t="str">
        <x:f>IF(COUNTA($A73:$M73)=0,"",IF(OR($U73="Subscription",$U73=""),"",IF($U73="Draw",$H73,0)))</x:f>
      </x:c>
      <x:c r="S73" s="112" t="str">
        <x:f>IF(COUNTA($A73:$M73)=0,"",IF(OR($U73="Subscription",$U73=""),"",IF($U73="Disqualified",$H73,0)))</x:f>
      </x:c>
      <x:c r="T73" s="116" t="str">
        <x:f>IF(COUNTA($A73:$M73)=0,"",IF(OR($U73="Subscription",$U73=""),"",IF($H73=0,0,IF($U73="Profit",$Q73/$H73,IF($U73="Disqualified",-$S73/$H73,0)))))</x:f>
      </x:c>
      <x:c r="U73" s="290" t="str">
        <x:f>IF(COUNTA($A73:$M73)=0,"",IF(OR(LOWER($F73&amp;"")="subscription",LOWER($F73&amp;"")="membership"),"Subscription",IF(LOWER($L73&amp;"")="yes","Disqualified",IF(OR(LOWER($F73&amp;"")="free game",LOWER($F73&amp;"")="free"),IF(AND(ISNUMBER($P73),ISNUMBER($H73),$P73&gt;$H73),"Profit","Free Game"),IF($P73="","",IF(ROUND(IFERROR(VALUE($P73),0)-IFERROR(VALUE($H73),0),2)&gt;0,"Profit","Draw"))))))</x:f>
      </x:c>
      <x:c r="V73" s="144" t="str">
        <x:f>IF(COUNTA($A73:$M73)=0,"",IF(OR($B73="",$C73="",$U73="Subscription"),"",IFERROR(ROUNDUP(($C73-$B73)/7,0),"")))</x:f>
      </x:c>
      <x:c r="W73" s="112" t="str">
        <x:f>IF(COUNTA($A73:$M73)=0,"",IF(OR($U73="Subscription",$U73=""),"",ROUND(IFERROR($Q73,0)-IFERROR($S73,0),2)))</x:f>
      </x:c>
      <x:c r="X73" s="144" t="str">
        <x:f>IF(COUNTA($A73:$M73)=0,"",IF(OR($U73="Subscription",$U73="Free Game",NOT(ISNUMBER($J73)),NOT(ISNUMBER($I73)),$J73=0,$I73=0,$I73&gt;$J73),"",$J73-$I73))</x:f>
      </x:c>
      <x:c r="Y73" s="116" t="str">
        <x:f>IF(COUNTA($A73:$M73)=0,"",IF(OR($U73="Subscription",$U73="Free Game",NOT(ISNUMBER($J73)),$J73=0,$X73=""),"",$X73/$J73))</x:f>
      </x:c>
      <x:c r="Z73" s="118" t="str">
        <x:f>IF(COUNTA($A73:$M73)=0,"",Instructions!$B$29+SUM($W$5:W73))</x:f>
      </x:c>
    </x:row>
    <x:row r="74" ht="30" customHeight="1">
      <x:c r="A74" s="477"/>
      <x:c r="B74" s="482"/>
      <x:c r="C74" s="482"/>
      <x:c r="D74" s="483"/>
      <x:c r="E74" s="483"/>
      <x:c r="F74" s="483"/>
      <x:c r="G74" s="484"/>
      <x:c r="H74" s="484"/>
      <x:c r="I74" s="485"/>
      <x:c r="J74" s="485"/>
      <x:c r="K74" s="484"/>
      <x:c r="L74" s="483"/>
      <x:c r="M74" s="477"/>
      <x:c r="N74" s="112" t="str">
        <x:f>IF(COUNTA($A74:$M74)=0,"",IF(OR(LOWER($F74&amp;"")="subscription",LOWER($F74&amp;"")="membership"),"",IF($G74="","",IF(ISNUMBER(SEARCH("non",LOWER($E74&amp;""))),$G74*0.85,$G74))))</x:f>
      </x:c>
      <x:c r="O74" s="112" t="str">
        <x:f>IF(COUNTA($A74:$M74)=0,"",IF(OR(LOWER($F74&amp;"")="subscription",LOWER($F74&amp;"")="membership"),"",IF(OR($N74="",$I74="",$I74=0),"",IFERROR($N74/$I74,""))))</x:f>
      </x:c>
      <x:c r="P74" s="112" t="str">
        <x:f>IF(COUNTA($A74:$M74)=0,"",IF(OR(LOWER($F74&amp;"")="subscription",LOWER($F74&amp;"")="membership"),"",IF(LOWER($L74&amp;"")="yes",0,IF($K74&lt;&gt;"",$K74,IF($O74&lt;&gt;"",$O74,"")))))</x:f>
      </x:c>
      <x:c r="Q74" s="112" t="str">
        <x:f>IF(COUNTA($A74:$M74)=0,"",IF(OR($U74="Subscription",$U74=""),"",IF($U74="Profit",ROUND($P74-$H74,2),0)))</x:f>
      </x:c>
      <x:c r="R74" s="112" t="str">
        <x:f>IF(COUNTA($A74:$M74)=0,"",IF(OR($U74="Subscription",$U74=""),"",IF($U74="Draw",$H74,0)))</x:f>
      </x:c>
      <x:c r="S74" s="112" t="str">
        <x:f>IF(COUNTA($A74:$M74)=0,"",IF(OR($U74="Subscription",$U74=""),"",IF($U74="Disqualified",$H74,0)))</x:f>
      </x:c>
      <x:c r="T74" s="116" t="str">
        <x:f>IF(COUNTA($A74:$M74)=0,"",IF(OR($U74="Subscription",$U74=""),"",IF($H74=0,0,IF($U74="Profit",$Q74/$H74,IF($U74="Disqualified",-$S74/$H74,0)))))</x:f>
      </x:c>
      <x:c r="U74" s="290" t="str">
        <x:f>IF(COUNTA($A74:$M74)=0,"",IF(OR(LOWER($F74&amp;"")="subscription",LOWER($F74&amp;"")="membership"),"Subscription",IF(LOWER($L74&amp;"")="yes","Disqualified",IF(OR(LOWER($F74&amp;"")="free game",LOWER($F74&amp;"")="free"),IF(AND(ISNUMBER($P74),ISNUMBER($H74),$P74&gt;$H74),"Profit","Free Game"),IF($P74="","",IF(ROUND(IFERROR(VALUE($P74),0)-IFERROR(VALUE($H74),0),2)&gt;0,"Profit","Draw"))))))</x:f>
      </x:c>
      <x:c r="V74" s="144" t="str">
        <x:f>IF(COUNTA($A74:$M74)=0,"",IF(OR($B74="",$C74="",$U74="Subscription"),"",IFERROR(ROUNDUP(($C74-$B74)/7,0),"")))</x:f>
      </x:c>
      <x:c r="W74" s="112" t="str">
        <x:f>IF(COUNTA($A74:$M74)=0,"",IF(OR($U74="Subscription",$U74=""),"",ROUND(IFERROR($Q74,0)-IFERROR($S74,0),2)))</x:f>
      </x:c>
      <x:c r="X74" s="144" t="str">
        <x:f>IF(COUNTA($A74:$M74)=0,"",IF(OR($U74="Subscription",$U74="Free Game",NOT(ISNUMBER($J74)),NOT(ISNUMBER($I74)),$J74=0,$I74=0,$I74&gt;$J74),"",$J74-$I74))</x:f>
      </x:c>
      <x:c r="Y74" s="116" t="str">
        <x:f>IF(COUNTA($A74:$M74)=0,"",IF(OR($U74="Subscription",$U74="Free Game",NOT(ISNUMBER($J74)),$J74=0,$X74=""),"",$X74/$J74))</x:f>
      </x:c>
      <x:c r="Z74" s="118" t="str">
        <x:f>IF(COUNTA($A74:$M74)=0,"",Instructions!$B$29+SUM($W$5:W74))</x:f>
      </x:c>
    </x:row>
    <x:row r="75" ht="30" customHeight="1">
      <x:c r="A75" s="477"/>
      <x:c r="B75" s="482"/>
      <x:c r="C75" s="482"/>
      <x:c r="D75" s="483"/>
      <x:c r="E75" s="483"/>
      <x:c r="F75" s="483"/>
      <x:c r="G75" s="484"/>
      <x:c r="H75" s="484"/>
      <x:c r="I75" s="485"/>
      <x:c r="J75" s="485"/>
      <x:c r="K75" s="484"/>
      <x:c r="L75" s="483"/>
      <x:c r="M75" s="477"/>
      <x:c r="N75" s="112" t="str">
        <x:f>IF(COUNTA($A75:$M75)=0,"",IF(OR(LOWER($F75&amp;"")="subscription",LOWER($F75&amp;"")="membership"),"",IF($G75="","",IF(ISNUMBER(SEARCH("non",LOWER($E75&amp;""))),$G75*0.85,$G75))))</x:f>
      </x:c>
      <x:c r="O75" s="112" t="str">
        <x:f>IF(COUNTA($A75:$M75)=0,"",IF(OR(LOWER($F75&amp;"")="subscription",LOWER($F75&amp;"")="membership"),"",IF(OR($N75="",$I75="",$I75=0),"",IFERROR($N75/$I75,""))))</x:f>
      </x:c>
      <x:c r="P75" s="112" t="str">
        <x:f>IF(COUNTA($A75:$M75)=0,"",IF(OR(LOWER($F75&amp;"")="subscription",LOWER($F75&amp;"")="membership"),"",IF(LOWER($L75&amp;"")="yes",0,IF($K75&lt;&gt;"",$K75,IF($O75&lt;&gt;"",$O75,"")))))</x:f>
      </x:c>
      <x:c r="Q75" s="112" t="str">
        <x:f>IF(COUNTA($A75:$M75)=0,"",IF(OR($U75="Subscription",$U75=""),"",IF($U75="Profit",ROUND($P75-$H75,2),0)))</x:f>
      </x:c>
      <x:c r="R75" s="112" t="str">
        <x:f>IF(COUNTA($A75:$M75)=0,"",IF(OR($U75="Subscription",$U75=""),"",IF($U75="Draw",$H75,0)))</x:f>
      </x:c>
      <x:c r="S75" s="112" t="str">
        <x:f>IF(COUNTA($A75:$M75)=0,"",IF(OR($U75="Subscription",$U75=""),"",IF($U75="Disqualified",$H75,0)))</x:f>
      </x:c>
      <x:c r="T75" s="116" t="str">
        <x:f>IF(COUNTA($A75:$M75)=0,"",IF(OR($U75="Subscription",$U75=""),"",IF($H75=0,0,IF($U75="Profit",$Q75/$H75,IF($U75="Disqualified",-$S75/$H75,0)))))</x:f>
      </x:c>
      <x:c r="U75" s="290" t="str">
        <x:f>IF(COUNTA($A75:$M75)=0,"",IF(OR(LOWER($F75&amp;"")="subscription",LOWER($F75&amp;"")="membership"),"Subscription",IF(LOWER($L75&amp;"")="yes","Disqualified",IF(OR(LOWER($F75&amp;"")="free game",LOWER($F75&amp;"")="free"),IF(AND(ISNUMBER($P75),ISNUMBER($H75),$P75&gt;$H75),"Profit","Free Game"),IF($P75="","",IF(ROUND(IFERROR(VALUE($P75),0)-IFERROR(VALUE($H75),0),2)&gt;0,"Profit","Draw"))))))</x:f>
      </x:c>
      <x:c r="V75" s="144" t="str">
        <x:f>IF(COUNTA($A75:$M75)=0,"",IF(OR($B75="",$C75="",$U75="Subscription"),"",IFERROR(ROUNDUP(($C75-$B75)/7,0),"")))</x:f>
      </x:c>
      <x:c r="W75" s="112" t="str">
        <x:f>IF(COUNTA($A75:$M75)=0,"",IF(OR($U75="Subscription",$U75=""),"",ROUND(IFERROR($Q75,0)-IFERROR($S75,0),2)))</x:f>
      </x:c>
      <x:c r="X75" s="144" t="str">
        <x:f>IF(COUNTA($A75:$M75)=0,"",IF(OR($U75="Subscription",$U75="Free Game",NOT(ISNUMBER($J75)),NOT(ISNUMBER($I75)),$J75=0,$I75=0,$I75&gt;$J75),"",$J75-$I75))</x:f>
      </x:c>
      <x:c r="Y75" s="116" t="str">
        <x:f>IF(COUNTA($A75:$M75)=0,"",IF(OR($U75="Subscription",$U75="Free Game",NOT(ISNUMBER($J75)),$J75=0,$X75=""),"",$X75/$J75))</x:f>
      </x:c>
      <x:c r="Z75" s="118" t="str">
        <x:f>IF(COUNTA($A75:$M75)=0,"",Instructions!$B$29+SUM($W$5:W75))</x:f>
      </x:c>
    </x:row>
    <x:row r="76" ht="30" customHeight="1">
      <x:c r="A76" s="477"/>
      <x:c r="B76" s="482"/>
      <x:c r="C76" s="482"/>
      <x:c r="D76" s="483"/>
      <x:c r="E76" s="483"/>
      <x:c r="F76" s="483"/>
      <x:c r="G76" s="484"/>
      <x:c r="H76" s="484"/>
      <x:c r="I76" s="485"/>
      <x:c r="J76" s="485"/>
      <x:c r="K76" s="484"/>
      <x:c r="L76" s="483"/>
      <x:c r="M76" s="477"/>
      <x:c r="N76" s="112" t="str">
        <x:f>IF(COUNTA($A76:$M76)=0,"",IF(OR(LOWER($F76&amp;"")="subscription",LOWER($F76&amp;"")="membership"),"",IF($G76="","",IF(ISNUMBER(SEARCH("non",LOWER($E76&amp;""))),$G76*0.85,$G76))))</x:f>
      </x:c>
      <x:c r="O76" s="112" t="str">
        <x:f>IF(COUNTA($A76:$M76)=0,"",IF(OR(LOWER($F76&amp;"")="subscription",LOWER($F76&amp;"")="membership"),"",IF(OR($N76="",$I76="",$I76=0),"",IFERROR($N76/$I76,""))))</x:f>
      </x:c>
      <x:c r="P76" s="112" t="str">
        <x:f>IF(COUNTA($A76:$M76)=0,"",IF(OR(LOWER($F76&amp;"")="subscription",LOWER($F76&amp;"")="membership"),"",IF(LOWER($L76&amp;"")="yes",0,IF($K76&lt;&gt;"",$K76,IF($O76&lt;&gt;"",$O76,"")))))</x:f>
      </x:c>
      <x:c r="Q76" s="112" t="str">
        <x:f>IF(COUNTA($A76:$M76)=0,"",IF(OR($U76="Subscription",$U76=""),"",IF($U76="Profit",ROUND($P76-$H76,2),0)))</x:f>
      </x:c>
      <x:c r="R76" s="112" t="str">
        <x:f>IF(COUNTA($A76:$M76)=0,"",IF(OR($U76="Subscription",$U76=""),"",IF($U76="Draw",$H76,0)))</x:f>
      </x:c>
      <x:c r="S76" s="112" t="str">
        <x:f>IF(COUNTA($A76:$M76)=0,"",IF(OR($U76="Subscription",$U76=""),"",IF($U76="Disqualified",$H76,0)))</x:f>
      </x:c>
      <x:c r="T76" s="116" t="str">
        <x:f>IF(COUNTA($A76:$M76)=0,"",IF(OR($U76="Subscription",$U76=""),"",IF($H76=0,0,IF($U76="Profit",$Q76/$H76,IF($U76="Disqualified",-$S76/$H76,0)))))</x:f>
      </x:c>
      <x:c r="U76" s="290" t="str">
        <x:f>IF(COUNTA($A76:$M76)=0,"",IF(OR(LOWER($F76&amp;"")="subscription",LOWER($F76&amp;"")="membership"),"Subscription",IF(LOWER($L76&amp;"")="yes","Disqualified",IF(OR(LOWER($F76&amp;"")="free game",LOWER($F76&amp;"")="free"),IF(AND(ISNUMBER($P76),ISNUMBER($H76),$P76&gt;$H76),"Profit","Free Game"),IF($P76="","",IF(ROUND(IFERROR(VALUE($P76),0)-IFERROR(VALUE($H76),0),2)&gt;0,"Profit","Draw"))))))</x:f>
      </x:c>
      <x:c r="V76" s="144" t="str">
        <x:f>IF(COUNTA($A76:$M76)=0,"",IF(OR($B76="",$C76="",$U76="Subscription"),"",IFERROR(ROUNDUP(($C76-$B76)/7,0),"")))</x:f>
      </x:c>
      <x:c r="W76" s="112" t="str">
        <x:f>IF(COUNTA($A76:$M76)=0,"",IF(OR($U76="Subscription",$U76=""),"",ROUND(IFERROR($Q76,0)-IFERROR($S76,0),2)))</x:f>
      </x:c>
      <x:c r="X76" s="144" t="str">
        <x:f>IF(COUNTA($A76:$M76)=0,"",IF(OR($U76="Subscription",$U76="Free Game",NOT(ISNUMBER($J76)),NOT(ISNUMBER($I76)),$J76=0,$I76=0,$I76&gt;$J76),"",$J76-$I76))</x:f>
      </x:c>
      <x:c r="Y76" s="116" t="str">
        <x:f>IF(COUNTA($A76:$M76)=0,"",IF(OR($U76="Subscription",$U76="Free Game",NOT(ISNUMBER($J76)),$J76=0,$X76=""),"",$X76/$J76))</x:f>
      </x:c>
      <x:c r="Z76" s="118" t="str">
        <x:f>IF(COUNTA($A76:$M76)=0,"",Instructions!$B$29+SUM($W$5:W76))</x:f>
      </x:c>
    </x:row>
    <x:row r="77" ht="30" customHeight="1">
      <x:c r="A77" s="477"/>
      <x:c r="B77" s="482"/>
      <x:c r="C77" s="482"/>
      <x:c r="D77" s="483"/>
      <x:c r="E77" s="483"/>
      <x:c r="F77" s="483"/>
      <x:c r="G77" s="484"/>
      <x:c r="H77" s="484"/>
      <x:c r="I77" s="485"/>
      <x:c r="J77" s="485"/>
      <x:c r="K77" s="484"/>
      <x:c r="L77" s="483"/>
      <x:c r="M77" s="477"/>
      <x:c r="N77" s="112" t="str">
        <x:f>IF(COUNTA($A77:$M77)=0,"",IF(OR(LOWER($F77&amp;"")="subscription",LOWER($F77&amp;"")="membership"),"",IF($G77="","",IF(ISNUMBER(SEARCH("non",LOWER($E77&amp;""))),$G77*0.85,$G77))))</x:f>
      </x:c>
      <x:c r="O77" s="112" t="str">
        <x:f>IF(COUNTA($A77:$M77)=0,"",IF(OR(LOWER($F77&amp;"")="subscription",LOWER($F77&amp;"")="membership"),"",IF(OR($N77="",$I77="",$I77=0),"",IFERROR($N77/$I77,""))))</x:f>
      </x:c>
      <x:c r="P77" s="112" t="str">
        <x:f>IF(COUNTA($A77:$M77)=0,"",IF(OR(LOWER($F77&amp;"")="subscription",LOWER($F77&amp;"")="membership"),"",IF(LOWER($L77&amp;"")="yes",0,IF($K77&lt;&gt;"",$K77,IF($O77&lt;&gt;"",$O77,"")))))</x:f>
      </x:c>
      <x:c r="Q77" s="112" t="str">
        <x:f>IF(COUNTA($A77:$M77)=0,"",IF(OR($U77="Subscription",$U77=""),"",IF($U77="Profit",ROUND($P77-$H77,2),0)))</x:f>
      </x:c>
      <x:c r="R77" s="112" t="str">
        <x:f>IF(COUNTA($A77:$M77)=0,"",IF(OR($U77="Subscription",$U77=""),"",IF($U77="Draw",$H77,0)))</x:f>
      </x:c>
      <x:c r="S77" s="112" t="str">
        <x:f>IF(COUNTA($A77:$M77)=0,"",IF(OR($U77="Subscription",$U77=""),"",IF($U77="Disqualified",$H77,0)))</x:f>
      </x:c>
      <x:c r="T77" s="116" t="str">
        <x:f>IF(COUNTA($A77:$M77)=0,"",IF(OR($U77="Subscription",$U77=""),"",IF($H77=0,0,IF($U77="Profit",$Q77/$H77,IF($U77="Disqualified",-$S77/$H77,0)))))</x:f>
      </x:c>
      <x:c r="U77" s="290" t="str">
        <x:f>IF(COUNTA($A77:$M77)=0,"",IF(OR(LOWER($F77&amp;"")="subscription",LOWER($F77&amp;"")="membership"),"Subscription",IF(LOWER($L77&amp;"")="yes","Disqualified",IF(OR(LOWER($F77&amp;"")="free game",LOWER($F77&amp;"")="free"),IF(AND(ISNUMBER($P77),ISNUMBER($H77),$P77&gt;$H77),"Profit","Free Game"),IF($P77="","",IF(ROUND(IFERROR(VALUE($P77),0)-IFERROR(VALUE($H77),0),2)&gt;0,"Profit","Draw"))))))</x:f>
      </x:c>
      <x:c r="V77" s="144" t="str">
        <x:f>IF(COUNTA($A77:$M77)=0,"",IF(OR($B77="",$C77="",$U77="Subscription"),"",IFERROR(ROUNDUP(($C77-$B77)/7,0),"")))</x:f>
      </x:c>
      <x:c r="W77" s="112" t="str">
        <x:f>IF(COUNTA($A77:$M77)=0,"",IF(OR($U77="Subscription",$U77=""),"",ROUND(IFERROR($Q77,0)-IFERROR($S77,0),2)))</x:f>
      </x:c>
      <x:c r="X77" s="144" t="str">
        <x:f>IF(COUNTA($A77:$M77)=0,"",IF(OR($U77="Subscription",$U77="Free Game",NOT(ISNUMBER($J77)),NOT(ISNUMBER($I77)),$J77=0,$I77=0,$I77&gt;$J77),"",$J77-$I77))</x:f>
      </x:c>
      <x:c r="Y77" s="116" t="str">
        <x:f>IF(COUNTA($A77:$M77)=0,"",IF(OR($U77="Subscription",$U77="Free Game",NOT(ISNUMBER($J77)),$J77=0,$X77=""),"",$X77/$J77))</x:f>
      </x:c>
      <x:c r="Z77" s="118" t="str">
        <x:f>IF(COUNTA($A77:$M77)=0,"",Instructions!$B$29+SUM($W$5:W77))</x:f>
      </x:c>
    </x:row>
    <x:row r="78" ht="30" customHeight="1">
      <x:c r="A78" s="477"/>
      <x:c r="B78" s="482"/>
      <x:c r="C78" s="482"/>
      <x:c r="D78" s="483"/>
      <x:c r="E78" s="483"/>
      <x:c r="F78" s="483"/>
      <x:c r="G78" s="484"/>
      <x:c r="H78" s="484"/>
      <x:c r="I78" s="485"/>
      <x:c r="J78" s="485"/>
      <x:c r="K78" s="484"/>
      <x:c r="L78" s="483"/>
      <x:c r="M78" s="477"/>
      <x:c r="N78" s="112" t="str">
        <x:f>IF(COUNTA($A78:$M78)=0,"",IF(OR(LOWER($F78&amp;"")="subscription",LOWER($F78&amp;"")="membership"),"",IF($G78="","",IF(ISNUMBER(SEARCH("non",LOWER($E78&amp;""))),$G78*0.85,$G78))))</x:f>
      </x:c>
      <x:c r="O78" s="112" t="str">
        <x:f>IF(COUNTA($A78:$M78)=0,"",IF(OR(LOWER($F78&amp;"")="subscription",LOWER($F78&amp;"")="membership"),"",IF(OR($N78="",$I78="",$I78=0),"",IFERROR($N78/$I78,""))))</x:f>
      </x:c>
      <x:c r="P78" s="112" t="str">
        <x:f>IF(COUNTA($A78:$M78)=0,"",IF(OR(LOWER($F78&amp;"")="subscription",LOWER($F78&amp;"")="membership"),"",IF(LOWER($L78&amp;"")="yes",0,IF($K78&lt;&gt;"",$K78,IF($O78&lt;&gt;"",$O78,"")))))</x:f>
      </x:c>
      <x:c r="Q78" s="112" t="str">
        <x:f>IF(COUNTA($A78:$M78)=0,"",IF(OR($U78="Subscription",$U78=""),"",IF($U78="Profit",ROUND($P78-$H78,2),0)))</x:f>
      </x:c>
      <x:c r="R78" s="112" t="str">
        <x:f>IF(COUNTA($A78:$M78)=0,"",IF(OR($U78="Subscription",$U78=""),"",IF($U78="Draw",$H78,0)))</x:f>
      </x:c>
      <x:c r="S78" s="112" t="str">
        <x:f>IF(COUNTA($A78:$M78)=0,"",IF(OR($U78="Subscription",$U78=""),"",IF($U78="Disqualified",$H78,0)))</x:f>
      </x:c>
      <x:c r="T78" s="116" t="str">
        <x:f>IF(COUNTA($A78:$M78)=0,"",IF(OR($U78="Subscription",$U78=""),"",IF($H78=0,0,IF($U78="Profit",$Q78/$H78,IF($U78="Disqualified",-$S78/$H78,0)))))</x:f>
      </x:c>
      <x:c r="U78" s="290" t="str">
        <x:f>IF(COUNTA($A78:$M78)=0,"",IF(OR(LOWER($F78&amp;"")="subscription",LOWER($F78&amp;"")="membership"),"Subscription",IF(LOWER($L78&amp;"")="yes","Disqualified",IF(OR(LOWER($F78&amp;"")="free game",LOWER($F78&amp;"")="free"),IF(AND(ISNUMBER($P78),ISNUMBER($H78),$P78&gt;$H78),"Profit","Free Game"),IF($P78="","",IF(ROUND(IFERROR(VALUE($P78),0)-IFERROR(VALUE($H78),0),2)&gt;0,"Profit","Draw"))))))</x:f>
      </x:c>
      <x:c r="V78" s="144" t="str">
        <x:f>IF(COUNTA($A78:$M78)=0,"",IF(OR($B78="",$C78="",$U78="Subscription"),"",IFERROR(ROUNDUP(($C78-$B78)/7,0),"")))</x:f>
      </x:c>
      <x:c r="W78" s="112" t="str">
        <x:f>IF(COUNTA($A78:$M78)=0,"",IF(OR($U78="Subscription",$U78=""),"",ROUND(IFERROR($Q78,0)-IFERROR($S78,0),2)))</x:f>
      </x:c>
      <x:c r="X78" s="144" t="str">
        <x:f>IF(COUNTA($A78:$M78)=0,"",IF(OR($U78="Subscription",$U78="Free Game",NOT(ISNUMBER($J78)),NOT(ISNUMBER($I78)),$J78=0,$I78=0,$I78&gt;$J78),"",$J78-$I78))</x:f>
      </x:c>
      <x:c r="Y78" s="116" t="str">
        <x:f>IF(COUNTA($A78:$M78)=0,"",IF(OR($U78="Subscription",$U78="Free Game",NOT(ISNUMBER($J78)),$J78=0,$X78=""),"",$X78/$J78))</x:f>
      </x:c>
      <x:c r="Z78" s="118" t="str">
        <x:f>IF(COUNTA($A78:$M78)=0,"",Instructions!$B$29+SUM($W$5:W78))</x:f>
      </x:c>
    </x:row>
    <x:row r="79" ht="30" customHeight="1">
      <x:c r="A79" s="477"/>
      <x:c r="B79" s="482"/>
      <x:c r="C79" s="482"/>
      <x:c r="D79" s="483"/>
      <x:c r="E79" s="483"/>
      <x:c r="F79" s="483"/>
      <x:c r="G79" s="484"/>
      <x:c r="H79" s="484"/>
      <x:c r="I79" s="485"/>
      <x:c r="J79" s="485"/>
      <x:c r="K79" s="484"/>
      <x:c r="L79" s="483"/>
      <x:c r="M79" s="477"/>
      <x:c r="N79" s="112" t="str">
        <x:f>IF(COUNTA($A79:$M79)=0,"",IF(OR(LOWER($F79&amp;"")="subscription",LOWER($F79&amp;"")="membership"),"",IF($G79="","",IF(ISNUMBER(SEARCH("non",LOWER($E79&amp;""))),$G79*0.85,$G79))))</x:f>
      </x:c>
      <x:c r="O79" s="112" t="str">
        <x:f>IF(COUNTA($A79:$M79)=0,"",IF(OR(LOWER($F79&amp;"")="subscription",LOWER($F79&amp;"")="membership"),"",IF(OR($N79="",$I79="",$I79=0),"",IFERROR($N79/$I79,""))))</x:f>
      </x:c>
      <x:c r="P79" s="112" t="str">
        <x:f>IF(COUNTA($A79:$M79)=0,"",IF(OR(LOWER($F79&amp;"")="subscription",LOWER($F79&amp;"")="membership"),"",IF(LOWER($L79&amp;"")="yes",0,IF($K79&lt;&gt;"",$K79,IF($O79&lt;&gt;"",$O79,"")))))</x:f>
      </x:c>
      <x:c r="Q79" s="112" t="str">
        <x:f>IF(COUNTA($A79:$M79)=0,"",IF(OR($U79="Subscription",$U79=""),"",IF($U79="Profit",ROUND($P79-$H79,2),0)))</x:f>
      </x:c>
      <x:c r="R79" s="112" t="str">
        <x:f>IF(COUNTA($A79:$M79)=0,"",IF(OR($U79="Subscription",$U79=""),"",IF($U79="Draw",$H79,0)))</x:f>
      </x:c>
      <x:c r="S79" s="112" t="str">
        <x:f>IF(COUNTA($A79:$M79)=0,"",IF(OR($U79="Subscription",$U79=""),"",IF($U79="Disqualified",$H79,0)))</x:f>
      </x:c>
      <x:c r="T79" s="116" t="str">
        <x:f>IF(COUNTA($A79:$M79)=0,"",IF(OR($U79="Subscription",$U79=""),"",IF($H79=0,0,IF($U79="Profit",$Q79/$H79,IF($U79="Disqualified",-$S79/$H79,0)))))</x:f>
      </x:c>
      <x:c r="U79" s="290" t="str">
        <x:f>IF(COUNTA($A79:$M79)=0,"",IF(OR(LOWER($F79&amp;"")="subscription",LOWER($F79&amp;"")="membership"),"Subscription",IF(LOWER($L79&amp;"")="yes","Disqualified",IF(OR(LOWER($F79&amp;"")="free game",LOWER($F79&amp;"")="free"),IF(AND(ISNUMBER($P79),ISNUMBER($H79),$P79&gt;$H79),"Profit","Free Game"),IF($P79="","",IF(ROUND(IFERROR(VALUE($P79),0)-IFERROR(VALUE($H79),0),2)&gt;0,"Profit","Draw"))))))</x:f>
      </x:c>
      <x:c r="V79" s="144" t="str">
        <x:f>IF(COUNTA($A79:$M79)=0,"",IF(OR($B79="",$C79="",$U79="Subscription"),"",IFERROR(ROUNDUP(($C79-$B79)/7,0),"")))</x:f>
      </x:c>
      <x:c r="W79" s="112" t="str">
        <x:f>IF(COUNTA($A79:$M79)=0,"",IF(OR($U79="Subscription",$U79=""),"",ROUND(IFERROR($Q79,0)-IFERROR($S79,0),2)))</x:f>
      </x:c>
      <x:c r="X79" s="144" t="str">
        <x:f>IF(COUNTA($A79:$M79)=0,"",IF(OR($U79="Subscription",$U79="Free Game",NOT(ISNUMBER($J79)),NOT(ISNUMBER($I79)),$J79=0,$I79=0,$I79&gt;$J79),"",$J79-$I79))</x:f>
      </x:c>
      <x:c r="Y79" s="116" t="str">
        <x:f>IF(COUNTA($A79:$M79)=0,"",IF(OR($U79="Subscription",$U79="Free Game",NOT(ISNUMBER($J79)),$J79=0,$X79=""),"",$X79/$J79))</x:f>
      </x:c>
      <x:c r="Z79" s="118" t="str">
        <x:f>IF(COUNTA($A79:$M79)=0,"",Instructions!$B$29+SUM($W$5:W79))</x:f>
      </x:c>
    </x:row>
    <x:row r="80" ht="30" customHeight="1">
      <x:c r="A80" s="477"/>
      <x:c r="B80" s="482"/>
      <x:c r="C80" s="482"/>
      <x:c r="D80" s="483"/>
      <x:c r="E80" s="483"/>
      <x:c r="F80" s="483"/>
      <x:c r="G80" s="484"/>
      <x:c r="H80" s="484"/>
      <x:c r="I80" s="485"/>
      <x:c r="J80" s="485"/>
      <x:c r="K80" s="484"/>
      <x:c r="L80" s="483"/>
      <x:c r="M80" s="477"/>
      <x:c r="N80" s="112" t="str">
        <x:f>IF(COUNTA($A80:$M80)=0,"",IF(OR(LOWER($F80&amp;"")="subscription",LOWER($F80&amp;"")="membership"),"",IF($G80="","",IF(ISNUMBER(SEARCH("non",LOWER($E80&amp;""))),$G80*0.85,$G80))))</x:f>
      </x:c>
      <x:c r="O80" s="112" t="str">
        <x:f>IF(COUNTA($A80:$M80)=0,"",IF(OR(LOWER($F80&amp;"")="subscription",LOWER($F80&amp;"")="membership"),"",IF(OR($N80="",$I80="",$I80=0),"",IFERROR($N80/$I80,""))))</x:f>
      </x:c>
      <x:c r="P80" s="112" t="str">
        <x:f>IF(COUNTA($A80:$M80)=0,"",IF(OR(LOWER($F80&amp;"")="subscription",LOWER($F80&amp;"")="membership"),"",IF(LOWER($L80&amp;"")="yes",0,IF($K80&lt;&gt;"",$K80,IF($O80&lt;&gt;"",$O80,"")))))</x:f>
      </x:c>
      <x:c r="Q80" s="112" t="str">
        <x:f>IF(COUNTA($A80:$M80)=0,"",IF(OR($U80="Subscription",$U80=""),"",IF($U80="Profit",ROUND($P80-$H80,2),0)))</x:f>
      </x:c>
      <x:c r="R80" s="112" t="str">
        <x:f>IF(COUNTA($A80:$M80)=0,"",IF(OR($U80="Subscription",$U80=""),"",IF($U80="Draw",$H80,0)))</x:f>
      </x:c>
      <x:c r="S80" s="112" t="str">
        <x:f>IF(COUNTA($A80:$M80)=0,"",IF(OR($U80="Subscription",$U80=""),"",IF($U80="Disqualified",$H80,0)))</x:f>
      </x:c>
      <x:c r="T80" s="116" t="str">
        <x:f>IF(COUNTA($A80:$M80)=0,"",IF(OR($U80="Subscription",$U80=""),"",IF($H80=0,0,IF($U80="Profit",$Q80/$H80,IF($U80="Disqualified",-$S80/$H80,0)))))</x:f>
      </x:c>
      <x:c r="U80" s="290" t="str">
        <x:f>IF(COUNTA($A80:$M80)=0,"",IF(OR(LOWER($F80&amp;"")="subscription",LOWER($F80&amp;"")="membership"),"Subscription",IF(LOWER($L80&amp;"")="yes","Disqualified",IF(OR(LOWER($F80&amp;"")="free game",LOWER($F80&amp;"")="free"),IF(AND(ISNUMBER($P80),ISNUMBER($H80),$P80&gt;$H80),"Profit","Free Game"),IF($P80="","",IF(ROUND(IFERROR(VALUE($P80),0)-IFERROR(VALUE($H80),0),2)&gt;0,"Profit","Draw"))))))</x:f>
      </x:c>
      <x:c r="V80" s="144" t="str">
        <x:f>IF(COUNTA($A80:$M80)=0,"",IF(OR($B80="",$C80="",$U80="Subscription"),"",IFERROR(ROUNDUP(($C80-$B80)/7,0),"")))</x:f>
      </x:c>
      <x:c r="W80" s="112" t="str">
        <x:f>IF(COUNTA($A80:$M80)=0,"",IF(OR($U80="Subscription",$U80=""),"",ROUND(IFERROR($Q80,0)-IFERROR($S80,0),2)))</x:f>
      </x:c>
      <x:c r="X80" s="144" t="str">
        <x:f>IF(COUNTA($A80:$M80)=0,"",IF(OR($U80="Subscription",$U80="Free Game",NOT(ISNUMBER($J80)),NOT(ISNUMBER($I80)),$J80=0,$I80=0,$I80&gt;$J80),"",$J80-$I80))</x:f>
      </x:c>
      <x:c r="Y80" s="116" t="str">
        <x:f>IF(COUNTA($A80:$M80)=0,"",IF(OR($U80="Subscription",$U80="Free Game",NOT(ISNUMBER($J80)),$J80=0,$X80=""),"",$X80/$J80))</x:f>
      </x:c>
      <x:c r="Z80" s="118" t="str">
        <x:f>IF(COUNTA($A80:$M80)=0,"",Instructions!$B$29+SUM($W$5:W80))</x:f>
      </x:c>
    </x:row>
    <x:row r="81" ht="30" customHeight="1">
      <x:c r="A81" s="477"/>
      <x:c r="B81" s="482"/>
      <x:c r="C81" s="482"/>
      <x:c r="D81" s="483"/>
      <x:c r="E81" s="483"/>
      <x:c r="F81" s="483"/>
      <x:c r="G81" s="484"/>
      <x:c r="H81" s="484"/>
      <x:c r="I81" s="485"/>
      <x:c r="J81" s="485"/>
      <x:c r="K81" s="484"/>
      <x:c r="L81" s="483"/>
      <x:c r="M81" s="477"/>
      <x:c r="N81" s="112" t="str">
        <x:f>IF(COUNTA($A81:$M81)=0,"",IF(OR(LOWER($F81&amp;"")="subscription",LOWER($F81&amp;"")="membership"),"",IF($G81="","",IF(ISNUMBER(SEARCH("non",LOWER($E81&amp;""))),$G81*0.85,$G81))))</x:f>
      </x:c>
      <x:c r="O81" s="112" t="str">
        <x:f>IF(COUNTA($A81:$M81)=0,"",IF(OR(LOWER($F81&amp;"")="subscription",LOWER($F81&amp;"")="membership"),"",IF(OR($N81="",$I81="",$I81=0),"",IFERROR($N81/$I81,""))))</x:f>
      </x:c>
      <x:c r="P81" s="112" t="str">
        <x:f>IF(COUNTA($A81:$M81)=0,"",IF(OR(LOWER($F81&amp;"")="subscription",LOWER($F81&amp;"")="membership"),"",IF(LOWER($L81&amp;"")="yes",0,IF($K81&lt;&gt;"",$K81,IF($O81&lt;&gt;"",$O81,"")))))</x:f>
      </x:c>
      <x:c r="Q81" s="112" t="str">
        <x:f>IF(COUNTA($A81:$M81)=0,"",IF(OR($U81="Subscription",$U81=""),"",IF($U81="Profit",ROUND($P81-$H81,2),0)))</x:f>
      </x:c>
      <x:c r="R81" s="112" t="str">
        <x:f>IF(COUNTA($A81:$M81)=0,"",IF(OR($U81="Subscription",$U81=""),"",IF($U81="Draw",$H81,0)))</x:f>
      </x:c>
      <x:c r="S81" s="112" t="str">
        <x:f>IF(COUNTA($A81:$M81)=0,"",IF(OR($U81="Subscription",$U81=""),"",IF($U81="Disqualified",$H81,0)))</x:f>
      </x:c>
      <x:c r="T81" s="116" t="str">
        <x:f>IF(COUNTA($A81:$M81)=0,"",IF(OR($U81="Subscription",$U81=""),"",IF($H81=0,0,IF($U81="Profit",$Q81/$H81,IF($U81="Disqualified",-$S81/$H81,0)))))</x:f>
      </x:c>
      <x:c r="U81" s="290" t="str">
        <x:f>IF(COUNTA($A81:$M81)=0,"",IF(OR(LOWER($F81&amp;"")="subscription",LOWER($F81&amp;"")="membership"),"Subscription",IF(LOWER($L81&amp;"")="yes","Disqualified",IF(OR(LOWER($F81&amp;"")="free game",LOWER($F81&amp;"")="free"),IF(AND(ISNUMBER($P81),ISNUMBER($H81),$P81&gt;$H81),"Profit","Free Game"),IF($P81="","",IF(ROUND(IFERROR(VALUE($P81),0)-IFERROR(VALUE($H81),0),2)&gt;0,"Profit","Draw"))))))</x:f>
      </x:c>
      <x:c r="V81" s="144" t="str">
        <x:f>IF(COUNTA($A81:$M81)=0,"",IF(OR($B81="",$C81="",$U81="Subscription"),"",IFERROR(ROUNDUP(($C81-$B81)/7,0),"")))</x:f>
      </x:c>
      <x:c r="W81" s="112" t="str">
        <x:f>IF(COUNTA($A81:$M81)=0,"",IF(OR($U81="Subscription",$U81=""),"",ROUND(IFERROR($Q81,0)-IFERROR($S81,0),2)))</x:f>
      </x:c>
      <x:c r="X81" s="144" t="str">
        <x:f>IF(COUNTA($A81:$M81)=0,"",IF(OR($U81="Subscription",$U81="Free Game",NOT(ISNUMBER($J81)),NOT(ISNUMBER($I81)),$J81=0,$I81=0,$I81&gt;$J81),"",$J81-$I81))</x:f>
      </x:c>
      <x:c r="Y81" s="116" t="str">
        <x:f>IF(COUNTA($A81:$M81)=0,"",IF(OR($U81="Subscription",$U81="Free Game",NOT(ISNUMBER($J81)),$J81=0,$X81=""),"",$X81/$J81))</x:f>
      </x:c>
      <x:c r="Z81" s="118" t="str">
        <x:f>IF(COUNTA($A81:$M81)=0,"",Instructions!$B$29+SUM($W$5:W81))</x:f>
      </x:c>
    </x:row>
    <x:row r="82" ht="30" customHeight="1">
      <x:c r="A82" s="477"/>
      <x:c r="B82" s="482"/>
      <x:c r="C82" s="482"/>
      <x:c r="D82" s="483"/>
      <x:c r="E82" s="483"/>
      <x:c r="F82" s="483"/>
      <x:c r="G82" s="484"/>
      <x:c r="H82" s="484"/>
      <x:c r="I82" s="485"/>
      <x:c r="J82" s="485"/>
      <x:c r="K82" s="484"/>
      <x:c r="L82" s="483"/>
      <x:c r="M82" s="477"/>
      <x:c r="N82" s="112" t="str">
        <x:f>IF(COUNTA($A82:$M82)=0,"",IF(OR(LOWER($F82&amp;"")="subscription",LOWER($F82&amp;"")="membership"),"",IF($G82="","",IF(ISNUMBER(SEARCH("non",LOWER($E82&amp;""))),$G82*0.85,$G82))))</x:f>
      </x:c>
      <x:c r="O82" s="112" t="str">
        <x:f>IF(COUNTA($A82:$M82)=0,"",IF(OR(LOWER($F82&amp;"")="subscription",LOWER($F82&amp;"")="membership"),"",IF(OR($N82="",$I82="",$I82=0),"",IFERROR($N82/$I82,""))))</x:f>
      </x:c>
      <x:c r="P82" s="112" t="str">
        <x:f>IF(COUNTA($A82:$M82)=0,"",IF(OR(LOWER($F82&amp;"")="subscription",LOWER($F82&amp;"")="membership"),"",IF(LOWER($L82&amp;"")="yes",0,IF($K82&lt;&gt;"",$K82,IF($O82&lt;&gt;"",$O82,"")))))</x:f>
      </x:c>
      <x:c r="Q82" s="112" t="str">
        <x:f>IF(COUNTA($A82:$M82)=0,"",IF(OR($U82="Subscription",$U82=""),"",IF($U82="Profit",ROUND($P82-$H82,2),0)))</x:f>
      </x:c>
      <x:c r="R82" s="112" t="str">
        <x:f>IF(COUNTA($A82:$M82)=0,"",IF(OR($U82="Subscription",$U82=""),"",IF($U82="Draw",$H82,0)))</x:f>
      </x:c>
      <x:c r="S82" s="112" t="str">
        <x:f>IF(COUNTA($A82:$M82)=0,"",IF(OR($U82="Subscription",$U82=""),"",IF($U82="Disqualified",$H82,0)))</x:f>
      </x:c>
      <x:c r="T82" s="116" t="str">
        <x:f>IF(COUNTA($A82:$M82)=0,"",IF(OR($U82="Subscription",$U82=""),"",IF($H82=0,0,IF($U82="Profit",$Q82/$H82,IF($U82="Disqualified",-$S82/$H82,0)))))</x:f>
      </x:c>
      <x:c r="U82" s="290" t="str">
        <x:f>IF(COUNTA($A82:$M82)=0,"",IF(OR(LOWER($F82&amp;"")="subscription",LOWER($F82&amp;"")="membership"),"Subscription",IF(LOWER($L82&amp;"")="yes","Disqualified",IF(OR(LOWER($F82&amp;"")="free game",LOWER($F82&amp;"")="free"),IF(AND(ISNUMBER($P82),ISNUMBER($H82),$P82&gt;$H82),"Profit","Free Game"),IF($P82="","",IF(ROUND(IFERROR(VALUE($P82),0)-IFERROR(VALUE($H82),0),2)&gt;0,"Profit","Draw"))))))</x:f>
      </x:c>
      <x:c r="V82" s="144" t="str">
        <x:f>IF(COUNTA($A82:$M82)=0,"",IF(OR($B82="",$C82="",$U82="Subscription"),"",IFERROR(ROUNDUP(($C82-$B82)/7,0),"")))</x:f>
      </x:c>
      <x:c r="W82" s="112" t="str">
        <x:f>IF(COUNTA($A82:$M82)=0,"",IF(OR($U82="Subscription",$U82=""),"",ROUND(IFERROR($Q82,0)-IFERROR($S82,0),2)))</x:f>
      </x:c>
      <x:c r="X82" s="144" t="str">
        <x:f>IF(COUNTA($A82:$M82)=0,"",IF(OR($U82="Subscription",$U82="Free Game",NOT(ISNUMBER($J82)),NOT(ISNUMBER($I82)),$J82=0,$I82=0,$I82&gt;$J82),"",$J82-$I82))</x:f>
      </x:c>
      <x:c r="Y82" s="116" t="str">
        <x:f>IF(COUNTA($A82:$M82)=0,"",IF(OR($U82="Subscription",$U82="Free Game",NOT(ISNUMBER($J82)),$J82=0,$X82=""),"",$X82/$J82))</x:f>
      </x:c>
      <x:c r="Z82" s="118" t="str">
        <x:f>IF(COUNTA($A82:$M82)=0,"",Instructions!$B$29+SUM($W$5:W82))</x:f>
      </x:c>
    </x:row>
    <x:row r="83" ht="30" customHeight="1">
      <x:c r="A83" s="477"/>
      <x:c r="B83" s="482"/>
      <x:c r="C83" s="482"/>
      <x:c r="D83" s="483"/>
      <x:c r="E83" s="483"/>
      <x:c r="F83" s="483"/>
      <x:c r="G83" s="484"/>
      <x:c r="H83" s="484"/>
      <x:c r="I83" s="485"/>
      <x:c r="J83" s="485"/>
      <x:c r="K83" s="484"/>
      <x:c r="L83" s="483"/>
      <x:c r="M83" s="477"/>
      <x:c r="N83" s="112" t="str">
        <x:f>IF(COUNTA($A83:$M83)=0,"",IF(OR(LOWER($F83&amp;"")="subscription",LOWER($F83&amp;"")="membership"),"",IF($G83="","",IF(ISNUMBER(SEARCH("non",LOWER($E83&amp;""))),$G83*0.85,$G83))))</x:f>
      </x:c>
      <x:c r="O83" s="112" t="str">
        <x:f>IF(COUNTA($A83:$M83)=0,"",IF(OR(LOWER($F83&amp;"")="subscription",LOWER($F83&amp;"")="membership"),"",IF(OR($N83="",$I83="",$I83=0),"",IFERROR($N83/$I83,""))))</x:f>
      </x:c>
      <x:c r="P83" s="112" t="str">
        <x:f>IF(COUNTA($A83:$M83)=0,"",IF(OR(LOWER($F83&amp;"")="subscription",LOWER($F83&amp;"")="membership"),"",IF(LOWER($L83&amp;"")="yes",0,IF($K83&lt;&gt;"",$K83,IF($O83&lt;&gt;"",$O83,"")))))</x:f>
      </x:c>
      <x:c r="Q83" s="112" t="str">
        <x:f>IF(COUNTA($A83:$M83)=0,"",IF(OR($U83="Subscription",$U83=""),"",IF($U83="Profit",ROUND($P83-$H83,2),0)))</x:f>
      </x:c>
      <x:c r="R83" s="112" t="str">
        <x:f>IF(COUNTA($A83:$M83)=0,"",IF(OR($U83="Subscription",$U83=""),"",IF($U83="Draw",$H83,0)))</x:f>
      </x:c>
      <x:c r="S83" s="112" t="str">
        <x:f>IF(COUNTA($A83:$M83)=0,"",IF(OR($U83="Subscription",$U83=""),"",IF($U83="Disqualified",$H83,0)))</x:f>
      </x:c>
      <x:c r="T83" s="116" t="str">
        <x:f>IF(COUNTA($A83:$M83)=0,"",IF(OR($U83="Subscription",$U83=""),"",IF($H83=0,0,IF($U83="Profit",$Q83/$H83,IF($U83="Disqualified",-$S83/$H83,0)))))</x:f>
      </x:c>
      <x:c r="U83" s="290" t="str">
        <x:f>IF(COUNTA($A83:$M83)=0,"",IF(OR(LOWER($F83&amp;"")="subscription",LOWER($F83&amp;"")="membership"),"Subscription",IF(LOWER($L83&amp;"")="yes","Disqualified",IF(OR(LOWER($F83&amp;"")="free game",LOWER($F83&amp;"")="free"),IF(AND(ISNUMBER($P83),ISNUMBER($H83),$P83&gt;$H83),"Profit","Free Game"),IF($P83="","",IF(ROUND(IFERROR(VALUE($P83),0)-IFERROR(VALUE($H83),0),2)&gt;0,"Profit","Draw"))))))</x:f>
      </x:c>
      <x:c r="V83" s="144" t="str">
        <x:f>IF(COUNTA($A83:$M83)=0,"",IF(OR($B83="",$C83="",$U83="Subscription"),"",IFERROR(ROUNDUP(($C83-$B83)/7,0),"")))</x:f>
      </x:c>
      <x:c r="W83" s="112" t="str">
        <x:f>IF(COUNTA($A83:$M83)=0,"",IF(OR($U83="Subscription",$U83=""),"",ROUND(IFERROR($Q83,0)-IFERROR($S83,0),2)))</x:f>
      </x:c>
      <x:c r="X83" s="144" t="str">
        <x:f>IF(COUNTA($A83:$M83)=0,"",IF(OR($U83="Subscription",$U83="Free Game",NOT(ISNUMBER($J83)),NOT(ISNUMBER($I83)),$J83=0,$I83=0,$I83&gt;$J83),"",$J83-$I83))</x:f>
      </x:c>
      <x:c r="Y83" s="116" t="str">
        <x:f>IF(COUNTA($A83:$M83)=0,"",IF(OR($U83="Subscription",$U83="Free Game",NOT(ISNUMBER($J83)),$J83=0,$X83=""),"",$X83/$J83))</x:f>
      </x:c>
      <x:c r="Z83" s="118" t="str">
        <x:f>IF(COUNTA($A83:$M83)=0,"",Instructions!$B$29+SUM($W$5:W83))</x:f>
      </x:c>
    </x:row>
    <x:row r="84" ht="30" customHeight="1">
      <x:c r="A84" s="477"/>
      <x:c r="B84" s="482"/>
      <x:c r="C84" s="482"/>
      <x:c r="D84" s="483"/>
      <x:c r="E84" s="483"/>
      <x:c r="F84" s="483"/>
      <x:c r="G84" s="484"/>
      <x:c r="H84" s="484"/>
      <x:c r="I84" s="485"/>
      <x:c r="J84" s="485"/>
      <x:c r="K84" s="484"/>
      <x:c r="L84" s="483"/>
      <x:c r="M84" s="477"/>
      <x:c r="N84" s="112" t="str">
        <x:f>IF(COUNTA($A84:$M84)=0,"",IF(OR(LOWER($F84&amp;"")="subscription",LOWER($F84&amp;"")="membership"),"",IF($G84="","",IF(ISNUMBER(SEARCH("non",LOWER($E84&amp;""))),$G84*0.85,$G84))))</x:f>
      </x:c>
      <x:c r="O84" s="112" t="str">
        <x:f>IF(COUNTA($A84:$M84)=0,"",IF(OR(LOWER($F84&amp;"")="subscription",LOWER($F84&amp;"")="membership"),"",IF(OR($N84="",$I84="",$I84=0),"",IFERROR($N84/$I84,""))))</x:f>
      </x:c>
      <x:c r="P84" s="112" t="str">
        <x:f>IF(COUNTA($A84:$M84)=0,"",IF(OR(LOWER($F84&amp;"")="subscription",LOWER($F84&amp;"")="membership"),"",IF(LOWER($L84&amp;"")="yes",0,IF($K84&lt;&gt;"",$K84,IF($O84&lt;&gt;"",$O84,"")))))</x:f>
      </x:c>
      <x:c r="Q84" s="112" t="str">
        <x:f>IF(COUNTA($A84:$M84)=0,"",IF(OR($U84="Subscription",$U84=""),"",IF($U84="Profit",ROUND($P84-$H84,2),0)))</x:f>
      </x:c>
      <x:c r="R84" s="112" t="str">
        <x:f>IF(COUNTA($A84:$M84)=0,"",IF(OR($U84="Subscription",$U84=""),"",IF($U84="Draw",$H84,0)))</x:f>
      </x:c>
      <x:c r="S84" s="112" t="str">
        <x:f>IF(COUNTA($A84:$M84)=0,"",IF(OR($U84="Subscription",$U84=""),"",IF($U84="Disqualified",$H84,0)))</x:f>
      </x:c>
      <x:c r="T84" s="116" t="str">
        <x:f>IF(COUNTA($A84:$M84)=0,"",IF(OR($U84="Subscription",$U84=""),"",IF($H84=0,0,IF($U84="Profit",$Q84/$H84,IF($U84="Disqualified",-$S84/$H84,0)))))</x:f>
      </x:c>
      <x:c r="U84" s="290" t="str">
        <x:f>IF(COUNTA($A84:$M84)=0,"",IF(OR(LOWER($F84&amp;"")="subscription",LOWER($F84&amp;"")="membership"),"Subscription",IF(LOWER($L84&amp;"")="yes","Disqualified",IF(OR(LOWER($F84&amp;"")="free game",LOWER($F84&amp;"")="free"),IF(AND(ISNUMBER($P84),ISNUMBER($H84),$P84&gt;$H84),"Profit","Free Game"),IF($P84="","",IF(ROUND(IFERROR(VALUE($P84),0)-IFERROR(VALUE($H84),0),2)&gt;0,"Profit","Draw"))))))</x:f>
      </x:c>
      <x:c r="V84" s="144" t="str">
        <x:f>IF(COUNTA($A84:$M84)=0,"",IF(OR($B84="",$C84="",$U84="Subscription"),"",IFERROR(ROUNDUP(($C84-$B84)/7,0),"")))</x:f>
      </x:c>
      <x:c r="W84" s="112" t="str">
        <x:f>IF(COUNTA($A84:$M84)=0,"",IF(OR($U84="Subscription",$U84=""),"",ROUND(IFERROR($Q84,0)-IFERROR($S84,0),2)))</x:f>
      </x:c>
      <x:c r="X84" s="144" t="str">
        <x:f>IF(COUNTA($A84:$M84)=0,"",IF(OR($U84="Subscription",$U84="Free Game",NOT(ISNUMBER($J84)),NOT(ISNUMBER($I84)),$J84=0,$I84=0,$I84&gt;$J84),"",$J84-$I84))</x:f>
      </x:c>
      <x:c r="Y84" s="116" t="str">
        <x:f>IF(COUNTA($A84:$M84)=0,"",IF(OR($U84="Subscription",$U84="Free Game",NOT(ISNUMBER($J84)),$J84=0,$X84=""),"",$X84/$J84))</x:f>
      </x:c>
      <x:c r="Z84" s="118" t="str">
        <x:f>IF(COUNTA($A84:$M84)=0,"",Instructions!$B$29+SUM($W$5:W84))</x:f>
      </x:c>
    </x:row>
    <x:row r="85" ht="30" customHeight="1">
      <x:c r="A85" s="477"/>
      <x:c r="B85" s="482"/>
      <x:c r="C85" s="482"/>
      <x:c r="D85" s="483"/>
      <x:c r="E85" s="483"/>
      <x:c r="F85" s="483"/>
      <x:c r="G85" s="484"/>
      <x:c r="H85" s="484"/>
      <x:c r="I85" s="485"/>
      <x:c r="J85" s="485"/>
      <x:c r="K85" s="484"/>
      <x:c r="L85" s="483"/>
      <x:c r="M85" s="477"/>
      <x:c r="N85" s="112" t="str">
        <x:f>IF(COUNTA($A85:$M85)=0,"",IF(OR(LOWER($F85&amp;"")="subscription",LOWER($F85&amp;"")="membership"),"",IF($G85="","",IF(ISNUMBER(SEARCH("non",LOWER($E85&amp;""))),$G85*0.85,$G85))))</x:f>
      </x:c>
      <x:c r="O85" s="112" t="str">
        <x:f>IF(COUNTA($A85:$M85)=0,"",IF(OR(LOWER($F85&amp;"")="subscription",LOWER($F85&amp;"")="membership"),"",IF(OR($N85="",$I85="",$I85=0),"",IFERROR($N85/$I85,""))))</x:f>
      </x:c>
      <x:c r="P85" s="112" t="str">
        <x:f>IF(COUNTA($A85:$M85)=0,"",IF(OR(LOWER($F85&amp;"")="subscription",LOWER($F85&amp;"")="membership"),"",IF(LOWER($L85&amp;"")="yes",0,IF($K85&lt;&gt;"",$K85,IF($O85&lt;&gt;"",$O85,"")))))</x:f>
      </x:c>
      <x:c r="Q85" s="112" t="str">
        <x:f>IF(COUNTA($A85:$M85)=0,"",IF(OR($U85="Subscription",$U85=""),"",IF($U85="Profit",ROUND($P85-$H85,2),0)))</x:f>
      </x:c>
      <x:c r="R85" s="112" t="str">
        <x:f>IF(COUNTA($A85:$M85)=0,"",IF(OR($U85="Subscription",$U85=""),"",IF($U85="Draw",$H85,0)))</x:f>
      </x:c>
      <x:c r="S85" s="112" t="str">
        <x:f>IF(COUNTA($A85:$M85)=0,"",IF(OR($U85="Subscription",$U85=""),"",IF($U85="Disqualified",$H85,0)))</x:f>
      </x:c>
      <x:c r="T85" s="116" t="str">
        <x:f>IF(COUNTA($A85:$M85)=0,"",IF(OR($U85="Subscription",$U85=""),"",IF($H85=0,0,IF($U85="Profit",$Q85/$H85,IF($U85="Disqualified",-$S85/$H85,0)))))</x:f>
      </x:c>
      <x:c r="U85" s="290" t="str">
        <x:f>IF(COUNTA($A85:$M85)=0,"",IF(OR(LOWER($F85&amp;"")="subscription",LOWER($F85&amp;"")="membership"),"Subscription",IF(LOWER($L85&amp;"")="yes","Disqualified",IF(OR(LOWER($F85&amp;"")="free game",LOWER($F85&amp;"")="free"),IF(AND(ISNUMBER($P85),ISNUMBER($H85),$P85&gt;$H85),"Profit","Free Game"),IF($P85="","",IF(ROUND(IFERROR(VALUE($P85),0)-IFERROR(VALUE($H85),0),2)&gt;0,"Profit","Draw"))))))</x:f>
      </x:c>
      <x:c r="V85" s="144" t="str">
        <x:f>IF(COUNTA($A85:$M85)=0,"",IF(OR($B85="",$C85="",$U85="Subscription"),"",IFERROR(ROUNDUP(($C85-$B85)/7,0),"")))</x:f>
      </x:c>
      <x:c r="W85" s="112" t="str">
        <x:f>IF(COUNTA($A85:$M85)=0,"",IF(OR($U85="Subscription",$U85=""),"",ROUND(IFERROR($Q85,0)-IFERROR($S85,0),2)))</x:f>
      </x:c>
      <x:c r="X85" s="144" t="str">
        <x:f>IF(COUNTA($A85:$M85)=0,"",IF(OR($U85="Subscription",$U85="Free Game",NOT(ISNUMBER($J85)),NOT(ISNUMBER($I85)),$J85=0,$I85=0,$I85&gt;$J85),"",$J85-$I85))</x:f>
      </x:c>
      <x:c r="Y85" s="116" t="str">
        <x:f>IF(COUNTA($A85:$M85)=0,"",IF(OR($U85="Subscription",$U85="Free Game",NOT(ISNUMBER($J85)),$J85=0,$X85=""),"",$X85/$J85))</x:f>
      </x:c>
      <x:c r="Z85" s="118" t="str">
        <x:f>IF(COUNTA($A85:$M85)=0,"",Instructions!$B$29+SUM($W$5:W85))</x:f>
      </x:c>
    </x:row>
    <x:row r="86" ht="30" customHeight="1">
      <x:c r="A86" s="477"/>
      <x:c r="B86" s="482"/>
      <x:c r="C86" s="482"/>
      <x:c r="D86" s="483"/>
      <x:c r="E86" s="483"/>
      <x:c r="F86" s="483"/>
      <x:c r="G86" s="484"/>
      <x:c r="H86" s="484"/>
      <x:c r="I86" s="485"/>
      <x:c r="J86" s="485"/>
      <x:c r="K86" s="484"/>
      <x:c r="L86" s="483"/>
      <x:c r="M86" s="477"/>
      <x:c r="N86" s="112" t="str">
        <x:f>IF(COUNTA($A86:$M86)=0,"",IF(OR(LOWER($F86&amp;"")="subscription",LOWER($F86&amp;"")="membership"),"",IF($G86="","",IF(ISNUMBER(SEARCH("non",LOWER($E86&amp;""))),$G86*0.85,$G86))))</x:f>
      </x:c>
      <x:c r="O86" s="112" t="str">
        <x:f>IF(COUNTA($A86:$M86)=0,"",IF(OR(LOWER($F86&amp;"")="subscription",LOWER($F86&amp;"")="membership"),"",IF(OR($N86="",$I86="",$I86=0),"",IFERROR($N86/$I86,""))))</x:f>
      </x:c>
      <x:c r="P86" s="112" t="str">
        <x:f>IF(COUNTA($A86:$M86)=0,"",IF(OR(LOWER($F86&amp;"")="subscription",LOWER($F86&amp;"")="membership"),"",IF(LOWER($L86&amp;"")="yes",0,IF($K86&lt;&gt;"",$K86,IF($O86&lt;&gt;"",$O86,"")))))</x:f>
      </x:c>
      <x:c r="Q86" s="112" t="str">
        <x:f>IF(COUNTA($A86:$M86)=0,"",IF(OR($U86="Subscription",$U86=""),"",IF($U86="Profit",ROUND($P86-$H86,2),0)))</x:f>
      </x:c>
      <x:c r="R86" s="112" t="str">
        <x:f>IF(COUNTA($A86:$M86)=0,"",IF(OR($U86="Subscription",$U86=""),"",IF($U86="Draw",$H86,0)))</x:f>
      </x:c>
      <x:c r="S86" s="112" t="str">
        <x:f>IF(COUNTA($A86:$M86)=0,"",IF(OR($U86="Subscription",$U86=""),"",IF($U86="Disqualified",$H86,0)))</x:f>
      </x:c>
      <x:c r="T86" s="116" t="str">
        <x:f>IF(COUNTA($A86:$M86)=0,"",IF(OR($U86="Subscription",$U86=""),"",IF($H86=0,0,IF($U86="Profit",$Q86/$H86,IF($U86="Disqualified",-$S86/$H86,0)))))</x:f>
      </x:c>
      <x:c r="U86" s="290" t="str">
        <x:f>IF(COUNTA($A86:$M86)=0,"",IF(OR(LOWER($F86&amp;"")="subscription",LOWER($F86&amp;"")="membership"),"Subscription",IF(LOWER($L86&amp;"")="yes","Disqualified",IF(OR(LOWER($F86&amp;"")="free game",LOWER($F86&amp;"")="free"),IF(AND(ISNUMBER($P86),ISNUMBER($H86),$P86&gt;$H86),"Profit","Free Game"),IF($P86="","",IF(ROUND(IFERROR(VALUE($P86),0)-IFERROR(VALUE($H86),0),2)&gt;0,"Profit","Draw"))))))</x:f>
      </x:c>
      <x:c r="V86" s="144" t="str">
        <x:f>IF(COUNTA($A86:$M86)=0,"",IF(OR($B86="",$C86="",$U86="Subscription"),"",IFERROR(ROUNDUP(($C86-$B86)/7,0),"")))</x:f>
      </x:c>
      <x:c r="W86" s="112" t="str">
        <x:f>IF(COUNTA($A86:$M86)=0,"",IF(OR($U86="Subscription",$U86=""),"",ROUND(IFERROR($Q86,0)-IFERROR($S86,0),2)))</x:f>
      </x:c>
      <x:c r="X86" s="144" t="str">
        <x:f>IF(COUNTA($A86:$M86)=0,"",IF(OR($U86="Subscription",$U86="Free Game",NOT(ISNUMBER($J86)),NOT(ISNUMBER($I86)),$J86=0,$I86=0,$I86&gt;$J86),"",$J86-$I86))</x:f>
      </x:c>
      <x:c r="Y86" s="116" t="str">
        <x:f>IF(COUNTA($A86:$M86)=0,"",IF(OR($U86="Subscription",$U86="Free Game",NOT(ISNUMBER($J86)),$J86=0,$X86=""),"",$X86/$J86))</x:f>
      </x:c>
      <x:c r="Z86" s="118" t="str">
        <x:f>IF(COUNTA($A86:$M86)=0,"",Instructions!$B$29+SUM($W$5:W86))</x:f>
      </x:c>
    </x:row>
    <x:row r="87" ht="30" customHeight="1">
      <x:c r="A87" s="477"/>
      <x:c r="B87" s="482"/>
      <x:c r="C87" s="482"/>
      <x:c r="D87" s="483"/>
      <x:c r="E87" s="483"/>
      <x:c r="F87" s="483"/>
      <x:c r="G87" s="484"/>
      <x:c r="H87" s="484"/>
      <x:c r="I87" s="485"/>
      <x:c r="J87" s="485"/>
      <x:c r="K87" s="484"/>
      <x:c r="L87" s="483"/>
      <x:c r="M87" s="477"/>
      <x:c r="N87" s="112" t="str">
        <x:f>IF(COUNTA($A87:$M87)=0,"",IF(OR(LOWER($F87&amp;"")="subscription",LOWER($F87&amp;"")="membership"),"",IF($G87="","",IF(ISNUMBER(SEARCH("non",LOWER($E87&amp;""))),$G87*0.85,$G87))))</x:f>
      </x:c>
      <x:c r="O87" s="112" t="str">
        <x:f>IF(COUNTA($A87:$M87)=0,"",IF(OR(LOWER($F87&amp;"")="subscription",LOWER($F87&amp;"")="membership"),"",IF(OR($N87="",$I87="",$I87=0),"",IFERROR($N87/$I87,""))))</x:f>
      </x:c>
      <x:c r="P87" s="112" t="str">
        <x:f>IF(COUNTA($A87:$M87)=0,"",IF(OR(LOWER($F87&amp;"")="subscription",LOWER($F87&amp;"")="membership"),"",IF(LOWER($L87&amp;"")="yes",0,IF($K87&lt;&gt;"",$K87,IF($O87&lt;&gt;"",$O87,"")))))</x:f>
      </x:c>
      <x:c r="Q87" s="112" t="str">
        <x:f>IF(COUNTA($A87:$M87)=0,"",IF(OR($U87="Subscription",$U87=""),"",IF($U87="Profit",ROUND($P87-$H87,2),0)))</x:f>
      </x:c>
      <x:c r="R87" s="112" t="str">
        <x:f>IF(COUNTA($A87:$M87)=0,"",IF(OR($U87="Subscription",$U87=""),"",IF($U87="Draw",$H87,0)))</x:f>
      </x:c>
      <x:c r="S87" s="112" t="str">
        <x:f>IF(COUNTA($A87:$M87)=0,"",IF(OR($U87="Subscription",$U87=""),"",IF($U87="Disqualified",$H87,0)))</x:f>
      </x:c>
      <x:c r="T87" s="116" t="str">
        <x:f>IF(COUNTA($A87:$M87)=0,"",IF(OR($U87="Subscription",$U87=""),"",IF($H87=0,0,IF($U87="Profit",$Q87/$H87,IF($U87="Disqualified",-$S87/$H87,0)))))</x:f>
      </x:c>
      <x:c r="U87" s="290" t="str">
        <x:f>IF(COUNTA($A87:$M87)=0,"",IF(OR(LOWER($F87&amp;"")="subscription",LOWER($F87&amp;"")="membership"),"Subscription",IF(LOWER($L87&amp;"")="yes","Disqualified",IF(OR(LOWER($F87&amp;"")="free game",LOWER($F87&amp;"")="free"),IF(AND(ISNUMBER($P87),ISNUMBER($H87),$P87&gt;$H87),"Profit","Free Game"),IF($P87="","",IF(ROUND(IFERROR(VALUE($P87),0)-IFERROR(VALUE($H87),0),2)&gt;0,"Profit","Draw"))))))</x:f>
      </x:c>
      <x:c r="V87" s="144" t="str">
        <x:f>IF(COUNTA($A87:$M87)=0,"",IF(OR($B87="",$C87="",$U87="Subscription"),"",IFERROR(ROUNDUP(($C87-$B87)/7,0),"")))</x:f>
      </x:c>
      <x:c r="W87" s="112" t="str">
        <x:f>IF(COUNTA($A87:$M87)=0,"",IF(OR($U87="Subscription",$U87=""),"",ROUND(IFERROR($Q87,0)-IFERROR($S87,0),2)))</x:f>
      </x:c>
      <x:c r="X87" s="144" t="str">
        <x:f>IF(COUNTA($A87:$M87)=0,"",IF(OR($U87="Subscription",$U87="Free Game",NOT(ISNUMBER($J87)),NOT(ISNUMBER($I87)),$J87=0,$I87=0,$I87&gt;$J87),"",$J87-$I87))</x:f>
      </x:c>
      <x:c r="Y87" s="116" t="str">
        <x:f>IF(COUNTA($A87:$M87)=0,"",IF(OR($U87="Subscription",$U87="Free Game",NOT(ISNUMBER($J87)),$J87=0,$X87=""),"",$X87/$J87))</x:f>
      </x:c>
      <x:c r="Z87" s="118" t="str">
        <x:f>IF(COUNTA($A87:$M87)=0,"",Instructions!$B$29+SUM($W$5:W87))</x:f>
      </x:c>
    </x:row>
    <x:row r="88" ht="30" customHeight="1">
      <x:c r="A88" s="477"/>
      <x:c r="B88" s="482"/>
      <x:c r="C88" s="482"/>
      <x:c r="D88" s="483"/>
      <x:c r="E88" s="483"/>
      <x:c r="F88" s="483"/>
      <x:c r="G88" s="484"/>
      <x:c r="H88" s="484"/>
      <x:c r="I88" s="485"/>
      <x:c r="J88" s="485"/>
      <x:c r="K88" s="484"/>
      <x:c r="L88" s="483"/>
      <x:c r="M88" s="477"/>
      <x:c r="N88" s="112" t="str">
        <x:f>IF(COUNTA($A88:$M88)=0,"",IF(OR(LOWER($F88&amp;"")="subscription",LOWER($F88&amp;"")="membership"),"",IF($G88="","",IF(ISNUMBER(SEARCH("non",LOWER($E88&amp;""))),$G88*0.85,$G88))))</x:f>
      </x:c>
      <x:c r="O88" s="112" t="str">
        <x:f>IF(COUNTA($A88:$M88)=0,"",IF(OR(LOWER($F88&amp;"")="subscription",LOWER($F88&amp;"")="membership"),"",IF(OR($N88="",$I88="",$I88=0),"",IFERROR($N88/$I88,""))))</x:f>
      </x:c>
      <x:c r="P88" s="112" t="str">
        <x:f>IF(COUNTA($A88:$M88)=0,"",IF(OR(LOWER($F88&amp;"")="subscription",LOWER($F88&amp;"")="membership"),"",IF(LOWER($L88&amp;"")="yes",0,IF($K88&lt;&gt;"",$K88,IF($O88&lt;&gt;"",$O88,"")))))</x:f>
      </x:c>
      <x:c r="Q88" s="112" t="str">
        <x:f>IF(COUNTA($A88:$M88)=0,"",IF(OR($U88="Subscription",$U88=""),"",IF($U88="Profit",ROUND($P88-$H88,2),0)))</x:f>
      </x:c>
      <x:c r="R88" s="112" t="str">
        <x:f>IF(COUNTA($A88:$M88)=0,"",IF(OR($U88="Subscription",$U88=""),"",IF($U88="Draw",$H88,0)))</x:f>
      </x:c>
      <x:c r="S88" s="112" t="str">
        <x:f>IF(COUNTA($A88:$M88)=0,"",IF(OR($U88="Subscription",$U88=""),"",IF($U88="Disqualified",$H88,0)))</x:f>
      </x:c>
      <x:c r="T88" s="116" t="str">
        <x:f>IF(COUNTA($A88:$M88)=0,"",IF(OR($U88="Subscription",$U88=""),"",IF($H88=0,0,IF($U88="Profit",$Q88/$H88,IF($U88="Disqualified",-$S88/$H88,0)))))</x:f>
      </x:c>
      <x:c r="U88" s="290" t="str">
        <x:f>IF(COUNTA($A88:$M88)=0,"",IF(OR(LOWER($F88&amp;"")="subscription",LOWER($F88&amp;"")="membership"),"Subscription",IF(LOWER($L88&amp;"")="yes","Disqualified",IF(OR(LOWER($F88&amp;"")="free game",LOWER($F88&amp;"")="free"),IF(AND(ISNUMBER($P88),ISNUMBER($H88),$P88&gt;$H88),"Profit","Free Game"),IF($P88="","",IF(ROUND(IFERROR(VALUE($P88),0)-IFERROR(VALUE($H88),0),2)&gt;0,"Profit","Draw"))))))</x:f>
      </x:c>
      <x:c r="V88" s="144" t="str">
        <x:f>IF(COUNTA($A88:$M88)=0,"",IF(OR($B88="",$C88="",$U88="Subscription"),"",IFERROR(ROUNDUP(($C88-$B88)/7,0),"")))</x:f>
      </x:c>
      <x:c r="W88" s="112" t="str">
        <x:f>IF(COUNTA($A88:$M88)=0,"",IF(OR($U88="Subscription",$U88=""),"",ROUND(IFERROR($Q88,0)-IFERROR($S88,0),2)))</x:f>
      </x:c>
      <x:c r="X88" s="144" t="str">
        <x:f>IF(COUNTA($A88:$M88)=0,"",IF(OR($U88="Subscription",$U88="Free Game",NOT(ISNUMBER($J88)),NOT(ISNUMBER($I88)),$J88=0,$I88=0,$I88&gt;$J88),"",$J88-$I88))</x:f>
      </x:c>
      <x:c r="Y88" s="116" t="str">
        <x:f>IF(COUNTA($A88:$M88)=0,"",IF(OR($U88="Subscription",$U88="Free Game",NOT(ISNUMBER($J88)),$J88=0,$X88=""),"",$X88/$J88))</x:f>
      </x:c>
      <x:c r="Z88" s="118" t="str">
        <x:f>IF(COUNTA($A88:$M88)=0,"",Instructions!$B$29+SUM($W$5:W88))</x:f>
      </x:c>
    </x:row>
    <x:row r="89" ht="30" customHeight="1">
      <x:c r="A89" s="477"/>
      <x:c r="B89" s="482"/>
      <x:c r="C89" s="482"/>
      <x:c r="D89" s="483"/>
      <x:c r="E89" s="483"/>
      <x:c r="F89" s="483"/>
      <x:c r="G89" s="484"/>
      <x:c r="H89" s="484"/>
      <x:c r="I89" s="485"/>
      <x:c r="J89" s="485"/>
      <x:c r="K89" s="484"/>
      <x:c r="L89" s="483"/>
      <x:c r="M89" s="477"/>
      <x:c r="N89" s="112" t="str">
        <x:f>IF(COUNTA($A89:$M89)=0,"",IF(OR(LOWER($F89&amp;"")="subscription",LOWER($F89&amp;"")="membership"),"",IF($G89="","",IF(ISNUMBER(SEARCH("non",LOWER($E89&amp;""))),$G89*0.85,$G89))))</x:f>
      </x:c>
      <x:c r="O89" s="112" t="str">
        <x:f>IF(COUNTA($A89:$M89)=0,"",IF(OR(LOWER($F89&amp;"")="subscription",LOWER($F89&amp;"")="membership"),"",IF(OR($N89="",$I89="",$I89=0),"",IFERROR($N89/$I89,""))))</x:f>
      </x:c>
      <x:c r="P89" s="112" t="str">
        <x:f>IF(COUNTA($A89:$M89)=0,"",IF(OR(LOWER($F89&amp;"")="subscription",LOWER($F89&amp;"")="membership"),"",IF(LOWER($L89&amp;"")="yes",0,IF($K89&lt;&gt;"",$K89,IF($O89&lt;&gt;"",$O89,"")))))</x:f>
      </x:c>
      <x:c r="Q89" s="112" t="str">
        <x:f>IF(COUNTA($A89:$M89)=0,"",IF(OR($U89="Subscription",$U89=""),"",IF($U89="Profit",ROUND($P89-$H89,2),0)))</x:f>
      </x:c>
      <x:c r="R89" s="112" t="str">
        <x:f>IF(COUNTA($A89:$M89)=0,"",IF(OR($U89="Subscription",$U89=""),"",IF($U89="Draw",$H89,0)))</x:f>
      </x:c>
      <x:c r="S89" s="112" t="str">
        <x:f>IF(COUNTA($A89:$M89)=0,"",IF(OR($U89="Subscription",$U89=""),"",IF($U89="Disqualified",$H89,0)))</x:f>
      </x:c>
      <x:c r="T89" s="116" t="str">
        <x:f>IF(COUNTA($A89:$M89)=0,"",IF(OR($U89="Subscription",$U89=""),"",IF($H89=0,0,IF($U89="Profit",$Q89/$H89,IF($U89="Disqualified",-$S89/$H89,0)))))</x:f>
      </x:c>
      <x:c r="U89" s="290" t="str">
        <x:f>IF(COUNTA($A89:$M89)=0,"",IF(OR(LOWER($F89&amp;"")="subscription",LOWER($F89&amp;"")="membership"),"Subscription",IF(LOWER($L89&amp;"")="yes","Disqualified",IF(OR(LOWER($F89&amp;"")="free game",LOWER($F89&amp;"")="free"),IF(AND(ISNUMBER($P89),ISNUMBER($H89),$P89&gt;$H89),"Profit","Free Game"),IF($P89="","",IF(ROUND(IFERROR(VALUE($P89),0)-IFERROR(VALUE($H89),0),2)&gt;0,"Profit","Draw"))))))</x:f>
      </x:c>
      <x:c r="V89" s="144" t="str">
        <x:f>IF(COUNTA($A89:$M89)=0,"",IF(OR($B89="",$C89="",$U89="Subscription"),"",IFERROR(ROUNDUP(($C89-$B89)/7,0),"")))</x:f>
      </x:c>
      <x:c r="W89" s="112" t="str">
        <x:f>IF(COUNTA($A89:$M89)=0,"",IF(OR($U89="Subscription",$U89=""),"",ROUND(IFERROR($Q89,0)-IFERROR($S89,0),2)))</x:f>
      </x:c>
      <x:c r="X89" s="144" t="str">
        <x:f>IF(COUNTA($A89:$M89)=0,"",IF(OR($U89="Subscription",$U89="Free Game",NOT(ISNUMBER($J89)),NOT(ISNUMBER($I89)),$J89=0,$I89=0,$I89&gt;$J89),"",$J89-$I89))</x:f>
      </x:c>
      <x:c r="Y89" s="116" t="str">
        <x:f>IF(COUNTA($A89:$M89)=0,"",IF(OR($U89="Subscription",$U89="Free Game",NOT(ISNUMBER($J89)),$J89=0,$X89=""),"",$X89/$J89))</x:f>
      </x:c>
      <x:c r="Z89" s="118" t="str">
        <x:f>IF(COUNTA($A89:$M89)=0,"",Instructions!$B$29+SUM($W$5:W89))</x:f>
      </x:c>
    </x:row>
    <x:row r="90" ht="30" customHeight="1">
      <x:c r="A90" s="477"/>
      <x:c r="B90" s="482"/>
      <x:c r="C90" s="482"/>
      <x:c r="D90" s="483"/>
      <x:c r="E90" s="483"/>
      <x:c r="F90" s="483"/>
      <x:c r="G90" s="484"/>
      <x:c r="H90" s="484"/>
      <x:c r="I90" s="485"/>
      <x:c r="J90" s="485"/>
      <x:c r="K90" s="484"/>
      <x:c r="L90" s="483"/>
      <x:c r="M90" s="477"/>
      <x:c r="N90" s="112" t="str">
        <x:f>IF(COUNTA($A90:$M90)=0,"",IF(OR(LOWER($F90&amp;"")="subscription",LOWER($F90&amp;"")="membership"),"",IF($G90="","",IF(ISNUMBER(SEARCH("non",LOWER($E90&amp;""))),$G90*0.85,$G90))))</x:f>
      </x:c>
      <x:c r="O90" s="112" t="str">
        <x:f>IF(COUNTA($A90:$M90)=0,"",IF(OR(LOWER($F90&amp;"")="subscription",LOWER($F90&amp;"")="membership"),"",IF(OR($N90="",$I90="",$I90=0),"",IFERROR($N90/$I90,""))))</x:f>
      </x:c>
      <x:c r="P90" s="112" t="str">
        <x:f>IF(COUNTA($A90:$M90)=0,"",IF(OR(LOWER($F90&amp;"")="subscription",LOWER($F90&amp;"")="membership"),"",IF(LOWER($L90&amp;"")="yes",0,IF($K90&lt;&gt;"",$K90,IF($O90&lt;&gt;"",$O90,"")))))</x:f>
      </x:c>
      <x:c r="Q90" s="112" t="str">
        <x:f>IF(COUNTA($A90:$M90)=0,"",IF(OR($U90="Subscription",$U90=""),"",IF($U90="Profit",ROUND($P90-$H90,2),0)))</x:f>
      </x:c>
      <x:c r="R90" s="112" t="str">
        <x:f>IF(COUNTA($A90:$M90)=0,"",IF(OR($U90="Subscription",$U90=""),"",IF($U90="Draw",$H90,0)))</x:f>
      </x:c>
      <x:c r="S90" s="112" t="str">
        <x:f>IF(COUNTA($A90:$M90)=0,"",IF(OR($U90="Subscription",$U90=""),"",IF($U90="Disqualified",$H90,0)))</x:f>
      </x:c>
      <x:c r="T90" s="116" t="str">
        <x:f>IF(COUNTA($A90:$M90)=0,"",IF(OR($U90="Subscription",$U90=""),"",IF($H90=0,0,IF($U90="Profit",$Q90/$H90,IF($U90="Disqualified",-$S90/$H90,0)))))</x:f>
      </x:c>
      <x:c r="U90" s="290" t="str">
        <x:f>IF(COUNTA($A90:$M90)=0,"",IF(OR(LOWER($F90&amp;"")="subscription",LOWER($F90&amp;"")="membership"),"Subscription",IF(LOWER($L90&amp;"")="yes","Disqualified",IF(OR(LOWER($F90&amp;"")="free game",LOWER($F90&amp;"")="free"),IF(AND(ISNUMBER($P90),ISNUMBER($H90),$P90&gt;$H90),"Profit","Free Game"),IF($P90="","",IF(ROUND(IFERROR(VALUE($P90),0)-IFERROR(VALUE($H90),0),2)&gt;0,"Profit","Draw"))))))</x:f>
      </x:c>
      <x:c r="V90" s="144" t="str">
        <x:f>IF(COUNTA($A90:$M90)=0,"",IF(OR($B90="",$C90="",$U90="Subscription"),"",IFERROR(ROUNDUP(($C90-$B90)/7,0),"")))</x:f>
      </x:c>
      <x:c r="W90" s="112" t="str">
        <x:f>IF(COUNTA($A90:$M90)=0,"",IF(OR($U90="Subscription",$U90=""),"",ROUND(IFERROR($Q90,0)-IFERROR($S90,0),2)))</x:f>
      </x:c>
      <x:c r="X90" s="144" t="str">
        <x:f>IF(COUNTA($A90:$M90)=0,"",IF(OR($U90="Subscription",$U90="Free Game",NOT(ISNUMBER($J90)),NOT(ISNUMBER($I90)),$J90=0,$I90=0,$I90&gt;$J90),"",$J90-$I90))</x:f>
      </x:c>
      <x:c r="Y90" s="116" t="str">
        <x:f>IF(COUNTA($A90:$M90)=0,"",IF(OR($U90="Subscription",$U90="Free Game",NOT(ISNUMBER($J90)),$J90=0,$X90=""),"",$X90/$J90))</x:f>
      </x:c>
      <x:c r="Z90" s="118" t="str">
        <x:f>IF(COUNTA($A90:$M90)=0,"",Instructions!$B$29+SUM($W$5:W90))</x:f>
      </x:c>
    </x:row>
    <x:row r="91" ht="30" customHeight="1">
      <x:c r="A91" s="477"/>
      <x:c r="B91" s="482"/>
      <x:c r="C91" s="482"/>
      <x:c r="D91" s="483"/>
      <x:c r="E91" s="483"/>
      <x:c r="F91" s="483"/>
      <x:c r="G91" s="484"/>
      <x:c r="H91" s="484"/>
      <x:c r="I91" s="485"/>
      <x:c r="J91" s="485"/>
      <x:c r="K91" s="484"/>
      <x:c r="L91" s="483"/>
      <x:c r="M91" s="477"/>
      <x:c r="N91" s="112" t="str">
        <x:f>IF(COUNTA($A91:$M91)=0,"",IF(OR(LOWER($F91&amp;"")="subscription",LOWER($F91&amp;"")="membership"),"",IF($G91="","",IF(ISNUMBER(SEARCH("non",LOWER($E91&amp;""))),$G91*0.85,$G91))))</x:f>
      </x:c>
      <x:c r="O91" s="112" t="str">
        <x:f>IF(COUNTA($A91:$M91)=0,"",IF(OR(LOWER($F91&amp;"")="subscription",LOWER($F91&amp;"")="membership"),"",IF(OR($N91="",$I91="",$I91=0),"",IFERROR($N91/$I91,""))))</x:f>
      </x:c>
      <x:c r="P91" s="112" t="str">
        <x:f>IF(COUNTA($A91:$M91)=0,"",IF(OR(LOWER($F91&amp;"")="subscription",LOWER($F91&amp;"")="membership"),"",IF(LOWER($L91&amp;"")="yes",0,IF($K91&lt;&gt;"",$K91,IF($O91&lt;&gt;"",$O91,"")))))</x:f>
      </x:c>
      <x:c r="Q91" s="112" t="str">
        <x:f>IF(COUNTA($A91:$M91)=0,"",IF(OR($U91="Subscription",$U91=""),"",IF($U91="Profit",ROUND($P91-$H91,2),0)))</x:f>
      </x:c>
      <x:c r="R91" s="112" t="str">
        <x:f>IF(COUNTA($A91:$M91)=0,"",IF(OR($U91="Subscription",$U91=""),"",IF($U91="Draw",$H91,0)))</x:f>
      </x:c>
      <x:c r="S91" s="112" t="str">
        <x:f>IF(COUNTA($A91:$M91)=0,"",IF(OR($U91="Subscription",$U91=""),"",IF($U91="Disqualified",$H91,0)))</x:f>
      </x:c>
      <x:c r="T91" s="116" t="str">
        <x:f>IF(COUNTA($A91:$M91)=0,"",IF(OR($U91="Subscription",$U91=""),"",IF($H91=0,0,IF($U91="Profit",$Q91/$H91,IF($U91="Disqualified",-$S91/$H91,0)))))</x:f>
      </x:c>
      <x:c r="U91" s="290" t="str">
        <x:f>IF(COUNTA($A91:$M91)=0,"",IF(OR(LOWER($F91&amp;"")="subscription",LOWER($F91&amp;"")="membership"),"Subscription",IF(LOWER($L91&amp;"")="yes","Disqualified",IF(OR(LOWER($F91&amp;"")="free game",LOWER($F91&amp;"")="free"),IF(AND(ISNUMBER($P91),ISNUMBER($H91),$P91&gt;$H91),"Profit","Free Game"),IF($P91="","",IF(ROUND(IFERROR(VALUE($P91),0)-IFERROR(VALUE($H91),0),2)&gt;0,"Profit","Draw"))))))</x:f>
      </x:c>
      <x:c r="V91" s="144" t="str">
        <x:f>IF(COUNTA($A91:$M91)=0,"",IF(OR($B91="",$C91="",$U91="Subscription"),"",IFERROR(ROUNDUP(($C91-$B91)/7,0),"")))</x:f>
      </x:c>
      <x:c r="W91" s="112" t="str">
        <x:f>IF(COUNTA($A91:$M91)=0,"",IF(OR($U91="Subscription",$U91=""),"",ROUND(IFERROR($Q91,0)-IFERROR($S91,0),2)))</x:f>
      </x:c>
      <x:c r="X91" s="144" t="str">
        <x:f>IF(COUNTA($A91:$M91)=0,"",IF(OR($U91="Subscription",$U91="Free Game",NOT(ISNUMBER($J91)),NOT(ISNUMBER($I91)),$J91=0,$I91=0,$I91&gt;$J91),"",$J91-$I91))</x:f>
      </x:c>
      <x:c r="Y91" s="116" t="str">
        <x:f>IF(COUNTA($A91:$M91)=0,"",IF(OR($U91="Subscription",$U91="Free Game",NOT(ISNUMBER($J91)),$J91=0,$X91=""),"",$X91/$J91))</x:f>
      </x:c>
      <x:c r="Z91" s="118" t="str">
        <x:f>IF(COUNTA($A91:$M91)=0,"",Instructions!$B$29+SUM($W$5:W91))</x:f>
      </x:c>
    </x:row>
    <x:row r="92" ht="30" customHeight="1">
      <x:c r="A92" s="477"/>
      <x:c r="B92" s="482"/>
      <x:c r="C92" s="482"/>
      <x:c r="D92" s="483"/>
      <x:c r="E92" s="483"/>
      <x:c r="F92" s="483"/>
      <x:c r="G92" s="484"/>
      <x:c r="H92" s="484"/>
      <x:c r="I92" s="485"/>
      <x:c r="J92" s="485"/>
      <x:c r="K92" s="484"/>
      <x:c r="L92" s="483"/>
      <x:c r="M92" s="477"/>
      <x:c r="N92" s="112" t="str">
        <x:f>IF(COUNTA($A92:$M92)=0,"",IF(OR(LOWER($F92&amp;"")="subscription",LOWER($F92&amp;"")="membership"),"",IF($G92="","",IF(ISNUMBER(SEARCH("non",LOWER($E92&amp;""))),$G92*0.85,$G92))))</x:f>
      </x:c>
      <x:c r="O92" s="112" t="str">
        <x:f>IF(COUNTA($A92:$M92)=0,"",IF(OR(LOWER($F92&amp;"")="subscription",LOWER($F92&amp;"")="membership"),"",IF(OR($N92="",$I92="",$I92=0),"",IFERROR($N92/$I92,""))))</x:f>
      </x:c>
      <x:c r="P92" s="112" t="str">
        <x:f>IF(COUNTA($A92:$M92)=0,"",IF(OR(LOWER($F92&amp;"")="subscription",LOWER($F92&amp;"")="membership"),"",IF(LOWER($L92&amp;"")="yes",0,IF($K92&lt;&gt;"",$K92,IF($O92&lt;&gt;"",$O92,"")))))</x:f>
      </x:c>
      <x:c r="Q92" s="112" t="str">
        <x:f>IF(COUNTA($A92:$M92)=0,"",IF(OR($U92="Subscription",$U92=""),"",IF($U92="Profit",ROUND($P92-$H92,2),0)))</x:f>
      </x:c>
      <x:c r="R92" s="112" t="str">
        <x:f>IF(COUNTA($A92:$M92)=0,"",IF(OR($U92="Subscription",$U92=""),"",IF($U92="Draw",$H92,0)))</x:f>
      </x:c>
      <x:c r="S92" s="112" t="str">
        <x:f>IF(COUNTA($A92:$M92)=0,"",IF(OR($U92="Subscription",$U92=""),"",IF($U92="Disqualified",$H92,0)))</x:f>
      </x:c>
      <x:c r="T92" s="116" t="str">
        <x:f>IF(COUNTA($A92:$M92)=0,"",IF(OR($U92="Subscription",$U92=""),"",IF($H92=0,0,IF($U92="Profit",$Q92/$H92,IF($U92="Disqualified",-$S92/$H92,0)))))</x:f>
      </x:c>
      <x:c r="U92" s="290" t="str">
        <x:f>IF(COUNTA($A92:$M92)=0,"",IF(OR(LOWER($F92&amp;"")="subscription",LOWER($F92&amp;"")="membership"),"Subscription",IF(LOWER($L92&amp;"")="yes","Disqualified",IF(OR(LOWER($F92&amp;"")="free game",LOWER($F92&amp;"")="free"),IF(AND(ISNUMBER($P92),ISNUMBER($H92),$P92&gt;$H92),"Profit","Free Game"),IF($P92="","",IF(ROUND(IFERROR(VALUE($P92),0)-IFERROR(VALUE($H92),0),2)&gt;0,"Profit","Draw"))))))</x:f>
      </x:c>
      <x:c r="V92" s="144" t="str">
        <x:f>IF(COUNTA($A92:$M92)=0,"",IF(OR($B92="",$C92="",$U92="Subscription"),"",IFERROR(ROUNDUP(($C92-$B92)/7,0),"")))</x:f>
      </x:c>
      <x:c r="W92" s="112" t="str">
        <x:f>IF(COUNTA($A92:$M92)=0,"",IF(OR($U92="Subscription",$U92=""),"",ROUND(IFERROR($Q92,0)-IFERROR($S92,0),2)))</x:f>
      </x:c>
      <x:c r="X92" s="144" t="str">
        <x:f>IF(COUNTA($A92:$M92)=0,"",IF(OR($U92="Subscription",$U92="Free Game",NOT(ISNUMBER($J92)),NOT(ISNUMBER($I92)),$J92=0,$I92=0,$I92&gt;$J92),"",$J92-$I92))</x:f>
      </x:c>
      <x:c r="Y92" s="116" t="str">
        <x:f>IF(COUNTA($A92:$M92)=0,"",IF(OR($U92="Subscription",$U92="Free Game",NOT(ISNUMBER($J92)),$J92=0,$X92=""),"",$X92/$J92))</x:f>
      </x:c>
      <x:c r="Z92" s="118" t="str">
        <x:f>IF(COUNTA($A92:$M92)=0,"",Instructions!$B$29+SUM($W$5:W92))</x:f>
      </x:c>
    </x:row>
    <x:row r="93" ht="30" customHeight="1">
      <x:c r="A93" s="477"/>
      <x:c r="B93" s="482"/>
      <x:c r="C93" s="482"/>
      <x:c r="D93" s="483"/>
      <x:c r="E93" s="483"/>
      <x:c r="F93" s="483"/>
      <x:c r="G93" s="484"/>
      <x:c r="H93" s="484"/>
      <x:c r="I93" s="485"/>
      <x:c r="J93" s="485"/>
      <x:c r="K93" s="484"/>
      <x:c r="L93" s="483"/>
      <x:c r="M93" s="477"/>
      <x:c r="N93" s="112" t="str">
        <x:f>IF(COUNTA($A93:$M93)=0,"",IF(OR(LOWER($F93&amp;"")="subscription",LOWER($F93&amp;"")="membership"),"",IF($G93="","",IF(ISNUMBER(SEARCH("non",LOWER($E93&amp;""))),$G93*0.85,$G93))))</x:f>
      </x:c>
      <x:c r="O93" s="112" t="str">
        <x:f>IF(COUNTA($A93:$M93)=0,"",IF(OR(LOWER($F93&amp;"")="subscription",LOWER($F93&amp;"")="membership"),"",IF(OR($N93="",$I93="",$I93=0),"",IFERROR($N93/$I93,""))))</x:f>
      </x:c>
      <x:c r="P93" s="112" t="str">
        <x:f>IF(COUNTA($A93:$M93)=0,"",IF(OR(LOWER($F93&amp;"")="subscription",LOWER($F93&amp;"")="membership"),"",IF(LOWER($L93&amp;"")="yes",0,IF($K93&lt;&gt;"",$K93,IF($O93&lt;&gt;"",$O93,"")))))</x:f>
      </x:c>
      <x:c r="Q93" s="112" t="str">
        <x:f>IF(COUNTA($A93:$M93)=0,"",IF(OR($U93="Subscription",$U93=""),"",IF($U93="Profit",ROUND($P93-$H93,2),0)))</x:f>
      </x:c>
      <x:c r="R93" s="112" t="str">
        <x:f>IF(COUNTA($A93:$M93)=0,"",IF(OR($U93="Subscription",$U93=""),"",IF($U93="Draw",$H93,0)))</x:f>
      </x:c>
      <x:c r="S93" s="112" t="str">
        <x:f>IF(COUNTA($A93:$M93)=0,"",IF(OR($U93="Subscription",$U93=""),"",IF($U93="Disqualified",$H93,0)))</x:f>
      </x:c>
      <x:c r="T93" s="116" t="str">
        <x:f>IF(COUNTA($A93:$M93)=0,"",IF(OR($U93="Subscription",$U93=""),"",IF($H93=0,0,IF($U93="Profit",$Q93/$H93,IF($U93="Disqualified",-$S93/$H93,0)))))</x:f>
      </x:c>
      <x:c r="U93" s="290" t="str">
        <x:f>IF(COUNTA($A93:$M93)=0,"",IF(OR(LOWER($F93&amp;"")="subscription",LOWER($F93&amp;"")="membership"),"Subscription",IF(LOWER($L93&amp;"")="yes","Disqualified",IF(OR(LOWER($F93&amp;"")="free game",LOWER($F93&amp;"")="free"),IF(AND(ISNUMBER($P93),ISNUMBER($H93),$P93&gt;$H93),"Profit","Free Game"),IF($P93="","",IF(ROUND(IFERROR(VALUE($P93),0)-IFERROR(VALUE($H93),0),2)&gt;0,"Profit","Draw"))))))</x:f>
      </x:c>
      <x:c r="V93" s="144" t="str">
        <x:f>IF(COUNTA($A93:$M93)=0,"",IF(OR($B93="",$C93="",$U93="Subscription"),"",IFERROR(ROUNDUP(($C93-$B93)/7,0),"")))</x:f>
      </x:c>
      <x:c r="W93" s="112" t="str">
        <x:f>IF(COUNTA($A93:$M93)=0,"",IF(OR($U93="Subscription",$U93=""),"",ROUND(IFERROR($Q93,0)-IFERROR($S93,0),2)))</x:f>
      </x:c>
      <x:c r="X93" s="144" t="str">
        <x:f>IF(COUNTA($A93:$M93)=0,"",IF(OR($U93="Subscription",$U93="Free Game",NOT(ISNUMBER($J93)),NOT(ISNUMBER($I93)),$J93=0,$I93=0,$I93&gt;$J93),"",$J93-$I93))</x:f>
      </x:c>
      <x:c r="Y93" s="116" t="str">
        <x:f>IF(COUNTA($A93:$M93)=0,"",IF(OR($U93="Subscription",$U93="Free Game",NOT(ISNUMBER($J93)),$J93=0,$X93=""),"",$X93/$J93))</x:f>
      </x:c>
      <x:c r="Z93" s="118" t="str">
        <x:f>IF(COUNTA($A93:$M93)=0,"",Instructions!$B$29+SUM($W$5:W93))</x:f>
      </x:c>
    </x:row>
    <x:row r="94" ht="30" customHeight="1">
      <x:c r="A94" s="477"/>
      <x:c r="B94" s="482"/>
      <x:c r="C94" s="482"/>
      <x:c r="D94" s="483"/>
      <x:c r="E94" s="483"/>
      <x:c r="F94" s="483"/>
      <x:c r="G94" s="484"/>
      <x:c r="H94" s="484"/>
      <x:c r="I94" s="485"/>
      <x:c r="J94" s="485"/>
      <x:c r="K94" s="484"/>
      <x:c r="L94" s="483"/>
      <x:c r="M94" s="477"/>
      <x:c r="N94" s="112" t="str">
        <x:f>IF(COUNTA($A94:$M94)=0,"",IF(OR(LOWER($F94&amp;"")="subscription",LOWER($F94&amp;"")="membership"),"",IF($G94="","",IF(ISNUMBER(SEARCH("non",LOWER($E94&amp;""))),$G94*0.85,$G94))))</x:f>
      </x:c>
      <x:c r="O94" s="112" t="str">
        <x:f>IF(COUNTA($A94:$M94)=0,"",IF(OR(LOWER($F94&amp;"")="subscription",LOWER($F94&amp;"")="membership"),"",IF(OR($N94="",$I94="",$I94=0),"",IFERROR($N94/$I94,""))))</x:f>
      </x:c>
      <x:c r="P94" s="112" t="str">
        <x:f>IF(COUNTA($A94:$M94)=0,"",IF(OR(LOWER($F94&amp;"")="subscription",LOWER($F94&amp;"")="membership"),"",IF(LOWER($L94&amp;"")="yes",0,IF($K94&lt;&gt;"",$K94,IF($O94&lt;&gt;"",$O94,"")))))</x:f>
      </x:c>
      <x:c r="Q94" s="112" t="str">
        <x:f>IF(COUNTA($A94:$M94)=0,"",IF(OR($U94="Subscription",$U94=""),"",IF($U94="Profit",ROUND($P94-$H94,2),0)))</x:f>
      </x:c>
      <x:c r="R94" s="112" t="str">
        <x:f>IF(COUNTA($A94:$M94)=0,"",IF(OR($U94="Subscription",$U94=""),"",IF($U94="Draw",$H94,0)))</x:f>
      </x:c>
      <x:c r="S94" s="112" t="str">
        <x:f>IF(COUNTA($A94:$M94)=0,"",IF(OR($U94="Subscription",$U94=""),"",IF($U94="Disqualified",$H94,0)))</x:f>
      </x:c>
      <x:c r="T94" s="116" t="str">
        <x:f>IF(COUNTA($A94:$M94)=0,"",IF(OR($U94="Subscription",$U94=""),"",IF($H94=0,0,IF($U94="Profit",$Q94/$H94,IF($U94="Disqualified",-$S94/$H94,0)))))</x:f>
      </x:c>
      <x:c r="U94" s="290" t="str">
        <x:f>IF(COUNTA($A94:$M94)=0,"",IF(OR(LOWER($F94&amp;"")="subscription",LOWER($F94&amp;"")="membership"),"Subscription",IF(LOWER($L94&amp;"")="yes","Disqualified",IF(OR(LOWER($F94&amp;"")="free game",LOWER($F94&amp;"")="free"),IF(AND(ISNUMBER($P94),ISNUMBER($H94),$P94&gt;$H94),"Profit","Free Game"),IF($P94="","",IF(ROUND(IFERROR(VALUE($P94),0)-IFERROR(VALUE($H94),0),2)&gt;0,"Profit","Draw"))))))</x:f>
      </x:c>
      <x:c r="V94" s="144" t="str">
        <x:f>IF(COUNTA($A94:$M94)=0,"",IF(OR($B94="",$C94="",$U94="Subscription"),"",IFERROR(ROUNDUP(($C94-$B94)/7,0),"")))</x:f>
      </x:c>
      <x:c r="W94" s="112" t="str">
        <x:f>IF(COUNTA($A94:$M94)=0,"",IF(OR($U94="Subscription",$U94=""),"",ROUND(IFERROR($Q94,0)-IFERROR($S94,0),2)))</x:f>
      </x:c>
      <x:c r="X94" s="144" t="str">
        <x:f>IF(COUNTA($A94:$M94)=0,"",IF(OR($U94="Subscription",$U94="Free Game",NOT(ISNUMBER($J94)),NOT(ISNUMBER($I94)),$J94=0,$I94=0,$I94&gt;$J94),"",$J94-$I94))</x:f>
      </x:c>
      <x:c r="Y94" s="116" t="str">
        <x:f>IF(COUNTA($A94:$M94)=0,"",IF(OR($U94="Subscription",$U94="Free Game",NOT(ISNUMBER($J94)),$J94=0,$X94=""),"",$X94/$J94))</x:f>
      </x:c>
      <x:c r="Z94" s="118" t="str">
        <x:f>IF(COUNTA($A94:$M94)=0,"",Instructions!$B$29+SUM($W$5:W94))</x:f>
      </x:c>
    </x:row>
    <x:row r="95" ht="30" customHeight="1">
      <x:c r="A95" s="477"/>
      <x:c r="B95" s="482"/>
      <x:c r="C95" s="482"/>
      <x:c r="D95" s="483"/>
      <x:c r="E95" s="483"/>
      <x:c r="F95" s="483"/>
      <x:c r="G95" s="484"/>
      <x:c r="H95" s="484"/>
      <x:c r="I95" s="485"/>
      <x:c r="J95" s="485"/>
      <x:c r="K95" s="484"/>
      <x:c r="L95" s="483"/>
      <x:c r="M95" s="477"/>
      <x:c r="N95" s="112" t="str">
        <x:f>IF(COUNTA($A95:$M95)=0,"",IF(OR(LOWER($F95&amp;"")="subscription",LOWER($F95&amp;"")="membership"),"",IF($G95="","",IF(ISNUMBER(SEARCH("non",LOWER($E95&amp;""))),$G95*0.85,$G95))))</x:f>
      </x:c>
      <x:c r="O95" s="112" t="str">
        <x:f>IF(COUNTA($A95:$M95)=0,"",IF(OR(LOWER($F95&amp;"")="subscription",LOWER($F95&amp;"")="membership"),"",IF(OR($N95="",$I95="",$I95=0),"",IFERROR($N95/$I95,""))))</x:f>
      </x:c>
      <x:c r="P95" s="112" t="str">
        <x:f>IF(COUNTA($A95:$M95)=0,"",IF(OR(LOWER($F95&amp;"")="subscription",LOWER($F95&amp;"")="membership"),"",IF(LOWER($L95&amp;"")="yes",0,IF($K95&lt;&gt;"",$K95,IF($O95&lt;&gt;"",$O95,"")))))</x:f>
      </x:c>
      <x:c r="Q95" s="112" t="str">
        <x:f>IF(COUNTA($A95:$M95)=0,"",IF(OR($U95="Subscription",$U95=""),"",IF($U95="Profit",ROUND($P95-$H95,2),0)))</x:f>
      </x:c>
      <x:c r="R95" s="112" t="str">
        <x:f>IF(COUNTA($A95:$M95)=0,"",IF(OR($U95="Subscription",$U95=""),"",IF($U95="Draw",$H95,0)))</x:f>
      </x:c>
      <x:c r="S95" s="112" t="str">
        <x:f>IF(COUNTA($A95:$M95)=0,"",IF(OR($U95="Subscription",$U95=""),"",IF($U95="Disqualified",$H95,0)))</x:f>
      </x:c>
      <x:c r="T95" s="116" t="str">
        <x:f>IF(COUNTA($A95:$M95)=0,"",IF(OR($U95="Subscription",$U95=""),"",IF($H95=0,0,IF($U95="Profit",$Q95/$H95,IF($U95="Disqualified",-$S95/$H95,0)))))</x:f>
      </x:c>
      <x:c r="U95" s="290" t="str">
        <x:f>IF(COUNTA($A95:$M95)=0,"",IF(OR(LOWER($F95&amp;"")="subscription",LOWER($F95&amp;"")="membership"),"Subscription",IF(LOWER($L95&amp;"")="yes","Disqualified",IF(OR(LOWER($F95&amp;"")="free game",LOWER($F95&amp;"")="free"),IF(AND(ISNUMBER($P95),ISNUMBER($H95),$P95&gt;$H95),"Profit","Free Game"),IF($P95="","",IF(ROUND(IFERROR(VALUE($P95),0)-IFERROR(VALUE($H95),0),2)&gt;0,"Profit","Draw"))))))</x:f>
      </x:c>
      <x:c r="V95" s="144" t="str">
        <x:f>IF(COUNTA($A95:$M95)=0,"",IF(OR($B95="",$C95="",$U95="Subscription"),"",IFERROR(ROUNDUP(($C95-$B95)/7,0),"")))</x:f>
      </x:c>
      <x:c r="W95" s="112" t="str">
        <x:f>IF(COUNTA($A95:$M95)=0,"",IF(OR($U95="Subscription",$U95=""),"",ROUND(IFERROR($Q95,0)-IFERROR($S95,0),2)))</x:f>
      </x:c>
      <x:c r="X95" s="144" t="str">
        <x:f>IF(COUNTA($A95:$M95)=0,"",IF(OR($U95="Subscription",$U95="Free Game",NOT(ISNUMBER($J95)),NOT(ISNUMBER($I95)),$J95=0,$I95=0,$I95&gt;$J95),"",$J95-$I95))</x:f>
      </x:c>
      <x:c r="Y95" s="116" t="str">
        <x:f>IF(COUNTA($A95:$M95)=0,"",IF(OR($U95="Subscription",$U95="Free Game",NOT(ISNUMBER($J95)),$J95=0,$X95=""),"",$X95/$J95))</x:f>
      </x:c>
      <x:c r="Z95" s="118" t="str">
        <x:f>IF(COUNTA($A95:$M95)=0,"",Instructions!$B$29+SUM($W$5:W95))</x:f>
      </x:c>
    </x:row>
    <x:row r="96" ht="30" customHeight="1">
      <x:c r="A96" s="477"/>
      <x:c r="B96" s="482"/>
      <x:c r="C96" s="482"/>
      <x:c r="D96" s="483"/>
      <x:c r="E96" s="483"/>
      <x:c r="F96" s="483"/>
      <x:c r="G96" s="484"/>
      <x:c r="H96" s="484"/>
      <x:c r="I96" s="485"/>
      <x:c r="J96" s="485"/>
      <x:c r="K96" s="484"/>
      <x:c r="L96" s="483"/>
      <x:c r="M96" s="477"/>
      <x:c r="N96" s="112" t="str">
        <x:f>IF(COUNTA($A96:$M96)=0,"",IF(OR(LOWER($F96&amp;"")="subscription",LOWER($F96&amp;"")="membership"),"",IF($G96="","",IF(ISNUMBER(SEARCH("non",LOWER($E96&amp;""))),$G96*0.85,$G96))))</x:f>
      </x:c>
      <x:c r="O96" s="112" t="str">
        <x:f>IF(COUNTA($A96:$M96)=0,"",IF(OR(LOWER($F96&amp;"")="subscription",LOWER($F96&amp;"")="membership"),"",IF(OR($N96="",$I96="",$I96=0),"",IFERROR($N96/$I96,""))))</x:f>
      </x:c>
      <x:c r="P96" s="112" t="str">
        <x:f>IF(COUNTA($A96:$M96)=0,"",IF(OR(LOWER($F96&amp;"")="subscription",LOWER($F96&amp;"")="membership"),"",IF(LOWER($L96&amp;"")="yes",0,IF($K96&lt;&gt;"",$K96,IF($O96&lt;&gt;"",$O96,"")))))</x:f>
      </x:c>
      <x:c r="Q96" s="112" t="str">
        <x:f>IF(COUNTA($A96:$M96)=0,"",IF(OR($U96="Subscription",$U96=""),"",IF($U96="Profit",ROUND($P96-$H96,2),0)))</x:f>
      </x:c>
      <x:c r="R96" s="112" t="str">
        <x:f>IF(COUNTA($A96:$M96)=0,"",IF(OR($U96="Subscription",$U96=""),"",IF($U96="Draw",$H96,0)))</x:f>
      </x:c>
      <x:c r="S96" s="112" t="str">
        <x:f>IF(COUNTA($A96:$M96)=0,"",IF(OR($U96="Subscription",$U96=""),"",IF($U96="Disqualified",$H96,0)))</x:f>
      </x:c>
      <x:c r="T96" s="116" t="str">
        <x:f>IF(COUNTA($A96:$M96)=0,"",IF(OR($U96="Subscription",$U96=""),"",IF($H96=0,0,IF($U96="Profit",$Q96/$H96,IF($U96="Disqualified",-$S96/$H96,0)))))</x:f>
      </x:c>
      <x:c r="U96" s="290" t="str">
        <x:f>IF(COUNTA($A96:$M96)=0,"",IF(OR(LOWER($F96&amp;"")="subscription",LOWER($F96&amp;"")="membership"),"Subscription",IF(LOWER($L96&amp;"")="yes","Disqualified",IF(OR(LOWER($F96&amp;"")="free game",LOWER($F96&amp;"")="free"),IF(AND(ISNUMBER($P96),ISNUMBER($H96),$P96&gt;$H96),"Profit","Free Game"),IF($P96="","",IF(ROUND(IFERROR(VALUE($P96),0)-IFERROR(VALUE($H96),0),2)&gt;0,"Profit","Draw"))))))</x:f>
      </x:c>
      <x:c r="V96" s="144" t="str">
        <x:f>IF(COUNTA($A96:$M96)=0,"",IF(OR($B96="",$C96="",$U96="Subscription"),"",IFERROR(ROUNDUP(($C96-$B96)/7,0),"")))</x:f>
      </x:c>
      <x:c r="W96" s="112" t="str">
        <x:f>IF(COUNTA($A96:$M96)=0,"",IF(OR($U96="Subscription",$U96=""),"",ROUND(IFERROR($Q96,0)-IFERROR($S96,0),2)))</x:f>
      </x:c>
      <x:c r="X96" s="144" t="str">
        <x:f>IF(COUNTA($A96:$M96)=0,"",IF(OR($U96="Subscription",$U96="Free Game",NOT(ISNUMBER($J96)),NOT(ISNUMBER($I96)),$J96=0,$I96=0,$I96&gt;$J96),"",$J96-$I96))</x:f>
      </x:c>
      <x:c r="Y96" s="116" t="str">
        <x:f>IF(COUNTA($A96:$M96)=0,"",IF(OR($U96="Subscription",$U96="Free Game",NOT(ISNUMBER($J96)),$J96=0,$X96=""),"",$X96/$J96))</x:f>
      </x:c>
      <x:c r="Z96" s="118" t="str">
        <x:f>IF(COUNTA($A96:$M96)=0,"",Instructions!$B$29+SUM($W$5:W96))</x:f>
      </x:c>
    </x:row>
    <x:row r="97" ht="30" customHeight="1">
      <x:c r="A97" s="477"/>
      <x:c r="B97" s="482"/>
      <x:c r="C97" s="482"/>
      <x:c r="D97" s="483"/>
      <x:c r="E97" s="483"/>
      <x:c r="F97" s="483"/>
      <x:c r="G97" s="484"/>
      <x:c r="H97" s="484"/>
      <x:c r="I97" s="485"/>
      <x:c r="J97" s="485"/>
      <x:c r="K97" s="484"/>
      <x:c r="L97" s="483"/>
      <x:c r="M97" s="477"/>
      <x:c r="N97" s="112" t="str">
        <x:f>IF(COUNTA($A97:$M97)=0,"",IF(OR(LOWER($F97&amp;"")="subscription",LOWER($F97&amp;"")="membership"),"",IF($G97="","",IF(ISNUMBER(SEARCH("non",LOWER($E97&amp;""))),$G97*0.85,$G97))))</x:f>
      </x:c>
      <x:c r="O97" s="112" t="str">
        <x:f>IF(COUNTA($A97:$M97)=0,"",IF(OR(LOWER($F97&amp;"")="subscription",LOWER($F97&amp;"")="membership"),"",IF(OR($N97="",$I97="",$I97=0),"",IFERROR($N97/$I97,""))))</x:f>
      </x:c>
      <x:c r="P97" s="112" t="str">
        <x:f>IF(COUNTA($A97:$M97)=0,"",IF(OR(LOWER($F97&amp;"")="subscription",LOWER($F97&amp;"")="membership"),"",IF(LOWER($L97&amp;"")="yes",0,IF($K97&lt;&gt;"",$K97,IF($O97&lt;&gt;"",$O97,"")))))</x:f>
      </x:c>
      <x:c r="Q97" s="112" t="str">
        <x:f>IF(COUNTA($A97:$M97)=0,"",IF(OR($U97="Subscription",$U97=""),"",IF($U97="Profit",ROUND($P97-$H97,2),0)))</x:f>
      </x:c>
      <x:c r="R97" s="112" t="str">
        <x:f>IF(COUNTA($A97:$M97)=0,"",IF(OR($U97="Subscription",$U97=""),"",IF($U97="Draw",$H97,0)))</x:f>
      </x:c>
      <x:c r="S97" s="112" t="str">
        <x:f>IF(COUNTA($A97:$M97)=0,"",IF(OR($U97="Subscription",$U97=""),"",IF($U97="Disqualified",$H97,0)))</x:f>
      </x:c>
      <x:c r="T97" s="116" t="str">
        <x:f>IF(COUNTA($A97:$M97)=0,"",IF(OR($U97="Subscription",$U97=""),"",IF($H97=0,0,IF($U97="Profit",$Q97/$H97,IF($U97="Disqualified",-$S97/$H97,0)))))</x:f>
      </x:c>
      <x:c r="U97" s="290" t="str">
        <x:f>IF(COUNTA($A97:$M97)=0,"",IF(OR(LOWER($F97&amp;"")="subscription",LOWER($F97&amp;"")="membership"),"Subscription",IF(LOWER($L97&amp;"")="yes","Disqualified",IF(OR(LOWER($F97&amp;"")="free game",LOWER($F97&amp;"")="free"),IF(AND(ISNUMBER($P97),ISNUMBER($H97),$P97&gt;$H97),"Profit","Free Game"),IF($P97="","",IF(ROUND(IFERROR(VALUE($P97),0)-IFERROR(VALUE($H97),0),2)&gt;0,"Profit","Draw"))))))</x:f>
      </x:c>
      <x:c r="V97" s="144" t="str">
        <x:f>IF(COUNTA($A97:$M97)=0,"",IF(OR($B97="",$C97="",$U97="Subscription"),"",IFERROR(ROUNDUP(($C97-$B97)/7,0),"")))</x:f>
      </x:c>
      <x:c r="W97" s="112" t="str">
        <x:f>IF(COUNTA($A97:$M97)=0,"",IF(OR($U97="Subscription",$U97=""),"",ROUND(IFERROR($Q97,0)-IFERROR($S97,0),2)))</x:f>
      </x:c>
      <x:c r="X97" s="144" t="str">
        <x:f>IF(COUNTA($A97:$M97)=0,"",IF(OR($U97="Subscription",$U97="Free Game",NOT(ISNUMBER($J97)),NOT(ISNUMBER($I97)),$J97=0,$I97=0,$I97&gt;$J97),"",$J97-$I97))</x:f>
      </x:c>
      <x:c r="Y97" s="116" t="str">
        <x:f>IF(COUNTA($A97:$M97)=0,"",IF(OR($U97="Subscription",$U97="Free Game",NOT(ISNUMBER($J97)),$J97=0,$X97=""),"",$X97/$J97))</x:f>
      </x:c>
      <x:c r="Z97" s="118" t="str">
        <x:f>IF(COUNTA($A97:$M97)=0,"",Instructions!$B$29+SUM($W$5:W97))</x:f>
      </x:c>
    </x:row>
    <x:row r="98" ht="30" customHeight="1">
      <x:c r="A98" s="477"/>
      <x:c r="B98" s="482"/>
      <x:c r="C98" s="482"/>
      <x:c r="D98" s="483"/>
      <x:c r="E98" s="483"/>
      <x:c r="F98" s="483"/>
      <x:c r="G98" s="484"/>
      <x:c r="H98" s="484"/>
      <x:c r="I98" s="485"/>
      <x:c r="J98" s="485"/>
      <x:c r="K98" s="484"/>
      <x:c r="L98" s="483"/>
      <x:c r="M98" s="477"/>
      <x:c r="N98" s="112" t="str">
        <x:f>IF(COUNTA($A98:$M98)=0,"",IF(OR(LOWER($F98&amp;"")="subscription",LOWER($F98&amp;"")="membership"),"",IF($G98="","",IF(ISNUMBER(SEARCH("non",LOWER($E98&amp;""))),$G98*0.85,$G98))))</x:f>
      </x:c>
      <x:c r="O98" s="112" t="str">
        <x:f>IF(COUNTA($A98:$M98)=0,"",IF(OR(LOWER($F98&amp;"")="subscription",LOWER($F98&amp;"")="membership"),"",IF(OR($N98="",$I98="",$I98=0),"",IFERROR($N98/$I98,""))))</x:f>
      </x:c>
      <x:c r="P98" s="112" t="str">
        <x:f>IF(COUNTA($A98:$M98)=0,"",IF(OR(LOWER($F98&amp;"")="subscription",LOWER($F98&amp;"")="membership"),"",IF(LOWER($L98&amp;"")="yes",0,IF($K98&lt;&gt;"",$K98,IF($O98&lt;&gt;"",$O98,"")))))</x:f>
      </x:c>
      <x:c r="Q98" s="112" t="str">
        <x:f>IF(COUNTA($A98:$M98)=0,"",IF(OR($U98="Subscription",$U98=""),"",IF($U98="Profit",ROUND($P98-$H98,2),0)))</x:f>
      </x:c>
      <x:c r="R98" s="112" t="str">
        <x:f>IF(COUNTA($A98:$M98)=0,"",IF(OR($U98="Subscription",$U98=""),"",IF($U98="Draw",$H98,0)))</x:f>
      </x:c>
      <x:c r="S98" s="112" t="str">
        <x:f>IF(COUNTA($A98:$M98)=0,"",IF(OR($U98="Subscription",$U98=""),"",IF($U98="Disqualified",$H98,0)))</x:f>
      </x:c>
      <x:c r="T98" s="116" t="str">
        <x:f>IF(COUNTA($A98:$M98)=0,"",IF(OR($U98="Subscription",$U98=""),"",IF($H98=0,0,IF($U98="Profit",$Q98/$H98,IF($U98="Disqualified",-$S98/$H98,0)))))</x:f>
      </x:c>
      <x:c r="U98" s="290" t="str">
        <x:f>IF(COUNTA($A98:$M98)=0,"",IF(OR(LOWER($F98&amp;"")="subscription",LOWER($F98&amp;"")="membership"),"Subscription",IF(LOWER($L98&amp;"")="yes","Disqualified",IF(OR(LOWER($F98&amp;"")="free game",LOWER($F98&amp;"")="free"),IF(AND(ISNUMBER($P98),ISNUMBER($H98),$P98&gt;$H98),"Profit","Free Game"),IF($P98="","",IF(ROUND(IFERROR(VALUE($P98),0)-IFERROR(VALUE($H98),0),2)&gt;0,"Profit","Draw"))))))</x:f>
      </x:c>
      <x:c r="V98" s="144" t="str">
        <x:f>IF(COUNTA($A98:$M98)=0,"",IF(OR($B98="",$C98="",$U98="Subscription"),"",IFERROR(ROUNDUP(($C98-$B98)/7,0),"")))</x:f>
      </x:c>
      <x:c r="W98" s="112" t="str">
        <x:f>IF(COUNTA($A98:$M98)=0,"",IF(OR($U98="Subscription",$U98=""),"",ROUND(IFERROR($Q98,0)-IFERROR($S98,0),2)))</x:f>
      </x:c>
      <x:c r="X98" s="144" t="str">
        <x:f>IF(COUNTA($A98:$M98)=0,"",IF(OR($U98="Subscription",$U98="Free Game",NOT(ISNUMBER($J98)),NOT(ISNUMBER($I98)),$J98=0,$I98=0,$I98&gt;$J98),"",$J98-$I98))</x:f>
      </x:c>
      <x:c r="Y98" s="116" t="str">
        <x:f>IF(COUNTA($A98:$M98)=0,"",IF(OR($U98="Subscription",$U98="Free Game",NOT(ISNUMBER($J98)),$J98=0,$X98=""),"",$X98/$J98))</x:f>
      </x:c>
      <x:c r="Z98" s="118" t="str">
        <x:f>IF(COUNTA($A98:$M98)=0,"",Instructions!$B$29+SUM($W$5:W98))</x:f>
      </x:c>
    </x:row>
    <x:row r="99" ht="30" customHeight="1">
      <x:c r="A99" s="477"/>
      <x:c r="B99" s="482"/>
      <x:c r="C99" s="482"/>
      <x:c r="D99" s="483"/>
      <x:c r="E99" s="483"/>
      <x:c r="F99" s="483"/>
      <x:c r="G99" s="484"/>
      <x:c r="H99" s="484"/>
      <x:c r="I99" s="485"/>
      <x:c r="J99" s="485"/>
      <x:c r="K99" s="484"/>
      <x:c r="L99" s="483"/>
      <x:c r="M99" s="477"/>
      <x:c r="N99" s="112" t="str">
        <x:f>IF(COUNTA($A99:$M99)=0,"",IF(OR(LOWER($F99&amp;"")="subscription",LOWER($F99&amp;"")="membership"),"",IF($G99="","",IF(ISNUMBER(SEARCH("non",LOWER($E99&amp;""))),$G99*0.85,$G99))))</x:f>
      </x:c>
      <x:c r="O99" s="112" t="str">
        <x:f>IF(COUNTA($A99:$M99)=0,"",IF(OR(LOWER($F99&amp;"")="subscription",LOWER($F99&amp;"")="membership"),"",IF(OR($N99="",$I99="",$I99=0),"",IFERROR($N99/$I99,""))))</x:f>
      </x:c>
      <x:c r="P99" s="112" t="str">
        <x:f>IF(COUNTA($A99:$M99)=0,"",IF(OR(LOWER($F99&amp;"")="subscription",LOWER($F99&amp;"")="membership"),"",IF(LOWER($L99&amp;"")="yes",0,IF($K99&lt;&gt;"",$K99,IF($O99&lt;&gt;"",$O99,"")))))</x:f>
      </x:c>
      <x:c r="Q99" s="112" t="str">
        <x:f>IF(COUNTA($A99:$M99)=0,"",IF(OR($U99="Subscription",$U99=""),"",IF($U99="Profit",ROUND($P99-$H99,2),0)))</x:f>
      </x:c>
      <x:c r="R99" s="112" t="str">
        <x:f>IF(COUNTA($A99:$M99)=0,"",IF(OR($U99="Subscription",$U99=""),"",IF($U99="Draw",$H99,0)))</x:f>
      </x:c>
      <x:c r="S99" s="112" t="str">
        <x:f>IF(COUNTA($A99:$M99)=0,"",IF(OR($U99="Subscription",$U99=""),"",IF($U99="Disqualified",$H99,0)))</x:f>
      </x:c>
      <x:c r="T99" s="116" t="str">
        <x:f>IF(COUNTA($A99:$M99)=0,"",IF(OR($U99="Subscription",$U99=""),"",IF($H99=0,0,IF($U99="Profit",$Q99/$H99,IF($U99="Disqualified",-$S99/$H99,0)))))</x:f>
      </x:c>
      <x:c r="U99" s="290" t="str">
        <x:f>IF(COUNTA($A99:$M99)=0,"",IF(OR(LOWER($F99&amp;"")="subscription",LOWER($F99&amp;"")="membership"),"Subscription",IF(LOWER($L99&amp;"")="yes","Disqualified",IF(OR(LOWER($F99&amp;"")="free game",LOWER($F99&amp;"")="free"),IF(AND(ISNUMBER($P99),ISNUMBER($H99),$P99&gt;$H99),"Profit","Free Game"),IF($P99="","",IF(ROUND(IFERROR(VALUE($P99),0)-IFERROR(VALUE($H99),0),2)&gt;0,"Profit","Draw"))))))</x:f>
      </x:c>
      <x:c r="V99" s="144" t="str">
        <x:f>IF(COUNTA($A99:$M99)=0,"",IF(OR($B99="",$C99="",$U99="Subscription"),"",IFERROR(ROUNDUP(($C99-$B99)/7,0),"")))</x:f>
      </x:c>
      <x:c r="W99" s="112" t="str">
        <x:f>IF(COUNTA($A99:$M99)=0,"",IF(OR($U99="Subscription",$U99=""),"",ROUND(IFERROR($Q99,0)-IFERROR($S99,0),2)))</x:f>
      </x:c>
      <x:c r="X99" s="144" t="str">
        <x:f>IF(COUNTA($A99:$M99)=0,"",IF(OR($U99="Subscription",$U99="Free Game",NOT(ISNUMBER($J99)),NOT(ISNUMBER($I99)),$J99=0,$I99=0,$I99&gt;$J99),"",$J99-$I99))</x:f>
      </x:c>
      <x:c r="Y99" s="116" t="str">
        <x:f>IF(COUNTA($A99:$M99)=0,"",IF(OR($U99="Subscription",$U99="Free Game",NOT(ISNUMBER($J99)),$J99=0,$X99=""),"",$X99/$J99))</x:f>
      </x:c>
      <x:c r="Z99" s="118" t="str">
        <x:f>IF(COUNTA($A99:$M99)=0,"",Instructions!$B$29+SUM($W$5:W99))</x:f>
      </x:c>
    </x:row>
    <x:row r="100" ht="30" customHeight="1">
      <x:c r="A100" s="477"/>
      <x:c r="B100" s="482"/>
      <x:c r="C100" s="482"/>
      <x:c r="D100" s="483"/>
      <x:c r="E100" s="483"/>
      <x:c r="F100" s="483"/>
      <x:c r="G100" s="484"/>
      <x:c r="H100" s="484"/>
      <x:c r="I100" s="485"/>
      <x:c r="J100" s="485"/>
      <x:c r="K100" s="484"/>
      <x:c r="L100" s="483"/>
      <x:c r="M100" s="477"/>
      <x:c r="N100" s="112" t="str">
        <x:f>IF(COUNTA($A100:$M100)=0,"",IF(OR(LOWER($F100&amp;"")="subscription",LOWER($F100&amp;"")="membership"),"",IF($G100="","",IF(ISNUMBER(SEARCH("non",LOWER($E100&amp;""))),$G100*0.85,$G100))))</x:f>
      </x:c>
      <x:c r="O100" s="112" t="str">
        <x:f>IF(COUNTA($A100:$M100)=0,"",IF(OR(LOWER($F100&amp;"")="subscription",LOWER($F100&amp;"")="membership"),"",IF(OR($N100="",$I100="",$I100=0),"",IFERROR($N100/$I100,""))))</x:f>
      </x:c>
      <x:c r="P100" s="112" t="str">
        <x:f>IF(COUNTA($A100:$M100)=0,"",IF(OR(LOWER($F100&amp;"")="subscription",LOWER($F100&amp;"")="membership"),"",IF(LOWER($L100&amp;"")="yes",0,IF($K100&lt;&gt;"",$K100,IF($O100&lt;&gt;"",$O100,"")))))</x:f>
      </x:c>
      <x:c r="Q100" s="112" t="str">
        <x:f>IF(COUNTA($A100:$M100)=0,"",IF(OR($U100="Subscription",$U100=""),"",IF($U100="Profit",ROUND($P100-$H100,2),0)))</x:f>
      </x:c>
      <x:c r="R100" s="112" t="str">
        <x:f>IF(COUNTA($A100:$M100)=0,"",IF(OR($U100="Subscription",$U100=""),"",IF($U100="Draw",$H100,0)))</x:f>
      </x:c>
      <x:c r="S100" s="112" t="str">
        <x:f>IF(COUNTA($A100:$M100)=0,"",IF(OR($U100="Subscription",$U100=""),"",IF($U100="Disqualified",$H100,0)))</x:f>
      </x:c>
      <x:c r="T100" s="116" t="str">
        <x:f>IF(COUNTA($A100:$M100)=0,"",IF(OR($U100="Subscription",$U100=""),"",IF($H100=0,0,IF($U100="Profit",$Q100/$H100,IF($U100="Disqualified",-$S100/$H100,0)))))</x:f>
      </x:c>
      <x:c r="U100" s="290" t="str">
        <x:f>IF(COUNTA($A100:$M100)=0,"",IF(OR(LOWER($F100&amp;"")="subscription",LOWER($F100&amp;"")="membership"),"Subscription",IF(LOWER($L100&amp;"")="yes","Disqualified",IF(OR(LOWER($F100&amp;"")="free game",LOWER($F100&amp;"")="free"),IF(AND(ISNUMBER($P100),ISNUMBER($H100),$P100&gt;$H100),"Profit","Free Game"),IF($P100="","",IF(ROUND(IFERROR(VALUE($P100),0)-IFERROR(VALUE($H100),0),2)&gt;0,"Profit","Draw"))))))</x:f>
      </x:c>
      <x:c r="V100" s="144" t="str">
        <x:f>IF(COUNTA($A100:$M100)=0,"",IF(OR($B100="",$C100="",$U100="Subscription"),"",IFERROR(ROUNDUP(($C100-$B100)/7,0),"")))</x:f>
      </x:c>
      <x:c r="W100" s="112" t="str">
        <x:f>IF(COUNTA($A100:$M100)=0,"",IF(OR($U100="Subscription",$U100=""),"",ROUND(IFERROR($Q100,0)-IFERROR($S100,0),2)))</x:f>
      </x:c>
      <x:c r="X100" s="144" t="str">
        <x:f>IF(COUNTA($A100:$M100)=0,"",IF(OR($U100="Subscription",$U100="Free Game",NOT(ISNUMBER($J100)),NOT(ISNUMBER($I100)),$J100=0,$I100=0,$I100&gt;$J100),"",$J100-$I100))</x:f>
      </x:c>
      <x:c r="Y100" s="116" t="str">
        <x:f>IF(COUNTA($A100:$M100)=0,"",IF(OR($U100="Subscription",$U100="Free Game",NOT(ISNUMBER($J100)),$J100=0,$X100=""),"",$X100/$J100))</x:f>
      </x:c>
      <x:c r="Z100" s="118" t="str">
        <x:f>IF(COUNTA($A100:$M100)=0,"",Instructions!$B$29+SUM($W$5:W100))</x:f>
      </x:c>
    </x:row>
    <x:row r="101" ht="30" customHeight="1">
      <x:c r="A101" s="477"/>
      <x:c r="B101" s="482"/>
      <x:c r="C101" s="482"/>
      <x:c r="D101" s="483"/>
      <x:c r="E101" s="483"/>
      <x:c r="F101" s="483"/>
      <x:c r="G101" s="484"/>
      <x:c r="H101" s="484"/>
      <x:c r="I101" s="485"/>
      <x:c r="J101" s="485"/>
      <x:c r="K101" s="484"/>
      <x:c r="L101" s="483"/>
      <x:c r="M101" s="477"/>
      <x:c r="N101" s="112" t="str">
        <x:f>IF(COUNTA($A101:$M101)=0,"",IF(OR(LOWER($F101&amp;"")="subscription",LOWER($F101&amp;"")="membership"),"",IF($G101="","",IF(ISNUMBER(SEARCH("non",LOWER($E101&amp;""))),$G101*0.85,$G101))))</x:f>
      </x:c>
      <x:c r="O101" s="112" t="str">
        <x:f>IF(COUNTA($A101:$M101)=0,"",IF(OR(LOWER($F101&amp;"")="subscription",LOWER($F101&amp;"")="membership"),"",IF(OR($N101="",$I101="",$I101=0),"",IFERROR($N101/$I101,""))))</x:f>
      </x:c>
      <x:c r="P101" s="112" t="str">
        <x:f>IF(COUNTA($A101:$M101)=0,"",IF(OR(LOWER($F101&amp;"")="subscription",LOWER($F101&amp;"")="membership"),"",IF(LOWER($L101&amp;"")="yes",0,IF($K101&lt;&gt;"",$K101,IF($O101&lt;&gt;"",$O101,"")))))</x:f>
      </x:c>
      <x:c r="Q101" s="112" t="str">
        <x:f>IF(COUNTA($A101:$M101)=0,"",IF(OR($U101="Subscription",$U101=""),"",IF($U101="Profit",ROUND($P101-$H101,2),0)))</x:f>
      </x:c>
      <x:c r="R101" s="112" t="str">
        <x:f>IF(COUNTA($A101:$M101)=0,"",IF(OR($U101="Subscription",$U101=""),"",IF($U101="Draw",$H101,0)))</x:f>
      </x:c>
      <x:c r="S101" s="112" t="str">
        <x:f>IF(COUNTA($A101:$M101)=0,"",IF(OR($U101="Subscription",$U101=""),"",IF($U101="Disqualified",$H101,0)))</x:f>
      </x:c>
      <x:c r="T101" s="116" t="str">
        <x:f>IF(COUNTA($A101:$M101)=0,"",IF(OR($U101="Subscription",$U101=""),"",IF($H101=0,0,IF($U101="Profit",$Q101/$H101,IF($U101="Disqualified",-$S101/$H101,0)))))</x:f>
      </x:c>
      <x:c r="U101" s="290" t="str">
        <x:f>IF(COUNTA($A101:$M101)=0,"",IF(OR(LOWER($F101&amp;"")="subscription",LOWER($F101&amp;"")="membership"),"Subscription",IF(LOWER($L101&amp;"")="yes","Disqualified",IF(OR(LOWER($F101&amp;"")="free game",LOWER($F101&amp;"")="free"),IF(AND(ISNUMBER($P101),ISNUMBER($H101),$P101&gt;$H101),"Profit","Free Game"),IF($P101="","",IF(ROUND(IFERROR(VALUE($P101),0)-IFERROR(VALUE($H101),0),2)&gt;0,"Profit","Draw"))))))</x:f>
      </x:c>
      <x:c r="V101" s="144" t="str">
        <x:f>IF(COUNTA($A101:$M101)=0,"",IF(OR($B101="",$C101="",$U101="Subscription"),"",IFERROR(ROUNDUP(($C101-$B101)/7,0),"")))</x:f>
      </x:c>
      <x:c r="W101" s="112" t="str">
        <x:f>IF(COUNTA($A101:$M101)=0,"",IF(OR($U101="Subscription",$U101=""),"",ROUND(IFERROR($Q101,0)-IFERROR($S101,0),2)))</x:f>
      </x:c>
      <x:c r="X101" s="144" t="str">
        <x:f>IF(COUNTA($A101:$M101)=0,"",IF(OR($U101="Subscription",$U101="Free Game",NOT(ISNUMBER($J101)),NOT(ISNUMBER($I101)),$J101=0,$I101=0,$I101&gt;$J101),"",$J101-$I101))</x:f>
      </x:c>
      <x:c r="Y101" s="116" t="str">
        <x:f>IF(COUNTA($A101:$M101)=0,"",IF(OR($U101="Subscription",$U101="Free Game",NOT(ISNUMBER($J101)),$J101=0,$X101=""),"",$X101/$J101))</x:f>
      </x:c>
      <x:c r="Z101" s="118" t="str">
        <x:f>IF(COUNTA($A101:$M101)=0,"",Instructions!$B$29+SUM($W$5:W101))</x:f>
      </x:c>
    </x:row>
    <x:row r="102" ht="30" customHeight="1">
      <x:c r="A102" s="477"/>
      <x:c r="B102" s="482"/>
      <x:c r="C102" s="482"/>
      <x:c r="D102" s="483"/>
      <x:c r="E102" s="483"/>
      <x:c r="F102" s="483"/>
      <x:c r="G102" s="484"/>
      <x:c r="H102" s="484"/>
      <x:c r="I102" s="485"/>
      <x:c r="J102" s="485"/>
      <x:c r="K102" s="484"/>
      <x:c r="L102" s="483"/>
      <x:c r="M102" s="477"/>
      <x:c r="N102" s="112" t="str">
        <x:f>IF(COUNTA($A102:$M102)=0,"",IF(OR(LOWER($F102&amp;"")="subscription",LOWER($F102&amp;"")="membership"),"",IF($G102="","",IF(ISNUMBER(SEARCH("non",LOWER($E102&amp;""))),$G102*0.85,$G102))))</x:f>
      </x:c>
      <x:c r="O102" s="112" t="str">
        <x:f>IF(COUNTA($A102:$M102)=0,"",IF(OR(LOWER($F102&amp;"")="subscription",LOWER($F102&amp;"")="membership"),"",IF(OR($N102="",$I102="",$I102=0),"",IFERROR($N102/$I102,""))))</x:f>
      </x:c>
      <x:c r="P102" s="112" t="str">
        <x:f>IF(COUNTA($A102:$M102)=0,"",IF(OR(LOWER($F102&amp;"")="subscription",LOWER($F102&amp;"")="membership"),"",IF(LOWER($L102&amp;"")="yes",0,IF($K102&lt;&gt;"",$K102,IF($O102&lt;&gt;"",$O102,"")))))</x:f>
      </x:c>
      <x:c r="Q102" s="112" t="str">
        <x:f>IF(COUNTA($A102:$M102)=0,"",IF(OR($U102="Subscription",$U102=""),"",IF($U102="Profit",ROUND($P102-$H102,2),0)))</x:f>
      </x:c>
      <x:c r="R102" s="112" t="str">
        <x:f>IF(COUNTA($A102:$M102)=0,"",IF(OR($U102="Subscription",$U102=""),"",IF($U102="Draw",$H102,0)))</x:f>
      </x:c>
      <x:c r="S102" s="112" t="str">
        <x:f>IF(COUNTA($A102:$M102)=0,"",IF(OR($U102="Subscription",$U102=""),"",IF($U102="Disqualified",$H102,0)))</x:f>
      </x:c>
      <x:c r="T102" s="116" t="str">
        <x:f>IF(COUNTA($A102:$M102)=0,"",IF(OR($U102="Subscription",$U102=""),"",IF($H102=0,0,IF($U102="Profit",$Q102/$H102,IF($U102="Disqualified",-$S102/$H102,0)))))</x:f>
      </x:c>
      <x:c r="U102" s="290" t="str">
        <x:f>IF(COUNTA($A102:$M102)=0,"",IF(OR(LOWER($F102&amp;"")="subscription",LOWER($F102&amp;"")="membership"),"Subscription",IF(LOWER($L102&amp;"")="yes","Disqualified",IF(OR(LOWER($F102&amp;"")="free game",LOWER($F102&amp;"")="free"),IF(AND(ISNUMBER($P102),ISNUMBER($H102),$P102&gt;$H102),"Profit","Free Game"),IF($P102="","",IF(ROUND(IFERROR(VALUE($P102),0)-IFERROR(VALUE($H102),0),2)&gt;0,"Profit","Draw"))))))</x:f>
      </x:c>
      <x:c r="V102" s="144" t="str">
        <x:f>IF(COUNTA($A102:$M102)=0,"",IF(OR($B102="",$C102="",$U102="Subscription"),"",IFERROR(ROUNDUP(($C102-$B102)/7,0),"")))</x:f>
      </x:c>
      <x:c r="W102" s="112" t="str">
        <x:f>IF(COUNTA($A102:$M102)=0,"",IF(OR($U102="Subscription",$U102=""),"",ROUND(IFERROR($Q102,0)-IFERROR($S102,0),2)))</x:f>
      </x:c>
      <x:c r="X102" s="144" t="str">
        <x:f>IF(COUNTA($A102:$M102)=0,"",IF(OR($U102="Subscription",$U102="Free Game",NOT(ISNUMBER($J102)),NOT(ISNUMBER($I102)),$J102=0,$I102=0,$I102&gt;$J102),"",$J102-$I102))</x:f>
      </x:c>
      <x:c r="Y102" s="116" t="str">
        <x:f>IF(COUNTA($A102:$M102)=0,"",IF(OR($U102="Subscription",$U102="Free Game",NOT(ISNUMBER($J102)),$J102=0,$X102=""),"",$X102/$J102))</x:f>
      </x:c>
      <x:c r="Z102" s="118" t="str">
        <x:f>IF(COUNTA($A102:$M102)=0,"",Instructions!$B$29+SUM($W$5:W102))</x:f>
      </x:c>
    </x:row>
    <x:row r="103" ht="30" customHeight="1">
      <x:c r="A103" s="477"/>
      <x:c r="B103" s="482"/>
      <x:c r="C103" s="482"/>
      <x:c r="D103" s="483"/>
      <x:c r="E103" s="483"/>
      <x:c r="F103" s="483"/>
      <x:c r="G103" s="484"/>
      <x:c r="H103" s="484"/>
      <x:c r="I103" s="485"/>
      <x:c r="J103" s="485"/>
      <x:c r="K103" s="484"/>
      <x:c r="L103" s="483"/>
      <x:c r="M103" s="477"/>
      <x:c r="N103" s="112" t="str">
        <x:f>IF(COUNTA($A103:$M103)=0,"",IF(OR(LOWER($F103&amp;"")="subscription",LOWER($F103&amp;"")="membership"),"",IF($G103="","",IF(ISNUMBER(SEARCH("non",LOWER($E103&amp;""))),$G103*0.85,$G103))))</x:f>
      </x:c>
      <x:c r="O103" s="112" t="str">
        <x:f>IF(COUNTA($A103:$M103)=0,"",IF(OR(LOWER($F103&amp;"")="subscription",LOWER($F103&amp;"")="membership"),"",IF(OR($N103="",$I103="",$I103=0),"",IFERROR($N103/$I103,""))))</x:f>
      </x:c>
      <x:c r="P103" s="112" t="str">
        <x:f>IF(COUNTA($A103:$M103)=0,"",IF(OR(LOWER($F103&amp;"")="subscription",LOWER($F103&amp;"")="membership"),"",IF(LOWER($L103&amp;"")="yes",0,IF($K103&lt;&gt;"",$K103,IF($O103&lt;&gt;"",$O103,"")))))</x:f>
      </x:c>
      <x:c r="Q103" s="112" t="str">
        <x:f>IF(COUNTA($A103:$M103)=0,"",IF(OR($U103="Subscription",$U103=""),"",IF($U103="Profit",ROUND($P103-$H103,2),0)))</x:f>
      </x:c>
      <x:c r="R103" s="112" t="str">
        <x:f>IF(COUNTA($A103:$M103)=0,"",IF(OR($U103="Subscription",$U103=""),"",IF($U103="Draw",$H103,0)))</x:f>
      </x:c>
      <x:c r="S103" s="112" t="str">
        <x:f>IF(COUNTA($A103:$M103)=0,"",IF(OR($U103="Subscription",$U103=""),"",IF($U103="Disqualified",$H103,0)))</x:f>
      </x:c>
      <x:c r="T103" s="116" t="str">
        <x:f>IF(COUNTA($A103:$M103)=0,"",IF(OR($U103="Subscription",$U103=""),"",IF($H103=0,0,IF($U103="Profit",$Q103/$H103,IF($U103="Disqualified",-$S103/$H103,0)))))</x:f>
      </x:c>
      <x:c r="U103" s="290" t="str">
        <x:f>IF(COUNTA($A103:$M103)=0,"",IF(OR(LOWER($F103&amp;"")="subscription",LOWER($F103&amp;"")="membership"),"Subscription",IF(LOWER($L103&amp;"")="yes","Disqualified",IF(OR(LOWER($F103&amp;"")="free game",LOWER($F103&amp;"")="free"),IF(AND(ISNUMBER($P103),ISNUMBER($H103),$P103&gt;$H103),"Profit","Free Game"),IF($P103="","",IF(ROUND(IFERROR(VALUE($P103),0)-IFERROR(VALUE($H103),0),2)&gt;0,"Profit","Draw"))))))</x:f>
      </x:c>
      <x:c r="V103" s="144" t="str">
        <x:f>IF(COUNTA($A103:$M103)=0,"",IF(OR($B103="",$C103="",$U103="Subscription"),"",IFERROR(ROUNDUP(($C103-$B103)/7,0),"")))</x:f>
      </x:c>
      <x:c r="W103" s="112" t="str">
        <x:f>IF(COUNTA($A103:$M103)=0,"",IF(OR($U103="Subscription",$U103=""),"",ROUND(IFERROR($Q103,0)-IFERROR($S103,0),2)))</x:f>
      </x:c>
      <x:c r="X103" s="144" t="str">
        <x:f>IF(COUNTA($A103:$M103)=0,"",IF(OR($U103="Subscription",$U103="Free Game",NOT(ISNUMBER($J103)),NOT(ISNUMBER($I103)),$J103=0,$I103=0,$I103&gt;$J103),"",$J103-$I103))</x:f>
      </x:c>
      <x:c r="Y103" s="116" t="str">
        <x:f>IF(COUNTA($A103:$M103)=0,"",IF(OR($U103="Subscription",$U103="Free Game",NOT(ISNUMBER($J103)),$J103=0,$X103=""),"",$X103/$J103))</x:f>
      </x:c>
      <x:c r="Z103" s="118" t="str">
        <x:f>IF(COUNTA($A103:$M103)=0,"",Instructions!$B$29+SUM($W$5:W103))</x:f>
      </x:c>
    </x:row>
    <x:row r="104" ht="30" customHeight="1">
      <x:c r="A104" s="477"/>
      <x:c r="B104" s="482"/>
      <x:c r="C104" s="482"/>
      <x:c r="D104" s="483"/>
      <x:c r="E104" s="483"/>
      <x:c r="F104" s="483"/>
      <x:c r="G104" s="484"/>
      <x:c r="H104" s="484"/>
      <x:c r="I104" s="485"/>
      <x:c r="J104" s="485"/>
      <x:c r="K104" s="484"/>
      <x:c r="L104" s="483"/>
      <x:c r="M104" s="477"/>
      <x:c r="N104" s="112" t="str">
        <x:f>IF(COUNTA($A104:$M104)=0,"",IF(OR(LOWER($F104&amp;"")="subscription",LOWER($F104&amp;"")="membership"),"",IF($G104="","",IF(ISNUMBER(SEARCH("non",LOWER($E104&amp;""))),$G104*0.85,$G104))))</x:f>
      </x:c>
      <x:c r="O104" s="112" t="str">
        <x:f>IF(COUNTA($A104:$M104)=0,"",IF(OR(LOWER($F104&amp;"")="subscription",LOWER($F104&amp;"")="membership"),"",IF(OR($N104="",$I104="",$I104=0),"",IFERROR($N104/$I104,""))))</x:f>
      </x:c>
      <x:c r="P104" s="112" t="str">
        <x:f>IF(COUNTA($A104:$M104)=0,"",IF(OR(LOWER($F104&amp;"")="subscription",LOWER($F104&amp;"")="membership"),"",IF(LOWER($L104&amp;"")="yes",0,IF($K104&lt;&gt;"",$K104,IF($O104&lt;&gt;"",$O104,"")))))</x:f>
      </x:c>
      <x:c r="Q104" s="112" t="str">
        <x:f>IF(COUNTA($A104:$M104)=0,"",IF(OR($U104="Subscription",$U104=""),"",IF($U104="Profit",ROUND($P104-$H104,2),0)))</x:f>
      </x:c>
      <x:c r="R104" s="112" t="str">
        <x:f>IF(COUNTA($A104:$M104)=0,"",IF(OR($U104="Subscription",$U104=""),"",IF($U104="Draw",$H104,0)))</x:f>
      </x:c>
      <x:c r="S104" s="112" t="str">
        <x:f>IF(COUNTA($A104:$M104)=0,"",IF(OR($U104="Subscription",$U104=""),"",IF($U104="Disqualified",$H104,0)))</x:f>
      </x:c>
      <x:c r="T104" s="116" t="str">
        <x:f>IF(COUNTA($A104:$M104)=0,"",IF(OR($U104="Subscription",$U104=""),"",IF($H104=0,0,IF($U104="Profit",$Q104/$H104,IF($U104="Disqualified",-$S104/$H104,0)))))</x:f>
      </x:c>
      <x:c r="U104" s="290" t="str">
        <x:f>IF(COUNTA($A104:$M104)=0,"",IF(OR(LOWER($F104&amp;"")="subscription",LOWER($F104&amp;"")="membership"),"Subscription",IF(LOWER($L104&amp;"")="yes","Disqualified",IF(OR(LOWER($F104&amp;"")="free game",LOWER($F104&amp;"")="free"),IF(AND(ISNUMBER($P104),ISNUMBER($H104),$P104&gt;$H104),"Profit","Free Game"),IF($P104="","",IF(ROUND(IFERROR(VALUE($P104),0)-IFERROR(VALUE($H104),0),2)&gt;0,"Profit","Draw"))))))</x:f>
      </x:c>
      <x:c r="V104" s="144" t="str">
        <x:f>IF(COUNTA($A104:$M104)=0,"",IF(OR($B104="",$C104="",$U104="Subscription"),"",IFERROR(ROUNDUP(($C104-$B104)/7,0),"")))</x:f>
      </x:c>
      <x:c r="W104" s="112" t="str">
        <x:f>IF(COUNTA($A104:$M104)=0,"",IF(OR($U104="Subscription",$U104=""),"",ROUND(IFERROR($Q104,0)-IFERROR($S104,0),2)))</x:f>
      </x:c>
      <x:c r="X104" s="144" t="str">
        <x:f>IF(COUNTA($A104:$M104)=0,"",IF(OR($U104="Subscription",$U104="Free Game",NOT(ISNUMBER($J104)),NOT(ISNUMBER($I104)),$J104=0,$I104=0,$I104&gt;$J104),"",$J104-$I104))</x:f>
      </x:c>
      <x:c r="Y104" s="116" t="str">
        <x:f>IF(COUNTA($A104:$M104)=0,"",IF(OR($U104="Subscription",$U104="Free Game",NOT(ISNUMBER($J104)),$J104=0,$X104=""),"",$X104/$J104))</x:f>
      </x:c>
      <x:c r="Z104" s="118" t="str">
        <x:f>IF(COUNTA($A104:$M104)=0,"",Instructions!$B$29+SUM($W$5:W104))</x:f>
      </x:c>
    </x:row>
    <x:row r="105" ht="30" customHeight="1">
      <x:c r="A105" s="477"/>
      <x:c r="B105" s="482"/>
      <x:c r="C105" s="482"/>
      <x:c r="D105" s="483"/>
      <x:c r="E105" s="483"/>
      <x:c r="F105" s="483"/>
      <x:c r="G105" s="484"/>
      <x:c r="H105" s="484"/>
      <x:c r="I105" s="485"/>
      <x:c r="J105" s="485"/>
      <x:c r="K105" s="484"/>
      <x:c r="L105" s="483"/>
      <x:c r="M105" s="477"/>
      <x:c r="N105" s="112" t="str">
        <x:f>IF(COUNTA($A105:$M105)=0,"",IF(OR(LOWER($F105&amp;"")="subscription",LOWER($F105&amp;"")="membership"),"",IF($G105="","",IF(ISNUMBER(SEARCH("non",LOWER($E105&amp;""))),$G105*0.85,$G105))))</x:f>
      </x:c>
      <x:c r="O105" s="112" t="str">
        <x:f>IF(COUNTA($A105:$M105)=0,"",IF(OR(LOWER($F105&amp;"")="subscription",LOWER($F105&amp;"")="membership"),"",IF(OR($N105="",$I105="",$I105=0),"",IFERROR($N105/$I105,""))))</x:f>
      </x:c>
      <x:c r="P105" s="112" t="str">
        <x:f>IF(COUNTA($A105:$M105)=0,"",IF(OR(LOWER($F105&amp;"")="subscription",LOWER($F105&amp;"")="membership"),"",IF(LOWER($L105&amp;"")="yes",0,IF($K105&lt;&gt;"",$K105,IF($O105&lt;&gt;"",$O105,"")))))</x:f>
      </x:c>
      <x:c r="Q105" s="112" t="str">
        <x:f>IF(COUNTA($A105:$M105)=0,"",IF(OR($U105="Subscription",$U105=""),"",IF($U105="Profit",ROUND($P105-$H105,2),0)))</x:f>
      </x:c>
      <x:c r="R105" s="112" t="str">
        <x:f>IF(COUNTA($A105:$M105)=0,"",IF(OR($U105="Subscription",$U105=""),"",IF($U105="Draw",$H105,0)))</x:f>
      </x:c>
      <x:c r="S105" s="112" t="str">
        <x:f>IF(COUNTA($A105:$M105)=0,"",IF(OR($U105="Subscription",$U105=""),"",IF($U105="Disqualified",$H105,0)))</x:f>
      </x:c>
      <x:c r="T105" s="116" t="str">
        <x:f>IF(COUNTA($A105:$M105)=0,"",IF(OR($U105="Subscription",$U105=""),"",IF($H105=0,0,IF($U105="Profit",$Q105/$H105,IF($U105="Disqualified",-$S105/$H105,0)))))</x:f>
      </x:c>
      <x:c r="U105" s="290" t="str">
        <x:f>IF(COUNTA($A105:$M105)=0,"",IF(OR(LOWER($F105&amp;"")="subscription",LOWER($F105&amp;"")="membership"),"Subscription",IF(LOWER($L105&amp;"")="yes","Disqualified",IF(OR(LOWER($F105&amp;"")="free game",LOWER($F105&amp;"")="free"),IF(AND(ISNUMBER($P105),ISNUMBER($H105),$P105&gt;$H105),"Profit","Free Game"),IF($P105="","",IF(ROUND(IFERROR(VALUE($P105),0)-IFERROR(VALUE($H105),0),2)&gt;0,"Profit","Draw"))))))</x:f>
      </x:c>
      <x:c r="V105" s="144" t="str">
        <x:f>IF(COUNTA($A105:$M105)=0,"",IF(OR($B105="",$C105="",$U105="Subscription"),"",IFERROR(ROUNDUP(($C105-$B105)/7,0),"")))</x:f>
      </x:c>
      <x:c r="W105" s="112" t="str">
        <x:f>IF(COUNTA($A105:$M105)=0,"",IF(OR($U105="Subscription",$U105=""),"",ROUND(IFERROR($Q105,0)-IFERROR($S105,0),2)))</x:f>
      </x:c>
      <x:c r="X105" s="144" t="str">
        <x:f>IF(COUNTA($A105:$M105)=0,"",IF(OR($U105="Subscription",$U105="Free Game",NOT(ISNUMBER($J105)),NOT(ISNUMBER($I105)),$J105=0,$I105=0,$I105&gt;$J105),"",$J105-$I105))</x:f>
      </x:c>
      <x:c r="Y105" s="116" t="str">
        <x:f>IF(COUNTA($A105:$M105)=0,"",IF(OR($U105="Subscription",$U105="Free Game",NOT(ISNUMBER($J105)),$J105=0,$X105=""),"",$X105/$J105))</x:f>
      </x:c>
      <x:c r="Z105" s="118" t="str">
        <x:f>IF(COUNTA($A105:$M105)=0,"",Instructions!$B$29+SUM($W$5:W105))</x:f>
      </x:c>
    </x:row>
    <x:row r="106" ht="30" customHeight="1">
      <x:c r="A106" s="477"/>
      <x:c r="B106" s="482"/>
      <x:c r="C106" s="482"/>
      <x:c r="D106" s="483"/>
      <x:c r="E106" s="483"/>
      <x:c r="F106" s="483"/>
      <x:c r="G106" s="484"/>
      <x:c r="H106" s="484"/>
      <x:c r="I106" s="485"/>
      <x:c r="J106" s="485"/>
      <x:c r="K106" s="484"/>
      <x:c r="L106" s="483"/>
      <x:c r="M106" s="477"/>
      <x:c r="N106" s="112" t="str">
        <x:f>IF(COUNTA($A106:$M106)=0,"",IF(OR(LOWER($F106&amp;"")="subscription",LOWER($F106&amp;"")="membership"),"",IF($G106="","",IF(ISNUMBER(SEARCH("non",LOWER($E106&amp;""))),$G106*0.85,$G106))))</x:f>
      </x:c>
      <x:c r="O106" s="112" t="str">
        <x:f>IF(COUNTA($A106:$M106)=0,"",IF(OR(LOWER($F106&amp;"")="subscription",LOWER($F106&amp;"")="membership"),"",IF(OR($N106="",$I106="",$I106=0),"",IFERROR($N106/$I106,""))))</x:f>
      </x:c>
      <x:c r="P106" s="112" t="str">
        <x:f>IF(COUNTA($A106:$M106)=0,"",IF(OR(LOWER($F106&amp;"")="subscription",LOWER($F106&amp;"")="membership"),"",IF(LOWER($L106&amp;"")="yes",0,IF($K106&lt;&gt;"",$K106,IF($O106&lt;&gt;"",$O106,"")))))</x:f>
      </x:c>
      <x:c r="Q106" s="112" t="str">
        <x:f>IF(COUNTA($A106:$M106)=0,"",IF(OR($U106="Subscription",$U106=""),"",IF($U106="Profit",ROUND($P106-$H106,2),0)))</x:f>
      </x:c>
      <x:c r="R106" s="112" t="str">
        <x:f>IF(COUNTA($A106:$M106)=0,"",IF(OR($U106="Subscription",$U106=""),"",IF($U106="Draw",$H106,0)))</x:f>
      </x:c>
      <x:c r="S106" s="112" t="str">
        <x:f>IF(COUNTA($A106:$M106)=0,"",IF(OR($U106="Subscription",$U106=""),"",IF($U106="Disqualified",$H106,0)))</x:f>
      </x:c>
      <x:c r="T106" s="116" t="str">
        <x:f>IF(COUNTA($A106:$M106)=0,"",IF(OR($U106="Subscription",$U106=""),"",IF($H106=0,0,IF($U106="Profit",$Q106/$H106,IF($U106="Disqualified",-$S106/$H106,0)))))</x:f>
      </x:c>
      <x:c r="U106" s="290" t="str">
        <x:f>IF(COUNTA($A106:$M106)=0,"",IF(OR(LOWER($F106&amp;"")="subscription",LOWER($F106&amp;"")="membership"),"Subscription",IF(LOWER($L106&amp;"")="yes","Disqualified",IF(OR(LOWER($F106&amp;"")="free game",LOWER($F106&amp;"")="free"),IF(AND(ISNUMBER($P106),ISNUMBER($H106),$P106&gt;$H106),"Profit","Free Game"),IF($P106="","",IF(ROUND(IFERROR(VALUE($P106),0)-IFERROR(VALUE($H106),0),2)&gt;0,"Profit","Draw"))))))</x:f>
      </x:c>
      <x:c r="V106" s="144" t="str">
        <x:f>IF(COUNTA($A106:$M106)=0,"",IF(OR($B106="",$C106="",$U106="Subscription"),"",IFERROR(ROUNDUP(($C106-$B106)/7,0),"")))</x:f>
      </x:c>
      <x:c r="W106" s="112" t="str">
        <x:f>IF(COUNTA($A106:$M106)=0,"",IF(OR($U106="Subscription",$U106=""),"",ROUND(IFERROR($Q106,0)-IFERROR($S106,0),2)))</x:f>
      </x:c>
      <x:c r="X106" s="144" t="str">
        <x:f>IF(COUNTA($A106:$M106)=0,"",IF(OR($U106="Subscription",$U106="Free Game",NOT(ISNUMBER($J106)),NOT(ISNUMBER($I106)),$J106=0,$I106=0,$I106&gt;$J106),"",$J106-$I106))</x:f>
      </x:c>
      <x:c r="Y106" s="116" t="str">
        <x:f>IF(COUNTA($A106:$M106)=0,"",IF(OR($U106="Subscription",$U106="Free Game",NOT(ISNUMBER($J106)),$J106=0,$X106=""),"",$X106/$J106))</x:f>
      </x:c>
      <x:c r="Z106" s="118" t="str">
        <x:f>IF(COUNTA($A106:$M106)=0,"",Instructions!$B$29+SUM($W$5:W106))</x:f>
      </x:c>
    </x:row>
    <x:row r="107" ht="30" customHeight="1">
      <x:c r="A107" s="477"/>
      <x:c r="B107" s="482"/>
      <x:c r="C107" s="482"/>
      <x:c r="D107" s="483"/>
      <x:c r="E107" s="483"/>
      <x:c r="F107" s="483"/>
      <x:c r="G107" s="484"/>
      <x:c r="H107" s="484"/>
      <x:c r="I107" s="485"/>
      <x:c r="J107" s="485"/>
      <x:c r="K107" s="484"/>
      <x:c r="L107" s="483"/>
      <x:c r="M107" s="477"/>
      <x:c r="N107" s="112" t="str">
        <x:f>IF(COUNTA($A107:$M107)=0,"",IF(OR(LOWER($F107&amp;"")="subscription",LOWER($F107&amp;"")="membership"),"",IF($G107="","",IF(ISNUMBER(SEARCH("non",LOWER($E107&amp;""))),$G107*0.85,$G107))))</x:f>
      </x:c>
      <x:c r="O107" s="112" t="str">
        <x:f>IF(COUNTA($A107:$M107)=0,"",IF(OR(LOWER($F107&amp;"")="subscription",LOWER($F107&amp;"")="membership"),"",IF(OR($N107="",$I107="",$I107=0),"",IFERROR($N107/$I107,""))))</x:f>
      </x:c>
      <x:c r="P107" s="112" t="str">
        <x:f>IF(COUNTA($A107:$M107)=0,"",IF(OR(LOWER($F107&amp;"")="subscription",LOWER($F107&amp;"")="membership"),"",IF(LOWER($L107&amp;"")="yes",0,IF($K107&lt;&gt;"",$K107,IF($O107&lt;&gt;"",$O107,"")))))</x:f>
      </x:c>
      <x:c r="Q107" s="112" t="str">
        <x:f>IF(COUNTA($A107:$M107)=0,"",IF(OR($U107="Subscription",$U107=""),"",IF($U107="Profit",ROUND($P107-$H107,2),0)))</x:f>
      </x:c>
      <x:c r="R107" s="112" t="str">
        <x:f>IF(COUNTA($A107:$M107)=0,"",IF(OR($U107="Subscription",$U107=""),"",IF($U107="Draw",$H107,0)))</x:f>
      </x:c>
      <x:c r="S107" s="112" t="str">
        <x:f>IF(COUNTA($A107:$M107)=0,"",IF(OR($U107="Subscription",$U107=""),"",IF($U107="Disqualified",$H107,0)))</x:f>
      </x:c>
      <x:c r="T107" s="116" t="str">
        <x:f>IF(COUNTA($A107:$M107)=0,"",IF(OR($U107="Subscription",$U107=""),"",IF($H107=0,0,IF($U107="Profit",$Q107/$H107,IF($U107="Disqualified",-$S107/$H107,0)))))</x:f>
      </x:c>
      <x:c r="U107" s="290" t="str">
        <x:f>IF(COUNTA($A107:$M107)=0,"",IF(OR(LOWER($F107&amp;"")="subscription",LOWER($F107&amp;"")="membership"),"Subscription",IF(LOWER($L107&amp;"")="yes","Disqualified",IF(OR(LOWER($F107&amp;"")="free game",LOWER($F107&amp;"")="free"),IF(AND(ISNUMBER($P107),ISNUMBER($H107),$P107&gt;$H107),"Profit","Free Game"),IF($P107="","",IF(ROUND(IFERROR(VALUE($P107),0)-IFERROR(VALUE($H107),0),2)&gt;0,"Profit","Draw"))))))</x:f>
      </x:c>
      <x:c r="V107" s="144" t="str">
        <x:f>IF(COUNTA($A107:$M107)=0,"",IF(OR($B107="",$C107="",$U107="Subscription"),"",IFERROR(ROUNDUP(($C107-$B107)/7,0),"")))</x:f>
      </x:c>
      <x:c r="W107" s="112" t="str">
        <x:f>IF(COUNTA($A107:$M107)=0,"",IF(OR($U107="Subscription",$U107=""),"",ROUND(IFERROR($Q107,0)-IFERROR($S107,0),2)))</x:f>
      </x:c>
      <x:c r="X107" s="144" t="str">
        <x:f>IF(COUNTA($A107:$M107)=0,"",IF(OR($U107="Subscription",$U107="Free Game",NOT(ISNUMBER($J107)),NOT(ISNUMBER($I107)),$J107=0,$I107=0,$I107&gt;$J107),"",$J107-$I107))</x:f>
      </x:c>
      <x:c r="Y107" s="116" t="str">
        <x:f>IF(COUNTA($A107:$M107)=0,"",IF(OR($U107="Subscription",$U107="Free Game",NOT(ISNUMBER($J107)),$J107=0,$X107=""),"",$X107/$J107))</x:f>
      </x:c>
      <x:c r="Z107" s="118" t="str">
        <x:f>IF(COUNTA($A107:$M107)=0,"",Instructions!$B$29+SUM($W$5:W107))</x:f>
      </x:c>
    </x:row>
    <x:row r="108" ht="30" customHeight="1">
      <x:c r="A108" s="477"/>
      <x:c r="B108" s="482"/>
      <x:c r="C108" s="482"/>
      <x:c r="D108" s="483"/>
      <x:c r="E108" s="483"/>
      <x:c r="F108" s="483"/>
      <x:c r="G108" s="484"/>
      <x:c r="H108" s="484"/>
      <x:c r="I108" s="485"/>
      <x:c r="J108" s="485"/>
      <x:c r="K108" s="484"/>
      <x:c r="L108" s="483"/>
      <x:c r="M108" s="477"/>
      <x:c r="N108" s="112" t="str">
        <x:f>IF(COUNTA($A108:$M108)=0,"",IF(OR(LOWER($F108&amp;"")="subscription",LOWER($F108&amp;"")="membership"),"",IF($G108="","",IF(ISNUMBER(SEARCH("non",LOWER($E108&amp;""))),$G108*0.85,$G108))))</x:f>
      </x:c>
      <x:c r="O108" s="112" t="str">
        <x:f>IF(COUNTA($A108:$M108)=0,"",IF(OR(LOWER($F108&amp;"")="subscription",LOWER($F108&amp;"")="membership"),"",IF(OR($N108="",$I108="",$I108=0),"",IFERROR($N108/$I108,""))))</x:f>
      </x:c>
      <x:c r="P108" s="112" t="str">
        <x:f>IF(COUNTA($A108:$M108)=0,"",IF(OR(LOWER($F108&amp;"")="subscription",LOWER($F108&amp;"")="membership"),"",IF(LOWER($L108&amp;"")="yes",0,IF($K108&lt;&gt;"",$K108,IF($O108&lt;&gt;"",$O108,"")))))</x:f>
      </x:c>
      <x:c r="Q108" s="112" t="str">
        <x:f>IF(COUNTA($A108:$M108)=0,"",IF(OR($U108="Subscription",$U108=""),"",IF($U108="Profit",ROUND($P108-$H108,2),0)))</x:f>
      </x:c>
      <x:c r="R108" s="112" t="str">
        <x:f>IF(COUNTA($A108:$M108)=0,"",IF(OR($U108="Subscription",$U108=""),"",IF($U108="Draw",$H108,0)))</x:f>
      </x:c>
      <x:c r="S108" s="112" t="str">
        <x:f>IF(COUNTA($A108:$M108)=0,"",IF(OR($U108="Subscription",$U108=""),"",IF($U108="Disqualified",$H108,0)))</x:f>
      </x:c>
      <x:c r="T108" s="116" t="str">
        <x:f>IF(COUNTA($A108:$M108)=0,"",IF(OR($U108="Subscription",$U108=""),"",IF($H108=0,0,IF($U108="Profit",$Q108/$H108,IF($U108="Disqualified",-$S108/$H108,0)))))</x:f>
      </x:c>
      <x:c r="U108" s="290" t="str">
        <x:f>IF(COUNTA($A108:$M108)=0,"",IF(OR(LOWER($F108&amp;"")="subscription",LOWER($F108&amp;"")="membership"),"Subscription",IF(LOWER($L108&amp;"")="yes","Disqualified",IF(OR(LOWER($F108&amp;"")="free game",LOWER($F108&amp;"")="free"),IF(AND(ISNUMBER($P108),ISNUMBER($H108),$P108&gt;$H108),"Profit","Free Game"),IF($P108="","",IF(ROUND(IFERROR(VALUE($P108),0)-IFERROR(VALUE($H108),0),2)&gt;0,"Profit","Draw"))))))</x:f>
      </x:c>
      <x:c r="V108" s="144" t="str">
        <x:f>IF(COUNTA($A108:$M108)=0,"",IF(OR($B108="",$C108="",$U108="Subscription"),"",IFERROR(ROUNDUP(($C108-$B108)/7,0),"")))</x:f>
      </x:c>
      <x:c r="W108" s="112" t="str">
        <x:f>IF(COUNTA($A108:$M108)=0,"",IF(OR($U108="Subscription",$U108=""),"",ROUND(IFERROR($Q108,0)-IFERROR($S108,0),2)))</x:f>
      </x:c>
      <x:c r="X108" s="144" t="str">
        <x:f>IF(COUNTA($A108:$M108)=0,"",IF(OR($U108="Subscription",$U108="Free Game",NOT(ISNUMBER($J108)),NOT(ISNUMBER($I108)),$J108=0,$I108=0,$I108&gt;$J108),"",$J108-$I108))</x:f>
      </x:c>
      <x:c r="Y108" s="116" t="str">
        <x:f>IF(COUNTA($A108:$M108)=0,"",IF(OR($U108="Subscription",$U108="Free Game",NOT(ISNUMBER($J108)),$J108=0,$X108=""),"",$X108/$J108))</x:f>
      </x:c>
      <x:c r="Z108" s="118" t="str">
        <x:f>IF(COUNTA($A108:$M108)=0,"",Instructions!$B$29+SUM($W$5:W108))</x:f>
      </x:c>
    </x:row>
    <x:row r="109" ht="30" customHeight="1">
      <x:c r="A109" s="477"/>
      <x:c r="B109" s="482"/>
      <x:c r="C109" s="482"/>
      <x:c r="D109" s="483"/>
      <x:c r="E109" s="483"/>
      <x:c r="F109" s="483"/>
      <x:c r="G109" s="484"/>
      <x:c r="H109" s="484"/>
      <x:c r="I109" s="485"/>
      <x:c r="J109" s="485"/>
      <x:c r="K109" s="484"/>
      <x:c r="L109" s="483"/>
      <x:c r="M109" s="477"/>
      <x:c r="N109" s="112" t="str">
        <x:f>IF(COUNTA($A109:$M109)=0,"",IF(OR(LOWER($F109&amp;"")="subscription",LOWER($F109&amp;"")="membership"),"",IF($G109="","",IF(ISNUMBER(SEARCH("non",LOWER($E109&amp;""))),$G109*0.85,$G109))))</x:f>
      </x:c>
      <x:c r="O109" s="112" t="str">
        <x:f>IF(COUNTA($A109:$M109)=0,"",IF(OR(LOWER($F109&amp;"")="subscription",LOWER($F109&amp;"")="membership"),"",IF(OR($N109="",$I109="",$I109=0),"",IFERROR($N109/$I109,""))))</x:f>
      </x:c>
      <x:c r="P109" s="112" t="str">
        <x:f>IF(COUNTA($A109:$M109)=0,"",IF(OR(LOWER($F109&amp;"")="subscription",LOWER($F109&amp;"")="membership"),"",IF(LOWER($L109&amp;"")="yes",0,IF($K109&lt;&gt;"",$K109,IF($O109&lt;&gt;"",$O109,"")))))</x:f>
      </x:c>
      <x:c r="Q109" s="112" t="str">
        <x:f>IF(COUNTA($A109:$M109)=0,"",IF(OR($U109="Subscription",$U109=""),"",IF($U109="Profit",ROUND($P109-$H109,2),0)))</x:f>
      </x:c>
      <x:c r="R109" s="112" t="str">
        <x:f>IF(COUNTA($A109:$M109)=0,"",IF(OR($U109="Subscription",$U109=""),"",IF($U109="Draw",$H109,0)))</x:f>
      </x:c>
      <x:c r="S109" s="112" t="str">
        <x:f>IF(COUNTA($A109:$M109)=0,"",IF(OR($U109="Subscription",$U109=""),"",IF($U109="Disqualified",$H109,0)))</x:f>
      </x:c>
      <x:c r="T109" s="116" t="str">
        <x:f>IF(COUNTA($A109:$M109)=0,"",IF(OR($U109="Subscription",$U109=""),"",IF($H109=0,0,IF($U109="Profit",$Q109/$H109,IF($U109="Disqualified",-$S109/$H109,0)))))</x:f>
      </x:c>
      <x:c r="U109" s="290" t="str">
        <x:f>IF(COUNTA($A109:$M109)=0,"",IF(OR(LOWER($F109&amp;"")="subscription",LOWER($F109&amp;"")="membership"),"Subscription",IF(LOWER($L109&amp;"")="yes","Disqualified",IF(OR(LOWER($F109&amp;"")="free game",LOWER($F109&amp;"")="free"),IF(AND(ISNUMBER($P109),ISNUMBER($H109),$P109&gt;$H109),"Profit","Free Game"),IF($P109="","",IF(ROUND(IFERROR(VALUE($P109),0)-IFERROR(VALUE($H109),0),2)&gt;0,"Profit","Draw"))))))</x:f>
      </x:c>
      <x:c r="V109" s="144" t="str">
        <x:f>IF(COUNTA($A109:$M109)=0,"",IF(OR($B109="",$C109="",$U109="Subscription"),"",IFERROR(ROUNDUP(($C109-$B109)/7,0),"")))</x:f>
      </x:c>
      <x:c r="W109" s="112" t="str">
        <x:f>IF(COUNTA($A109:$M109)=0,"",IF(OR($U109="Subscription",$U109=""),"",ROUND(IFERROR($Q109,0)-IFERROR($S109,0),2)))</x:f>
      </x:c>
      <x:c r="X109" s="144" t="str">
        <x:f>IF(COUNTA($A109:$M109)=0,"",IF(OR($U109="Subscription",$U109="Free Game",NOT(ISNUMBER($J109)),NOT(ISNUMBER($I109)),$J109=0,$I109=0,$I109&gt;$J109),"",$J109-$I109))</x:f>
      </x:c>
      <x:c r="Y109" s="116" t="str">
        <x:f>IF(COUNTA($A109:$M109)=0,"",IF(OR($U109="Subscription",$U109="Free Game",NOT(ISNUMBER($J109)),$J109=0,$X109=""),"",$X109/$J109))</x:f>
      </x:c>
      <x:c r="Z109" s="118" t="str">
        <x:f>IF(COUNTA($A109:$M109)=0,"",Instructions!$B$29+SUM($W$5:W109))</x:f>
      </x:c>
    </x:row>
    <x:row r="110" ht="30" customHeight="1">
      <x:c r="A110" s="477"/>
      <x:c r="B110" s="482"/>
      <x:c r="C110" s="482"/>
      <x:c r="D110" s="483"/>
      <x:c r="E110" s="483"/>
      <x:c r="F110" s="483"/>
      <x:c r="G110" s="484"/>
      <x:c r="H110" s="484"/>
      <x:c r="I110" s="485"/>
      <x:c r="J110" s="485"/>
      <x:c r="K110" s="484"/>
      <x:c r="L110" s="483"/>
      <x:c r="M110" s="477"/>
      <x:c r="N110" s="112" t="str">
        <x:f>IF(COUNTA($A110:$M110)=0,"",IF(OR(LOWER($F110&amp;"")="subscription",LOWER($F110&amp;"")="membership"),"",IF($G110="","",IF(ISNUMBER(SEARCH("non",LOWER($E110&amp;""))),$G110*0.85,$G110))))</x:f>
      </x:c>
      <x:c r="O110" s="112" t="str">
        <x:f>IF(COUNTA($A110:$M110)=0,"",IF(OR(LOWER($F110&amp;"")="subscription",LOWER($F110&amp;"")="membership"),"",IF(OR($N110="",$I110="",$I110=0),"",IFERROR($N110/$I110,""))))</x:f>
      </x:c>
      <x:c r="P110" s="112" t="str">
        <x:f>IF(COUNTA($A110:$M110)=0,"",IF(OR(LOWER($F110&amp;"")="subscription",LOWER($F110&amp;"")="membership"),"",IF(LOWER($L110&amp;"")="yes",0,IF($K110&lt;&gt;"",$K110,IF($O110&lt;&gt;"",$O110,"")))))</x:f>
      </x:c>
      <x:c r="Q110" s="112" t="str">
        <x:f>IF(COUNTA($A110:$M110)=0,"",IF(OR($U110="Subscription",$U110=""),"",IF($U110="Profit",ROUND($P110-$H110,2),0)))</x:f>
      </x:c>
      <x:c r="R110" s="112" t="str">
        <x:f>IF(COUNTA($A110:$M110)=0,"",IF(OR($U110="Subscription",$U110=""),"",IF($U110="Draw",$H110,0)))</x:f>
      </x:c>
      <x:c r="S110" s="112" t="str">
        <x:f>IF(COUNTA($A110:$M110)=0,"",IF(OR($U110="Subscription",$U110=""),"",IF($U110="Disqualified",$H110,0)))</x:f>
      </x:c>
      <x:c r="T110" s="116" t="str">
        <x:f>IF(COUNTA($A110:$M110)=0,"",IF(OR($U110="Subscription",$U110=""),"",IF($H110=0,0,IF($U110="Profit",$Q110/$H110,IF($U110="Disqualified",-$S110/$H110,0)))))</x:f>
      </x:c>
      <x:c r="U110" s="290" t="str">
        <x:f>IF(COUNTA($A110:$M110)=0,"",IF(OR(LOWER($F110&amp;"")="subscription",LOWER($F110&amp;"")="membership"),"Subscription",IF(LOWER($L110&amp;"")="yes","Disqualified",IF(OR(LOWER($F110&amp;"")="free game",LOWER($F110&amp;"")="free"),IF(AND(ISNUMBER($P110),ISNUMBER($H110),$P110&gt;$H110),"Profit","Free Game"),IF($P110="","",IF(ROUND(IFERROR(VALUE($P110),0)-IFERROR(VALUE($H110),0),2)&gt;0,"Profit","Draw"))))))</x:f>
      </x:c>
      <x:c r="V110" s="144" t="str">
        <x:f>IF(COUNTA($A110:$M110)=0,"",IF(OR($B110="",$C110="",$U110="Subscription"),"",IFERROR(ROUNDUP(($C110-$B110)/7,0),"")))</x:f>
      </x:c>
      <x:c r="W110" s="112" t="str">
        <x:f>IF(COUNTA($A110:$M110)=0,"",IF(OR($U110="Subscription",$U110=""),"",ROUND(IFERROR($Q110,0)-IFERROR($S110,0),2)))</x:f>
      </x:c>
      <x:c r="X110" s="144" t="str">
        <x:f>IF(COUNTA($A110:$M110)=0,"",IF(OR($U110="Subscription",$U110="Free Game",NOT(ISNUMBER($J110)),NOT(ISNUMBER($I110)),$J110=0,$I110=0,$I110&gt;$J110),"",$J110-$I110))</x:f>
      </x:c>
      <x:c r="Y110" s="116" t="str">
        <x:f>IF(COUNTA($A110:$M110)=0,"",IF(OR($U110="Subscription",$U110="Free Game",NOT(ISNUMBER($J110)),$J110=0,$X110=""),"",$X110/$J110))</x:f>
      </x:c>
      <x:c r="Z110" s="118" t="str">
        <x:f>IF(COUNTA($A110:$M110)=0,"",Instructions!$B$29+SUM($W$5:W110))</x:f>
      </x:c>
    </x:row>
    <x:row r="111" ht="30" customHeight="1">
      <x:c r="A111" s="477"/>
      <x:c r="B111" s="482"/>
      <x:c r="C111" s="482"/>
      <x:c r="D111" s="483"/>
      <x:c r="E111" s="483"/>
      <x:c r="F111" s="483"/>
      <x:c r="G111" s="484"/>
      <x:c r="H111" s="484"/>
      <x:c r="I111" s="485"/>
      <x:c r="J111" s="485"/>
      <x:c r="K111" s="484"/>
      <x:c r="L111" s="483"/>
      <x:c r="M111" s="477"/>
      <x:c r="N111" s="112" t="str">
        <x:f>IF(COUNTA($A111:$M111)=0,"",IF(OR(LOWER($F111&amp;"")="subscription",LOWER($F111&amp;"")="membership"),"",IF($G111="","",IF(ISNUMBER(SEARCH("non",LOWER($E111&amp;""))),$G111*0.85,$G111))))</x:f>
      </x:c>
      <x:c r="O111" s="112" t="str">
        <x:f>IF(COUNTA($A111:$M111)=0,"",IF(OR(LOWER($F111&amp;"")="subscription",LOWER($F111&amp;"")="membership"),"",IF(OR($N111="",$I111="",$I111=0),"",IFERROR($N111/$I111,""))))</x:f>
      </x:c>
      <x:c r="P111" s="112" t="str">
        <x:f>IF(COUNTA($A111:$M111)=0,"",IF(OR(LOWER($F111&amp;"")="subscription",LOWER($F111&amp;"")="membership"),"",IF(LOWER($L111&amp;"")="yes",0,IF($K111&lt;&gt;"",$K111,IF($O111&lt;&gt;"",$O111,"")))))</x:f>
      </x:c>
      <x:c r="Q111" s="112" t="str">
        <x:f>IF(COUNTA($A111:$M111)=0,"",IF(OR($U111="Subscription",$U111=""),"",IF($U111="Profit",ROUND($P111-$H111,2),0)))</x:f>
      </x:c>
      <x:c r="R111" s="112" t="str">
        <x:f>IF(COUNTA($A111:$M111)=0,"",IF(OR($U111="Subscription",$U111=""),"",IF($U111="Draw",$H111,0)))</x:f>
      </x:c>
      <x:c r="S111" s="112" t="str">
        <x:f>IF(COUNTA($A111:$M111)=0,"",IF(OR($U111="Subscription",$U111=""),"",IF($U111="Disqualified",$H111,0)))</x:f>
      </x:c>
      <x:c r="T111" s="116" t="str">
        <x:f>IF(COUNTA($A111:$M111)=0,"",IF(OR($U111="Subscription",$U111=""),"",IF($H111=0,0,IF($U111="Profit",$Q111/$H111,IF($U111="Disqualified",-$S111/$H111,0)))))</x:f>
      </x:c>
      <x:c r="U111" s="290" t="str">
        <x:f>IF(COUNTA($A111:$M111)=0,"",IF(OR(LOWER($F111&amp;"")="subscription",LOWER($F111&amp;"")="membership"),"Subscription",IF(LOWER($L111&amp;"")="yes","Disqualified",IF(OR(LOWER($F111&amp;"")="free game",LOWER($F111&amp;"")="free"),IF(AND(ISNUMBER($P111),ISNUMBER($H111),$P111&gt;$H111),"Profit","Free Game"),IF($P111="","",IF(ROUND(IFERROR(VALUE($P111),0)-IFERROR(VALUE($H111),0),2)&gt;0,"Profit","Draw"))))))</x:f>
      </x:c>
      <x:c r="V111" s="144" t="str">
        <x:f>IF(COUNTA($A111:$M111)=0,"",IF(OR($B111="",$C111="",$U111="Subscription"),"",IFERROR(ROUNDUP(($C111-$B111)/7,0),"")))</x:f>
      </x:c>
      <x:c r="W111" s="112" t="str">
        <x:f>IF(COUNTA($A111:$M111)=0,"",IF(OR($U111="Subscription",$U111=""),"",ROUND(IFERROR($Q111,0)-IFERROR($S111,0),2)))</x:f>
      </x:c>
      <x:c r="X111" s="144" t="str">
        <x:f>IF(COUNTA($A111:$M111)=0,"",IF(OR($U111="Subscription",$U111="Free Game",NOT(ISNUMBER($J111)),NOT(ISNUMBER($I111)),$J111=0,$I111=0,$I111&gt;$J111),"",$J111-$I111))</x:f>
      </x:c>
      <x:c r="Y111" s="116" t="str">
        <x:f>IF(COUNTA($A111:$M111)=0,"",IF(OR($U111="Subscription",$U111="Free Game",NOT(ISNUMBER($J111)),$J111=0,$X111=""),"",$X111/$J111))</x:f>
      </x:c>
      <x:c r="Z111" s="118" t="str">
        <x:f>IF(COUNTA($A111:$M111)=0,"",Instructions!$B$29+SUM($W$5:W111))</x:f>
      </x:c>
    </x:row>
    <x:row r="112" ht="30" customHeight="1">
      <x:c r="A112" s="477"/>
      <x:c r="B112" s="482"/>
      <x:c r="C112" s="482"/>
      <x:c r="D112" s="483"/>
      <x:c r="E112" s="483"/>
      <x:c r="F112" s="483"/>
      <x:c r="G112" s="484"/>
      <x:c r="H112" s="484"/>
      <x:c r="I112" s="485"/>
      <x:c r="J112" s="485"/>
      <x:c r="K112" s="484"/>
      <x:c r="L112" s="483"/>
      <x:c r="M112" s="477"/>
      <x:c r="N112" s="112" t="str">
        <x:f>IF(COUNTA($A112:$M112)=0,"",IF(OR(LOWER($F112&amp;"")="subscription",LOWER($F112&amp;"")="membership"),"",IF($G112="","",IF(ISNUMBER(SEARCH("non",LOWER($E112&amp;""))),$G112*0.85,$G112))))</x:f>
      </x:c>
      <x:c r="O112" s="112" t="str">
        <x:f>IF(COUNTA($A112:$M112)=0,"",IF(OR(LOWER($F112&amp;"")="subscription",LOWER($F112&amp;"")="membership"),"",IF(OR($N112="",$I112="",$I112=0),"",IFERROR($N112/$I112,""))))</x:f>
      </x:c>
      <x:c r="P112" s="112" t="str">
        <x:f>IF(COUNTA($A112:$M112)=0,"",IF(OR(LOWER($F112&amp;"")="subscription",LOWER($F112&amp;"")="membership"),"",IF(LOWER($L112&amp;"")="yes",0,IF($K112&lt;&gt;"",$K112,IF($O112&lt;&gt;"",$O112,"")))))</x:f>
      </x:c>
      <x:c r="Q112" s="112" t="str">
        <x:f>IF(COUNTA($A112:$M112)=0,"",IF(OR($U112="Subscription",$U112=""),"",IF($U112="Profit",ROUND($P112-$H112,2),0)))</x:f>
      </x:c>
      <x:c r="R112" s="112" t="str">
        <x:f>IF(COUNTA($A112:$M112)=0,"",IF(OR($U112="Subscription",$U112=""),"",IF($U112="Draw",$H112,0)))</x:f>
      </x:c>
      <x:c r="S112" s="112" t="str">
        <x:f>IF(COUNTA($A112:$M112)=0,"",IF(OR($U112="Subscription",$U112=""),"",IF($U112="Disqualified",$H112,0)))</x:f>
      </x:c>
      <x:c r="T112" s="116" t="str">
        <x:f>IF(COUNTA($A112:$M112)=0,"",IF(OR($U112="Subscription",$U112=""),"",IF($H112=0,0,IF($U112="Profit",$Q112/$H112,IF($U112="Disqualified",-$S112/$H112,0)))))</x:f>
      </x:c>
      <x:c r="U112" s="290" t="str">
        <x:f>IF(COUNTA($A112:$M112)=0,"",IF(OR(LOWER($F112&amp;"")="subscription",LOWER($F112&amp;"")="membership"),"Subscription",IF(LOWER($L112&amp;"")="yes","Disqualified",IF(OR(LOWER($F112&amp;"")="free game",LOWER($F112&amp;"")="free"),IF(AND(ISNUMBER($P112),ISNUMBER($H112),$P112&gt;$H112),"Profit","Free Game"),IF($P112="","",IF(ROUND(IFERROR(VALUE($P112),0)-IFERROR(VALUE($H112),0),2)&gt;0,"Profit","Draw"))))))</x:f>
      </x:c>
      <x:c r="V112" s="144" t="str">
        <x:f>IF(COUNTA($A112:$M112)=0,"",IF(OR($B112="",$C112="",$U112="Subscription"),"",IFERROR(ROUNDUP(($C112-$B112)/7,0),"")))</x:f>
      </x:c>
      <x:c r="W112" s="112" t="str">
        <x:f>IF(COUNTA($A112:$M112)=0,"",IF(OR($U112="Subscription",$U112=""),"",ROUND(IFERROR($Q112,0)-IFERROR($S112,0),2)))</x:f>
      </x:c>
      <x:c r="X112" s="144" t="str">
        <x:f>IF(COUNTA($A112:$M112)=0,"",IF(OR($U112="Subscription",$U112="Free Game",NOT(ISNUMBER($J112)),NOT(ISNUMBER($I112)),$J112=0,$I112=0,$I112&gt;$J112),"",$J112-$I112))</x:f>
      </x:c>
      <x:c r="Y112" s="116" t="str">
        <x:f>IF(COUNTA($A112:$M112)=0,"",IF(OR($U112="Subscription",$U112="Free Game",NOT(ISNUMBER($J112)),$J112=0,$X112=""),"",$X112/$J112))</x:f>
      </x:c>
      <x:c r="Z112" s="118" t="str">
        <x:f>IF(COUNTA($A112:$M112)=0,"",Instructions!$B$29+SUM($W$5:W112))</x:f>
      </x:c>
    </x:row>
    <x:row r="113" ht="30" customHeight="1">
      <x:c r="A113" s="477"/>
      <x:c r="B113" s="482"/>
      <x:c r="C113" s="482"/>
      <x:c r="D113" s="483"/>
      <x:c r="E113" s="483"/>
      <x:c r="F113" s="483"/>
      <x:c r="G113" s="484"/>
      <x:c r="H113" s="484"/>
      <x:c r="I113" s="485"/>
      <x:c r="J113" s="485"/>
      <x:c r="K113" s="484"/>
      <x:c r="L113" s="483"/>
      <x:c r="M113" s="477"/>
      <x:c r="N113" s="112" t="str">
        <x:f>IF(COUNTA($A113:$M113)=0,"",IF(OR(LOWER($F113&amp;"")="subscription",LOWER($F113&amp;"")="membership"),"",IF($G113="","",IF(ISNUMBER(SEARCH("non",LOWER($E113&amp;""))),$G113*0.85,$G113))))</x:f>
      </x:c>
      <x:c r="O113" s="112" t="str">
        <x:f>IF(COUNTA($A113:$M113)=0,"",IF(OR(LOWER($F113&amp;"")="subscription",LOWER($F113&amp;"")="membership"),"",IF(OR($N113="",$I113="",$I113=0),"",IFERROR($N113/$I113,""))))</x:f>
      </x:c>
      <x:c r="P113" s="112" t="str">
        <x:f>IF(COUNTA($A113:$M113)=0,"",IF(OR(LOWER($F113&amp;"")="subscription",LOWER($F113&amp;"")="membership"),"",IF(LOWER($L113&amp;"")="yes",0,IF($K113&lt;&gt;"",$K113,IF($O113&lt;&gt;"",$O113,"")))))</x:f>
      </x:c>
      <x:c r="Q113" s="112" t="str">
        <x:f>IF(COUNTA($A113:$M113)=0,"",IF(OR($U113="Subscription",$U113=""),"",IF($U113="Profit",ROUND($P113-$H113,2),0)))</x:f>
      </x:c>
      <x:c r="R113" s="112" t="str">
        <x:f>IF(COUNTA($A113:$M113)=0,"",IF(OR($U113="Subscription",$U113=""),"",IF($U113="Draw",$H113,0)))</x:f>
      </x:c>
      <x:c r="S113" s="112" t="str">
        <x:f>IF(COUNTA($A113:$M113)=0,"",IF(OR($U113="Subscription",$U113=""),"",IF($U113="Disqualified",$H113,0)))</x:f>
      </x:c>
      <x:c r="T113" s="116" t="str">
        <x:f>IF(COUNTA($A113:$M113)=0,"",IF(OR($U113="Subscription",$U113=""),"",IF($H113=0,0,IF($U113="Profit",$Q113/$H113,IF($U113="Disqualified",-$S113/$H113,0)))))</x:f>
      </x:c>
      <x:c r="U113" s="290" t="str">
        <x:f>IF(COUNTA($A113:$M113)=0,"",IF(OR(LOWER($F113&amp;"")="subscription",LOWER($F113&amp;"")="membership"),"Subscription",IF(LOWER($L113&amp;"")="yes","Disqualified",IF(OR(LOWER($F113&amp;"")="free game",LOWER($F113&amp;"")="free"),IF(AND(ISNUMBER($P113),ISNUMBER($H113),$P113&gt;$H113),"Profit","Free Game"),IF($P113="","",IF(ROUND(IFERROR(VALUE($P113),0)-IFERROR(VALUE($H113),0),2)&gt;0,"Profit","Draw"))))))</x:f>
      </x:c>
      <x:c r="V113" s="144" t="str">
        <x:f>IF(COUNTA($A113:$M113)=0,"",IF(OR($B113="",$C113="",$U113="Subscription"),"",IFERROR(ROUNDUP(($C113-$B113)/7,0),"")))</x:f>
      </x:c>
      <x:c r="W113" s="112" t="str">
        <x:f>IF(COUNTA($A113:$M113)=0,"",IF(OR($U113="Subscription",$U113=""),"",ROUND(IFERROR($Q113,0)-IFERROR($S113,0),2)))</x:f>
      </x:c>
      <x:c r="X113" s="144" t="str">
        <x:f>IF(COUNTA($A113:$M113)=0,"",IF(OR($U113="Subscription",$U113="Free Game",NOT(ISNUMBER($J113)),NOT(ISNUMBER($I113)),$J113=0,$I113=0,$I113&gt;$J113),"",$J113-$I113))</x:f>
      </x:c>
      <x:c r="Y113" s="116" t="str">
        <x:f>IF(COUNTA($A113:$M113)=0,"",IF(OR($U113="Subscription",$U113="Free Game",NOT(ISNUMBER($J113)),$J113=0,$X113=""),"",$X113/$J113))</x:f>
      </x:c>
      <x:c r="Z113" s="118" t="str">
        <x:f>IF(COUNTA($A113:$M113)=0,"",Instructions!$B$29+SUM($W$5:W113))</x:f>
      </x:c>
    </x:row>
    <x:row r="114" ht="30" customHeight="1">
      <x:c r="A114" s="477"/>
      <x:c r="B114" s="482"/>
      <x:c r="C114" s="482"/>
      <x:c r="D114" s="483"/>
      <x:c r="E114" s="483"/>
      <x:c r="F114" s="483"/>
      <x:c r="G114" s="484"/>
      <x:c r="H114" s="484"/>
      <x:c r="I114" s="485"/>
      <x:c r="J114" s="485"/>
      <x:c r="K114" s="484"/>
      <x:c r="L114" s="483"/>
      <x:c r="M114" s="477"/>
      <x:c r="N114" s="112" t="str">
        <x:f>IF(COUNTA($A114:$M114)=0,"",IF(OR(LOWER($F114&amp;"")="subscription",LOWER($F114&amp;"")="membership"),"",IF($G114="","",IF(ISNUMBER(SEARCH("non",LOWER($E114&amp;""))),$G114*0.85,$G114))))</x:f>
      </x:c>
      <x:c r="O114" s="112" t="str">
        <x:f>IF(COUNTA($A114:$M114)=0,"",IF(OR(LOWER($F114&amp;"")="subscription",LOWER($F114&amp;"")="membership"),"",IF(OR($N114="",$I114="",$I114=0),"",IFERROR($N114/$I114,""))))</x:f>
      </x:c>
      <x:c r="P114" s="112" t="str">
        <x:f>IF(COUNTA($A114:$M114)=0,"",IF(OR(LOWER($F114&amp;"")="subscription",LOWER($F114&amp;"")="membership"),"",IF(LOWER($L114&amp;"")="yes",0,IF($K114&lt;&gt;"",$K114,IF($O114&lt;&gt;"",$O114,"")))))</x:f>
      </x:c>
      <x:c r="Q114" s="112" t="str">
        <x:f>IF(COUNTA($A114:$M114)=0,"",IF(OR($U114="Subscription",$U114=""),"",IF($U114="Profit",ROUND($P114-$H114,2),0)))</x:f>
      </x:c>
      <x:c r="R114" s="112" t="str">
        <x:f>IF(COUNTA($A114:$M114)=0,"",IF(OR($U114="Subscription",$U114=""),"",IF($U114="Draw",$H114,0)))</x:f>
      </x:c>
      <x:c r="S114" s="112" t="str">
        <x:f>IF(COUNTA($A114:$M114)=0,"",IF(OR($U114="Subscription",$U114=""),"",IF($U114="Disqualified",$H114,0)))</x:f>
      </x:c>
      <x:c r="T114" s="116" t="str">
        <x:f>IF(COUNTA($A114:$M114)=0,"",IF(OR($U114="Subscription",$U114=""),"",IF($H114=0,0,IF($U114="Profit",$Q114/$H114,IF($U114="Disqualified",-$S114/$H114,0)))))</x:f>
      </x:c>
      <x:c r="U114" s="290" t="str">
        <x:f>IF(COUNTA($A114:$M114)=0,"",IF(OR(LOWER($F114&amp;"")="subscription",LOWER($F114&amp;"")="membership"),"Subscription",IF(LOWER($L114&amp;"")="yes","Disqualified",IF(OR(LOWER($F114&amp;"")="free game",LOWER($F114&amp;"")="free"),IF(AND(ISNUMBER($P114),ISNUMBER($H114),$P114&gt;$H114),"Profit","Free Game"),IF($P114="","",IF(ROUND(IFERROR(VALUE($P114),0)-IFERROR(VALUE($H114),0),2)&gt;0,"Profit","Draw"))))))</x:f>
      </x:c>
      <x:c r="V114" s="144" t="str">
        <x:f>IF(COUNTA($A114:$M114)=0,"",IF(OR($B114="",$C114="",$U114="Subscription"),"",IFERROR(ROUNDUP(($C114-$B114)/7,0),"")))</x:f>
      </x:c>
      <x:c r="W114" s="112" t="str">
        <x:f>IF(COUNTA($A114:$M114)=0,"",IF(OR($U114="Subscription",$U114=""),"",ROUND(IFERROR($Q114,0)-IFERROR($S114,0),2)))</x:f>
      </x:c>
      <x:c r="X114" s="144" t="str">
        <x:f>IF(COUNTA($A114:$M114)=0,"",IF(OR($U114="Subscription",$U114="Free Game",NOT(ISNUMBER($J114)),NOT(ISNUMBER($I114)),$J114=0,$I114=0,$I114&gt;$J114),"",$J114-$I114))</x:f>
      </x:c>
      <x:c r="Y114" s="116" t="str">
        <x:f>IF(COUNTA($A114:$M114)=0,"",IF(OR($U114="Subscription",$U114="Free Game",NOT(ISNUMBER($J114)),$J114=0,$X114=""),"",$X114/$J114))</x:f>
      </x:c>
      <x:c r="Z114" s="118" t="str">
        <x:f>IF(COUNTA($A114:$M114)=0,"",Instructions!$B$29+SUM($W$5:W114))</x:f>
      </x:c>
    </x:row>
    <x:row r="115" ht="30" customHeight="1">
      <x:c r="A115" s="477"/>
      <x:c r="B115" s="482"/>
      <x:c r="C115" s="482"/>
      <x:c r="D115" s="483"/>
      <x:c r="E115" s="483"/>
      <x:c r="F115" s="483"/>
      <x:c r="G115" s="484"/>
      <x:c r="H115" s="484"/>
      <x:c r="I115" s="485"/>
      <x:c r="J115" s="485"/>
      <x:c r="K115" s="484"/>
      <x:c r="L115" s="483"/>
      <x:c r="M115" s="477"/>
      <x:c r="N115" s="112" t="str">
        <x:f>IF(COUNTA($A115:$M115)=0,"",IF(OR(LOWER($F115&amp;"")="subscription",LOWER($F115&amp;"")="membership"),"",IF($G115="","",IF(ISNUMBER(SEARCH("non",LOWER($E115&amp;""))),$G115*0.85,$G115))))</x:f>
      </x:c>
      <x:c r="O115" s="112" t="str">
        <x:f>IF(COUNTA($A115:$M115)=0,"",IF(OR(LOWER($F115&amp;"")="subscription",LOWER($F115&amp;"")="membership"),"",IF(OR($N115="",$I115="",$I115=0),"",IFERROR($N115/$I115,""))))</x:f>
      </x:c>
      <x:c r="P115" s="112" t="str">
        <x:f>IF(COUNTA($A115:$M115)=0,"",IF(OR(LOWER($F115&amp;"")="subscription",LOWER($F115&amp;"")="membership"),"",IF(LOWER($L115&amp;"")="yes",0,IF($K115&lt;&gt;"",$K115,IF($O115&lt;&gt;"",$O115,"")))))</x:f>
      </x:c>
      <x:c r="Q115" s="112" t="str">
        <x:f>IF(COUNTA($A115:$M115)=0,"",IF(OR($U115="Subscription",$U115=""),"",IF($U115="Profit",ROUND($P115-$H115,2),0)))</x:f>
      </x:c>
      <x:c r="R115" s="112" t="str">
        <x:f>IF(COUNTA($A115:$M115)=0,"",IF(OR($U115="Subscription",$U115=""),"",IF($U115="Draw",$H115,0)))</x:f>
      </x:c>
      <x:c r="S115" s="112" t="str">
        <x:f>IF(COUNTA($A115:$M115)=0,"",IF(OR($U115="Subscription",$U115=""),"",IF($U115="Disqualified",$H115,0)))</x:f>
      </x:c>
      <x:c r="T115" s="116" t="str">
        <x:f>IF(COUNTA($A115:$M115)=0,"",IF(OR($U115="Subscription",$U115=""),"",IF($H115=0,0,IF($U115="Profit",$Q115/$H115,IF($U115="Disqualified",-$S115/$H115,0)))))</x:f>
      </x:c>
      <x:c r="U115" s="290" t="str">
        <x:f>IF(COUNTA($A115:$M115)=0,"",IF(OR(LOWER($F115&amp;"")="subscription",LOWER($F115&amp;"")="membership"),"Subscription",IF(LOWER($L115&amp;"")="yes","Disqualified",IF(OR(LOWER($F115&amp;"")="free game",LOWER($F115&amp;"")="free"),IF(AND(ISNUMBER($P115),ISNUMBER($H115),$P115&gt;$H115),"Profit","Free Game"),IF($P115="","",IF(ROUND(IFERROR(VALUE($P115),0)-IFERROR(VALUE($H115),0),2)&gt;0,"Profit","Draw"))))))</x:f>
      </x:c>
      <x:c r="V115" s="144" t="str">
        <x:f>IF(COUNTA($A115:$M115)=0,"",IF(OR($B115="",$C115="",$U115="Subscription"),"",IFERROR(ROUNDUP(($C115-$B115)/7,0),"")))</x:f>
      </x:c>
      <x:c r="W115" s="112" t="str">
        <x:f>IF(COUNTA($A115:$M115)=0,"",IF(OR($U115="Subscription",$U115=""),"",ROUND(IFERROR($Q115,0)-IFERROR($S115,0),2)))</x:f>
      </x:c>
      <x:c r="X115" s="144" t="str">
        <x:f>IF(COUNTA($A115:$M115)=0,"",IF(OR($U115="Subscription",$U115="Free Game",NOT(ISNUMBER($J115)),NOT(ISNUMBER($I115)),$J115=0,$I115=0,$I115&gt;$J115),"",$J115-$I115))</x:f>
      </x:c>
      <x:c r="Y115" s="116" t="str">
        <x:f>IF(COUNTA($A115:$M115)=0,"",IF(OR($U115="Subscription",$U115="Free Game",NOT(ISNUMBER($J115)),$J115=0,$X115=""),"",$X115/$J115))</x:f>
      </x:c>
      <x:c r="Z115" s="118" t="str">
        <x:f>IF(COUNTA($A115:$M115)=0,"",Instructions!$B$29+SUM($W$5:W115))</x:f>
      </x:c>
    </x:row>
    <x:row r="116" ht="30" customHeight="1">
      <x:c r="A116" s="477"/>
      <x:c r="B116" s="482"/>
      <x:c r="C116" s="482"/>
      <x:c r="D116" s="483"/>
      <x:c r="E116" s="483"/>
      <x:c r="F116" s="483"/>
      <x:c r="G116" s="484"/>
      <x:c r="H116" s="484"/>
      <x:c r="I116" s="485"/>
      <x:c r="J116" s="485"/>
      <x:c r="K116" s="484"/>
      <x:c r="L116" s="483"/>
      <x:c r="M116" s="477"/>
      <x:c r="N116" s="112" t="str">
        <x:f>IF(COUNTA($A116:$M116)=0,"",IF(OR(LOWER($F116&amp;"")="subscription",LOWER($F116&amp;"")="membership"),"",IF($G116="","",IF(ISNUMBER(SEARCH("non",LOWER($E116&amp;""))),$G116*0.85,$G116))))</x:f>
      </x:c>
      <x:c r="O116" s="112" t="str">
        <x:f>IF(COUNTA($A116:$M116)=0,"",IF(OR(LOWER($F116&amp;"")="subscription",LOWER($F116&amp;"")="membership"),"",IF(OR($N116="",$I116="",$I116=0),"",IFERROR($N116/$I116,""))))</x:f>
      </x:c>
      <x:c r="P116" s="112" t="str">
        <x:f>IF(COUNTA($A116:$M116)=0,"",IF(OR(LOWER($F116&amp;"")="subscription",LOWER($F116&amp;"")="membership"),"",IF(LOWER($L116&amp;"")="yes",0,IF($K116&lt;&gt;"",$K116,IF($O116&lt;&gt;"",$O116,"")))))</x:f>
      </x:c>
      <x:c r="Q116" s="112" t="str">
        <x:f>IF(COUNTA($A116:$M116)=0,"",IF(OR($U116="Subscription",$U116=""),"",IF($U116="Profit",ROUND($P116-$H116,2),0)))</x:f>
      </x:c>
      <x:c r="R116" s="112" t="str">
        <x:f>IF(COUNTA($A116:$M116)=0,"",IF(OR($U116="Subscription",$U116=""),"",IF($U116="Draw",$H116,0)))</x:f>
      </x:c>
      <x:c r="S116" s="112" t="str">
        <x:f>IF(COUNTA($A116:$M116)=0,"",IF(OR($U116="Subscription",$U116=""),"",IF($U116="Disqualified",$H116,0)))</x:f>
      </x:c>
      <x:c r="T116" s="116" t="str">
        <x:f>IF(COUNTA($A116:$M116)=0,"",IF(OR($U116="Subscription",$U116=""),"",IF($H116=0,0,IF($U116="Profit",$Q116/$H116,IF($U116="Disqualified",-$S116/$H116,0)))))</x:f>
      </x:c>
      <x:c r="U116" s="290" t="str">
        <x:f>IF(COUNTA($A116:$M116)=0,"",IF(OR(LOWER($F116&amp;"")="subscription",LOWER($F116&amp;"")="membership"),"Subscription",IF(LOWER($L116&amp;"")="yes","Disqualified",IF(OR(LOWER($F116&amp;"")="free game",LOWER($F116&amp;"")="free"),IF(AND(ISNUMBER($P116),ISNUMBER($H116),$P116&gt;$H116),"Profit","Free Game"),IF($P116="","",IF(ROUND(IFERROR(VALUE($P116),0)-IFERROR(VALUE($H116),0),2)&gt;0,"Profit","Draw"))))))</x:f>
      </x:c>
      <x:c r="V116" s="144" t="str">
        <x:f>IF(COUNTA($A116:$M116)=0,"",IF(OR($B116="",$C116="",$U116="Subscription"),"",IFERROR(ROUNDUP(($C116-$B116)/7,0),"")))</x:f>
      </x:c>
      <x:c r="W116" s="112" t="str">
        <x:f>IF(COUNTA($A116:$M116)=0,"",IF(OR($U116="Subscription",$U116=""),"",ROUND(IFERROR($Q116,0)-IFERROR($S116,0),2)))</x:f>
      </x:c>
      <x:c r="X116" s="144" t="str">
        <x:f>IF(COUNTA($A116:$M116)=0,"",IF(OR($U116="Subscription",$U116="Free Game",NOT(ISNUMBER($J116)),NOT(ISNUMBER($I116)),$J116=0,$I116=0,$I116&gt;$J116),"",$J116-$I116))</x:f>
      </x:c>
      <x:c r="Y116" s="116" t="str">
        <x:f>IF(COUNTA($A116:$M116)=0,"",IF(OR($U116="Subscription",$U116="Free Game",NOT(ISNUMBER($J116)),$J116=0,$X116=""),"",$X116/$J116))</x:f>
      </x:c>
      <x:c r="Z116" s="118" t="str">
        <x:f>IF(COUNTA($A116:$M116)=0,"",Instructions!$B$29+SUM($W$5:W116))</x:f>
      </x:c>
    </x:row>
    <x:row r="117" ht="30" customHeight="1">
      <x:c r="A117" s="477"/>
      <x:c r="B117" s="482"/>
      <x:c r="C117" s="482"/>
      <x:c r="D117" s="483"/>
      <x:c r="E117" s="483"/>
      <x:c r="F117" s="483"/>
      <x:c r="G117" s="484"/>
      <x:c r="H117" s="484"/>
      <x:c r="I117" s="485"/>
      <x:c r="J117" s="485"/>
      <x:c r="K117" s="484"/>
      <x:c r="L117" s="483"/>
      <x:c r="M117" s="477"/>
      <x:c r="N117" s="112" t="str">
        <x:f>IF(COUNTA($A117:$M117)=0,"",IF(OR(LOWER($F117&amp;"")="subscription",LOWER($F117&amp;"")="membership"),"",IF($G117="","",IF(ISNUMBER(SEARCH("non",LOWER($E117&amp;""))),$G117*0.85,$G117))))</x:f>
      </x:c>
      <x:c r="O117" s="112" t="str">
        <x:f>IF(COUNTA($A117:$M117)=0,"",IF(OR(LOWER($F117&amp;"")="subscription",LOWER($F117&amp;"")="membership"),"",IF(OR($N117="",$I117="",$I117=0),"",IFERROR($N117/$I117,""))))</x:f>
      </x:c>
      <x:c r="P117" s="112" t="str">
        <x:f>IF(COUNTA($A117:$M117)=0,"",IF(OR(LOWER($F117&amp;"")="subscription",LOWER($F117&amp;"")="membership"),"",IF(LOWER($L117&amp;"")="yes",0,IF($K117&lt;&gt;"",$K117,IF($O117&lt;&gt;"",$O117,"")))))</x:f>
      </x:c>
      <x:c r="Q117" s="112" t="str">
        <x:f>IF(COUNTA($A117:$M117)=0,"",IF(OR($U117="Subscription",$U117=""),"",IF($U117="Profit",ROUND($P117-$H117,2),0)))</x:f>
      </x:c>
      <x:c r="R117" s="112" t="str">
        <x:f>IF(COUNTA($A117:$M117)=0,"",IF(OR($U117="Subscription",$U117=""),"",IF($U117="Draw",$H117,0)))</x:f>
      </x:c>
      <x:c r="S117" s="112" t="str">
        <x:f>IF(COUNTA($A117:$M117)=0,"",IF(OR($U117="Subscription",$U117=""),"",IF($U117="Disqualified",$H117,0)))</x:f>
      </x:c>
      <x:c r="T117" s="116" t="str">
        <x:f>IF(COUNTA($A117:$M117)=0,"",IF(OR($U117="Subscription",$U117=""),"",IF($H117=0,0,IF($U117="Profit",$Q117/$H117,IF($U117="Disqualified",-$S117/$H117,0)))))</x:f>
      </x:c>
      <x:c r="U117" s="290" t="str">
        <x:f>IF(COUNTA($A117:$M117)=0,"",IF(OR(LOWER($F117&amp;"")="subscription",LOWER($F117&amp;"")="membership"),"Subscription",IF(LOWER($L117&amp;"")="yes","Disqualified",IF(OR(LOWER($F117&amp;"")="free game",LOWER($F117&amp;"")="free"),IF(AND(ISNUMBER($P117),ISNUMBER($H117),$P117&gt;$H117),"Profit","Free Game"),IF($P117="","",IF(ROUND(IFERROR(VALUE($P117),0)-IFERROR(VALUE($H117),0),2)&gt;0,"Profit","Draw"))))))</x:f>
      </x:c>
      <x:c r="V117" s="144" t="str">
        <x:f>IF(COUNTA($A117:$M117)=0,"",IF(OR($B117="",$C117="",$U117="Subscription"),"",IFERROR(ROUNDUP(($C117-$B117)/7,0),"")))</x:f>
      </x:c>
      <x:c r="W117" s="112" t="str">
        <x:f>IF(COUNTA($A117:$M117)=0,"",IF(OR($U117="Subscription",$U117=""),"",ROUND(IFERROR($Q117,0)-IFERROR($S117,0),2)))</x:f>
      </x:c>
      <x:c r="X117" s="144" t="str">
        <x:f>IF(COUNTA($A117:$M117)=0,"",IF(OR($U117="Subscription",$U117="Free Game",NOT(ISNUMBER($J117)),NOT(ISNUMBER($I117)),$J117=0,$I117=0,$I117&gt;$J117),"",$J117-$I117))</x:f>
      </x:c>
      <x:c r="Y117" s="116" t="str">
        <x:f>IF(COUNTA($A117:$M117)=0,"",IF(OR($U117="Subscription",$U117="Free Game",NOT(ISNUMBER($J117)),$J117=0,$X117=""),"",$X117/$J117))</x:f>
      </x:c>
      <x:c r="Z117" s="118" t="str">
        <x:f>IF(COUNTA($A117:$M117)=0,"",Instructions!$B$29+SUM($W$5:W117))</x:f>
      </x:c>
    </x:row>
    <x:row r="118" ht="30" customHeight="1">
      <x:c r="A118" s="477"/>
      <x:c r="B118" s="482"/>
      <x:c r="C118" s="482"/>
      <x:c r="D118" s="483"/>
      <x:c r="E118" s="483"/>
      <x:c r="F118" s="483"/>
      <x:c r="G118" s="484"/>
      <x:c r="H118" s="484"/>
      <x:c r="I118" s="485"/>
      <x:c r="J118" s="485"/>
      <x:c r="K118" s="484"/>
      <x:c r="L118" s="483"/>
      <x:c r="M118" s="477"/>
      <x:c r="N118" s="112" t="str">
        <x:f>IF(COUNTA($A118:$M118)=0,"",IF(OR(LOWER($F118&amp;"")="subscription",LOWER($F118&amp;"")="membership"),"",IF($G118="","",IF(ISNUMBER(SEARCH("non",LOWER($E118&amp;""))),$G118*0.85,$G118))))</x:f>
      </x:c>
      <x:c r="O118" s="112" t="str">
        <x:f>IF(COUNTA($A118:$M118)=0,"",IF(OR(LOWER($F118&amp;"")="subscription",LOWER($F118&amp;"")="membership"),"",IF(OR($N118="",$I118="",$I118=0),"",IFERROR($N118/$I118,""))))</x:f>
      </x:c>
      <x:c r="P118" s="112" t="str">
        <x:f>IF(COUNTA($A118:$M118)=0,"",IF(OR(LOWER($F118&amp;"")="subscription",LOWER($F118&amp;"")="membership"),"",IF(LOWER($L118&amp;"")="yes",0,IF($K118&lt;&gt;"",$K118,IF($O118&lt;&gt;"",$O118,"")))))</x:f>
      </x:c>
      <x:c r="Q118" s="112" t="str">
        <x:f>IF(COUNTA($A118:$M118)=0,"",IF(OR($U118="Subscription",$U118=""),"",IF($U118="Profit",ROUND($P118-$H118,2),0)))</x:f>
      </x:c>
      <x:c r="R118" s="112" t="str">
        <x:f>IF(COUNTA($A118:$M118)=0,"",IF(OR($U118="Subscription",$U118=""),"",IF($U118="Draw",$H118,0)))</x:f>
      </x:c>
      <x:c r="S118" s="112" t="str">
        <x:f>IF(COUNTA($A118:$M118)=0,"",IF(OR($U118="Subscription",$U118=""),"",IF($U118="Disqualified",$H118,0)))</x:f>
      </x:c>
      <x:c r="T118" s="116" t="str">
        <x:f>IF(COUNTA($A118:$M118)=0,"",IF(OR($U118="Subscription",$U118=""),"",IF($H118=0,0,IF($U118="Profit",$Q118/$H118,IF($U118="Disqualified",-$S118/$H118,0)))))</x:f>
      </x:c>
      <x:c r="U118" s="290" t="str">
        <x:f>IF(COUNTA($A118:$M118)=0,"",IF(OR(LOWER($F118&amp;"")="subscription",LOWER($F118&amp;"")="membership"),"Subscription",IF(LOWER($L118&amp;"")="yes","Disqualified",IF(OR(LOWER($F118&amp;"")="free game",LOWER($F118&amp;"")="free"),IF(AND(ISNUMBER($P118),ISNUMBER($H118),$P118&gt;$H118),"Profit","Free Game"),IF($P118="","",IF(ROUND(IFERROR(VALUE($P118),0)-IFERROR(VALUE($H118),0),2)&gt;0,"Profit","Draw"))))))</x:f>
      </x:c>
      <x:c r="V118" s="144" t="str">
        <x:f>IF(COUNTA($A118:$M118)=0,"",IF(OR($B118="",$C118="",$U118="Subscription"),"",IFERROR(ROUNDUP(($C118-$B118)/7,0),"")))</x:f>
      </x:c>
      <x:c r="W118" s="112" t="str">
        <x:f>IF(COUNTA($A118:$M118)=0,"",IF(OR($U118="Subscription",$U118=""),"",ROUND(IFERROR($Q118,0)-IFERROR($S118,0),2)))</x:f>
      </x:c>
      <x:c r="X118" s="144" t="str">
        <x:f>IF(COUNTA($A118:$M118)=0,"",IF(OR($U118="Subscription",$U118="Free Game",NOT(ISNUMBER($J118)),NOT(ISNUMBER($I118)),$J118=0,$I118=0,$I118&gt;$J118),"",$J118-$I118))</x:f>
      </x:c>
      <x:c r="Y118" s="116" t="str">
        <x:f>IF(COUNTA($A118:$M118)=0,"",IF(OR($U118="Subscription",$U118="Free Game",NOT(ISNUMBER($J118)),$J118=0,$X118=""),"",$X118/$J118))</x:f>
      </x:c>
      <x:c r="Z118" s="118" t="str">
        <x:f>IF(COUNTA($A118:$M118)=0,"",Instructions!$B$29+SUM($W$5:W118))</x:f>
      </x:c>
    </x:row>
    <x:row r="119" ht="30" customHeight="1">
      <x:c r="A119" s="477"/>
      <x:c r="B119" s="482"/>
      <x:c r="C119" s="482"/>
      <x:c r="D119" s="483"/>
      <x:c r="E119" s="483"/>
      <x:c r="F119" s="483"/>
      <x:c r="G119" s="484"/>
      <x:c r="H119" s="484"/>
      <x:c r="I119" s="485"/>
      <x:c r="J119" s="485"/>
      <x:c r="K119" s="484"/>
      <x:c r="L119" s="483"/>
      <x:c r="M119" s="477"/>
      <x:c r="N119" s="112" t="str">
        <x:f>IF(COUNTA($A119:$M119)=0,"",IF(OR(LOWER($F119&amp;"")="subscription",LOWER($F119&amp;"")="membership"),"",IF($G119="","",IF(ISNUMBER(SEARCH("non",LOWER($E119&amp;""))),$G119*0.85,$G119))))</x:f>
      </x:c>
      <x:c r="O119" s="112" t="str">
        <x:f>IF(COUNTA($A119:$M119)=0,"",IF(OR(LOWER($F119&amp;"")="subscription",LOWER($F119&amp;"")="membership"),"",IF(OR($N119="",$I119="",$I119=0),"",IFERROR($N119/$I119,""))))</x:f>
      </x:c>
      <x:c r="P119" s="112" t="str">
        <x:f>IF(COUNTA($A119:$M119)=0,"",IF(OR(LOWER($F119&amp;"")="subscription",LOWER($F119&amp;"")="membership"),"",IF(LOWER($L119&amp;"")="yes",0,IF($K119&lt;&gt;"",$K119,IF($O119&lt;&gt;"",$O119,"")))))</x:f>
      </x:c>
      <x:c r="Q119" s="112" t="str">
        <x:f>IF(COUNTA($A119:$M119)=0,"",IF(OR($U119="Subscription",$U119=""),"",IF($U119="Profit",ROUND($P119-$H119,2),0)))</x:f>
      </x:c>
      <x:c r="R119" s="112" t="str">
        <x:f>IF(COUNTA($A119:$M119)=0,"",IF(OR($U119="Subscription",$U119=""),"",IF($U119="Draw",$H119,0)))</x:f>
      </x:c>
      <x:c r="S119" s="112" t="str">
        <x:f>IF(COUNTA($A119:$M119)=0,"",IF(OR($U119="Subscription",$U119=""),"",IF($U119="Disqualified",$H119,0)))</x:f>
      </x:c>
      <x:c r="T119" s="116" t="str">
        <x:f>IF(COUNTA($A119:$M119)=0,"",IF(OR($U119="Subscription",$U119=""),"",IF($H119=0,0,IF($U119="Profit",$Q119/$H119,IF($U119="Disqualified",-$S119/$H119,0)))))</x:f>
      </x:c>
      <x:c r="U119" s="290" t="str">
        <x:f>IF(COUNTA($A119:$M119)=0,"",IF(OR(LOWER($F119&amp;"")="subscription",LOWER($F119&amp;"")="membership"),"Subscription",IF(LOWER($L119&amp;"")="yes","Disqualified",IF(OR(LOWER($F119&amp;"")="free game",LOWER($F119&amp;"")="free"),IF(AND(ISNUMBER($P119),ISNUMBER($H119),$P119&gt;$H119),"Profit","Free Game"),IF($P119="","",IF(ROUND(IFERROR(VALUE($P119),0)-IFERROR(VALUE($H119),0),2)&gt;0,"Profit","Draw"))))))</x:f>
      </x:c>
      <x:c r="V119" s="144" t="str">
        <x:f>IF(COUNTA($A119:$M119)=0,"",IF(OR($B119="",$C119="",$U119="Subscription"),"",IFERROR(ROUNDUP(($C119-$B119)/7,0),"")))</x:f>
      </x:c>
      <x:c r="W119" s="112" t="str">
        <x:f>IF(COUNTA($A119:$M119)=0,"",IF(OR($U119="Subscription",$U119=""),"",ROUND(IFERROR($Q119,0)-IFERROR($S119,0),2)))</x:f>
      </x:c>
      <x:c r="X119" s="144" t="str">
        <x:f>IF(COUNTA($A119:$M119)=0,"",IF(OR($U119="Subscription",$U119="Free Game",NOT(ISNUMBER($J119)),NOT(ISNUMBER($I119)),$J119=0,$I119=0,$I119&gt;$J119),"",$J119-$I119))</x:f>
      </x:c>
      <x:c r="Y119" s="116" t="str">
        <x:f>IF(COUNTA($A119:$M119)=0,"",IF(OR($U119="Subscription",$U119="Free Game",NOT(ISNUMBER($J119)),$J119=0,$X119=""),"",$X119/$J119))</x:f>
      </x:c>
      <x:c r="Z119" s="118" t="str">
        <x:f>IF(COUNTA($A119:$M119)=0,"",Instructions!$B$29+SUM($W$5:W119))</x:f>
      </x:c>
    </x:row>
    <x:row r="120" ht="30" customHeight="1">
      <x:c r="A120" s="477"/>
      <x:c r="B120" s="482"/>
      <x:c r="C120" s="482"/>
      <x:c r="D120" s="483"/>
      <x:c r="E120" s="483"/>
      <x:c r="F120" s="483"/>
      <x:c r="G120" s="484"/>
      <x:c r="H120" s="484"/>
      <x:c r="I120" s="485"/>
      <x:c r="J120" s="485"/>
      <x:c r="K120" s="484"/>
      <x:c r="L120" s="483"/>
      <x:c r="M120" s="477"/>
      <x:c r="N120" s="112" t="str">
        <x:f>IF(COUNTA($A120:$M120)=0,"",IF(OR(LOWER($F120&amp;"")="subscription",LOWER($F120&amp;"")="membership"),"",IF($G120="","",IF(ISNUMBER(SEARCH("non",LOWER($E120&amp;""))),$G120*0.85,$G120))))</x:f>
      </x:c>
      <x:c r="O120" s="112" t="str">
        <x:f>IF(COUNTA($A120:$M120)=0,"",IF(OR(LOWER($F120&amp;"")="subscription",LOWER($F120&amp;"")="membership"),"",IF(OR($N120="",$I120="",$I120=0),"",IFERROR($N120/$I120,""))))</x:f>
      </x:c>
      <x:c r="P120" s="112" t="str">
        <x:f>IF(COUNTA($A120:$M120)=0,"",IF(OR(LOWER($F120&amp;"")="subscription",LOWER($F120&amp;"")="membership"),"",IF(LOWER($L120&amp;"")="yes",0,IF($K120&lt;&gt;"",$K120,IF($O120&lt;&gt;"",$O120,"")))))</x:f>
      </x:c>
      <x:c r="Q120" s="112" t="str">
        <x:f>IF(COUNTA($A120:$M120)=0,"",IF(OR($U120="Subscription",$U120=""),"",IF($U120="Profit",ROUND($P120-$H120,2),0)))</x:f>
      </x:c>
      <x:c r="R120" s="112" t="str">
        <x:f>IF(COUNTA($A120:$M120)=0,"",IF(OR($U120="Subscription",$U120=""),"",IF($U120="Draw",$H120,0)))</x:f>
      </x:c>
      <x:c r="S120" s="112" t="str">
        <x:f>IF(COUNTA($A120:$M120)=0,"",IF(OR($U120="Subscription",$U120=""),"",IF($U120="Disqualified",$H120,0)))</x:f>
      </x:c>
      <x:c r="T120" s="116" t="str">
        <x:f>IF(COUNTA($A120:$M120)=0,"",IF(OR($U120="Subscription",$U120=""),"",IF($H120=0,0,IF($U120="Profit",$Q120/$H120,IF($U120="Disqualified",-$S120/$H120,0)))))</x:f>
      </x:c>
      <x:c r="U120" s="290" t="str">
        <x:f>IF(COUNTA($A120:$M120)=0,"",IF(OR(LOWER($F120&amp;"")="subscription",LOWER($F120&amp;"")="membership"),"Subscription",IF(LOWER($L120&amp;"")="yes","Disqualified",IF(OR(LOWER($F120&amp;"")="free game",LOWER($F120&amp;"")="free"),IF(AND(ISNUMBER($P120),ISNUMBER($H120),$P120&gt;$H120),"Profit","Free Game"),IF($P120="","",IF(ROUND(IFERROR(VALUE($P120),0)-IFERROR(VALUE($H120),0),2)&gt;0,"Profit","Draw"))))))</x:f>
      </x:c>
      <x:c r="V120" s="144" t="str">
        <x:f>IF(COUNTA($A120:$M120)=0,"",IF(OR($B120="",$C120="",$U120="Subscription"),"",IFERROR(ROUNDUP(($C120-$B120)/7,0),"")))</x:f>
      </x:c>
      <x:c r="W120" s="112" t="str">
        <x:f>IF(COUNTA($A120:$M120)=0,"",IF(OR($U120="Subscription",$U120=""),"",ROUND(IFERROR($Q120,0)-IFERROR($S120,0),2)))</x:f>
      </x:c>
      <x:c r="X120" s="144" t="str">
        <x:f>IF(COUNTA($A120:$M120)=0,"",IF(OR($U120="Subscription",$U120="Free Game",NOT(ISNUMBER($J120)),NOT(ISNUMBER($I120)),$J120=0,$I120=0,$I120&gt;$J120),"",$J120-$I120))</x:f>
      </x:c>
      <x:c r="Y120" s="116" t="str">
        <x:f>IF(COUNTA($A120:$M120)=0,"",IF(OR($U120="Subscription",$U120="Free Game",NOT(ISNUMBER($J120)),$J120=0,$X120=""),"",$X120/$J120))</x:f>
      </x:c>
      <x:c r="Z120" s="118" t="str">
        <x:f>IF(COUNTA($A120:$M120)=0,"",Instructions!$B$29+SUM($W$5:W120))</x:f>
      </x:c>
    </x:row>
    <x:row r="121" ht="30" customHeight="1">
      <x:c r="A121" s="477"/>
      <x:c r="B121" s="482"/>
      <x:c r="C121" s="482"/>
      <x:c r="D121" s="483"/>
      <x:c r="E121" s="483"/>
      <x:c r="F121" s="483"/>
      <x:c r="G121" s="484"/>
      <x:c r="H121" s="484"/>
      <x:c r="I121" s="485"/>
      <x:c r="J121" s="485"/>
      <x:c r="K121" s="484"/>
      <x:c r="L121" s="483"/>
      <x:c r="M121" s="477"/>
      <x:c r="N121" s="112" t="str">
        <x:f>IF(COUNTA($A121:$M121)=0,"",IF(OR(LOWER($F121&amp;"")="subscription",LOWER($F121&amp;"")="membership"),"",IF($G121="","",IF(ISNUMBER(SEARCH("non",LOWER($E121&amp;""))),$G121*0.85,$G121))))</x:f>
      </x:c>
      <x:c r="O121" s="112" t="str">
        <x:f>IF(COUNTA($A121:$M121)=0,"",IF(OR(LOWER($F121&amp;"")="subscription",LOWER($F121&amp;"")="membership"),"",IF(OR($N121="",$I121="",$I121=0),"",IFERROR($N121/$I121,""))))</x:f>
      </x:c>
      <x:c r="P121" s="112" t="str">
        <x:f>IF(COUNTA($A121:$M121)=0,"",IF(OR(LOWER($F121&amp;"")="subscription",LOWER($F121&amp;"")="membership"),"",IF(LOWER($L121&amp;"")="yes",0,IF($K121&lt;&gt;"",$K121,IF($O121&lt;&gt;"",$O121,"")))))</x:f>
      </x:c>
      <x:c r="Q121" s="112" t="str">
        <x:f>IF(COUNTA($A121:$M121)=0,"",IF(OR($U121="Subscription",$U121=""),"",IF($U121="Profit",ROUND($P121-$H121,2),0)))</x:f>
      </x:c>
      <x:c r="R121" s="112" t="str">
        <x:f>IF(COUNTA($A121:$M121)=0,"",IF(OR($U121="Subscription",$U121=""),"",IF($U121="Draw",$H121,0)))</x:f>
      </x:c>
      <x:c r="S121" s="112" t="str">
        <x:f>IF(COUNTA($A121:$M121)=0,"",IF(OR($U121="Subscription",$U121=""),"",IF($U121="Disqualified",$H121,0)))</x:f>
      </x:c>
      <x:c r="T121" s="116" t="str">
        <x:f>IF(COUNTA($A121:$M121)=0,"",IF(OR($U121="Subscription",$U121=""),"",IF($H121=0,0,IF($U121="Profit",$Q121/$H121,IF($U121="Disqualified",-$S121/$H121,0)))))</x:f>
      </x:c>
      <x:c r="U121" s="290" t="str">
        <x:f>IF(COUNTA($A121:$M121)=0,"",IF(OR(LOWER($F121&amp;"")="subscription",LOWER($F121&amp;"")="membership"),"Subscription",IF(LOWER($L121&amp;"")="yes","Disqualified",IF(OR(LOWER($F121&amp;"")="free game",LOWER($F121&amp;"")="free"),IF(AND(ISNUMBER($P121),ISNUMBER($H121),$P121&gt;$H121),"Profit","Free Game"),IF($P121="","",IF(ROUND(IFERROR(VALUE($P121),0)-IFERROR(VALUE($H121),0),2)&gt;0,"Profit","Draw"))))))</x:f>
      </x:c>
      <x:c r="V121" s="144" t="str">
        <x:f>IF(COUNTA($A121:$M121)=0,"",IF(OR($B121="",$C121="",$U121="Subscription"),"",IFERROR(ROUNDUP(($C121-$B121)/7,0),"")))</x:f>
      </x:c>
      <x:c r="W121" s="112" t="str">
        <x:f>IF(COUNTA($A121:$M121)=0,"",IF(OR($U121="Subscription",$U121=""),"",ROUND(IFERROR($Q121,0)-IFERROR($S121,0),2)))</x:f>
      </x:c>
      <x:c r="X121" s="144" t="str">
        <x:f>IF(COUNTA($A121:$M121)=0,"",IF(OR($U121="Subscription",$U121="Free Game",NOT(ISNUMBER($J121)),NOT(ISNUMBER($I121)),$J121=0,$I121=0,$I121&gt;$J121),"",$J121-$I121))</x:f>
      </x:c>
      <x:c r="Y121" s="116" t="str">
        <x:f>IF(COUNTA($A121:$M121)=0,"",IF(OR($U121="Subscription",$U121="Free Game",NOT(ISNUMBER($J121)),$J121=0,$X121=""),"",$X121/$J121))</x:f>
      </x:c>
      <x:c r="Z121" s="118" t="str">
        <x:f>IF(COUNTA($A121:$M121)=0,"",Instructions!$B$29+SUM($W$5:W121))</x:f>
      </x:c>
    </x:row>
    <x:row r="122" ht="30" customHeight="1">
      <x:c r="A122" s="477"/>
      <x:c r="B122" s="482"/>
      <x:c r="C122" s="482"/>
      <x:c r="D122" s="483"/>
      <x:c r="E122" s="483"/>
      <x:c r="F122" s="483"/>
      <x:c r="G122" s="484"/>
      <x:c r="H122" s="484"/>
      <x:c r="I122" s="485"/>
      <x:c r="J122" s="485"/>
      <x:c r="K122" s="484"/>
      <x:c r="L122" s="483"/>
      <x:c r="M122" s="477"/>
      <x:c r="N122" s="112" t="str">
        <x:f>IF(COUNTA($A122:$M122)=0,"",IF(OR(LOWER($F122&amp;"")="subscription",LOWER($F122&amp;"")="membership"),"",IF($G122="","",IF(ISNUMBER(SEARCH("non",LOWER($E122&amp;""))),$G122*0.85,$G122))))</x:f>
      </x:c>
      <x:c r="O122" s="112" t="str">
        <x:f>IF(COUNTA($A122:$M122)=0,"",IF(OR(LOWER($F122&amp;"")="subscription",LOWER($F122&amp;"")="membership"),"",IF(OR($N122="",$I122="",$I122=0),"",IFERROR($N122/$I122,""))))</x:f>
      </x:c>
      <x:c r="P122" s="112" t="str">
        <x:f>IF(COUNTA($A122:$M122)=0,"",IF(OR(LOWER($F122&amp;"")="subscription",LOWER($F122&amp;"")="membership"),"",IF(LOWER($L122&amp;"")="yes",0,IF($K122&lt;&gt;"",$K122,IF($O122&lt;&gt;"",$O122,"")))))</x:f>
      </x:c>
      <x:c r="Q122" s="112" t="str">
        <x:f>IF(COUNTA($A122:$M122)=0,"",IF(OR($U122="Subscription",$U122=""),"",IF($U122="Profit",ROUND($P122-$H122,2),0)))</x:f>
      </x:c>
      <x:c r="R122" s="112" t="str">
        <x:f>IF(COUNTA($A122:$M122)=0,"",IF(OR($U122="Subscription",$U122=""),"",IF($U122="Draw",$H122,0)))</x:f>
      </x:c>
      <x:c r="S122" s="112" t="str">
        <x:f>IF(COUNTA($A122:$M122)=0,"",IF(OR($U122="Subscription",$U122=""),"",IF($U122="Disqualified",$H122,0)))</x:f>
      </x:c>
      <x:c r="T122" s="116" t="str">
        <x:f>IF(COUNTA($A122:$M122)=0,"",IF(OR($U122="Subscription",$U122=""),"",IF($H122=0,0,IF($U122="Profit",$Q122/$H122,IF($U122="Disqualified",-$S122/$H122,0)))))</x:f>
      </x:c>
      <x:c r="U122" s="290" t="str">
        <x:f>IF(COUNTA($A122:$M122)=0,"",IF(OR(LOWER($F122&amp;"")="subscription",LOWER($F122&amp;"")="membership"),"Subscription",IF(LOWER($L122&amp;"")="yes","Disqualified",IF(OR(LOWER($F122&amp;"")="free game",LOWER($F122&amp;"")="free"),IF(AND(ISNUMBER($P122),ISNUMBER($H122),$P122&gt;$H122),"Profit","Free Game"),IF($P122="","",IF(ROUND(IFERROR(VALUE($P122),0)-IFERROR(VALUE($H122),0),2)&gt;0,"Profit","Draw"))))))</x:f>
      </x:c>
      <x:c r="V122" s="144" t="str">
        <x:f>IF(COUNTA($A122:$M122)=0,"",IF(OR($B122="",$C122="",$U122="Subscription"),"",IFERROR(ROUNDUP(($C122-$B122)/7,0),"")))</x:f>
      </x:c>
      <x:c r="W122" s="112" t="str">
        <x:f>IF(COUNTA($A122:$M122)=0,"",IF(OR($U122="Subscription",$U122=""),"",ROUND(IFERROR($Q122,0)-IFERROR($S122,0),2)))</x:f>
      </x:c>
      <x:c r="X122" s="144" t="str">
        <x:f>IF(COUNTA($A122:$M122)=0,"",IF(OR($U122="Subscription",$U122="Free Game",NOT(ISNUMBER($J122)),NOT(ISNUMBER($I122)),$J122=0,$I122=0,$I122&gt;$J122),"",$J122-$I122))</x:f>
      </x:c>
      <x:c r="Y122" s="116" t="str">
        <x:f>IF(COUNTA($A122:$M122)=0,"",IF(OR($U122="Subscription",$U122="Free Game",NOT(ISNUMBER($J122)),$J122=0,$X122=""),"",$X122/$J122))</x:f>
      </x:c>
      <x:c r="Z122" s="118" t="str">
        <x:f>IF(COUNTA($A122:$M122)=0,"",Instructions!$B$29+SUM($W$5:W122))</x:f>
      </x:c>
    </x:row>
    <x:row r="123" ht="30" customHeight="1">
      <x:c r="A123" s="477"/>
      <x:c r="B123" s="482"/>
      <x:c r="C123" s="482"/>
      <x:c r="D123" s="483"/>
      <x:c r="E123" s="483"/>
      <x:c r="F123" s="483"/>
      <x:c r="G123" s="484"/>
      <x:c r="H123" s="484"/>
      <x:c r="I123" s="485"/>
      <x:c r="J123" s="485"/>
      <x:c r="K123" s="484"/>
      <x:c r="L123" s="483"/>
      <x:c r="M123" s="477"/>
      <x:c r="N123" s="112" t="str">
        <x:f>IF(COUNTA($A123:$M123)=0,"",IF(OR(LOWER($F123&amp;"")="subscription",LOWER($F123&amp;"")="membership"),"",IF($G123="","",IF(ISNUMBER(SEARCH("non",LOWER($E123&amp;""))),$G123*0.85,$G123))))</x:f>
      </x:c>
      <x:c r="O123" s="112" t="str">
        <x:f>IF(COUNTA($A123:$M123)=0,"",IF(OR(LOWER($F123&amp;"")="subscription",LOWER($F123&amp;"")="membership"),"",IF(OR($N123="",$I123="",$I123=0),"",IFERROR($N123/$I123,""))))</x:f>
      </x:c>
      <x:c r="P123" s="112" t="str">
        <x:f>IF(COUNTA($A123:$M123)=0,"",IF(OR(LOWER($F123&amp;"")="subscription",LOWER($F123&amp;"")="membership"),"",IF(LOWER($L123&amp;"")="yes",0,IF($K123&lt;&gt;"",$K123,IF($O123&lt;&gt;"",$O123,"")))))</x:f>
      </x:c>
      <x:c r="Q123" s="112" t="str">
        <x:f>IF(COUNTA($A123:$M123)=0,"",IF(OR($U123="Subscription",$U123=""),"",IF($U123="Profit",ROUND($P123-$H123,2),0)))</x:f>
      </x:c>
      <x:c r="R123" s="112" t="str">
        <x:f>IF(COUNTA($A123:$M123)=0,"",IF(OR($U123="Subscription",$U123=""),"",IF($U123="Draw",$H123,0)))</x:f>
      </x:c>
      <x:c r="S123" s="112" t="str">
        <x:f>IF(COUNTA($A123:$M123)=0,"",IF(OR($U123="Subscription",$U123=""),"",IF($U123="Disqualified",$H123,0)))</x:f>
      </x:c>
      <x:c r="T123" s="116" t="str">
        <x:f>IF(COUNTA($A123:$M123)=0,"",IF(OR($U123="Subscription",$U123=""),"",IF($H123=0,0,IF($U123="Profit",$Q123/$H123,IF($U123="Disqualified",-$S123/$H123,0)))))</x:f>
      </x:c>
      <x:c r="U123" s="290" t="str">
        <x:f>IF(COUNTA($A123:$M123)=0,"",IF(OR(LOWER($F123&amp;"")="subscription",LOWER($F123&amp;"")="membership"),"Subscription",IF(LOWER($L123&amp;"")="yes","Disqualified",IF(OR(LOWER($F123&amp;"")="free game",LOWER($F123&amp;"")="free"),IF(AND(ISNUMBER($P123),ISNUMBER($H123),$P123&gt;$H123),"Profit","Free Game"),IF($P123="","",IF(ROUND(IFERROR(VALUE($P123),0)-IFERROR(VALUE($H123),0),2)&gt;0,"Profit","Draw"))))))</x:f>
      </x:c>
      <x:c r="V123" s="144" t="str">
        <x:f>IF(COUNTA($A123:$M123)=0,"",IF(OR($B123="",$C123="",$U123="Subscription"),"",IFERROR(ROUNDUP(($C123-$B123)/7,0),"")))</x:f>
      </x:c>
      <x:c r="W123" s="112" t="str">
        <x:f>IF(COUNTA($A123:$M123)=0,"",IF(OR($U123="Subscription",$U123=""),"",ROUND(IFERROR($Q123,0)-IFERROR($S123,0),2)))</x:f>
      </x:c>
      <x:c r="X123" s="144" t="str">
        <x:f>IF(COUNTA($A123:$M123)=0,"",IF(OR($U123="Subscription",$U123="Free Game",NOT(ISNUMBER($J123)),NOT(ISNUMBER($I123)),$J123=0,$I123=0,$I123&gt;$J123),"",$J123-$I123))</x:f>
      </x:c>
      <x:c r="Y123" s="116" t="str">
        <x:f>IF(COUNTA($A123:$M123)=0,"",IF(OR($U123="Subscription",$U123="Free Game",NOT(ISNUMBER($J123)),$J123=0,$X123=""),"",$X123/$J123))</x:f>
      </x:c>
      <x:c r="Z123" s="118" t="str">
        <x:f>IF(COUNTA($A123:$M123)=0,"",Instructions!$B$29+SUM($W$5:W123))</x:f>
      </x:c>
    </x:row>
    <x:row r="124" ht="30" customHeight="1">
      <x:c r="A124" s="477"/>
      <x:c r="B124" s="482"/>
      <x:c r="C124" s="482"/>
      <x:c r="D124" s="483"/>
      <x:c r="E124" s="483"/>
      <x:c r="F124" s="483"/>
      <x:c r="G124" s="484"/>
      <x:c r="H124" s="484"/>
      <x:c r="I124" s="485"/>
      <x:c r="J124" s="485"/>
      <x:c r="K124" s="484"/>
      <x:c r="L124" s="483"/>
      <x:c r="M124" s="477"/>
      <x:c r="N124" s="112" t="str">
        <x:f>IF(COUNTA($A124:$M124)=0,"",IF(OR(LOWER($F124&amp;"")="subscription",LOWER($F124&amp;"")="membership"),"",IF($G124="","",IF(ISNUMBER(SEARCH("non",LOWER($E124&amp;""))),$G124*0.85,$G124))))</x:f>
      </x:c>
      <x:c r="O124" s="112" t="str">
        <x:f>IF(COUNTA($A124:$M124)=0,"",IF(OR(LOWER($F124&amp;"")="subscription",LOWER($F124&amp;"")="membership"),"",IF(OR($N124="",$I124="",$I124=0),"",IFERROR($N124/$I124,""))))</x:f>
      </x:c>
      <x:c r="P124" s="112" t="str">
        <x:f>IF(COUNTA($A124:$M124)=0,"",IF(OR(LOWER($F124&amp;"")="subscription",LOWER($F124&amp;"")="membership"),"",IF(LOWER($L124&amp;"")="yes",0,IF($K124&lt;&gt;"",$K124,IF($O124&lt;&gt;"",$O124,"")))))</x:f>
      </x:c>
      <x:c r="Q124" s="112" t="str">
        <x:f>IF(COUNTA($A124:$M124)=0,"",IF(OR($U124="Subscription",$U124=""),"",IF($U124="Profit",ROUND($P124-$H124,2),0)))</x:f>
      </x:c>
      <x:c r="R124" s="112" t="str">
        <x:f>IF(COUNTA($A124:$M124)=0,"",IF(OR($U124="Subscription",$U124=""),"",IF($U124="Draw",$H124,0)))</x:f>
      </x:c>
      <x:c r="S124" s="112" t="str">
        <x:f>IF(COUNTA($A124:$M124)=0,"",IF(OR($U124="Subscription",$U124=""),"",IF($U124="Disqualified",$H124,0)))</x:f>
      </x:c>
      <x:c r="T124" s="116" t="str">
        <x:f>IF(COUNTA($A124:$M124)=0,"",IF(OR($U124="Subscription",$U124=""),"",IF($H124=0,0,IF($U124="Profit",$Q124/$H124,IF($U124="Disqualified",-$S124/$H124,0)))))</x:f>
      </x:c>
      <x:c r="U124" s="290" t="str">
        <x:f>IF(COUNTA($A124:$M124)=0,"",IF(OR(LOWER($F124&amp;"")="subscription",LOWER($F124&amp;"")="membership"),"Subscription",IF(LOWER($L124&amp;"")="yes","Disqualified",IF(OR(LOWER($F124&amp;"")="free game",LOWER($F124&amp;"")="free"),IF(AND(ISNUMBER($P124),ISNUMBER($H124),$P124&gt;$H124),"Profit","Free Game"),IF($P124="","",IF(ROUND(IFERROR(VALUE($P124),0)-IFERROR(VALUE($H124),0),2)&gt;0,"Profit","Draw"))))))</x:f>
      </x:c>
      <x:c r="V124" s="144" t="str">
        <x:f>IF(COUNTA($A124:$M124)=0,"",IF(OR($B124="",$C124="",$U124="Subscription"),"",IFERROR(ROUNDUP(($C124-$B124)/7,0),"")))</x:f>
      </x:c>
      <x:c r="W124" s="112" t="str">
        <x:f>IF(COUNTA($A124:$M124)=0,"",IF(OR($U124="Subscription",$U124=""),"",ROUND(IFERROR($Q124,0)-IFERROR($S124,0),2)))</x:f>
      </x:c>
      <x:c r="X124" s="144" t="str">
        <x:f>IF(COUNTA($A124:$M124)=0,"",IF(OR($U124="Subscription",$U124="Free Game",NOT(ISNUMBER($J124)),NOT(ISNUMBER($I124)),$J124=0,$I124=0,$I124&gt;$J124),"",$J124-$I124))</x:f>
      </x:c>
      <x:c r="Y124" s="116" t="str">
        <x:f>IF(COUNTA($A124:$M124)=0,"",IF(OR($U124="Subscription",$U124="Free Game",NOT(ISNUMBER($J124)),$J124=0,$X124=""),"",$X124/$J124))</x:f>
      </x:c>
      <x:c r="Z124" s="118" t="str">
        <x:f>IF(COUNTA($A124:$M124)=0,"",Instructions!$B$29+SUM($W$5:W124))</x:f>
      </x:c>
    </x:row>
    <x:row r="125" ht="30" customHeight="1">
      <x:c r="A125" s="477"/>
      <x:c r="B125" s="482"/>
      <x:c r="C125" s="482"/>
      <x:c r="D125" s="483"/>
      <x:c r="E125" s="483"/>
      <x:c r="F125" s="483"/>
      <x:c r="G125" s="484"/>
      <x:c r="H125" s="484"/>
      <x:c r="I125" s="485"/>
      <x:c r="J125" s="485"/>
      <x:c r="K125" s="484"/>
      <x:c r="L125" s="483"/>
      <x:c r="M125" s="477"/>
      <x:c r="N125" s="112" t="str">
        <x:f>IF(COUNTA($A125:$M125)=0,"",IF(OR(LOWER($F125&amp;"")="subscription",LOWER($F125&amp;"")="membership"),"",IF($G125="","",IF(ISNUMBER(SEARCH("non",LOWER($E125&amp;""))),$G125*0.85,$G125))))</x:f>
      </x:c>
      <x:c r="O125" s="112" t="str">
        <x:f>IF(COUNTA($A125:$M125)=0,"",IF(OR(LOWER($F125&amp;"")="subscription",LOWER($F125&amp;"")="membership"),"",IF(OR($N125="",$I125="",$I125=0),"",IFERROR($N125/$I125,""))))</x:f>
      </x:c>
      <x:c r="P125" s="112" t="str">
        <x:f>IF(COUNTA($A125:$M125)=0,"",IF(OR(LOWER($F125&amp;"")="subscription",LOWER($F125&amp;"")="membership"),"",IF(LOWER($L125&amp;"")="yes",0,IF($K125&lt;&gt;"",$K125,IF($O125&lt;&gt;"",$O125,"")))))</x:f>
      </x:c>
      <x:c r="Q125" s="112" t="str">
        <x:f>IF(COUNTA($A125:$M125)=0,"",IF(OR($U125="Subscription",$U125=""),"",IF($U125="Profit",ROUND($P125-$H125,2),0)))</x:f>
      </x:c>
      <x:c r="R125" s="112" t="str">
        <x:f>IF(COUNTA($A125:$M125)=0,"",IF(OR($U125="Subscription",$U125=""),"",IF($U125="Draw",$H125,0)))</x:f>
      </x:c>
      <x:c r="S125" s="112" t="str">
        <x:f>IF(COUNTA($A125:$M125)=0,"",IF(OR($U125="Subscription",$U125=""),"",IF($U125="Disqualified",$H125,0)))</x:f>
      </x:c>
      <x:c r="T125" s="116" t="str">
        <x:f>IF(COUNTA($A125:$M125)=0,"",IF(OR($U125="Subscription",$U125=""),"",IF($H125=0,0,IF($U125="Profit",$Q125/$H125,IF($U125="Disqualified",-$S125/$H125,0)))))</x:f>
      </x:c>
      <x:c r="U125" s="290" t="str">
        <x:f>IF(COUNTA($A125:$M125)=0,"",IF(OR(LOWER($F125&amp;"")="subscription",LOWER($F125&amp;"")="membership"),"Subscription",IF(LOWER($L125&amp;"")="yes","Disqualified",IF(OR(LOWER($F125&amp;"")="free game",LOWER($F125&amp;"")="free"),IF(AND(ISNUMBER($P125),ISNUMBER($H125),$P125&gt;$H125),"Profit","Free Game"),IF($P125="","",IF(ROUND(IFERROR(VALUE($P125),0)-IFERROR(VALUE($H125),0),2)&gt;0,"Profit","Draw"))))))</x:f>
      </x:c>
      <x:c r="V125" s="144" t="str">
        <x:f>IF(COUNTA($A125:$M125)=0,"",IF(OR($B125="",$C125="",$U125="Subscription"),"",IFERROR(ROUNDUP(($C125-$B125)/7,0),"")))</x:f>
      </x:c>
      <x:c r="W125" s="112" t="str">
        <x:f>IF(COUNTA($A125:$M125)=0,"",IF(OR($U125="Subscription",$U125=""),"",ROUND(IFERROR($Q125,0)-IFERROR($S125,0),2)))</x:f>
      </x:c>
      <x:c r="X125" s="144" t="str">
        <x:f>IF(COUNTA($A125:$M125)=0,"",IF(OR($U125="Subscription",$U125="Free Game",NOT(ISNUMBER($J125)),NOT(ISNUMBER($I125)),$J125=0,$I125=0,$I125&gt;$J125),"",$J125-$I125))</x:f>
      </x:c>
      <x:c r="Y125" s="116" t="str">
        <x:f>IF(COUNTA($A125:$M125)=0,"",IF(OR($U125="Subscription",$U125="Free Game",NOT(ISNUMBER($J125)),$J125=0,$X125=""),"",$X125/$J125))</x:f>
      </x:c>
      <x:c r="Z125" s="118" t="str">
        <x:f>IF(COUNTA($A125:$M125)=0,"",Instructions!$B$29+SUM($W$5:W125))</x:f>
      </x:c>
    </x:row>
    <x:row r="126" ht="30" customHeight="1">
      <x:c r="A126" s="477"/>
      <x:c r="B126" s="482"/>
      <x:c r="C126" s="482"/>
      <x:c r="D126" s="483"/>
      <x:c r="E126" s="483"/>
      <x:c r="F126" s="483"/>
      <x:c r="G126" s="484"/>
      <x:c r="H126" s="484"/>
      <x:c r="I126" s="485"/>
      <x:c r="J126" s="485"/>
      <x:c r="K126" s="484"/>
      <x:c r="L126" s="483"/>
      <x:c r="M126" s="477"/>
      <x:c r="N126" s="112" t="str">
        <x:f>IF(COUNTA($A126:$M126)=0,"",IF(OR(LOWER($F126&amp;"")="subscription",LOWER($F126&amp;"")="membership"),"",IF($G126="","",IF(ISNUMBER(SEARCH("non",LOWER($E126&amp;""))),$G126*0.85,$G126))))</x:f>
      </x:c>
      <x:c r="O126" s="112" t="str">
        <x:f>IF(COUNTA($A126:$M126)=0,"",IF(OR(LOWER($F126&amp;"")="subscription",LOWER($F126&amp;"")="membership"),"",IF(OR($N126="",$I126="",$I126=0),"",IFERROR($N126/$I126,""))))</x:f>
      </x:c>
      <x:c r="P126" s="112" t="str">
        <x:f>IF(COUNTA($A126:$M126)=0,"",IF(OR(LOWER($F126&amp;"")="subscription",LOWER($F126&amp;"")="membership"),"",IF(LOWER($L126&amp;"")="yes",0,IF($K126&lt;&gt;"",$K126,IF($O126&lt;&gt;"",$O126,"")))))</x:f>
      </x:c>
      <x:c r="Q126" s="112" t="str">
        <x:f>IF(COUNTA($A126:$M126)=0,"",IF(OR($U126="Subscription",$U126=""),"",IF($U126="Profit",ROUND($P126-$H126,2),0)))</x:f>
      </x:c>
      <x:c r="R126" s="112" t="str">
        <x:f>IF(COUNTA($A126:$M126)=0,"",IF(OR($U126="Subscription",$U126=""),"",IF($U126="Draw",$H126,0)))</x:f>
      </x:c>
      <x:c r="S126" s="112" t="str">
        <x:f>IF(COUNTA($A126:$M126)=0,"",IF(OR($U126="Subscription",$U126=""),"",IF($U126="Disqualified",$H126,0)))</x:f>
      </x:c>
      <x:c r="T126" s="116" t="str">
        <x:f>IF(COUNTA($A126:$M126)=0,"",IF(OR($U126="Subscription",$U126=""),"",IF($H126=0,0,IF($U126="Profit",$Q126/$H126,IF($U126="Disqualified",-$S126/$H126,0)))))</x:f>
      </x:c>
      <x:c r="U126" s="290" t="str">
        <x:f>IF(COUNTA($A126:$M126)=0,"",IF(OR(LOWER($F126&amp;"")="subscription",LOWER($F126&amp;"")="membership"),"Subscription",IF(LOWER($L126&amp;"")="yes","Disqualified",IF(OR(LOWER($F126&amp;"")="free game",LOWER($F126&amp;"")="free"),IF(AND(ISNUMBER($P126),ISNUMBER($H126),$P126&gt;$H126),"Profit","Free Game"),IF($P126="","",IF(ROUND(IFERROR(VALUE($P126),0)-IFERROR(VALUE($H126),0),2)&gt;0,"Profit","Draw"))))))</x:f>
      </x:c>
      <x:c r="V126" s="144" t="str">
        <x:f>IF(COUNTA($A126:$M126)=0,"",IF(OR($B126="",$C126="",$U126="Subscription"),"",IFERROR(ROUNDUP(($C126-$B126)/7,0),"")))</x:f>
      </x:c>
      <x:c r="W126" s="112" t="str">
        <x:f>IF(COUNTA($A126:$M126)=0,"",IF(OR($U126="Subscription",$U126=""),"",ROUND(IFERROR($Q126,0)-IFERROR($S126,0),2)))</x:f>
      </x:c>
      <x:c r="X126" s="144" t="str">
        <x:f>IF(COUNTA($A126:$M126)=0,"",IF(OR($U126="Subscription",$U126="Free Game",NOT(ISNUMBER($J126)),NOT(ISNUMBER($I126)),$J126=0,$I126=0,$I126&gt;$J126),"",$J126-$I126))</x:f>
      </x:c>
      <x:c r="Y126" s="116" t="str">
        <x:f>IF(COUNTA($A126:$M126)=0,"",IF(OR($U126="Subscription",$U126="Free Game",NOT(ISNUMBER($J126)),$J126=0,$X126=""),"",$X126/$J126))</x:f>
      </x:c>
      <x:c r="Z126" s="118" t="str">
        <x:f>IF(COUNTA($A126:$M126)=0,"",Instructions!$B$29+SUM($W$5:W126))</x:f>
      </x:c>
    </x:row>
    <x:row r="127" ht="30" customHeight="1">
      <x:c r="A127" s="477"/>
      <x:c r="B127" s="482"/>
      <x:c r="C127" s="482"/>
      <x:c r="D127" s="483"/>
      <x:c r="E127" s="483"/>
      <x:c r="F127" s="483"/>
      <x:c r="G127" s="484"/>
      <x:c r="H127" s="484"/>
      <x:c r="I127" s="485"/>
      <x:c r="J127" s="485"/>
      <x:c r="K127" s="484"/>
      <x:c r="L127" s="483"/>
      <x:c r="M127" s="477"/>
      <x:c r="N127" s="112" t="str">
        <x:f>IF(COUNTA($A127:$M127)=0,"",IF(OR(LOWER($F127&amp;"")="subscription",LOWER($F127&amp;"")="membership"),"",IF($G127="","",IF(ISNUMBER(SEARCH("non",LOWER($E127&amp;""))),$G127*0.85,$G127))))</x:f>
      </x:c>
      <x:c r="O127" s="112" t="str">
        <x:f>IF(COUNTA($A127:$M127)=0,"",IF(OR(LOWER($F127&amp;"")="subscription",LOWER($F127&amp;"")="membership"),"",IF(OR($N127="",$I127="",$I127=0),"",IFERROR($N127/$I127,""))))</x:f>
      </x:c>
      <x:c r="P127" s="112" t="str">
        <x:f>IF(COUNTA($A127:$M127)=0,"",IF(OR(LOWER($F127&amp;"")="subscription",LOWER($F127&amp;"")="membership"),"",IF(LOWER($L127&amp;"")="yes",0,IF($K127&lt;&gt;"",$K127,IF($O127&lt;&gt;"",$O127,"")))))</x:f>
      </x:c>
      <x:c r="Q127" s="112" t="str">
        <x:f>IF(COUNTA($A127:$M127)=0,"",IF(OR($U127="Subscription",$U127=""),"",IF($U127="Profit",ROUND($P127-$H127,2),0)))</x:f>
      </x:c>
      <x:c r="R127" s="112" t="str">
        <x:f>IF(COUNTA($A127:$M127)=0,"",IF(OR($U127="Subscription",$U127=""),"",IF($U127="Draw",$H127,0)))</x:f>
      </x:c>
      <x:c r="S127" s="112" t="str">
        <x:f>IF(COUNTA($A127:$M127)=0,"",IF(OR($U127="Subscription",$U127=""),"",IF($U127="Disqualified",$H127,0)))</x:f>
      </x:c>
      <x:c r="T127" s="116" t="str">
        <x:f>IF(COUNTA($A127:$M127)=0,"",IF(OR($U127="Subscription",$U127=""),"",IF($H127=0,0,IF($U127="Profit",$Q127/$H127,IF($U127="Disqualified",-$S127/$H127,0)))))</x:f>
      </x:c>
      <x:c r="U127" s="290" t="str">
        <x:f>IF(COUNTA($A127:$M127)=0,"",IF(OR(LOWER($F127&amp;"")="subscription",LOWER($F127&amp;"")="membership"),"Subscription",IF(LOWER($L127&amp;"")="yes","Disqualified",IF(OR(LOWER($F127&amp;"")="free game",LOWER($F127&amp;"")="free"),IF(AND(ISNUMBER($P127),ISNUMBER($H127),$P127&gt;$H127),"Profit","Free Game"),IF($P127="","",IF(ROUND(IFERROR(VALUE($P127),0)-IFERROR(VALUE($H127),0),2)&gt;0,"Profit","Draw"))))))</x:f>
      </x:c>
      <x:c r="V127" s="144" t="str">
        <x:f>IF(COUNTA($A127:$M127)=0,"",IF(OR($B127="",$C127="",$U127="Subscription"),"",IFERROR(ROUNDUP(($C127-$B127)/7,0),"")))</x:f>
      </x:c>
      <x:c r="W127" s="112" t="str">
        <x:f>IF(COUNTA($A127:$M127)=0,"",IF(OR($U127="Subscription",$U127=""),"",ROUND(IFERROR($Q127,0)-IFERROR($S127,0),2)))</x:f>
      </x:c>
      <x:c r="X127" s="144" t="str">
        <x:f>IF(COUNTA($A127:$M127)=0,"",IF(OR($U127="Subscription",$U127="Free Game",NOT(ISNUMBER($J127)),NOT(ISNUMBER($I127)),$J127=0,$I127=0,$I127&gt;$J127),"",$J127-$I127))</x:f>
      </x:c>
      <x:c r="Y127" s="116" t="str">
        <x:f>IF(COUNTA($A127:$M127)=0,"",IF(OR($U127="Subscription",$U127="Free Game",NOT(ISNUMBER($J127)),$J127=0,$X127=""),"",$X127/$J127))</x:f>
      </x:c>
      <x:c r="Z127" s="118" t="str">
        <x:f>IF(COUNTA($A127:$M127)=0,"",Instructions!$B$29+SUM($W$5:W127))</x:f>
      </x:c>
    </x:row>
    <x:row r="128" ht="30" customHeight="1">
      <x:c r="A128" s="477"/>
      <x:c r="B128" s="482"/>
      <x:c r="C128" s="482"/>
      <x:c r="D128" s="483"/>
      <x:c r="E128" s="483"/>
      <x:c r="F128" s="483"/>
      <x:c r="G128" s="484"/>
      <x:c r="H128" s="484"/>
      <x:c r="I128" s="485"/>
      <x:c r="J128" s="485"/>
      <x:c r="K128" s="484"/>
      <x:c r="L128" s="483"/>
      <x:c r="M128" s="477"/>
      <x:c r="N128" s="112" t="str">
        <x:f>IF(COUNTA($A128:$M128)=0,"",IF(OR(LOWER($F128&amp;"")="subscription",LOWER($F128&amp;"")="membership"),"",IF($G128="","",IF(ISNUMBER(SEARCH("non",LOWER($E128&amp;""))),$G128*0.85,$G128))))</x:f>
      </x:c>
      <x:c r="O128" s="112" t="str">
        <x:f>IF(COUNTA($A128:$M128)=0,"",IF(OR(LOWER($F128&amp;"")="subscription",LOWER($F128&amp;"")="membership"),"",IF(OR($N128="",$I128="",$I128=0),"",IFERROR($N128/$I128,""))))</x:f>
      </x:c>
      <x:c r="P128" s="112" t="str">
        <x:f>IF(COUNTA($A128:$M128)=0,"",IF(OR(LOWER($F128&amp;"")="subscription",LOWER($F128&amp;"")="membership"),"",IF(LOWER($L128&amp;"")="yes",0,IF($K128&lt;&gt;"",$K128,IF($O128&lt;&gt;"",$O128,"")))))</x:f>
      </x:c>
      <x:c r="Q128" s="112" t="str">
        <x:f>IF(COUNTA($A128:$M128)=0,"",IF(OR($U128="Subscription",$U128=""),"",IF($U128="Profit",ROUND($P128-$H128,2),0)))</x:f>
      </x:c>
      <x:c r="R128" s="112" t="str">
        <x:f>IF(COUNTA($A128:$M128)=0,"",IF(OR($U128="Subscription",$U128=""),"",IF($U128="Draw",$H128,0)))</x:f>
      </x:c>
      <x:c r="S128" s="112" t="str">
        <x:f>IF(COUNTA($A128:$M128)=0,"",IF(OR($U128="Subscription",$U128=""),"",IF($U128="Disqualified",$H128,0)))</x:f>
      </x:c>
      <x:c r="T128" s="116" t="str">
        <x:f>IF(COUNTA($A128:$M128)=0,"",IF(OR($U128="Subscription",$U128=""),"",IF($H128=0,0,IF($U128="Profit",$Q128/$H128,IF($U128="Disqualified",-$S128/$H128,0)))))</x:f>
      </x:c>
      <x:c r="U128" s="290" t="str">
        <x:f>IF(COUNTA($A128:$M128)=0,"",IF(OR(LOWER($F128&amp;"")="subscription",LOWER($F128&amp;"")="membership"),"Subscription",IF(LOWER($L128&amp;"")="yes","Disqualified",IF(OR(LOWER($F128&amp;"")="free game",LOWER($F128&amp;"")="free"),IF(AND(ISNUMBER($P128),ISNUMBER($H128),$P128&gt;$H128),"Profit","Free Game"),IF($P128="","",IF(ROUND(IFERROR(VALUE($P128),0)-IFERROR(VALUE($H128),0),2)&gt;0,"Profit","Draw"))))))</x:f>
      </x:c>
      <x:c r="V128" s="144" t="str">
        <x:f>IF(COUNTA($A128:$M128)=0,"",IF(OR($B128="",$C128="",$U128="Subscription"),"",IFERROR(ROUNDUP(($C128-$B128)/7,0),"")))</x:f>
      </x:c>
      <x:c r="W128" s="112" t="str">
        <x:f>IF(COUNTA($A128:$M128)=0,"",IF(OR($U128="Subscription",$U128=""),"",ROUND(IFERROR($Q128,0)-IFERROR($S128,0),2)))</x:f>
      </x:c>
      <x:c r="X128" s="144" t="str">
        <x:f>IF(COUNTA($A128:$M128)=0,"",IF(OR($U128="Subscription",$U128="Free Game",NOT(ISNUMBER($J128)),NOT(ISNUMBER($I128)),$J128=0,$I128=0,$I128&gt;$J128),"",$J128-$I128))</x:f>
      </x:c>
      <x:c r="Y128" s="116" t="str">
        <x:f>IF(COUNTA($A128:$M128)=0,"",IF(OR($U128="Subscription",$U128="Free Game",NOT(ISNUMBER($J128)),$J128=0,$X128=""),"",$X128/$J128))</x:f>
      </x:c>
      <x:c r="Z128" s="118" t="str">
        <x:f>IF(COUNTA($A128:$M128)=0,"",Instructions!$B$29+SUM($W$5:W128))</x:f>
      </x:c>
    </x:row>
    <x:row r="129" ht="30" customHeight="1">
      <x:c r="A129" s="477"/>
      <x:c r="B129" s="482"/>
      <x:c r="C129" s="482"/>
      <x:c r="D129" s="483"/>
      <x:c r="E129" s="483"/>
      <x:c r="F129" s="483"/>
      <x:c r="G129" s="484"/>
      <x:c r="H129" s="484"/>
      <x:c r="I129" s="485"/>
      <x:c r="J129" s="485"/>
      <x:c r="K129" s="484"/>
      <x:c r="L129" s="483"/>
      <x:c r="M129" s="477"/>
      <x:c r="N129" s="112" t="str">
        <x:f>IF(COUNTA($A129:$M129)=0,"",IF(OR(LOWER($F129&amp;"")="subscription",LOWER($F129&amp;"")="membership"),"",IF($G129="","",IF(ISNUMBER(SEARCH("non",LOWER($E129&amp;""))),$G129*0.85,$G129))))</x:f>
      </x:c>
      <x:c r="O129" s="112" t="str">
        <x:f>IF(COUNTA($A129:$M129)=0,"",IF(OR(LOWER($F129&amp;"")="subscription",LOWER($F129&amp;"")="membership"),"",IF(OR($N129="",$I129="",$I129=0),"",IFERROR($N129/$I129,""))))</x:f>
      </x:c>
      <x:c r="P129" s="112" t="str">
        <x:f>IF(COUNTA($A129:$M129)=0,"",IF(OR(LOWER($F129&amp;"")="subscription",LOWER($F129&amp;"")="membership"),"",IF(LOWER($L129&amp;"")="yes",0,IF($K129&lt;&gt;"",$K129,IF($O129&lt;&gt;"",$O129,"")))))</x:f>
      </x:c>
      <x:c r="Q129" s="112" t="str">
        <x:f>IF(COUNTA($A129:$M129)=0,"",IF(OR($U129="Subscription",$U129=""),"",IF($U129="Profit",ROUND($P129-$H129,2),0)))</x:f>
      </x:c>
      <x:c r="R129" s="112" t="str">
        <x:f>IF(COUNTA($A129:$M129)=0,"",IF(OR($U129="Subscription",$U129=""),"",IF($U129="Draw",$H129,0)))</x:f>
      </x:c>
      <x:c r="S129" s="112" t="str">
        <x:f>IF(COUNTA($A129:$M129)=0,"",IF(OR($U129="Subscription",$U129=""),"",IF($U129="Disqualified",$H129,0)))</x:f>
      </x:c>
      <x:c r="T129" s="116" t="str">
        <x:f>IF(COUNTA($A129:$M129)=0,"",IF(OR($U129="Subscription",$U129=""),"",IF($H129=0,0,IF($U129="Profit",$Q129/$H129,IF($U129="Disqualified",-$S129/$H129,0)))))</x:f>
      </x:c>
      <x:c r="U129" s="290" t="str">
        <x:f>IF(COUNTA($A129:$M129)=0,"",IF(OR(LOWER($F129&amp;"")="subscription",LOWER($F129&amp;"")="membership"),"Subscription",IF(LOWER($L129&amp;"")="yes","Disqualified",IF(OR(LOWER($F129&amp;"")="free game",LOWER($F129&amp;"")="free"),IF(AND(ISNUMBER($P129),ISNUMBER($H129),$P129&gt;$H129),"Profit","Free Game"),IF($P129="","",IF(ROUND(IFERROR(VALUE($P129),0)-IFERROR(VALUE($H129),0),2)&gt;0,"Profit","Draw"))))))</x:f>
      </x:c>
      <x:c r="V129" s="144" t="str">
        <x:f>IF(COUNTA($A129:$M129)=0,"",IF(OR($B129="",$C129="",$U129="Subscription"),"",IFERROR(ROUNDUP(($C129-$B129)/7,0),"")))</x:f>
      </x:c>
      <x:c r="W129" s="112" t="str">
        <x:f>IF(COUNTA($A129:$M129)=0,"",IF(OR($U129="Subscription",$U129=""),"",ROUND(IFERROR($Q129,0)-IFERROR($S129,0),2)))</x:f>
      </x:c>
      <x:c r="X129" s="144" t="str">
        <x:f>IF(COUNTA($A129:$M129)=0,"",IF(OR($U129="Subscription",$U129="Free Game",NOT(ISNUMBER($J129)),NOT(ISNUMBER($I129)),$J129=0,$I129=0,$I129&gt;$J129),"",$J129-$I129))</x:f>
      </x:c>
      <x:c r="Y129" s="116" t="str">
        <x:f>IF(COUNTA($A129:$M129)=0,"",IF(OR($U129="Subscription",$U129="Free Game",NOT(ISNUMBER($J129)),$J129=0,$X129=""),"",$X129/$J129))</x:f>
      </x:c>
      <x:c r="Z129" s="118" t="str">
        <x:f>IF(COUNTA($A129:$M129)=0,"",Instructions!$B$29+SUM($W$5:W129))</x:f>
      </x:c>
    </x:row>
    <x:row r="130" ht="30" customHeight="1">
      <x:c r="A130" s="477"/>
      <x:c r="B130" s="482"/>
      <x:c r="C130" s="482"/>
      <x:c r="D130" s="483"/>
      <x:c r="E130" s="483"/>
      <x:c r="F130" s="483"/>
      <x:c r="G130" s="484"/>
      <x:c r="H130" s="484"/>
      <x:c r="I130" s="485"/>
      <x:c r="J130" s="485"/>
      <x:c r="K130" s="484"/>
      <x:c r="L130" s="483"/>
      <x:c r="M130" s="477"/>
      <x:c r="N130" s="112" t="str">
        <x:f>IF(COUNTA($A130:$M130)=0,"",IF(OR(LOWER($F130&amp;"")="subscription",LOWER($F130&amp;"")="membership"),"",IF($G130="","",IF(ISNUMBER(SEARCH("non",LOWER($E130&amp;""))),$G130*0.85,$G130))))</x:f>
      </x:c>
      <x:c r="O130" s="112" t="str">
        <x:f>IF(COUNTA($A130:$M130)=0,"",IF(OR(LOWER($F130&amp;"")="subscription",LOWER($F130&amp;"")="membership"),"",IF(OR($N130="",$I130="",$I130=0),"",IFERROR($N130/$I130,""))))</x:f>
      </x:c>
      <x:c r="P130" s="112" t="str">
        <x:f>IF(COUNTA($A130:$M130)=0,"",IF(OR(LOWER($F130&amp;"")="subscription",LOWER($F130&amp;"")="membership"),"",IF(LOWER($L130&amp;"")="yes",0,IF($K130&lt;&gt;"",$K130,IF($O130&lt;&gt;"",$O130,"")))))</x:f>
      </x:c>
      <x:c r="Q130" s="112" t="str">
        <x:f>IF(COUNTA($A130:$M130)=0,"",IF(OR($U130="Subscription",$U130=""),"",IF($U130="Profit",ROUND($P130-$H130,2),0)))</x:f>
      </x:c>
      <x:c r="R130" s="112" t="str">
        <x:f>IF(COUNTA($A130:$M130)=0,"",IF(OR($U130="Subscription",$U130=""),"",IF($U130="Draw",$H130,0)))</x:f>
      </x:c>
      <x:c r="S130" s="112" t="str">
        <x:f>IF(COUNTA($A130:$M130)=0,"",IF(OR($U130="Subscription",$U130=""),"",IF($U130="Disqualified",$H130,0)))</x:f>
      </x:c>
      <x:c r="T130" s="116" t="str">
        <x:f>IF(COUNTA($A130:$M130)=0,"",IF(OR($U130="Subscription",$U130=""),"",IF($H130=0,0,IF($U130="Profit",$Q130/$H130,IF($U130="Disqualified",-$S130/$H130,0)))))</x:f>
      </x:c>
      <x:c r="U130" s="290" t="str">
        <x:f>IF(COUNTA($A130:$M130)=0,"",IF(OR(LOWER($F130&amp;"")="subscription",LOWER($F130&amp;"")="membership"),"Subscription",IF(LOWER($L130&amp;"")="yes","Disqualified",IF(OR(LOWER($F130&amp;"")="free game",LOWER($F130&amp;"")="free"),IF(AND(ISNUMBER($P130),ISNUMBER($H130),$P130&gt;$H130),"Profit","Free Game"),IF($P130="","",IF(ROUND(IFERROR(VALUE($P130),0)-IFERROR(VALUE($H130),0),2)&gt;0,"Profit","Draw"))))))</x:f>
      </x:c>
      <x:c r="V130" s="144" t="str">
        <x:f>IF(COUNTA($A130:$M130)=0,"",IF(OR($B130="",$C130="",$U130="Subscription"),"",IFERROR(ROUNDUP(($C130-$B130)/7,0),"")))</x:f>
      </x:c>
      <x:c r="W130" s="112" t="str">
        <x:f>IF(COUNTA($A130:$M130)=0,"",IF(OR($U130="Subscription",$U130=""),"",ROUND(IFERROR($Q130,0)-IFERROR($S130,0),2)))</x:f>
      </x:c>
      <x:c r="X130" s="144" t="str">
        <x:f>IF(COUNTA($A130:$M130)=0,"",IF(OR($U130="Subscription",$U130="Free Game",NOT(ISNUMBER($J130)),NOT(ISNUMBER($I130)),$J130=0,$I130=0,$I130&gt;$J130),"",$J130-$I130))</x:f>
      </x:c>
      <x:c r="Y130" s="116" t="str">
        <x:f>IF(COUNTA($A130:$M130)=0,"",IF(OR($U130="Subscription",$U130="Free Game",NOT(ISNUMBER($J130)),$J130=0,$X130=""),"",$X130/$J130))</x:f>
      </x:c>
      <x:c r="Z130" s="118" t="str">
        <x:f>IF(COUNTA($A130:$M130)=0,"",Instructions!$B$29+SUM($W$5:W130))</x:f>
      </x:c>
    </x:row>
    <x:row r="131" ht="30" customHeight="1">
      <x:c r="A131" s="477"/>
      <x:c r="B131" s="482"/>
      <x:c r="C131" s="482"/>
      <x:c r="D131" s="483"/>
      <x:c r="E131" s="483"/>
      <x:c r="F131" s="483"/>
      <x:c r="G131" s="484"/>
      <x:c r="H131" s="484"/>
      <x:c r="I131" s="485"/>
      <x:c r="J131" s="485"/>
      <x:c r="K131" s="484"/>
      <x:c r="L131" s="483"/>
      <x:c r="M131" s="477"/>
      <x:c r="N131" s="112" t="str">
        <x:f>IF(COUNTA($A131:$M131)=0,"",IF(OR(LOWER($F131&amp;"")="subscription",LOWER($F131&amp;"")="membership"),"",IF($G131="","",IF(ISNUMBER(SEARCH("non",LOWER($E131&amp;""))),$G131*0.85,$G131))))</x:f>
      </x:c>
      <x:c r="O131" s="112" t="str">
        <x:f>IF(COUNTA($A131:$M131)=0,"",IF(OR(LOWER($F131&amp;"")="subscription",LOWER($F131&amp;"")="membership"),"",IF(OR($N131="",$I131="",$I131=0),"",IFERROR($N131/$I131,""))))</x:f>
      </x:c>
      <x:c r="P131" s="112" t="str">
        <x:f>IF(COUNTA($A131:$M131)=0,"",IF(OR(LOWER($F131&amp;"")="subscription",LOWER($F131&amp;"")="membership"),"",IF(LOWER($L131&amp;"")="yes",0,IF($K131&lt;&gt;"",$K131,IF($O131&lt;&gt;"",$O131,"")))))</x:f>
      </x:c>
      <x:c r="Q131" s="112" t="str">
        <x:f>IF(COUNTA($A131:$M131)=0,"",IF(OR($U131="Subscription",$U131=""),"",IF($U131="Profit",ROUND($P131-$H131,2),0)))</x:f>
      </x:c>
      <x:c r="R131" s="112" t="str">
        <x:f>IF(COUNTA($A131:$M131)=0,"",IF(OR($U131="Subscription",$U131=""),"",IF($U131="Draw",$H131,0)))</x:f>
      </x:c>
      <x:c r="S131" s="112" t="str">
        <x:f>IF(COUNTA($A131:$M131)=0,"",IF(OR($U131="Subscription",$U131=""),"",IF($U131="Disqualified",$H131,0)))</x:f>
      </x:c>
      <x:c r="T131" s="116" t="str">
        <x:f>IF(COUNTA($A131:$M131)=0,"",IF(OR($U131="Subscription",$U131=""),"",IF($H131=0,0,IF($U131="Profit",$Q131/$H131,IF($U131="Disqualified",-$S131/$H131,0)))))</x:f>
      </x:c>
      <x:c r="U131" s="290" t="str">
        <x:f>IF(COUNTA($A131:$M131)=0,"",IF(OR(LOWER($F131&amp;"")="subscription",LOWER($F131&amp;"")="membership"),"Subscription",IF(LOWER($L131&amp;"")="yes","Disqualified",IF(OR(LOWER($F131&amp;"")="free game",LOWER($F131&amp;"")="free"),IF(AND(ISNUMBER($P131),ISNUMBER($H131),$P131&gt;$H131),"Profit","Free Game"),IF($P131="","",IF(ROUND(IFERROR(VALUE($P131),0)-IFERROR(VALUE($H131),0),2)&gt;0,"Profit","Draw"))))))</x:f>
      </x:c>
      <x:c r="V131" s="144" t="str">
        <x:f>IF(COUNTA($A131:$M131)=0,"",IF(OR($B131="",$C131="",$U131="Subscription"),"",IFERROR(ROUNDUP(($C131-$B131)/7,0),"")))</x:f>
      </x:c>
      <x:c r="W131" s="112" t="str">
        <x:f>IF(COUNTA($A131:$M131)=0,"",IF(OR($U131="Subscription",$U131=""),"",ROUND(IFERROR($Q131,0)-IFERROR($S131,0),2)))</x:f>
      </x:c>
      <x:c r="X131" s="144" t="str">
        <x:f>IF(COUNTA($A131:$M131)=0,"",IF(OR($U131="Subscription",$U131="Free Game",NOT(ISNUMBER($J131)),NOT(ISNUMBER($I131)),$J131=0,$I131=0,$I131&gt;$J131),"",$J131-$I131))</x:f>
      </x:c>
      <x:c r="Y131" s="116" t="str">
        <x:f>IF(COUNTA($A131:$M131)=0,"",IF(OR($U131="Subscription",$U131="Free Game",NOT(ISNUMBER($J131)),$J131=0,$X131=""),"",$X131/$J131))</x:f>
      </x:c>
      <x:c r="Z131" s="118" t="str">
        <x:f>IF(COUNTA($A131:$M131)=0,"",Instructions!$B$29+SUM($W$5:W131))</x:f>
      </x:c>
    </x:row>
    <x:row r="132" ht="30" customHeight="1">
      <x:c r="A132" s="477"/>
      <x:c r="B132" s="482"/>
      <x:c r="C132" s="482"/>
      <x:c r="D132" s="483"/>
      <x:c r="E132" s="483"/>
      <x:c r="F132" s="483"/>
      <x:c r="G132" s="484"/>
      <x:c r="H132" s="484"/>
      <x:c r="I132" s="485"/>
      <x:c r="J132" s="485"/>
      <x:c r="K132" s="484"/>
      <x:c r="L132" s="483"/>
      <x:c r="M132" s="477"/>
      <x:c r="N132" s="112" t="str">
        <x:f>IF(COUNTA($A132:$M132)=0,"",IF(OR(LOWER($F132&amp;"")="subscription",LOWER($F132&amp;"")="membership"),"",IF($G132="","",IF(ISNUMBER(SEARCH("non",LOWER($E132&amp;""))),$G132*0.85,$G132))))</x:f>
      </x:c>
      <x:c r="O132" s="112" t="str">
        <x:f>IF(COUNTA($A132:$M132)=0,"",IF(OR(LOWER($F132&amp;"")="subscription",LOWER($F132&amp;"")="membership"),"",IF(OR($N132="",$I132="",$I132=0),"",IFERROR($N132/$I132,""))))</x:f>
      </x:c>
      <x:c r="P132" s="112" t="str">
        <x:f>IF(COUNTA($A132:$M132)=0,"",IF(OR(LOWER($F132&amp;"")="subscription",LOWER($F132&amp;"")="membership"),"",IF(LOWER($L132&amp;"")="yes",0,IF($K132&lt;&gt;"",$K132,IF($O132&lt;&gt;"",$O132,"")))))</x:f>
      </x:c>
      <x:c r="Q132" s="112" t="str">
        <x:f>IF(COUNTA($A132:$M132)=0,"",IF(OR($U132="Subscription",$U132=""),"",IF($U132="Profit",ROUND($P132-$H132,2),0)))</x:f>
      </x:c>
      <x:c r="R132" s="112" t="str">
        <x:f>IF(COUNTA($A132:$M132)=0,"",IF(OR($U132="Subscription",$U132=""),"",IF($U132="Draw",$H132,0)))</x:f>
      </x:c>
      <x:c r="S132" s="112" t="str">
        <x:f>IF(COUNTA($A132:$M132)=0,"",IF(OR($U132="Subscription",$U132=""),"",IF($U132="Disqualified",$H132,0)))</x:f>
      </x:c>
      <x:c r="T132" s="116" t="str">
        <x:f>IF(COUNTA($A132:$M132)=0,"",IF(OR($U132="Subscription",$U132=""),"",IF($H132=0,0,IF($U132="Profit",$Q132/$H132,IF($U132="Disqualified",-$S132/$H132,0)))))</x:f>
      </x:c>
      <x:c r="U132" s="290" t="str">
        <x:f>IF(COUNTA($A132:$M132)=0,"",IF(OR(LOWER($F132&amp;"")="subscription",LOWER($F132&amp;"")="membership"),"Subscription",IF(LOWER($L132&amp;"")="yes","Disqualified",IF(OR(LOWER($F132&amp;"")="free game",LOWER($F132&amp;"")="free"),IF(AND(ISNUMBER($P132),ISNUMBER($H132),$P132&gt;$H132),"Profit","Free Game"),IF($P132="","",IF(ROUND(IFERROR(VALUE($P132),0)-IFERROR(VALUE($H132),0),2)&gt;0,"Profit","Draw"))))))</x:f>
      </x:c>
      <x:c r="V132" s="144" t="str">
        <x:f>IF(COUNTA($A132:$M132)=0,"",IF(OR($B132="",$C132="",$U132="Subscription"),"",IFERROR(ROUNDUP(($C132-$B132)/7,0),"")))</x:f>
      </x:c>
      <x:c r="W132" s="112" t="str">
        <x:f>IF(COUNTA($A132:$M132)=0,"",IF(OR($U132="Subscription",$U132=""),"",ROUND(IFERROR($Q132,0)-IFERROR($S132,0),2)))</x:f>
      </x:c>
      <x:c r="X132" s="144" t="str">
        <x:f>IF(COUNTA($A132:$M132)=0,"",IF(OR($U132="Subscription",$U132="Free Game",NOT(ISNUMBER($J132)),NOT(ISNUMBER($I132)),$J132=0,$I132=0,$I132&gt;$J132),"",$J132-$I132))</x:f>
      </x:c>
      <x:c r="Y132" s="116" t="str">
        <x:f>IF(COUNTA($A132:$M132)=0,"",IF(OR($U132="Subscription",$U132="Free Game",NOT(ISNUMBER($J132)),$J132=0,$X132=""),"",$X132/$J132))</x:f>
      </x:c>
      <x:c r="Z132" s="118" t="str">
        <x:f>IF(COUNTA($A132:$M132)=0,"",Instructions!$B$29+SUM($W$5:W132))</x:f>
      </x:c>
    </x:row>
    <x:row r="133" ht="30" customHeight="1">
      <x:c r="A133" s="477"/>
      <x:c r="B133" s="482"/>
      <x:c r="C133" s="482"/>
      <x:c r="D133" s="483"/>
      <x:c r="E133" s="483"/>
      <x:c r="F133" s="483"/>
      <x:c r="G133" s="484"/>
      <x:c r="H133" s="484"/>
      <x:c r="I133" s="485"/>
      <x:c r="J133" s="485"/>
      <x:c r="K133" s="484"/>
      <x:c r="L133" s="483"/>
      <x:c r="M133" s="477"/>
      <x:c r="N133" s="112" t="str">
        <x:f>IF(COUNTA($A133:$M133)=0,"",IF(OR(LOWER($F133&amp;"")="subscription",LOWER($F133&amp;"")="membership"),"",IF($G133="","",IF(ISNUMBER(SEARCH("non",LOWER($E133&amp;""))),$G133*0.85,$G133))))</x:f>
      </x:c>
      <x:c r="O133" s="112" t="str">
        <x:f>IF(COUNTA($A133:$M133)=0,"",IF(OR(LOWER($F133&amp;"")="subscription",LOWER($F133&amp;"")="membership"),"",IF(OR($N133="",$I133="",$I133=0),"",IFERROR($N133/$I133,""))))</x:f>
      </x:c>
      <x:c r="P133" s="112" t="str">
        <x:f>IF(COUNTA($A133:$M133)=0,"",IF(OR(LOWER($F133&amp;"")="subscription",LOWER($F133&amp;"")="membership"),"",IF(LOWER($L133&amp;"")="yes",0,IF($K133&lt;&gt;"",$K133,IF($O133&lt;&gt;"",$O133,"")))))</x:f>
      </x:c>
      <x:c r="Q133" s="112" t="str">
        <x:f>IF(COUNTA($A133:$M133)=0,"",IF(OR($U133="Subscription",$U133=""),"",IF($U133="Profit",ROUND($P133-$H133,2),0)))</x:f>
      </x:c>
      <x:c r="R133" s="112" t="str">
        <x:f>IF(COUNTA($A133:$M133)=0,"",IF(OR($U133="Subscription",$U133=""),"",IF($U133="Draw",$H133,0)))</x:f>
      </x:c>
      <x:c r="S133" s="112" t="str">
        <x:f>IF(COUNTA($A133:$M133)=0,"",IF(OR($U133="Subscription",$U133=""),"",IF($U133="Disqualified",$H133,0)))</x:f>
      </x:c>
      <x:c r="T133" s="116" t="str">
        <x:f>IF(COUNTA($A133:$M133)=0,"",IF(OR($U133="Subscription",$U133=""),"",IF($H133=0,0,IF($U133="Profit",$Q133/$H133,IF($U133="Disqualified",-$S133/$H133,0)))))</x:f>
      </x:c>
      <x:c r="U133" s="290" t="str">
        <x:f>IF(COUNTA($A133:$M133)=0,"",IF(OR(LOWER($F133&amp;"")="subscription",LOWER($F133&amp;"")="membership"),"Subscription",IF(LOWER($L133&amp;"")="yes","Disqualified",IF(OR(LOWER($F133&amp;"")="free game",LOWER($F133&amp;"")="free"),IF(AND(ISNUMBER($P133),ISNUMBER($H133),$P133&gt;$H133),"Profit","Free Game"),IF($P133="","",IF(ROUND(IFERROR(VALUE($P133),0)-IFERROR(VALUE($H133),0),2)&gt;0,"Profit","Draw"))))))</x:f>
      </x:c>
      <x:c r="V133" s="144" t="str">
        <x:f>IF(COUNTA($A133:$M133)=0,"",IF(OR($B133="",$C133="",$U133="Subscription"),"",IFERROR(ROUNDUP(($C133-$B133)/7,0),"")))</x:f>
      </x:c>
      <x:c r="W133" s="112" t="str">
        <x:f>IF(COUNTA($A133:$M133)=0,"",IF(OR($U133="Subscription",$U133=""),"",ROUND(IFERROR($Q133,0)-IFERROR($S133,0),2)))</x:f>
      </x:c>
      <x:c r="X133" s="144" t="str">
        <x:f>IF(COUNTA($A133:$M133)=0,"",IF(OR($U133="Subscription",$U133="Free Game",NOT(ISNUMBER($J133)),NOT(ISNUMBER($I133)),$J133=0,$I133=0,$I133&gt;$J133),"",$J133-$I133))</x:f>
      </x:c>
      <x:c r="Y133" s="116" t="str">
        <x:f>IF(COUNTA($A133:$M133)=0,"",IF(OR($U133="Subscription",$U133="Free Game",NOT(ISNUMBER($J133)),$J133=0,$X133=""),"",$X133/$J133))</x:f>
      </x:c>
      <x:c r="Z133" s="118" t="str">
        <x:f>IF(COUNTA($A133:$M133)=0,"",Instructions!$B$29+SUM($W$5:W133))</x:f>
      </x:c>
    </x:row>
    <x:row r="134" ht="30" customHeight="1">
      <x:c r="A134" s="477"/>
      <x:c r="B134" s="482"/>
      <x:c r="C134" s="482"/>
      <x:c r="D134" s="483"/>
      <x:c r="E134" s="483"/>
      <x:c r="F134" s="483"/>
      <x:c r="G134" s="484"/>
      <x:c r="H134" s="484"/>
      <x:c r="I134" s="485"/>
      <x:c r="J134" s="485"/>
      <x:c r="K134" s="484"/>
      <x:c r="L134" s="483"/>
      <x:c r="M134" s="477"/>
      <x:c r="N134" s="112" t="str">
        <x:f>IF(COUNTA($A134:$M134)=0,"",IF(OR(LOWER($F134&amp;"")="subscription",LOWER($F134&amp;"")="membership"),"",IF($G134="","",IF(ISNUMBER(SEARCH("non",LOWER($E134&amp;""))),$G134*0.85,$G134))))</x:f>
      </x:c>
      <x:c r="O134" s="112" t="str">
        <x:f>IF(COUNTA($A134:$M134)=0,"",IF(OR(LOWER($F134&amp;"")="subscription",LOWER($F134&amp;"")="membership"),"",IF(OR($N134="",$I134="",$I134=0),"",IFERROR($N134/$I134,""))))</x:f>
      </x:c>
      <x:c r="P134" s="112" t="str">
        <x:f>IF(COUNTA($A134:$M134)=0,"",IF(OR(LOWER($F134&amp;"")="subscription",LOWER($F134&amp;"")="membership"),"",IF(LOWER($L134&amp;"")="yes",0,IF($K134&lt;&gt;"",$K134,IF($O134&lt;&gt;"",$O134,"")))))</x:f>
      </x:c>
      <x:c r="Q134" s="112" t="str">
        <x:f>IF(COUNTA($A134:$M134)=0,"",IF(OR($U134="Subscription",$U134=""),"",IF($U134="Profit",ROUND($P134-$H134,2),0)))</x:f>
      </x:c>
      <x:c r="R134" s="112" t="str">
        <x:f>IF(COUNTA($A134:$M134)=0,"",IF(OR($U134="Subscription",$U134=""),"",IF($U134="Draw",$H134,0)))</x:f>
      </x:c>
      <x:c r="S134" s="112" t="str">
        <x:f>IF(COUNTA($A134:$M134)=0,"",IF(OR($U134="Subscription",$U134=""),"",IF($U134="Disqualified",$H134,0)))</x:f>
      </x:c>
      <x:c r="T134" s="116" t="str">
        <x:f>IF(COUNTA($A134:$M134)=0,"",IF(OR($U134="Subscription",$U134=""),"",IF($H134=0,0,IF($U134="Profit",$Q134/$H134,IF($U134="Disqualified",-$S134/$H134,0)))))</x:f>
      </x:c>
      <x:c r="U134" s="290" t="str">
        <x:f>IF(COUNTA($A134:$M134)=0,"",IF(OR(LOWER($F134&amp;"")="subscription",LOWER($F134&amp;"")="membership"),"Subscription",IF(LOWER($L134&amp;"")="yes","Disqualified",IF(OR(LOWER($F134&amp;"")="free game",LOWER($F134&amp;"")="free"),IF(AND(ISNUMBER($P134),ISNUMBER($H134),$P134&gt;$H134),"Profit","Free Game"),IF($P134="","",IF(ROUND(IFERROR(VALUE($P134),0)-IFERROR(VALUE($H134),0),2)&gt;0,"Profit","Draw"))))))</x:f>
      </x:c>
      <x:c r="V134" s="144" t="str">
        <x:f>IF(COUNTA($A134:$M134)=0,"",IF(OR($B134="",$C134="",$U134="Subscription"),"",IFERROR(ROUNDUP(($C134-$B134)/7,0),"")))</x:f>
      </x:c>
      <x:c r="W134" s="112" t="str">
        <x:f>IF(COUNTA($A134:$M134)=0,"",IF(OR($U134="Subscription",$U134=""),"",ROUND(IFERROR($Q134,0)-IFERROR($S134,0),2)))</x:f>
      </x:c>
      <x:c r="X134" s="144" t="str">
        <x:f>IF(COUNTA($A134:$M134)=0,"",IF(OR($U134="Subscription",$U134="Free Game",NOT(ISNUMBER($J134)),NOT(ISNUMBER($I134)),$J134=0,$I134=0,$I134&gt;$J134),"",$J134-$I134))</x:f>
      </x:c>
      <x:c r="Y134" s="116" t="str">
        <x:f>IF(COUNTA($A134:$M134)=0,"",IF(OR($U134="Subscription",$U134="Free Game",NOT(ISNUMBER($J134)),$J134=0,$X134=""),"",$X134/$J134))</x:f>
      </x:c>
      <x:c r="Z134" s="118" t="str">
        <x:f>IF(COUNTA($A134:$M134)=0,"",Instructions!$B$29+SUM($W$5:W134))</x:f>
      </x:c>
    </x:row>
    <x:row r="135" ht="30" customHeight="1">
      <x:c r="A135" s="477"/>
      <x:c r="B135" s="482"/>
      <x:c r="C135" s="482"/>
      <x:c r="D135" s="483"/>
      <x:c r="E135" s="483"/>
      <x:c r="F135" s="483"/>
      <x:c r="G135" s="484"/>
      <x:c r="H135" s="484"/>
      <x:c r="I135" s="485"/>
      <x:c r="J135" s="485"/>
      <x:c r="K135" s="484"/>
      <x:c r="L135" s="483"/>
      <x:c r="M135" s="477"/>
      <x:c r="N135" s="112" t="str">
        <x:f>IF(COUNTA($A135:$M135)=0,"",IF(OR(LOWER($F135&amp;"")="subscription",LOWER($F135&amp;"")="membership"),"",IF($G135="","",IF(ISNUMBER(SEARCH("non",LOWER($E135&amp;""))),$G135*0.85,$G135))))</x:f>
      </x:c>
      <x:c r="O135" s="112" t="str">
        <x:f>IF(COUNTA($A135:$M135)=0,"",IF(OR(LOWER($F135&amp;"")="subscription",LOWER($F135&amp;"")="membership"),"",IF(OR($N135="",$I135="",$I135=0),"",IFERROR($N135/$I135,""))))</x:f>
      </x:c>
      <x:c r="P135" s="112" t="str">
        <x:f>IF(COUNTA($A135:$M135)=0,"",IF(OR(LOWER($F135&amp;"")="subscription",LOWER($F135&amp;"")="membership"),"",IF(LOWER($L135&amp;"")="yes",0,IF($K135&lt;&gt;"",$K135,IF($O135&lt;&gt;"",$O135,"")))))</x:f>
      </x:c>
      <x:c r="Q135" s="112" t="str">
        <x:f>IF(COUNTA($A135:$M135)=0,"",IF(OR($U135="Subscription",$U135=""),"",IF($U135="Profit",ROUND($P135-$H135,2),0)))</x:f>
      </x:c>
      <x:c r="R135" s="112" t="str">
        <x:f>IF(COUNTA($A135:$M135)=0,"",IF(OR($U135="Subscription",$U135=""),"",IF($U135="Draw",$H135,0)))</x:f>
      </x:c>
      <x:c r="S135" s="112" t="str">
        <x:f>IF(COUNTA($A135:$M135)=0,"",IF(OR($U135="Subscription",$U135=""),"",IF($U135="Disqualified",$H135,0)))</x:f>
      </x:c>
      <x:c r="T135" s="116" t="str">
        <x:f>IF(COUNTA($A135:$M135)=0,"",IF(OR($U135="Subscription",$U135=""),"",IF($H135=0,0,IF($U135="Profit",$Q135/$H135,IF($U135="Disqualified",-$S135/$H135,0)))))</x:f>
      </x:c>
      <x:c r="U135" s="290" t="str">
        <x:f>IF(COUNTA($A135:$M135)=0,"",IF(OR(LOWER($F135&amp;"")="subscription",LOWER($F135&amp;"")="membership"),"Subscription",IF(LOWER($L135&amp;"")="yes","Disqualified",IF(OR(LOWER($F135&amp;"")="free game",LOWER($F135&amp;"")="free"),IF(AND(ISNUMBER($P135),ISNUMBER($H135),$P135&gt;$H135),"Profit","Free Game"),IF($P135="","",IF(ROUND(IFERROR(VALUE($P135),0)-IFERROR(VALUE($H135),0),2)&gt;0,"Profit","Draw"))))))</x:f>
      </x:c>
      <x:c r="V135" s="144" t="str">
        <x:f>IF(COUNTA($A135:$M135)=0,"",IF(OR($B135="",$C135="",$U135="Subscription"),"",IFERROR(ROUNDUP(($C135-$B135)/7,0),"")))</x:f>
      </x:c>
      <x:c r="W135" s="112" t="str">
        <x:f>IF(COUNTA($A135:$M135)=0,"",IF(OR($U135="Subscription",$U135=""),"",ROUND(IFERROR($Q135,0)-IFERROR($S135,0),2)))</x:f>
      </x:c>
      <x:c r="X135" s="144" t="str">
        <x:f>IF(COUNTA($A135:$M135)=0,"",IF(OR($U135="Subscription",$U135="Free Game",NOT(ISNUMBER($J135)),NOT(ISNUMBER($I135)),$J135=0,$I135=0,$I135&gt;$J135),"",$J135-$I135))</x:f>
      </x:c>
      <x:c r="Y135" s="116" t="str">
        <x:f>IF(COUNTA($A135:$M135)=0,"",IF(OR($U135="Subscription",$U135="Free Game",NOT(ISNUMBER($J135)),$J135=0,$X135=""),"",$X135/$J135))</x:f>
      </x:c>
      <x:c r="Z135" s="118" t="str">
        <x:f>IF(COUNTA($A135:$M135)=0,"",Instructions!$B$29+SUM($W$5:W135))</x:f>
      </x:c>
    </x:row>
    <x:row r="136" ht="30" customHeight="1">
      <x:c r="A136" s="477"/>
      <x:c r="B136" s="482"/>
      <x:c r="C136" s="482"/>
      <x:c r="D136" s="483"/>
      <x:c r="E136" s="483"/>
      <x:c r="F136" s="483"/>
      <x:c r="G136" s="484"/>
      <x:c r="H136" s="484"/>
      <x:c r="I136" s="485"/>
      <x:c r="J136" s="485"/>
      <x:c r="K136" s="484"/>
      <x:c r="L136" s="483"/>
      <x:c r="M136" s="477"/>
      <x:c r="N136" s="112" t="str">
        <x:f>IF(COUNTA($A136:$M136)=0,"",IF(OR(LOWER($F136&amp;"")="subscription",LOWER($F136&amp;"")="membership"),"",IF($G136="","",IF(ISNUMBER(SEARCH("non",LOWER($E136&amp;""))),$G136*0.85,$G136))))</x:f>
      </x:c>
      <x:c r="O136" s="112" t="str">
        <x:f>IF(COUNTA($A136:$M136)=0,"",IF(OR(LOWER($F136&amp;"")="subscription",LOWER($F136&amp;"")="membership"),"",IF(OR($N136="",$I136="",$I136=0),"",IFERROR($N136/$I136,""))))</x:f>
      </x:c>
      <x:c r="P136" s="112" t="str">
        <x:f>IF(COUNTA($A136:$M136)=0,"",IF(OR(LOWER($F136&amp;"")="subscription",LOWER($F136&amp;"")="membership"),"",IF(LOWER($L136&amp;"")="yes",0,IF($K136&lt;&gt;"",$K136,IF($O136&lt;&gt;"",$O136,"")))))</x:f>
      </x:c>
      <x:c r="Q136" s="112" t="str">
        <x:f>IF(COUNTA($A136:$M136)=0,"",IF(OR($U136="Subscription",$U136=""),"",IF($U136="Profit",ROUND($P136-$H136,2),0)))</x:f>
      </x:c>
      <x:c r="R136" s="112" t="str">
        <x:f>IF(COUNTA($A136:$M136)=0,"",IF(OR($U136="Subscription",$U136=""),"",IF($U136="Draw",$H136,0)))</x:f>
      </x:c>
      <x:c r="S136" s="112" t="str">
        <x:f>IF(COUNTA($A136:$M136)=0,"",IF(OR($U136="Subscription",$U136=""),"",IF($U136="Disqualified",$H136,0)))</x:f>
      </x:c>
      <x:c r="T136" s="116" t="str">
        <x:f>IF(COUNTA($A136:$M136)=0,"",IF(OR($U136="Subscription",$U136=""),"",IF($H136=0,0,IF($U136="Profit",$Q136/$H136,IF($U136="Disqualified",-$S136/$H136,0)))))</x:f>
      </x:c>
      <x:c r="U136" s="290" t="str">
        <x:f>IF(COUNTA($A136:$M136)=0,"",IF(OR(LOWER($F136&amp;"")="subscription",LOWER($F136&amp;"")="membership"),"Subscription",IF(LOWER($L136&amp;"")="yes","Disqualified",IF(OR(LOWER($F136&amp;"")="free game",LOWER($F136&amp;"")="free"),IF(AND(ISNUMBER($P136),ISNUMBER($H136),$P136&gt;$H136),"Profit","Free Game"),IF($P136="","",IF(ROUND(IFERROR(VALUE($P136),0)-IFERROR(VALUE($H136),0),2)&gt;0,"Profit","Draw"))))))</x:f>
      </x:c>
      <x:c r="V136" s="144" t="str">
        <x:f>IF(COUNTA($A136:$M136)=0,"",IF(OR($B136="",$C136="",$U136="Subscription"),"",IFERROR(ROUNDUP(($C136-$B136)/7,0),"")))</x:f>
      </x:c>
      <x:c r="W136" s="112" t="str">
        <x:f>IF(COUNTA($A136:$M136)=0,"",IF(OR($U136="Subscription",$U136=""),"",ROUND(IFERROR($Q136,0)-IFERROR($S136,0),2)))</x:f>
      </x:c>
      <x:c r="X136" s="144" t="str">
        <x:f>IF(COUNTA($A136:$M136)=0,"",IF(OR($U136="Subscription",$U136="Free Game",NOT(ISNUMBER($J136)),NOT(ISNUMBER($I136)),$J136=0,$I136=0,$I136&gt;$J136),"",$J136-$I136))</x:f>
      </x:c>
      <x:c r="Y136" s="116" t="str">
        <x:f>IF(COUNTA($A136:$M136)=0,"",IF(OR($U136="Subscription",$U136="Free Game",NOT(ISNUMBER($J136)),$J136=0,$X136=""),"",$X136/$J136))</x:f>
      </x:c>
      <x:c r="Z136" s="118" t="str">
        <x:f>IF(COUNTA($A136:$M136)=0,"",Instructions!$B$29+SUM($W$5:W136))</x:f>
      </x:c>
    </x:row>
    <x:row r="137" ht="30" customHeight="1">
      <x:c r="A137" s="477"/>
      <x:c r="B137" s="482"/>
      <x:c r="C137" s="482"/>
      <x:c r="D137" s="483"/>
      <x:c r="E137" s="483"/>
      <x:c r="F137" s="483"/>
      <x:c r="G137" s="484"/>
      <x:c r="H137" s="484"/>
      <x:c r="I137" s="485"/>
      <x:c r="J137" s="485"/>
      <x:c r="K137" s="484"/>
      <x:c r="L137" s="483"/>
      <x:c r="M137" s="477"/>
      <x:c r="N137" s="112" t="str">
        <x:f>IF(COUNTA($A137:$M137)=0,"",IF(OR(LOWER($F137&amp;"")="subscription",LOWER($F137&amp;"")="membership"),"",IF($G137="","",IF(ISNUMBER(SEARCH("non",LOWER($E137&amp;""))),$G137*0.85,$G137))))</x:f>
      </x:c>
      <x:c r="O137" s="112" t="str">
        <x:f>IF(COUNTA($A137:$M137)=0,"",IF(OR(LOWER($F137&amp;"")="subscription",LOWER($F137&amp;"")="membership"),"",IF(OR($N137="",$I137="",$I137=0),"",IFERROR($N137/$I137,""))))</x:f>
      </x:c>
      <x:c r="P137" s="112" t="str">
        <x:f>IF(COUNTA($A137:$M137)=0,"",IF(OR(LOWER($F137&amp;"")="subscription",LOWER($F137&amp;"")="membership"),"",IF(LOWER($L137&amp;"")="yes",0,IF($K137&lt;&gt;"",$K137,IF($O137&lt;&gt;"",$O137,"")))))</x:f>
      </x:c>
      <x:c r="Q137" s="112" t="str">
        <x:f>IF(COUNTA($A137:$M137)=0,"",IF(OR($U137="Subscription",$U137=""),"",IF($U137="Profit",ROUND($P137-$H137,2),0)))</x:f>
      </x:c>
      <x:c r="R137" s="112" t="str">
        <x:f>IF(COUNTA($A137:$M137)=0,"",IF(OR($U137="Subscription",$U137=""),"",IF($U137="Draw",$H137,0)))</x:f>
      </x:c>
      <x:c r="S137" s="112" t="str">
        <x:f>IF(COUNTA($A137:$M137)=0,"",IF(OR($U137="Subscription",$U137=""),"",IF($U137="Disqualified",$H137,0)))</x:f>
      </x:c>
      <x:c r="T137" s="116" t="str">
        <x:f>IF(COUNTA($A137:$M137)=0,"",IF(OR($U137="Subscription",$U137=""),"",IF($H137=0,0,IF($U137="Profit",$Q137/$H137,IF($U137="Disqualified",-$S137/$H137,0)))))</x:f>
      </x:c>
      <x:c r="U137" s="290" t="str">
        <x:f>IF(COUNTA($A137:$M137)=0,"",IF(OR(LOWER($F137&amp;"")="subscription",LOWER($F137&amp;"")="membership"),"Subscription",IF(LOWER($L137&amp;"")="yes","Disqualified",IF(OR(LOWER($F137&amp;"")="free game",LOWER($F137&amp;"")="free"),IF(AND(ISNUMBER($P137),ISNUMBER($H137),$P137&gt;$H137),"Profit","Free Game"),IF($P137="","",IF(ROUND(IFERROR(VALUE($P137),0)-IFERROR(VALUE($H137),0),2)&gt;0,"Profit","Draw"))))))</x:f>
      </x:c>
      <x:c r="V137" s="144" t="str">
        <x:f>IF(COUNTA($A137:$M137)=0,"",IF(OR($B137="",$C137="",$U137="Subscription"),"",IFERROR(ROUNDUP(($C137-$B137)/7,0),"")))</x:f>
      </x:c>
      <x:c r="W137" s="112" t="str">
        <x:f>IF(COUNTA($A137:$M137)=0,"",IF(OR($U137="Subscription",$U137=""),"",ROUND(IFERROR($Q137,0)-IFERROR($S137,0),2)))</x:f>
      </x:c>
      <x:c r="X137" s="144" t="str">
        <x:f>IF(COUNTA($A137:$M137)=0,"",IF(OR($U137="Subscription",$U137="Free Game",NOT(ISNUMBER($J137)),NOT(ISNUMBER($I137)),$J137=0,$I137=0,$I137&gt;$J137),"",$J137-$I137))</x:f>
      </x:c>
      <x:c r="Y137" s="116" t="str">
        <x:f>IF(COUNTA($A137:$M137)=0,"",IF(OR($U137="Subscription",$U137="Free Game",NOT(ISNUMBER($J137)),$J137=0,$X137=""),"",$X137/$J137))</x:f>
      </x:c>
      <x:c r="Z137" s="118" t="str">
        <x:f>IF(COUNTA($A137:$M137)=0,"",Instructions!$B$29+SUM($W$5:W137))</x:f>
      </x:c>
    </x:row>
    <x:row r="138" ht="30" customHeight="1">
      <x:c r="A138" s="477"/>
      <x:c r="B138" s="482"/>
      <x:c r="C138" s="482"/>
      <x:c r="D138" s="483"/>
      <x:c r="E138" s="483"/>
      <x:c r="F138" s="483"/>
      <x:c r="G138" s="484"/>
      <x:c r="H138" s="484"/>
      <x:c r="I138" s="485"/>
      <x:c r="J138" s="485"/>
      <x:c r="K138" s="484"/>
      <x:c r="L138" s="483"/>
      <x:c r="M138" s="477"/>
      <x:c r="N138" s="112" t="str">
        <x:f>IF(COUNTA($A138:$M138)=0,"",IF(OR(LOWER($F138&amp;"")="subscription",LOWER($F138&amp;"")="membership"),"",IF($G138="","",IF(ISNUMBER(SEARCH("non",LOWER($E138&amp;""))),$G138*0.85,$G138))))</x:f>
      </x:c>
      <x:c r="O138" s="112" t="str">
        <x:f>IF(COUNTA($A138:$M138)=0,"",IF(OR(LOWER($F138&amp;"")="subscription",LOWER($F138&amp;"")="membership"),"",IF(OR($N138="",$I138="",$I138=0),"",IFERROR($N138/$I138,""))))</x:f>
      </x:c>
      <x:c r="P138" s="112" t="str">
        <x:f>IF(COUNTA($A138:$M138)=0,"",IF(OR(LOWER($F138&amp;"")="subscription",LOWER($F138&amp;"")="membership"),"",IF(LOWER($L138&amp;"")="yes",0,IF($K138&lt;&gt;"",$K138,IF($O138&lt;&gt;"",$O138,"")))))</x:f>
      </x:c>
      <x:c r="Q138" s="112" t="str">
        <x:f>IF(COUNTA($A138:$M138)=0,"",IF(OR($U138="Subscription",$U138=""),"",IF($U138="Profit",ROUND($P138-$H138,2),0)))</x:f>
      </x:c>
      <x:c r="R138" s="112" t="str">
        <x:f>IF(COUNTA($A138:$M138)=0,"",IF(OR($U138="Subscription",$U138=""),"",IF($U138="Draw",$H138,0)))</x:f>
      </x:c>
      <x:c r="S138" s="112" t="str">
        <x:f>IF(COUNTA($A138:$M138)=0,"",IF(OR($U138="Subscription",$U138=""),"",IF($U138="Disqualified",$H138,0)))</x:f>
      </x:c>
      <x:c r="T138" s="116" t="str">
        <x:f>IF(COUNTA($A138:$M138)=0,"",IF(OR($U138="Subscription",$U138=""),"",IF($H138=0,0,IF($U138="Profit",$Q138/$H138,IF($U138="Disqualified",-$S138/$H138,0)))))</x:f>
      </x:c>
      <x:c r="U138" s="290" t="str">
        <x:f>IF(COUNTA($A138:$M138)=0,"",IF(OR(LOWER($F138&amp;"")="subscription",LOWER($F138&amp;"")="membership"),"Subscription",IF(LOWER($L138&amp;"")="yes","Disqualified",IF(OR(LOWER($F138&amp;"")="free game",LOWER($F138&amp;"")="free"),IF(AND(ISNUMBER($P138),ISNUMBER($H138),$P138&gt;$H138),"Profit","Free Game"),IF($P138="","",IF(ROUND(IFERROR(VALUE($P138),0)-IFERROR(VALUE($H138),0),2)&gt;0,"Profit","Draw"))))))</x:f>
      </x:c>
      <x:c r="V138" s="144" t="str">
        <x:f>IF(COUNTA($A138:$M138)=0,"",IF(OR($B138="",$C138="",$U138="Subscription"),"",IFERROR(ROUNDUP(($C138-$B138)/7,0),"")))</x:f>
      </x:c>
      <x:c r="W138" s="112" t="str">
        <x:f>IF(COUNTA($A138:$M138)=0,"",IF(OR($U138="Subscription",$U138=""),"",ROUND(IFERROR($Q138,0)-IFERROR($S138,0),2)))</x:f>
      </x:c>
      <x:c r="X138" s="144" t="str">
        <x:f>IF(COUNTA($A138:$M138)=0,"",IF(OR($U138="Subscription",$U138="Free Game",NOT(ISNUMBER($J138)),NOT(ISNUMBER($I138)),$J138=0,$I138=0,$I138&gt;$J138),"",$J138-$I138))</x:f>
      </x:c>
      <x:c r="Y138" s="116" t="str">
        <x:f>IF(COUNTA($A138:$M138)=0,"",IF(OR($U138="Subscription",$U138="Free Game",NOT(ISNUMBER($J138)),$J138=0,$X138=""),"",$X138/$J138))</x:f>
      </x:c>
      <x:c r="Z138" s="118" t="str">
        <x:f>IF(COUNTA($A138:$M138)=0,"",Instructions!$B$29+SUM($W$5:W138))</x:f>
      </x:c>
    </x:row>
    <x:row r="139" ht="30" customHeight="1">
      <x:c r="A139" s="477"/>
      <x:c r="B139" s="482"/>
      <x:c r="C139" s="482"/>
      <x:c r="D139" s="483"/>
      <x:c r="E139" s="483"/>
      <x:c r="F139" s="483"/>
      <x:c r="G139" s="484"/>
      <x:c r="H139" s="484"/>
      <x:c r="I139" s="485"/>
      <x:c r="J139" s="485"/>
      <x:c r="K139" s="484"/>
      <x:c r="L139" s="483"/>
      <x:c r="M139" s="477"/>
      <x:c r="N139" s="112" t="str">
        <x:f>IF(COUNTA($A139:$M139)=0,"",IF(OR(LOWER($F139&amp;"")="subscription",LOWER($F139&amp;"")="membership"),"",IF($G139="","",IF(ISNUMBER(SEARCH("non",LOWER($E139&amp;""))),$G139*0.85,$G139))))</x:f>
      </x:c>
      <x:c r="O139" s="112" t="str">
        <x:f>IF(COUNTA($A139:$M139)=0,"",IF(OR(LOWER($F139&amp;"")="subscription",LOWER($F139&amp;"")="membership"),"",IF(OR($N139="",$I139="",$I139=0),"",IFERROR($N139/$I139,""))))</x:f>
      </x:c>
      <x:c r="P139" s="112" t="str">
        <x:f>IF(COUNTA($A139:$M139)=0,"",IF(OR(LOWER($F139&amp;"")="subscription",LOWER($F139&amp;"")="membership"),"",IF(LOWER($L139&amp;"")="yes",0,IF($K139&lt;&gt;"",$K139,IF($O139&lt;&gt;"",$O139,"")))))</x:f>
      </x:c>
      <x:c r="Q139" s="112" t="str">
        <x:f>IF(COUNTA($A139:$M139)=0,"",IF(OR($U139="Subscription",$U139=""),"",IF($U139="Profit",ROUND($P139-$H139,2),0)))</x:f>
      </x:c>
      <x:c r="R139" s="112" t="str">
        <x:f>IF(COUNTA($A139:$M139)=0,"",IF(OR($U139="Subscription",$U139=""),"",IF($U139="Draw",$H139,0)))</x:f>
      </x:c>
      <x:c r="S139" s="112" t="str">
        <x:f>IF(COUNTA($A139:$M139)=0,"",IF(OR($U139="Subscription",$U139=""),"",IF($U139="Disqualified",$H139,0)))</x:f>
      </x:c>
      <x:c r="T139" s="116" t="str">
        <x:f>IF(COUNTA($A139:$M139)=0,"",IF(OR($U139="Subscription",$U139=""),"",IF($H139=0,0,IF($U139="Profit",$Q139/$H139,IF($U139="Disqualified",-$S139/$H139,0)))))</x:f>
      </x:c>
      <x:c r="U139" s="290" t="str">
        <x:f>IF(COUNTA($A139:$M139)=0,"",IF(OR(LOWER($F139&amp;"")="subscription",LOWER($F139&amp;"")="membership"),"Subscription",IF(LOWER($L139&amp;"")="yes","Disqualified",IF(OR(LOWER($F139&amp;"")="free game",LOWER($F139&amp;"")="free"),IF(AND(ISNUMBER($P139),ISNUMBER($H139),$P139&gt;$H139),"Profit","Free Game"),IF($P139="","",IF(ROUND(IFERROR(VALUE($P139),0)-IFERROR(VALUE($H139),0),2)&gt;0,"Profit","Draw"))))))</x:f>
      </x:c>
      <x:c r="V139" s="144" t="str">
        <x:f>IF(COUNTA($A139:$M139)=0,"",IF(OR($B139="",$C139="",$U139="Subscription"),"",IFERROR(ROUNDUP(($C139-$B139)/7,0),"")))</x:f>
      </x:c>
      <x:c r="W139" s="112" t="str">
        <x:f>IF(COUNTA($A139:$M139)=0,"",IF(OR($U139="Subscription",$U139=""),"",ROUND(IFERROR($Q139,0)-IFERROR($S139,0),2)))</x:f>
      </x:c>
      <x:c r="X139" s="144" t="str">
        <x:f>IF(COUNTA($A139:$M139)=0,"",IF(OR($U139="Subscription",$U139="Free Game",NOT(ISNUMBER($J139)),NOT(ISNUMBER($I139)),$J139=0,$I139=0,$I139&gt;$J139),"",$J139-$I139))</x:f>
      </x:c>
      <x:c r="Y139" s="116" t="str">
        <x:f>IF(COUNTA($A139:$M139)=0,"",IF(OR($U139="Subscription",$U139="Free Game",NOT(ISNUMBER($J139)),$J139=0,$X139=""),"",$X139/$J139))</x:f>
      </x:c>
      <x:c r="Z139" s="118" t="str">
        <x:f>IF(COUNTA($A139:$M139)=0,"",Instructions!$B$29+SUM($W$5:W139))</x:f>
      </x:c>
    </x:row>
    <x:row r="140" ht="30" customHeight="1">
      <x:c r="A140" s="477"/>
      <x:c r="B140" s="482"/>
      <x:c r="C140" s="482"/>
      <x:c r="D140" s="483"/>
      <x:c r="E140" s="483"/>
      <x:c r="F140" s="483"/>
      <x:c r="G140" s="484"/>
      <x:c r="H140" s="484"/>
      <x:c r="I140" s="485"/>
      <x:c r="J140" s="485"/>
      <x:c r="K140" s="484"/>
      <x:c r="L140" s="483"/>
      <x:c r="M140" s="477"/>
      <x:c r="N140" s="112" t="str">
        <x:f>IF(COUNTA($A140:$M140)=0,"",IF(OR(LOWER($F140&amp;"")="subscription",LOWER($F140&amp;"")="membership"),"",IF($G140="","",IF(ISNUMBER(SEARCH("non",LOWER($E140&amp;""))),$G140*0.85,$G140))))</x:f>
      </x:c>
      <x:c r="O140" s="112" t="str">
        <x:f>IF(COUNTA($A140:$M140)=0,"",IF(OR(LOWER($F140&amp;"")="subscription",LOWER($F140&amp;"")="membership"),"",IF(OR($N140="",$I140="",$I140=0),"",IFERROR($N140/$I140,""))))</x:f>
      </x:c>
      <x:c r="P140" s="112" t="str">
        <x:f>IF(COUNTA($A140:$M140)=0,"",IF(OR(LOWER($F140&amp;"")="subscription",LOWER($F140&amp;"")="membership"),"",IF(LOWER($L140&amp;"")="yes",0,IF($K140&lt;&gt;"",$K140,IF($O140&lt;&gt;"",$O140,"")))))</x:f>
      </x:c>
      <x:c r="Q140" s="112" t="str">
        <x:f>IF(COUNTA($A140:$M140)=0,"",IF(OR($U140="Subscription",$U140=""),"",IF($U140="Profit",ROUND($P140-$H140,2),0)))</x:f>
      </x:c>
      <x:c r="R140" s="112" t="str">
        <x:f>IF(COUNTA($A140:$M140)=0,"",IF(OR($U140="Subscription",$U140=""),"",IF($U140="Draw",$H140,0)))</x:f>
      </x:c>
      <x:c r="S140" s="112" t="str">
        <x:f>IF(COUNTA($A140:$M140)=0,"",IF(OR($U140="Subscription",$U140=""),"",IF($U140="Disqualified",$H140,0)))</x:f>
      </x:c>
      <x:c r="T140" s="116" t="str">
        <x:f>IF(COUNTA($A140:$M140)=0,"",IF(OR($U140="Subscription",$U140=""),"",IF($H140=0,0,IF($U140="Profit",$Q140/$H140,IF($U140="Disqualified",-$S140/$H140,0)))))</x:f>
      </x:c>
      <x:c r="U140" s="290" t="str">
        <x:f>IF(COUNTA($A140:$M140)=0,"",IF(OR(LOWER($F140&amp;"")="subscription",LOWER($F140&amp;"")="membership"),"Subscription",IF(LOWER($L140&amp;"")="yes","Disqualified",IF(OR(LOWER($F140&amp;"")="free game",LOWER($F140&amp;"")="free"),IF(AND(ISNUMBER($P140),ISNUMBER($H140),$P140&gt;$H140),"Profit","Free Game"),IF($P140="","",IF(ROUND(IFERROR(VALUE($P140),0)-IFERROR(VALUE($H140),0),2)&gt;0,"Profit","Draw"))))))</x:f>
      </x:c>
      <x:c r="V140" s="144" t="str">
        <x:f>IF(COUNTA($A140:$M140)=0,"",IF(OR($B140="",$C140="",$U140="Subscription"),"",IFERROR(ROUNDUP(($C140-$B140)/7,0),"")))</x:f>
      </x:c>
      <x:c r="W140" s="112" t="str">
        <x:f>IF(COUNTA($A140:$M140)=0,"",IF(OR($U140="Subscription",$U140=""),"",ROUND(IFERROR($Q140,0)-IFERROR($S140,0),2)))</x:f>
      </x:c>
      <x:c r="X140" s="144" t="str">
        <x:f>IF(COUNTA($A140:$M140)=0,"",IF(OR($U140="Subscription",$U140="Free Game",NOT(ISNUMBER($J140)),NOT(ISNUMBER($I140)),$J140=0,$I140=0,$I140&gt;$J140),"",$J140-$I140))</x:f>
      </x:c>
      <x:c r="Y140" s="116" t="str">
        <x:f>IF(COUNTA($A140:$M140)=0,"",IF(OR($U140="Subscription",$U140="Free Game",NOT(ISNUMBER($J140)),$J140=0,$X140=""),"",$X140/$J140))</x:f>
      </x:c>
      <x:c r="Z140" s="118" t="str">
        <x:f>IF(COUNTA($A140:$M140)=0,"",Instructions!$B$29+SUM($W$5:W140))</x:f>
      </x:c>
    </x:row>
    <x:row r="141" ht="30" customHeight="1">
      <x:c r="A141" s="477"/>
      <x:c r="B141" s="482"/>
      <x:c r="C141" s="482"/>
      <x:c r="D141" s="483"/>
      <x:c r="E141" s="483"/>
      <x:c r="F141" s="483"/>
      <x:c r="G141" s="484"/>
      <x:c r="H141" s="484"/>
      <x:c r="I141" s="485"/>
      <x:c r="J141" s="485"/>
      <x:c r="K141" s="484"/>
      <x:c r="L141" s="483"/>
      <x:c r="M141" s="477"/>
      <x:c r="N141" s="112" t="str">
        <x:f>IF(COUNTA($A141:$M141)=0,"",IF(OR(LOWER($F141&amp;"")="subscription",LOWER($F141&amp;"")="membership"),"",IF($G141="","",IF(ISNUMBER(SEARCH("non",LOWER($E141&amp;""))),$G141*0.85,$G141))))</x:f>
      </x:c>
      <x:c r="O141" s="112" t="str">
        <x:f>IF(COUNTA($A141:$M141)=0,"",IF(OR(LOWER($F141&amp;"")="subscription",LOWER($F141&amp;"")="membership"),"",IF(OR($N141="",$I141="",$I141=0),"",IFERROR($N141/$I141,""))))</x:f>
      </x:c>
      <x:c r="P141" s="112" t="str">
        <x:f>IF(COUNTA($A141:$M141)=0,"",IF(OR(LOWER($F141&amp;"")="subscription",LOWER($F141&amp;"")="membership"),"",IF(LOWER($L141&amp;"")="yes",0,IF($K141&lt;&gt;"",$K141,IF($O141&lt;&gt;"",$O141,"")))))</x:f>
      </x:c>
      <x:c r="Q141" s="112" t="str">
        <x:f>IF(COUNTA($A141:$M141)=0,"",IF(OR($U141="Subscription",$U141=""),"",IF($U141="Profit",ROUND($P141-$H141,2),0)))</x:f>
      </x:c>
      <x:c r="R141" s="112" t="str">
        <x:f>IF(COUNTA($A141:$M141)=0,"",IF(OR($U141="Subscription",$U141=""),"",IF($U141="Draw",$H141,0)))</x:f>
      </x:c>
      <x:c r="S141" s="112" t="str">
        <x:f>IF(COUNTA($A141:$M141)=0,"",IF(OR($U141="Subscription",$U141=""),"",IF($U141="Disqualified",$H141,0)))</x:f>
      </x:c>
      <x:c r="T141" s="116" t="str">
        <x:f>IF(COUNTA($A141:$M141)=0,"",IF(OR($U141="Subscription",$U141=""),"",IF($H141=0,0,IF($U141="Profit",$Q141/$H141,IF($U141="Disqualified",-$S141/$H141,0)))))</x:f>
      </x:c>
      <x:c r="U141" s="290" t="str">
        <x:f>IF(COUNTA($A141:$M141)=0,"",IF(OR(LOWER($F141&amp;"")="subscription",LOWER($F141&amp;"")="membership"),"Subscription",IF(LOWER($L141&amp;"")="yes","Disqualified",IF(OR(LOWER($F141&amp;"")="free game",LOWER($F141&amp;"")="free"),IF(AND(ISNUMBER($P141),ISNUMBER($H141),$P141&gt;$H141),"Profit","Free Game"),IF($P141="","",IF(ROUND(IFERROR(VALUE($P141),0)-IFERROR(VALUE($H141),0),2)&gt;0,"Profit","Draw"))))))</x:f>
      </x:c>
      <x:c r="V141" s="144" t="str">
        <x:f>IF(COUNTA($A141:$M141)=0,"",IF(OR($B141="",$C141="",$U141="Subscription"),"",IFERROR(ROUNDUP(($C141-$B141)/7,0),"")))</x:f>
      </x:c>
      <x:c r="W141" s="112" t="str">
        <x:f>IF(COUNTA($A141:$M141)=0,"",IF(OR($U141="Subscription",$U141=""),"",ROUND(IFERROR($Q141,0)-IFERROR($S141,0),2)))</x:f>
      </x:c>
      <x:c r="X141" s="144" t="str">
        <x:f>IF(COUNTA($A141:$M141)=0,"",IF(OR($U141="Subscription",$U141="Free Game",NOT(ISNUMBER($J141)),NOT(ISNUMBER($I141)),$J141=0,$I141=0,$I141&gt;$J141),"",$J141-$I141))</x:f>
      </x:c>
      <x:c r="Y141" s="116" t="str">
        <x:f>IF(COUNTA($A141:$M141)=0,"",IF(OR($U141="Subscription",$U141="Free Game",NOT(ISNUMBER($J141)),$J141=0,$X141=""),"",$X141/$J141))</x:f>
      </x:c>
      <x:c r="Z141" s="118" t="str">
        <x:f>IF(COUNTA($A141:$M141)=0,"",Instructions!$B$29+SUM($W$5:W141))</x:f>
      </x:c>
    </x:row>
    <x:row r="142" ht="30" customHeight="1">
      <x:c r="A142" s="477"/>
      <x:c r="B142" s="482"/>
      <x:c r="C142" s="482"/>
      <x:c r="D142" s="483"/>
      <x:c r="E142" s="483"/>
      <x:c r="F142" s="483"/>
      <x:c r="G142" s="484"/>
      <x:c r="H142" s="484"/>
      <x:c r="I142" s="485"/>
      <x:c r="J142" s="485"/>
      <x:c r="K142" s="484"/>
      <x:c r="L142" s="483"/>
      <x:c r="M142" s="477"/>
      <x:c r="N142" s="112" t="str">
        <x:f>IF(COUNTA($A142:$M142)=0,"",IF(OR(LOWER($F142&amp;"")="subscription",LOWER($F142&amp;"")="membership"),"",IF($G142="","",IF(ISNUMBER(SEARCH("non",LOWER($E142&amp;""))),$G142*0.85,$G142))))</x:f>
      </x:c>
      <x:c r="O142" s="112" t="str">
        <x:f>IF(COUNTA($A142:$M142)=0,"",IF(OR(LOWER($F142&amp;"")="subscription",LOWER($F142&amp;"")="membership"),"",IF(OR($N142="",$I142="",$I142=0),"",IFERROR($N142/$I142,""))))</x:f>
      </x:c>
      <x:c r="P142" s="112" t="str">
        <x:f>IF(COUNTA($A142:$M142)=0,"",IF(OR(LOWER($F142&amp;"")="subscription",LOWER($F142&amp;"")="membership"),"",IF(LOWER($L142&amp;"")="yes",0,IF($K142&lt;&gt;"",$K142,IF($O142&lt;&gt;"",$O142,"")))))</x:f>
      </x:c>
      <x:c r="Q142" s="112" t="str">
        <x:f>IF(COUNTA($A142:$M142)=0,"",IF(OR($U142="Subscription",$U142=""),"",IF($U142="Profit",ROUND($P142-$H142,2),0)))</x:f>
      </x:c>
      <x:c r="R142" s="112" t="str">
        <x:f>IF(COUNTA($A142:$M142)=0,"",IF(OR($U142="Subscription",$U142=""),"",IF($U142="Draw",$H142,0)))</x:f>
      </x:c>
      <x:c r="S142" s="112" t="str">
        <x:f>IF(COUNTA($A142:$M142)=0,"",IF(OR($U142="Subscription",$U142=""),"",IF($U142="Disqualified",$H142,0)))</x:f>
      </x:c>
      <x:c r="T142" s="116" t="str">
        <x:f>IF(COUNTA($A142:$M142)=0,"",IF(OR($U142="Subscription",$U142=""),"",IF($H142=0,0,IF($U142="Profit",$Q142/$H142,IF($U142="Disqualified",-$S142/$H142,0)))))</x:f>
      </x:c>
      <x:c r="U142" s="290" t="str">
        <x:f>IF(COUNTA($A142:$M142)=0,"",IF(OR(LOWER($F142&amp;"")="subscription",LOWER($F142&amp;"")="membership"),"Subscription",IF(LOWER($L142&amp;"")="yes","Disqualified",IF(OR(LOWER($F142&amp;"")="free game",LOWER($F142&amp;"")="free"),IF(AND(ISNUMBER($P142),ISNUMBER($H142),$P142&gt;$H142),"Profit","Free Game"),IF($P142="","",IF(ROUND(IFERROR(VALUE($P142),0)-IFERROR(VALUE($H142),0),2)&gt;0,"Profit","Draw"))))))</x:f>
      </x:c>
      <x:c r="V142" s="144" t="str">
        <x:f>IF(COUNTA($A142:$M142)=0,"",IF(OR($B142="",$C142="",$U142="Subscription"),"",IFERROR(ROUNDUP(($C142-$B142)/7,0),"")))</x:f>
      </x:c>
      <x:c r="W142" s="112" t="str">
        <x:f>IF(COUNTA($A142:$M142)=0,"",IF(OR($U142="Subscription",$U142=""),"",ROUND(IFERROR($Q142,0)-IFERROR($S142,0),2)))</x:f>
      </x:c>
      <x:c r="X142" s="144" t="str">
        <x:f>IF(COUNTA($A142:$M142)=0,"",IF(OR($U142="Subscription",$U142="Free Game",NOT(ISNUMBER($J142)),NOT(ISNUMBER($I142)),$J142=0,$I142=0,$I142&gt;$J142),"",$J142-$I142))</x:f>
      </x:c>
      <x:c r="Y142" s="116" t="str">
        <x:f>IF(COUNTA($A142:$M142)=0,"",IF(OR($U142="Subscription",$U142="Free Game",NOT(ISNUMBER($J142)),$J142=0,$X142=""),"",$X142/$J142))</x:f>
      </x:c>
      <x:c r="Z142" s="118" t="str">
        <x:f>IF(COUNTA($A142:$M142)=0,"",Instructions!$B$29+SUM($W$5:W142))</x:f>
      </x:c>
    </x:row>
    <x:row r="143" ht="30" customHeight="1">
      <x:c r="A143" s="477"/>
      <x:c r="B143" s="482"/>
      <x:c r="C143" s="482"/>
      <x:c r="D143" s="483"/>
      <x:c r="E143" s="483"/>
      <x:c r="F143" s="483"/>
      <x:c r="G143" s="484"/>
      <x:c r="H143" s="484"/>
      <x:c r="I143" s="485"/>
      <x:c r="J143" s="485"/>
      <x:c r="K143" s="484"/>
      <x:c r="L143" s="483"/>
      <x:c r="M143" s="477"/>
      <x:c r="N143" s="112" t="str">
        <x:f>IF(COUNTA($A143:$M143)=0,"",IF(OR(LOWER($F143&amp;"")="subscription",LOWER($F143&amp;"")="membership"),"",IF($G143="","",IF(ISNUMBER(SEARCH("non",LOWER($E143&amp;""))),$G143*0.85,$G143))))</x:f>
      </x:c>
      <x:c r="O143" s="112" t="str">
        <x:f>IF(COUNTA($A143:$M143)=0,"",IF(OR(LOWER($F143&amp;"")="subscription",LOWER($F143&amp;"")="membership"),"",IF(OR($N143="",$I143="",$I143=0),"",IFERROR($N143/$I143,""))))</x:f>
      </x:c>
      <x:c r="P143" s="112" t="str">
        <x:f>IF(COUNTA($A143:$M143)=0,"",IF(OR(LOWER($F143&amp;"")="subscription",LOWER($F143&amp;"")="membership"),"",IF(LOWER($L143&amp;"")="yes",0,IF($K143&lt;&gt;"",$K143,IF($O143&lt;&gt;"",$O143,"")))))</x:f>
      </x:c>
      <x:c r="Q143" s="112" t="str">
        <x:f>IF(COUNTA($A143:$M143)=0,"",IF(OR($U143="Subscription",$U143=""),"",IF($U143="Profit",ROUND($P143-$H143,2),0)))</x:f>
      </x:c>
      <x:c r="R143" s="112" t="str">
        <x:f>IF(COUNTA($A143:$M143)=0,"",IF(OR($U143="Subscription",$U143=""),"",IF($U143="Draw",$H143,0)))</x:f>
      </x:c>
      <x:c r="S143" s="112" t="str">
        <x:f>IF(COUNTA($A143:$M143)=0,"",IF(OR($U143="Subscription",$U143=""),"",IF($U143="Disqualified",$H143,0)))</x:f>
      </x:c>
      <x:c r="T143" s="116" t="str">
        <x:f>IF(COUNTA($A143:$M143)=0,"",IF(OR($U143="Subscription",$U143=""),"",IF($H143=0,0,IF($U143="Profit",$Q143/$H143,IF($U143="Disqualified",-$S143/$H143,0)))))</x:f>
      </x:c>
      <x:c r="U143" s="290" t="str">
        <x:f>IF(COUNTA($A143:$M143)=0,"",IF(OR(LOWER($F143&amp;"")="subscription",LOWER($F143&amp;"")="membership"),"Subscription",IF(LOWER($L143&amp;"")="yes","Disqualified",IF(OR(LOWER($F143&amp;"")="free game",LOWER($F143&amp;"")="free"),IF(AND(ISNUMBER($P143),ISNUMBER($H143),$P143&gt;$H143),"Profit","Free Game"),IF($P143="","",IF(ROUND(IFERROR(VALUE($P143),0)-IFERROR(VALUE($H143),0),2)&gt;0,"Profit","Draw"))))))</x:f>
      </x:c>
      <x:c r="V143" s="144" t="str">
        <x:f>IF(COUNTA($A143:$M143)=0,"",IF(OR($B143="",$C143="",$U143="Subscription"),"",IFERROR(ROUNDUP(($C143-$B143)/7,0),"")))</x:f>
      </x:c>
      <x:c r="W143" s="112" t="str">
        <x:f>IF(COUNTA($A143:$M143)=0,"",IF(OR($U143="Subscription",$U143=""),"",ROUND(IFERROR($Q143,0)-IFERROR($S143,0),2)))</x:f>
      </x:c>
      <x:c r="X143" s="144" t="str">
        <x:f>IF(COUNTA($A143:$M143)=0,"",IF(OR($U143="Subscription",$U143="Free Game",NOT(ISNUMBER($J143)),NOT(ISNUMBER($I143)),$J143=0,$I143=0,$I143&gt;$J143),"",$J143-$I143))</x:f>
      </x:c>
      <x:c r="Y143" s="116" t="str">
        <x:f>IF(COUNTA($A143:$M143)=0,"",IF(OR($U143="Subscription",$U143="Free Game",NOT(ISNUMBER($J143)),$J143=0,$X143=""),"",$X143/$J143))</x:f>
      </x:c>
      <x:c r="Z143" s="118" t="str">
        <x:f>IF(COUNTA($A143:$M143)=0,"",Instructions!$B$29+SUM($W$5:W143))</x:f>
      </x:c>
    </x:row>
    <x:row r="144" ht="30" customHeight="1">
      <x:c r="A144" s="477"/>
      <x:c r="B144" s="482"/>
      <x:c r="C144" s="482"/>
      <x:c r="D144" s="483"/>
      <x:c r="E144" s="483"/>
      <x:c r="F144" s="483"/>
      <x:c r="G144" s="484"/>
      <x:c r="H144" s="484"/>
      <x:c r="I144" s="485"/>
      <x:c r="J144" s="485"/>
      <x:c r="K144" s="484"/>
      <x:c r="L144" s="483"/>
      <x:c r="M144" s="477"/>
      <x:c r="N144" s="112" t="str">
        <x:f>IF(COUNTA($A144:$M144)=0,"",IF(OR(LOWER($F144&amp;"")="subscription",LOWER($F144&amp;"")="membership"),"",IF($G144="","",IF(ISNUMBER(SEARCH("non",LOWER($E144&amp;""))),$G144*0.85,$G144))))</x:f>
      </x:c>
      <x:c r="O144" s="112" t="str">
        <x:f>IF(COUNTA($A144:$M144)=0,"",IF(OR(LOWER($F144&amp;"")="subscription",LOWER($F144&amp;"")="membership"),"",IF(OR($N144="",$I144="",$I144=0),"",IFERROR($N144/$I144,""))))</x:f>
      </x:c>
      <x:c r="P144" s="112" t="str">
        <x:f>IF(COUNTA($A144:$M144)=0,"",IF(OR(LOWER($F144&amp;"")="subscription",LOWER($F144&amp;"")="membership"),"",IF(LOWER($L144&amp;"")="yes",0,IF($K144&lt;&gt;"",$K144,IF($O144&lt;&gt;"",$O144,"")))))</x:f>
      </x:c>
      <x:c r="Q144" s="112" t="str">
        <x:f>IF(COUNTA($A144:$M144)=0,"",IF(OR($U144="Subscription",$U144=""),"",IF($U144="Profit",ROUND($P144-$H144,2),0)))</x:f>
      </x:c>
      <x:c r="R144" s="112" t="str">
        <x:f>IF(COUNTA($A144:$M144)=0,"",IF(OR($U144="Subscription",$U144=""),"",IF($U144="Draw",$H144,0)))</x:f>
      </x:c>
      <x:c r="S144" s="112" t="str">
        <x:f>IF(COUNTA($A144:$M144)=0,"",IF(OR($U144="Subscription",$U144=""),"",IF($U144="Disqualified",$H144,0)))</x:f>
      </x:c>
      <x:c r="T144" s="116" t="str">
        <x:f>IF(COUNTA($A144:$M144)=0,"",IF(OR($U144="Subscription",$U144=""),"",IF($H144=0,0,IF($U144="Profit",$Q144/$H144,IF($U144="Disqualified",-$S144/$H144,0)))))</x:f>
      </x:c>
      <x:c r="U144" s="290" t="str">
        <x:f>IF(COUNTA($A144:$M144)=0,"",IF(OR(LOWER($F144&amp;"")="subscription",LOWER($F144&amp;"")="membership"),"Subscription",IF(LOWER($L144&amp;"")="yes","Disqualified",IF(OR(LOWER($F144&amp;"")="free game",LOWER($F144&amp;"")="free"),IF(AND(ISNUMBER($P144),ISNUMBER($H144),$P144&gt;$H144),"Profit","Free Game"),IF($P144="","",IF(ROUND(IFERROR(VALUE($P144),0)-IFERROR(VALUE($H144),0),2)&gt;0,"Profit","Draw"))))))</x:f>
      </x:c>
      <x:c r="V144" s="144" t="str">
        <x:f>IF(COUNTA($A144:$M144)=0,"",IF(OR($B144="",$C144="",$U144="Subscription"),"",IFERROR(ROUNDUP(($C144-$B144)/7,0),"")))</x:f>
      </x:c>
      <x:c r="W144" s="112" t="str">
        <x:f>IF(COUNTA($A144:$M144)=0,"",IF(OR($U144="Subscription",$U144=""),"",ROUND(IFERROR($Q144,0)-IFERROR($S144,0),2)))</x:f>
      </x:c>
      <x:c r="X144" s="144" t="str">
        <x:f>IF(COUNTA($A144:$M144)=0,"",IF(OR($U144="Subscription",$U144="Free Game",NOT(ISNUMBER($J144)),NOT(ISNUMBER($I144)),$J144=0,$I144=0,$I144&gt;$J144),"",$J144-$I144))</x:f>
      </x:c>
      <x:c r="Y144" s="116" t="str">
        <x:f>IF(COUNTA($A144:$M144)=0,"",IF(OR($U144="Subscription",$U144="Free Game",NOT(ISNUMBER($J144)),$J144=0,$X144=""),"",$X144/$J144))</x:f>
      </x:c>
      <x:c r="Z144" s="118" t="str">
        <x:f>IF(COUNTA($A144:$M144)=0,"",Instructions!$B$29+SUM($W$5:W144))</x:f>
      </x:c>
    </x:row>
    <x:row r="145" ht="30" customHeight="1">
      <x:c r="A145" s="477"/>
      <x:c r="B145" s="482"/>
      <x:c r="C145" s="482"/>
      <x:c r="D145" s="483"/>
      <x:c r="E145" s="483"/>
      <x:c r="F145" s="483"/>
      <x:c r="G145" s="484"/>
      <x:c r="H145" s="484"/>
      <x:c r="I145" s="485"/>
      <x:c r="J145" s="485"/>
      <x:c r="K145" s="484"/>
      <x:c r="L145" s="483"/>
      <x:c r="M145" s="477"/>
      <x:c r="N145" s="112" t="str">
        <x:f>IF(COUNTA($A145:$M145)=0,"",IF(OR(LOWER($F145&amp;"")="subscription",LOWER($F145&amp;"")="membership"),"",IF($G145="","",IF(ISNUMBER(SEARCH("non",LOWER($E145&amp;""))),$G145*0.85,$G145))))</x:f>
      </x:c>
      <x:c r="O145" s="112" t="str">
        <x:f>IF(COUNTA($A145:$M145)=0,"",IF(OR(LOWER($F145&amp;"")="subscription",LOWER($F145&amp;"")="membership"),"",IF(OR($N145="",$I145="",$I145=0),"",IFERROR($N145/$I145,""))))</x:f>
      </x:c>
      <x:c r="P145" s="112" t="str">
        <x:f>IF(COUNTA($A145:$M145)=0,"",IF(OR(LOWER($F145&amp;"")="subscription",LOWER($F145&amp;"")="membership"),"",IF(LOWER($L145&amp;"")="yes",0,IF($K145&lt;&gt;"",$K145,IF($O145&lt;&gt;"",$O145,"")))))</x:f>
      </x:c>
      <x:c r="Q145" s="112" t="str">
        <x:f>IF(COUNTA($A145:$M145)=0,"",IF(OR($U145="Subscription",$U145=""),"",IF($U145="Profit",ROUND($P145-$H145,2),0)))</x:f>
      </x:c>
      <x:c r="R145" s="112" t="str">
        <x:f>IF(COUNTA($A145:$M145)=0,"",IF(OR($U145="Subscription",$U145=""),"",IF($U145="Draw",$H145,0)))</x:f>
      </x:c>
      <x:c r="S145" s="112" t="str">
        <x:f>IF(COUNTA($A145:$M145)=0,"",IF(OR($U145="Subscription",$U145=""),"",IF($U145="Disqualified",$H145,0)))</x:f>
      </x:c>
      <x:c r="T145" s="116" t="str">
        <x:f>IF(COUNTA($A145:$M145)=0,"",IF(OR($U145="Subscription",$U145=""),"",IF($H145=0,0,IF($U145="Profit",$Q145/$H145,IF($U145="Disqualified",-$S145/$H145,0)))))</x:f>
      </x:c>
      <x:c r="U145" s="290" t="str">
        <x:f>IF(COUNTA($A145:$M145)=0,"",IF(OR(LOWER($F145&amp;"")="subscription",LOWER($F145&amp;"")="membership"),"Subscription",IF(LOWER($L145&amp;"")="yes","Disqualified",IF(OR(LOWER($F145&amp;"")="free game",LOWER($F145&amp;"")="free"),IF(AND(ISNUMBER($P145),ISNUMBER($H145),$P145&gt;$H145),"Profit","Free Game"),IF($P145="","",IF(ROUND(IFERROR(VALUE($P145),0)-IFERROR(VALUE($H145),0),2)&gt;0,"Profit","Draw"))))))</x:f>
      </x:c>
      <x:c r="V145" s="144" t="str">
        <x:f>IF(COUNTA($A145:$M145)=0,"",IF(OR($B145="",$C145="",$U145="Subscription"),"",IFERROR(ROUNDUP(($C145-$B145)/7,0),"")))</x:f>
      </x:c>
      <x:c r="W145" s="112" t="str">
        <x:f>IF(COUNTA($A145:$M145)=0,"",IF(OR($U145="Subscription",$U145=""),"",ROUND(IFERROR($Q145,0)-IFERROR($S145,0),2)))</x:f>
      </x:c>
      <x:c r="X145" s="144" t="str">
        <x:f>IF(COUNTA($A145:$M145)=0,"",IF(OR($U145="Subscription",$U145="Free Game",NOT(ISNUMBER($J145)),NOT(ISNUMBER($I145)),$J145=0,$I145=0,$I145&gt;$J145),"",$J145-$I145))</x:f>
      </x:c>
      <x:c r="Y145" s="116" t="str">
        <x:f>IF(COUNTA($A145:$M145)=0,"",IF(OR($U145="Subscription",$U145="Free Game",NOT(ISNUMBER($J145)),$J145=0,$X145=""),"",$X145/$J145))</x:f>
      </x:c>
      <x:c r="Z145" s="118" t="str">
        <x:f>IF(COUNTA($A145:$M145)=0,"",Instructions!$B$29+SUM($W$5:W145))</x:f>
      </x:c>
    </x:row>
    <x:row r="146" ht="30" customHeight="1">
      <x:c r="A146" s="477"/>
      <x:c r="B146" s="482"/>
      <x:c r="C146" s="482"/>
      <x:c r="D146" s="483"/>
      <x:c r="E146" s="483"/>
      <x:c r="F146" s="483"/>
      <x:c r="G146" s="484"/>
      <x:c r="H146" s="484"/>
      <x:c r="I146" s="485"/>
      <x:c r="J146" s="485"/>
      <x:c r="K146" s="484"/>
      <x:c r="L146" s="483"/>
      <x:c r="M146" s="477"/>
      <x:c r="N146" s="112" t="str">
        <x:f>IF(COUNTA($A146:$M146)=0,"",IF(OR(LOWER($F146&amp;"")="subscription",LOWER($F146&amp;"")="membership"),"",IF($G146="","",IF(ISNUMBER(SEARCH("non",LOWER($E146&amp;""))),$G146*0.85,$G146))))</x:f>
      </x:c>
      <x:c r="O146" s="112" t="str">
        <x:f>IF(COUNTA($A146:$M146)=0,"",IF(OR(LOWER($F146&amp;"")="subscription",LOWER($F146&amp;"")="membership"),"",IF(OR($N146="",$I146="",$I146=0),"",IFERROR($N146/$I146,""))))</x:f>
      </x:c>
      <x:c r="P146" s="112" t="str">
        <x:f>IF(COUNTA($A146:$M146)=0,"",IF(OR(LOWER($F146&amp;"")="subscription",LOWER($F146&amp;"")="membership"),"",IF(LOWER($L146&amp;"")="yes",0,IF($K146&lt;&gt;"",$K146,IF($O146&lt;&gt;"",$O146,"")))))</x:f>
      </x:c>
      <x:c r="Q146" s="112" t="str">
        <x:f>IF(COUNTA($A146:$M146)=0,"",IF(OR($U146="Subscription",$U146=""),"",IF($U146="Profit",ROUND($P146-$H146,2),0)))</x:f>
      </x:c>
      <x:c r="R146" s="112" t="str">
        <x:f>IF(COUNTA($A146:$M146)=0,"",IF(OR($U146="Subscription",$U146=""),"",IF($U146="Draw",$H146,0)))</x:f>
      </x:c>
      <x:c r="S146" s="112" t="str">
        <x:f>IF(COUNTA($A146:$M146)=0,"",IF(OR($U146="Subscription",$U146=""),"",IF($U146="Disqualified",$H146,0)))</x:f>
      </x:c>
      <x:c r="T146" s="116" t="str">
        <x:f>IF(COUNTA($A146:$M146)=0,"",IF(OR($U146="Subscription",$U146=""),"",IF($H146=0,0,IF($U146="Profit",$Q146/$H146,IF($U146="Disqualified",-$S146/$H146,0)))))</x:f>
      </x:c>
      <x:c r="U146" s="290" t="str">
        <x:f>IF(COUNTA($A146:$M146)=0,"",IF(OR(LOWER($F146&amp;"")="subscription",LOWER($F146&amp;"")="membership"),"Subscription",IF(LOWER($L146&amp;"")="yes","Disqualified",IF(OR(LOWER($F146&amp;"")="free game",LOWER($F146&amp;"")="free"),IF(AND(ISNUMBER($P146),ISNUMBER($H146),$P146&gt;$H146),"Profit","Free Game"),IF($P146="","",IF(ROUND(IFERROR(VALUE($P146),0)-IFERROR(VALUE($H146),0),2)&gt;0,"Profit","Draw"))))))</x:f>
      </x:c>
      <x:c r="V146" s="144" t="str">
        <x:f>IF(COUNTA($A146:$M146)=0,"",IF(OR($B146="",$C146="",$U146="Subscription"),"",IFERROR(ROUNDUP(($C146-$B146)/7,0),"")))</x:f>
      </x:c>
      <x:c r="W146" s="112" t="str">
        <x:f>IF(COUNTA($A146:$M146)=0,"",IF(OR($U146="Subscription",$U146=""),"",ROUND(IFERROR($Q146,0)-IFERROR($S146,0),2)))</x:f>
      </x:c>
      <x:c r="X146" s="144" t="str">
        <x:f>IF(COUNTA($A146:$M146)=0,"",IF(OR($U146="Subscription",$U146="Free Game",NOT(ISNUMBER($J146)),NOT(ISNUMBER($I146)),$J146=0,$I146=0,$I146&gt;$J146),"",$J146-$I146))</x:f>
      </x:c>
      <x:c r="Y146" s="116" t="str">
        <x:f>IF(COUNTA($A146:$M146)=0,"",IF(OR($U146="Subscription",$U146="Free Game",NOT(ISNUMBER($J146)),$J146=0,$X146=""),"",$X146/$J146))</x:f>
      </x:c>
      <x:c r="Z146" s="118" t="str">
        <x:f>IF(COUNTA($A146:$M146)=0,"",Instructions!$B$29+SUM($W$5:W146))</x:f>
      </x:c>
    </x:row>
    <x:row r="147" ht="30" customHeight="1">
      <x:c r="A147" s="477"/>
      <x:c r="B147" s="482"/>
      <x:c r="C147" s="482"/>
      <x:c r="D147" s="483"/>
      <x:c r="E147" s="483"/>
      <x:c r="F147" s="483"/>
      <x:c r="G147" s="484"/>
      <x:c r="H147" s="484"/>
      <x:c r="I147" s="485"/>
      <x:c r="J147" s="485"/>
      <x:c r="K147" s="484"/>
      <x:c r="L147" s="483"/>
      <x:c r="M147" s="477"/>
      <x:c r="N147" s="112" t="str">
        <x:f>IF(COUNTA($A147:$M147)=0,"",IF(OR(LOWER($F147&amp;"")="subscription",LOWER($F147&amp;"")="membership"),"",IF($G147="","",IF(ISNUMBER(SEARCH("non",LOWER($E147&amp;""))),$G147*0.85,$G147))))</x:f>
      </x:c>
      <x:c r="O147" s="112" t="str">
        <x:f>IF(COUNTA($A147:$M147)=0,"",IF(OR(LOWER($F147&amp;"")="subscription",LOWER($F147&amp;"")="membership"),"",IF(OR($N147="",$I147="",$I147=0),"",IFERROR($N147/$I147,""))))</x:f>
      </x:c>
      <x:c r="P147" s="112" t="str">
        <x:f>IF(COUNTA($A147:$M147)=0,"",IF(OR(LOWER($F147&amp;"")="subscription",LOWER($F147&amp;"")="membership"),"",IF(LOWER($L147&amp;"")="yes",0,IF($K147&lt;&gt;"",$K147,IF($O147&lt;&gt;"",$O147,"")))))</x:f>
      </x:c>
      <x:c r="Q147" s="112" t="str">
        <x:f>IF(COUNTA($A147:$M147)=0,"",IF(OR($U147="Subscription",$U147=""),"",IF($U147="Profit",ROUND($P147-$H147,2),0)))</x:f>
      </x:c>
      <x:c r="R147" s="112" t="str">
        <x:f>IF(COUNTA($A147:$M147)=0,"",IF(OR($U147="Subscription",$U147=""),"",IF($U147="Draw",$H147,0)))</x:f>
      </x:c>
      <x:c r="S147" s="112" t="str">
        <x:f>IF(COUNTA($A147:$M147)=0,"",IF(OR($U147="Subscription",$U147=""),"",IF($U147="Disqualified",$H147,0)))</x:f>
      </x:c>
      <x:c r="T147" s="116" t="str">
        <x:f>IF(COUNTA($A147:$M147)=0,"",IF(OR($U147="Subscription",$U147=""),"",IF($H147=0,0,IF($U147="Profit",$Q147/$H147,IF($U147="Disqualified",-$S147/$H147,0)))))</x:f>
      </x:c>
      <x:c r="U147" s="290" t="str">
        <x:f>IF(COUNTA($A147:$M147)=0,"",IF(OR(LOWER($F147&amp;"")="subscription",LOWER($F147&amp;"")="membership"),"Subscription",IF(LOWER($L147&amp;"")="yes","Disqualified",IF(OR(LOWER($F147&amp;"")="free game",LOWER($F147&amp;"")="free"),IF(AND(ISNUMBER($P147),ISNUMBER($H147),$P147&gt;$H147),"Profit","Free Game"),IF($P147="","",IF(ROUND(IFERROR(VALUE($P147),0)-IFERROR(VALUE($H147),0),2)&gt;0,"Profit","Draw"))))))</x:f>
      </x:c>
      <x:c r="V147" s="144" t="str">
        <x:f>IF(COUNTA($A147:$M147)=0,"",IF(OR($B147="",$C147="",$U147="Subscription"),"",IFERROR(ROUNDUP(($C147-$B147)/7,0),"")))</x:f>
      </x:c>
      <x:c r="W147" s="112" t="str">
        <x:f>IF(COUNTA($A147:$M147)=0,"",IF(OR($U147="Subscription",$U147=""),"",ROUND(IFERROR($Q147,0)-IFERROR($S147,0),2)))</x:f>
      </x:c>
      <x:c r="X147" s="144" t="str">
        <x:f>IF(COUNTA($A147:$M147)=0,"",IF(OR($U147="Subscription",$U147="Free Game",NOT(ISNUMBER($J147)),NOT(ISNUMBER($I147)),$J147=0,$I147=0,$I147&gt;$J147),"",$J147-$I147))</x:f>
      </x:c>
      <x:c r="Y147" s="116" t="str">
        <x:f>IF(COUNTA($A147:$M147)=0,"",IF(OR($U147="Subscription",$U147="Free Game",NOT(ISNUMBER($J147)),$J147=0,$X147=""),"",$X147/$J147))</x:f>
      </x:c>
      <x:c r="Z147" s="118" t="str">
        <x:f>IF(COUNTA($A147:$M147)=0,"",Instructions!$B$29+SUM($W$5:W147))</x:f>
      </x:c>
    </x:row>
    <x:row r="148" ht="30" customHeight="1">
      <x:c r="A148" s="477"/>
      <x:c r="B148" s="482"/>
      <x:c r="C148" s="482"/>
      <x:c r="D148" s="483"/>
      <x:c r="E148" s="483"/>
      <x:c r="F148" s="483"/>
      <x:c r="G148" s="484"/>
      <x:c r="H148" s="484"/>
      <x:c r="I148" s="485"/>
      <x:c r="J148" s="485"/>
      <x:c r="K148" s="484"/>
      <x:c r="L148" s="483"/>
      <x:c r="M148" s="477"/>
      <x:c r="N148" s="112" t="str">
        <x:f>IF(COUNTA($A148:$M148)=0,"",IF(OR(LOWER($F148&amp;"")="subscription",LOWER($F148&amp;"")="membership"),"",IF($G148="","",IF(ISNUMBER(SEARCH("non",LOWER($E148&amp;""))),$G148*0.85,$G148))))</x:f>
      </x:c>
      <x:c r="O148" s="112" t="str">
        <x:f>IF(COUNTA($A148:$M148)=0,"",IF(OR(LOWER($F148&amp;"")="subscription",LOWER($F148&amp;"")="membership"),"",IF(OR($N148="",$I148="",$I148=0),"",IFERROR($N148/$I148,""))))</x:f>
      </x:c>
      <x:c r="P148" s="112" t="str">
        <x:f>IF(COUNTA($A148:$M148)=0,"",IF(OR(LOWER($F148&amp;"")="subscription",LOWER($F148&amp;"")="membership"),"",IF(LOWER($L148&amp;"")="yes",0,IF($K148&lt;&gt;"",$K148,IF($O148&lt;&gt;"",$O148,"")))))</x:f>
      </x:c>
      <x:c r="Q148" s="112" t="str">
        <x:f>IF(COUNTA($A148:$M148)=0,"",IF(OR($U148="Subscription",$U148=""),"",IF($U148="Profit",ROUND($P148-$H148,2),0)))</x:f>
      </x:c>
      <x:c r="R148" s="112" t="str">
        <x:f>IF(COUNTA($A148:$M148)=0,"",IF(OR($U148="Subscription",$U148=""),"",IF($U148="Draw",$H148,0)))</x:f>
      </x:c>
      <x:c r="S148" s="112" t="str">
        <x:f>IF(COUNTA($A148:$M148)=0,"",IF(OR($U148="Subscription",$U148=""),"",IF($U148="Disqualified",$H148,0)))</x:f>
      </x:c>
      <x:c r="T148" s="116" t="str">
        <x:f>IF(COUNTA($A148:$M148)=0,"",IF(OR($U148="Subscription",$U148=""),"",IF($H148=0,0,IF($U148="Profit",$Q148/$H148,IF($U148="Disqualified",-$S148/$H148,0)))))</x:f>
      </x:c>
      <x:c r="U148" s="290" t="str">
        <x:f>IF(COUNTA($A148:$M148)=0,"",IF(OR(LOWER($F148&amp;"")="subscription",LOWER($F148&amp;"")="membership"),"Subscription",IF(LOWER($L148&amp;"")="yes","Disqualified",IF(OR(LOWER($F148&amp;"")="free game",LOWER($F148&amp;"")="free"),IF(AND(ISNUMBER($P148),ISNUMBER($H148),$P148&gt;$H148),"Profit","Free Game"),IF($P148="","",IF(ROUND(IFERROR(VALUE($P148),0)-IFERROR(VALUE($H148),0),2)&gt;0,"Profit","Draw"))))))</x:f>
      </x:c>
      <x:c r="V148" s="144" t="str">
        <x:f>IF(COUNTA($A148:$M148)=0,"",IF(OR($B148="",$C148="",$U148="Subscription"),"",IFERROR(ROUNDUP(($C148-$B148)/7,0),"")))</x:f>
      </x:c>
      <x:c r="W148" s="112" t="str">
        <x:f>IF(COUNTA($A148:$M148)=0,"",IF(OR($U148="Subscription",$U148=""),"",ROUND(IFERROR($Q148,0)-IFERROR($S148,0),2)))</x:f>
      </x:c>
      <x:c r="X148" s="144" t="str">
        <x:f>IF(COUNTA($A148:$M148)=0,"",IF(OR($U148="Subscription",$U148="Free Game",NOT(ISNUMBER($J148)),NOT(ISNUMBER($I148)),$J148=0,$I148=0,$I148&gt;$J148),"",$J148-$I148))</x:f>
      </x:c>
      <x:c r="Y148" s="116" t="str">
        <x:f>IF(COUNTA($A148:$M148)=0,"",IF(OR($U148="Subscription",$U148="Free Game",NOT(ISNUMBER($J148)),$J148=0,$X148=""),"",$X148/$J148))</x:f>
      </x:c>
      <x:c r="Z148" s="118" t="str">
        <x:f>IF(COUNTA($A148:$M148)=0,"",Instructions!$B$29+SUM($W$5:W148))</x:f>
      </x:c>
    </x:row>
    <x:row r="149" ht="30" customHeight="1">
      <x:c r="A149" s="477"/>
      <x:c r="B149" s="482"/>
      <x:c r="C149" s="482"/>
      <x:c r="D149" s="483"/>
      <x:c r="E149" s="483"/>
      <x:c r="F149" s="483"/>
      <x:c r="G149" s="484"/>
      <x:c r="H149" s="484"/>
      <x:c r="I149" s="485"/>
      <x:c r="J149" s="485"/>
      <x:c r="K149" s="484"/>
      <x:c r="L149" s="483"/>
      <x:c r="M149" s="477"/>
      <x:c r="N149" s="112" t="str">
        <x:f>IF(COUNTA($A149:$M149)=0,"",IF(OR(LOWER($F149&amp;"")="subscription",LOWER($F149&amp;"")="membership"),"",IF($G149="","",IF(ISNUMBER(SEARCH("non",LOWER($E149&amp;""))),$G149*0.85,$G149))))</x:f>
      </x:c>
      <x:c r="O149" s="112" t="str">
        <x:f>IF(COUNTA($A149:$M149)=0,"",IF(OR(LOWER($F149&amp;"")="subscription",LOWER($F149&amp;"")="membership"),"",IF(OR($N149="",$I149="",$I149=0),"",IFERROR($N149/$I149,""))))</x:f>
      </x:c>
      <x:c r="P149" s="112" t="str">
        <x:f>IF(COUNTA($A149:$M149)=0,"",IF(OR(LOWER($F149&amp;"")="subscription",LOWER($F149&amp;"")="membership"),"",IF(LOWER($L149&amp;"")="yes",0,IF($K149&lt;&gt;"",$K149,IF($O149&lt;&gt;"",$O149,"")))))</x:f>
      </x:c>
      <x:c r="Q149" s="112" t="str">
        <x:f>IF(COUNTA($A149:$M149)=0,"",IF(OR($U149="Subscription",$U149=""),"",IF($U149="Profit",ROUND($P149-$H149,2),0)))</x:f>
      </x:c>
      <x:c r="R149" s="112" t="str">
        <x:f>IF(COUNTA($A149:$M149)=0,"",IF(OR($U149="Subscription",$U149=""),"",IF($U149="Draw",$H149,0)))</x:f>
      </x:c>
      <x:c r="S149" s="112" t="str">
        <x:f>IF(COUNTA($A149:$M149)=0,"",IF(OR($U149="Subscription",$U149=""),"",IF($U149="Disqualified",$H149,0)))</x:f>
      </x:c>
      <x:c r="T149" s="116" t="str">
        <x:f>IF(COUNTA($A149:$M149)=0,"",IF(OR($U149="Subscription",$U149=""),"",IF($H149=0,0,IF($U149="Profit",$Q149/$H149,IF($U149="Disqualified",-$S149/$H149,0)))))</x:f>
      </x:c>
      <x:c r="U149" s="290" t="str">
        <x:f>IF(COUNTA($A149:$M149)=0,"",IF(OR(LOWER($F149&amp;"")="subscription",LOWER($F149&amp;"")="membership"),"Subscription",IF(LOWER($L149&amp;"")="yes","Disqualified",IF(OR(LOWER($F149&amp;"")="free game",LOWER($F149&amp;"")="free"),IF(AND(ISNUMBER($P149),ISNUMBER($H149),$P149&gt;$H149),"Profit","Free Game"),IF($P149="","",IF(ROUND(IFERROR(VALUE($P149),0)-IFERROR(VALUE($H149),0),2)&gt;0,"Profit","Draw"))))))</x:f>
      </x:c>
      <x:c r="V149" s="144" t="str">
        <x:f>IF(COUNTA($A149:$M149)=0,"",IF(OR($B149="",$C149="",$U149="Subscription"),"",IFERROR(ROUNDUP(($C149-$B149)/7,0),"")))</x:f>
      </x:c>
      <x:c r="W149" s="112" t="str">
        <x:f>IF(COUNTA($A149:$M149)=0,"",IF(OR($U149="Subscription",$U149=""),"",ROUND(IFERROR($Q149,0)-IFERROR($S149,0),2)))</x:f>
      </x:c>
      <x:c r="X149" s="144" t="str">
        <x:f>IF(COUNTA($A149:$M149)=0,"",IF(OR($U149="Subscription",$U149="Free Game",NOT(ISNUMBER($J149)),NOT(ISNUMBER($I149)),$J149=0,$I149=0,$I149&gt;$J149),"",$J149-$I149))</x:f>
      </x:c>
      <x:c r="Y149" s="116" t="str">
        <x:f>IF(COUNTA($A149:$M149)=0,"",IF(OR($U149="Subscription",$U149="Free Game",NOT(ISNUMBER($J149)),$J149=0,$X149=""),"",$X149/$J149))</x:f>
      </x:c>
      <x:c r="Z149" s="118" t="str">
        <x:f>IF(COUNTA($A149:$M149)=0,"",Instructions!$B$29+SUM($W$5:W149))</x:f>
      </x:c>
    </x:row>
    <x:row r="150" ht="30" customHeight="1">
      <x:c r="A150" s="477"/>
      <x:c r="B150" s="482"/>
      <x:c r="C150" s="482"/>
      <x:c r="D150" s="483"/>
      <x:c r="E150" s="483"/>
      <x:c r="F150" s="483"/>
      <x:c r="G150" s="484"/>
      <x:c r="H150" s="484"/>
      <x:c r="I150" s="485"/>
      <x:c r="J150" s="485"/>
      <x:c r="K150" s="484"/>
      <x:c r="L150" s="483"/>
      <x:c r="M150" s="477"/>
      <x:c r="N150" s="112" t="str">
        <x:f>IF(COUNTA($A150:$M150)=0,"",IF(OR(LOWER($F150&amp;"")="subscription",LOWER($F150&amp;"")="membership"),"",IF($G150="","",IF(ISNUMBER(SEARCH("non",LOWER($E150&amp;""))),$G150*0.85,$G150))))</x:f>
      </x:c>
      <x:c r="O150" s="112" t="str">
        <x:f>IF(COUNTA($A150:$M150)=0,"",IF(OR(LOWER($F150&amp;"")="subscription",LOWER($F150&amp;"")="membership"),"",IF(OR($N150="",$I150="",$I150=0),"",IFERROR($N150/$I150,""))))</x:f>
      </x:c>
      <x:c r="P150" s="112" t="str">
        <x:f>IF(COUNTA($A150:$M150)=0,"",IF(OR(LOWER($F150&amp;"")="subscription",LOWER($F150&amp;"")="membership"),"",IF(LOWER($L150&amp;"")="yes",0,IF($K150&lt;&gt;"",$K150,IF($O150&lt;&gt;"",$O150,"")))))</x:f>
      </x:c>
      <x:c r="Q150" s="112" t="str">
        <x:f>IF(COUNTA($A150:$M150)=0,"",IF(OR($U150="Subscription",$U150=""),"",IF($U150="Profit",ROUND($P150-$H150,2),0)))</x:f>
      </x:c>
      <x:c r="R150" s="112" t="str">
        <x:f>IF(COUNTA($A150:$M150)=0,"",IF(OR($U150="Subscription",$U150=""),"",IF($U150="Draw",$H150,0)))</x:f>
      </x:c>
      <x:c r="S150" s="112" t="str">
        <x:f>IF(COUNTA($A150:$M150)=0,"",IF(OR($U150="Subscription",$U150=""),"",IF($U150="Disqualified",$H150,0)))</x:f>
      </x:c>
      <x:c r="T150" s="116" t="str">
        <x:f>IF(COUNTA($A150:$M150)=0,"",IF(OR($U150="Subscription",$U150=""),"",IF($H150=0,0,IF($U150="Profit",$Q150/$H150,IF($U150="Disqualified",-$S150/$H150,0)))))</x:f>
      </x:c>
      <x:c r="U150" s="290" t="str">
        <x:f>IF(COUNTA($A150:$M150)=0,"",IF(OR(LOWER($F150&amp;"")="subscription",LOWER($F150&amp;"")="membership"),"Subscription",IF(LOWER($L150&amp;"")="yes","Disqualified",IF(OR(LOWER($F150&amp;"")="free game",LOWER($F150&amp;"")="free"),IF(AND(ISNUMBER($P150),ISNUMBER($H150),$P150&gt;$H150),"Profit","Free Game"),IF($P150="","",IF(ROUND(IFERROR(VALUE($P150),0)-IFERROR(VALUE($H150),0),2)&gt;0,"Profit","Draw"))))))</x:f>
      </x:c>
      <x:c r="V150" s="144" t="str">
        <x:f>IF(COUNTA($A150:$M150)=0,"",IF(OR($B150="",$C150="",$U150="Subscription"),"",IFERROR(ROUNDUP(($C150-$B150)/7,0),"")))</x:f>
      </x:c>
      <x:c r="W150" s="112" t="str">
        <x:f>IF(COUNTA($A150:$M150)=0,"",IF(OR($U150="Subscription",$U150=""),"",ROUND(IFERROR($Q150,0)-IFERROR($S150,0),2)))</x:f>
      </x:c>
      <x:c r="X150" s="144" t="str">
        <x:f>IF(COUNTA($A150:$M150)=0,"",IF(OR($U150="Subscription",$U150="Free Game",NOT(ISNUMBER($J150)),NOT(ISNUMBER($I150)),$J150=0,$I150=0,$I150&gt;$J150),"",$J150-$I150))</x:f>
      </x:c>
      <x:c r="Y150" s="116" t="str">
        <x:f>IF(COUNTA($A150:$M150)=0,"",IF(OR($U150="Subscription",$U150="Free Game",NOT(ISNUMBER($J150)),$J150=0,$X150=""),"",$X150/$J150))</x:f>
      </x:c>
      <x:c r="Z150" s="118" t="str">
        <x:f>IF(COUNTA($A150:$M150)=0,"",Instructions!$B$29+SUM($W$5:W150))</x:f>
      </x:c>
    </x:row>
    <x:row r="151" ht="30" customHeight="1">
      <x:c r="A151" s="477"/>
      <x:c r="B151" s="482"/>
      <x:c r="C151" s="482"/>
      <x:c r="D151" s="483"/>
      <x:c r="E151" s="483"/>
      <x:c r="F151" s="483"/>
      <x:c r="G151" s="484"/>
      <x:c r="H151" s="484"/>
      <x:c r="I151" s="485"/>
      <x:c r="J151" s="485"/>
      <x:c r="K151" s="484"/>
      <x:c r="L151" s="483"/>
      <x:c r="M151" s="477"/>
      <x:c r="N151" s="112" t="str">
        <x:f>IF(COUNTA($A151:$M151)=0,"",IF(OR(LOWER($F151&amp;"")="subscription",LOWER($F151&amp;"")="membership"),"",IF($G151="","",IF(ISNUMBER(SEARCH("non",LOWER($E151&amp;""))),$G151*0.85,$G151))))</x:f>
      </x:c>
      <x:c r="O151" s="112" t="str">
        <x:f>IF(COUNTA($A151:$M151)=0,"",IF(OR(LOWER($F151&amp;"")="subscription",LOWER($F151&amp;"")="membership"),"",IF(OR($N151="",$I151="",$I151=0),"",IFERROR($N151/$I151,""))))</x:f>
      </x:c>
      <x:c r="P151" s="112" t="str">
        <x:f>IF(COUNTA($A151:$M151)=0,"",IF(OR(LOWER($F151&amp;"")="subscription",LOWER($F151&amp;"")="membership"),"",IF(LOWER($L151&amp;"")="yes",0,IF($K151&lt;&gt;"",$K151,IF($O151&lt;&gt;"",$O151,"")))))</x:f>
      </x:c>
      <x:c r="Q151" s="112" t="str">
        <x:f>IF(COUNTA($A151:$M151)=0,"",IF(OR($U151="Subscription",$U151=""),"",IF($U151="Profit",ROUND($P151-$H151,2),0)))</x:f>
      </x:c>
      <x:c r="R151" s="112" t="str">
        <x:f>IF(COUNTA($A151:$M151)=0,"",IF(OR($U151="Subscription",$U151=""),"",IF($U151="Draw",$H151,0)))</x:f>
      </x:c>
      <x:c r="S151" s="112" t="str">
        <x:f>IF(COUNTA($A151:$M151)=0,"",IF(OR($U151="Subscription",$U151=""),"",IF($U151="Disqualified",$H151,0)))</x:f>
      </x:c>
      <x:c r="T151" s="116" t="str">
        <x:f>IF(COUNTA($A151:$M151)=0,"",IF(OR($U151="Subscription",$U151=""),"",IF($H151=0,0,IF($U151="Profit",$Q151/$H151,IF($U151="Disqualified",-$S151/$H151,0)))))</x:f>
      </x:c>
      <x:c r="U151" s="290" t="str">
        <x:f>IF(COUNTA($A151:$M151)=0,"",IF(OR(LOWER($F151&amp;"")="subscription",LOWER($F151&amp;"")="membership"),"Subscription",IF(LOWER($L151&amp;"")="yes","Disqualified",IF(OR(LOWER($F151&amp;"")="free game",LOWER($F151&amp;"")="free"),IF(AND(ISNUMBER($P151),ISNUMBER($H151),$P151&gt;$H151),"Profit","Free Game"),IF($P151="","",IF(ROUND(IFERROR(VALUE($P151),0)-IFERROR(VALUE($H151),0),2)&gt;0,"Profit","Draw"))))))</x:f>
      </x:c>
      <x:c r="V151" s="144" t="str">
        <x:f>IF(COUNTA($A151:$M151)=0,"",IF(OR($B151="",$C151="",$U151="Subscription"),"",IFERROR(ROUNDUP(($C151-$B151)/7,0),"")))</x:f>
      </x:c>
      <x:c r="W151" s="112" t="str">
        <x:f>IF(COUNTA($A151:$M151)=0,"",IF(OR($U151="Subscription",$U151=""),"",ROUND(IFERROR($Q151,0)-IFERROR($S151,0),2)))</x:f>
      </x:c>
      <x:c r="X151" s="144" t="str">
        <x:f>IF(COUNTA($A151:$M151)=0,"",IF(OR($U151="Subscription",$U151="Free Game",NOT(ISNUMBER($J151)),NOT(ISNUMBER($I151)),$J151=0,$I151=0,$I151&gt;$J151),"",$J151-$I151))</x:f>
      </x:c>
      <x:c r="Y151" s="116" t="str">
        <x:f>IF(COUNTA($A151:$M151)=0,"",IF(OR($U151="Subscription",$U151="Free Game",NOT(ISNUMBER($J151)),$J151=0,$X151=""),"",$X151/$J151))</x:f>
      </x:c>
      <x:c r="Z151" s="118" t="str">
        <x:f>IF(COUNTA($A151:$M151)=0,"",Instructions!$B$29+SUM($W$5:W151))</x:f>
      </x:c>
    </x:row>
    <x:row r="152" ht="30" customHeight="1">
      <x:c r="A152" s="477"/>
      <x:c r="B152" s="482"/>
      <x:c r="C152" s="482"/>
      <x:c r="D152" s="483"/>
      <x:c r="E152" s="483"/>
      <x:c r="F152" s="483"/>
      <x:c r="G152" s="484"/>
      <x:c r="H152" s="484"/>
      <x:c r="I152" s="485"/>
      <x:c r="J152" s="485"/>
      <x:c r="K152" s="484"/>
      <x:c r="L152" s="483"/>
      <x:c r="M152" s="477"/>
      <x:c r="N152" s="112" t="str">
        <x:f>IF(COUNTA($A152:$M152)=0,"",IF(OR(LOWER($F152&amp;"")="subscription",LOWER($F152&amp;"")="membership"),"",IF($G152="","",IF(ISNUMBER(SEARCH("non",LOWER($E152&amp;""))),$G152*0.85,$G152))))</x:f>
      </x:c>
      <x:c r="O152" s="112" t="str">
        <x:f>IF(COUNTA($A152:$M152)=0,"",IF(OR(LOWER($F152&amp;"")="subscription",LOWER($F152&amp;"")="membership"),"",IF(OR($N152="",$I152="",$I152=0),"",IFERROR($N152/$I152,""))))</x:f>
      </x:c>
      <x:c r="P152" s="112" t="str">
        <x:f>IF(COUNTA($A152:$M152)=0,"",IF(OR(LOWER($F152&amp;"")="subscription",LOWER($F152&amp;"")="membership"),"",IF(LOWER($L152&amp;"")="yes",0,IF($K152&lt;&gt;"",$K152,IF($O152&lt;&gt;"",$O152,"")))))</x:f>
      </x:c>
      <x:c r="Q152" s="112" t="str">
        <x:f>IF(COUNTA($A152:$M152)=0,"",IF(OR($U152="Subscription",$U152=""),"",IF($U152="Profit",ROUND($P152-$H152,2),0)))</x:f>
      </x:c>
      <x:c r="R152" s="112" t="str">
        <x:f>IF(COUNTA($A152:$M152)=0,"",IF(OR($U152="Subscription",$U152=""),"",IF($U152="Draw",$H152,0)))</x:f>
      </x:c>
      <x:c r="S152" s="112" t="str">
        <x:f>IF(COUNTA($A152:$M152)=0,"",IF(OR($U152="Subscription",$U152=""),"",IF($U152="Disqualified",$H152,0)))</x:f>
      </x:c>
      <x:c r="T152" s="116" t="str">
        <x:f>IF(COUNTA($A152:$M152)=0,"",IF(OR($U152="Subscription",$U152=""),"",IF($H152=0,0,IF($U152="Profit",$Q152/$H152,IF($U152="Disqualified",-$S152/$H152,0)))))</x:f>
      </x:c>
      <x:c r="U152" s="290" t="str">
        <x:f>IF(COUNTA($A152:$M152)=0,"",IF(OR(LOWER($F152&amp;"")="subscription",LOWER($F152&amp;"")="membership"),"Subscription",IF(LOWER($L152&amp;"")="yes","Disqualified",IF(OR(LOWER($F152&amp;"")="free game",LOWER($F152&amp;"")="free"),IF(AND(ISNUMBER($P152),ISNUMBER($H152),$P152&gt;$H152),"Profit","Free Game"),IF($P152="","",IF(ROUND(IFERROR(VALUE($P152),0)-IFERROR(VALUE($H152),0),2)&gt;0,"Profit","Draw"))))))</x:f>
      </x:c>
      <x:c r="V152" s="144" t="str">
        <x:f>IF(COUNTA($A152:$M152)=0,"",IF(OR($B152="",$C152="",$U152="Subscription"),"",IFERROR(ROUNDUP(($C152-$B152)/7,0),"")))</x:f>
      </x:c>
      <x:c r="W152" s="112" t="str">
        <x:f>IF(COUNTA($A152:$M152)=0,"",IF(OR($U152="Subscription",$U152=""),"",ROUND(IFERROR($Q152,0)-IFERROR($S152,0),2)))</x:f>
      </x:c>
      <x:c r="X152" s="144" t="str">
        <x:f>IF(COUNTA($A152:$M152)=0,"",IF(OR($U152="Subscription",$U152="Free Game",NOT(ISNUMBER($J152)),NOT(ISNUMBER($I152)),$J152=0,$I152=0,$I152&gt;$J152),"",$J152-$I152))</x:f>
      </x:c>
      <x:c r="Y152" s="116" t="str">
        <x:f>IF(COUNTA($A152:$M152)=0,"",IF(OR($U152="Subscription",$U152="Free Game",NOT(ISNUMBER($J152)),$J152=0,$X152=""),"",$X152/$J152))</x:f>
      </x:c>
      <x:c r="Z152" s="118" t="str">
        <x:f>IF(COUNTA($A152:$M152)=0,"",Instructions!$B$29+SUM($W$5:W152))</x:f>
      </x:c>
    </x:row>
    <x:row r="153" ht="30" customHeight="1">
      <x:c r="A153" s="477"/>
      <x:c r="B153" s="482"/>
      <x:c r="C153" s="482"/>
      <x:c r="D153" s="483"/>
      <x:c r="E153" s="483"/>
      <x:c r="F153" s="483"/>
      <x:c r="G153" s="484"/>
      <x:c r="H153" s="484"/>
      <x:c r="I153" s="485"/>
      <x:c r="J153" s="485"/>
      <x:c r="K153" s="484"/>
      <x:c r="L153" s="483"/>
      <x:c r="M153" s="477"/>
      <x:c r="N153" s="112" t="str">
        <x:f>IF(COUNTA($A153:$M153)=0,"",IF(OR(LOWER($F153&amp;"")="subscription",LOWER($F153&amp;"")="membership"),"",IF($G153="","",IF(ISNUMBER(SEARCH("non",LOWER($E153&amp;""))),$G153*0.85,$G153))))</x:f>
      </x:c>
      <x:c r="O153" s="112" t="str">
        <x:f>IF(COUNTA($A153:$M153)=0,"",IF(OR(LOWER($F153&amp;"")="subscription",LOWER($F153&amp;"")="membership"),"",IF(OR($N153="",$I153="",$I153=0),"",IFERROR($N153/$I153,""))))</x:f>
      </x:c>
      <x:c r="P153" s="112" t="str">
        <x:f>IF(COUNTA($A153:$M153)=0,"",IF(OR(LOWER($F153&amp;"")="subscription",LOWER($F153&amp;"")="membership"),"",IF(LOWER($L153&amp;"")="yes",0,IF($K153&lt;&gt;"",$K153,IF($O153&lt;&gt;"",$O153,"")))))</x:f>
      </x:c>
      <x:c r="Q153" s="112" t="str">
        <x:f>IF(COUNTA($A153:$M153)=0,"",IF(OR($U153="Subscription",$U153=""),"",IF($U153="Profit",ROUND($P153-$H153,2),0)))</x:f>
      </x:c>
      <x:c r="R153" s="112" t="str">
        <x:f>IF(COUNTA($A153:$M153)=0,"",IF(OR($U153="Subscription",$U153=""),"",IF($U153="Draw",$H153,0)))</x:f>
      </x:c>
      <x:c r="S153" s="112" t="str">
        <x:f>IF(COUNTA($A153:$M153)=0,"",IF(OR($U153="Subscription",$U153=""),"",IF($U153="Disqualified",$H153,0)))</x:f>
      </x:c>
      <x:c r="T153" s="116" t="str">
        <x:f>IF(COUNTA($A153:$M153)=0,"",IF(OR($U153="Subscription",$U153=""),"",IF($H153=0,0,IF($U153="Profit",$Q153/$H153,IF($U153="Disqualified",-$S153/$H153,0)))))</x:f>
      </x:c>
      <x:c r="U153" s="290" t="str">
        <x:f>IF(COUNTA($A153:$M153)=0,"",IF(OR(LOWER($F153&amp;"")="subscription",LOWER($F153&amp;"")="membership"),"Subscription",IF(LOWER($L153&amp;"")="yes","Disqualified",IF(OR(LOWER($F153&amp;"")="free game",LOWER($F153&amp;"")="free"),IF(AND(ISNUMBER($P153),ISNUMBER($H153),$P153&gt;$H153),"Profit","Free Game"),IF($P153="","",IF(ROUND(IFERROR(VALUE($P153),0)-IFERROR(VALUE($H153),0),2)&gt;0,"Profit","Draw"))))))</x:f>
      </x:c>
      <x:c r="V153" s="144" t="str">
        <x:f>IF(COUNTA($A153:$M153)=0,"",IF(OR($B153="",$C153="",$U153="Subscription"),"",IFERROR(ROUNDUP(($C153-$B153)/7,0),"")))</x:f>
      </x:c>
      <x:c r="W153" s="112" t="str">
        <x:f>IF(COUNTA($A153:$M153)=0,"",IF(OR($U153="Subscription",$U153=""),"",ROUND(IFERROR($Q153,0)-IFERROR($S153,0),2)))</x:f>
      </x:c>
      <x:c r="X153" s="144" t="str">
        <x:f>IF(COUNTA($A153:$M153)=0,"",IF(OR($U153="Subscription",$U153="Free Game",NOT(ISNUMBER($J153)),NOT(ISNUMBER($I153)),$J153=0,$I153=0,$I153&gt;$J153),"",$J153-$I153))</x:f>
      </x:c>
      <x:c r="Y153" s="116" t="str">
        <x:f>IF(COUNTA($A153:$M153)=0,"",IF(OR($U153="Subscription",$U153="Free Game",NOT(ISNUMBER($J153)),$J153=0,$X153=""),"",$X153/$J153))</x:f>
      </x:c>
      <x:c r="Z153" s="118" t="str">
        <x:f>IF(COUNTA($A153:$M153)=0,"",Instructions!$B$29+SUM($W$5:W153))</x:f>
      </x:c>
    </x:row>
    <x:row r="154" ht="30" customHeight="1">
      <x:c r="A154" s="477"/>
      <x:c r="B154" s="482"/>
      <x:c r="C154" s="482"/>
      <x:c r="D154" s="483"/>
      <x:c r="E154" s="483"/>
      <x:c r="F154" s="483"/>
      <x:c r="G154" s="484"/>
      <x:c r="H154" s="484"/>
      <x:c r="I154" s="485"/>
      <x:c r="J154" s="485"/>
      <x:c r="K154" s="484"/>
      <x:c r="L154" s="483"/>
      <x:c r="M154" s="477"/>
      <x:c r="N154" s="112" t="str">
        <x:f>IF(COUNTA($A154:$M154)=0,"",IF(OR(LOWER($F154&amp;"")="subscription",LOWER($F154&amp;"")="membership"),"",IF($G154="","",IF(ISNUMBER(SEARCH("non",LOWER($E154&amp;""))),$G154*0.85,$G154))))</x:f>
      </x:c>
      <x:c r="O154" s="112" t="str">
        <x:f>IF(COUNTA($A154:$M154)=0,"",IF(OR(LOWER($F154&amp;"")="subscription",LOWER($F154&amp;"")="membership"),"",IF(OR($N154="",$I154="",$I154=0),"",IFERROR($N154/$I154,""))))</x:f>
      </x:c>
      <x:c r="P154" s="112" t="str">
        <x:f>IF(COUNTA($A154:$M154)=0,"",IF(OR(LOWER($F154&amp;"")="subscription",LOWER($F154&amp;"")="membership"),"",IF(LOWER($L154&amp;"")="yes",0,IF($K154&lt;&gt;"",$K154,IF($O154&lt;&gt;"",$O154,"")))))</x:f>
      </x:c>
      <x:c r="Q154" s="112" t="str">
        <x:f>IF(COUNTA($A154:$M154)=0,"",IF(OR($U154="Subscription",$U154=""),"",IF($U154="Profit",ROUND($P154-$H154,2),0)))</x:f>
      </x:c>
      <x:c r="R154" s="112" t="str">
        <x:f>IF(COUNTA($A154:$M154)=0,"",IF(OR($U154="Subscription",$U154=""),"",IF($U154="Draw",$H154,0)))</x:f>
      </x:c>
      <x:c r="S154" s="112" t="str">
        <x:f>IF(COUNTA($A154:$M154)=0,"",IF(OR($U154="Subscription",$U154=""),"",IF($U154="Disqualified",$H154,0)))</x:f>
      </x:c>
      <x:c r="T154" s="116" t="str">
        <x:f>IF(COUNTA($A154:$M154)=0,"",IF(OR($U154="Subscription",$U154=""),"",IF($H154=0,0,IF($U154="Profit",$Q154/$H154,IF($U154="Disqualified",-$S154/$H154,0)))))</x:f>
      </x:c>
      <x:c r="U154" s="290" t="str">
        <x:f>IF(COUNTA($A154:$M154)=0,"",IF(OR(LOWER($F154&amp;"")="subscription",LOWER($F154&amp;"")="membership"),"Subscription",IF(LOWER($L154&amp;"")="yes","Disqualified",IF(OR(LOWER($F154&amp;"")="free game",LOWER($F154&amp;"")="free"),IF(AND(ISNUMBER($P154),ISNUMBER($H154),$P154&gt;$H154),"Profit","Free Game"),IF($P154="","",IF(ROUND(IFERROR(VALUE($P154),0)-IFERROR(VALUE($H154),0),2)&gt;0,"Profit","Draw"))))))</x:f>
      </x:c>
      <x:c r="V154" s="144" t="str">
        <x:f>IF(COUNTA($A154:$M154)=0,"",IF(OR($B154="",$C154="",$U154="Subscription"),"",IFERROR(ROUNDUP(($C154-$B154)/7,0),"")))</x:f>
      </x:c>
      <x:c r="W154" s="112" t="str">
        <x:f>IF(COUNTA($A154:$M154)=0,"",IF(OR($U154="Subscription",$U154=""),"",ROUND(IFERROR($Q154,0)-IFERROR($S154,0),2)))</x:f>
      </x:c>
      <x:c r="X154" s="144" t="str">
        <x:f>IF(COUNTA($A154:$M154)=0,"",IF(OR($U154="Subscription",$U154="Free Game",NOT(ISNUMBER($J154)),NOT(ISNUMBER($I154)),$J154=0,$I154=0,$I154&gt;$J154),"",$J154-$I154))</x:f>
      </x:c>
      <x:c r="Y154" s="116" t="str">
        <x:f>IF(COUNTA($A154:$M154)=0,"",IF(OR($U154="Subscription",$U154="Free Game",NOT(ISNUMBER($J154)),$J154=0,$X154=""),"",$X154/$J154))</x:f>
      </x:c>
      <x:c r="Z154" s="118" t="str">
        <x:f>IF(COUNTA($A154:$M154)=0,"",Instructions!$B$29+SUM($W$5:W154))</x:f>
      </x:c>
    </x:row>
    <x:row r="155" ht="30" customHeight="1">
      <x:c r="A155" s="477"/>
      <x:c r="B155" s="482"/>
      <x:c r="C155" s="482"/>
      <x:c r="D155" s="483"/>
      <x:c r="E155" s="483"/>
      <x:c r="F155" s="483"/>
      <x:c r="G155" s="484"/>
      <x:c r="H155" s="484"/>
      <x:c r="I155" s="485"/>
      <x:c r="J155" s="485"/>
      <x:c r="K155" s="484"/>
      <x:c r="L155" s="483"/>
      <x:c r="M155" s="477"/>
      <x:c r="N155" s="112" t="str">
        <x:f>IF(COUNTA($A155:$M155)=0,"",IF(OR(LOWER($F155&amp;"")="subscription",LOWER($F155&amp;"")="membership"),"",IF($G155="","",IF(ISNUMBER(SEARCH("non",LOWER($E155&amp;""))),$G155*0.85,$G155))))</x:f>
      </x:c>
      <x:c r="O155" s="112" t="str">
        <x:f>IF(COUNTA($A155:$M155)=0,"",IF(OR(LOWER($F155&amp;"")="subscription",LOWER($F155&amp;"")="membership"),"",IF(OR($N155="",$I155="",$I155=0),"",IFERROR($N155/$I155,""))))</x:f>
      </x:c>
      <x:c r="P155" s="112" t="str">
        <x:f>IF(COUNTA($A155:$M155)=0,"",IF(OR(LOWER($F155&amp;"")="subscription",LOWER($F155&amp;"")="membership"),"",IF(LOWER($L155&amp;"")="yes",0,IF($K155&lt;&gt;"",$K155,IF($O155&lt;&gt;"",$O155,"")))))</x:f>
      </x:c>
      <x:c r="Q155" s="112" t="str">
        <x:f>IF(COUNTA($A155:$M155)=0,"",IF(OR($U155="Subscription",$U155=""),"",IF($U155="Profit",ROUND($P155-$H155,2),0)))</x:f>
      </x:c>
      <x:c r="R155" s="112" t="str">
        <x:f>IF(COUNTA($A155:$M155)=0,"",IF(OR($U155="Subscription",$U155=""),"",IF($U155="Draw",$H155,0)))</x:f>
      </x:c>
      <x:c r="S155" s="112" t="str">
        <x:f>IF(COUNTA($A155:$M155)=0,"",IF(OR($U155="Subscription",$U155=""),"",IF($U155="Disqualified",$H155,0)))</x:f>
      </x:c>
      <x:c r="T155" s="116" t="str">
        <x:f>IF(COUNTA($A155:$M155)=0,"",IF(OR($U155="Subscription",$U155=""),"",IF($H155=0,0,IF($U155="Profit",$Q155/$H155,IF($U155="Disqualified",-$S155/$H155,0)))))</x:f>
      </x:c>
      <x:c r="U155" s="290" t="str">
        <x:f>IF(COUNTA($A155:$M155)=0,"",IF(OR(LOWER($F155&amp;"")="subscription",LOWER($F155&amp;"")="membership"),"Subscription",IF(LOWER($L155&amp;"")="yes","Disqualified",IF(OR(LOWER($F155&amp;"")="free game",LOWER($F155&amp;"")="free"),IF(AND(ISNUMBER($P155),ISNUMBER($H155),$P155&gt;$H155),"Profit","Free Game"),IF($P155="","",IF(ROUND(IFERROR(VALUE($P155),0)-IFERROR(VALUE($H155),0),2)&gt;0,"Profit","Draw"))))))</x:f>
      </x:c>
      <x:c r="V155" s="144" t="str">
        <x:f>IF(COUNTA($A155:$M155)=0,"",IF(OR($B155="",$C155="",$U155="Subscription"),"",IFERROR(ROUNDUP(($C155-$B155)/7,0),"")))</x:f>
      </x:c>
      <x:c r="W155" s="112" t="str">
        <x:f>IF(COUNTA($A155:$M155)=0,"",IF(OR($U155="Subscription",$U155=""),"",ROUND(IFERROR($Q155,0)-IFERROR($S155,0),2)))</x:f>
      </x:c>
      <x:c r="X155" s="144" t="str">
        <x:f>IF(COUNTA($A155:$M155)=0,"",IF(OR($U155="Subscription",$U155="Free Game",NOT(ISNUMBER($J155)),NOT(ISNUMBER($I155)),$J155=0,$I155=0,$I155&gt;$J155),"",$J155-$I155))</x:f>
      </x:c>
      <x:c r="Y155" s="116" t="str">
        <x:f>IF(COUNTA($A155:$M155)=0,"",IF(OR($U155="Subscription",$U155="Free Game",NOT(ISNUMBER($J155)),$J155=0,$X155=""),"",$X155/$J155))</x:f>
      </x:c>
      <x:c r="Z155" s="118" t="str">
        <x:f>IF(COUNTA($A155:$M155)=0,"",Instructions!$B$29+SUM($W$5:W155))</x:f>
      </x:c>
    </x:row>
    <x:row r="156" ht="30" customHeight="1">
      <x:c r="A156" s="477"/>
      <x:c r="B156" s="482"/>
      <x:c r="C156" s="482"/>
      <x:c r="D156" s="483"/>
      <x:c r="E156" s="483"/>
      <x:c r="F156" s="483"/>
      <x:c r="G156" s="484"/>
      <x:c r="H156" s="484"/>
      <x:c r="I156" s="485"/>
      <x:c r="J156" s="485"/>
      <x:c r="K156" s="484"/>
      <x:c r="L156" s="483"/>
      <x:c r="M156" s="477"/>
      <x:c r="N156" s="112" t="str">
        <x:f>IF(COUNTA($A156:$M156)=0,"",IF(OR(LOWER($F156&amp;"")="subscription",LOWER($F156&amp;"")="membership"),"",IF($G156="","",IF(ISNUMBER(SEARCH("non",LOWER($E156&amp;""))),$G156*0.85,$G156))))</x:f>
      </x:c>
      <x:c r="O156" s="112" t="str">
        <x:f>IF(COUNTA($A156:$M156)=0,"",IF(OR(LOWER($F156&amp;"")="subscription",LOWER($F156&amp;"")="membership"),"",IF(OR($N156="",$I156="",$I156=0),"",IFERROR($N156/$I156,""))))</x:f>
      </x:c>
      <x:c r="P156" s="112" t="str">
        <x:f>IF(COUNTA($A156:$M156)=0,"",IF(OR(LOWER($F156&amp;"")="subscription",LOWER($F156&amp;"")="membership"),"",IF(LOWER($L156&amp;"")="yes",0,IF($K156&lt;&gt;"",$K156,IF($O156&lt;&gt;"",$O156,"")))))</x:f>
      </x:c>
      <x:c r="Q156" s="112" t="str">
        <x:f>IF(COUNTA($A156:$M156)=0,"",IF(OR($U156="Subscription",$U156=""),"",IF($U156="Profit",ROUND($P156-$H156,2),0)))</x:f>
      </x:c>
      <x:c r="R156" s="112" t="str">
        <x:f>IF(COUNTA($A156:$M156)=0,"",IF(OR($U156="Subscription",$U156=""),"",IF($U156="Draw",$H156,0)))</x:f>
      </x:c>
      <x:c r="S156" s="112" t="str">
        <x:f>IF(COUNTA($A156:$M156)=0,"",IF(OR($U156="Subscription",$U156=""),"",IF($U156="Disqualified",$H156,0)))</x:f>
      </x:c>
      <x:c r="T156" s="116" t="str">
        <x:f>IF(COUNTA($A156:$M156)=0,"",IF(OR($U156="Subscription",$U156=""),"",IF($H156=0,0,IF($U156="Profit",$Q156/$H156,IF($U156="Disqualified",-$S156/$H156,0)))))</x:f>
      </x:c>
      <x:c r="U156" s="290" t="str">
        <x:f>IF(COUNTA($A156:$M156)=0,"",IF(OR(LOWER($F156&amp;"")="subscription",LOWER($F156&amp;"")="membership"),"Subscription",IF(LOWER($L156&amp;"")="yes","Disqualified",IF(OR(LOWER($F156&amp;"")="free game",LOWER($F156&amp;"")="free"),IF(AND(ISNUMBER($P156),ISNUMBER($H156),$P156&gt;$H156),"Profit","Free Game"),IF($P156="","",IF(ROUND(IFERROR(VALUE($P156),0)-IFERROR(VALUE($H156),0),2)&gt;0,"Profit","Draw"))))))</x:f>
      </x:c>
      <x:c r="V156" s="144" t="str">
        <x:f>IF(COUNTA($A156:$M156)=0,"",IF(OR($B156="",$C156="",$U156="Subscription"),"",IFERROR(ROUNDUP(($C156-$B156)/7,0),"")))</x:f>
      </x:c>
      <x:c r="W156" s="112" t="str">
        <x:f>IF(COUNTA($A156:$M156)=0,"",IF(OR($U156="Subscription",$U156=""),"",ROUND(IFERROR($Q156,0)-IFERROR($S156,0),2)))</x:f>
      </x:c>
      <x:c r="X156" s="144" t="str">
        <x:f>IF(COUNTA($A156:$M156)=0,"",IF(OR($U156="Subscription",$U156="Free Game",NOT(ISNUMBER($J156)),NOT(ISNUMBER($I156)),$J156=0,$I156=0,$I156&gt;$J156),"",$J156-$I156))</x:f>
      </x:c>
      <x:c r="Y156" s="116" t="str">
        <x:f>IF(COUNTA($A156:$M156)=0,"",IF(OR($U156="Subscription",$U156="Free Game",NOT(ISNUMBER($J156)),$J156=0,$X156=""),"",$X156/$J156))</x:f>
      </x:c>
      <x:c r="Z156" s="118" t="str">
        <x:f>IF(COUNTA($A156:$M156)=0,"",Instructions!$B$29+SUM($W$5:W156))</x:f>
      </x:c>
    </x:row>
    <x:row r="157" ht="30" customHeight="1">
      <x:c r="A157" s="477"/>
      <x:c r="B157" s="482"/>
      <x:c r="C157" s="482"/>
      <x:c r="D157" s="483"/>
      <x:c r="E157" s="483"/>
      <x:c r="F157" s="483"/>
      <x:c r="G157" s="484"/>
      <x:c r="H157" s="484"/>
      <x:c r="I157" s="485"/>
      <x:c r="J157" s="485"/>
      <x:c r="K157" s="484"/>
      <x:c r="L157" s="483"/>
      <x:c r="M157" s="477"/>
      <x:c r="N157" s="112" t="str">
        <x:f>IF(COUNTA($A157:$M157)=0,"",IF(OR(LOWER($F157&amp;"")="subscription",LOWER($F157&amp;"")="membership"),"",IF($G157="","",IF(ISNUMBER(SEARCH("non",LOWER($E157&amp;""))),$G157*0.85,$G157))))</x:f>
      </x:c>
      <x:c r="O157" s="112" t="str">
        <x:f>IF(COUNTA($A157:$M157)=0,"",IF(OR(LOWER($F157&amp;"")="subscription",LOWER($F157&amp;"")="membership"),"",IF(OR($N157="",$I157="",$I157=0),"",IFERROR($N157/$I157,""))))</x:f>
      </x:c>
      <x:c r="P157" s="112" t="str">
        <x:f>IF(COUNTA($A157:$M157)=0,"",IF(OR(LOWER($F157&amp;"")="subscription",LOWER($F157&amp;"")="membership"),"",IF(LOWER($L157&amp;"")="yes",0,IF($K157&lt;&gt;"",$K157,IF($O157&lt;&gt;"",$O157,"")))))</x:f>
      </x:c>
      <x:c r="Q157" s="112" t="str">
        <x:f>IF(COUNTA($A157:$M157)=0,"",IF(OR($U157="Subscription",$U157=""),"",IF($U157="Profit",ROUND($P157-$H157,2),0)))</x:f>
      </x:c>
      <x:c r="R157" s="112" t="str">
        <x:f>IF(COUNTA($A157:$M157)=0,"",IF(OR($U157="Subscription",$U157=""),"",IF($U157="Draw",$H157,0)))</x:f>
      </x:c>
      <x:c r="S157" s="112" t="str">
        <x:f>IF(COUNTA($A157:$M157)=0,"",IF(OR($U157="Subscription",$U157=""),"",IF($U157="Disqualified",$H157,0)))</x:f>
      </x:c>
      <x:c r="T157" s="116" t="str">
        <x:f>IF(COUNTA($A157:$M157)=0,"",IF(OR($U157="Subscription",$U157=""),"",IF($H157=0,0,IF($U157="Profit",$Q157/$H157,IF($U157="Disqualified",-$S157/$H157,0)))))</x:f>
      </x:c>
      <x:c r="U157" s="290" t="str">
        <x:f>IF(COUNTA($A157:$M157)=0,"",IF(OR(LOWER($F157&amp;"")="subscription",LOWER($F157&amp;"")="membership"),"Subscription",IF(LOWER($L157&amp;"")="yes","Disqualified",IF(OR(LOWER($F157&amp;"")="free game",LOWER($F157&amp;"")="free"),IF(AND(ISNUMBER($P157),ISNUMBER($H157),$P157&gt;$H157),"Profit","Free Game"),IF($P157="","",IF(ROUND(IFERROR(VALUE($P157),0)-IFERROR(VALUE($H157),0),2)&gt;0,"Profit","Draw"))))))</x:f>
      </x:c>
      <x:c r="V157" s="144" t="str">
        <x:f>IF(COUNTA($A157:$M157)=0,"",IF(OR($B157="",$C157="",$U157="Subscription"),"",IFERROR(ROUNDUP(($C157-$B157)/7,0),"")))</x:f>
      </x:c>
      <x:c r="W157" s="112" t="str">
        <x:f>IF(COUNTA($A157:$M157)=0,"",IF(OR($U157="Subscription",$U157=""),"",ROUND(IFERROR($Q157,0)-IFERROR($S157,0),2)))</x:f>
      </x:c>
      <x:c r="X157" s="144" t="str">
        <x:f>IF(COUNTA($A157:$M157)=0,"",IF(OR($U157="Subscription",$U157="Free Game",NOT(ISNUMBER($J157)),NOT(ISNUMBER($I157)),$J157=0,$I157=0,$I157&gt;$J157),"",$J157-$I157))</x:f>
      </x:c>
      <x:c r="Y157" s="116" t="str">
        <x:f>IF(COUNTA($A157:$M157)=0,"",IF(OR($U157="Subscription",$U157="Free Game",NOT(ISNUMBER($J157)),$J157=0,$X157=""),"",$X157/$J157))</x:f>
      </x:c>
      <x:c r="Z157" s="118" t="str">
        <x:f>IF(COUNTA($A157:$M157)=0,"",Instructions!$B$29+SUM($W$5:W157))</x:f>
      </x:c>
    </x:row>
    <x:row r="158" ht="30" customHeight="1">
      <x:c r="A158" s="477"/>
      <x:c r="B158" s="482"/>
      <x:c r="C158" s="482"/>
      <x:c r="D158" s="483"/>
      <x:c r="E158" s="483"/>
      <x:c r="F158" s="483"/>
      <x:c r="G158" s="484"/>
      <x:c r="H158" s="484"/>
      <x:c r="I158" s="485"/>
      <x:c r="J158" s="485"/>
      <x:c r="K158" s="484"/>
      <x:c r="L158" s="483"/>
      <x:c r="M158" s="477"/>
      <x:c r="N158" s="112" t="str">
        <x:f>IF(COUNTA($A158:$M158)=0,"",IF(OR(LOWER($F158&amp;"")="subscription",LOWER($F158&amp;"")="membership"),"",IF($G158="","",IF(ISNUMBER(SEARCH("non",LOWER($E158&amp;""))),$G158*0.85,$G158))))</x:f>
      </x:c>
      <x:c r="O158" s="112" t="str">
        <x:f>IF(COUNTA($A158:$M158)=0,"",IF(OR(LOWER($F158&amp;"")="subscription",LOWER($F158&amp;"")="membership"),"",IF(OR($N158="",$I158="",$I158=0),"",IFERROR($N158/$I158,""))))</x:f>
      </x:c>
      <x:c r="P158" s="112" t="str">
        <x:f>IF(COUNTA($A158:$M158)=0,"",IF(OR(LOWER($F158&amp;"")="subscription",LOWER($F158&amp;"")="membership"),"",IF(LOWER($L158&amp;"")="yes",0,IF($K158&lt;&gt;"",$K158,IF($O158&lt;&gt;"",$O158,"")))))</x:f>
      </x:c>
      <x:c r="Q158" s="112" t="str">
        <x:f>IF(COUNTA($A158:$M158)=0,"",IF(OR($U158="Subscription",$U158=""),"",IF($U158="Profit",ROUND($P158-$H158,2),0)))</x:f>
      </x:c>
      <x:c r="R158" s="112" t="str">
        <x:f>IF(COUNTA($A158:$M158)=0,"",IF(OR($U158="Subscription",$U158=""),"",IF($U158="Draw",$H158,0)))</x:f>
      </x:c>
      <x:c r="S158" s="112" t="str">
        <x:f>IF(COUNTA($A158:$M158)=0,"",IF(OR($U158="Subscription",$U158=""),"",IF($U158="Disqualified",$H158,0)))</x:f>
      </x:c>
      <x:c r="T158" s="116" t="str">
        <x:f>IF(COUNTA($A158:$M158)=0,"",IF(OR($U158="Subscription",$U158=""),"",IF($H158=0,0,IF($U158="Profit",$Q158/$H158,IF($U158="Disqualified",-$S158/$H158,0)))))</x:f>
      </x:c>
      <x:c r="U158" s="290" t="str">
        <x:f>IF(COUNTA($A158:$M158)=0,"",IF(OR(LOWER($F158&amp;"")="subscription",LOWER($F158&amp;"")="membership"),"Subscription",IF(LOWER($L158&amp;"")="yes","Disqualified",IF(OR(LOWER($F158&amp;"")="free game",LOWER($F158&amp;"")="free"),IF(AND(ISNUMBER($P158),ISNUMBER($H158),$P158&gt;$H158),"Profit","Free Game"),IF($P158="","",IF(ROUND(IFERROR(VALUE($P158),0)-IFERROR(VALUE($H158),0),2)&gt;0,"Profit","Draw"))))))</x:f>
      </x:c>
      <x:c r="V158" s="144" t="str">
        <x:f>IF(COUNTA($A158:$M158)=0,"",IF(OR($B158="",$C158="",$U158="Subscription"),"",IFERROR(ROUNDUP(($C158-$B158)/7,0),"")))</x:f>
      </x:c>
      <x:c r="W158" s="112" t="str">
        <x:f>IF(COUNTA($A158:$M158)=0,"",IF(OR($U158="Subscription",$U158=""),"",ROUND(IFERROR($Q158,0)-IFERROR($S158,0),2)))</x:f>
      </x:c>
      <x:c r="X158" s="144" t="str">
        <x:f>IF(COUNTA($A158:$M158)=0,"",IF(OR($U158="Subscription",$U158="Free Game",NOT(ISNUMBER($J158)),NOT(ISNUMBER($I158)),$J158=0,$I158=0,$I158&gt;$J158),"",$J158-$I158))</x:f>
      </x:c>
      <x:c r="Y158" s="116" t="str">
        <x:f>IF(COUNTA($A158:$M158)=0,"",IF(OR($U158="Subscription",$U158="Free Game",NOT(ISNUMBER($J158)),$J158=0,$X158=""),"",$X158/$J158))</x:f>
      </x:c>
      <x:c r="Z158" s="118" t="str">
        <x:f>IF(COUNTA($A158:$M158)=0,"",Instructions!$B$29+SUM($W$5:W158))</x:f>
      </x:c>
    </x:row>
    <x:row r="159" ht="30" customHeight="1">
      <x:c r="A159" s="477"/>
      <x:c r="B159" s="482"/>
      <x:c r="C159" s="482"/>
      <x:c r="D159" s="483"/>
      <x:c r="E159" s="483"/>
      <x:c r="F159" s="483"/>
      <x:c r="G159" s="484"/>
      <x:c r="H159" s="484"/>
      <x:c r="I159" s="485"/>
      <x:c r="J159" s="485"/>
      <x:c r="K159" s="484"/>
      <x:c r="L159" s="483"/>
      <x:c r="M159" s="477"/>
      <x:c r="N159" s="112" t="str">
        <x:f>IF(COUNTA($A159:$M159)=0,"",IF(OR(LOWER($F159&amp;"")="subscription",LOWER($F159&amp;"")="membership"),"",IF($G159="","",IF(ISNUMBER(SEARCH("non",LOWER($E159&amp;""))),$G159*0.85,$G159))))</x:f>
      </x:c>
      <x:c r="O159" s="112" t="str">
        <x:f>IF(COUNTA($A159:$M159)=0,"",IF(OR(LOWER($F159&amp;"")="subscription",LOWER($F159&amp;"")="membership"),"",IF(OR($N159="",$I159="",$I159=0),"",IFERROR($N159/$I159,""))))</x:f>
      </x:c>
      <x:c r="P159" s="112" t="str">
        <x:f>IF(COUNTA($A159:$M159)=0,"",IF(OR(LOWER($F159&amp;"")="subscription",LOWER($F159&amp;"")="membership"),"",IF(LOWER($L159&amp;"")="yes",0,IF($K159&lt;&gt;"",$K159,IF($O159&lt;&gt;"",$O159,"")))))</x:f>
      </x:c>
      <x:c r="Q159" s="112" t="str">
        <x:f>IF(COUNTA($A159:$M159)=0,"",IF(OR($U159="Subscription",$U159=""),"",IF($U159="Profit",ROUND($P159-$H159,2),0)))</x:f>
      </x:c>
      <x:c r="R159" s="112" t="str">
        <x:f>IF(COUNTA($A159:$M159)=0,"",IF(OR($U159="Subscription",$U159=""),"",IF($U159="Draw",$H159,0)))</x:f>
      </x:c>
      <x:c r="S159" s="112" t="str">
        <x:f>IF(COUNTA($A159:$M159)=0,"",IF(OR($U159="Subscription",$U159=""),"",IF($U159="Disqualified",$H159,0)))</x:f>
      </x:c>
      <x:c r="T159" s="116" t="str">
        <x:f>IF(COUNTA($A159:$M159)=0,"",IF(OR($U159="Subscription",$U159=""),"",IF($H159=0,0,IF($U159="Profit",$Q159/$H159,IF($U159="Disqualified",-$S159/$H159,0)))))</x:f>
      </x:c>
      <x:c r="U159" s="290" t="str">
        <x:f>IF(COUNTA($A159:$M159)=0,"",IF(OR(LOWER($F159&amp;"")="subscription",LOWER($F159&amp;"")="membership"),"Subscription",IF(LOWER($L159&amp;"")="yes","Disqualified",IF(OR(LOWER($F159&amp;"")="free game",LOWER($F159&amp;"")="free"),IF(AND(ISNUMBER($P159),ISNUMBER($H159),$P159&gt;$H159),"Profit","Free Game"),IF($P159="","",IF(ROUND(IFERROR(VALUE($P159),0)-IFERROR(VALUE($H159),0),2)&gt;0,"Profit","Draw"))))))</x:f>
      </x:c>
      <x:c r="V159" s="144" t="str">
        <x:f>IF(COUNTA($A159:$M159)=0,"",IF(OR($B159="",$C159="",$U159="Subscription"),"",IFERROR(ROUNDUP(($C159-$B159)/7,0),"")))</x:f>
      </x:c>
      <x:c r="W159" s="112" t="str">
        <x:f>IF(COUNTA($A159:$M159)=0,"",IF(OR($U159="Subscription",$U159=""),"",ROUND(IFERROR($Q159,0)-IFERROR($S159,0),2)))</x:f>
      </x:c>
      <x:c r="X159" s="144" t="str">
        <x:f>IF(COUNTA($A159:$M159)=0,"",IF(OR($U159="Subscription",$U159="Free Game",NOT(ISNUMBER($J159)),NOT(ISNUMBER($I159)),$J159=0,$I159=0,$I159&gt;$J159),"",$J159-$I159))</x:f>
      </x:c>
      <x:c r="Y159" s="116" t="str">
        <x:f>IF(COUNTA($A159:$M159)=0,"",IF(OR($U159="Subscription",$U159="Free Game",NOT(ISNUMBER($J159)),$J159=0,$X159=""),"",$X159/$J159))</x:f>
      </x:c>
      <x:c r="Z159" s="118" t="str">
        <x:f>IF(COUNTA($A159:$M159)=0,"",Instructions!$B$29+SUM($W$5:W159))</x:f>
      </x:c>
    </x:row>
    <x:row r="160" ht="30" customHeight="1">
      <x:c r="A160" s="477"/>
      <x:c r="B160" s="482"/>
      <x:c r="C160" s="482"/>
      <x:c r="D160" s="483"/>
      <x:c r="E160" s="483"/>
      <x:c r="F160" s="483"/>
      <x:c r="G160" s="484"/>
      <x:c r="H160" s="484"/>
      <x:c r="I160" s="485"/>
      <x:c r="J160" s="485"/>
      <x:c r="K160" s="484"/>
      <x:c r="L160" s="483"/>
      <x:c r="M160" s="477"/>
      <x:c r="N160" s="112" t="str">
        <x:f>IF(COUNTA($A160:$M160)=0,"",IF(OR(LOWER($F160&amp;"")="subscription",LOWER($F160&amp;"")="membership"),"",IF($G160="","",IF(ISNUMBER(SEARCH("non",LOWER($E160&amp;""))),$G160*0.85,$G160))))</x:f>
      </x:c>
      <x:c r="O160" s="112" t="str">
        <x:f>IF(COUNTA($A160:$M160)=0,"",IF(OR(LOWER($F160&amp;"")="subscription",LOWER($F160&amp;"")="membership"),"",IF(OR($N160="",$I160="",$I160=0),"",IFERROR($N160/$I160,""))))</x:f>
      </x:c>
      <x:c r="P160" s="112" t="str">
        <x:f>IF(COUNTA($A160:$M160)=0,"",IF(OR(LOWER($F160&amp;"")="subscription",LOWER($F160&amp;"")="membership"),"",IF(LOWER($L160&amp;"")="yes",0,IF($K160&lt;&gt;"",$K160,IF($O160&lt;&gt;"",$O160,"")))))</x:f>
      </x:c>
      <x:c r="Q160" s="112" t="str">
        <x:f>IF(COUNTA($A160:$M160)=0,"",IF(OR($U160="Subscription",$U160=""),"",IF($U160="Profit",ROUND($P160-$H160,2),0)))</x:f>
      </x:c>
      <x:c r="R160" s="112" t="str">
        <x:f>IF(COUNTA($A160:$M160)=0,"",IF(OR($U160="Subscription",$U160=""),"",IF($U160="Draw",$H160,0)))</x:f>
      </x:c>
      <x:c r="S160" s="112" t="str">
        <x:f>IF(COUNTA($A160:$M160)=0,"",IF(OR($U160="Subscription",$U160=""),"",IF($U160="Disqualified",$H160,0)))</x:f>
      </x:c>
      <x:c r="T160" s="116" t="str">
        <x:f>IF(COUNTA($A160:$M160)=0,"",IF(OR($U160="Subscription",$U160=""),"",IF($H160=0,0,IF($U160="Profit",$Q160/$H160,IF($U160="Disqualified",-$S160/$H160,0)))))</x:f>
      </x:c>
      <x:c r="U160" s="290" t="str">
        <x:f>IF(COUNTA($A160:$M160)=0,"",IF(OR(LOWER($F160&amp;"")="subscription",LOWER($F160&amp;"")="membership"),"Subscription",IF(LOWER($L160&amp;"")="yes","Disqualified",IF(OR(LOWER($F160&amp;"")="free game",LOWER($F160&amp;"")="free"),IF(AND(ISNUMBER($P160),ISNUMBER($H160),$P160&gt;$H160),"Profit","Free Game"),IF($P160="","",IF(ROUND(IFERROR(VALUE($P160),0)-IFERROR(VALUE($H160),0),2)&gt;0,"Profit","Draw"))))))</x:f>
      </x:c>
      <x:c r="V160" s="144" t="str">
        <x:f>IF(COUNTA($A160:$M160)=0,"",IF(OR($B160="",$C160="",$U160="Subscription"),"",IFERROR(ROUNDUP(($C160-$B160)/7,0),"")))</x:f>
      </x:c>
      <x:c r="W160" s="112" t="str">
        <x:f>IF(COUNTA($A160:$M160)=0,"",IF(OR($U160="Subscription",$U160=""),"",ROUND(IFERROR($Q160,0)-IFERROR($S160,0),2)))</x:f>
      </x:c>
      <x:c r="X160" s="144" t="str">
        <x:f>IF(COUNTA($A160:$M160)=0,"",IF(OR($U160="Subscription",$U160="Free Game",NOT(ISNUMBER($J160)),NOT(ISNUMBER($I160)),$J160=0,$I160=0,$I160&gt;$J160),"",$J160-$I160))</x:f>
      </x:c>
      <x:c r="Y160" s="116" t="str">
        <x:f>IF(COUNTA($A160:$M160)=0,"",IF(OR($U160="Subscription",$U160="Free Game",NOT(ISNUMBER($J160)),$J160=0,$X160=""),"",$X160/$J160))</x:f>
      </x:c>
      <x:c r="Z160" s="118" t="str">
        <x:f>IF(COUNTA($A160:$M160)=0,"",Instructions!$B$29+SUM($W$5:W160))</x:f>
      </x:c>
    </x:row>
    <x:row r="161" ht="30" customHeight="1">
      <x:c r="A161" s="477"/>
      <x:c r="B161" s="482"/>
      <x:c r="C161" s="482"/>
      <x:c r="D161" s="483"/>
      <x:c r="E161" s="483"/>
      <x:c r="F161" s="483"/>
      <x:c r="G161" s="484"/>
      <x:c r="H161" s="484"/>
      <x:c r="I161" s="485"/>
      <x:c r="J161" s="485"/>
      <x:c r="K161" s="484"/>
      <x:c r="L161" s="483"/>
      <x:c r="M161" s="477"/>
      <x:c r="N161" s="112" t="str">
        <x:f>IF(COUNTA($A161:$M161)=0,"",IF(OR(LOWER($F161&amp;"")="subscription",LOWER($F161&amp;"")="membership"),"",IF($G161="","",IF(ISNUMBER(SEARCH("non",LOWER($E161&amp;""))),$G161*0.85,$G161))))</x:f>
      </x:c>
      <x:c r="O161" s="112" t="str">
        <x:f>IF(COUNTA($A161:$M161)=0,"",IF(OR(LOWER($F161&amp;"")="subscription",LOWER($F161&amp;"")="membership"),"",IF(OR($N161="",$I161="",$I161=0),"",IFERROR($N161/$I161,""))))</x:f>
      </x:c>
      <x:c r="P161" s="112" t="str">
        <x:f>IF(COUNTA($A161:$M161)=0,"",IF(OR(LOWER($F161&amp;"")="subscription",LOWER($F161&amp;"")="membership"),"",IF(LOWER($L161&amp;"")="yes",0,IF($K161&lt;&gt;"",$K161,IF($O161&lt;&gt;"",$O161,"")))))</x:f>
      </x:c>
      <x:c r="Q161" s="112" t="str">
        <x:f>IF(COUNTA($A161:$M161)=0,"",IF(OR($U161="Subscription",$U161=""),"",IF($U161="Profit",ROUND($P161-$H161,2),0)))</x:f>
      </x:c>
      <x:c r="R161" s="112" t="str">
        <x:f>IF(COUNTA($A161:$M161)=0,"",IF(OR($U161="Subscription",$U161=""),"",IF($U161="Draw",$H161,0)))</x:f>
      </x:c>
      <x:c r="S161" s="112" t="str">
        <x:f>IF(COUNTA($A161:$M161)=0,"",IF(OR($U161="Subscription",$U161=""),"",IF($U161="Disqualified",$H161,0)))</x:f>
      </x:c>
      <x:c r="T161" s="116" t="str">
        <x:f>IF(COUNTA($A161:$M161)=0,"",IF(OR($U161="Subscription",$U161=""),"",IF($H161=0,0,IF($U161="Profit",$Q161/$H161,IF($U161="Disqualified",-$S161/$H161,0)))))</x:f>
      </x:c>
      <x:c r="U161" s="290" t="str">
        <x:f>IF(COUNTA($A161:$M161)=0,"",IF(OR(LOWER($F161&amp;"")="subscription",LOWER($F161&amp;"")="membership"),"Subscription",IF(LOWER($L161&amp;"")="yes","Disqualified",IF(OR(LOWER($F161&amp;"")="free game",LOWER($F161&amp;"")="free"),IF(AND(ISNUMBER($P161),ISNUMBER($H161),$P161&gt;$H161),"Profit","Free Game"),IF($P161="","",IF(ROUND(IFERROR(VALUE($P161),0)-IFERROR(VALUE($H161),0),2)&gt;0,"Profit","Draw"))))))</x:f>
      </x:c>
      <x:c r="V161" s="144" t="str">
        <x:f>IF(COUNTA($A161:$M161)=0,"",IF(OR($B161="",$C161="",$U161="Subscription"),"",IFERROR(ROUNDUP(($C161-$B161)/7,0),"")))</x:f>
      </x:c>
      <x:c r="W161" s="112" t="str">
        <x:f>IF(COUNTA($A161:$M161)=0,"",IF(OR($U161="Subscription",$U161=""),"",ROUND(IFERROR($Q161,0)-IFERROR($S161,0),2)))</x:f>
      </x:c>
      <x:c r="X161" s="144" t="str">
        <x:f>IF(COUNTA($A161:$M161)=0,"",IF(OR($U161="Subscription",$U161="Free Game",NOT(ISNUMBER($J161)),NOT(ISNUMBER($I161)),$J161=0,$I161=0,$I161&gt;$J161),"",$J161-$I161))</x:f>
      </x:c>
      <x:c r="Y161" s="116" t="str">
        <x:f>IF(COUNTA($A161:$M161)=0,"",IF(OR($U161="Subscription",$U161="Free Game",NOT(ISNUMBER($J161)),$J161=0,$X161=""),"",$X161/$J161))</x:f>
      </x:c>
      <x:c r="Z161" s="118" t="str">
        <x:f>IF(COUNTA($A161:$M161)=0,"",Instructions!$B$29+SUM($W$5:W161))</x:f>
      </x:c>
    </x:row>
    <x:row r="162" ht="30" customHeight="1">
      <x:c r="A162" s="477"/>
      <x:c r="B162" s="482"/>
      <x:c r="C162" s="482"/>
      <x:c r="D162" s="483"/>
      <x:c r="E162" s="483"/>
      <x:c r="F162" s="483"/>
      <x:c r="G162" s="484"/>
      <x:c r="H162" s="484"/>
      <x:c r="I162" s="485"/>
      <x:c r="J162" s="485"/>
      <x:c r="K162" s="484"/>
      <x:c r="L162" s="483"/>
      <x:c r="M162" s="477"/>
      <x:c r="N162" s="112" t="str">
        <x:f>IF(COUNTA($A162:$M162)=0,"",IF(OR(LOWER($F162&amp;"")="subscription",LOWER($F162&amp;"")="membership"),"",IF($G162="","",IF(ISNUMBER(SEARCH("non",LOWER($E162&amp;""))),$G162*0.85,$G162))))</x:f>
      </x:c>
      <x:c r="O162" s="112" t="str">
        <x:f>IF(COUNTA($A162:$M162)=0,"",IF(OR(LOWER($F162&amp;"")="subscription",LOWER($F162&amp;"")="membership"),"",IF(OR($N162="",$I162="",$I162=0),"",IFERROR($N162/$I162,""))))</x:f>
      </x:c>
      <x:c r="P162" s="112" t="str">
        <x:f>IF(COUNTA($A162:$M162)=0,"",IF(OR(LOWER($F162&amp;"")="subscription",LOWER($F162&amp;"")="membership"),"",IF(LOWER($L162&amp;"")="yes",0,IF($K162&lt;&gt;"",$K162,IF($O162&lt;&gt;"",$O162,"")))))</x:f>
      </x:c>
      <x:c r="Q162" s="112" t="str">
        <x:f>IF(COUNTA($A162:$M162)=0,"",IF(OR($U162="Subscription",$U162=""),"",IF($U162="Profit",ROUND($P162-$H162,2),0)))</x:f>
      </x:c>
      <x:c r="R162" s="112" t="str">
        <x:f>IF(COUNTA($A162:$M162)=0,"",IF(OR($U162="Subscription",$U162=""),"",IF($U162="Draw",$H162,0)))</x:f>
      </x:c>
      <x:c r="S162" s="112" t="str">
        <x:f>IF(COUNTA($A162:$M162)=0,"",IF(OR($U162="Subscription",$U162=""),"",IF($U162="Disqualified",$H162,0)))</x:f>
      </x:c>
      <x:c r="T162" s="116" t="str">
        <x:f>IF(COUNTA($A162:$M162)=0,"",IF(OR($U162="Subscription",$U162=""),"",IF($H162=0,0,IF($U162="Profit",$Q162/$H162,IF($U162="Disqualified",-$S162/$H162,0)))))</x:f>
      </x:c>
      <x:c r="U162" s="290" t="str">
        <x:f>IF(COUNTA($A162:$M162)=0,"",IF(OR(LOWER($F162&amp;"")="subscription",LOWER($F162&amp;"")="membership"),"Subscription",IF(LOWER($L162&amp;"")="yes","Disqualified",IF(OR(LOWER($F162&amp;"")="free game",LOWER($F162&amp;"")="free"),IF(AND(ISNUMBER($P162),ISNUMBER($H162),$P162&gt;$H162),"Profit","Free Game"),IF($P162="","",IF(ROUND(IFERROR(VALUE($P162),0)-IFERROR(VALUE($H162),0),2)&gt;0,"Profit","Draw"))))))</x:f>
      </x:c>
      <x:c r="V162" s="144" t="str">
        <x:f>IF(COUNTA($A162:$M162)=0,"",IF(OR($B162="",$C162="",$U162="Subscription"),"",IFERROR(ROUNDUP(($C162-$B162)/7,0),"")))</x:f>
      </x:c>
      <x:c r="W162" s="112" t="str">
        <x:f>IF(COUNTA($A162:$M162)=0,"",IF(OR($U162="Subscription",$U162=""),"",ROUND(IFERROR($Q162,0)-IFERROR($S162,0),2)))</x:f>
      </x:c>
      <x:c r="X162" s="144" t="str">
        <x:f>IF(COUNTA($A162:$M162)=0,"",IF(OR($U162="Subscription",$U162="Free Game",NOT(ISNUMBER($J162)),NOT(ISNUMBER($I162)),$J162=0,$I162=0,$I162&gt;$J162),"",$J162-$I162))</x:f>
      </x:c>
      <x:c r="Y162" s="116" t="str">
        <x:f>IF(COUNTA($A162:$M162)=0,"",IF(OR($U162="Subscription",$U162="Free Game",NOT(ISNUMBER($J162)),$J162=0,$X162=""),"",$X162/$J162))</x:f>
      </x:c>
      <x:c r="Z162" s="118" t="str">
        <x:f>IF(COUNTA($A162:$M162)=0,"",Instructions!$B$29+SUM($W$5:W162))</x:f>
      </x:c>
    </x:row>
    <x:row r="163" ht="30" customHeight="1">
      <x:c r="A163" s="477"/>
      <x:c r="B163" s="482"/>
      <x:c r="C163" s="482"/>
      <x:c r="D163" s="483"/>
      <x:c r="E163" s="483"/>
      <x:c r="F163" s="483"/>
      <x:c r="G163" s="484"/>
      <x:c r="H163" s="484"/>
      <x:c r="I163" s="485"/>
      <x:c r="J163" s="485"/>
      <x:c r="K163" s="484"/>
      <x:c r="L163" s="483"/>
      <x:c r="M163" s="477"/>
      <x:c r="N163" s="112" t="str">
        <x:f>IF(COUNTA($A163:$M163)=0,"",IF(OR(LOWER($F163&amp;"")="subscription",LOWER($F163&amp;"")="membership"),"",IF($G163="","",IF(ISNUMBER(SEARCH("non",LOWER($E163&amp;""))),$G163*0.85,$G163))))</x:f>
      </x:c>
      <x:c r="O163" s="112" t="str">
        <x:f>IF(COUNTA($A163:$M163)=0,"",IF(OR(LOWER($F163&amp;"")="subscription",LOWER($F163&amp;"")="membership"),"",IF(OR($N163="",$I163="",$I163=0),"",IFERROR($N163/$I163,""))))</x:f>
      </x:c>
      <x:c r="P163" s="112" t="str">
        <x:f>IF(COUNTA($A163:$M163)=0,"",IF(OR(LOWER($F163&amp;"")="subscription",LOWER($F163&amp;"")="membership"),"",IF(LOWER($L163&amp;"")="yes",0,IF($K163&lt;&gt;"",$K163,IF($O163&lt;&gt;"",$O163,"")))))</x:f>
      </x:c>
      <x:c r="Q163" s="112" t="str">
        <x:f>IF(COUNTA($A163:$M163)=0,"",IF(OR($U163="Subscription",$U163=""),"",IF($U163="Profit",ROUND($P163-$H163,2),0)))</x:f>
      </x:c>
      <x:c r="R163" s="112" t="str">
        <x:f>IF(COUNTA($A163:$M163)=0,"",IF(OR($U163="Subscription",$U163=""),"",IF($U163="Draw",$H163,0)))</x:f>
      </x:c>
      <x:c r="S163" s="112" t="str">
        <x:f>IF(COUNTA($A163:$M163)=0,"",IF(OR($U163="Subscription",$U163=""),"",IF($U163="Disqualified",$H163,0)))</x:f>
      </x:c>
      <x:c r="T163" s="116" t="str">
        <x:f>IF(COUNTA($A163:$M163)=0,"",IF(OR($U163="Subscription",$U163=""),"",IF($H163=0,0,IF($U163="Profit",$Q163/$H163,IF($U163="Disqualified",-$S163/$H163,0)))))</x:f>
      </x:c>
      <x:c r="U163" s="290" t="str">
        <x:f>IF(COUNTA($A163:$M163)=0,"",IF(OR(LOWER($F163&amp;"")="subscription",LOWER($F163&amp;"")="membership"),"Subscription",IF(LOWER($L163&amp;"")="yes","Disqualified",IF(OR(LOWER($F163&amp;"")="free game",LOWER($F163&amp;"")="free"),IF(AND(ISNUMBER($P163),ISNUMBER($H163),$P163&gt;$H163),"Profit","Free Game"),IF($P163="","",IF(ROUND(IFERROR(VALUE($P163),0)-IFERROR(VALUE($H163),0),2)&gt;0,"Profit","Draw"))))))</x:f>
      </x:c>
      <x:c r="V163" s="144" t="str">
        <x:f>IF(COUNTA($A163:$M163)=0,"",IF(OR($B163="",$C163="",$U163="Subscription"),"",IFERROR(ROUNDUP(($C163-$B163)/7,0),"")))</x:f>
      </x:c>
      <x:c r="W163" s="112" t="str">
        <x:f>IF(COUNTA($A163:$M163)=0,"",IF(OR($U163="Subscription",$U163=""),"",ROUND(IFERROR($Q163,0)-IFERROR($S163,0),2)))</x:f>
      </x:c>
      <x:c r="X163" s="144" t="str">
        <x:f>IF(COUNTA($A163:$M163)=0,"",IF(OR($U163="Subscription",$U163="Free Game",NOT(ISNUMBER($J163)),NOT(ISNUMBER($I163)),$J163=0,$I163=0,$I163&gt;$J163),"",$J163-$I163))</x:f>
      </x:c>
      <x:c r="Y163" s="116" t="str">
        <x:f>IF(COUNTA($A163:$M163)=0,"",IF(OR($U163="Subscription",$U163="Free Game",NOT(ISNUMBER($J163)),$J163=0,$X163=""),"",$X163/$J163))</x:f>
      </x:c>
      <x:c r="Z163" s="118" t="str">
        <x:f>IF(COUNTA($A163:$M163)=0,"",Instructions!$B$29+SUM($W$5:W163))</x:f>
      </x:c>
    </x:row>
    <x:row r="164" ht="30" customHeight="1">
      <x:c r="A164" s="477"/>
      <x:c r="B164" s="482"/>
      <x:c r="C164" s="482"/>
      <x:c r="D164" s="483"/>
      <x:c r="E164" s="483"/>
      <x:c r="F164" s="483"/>
      <x:c r="G164" s="484"/>
      <x:c r="H164" s="484"/>
      <x:c r="I164" s="485"/>
      <x:c r="J164" s="485"/>
      <x:c r="K164" s="484"/>
      <x:c r="L164" s="483"/>
      <x:c r="M164" s="477"/>
      <x:c r="N164" s="112" t="str">
        <x:f>IF(COUNTA($A164:$M164)=0,"",IF(OR(LOWER($F164&amp;"")="subscription",LOWER($F164&amp;"")="membership"),"",IF($G164="","",IF(ISNUMBER(SEARCH("non",LOWER($E164&amp;""))),$G164*0.85,$G164))))</x:f>
      </x:c>
      <x:c r="O164" s="112" t="str">
        <x:f>IF(COUNTA($A164:$M164)=0,"",IF(OR(LOWER($F164&amp;"")="subscription",LOWER($F164&amp;"")="membership"),"",IF(OR($N164="",$I164="",$I164=0),"",IFERROR($N164/$I164,""))))</x:f>
      </x:c>
      <x:c r="P164" s="112" t="str">
        <x:f>IF(COUNTA($A164:$M164)=0,"",IF(OR(LOWER($F164&amp;"")="subscription",LOWER($F164&amp;"")="membership"),"",IF(LOWER($L164&amp;"")="yes",0,IF($K164&lt;&gt;"",$K164,IF($O164&lt;&gt;"",$O164,"")))))</x:f>
      </x:c>
      <x:c r="Q164" s="112" t="str">
        <x:f>IF(COUNTA($A164:$M164)=0,"",IF(OR($U164="Subscription",$U164=""),"",IF($U164="Profit",ROUND($P164-$H164,2),0)))</x:f>
      </x:c>
      <x:c r="R164" s="112" t="str">
        <x:f>IF(COUNTA($A164:$M164)=0,"",IF(OR($U164="Subscription",$U164=""),"",IF($U164="Draw",$H164,0)))</x:f>
      </x:c>
      <x:c r="S164" s="112" t="str">
        <x:f>IF(COUNTA($A164:$M164)=0,"",IF(OR($U164="Subscription",$U164=""),"",IF($U164="Disqualified",$H164,0)))</x:f>
      </x:c>
      <x:c r="T164" s="116" t="str">
        <x:f>IF(COUNTA($A164:$M164)=0,"",IF(OR($U164="Subscription",$U164=""),"",IF($H164=0,0,IF($U164="Profit",$Q164/$H164,IF($U164="Disqualified",-$S164/$H164,0)))))</x:f>
      </x:c>
      <x:c r="U164" s="290" t="str">
        <x:f>IF(COUNTA($A164:$M164)=0,"",IF(OR(LOWER($F164&amp;"")="subscription",LOWER($F164&amp;"")="membership"),"Subscription",IF(LOWER($L164&amp;"")="yes","Disqualified",IF(OR(LOWER($F164&amp;"")="free game",LOWER($F164&amp;"")="free"),IF(AND(ISNUMBER($P164),ISNUMBER($H164),$P164&gt;$H164),"Profit","Free Game"),IF($P164="","",IF(ROUND(IFERROR(VALUE($P164),0)-IFERROR(VALUE($H164),0),2)&gt;0,"Profit","Draw"))))))</x:f>
      </x:c>
      <x:c r="V164" s="144" t="str">
        <x:f>IF(COUNTA($A164:$M164)=0,"",IF(OR($B164="",$C164="",$U164="Subscription"),"",IFERROR(ROUNDUP(($C164-$B164)/7,0),"")))</x:f>
      </x:c>
      <x:c r="W164" s="112" t="str">
        <x:f>IF(COUNTA($A164:$M164)=0,"",IF(OR($U164="Subscription",$U164=""),"",ROUND(IFERROR($Q164,0)-IFERROR($S164,0),2)))</x:f>
      </x:c>
      <x:c r="X164" s="144" t="str">
        <x:f>IF(COUNTA($A164:$M164)=0,"",IF(OR($U164="Subscription",$U164="Free Game",NOT(ISNUMBER($J164)),NOT(ISNUMBER($I164)),$J164=0,$I164=0,$I164&gt;$J164),"",$J164-$I164))</x:f>
      </x:c>
      <x:c r="Y164" s="116" t="str">
        <x:f>IF(COUNTA($A164:$M164)=0,"",IF(OR($U164="Subscription",$U164="Free Game",NOT(ISNUMBER($J164)),$J164=0,$X164=""),"",$X164/$J164))</x:f>
      </x:c>
      <x:c r="Z164" s="118" t="str">
        <x:f>IF(COUNTA($A164:$M164)=0,"",Instructions!$B$29+SUM($W$5:W164))</x:f>
      </x:c>
    </x:row>
    <x:row r="165" ht="30" customHeight="1">
      <x:c r="A165" s="477"/>
      <x:c r="B165" s="482"/>
      <x:c r="C165" s="482"/>
      <x:c r="D165" s="483"/>
      <x:c r="E165" s="483"/>
      <x:c r="F165" s="483"/>
      <x:c r="G165" s="484"/>
      <x:c r="H165" s="484"/>
      <x:c r="I165" s="485"/>
      <x:c r="J165" s="485"/>
      <x:c r="K165" s="484"/>
      <x:c r="L165" s="483"/>
      <x:c r="M165" s="477"/>
      <x:c r="N165" s="112" t="str">
        <x:f>IF(COUNTA($A165:$M165)=0,"",IF(OR(LOWER($F165&amp;"")="subscription",LOWER($F165&amp;"")="membership"),"",IF($G165="","",IF(ISNUMBER(SEARCH("non",LOWER($E165&amp;""))),$G165*0.85,$G165))))</x:f>
      </x:c>
      <x:c r="O165" s="112" t="str">
        <x:f>IF(COUNTA($A165:$M165)=0,"",IF(OR(LOWER($F165&amp;"")="subscription",LOWER($F165&amp;"")="membership"),"",IF(OR($N165="",$I165="",$I165=0),"",IFERROR($N165/$I165,""))))</x:f>
      </x:c>
      <x:c r="P165" s="112" t="str">
        <x:f>IF(COUNTA($A165:$M165)=0,"",IF(OR(LOWER($F165&amp;"")="subscription",LOWER($F165&amp;"")="membership"),"",IF(LOWER($L165&amp;"")="yes",0,IF($K165&lt;&gt;"",$K165,IF($O165&lt;&gt;"",$O165,"")))))</x:f>
      </x:c>
      <x:c r="Q165" s="112" t="str">
        <x:f>IF(COUNTA($A165:$M165)=0,"",IF(OR($U165="Subscription",$U165=""),"",IF($U165="Profit",ROUND($P165-$H165,2),0)))</x:f>
      </x:c>
      <x:c r="R165" s="112" t="str">
        <x:f>IF(COUNTA($A165:$M165)=0,"",IF(OR($U165="Subscription",$U165=""),"",IF($U165="Draw",$H165,0)))</x:f>
      </x:c>
      <x:c r="S165" s="112" t="str">
        <x:f>IF(COUNTA($A165:$M165)=0,"",IF(OR($U165="Subscription",$U165=""),"",IF($U165="Disqualified",$H165,0)))</x:f>
      </x:c>
      <x:c r="T165" s="116" t="str">
        <x:f>IF(COUNTA($A165:$M165)=0,"",IF(OR($U165="Subscription",$U165=""),"",IF($H165=0,0,IF($U165="Profit",$Q165/$H165,IF($U165="Disqualified",-$S165/$H165,0)))))</x:f>
      </x:c>
      <x:c r="U165" s="290" t="str">
        <x:f>IF(COUNTA($A165:$M165)=0,"",IF(OR(LOWER($F165&amp;"")="subscription",LOWER($F165&amp;"")="membership"),"Subscription",IF(LOWER($L165&amp;"")="yes","Disqualified",IF(OR(LOWER($F165&amp;"")="free game",LOWER($F165&amp;"")="free"),IF(AND(ISNUMBER($P165),ISNUMBER($H165),$P165&gt;$H165),"Profit","Free Game"),IF($P165="","",IF(ROUND(IFERROR(VALUE($P165),0)-IFERROR(VALUE($H165),0),2)&gt;0,"Profit","Draw"))))))</x:f>
      </x:c>
      <x:c r="V165" s="144" t="str">
        <x:f>IF(COUNTA($A165:$M165)=0,"",IF(OR($B165="",$C165="",$U165="Subscription"),"",IFERROR(ROUNDUP(($C165-$B165)/7,0),"")))</x:f>
      </x:c>
      <x:c r="W165" s="112" t="str">
        <x:f>IF(COUNTA($A165:$M165)=0,"",IF(OR($U165="Subscription",$U165=""),"",ROUND(IFERROR($Q165,0)-IFERROR($S165,0),2)))</x:f>
      </x:c>
      <x:c r="X165" s="144" t="str">
        <x:f>IF(COUNTA($A165:$M165)=0,"",IF(OR($U165="Subscription",$U165="Free Game",NOT(ISNUMBER($J165)),NOT(ISNUMBER($I165)),$J165=0,$I165=0,$I165&gt;$J165),"",$J165-$I165))</x:f>
      </x:c>
      <x:c r="Y165" s="116" t="str">
        <x:f>IF(COUNTA($A165:$M165)=0,"",IF(OR($U165="Subscription",$U165="Free Game",NOT(ISNUMBER($J165)),$J165=0,$X165=""),"",$X165/$J165))</x:f>
      </x:c>
      <x:c r="Z165" s="118" t="str">
        <x:f>IF(COUNTA($A165:$M165)=0,"",Instructions!$B$29+SUM($W$5:W165))</x:f>
      </x:c>
    </x:row>
    <x:row r="166" ht="30" customHeight="1">
      <x:c r="A166" s="477"/>
      <x:c r="B166" s="482"/>
      <x:c r="C166" s="482"/>
      <x:c r="D166" s="483"/>
      <x:c r="E166" s="483"/>
      <x:c r="F166" s="483"/>
      <x:c r="G166" s="484"/>
      <x:c r="H166" s="484"/>
      <x:c r="I166" s="485"/>
      <x:c r="J166" s="485"/>
      <x:c r="K166" s="484"/>
      <x:c r="L166" s="483"/>
      <x:c r="M166" s="477"/>
      <x:c r="N166" s="112" t="str">
        <x:f>IF(COUNTA($A166:$M166)=0,"",IF(OR(LOWER($F166&amp;"")="subscription",LOWER($F166&amp;"")="membership"),"",IF($G166="","",IF(ISNUMBER(SEARCH("non",LOWER($E166&amp;""))),$G166*0.85,$G166))))</x:f>
      </x:c>
      <x:c r="O166" s="112" t="str">
        <x:f>IF(COUNTA($A166:$M166)=0,"",IF(OR(LOWER($F166&amp;"")="subscription",LOWER($F166&amp;"")="membership"),"",IF(OR($N166="",$I166="",$I166=0),"",IFERROR($N166/$I166,""))))</x:f>
      </x:c>
      <x:c r="P166" s="112" t="str">
        <x:f>IF(COUNTA($A166:$M166)=0,"",IF(OR(LOWER($F166&amp;"")="subscription",LOWER($F166&amp;"")="membership"),"",IF(LOWER($L166&amp;"")="yes",0,IF($K166&lt;&gt;"",$K166,IF($O166&lt;&gt;"",$O166,"")))))</x:f>
      </x:c>
      <x:c r="Q166" s="112" t="str">
        <x:f>IF(COUNTA($A166:$M166)=0,"",IF(OR($U166="Subscription",$U166=""),"",IF($U166="Profit",ROUND($P166-$H166,2),0)))</x:f>
      </x:c>
      <x:c r="R166" s="112" t="str">
        <x:f>IF(COUNTA($A166:$M166)=0,"",IF(OR($U166="Subscription",$U166=""),"",IF($U166="Draw",$H166,0)))</x:f>
      </x:c>
      <x:c r="S166" s="112" t="str">
        <x:f>IF(COUNTA($A166:$M166)=0,"",IF(OR($U166="Subscription",$U166=""),"",IF($U166="Disqualified",$H166,0)))</x:f>
      </x:c>
      <x:c r="T166" s="116" t="str">
        <x:f>IF(COUNTA($A166:$M166)=0,"",IF(OR($U166="Subscription",$U166=""),"",IF($H166=0,0,IF($U166="Profit",$Q166/$H166,IF($U166="Disqualified",-$S166/$H166,0)))))</x:f>
      </x:c>
      <x:c r="U166" s="290" t="str">
        <x:f>IF(COUNTA($A166:$M166)=0,"",IF(OR(LOWER($F166&amp;"")="subscription",LOWER($F166&amp;"")="membership"),"Subscription",IF(LOWER($L166&amp;"")="yes","Disqualified",IF(OR(LOWER($F166&amp;"")="free game",LOWER($F166&amp;"")="free"),IF(AND(ISNUMBER($P166),ISNUMBER($H166),$P166&gt;$H166),"Profit","Free Game"),IF($P166="","",IF(ROUND(IFERROR(VALUE($P166),0)-IFERROR(VALUE($H166),0),2)&gt;0,"Profit","Draw"))))))</x:f>
      </x:c>
      <x:c r="V166" s="144" t="str">
        <x:f>IF(COUNTA($A166:$M166)=0,"",IF(OR($B166="",$C166="",$U166="Subscription"),"",IFERROR(ROUNDUP(($C166-$B166)/7,0),"")))</x:f>
      </x:c>
      <x:c r="W166" s="112" t="str">
        <x:f>IF(COUNTA($A166:$M166)=0,"",IF(OR($U166="Subscription",$U166=""),"",ROUND(IFERROR($Q166,0)-IFERROR($S166,0),2)))</x:f>
      </x:c>
      <x:c r="X166" s="144" t="str">
        <x:f>IF(COUNTA($A166:$M166)=0,"",IF(OR($U166="Subscription",$U166="Free Game",NOT(ISNUMBER($J166)),NOT(ISNUMBER($I166)),$J166=0,$I166=0,$I166&gt;$J166),"",$J166-$I166))</x:f>
      </x:c>
      <x:c r="Y166" s="116" t="str">
        <x:f>IF(COUNTA($A166:$M166)=0,"",IF(OR($U166="Subscription",$U166="Free Game",NOT(ISNUMBER($J166)),$J166=0,$X166=""),"",$X166/$J166))</x:f>
      </x:c>
      <x:c r="Z166" s="118" t="str">
        <x:f>IF(COUNTA($A166:$M166)=0,"",Instructions!$B$29+SUM($W$5:W166))</x:f>
      </x:c>
    </x:row>
    <x:row r="167" ht="30" customHeight="1">
      <x:c r="A167" s="477"/>
      <x:c r="B167" s="482"/>
      <x:c r="C167" s="482"/>
      <x:c r="D167" s="483"/>
      <x:c r="E167" s="483"/>
      <x:c r="F167" s="483"/>
      <x:c r="G167" s="484"/>
      <x:c r="H167" s="484"/>
      <x:c r="I167" s="485"/>
      <x:c r="J167" s="485"/>
      <x:c r="K167" s="484"/>
      <x:c r="L167" s="483"/>
      <x:c r="M167" s="477"/>
      <x:c r="N167" s="112" t="str">
        <x:f>IF(COUNTA($A167:$M167)=0,"",IF(OR(LOWER($F167&amp;"")="subscription",LOWER($F167&amp;"")="membership"),"",IF($G167="","",IF(ISNUMBER(SEARCH("non",LOWER($E167&amp;""))),$G167*0.85,$G167))))</x:f>
      </x:c>
      <x:c r="O167" s="112" t="str">
        <x:f>IF(COUNTA($A167:$M167)=0,"",IF(OR(LOWER($F167&amp;"")="subscription",LOWER($F167&amp;"")="membership"),"",IF(OR($N167="",$I167="",$I167=0),"",IFERROR($N167/$I167,""))))</x:f>
      </x:c>
      <x:c r="P167" s="112" t="str">
        <x:f>IF(COUNTA($A167:$M167)=0,"",IF(OR(LOWER($F167&amp;"")="subscription",LOWER($F167&amp;"")="membership"),"",IF(LOWER($L167&amp;"")="yes",0,IF($K167&lt;&gt;"",$K167,IF($O167&lt;&gt;"",$O167,"")))))</x:f>
      </x:c>
      <x:c r="Q167" s="112" t="str">
        <x:f>IF(COUNTA($A167:$M167)=0,"",IF(OR($U167="Subscription",$U167=""),"",IF($U167="Profit",ROUND($P167-$H167,2),0)))</x:f>
      </x:c>
      <x:c r="R167" s="112" t="str">
        <x:f>IF(COUNTA($A167:$M167)=0,"",IF(OR($U167="Subscription",$U167=""),"",IF($U167="Draw",$H167,0)))</x:f>
      </x:c>
      <x:c r="S167" s="112" t="str">
        <x:f>IF(COUNTA($A167:$M167)=0,"",IF(OR($U167="Subscription",$U167=""),"",IF($U167="Disqualified",$H167,0)))</x:f>
      </x:c>
      <x:c r="T167" s="116" t="str">
        <x:f>IF(COUNTA($A167:$M167)=0,"",IF(OR($U167="Subscription",$U167=""),"",IF($H167=0,0,IF($U167="Profit",$Q167/$H167,IF($U167="Disqualified",-$S167/$H167,0)))))</x:f>
      </x:c>
      <x:c r="U167" s="290" t="str">
        <x:f>IF(COUNTA($A167:$M167)=0,"",IF(OR(LOWER($F167&amp;"")="subscription",LOWER($F167&amp;"")="membership"),"Subscription",IF(LOWER($L167&amp;"")="yes","Disqualified",IF(OR(LOWER($F167&amp;"")="free game",LOWER($F167&amp;"")="free"),IF(AND(ISNUMBER($P167),ISNUMBER($H167),$P167&gt;$H167),"Profit","Free Game"),IF($P167="","",IF(ROUND(IFERROR(VALUE($P167),0)-IFERROR(VALUE($H167),0),2)&gt;0,"Profit","Draw"))))))</x:f>
      </x:c>
      <x:c r="V167" s="144" t="str">
        <x:f>IF(COUNTA($A167:$M167)=0,"",IF(OR($B167="",$C167="",$U167="Subscription"),"",IFERROR(ROUNDUP(($C167-$B167)/7,0),"")))</x:f>
      </x:c>
      <x:c r="W167" s="112" t="str">
        <x:f>IF(COUNTA($A167:$M167)=0,"",IF(OR($U167="Subscription",$U167=""),"",ROUND(IFERROR($Q167,0)-IFERROR($S167,0),2)))</x:f>
      </x:c>
      <x:c r="X167" s="144" t="str">
        <x:f>IF(COUNTA($A167:$M167)=0,"",IF(OR($U167="Subscription",$U167="Free Game",NOT(ISNUMBER($J167)),NOT(ISNUMBER($I167)),$J167=0,$I167=0,$I167&gt;$J167),"",$J167-$I167))</x:f>
      </x:c>
      <x:c r="Y167" s="116" t="str">
        <x:f>IF(COUNTA($A167:$M167)=0,"",IF(OR($U167="Subscription",$U167="Free Game",NOT(ISNUMBER($J167)),$J167=0,$X167=""),"",$X167/$J167))</x:f>
      </x:c>
      <x:c r="Z167" s="118" t="str">
        <x:f>IF(COUNTA($A167:$M167)=0,"",Instructions!$B$29+SUM($W$5:W167))</x:f>
      </x:c>
    </x:row>
    <x:row r="168" ht="30" customHeight="1">
      <x:c r="A168" s="477"/>
      <x:c r="B168" s="482"/>
      <x:c r="C168" s="482"/>
      <x:c r="D168" s="483"/>
      <x:c r="E168" s="483"/>
      <x:c r="F168" s="483"/>
      <x:c r="G168" s="484"/>
      <x:c r="H168" s="484"/>
      <x:c r="I168" s="485"/>
      <x:c r="J168" s="485"/>
      <x:c r="K168" s="484"/>
      <x:c r="L168" s="483"/>
      <x:c r="M168" s="477"/>
      <x:c r="N168" s="112" t="str">
        <x:f>IF(COUNTA($A168:$M168)=0,"",IF(OR(LOWER($F168&amp;"")="subscription",LOWER($F168&amp;"")="membership"),"",IF($G168="","",IF(ISNUMBER(SEARCH("non",LOWER($E168&amp;""))),$G168*0.85,$G168))))</x:f>
      </x:c>
      <x:c r="O168" s="112" t="str">
        <x:f>IF(COUNTA($A168:$M168)=0,"",IF(OR(LOWER($F168&amp;"")="subscription",LOWER($F168&amp;"")="membership"),"",IF(OR($N168="",$I168="",$I168=0),"",IFERROR($N168/$I168,""))))</x:f>
      </x:c>
      <x:c r="P168" s="112" t="str">
        <x:f>IF(COUNTA($A168:$M168)=0,"",IF(OR(LOWER($F168&amp;"")="subscription",LOWER($F168&amp;"")="membership"),"",IF(LOWER($L168&amp;"")="yes",0,IF($K168&lt;&gt;"",$K168,IF($O168&lt;&gt;"",$O168,"")))))</x:f>
      </x:c>
      <x:c r="Q168" s="112" t="str">
        <x:f>IF(COUNTA($A168:$M168)=0,"",IF(OR($U168="Subscription",$U168=""),"",IF($U168="Profit",ROUND($P168-$H168,2),0)))</x:f>
      </x:c>
      <x:c r="R168" s="112" t="str">
        <x:f>IF(COUNTA($A168:$M168)=0,"",IF(OR($U168="Subscription",$U168=""),"",IF($U168="Draw",$H168,0)))</x:f>
      </x:c>
      <x:c r="S168" s="112" t="str">
        <x:f>IF(COUNTA($A168:$M168)=0,"",IF(OR($U168="Subscription",$U168=""),"",IF($U168="Disqualified",$H168,0)))</x:f>
      </x:c>
      <x:c r="T168" s="116" t="str">
        <x:f>IF(COUNTA($A168:$M168)=0,"",IF(OR($U168="Subscription",$U168=""),"",IF($H168=0,0,IF($U168="Profit",$Q168/$H168,IF($U168="Disqualified",-$S168/$H168,0)))))</x:f>
      </x:c>
      <x:c r="U168" s="290" t="str">
        <x:f>IF(COUNTA($A168:$M168)=0,"",IF(OR(LOWER($F168&amp;"")="subscription",LOWER($F168&amp;"")="membership"),"Subscription",IF(LOWER($L168&amp;"")="yes","Disqualified",IF(OR(LOWER($F168&amp;"")="free game",LOWER($F168&amp;"")="free"),IF(AND(ISNUMBER($P168),ISNUMBER($H168),$P168&gt;$H168),"Profit","Free Game"),IF($P168="","",IF(ROUND(IFERROR(VALUE($P168),0)-IFERROR(VALUE($H168),0),2)&gt;0,"Profit","Draw"))))))</x:f>
      </x:c>
      <x:c r="V168" s="144" t="str">
        <x:f>IF(COUNTA($A168:$M168)=0,"",IF(OR($B168="",$C168="",$U168="Subscription"),"",IFERROR(ROUNDUP(($C168-$B168)/7,0),"")))</x:f>
      </x:c>
      <x:c r="W168" s="112" t="str">
        <x:f>IF(COUNTA($A168:$M168)=0,"",IF(OR($U168="Subscription",$U168=""),"",ROUND(IFERROR($Q168,0)-IFERROR($S168,0),2)))</x:f>
      </x:c>
      <x:c r="X168" s="144" t="str">
        <x:f>IF(COUNTA($A168:$M168)=0,"",IF(OR($U168="Subscription",$U168="Free Game",NOT(ISNUMBER($J168)),NOT(ISNUMBER($I168)),$J168=0,$I168=0,$I168&gt;$J168),"",$J168-$I168))</x:f>
      </x:c>
      <x:c r="Y168" s="116" t="str">
        <x:f>IF(COUNTA($A168:$M168)=0,"",IF(OR($U168="Subscription",$U168="Free Game",NOT(ISNUMBER($J168)),$J168=0,$X168=""),"",$X168/$J168))</x:f>
      </x:c>
      <x:c r="Z168" s="118" t="str">
        <x:f>IF(COUNTA($A168:$M168)=0,"",Instructions!$B$29+SUM($W$5:W168))</x:f>
      </x:c>
    </x:row>
    <x:row r="169" ht="30" customHeight="1">
      <x:c r="A169" s="477"/>
      <x:c r="B169" s="482"/>
      <x:c r="C169" s="482"/>
      <x:c r="D169" s="483"/>
      <x:c r="E169" s="483"/>
      <x:c r="F169" s="483"/>
      <x:c r="G169" s="484"/>
      <x:c r="H169" s="484"/>
      <x:c r="I169" s="485"/>
      <x:c r="J169" s="485"/>
      <x:c r="K169" s="484"/>
      <x:c r="L169" s="483"/>
      <x:c r="M169" s="477"/>
      <x:c r="N169" s="112" t="str">
        <x:f>IF(COUNTA($A169:$M169)=0,"",IF(OR(LOWER($F169&amp;"")="subscription",LOWER($F169&amp;"")="membership"),"",IF($G169="","",IF(ISNUMBER(SEARCH("non",LOWER($E169&amp;""))),$G169*0.85,$G169))))</x:f>
      </x:c>
      <x:c r="O169" s="112" t="str">
        <x:f>IF(COUNTA($A169:$M169)=0,"",IF(OR(LOWER($F169&amp;"")="subscription",LOWER($F169&amp;"")="membership"),"",IF(OR($N169="",$I169="",$I169=0),"",IFERROR($N169/$I169,""))))</x:f>
      </x:c>
      <x:c r="P169" s="112" t="str">
        <x:f>IF(COUNTA($A169:$M169)=0,"",IF(OR(LOWER($F169&amp;"")="subscription",LOWER($F169&amp;"")="membership"),"",IF(LOWER($L169&amp;"")="yes",0,IF($K169&lt;&gt;"",$K169,IF($O169&lt;&gt;"",$O169,"")))))</x:f>
      </x:c>
      <x:c r="Q169" s="112" t="str">
        <x:f>IF(COUNTA($A169:$M169)=0,"",IF(OR($U169="Subscription",$U169=""),"",IF($U169="Profit",ROUND($P169-$H169,2),0)))</x:f>
      </x:c>
      <x:c r="R169" s="112" t="str">
        <x:f>IF(COUNTA($A169:$M169)=0,"",IF(OR($U169="Subscription",$U169=""),"",IF($U169="Draw",$H169,0)))</x:f>
      </x:c>
      <x:c r="S169" s="112" t="str">
        <x:f>IF(COUNTA($A169:$M169)=0,"",IF(OR($U169="Subscription",$U169=""),"",IF($U169="Disqualified",$H169,0)))</x:f>
      </x:c>
      <x:c r="T169" s="116" t="str">
        <x:f>IF(COUNTA($A169:$M169)=0,"",IF(OR($U169="Subscription",$U169=""),"",IF($H169=0,0,IF($U169="Profit",$Q169/$H169,IF($U169="Disqualified",-$S169/$H169,0)))))</x:f>
      </x:c>
      <x:c r="U169" s="290" t="str">
        <x:f>IF(COUNTA($A169:$M169)=0,"",IF(OR(LOWER($F169&amp;"")="subscription",LOWER($F169&amp;"")="membership"),"Subscription",IF(LOWER($L169&amp;"")="yes","Disqualified",IF(OR(LOWER($F169&amp;"")="free game",LOWER($F169&amp;"")="free"),IF(AND(ISNUMBER($P169),ISNUMBER($H169),$P169&gt;$H169),"Profit","Free Game"),IF($P169="","",IF(ROUND(IFERROR(VALUE($P169),0)-IFERROR(VALUE($H169),0),2)&gt;0,"Profit","Draw"))))))</x:f>
      </x:c>
      <x:c r="V169" s="144" t="str">
        <x:f>IF(COUNTA($A169:$M169)=0,"",IF(OR($B169="",$C169="",$U169="Subscription"),"",IFERROR(ROUNDUP(($C169-$B169)/7,0),"")))</x:f>
      </x:c>
      <x:c r="W169" s="112" t="str">
        <x:f>IF(COUNTA($A169:$M169)=0,"",IF(OR($U169="Subscription",$U169=""),"",ROUND(IFERROR($Q169,0)-IFERROR($S169,0),2)))</x:f>
      </x:c>
      <x:c r="X169" s="144" t="str">
        <x:f>IF(COUNTA($A169:$M169)=0,"",IF(OR($U169="Subscription",$U169="Free Game",NOT(ISNUMBER($J169)),NOT(ISNUMBER($I169)),$J169=0,$I169=0,$I169&gt;$J169),"",$J169-$I169))</x:f>
      </x:c>
      <x:c r="Y169" s="116" t="str">
        <x:f>IF(COUNTA($A169:$M169)=0,"",IF(OR($U169="Subscription",$U169="Free Game",NOT(ISNUMBER($J169)),$J169=0,$X169=""),"",$X169/$J169))</x:f>
      </x:c>
      <x:c r="Z169" s="118" t="str">
        <x:f>IF(COUNTA($A169:$M169)=0,"",Instructions!$B$29+SUM($W$5:W169))</x:f>
      </x:c>
    </x:row>
    <x:row r="170" ht="30" customHeight="1">
      <x:c r="A170" s="477"/>
      <x:c r="B170" s="482"/>
      <x:c r="C170" s="482"/>
      <x:c r="D170" s="483"/>
      <x:c r="E170" s="483"/>
      <x:c r="F170" s="483"/>
      <x:c r="G170" s="484"/>
      <x:c r="H170" s="484"/>
      <x:c r="I170" s="485"/>
      <x:c r="J170" s="485"/>
      <x:c r="K170" s="484"/>
      <x:c r="L170" s="483"/>
      <x:c r="M170" s="477"/>
      <x:c r="N170" s="112" t="str">
        <x:f>IF(COUNTA($A170:$M170)=0,"",IF(OR(LOWER($F170&amp;"")="subscription",LOWER($F170&amp;"")="membership"),"",IF($G170="","",IF(ISNUMBER(SEARCH("non",LOWER($E170&amp;""))),$G170*0.85,$G170))))</x:f>
      </x:c>
      <x:c r="O170" s="112" t="str">
        <x:f>IF(COUNTA($A170:$M170)=0,"",IF(OR(LOWER($F170&amp;"")="subscription",LOWER($F170&amp;"")="membership"),"",IF(OR($N170="",$I170="",$I170=0),"",IFERROR($N170/$I170,""))))</x:f>
      </x:c>
      <x:c r="P170" s="112" t="str">
        <x:f>IF(COUNTA($A170:$M170)=0,"",IF(OR(LOWER($F170&amp;"")="subscription",LOWER($F170&amp;"")="membership"),"",IF(LOWER($L170&amp;"")="yes",0,IF($K170&lt;&gt;"",$K170,IF($O170&lt;&gt;"",$O170,"")))))</x:f>
      </x:c>
      <x:c r="Q170" s="112" t="str">
        <x:f>IF(COUNTA($A170:$M170)=0,"",IF(OR($U170="Subscription",$U170=""),"",IF($U170="Profit",ROUND($P170-$H170,2),0)))</x:f>
      </x:c>
      <x:c r="R170" s="112" t="str">
        <x:f>IF(COUNTA($A170:$M170)=0,"",IF(OR($U170="Subscription",$U170=""),"",IF($U170="Draw",$H170,0)))</x:f>
      </x:c>
      <x:c r="S170" s="112" t="str">
        <x:f>IF(COUNTA($A170:$M170)=0,"",IF(OR($U170="Subscription",$U170=""),"",IF($U170="Disqualified",$H170,0)))</x:f>
      </x:c>
      <x:c r="T170" s="116" t="str">
        <x:f>IF(COUNTA($A170:$M170)=0,"",IF(OR($U170="Subscription",$U170=""),"",IF($H170=0,0,IF($U170="Profit",$Q170/$H170,IF($U170="Disqualified",-$S170/$H170,0)))))</x:f>
      </x:c>
      <x:c r="U170" s="290" t="str">
        <x:f>IF(COUNTA($A170:$M170)=0,"",IF(OR(LOWER($F170&amp;"")="subscription",LOWER($F170&amp;"")="membership"),"Subscription",IF(LOWER($L170&amp;"")="yes","Disqualified",IF(OR(LOWER($F170&amp;"")="free game",LOWER($F170&amp;"")="free"),IF(AND(ISNUMBER($P170),ISNUMBER($H170),$P170&gt;$H170),"Profit","Free Game"),IF($P170="","",IF(ROUND(IFERROR(VALUE($P170),0)-IFERROR(VALUE($H170),0),2)&gt;0,"Profit","Draw"))))))</x:f>
      </x:c>
      <x:c r="V170" s="144" t="str">
        <x:f>IF(COUNTA($A170:$M170)=0,"",IF(OR($B170="",$C170="",$U170="Subscription"),"",IFERROR(ROUNDUP(($C170-$B170)/7,0),"")))</x:f>
      </x:c>
      <x:c r="W170" s="112" t="str">
        <x:f>IF(COUNTA($A170:$M170)=0,"",IF(OR($U170="Subscription",$U170=""),"",ROUND(IFERROR($Q170,0)-IFERROR($S170,0),2)))</x:f>
      </x:c>
      <x:c r="X170" s="144" t="str">
        <x:f>IF(COUNTA($A170:$M170)=0,"",IF(OR($U170="Subscription",$U170="Free Game",NOT(ISNUMBER($J170)),NOT(ISNUMBER($I170)),$J170=0,$I170=0,$I170&gt;$J170),"",$J170-$I170))</x:f>
      </x:c>
      <x:c r="Y170" s="116" t="str">
        <x:f>IF(COUNTA($A170:$M170)=0,"",IF(OR($U170="Subscription",$U170="Free Game",NOT(ISNUMBER($J170)),$J170=0,$X170=""),"",$X170/$J170))</x:f>
      </x:c>
      <x:c r="Z170" s="118" t="str">
        <x:f>IF(COUNTA($A170:$M170)=0,"",Instructions!$B$29+SUM($W$5:W170))</x:f>
      </x:c>
    </x:row>
    <x:row r="171" ht="30" customHeight="1">
      <x:c r="A171" s="477"/>
      <x:c r="B171" s="482"/>
      <x:c r="C171" s="482"/>
      <x:c r="D171" s="483"/>
      <x:c r="E171" s="483"/>
      <x:c r="F171" s="483"/>
      <x:c r="G171" s="484"/>
      <x:c r="H171" s="484"/>
      <x:c r="I171" s="485"/>
      <x:c r="J171" s="485"/>
      <x:c r="K171" s="484"/>
      <x:c r="L171" s="483"/>
      <x:c r="M171" s="477"/>
      <x:c r="N171" s="112" t="str">
        <x:f>IF(COUNTA($A171:$M171)=0,"",IF(OR(LOWER($F171&amp;"")="subscription",LOWER($F171&amp;"")="membership"),"",IF($G171="","",IF(ISNUMBER(SEARCH("non",LOWER($E171&amp;""))),$G171*0.85,$G171))))</x:f>
      </x:c>
      <x:c r="O171" s="112" t="str">
        <x:f>IF(COUNTA($A171:$M171)=0,"",IF(OR(LOWER($F171&amp;"")="subscription",LOWER($F171&amp;"")="membership"),"",IF(OR($N171="",$I171="",$I171=0),"",IFERROR($N171/$I171,""))))</x:f>
      </x:c>
      <x:c r="P171" s="112" t="str">
        <x:f>IF(COUNTA($A171:$M171)=0,"",IF(OR(LOWER($F171&amp;"")="subscription",LOWER($F171&amp;"")="membership"),"",IF(LOWER($L171&amp;"")="yes",0,IF($K171&lt;&gt;"",$K171,IF($O171&lt;&gt;"",$O171,"")))))</x:f>
      </x:c>
      <x:c r="Q171" s="112" t="str">
        <x:f>IF(COUNTA($A171:$M171)=0,"",IF(OR($U171="Subscription",$U171=""),"",IF($U171="Profit",ROUND($P171-$H171,2),0)))</x:f>
      </x:c>
      <x:c r="R171" s="112" t="str">
        <x:f>IF(COUNTA($A171:$M171)=0,"",IF(OR($U171="Subscription",$U171=""),"",IF($U171="Draw",$H171,0)))</x:f>
      </x:c>
      <x:c r="S171" s="112" t="str">
        <x:f>IF(COUNTA($A171:$M171)=0,"",IF(OR($U171="Subscription",$U171=""),"",IF($U171="Disqualified",$H171,0)))</x:f>
      </x:c>
      <x:c r="T171" s="116" t="str">
        <x:f>IF(COUNTA($A171:$M171)=0,"",IF(OR($U171="Subscription",$U171=""),"",IF($H171=0,0,IF($U171="Profit",$Q171/$H171,IF($U171="Disqualified",-$S171/$H171,0)))))</x:f>
      </x:c>
      <x:c r="U171" s="290" t="str">
        <x:f>IF(COUNTA($A171:$M171)=0,"",IF(OR(LOWER($F171&amp;"")="subscription",LOWER($F171&amp;"")="membership"),"Subscription",IF(LOWER($L171&amp;"")="yes","Disqualified",IF(OR(LOWER($F171&amp;"")="free game",LOWER($F171&amp;"")="free"),IF(AND(ISNUMBER($P171),ISNUMBER($H171),$P171&gt;$H171),"Profit","Free Game"),IF($P171="","",IF(ROUND(IFERROR(VALUE($P171),0)-IFERROR(VALUE($H171),0),2)&gt;0,"Profit","Draw"))))))</x:f>
      </x:c>
      <x:c r="V171" s="144" t="str">
        <x:f>IF(COUNTA($A171:$M171)=0,"",IF(OR($B171="",$C171="",$U171="Subscription"),"",IFERROR(ROUNDUP(($C171-$B171)/7,0),"")))</x:f>
      </x:c>
      <x:c r="W171" s="112" t="str">
        <x:f>IF(COUNTA($A171:$M171)=0,"",IF(OR($U171="Subscription",$U171=""),"",ROUND(IFERROR($Q171,0)-IFERROR($S171,0),2)))</x:f>
      </x:c>
      <x:c r="X171" s="144" t="str">
        <x:f>IF(COUNTA($A171:$M171)=0,"",IF(OR($U171="Subscription",$U171="Free Game",NOT(ISNUMBER($J171)),NOT(ISNUMBER($I171)),$J171=0,$I171=0,$I171&gt;$J171),"",$J171-$I171))</x:f>
      </x:c>
      <x:c r="Y171" s="116" t="str">
        <x:f>IF(COUNTA($A171:$M171)=0,"",IF(OR($U171="Subscription",$U171="Free Game",NOT(ISNUMBER($J171)),$J171=0,$X171=""),"",$X171/$J171))</x:f>
      </x:c>
      <x:c r="Z171" s="118" t="str">
        <x:f>IF(COUNTA($A171:$M171)=0,"",Instructions!$B$29+SUM($W$5:W171))</x:f>
      </x:c>
    </x:row>
    <x:row r="172" ht="30" customHeight="1">
      <x:c r="A172" s="477"/>
      <x:c r="B172" s="482"/>
      <x:c r="C172" s="482"/>
      <x:c r="D172" s="483"/>
      <x:c r="E172" s="483"/>
      <x:c r="F172" s="483"/>
      <x:c r="G172" s="484"/>
      <x:c r="H172" s="484"/>
      <x:c r="I172" s="485"/>
      <x:c r="J172" s="485"/>
      <x:c r="K172" s="484"/>
      <x:c r="L172" s="483"/>
      <x:c r="M172" s="477"/>
      <x:c r="N172" s="112" t="str">
        <x:f>IF(COUNTA($A172:$M172)=0,"",IF(OR(LOWER($F172&amp;"")="subscription",LOWER($F172&amp;"")="membership"),"",IF($G172="","",IF(ISNUMBER(SEARCH("non",LOWER($E172&amp;""))),$G172*0.85,$G172))))</x:f>
      </x:c>
      <x:c r="O172" s="112" t="str">
        <x:f>IF(COUNTA($A172:$M172)=0,"",IF(OR(LOWER($F172&amp;"")="subscription",LOWER($F172&amp;"")="membership"),"",IF(OR($N172="",$I172="",$I172=0),"",IFERROR($N172/$I172,""))))</x:f>
      </x:c>
      <x:c r="P172" s="112" t="str">
        <x:f>IF(COUNTA($A172:$M172)=0,"",IF(OR(LOWER($F172&amp;"")="subscription",LOWER($F172&amp;"")="membership"),"",IF(LOWER($L172&amp;"")="yes",0,IF($K172&lt;&gt;"",$K172,IF($O172&lt;&gt;"",$O172,"")))))</x:f>
      </x:c>
      <x:c r="Q172" s="112" t="str">
        <x:f>IF(COUNTA($A172:$M172)=0,"",IF(OR($U172="Subscription",$U172=""),"",IF($U172="Profit",ROUND($P172-$H172,2),0)))</x:f>
      </x:c>
      <x:c r="R172" s="112" t="str">
        <x:f>IF(COUNTA($A172:$M172)=0,"",IF(OR($U172="Subscription",$U172=""),"",IF($U172="Draw",$H172,0)))</x:f>
      </x:c>
      <x:c r="S172" s="112" t="str">
        <x:f>IF(COUNTA($A172:$M172)=0,"",IF(OR($U172="Subscription",$U172=""),"",IF($U172="Disqualified",$H172,0)))</x:f>
      </x:c>
      <x:c r="T172" s="116" t="str">
        <x:f>IF(COUNTA($A172:$M172)=0,"",IF(OR($U172="Subscription",$U172=""),"",IF($H172=0,0,IF($U172="Profit",$Q172/$H172,IF($U172="Disqualified",-$S172/$H172,0)))))</x:f>
      </x:c>
      <x:c r="U172" s="290" t="str">
        <x:f>IF(COUNTA($A172:$M172)=0,"",IF(OR(LOWER($F172&amp;"")="subscription",LOWER($F172&amp;"")="membership"),"Subscription",IF(LOWER($L172&amp;"")="yes","Disqualified",IF(OR(LOWER($F172&amp;"")="free game",LOWER($F172&amp;"")="free"),IF(AND(ISNUMBER($P172),ISNUMBER($H172),$P172&gt;$H172),"Profit","Free Game"),IF($P172="","",IF(ROUND(IFERROR(VALUE($P172),0)-IFERROR(VALUE($H172),0),2)&gt;0,"Profit","Draw"))))))</x:f>
      </x:c>
      <x:c r="V172" s="144" t="str">
        <x:f>IF(COUNTA($A172:$M172)=0,"",IF(OR($B172="",$C172="",$U172="Subscription"),"",IFERROR(ROUNDUP(($C172-$B172)/7,0),"")))</x:f>
      </x:c>
      <x:c r="W172" s="112" t="str">
        <x:f>IF(COUNTA($A172:$M172)=0,"",IF(OR($U172="Subscription",$U172=""),"",ROUND(IFERROR($Q172,0)-IFERROR($S172,0),2)))</x:f>
      </x:c>
      <x:c r="X172" s="144" t="str">
        <x:f>IF(COUNTA($A172:$M172)=0,"",IF(OR($U172="Subscription",$U172="Free Game",NOT(ISNUMBER($J172)),NOT(ISNUMBER($I172)),$J172=0,$I172=0,$I172&gt;$J172),"",$J172-$I172))</x:f>
      </x:c>
      <x:c r="Y172" s="116" t="str">
        <x:f>IF(COUNTA($A172:$M172)=0,"",IF(OR($U172="Subscription",$U172="Free Game",NOT(ISNUMBER($J172)),$J172=0,$X172=""),"",$X172/$J172))</x:f>
      </x:c>
      <x:c r="Z172" s="118" t="str">
        <x:f>IF(COUNTA($A172:$M172)=0,"",Instructions!$B$29+SUM($W$5:W172))</x:f>
      </x:c>
    </x:row>
    <x:row r="173" ht="30" customHeight="1">
      <x:c r="A173" s="477"/>
      <x:c r="B173" s="482"/>
      <x:c r="C173" s="482"/>
      <x:c r="D173" s="483"/>
      <x:c r="E173" s="483"/>
      <x:c r="F173" s="483"/>
      <x:c r="G173" s="484"/>
      <x:c r="H173" s="484"/>
      <x:c r="I173" s="485"/>
      <x:c r="J173" s="485"/>
      <x:c r="K173" s="484"/>
      <x:c r="L173" s="483"/>
      <x:c r="M173" s="477"/>
      <x:c r="N173" s="112" t="str">
        <x:f>IF(COUNTA($A173:$M173)=0,"",IF(OR(LOWER($F173&amp;"")="subscription",LOWER($F173&amp;"")="membership"),"",IF($G173="","",IF(ISNUMBER(SEARCH("non",LOWER($E173&amp;""))),$G173*0.85,$G173))))</x:f>
      </x:c>
      <x:c r="O173" s="112" t="str">
        <x:f>IF(COUNTA($A173:$M173)=0,"",IF(OR(LOWER($F173&amp;"")="subscription",LOWER($F173&amp;"")="membership"),"",IF(OR($N173="",$I173="",$I173=0),"",IFERROR($N173/$I173,""))))</x:f>
      </x:c>
      <x:c r="P173" s="112" t="str">
        <x:f>IF(COUNTA($A173:$M173)=0,"",IF(OR(LOWER($F173&amp;"")="subscription",LOWER($F173&amp;"")="membership"),"",IF(LOWER($L173&amp;"")="yes",0,IF($K173&lt;&gt;"",$K173,IF($O173&lt;&gt;"",$O173,"")))))</x:f>
      </x:c>
      <x:c r="Q173" s="112" t="str">
        <x:f>IF(COUNTA($A173:$M173)=0,"",IF(OR($U173="Subscription",$U173=""),"",IF($U173="Profit",ROUND($P173-$H173,2),0)))</x:f>
      </x:c>
      <x:c r="R173" s="112" t="str">
        <x:f>IF(COUNTA($A173:$M173)=0,"",IF(OR($U173="Subscription",$U173=""),"",IF($U173="Draw",$H173,0)))</x:f>
      </x:c>
      <x:c r="S173" s="112" t="str">
        <x:f>IF(COUNTA($A173:$M173)=0,"",IF(OR($U173="Subscription",$U173=""),"",IF($U173="Disqualified",$H173,0)))</x:f>
      </x:c>
      <x:c r="T173" s="116" t="str">
        <x:f>IF(COUNTA($A173:$M173)=0,"",IF(OR($U173="Subscription",$U173=""),"",IF($H173=0,0,IF($U173="Profit",$Q173/$H173,IF($U173="Disqualified",-$S173/$H173,0)))))</x:f>
      </x:c>
      <x:c r="U173" s="290" t="str">
        <x:f>IF(COUNTA($A173:$M173)=0,"",IF(OR(LOWER($F173&amp;"")="subscription",LOWER($F173&amp;"")="membership"),"Subscription",IF(LOWER($L173&amp;"")="yes","Disqualified",IF(OR(LOWER($F173&amp;"")="free game",LOWER($F173&amp;"")="free"),IF(AND(ISNUMBER($P173),ISNUMBER($H173),$P173&gt;$H173),"Profit","Free Game"),IF($P173="","",IF(ROUND(IFERROR(VALUE($P173),0)-IFERROR(VALUE($H173),0),2)&gt;0,"Profit","Draw"))))))</x:f>
      </x:c>
      <x:c r="V173" s="144" t="str">
        <x:f>IF(COUNTA($A173:$M173)=0,"",IF(OR($B173="",$C173="",$U173="Subscription"),"",IFERROR(ROUNDUP(($C173-$B173)/7,0),"")))</x:f>
      </x:c>
      <x:c r="W173" s="112" t="str">
        <x:f>IF(COUNTA($A173:$M173)=0,"",IF(OR($U173="Subscription",$U173=""),"",ROUND(IFERROR($Q173,0)-IFERROR($S173,0),2)))</x:f>
      </x:c>
      <x:c r="X173" s="144" t="str">
        <x:f>IF(COUNTA($A173:$M173)=0,"",IF(OR($U173="Subscription",$U173="Free Game",NOT(ISNUMBER($J173)),NOT(ISNUMBER($I173)),$J173=0,$I173=0,$I173&gt;$J173),"",$J173-$I173))</x:f>
      </x:c>
      <x:c r="Y173" s="116" t="str">
        <x:f>IF(COUNTA($A173:$M173)=0,"",IF(OR($U173="Subscription",$U173="Free Game",NOT(ISNUMBER($J173)),$J173=0,$X173=""),"",$X173/$J173))</x:f>
      </x:c>
      <x:c r="Z173" s="118" t="str">
        <x:f>IF(COUNTA($A173:$M173)=0,"",Instructions!$B$29+SUM($W$5:W173))</x:f>
      </x:c>
    </x:row>
    <x:row r="174" ht="30" customHeight="1">
      <x:c r="A174" s="477"/>
      <x:c r="B174" s="482"/>
      <x:c r="C174" s="482"/>
      <x:c r="D174" s="483"/>
      <x:c r="E174" s="483"/>
      <x:c r="F174" s="483"/>
      <x:c r="G174" s="484"/>
      <x:c r="H174" s="484"/>
      <x:c r="I174" s="485"/>
      <x:c r="J174" s="485"/>
      <x:c r="K174" s="484"/>
      <x:c r="L174" s="483"/>
      <x:c r="M174" s="477"/>
      <x:c r="N174" s="112" t="str">
        <x:f>IF(COUNTA($A174:$M174)=0,"",IF(OR(LOWER($F174&amp;"")="subscription",LOWER($F174&amp;"")="membership"),"",IF($G174="","",IF(ISNUMBER(SEARCH("non",LOWER($E174&amp;""))),$G174*0.85,$G174))))</x:f>
      </x:c>
      <x:c r="O174" s="112" t="str">
        <x:f>IF(COUNTA($A174:$M174)=0,"",IF(OR(LOWER($F174&amp;"")="subscription",LOWER($F174&amp;"")="membership"),"",IF(OR($N174="",$I174="",$I174=0),"",IFERROR($N174/$I174,""))))</x:f>
      </x:c>
      <x:c r="P174" s="112" t="str">
        <x:f>IF(COUNTA($A174:$M174)=0,"",IF(OR(LOWER($F174&amp;"")="subscription",LOWER($F174&amp;"")="membership"),"",IF(LOWER($L174&amp;"")="yes",0,IF($K174&lt;&gt;"",$K174,IF($O174&lt;&gt;"",$O174,"")))))</x:f>
      </x:c>
      <x:c r="Q174" s="112" t="str">
        <x:f>IF(COUNTA($A174:$M174)=0,"",IF(OR($U174="Subscription",$U174=""),"",IF($U174="Profit",ROUND($P174-$H174,2),0)))</x:f>
      </x:c>
      <x:c r="R174" s="112" t="str">
        <x:f>IF(COUNTA($A174:$M174)=0,"",IF(OR($U174="Subscription",$U174=""),"",IF($U174="Draw",$H174,0)))</x:f>
      </x:c>
      <x:c r="S174" s="112" t="str">
        <x:f>IF(COUNTA($A174:$M174)=0,"",IF(OR($U174="Subscription",$U174=""),"",IF($U174="Disqualified",$H174,0)))</x:f>
      </x:c>
      <x:c r="T174" s="116" t="str">
        <x:f>IF(COUNTA($A174:$M174)=0,"",IF(OR($U174="Subscription",$U174=""),"",IF($H174=0,0,IF($U174="Profit",$Q174/$H174,IF($U174="Disqualified",-$S174/$H174,0)))))</x:f>
      </x:c>
      <x:c r="U174" s="290" t="str">
        <x:f>IF(COUNTA($A174:$M174)=0,"",IF(OR(LOWER($F174&amp;"")="subscription",LOWER($F174&amp;"")="membership"),"Subscription",IF(LOWER($L174&amp;"")="yes","Disqualified",IF(OR(LOWER($F174&amp;"")="free game",LOWER($F174&amp;"")="free"),IF(AND(ISNUMBER($P174),ISNUMBER($H174),$P174&gt;$H174),"Profit","Free Game"),IF($P174="","",IF(ROUND(IFERROR(VALUE($P174),0)-IFERROR(VALUE($H174),0),2)&gt;0,"Profit","Draw"))))))</x:f>
      </x:c>
      <x:c r="V174" s="144" t="str">
        <x:f>IF(COUNTA($A174:$M174)=0,"",IF(OR($B174="",$C174="",$U174="Subscription"),"",IFERROR(ROUNDUP(($C174-$B174)/7,0),"")))</x:f>
      </x:c>
      <x:c r="W174" s="112" t="str">
        <x:f>IF(COUNTA($A174:$M174)=0,"",IF(OR($U174="Subscription",$U174=""),"",ROUND(IFERROR($Q174,0)-IFERROR($S174,0),2)))</x:f>
      </x:c>
      <x:c r="X174" s="144" t="str">
        <x:f>IF(COUNTA($A174:$M174)=0,"",IF(OR($U174="Subscription",$U174="Free Game",NOT(ISNUMBER($J174)),NOT(ISNUMBER($I174)),$J174=0,$I174=0,$I174&gt;$J174),"",$J174-$I174))</x:f>
      </x:c>
      <x:c r="Y174" s="116" t="str">
        <x:f>IF(COUNTA($A174:$M174)=0,"",IF(OR($U174="Subscription",$U174="Free Game",NOT(ISNUMBER($J174)),$J174=0,$X174=""),"",$X174/$J174))</x:f>
      </x:c>
      <x:c r="Z174" s="118" t="str">
        <x:f>IF(COUNTA($A174:$M174)=0,"",Instructions!$B$29+SUM($W$5:W174))</x:f>
      </x:c>
    </x:row>
    <x:row r="175" ht="30" customHeight="1">
      <x:c r="A175" s="477"/>
      <x:c r="B175" s="482"/>
      <x:c r="C175" s="482"/>
      <x:c r="D175" s="483"/>
      <x:c r="E175" s="483"/>
      <x:c r="F175" s="483"/>
      <x:c r="G175" s="484"/>
      <x:c r="H175" s="484"/>
      <x:c r="I175" s="485"/>
      <x:c r="J175" s="485"/>
      <x:c r="K175" s="484"/>
      <x:c r="L175" s="483"/>
      <x:c r="M175" s="477"/>
      <x:c r="N175" s="112" t="str">
        <x:f>IF(COUNTA($A175:$M175)=0,"",IF(OR(LOWER($F175&amp;"")="subscription",LOWER($F175&amp;"")="membership"),"",IF($G175="","",IF(ISNUMBER(SEARCH("non",LOWER($E175&amp;""))),$G175*0.85,$G175))))</x:f>
      </x:c>
      <x:c r="O175" s="112" t="str">
        <x:f>IF(COUNTA($A175:$M175)=0,"",IF(OR(LOWER($F175&amp;"")="subscription",LOWER($F175&amp;"")="membership"),"",IF(OR($N175="",$I175="",$I175=0),"",IFERROR($N175/$I175,""))))</x:f>
      </x:c>
      <x:c r="P175" s="112" t="str">
        <x:f>IF(COUNTA($A175:$M175)=0,"",IF(OR(LOWER($F175&amp;"")="subscription",LOWER($F175&amp;"")="membership"),"",IF(LOWER($L175&amp;"")="yes",0,IF($K175&lt;&gt;"",$K175,IF($O175&lt;&gt;"",$O175,"")))))</x:f>
      </x:c>
      <x:c r="Q175" s="112" t="str">
        <x:f>IF(COUNTA($A175:$M175)=0,"",IF(OR($U175="Subscription",$U175=""),"",IF($U175="Profit",ROUND($P175-$H175,2),0)))</x:f>
      </x:c>
      <x:c r="R175" s="112" t="str">
        <x:f>IF(COUNTA($A175:$M175)=0,"",IF(OR($U175="Subscription",$U175=""),"",IF($U175="Draw",$H175,0)))</x:f>
      </x:c>
      <x:c r="S175" s="112" t="str">
        <x:f>IF(COUNTA($A175:$M175)=0,"",IF(OR($U175="Subscription",$U175=""),"",IF($U175="Disqualified",$H175,0)))</x:f>
      </x:c>
      <x:c r="T175" s="116" t="str">
        <x:f>IF(COUNTA($A175:$M175)=0,"",IF(OR($U175="Subscription",$U175=""),"",IF($H175=0,0,IF($U175="Profit",$Q175/$H175,IF($U175="Disqualified",-$S175/$H175,0)))))</x:f>
      </x:c>
      <x:c r="U175" s="290" t="str">
        <x:f>IF(COUNTA($A175:$M175)=0,"",IF(OR(LOWER($F175&amp;"")="subscription",LOWER($F175&amp;"")="membership"),"Subscription",IF(LOWER($L175&amp;"")="yes","Disqualified",IF(OR(LOWER($F175&amp;"")="free game",LOWER($F175&amp;"")="free"),IF(AND(ISNUMBER($P175),ISNUMBER($H175),$P175&gt;$H175),"Profit","Free Game"),IF($P175="","",IF(ROUND(IFERROR(VALUE($P175),0)-IFERROR(VALUE($H175),0),2)&gt;0,"Profit","Draw"))))))</x:f>
      </x:c>
      <x:c r="V175" s="144" t="str">
        <x:f>IF(COUNTA($A175:$M175)=0,"",IF(OR($B175="",$C175="",$U175="Subscription"),"",IFERROR(ROUNDUP(($C175-$B175)/7,0),"")))</x:f>
      </x:c>
      <x:c r="W175" s="112" t="str">
        <x:f>IF(COUNTA($A175:$M175)=0,"",IF(OR($U175="Subscription",$U175=""),"",ROUND(IFERROR($Q175,0)-IFERROR($S175,0),2)))</x:f>
      </x:c>
      <x:c r="X175" s="144" t="str">
        <x:f>IF(COUNTA($A175:$M175)=0,"",IF(OR($U175="Subscription",$U175="Free Game",NOT(ISNUMBER($J175)),NOT(ISNUMBER($I175)),$J175=0,$I175=0,$I175&gt;$J175),"",$J175-$I175))</x:f>
      </x:c>
      <x:c r="Y175" s="116" t="str">
        <x:f>IF(COUNTA($A175:$M175)=0,"",IF(OR($U175="Subscription",$U175="Free Game",NOT(ISNUMBER($J175)),$J175=0,$X175=""),"",$X175/$J175))</x:f>
      </x:c>
      <x:c r="Z175" s="118" t="str">
        <x:f>IF(COUNTA($A175:$M175)=0,"",Instructions!$B$29+SUM($W$5:W175))</x:f>
      </x:c>
    </x:row>
    <x:row r="176" ht="30" customHeight="1">
      <x:c r="A176" s="477"/>
      <x:c r="B176" s="482"/>
      <x:c r="C176" s="482"/>
      <x:c r="D176" s="483"/>
      <x:c r="E176" s="483"/>
      <x:c r="F176" s="483"/>
      <x:c r="G176" s="484"/>
      <x:c r="H176" s="484"/>
      <x:c r="I176" s="485"/>
      <x:c r="J176" s="485"/>
      <x:c r="K176" s="484"/>
      <x:c r="L176" s="483"/>
      <x:c r="M176" s="477"/>
      <x:c r="N176" s="112" t="str">
        <x:f>IF(COUNTA($A176:$M176)=0,"",IF(OR(LOWER($F176&amp;"")="subscription",LOWER($F176&amp;"")="membership"),"",IF($G176="","",IF(ISNUMBER(SEARCH("non",LOWER($E176&amp;""))),$G176*0.85,$G176))))</x:f>
      </x:c>
      <x:c r="O176" s="112" t="str">
        <x:f>IF(COUNTA($A176:$M176)=0,"",IF(OR(LOWER($F176&amp;"")="subscription",LOWER($F176&amp;"")="membership"),"",IF(OR($N176="",$I176="",$I176=0),"",IFERROR($N176/$I176,""))))</x:f>
      </x:c>
      <x:c r="P176" s="112" t="str">
        <x:f>IF(COUNTA($A176:$M176)=0,"",IF(OR(LOWER($F176&amp;"")="subscription",LOWER($F176&amp;"")="membership"),"",IF(LOWER($L176&amp;"")="yes",0,IF($K176&lt;&gt;"",$K176,IF($O176&lt;&gt;"",$O176,"")))))</x:f>
      </x:c>
      <x:c r="Q176" s="112" t="str">
        <x:f>IF(COUNTA($A176:$M176)=0,"",IF(OR($U176="Subscription",$U176=""),"",IF($U176="Profit",ROUND($P176-$H176,2),0)))</x:f>
      </x:c>
      <x:c r="R176" s="112" t="str">
        <x:f>IF(COUNTA($A176:$M176)=0,"",IF(OR($U176="Subscription",$U176=""),"",IF($U176="Draw",$H176,0)))</x:f>
      </x:c>
      <x:c r="S176" s="112" t="str">
        <x:f>IF(COUNTA($A176:$M176)=0,"",IF(OR($U176="Subscription",$U176=""),"",IF($U176="Disqualified",$H176,0)))</x:f>
      </x:c>
      <x:c r="T176" s="116" t="str">
        <x:f>IF(COUNTA($A176:$M176)=0,"",IF(OR($U176="Subscription",$U176=""),"",IF($H176=0,0,IF($U176="Profit",$Q176/$H176,IF($U176="Disqualified",-$S176/$H176,0)))))</x:f>
      </x:c>
      <x:c r="U176" s="290" t="str">
        <x:f>IF(COUNTA($A176:$M176)=0,"",IF(OR(LOWER($F176&amp;"")="subscription",LOWER($F176&amp;"")="membership"),"Subscription",IF(LOWER($L176&amp;"")="yes","Disqualified",IF(OR(LOWER($F176&amp;"")="free game",LOWER($F176&amp;"")="free"),IF(AND(ISNUMBER($P176),ISNUMBER($H176),$P176&gt;$H176),"Profit","Free Game"),IF($P176="","",IF(ROUND(IFERROR(VALUE($P176),0)-IFERROR(VALUE($H176),0),2)&gt;0,"Profit","Draw"))))))</x:f>
      </x:c>
      <x:c r="V176" s="144" t="str">
        <x:f>IF(COUNTA($A176:$M176)=0,"",IF(OR($B176="",$C176="",$U176="Subscription"),"",IFERROR(ROUNDUP(($C176-$B176)/7,0),"")))</x:f>
      </x:c>
      <x:c r="W176" s="112" t="str">
        <x:f>IF(COUNTA($A176:$M176)=0,"",IF(OR($U176="Subscription",$U176=""),"",ROUND(IFERROR($Q176,0)-IFERROR($S176,0),2)))</x:f>
      </x:c>
      <x:c r="X176" s="144" t="str">
        <x:f>IF(COUNTA($A176:$M176)=0,"",IF(OR($U176="Subscription",$U176="Free Game",NOT(ISNUMBER($J176)),NOT(ISNUMBER($I176)),$J176=0,$I176=0,$I176&gt;$J176),"",$J176-$I176))</x:f>
      </x:c>
      <x:c r="Y176" s="116" t="str">
        <x:f>IF(COUNTA($A176:$M176)=0,"",IF(OR($U176="Subscription",$U176="Free Game",NOT(ISNUMBER($J176)),$J176=0,$X176=""),"",$X176/$J176))</x:f>
      </x:c>
      <x:c r="Z176" s="118" t="str">
        <x:f>IF(COUNTA($A176:$M176)=0,"",Instructions!$B$29+SUM($W$5:W176))</x:f>
      </x:c>
    </x:row>
    <x:row r="177" ht="30" customHeight="1">
      <x:c r="A177" s="477"/>
      <x:c r="B177" s="482"/>
      <x:c r="C177" s="482"/>
      <x:c r="D177" s="483"/>
      <x:c r="E177" s="483"/>
      <x:c r="F177" s="483"/>
      <x:c r="G177" s="484"/>
      <x:c r="H177" s="484"/>
      <x:c r="I177" s="485"/>
      <x:c r="J177" s="485"/>
      <x:c r="K177" s="484"/>
      <x:c r="L177" s="483"/>
      <x:c r="M177" s="477"/>
      <x:c r="N177" s="112" t="str">
        <x:f>IF(COUNTA($A177:$M177)=0,"",IF(OR(LOWER($F177&amp;"")="subscription",LOWER($F177&amp;"")="membership"),"",IF($G177="","",IF(ISNUMBER(SEARCH("non",LOWER($E177&amp;""))),$G177*0.85,$G177))))</x:f>
      </x:c>
      <x:c r="O177" s="112" t="str">
        <x:f>IF(COUNTA($A177:$M177)=0,"",IF(OR(LOWER($F177&amp;"")="subscription",LOWER($F177&amp;"")="membership"),"",IF(OR($N177="",$I177="",$I177=0),"",IFERROR($N177/$I177,""))))</x:f>
      </x:c>
      <x:c r="P177" s="112" t="str">
        <x:f>IF(COUNTA($A177:$M177)=0,"",IF(OR(LOWER($F177&amp;"")="subscription",LOWER($F177&amp;"")="membership"),"",IF(LOWER($L177&amp;"")="yes",0,IF($K177&lt;&gt;"",$K177,IF($O177&lt;&gt;"",$O177,"")))))</x:f>
      </x:c>
      <x:c r="Q177" s="112" t="str">
        <x:f>IF(COUNTA($A177:$M177)=0,"",IF(OR($U177="Subscription",$U177=""),"",IF($U177="Profit",ROUND($P177-$H177,2),0)))</x:f>
      </x:c>
      <x:c r="R177" s="112" t="str">
        <x:f>IF(COUNTA($A177:$M177)=0,"",IF(OR($U177="Subscription",$U177=""),"",IF($U177="Draw",$H177,0)))</x:f>
      </x:c>
      <x:c r="S177" s="112" t="str">
        <x:f>IF(COUNTA($A177:$M177)=0,"",IF(OR($U177="Subscription",$U177=""),"",IF($U177="Disqualified",$H177,0)))</x:f>
      </x:c>
      <x:c r="T177" s="116" t="str">
        <x:f>IF(COUNTA($A177:$M177)=0,"",IF(OR($U177="Subscription",$U177=""),"",IF($H177=0,0,IF($U177="Profit",$Q177/$H177,IF($U177="Disqualified",-$S177/$H177,0)))))</x:f>
      </x:c>
      <x:c r="U177" s="290" t="str">
        <x:f>IF(COUNTA($A177:$M177)=0,"",IF(OR(LOWER($F177&amp;"")="subscription",LOWER($F177&amp;"")="membership"),"Subscription",IF(LOWER($L177&amp;"")="yes","Disqualified",IF(OR(LOWER($F177&amp;"")="free game",LOWER($F177&amp;"")="free"),IF(AND(ISNUMBER($P177),ISNUMBER($H177),$P177&gt;$H177),"Profit","Free Game"),IF($P177="","",IF(ROUND(IFERROR(VALUE($P177),0)-IFERROR(VALUE($H177),0),2)&gt;0,"Profit","Draw"))))))</x:f>
      </x:c>
      <x:c r="V177" s="144" t="str">
        <x:f>IF(COUNTA($A177:$M177)=0,"",IF(OR($B177="",$C177="",$U177="Subscription"),"",IFERROR(ROUNDUP(($C177-$B177)/7,0),"")))</x:f>
      </x:c>
      <x:c r="W177" s="112" t="str">
        <x:f>IF(COUNTA($A177:$M177)=0,"",IF(OR($U177="Subscription",$U177=""),"",ROUND(IFERROR($Q177,0)-IFERROR($S177,0),2)))</x:f>
      </x:c>
      <x:c r="X177" s="144" t="str">
        <x:f>IF(COUNTA($A177:$M177)=0,"",IF(OR($U177="Subscription",$U177="Free Game",NOT(ISNUMBER($J177)),NOT(ISNUMBER($I177)),$J177=0,$I177=0,$I177&gt;$J177),"",$J177-$I177))</x:f>
      </x:c>
      <x:c r="Y177" s="116" t="str">
        <x:f>IF(COUNTA($A177:$M177)=0,"",IF(OR($U177="Subscription",$U177="Free Game",NOT(ISNUMBER($J177)),$J177=0,$X177=""),"",$X177/$J177))</x:f>
      </x:c>
      <x:c r="Z177" s="118" t="str">
        <x:f>IF(COUNTA($A177:$M177)=0,"",Instructions!$B$29+SUM($W$5:W177))</x:f>
      </x:c>
    </x:row>
    <x:row r="178" ht="30" customHeight="1">
      <x:c r="A178" s="477"/>
      <x:c r="B178" s="482"/>
      <x:c r="C178" s="482"/>
      <x:c r="D178" s="483"/>
      <x:c r="E178" s="483"/>
      <x:c r="F178" s="483"/>
      <x:c r="G178" s="484"/>
      <x:c r="H178" s="484"/>
      <x:c r="I178" s="485"/>
      <x:c r="J178" s="485"/>
      <x:c r="K178" s="484"/>
      <x:c r="L178" s="483"/>
      <x:c r="M178" s="477"/>
      <x:c r="N178" s="112" t="str">
        <x:f>IF(COUNTA($A178:$M178)=0,"",IF(OR(LOWER($F178&amp;"")="subscription",LOWER($F178&amp;"")="membership"),"",IF($G178="","",IF(ISNUMBER(SEARCH("non",LOWER($E178&amp;""))),$G178*0.85,$G178))))</x:f>
      </x:c>
      <x:c r="O178" s="112" t="str">
        <x:f>IF(COUNTA($A178:$M178)=0,"",IF(OR(LOWER($F178&amp;"")="subscription",LOWER($F178&amp;"")="membership"),"",IF(OR($N178="",$I178="",$I178=0),"",IFERROR($N178/$I178,""))))</x:f>
      </x:c>
      <x:c r="P178" s="112" t="str">
        <x:f>IF(COUNTA($A178:$M178)=0,"",IF(OR(LOWER($F178&amp;"")="subscription",LOWER($F178&amp;"")="membership"),"",IF(LOWER($L178&amp;"")="yes",0,IF($K178&lt;&gt;"",$K178,IF($O178&lt;&gt;"",$O178,"")))))</x:f>
      </x:c>
      <x:c r="Q178" s="112" t="str">
        <x:f>IF(COUNTA($A178:$M178)=0,"",IF(OR($U178="Subscription",$U178=""),"",IF($U178="Profit",ROUND($P178-$H178,2),0)))</x:f>
      </x:c>
      <x:c r="R178" s="112" t="str">
        <x:f>IF(COUNTA($A178:$M178)=0,"",IF(OR($U178="Subscription",$U178=""),"",IF($U178="Draw",$H178,0)))</x:f>
      </x:c>
      <x:c r="S178" s="112" t="str">
        <x:f>IF(COUNTA($A178:$M178)=0,"",IF(OR($U178="Subscription",$U178=""),"",IF($U178="Disqualified",$H178,0)))</x:f>
      </x:c>
      <x:c r="T178" s="116" t="str">
        <x:f>IF(COUNTA($A178:$M178)=0,"",IF(OR($U178="Subscription",$U178=""),"",IF($H178=0,0,IF($U178="Profit",$Q178/$H178,IF($U178="Disqualified",-$S178/$H178,0)))))</x:f>
      </x:c>
      <x:c r="U178" s="290" t="str">
        <x:f>IF(COUNTA($A178:$M178)=0,"",IF(OR(LOWER($F178&amp;"")="subscription",LOWER($F178&amp;"")="membership"),"Subscription",IF(LOWER($L178&amp;"")="yes","Disqualified",IF(OR(LOWER($F178&amp;"")="free game",LOWER($F178&amp;"")="free"),IF(AND(ISNUMBER($P178),ISNUMBER($H178),$P178&gt;$H178),"Profit","Free Game"),IF($P178="","",IF(ROUND(IFERROR(VALUE($P178),0)-IFERROR(VALUE($H178),0),2)&gt;0,"Profit","Draw"))))))</x:f>
      </x:c>
      <x:c r="V178" s="144" t="str">
        <x:f>IF(COUNTA($A178:$M178)=0,"",IF(OR($B178="",$C178="",$U178="Subscription"),"",IFERROR(ROUNDUP(($C178-$B178)/7,0),"")))</x:f>
      </x:c>
      <x:c r="W178" s="112" t="str">
        <x:f>IF(COUNTA($A178:$M178)=0,"",IF(OR($U178="Subscription",$U178=""),"",ROUND(IFERROR($Q178,0)-IFERROR($S178,0),2)))</x:f>
      </x:c>
      <x:c r="X178" s="144" t="str">
        <x:f>IF(COUNTA($A178:$M178)=0,"",IF(OR($U178="Subscription",$U178="Free Game",NOT(ISNUMBER($J178)),NOT(ISNUMBER($I178)),$J178=0,$I178=0,$I178&gt;$J178),"",$J178-$I178))</x:f>
      </x:c>
      <x:c r="Y178" s="116" t="str">
        <x:f>IF(COUNTA($A178:$M178)=0,"",IF(OR($U178="Subscription",$U178="Free Game",NOT(ISNUMBER($J178)),$J178=0,$X178=""),"",$X178/$J178))</x:f>
      </x:c>
      <x:c r="Z178" s="118" t="str">
        <x:f>IF(COUNTA($A178:$M178)=0,"",Instructions!$B$29+SUM($W$5:W178))</x:f>
      </x:c>
    </x:row>
    <x:row r="179" ht="30" customHeight="1">
      <x:c r="A179" s="477"/>
      <x:c r="B179" s="482"/>
      <x:c r="C179" s="482"/>
      <x:c r="D179" s="483"/>
      <x:c r="E179" s="483"/>
      <x:c r="F179" s="483"/>
      <x:c r="G179" s="484"/>
      <x:c r="H179" s="484"/>
      <x:c r="I179" s="485"/>
      <x:c r="J179" s="485"/>
      <x:c r="K179" s="484"/>
      <x:c r="L179" s="483"/>
      <x:c r="M179" s="477"/>
      <x:c r="N179" s="112" t="str">
        <x:f>IF(COUNTA($A179:$M179)=0,"",IF(OR(LOWER($F179&amp;"")="subscription",LOWER($F179&amp;"")="membership"),"",IF($G179="","",IF(ISNUMBER(SEARCH("non",LOWER($E179&amp;""))),$G179*0.85,$G179))))</x:f>
      </x:c>
      <x:c r="O179" s="112" t="str">
        <x:f>IF(COUNTA($A179:$M179)=0,"",IF(OR(LOWER($F179&amp;"")="subscription",LOWER($F179&amp;"")="membership"),"",IF(OR($N179="",$I179="",$I179=0),"",IFERROR($N179/$I179,""))))</x:f>
      </x:c>
      <x:c r="P179" s="112" t="str">
        <x:f>IF(COUNTA($A179:$M179)=0,"",IF(OR(LOWER($F179&amp;"")="subscription",LOWER($F179&amp;"")="membership"),"",IF(LOWER($L179&amp;"")="yes",0,IF($K179&lt;&gt;"",$K179,IF($O179&lt;&gt;"",$O179,"")))))</x:f>
      </x:c>
      <x:c r="Q179" s="112" t="str">
        <x:f>IF(COUNTA($A179:$M179)=0,"",IF(OR($U179="Subscription",$U179=""),"",IF($U179="Profit",ROUND($P179-$H179,2),0)))</x:f>
      </x:c>
      <x:c r="R179" s="112" t="str">
        <x:f>IF(COUNTA($A179:$M179)=0,"",IF(OR($U179="Subscription",$U179=""),"",IF($U179="Draw",$H179,0)))</x:f>
      </x:c>
      <x:c r="S179" s="112" t="str">
        <x:f>IF(COUNTA($A179:$M179)=0,"",IF(OR($U179="Subscription",$U179=""),"",IF($U179="Disqualified",$H179,0)))</x:f>
      </x:c>
      <x:c r="T179" s="116" t="str">
        <x:f>IF(COUNTA($A179:$M179)=0,"",IF(OR($U179="Subscription",$U179=""),"",IF($H179=0,0,IF($U179="Profit",$Q179/$H179,IF($U179="Disqualified",-$S179/$H179,0)))))</x:f>
      </x:c>
      <x:c r="U179" s="290" t="str">
        <x:f>IF(COUNTA($A179:$M179)=0,"",IF(OR(LOWER($F179&amp;"")="subscription",LOWER($F179&amp;"")="membership"),"Subscription",IF(LOWER($L179&amp;"")="yes","Disqualified",IF(OR(LOWER($F179&amp;"")="free game",LOWER($F179&amp;"")="free"),IF(AND(ISNUMBER($P179),ISNUMBER($H179),$P179&gt;$H179),"Profit","Free Game"),IF($P179="","",IF(ROUND(IFERROR(VALUE($P179),0)-IFERROR(VALUE($H179),0),2)&gt;0,"Profit","Draw"))))))</x:f>
      </x:c>
      <x:c r="V179" s="144" t="str">
        <x:f>IF(COUNTA($A179:$M179)=0,"",IF(OR($B179="",$C179="",$U179="Subscription"),"",IFERROR(ROUNDUP(($C179-$B179)/7,0),"")))</x:f>
      </x:c>
      <x:c r="W179" s="112" t="str">
        <x:f>IF(COUNTA($A179:$M179)=0,"",IF(OR($U179="Subscription",$U179=""),"",ROUND(IFERROR($Q179,0)-IFERROR($S179,0),2)))</x:f>
      </x:c>
      <x:c r="X179" s="144" t="str">
        <x:f>IF(COUNTA($A179:$M179)=0,"",IF(OR($U179="Subscription",$U179="Free Game",NOT(ISNUMBER($J179)),NOT(ISNUMBER($I179)),$J179=0,$I179=0,$I179&gt;$J179),"",$J179-$I179))</x:f>
      </x:c>
      <x:c r="Y179" s="116" t="str">
        <x:f>IF(COUNTA($A179:$M179)=0,"",IF(OR($U179="Subscription",$U179="Free Game",NOT(ISNUMBER($J179)),$J179=0,$X179=""),"",$X179/$J179))</x:f>
      </x:c>
      <x:c r="Z179" s="118" t="str">
        <x:f>IF(COUNTA($A179:$M179)=0,"",Instructions!$B$29+SUM($W$5:W179))</x:f>
      </x:c>
    </x:row>
    <x:row r="180" ht="30" customHeight="1">
      <x:c r="A180" s="477"/>
      <x:c r="B180" s="482"/>
      <x:c r="C180" s="482"/>
      <x:c r="D180" s="483"/>
      <x:c r="E180" s="483"/>
      <x:c r="F180" s="483"/>
      <x:c r="G180" s="484"/>
      <x:c r="H180" s="484"/>
      <x:c r="I180" s="485"/>
      <x:c r="J180" s="485"/>
      <x:c r="K180" s="484"/>
      <x:c r="L180" s="483"/>
      <x:c r="M180" s="477"/>
      <x:c r="N180" s="112" t="str">
        <x:f>IF(COUNTA($A180:$M180)=0,"",IF(OR(LOWER($F180&amp;"")="subscription",LOWER($F180&amp;"")="membership"),"",IF($G180="","",IF(ISNUMBER(SEARCH("non",LOWER($E180&amp;""))),$G180*0.85,$G180))))</x:f>
      </x:c>
      <x:c r="O180" s="112" t="str">
        <x:f>IF(COUNTA($A180:$M180)=0,"",IF(OR(LOWER($F180&amp;"")="subscription",LOWER($F180&amp;"")="membership"),"",IF(OR($N180="",$I180="",$I180=0),"",IFERROR($N180/$I180,""))))</x:f>
      </x:c>
      <x:c r="P180" s="112" t="str">
        <x:f>IF(COUNTA($A180:$M180)=0,"",IF(OR(LOWER($F180&amp;"")="subscription",LOWER($F180&amp;"")="membership"),"",IF(LOWER($L180&amp;"")="yes",0,IF($K180&lt;&gt;"",$K180,IF($O180&lt;&gt;"",$O180,"")))))</x:f>
      </x:c>
      <x:c r="Q180" s="112" t="str">
        <x:f>IF(COUNTA($A180:$M180)=0,"",IF(OR($U180="Subscription",$U180=""),"",IF($U180="Profit",ROUND($P180-$H180,2),0)))</x:f>
      </x:c>
      <x:c r="R180" s="112" t="str">
        <x:f>IF(COUNTA($A180:$M180)=0,"",IF(OR($U180="Subscription",$U180=""),"",IF($U180="Draw",$H180,0)))</x:f>
      </x:c>
      <x:c r="S180" s="112" t="str">
        <x:f>IF(COUNTA($A180:$M180)=0,"",IF(OR($U180="Subscription",$U180=""),"",IF($U180="Disqualified",$H180,0)))</x:f>
      </x:c>
      <x:c r="T180" s="116" t="str">
        <x:f>IF(COUNTA($A180:$M180)=0,"",IF(OR($U180="Subscription",$U180=""),"",IF($H180=0,0,IF($U180="Profit",$Q180/$H180,IF($U180="Disqualified",-$S180/$H180,0)))))</x:f>
      </x:c>
      <x:c r="U180" s="290" t="str">
        <x:f>IF(COUNTA($A180:$M180)=0,"",IF(OR(LOWER($F180&amp;"")="subscription",LOWER($F180&amp;"")="membership"),"Subscription",IF(LOWER($L180&amp;"")="yes","Disqualified",IF(OR(LOWER($F180&amp;"")="free game",LOWER($F180&amp;"")="free"),IF(AND(ISNUMBER($P180),ISNUMBER($H180),$P180&gt;$H180),"Profit","Free Game"),IF($P180="","",IF(ROUND(IFERROR(VALUE($P180),0)-IFERROR(VALUE($H180),0),2)&gt;0,"Profit","Draw"))))))</x:f>
      </x:c>
      <x:c r="V180" s="144" t="str">
        <x:f>IF(COUNTA($A180:$M180)=0,"",IF(OR($B180="",$C180="",$U180="Subscription"),"",IFERROR(ROUNDUP(($C180-$B180)/7,0),"")))</x:f>
      </x:c>
      <x:c r="W180" s="112" t="str">
        <x:f>IF(COUNTA($A180:$M180)=0,"",IF(OR($U180="Subscription",$U180=""),"",ROUND(IFERROR($Q180,0)-IFERROR($S180,0),2)))</x:f>
      </x:c>
      <x:c r="X180" s="144" t="str">
        <x:f>IF(COUNTA($A180:$M180)=0,"",IF(OR($U180="Subscription",$U180="Free Game",NOT(ISNUMBER($J180)),NOT(ISNUMBER($I180)),$J180=0,$I180=0,$I180&gt;$J180),"",$J180-$I180))</x:f>
      </x:c>
      <x:c r="Y180" s="116" t="str">
        <x:f>IF(COUNTA($A180:$M180)=0,"",IF(OR($U180="Subscription",$U180="Free Game",NOT(ISNUMBER($J180)),$J180=0,$X180=""),"",$X180/$J180))</x:f>
      </x:c>
      <x:c r="Z180" s="118" t="str">
        <x:f>IF(COUNTA($A180:$M180)=0,"",Instructions!$B$29+SUM($W$5:W180))</x:f>
      </x:c>
    </x:row>
    <x:row r="181" ht="30" customHeight="1">
      <x:c r="A181" s="477"/>
      <x:c r="B181" s="482"/>
      <x:c r="C181" s="482"/>
      <x:c r="D181" s="483"/>
      <x:c r="E181" s="483"/>
      <x:c r="F181" s="483"/>
      <x:c r="G181" s="484"/>
      <x:c r="H181" s="484"/>
      <x:c r="I181" s="485"/>
      <x:c r="J181" s="485"/>
      <x:c r="K181" s="484"/>
      <x:c r="L181" s="483"/>
      <x:c r="M181" s="477"/>
      <x:c r="N181" s="112" t="str">
        <x:f>IF(COUNTA($A181:$M181)=0,"",IF(OR(LOWER($F181&amp;"")="subscription",LOWER($F181&amp;"")="membership"),"",IF($G181="","",IF(ISNUMBER(SEARCH("non",LOWER($E181&amp;""))),$G181*0.85,$G181))))</x:f>
      </x:c>
      <x:c r="O181" s="112" t="str">
        <x:f>IF(COUNTA($A181:$M181)=0,"",IF(OR(LOWER($F181&amp;"")="subscription",LOWER($F181&amp;"")="membership"),"",IF(OR($N181="",$I181="",$I181=0),"",IFERROR($N181/$I181,""))))</x:f>
      </x:c>
      <x:c r="P181" s="112" t="str">
        <x:f>IF(COUNTA($A181:$M181)=0,"",IF(OR(LOWER($F181&amp;"")="subscription",LOWER($F181&amp;"")="membership"),"",IF(LOWER($L181&amp;"")="yes",0,IF($K181&lt;&gt;"",$K181,IF($O181&lt;&gt;"",$O181,"")))))</x:f>
      </x:c>
      <x:c r="Q181" s="112" t="str">
        <x:f>IF(COUNTA($A181:$M181)=0,"",IF(OR($U181="Subscription",$U181=""),"",IF($U181="Profit",ROUND($P181-$H181,2),0)))</x:f>
      </x:c>
      <x:c r="R181" s="112" t="str">
        <x:f>IF(COUNTA($A181:$M181)=0,"",IF(OR($U181="Subscription",$U181=""),"",IF($U181="Draw",$H181,0)))</x:f>
      </x:c>
      <x:c r="S181" s="112" t="str">
        <x:f>IF(COUNTA($A181:$M181)=0,"",IF(OR($U181="Subscription",$U181=""),"",IF($U181="Disqualified",$H181,0)))</x:f>
      </x:c>
      <x:c r="T181" s="116" t="str">
        <x:f>IF(COUNTA($A181:$M181)=0,"",IF(OR($U181="Subscription",$U181=""),"",IF($H181=0,0,IF($U181="Profit",$Q181/$H181,IF($U181="Disqualified",-$S181/$H181,0)))))</x:f>
      </x:c>
      <x:c r="U181" s="290" t="str">
        <x:f>IF(COUNTA($A181:$M181)=0,"",IF(OR(LOWER($F181&amp;"")="subscription",LOWER($F181&amp;"")="membership"),"Subscription",IF(LOWER($L181&amp;"")="yes","Disqualified",IF(OR(LOWER($F181&amp;"")="free game",LOWER($F181&amp;"")="free"),IF(AND(ISNUMBER($P181),ISNUMBER($H181),$P181&gt;$H181),"Profit","Free Game"),IF($P181="","",IF(ROUND(IFERROR(VALUE($P181),0)-IFERROR(VALUE($H181),0),2)&gt;0,"Profit","Draw"))))))</x:f>
      </x:c>
      <x:c r="V181" s="144" t="str">
        <x:f>IF(COUNTA($A181:$M181)=0,"",IF(OR($B181="",$C181="",$U181="Subscription"),"",IFERROR(ROUNDUP(($C181-$B181)/7,0),"")))</x:f>
      </x:c>
      <x:c r="W181" s="112" t="str">
        <x:f>IF(COUNTA($A181:$M181)=0,"",IF(OR($U181="Subscription",$U181=""),"",ROUND(IFERROR($Q181,0)-IFERROR($S181,0),2)))</x:f>
      </x:c>
      <x:c r="X181" s="144" t="str">
        <x:f>IF(COUNTA($A181:$M181)=0,"",IF(OR($U181="Subscription",$U181="Free Game",NOT(ISNUMBER($J181)),NOT(ISNUMBER($I181)),$J181=0,$I181=0,$I181&gt;$J181),"",$J181-$I181))</x:f>
      </x:c>
      <x:c r="Y181" s="116" t="str">
        <x:f>IF(COUNTA($A181:$M181)=0,"",IF(OR($U181="Subscription",$U181="Free Game",NOT(ISNUMBER($J181)),$J181=0,$X181=""),"",$X181/$J181))</x:f>
      </x:c>
      <x:c r="Z181" s="118" t="str">
        <x:f>IF(COUNTA($A181:$M181)=0,"",Instructions!$B$29+SUM($W$5:W181))</x:f>
      </x:c>
    </x:row>
    <x:row r="182" ht="30" customHeight="1">
      <x:c r="A182" s="477"/>
      <x:c r="B182" s="482"/>
      <x:c r="C182" s="482"/>
      <x:c r="D182" s="483"/>
      <x:c r="E182" s="483"/>
      <x:c r="F182" s="483"/>
      <x:c r="G182" s="484"/>
      <x:c r="H182" s="484"/>
      <x:c r="I182" s="485"/>
      <x:c r="J182" s="485"/>
      <x:c r="K182" s="484"/>
      <x:c r="L182" s="483"/>
      <x:c r="M182" s="477"/>
      <x:c r="N182" s="112" t="str">
        <x:f>IF(COUNTA($A182:$M182)=0,"",IF(OR(LOWER($F182&amp;"")="subscription",LOWER($F182&amp;"")="membership"),"",IF($G182="","",IF(ISNUMBER(SEARCH("non",LOWER($E182&amp;""))),$G182*0.85,$G182))))</x:f>
      </x:c>
      <x:c r="O182" s="112" t="str">
        <x:f>IF(COUNTA($A182:$M182)=0,"",IF(OR(LOWER($F182&amp;"")="subscription",LOWER($F182&amp;"")="membership"),"",IF(OR($N182="",$I182="",$I182=0),"",IFERROR($N182/$I182,""))))</x:f>
      </x:c>
      <x:c r="P182" s="112" t="str">
        <x:f>IF(COUNTA($A182:$M182)=0,"",IF(OR(LOWER($F182&amp;"")="subscription",LOWER($F182&amp;"")="membership"),"",IF(LOWER($L182&amp;"")="yes",0,IF($K182&lt;&gt;"",$K182,IF($O182&lt;&gt;"",$O182,"")))))</x:f>
      </x:c>
      <x:c r="Q182" s="112" t="str">
        <x:f>IF(COUNTA($A182:$M182)=0,"",IF(OR($U182="Subscription",$U182=""),"",IF($U182="Profit",ROUND($P182-$H182,2),0)))</x:f>
      </x:c>
      <x:c r="R182" s="112" t="str">
        <x:f>IF(COUNTA($A182:$M182)=0,"",IF(OR($U182="Subscription",$U182=""),"",IF($U182="Draw",$H182,0)))</x:f>
      </x:c>
      <x:c r="S182" s="112" t="str">
        <x:f>IF(COUNTA($A182:$M182)=0,"",IF(OR($U182="Subscription",$U182=""),"",IF($U182="Disqualified",$H182,0)))</x:f>
      </x:c>
      <x:c r="T182" s="116" t="str">
        <x:f>IF(COUNTA($A182:$M182)=0,"",IF(OR($U182="Subscription",$U182=""),"",IF($H182=0,0,IF($U182="Profit",$Q182/$H182,IF($U182="Disqualified",-$S182/$H182,0)))))</x:f>
      </x:c>
      <x:c r="U182" s="290" t="str">
        <x:f>IF(COUNTA($A182:$M182)=0,"",IF(OR(LOWER($F182&amp;"")="subscription",LOWER($F182&amp;"")="membership"),"Subscription",IF(LOWER($L182&amp;"")="yes","Disqualified",IF(OR(LOWER($F182&amp;"")="free game",LOWER($F182&amp;"")="free"),IF(AND(ISNUMBER($P182),ISNUMBER($H182),$P182&gt;$H182),"Profit","Free Game"),IF($P182="","",IF(ROUND(IFERROR(VALUE($P182),0)-IFERROR(VALUE($H182),0),2)&gt;0,"Profit","Draw"))))))</x:f>
      </x:c>
      <x:c r="V182" s="144" t="str">
        <x:f>IF(COUNTA($A182:$M182)=0,"",IF(OR($B182="",$C182="",$U182="Subscription"),"",IFERROR(ROUNDUP(($C182-$B182)/7,0),"")))</x:f>
      </x:c>
      <x:c r="W182" s="112" t="str">
        <x:f>IF(COUNTA($A182:$M182)=0,"",IF(OR($U182="Subscription",$U182=""),"",ROUND(IFERROR($Q182,0)-IFERROR($S182,0),2)))</x:f>
      </x:c>
      <x:c r="X182" s="144" t="str">
        <x:f>IF(COUNTA($A182:$M182)=0,"",IF(OR($U182="Subscription",$U182="Free Game",NOT(ISNUMBER($J182)),NOT(ISNUMBER($I182)),$J182=0,$I182=0,$I182&gt;$J182),"",$J182-$I182))</x:f>
      </x:c>
      <x:c r="Y182" s="116" t="str">
        <x:f>IF(COUNTA($A182:$M182)=0,"",IF(OR($U182="Subscription",$U182="Free Game",NOT(ISNUMBER($J182)),$J182=0,$X182=""),"",$X182/$J182))</x:f>
      </x:c>
      <x:c r="Z182" s="118" t="str">
        <x:f>IF(COUNTA($A182:$M182)=0,"",Instructions!$B$29+SUM($W$5:W182))</x:f>
      </x:c>
    </x:row>
    <x:row r="183" ht="30" customHeight="1">
      <x:c r="A183" s="477"/>
      <x:c r="B183" s="482"/>
      <x:c r="C183" s="482"/>
      <x:c r="D183" s="483"/>
      <x:c r="E183" s="483"/>
      <x:c r="F183" s="483"/>
      <x:c r="G183" s="484"/>
      <x:c r="H183" s="484"/>
      <x:c r="I183" s="485"/>
      <x:c r="J183" s="485"/>
      <x:c r="K183" s="484"/>
      <x:c r="L183" s="483"/>
      <x:c r="M183" s="477"/>
      <x:c r="N183" s="112" t="str">
        <x:f>IF(COUNTA($A183:$M183)=0,"",IF(OR(LOWER($F183&amp;"")="subscription",LOWER($F183&amp;"")="membership"),"",IF($G183="","",IF(ISNUMBER(SEARCH("non",LOWER($E183&amp;""))),$G183*0.85,$G183))))</x:f>
      </x:c>
      <x:c r="O183" s="112" t="str">
        <x:f>IF(COUNTA($A183:$M183)=0,"",IF(OR(LOWER($F183&amp;"")="subscription",LOWER($F183&amp;"")="membership"),"",IF(OR($N183="",$I183="",$I183=0),"",IFERROR($N183/$I183,""))))</x:f>
      </x:c>
      <x:c r="P183" s="112" t="str">
        <x:f>IF(COUNTA($A183:$M183)=0,"",IF(OR(LOWER($F183&amp;"")="subscription",LOWER($F183&amp;"")="membership"),"",IF(LOWER($L183&amp;"")="yes",0,IF($K183&lt;&gt;"",$K183,IF($O183&lt;&gt;"",$O183,"")))))</x:f>
      </x:c>
      <x:c r="Q183" s="112" t="str">
        <x:f>IF(COUNTA($A183:$M183)=0,"",IF(OR($U183="Subscription",$U183=""),"",IF($U183="Profit",ROUND($P183-$H183,2),0)))</x:f>
      </x:c>
      <x:c r="R183" s="112" t="str">
        <x:f>IF(COUNTA($A183:$M183)=0,"",IF(OR($U183="Subscription",$U183=""),"",IF($U183="Draw",$H183,0)))</x:f>
      </x:c>
      <x:c r="S183" s="112" t="str">
        <x:f>IF(COUNTA($A183:$M183)=0,"",IF(OR($U183="Subscription",$U183=""),"",IF($U183="Disqualified",$H183,0)))</x:f>
      </x:c>
      <x:c r="T183" s="116" t="str">
        <x:f>IF(COUNTA($A183:$M183)=0,"",IF(OR($U183="Subscription",$U183=""),"",IF($H183=0,0,IF($U183="Profit",$Q183/$H183,IF($U183="Disqualified",-$S183/$H183,0)))))</x:f>
      </x:c>
      <x:c r="U183" s="290" t="str">
        <x:f>IF(COUNTA($A183:$M183)=0,"",IF(OR(LOWER($F183&amp;"")="subscription",LOWER($F183&amp;"")="membership"),"Subscription",IF(LOWER($L183&amp;"")="yes","Disqualified",IF(OR(LOWER($F183&amp;"")="free game",LOWER($F183&amp;"")="free"),IF(AND(ISNUMBER($P183),ISNUMBER($H183),$P183&gt;$H183),"Profit","Free Game"),IF($P183="","",IF(ROUND(IFERROR(VALUE($P183),0)-IFERROR(VALUE($H183),0),2)&gt;0,"Profit","Draw"))))))</x:f>
      </x:c>
      <x:c r="V183" s="144" t="str">
        <x:f>IF(COUNTA($A183:$M183)=0,"",IF(OR($B183="",$C183="",$U183="Subscription"),"",IFERROR(ROUNDUP(($C183-$B183)/7,0),"")))</x:f>
      </x:c>
      <x:c r="W183" s="112" t="str">
        <x:f>IF(COUNTA($A183:$M183)=0,"",IF(OR($U183="Subscription",$U183=""),"",ROUND(IFERROR($Q183,0)-IFERROR($S183,0),2)))</x:f>
      </x:c>
      <x:c r="X183" s="144" t="str">
        <x:f>IF(COUNTA($A183:$M183)=0,"",IF(OR($U183="Subscription",$U183="Free Game",NOT(ISNUMBER($J183)),NOT(ISNUMBER($I183)),$J183=0,$I183=0,$I183&gt;$J183),"",$J183-$I183))</x:f>
      </x:c>
      <x:c r="Y183" s="116" t="str">
        <x:f>IF(COUNTA($A183:$M183)=0,"",IF(OR($U183="Subscription",$U183="Free Game",NOT(ISNUMBER($J183)),$J183=0,$X183=""),"",$X183/$J183))</x:f>
      </x:c>
      <x:c r="Z183" s="118" t="str">
        <x:f>IF(COUNTA($A183:$M183)=0,"",Instructions!$B$29+SUM($W$5:W183))</x:f>
      </x:c>
    </x:row>
    <x:row r="184" ht="30" customHeight="1">
      <x:c r="A184" s="477"/>
      <x:c r="B184" s="482"/>
      <x:c r="C184" s="482"/>
      <x:c r="D184" s="483"/>
      <x:c r="E184" s="483"/>
      <x:c r="F184" s="483"/>
      <x:c r="G184" s="484"/>
      <x:c r="H184" s="484"/>
      <x:c r="I184" s="485"/>
      <x:c r="J184" s="485"/>
      <x:c r="K184" s="484"/>
      <x:c r="L184" s="483"/>
      <x:c r="M184" s="477"/>
      <x:c r="N184" s="112" t="str">
        <x:f>IF(COUNTA($A184:$M184)=0,"",IF(OR(LOWER($F184&amp;"")="subscription",LOWER($F184&amp;"")="membership"),"",IF($G184="","",IF(ISNUMBER(SEARCH("non",LOWER($E184&amp;""))),$G184*0.85,$G184))))</x:f>
      </x:c>
      <x:c r="O184" s="112" t="str">
        <x:f>IF(COUNTA($A184:$M184)=0,"",IF(OR(LOWER($F184&amp;"")="subscription",LOWER($F184&amp;"")="membership"),"",IF(OR($N184="",$I184="",$I184=0),"",IFERROR($N184/$I184,""))))</x:f>
      </x:c>
      <x:c r="P184" s="112" t="str">
        <x:f>IF(COUNTA($A184:$M184)=0,"",IF(OR(LOWER($F184&amp;"")="subscription",LOWER($F184&amp;"")="membership"),"",IF(LOWER($L184&amp;"")="yes",0,IF($K184&lt;&gt;"",$K184,IF($O184&lt;&gt;"",$O184,"")))))</x:f>
      </x:c>
      <x:c r="Q184" s="112" t="str">
        <x:f>IF(COUNTA($A184:$M184)=0,"",IF(OR($U184="Subscription",$U184=""),"",IF($U184="Profit",ROUND($P184-$H184,2),0)))</x:f>
      </x:c>
      <x:c r="R184" s="112" t="str">
        <x:f>IF(COUNTA($A184:$M184)=0,"",IF(OR($U184="Subscription",$U184=""),"",IF($U184="Draw",$H184,0)))</x:f>
      </x:c>
      <x:c r="S184" s="112" t="str">
        <x:f>IF(COUNTA($A184:$M184)=0,"",IF(OR($U184="Subscription",$U184=""),"",IF($U184="Disqualified",$H184,0)))</x:f>
      </x:c>
      <x:c r="T184" s="116" t="str">
        <x:f>IF(COUNTA($A184:$M184)=0,"",IF(OR($U184="Subscription",$U184=""),"",IF($H184=0,0,IF($U184="Profit",$Q184/$H184,IF($U184="Disqualified",-$S184/$H184,0)))))</x:f>
      </x:c>
      <x:c r="U184" s="290" t="str">
        <x:f>IF(COUNTA($A184:$M184)=0,"",IF(OR(LOWER($F184&amp;"")="subscription",LOWER($F184&amp;"")="membership"),"Subscription",IF(LOWER($L184&amp;"")="yes","Disqualified",IF(OR(LOWER($F184&amp;"")="free game",LOWER($F184&amp;"")="free"),IF(AND(ISNUMBER($P184),ISNUMBER($H184),$P184&gt;$H184),"Profit","Free Game"),IF($P184="","",IF(ROUND(IFERROR(VALUE($P184),0)-IFERROR(VALUE($H184),0),2)&gt;0,"Profit","Draw"))))))</x:f>
      </x:c>
      <x:c r="V184" s="144" t="str">
        <x:f>IF(COUNTA($A184:$M184)=0,"",IF(OR($B184="",$C184="",$U184="Subscription"),"",IFERROR(ROUNDUP(($C184-$B184)/7,0),"")))</x:f>
      </x:c>
      <x:c r="W184" s="112" t="str">
        <x:f>IF(COUNTA($A184:$M184)=0,"",IF(OR($U184="Subscription",$U184=""),"",ROUND(IFERROR($Q184,0)-IFERROR($S184,0),2)))</x:f>
      </x:c>
      <x:c r="X184" s="144" t="str">
        <x:f>IF(COUNTA($A184:$M184)=0,"",IF(OR($U184="Subscription",$U184="Free Game",NOT(ISNUMBER($J184)),NOT(ISNUMBER($I184)),$J184=0,$I184=0,$I184&gt;$J184),"",$J184-$I184))</x:f>
      </x:c>
      <x:c r="Y184" s="116" t="str">
        <x:f>IF(COUNTA($A184:$M184)=0,"",IF(OR($U184="Subscription",$U184="Free Game",NOT(ISNUMBER($J184)),$J184=0,$X184=""),"",$X184/$J184))</x:f>
      </x:c>
      <x:c r="Z184" s="118" t="str">
        <x:f>IF(COUNTA($A184:$M184)=0,"",Instructions!$B$29+SUM($W$5:W184))</x:f>
      </x:c>
    </x:row>
    <x:row r="185" ht="30" customHeight="1">
      <x:c r="A185" s="477"/>
      <x:c r="B185" s="482"/>
      <x:c r="C185" s="482"/>
      <x:c r="D185" s="483"/>
      <x:c r="E185" s="483"/>
      <x:c r="F185" s="483"/>
      <x:c r="G185" s="484"/>
      <x:c r="H185" s="484"/>
      <x:c r="I185" s="485"/>
      <x:c r="J185" s="485"/>
      <x:c r="K185" s="484"/>
      <x:c r="L185" s="483"/>
      <x:c r="M185" s="477"/>
      <x:c r="N185" s="112" t="str">
        <x:f>IF(COUNTA($A185:$M185)=0,"",IF(OR(LOWER($F185&amp;"")="subscription",LOWER($F185&amp;"")="membership"),"",IF($G185="","",IF(ISNUMBER(SEARCH("non",LOWER($E185&amp;""))),$G185*0.85,$G185))))</x:f>
      </x:c>
      <x:c r="O185" s="112" t="str">
        <x:f>IF(COUNTA($A185:$M185)=0,"",IF(OR(LOWER($F185&amp;"")="subscription",LOWER($F185&amp;"")="membership"),"",IF(OR($N185="",$I185="",$I185=0),"",IFERROR($N185/$I185,""))))</x:f>
      </x:c>
      <x:c r="P185" s="112" t="str">
        <x:f>IF(COUNTA($A185:$M185)=0,"",IF(OR(LOWER($F185&amp;"")="subscription",LOWER($F185&amp;"")="membership"),"",IF(LOWER($L185&amp;"")="yes",0,IF($K185&lt;&gt;"",$K185,IF($O185&lt;&gt;"",$O185,"")))))</x:f>
      </x:c>
      <x:c r="Q185" s="112" t="str">
        <x:f>IF(COUNTA($A185:$M185)=0,"",IF(OR($U185="Subscription",$U185=""),"",IF($U185="Profit",ROUND($P185-$H185,2),0)))</x:f>
      </x:c>
      <x:c r="R185" s="112" t="str">
        <x:f>IF(COUNTA($A185:$M185)=0,"",IF(OR($U185="Subscription",$U185=""),"",IF($U185="Draw",$H185,0)))</x:f>
      </x:c>
      <x:c r="S185" s="112" t="str">
        <x:f>IF(COUNTA($A185:$M185)=0,"",IF(OR($U185="Subscription",$U185=""),"",IF($U185="Disqualified",$H185,0)))</x:f>
      </x:c>
      <x:c r="T185" s="116" t="str">
        <x:f>IF(COUNTA($A185:$M185)=0,"",IF(OR($U185="Subscription",$U185=""),"",IF($H185=0,0,IF($U185="Profit",$Q185/$H185,IF($U185="Disqualified",-$S185/$H185,0)))))</x:f>
      </x:c>
      <x:c r="U185" s="290" t="str">
        <x:f>IF(COUNTA($A185:$M185)=0,"",IF(OR(LOWER($F185&amp;"")="subscription",LOWER($F185&amp;"")="membership"),"Subscription",IF(LOWER($L185&amp;"")="yes","Disqualified",IF(OR(LOWER($F185&amp;"")="free game",LOWER($F185&amp;"")="free"),IF(AND(ISNUMBER($P185),ISNUMBER($H185),$P185&gt;$H185),"Profit","Free Game"),IF($P185="","",IF(ROUND(IFERROR(VALUE($P185),0)-IFERROR(VALUE($H185),0),2)&gt;0,"Profit","Draw"))))))</x:f>
      </x:c>
      <x:c r="V185" s="144" t="str">
        <x:f>IF(COUNTA($A185:$M185)=0,"",IF(OR($B185="",$C185="",$U185="Subscription"),"",IFERROR(ROUNDUP(($C185-$B185)/7,0),"")))</x:f>
      </x:c>
      <x:c r="W185" s="112" t="str">
        <x:f>IF(COUNTA($A185:$M185)=0,"",IF(OR($U185="Subscription",$U185=""),"",ROUND(IFERROR($Q185,0)-IFERROR($S185,0),2)))</x:f>
      </x:c>
      <x:c r="X185" s="144" t="str">
        <x:f>IF(COUNTA($A185:$M185)=0,"",IF(OR($U185="Subscription",$U185="Free Game",NOT(ISNUMBER($J185)),NOT(ISNUMBER($I185)),$J185=0,$I185=0,$I185&gt;$J185),"",$J185-$I185))</x:f>
      </x:c>
      <x:c r="Y185" s="116" t="str">
        <x:f>IF(COUNTA($A185:$M185)=0,"",IF(OR($U185="Subscription",$U185="Free Game",NOT(ISNUMBER($J185)),$J185=0,$X185=""),"",$X185/$J185))</x:f>
      </x:c>
      <x:c r="Z185" s="118" t="str">
        <x:f>IF(COUNTA($A185:$M185)=0,"",Instructions!$B$29+SUM($W$5:W185))</x:f>
      </x:c>
    </x:row>
    <x:row r="186" ht="30" customHeight="1">
      <x:c r="A186" s="477"/>
      <x:c r="B186" s="482"/>
      <x:c r="C186" s="482"/>
      <x:c r="D186" s="483"/>
      <x:c r="E186" s="483"/>
      <x:c r="F186" s="483"/>
      <x:c r="G186" s="484"/>
      <x:c r="H186" s="484"/>
      <x:c r="I186" s="485"/>
      <x:c r="J186" s="485"/>
      <x:c r="K186" s="484"/>
      <x:c r="L186" s="483"/>
      <x:c r="M186" s="477"/>
      <x:c r="N186" s="112" t="str">
        <x:f>IF(COUNTA($A186:$M186)=0,"",IF(OR(LOWER($F186&amp;"")="subscription",LOWER($F186&amp;"")="membership"),"",IF($G186="","",IF(ISNUMBER(SEARCH("non",LOWER($E186&amp;""))),$G186*0.85,$G186))))</x:f>
      </x:c>
      <x:c r="O186" s="112" t="str">
        <x:f>IF(COUNTA($A186:$M186)=0,"",IF(OR(LOWER($F186&amp;"")="subscription",LOWER($F186&amp;"")="membership"),"",IF(OR($N186="",$I186="",$I186=0),"",IFERROR($N186/$I186,""))))</x:f>
      </x:c>
      <x:c r="P186" s="112" t="str">
        <x:f>IF(COUNTA($A186:$M186)=0,"",IF(OR(LOWER($F186&amp;"")="subscription",LOWER($F186&amp;"")="membership"),"",IF(LOWER($L186&amp;"")="yes",0,IF($K186&lt;&gt;"",$K186,IF($O186&lt;&gt;"",$O186,"")))))</x:f>
      </x:c>
      <x:c r="Q186" s="112" t="str">
        <x:f>IF(COUNTA($A186:$M186)=0,"",IF(OR($U186="Subscription",$U186=""),"",IF($U186="Profit",ROUND($P186-$H186,2),0)))</x:f>
      </x:c>
      <x:c r="R186" s="112" t="str">
        <x:f>IF(COUNTA($A186:$M186)=0,"",IF(OR($U186="Subscription",$U186=""),"",IF($U186="Draw",$H186,0)))</x:f>
      </x:c>
      <x:c r="S186" s="112" t="str">
        <x:f>IF(COUNTA($A186:$M186)=0,"",IF(OR($U186="Subscription",$U186=""),"",IF($U186="Disqualified",$H186,0)))</x:f>
      </x:c>
      <x:c r="T186" s="116" t="str">
        <x:f>IF(COUNTA($A186:$M186)=0,"",IF(OR($U186="Subscription",$U186=""),"",IF($H186=0,0,IF($U186="Profit",$Q186/$H186,IF($U186="Disqualified",-$S186/$H186,0)))))</x:f>
      </x:c>
      <x:c r="U186" s="290" t="str">
        <x:f>IF(COUNTA($A186:$M186)=0,"",IF(OR(LOWER($F186&amp;"")="subscription",LOWER($F186&amp;"")="membership"),"Subscription",IF(LOWER($L186&amp;"")="yes","Disqualified",IF(OR(LOWER($F186&amp;"")="free game",LOWER($F186&amp;"")="free"),IF(AND(ISNUMBER($P186),ISNUMBER($H186),$P186&gt;$H186),"Profit","Free Game"),IF($P186="","",IF(ROUND(IFERROR(VALUE($P186),0)-IFERROR(VALUE($H186),0),2)&gt;0,"Profit","Draw"))))))</x:f>
      </x:c>
      <x:c r="V186" s="144" t="str">
        <x:f>IF(COUNTA($A186:$M186)=0,"",IF(OR($B186="",$C186="",$U186="Subscription"),"",IFERROR(ROUNDUP(($C186-$B186)/7,0),"")))</x:f>
      </x:c>
      <x:c r="W186" s="112" t="str">
        <x:f>IF(COUNTA($A186:$M186)=0,"",IF(OR($U186="Subscription",$U186=""),"",ROUND(IFERROR($Q186,0)-IFERROR($S186,0),2)))</x:f>
      </x:c>
      <x:c r="X186" s="144" t="str">
        <x:f>IF(COUNTA($A186:$M186)=0,"",IF(OR($U186="Subscription",$U186="Free Game",NOT(ISNUMBER($J186)),NOT(ISNUMBER($I186)),$J186=0,$I186=0,$I186&gt;$J186),"",$J186-$I186))</x:f>
      </x:c>
      <x:c r="Y186" s="116" t="str">
        <x:f>IF(COUNTA($A186:$M186)=0,"",IF(OR($U186="Subscription",$U186="Free Game",NOT(ISNUMBER($J186)),$J186=0,$X186=""),"",$X186/$J186))</x:f>
      </x:c>
      <x:c r="Z186" s="118" t="str">
        <x:f>IF(COUNTA($A186:$M186)=0,"",Instructions!$B$29+SUM($W$5:W186))</x:f>
      </x:c>
    </x:row>
    <x:row r="187" ht="30" customHeight="1">
      <x:c r="A187" s="477"/>
      <x:c r="B187" s="482"/>
      <x:c r="C187" s="482"/>
      <x:c r="D187" s="483"/>
      <x:c r="E187" s="483"/>
      <x:c r="F187" s="483"/>
      <x:c r="G187" s="484"/>
      <x:c r="H187" s="484"/>
      <x:c r="I187" s="485"/>
      <x:c r="J187" s="485"/>
      <x:c r="K187" s="484"/>
      <x:c r="L187" s="483"/>
      <x:c r="M187" s="477"/>
      <x:c r="N187" s="112" t="str">
        <x:f>IF(COUNTA($A187:$M187)=0,"",IF(OR(LOWER($F187&amp;"")="subscription",LOWER($F187&amp;"")="membership"),"",IF($G187="","",IF(ISNUMBER(SEARCH("non",LOWER($E187&amp;""))),$G187*0.85,$G187))))</x:f>
      </x:c>
      <x:c r="O187" s="112" t="str">
        <x:f>IF(COUNTA($A187:$M187)=0,"",IF(OR(LOWER($F187&amp;"")="subscription",LOWER($F187&amp;"")="membership"),"",IF(OR($N187="",$I187="",$I187=0),"",IFERROR($N187/$I187,""))))</x:f>
      </x:c>
      <x:c r="P187" s="112" t="str">
        <x:f>IF(COUNTA($A187:$M187)=0,"",IF(OR(LOWER($F187&amp;"")="subscription",LOWER($F187&amp;"")="membership"),"",IF(LOWER($L187&amp;"")="yes",0,IF($K187&lt;&gt;"",$K187,IF($O187&lt;&gt;"",$O187,"")))))</x:f>
      </x:c>
      <x:c r="Q187" s="112" t="str">
        <x:f>IF(COUNTA($A187:$M187)=0,"",IF(OR($U187="Subscription",$U187=""),"",IF($U187="Profit",ROUND($P187-$H187,2),0)))</x:f>
      </x:c>
      <x:c r="R187" s="112" t="str">
        <x:f>IF(COUNTA($A187:$M187)=0,"",IF(OR($U187="Subscription",$U187=""),"",IF($U187="Draw",$H187,0)))</x:f>
      </x:c>
      <x:c r="S187" s="112" t="str">
        <x:f>IF(COUNTA($A187:$M187)=0,"",IF(OR($U187="Subscription",$U187=""),"",IF($U187="Disqualified",$H187,0)))</x:f>
      </x:c>
      <x:c r="T187" s="116" t="str">
        <x:f>IF(COUNTA($A187:$M187)=0,"",IF(OR($U187="Subscription",$U187=""),"",IF($H187=0,0,IF($U187="Profit",$Q187/$H187,IF($U187="Disqualified",-$S187/$H187,0)))))</x:f>
      </x:c>
      <x:c r="U187" s="290" t="str">
        <x:f>IF(COUNTA($A187:$M187)=0,"",IF(OR(LOWER($F187&amp;"")="subscription",LOWER($F187&amp;"")="membership"),"Subscription",IF(LOWER($L187&amp;"")="yes","Disqualified",IF(OR(LOWER($F187&amp;"")="free game",LOWER($F187&amp;"")="free"),IF(AND(ISNUMBER($P187),ISNUMBER($H187),$P187&gt;$H187),"Profit","Free Game"),IF($P187="","",IF(ROUND(IFERROR(VALUE($P187),0)-IFERROR(VALUE($H187),0),2)&gt;0,"Profit","Draw"))))))</x:f>
      </x:c>
      <x:c r="V187" s="144" t="str">
        <x:f>IF(COUNTA($A187:$M187)=0,"",IF(OR($B187="",$C187="",$U187="Subscription"),"",IFERROR(ROUNDUP(($C187-$B187)/7,0),"")))</x:f>
      </x:c>
      <x:c r="W187" s="112" t="str">
        <x:f>IF(COUNTA($A187:$M187)=0,"",IF(OR($U187="Subscription",$U187=""),"",ROUND(IFERROR($Q187,0)-IFERROR($S187,0),2)))</x:f>
      </x:c>
      <x:c r="X187" s="144" t="str">
        <x:f>IF(COUNTA($A187:$M187)=0,"",IF(OR($U187="Subscription",$U187="Free Game",NOT(ISNUMBER($J187)),NOT(ISNUMBER($I187)),$J187=0,$I187=0,$I187&gt;$J187),"",$J187-$I187))</x:f>
      </x:c>
      <x:c r="Y187" s="116" t="str">
        <x:f>IF(COUNTA($A187:$M187)=0,"",IF(OR($U187="Subscription",$U187="Free Game",NOT(ISNUMBER($J187)),$J187=0,$X187=""),"",$X187/$J187))</x:f>
      </x:c>
      <x:c r="Z187" s="118" t="str">
        <x:f>IF(COUNTA($A187:$M187)=0,"",Instructions!$B$29+SUM($W$5:W187))</x:f>
      </x:c>
    </x:row>
    <x:row r="188" ht="30" customHeight="1">
      <x:c r="A188" s="477"/>
      <x:c r="B188" s="482"/>
      <x:c r="C188" s="482"/>
      <x:c r="D188" s="483"/>
      <x:c r="E188" s="483"/>
      <x:c r="F188" s="483"/>
      <x:c r="G188" s="484"/>
      <x:c r="H188" s="484"/>
      <x:c r="I188" s="485"/>
      <x:c r="J188" s="485"/>
      <x:c r="K188" s="484"/>
      <x:c r="L188" s="483"/>
      <x:c r="M188" s="477"/>
      <x:c r="N188" s="112" t="str">
        <x:f>IF(COUNTA($A188:$M188)=0,"",IF(OR(LOWER($F188&amp;"")="subscription",LOWER($F188&amp;"")="membership"),"",IF($G188="","",IF(ISNUMBER(SEARCH("non",LOWER($E188&amp;""))),$G188*0.85,$G188))))</x:f>
      </x:c>
      <x:c r="O188" s="112" t="str">
        <x:f>IF(COUNTA($A188:$M188)=0,"",IF(OR(LOWER($F188&amp;"")="subscription",LOWER($F188&amp;"")="membership"),"",IF(OR($N188="",$I188="",$I188=0),"",IFERROR($N188/$I188,""))))</x:f>
      </x:c>
      <x:c r="P188" s="112" t="str">
        <x:f>IF(COUNTA($A188:$M188)=0,"",IF(OR(LOWER($F188&amp;"")="subscription",LOWER($F188&amp;"")="membership"),"",IF(LOWER($L188&amp;"")="yes",0,IF($K188&lt;&gt;"",$K188,IF($O188&lt;&gt;"",$O188,"")))))</x:f>
      </x:c>
      <x:c r="Q188" s="112" t="str">
        <x:f>IF(COUNTA($A188:$M188)=0,"",IF(OR($U188="Subscription",$U188=""),"",IF($U188="Profit",ROUND($P188-$H188,2),0)))</x:f>
      </x:c>
      <x:c r="R188" s="112" t="str">
        <x:f>IF(COUNTA($A188:$M188)=0,"",IF(OR($U188="Subscription",$U188=""),"",IF($U188="Draw",$H188,0)))</x:f>
      </x:c>
      <x:c r="S188" s="112" t="str">
        <x:f>IF(COUNTA($A188:$M188)=0,"",IF(OR($U188="Subscription",$U188=""),"",IF($U188="Disqualified",$H188,0)))</x:f>
      </x:c>
      <x:c r="T188" s="116" t="str">
        <x:f>IF(COUNTA($A188:$M188)=0,"",IF(OR($U188="Subscription",$U188=""),"",IF($H188=0,0,IF($U188="Profit",$Q188/$H188,IF($U188="Disqualified",-$S188/$H188,0)))))</x:f>
      </x:c>
      <x:c r="U188" s="290" t="str">
        <x:f>IF(COUNTA($A188:$M188)=0,"",IF(OR(LOWER($F188&amp;"")="subscription",LOWER($F188&amp;"")="membership"),"Subscription",IF(LOWER($L188&amp;"")="yes","Disqualified",IF(OR(LOWER($F188&amp;"")="free game",LOWER($F188&amp;"")="free"),IF(AND(ISNUMBER($P188),ISNUMBER($H188),$P188&gt;$H188),"Profit","Free Game"),IF($P188="","",IF(ROUND(IFERROR(VALUE($P188),0)-IFERROR(VALUE($H188),0),2)&gt;0,"Profit","Draw"))))))</x:f>
      </x:c>
      <x:c r="V188" s="144" t="str">
        <x:f>IF(COUNTA($A188:$M188)=0,"",IF(OR($B188="",$C188="",$U188="Subscription"),"",IFERROR(ROUNDUP(($C188-$B188)/7,0),"")))</x:f>
      </x:c>
      <x:c r="W188" s="112" t="str">
        <x:f>IF(COUNTA($A188:$M188)=0,"",IF(OR($U188="Subscription",$U188=""),"",ROUND(IFERROR($Q188,0)-IFERROR($S188,0),2)))</x:f>
      </x:c>
      <x:c r="X188" s="144" t="str">
        <x:f>IF(COUNTA($A188:$M188)=0,"",IF(OR($U188="Subscription",$U188="Free Game",NOT(ISNUMBER($J188)),NOT(ISNUMBER($I188)),$J188=0,$I188=0,$I188&gt;$J188),"",$J188-$I188))</x:f>
      </x:c>
      <x:c r="Y188" s="116" t="str">
        <x:f>IF(COUNTA($A188:$M188)=0,"",IF(OR($U188="Subscription",$U188="Free Game",NOT(ISNUMBER($J188)),$J188=0,$X188=""),"",$X188/$J188))</x:f>
      </x:c>
      <x:c r="Z188" s="118" t="str">
        <x:f>IF(COUNTA($A188:$M188)=0,"",Instructions!$B$29+SUM($W$5:W188))</x:f>
      </x:c>
    </x:row>
    <x:row r="189" ht="30" customHeight="1">
      <x:c r="A189" s="477"/>
      <x:c r="B189" s="482"/>
      <x:c r="C189" s="482"/>
      <x:c r="D189" s="483"/>
      <x:c r="E189" s="483"/>
      <x:c r="F189" s="483"/>
      <x:c r="G189" s="484"/>
      <x:c r="H189" s="484"/>
      <x:c r="I189" s="485"/>
      <x:c r="J189" s="485"/>
      <x:c r="K189" s="484"/>
      <x:c r="L189" s="483"/>
      <x:c r="M189" s="477"/>
      <x:c r="N189" s="112" t="str">
        <x:f>IF(COUNTA($A189:$M189)=0,"",IF(OR(LOWER($F189&amp;"")="subscription",LOWER($F189&amp;"")="membership"),"",IF($G189="","",IF(ISNUMBER(SEARCH("non",LOWER($E189&amp;""))),$G189*0.85,$G189))))</x:f>
      </x:c>
      <x:c r="O189" s="112" t="str">
        <x:f>IF(COUNTA($A189:$M189)=0,"",IF(OR(LOWER($F189&amp;"")="subscription",LOWER($F189&amp;"")="membership"),"",IF(OR($N189="",$I189="",$I189=0),"",IFERROR($N189/$I189,""))))</x:f>
      </x:c>
      <x:c r="P189" s="112" t="str">
        <x:f>IF(COUNTA($A189:$M189)=0,"",IF(OR(LOWER($F189&amp;"")="subscription",LOWER($F189&amp;"")="membership"),"",IF(LOWER($L189&amp;"")="yes",0,IF($K189&lt;&gt;"",$K189,IF($O189&lt;&gt;"",$O189,"")))))</x:f>
      </x:c>
      <x:c r="Q189" s="112" t="str">
        <x:f>IF(COUNTA($A189:$M189)=0,"",IF(OR($U189="Subscription",$U189=""),"",IF($U189="Profit",ROUND($P189-$H189,2),0)))</x:f>
      </x:c>
      <x:c r="R189" s="112" t="str">
        <x:f>IF(COUNTA($A189:$M189)=0,"",IF(OR($U189="Subscription",$U189=""),"",IF($U189="Draw",$H189,0)))</x:f>
      </x:c>
      <x:c r="S189" s="112" t="str">
        <x:f>IF(COUNTA($A189:$M189)=0,"",IF(OR($U189="Subscription",$U189=""),"",IF($U189="Disqualified",$H189,0)))</x:f>
      </x:c>
      <x:c r="T189" s="116" t="str">
        <x:f>IF(COUNTA($A189:$M189)=0,"",IF(OR($U189="Subscription",$U189=""),"",IF($H189=0,0,IF($U189="Profit",$Q189/$H189,IF($U189="Disqualified",-$S189/$H189,0)))))</x:f>
      </x:c>
      <x:c r="U189" s="290" t="str">
        <x:f>IF(COUNTA($A189:$M189)=0,"",IF(OR(LOWER($F189&amp;"")="subscription",LOWER($F189&amp;"")="membership"),"Subscription",IF(LOWER($L189&amp;"")="yes","Disqualified",IF(OR(LOWER($F189&amp;"")="free game",LOWER($F189&amp;"")="free"),IF(AND(ISNUMBER($P189),ISNUMBER($H189),$P189&gt;$H189),"Profit","Free Game"),IF($P189="","",IF(ROUND(IFERROR(VALUE($P189),0)-IFERROR(VALUE($H189),0),2)&gt;0,"Profit","Draw"))))))</x:f>
      </x:c>
      <x:c r="V189" s="144" t="str">
        <x:f>IF(COUNTA($A189:$M189)=0,"",IF(OR($B189="",$C189="",$U189="Subscription"),"",IFERROR(ROUNDUP(($C189-$B189)/7,0),"")))</x:f>
      </x:c>
      <x:c r="W189" s="112" t="str">
        <x:f>IF(COUNTA($A189:$M189)=0,"",IF(OR($U189="Subscription",$U189=""),"",ROUND(IFERROR($Q189,0)-IFERROR($S189,0),2)))</x:f>
      </x:c>
      <x:c r="X189" s="144" t="str">
        <x:f>IF(COUNTA($A189:$M189)=0,"",IF(OR($U189="Subscription",$U189="Free Game",NOT(ISNUMBER($J189)),NOT(ISNUMBER($I189)),$J189=0,$I189=0,$I189&gt;$J189),"",$J189-$I189))</x:f>
      </x:c>
      <x:c r="Y189" s="116" t="str">
        <x:f>IF(COUNTA($A189:$M189)=0,"",IF(OR($U189="Subscription",$U189="Free Game",NOT(ISNUMBER($J189)),$J189=0,$X189=""),"",$X189/$J189))</x:f>
      </x:c>
      <x:c r="Z189" s="118" t="str">
        <x:f>IF(COUNTA($A189:$M189)=0,"",Instructions!$B$29+SUM($W$5:W189))</x:f>
      </x:c>
    </x:row>
    <x:row r="190" ht="30" customHeight="1">
      <x:c r="A190" s="477"/>
      <x:c r="B190" s="482"/>
      <x:c r="C190" s="482"/>
      <x:c r="D190" s="483"/>
      <x:c r="E190" s="483"/>
      <x:c r="F190" s="483"/>
      <x:c r="G190" s="484"/>
      <x:c r="H190" s="484"/>
      <x:c r="I190" s="485"/>
      <x:c r="J190" s="485"/>
      <x:c r="K190" s="484"/>
      <x:c r="L190" s="483"/>
      <x:c r="M190" s="477"/>
      <x:c r="N190" s="112" t="str">
        <x:f>IF(COUNTA($A190:$M190)=0,"",IF(OR(LOWER($F190&amp;"")="subscription",LOWER($F190&amp;"")="membership"),"",IF($G190="","",IF(ISNUMBER(SEARCH("non",LOWER($E190&amp;""))),$G190*0.85,$G190))))</x:f>
      </x:c>
      <x:c r="O190" s="112" t="str">
        <x:f>IF(COUNTA($A190:$M190)=0,"",IF(OR(LOWER($F190&amp;"")="subscription",LOWER($F190&amp;"")="membership"),"",IF(OR($N190="",$I190="",$I190=0),"",IFERROR($N190/$I190,""))))</x:f>
      </x:c>
      <x:c r="P190" s="112" t="str">
        <x:f>IF(COUNTA($A190:$M190)=0,"",IF(OR(LOWER($F190&amp;"")="subscription",LOWER($F190&amp;"")="membership"),"",IF(LOWER($L190&amp;"")="yes",0,IF($K190&lt;&gt;"",$K190,IF($O190&lt;&gt;"",$O190,"")))))</x:f>
      </x:c>
      <x:c r="Q190" s="112" t="str">
        <x:f>IF(COUNTA($A190:$M190)=0,"",IF(OR($U190="Subscription",$U190=""),"",IF($U190="Profit",ROUND($P190-$H190,2),0)))</x:f>
      </x:c>
      <x:c r="R190" s="112" t="str">
        <x:f>IF(COUNTA($A190:$M190)=0,"",IF(OR($U190="Subscription",$U190=""),"",IF($U190="Draw",$H190,0)))</x:f>
      </x:c>
      <x:c r="S190" s="112" t="str">
        <x:f>IF(COUNTA($A190:$M190)=0,"",IF(OR($U190="Subscription",$U190=""),"",IF($U190="Disqualified",$H190,0)))</x:f>
      </x:c>
      <x:c r="T190" s="116" t="str">
        <x:f>IF(COUNTA($A190:$M190)=0,"",IF(OR($U190="Subscription",$U190=""),"",IF($H190=0,0,IF($U190="Profit",$Q190/$H190,IF($U190="Disqualified",-$S190/$H190,0)))))</x:f>
      </x:c>
      <x:c r="U190" s="290" t="str">
        <x:f>IF(COUNTA($A190:$M190)=0,"",IF(OR(LOWER($F190&amp;"")="subscription",LOWER($F190&amp;"")="membership"),"Subscription",IF(LOWER($L190&amp;"")="yes","Disqualified",IF(OR(LOWER($F190&amp;"")="free game",LOWER($F190&amp;"")="free"),IF(AND(ISNUMBER($P190),ISNUMBER($H190),$P190&gt;$H190),"Profit","Free Game"),IF($P190="","",IF(ROUND(IFERROR(VALUE($P190),0)-IFERROR(VALUE($H190),0),2)&gt;0,"Profit","Draw"))))))</x:f>
      </x:c>
      <x:c r="V190" s="144" t="str">
        <x:f>IF(COUNTA($A190:$M190)=0,"",IF(OR($B190="",$C190="",$U190="Subscription"),"",IFERROR(ROUNDUP(($C190-$B190)/7,0),"")))</x:f>
      </x:c>
      <x:c r="W190" s="112" t="str">
        <x:f>IF(COUNTA($A190:$M190)=0,"",IF(OR($U190="Subscription",$U190=""),"",ROUND(IFERROR($Q190,0)-IFERROR($S190,0),2)))</x:f>
      </x:c>
      <x:c r="X190" s="144" t="str">
        <x:f>IF(COUNTA($A190:$M190)=0,"",IF(OR($U190="Subscription",$U190="Free Game",NOT(ISNUMBER($J190)),NOT(ISNUMBER($I190)),$J190=0,$I190=0,$I190&gt;$J190),"",$J190-$I190))</x:f>
      </x:c>
      <x:c r="Y190" s="116" t="str">
        <x:f>IF(COUNTA($A190:$M190)=0,"",IF(OR($U190="Subscription",$U190="Free Game",NOT(ISNUMBER($J190)),$J190=0,$X190=""),"",$X190/$J190))</x:f>
      </x:c>
      <x:c r="Z190" s="118" t="str">
        <x:f>IF(COUNTA($A190:$M190)=0,"",Instructions!$B$29+SUM($W$5:W190))</x:f>
      </x:c>
    </x:row>
    <x:row r="191" ht="30" customHeight="1">
      <x:c r="A191" s="477"/>
      <x:c r="B191" s="482"/>
      <x:c r="C191" s="482"/>
      <x:c r="D191" s="483"/>
      <x:c r="E191" s="483"/>
      <x:c r="F191" s="483"/>
      <x:c r="G191" s="484"/>
      <x:c r="H191" s="484"/>
      <x:c r="I191" s="485"/>
      <x:c r="J191" s="485"/>
      <x:c r="K191" s="484"/>
      <x:c r="L191" s="483"/>
      <x:c r="M191" s="477"/>
      <x:c r="N191" s="112" t="str">
        <x:f>IF(COUNTA($A191:$M191)=0,"",IF(OR(LOWER($F191&amp;"")="subscription",LOWER($F191&amp;"")="membership"),"",IF($G191="","",IF(ISNUMBER(SEARCH("non",LOWER($E191&amp;""))),$G191*0.85,$G191))))</x:f>
      </x:c>
      <x:c r="O191" s="112" t="str">
        <x:f>IF(COUNTA($A191:$M191)=0,"",IF(OR(LOWER($F191&amp;"")="subscription",LOWER($F191&amp;"")="membership"),"",IF(OR($N191="",$I191="",$I191=0),"",IFERROR($N191/$I191,""))))</x:f>
      </x:c>
      <x:c r="P191" s="112" t="str">
        <x:f>IF(COUNTA($A191:$M191)=0,"",IF(OR(LOWER($F191&amp;"")="subscription",LOWER($F191&amp;"")="membership"),"",IF(LOWER($L191&amp;"")="yes",0,IF($K191&lt;&gt;"",$K191,IF($O191&lt;&gt;"",$O191,"")))))</x:f>
      </x:c>
      <x:c r="Q191" s="112" t="str">
        <x:f>IF(COUNTA($A191:$M191)=0,"",IF(OR($U191="Subscription",$U191=""),"",IF($U191="Profit",ROUND($P191-$H191,2),0)))</x:f>
      </x:c>
      <x:c r="R191" s="112" t="str">
        <x:f>IF(COUNTA($A191:$M191)=0,"",IF(OR($U191="Subscription",$U191=""),"",IF($U191="Draw",$H191,0)))</x:f>
      </x:c>
      <x:c r="S191" s="112" t="str">
        <x:f>IF(COUNTA($A191:$M191)=0,"",IF(OR($U191="Subscription",$U191=""),"",IF($U191="Disqualified",$H191,0)))</x:f>
      </x:c>
      <x:c r="T191" s="116" t="str">
        <x:f>IF(COUNTA($A191:$M191)=0,"",IF(OR($U191="Subscription",$U191=""),"",IF($H191=0,0,IF($U191="Profit",$Q191/$H191,IF($U191="Disqualified",-$S191/$H191,0)))))</x:f>
      </x:c>
      <x:c r="U191" s="290" t="str">
        <x:f>IF(COUNTA($A191:$M191)=0,"",IF(OR(LOWER($F191&amp;"")="subscription",LOWER($F191&amp;"")="membership"),"Subscription",IF(LOWER($L191&amp;"")="yes","Disqualified",IF(OR(LOWER($F191&amp;"")="free game",LOWER($F191&amp;"")="free"),IF(AND(ISNUMBER($P191),ISNUMBER($H191),$P191&gt;$H191),"Profit","Free Game"),IF($P191="","",IF(ROUND(IFERROR(VALUE($P191),0)-IFERROR(VALUE($H191),0),2)&gt;0,"Profit","Draw"))))))</x:f>
      </x:c>
      <x:c r="V191" s="144" t="str">
        <x:f>IF(COUNTA($A191:$M191)=0,"",IF(OR($B191="",$C191="",$U191="Subscription"),"",IFERROR(ROUNDUP(($C191-$B191)/7,0),"")))</x:f>
      </x:c>
      <x:c r="W191" s="112" t="str">
        <x:f>IF(COUNTA($A191:$M191)=0,"",IF(OR($U191="Subscription",$U191=""),"",ROUND(IFERROR($Q191,0)-IFERROR($S191,0),2)))</x:f>
      </x:c>
      <x:c r="X191" s="144" t="str">
        <x:f>IF(COUNTA($A191:$M191)=0,"",IF(OR($U191="Subscription",$U191="Free Game",NOT(ISNUMBER($J191)),NOT(ISNUMBER($I191)),$J191=0,$I191=0,$I191&gt;$J191),"",$J191-$I191))</x:f>
      </x:c>
      <x:c r="Y191" s="116" t="str">
        <x:f>IF(COUNTA($A191:$M191)=0,"",IF(OR($U191="Subscription",$U191="Free Game",NOT(ISNUMBER($J191)),$J191=0,$X191=""),"",$X191/$J191))</x:f>
      </x:c>
      <x:c r="Z191" s="118" t="str">
        <x:f>IF(COUNTA($A191:$M191)=0,"",Instructions!$B$29+SUM($W$5:W191))</x:f>
      </x:c>
    </x:row>
    <x:row r="192" ht="30" customHeight="1">
      <x:c r="A192" s="477"/>
      <x:c r="B192" s="482"/>
      <x:c r="C192" s="482"/>
      <x:c r="D192" s="483"/>
      <x:c r="E192" s="483"/>
      <x:c r="F192" s="483"/>
      <x:c r="G192" s="484"/>
      <x:c r="H192" s="484"/>
      <x:c r="I192" s="485"/>
      <x:c r="J192" s="485"/>
      <x:c r="K192" s="484"/>
      <x:c r="L192" s="483"/>
      <x:c r="M192" s="477"/>
      <x:c r="N192" s="112" t="str">
        <x:f>IF(COUNTA($A192:$M192)=0,"",IF(OR(LOWER($F192&amp;"")="subscription",LOWER($F192&amp;"")="membership"),"",IF($G192="","",IF(ISNUMBER(SEARCH("non",LOWER($E192&amp;""))),$G192*0.85,$G192))))</x:f>
      </x:c>
      <x:c r="O192" s="112" t="str">
        <x:f>IF(COUNTA($A192:$M192)=0,"",IF(OR(LOWER($F192&amp;"")="subscription",LOWER($F192&amp;"")="membership"),"",IF(OR($N192="",$I192="",$I192=0),"",IFERROR($N192/$I192,""))))</x:f>
      </x:c>
      <x:c r="P192" s="112" t="str">
        <x:f>IF(COUNTA($A192:$M192)=0,"",IF(OR(LOWER($F192&amp;"")="subscription",LOWER($F192&amp;"")="membership"),"",IF(LOWER($L192&amp;"")="yes",0,IF($K192&lt;&gt;"",$K192,IF($O192&lt;&gt;"",$O192,"")))))</x:f>
      </x:c>
      <x:c r="Q192" s="112" t="str">
        <x:f>IF(COUNTA($A192:$M192)=0,"",IF(OR($U192="Subscription",$U192=""),"",IF($U192="Profit",ROUND($P192-$H192,2),0)))</x:f>
      </x:c>
      <x:c r="R192" s="112" t="str">
        <x:f>IF(COUNTA($A192:$M192)=0,"",IF(OR($U192="Subscription",$U192=""),"",IF($U192="Draw",$H192,0)))</x:f>
      </x:c>
      <x:c r="S192" s="112" t="str">
        <x:f>IF(COUNTA($A192:$M192)=0,"",IF(OR($U192="Subscription",$U192=""),"",IF($U192="Disqualified",$H192,0)))</x:f>
      </x:c>
      <x:c r="T192" s="116" t="str">
        <x:f>IF(COUNTA($A192:$M192)=0,"",IF(OR($U192="Subscription",$U192=""),"",IF($H192=0,0,IF($U192="Profit",$Q192/$H192,IF($U192="Disqualified",-$S192/$H192,0)))))</x:f>
      </x:c>
      <x:c r="U192" s="290" t="str">
        <x:f>IF(COUNTA($A192:$M192)=0,"",IF(OR(LOWER($F192&amp;"")="subscription",LOWER($F192&amp;"")="membership"),"Subscription",IF(LOWER($L192&amp;"")="yes","Disqualified",IF(OR(LOWER($F192&amp;"")="free game",LOWER($F192&amp;"")="free"),IF(AND(ISNUMBER($P192),ISNUMBER($H192),$P192&gt;$H192),"Profit","Free Game"),IF($P192="","",IF(ROUND(IFERROR(VALUE($P192),0)-IFERROR(VALUE($H192),0),2)&gt;0,"Profit","Draw"))))))</x:f>
      </x:c>
      <x:c r="V192" s="144" t="str">
        <x:f>IF(COUNTA($A192:$M192)=0,"",IF(OR($B192="",$C192="",$U192="Subscription"),"",IFERROR(ROUNDUP(($C192-$B192)/7,0),"")))</x:f>
      </x:c>
      <x:c r="W192" s="112" t="str">
        <x:f>IF(COUNTA($A192:$M192)=0,"",IF(OR($U192="Subscription",$U192=""),"",ROUND(IFERROR($Q192,0)-IFERROR($S192,0),2)))</x:f>
      </x:c>
      <x:c r="X192" s="144" t="str">
        <x:f>IF(COUNTA($A192:$M192)=0,"",IF(OR($U192="Subscription",$U192="Free Game",NOT(ISNUMBER($J192)),NOT(ISNUMBER($I192)),$J192=0,$I192=0,$I192&gt;$J192),"",$J192-$I192))</x:f>
      </x:c>
      <x:c r="Y192" s="116" t="str">
        <x:f>IF(COUNTA($A192:$M192)=0,"",IF(OR($U192="Subscription",$U192="Free Game",NOT(ISNUMBER($J192)),$J192=0,$X192=""),"",$X192/$J192))</x:f>
      </x:c>
      <x:c r="Z192" s="118" t="str">
        <x:f>IF(COUNTA($A192:$M192)=0,"",Instructions!$B$29+SUM($W$5:W192))</x:f>
      </x:c>
    </x:row>
    <x:row r="193" ht="30" customHeight="1">
      <x:c r="A193" s="477"/>
      <x:c r="B193" s="482"/>
      <x:c r="C193" s="482"/>
      <x:c r="D193" s="483"/>
      <x:c r="E193" s="483"/>
      <x:c r="F193" s="483"/>
      <x:c r="G193" s="484"/>
      <x:c r="H193" s="484"/>
      <x:c r="I193" s="485"/>
      <x:c r="J193" s="485"/>
      <x:c r="K193" s="484"/>
      <x:c r="L193" s="483"/>
      <x:c r="M193" s="477"/>
      <x:c r="N193" s="112" t="str">
        <x:f>IF(COUNTA($A193:$M193)=0,"",IF(OR(LOWER($F193&amp;"")="subscription",LOWER($F193&amp;"")="membership"),"",IF($G193="","",IF(ISNUMBER(SEARCH("non",LOWER($E193&amp;""))),$G193*0.85,$G193))))</x:f>
      </x:c>
      <x:c r="O193" s="112" t="str">
        <x:f>IF(COUNTA($A193:$M193)=0,"",IF(OR(LOWER($F193&amp;"")="subscription",LOWER($F193&amp;"")="membership"),"",IF(OR($N193="",$I193="",$I193=0),"",IFERROR($N193/$I193,""))))</x:f>
      </x:c>
      <x:c r="P193" s="112" t="str">
        <x:f>IF(COUNTA($A193:$M193)=0,"",IF(OR(LOWER($F193&amp;"")="subscription",LOWER($F193&amp;"")="membership"),"",IF(LOWER($L193&amp;"")="yes",0,IF($K193&lt;&gt;"",$K193,IF($O193&lt;&gt;"",$O193,"")))))</x:f>
      </x:c>
      <x:c r="Q193" s="112" t="str">
        <x:f>IF(COUNTA($A193:$M193)=0,"",IF(OR($U193="Subscription",$U193=""),"",IF($U193="Profit",ROUND($P193-$H193,2),0)))</x:f>
      </x:c>
      <x:c r="R193" s="112" t="str">
        <x:f>IF(COUNTA($A193:$M193)=0,"",IF(OR($U193="Subscription",$U193=""),"",IF($U193="Draw",$H193,0)))</x:f>
      </x:c>
      <x:c r="S193" s="112" t="str">
        <x:f>IF(COUNTA($A193:$M193)=0,"",IF(OR($U193="Subscription",$U193=""),"",IF($U193="Disqualified",$H193,0)))</x:f>
      </x:c>
      <x:c r="T193" s="116" t="str">
        <x:f>IF(COUNTA($A193:$M193)=0,"",IF(OR($U193="Subscription",$U193=""),"",IF($H193=0,0,IF($U193="Profit",$Q193/$H193,IF($U193="Disqualified",-$S193/$H193,0)))))</x:f>
      </x:c>
      <x:c r="U193" s="290" t="str">
        <x:f>IF(COUNTA($A193:$M193)=0,"",IF(OR(LOWER($F193&amp;"")="subscription",LOWER($F193&amp;"")="membership"),"Subscription",IF(LOWER($L193&amp;"")="yes","Disqualified",IF(OR(LOWER($F193&amp;"")="free game",LOWER($F193&amp;"")="free"),IF(AND(ISNUMBER($P193),ISNUMBER($H193),$P193&gt;$H193),"Profit","Free Game"),IF($P193="","",IF(ROUND(IFERROR(VALUE($P193),0)-IFERROR(VALUE($H193),0),2)&gt;0,"Profit","Draw"))))))</x:f>
      </x:c>
      <x:c r="V193" s="144" t="str">
        <x:f>IF(COUNTA($A193:$M193)=0,"",IF(OR($B193="",$C193="",$U193="Subscription"),"",IFERROR(ROUNDUP(($C193-$B193)/7,0),"")))</x:f>
      </x:c>
      <x:c r="W193" s="112" t="str">
        <x:f>IF(COUNTA($A193:$M193)=0,"",IF(OR($U193="Subscription",$U193=""),"",ROUND(IFERROR($Q193,0)-IFERROR($S193,0),2)))</x:f>
      </x:c>
      <x:c r="X193" s="144" t="str">
        <x:f>IF(COUNTA($A193:$M193)=0,"",IF(OR($U193="Subscription",$U193="Free Game",NOT(ISNUMBER($J193)),NOT(ISNUMBER($I193)),$J193=0,$I193=0,$I193&gt;$J193),"",$J193-$I193))</x:f>
      </x:c>
      <x:c r="Y193" s="116" t="str">
        <x:f>IF(COUNTA($A193:$M193)=0,"",IF(OR($U193="Subscription",$U193="Free Game",NOT(ISNUMBER($J193)),$J193=0,$X193=""),"",$X193/$J193))</x:f>
      </x:c>
      <x:c r="Z193" s="118" t="str">
        <x:f>IF(COUNTA($A193:$M193)=0,"",Instructions!$B$29+SUM($W$5:W193))</x:f>
      </x:c>
    </x:row>
    <x:row r="194" ht="30" customHeight="1">
      <x:c r="A194" s="477"/>
      <x:c r="B194" s="482"/>
      <x:c r="C194" s="482"/>
      <x:c r="D194" s="483"/>
      <x:c r="E194" s="483"/>
      <x:c r="F194" s="483"/>
      <x:c r="G194" s="484"/>
      <x:c r="H194" s="484"/>
      <x:c r="I194" s="485"/>
      <x:c r="J194" s="485"/>
      <x:c r="K194" s="484"/>
      <x:c r="L194" s="483"/>
      <x:c r="M194" s="477"/>
      <x:c r="N194" s="112" t="str">
        <x:f>IF(COUNTA($A194:$M194)=0,"",IF(OR(LOWER($F194&amp;"")="subscription",LOWER($F194&amp;"")="membership"),"",IF($G194="","",IF(ISNUMBER(SEARCH("non",LOWER($E194&amp;""))),$G194*0.85,$G194))))</x:f>
      </x:c>
      <x:c r="O194" s="112" t="str">
        <x:f>IF(COUNTA($A194:$M194)=0,"",IF(OR(LOWER($F194&amp;"")="subscription",LOWER($F194&amp;"")="membership"),"",IF(OR($N194="",$I194="",$I194=0),"",IFERROR($N194/$I194,""))))</x:f>
      </x:c>
      <x:c r="P194" s="112" t="str">
        <x:f>IF(COUNTA($A194:$M194)=0,"",IF(OR(LOWER($F194&amp;"")="subscription",LOWER($F194&amp;"")="membership"),"",IF(LOWER($L194&amp;"")="yes",0,IF($K194&lt;&gt;"",$K194,IF($O194&lt;&gt;"",$O194,"")))))</x:f>
      </x:c>
      <x:c r="Q194" s="112" t="str">
        <x:f>IF(COUNTA($A194:$M194)=0,"",IF(OR($U194="Subscription",$U194=""),"",IF($U194="Profit",ROUND($P194-$H194,2),0)))</x:f>
      </x:c>
      <x:c r="R194" s="112" t="str">
        <x:f>IF(COUNTA($A194:$M194)=0,"",IF(OR($U194="Subscription",$U194=""),"",IF($U194="Draw",$H194,0)))</x:f>
      </x:c>
      <x:c r="S194" s="112" t="str">
        <x:f>IF(COUNTA($A194:$M194)=0,"",IF(OR($U194="Subscription",$U194=""),"",IF($U194="Disqualified",$H194,0)))</x:f>
      </x:c>
      <x:c r="T194" s="116" t="str">
        <x:f>IF(COUNTA($A194:$M194)=0,"",IF(OR($U194="Subscription",$U194=""),"",IF($H194=0,0,IF($U194="Profit",$Q194/$H194,IF($U194="Disqualified",-$S194/$H194,0)))))</x:f>
      </x:c>
      <x:c r="U194" s="290" t="str">
        <x:f>IF(COUNTA($A194:$M194)=0,"",IF(OR(LOWER($F194&amp;"")="subscription",LOWER($F194&amp;"")="membership"),"Subscription",IF(LOWER($L194&amp;"")="yes","Disqualified",IF(OR(LOWER($F194&amp;"")="free game",LOWER($F194&amp;"")="free"),IF(AND(ISNUMBER($P194),ISNUMBER($H194),$P194&gt;$H194),"Profit","Free Game"),IF($P194="","",IF(ROUND(IFERROR(VALUE($P194),0)-IFERROR(VALUE($H194),0),2)&gt;0,"Profit","Draw"))))))</x:f>
      </x:c>
      <x:c r="V194" s="144" t="str">
        <x:f>IF(COUNTA($A194:$M194)=0,"",IF(OR($B194="",$C194="",$U194="Subscription"),"",IFERROR(ROUNDUP(($C194-$B194)/7,0),"")))</x:f>
      </x:c>
      <x:c r="W194" s="112" t="str">
        <x:f>IF(COUNTA($A194:$M194)=0,"",IF(OR($U194="Subscription",$U194=""),"",ROUND(IFERROR($Q194,0)-IFERROR($S194,0),2)))</x:f>
      </x:c>
      <x:c r="X194" s="144" t="str">
        <x:f>IF(COUNTA($A194:$M194)=0,"",IF(OR($U194="Subscription",$U194="Free Game",NOT(ISNUMBER($J194)),NOT(ISNUMBER($I194)),$J194=0,$I194=0,$I194&gt;$J194),"",$J194-$I194))</x:f>
      </x:c>
      <x:c r="Y194" s="116" t="str">
        <x:f>IF(COUNTA($A194:$M194)=0,"",IF(OR($U194="Subscription",$U194="Free Game",NOT(ISNUMBER($J194)),$J194=0,$X194=""),"",$X194/$J194))</x:f>
      </x:c>
      <x:c r="Z194" s="118" t="str">
        <x:f>IF(COUNTA($A194:$M194)=0,"",Instructions!$B$29+SUM($W$5:W194))</x:f>
      </x:c>
    </x:row>
    <x:row r="195" ht="30" customHeight="1">
      <x:c r="A195" s="477"/>
      <x:c r="B195" s="482"/>
      <x:c r="C195" s="482"/>
      <x:c r="D195" s="483"/>
      <x:c r="E195" s="483"/>
      <x:c r="F195" s="483"/>
      <x:c r="G195" s="484"/>
      <x:c r="H195" s="484"/>
      <x:c r="I195" s="485"/>
      <x:c r="J195" s="485"/>
      <x:c r="K195" s="484"/>
      <x:c r="L195" s="483"/>
      <x:c r="M195" s="477"/>
      <x:c r="N195" s="112" t="str">
        <x:f>IF(COUNTA($A195:$M195)=0,"",IF(OR(LOWER($F195&amp;"")="subscription",LOWER($F195&amp;"")="membership"),"",IF($G195="","",IF(ISNUMBER(SEARCH("non",LOWER($E195&amp;""))),$G195*0.85,$G195))))</x:f>
      </x:c>
      <x:c r="O195" s="112" t="str">
        <x:f>IF(COUNTA($A195:$M195)=0,"",IF(OR(LOWER($F195&amp;"")="subscription",LOWER($F195&amp;"")="membership"),"",IF(OR($N195="",$I195="",$I195=0),"",IFERROR($N195/$I195,""))))</x:f>
      </x:c>
      <x:c r="P195" s="112" t="str">
        <x:f>IF(COUNTA($A195:$M195)=0,"",IF(OR(LOWER($F195&amp;"")="subscription",LOWER($F195&amp;"")="membership"),"",IF(LOWER($L195&amp;"")="yes",0,IF($K195&lt;&gt;"",$K195,IF($O195&lt;&gt;"",$O195,"")))))</x:f>
      </x:c>
      <x:c r="Q195" s="112" t="str">
        <x:f>IF(COUNTA($A195:$M195)=0,"",IF(OR($U195="Subscription",$U195=""),"",IF($U195="Profit",ROUND($P195-$H195,2),0)))</x:f>
      </x:c>
      <x:c r="R195" s="112" t="str">
        <x:f>IF(COUNTA($A195:$M195)=0,"",IF(OR($U195="Subscription",$U195=""),"",IF($U195="Draw",$H195,0)))</x:f>
      </x:c>
      <x:c r="S195" s="112" t="str">
        <x:f>IF(COUNTA($A195:$M195)=0,"",IF(OR($U195="Subscription",$U195=""),"",IF($U195="Disqualified",$H195,0)))</x:f>
      </x:c>
      <x:c r="T195" s="116" t="str">
        <x:f>IF(COUNTA($A195:$M195)=0,"",IF(OR($U195="Subscription",$U195=""),"",IF($H195=0,0,IF($U195="Profit",$Q195/$H195,IF($U195="Disqualified",-$S195/$H195,0)))))</x:f>
      </x:c>
      <x:c r="U195" s="290" t="str">
        <x:f>IF(COUNTA($A195:$M195)=0,"",IF(OR(LOWER($F195&amp;"")="subscription",LOWER($F195&amp;"")="membership"),"Subscription",IF(LOWER($L195&amp;"")="yes","Disqualified",IF(OR(LOWER($F195&amp;"")="free game",LOWER($F195&amp;"")="free"),IF(AND(ISNUMBER($P195),ISNUMBER($H195),$P195&gt;$H195),"Profit","Free Game"),IF($P195="","",IF(ROUND(IFERROR(VALUE($P195),0)-IFERROR(VALUE($H195),0),2)&gt;0,"Profit","Draw"))))))</x:f>
      </x:c>
      <x:c r="V195" s="144" t="str">
        <x:f>IF(COUNTA($A195:$M195)=0,"",IF(OR($B195="",$C195="",$U195="Subscription"),"",IFERROR(ROUNDUP(($C195-$B195)/7,0),"")))</x:f>
      </x:c>
      <x:c r="W195" s="112" t="str">
        <x:f>IF(COUNTA($A195:$M195)=0,"",IF(OR($U195="Subscription",$U195=""),"",ROUND(IFERROR($Q195,0)-IFERROR($S195,0),2)))</x:f>
      </x:c>
      <x:c r="X195" s="144" t="str">
        <x:f>IF(COUNTA($A195:$M195)=0,"",IF(OR($U195="Subscription",$U195="Free Game",NOT(ISNUMBER($J195)),NOT(ISNUMBER($I195)),$J195=0,$I195=0,$I195&gt;$J195),"",$J195-$I195))</x:f>
      </x:c>
      <x:c r="Y195" s="116" t="str">
        <x:f>IF(COUNTA($A195:$M195)=0,"",IF(OR($U195="Subscription",$U195="Free Game",NOT(ISNUMBER($J195)),$J195=0,$X195=""),"",$X195/$J195))</x:f>
      </x:c>
      <x:c r="Z195" s="118" t="str">
        <x:f>IF(COUNTA($A195:$M195)=0,"",Instructions!$B$29+SUM($W$5:W195))</x:f>
      </x:c>
    </x:row>
    <x:row r="196" ht="30" customHeight="1">
      <x:c r="A196" s="477"/>
      <x:c r="B196" s="482"/>
      <x:c r="C196" s="482"/>
      <x:c r="D196" s="483"/>
      <x:c r="E196" s="483"/>
      <x:c r="F196" s="483"/>
      <x:c r="G196" s="484"/>
      <x:c r="H196" s="484"/>
      <x:c r="I196" s="485"/>
      <x:c r="J196" s="485"/>
      <x:c r="K196" s="484"/>
      <x:c r="L196" s="483"/>
      <x:c r="M196" s="477"/>
      <x:c r="N196" s="112" t="str">
        <x:f>IF(COUNTA($A196:$M196)=0,"",IF(OR(LOWER($F196&amp;"")="subscription",LOWER($F196&amp;"")="membership"),"",IF($G196="","",IF(ISNUMBER(SEARCH("non",LOWER($E196&amp;""))),$G196*0.85,$G196))))</x:f>
      </x:c>
      <x:c r="O196" s="112" t="str">
        <x:f>IF(COUNTA($A196:$M196)=0,"",IF(OR(LOWER($F196&amp;"")="subscription",LOWER($F196&amp;"")="membership"),"",IF(OR($N196="",$I196="",$I196=0),"",IFERROR($N196/$I196,""))))</x:f>
      </x:c>
      <x:c r="P196" s="112" t="str">
        <x:f>IF(COUNTA($A196:$M196)=0,"",IF(OR(LOWER($F196&amp;"")="subscription",LOWER($F196&amp;"")="membership"),"",IF(LOWER($L196&amp;"")="yes",0,IF($K196&lt;&gt;"",$K196,IF($O196&lt;&gt;"",$O196,"")))))</x:f>
      </x:c>
      <x:c r="Q196" s="112" t="str">
        <x:f>IF(COUNTA($A196:$M196)=0,"",IF(OR($U196="Subscription",$U196=""),"",IF($U196="Profit",ROUND($P196-$H196,2),0)))</x:f>
      </x:c>
      <x:c r="R196" s="112" t="str">
        <x:f>IF(COUNTA($A196:$M196)=0,"",IF(OR($U196="Subscription",$U196=""),"",IF($U196="Draw",$H196,0)))</x:f>
      </x:c>
      <x:c r="S196" s="112" t="str">
        <x:f>IF(COUNTA($A196:$M196)=0,"",IF(OR($U196="Subscription",$U196=""),"",IF($U196="Disqualified",$H196,0)))</x:f>
      </x:c>
      <x:c r="T196" s="116" t="str">
        <x:f>IF(COUNTA($A196:$M196)=0,"",IF(OR($U196="Subscription",$U196=""),"",IF($H196=0,0,IF($U196="Profit",$Q196/$H196,IF($U196="Disqualified",-$S196/$H196,0)))))</x:f>
      </x:c>
      <x:c r="U196" s="290" t="str">
        <x:f>IF(COUNTA($A196:$M196)=0,"",IF(OR(LOWER($F196&amp;"")="subscription",LOWER($F196&amp;"")="membership"),"Subscription",IF(LOWER($L196&amp;"")="yes","Disqualified",IF(OR(LOWER($F196&amp;"")="free game",LOWER($F196&amp;"")="free"),IF(AND(ISNUMBER($P196),ISNUMBER($H196),$P196&gt;$H196),"Profit","Free Game"),IF($P196="","",IF(ROUND(IFERROR(VALUE($P196),0)-IFERROR(VALUE($H196),0),2)&gt;0,"Profit","Draw"))))))</x:f>
      </x:c>
      <x:c r="V196" s="144" t="str">
        <x:f>IF(COUNTA($A196:$M196)=0,"",IF(OR($B196="",$C196="",$U196="Subscription"),"",IFERROR(ROUNDUP(($C196-$B196)/7,0),"")))</x:f>
      </x:c>
      <x:c r="W196" s="112" t="str">
        <x:f>IF(COUNTA($A196:$M196)=0,"",IF(OR($U196="Subscription",$U196=""),"",ROUND(IFERROR($Q196,0)-IFERROR($S196,0),2)))</x:f>
      </x:c>
      <x:c r="X196" s="144" t="str">
        <x:f>IF(COUNTA($A196:$M196)=0,"",IF(OR($U196="Subscription",$U196="Free Game",NOT(ISNUMBER($J196)),NOT(ISNUMBER($I196)),$J196=0,$I196=0,$I196&gt;$J196),"",$J196-$I196))</x:f>
      </x:c>
      <x:c r="Y196" s="116" t="str">
        <x:f>IF(COUNTA($A196:$M196)=0,"",IF(OR($U196="Subscription",$U196="Free Game",NOT(ISNUMBER($J196)),$J196=0,$X196=""),"",$X196/$J196))</x:f>
      </x:c>
      <x:c r="Z196" s="118" t="str">
        <x:f>IF(COUNTA($A196:$M196)=0,"",Instructions!$B$29+SUM($W$5:W196))</x:f>
      </x:c>
    </x:row>
    <x:row r="197" ht="30" customHeight="1">
      <x:c r="A197" s="477"/>
      <x:c r="B197" s="482"/>
      <x:c r="C197" s="482"/>
      <x:c r="D197" s="483"/>
      <x:c r="E197" s="483"/>
      <x:c r="F197" s="483"/>
      <x:c r="G197" s="484"/>
      <x:c r="H197" s="484"/>
      <x:c r="I197" s="485"/>
      <x:c r="J197" s="485"/>
      <x:c r="K197" s="484"/>
      <x:c r="L197" s="483"/>
      <x:c r="M197" s="477"/>
      <x:c r="N197" s="112" t="str">
        <x:f>IF(COUNTA($A197:$M197)=0,"",IF(OR(LOWER($F197&amp;"")="subscription",LOWER($F197&amp;"")="membership"),"",IF($G197="","",IF(ISNUMBER(SEARCH("non",LOWER($E197&amp;""))),$G197*0.85,$G197))))</x:f>
      </x:c>
      <x:c r="O197" s="112" t="str">
        <x:f>IF(COUNTA($A197:$M197)=0,"",IF(OR(LOWER($F197&amp;"")="subscription",LOWER($F197&amp;"")="membership"),"",IF(OR($N197="",$I197="",$I197=0),"",IFERROR($N197/$I197,""))))</x:f>
      </x:c>
      <x:c r="P197" s="112" t="str">
        <x:f>IF(COUNTA($A197:$M197)=0,"",IF(OR(LOWER($F197&amp;"")="subscription",LOWER($F197&amp;"")="membership"),"",IF(LOWER($L197&amp;"")="yes",0,IF($K197&lt;&gt;"",$K197,IF($O197&lt;&gt;"",$O197,"")))))</x:f>
      </x:c>
      <x:c r="Q197" s="112" t="str">
        <x:f>IF(COUNTA($A197:$M197)=0,"",IF(OR($U197="Subscription",$U197=""),"",IF($U197="Profit",ROUND($P197-$H197,2),0)))</x:f>
      </x:c>
      <x:c r="R197" s="112" t="str">
        <x:f>IF(COUNTA($A197:$M197)=0,"",IF(OR($U197="Subscription",$U197=""),"",IF($U197="Draw",$H197,0)))</x:f>
      </x:c>
      <x:c r="S197" s="112" t="str">
        <x:f>IF(COUNTA($A197:$M197)=0,"",IF(OR($U197="Subscription",$U197=""),"",IF($U197="Disqualified",$H197,0)))</x:f>
      </x:c>
      <x:c r="T197" s="116" t="str">
        <x:f>IF(COUNTA($A197:$M197)=0,"",IF(OR($U197="Subscription",$U197=""),"",IF($H197=0,0,IF($U197="Profit",$Q197/$H197,IF($U197="Disqualified",-$S197/$H197,0)))))</x:f>
      </x:c>
      <x:c r="U197" s="290" t="str">
        <x:f>IF(COUNTA($A197:$M197)=0,"",IF(OR(LOWER($F197&amp;"")="subscription",LOWER($F197&amp;"")="membership"),"Subscription",IF(LOWER($L197&amp;"")="yes","Disqualified",IF(OR(LOWER($F197&amp;"")="free game",LOWER($F197&amp;"")="free"),IF(AND(ISNUMBER($P197),ISNUMBER($H197),$P197&gt;$H197),"Profit","Free Game"),IF($P197="","",IF(ROUND(IFERROR(VALUE($P197),0)-IFERROR(VALUE($H197),0),2)&gt;0,"Profit","Draw"))))))</x:f>
      </x:c>
      <x:c r="V197" s="144" t="str">
        <x:f>IF(COUNTA($A197:$M197)=0,"",IF(OR($B197="",$C197="",$U197="Subscription"),"",IFERROR(ROUNDUP(($C197-$B197)/7,0),"")))</x:f>
      </x:c>
      <x:c r="W197" s="112" t="str">
        <x:f>IF(COUNTA($A197:$M197)=0,"",IF(OR($U197="Subscription",$U197=""),"",ROUND(IFERROR($Q197,0)-IFERROR($S197,0),2)))</x:f>
      </x:c>
      <x:c r="X197" s="144" t="str">
        <x:f>IF(COUNTA($A197:$M197)=0,"",IF(OR($U197="Subscription",$U197="Free Game",NOT(ISNUMBER($J197)),NOT(ISNUMBER($I197)),$J197=0,$I197=0,$I197&gt;$J197),"",$J197-$I197))</x:f>
      </x:c>
      <x:c r="Y197" s="116" t="str">
        <x:f>IF(COUNTA($A197:$M197)=0,"",IF(OR($U197="Subscription",$U197="Free Game",NOT(ISNUMBER($J197)),$J197=0,$X197=""),"",$X197/$J197))</x:f>
      </x:c>
      <x:c r="Z197" s="118" t="str">
        <x:f>IF(COUNTA($A197:$M197)=0,"",Instructions!$B$29+SUM($W$5:W197))</x:f>
      </x:c>
    </x:row>
    <x:row r="198" ht="30" customHeight="1">
      <x:c r="A198" s="477"/>
      <x:c r="B198" s="482"/>
      <x:c r="C198" s="482"/>
      <x:c r="D198" s="483"/>
      <x:c r="E198" s="483"/>
      <x:c r="F198" s="483"/>
      <x:c r="G198" s="484"/>
      <x:c r="H198" s="484"/>
      <x:c r="I198" s="485"/>
      <x:c r="J198" s="485"/>
      <x:c r="K198" s="484"/>
      <x:c r="L198" s="483"/>
      <x:c r="M198" s="477"/>
      <x:c r="N198" s="112" t="str">
        <x:f>IF(COUNTA($A198:$M198)=0,"",IF(OR(LOWER($F198&amp;"")="subscription",LOWER($F198&amp;"")="membership"),"",IF($G198="","",IF(ISNUMBER(SEARCH("non",LOWER($E198&amp;""))),$G198*0.85,$G198))))</x:f>
      </x:c>
      <x:c r="O198" s="112" t="str">
        <x:f>IF(COUNTA($A198:$M198)=0,"",IF(OR(LOWER($F198&amp;"")="subscription",LOWER($F198&amp;"")="membership"),"",IF(OR($N198="",$I198="",$I198=0),"",IFERROR($N198/$I198,""))))</x:f>
      </x:c>
      <x:c r="P198" s="112" t="str">
        <x:f>IF(COUNTA($A198:$M198)=0,"",IF(OR(LOWER($F198&amp;"")="subscription",LOWER($F198&amp;"")="membership"),"",IF(LOWER($L198&amp;"")="yes",0,IF($K198&lt;&gt;"",$K198,IF($O198&lt;&gt;"",$O198,"")))))</x:f>
      </x:c>
      <x:c r="Q198" s="112" t="str">
        <x:f>IF(COUNTA($A198:$M198)=0,"",IF(OR($U198="Subscription",$U198=""),"",IF($U198="Profit",ROUND($P198-$H198,2),0)))</x:f>
      </x:c>
      <x:c r="R198" s="112" t="str">
        <x:f>IF(COUNTA($A198:$M198)=0,"",IF(OR($U198="Subscription",$U198=""),"",IF($U198="Draw",$H198,0)))</x:f>
      </x:c>
      <x:c r="S198" s="112" t="str">
        <x:f>IF(COUNTA($A198:$M198)=0,"",IF(OR($U198="Subscription",$U198=""),"",IF($U198="Disqualified",$H198,0)))</x:f>
      </x:c>
      <x:c r="T198" s="116" t="str">
        <x:f>IF(COUNTA($A198:$M198)=0,"",IF(OR($U198="Subscription",$U198=""),"",IF($H198=0,0,IF($U198="Profit",$Q198/$H198,IF($U198="Disqualified",-$S198/$H198,0)))))</x:f>
      </x:c>
      <x:c r="U198" s="290" t="str">
        <x:f>IF(COUNTA($A198:$M198)=0,"",IF(OR(LOWER($F198&amp;"")="subscription",LOWER($F198&amp;"")="membership"),"Subscription",IF(LOWER($L198&amp;"")="yes","Disqualified",IF(OR(LOWER($F198&amp;"")="free game",LOWER($F198&amp;"")="free"),IF(AND(ISNUMBER($P198),ISNUMBER($H198),$P198&gt;$H198),"Profit","Free Game"),IF($P198="","",IF(ROUND(IFERROR(VALUE($P198),0)-IFERROR(VALUE($H198),0),2)&gt;0,"Profit","Draw"))))))</x:f>
      </x:c>
      <x:c r="V198" s="144" t="str">
        <x:f>IF(COUNTA($A198:$M198)=0,"",IF(OR($B198="",$C198="",$U198="Subscription"),"",IFERROR(ROUNDUP(($C198-$B198)/7,0),"")))</x:f>
      </x:c>
      <x:c r="W198" s="112" t="str">
        <x:f>IF(COUNTA($A198:$M198)=0,"",IF(OR($U198="Subscription",$U198=""),"",ROUND(IFERROR($Q198,0)-IFERROR($S198,0),2)))</x:f>
      </x:c>
      <x:c r="X198" s="144" t="str">
        <x:f>IF(COUNTA($A198:$M198)=0,"",IF(OR($U198="Subscription",$U198="Free Game",NOT(ISNUMBER($J198)),NOT(ISNUMBER($I198)),$J198=0,$I198=0,$I198&gt;$J198),"",$J198-$I198))</x:f>
      </x:c>
      <x:c r="Y198" s="116" t="str">
        <x:f>IF(COUNTA($A198:$M198)=0,"",IF(OR($U198="Subscription",$U198="Free Game",NOT(ISNUMBER($J198)),$J198=0,$X198=""),"",$X198/$J198))</x:f>
      </x:c>
      <x:c r="Z198" s="118" t="str">
        <x:f>IF(COUNTA($A198:$M198)=0,"",Instructions!$B$29+SUM($W$5:W198))</x:f>
      </x:c>
    </x:row>
    <x:row r="199" ht="30" customHeight="1">
      <x:c r="A199" s="477"/>
      <x:c r="B199" s="482"/>
      <x:c r="C199" s="482"/>
      <x:c r="D199" s="483"/>
      <x:c r="E199" s="483"/>
      <x:c r="F199" s="483"/>
      <x:c r="G199" s="484"/>
      <x:c r="H199" s="484"/>
      <x:c r="I199" s="485"/>
      <x:c r="J199" s="485"/>
      <x:c r="K199" s="484"/>
      <x:c r="L199" s="483"/>
      <x:c r="M199" s="477"/>
      <x:c r="N199" s="112" t="str">
        <x:f>IF(COUNTA($A199:$M199)=0,"",IF(OR(LOWER($F199&amp;"")="subscription",LOWER($F199&amp;"")="membership"),"",IF($G199="","",IF(ISNUMBER(SEARCH("non",LOWER($E199&amp;""))),$G199*0.85,$G199))))</x:f>
      </x:c>
      <x:c r="O199" s="112" t="str">
        <x:f>IF(COUNTA($A199:$M199)=0,"",IF(OR(LOWER($F199&amp;"")="subscription",LOWER($F199&amp;"")="membership"),"",IF(OR($N199="",$I199="",$I199=0),"",IFERROR($N199/$I199,""))))</x:f>
      </x:c>
      <x:c r="P199" s="112" t="str">
        <x:f>IF(COUNTA($A199:$M199)=0,"",IF(OR(LOWER($F199&amp;"")="subscription",LOWER($F199&amp;"")="membership"),"",IF(LOWER($L199&amp;"")="yes",0,IF($K199&lt;&gt;"",$K199,IF($O199&lt;&gt;"",$O199,"")))))</x:f>
      </x:c>
      <x:c r="Q199" s="112" t="str">
        <x:f>IF(COUNTA($A199:$M199)=0,"",IF(OR($U199="Subscription",$U199=""),"",IF($U199="Profit",ROUND($P199-$H199,2),0)))</x:f>
      </x:c>
      <x:c r="R199" s="112" t="str">
        <x:f>IF(COUNTA($A199:$M199)=0,"",IF(OR($U199="Subscription",$U199=""),"",IF($U199="Draw",$H199,0)))</x:f>
      </x:c>
      <x:c r="S199" s="112" t="str">
        <x:f>IF(COUNTA($A199:$M199)=0,"",IF(OR($U199="Subscription",$U199=""),"",IF($U199="Disqualified",$H199,0)))</x:f>
      </x:c>
      <x:c r="T199" s="116" t="str">
        <x:f>IF(COUNTA($A199:$M199)=0,"",IF(OR($U199="Subscription",$U199=""),"",IF($H199=0,0,IF($U199="Profit",$Q199/$H199,IF($U199="Disqualified",-$S199/$H199,0)))))</x:f>
      </x:c>
      <x:c r="U199" s="290" t="str">
        <x:f>IF(COUNTA($A199:$M199)=0,"",IF(OR(LOWER($F199&amp;"")="subscription",LOWER($F199&amp;"")="membership"),"Subscription",IF(LOWER($L199&amp;"")="yes","Disqualified",IF(OR(LOWER($F199&amp;"")="free game",LOWER($F199&amp;"")="free"),IF(AND(ISNUMBER($P199),ISNUMBER($H199),$P199&gt;$H199),"Profit","Free Game"),IF($P199="","",IF(ROUND(IFERROR(VALUE($P199),0)-IFERROR(VALUE($H199),0),2)&gt;0,"Profit","Draw"))))))</x:f>
      </x:c>
      <x:c r="V199" s="144" t="str">
        <x:f>IF(COUNTA($A199:$M199)=0,"",IF(OR($B199="",$C199="",$U199="Subscription"),"",IFERROR(ROUNDUP(($C199-$B199)/7,0),"")))</x:f>
      </x:c>
      <x:c r="W199" s="112" t="str">
        <x:f>IF(COUNTA($A199:$M199)=0,"",IF(OR($U199="Subscription",$U199=""),"",ROUND(IFERROR($Q199,0)-IFERROR($S199,0),2)))</x:f>
      </x:c>
      <x:c r="X199" s="144" t="str">
        <x:f>IF(COUNTA($A199:$M199)=0,"",IF(OR($U199="Subscription",$U199="Free Game",NOT(ISNUMBER($J199)),NOT(ISNUMBER($I199)),$J199=0,$I199=0,$I199&gt;$J199),"",$J199-$I199))</x:f>
      </x:c>
      <x:c r="Y199" s="116" t="str">
        <x:f>IF(COUNTA($A199:$M199)=0,"",IF(OR($U199="Subscription",$U199="Free Game",NOT(ISNUMBER($J199)),$J199=0,$X199=""),"",$X199/$J199))</x:f>
      </x:c>
      <x:c r="Z199" s="118" t="str">
        <x:f>IF(COUNTA($A199:$M199)=0,"",Instructions!$B$29+SUM($W$5:W199))</x:f>
      </x:c>
    </x:row>
    <x:row r="200" ht="30" customHeight="1">
      <x:c r="A200" s="477"/>
      <x:c r="B200" s="482"/>
      <x:c r="C200" s="482"/>
      <x:c r="D200" s="483"/>
      <x:c r="E200" s="483"/>
      <x:c r="F200" s="483"/>
      <x:c r="G200" s="484"/>
      <x:c r="H200" s="484"/>
      <x:c r="I200" s="485"/>
      <x:c r="J200" s="485"/>
      <x:c r="K200" s="484"/>
      <x:c r="L200" s="483"/>
      <x:c r="M200" s="477"/>
      <x:c r="N200" s="112" t="str">
        <x:f>IF(COUNTA($A200:$M200)=0,"",IF(OR(LOWER($F200&amp;"")="subscription",LOWER($F200&amp;"")="membership"),"",IF($G200="","",IF(ISNUMBER(SEARCH("non",LOWER($E200&amp;""))),$G200*0.85,$G200))))</x:f>
      </x:c>
      <x:c r="O200" s="112" t="str">
        <x:f>IF(COUNTA($A200:$M200)=0,"",IF(OR(LOWER($F200&amp;"")="subscription",LOWER($F200&amp;"")="membership"),"",IF(OR($N200="",$I200="",$I200=0),"",IFERROR($N200/$I200,""))))</x:f>
      </x:c>
      <x:c r="P200" s="112" t="str">
        <x:f>IF(COUNTA($A200:$M200)=0,"",IF(OR(LOWER($F200&amp;"")="subscription",LOWER($F200&amp;"")="membership"),"",IF(LOWER($L200&amp;"")="yes",0,IF($K200&lt;&gt;"",$K200,IF($O200&lt;&gt;"",$O200,"")))))</x:f>
      </x:c>
      <x:c r="Q200" s="112" t="str">
        <x:f>IF(COUNTA($A200:$M200)=0,"",IF(OR($U200="Subscription",$U200=""),"",IF($U200="Profit",ROUND($P200-$H200,2),0)))</x:f>
      </x:c>
      <x:c r="R200" s="112" t="str">
        <x:f>IF(COUNTA($A200:$M200)=0,"",IF(OR($U200="Subscription",$U200=""),"",IF($U200="Draw",$H200,0)))</x:f>
      </x:c>
      <x:c r="S200" s="112" t="str">
        <x:f>IF(COUNTA($A200:$M200)=0,"",IF(OR($U200="Subscription",$U200=""),"",IF($U200="Disqualified",$H200,0)))</x:f>
      </x:c>
      <x:c r="T200" s="116" t="str">
        <x:f>IF(COUNTA($A200:$M200)=0,"",IF(OR($U200="Subscription",$U200=""),"",IF($H200=0,0,IF($U200="Profit",$Q200/$H200,IF($U200="Disqualified",-$S200/$H200,0)))))</x:f>
      </x:c>
      <x:c r="U200" s="290" t="str">
        <x:f>IF(COUNTA($A200:$M200)=0,"",IF(OR(LOWER($F200&amp;"")="subscription",LOWER($F200&amp;"")="membership"),"Subscription",IF(LOWER($L200&amp;"")="yes","Disqualified",IF(OR(LOWER($F200&amp;"")="free game",LOWER($F200&amp;"")="free"),IF(AND(ISNUMBER($P200),ISNUMBER($H200),$P200&gt;$H200),"Profit","Free Game"),IF($P200="","",IF(ROUND(IFERROR(VALUE($P200),0)-IFERROR(VALUE($H200),0),2)&gt;0,"Profit","Draw"))))))</x:f>
      </x:c>
      <x:c r="V200" s="144" t="str">
        <x:f>IF(COUNTA($A200:$M200)=0,"",IF(OR($B200="",$C200="",$U200="Subscription"),"",IFERROR(ROUNDUP(($C200-$B200)/7,0),"")))</x:f>
      </x:c>
      <x:c r="W200" s="112" t="str">
        <x:f>IF(COUNTA($A200:$M200)=0,"",IF(OR($U200="Subscription",$U200=""),"",ROUND(IFERROR($Q200,0)-IFERROR($S200,0),2)))</x:f>
      </x:c>
      <x:c r="X200" s="144" t="str">
        <x:f>IF(COUNTA($A200:$M200)=0,"",IF(OR($U200="Subscription",$U200="Free Game",NOT(ISNUMBER($J200)),NOT(ISNUMBER($I200)),$J200=0,$I200=0,$I200&gt;$J200),"",$J200-$I200))</x:f>
      </x:c>
      <x:c r="Y200" s="116" t="str">
        <x:f>IF(COUNTA($A200:$M200)=0,"",IF(OR($U200="Subscription",$U200="Free Game",NOT(ISNUMBER($J200)),$J200=0,$X200=""),"",$X200/$J200))</x:f>
      </x:c>
      <x:c r="Z200" s="118" t="str">
        <x:f>IF(COUNTA($A200:$M200)=0,"",Instructions!$B$29+SUM($W$5:W200))</x:f>
      </x:c>
    </x:row>
    <x:row r="201" ht="30" customHeight="1">
      <x:c r="A201" s="477"/>
      <x:c r="B201" s="482"/>
      <x:c r="C201" s="482"/>
      <x:c r="D201" s="483"/>
      <x:c r="E201" s="483"/>
      <x:c r="F201" s="483"/>
      <x:c r="G201" s="484"/>
      <x:c r="H201" s="484"/>
      <x:c r="I201" s="485"/>
      <x:c r="J201" s="485"/>
      <x:c r="K201" s="484"/>
      <x:c r="L201" s="483"/>
      <x:c r="M201" s="477"/>
      <x:c r="N201" s="112" t="str">
        <x:f>IF(COUNTA($A201:$M201)=0,"",IF(OR(LOWER($F201&amp;"")="subscription",LOWER($F201&amp;"")="membership"),"",IF($G201="","",IF(ISNUMBER(SEARCH("non",LOWER($E201&amp;""))),$G201*0.85,$G201))))</x:f>
      </x:c>
      <x:c r="O201" s="112" t="str">
        <x:f>IF(COUNTA($A201:$M201)=0,"",IF(OR(LOWER($F201&amp;"")="subscription",LOWER($F201&amp;"")="membership"),"",IF(OR($N201="",$I201="",$I201=0),"",IFERROR($N201/$I201,""))))</x:f>
      </x:c>
      <x:c r="P201" s="112" t="str">
        <x:f>IF(COUNTA($A201:$M201)=0,"",IF(OR(LOWER($F201&amp;"")="subscription",LOWER($F201&amp;"")="membership"),"",IF(LOWER($L201&amp;"")="yes",0,IF($K201&lt;&gt;"",$K201,IF($O201&lt;&gt;"",$O201,"")))))</x:f>
      </x:c>
      <x:c r="Q201" s="112" t="str">
        <x:f>IF(COUNTA($A201:$M201)=0,"",IF(OR($U201="Subscription",$U201=""),"",IF($U201="Profit",ROUND($P201-$H201,2),0)))</x:f>
      </x:c>
      <x:c r="R201" s="112" t="str">
        <x:f>IF(COUNTA($A201:$M201)=0,"",IF(OR($U201="Subscription",$U201=""),"",IF($U201="Draw",$H201,0)))</x:f>
      </x:c>
      <x:c r="S201" s="112" t="str">
        <x:f>IF(COUNTA($A201:$M201)=0,"",IF(OR($U201="Subscription",$U201=""),"",IF($U201="Disqualified",$H201,0)))</x:f>
      </x:c>
      <x:c r="T201" s="116" t="str">
        <x:f>IF(COUNTA($A201:$M201)=0,"",IF(OR($U201="Subscription",$U201=""),"",IF($H201=0,0,IF($U201="Profit",$Q201/$H201,IF($U201="Disqualified",-$S201/$H201,0)))))</x:f>
      </x:c>
      <x:c r="U201" s="290" t="str">
        <x:f>IF(COUNTA($A201:$M201)=0,"",IF(OR(LOWER($F201&amp;"")="subscription",LOWER($F201&amp;"")="membership"),"Subscription",IF(LOWER($L201&amp;"")="yes","Disqualified",IF(OR(LOWER($F201&amp;"")="free game",LOWER($F201&amp;"")="free"),IF(AND(ISNUMBER($P201),ISNUMBER($H201),$P201&gt;$H201),"Profit","Free Game"),IF($P201="","",IF(ROUND(IFERROR(VALUE($P201),0)-IFERROR(VALUE($H201),0),2)&gt;0,"Profit","Draw"))))))</x:f>
      </x:c>
      <x:c r="V201" s="144" t="str">
        <x:f>IF(COUNTA($A201:$M201)=0,"",IF(OR($B201="",$C201="",$U201="Subscription"),"",IFERROR(ROUNDUP(($C201-$B201)/7,0),"")))</x:f>
      </x:c>
      <x:c r="W201" s="112" t="str">
        <x:f>IF(COUNTA($A201:$M201)=0,"",IF(OR($U201="Subscription",$U201=""),"",ROUND(IFERROR($Q201,0)-IFERROR($S201,0),2)))</x:f>
      </x:c>
      <x:c r="X201" s="144" t="str">
        <x:f>IF(COUNTA($A201:$M201)=0,"",IF(OR($U201="Subscription",$U201="Free Game",NOT(ISNUMBER($J201)),NOT(ISNUMBER($I201)),$J201=0,$I201=0,$I201&gt;$J201),"",$J201-$I201))</x:f>
      </x:c>
      <x:c r="Y201" s="116" t="str">
        <x:f>IF(COUNTA($A201:$M201)=0,"",IF(OR($U201="Subscription",$U201="Free Game",NOT(ISNUMBER($J201)),$J201=0,$X201=""),"",$X201/$J201))</x:f>
      </x:c>
      <x:c r="Z201" s="118" t="str">
        <x:f>IF(COUNTA($A201:$M201)=0,"",Instructions!$B$29+SUM($W$5:W201))</x:f>
      </x:c>
    </x:row>
    <x:row r="202" ht="30" customHeight="1">
      <x:c r="A202" s="477"/>
      <x:c r="B202" s="482"/>
      <x:c r="C202" s="482"/>
      <x:c r="D202" s="483"/>
      <x:c r="E202" s="483"/>
      <x:c r="F202" s="483"/>
      <x:c r="G202" s="484"/>
      <x:c r="H202" s="484"/>
      <x:c r="I202" s="485"/>
      <x:c r="J202" s="485"/>
      <x:c r="K202" s="484"/>
      <x:c r="L202" s="483"/>
      <x:c r="M202" s="477"/>
      <x:c r="N202" s="112" t="str">
        <x:f>IF(COUNTA($A202:$M202)=0,"",IF(OR(LOWER($F202&amp;"")="subscription",LOWER($F202&amp;"")="membership"),"",IF($G202="","",IF(ISNUMBER(SEARCH("non",LOWER($E202&amp;""))),$G202*0.85,$G202))))</x:f>
      </x:c>
      <x:c r="O202" s="112" t="str">
        <x:f>IF(COUNTA($A202:$M202)=0,"",IF(OR(LOWER($F202&amp;"")="subscription",LOWER($F202&amp;"")="membership"),"",IF(OR($N202="",$I202="",$I202=0),"",IFERROR($N202/$I202,""))))</x:f>
      </x:c>
      <x:c r="P202" s="112" t="str">
        <x:f>IF(COUNTA($A202:$M202)=0,"",IF(OR(LOWER($F202&amp;"")="subscription",LOWER($F202&amp;"")="membership"),"",IF(LOWER($L202&amp;"")="yes",0,IF($K202&lt;&gt;"",$K202,IF($O202&lt;&gt;"",$O202,"")))))</x:f>
      </x:c>
      <x:c r="Q202" s="112" t="str">
        <x:f>IF(COUNTA($A202:$M202)=0,"",IF(OR($U202="Subscription",$U202=""),"",IF($U202="Profit",ROUND($P202-$H202,2),0)))</x:f>
      </x:c>
      <x:c r="R202" s="112" t="str">
        <x:f>IF(COUNTA($A202:$M202)=0,"",IF(OR($U202="Subscription",$U202=""),"",IF($U202="Draw",$H202,0)))</x:f>
      </x:c>
      <x:c r="S202" s="112" t="str">
        <x:f>IF(COUNTA($A202:$M202)=0,"",IF(OR($U202="Subscription",$U202=""),"",IF($U202="Disqualified",$H202,0)))</x:f>
      </x:c>
      <x:c r="T202" s="116" t="str">
        <x:f>IF(COUNTA($A202:$M202)=0,"",IF(OR($U202="Subscription",$U202=""),"",IF($H202=0,0,IF($U202="Profit",$Q202/$H202,IF($U202="Disqualified",-$S202/$H202,0)))))</x:f>
      </x:c>
      <x:c r="U202" s="290" t="str">
        <x:f>IF(COUNTA($A202:$M202)=0,"",IF(OR(LOWER($F202&amp;"")="subscription",LOWER($F202&amp;"")="membership"),"Subscription",IF(LOWER($L202&amp;"")="yes","Disqualified",IF(OR(LOWER($F202&amp;"")="free game",LOWER($F202&amp;"")="free"),IF(AND(ISNUMBER($P202),ISNUMBER($H202),$P202&gt;$H202),"Profit","Free Game"),IF($P202="","",IF(ROUND(IFERROR(VALUE($P202),0)-IFERROR(VALUE($H202),0),2)&gt;0,"Profit","Draw"))))))</x:f>
      </x:c>
      <x:c r="V202" s="144" t="str">
        <x:f>IF(COUNTA($A202:$M202)=0,"",IF(OR($B202="",$C202="",$U202="Subscription"),"",IFERROR(ROUNDUP(($C202-$B202)/7,0),"")))</x:f>
      </x:c>
      <x:c r="W202" s="112" t="str">
        <x:f>IF(COUNTA($A202:$M202)=0,"",IF(OR($U202="Subscription",$U202=""),"",ROUND(IFERROR($Q202,0)-IFERROR($S202,0),2)))</x:f>
      </x:c>
      <x:c r="X202" s="144" t="str">
        <x:f>IF(COUNTA($A202:$M202)=0,"",IF(OR($U202="Subscription",$U202="Free Game",NOT(ISNUMBER($J202)),NOT(ISNUMBER($I202)),$J202=0,$I202=0,$I202&gt;$J202),"",$J202-$I202))</x:f>
      </x:c>
      <x:c r="Y202" s="116" t="str">
        <x:f>IF(COUNTA($A202:$M202)=0,"",IF(OR($U202="Subscription",$U202="Free Game",NOT(ISNUMBER($J202)),$J202=0,$X202=""),"",$X202/$J202))</x:f>
      </x:c>
      <x:c r="Z202" s="118" t="str">
        <x:f>IF(COUNTA($A202:$M202)=0,"",Instructions!$B$29+SUM($W$5:W202))</x:f>
      </x:c>
    </x:row>
    <x:row r="203" ht="30" customHeight="1">
      <x:c r="A203" s="477"/>
      <x:c r="B203" s="482"/>
      <x:c r="C203" s="482"/>
      <x:c r="D203" s="483"/>
      <x:c r="E203" s="483"/>
      <x:c r="F203" s="483"/>
      <x:c r="G203" s="484"/>
      <x:c r="H203" s="484"/>
      <x:c r="I203" s="485"/>
      <x:c r="J203" s="485"/>
      <x:c r="K203" s="484"/>
      <x:c r="L203" s="483"/>
      <x:c r="M203" s="477"/>
      <x:c r="N203" s="112" t="str">
        <x:f>IF(COUNTA($A203:$M203)=0,"",IF(OR(LOWER($F203&amp;"")="subscription",LOWER($F203&amp;"")="membership"),"",IF($G203="","",IF(ISNUMBER(SEARCH("non",LOWER($E203&amp;""))),$G203*0.85,$G203))))</x:f>
      </x:c>
      <x:c r="O203" s="112" t="str">
        <x:f>IF(COUNTA($A203:$M203)=0,"",IF(OR(LOWER($F203&amp;"")="subscription",LOWER($F203&amp;"")="membership"),"",IF(OR($N203="",$I203="",$I203=0),"",IFERROR($N203/$I203,""))))</x:f>
      </x:c>
      <x:c r="P203" s="112" t="str">
        <x:f>IF(COUNTA($A203:$M203)=0,"",IF(OR(LOWER($F203&amp;"")="subscription",LOWER($F203&amp;"")="membership"),"",IF(LOWER($L203&amp;"")="yes",0,IF($K203&lt;&gt;"",$K203,IF($O203&lt;&gt;"",$O203,"")))))</x:f>
      </x:c>
      <x:c r="Q203" s="112" t="str">
        <x:f>IF(COUNTA($A203:$M203)=0,"",IF(OR($U203="Subscription",$U203=""),"",IF($U203="Profit",ROUND($P203-$H203,2),0)))</x:f>
      </x:c>
      <x:c r="R203" s="112" t="str">
        <x:f>IF(COUNTA($A203:$M203)=0,"",IF(OR($U203="Subscription",$U203=""),"",IF($U203="Draw",$H203,0)))</x:f>
      </x:c>
      <x:c r="S203" s="112" t="str">
        <x:f>IF(COUNTA($A203:$M203)=0,"",IF(OR($U203="Subscription",$U203=""),"",IF($U203="Disqualified",$H203,0)))</x:f>
      </x:c>
      <x:c r="T203" s="116" t="str">
        <x:f>IF(COUNTA($A203:$M203)=0,"",IF(OR($U203="Subscription",$U203=""),"",IF($H203=0,0,IF($U203="Profit",$Q203/$H203,IF($U203="Disqualified",-$S203/$H203,0)))))</x:f>
      </x:c>
      <x:c r="U203" s="290" t="str">
        <x:f>IF(COUNTA($A203:$M203)=0,"",IF(OR(LOWER($F203&amp;"")="subscription",LOWER($F203&amp;"")="membership"),"Subscription",IF(LOWER($L203&amp;"")="yes","Disqualified",IF(OR(LOWER($F203&amp;"")="free game",LOWER($F203&amp;"")="free"),IF(AND(ISNUMBER($P203),ISNUMBER($H203),$P203&gt;$H203),"Profit","Free Game"),IF($P203="","",IF(ROUND(IFERROR(VALUE($P203),0)-IFERROR(VALUE($H203),0),2)&gt;0,"Profit","Draw"))))))</x:f>
      </x:c>
      <x:c r="V203" s="144" t="str">
        <x:f>IF(COUNTA($A203:$M203)=0,"",IF(OR($B203="",$C203="",$U203="Subscription"),"",IFERROR(ROUNDUP(($C203-$B203)/7,0),"")))</x:f>
      </x:c>
      <x:c r="W203" s="112" t="str">
        <x:f>IF(COUNTA($A203:$M203)=0,"",IF(OR($U203="Subscription",$U203=""),"",ROUND(IFERROR($Q203,0)-IFERROR($S203,0),2)))</x:f>
      </x:c>
      <x:c r="X203" s="144" t="str">
        <x:f>IF(COUNTA($A203:$M203)=0,"",IF(OR($U203="Subscription",$U203="Free Game",NOT(ISNUMBER($J203)),NOT(ISNUMBER($I203)),$J203=0,$I203=0,$I203&gt;$J203),"",$J203-$I203))</x:f>
      </x:c>
      <x:c r="Y203" s="116" t="str">
        <x:f>IF(COUNTA($A203:$M203)=0,"",IF(OR($U203="Subscription",$U203="Free Game",NOT(ISNUMBER($J203)),$J203=0,$X203=""),"",$X203/$J203))</x:f>
      </x:c>
      <x:c r="Z203" s="118" t="str">
        <x:f>IF(COUNTA($A203:$M203)=0,"",Instructions!$B$29+SUM($W$5:W203))</x:f>
      </x:c>
    </x:row>
    <x:row r="204" ht="30" customHeight="1">
      <x:c r="A204" s="477"/>
      <x:c r="B204" s="482"/>
      <x:c r="C204" s="482"/>
      <x:c r="D204" s="483"/>
      <x:c r="E204" s="483"/>
      <x:c r="F204" s="483"/>
      <x:c r="G204" s="484"/>
      <x:c r="H204" s="484"/>
      <x:c r="I204" s="485"/>
      <x:c r="J204" s="485"/>
      <x:c r="K204" s="484"/>
      <x:c r="L204" s="483"/>
      <x:c r="M204" s="477"/>
      <x:c r="N204" s="112" t="str">
        <x:f>IF(COUNTA($A204:$M204)=0,"",IF(OR(LOWER($F204&amp;"")="subscription",LOWER($F204&amp;"")="membership"),"",IF($G204="","",IF(ISNUMBER(SEARCH("non",LOWER($E204&amp;""))),$G204*0.85,$G204))))</x:f>
      </x:c>
      <x:c r="O204" s="112" t="str">
        <x:f>IF(COUNTA($A204:$M204)=0,"",IF(OR(LOWER($F204&amp;"")="subscription",LOWER($F204&amp;"")="membership"),"",IF(OR($N204="",$I204="",$I204=0),"",IFERROR($N204/$I204,""))))</x:f>
      </x:c>
      <x:c r="P204" s="112" t="str">
        <x:f>IF(COUNTA($A204:$M204)=0,"",IF(OR(LOWER($F204&amp;"")="subscription",LOWER($F204&amp;"")="membership"),"",IF(LOWER($L204&amp;"")="yes",0,IF($K204&lt;&gt;"",$K204,IF($O204&lt;&gt;"",$O204,"")))))</x:f>
      </x:c>
      <x:c r="Q204" s="112" t="str">
        <x:f>IF(COUNTA($A204:$M204)=0,"",IF(OR($U204="Subscription",$U204=""),"",IF($U204="Profit",ROUND($P204-$H204,2),0)))</x:f>
      </x:c>
      <x:c r="R204" s="112" t="str">
        <x:f>IF(COUNTA($A204:$M204)=0,"",IF(OR($U204="Subscription",$U204=""),"",IF($U204="Draw",$H204,0)))</x:f>
      </x:c>
      <x:c r="S204" s="112" t="str">
        <x:f>IF(COUNTA($A204:$M204)=0,"",IF(OR($U204="Subscription",$U204=""),"",IF($U204="Disqualified",$H204,0)))</x:f>
      </x:c>
      <x:c r="T204" s="116" t="str">
        <x:f>IF(COUNTA($A204:$M204)=0,"",IF(OR($U204="Subscription",$U204=""),"",IF($H204=0,0,IF($U204="Profit",$Q204/$H204,IF($U204="Disqualified",-$S204/$H204,0)))))</x:f>
      </x:c>
      <x:c r="U204" s="290" t="str">
        <x:f>IF(COUNTA($A204:$M204)=0,"",IF(OR(LOWER($F204&amp;"")="subscription",LOWER($F204&amp;"")="membership"),"Subscription",IF(LOWER($L204&amp;"")="yes","Disqualified",IF(OR(LOWER($F204&amp;"")="free game",LOWER($F204&amp;"")="free"),IF(AND(ISNUMBER($P204),ISNUMBER($H204),$P204&gt;$H204),"Profit","Free Game"),IF($P204="","",IF(ROUND(IFERROR(VALUE($P204),0)-IFERROR(VALUE($H204),0),2)&gt;0,"Profit","Draw"))))))</x:f>
      </x:c>
      <x:c r="V204" s="144" t="str">
        <x:f>IF(COUNTA($A204:$M204)=0,"",IF(OR($B204="",$C204="",$U204="Subscription"),"",IFERROR(ROUNDUP(($C204-$B204)/7,0),"")))</x:f>
      </x:c>
      <x:c r="W204" s="112" t="str">
        <x:f>IF(COUNTA($A204:$M204)=0,"",IF(OR($U204="Subscription",$U204=""),"",ROUND(IFERROR($Q204,0)-IFERROR($S204,0),2)))</x:f>
      </x:c>
      <x:c r="X204" s="144" t="str">
        <x:f>IF(COUNTA($A204:$M204)=0,"",IF(OR($U204="Subscription",$U204="Free Game",NOT(ISNUMBER($J204)),NOT(ISNUMBER($I204)),$J204=0,$I204=0,$I204&gt;$J204),"",$J204-$I204))</x:f>
      </x:c>
      <x:c r="Y204" s="116" t="str">
        <x:f>IF(COUNTA($A204:$M204)=0,"",IF(OR($U204="Subscription",$U204="Free Game",NOT(ISNUMBER($J204)),$J204=0,$X204=""),"",$X204/$J204))</x:f>
      </x:c>
      <x:c r="Z204" s="118" t="str">
        <x:f>IF(COUNTA($A204:$M204)=0,"",Instructions!$B$29+SUM($W$5:W204))</x:f>
      </x:c>
    </x:row>
    <x:row r="205" ht="30" customHeight="1">
      <x:c r="A205" s="477"/>
      <x:c r="B205" s="482"/>
      <x:c r="C205" s="482"/>
      <x:c r="D205" s="483"/>
      <x:c r="E205" s="483"/>
      <x:c r="F205" s="483"/>
      <x:c r="G205" s="484"/>
      <x:c r="H205" s="484"/>
      <x:c r="I205" s="485"/>
      <x:c r="J205" s="485"/>
      <x:c r="K205" s="484"/>
      <x:c r="L205" s="483"/>
      <x:c r="M205" s="477"/>
      <x:c r="N205" s="112" t="str">
        <x:f>IF(COUNTA($A205:$M205)=0,"",IF(OR(LOWER($F205&amp;"")="subscription",LOWER($F205&amp;"")="membership"),"",IF($G205="","",IF(ISNUMBER(SEARCH("non",LOWER($E205&amp;""))),$G205*0.85,$G205))))</x:f>
      </x:c>
      <x:c r="O205" s="112" t="str">
        <x:f>IF(COUNTA($A205:$M205)=0,"",IF(OR(LOWER($F205&amp;"")="subscription",LOWER($F205&amp;"")="membership"),"",IF(OR($N205="",$I205="",$I205=0),"",IFERROR($N205/$I205,""))))</x:f>
      </x:c>
      <x:c r="P205" s="112" t="str">
        <x:f>IF(COUNTA($A205:$M205)=0,"",IF(OR(LOWER($F205&amp;"")="subscription",LOWER($F205&amp;"")="membership"),"",IF(LOWER($L205&amp;"")="yes",0,IF($K205&lt;&gt;"",$K205,IF($O205&lt;&gt;"",$O205,"")))))</x:f>
      </x:c>
      <x:c r="Q205" s="112" t="str">
        <x:f>IF(COUNTA($A205:$M205)=0,"",IF(OR($U205="Subscription",$U205=""),"",IF($U205="Profit",ROUND($P205-$H205,2),0)))</x:f>
      </x:c>
      <x:c r="R205" s="112" t="str">
        <x:f>IF(COUNTA($A205:$M205)=0,"",IF(OR($U205="Subscription",$U205=""),"",IF($U205="Draw",$H205,0)))</x:f>
      </x:c>
      <x:c r="S205" s="112" t="str">
        <x:f>IF(COUNTA($A205:$M205)=0,"",IF(OR($U205="Subscription",$U205=""),"",IF($U205="Disqualified",$H205,0)))</x:f>
      </x:c>
      <x:c r="T205" s="116" t="str">
        <x:f>IF(COUNTA($A205:$M205)=0,"",IF(OR($U205="Subscription",$U205=""),"",IF($H205=0,0,IF($U205="Profit",$Q205/$H205,IF($U205="Disqualified",-$S205/$H205,0)))))</x:f>
      </x:c>
      <x:c r="U205" s="290" t="str">
        <x:f>IF(COUNTA($A205:$M205)=0,"",IF(OR(LOWER($F205&amp;"")="subscription",LOWER($F205&amp;"")="membership"),"Subscription",IF(LOWER($L205&amp;"")="yes","Disqualified",IF(OR(LOWER($F205&amp;"")="free game",LOWER($F205&amp;"")="free"),IF(AND(ISNUMBER($P205),ISNUMBER($H205),$P205&gt;$H205),"Profit","Free Game"),IF($P205="","",IF(ROUND(IFERROR(VALUE($P205),0)-IFERROR(VALUE($H205),0),2)&gt;0,"Profit","Draw"))))))</x:f>
      </x:c>
      <x:c r="V205" s="144" t="str">
        <x:f>IF(COUNTA($A205:$M205)=0,"",IF(OR($B205="",$C205="",$U205="Subscription"),"",IFERROR(ROUNDUP(($C205-$B205)/7,0),"")))</x:f>
      </x:c>
      <x:c r="W205" s="112" t="str">
        <x:f>IF(COUNTA($A205:$M205)=0,"",IF(OR($U205="Subscription",$U205=""),"",ROUND(IFERROR($Q205,0)-IFERROR($S205,0),2)))</x:f>
      </x:c>
      <x:c r="X205" s="144" t="str">
        <x:f>IF(COUNTA($A205:$M205)=0,"",IF(OR($U205="Subscription",$U205="Free Game",NOT(ISNUMBER($J205)),NOT(ISNUMBER($I205)),$J205=0,$I205=0,$I205&gt;$J205),"",$J205-$I205))</x:f>
      </x:c>
      <x:c r="Y205" s="116" t="str">
        <x:f>IF(COUNTA($A205:$M205)=0,"",IF(OR($U205="Subscription",$U205="Free Game",NOT(ISNUMBER($J205)),$J205=0,$X205=""),"",$X205/$J205))</x:f>
      </x:c>
      <x:c r="Z205" s="118" t="str">
        <x:f>IF(COUNTA($A205:$M205)=0,"",Instructions!$B$29+SUM($W$5:W205))</x:f>
      </x:c>
    </x:row>
    <x:row r="206" ht="30" customHeight="1">
      <x:c r="A206" s="477"/>
      <x:c r="B206" s="482"/>
      <x:c r="C206" s="482"/>
      <x:c r="D206" s="483"/>
      <x:c r="E206" s="483"/>
      <x:c r="F206" s="483"/>
      <x:c r="G206" s="484"/>
      <x:c r="H206" s="484"/>
      <x:c r="I206" s="485"/>
      <x:c r="J206" s="485"/>
      <x:c r="K206" s="484"/>
      <x:c r="L206" s="483"/>
      <x:c r="M206" s="477"/>
      <x:c r="N206" s="112" t="str">
        <x:f>IF(COUNTA($A206:$M206)=0,"",IF(OR(LOWER($F206&amp;"")="subscription",LOWER($F206&amp;"")="membership"),"",IF($G206="","",IF(ISNUMBER(SEARCH("non",LOWER($E206&amp;""))),$G206*0.85,$G206))))</x:f>
      </x:c>
      <x:c r="O206" s="112" t="str">
        <x:f>IF(COUNTA($A206:$M206)=0,"",IF(OR(LOWER($F206&amp;"")="subscription",LOWER($F206&amp;"")="membership"),"",IF(OR($N206="",$I206="",$I206=0),"",IFERROR($N206/$I206,""))))</x:f>
      </x:c>
      <x:c r="P206" s="112" t="str">
        <x:f>IF(COUNTA($A206:$M206)=0,"",IF(OR(LOWER($F206&amp;"")="subscription",LOWER($F206&amp;"")="membership"),"",IF(LOWER($L206&amp;"")="yes",0,IF($K206&lt;&gt;"",$K206,IF($O206&lt;&gt;"",$O206,"")))))</x:f>
      </x:c>
      <x:c r="Q206" s="112" t="str">
        <x:f>IF(COUNTA($A206:$M206)=0,"",IF(OR($U206="Subscription",$U206=""),"",IF($U206="Profit",ROUND($P206-$H206,2),0)))</x:f>
      </x:c>
      <x:c r="R206" s="112" t="str">
        <x:f>IF(COUNTA($A206:$M206)=0,"",IF(OR($U206="Subscription",$U206=""),"",IF($U206="Draw",$H206,0)))</x:f>
      </x:c>
      <x:c r="S206" s="112" t="str">
        <x:f>IF(COUNTA($A206:$M206)=0,"",IF(OR($U206="Subscription",$U206=""),"",IF($U206="Disqualified",$H206,0)))</x:f>
      </x:c>
      <x:c r="T206" s="116" t="str">
        <x:f>IF(COUNTA($A206:$M206)=0,"",IF(OR($U206="Subscription",$U206=""),"",IF($H206=0,0,IF($U206="Profit",$Q206/$H206,IF($U206="Disqualified",-$S206/$H206,0)))))</x:f>
      </x:c>
      <x:c r="U206" s="290" t="str">
        <x:f>IF(COUNTA($A206:$M206)=0,"",IF(OR(LOWER($F206&amp;"")="subscription",LOWER($F206&amp;"")="membership"),"Subscription",IF(LOWER($L206&amp;"")="yes","Disqualified",IF(OR(LOWER($F206&amp;"")="free game",LOWER($F206&amp;"")="free"),IF(AND(ISNUMBER($P206),ISNUMBER($H206),$P206&gt;$H206),"Profit","Free Game"),IF($P206="","",IF(ROUND(IFERROR(VALUE($P206),0)-IFERROR(VALUE($H206),0),2)&gt;0,"Profit","Draw"))))))</x:f>
      </x:c>
      <x:c r="V206" s="144" t="str">
        <x:f>IF(COUNTA($A206:$M206)=0,"",IF(OR($B206="",$C206="",$U206="Subscription"),"",IFERROR(ROUNDUP(($C206-$B206)/7,0),"")))</x:f>
      </x:c>
      <x:c r="W206" s="112" t="str">
        <x:f>IF(COUNTA($A206:$M206)=0,"",IF(OR($U206="Subscription",$U206=""),"",ROUND(IFERROR($Q206,0)-IFERROR($S206,0),2)))</x:f>
      </x:c>
      <x:c r="X206" s="144" t="str">
        <x:f>IF(COUNTA($A206:$M206)=0,"",IF(OR($U206="Subscription",$U206="Free Game",NOT(ISNUMBER($J206)),NOT(ISNUMBER($I206)),$J206=0,$I206=0,$I206&gt;$J206),"",$J206-$I206))</x:f>
      </x:c>
      <x:c r="Y206" s="116" t="str">
        <x:f>IF(COUNTA($A206:$M206)=0,"",IF(OR($U206="Subscription",$U206="Free Game",NOT(ISNUMBER($J206)),$J206=0,$X206=""),"",$X206/$J206))</x:f>
      </x:c>
      <x:c r="Z206" s="118" t="str">
        <x:f>IF(COUNTA($A206:$M206)=0,"",Instructions!$B$29+SUM($W$5:W206))</x:f>
      </x:c>
    </x:row>
    <x:row r="207" ht="30" customHeight="1">
      <x:c r="A207" s="477"/>
      <x:c r="B207" s="482"/>
      <x:c r="C207" s="482"/>
      <x:c r="D207" s="483"/>
      <x:c r="E207" s="483"/>
      <x:c r="F207" s="483"/>
      <x:c r="G207" s="484"/>
      <x:c r="H207" s="484"/>
      <x:c r="I207" s="485"/>
      <x:c r="J207" s="485"/>
      <x:c r="K207" s="484"/>
      <x:c r="L207" s="483"/>
      <x:c r="M207" s="477"/>
      <x:c r="N207" s="112" t="str">
        <x:f>IF(COUNTA($A207:$M207)=0,"",IF(OR(LOWER($F207&amp;"")="subscription",LOWER($F207&amp;"")="membership"),"",IF($G207="","",IF(ISNUMBER(SEARCH("non",LOWER($E207&amp;""))),$G207*0.85,$G207))))</x:f>
      </x:c>
      <x:c r="O207" s="112" t="str">
        <x:f>IF(COUNTA($A207:$M207)=0,"",IF(OR(LOWER($F207&amp;"")="subscription",LOWER($F207&amp;"")="membership"),"",IF(OR($N207="",$I207="",$I207=0),"",IFERROR($N207/$I207,""))))</x:f>
      </x:c>
      <x:c r="P207" s="112" t="str">
        <x:f>IF(COUNTA($A207:$M207)=0,"",IF(OR(LOWER($F207&amp;"")="subscription",LOWER($F207&amp;"")="membership"),"",IF(LOWER($L207&amp;"")="yes",0,IF($K207&lt;&gt;"",$K207,IF($O207&lt;&gt;"",$O207,"")))))</x:f>
      </x:c>
      <x:c r="Q207" s="112" t="str">
        <x:f>IF(COUNTA($A207:$M207)=0,"",IF(OR($U207="Subscription",$U207=""),"",IF($U207="Profit",ROUND($P207-$H207,2),0)))</x:f>
      </x:c>
      <x:c r="R207" s="112" t="str">
        <x:f>IF(COUNTA($A207:$M207)=0,"",IF(OR($U207="Subscription",$U207=""),"",IF($U207="Draw",$H207,0)))</x:f>
      </x:c>
      <x:c r="S207" s="112" t="str">
        <x:f>IF(COUNTA($A207:$M207)=0,"",IF(OR($U207="Subscription",$U207=""),"",IF($U207="Disqualified",$H207,0)))</x:f>
      </x:c>
      <x:c r="T207" s="116" t="str">
        <x:f>IF(COUNTA($A207:$M207)=0,"",IF(OR($U207="Subscription",$U207=""),"",IF($H207=0,0,IF($U207="Profit",$Q207/$H207,IF($U207="Disqualified",-$S207/$H207,0)))))</x:f>
      </x:c>
      <x:c r="U207" s="290" t="str">
        <x:f>IF(COUNTA($A207:$M207)=0,"",IF(OR(LOWER($F207&amp;"")="subscription",LOWER($F207&amp;"")="membership"),"Subscription",IF(LOWER($L207&amp;"")="yes","Disqualified",IF(OR(LOWER($F207&amp;"")="free game",LOWER($F207&amp;"")="free"),IF(AND(ISNUMBER($P207),ISNUMBER($H207),$P207&gt;$H207),"Profit","Free Game"),IF($P207="","",IF(ROUND(IFERROR(VALUE($P207),0)-IFERROR(VALUE($H207),0),2)&gt;0,"Profit","Draw"))))))</x:f>
      </x:c>
      <x:c r="V207" s="144" t="str">
        <x:f>IF(COUNTA($A207:$M207)=0,"",IF(OR($B207="",$C207="",$U207="Subscription"),"",IFERROR(ROUNDUP(($C207-$B207)/7,0),"")))</x:f>
      </x:c>
      <x:c r="W207" s="112" t="str">
        <x:f>IF(COUNTA($A207:$M207)=0,"",IF(OR($U207="Subscription",$U207=""),"",ROUND(IFERROR($Q207,0)-IFERROR($S207,0),2)))</x:f>
      </x:c>
      <x:c r="X207" s="144" t="str">
        <x:f>IF(COUNTA($A207:$M207)=0,"",IF(OR($U207="Subscription",$U207="Free Game",NOT(ISNUMBER($J207)),NOT(ISNUMBER($I207)),$J207=0,$I207=0,$I207&gt;$J207),"",$J207-$I207))</x:f>
      </x:c>
      <x:c r="Y207" s="116" t="str">
        <x:f>IF(COUNTA($A207:$M207)=0,"",IF(OR($U207="Subscription",$U207="Free Game",NOT(ISNUMBER($J207)),$J207=0,$X207=""),"",$X207/$J207))</x:f>
      </x:c>
      <x:c r="Z207" s="118" t="str">
        <x:f>IF(COUNTA($A207:$M207)=0,"",Instructions!$B$29+SUM($W$5:W207))</x:f>
      </x:c>
    </x:row>
    <x:row r="208" ht="30" customHeight="1">
      <x:c r="A208" s="477"/>
      <x:c r="B208" s="482"/>
      <x:c r="C208" s="482"/>
      <x:c r="D208" s="483"/>
      <x:c r="E208" s="483"/>
      <x:c r="F208" s="483"/>
      <x:c r="G208" s="484"/>
      <x:c r="H208" s="484"/>
      <x:c r="I208" s="485"/>
      <x:c r="J208" s="485"/>
      <x:c r="K208" s="484"/>
      <x:c r="L208" s="483"/>
      <x:c r="M208" s="477"/>
      <x:c r="N208" s="112" t="str">
        <x:f>IF(COUNTA($A208:$M208)=0,"",IF(OR(LOWER($F208&amp;"")="subscription",LOWER($F208&amp;"")="membership"),"",IF($G208="","",IF(ISNUMBER(SEARCH("non",LOWER($E208&amp;""))),$G208*0.85,$G208))))</x:f>
      </x:c>
      <x:c r="O208" s="112" t="str">
        <x:f>IF(COUNTA($A208:$M208)=0,"",IF(OR(LOWER($F208&amp;"")="subscription",LOWER($F208&amp;"")="membership"),"",IF(OR($N208="",$I208="",$I208=0),"",IFERROR($N208/$I208,""))))</x:f>
      </x:c>
      <x:c r="P208" s="112" t="str">
        <x:f>IF(COUNTA($A208:$M208)=0,"",IF(OR(LOWER($F208&amp;"")="subscription",LOWER($F208&amp;"")="membership"),"",IF(LOWER($L208&amp;"")="yes",0,IF($K208&lt;&gt;"",$K208,IF($O208&lt;&gt;"",$O208,"")))))</x:f>
      </x:c>
      <x:c r="Q208" s="112" t="str">
        <x:f>IF(COUNTA($A208:$M208)=0,"",IF(OR($U208="Subscription",$U208=""),"",IF($U208="Profit",ROUND($P208-$H208,2),0)))</x:f>
      </x:c>
      <x:c r="R208" s="112" t="str">
        <x:f>IF(COUNTA($A208:$M208)=0,"",IF(OR($U208="Subscription",$U208=""),"",IF($U208="Draw",$H208,0)))</x:f>
      </x:c>
      <x:c r="S208" s="112" t="str">
        <x:f>IF(COUNTA($A208:$M208)=0,"",IF(OR($U208="Subscription",$U208=""),"",IF($U208="Disqualified",$H208,0)))</x:f>
      </x:c>
      <x:c r="T208" s="116" t="str">
        <x:f>IF(COUNTA($A208:$M208)=0,"",IF(OR($U208="Subscription",$U208=""),"",IF($H208=0,0,IF($U208="Profit",$Q208/$H208,IF($U208="Disqualified",-$S208/$H208,0)))))</x:f>
      </x:c>
      <x:c r="U208" s="290" t="str">
        <x:f>IF(COUNTA($A208:$M208)=0,"",IF(OR(LOWER($F208&amp;"")="subscription",LOWER($F208&amp;"")="membership"),"Subscription",IF(LOWER($L208&amp;"")="yes","Disqualified",IF(OR(LOWER($F208&amp;"")="free game",LOWER($F208&amp;"")="free"),IF(AND(ISNUMBER($P208),ISNUMBER($H208),$P208&gt;$H208),"Profit","Free Game"),IF($P208="","",IF(ROUND(IFERROR(VALUE($P208),0)-IFERROR(VALUE($H208),0),2)&gt;0,"Profit","Draw"))))))</x:f>
      </x:c>
      <x:c r="V208" s="144" t="str">
        <x:f>IF(COUNTA($A208:$M208)=0,"",IF(OR($B208="",$C208="",$U208="Subscription"),"",IFERROR(ROUNDUP(($C208-$B208)/7,0),"")))</x:f>
      </x:c>
      <x:c r="W208" s="112" t="str">
        <x:f>IF(COUNTA($A208:$M208)=0,"",IF(OR($U208="Subscription",$U208=""),"",ROUND(IFERROR($Q208,0)-IFERROR($S208,0),2)))</x:f>
      </x:c>
      <x:c r="X208" s="144" t="str">
        <x:f>IF(COUNTA($A208:$M208)=0,"",IF(OR($U208="Subscription",$U208="Free Game",NOT(ISNUMBER($J208)),NOT(ISNUMBER($I208)),$J208=0,$I208=0,$I208&gt;$J208),"",$J208-$I208))</x:f>
      </x:c>
      <x:c r="Y208" s="116" t="str">
        <x:f>IF(COUNTA($A208:$M208)=0,"",IF(OR($U208="Subscription",$U208="Free Game",NOT(ISNUMBER($J208)),$J208=0,$X208=""),"",$X208/$J208))</x:f>
      </x:c>
      <x:c r="Z208" s="118" t="str">
        <x:f>IF(COUNTA($A208:$M208)=0,"",Instructions!$B$29+SUM($W$5:W208))</x:f>
      </x:c>
    </x:row>
    <x:row r="209" ht="30" customHeight="1">
      <x:c r="A209" s="477"/>
      <x:c r="B209" s="482"/>
      <x:c r="C209" s="482"/>
      <x:c r="D209" s="483"/>
      <x:c r="E209" s="483"/>
      <x:c r="F209" s="483"/>
      <x:c r="G209" s="484"/>
      <x:c r="H209" s="484"/>
      <x:c r="I209" s="485"/>
      <x:c r="J209" s="485"/>
      <x:c r="K209" s="484"/>
      <x:c r="L209" s="483"/>
      <x:c r="M209" s="477"/>
      <x:c r="N209" s="112" t="str">
        <x:f>IF(COUNTA($A209:$M209)=0,"",IF(OR(LOWER($F209&amp;"")="subscription",LOWER($F209&amp;"")="membership"),"",IF($G209="","",IF(ISNUMBER(SEARCH("non",LOWER($E209&amp;""))),$G209*0.85,$G209))))</x:f>
      </x:c>
      <x:c r="O209" s="112" t="str">
        <x:f>IF(COUNTA($A209:$M209)=0,"",IF(OR(LOWER($F209&amp;"")="subscription",LOWER($F209&amp;"")="membership"),"",IF(OR($N209="",$I209="",$I209=0),"",IFERROR($N209/$I209,""))))</x:f>
      </x:c>
      <x:c r="P209" s="112" t="str">
        <x:f>IF(COUNTA($A209:$M209)=0,"",IF(OR(LOWER($F209&amp;"")="subscription",LOWER($F209&amp;"")="membership"),"",IF(LOWER($L209&amp;"")="yes",0,IF($K209&lt;&gt;"",$K209,IF($O209&lt;&gt;"",$O209,"")))))</x:f>
      </x:c>
      <x:c r="Q209" s="112" t="str">
        <x:f>IF(COUNTA($A209:$M209)=0,"",IF(OR($U209="Subscription",$U209=""),"",IF($U209="Profit",ROUND($P209-$H209,2),0)))</x:f>
      </x:c>
      <x:c r="R209" s="112" t="str">
        <x:f>IF(COUNTA($A209:$M209)=0,"",IF(OR($U209="Subscription",$U209=""),"",IF($U209="Draw",$H209,0)))</x:f>
      </x:c>
      <x:c r="S209" s="112" t="str">
        <x:f>IF(COUNTA($A209:$M209)=0,"",IF(OR($U209="Subscription",$U209=""),"",IF($U209="Disqualified",$H209,0)))</x:f>
      </x:c>
      <x:c r="T209" s="116" t="str">
        <x:f>IF(COUNTA($A209:$M209)=0,"",IF(OR($U209="Subscription",$U209=""),"",IF($H209=0,0,IF($U209="Profit",$Q209/$H209,IF($U209="Disqualified",-$S209/$H209,0)))))</x:f>
      </x:c>
      <x:c r="U209" s="290" t="str">
        <x:f>IF(COUNTA($A209:$M209)=0,"",IF(OR(LOWER($F209&amp;"")="subscription",LOWER($F209&amp;"")="membership"),"Subscription",IF(LOWER($L209&amp;"")="yes","Disqualified",IF(OR(LOWER($F209&amp;"")="free game",LOWER($F209&amp;"")="free"),IF(AND(ISNUMBER($P209),ISNUMBER($H209),$P209&gt;$H209),"Profit","Free Game"),IF($P209="","",IF(ROUND(IFERROR(VALUE($P209),0)-IFERROR(VALUE($H209),0),2)&gt;0,"Profit","Draw"))))))</x:f>
      </x:c>
      <x:c r="V209" s="144" t="str">
        <x:f>IF(COUNTA($A209:$M209)=0,"",IF(OR($B209="",$C209="",$U209="Subscription"),"",IFERROR(ROUNDUP(($C209-$B209)/7,0),"")))</x:f>
      </x:c>
      <x:c r="W209" s="112" t="str">
        <x:f>IF(COUNTA($A209:$M209)=0,"",IF(OR($U209="Subscription",$U209=""),"",ROUND(IFERROR($Q209,0)-IFERROR($S209,0),2)))</x:f>
      </x:c>
      <x:c r="X209" s="144" t="str">
        <x:f>IF(COUNTA($A209:$M209)=0,"",IF(OR($U209="Subscription",$U209="Free Game",NOT(ISNUMBER($J209)),NOT(ISNUMBER($I209)),$J209=0,$I209=0,$I209&gt;$J209),"",$J209-$I209))</x:f>
      </x:c>
      <x:c r="Y209" s="116" t="str">
        <x:f>IF(COUNTA($A209:$M209)=0,"",IF(OR($U209="Subscription",$U209="Free Game",NOT(ISNUMBER($J209)),$J209=0,$X209=""),"",$X209/$J209))</x:f>
      </x:c>
      <x:c r="Z209" s="118" t="str">
        <x:f>IF(COUNTA($A209:$M209)=0,"",Instructions!$B$29+SUM($W$5:W209))</x:f>
      </x:c>
    </x:row>
    <x:row r="210" ht="30" customHeight="1">
      <x:c r="A210" s="477"/>
      <x:c r="B210" s="482"/>
      <x:c r="C210" s="482"/>
      <x:c r="D210" s="483"/>
      <x:c r="E210" s="483"/>
      <x:c r="F210" s="483"/>
      <x:c r="G210" s="484"/>
      <x:c r="H210" s="484"/>
      <x:c r="I210" s="485"/>
      <x:c r="J210" s="485"/>
      <x:c r="K210" s="484"/>
      <x:c r="L210" s="483"/>
      <x:c r="M210" s="477"/>
      <x:c r="N210" s="112" t="str">
        <x:f>IF(COUNTA($A210:$M210)=0,"",IF(OR(LOWER($F210&amp;"")="subscription",LOWER($F210&amp;"")="membership"),"",IF($G210="","",IF(ISNUMBER(SEARCH("non",LOWER($E210&amp;""))),$G210*0.85,$G210))))</x:f>
      </x:c>
      <x:c r="O210" s="112" t="str">
        <x:f>IF(COUNTA($A210:$M210)=0,"",IF(OR(LOWER($F210&amp;"")="subscription",LOWER($F210&amp;"")="membership"),"",IF(OR($N210="",$I210="",$I210=0),"",IFERROR($N210/$I210,""))))</x:f>
      </x:c>
      <x:c r="P210" s="112" t="str">
        <x:f>IF(COUNTA($A210:$M210)=0,"",IF(OR(LOWER($F210&amp;"")="subscription",LOWER($F210&amp;"")="membership"),"",IF(LOWER($L210&amp;"")="yes",0,IF($K210&lt;&gt;"",$K210,IF($O210&lt;&gt;"",$O210,"")))))</x:f>
      </x:c>
      <x:c r="Q210" s="112" t="str">
        <x:f>IF(COUNTA($A210:$M210)=0,"",IF(OR($U210="Subscription",$U210=""),"",IF($U210="Profit",ROUND($P210-$H210,2),0)))</x:f>
      </x:c>
      <x:c r="R210" s="112" t="str">
        <x:f>IF(COUNTA($A210:$M210)=0,"",IF(OR($U210="Subscription",$U210=""),"",IF($U210="Draw",$H210,0)))</x:f>
      </x:c>
      <x:c r="S210" s="112" t="str">
        <x:f>IF(COUNTA($A210:$M210)=0,"",IF(OR($U210="Subscription",$U210=""),"",IF($U210="Disqualified",$H210,0)))</x:f>
      </x:c>
      <x:c r="T210" s="116" t="str">
        <x:f>IF(COUNTA($A210:$M210)=0,"",IF(OR($U210="Subscription",$U210=""),"",IF($H210=0,0,IF($U210="Profit",$Q210/$H210,IF($U210="Disqualified",-$S210/$H210,0)))))</x:f>
      </x:c>
      <x:c r="U210" s="290" t="str">
        <x:f>IF(COUNTA($A210:$M210)=0,"",IF(OR(LOWER($F210&amp;"")="subscription",LOWER($F210&amp;"")="membership"),"Subscription",IF(LOWER($L210&amp;"")="yes","Disqualified",IF(OR(LOWER($F210&amp;"")="free game",LOWER($F210&amp;"")="free"),IF(AND(ISNUMBER($P210),ISNUMBER($H210),$P210&gt;$H210),"Profit","Free Game"),IF($P210="","",IF(ROUND(IFERROR(VALUE($P210),0)-IFERROR(VALUE($H210),0),2)&gt;0,"Profit","Draw"))))))</x:f>
      </x:c>
      <x:c r="V210" s="144" t="str">
        <x:f>IF(COUNTA($A210:$M210)=0,"",IF(OR($B210="",$C210="",$U210="Subscription"),"",IFERROR(ROUNDUP(($C210-$B210)/7,0),"")))</x:f>
      </x:c>
      <x:c r="W210" s="112" t="str">
        <x:f>IF(COUNTA($A210:$M210)=0,"",IF(OR($U210="Subscription",$U210=""),"",ROUND(IFERROR($Q210,0)-IFERROR($S210,0),2)))</x:f>
      </x:c>
      <x:c r="X210" s="144" t="str">
        <x:f>IF(COUNTA($A210:$M210)=0,"",IF(OR($U210="Subscription",$U210="Free Game",NOT(ISNUMBER($J210)),NOT(ISNUMBER($I210)),$J210=0,$I210=0,$I210&gt;$J210),"",$J210-$I210))</x:f>
      </x:c>
      <x:c r="Y210" s="116" t="str">
        <x:f>IF(COUNTA($A210:$M210)=0,"",IF(OR($U210="Subscription",$U210="Free Game",NOT(ISNUMBER($J210)),$J210=0,$X210=""),"",$X210/$J210))</x:f>
      </x:c>
      <x:c r="Z210" s="118" t="str">
        <x:f>IF(COUNTA($A210:$M210)=0,"",Instructions!$B$29+SUM($W$5:W210))</x:f>
      </x:c>
    </x:row>
    <x:row r="211" ht="30" customHeight="1">
      <x:c r="A211" s="477"/>
      <x:c r="B211" s="482"/>
      <x:c r="C211" s="482"/>
      <x:c r="D211" s="483"/>
      <x:c r="E211" s="483"/>
      <x:c r="F211" s="483"/>
      <x:c r="G211" s="484"/>
      <x:c r="H211" s="484"/>
      <x:c r="I211" s="485"/>
      <x:c r="J211" s="485"/>
      <x:c r="K211" s="484"/>
      <x:c r="L211" s="483"/>
      <x:c r="M211" s="477"/>
      <x:c r="N211" s="112" t="str">
        <x:f>IF(COUNTA($A211:$M211)=0,"",IF(OR(LOWER($F211&amp;"")="subscription",LOWER($F211&amp;"")="membership"),"",IF($G211="","",IF(ISNUMBER(SEARCH("non",LOWER($E211&amp;""))),$G211*0.85,$G211))))</x:f>
      </x:c>
      <x:c r="O211" s="112" t="str">
        <x:f>IF(COUNTA($A211:$M211)=0,"",IF(OR(LOWER($F211&amp;"")="subscription",LOWER($F211&amp;"")="membership"),"",IF(OR($N211="",$I211="",$I211=0),"",IFERROR($N211/$I211,""))))</x:f>
      </x:c>
      <x:c r="P211" s="112" t="str">
        <x:f>IF(COUNTA($A211:$M211)=0,"",IF(OR(LOWER($F211&amp;"")="subscription",LOWER($F211&amp;"")="membership"),"",IF(LOWER($L211&amp;"")="yes",0,IF($K211&lt;&gt;"",$K211,IF($O211&lt;&gt;"",$O211,"")))))</x:f>
      </x:c>
      <x:c r="Q211" s="112" t="str">
        <x:f>IF(COUNTA($A211:$M211)=0,"",IF(OR($U211="Subscription",$U211=""),"",IF($U211="Profit",ROUND($P211-$H211,2),0)))</x:f>
      </x:c>
      <x:c r="R211" s="112" t="str">
        <x:f>IF(COUNTA($A211:$M211)=0,"",IF(OR($U211="Subscription",$U211=""),"",IF($U211="Draw",$H211,0)))</x:f>
      </x:c>
      <x:c r="S211" s="112" t="str">
        <x:f>IF(COUNTA($A211:$M211)=0,"",IF(OR($U211="Subscription",$U211=""),"",IF($U211="Disqualified",$H211,0)))</x:f>
      </x:c>
      <x:c r="T211" s="116" t="str">
        <x:f>IF(COUNTA($A211:$M211)=0,"",IF(OR($U211="Subscription",$U211=""),"",IF($H211=0,0,IF($U211="Profit",$Q211/$H211,IF($U211="Disqualified",-$S211/$H211,0)))))</x:f>
      </x:c>
      <x:c r="U211" s="290" t="str">
        <x:f>IF(COUNTA($A211:$M211)=0,"",IF(OR(LOWER($F211&amp;"")="subscription",LOWER($F211&amp;"")="membership"),"Subscription",IF(LOWER($L211&amp;"")="yes","Disqualified",IF(OR(LOWER($F211&amp;"")="free game",LOWER($F211&amp;"")="free"),IF(AND(ISNUMBER($P211),ISNUMBER($H211),$P211&gt;$H211),"Profit","Free Game"),IF($P211="","",IF(ROUND(IFERROR(VALUE($P211),0)-IFERROR(VALUE($H211),0),2)&gt;0,"Profit","Draw"))))))</x:f>
      </x:c>
      <x:c r="V211" s="144" t="str">
        <x:f>IF(COUNTA($A211:$M211)=0,"",IF(OR($B211="",$C211="",$U211="Subscription"),"",IFERROR(ROUNDUP(($C211-$B211)/7,0),"")))</x:f>
      </x:c>
      <x:c r="W211" s="112" t="str">
        <x:f>IF(COUNTA($A211:$M211)=0,"",IF(OR($U211="Subscription",$U211=""),"",ROUND(IFERROR($Q211,0)-IFERROR($S211,0),2)))</x:f>
      </x:c>
      <x:c r="X211" s="144" t="str">
        <x:f>IF(COUNTA($A211:$M211)=0,"",IF(OR($U211="Subscription",$U211="Free Game",NOT(ISNUMBER($J211)),NOT(ISNUMBER($I211)),$J211=0,$I211=0,$I211&gt;$J211),"",$J211-$I211))</x:f>
      </x:c>
      <x:c r="Y211" s="116" t="str">
        <x:f>IF(COUNTA($A211:$M211)=0,"",IF(OR($U211="Subscription",$U211="Free Game",NOT(ISNUMBER($J211)),$J211=0,$X211=""),"",$X211/$J211))</x:f>
      </x:c>
      <x:c r="Z211" s="118" t="str">
        <x:f>IF(COUNTA($A211:$M211)=0,"",Instructions!$B$29+SUM($W$5:W211))</x:f>
      </x:c>
    </x:row>
    <x:row r="212" ht="30" customHeight="1">
      <x:c r="A212" s="477"/>
      <x:c r="B212" s="482"/>
      <x:c r="C212" s="482"/>
      <x:c r="D212" s="483"/>
      <x:c r="E212" s="483"/>
      <x:c r="F212" s="483"/>
      <x:c r="G212" s="484"/>
      <x:c r="H212" s="484"/>
      <x:c r="I212" s="485"/>
      <x:c r="J212" s="485"/>
      <x:c r="K212" s="484"/>
      <x:c r="L212" s="483"/>
      <x:c r="M212" s="477"/>
      <x:c r="N212" s="112" t="str">
        <x:f>IF(COUNTA($A212:$M212)=0,"",IF(OR(LOWER($F212&amp;"")="subscription",LOWER($F212&amp;"")="membership"),"",IF($G212="","",IF(ISNUMBER(SEARCH("non",LOWER($E212&amp;""))),$G212*0.85,$G212))))</x:f>
      </x:c>
      <x:c r="O212" s="112" t="str">
        <x:f>IF(COUNTA($A212:$M212)=0,"",IF(OR(LOWER($F212&amp;"")="subscription",LOWER($F212&amp;"")="membership"),"",IF(OR($N212="",$I212="",$I212=0),"",IFERROR($N212/$I212,""))))</x:f>
      </x:c>
      <x:c r="P212" s="112" t="str">
        <x:f>IF(COUNTA($A212:$M212)=0,"",IF(OR(LOWER($F212&amp;"")="subscription",LOWER($F212&amp;"")="membership"),"",IF(LOWER($L212&amp;"")="yes",0,IF($K212&lt;&gt;"",$K212,IF($O212&lt;&gt;"",$O212,"")))))</x:f>
      </x:c>
      <x:c r="Q212" s="112" t="str">
        <x:f>IF(COUNTA($A212:$M212)=0,"",IF(OR($U212="Subscription",$U212=""),"",IF($U212="Profit",ROUND($P212-$H212,2),0)))</x:f>
      </x:c>
      <x:c r="R212" s="112" t="str">
        <x:f>IF(COUNTA($A212:$M212)=0,"",IF(OR($U212="Subscription",$U212=""),"",IF($U212="Draw",$H212,0)))</x:f>
      </x:c>
      <x:c r="S212" s="112" t="str">
        <x:f>IF(COUNTA($A212:$M212)=0,"",IF(OR($U212="Subscription",$U212=""),"",IF($U212="Disqualified",$H212,0)))</x:f>
      </x:c>
      <x:c r="T212" s="116" t="str">
        <x:f>IF(COUNTA($A212:$M212)=0,"",IF(OR($U212="Subscription",$U212=""),"",IF($H212=0,0,IF($U212="Profit",$Q212/$H212,IF($U212="Disqualified",-$S212/$H212,0)))))</x:f>
      </x:c>
      <x:c r="U212" s="290" t="str">
        <x:f>IF(COUNTA($A212:$M212)=0,"",IF(OR(LOWER($F212&amp;"")="subscription",LOWER($F212&amp;"")="membership"),"Subscription",IF(LOWER($L212&amp;"")="yes","Disqualified",IF(OR(LOWER($F212&amp;"")="free game",LOWER($F212&amp;"")="free"),IF(AND(ISNUMBER($P212),ISNUMBER($H212),$P212&gt;$H212),"Profit","Free Game"),IF($P212="","",IF(ROUND(IFERROR(VALUE($P212),0)-IFERROR(VALUE($H212),0),2)&gt;0,"Profit","Draw"))))))</x:f>
      </x:c>
      <x:c r="V212" s="144" t="str">
        <x:f>IF(COUNTA($A212:$M212)=0,"",IF(OR($B212="",$C212="",$U212="Subscription"),"",IFERROR(ROUNDUP(($C212-$B212)/7,0),"")))</x:f>
      </x:c>
      <x:c r="W212" s="112" t="str">
        <x:f>IF(COUNTA($A212:$M212)=0,"",IF(OR($U212="Subscription",$U212=""),"",ROUND(IFERROR($Q212,0)-IFERROR($S212,0),2)))</x:f>
      </x:c>
      <x:c r="X212" s="144" t="str">
        <x:f>IF(COUNTA($A212:$M212)=0,"",IF(OR($U212="Subscription",$U212="Free Game",NOT(ISNUMBER($J212)),NOT(ISNUMBER($I212)),$J212=0,$I212=0,$I212&gt;$J212),"",$J212-$I212))</x:f>
      </x:c>
      <x:c r="Y212" s="116" t="str">
        <x:f>IF(COUNTA($A212:$M212)=0,"",IF(OR($U212="Subscription",$U212="Free Game",NOT(ISNUMBER($J212)),$J212=0,$X212=""),"",$X212/$J212))</x:f>
      </x:c>
      <x:c r="Z212" s="118" t="str">
        <x:f>IF(COUNTA($A212:$M212)=0,"",Instructions!$B$29+SUM($W$5:W212))</x:f>
      </x:c>
    </x:row>
    <x:row r="213" ht="30" customHeight="1">
      <x:c r="A213" s="477"/>
      <x:c r="B213" s="482"/>
      <x:c r="C213" s="482"/>
      <x:c r="D213" s="483"/>
      <x:c r="E213" s="483"/>
      <x:c r="F213" s="483"/>
      <x:c r="G213" s="484"/>
      <x:c r="H213" s="484"/>
      <x:c r="I213" s="485"/>
      <x:c r="J213" s="485"/>
      <x:c r="K213" s="484"/>
      <x:c r="L213" s="483"/>
      <x:c r="M213" s="477"/>
      <x:c r="N213" s="112" t="str">
        <x:f>IF(COUNTA($A213:$M213)=0,"",IF(OR(LOWER($F213&amp;"")="subscription",LOWER($F213&amp;"")="membership"),"",IF($G213="","",IF(ISNUMBER(SEARCH("non",LOWER($E213&amp;""))),$G213*0.85,$G213))))</x:f>
      </x:c>
      <x:c r="O213" s="112" t="str">
        <x:f>IF(COUNTA($A213:$M213)=0,"",IF(OR(LOWER($F213&amp;"")="subscription",LOWER($F213&amp;"")="membership"),"",IF(OR($N213="",$I213="",$I213=0),"",IFERROR($N213/$I213,""))))</x:f>
      </x:c>
      <x:c r="P213" s="112" t="str">
        <x:f>IF(COUNTA($A213:$M213)=0,"",IF(OR(LOWER($F213&amp;"")="subscription",LOWER($F213&amp;"")="membership"),"",IF(LOWER($L213&amp;"")="yes",0,IF($K213&lt;&gt;"",$K213,IF($O213&lt;&gt;"",$O213,"")))))</x:f>
      </x:c>
      <x:c r="Q213" s="112" t="str">
        <x:f>IF(COUNTA($A213:$M213)=0,"",IF(OR($U213="Subscription",$U213=""),"",IF($U213="Profit",ROUND($P213-$H213,2),0)))</x:f>
      </x:c>
      <x:c r="R213" s="112" t="str">
        <x:f>IF(COUNTA($A213:$M213)=0,"",IF(OR($U213="Subscription",$U213=""),"",IF($U213="Draw",$H213,0)))</x:f>
      </x:c>
      <x:c r="S213" s="112" t="str">
        <x:f>IF(COUNTA($A213:$M213)=0,"",IF(OR($U213="Subscription",$U213=""),"",IF($U213="Disqualified",$H213,0)))</x:f>
      </x:c>
      <x:c r="T213" s="116" t="str">
        <x:f>IF(COUNTA($A213:$M213)=0,"",IF(OR($U213="Subscription",$U213=""),"",IF($H213=0,0,IF($U213="Profit",$Q213/$H213,IF($U213="Disqualified",-$S213/$H213,0)))))</x:f>
      </x:c>
      <x:c r="U213" s="290" t="str">
        <x:f>IF(COUNTA($A213:$M213)=0,"",IF(OR(LOWER($F213&amp;"")="subscription",LOWER($F213&amp;"")="membership"),"Subscription",IF(LOWER($L213&amp;"")="yes","Disqualified",IF(OR(LOWER($F213&amp;"")="free game",LOWER($F213&amp;"")="free"),IF(AND(ISNUMBER($P213),ISNUMBER($H213),$P213&gt;$H213),"Profit","Free Game"),IF($P213="","",IF(ROUND(IFERROR(VALUE($P213),0)-IFERROR(VALUE($H213),0),2)&gt;0,"Profit","Draw"))))))</x:f>
      </x:c>
      <x:c r="V213" s="144" t="str">
        <x:f>IF(COUNTA($A213:$M213)=0,"",IF(OR($B213="",$C213="",$U213="Subscription"),"",IFERROR(ROUNDUP(($C213-$B213)/7,0),"")))</x:f>
      </x:c>
      <x:c r="W213" s="112" t="str">
        <x:f>IF(COUNTA($A213:$M213)=0,"",IF(OR($U213="Subscription",$U213=""),"",ROUND(IFERROR($Q213,0)-IFERROR($S213,0),2)))</x:f>
      </x:c>
      <x:c r="X213" s="144" t="str">
        <x:f>IF(COUNTA($A213:$M213)=0,"",IF(OR($U213="Subscription",$U213="Free Game",NOT(ISNUMBER($J213)),NOT(ISNUMBER($I213)),$J213=0,$I213=0,$I213&gt;$J213),"",$J213-$I213))</x:f>
      </x:c>
      <x:c r="Y213" s="116" t="str">
        <x:f>IF(COUNTA($A213:$M213)=0,"",IF(OR($U213="Subscription",$U213="Free Game",NOT(ISNUMBER($J213)),$J213=0,$X213=""),"",$X213/$J213))</x:f>
      </x:c>
      <x:c r="Z213" s="118" t="str">
        <x:f>IF(COUNTA($A213:$M213)=0,"",Instructions!$B$29+SUM($W$5:W213))</x:f>
      </x:c>
    </x:row>
    <x:row r="214" ht="30" customHeight="1">
      <x:c r="A214" s="477"/>
      <x:c r="B214" s="482"/>
      <x:c r="C214" s="482"/>
      <x:c r="D214" s="483"/>
      <x:c r="E214" s="483"/>
      <x:c r="F214" s="483"/>
      <x:c r="G214" s="484"/>
      <x:c r="H214" s="484"/>
      <x:c r="I214" s="485"/>
      <x:c r="J214" s="485"/>
      <x:c r="K214" s="484"/>
      <x:c r="L214" s="483"/>
      <x:c r="M214" s="477"/>
      <x:c r="N214" s="112" t="str">
        <x:f>IF(COUNTA($A214:$M214)=0,"",IF(OR(LOWER($F214&amp;"")="subscription",LOWER($F214&amp;"")="membership"),"",IF($G214="","",IF(ISNUMBER(SEARCH("non",LOWER($E214&amp;""))),$G214*0.85,$G214))))</x:f>
      </x:c>
      <x:c r="O214" s="112" t="str">
        <x:f>IF(COUNTA($A214:$M214)=0,"",IF(OR(LOWER($F214&amp;"")="subscription",LOWER($F214&amp;"")="membership"),"",IF(OR($N214="",$I214="",$I214=0),"",IFERROR($N214/$I214,""))))</x:f>
      </x:c>
      <x:c r="P214" s="112" t="str">
        <x:f>IF(COUNTA($A214:$M214)=0,"",IF(OR(LOWER($F214&amp;"")="subscription",LOWER($F214&amp;"")="membership"),"",IF(LOWER($L214&amp;"")="yes",0,IF($K214&lt;&gt;"",$K214,IF($O214&lt;&gt;"",$O214,"")))))</x:f>
      </x:c>
      <x:c r="Q214" s="112" t="str">
        <x:f>IF(COUNTA($A214:$M214)=0,"",IF(OR($U214="Subscription",$U214=""),"",IF($U214="Profit",ROUND($P214-$H214,2),0)))</x:f>
      </x:c>
      <x:c r="R214" s="112" t="str">
        <x:f>IF(COUNTA($A214:$M214)=0,"",IF(OR($U214="Subscription",$U214=""),"",IF($U214="Draw",$H214,0)))</x:f>
      </x:c>
      <x:c r="S214" s="112" t="str">
        <x:f>IF(COUNTA($A214:$M214)=0,"",IF(OR($U214="Subscription",$U214=""),"",IF($U214="Disqualified",$H214,0)))</x:f>
      </x:c>
      <x:c r="T214" s="116" t="str">
        <x:f>IF(COUNTA($A214:$M214)=0,"",IF(OR($U214="Subscription",$U214=""),"",IF($H214=0,0,IF($U214="Profit",$Q214/$H214,IF($U214="Disqualified",-$S214/$H214,0)))))</x:f>
      </x:c>
      <x:c r="U214" s="290" t="str">
        <x:f>IF(COUNTA($A214:$M214)=0,"",IF(OR(LOWER($F214&amp;"")="subscription",LOWER($F214&amp;"")="membership"),"Subscription",IF(LOWER($L214&amp;"")="yes","Disqualified",IF(OR(LOWER($F214&amp;"")="free game",LOWER($F214&amp;"")="free"),IF(AND(ISNUMBER($P214),ISNUMBER($H214),$P214&gt;$H214),"Profit","Free Game"),IF($P214="","",IF(ROUND(IFERROR(VALUE($P214),0)-IFERROR(VALUE($H214),0),2)&gt;0,"Profit","Draw"))))))</x:f>
      </x:c>
      <x:c r="V214" s="144" t="str">
        <x:f>IF(COUNTA($A214:$M214)=0,"",IF(OR($B214="",$C214="",$U214="Subscription"),"",IFERROR(ROUNDUP(($C214-$B214)/7,0),"")))</x:f>
      </x:c>
      <x:c r="W214" s="112" t="str">
        <x:f>IF(COUNTA($A214:$M214)=0,"",IF(OR($U214="Subscription",$U214=""),"",ROUND(IFERROR($Q214,0)-IFERROR($S214,0),2)))</x:f>
      </x:c>
      <x:c r="X214" s="144" t="str">
        <x:f>IF(COUNTA($A214:$M214)=0,"",IF(OR($U214="Subscription",$U214="Free Game",NOT(ISNUMBER($J214)),NOT(ISNUMBER($I214)),$J214=0,$I214=0,$I214&gt;$J214),"",$J214-$I214))</x:f>
      </x:c>
      <x:c r="Y214" s="116" t="str">
        <x:f>IF(COUNTA($A214:$M214)=0,"",IF(OR($U214="Subscription",$U214="Free Game",NOT(ISNUMBER($J214)),$J214=0,$X214=""),"",$X214/$J214))</x:f>
      </x:c>
      <x:c r="Z214" s="118" t="str">
        <x:f>IF(COUNTA($A214:$M214)=0,"",Instructions!$B$29+SUM($W$5:W214))</x:f>
      </x:c>
    </x:row>
    <x:row r="215" ht="30" customHeight="1">
      <x:c r="A215" s="477"/>
      <x:c r="B215" s="482"/>
      <x:c r="C215" s="482"/>
      <x:c r="D215" s="483"/>
      <x:c r="E215" s="483"/>
      <x:c r="F215" s="483"/>
      <x:c r="G215" s="484"/>
      <x:c r="H215" s="484"/>
      <x:c r="I215" s="485"/>
      <x:c r="J215" s="485"/>
      <x:c r="K215" s="484"/>
      <x:c r="L215" s="483"/>
      <x:c r="M215" s="477"/>
      <x:c r="N215" s="112" t="str">
        <x:f>IF(COUNTA($A215:$M215)=0,"",IF(OR(LOWER($F215&amp;"")="subscription",LOWER($F215&amp;"")="membership"),"",IF($G215="","",IF(ISNUMBER(SEARCH("non",LOWER($E215&amp;""))),$G215*0.85,$G215))))</x:f>
      </x:c>
      <x:c r="O215" s="112" t="str">
        <x:f>IF(COUNTA($A215:$M215)=0,"",IF(OR(LOWER($F215&amp;"")="subscription",LOWER($F215&amp;"")="membership"),"",IF(OR($N215="",$I215="",$I215=0),"",IFERROR($N215/$I215,""))))</x:f>
      </x:c>
      <x:c r="P215" s="112" t="str">
        <x:f>IF(COUNTA($A215:$M215)=0,"",IF(OR(LOWER($F215&amp;"")="subscription",LOWER($F215&amp;"")="membership"),"",IF(LOWER($L215&amp;"")="yes",0,IF($K215&lt;&gt;"",$K215,IF($O215&lt;&gt;"",$O215,"")))))</x:f>
      </x:c>
      <x:c r="Q215" s="112" t="str">
        <x:f>IF(COUNTA($A215:$M215)=0,"",IF(OR($U215="Subscription",$U215=""),"",IF($U215="Profit",ROUND($P215-$H215,2),0)))</x:f>
      </x:c>
      <x:c r="R215" s="112" t="str">
        <x:f>IF(COUNTA($A215:$M215)=0,"",IF(OR($U215="Subscription",$U215=""),"",IF($U215="Draw",$H215,0)))</x:f>
      </x:c>
      <x:c r="S215" s="112" t="str">
        <x:f>IF(COUNTA($A215:$M215)=0,"",IF(OR($U215="Subscription",$U215=""),"",IF($U215="Disqualified",$H215,0)))</x:f>
      </x:c>
      <x:c r="T215" s="116" t="str">
        <x:f>IF(COUNTA($A215:$M215)=0,"",IF(OR($U215="Subscription",$U215=""),"",IF($H215=0,0,IF($U215="Profit",$Q215/$H215,IF($U215="Disqualified",-$S215/$H215,0)))))</x:f>
      </x:c>
      <x:c r="U215" s="290" t="str">
        <x:f>IF(COUNTA($A215:$M215)=0,"",IF(OR(LOWER($F215&amp;"")="subscription",LOWER($F215&amp;"")="membership"),"Subscription",IF(LOWER($L215&amp;"")="yes","Disqualified",IF(OR(LOWER($F215&amp;"")="free game",LOWER($F215&amp;"")="free"),IF(AND(ISNUMBER($P215),ISNUMBER($H215),$P215&gt;$H215),"Profit","Free Game"),IF($P215="","",IF(ROUND(IFERROR(VALUE($P215),0)-IFERROR(VALUE($H215),0),2)&gt;0,"Profit","Draw"))))))</x:f>
      </x:c>
      <x:c r="V215" s="144" t="str">
        <x:f>IF(COUNTA($A215:$M215)=0,"",IF(OR($B215="",$C215="",$U215="Subscription"),"",IFERROR(ROUNDUP(($C215-$B215)/7,0),"")))</x:f>
      </x:c>
      <x:c r="W215" s="112" t="str">
        <x:f>IF(COUNTA($A215:$M215)=0,"",IF(OR($U215="Subscription",$U215=""),"",ROUND(IFERROR($Q215,0)-IFERROR($S215,0),2)))</x:f>
      </x:c>
      <x:c r="X215" s="144" t="str">
        <x:f>IF(COUNTA($A215:$M215)=0,"",IF(OR($U215="Subscription",$U215="Free Game",NOT(ISNUMBER($J215)),NOT(ISNUMBER($I215)),$J215=0,$I215=0,$I215&gt;$J215),"",$J215-$I215))</x:f>
      </x:c>
      <x:c r="Y215" s="116" t="str">
        <x:f>IF(COUNTA($A215:$M215)=0,"",IF(OR($U215="Subscription",$U215="Free Game",NOT(ISNUMBER($J215)),$J215=0,$X215=""),"",$X215/$J215))</x:f>
      </x:c>
      <x:c r="Z215" s="118" t="str">
        <x:f>IF(COUNTA($A215:$M215)=0,"",Instructions!$B$29+SUM($W$5:W215))</x:f>
      </x:c>
    </x:row>
    <x:row r="216" ht="30" customHeight="1">
      <x:c r="A216" s="477"/>
      <x:c r="B216" s="482"/>
      <x:c r="C216" s="482"/>
      <x:c r="D216" s="483"/>
      <x:c r="E216" s="483"/>
      <x:c r="F216" s="483"/>
      <x:c r="G216" s="484"/>
      <x:c r="H216" s="484"/>
      <x:c r="I216" s="485"/>
      <x:c r="J216" s="485"/>
      <x:c r="K216" s="484"/>
      <x:c r="L216" s="483"/>
      <x:c r="M216" s="477"/>
      <x:c r="N216" s="112" t="str">
        <x:f>IF(COUNTA($A216:$M216)=0,"",IF(OR(LOWER($F216&amp;"")="subscription",LOWER($F216&amp;"")="membership"),"",IF($G216="","",IF(ISNUMBER(SEARCH("non",LOWER($E216&amp;""))),$G216*0.85,$G216))))</x:f>
      </x:c>
      <x:c r="O216" s="112" t="str">
        <x:f>IF(COUNTA($A216:$M216)=0,"",IF(OR(LOWER($F216&amp;"")="subscription",LOWER($F216&amp;"")="membership"),"",IF(OR($N216="",$I216="",$I216=0),"",IFERROR($N216/$I216,""))))</x:f>
      </x:c>
      <x:c r="P216" s="112" t="str">
        <x:f>IF(COUNTA($A216:$M216)=0,"",IF(OR(LOWER($F216&amp;"")="subscription",LOWER($F216&amp;"")="membership"),"",IF(LOWER($L216&amp;"")="yes",0,IF($K216&lt;&gt;"",$K216,IF($O216&lt;&gt;"",$O216,"")))))</x:f>
      </x:c>
      <x:c r="Q216" s="112" t="str">
        <x:f>IF(COUNTA($A216:$M216)=0,"",IF(OR($U216="Subscription",$U216=""),"",IF($U216="Profit",ROUND($P216-$H216,2),0)))</x:f>
      </x:c>
      <x:c r="R216" s="112" t="str">
        <x:f>IF(COUNTA($A216:$M216)=0,"",IF(OR($U216="Subscription",$U216=""),"",IF($U216="Draw",$H216,0)))</x:f>
      </x:c>
      <x:c r="S216" s="112" t="str">
        <x:f>IF(COUNTA($A216:$M216)=0,"",IF(OR($U216="Subscription",$U216=""),"",IF($U216="Disqualified",$H216,0)))</x:f>
      </x:c>
      <x:c r="T216" s="116" t="str">
        <x:f>IF(COUNTA($A216:$M216)=0,"",IF(OR($U216="Subscription",$U216=""),"",IF($H216=0,0,IF($U216="Profit",$Q216/$H216,IF($U216="Disqualified",-$S216/$H216,0)))))</x:f>
      </x:c>
      <x:c r="U216" s="290" t="str">
        <x:f>IF(COUNTA($A216:$M216)=0,"",IF(OR(LOWER($F216&amp;"")="subscription",LOWER($F216&amp;"")="membership"),"Subscription",IF(LOWER($L216&amp;"")="yes","Disqualified",IF(OR(LOWER($F216&amp;"")="free game",LOWER($F216&amp;"")="free"),IF(AND(ISNUMBER($P216),ISNUMBER($H216),$P216&gt;$H216),"Profit","Free Game"),IF($P216="","",IF(ROUND(IFERROR(VALUE($P216),0)-IFERROR(VALUE($H216),0),2)&gt;0,"Profit","Draw"))))))</x:f>
      </x:c>
      <x:c r="V216" s="144" t="str">
        <x:f>IF(COUNTA($A216:$M216)=0,"",IF(OR($B216="",$C216="",$U216="Subscription"),"",IFERROR(ROUNDUP(($C216-$B216)/7,0),"")))</x:f>
      </x:c>
      <x:c r="W216" s="112" t="str">
        <x:f>IF(COUNTA($A216:$M216)=0,"",IF(OR($U216="Subscription",$U216=""),"",ROUND(IFERROR($Q216,0)-IFERROR($S216,0),2)))</x:f>
      </x:c>
      <x:c r="X216" s="144" t="str">
        <x:f>IF(COUNTA($A216:$M216)=0,"",IF(OR($U216="Subscription",$U216="Free Game",NOT(ISNUMBER($J216)),NOT(ISNUMBER($I216)),$J216=0,$I216=0,$I216&gt;$J216),"",$J216-$I216))</x:f>
      </x:c>
      <x:c r="Y216" s="116" t="str">
        <x:f>IF(COUNTA($A216:$M216)=0,"",IF(OR($U216="Subscription",$U216="Free Game",NOT(ISNUMBER($J216)),$J216=0,$X216=""),"",$X216/$J216))</x:f>
      </x:c>
      <x:c r="Z216" s="118" t="str">
        <x:f>IF(COUNTA($A216:$M216)=0,"",Instructions!$B$29+SUM($W$5:W216))</x:f>
      </x:c>
    </x:row>
    <x:row r="217" ht="30" customHeight="1">
      <x:c r="A217" s="477"/>
      <x:c r="B217" s="482"/>
      <x:c r="C217" s="482"/>
      <x:c r="D217" s="483"/>
      <x:c r="E217" s="483"/>
      <x:c r="F217" s="483"/>
      <x:c r="G217" s="484"/>
      <x:c r="H217" s="484"/>
      <x:c r="I217" s="485"/>
      <x:c r="J217" s="485"/>
      <x:c r="K217" s="484"/>
      <x:c r="L217" s="483"/>
      <x:c r="M217" s="477"/>
      <x:c r="N217" s="112" t="str">
        <x:f>IF(COUNTA($A217:$M217)=0,"",IF(OR(LOWER($F217&amp;"")="subscription",LOWER($F217&amp;"")="membership"),"",IF($G217="","",IF(ISNUMBER(SEARCH("non",LOWER($E217&amp;""))),$G217*0.85,$G217))))</x:f>
      </x:c>
      <x:c r="O217" s="112" t="str">
        <x:f>IF(COUNTA($A217:$M217)=0,"",IF(OR(LOWER($F217&amp;"")="subscription",LOWER($F217&amp;"")="membership"),"",IF(OR($N217="",$I217="",$I217=0),"",IFERROR($N217/$I217,""))))</x:f>
      </x:c>
      <x:c r="P217" s="112" t="str">
        <x:f>IF(COUNTA($A217:$M217)=0,"",IF(OR(LOWER($F217&amp;"")="subscription",LOWER($F217&amp;"")="membership"),"",IF(LOWER($L217&amp;"")="yes",0,IF($K217&lt;&gt;"",$K217,IF($O217&lt;&gt;"",$O217,"")))))</x:f>
      </x:c>
      <x:c r="Q217" s="112" t="str">
        <x:f>IF(COUNTA($A217:$M217)=0,"",IF(OR($U217="Subscription",$U217=""),"",IF($U217="Profit",ROUND($P217-$H217,2),0)))</x:f>
      </x:c>
      <x:c r="R217" s="112" t="str">
        <x:f>IF(COUNTA($A217:$M217)=0,"",IF(OR($U217="Subscription",$U217=""),"",IF($U217="Draw",$H217,0)))</x:f>
      </x:c>
      <x:c r="S217" s="112" t="str">
        <x:f>IF(COUNTA($A217:$M217)=0,"",IF(OR($U217="Subscription",$U217=""),"",IF($U217="Disqualified",$H217,0)))</x:f>
      </x:c>
      <x:c r="T217" s="116" t="str">
        <x:f>IF(COUNTA($A217:$M217)=0,"",IF(OR($U217="Subscription",$U217=""),"",IF($H217=0,0,IF($U217="Profit",$Q217/$H217,IF($U217="Disqualified",-$S217/$H217,0)))))</x:f>
      </x:c>
      <x:c r="U217" s="290" t="str">
        <x:f>IF(COUNTA($A217:$M217)=0,"",IF(OR(LOWER($F217&amp;"")="subscription",LOWER($F217&amp;"")="membership"),"Subscription",IF(LOWER($L217&amp;"")="yes","Disqualified",IF(OR(LOWER($F217&amp;"")="free game",LOWER($F217&amp;"")="free"),IF(AND(ISNUMBER($P217),ISNUMBER($H217),$P217&gt;$H217),"Profit","Free Game"),IF($P217="","",IF(ROUND(IFERROR(VALUE($P217),0)-IFERROR(VALUE($H217),0),2)&gt;0,"Profit","Draw"))))))</x:f>
      </x:c>
      <x:c r="V217" s="144" t="str">
        <x:f>IF(COUNTA($A217:$M217)=0,"",IF(OR($B217="",$C217="",$U217="Subscription"),"",IFERROR(ROUNDUP(($C217-$B217)/7,0),"")))</x:f>
      </x:c>
      <x:c r="W217" s="112" t="str">
        <x:f>IF(COUNTA($A217:$M217)=0,"",IF(OR($U217="Subscription",$U217=""),"",ROUND(IFERROR($Q217,0)-IFERROR($S217,0),2)))</x:f>
      </x:c>
      <x:c r="X217" s="144" t="str">
        <x:f>IF(COUNTA($A217:$M217)=0,"",IF(OR($U217="Subscription",$U217="Free Game",NOT(ISNUMBER($J217)),NOT(ISNUMBER($I217)),$J217=0,$I217=0,$I217&gt;$J217),"",$J217-$I217))</x:f>
      </x:c>
      <x:c r="Y217" s="116" t="str">
        <x:f>IF(COUNTA($A217:$M217)=0,"",IF(OR($U217="Subscription",$U217="Free Game",NOT(ISNUMBER($J217)),$J217=0,$X217=""),"",$X217/$J217))</x:f>
      </x:c>
      <x:c r="Z217" s="118" t="str">
        <x:f>IF(COUNTA($A217:$M217)=0,"",Instructions!$B$29+SUM($W$5:W217))</x:f>
      </x:c>
    </x:row>
    <x:row r="218" ht="30" customHeight="1">
      <x:c r="A218" s="477"/>
      <x:c r="B218" s="482"/>
      <x:c r="C218" s="482"/>
      <x:c r="D218" s="483"/>
      <x:c r="E218" s="483"/>
      <x:c r="F218" s="483"/>
      <x:c r="G218" s="484"/>
      <x:c r="H218" s="484"/>
      <x:c r="I218" s="485"/>
      <x:c r="J218" s="485"/>
      <x:c r="K218" s="484"/>
      <x:c r="L218" s="483"/>
      <x:c r="M218" s="477"/>
      <x:c r="N218" s="112" t="str">
        <x:f>IF(COUNTA($A218:$M218)=0,"",IF(OR(LOWER($F218&amp;"")="subscription",LOWER($F218&amp;"")="membership"),"",IF($G218="","",IF(ISNUMBER(SEARCH("non",LOWER($E218&amp;""))),$G218*0.85,$G218))))</x:f>
      </x:c>
      <x:c r="O218" s="112" t="str">
        <x:f>IF(COUNTA($A218:$M218)=0,"",IF(OR(LOWER($F218&amp;"")="subscription",LOWER($F218&amp;"")="membership"),"",IF(OR($N218="",$I218="",$I218=0),"",IFERROR($N218/$I218,""))))</x:f>
      </x:c>
      <x:c r="P218" s="112" t="str">
        <x:f>IF(COUNTA($A218:$M218)=0,"",IF(OR(LOWER($F218&amp;"")="subscription",LOWER($F218&amp;"")="membership"),"",IF(LOWER($L218&amp;"")="yes",0,IF($K218&lt;&gt;"",$K218,IF($O218&lt;&gt;"",$O218,"")))))</x:f>
      </x:c>
      <x:c r="Q218" s="112" t="str">
        <x:f>IF(COUNTA($A218:$M218)=0,"",IF(OR($U218="Subscription",$U218=""),"",IF($U218="Profit",ROUND($P218-$H218,2),0)))</x:f>
      </x:c>
      <x:c r="R218" s="112" t="str">
        <x:f>IF(COUNTA($A218:$M218)=0,"",IF(OR($U218="Subscription",$U218=""),"",IF($U218="Draw",$H218,0)))</x:f>
      </x:c>
      <x:c r="S218" s="112" t="str">
        <x:f>IF(COUNTA($A218:$M218)=0,"",IF(OR($U218="Subscription",$U218=""),"",IF($U218="Disqualified",$H218,0)))</x:f>
      </x:c>
      <x:c r="T218" s="116" t="str">
        <x:f>IF(COUNTA($A218:$M218)=0,"",IF(OR($U218="Subscription",$U218=""),"",IF($H218=0,0,IF($U218="Profit",$Q218/$H218,IF($U218="Disqualified",-$S218/$H218,0)))))</x:f>
      </x:c>
      <x:c r="U218" s="290" t="str">
        <x:f>IF(COUNTA($A218:$M218)=0,"",IF(OR(LOWER($F218&amp;"")="subscription",LOWER($F218&amp;"")="membership"),"Subscription",IF(LOWER($L218&amp;"")="yes","Disqualified",IF(OR(LOWER($F218&amp;"")="free game",LOWER($F218&amp;"")="free"),IF(AND(ISNUMBER($P218),ISNUMBER($H218),$P218&gt;$H218),"Profit","Free Game"),IF($P218="","",IF(ROUND(IFERROR(VALUE($P218),0)-IFERROR(VALUE($H218),0),2)&gt;0,"Profit","Draw"))))))</x:f>
      </x:c>
      <x:c r="V218" s="144" t="str">
        <x:f>IF(COUNTA($A218:$M218)=0,"",IF(OR($B218="",$C218="",$U218="Subscription"),"",IFERROR(ROUNDUP(($C218-$B218)/7,0),"")))</x:f>
      </x:c>
      <x:c r="W218" s="112" t="str">
        <x:f>IF(COUNTA($A218:$M218)=0,"",IF(OR($U218="Subscription",$U218=""),"",ROUND(IFERROR($Q218,0)-IFERROR($S218,0),2)))</x:f>
      </x:c>
      <x:c r="X218" s="144" t="str">
        <x:f>IF(COUNTA($A218:$M218)=0,"",IF(OR($U218="Subscription",$U218="Free Game",NOT(ISNUMBER($J218)),NOT(ISNUMBER($I218)),$J218=0,$I218=0,$I218&gt;$J218),"",$J218-$I218))</x:f>
      </x:c>
      <x:c r="Y218" s="116" t="str">
        <x:f>IF(COUNTA($A218:$M218)=0,"",IF(OR($U218="Subscription",$U218="Free Game",NOT(ISNUMBER($J218)),$J218=0,$X218=""),"",$X218/$J218))</x:f>
      </x:c>
      <x:c r="Z218" s="118" t="str">
        <x:f>IF(COUNTA($A218:$M218)=0,"",Instructions!$B$29+SUM($W$5:W218))</x:f>
      </x:c>
    </x:row>
    <x:row r="219" ht="30" customHeight="1">
      <x:c r="A219" s="477"/>
      <x:c r="B219" s="482"/>
      <x:c r="C219" s="482"/>
      <x:c r="D219" s="483"/>
      <x:c r="E219" s="483"/>
      <x:c r="F219" s="483"/>
      <x:c r="G219" s="484"/>
      <x:c r="H219" s="484"/>
      <x:c r="I219" s="485"/>
      <x:c r="J219" s="485"/>
      <x:c r="K219" s="484"/>
      <x:c r="L219" s="483"/>
      <x:c r="M219" s="477"/>
      <x:c r="N219" s="112" t="str">
        <x:f>IF(COUNTA($A219:$M219)=0,"",IF(OR(LOWER($F219&amp;"")="subscription",LOWER($F219&amp;"")="membership"),"",IF($G219="","",IF(ISNUMBER(SEARCH("non",LOWER($E219&amp;""))),$G219*0.85,$G219))))</x:f>
      </x:c>
      <x:c r="O219" s="112" t="str">
        <x:f>IF(COUNTA($A219:$M219)=0,"",IF(OR(LOWER($F219&amp;"")="subscription",LOWER($F219&amp;"")="membership"),"",IF(OR($N219="",$I219="",$I219=0),"",IFERROR($N219/$I219,""))))</x:f>
      </x:c>
      <x:c r="P219" s="112" t="str">
        <x:f>IF(COUNTA($A219:$M219)=0,"",IF(OR(LOWER($F219&amp;"")="subscription",LOWER($F219&amp;"")="membership"),"",IF(LOWER($L219&amp;"")="yes",0,IF($K219&lt;&gt;"",$K219,IF($O219&lt;&gt;"",$O219,"")))))</x:f>
      </x:c>
      <x:c r="Q219" s="112" t="str">
        <x:f>IF(COUNTA($A219:$M219)=0,"",IF(OR($U219="Subscription",$U219=""),"",IF($U219="Profit",ROUND($P219-$H219,2),0)))</x:f>
      </x:c>
      <x:c r="R219" s="112" t="str">
        <x:f>IF(COUNTA($A219:$M219)=0,"",IF(OR($U219="Subscription",$U219=""),"",IF($U219="Draw",$H219,0)))</x:f>
      </x:c>
      <x:c r="S219" s="112" t="str">
        <x:f>IF(COUNTA($A219:$M219)=0,"",IF(OR($U219="Subscription",$U219=""),"",IF($U219="Disqualified",$H219,0)))</x:f>
      </x:c>
      <x:c r="T219" s="116" t="str">
        <x:f>IF(COUNTA($A219:$M219)=0,"",IF(OR($U219="Subscription",$U219=""),"",IF($H219=0,0,IF($U219="Profit",$Q219/$H219,IF($U219="Disqualified",-$S219/$H219,0)))))</x:f>
      </x:c>
      <x:c r="U219" s="290" t="str">
        <x:f>IF(COUNTA($A219:$M219)=0,"",IF(OR(LOWER($F219&amp;"")="subscription",LOWER($F219&amp;"")="membership"),"Subscription",IF(LOWER($L219&amp;"")="yes","Disqualified",IF(OR(LOWER($F219&amp;"")="free game",LOWER($F219&amp;"")="free"),IF(AND(ISNUMBER($P219),ISNUMBER($H219),$P219&gt;$H219),"Profit","Free Game"),IF($P219="","",IF(ROUND(IFERROR(VALUE($P219),0)-IFERROR(VALUE($H219),0),2)&gt;0,"Profit","Draw"))))))</x:f>
      </x:c>
      <x:c r="V219" s="144" t="str">
        <x:f>IF(COUNTA($A219:$M219)=0,"",IF(OR($B219="",$C219="",$U219="Subscription"),"",IFERROR(ROUNDUP(($C219-$B219)/7,0),"")))</x:f>
      </x:c>
      <x:c r="W219" s="112" t="str">
        <x:f>IF(COUNTA($A219:$M219)=0,"",IF(OR($U219="Subscription",$U219=""),"",ROUND(IFERROR($Q219,0)-IFERROR($S219,0),2)))</x:f>
      </x:c>
      <x:c r="X219" s="144" t="str">
        <x:f>IF(COUNTA($A219:$M219)=0,"",IF(OR($U219="Subscription",$U219="Free Game",NOT(ISNUMBER($J219)),NOT(ISNUMBER($I219)),$J219=0,$I219=0,$I219&gt;$J219),"",$J219-$I219))</x:f>
      </x:c>
      <x:c r="Y219" s="116" t="str">
        <x:f>IF(COUNTA($A219:$M219)=0,"",IF(OR($U219="Subscription",$U219="Free Game",NOT(ISNUMBER($J219)),$J219=0,$X219=""),"",$X219/$J219))</x:f>
      </x:c>
      <x:c r="Z219" s="118" t="str">
        <x:f>IF(COUNTA($A219:$M219)=0,"",Instructions!$B$29+SUM($W$5:W219))</x:f>
      </x:c>
    </x:row>
    <x:row r="220" ht="30" customHeight="1">
      <x:c r="A220" s="477"/>
      <x:c r="B220" s="482"/>
      <x:c r="C220" s="482"/>
      <x:c r="D220" s="483"/>
      <x:c r="E220" s="483"/>
      <x:c r="F220" s="483"/>
      <x:c r="G220" s="484"/>
      <x:c r="H220" s="484"/>
      <x:c r="I220" s="485"/>
      <x:c r="J220" s="485"/>
      <x:c r="K220" s="484"/>
      <x:c r="L220" s="483"/>
      <x:c r="M220" s="477"/>
      <x:c r="N220" s="112" t="str">
        <x:f>IF(COUNTA($A220:$M220)=0,"",IF(OR(LOWER($F220&amp;"")="subscription",LOWER($F220&amp;"")="membership"),"",IF($G220="","",IF(ISNUMBER(SEARCH("non",LOWER($E220&amp;""))),$G220*0.85,$G220))))</x:f>
      </x:c>
      <x:c r="O220" s="112" t="str">
        <x:f>IF(COUNTA($A220:$M220)=0,"",IF(OR(LOWER($F220&amp;"")="subscription",LOWER($F220&amp;"")="membership"),"",IF(OR($N220="",$I220="",$I220=0),"",IFERROR($N220/$I220,""))))</x:f>
      </x:c>
      <x:c r="P220" s="112" t="str">
        <x:f>IF(COUNTA($A220:$M220)=0,"",IF(OR(LOWER($F220&amp;"")="subscription",LOWER($F220&amp;"")="membership"),"",IF(LOWER($L220&amp;"")="yes",0,IF($K220&lt;&gt;"",$K220,IF($O220&lt;&gt;"",$O220,"")))))</x:f>
      </x:c>
      <x:c r="Q220" s="112" t="str">
        <x:f>IF(COUNTA($A220:$M220)=0,"",IF(OR($U220="Subscription",$U220=""),"",IF($U220="Profit",ROUND($P220-$H220,2),0)))</x:f>
      </x:c>
      <x:c r="R220" s="112" t="str">
        <x:f>IF(COUNTA($A220:$M220)=0,"",IF(OR($U220="Subscription",$U220=""),"",IF($U220="Draw",$H220,0)))</x:f>
      </x:c>
      <x:c r="S220" s="112" t="str">
        <x:f>IF(COUNTA($A220:$M220)=0,"",IF(OR($U220="Subscription",$U220=""),"",IF($U220="Disqualified",$H220,0)))</x:f>
      </x:c>
      <x:c r="T220" s="116" t="str">
        <x:f>IF(COUNTA($A220:$M220)=0,"",IF(OR($U220="Subscription",$U220=""),"",IF($H220=0,0,IF($U220="Profit",$Q220/$H220,IF($U220="Disqualified",-$S220/$H220,0)))))</x:f>
      </x:c>
      <x:c r="U220" s="290" t="str">
        <x:f>IF(COUNTA($A220:$M220)=0,"",IF(OR(LOWER($F220&amp;"")="subscription",LOWER($F220&amp;"")="membership"),"Subscription",IF(LOWER($L220&amp;"")="yes","Disqualified",IF(OR(LOWER($F220&amp;"")="free game",LOWER($F220&amp;"")="free"),IF(AND(ISNUMBER($P220),ISNUMBER($H220),$P220&gt;$H220),"Profit","Free Game"),IF($P220="","",IF(ROUND(IFERROR(VALUE($P220),0)-IFERROR(VALUE($H220),0),2)&gt;0,"Profit","Draw"))))))</x:f>
      </x:c>
      <x:c r="V220" s="144" t="str">
        <x:f>IF(COUNTA($A220:$M220)=0,"",IF(OR($B220="",$C220="",$U220="Subscription"),"",IFERROR(ROUNDUP(($C220-$B220)/7,0),"")))</x:f>
      </x:c>
      <x:c r="W220" s="112" t="str">
        <x:f>IF(COUNTA($A220:$M220)=0,"",IF(OR($U220="Subscription",$U220=""),"",ROUND(IFERROR($Q220,0)-IFERROR($S220,0),2)))</x:f>
      </x:c>
      <x:c r="X220" s="144" t="str">
        <x:f>IF(COUNTA($A220:$M220)=0,"",IF(OR($U220="Subscription",$U220="Free Game",NOT(ISNUMBER($J220)),NOT(ISNUMBER($I220)),$J220=0,$I220=0,$I220&gt;$J220),"",$J220-$I220))</x:f>
      </x:c>
      <x:c r="Y220" s="116" t="str">
        <x:f>IF(COUNTA($A220:$M220)=0,"",IF(OR($U220="Subscription",$U220="Free Game",NOT(ISNUMBER($J220)),$J220=0,$X220=""),"",$X220/$J220))</x:f>
      </x:c>
      <x:c r="Z220" s="118" t="str">
        <x:f>IF(COUNTA($A220:$M220)=0,"",Instructions!$B$29+SUM($W$5:W220))</x:f>
      </x:c>
    </x:row>
    <x:row r="221" ht="30" customHeight="1">
      <x:c r="A221" s="477"/>
      <x:c r="B221" s="482"/>
      <x:c r="C221" s="482"/>
      <x:c r="D221" s="483"/>
      <x:c r="E221" s="483"/>
      <x:c r="F221" s="483"/>
      <x:c r="G221" s="484"/>
      <x:c r="H221" s="484"/>
      <x:c r="I221" s="485"/>
      <x:c r="J221" s="485"/>
      <x:c r="K221" s="484"/>
      <x:c r="L221" s="483"/>
      <x:c r="M221" s="477"/>
      <x:c r="N221" s="112" t="str">
        <x:f>IF(COUNTA($A221:$M221)=0,"",IF(OR(LOWER($F221&amp;"")="subscription",LOWER($F221&amp;"")="membership"),"",IF($G221="","",IF(ISNUMBER(SEARCH("non",LOWER($E221&amp;""))),$G221*0.85,$G221))))</x:f>
      </x:c>
      <x:c r="O221" s="112" t="str">
        <x:f>IF(COUNTA($A221:$M221)=0,"",IF(OR(LOWER($F221&amp;"")="subscription",LOWER($F221&amp;"")="membership"),"",IF(OR($N221="",$I221="",$I221=0),"",IFERROR($N221/$I221,""))))</x:f>
      </x:c>
      <x:c r="P221" s="112" t="str">
        <x:f>IF(COUNTA($A221:$M221)=0,"",IF(OR(LOWER($F221&amp;"")="subscription",LOWER($F221&amp;"")="membership"),"",IF(LOWER($L221&amp;"")="yes",0,IF($K221&lt;&gt;"",$K221,IF($O221&lt;&gt;"",$O221,"")))))</x:f>
      </x:c>
      <x:c r="Q221" s="112" t="str">
        <x:f>IF(COUNTA($A221:$M221)=0,"",IF(OR($U221="Subscription",$U221=""),"",IF($U221="Profit",ROUND($P221-$H221,2),0)))</x:f>
      </x:c>
      <x:c r="R221" s="112" t="str">
        <x:f>IF(COUNTA($A221:$M221)=0,"",IF(OR($U221="Subscription",$U221=""),"",IF($U221="Draw",$H221,0)))</x:f>
      </x:c>
      <x:c r="S221" s="112" t="str">
        <x:f>IF(COUNTA($A221:$M221)=0,"",IF(OR($U221="Subscription",$U221=""),"",IF($U221="Disqualified",$H221,0)))</x:f>
      </x:c>
      <x:c r="T221" s="116" t="str">
        <x:f>IF(COUNTA($A221:$M221)=0,"",IF(OR($U221="Subscription",$U221=""),"",IF($H221=0,0,IF($U221="Profit",$Q221/$H221,IF($U221="Disqualified",-$S221/$H221,0)))))</x:f>
      </x:c>
      <x:c r="U221" s="290" t="str">
        <x:f>IF(COUNTA($A221:$M221)=0,"",IF(OR(LOWER($F221&amp;"")="subscription",LOWER($F221&amp;"")="membership"),"Subscription",IF(LOWER($L221&amp;"")="yes","Disqualified",IF(OR(LOWER($F221&amp;"")="free game",LOWER($F221&amp;"")="free"),IF(AND(ISNUMBER($P221),ISNUMBER($H221),$P221&gt;$H221),"Profit","Free Game"),IF($P221="","",IF(ROUND(IFERROR(VALUE($P221),0)-IFERROR(VALUE($H221),0),2)&gt;0,"Profit","Draw"))))))</x:f>
      </x:c>
      <x:c r="V221" s="144" t="str">
        <x:f>IF(COUNTA($A221:$M221)=0,"",IF(OR($B221="",$C221="",$U221="Subscription"),"",IFERROR(ROUNDUP(($C221-$B221)/7,0),"")))</x:f>
      </x:c>
      <x:c r="W221" s="112" t="str">
        <x:f>IF(COUNTA($A221:$M221)=0,"",IF(OR($U221="Subscription",$U221=""),"",ROUND(IFERROR($Q221,0)-IFERROR($S221,0),2)))</x:f>
      </x:c>
      <x:c r="X221" s="144" t="str">
        <x:f>IF(COUNTA($A221:$M221)=0,"",IF(OR($U221="Subscription",$U221="Free Game",NOT(ISNUMBER($J221)),NOT(ISNUMBER($I221)),$J221=0,$I221=0,$I221&gt;$J221),"",$J221-$I221))</x:f>
      </x:c>
      <x:c r="Y221" s="116" t="str">
        <x:f>IF(COUNTA($A221:$M221)=0,"",IF(OR($U221="Subscription",$U221="Free Game",NOT(ISNUMBER($J221)),$J221=0,$X221=""),"",$X221/$J221))</x:f>
      </x:c>
      <x:c r="Z221" s="118" t="str">
        <x:f>IF(COUNTA($A221:$M221)=0,"",Instructions!$B$29+SUM($W$5:W221))</x:f>
      </x:c>
    </x:row>
    <x:row r="222" ht="30" customHeight="1">
      <x:c r="A222" s="477"/>
      <x:c r="B222" s="482"/>
      <x:c r="C222" s="482"/>
      <x:c r="D222" s="483"/>
      <x:c r="E222" s="483"/>
      <x:c r="F222" s="483"/>
      <x:c r="G222" s="484"/>
      <x:c r="H222" s="484"/>
      <x:c r="I222" s="485"/>
      <x:c r="J222" s="485"/>
      <x:c r="K222" s="484"/>
      <x:c r="L222" s="483"/>
      <x:c r="M222" s="477"/>
      <x:c r="N222" s="112" t="str">
        <x:f>IF(COUNTA($A222:$M222)=0,"",IF(OR(LOWER($F222&amp;"")="subscription",LOWER($F222&amp;"")="membership"),"",IF($G222="","",IF(ISNUMBER(SEARCH("non",LOWER($E222&amp;""))),$G222*0.85,$G222))))</x:f>
      </x:c>
      <x:c r="O222" s="112" t="str">
        <x:f>IF(COUNTA($A222:$M222)=0,"",IF(OR(LOWER($F222&amp;"")="subscription",LOWER($F222&amp;"")="membership"),"",IF(OR($N222="",$I222="",$I222=0),"",IFERROR($N222/$I222,""))))</x:f>
      </x:c>
      <x:c r="P222" s="112" t="str">
        <x:f>IF(COUNTA($A222:$M222)=0,"",IF(OR(LOWER($F222&amp;"")="subscription",LOWER($F222&amp;"")="membership"),"",IF(LOWER($L222&amp;"")="yes",0,IF($K222&lt;&gt;"",$K222,IF($O222&lt;&gt;"",$O222,"")))))</x:f>
      </x:c>
      <x:c r="Q222" s="112" t="str">
        <x:f>IF(COUNTA($A222:$M222)=0,"",IF(OR($U222="Subscription",$U222=""),"",IF($U222="Profit",ROUND($P222-$H222,2),0)))</x:f>
      </x:c>
      <x:c r="R222" s="112" t="str">
        <x:f>IF(COUNTA($A222:$M222)=0,"",IF(OR($U222="Subscription",$U222=""),"",IF($U222="Draw",$H222,0)))</x:f>
      </x:c>
      <x:c r="S222" s="112" t="str">
        <x:f>IF(COUNTA($A222:$M222)=0,"",IF(OR($U222="Subscription",$U222=""),"",IF($U222="Disqualified",$H222,0)))</x:f>
      </x:c>
      <x:c r="T222" s="116" t="str">
        <x:f>IF(COUNTA($A222:$M222)=0,"",IF(OR($U222="Subscription",$U222=""),"",IF($H222=0,0,IF($U222="Profit",$Q222/$H222,IF($U222="Disqualified",-$S222/$H222,0)))))</x:f>
      </x:c>
      <x:c r="U222" s="290" t="str">
        <x:f>IF(COUNTA($A222:$M222)=0,"",IF(OR(LOWER($F222&amp;"")="subscription",LOWER($F222&amp;"")="membership"),"Subscription",IF(LOWER($L222&amp;"")="yes","Disqualified",IF(OR(LOWER($F222&amp;"")="free game",LOWER($F222&amp;"")="free"),IF(AND(ISNUMBER($P222),ISNUMBER($H222),$P222&gt;$H222),"Profit","Free Game"),IF($P222="","",IF(ROUND(IFERROR(VALUE($P222),0)-IFERROR(VALUE($H222),0),2)&gt;0,"Profit","Draw"))))))</x:f>
      </x:c>
      <x:c r="V222" s="144" t="str">
        <x:f>IF(COUNTA($A222:$M222)=0,"",IF(OR($B222="",$C222="",$U222="Subscription"),"",IFERROR(ROUNDUP(($C222-$B222)/7,0),"")))</x:f>
      </x:c>
      <x:c r="W222" s="112" t="str">
        <x:f>IF(COUNTA($A222:$M222)=0,"",IF(OR($U222="Subscription",$U222=""),"",ROUND(IFERROR($Q222,0)-IFERROR($S222,0),2)))</x:f>
      </x:c>
      <x:c r="X222" s="144" t="str">
        <x:f>IF(COUNTA($A222:$M222)=0,"",IF(OR($U222="Subscription",$U222="Free Game",NOT(ISNUMBER($J222)),NOT(ISNUMBER($I222)),$J222=0,$I222=0,$I222&gt;$J222),"",$J222-$I222))</x:f>
      </x:c>
      <x:c r="Y222" s="116" t="str">
        <x:f>IF(COUNTA($A222:$M222)=0,"",IF(OR($U222="Subscription",$U222="Free Game",NOT(ISNUMBER($J222)),$J222=0,$X222=""),"",$X222/$J222))</x:f>
      </x:c>
      <x:c r="Z222" s="118" t="str">
        <x:f>IF(COUNTA($A222:$M222)=0,"",Instructions!$B$29+SUM($W$5:W222))</x:f>
      </x:c>
    </x:row>
    <x:row r="223" ht="30" customHeight="1">
      <x:c r="A223" s="477"/>
      <x:c r="B223" s="482"/>
      <x:c r="C223" s="482"/>
      <x:c r="D223" s="483"/>
      <x:c r="E223" s="483"/>
      <x:c r="F223" s="483"/>
      <x:c r="G223" s="484"/>
      <x:c r="H223" s="484"/>
      <x:c r="I223" s="485"/>
      <x:c r="J223" s="485"/>
      <x:c r="K223" s="484"/>
      <x:c r="L223" s="483"/>
      <x:c r="M223" s="477"/>
      <x:c r="N223" s="112" t="str">
        <x:f>IF(COUNTA($A223:$M223)=0,"",IF(OR(LOWER($F223&amp;"")="subscription",LOWER($F223&amp;"")="membership"),"",IF($G223="","",IF(ISNUMBER(SEARCH("non",LOWER($E223&amp;""))),$G223*0.85,$G223))))</x:f>
      </x:c>
      <x:c r="O223" s="112" t="str">
        <x:f>IF(COUNTA($A223:$M223)=0,"",IF(OR(LOWER($F223&amp;"")="subscription",LOWER($F223&amp;"")="membership"),"",IF(OR($N223="",$I223="",$I223=0),"",IFERROR($N223/$I223,""))))</x:f>
      </x:c>
      <x:c r="P223" s="112" t="str">
        <x:f>IF(COUNTA($A223:$M223)=0,"",IF(OR(LOWER($F223&amp;"")="subscription",LOWER($F223&amp;"")="membership"),"",IF(LOWER($L223&amp;"")="yes",0,IF($K223&lt;&gt;"",$K223,IF($O223&lt;&gt;"",$O223,"")))))</x:f>
      </x:c>
      <x:c r="Q223" s="112" t="str">
        <x:f>IF(COUNTA($A223:$M223)=0,"",IF(OR($U223="Subscription",$U223=""),"",IF($U223="Profit",ROUND($P223-$H223,2),0)))</x:f>
      </x:c>
      <x:c r="R223" s="112" t="str">
        <x:f>IF(COUNTA($A223:$M223)=0,"",IF(OR($U223="Subscription",$U223=""),"",IF($U223="Draw",$H223,0)))</x:f>
      </x:c>
      <x:c r="S223" s="112" t="str">
        <x:f>IF(COUNTA($A223:$M223)=0,"",IF(OR($U223="Subscription",$U223=""),"",IF($U223="Disqualified",$H223,0)))</x:f>
      </x:c>
      <x:c r="T223" s="116" t="str">
        <x:f>IF(COUNTA($A223:$M223)=0,"",IF(OR($U223="Subscription",$U223=""),"",IF($H223=0,0,IF($U223="Profit",$Q223/$H223,IF($U223="Disqualified",-$S223/$H223,0)))))</x:f>
      </x:c>
      <x:c r="U223" s="290" t="str">
        <x:f>IF(COUNTA($A223:$M223)=0,"",IF(OR(LOWER($F223&amp;"")="subscription",LOWER($F223&amp;"")="membership"),"Subscription",IF(LOWER($L223&amp;"")="yes","Disqualified",IF(OR(LOWER($F223&amp;"")="free game",LOWER($F223&amp;"")="free"),IF(AND(ISNUMBER($P223),ISNUMBER($H223),$P223&gt;$H223),"Profit","Free Game"),IF($P223="","",IF(ROUND(IFERROR(VALUE($P223),0)-IFERROR(VALUE($H223),0),2)&gt;0,"Profit","Draw"))))))</x:f>
      </x:c>
      <x:c r="V223" s="144" t="str">
        <x:f>IF(COUNTA($A223:$M223)=0,"",IF(OR($B223="",$C223="",$U223="Subscription"),"",IFERROR(ROUNDUP(($C223-$B223)/7,0),"")))</x:f>
      </x:c>
      <x:c r="W223" s="112" t="str">
        <x:f>IF(COUNTA($A223:$M223)=0,"",IF(OR($U223="Subscription",$U223=""),"",ROUND(IFERROR($Q223,0)-IFERROR($S223,0),2)))</x:f>
      </x:c>
      <x:c r="X223" s="144" t="str">
        <x:f>IF(COUNTA($A223:$M223)=0,"",IF(OR($U223="Subscription",$U223="Free Game",NOT(ISNUMBER($J223)),NOT(ISNUMBER($I223)),$J223=0,$I223=0,$I223&gt;$J223),"",$J223-$I223))</x:f>
      </x:c>
      <x:c r="Y223" s="116" t="str">
        <x:f>IF(COUNTA($A223:$M223)=0,"",IF(OR($U223="Subscription",$U223="Free Game",NOT(ISNUMBER($J223)),$J223=0,$X223=""),"",$X223/$J223))</x:f>
      </x:c>
      <x:c r="Z223" s="118" t="str">
        <x:f>IF(COUNTA($A223:$M223)=0,"",Instructions!$B$29+SUM($W$5:W223))</x:f>
      </x:c>
    </x:row>
    <x:row r="224" ht="30" customHeight="1">
      <x:c r="A224" s="477"/>
      <x:c r="B224" s="482"/>
      <x:c r="C224" s="482"/>
      <x:c r="D224" s="483"/>
      <x:c r="E224" s="483"/>
      <x:c r="F224" s="483"/>
      <x:c r="G224" s="484"/>
      <x:c r="H224" s="484"/>
      <x:c r="I224" s="485"/>
      <x:c r="J224" s="485"/>
      <x:c r="K224" s="484"/>
      <x:c r="L224" s="483"/>
      <x:c r="M224" s="477"/>
      <x:c r="N224" s="112" t="str">
        <x:f>IF(COUNTA($A224:$M224)=0,"",IF(OR(LOWER($F224&amp;"")="subscription",LOWER($F224&amp;"")="membership"),"",IF($G224="","",IF(ISNUMBER(SEARCH("non",LOWER($E224&amp;""))),$G224*0.85,$G224))))</x:f>
      </x:c>
      <x:c r="O224" s="112" t="str">
        <x:f>IF(COUNTA($A224:$M224)=0,"",IF(OR(LOWER($F224&amp;"")="subscription",LOWER($F224&amp;"")="membership"),"",IF(OR($N224="",$I224="",$I224=0),"",IFERROR($N224/$I224,""))))</x:f>
      </x:c>
      <x:c r="P224" s="112" t="str">
        <x:f>IF(COUNTA($A224:$M224)=0,"",IF(OR(LOWER($F224&amp;"")="subscription",LOWER($F224&amp;"")="membership"),"",IF(LOWER($L224&amp;"")="yes",0,IF($K224&lt;&gt;"",$K224,IF($O224&lt;&gt;"",$O224,"")))))</x:f>
      </x:c>
      <x:c r="Q224" s="112" t="str">
        <x:f>IF(COUNTA($A224:$M224)=0,"",IF(OR($U224="Subscription",$U224=""),"",IF($U224="Profit",ROUND($P224-$H224,2),0)))</x:f>
      </x:c>
      <x:c r="R224" s="112" t="str">
        <x:f>IF(COUNTA($A224:$M224)=0,"",IF(OR($U224="Subscription",$U224=""),"",IF($U224="Draw",$H224,0)))</x:f>
      </x:c>
      <x:c r="S224" s="112" t="str">
        <x:f>IF(COUNTA($A224:$M224)=0,"",IF(OR($U224="Subscription",$U224=""),"",IF($U224="Disqualified",$H224,0)))</x:f>
      </x:c>
      <x:c r="T224" s="116" t="str">
        <x:f>IF(COUNTA($A224:$M224)=0,"",IF(OR($U224="Subscription",$U224=""),"",IF($H224=0,0,IF($U224="Profit",$Q224/$H224,IF($U224="Disqualified",-$S224/$H224,0)))))</x:f>
      </x:c>
      <x:c r="U224" s="290" t="str">
        <x:f>IF(COUNTA($A224:$M224)=0,"",IF(OR(LOWER($F224&amp;"")="subscription",LOWER($F224&amp;"")="membership"),"Subscription",IF(LOWER($L224&amp;"")="yes","Disqualified",IF(OR(LOWER($F224&amp;"")="free game",LOWER($F224&amp;"")="free"),IF(AND(ISNUMBER($P224),ISNUMBER($H224),$P224&gt;$H224),"Profit","Free Game"),IF($P224="","",IF(ROUND(IFERROR(VALUE($P224),0)-IFERROR(VALUE($H224),0),2)&gt;0,"Profit","Draw"))))))</x:f>
      </x:c>
      <x:c r="V224" s="144" t="str">
        <x:f>IF(COUNTA($A224:$M224)=0,"",IF(OR($B224="",$C224="",$U224="Subscription"),"",IFERROR(ROUNDUP(($C224-$B224)/7,0),"")))</x:f>
      </x:c>
      <x:c r="W224" s="112" t="str">
        <x:f>IF(COUNTA($A224:$M224)=0,"",IF(OR($U224="Subscription",$U224=""),"",ROUND(IFERROR($Q224,0)-IFERROR($S224,0),2)))</x:f>
      </x:c>
      <x:c r="X224" s="144" t="str">
        <x:f>IF(COUNTA($A224:$M224)=0,"",IF(OR($U224="Subscription",$U224="Free Game",NOT(ISNUMBER($J224)),NOT(ISNUMBER($I224)),$J224=0,$I224=0,$I224&gt;$J224),"",$J224-$I224))</x:f>
      </x:c>
      <x:c r="Y224" s="116" t="str">
        <x:f>IF(COUNTA($A224:$M224)=0,"",IF(OR($U224="Subscription",$U224="Free Game",NOT(ISNUMBER($J224)),$J224=0,$X224=""),"",$X224/$J224))</x:f>
      </x:c>
      <x:c r="Z224" s="118" t="str">
        <x:f>IF(COUNTA($A224:$M224)=0,"",Instructions!$B$29+SUM($W$5:W224))</x:f>
      </x:c>
    </x:row>
    <x:row r="225" ht="30" customHeight="1">
      <x:c r="A225" s="477"/>
      <x:c r="B225" s="482"/>
      <x:c r="C225" s="482"/>
      <x:c r="D225" s="483"/>
      <x:c r="E225" s="483"/>
      <x:c r="F225" s="483"/>
      <x:c r="G225" s="484"/>
      <x:c r="H225" s="484"/>
      <x:c r="I225" s="485"/>
      <x:c r="J225" s="485"/>
      <x:c r="K225" s="484"/>
      <x:c r="L225" s="483"/>
      <x:c r="M225" s="477"/>
      <x:c r="N225" s="112" t="str">
        <x:f>IF(COUNTA($A225:$M225)=0,"",IF(OR(LOWER($F225&amp;"")="subscription",LOWER($F225&amp;"")="membership"),"",IF($G225="","",IF(ISNUMBER(SEARCH("non",LOWER($E225&amp;""))),$G225*0.85,$G225))))</x:f>
      </x:c>
      <x:c r="O225" s="112" t="str">
        <x:f>IF(COUNTA($A225:$M225)=0,"",IF(OR(LOWER($F225&amp;"")="subscription",LOWER($F225&amp;"")="membership"),"",IF(OR($N225="",$I225="",$I225=0),"",IFERROR($N225/$I225,""))))</x:f>
      </x:c>
      <x:c r="P225" s="112" t="str">
        <x:f>IF(COUNTA($A225:$M225)=0,"",IF(OR(LOWER($F225&amp;"")="subscription",LOWER($F225&amp;"")="membership"),"",IF(LOWER($L225&amp;"")="yes",0,IF($K225&lt;&gt;"",$K225,IF($O225&lt;&gt;"",$O225,"")))))</x:f>
      </x:c>
      <x:c r="Q225" s="112" t="str">
        <x:f>IF(COUNTA($A225:$M225)=0,"",IF(OR($U225="Subscription",$U225=""),"",IF($U225="Profit",ROUND($P225-$H225,2),0)))</x:f>
      </x:c>
      <x:c r="R225" s="112" t="str">
        <x:f>IF(COUNTA($A225:$M225)=0,"",IF(OR($U225="Subscription",$U225=""),"",IF($U225="Draw",$H225,0)))</x:f>
      </x:c>
      <x:c r="S225" s="112" t="str">
        <x:f>IF(COUNTA($A225:$M225)=0,"",IF(OR($U225="Subscription",$U225=""),"",IF($U225="Disqualified",$H225,0)))</x:f>
      </x:c>
      <x:c r="T225" s="116" t="str">
        <x:f>IF(COUNTA($A225:$M225)=0,"",IF(OR($U225="Subscription",$U225=""),"",IF($H225=0,0,IF($U225="Profit",$Q225/$H225,IF($U225="Disqualified",-$S225/$H225,0)))))</x:f>
      </x:c>
      <x:c r="U225" s="290" t="str">
        <x:f>IF(COUNTA($A225:$M225)=0,"",IF(OR(LOWER($F225&amp;"")="subscription",LOWER($F225&amp;"")="membership"),"Subscription",IF(LOWER($L225&amp;"")="yes","Disqualified",IF(OR(LOWER($F225&amp;"")="free game",LOWER($F225&amp;"")="free"),IF(AND(ISNUMBER($P225),ISNUMBER($H225),$P225&gt;$H225),"Profit","Free Game"),IF($P225="","",IF(ROUND(IFERROR(VALUE($P225),0)-IFERROR(VALUE($H225),0),2)&gt;0,"Profit","Draw"))))))</x:f>
      </x:c>
      <x:c r="V225" s="144" t="str">
        <x:f>IF(COUNTA($A225:$M225)=0,"",IF(OR($B225="",$C225="",$U225="Subscription"),"",IFERROR(ROUNDUP(($C225-$B225)/7,0),"")))</x:f>
      </x:c>
      <x:c r="W225" s="112" t="str">
        <x:f>IF(COUNTA($A225:$M225)=0,"",IF(OR($U225="Subscription",$U225=""),"",ROUND(IFERROR($Q225,0)-IFERROR($S225,0),2)))</x:f>
      </x:c>
      <x:c r="X225" s="144" t="str">
        <x:f>IF(COUNTA($A225:$M225)=0,"",IF(OR($U225="Subscription",$U225="Free Game",NOT(ISNUMBER($J225)),NOT(ISNUMBER($I225)),$J225=0,$I225=0,$I225&gt;$J225),"",$J225-$I225))</x:f>
      </x:c>
      <x:c r="Y225" s="116" t="str">
        <x:f>IF(COUNTA($A225:$M225)=0,"",IF(OR($U225="Subscription",$U225="Free Game",NOT(ISNUMBER($J225)),$J225=0,$X225=""),"",$X225/$J225))</x:f>
      </x:c>
      <x:c r="Z225" s="118" t="str">
        <x:f>IF(COUNTA($A225:$M225)=0,"",Instructions!$B$29+SUM($W$5:W225))</x:f>
      </x:c>
    </x:row>
    <x:row r="226" ht="30" customHeight="1">
      <x:c r="A226" s="477"/>
      <x:c r="B226" s="482"/>
      <x:c r="C226" s="482"/>
      <x:c r="D226" s="483"/>
      <x:c r="E226" s="483"/>
      <x:c r="F226" s="483"/>
      <x:c r="G226" s="484"/>
      <x:c r="H226" s="484"/>
      <x:c r="I226" s="485"/>
      <x:c r="J226" s="485"/>
      <x:c r="K226" s="484"/>
      <x:c r="L226" s="483"/>
      <x:c r="M226" s="477"/>
      <x:c r="N226" s="112" t="str">
        <x:f>IF(COUNTA($A226:$M226)=0,"",IF(OR(LOWER($F226&amp;"")="subscription",LOWER($F226&amp;"")="membership"),"",IF($G226="","",IF(ISNUMBER(SEARCH("non",LOWER($E226&amp;""))),$G226*0.85,$G226))))</x:f>
      </x:c>
      <x:c r="O226" s="112" t="str">
        <x:f>IF(COUNTA($A226:$M226)=0,"",IF(OR(LOWER($F226&amp;"")="subscription",LOWER($F226&amp;"")="membership"),"",IF(OR($N226="",$I226="",$I226=0),"",IFERROR($N226/$I226,""))))</x:f>
      </x:c>
      <x:c r="P226" s="112" t="str">
        <x:f>IF(COUNTA($A226:$M226)=0,"",IF(OR(LOWER($F226&amp;"")="subscription",LOWER($F226&amp;"")="membership"),"",IF(LOWER($L226&amp;"")="yes",0,IF($K226&lt;&gt;"",$K226,IF($O226&lt;&gt;"",$O226,"")))))</x:f>
      </x:c>
      <x:c r="Q226" s="112" t="str">
        <x:f>IF(COUNTA($A226:$M226)=0,"",IF(OR($U226="Subscription",$U226=""),"",IF($U226="Profit",ROUND($P226-$H226,2),0)))</x:f>
      </x:c>
      <x:c r="R226" s="112" t="str">
        <x:f>IF(COUNTA($A226:$M226)=0,"",IF(OR($U226="Subscription",$U226=""),"",IF($U226="Draw",$H226,0)))</x:f>
      </x:c>
      <x:c r="S226" s="112" t="str">
        <x:f>IF(COUNTA($A226:$M226)=0,"",IF(OR($U226="Subscription",$U226=""),"",IF($U226="Disqualified",$H226,0)))</x:f>
      </x:c>
      <x:c r="T226" s="116" t="str">
        <x:f>IF(COUNTA($A226:$M226)=0,"",IF(OR($U226="Subscription",$U226=""),"",IF($H226=0,0,IF($U226="Profit",$Q226/$H226,IF($U226="Disqualified",-$S226/$H226,0)))))</x:f>
      </x:c>
      <x:c r="U226" s="290" t="str">
        <x:f>IF(COUNTA($A226:$M226)=0,"",IF(OR(LOWER($F226&amp;"")="subscription",LOWER($F226&amp;"")="membership"),"Subscription",IF(LOWER($L226&amp;"")="yes","Disqualified",IF(OR(LOWER($F226&amp;"")="free game",LOWER($F226&amp;"")="free"),IF(AND(ISNUMBER($P226),ISNUMBER($H226),$P226&gt;$H226),"Profit","Free Game"),IF($P226="","",IF(ROUND(IFERROR(VALUE($P226),0)-IFERROR(VALUE($H226),0),2)&gt;0,"Profit","Draw"))))))</x:f>
      </x:c>
      <x:c r="V226" s="144" t="str">
        <x:f>IF(COUNTA($A226:$M226)=0,"",IF(OR($B226="",$C226="",$U226="Subscription"),"",IFERROR(ROUNDUP(($C226-$B226)/7,0),"")))</x:f>
      </x:c>
      <x:c r="W226" s="112" t="str">
        <x:f>IF(COUNTA($A226:$M226)=0,"",IF(OR($U226="Subscription",$U226=""),"",ROUND(IFERROR($Q226,0)-IFERROR($S226,0),2)))</x:f>
      </x:c>
      <x:c r="X226" s="144" t="str">
        <x:f>IF(COUNTA($A226:$M226)=0,"",IF(OR($U226="Subscription",$U226="Free Game",NOT(ISNUMBER($J226)),NOT(ISNUMBER($I226)),$J226=0,$I226=0,$I226&gt;$J226),"",$J226-$I226))</x:f>
      </x:c>
      <x:c r="Y226" s="116" t="str">
        <x:f>IF(COUNTA($A226:$M226)=0,"",IF(OR($U226="Subscription",$U226="Free Game",NOT(ISNUMBER($J226)),$J226=0,$X226=""),"",$X226/$J226))</x:f>
      </x:c>
      <x:c r="Z226" s="118" t="str">
        <x:f>IF(COUNTA($A226:$M226)=0,"",Instructions!$B$29+SUM($W$5:W226))</x:f>
      </x:c>
    </x:row>
    <x:row r="227" ht="30" customHeight="1">
      <x:c r="A227" s="477"/>
      <x:c r="B227" s="482"/>
      <x:c r="C227" s="482"/>
      <x:c r="D227" s="483"/>
      <x:c r="E227" s="483"/>
      <x:c r="F227" s="483"/>
      <x:c r="G227" s="484"/>
      <x:c r="H227" s="484"/>
      <x:c r="I227" s="485"/>
      <x:c r="J227" s="485"/>
      <x:c r="K227" s="484"/>
      <x:c r="L227" s="483"/>
      <x:c r="M227" s="477"/>
      <x:c r="N227" s="112" t="str">
        <x:f>IF(COUNTA($A227:$M227)=0,"",IF(OR(LOWER($F227&amp;"")="subscription",LOWER($F227&amp;"")="membership"),"",IF($G227="","",IF(ISNUMBER(SEARCH("non",LOWER($E227&amp;""))),$G227*0.85,$G227))))</x:f>
      </x:c>
      <x:c r="O227" s="112" t="str">
        <x:f>IF(COUNTA($A227:$M227)=0,"",IF(OR(LOWER($F227&amp;"")="subscription",LOWER($F227&amp;"")="membership"),"",IF(OR($N227="",$I227="",$I227=0),"",IFERROR($N227/$I227,""))))</x:f>
      </x:c>
      <x:c r="P227" s="112" t="str">
        <x:f>IF(COUNTA($A227:$M227)=0,"",IF(OR(LOWER($F227&amp;"")="subscription",LOWER($F227&amp;"")="membership"),"",IF(LOWER($L227&amp;"")="yes",0,IF($K227&lt;&gt;"",$K227,IF($O227&lt;&gt;"",$O227,"")))))</x:f>
      </x:c>
      <x:c r="Q227" s="112" t="str">
        <x:f>IF(COUNTA($A227:$M227)=0,"",IF(OR($U227="Subscription",$U227=""),"",IF($U227="Profit",ROUND($P227-$H227,2),0)))</x:f>
      </x:c>
      <x:c r="R227" s="112" t="str">
        <x:f>IF(COUNTA($A227:$M227)=0,"",IF(OR($U227="Subscription",$U227=""),"",IF($U227="Draw",$H227,0)))</x:f>
      </x:c>
      <x:c r="S227" s="112" t="str">
        <x:f>IF(COUNTA($A227:$M227)=0,"",IF(OR($U227="Subscription",$U227=""),"",IF($U227="Disqualified",$H227,0)))</x:f>
      </x:c>
      <x:c r="T227" s="116" t="str">
        <x:f>IF(COUNTA($A227:$M227)=0,"",IF(OR($U227="Subscription",$U227=""),"",IF($H227=0,0,IF($U227="Profit",$Q227/$H227,IF($U227="Disqualified",-$S227/$H227,0)))))</x:f>
      </x:c>
      <x:c r="U227" s="290" t="str">
        <x:f>IF(COUNTA($A227:$M227)=0,"",IF(OR(LOWER($F227&amp;"")="subscription",LOWER($F227&amp;"")="membership"),"Subscription",IF(LOWER($L227&amp;"")="yes","Disqualified",IF(OR(LOWER($F227&amp;"")="free game",LOWER($F227&amp;"")="free"),IF(AND(ISNUMBER($P227),ISNUMBER($H227),$P227&gt;$H227),"Profit","Free Game"),IF($P227="","",IF(ROUND(IFERROR(VALUE($P227),0)-IFERROR(VALUE($H227),0),2)&gt;0,"Profit","Draw"))))))</x:f>
      </x:c>
      <x:c r="V227" s="144" t="str">
        <x:f>IF(COUNTA($A227:$M227)=0,"",IF(OR($B227="",$C227="",$U227="Subscription"),"",IFERROR(ROUNDUP(($C227-$B227)/7,0),"")))</x:f>
      </x:c>
      <x:c r="W227" s="112" t="str">
        <x:f>IF(COUNTA($A227:$M227)=0,"",IF(OR($U227="Subscription",$U227=""),"",ROUND(IFERROR($Q227,0)-IFERROR($S227,0),2)))</x:f>
      </x:c>
      <x:c r="X227" s="144" t="str">
        <x:f>IF(COUNTA($A227:$M227)=0,"",IF(OR($U227="Subscription",$U227="Free Game",NOT(ISNUMBER($J227)),NOT(ISNUMBER($I227)),$J227=0,$I227=0,$I227&gt;$J227),"",$J227-$I227))</x:f>
      </x:c>
      <x:c r="Y227" s="116" t="str">
        <x:f>IF(COUNTA($A227:$M227)=0,"",IF(OR($U227="Subscription",$U227="Free Game",NOT(ISNUMBER($J227)),$J227=0,$X227=""),"",$X227/$J227))</x:f>
      </x:c>
      <x:c r="Z227" s="118" t="str">
        <x:f>IF(COUNTA($A227:$M227)=0,"",Instructions!$B$29+SUM($W$5:W227))</x:f>
      </x:c>
    </x:row>
    <x:row r="228" ht="30" customHeight="1">
      <x:c r="A228" s="477"/>
      <x:c r="B228" s="482"/>
      <x:c r="C228" s="482"/>
      <x:c r="D228" s="483"/>
      <x:c r="E228" s="483"/>
      <x:c r="F228" s="483"/>
      <x:c r="G228" s="484"/>
      <x:c r="H228" s="484"/>
      <x:c r="I228" s="485"/>
      <x:c r="J228" s="485"/>
      <x:c r="K228" s="484"/>
      <x:c r="L228" s="483"/>
      <x:c r="M228" s="477"/>
      <x:c r="N228" s="112" t="str">
        <x:f>IF(COUNTA($A228:$M228)=0,"",IF(OR(LOWER($F228&amp;"")="subscription",LOWER($F228&amp;"")="membership"),"",IF($G228="","",IF(ISNUMBER(SEARCH("non",LOWER($E228&amp;""))),$G228*0.85,$G228))))</x:f>
      </x:c>
      <x:c r="O228" s="112" t="str">
        <x:f>IF(COUNTA($A228:$M228)=0,"",IF(OR(LOWER($F228&amp;"")="subscription",LOWER($F228&amp;"")="membership"),"",IF(OR($N228="",$I228="",$I228=0),"",IFERROR($N228/$I228,""))))</x:f>
      </x:c>
      <x:c r="P228" s="112" t="str">
        <x:f>IF(COUNTA($A228:$M228)=0,"",IF(OR(LOWER($F228&amp;"")="subscription",LOWER($F228&amp;"")="membership"),"",IF(LOWER($L228&amp;"")="yes",0,IF($K228&lt;&gt;"",$K228,IF($O228&lt;&gt;"",$O228,"")))))</x:f>
      </x:c>
      <x:c r="Q228" s="112" t="str">
        <x:f>IF(COUNTA($A228:$M228)=0,"",IF(OR($U228="Subscription",$U228=""),"",IF($U228="Profit",ROUND($P228-$H228,2),0)))</x:f>
      </x:c>
      <x:c r="R228" s="112" t="str">
        <x:f>IF(COUNTA($A228:$M228)=0,"",IF(OR($U228="Subscription",$U228=""),"",IF($U228="Draw",$H228,0)))</x:f>
      </x:c>
      <x:c r="S228" s="112" t="str">
        <x:f>IF(COUNTA($A228:$M228)=0,"",IF(OR($U228="Subscription",$U228=""),"",IF($U228="Disqualified",$H228,0)))</x:f>
      </x:c>
      <x:c r="T228" s="116" t="str">
        <x:f>IF(COUNTA($A228:$M228)=0,"",IF(OR($U228="Subscription",$U228=""),"",IF($H228=0,0,IF($U228="Profit",$Q228/$H228,IF($U228="Disqualified",-$S228/$H228,0)))))</x:f>
      </x:c>
      <x:c r="U228" s="290" t="str">
        <x:f>IF(COUNTA($A228:$M228)=0,"",IF(OR(LOWER($F228&amp;"")="subscription",LOWER($F228&amp;"")="membership"),"Subscription",IF(LOWER($L228&amp;"")="yes","Disqualified",IF(OR(LOWER($F228&amp;"")="free game",LOWER($F228&amp;"")="free"),IF(AND(ISNUMBER($P228),ISNUMBER($H228),$P228&gt;$H228),"Profit","Free Game"),IF($P228="","",IF(ROUND(IFERROR(VALUE($P228),0)-IFERROR(VALUE($H228),0),2)&gt;0,"Profit","Draw"))))))</x:f>
      </x:c>
      <x:c r="V228" s="144" t="str">
        <x:f>IF(COUNTA($A228:$M228)=0,"",IF(OR($B228="",$C228="",$U228="Subscription"),"",IFERROR(ROUNDUP(($C228-$B228)/7,0),"")))</x:f>
      </x:c>
      <x:c r="W228" s="112" t="str">
        <x:f>IF(COUNTA($A228:$M228)=0,"",IF(OR($U228="Subscription",$U228=""),"",ROUND(IFERROR($Q228,0)-IFERROR($S228,0),2)))</x:f>
      </x:c>
      <x:c r="X228" s="144" t="str">
        <x:f>IF(COUNTA($A228:$M228)=0,"",IF(OR($U228="Subscription",$U228="Free Game",NOT(ISNUMBER($J228)),NOT(ISNUMBER($I228)),$J228=0,$I228=0,$I228&gt;$J228),"",$J228-$I228))</x:f>
      </x:c>
      <x:c r="Y228" s="116" t="str">
        <x:f>IF(COUNTA($A228:$M228)=0,"",IF(OR($U228="Subscription",$U228="Free Game",NOT(ISNUMBER($J228)),$J228=0,$X228=""),"",$X228/$J228))</x:f>
      </x:c>
      <x:c r="Z228" s="118" t="str">
        <x:f>IF(COUNTA($A228:$M228)=0,"",Instructions!$B$29+SUM($W$5:W228))</x:f>
      </x:c>
    </x:row>
    <x:row r="229" ht="30" customHeight="1">
      <x:c r="A229" s="477"/>
      <x:c r="B229" s="482"/>
      <x:c r="C229" s="482"/>
      <x:c r="D229" s="483"/>
      <x:c r="E229" s="483"/>
      <x:c r="F229" s="483"/>
      <x:c r="G229" s="484"/>
      <x:c r="H229" s="484"/>
      <x:c r="I229" s="485"/>
      <x:c r="J229" s="485"/>
      <x:c r="K229" s="484"/>
      <x:c r="L229" s="483"/>
      <x:c r="M229" s="477"/>
      <x:c r="N229" s="112" t="str">
        <x:f>IF(COUNTA($A229:$M229)=0,"",IF(OR(LOWER($F229&amp;"")="subscription",LOWER($F229&amp;"")="membership"),"",IF($G229="","",IF(ISNUMBER(SEARCH("non",LOWER($E229&amp;""))),$G229*0.85,$G229))))</x:f>
      </x:c>
      <x:c r="O229" s="112" t="str">
        <x:f>IF(COUNTA($A229:$M229)=0,"",IF(OR(LOWER($F229&amp;"")="subscription",LOWER($F229&amp;"")="membership"),"",IF(OR($N229="",$I229="",$I229=0),"",IFERROR($N229/$I229,""))))</x:f>
      </x:c>
      <x:c r="P229" s="112" t="str">
        <x:f>IF(COUNTA($A229:$M229)=0,"",IF(OR(LOWER($F229&amp;"")="subscription",LOWER($F229&amp;"")="membership"),"",IF(LOWER($L229&amp;"")="yes",0,IF($K229&lt;&gt;"",$K229,IF($O229&lt;&gt;"",$O229,"")))))</x:f>
      </x:c>
      <x:c r="Q229" s="112" t="str">
        <x:f>IF(COUNTA($A229:$M229)=0,"",IF(OR($U229="Subscription",$U229=""),"",IF($U229="Profit",ROUND($P229-$H229,2),0)))</x:f>
      </x:c>
      <x:c r="R229" s="112" t="str">
        <x:f>IF(COUNTA($A229:$M229)=0,"",IF(OR($U229="Subscription",$U229=""),"",IF($U229="Draw",$H229,0)))</x:f>
      </x:c>
      <x:c r="S229" s="112" t="str">
        <x:f>IF(COUNTA($A229:$M229)=0,"",IF(OR($U229="Subscription",$U229=""),"",IF($U229="Disqualified",$H229,0)))</x:f>
      </x:c>
      <x:c r="T229" s="116" t="str">
        <x:f>IF(COUNTA($A229:$M229)=0,"",IF(OR($U229="Subscription",$U229=""),"",IF($H229=0,0,IF($U229="Profit",$Q229/$H229,IF($U229="Disqualified",-$S229/$H229,0)))))</x:f>
      </x:c>
      <x:c r="U229" s="290" t="str">
        <x:f>IF(COUNTA($A229:$M229)=0,"",IF(OR(LOWER($F229&amp;"")="subscription",LOWER($F229&amp;"")="membership"),"Subscription",IF(LOWER($L229&amp;"")="yes","Disqualified",IF(OR(LOWER($F229&amp;"")="free game",LOWER($F229&amp;"")="free"),IF(AND(ISNUMBER($P229),ISNUMBER($H229),$P229&gt;$H229),"Profit","Free Game"),IF($P229="","",IF(ROUND(IFERROR(VALUE($P229),0)-IFERROR(VALUE($H229),0),2)&gt;0,"Profit","Draw"))))))</x:f>
      </x:c>
      <x:c r="V229" s="144" t="str">
        <x:f>IF(COUNTA($A229:$M229)=0,"",IF(OR($B229="",$C229="",$U229="Subscription"),"",IFERROR(ROUNDUP(($C229-$B229)/7,0),"")))</x:f>
      </x:c>
      <x:c r="W229" s="112" t="str">
        <x:f>IF(COUNTA($A229:$M229)=0,"",IF(OR($U229="Subscription",$U229=""),"",ROUND(IFERROR($Q229,0)-IFERROR($S229,0),2)))</x:f>
      </x:c>
      <x:c r="X229" s="144" t="str">
        <x:f>IF(COUNTA($A229:$M229)=0,"",IF(OR($U229="Subscription",$U229="Free Game",NOT(ISNUMBER($J229)),NOT(ISNUMBER($I229)),$J229=0,$I229=0,$I229&gt;$J229),"",$J229-$I229))</x:f>
      </x:c>
      <x:c r="Y229" s="116" t="str">
        <x:f>IF(COUNTA($A229:$M229)=0,"",IF(OR($U229="Subscription",$U229="Free Game",NOT(ISNUMBER($J229)),$J229=0,$X229=""),"",$X229/$J229))</x:f>
      </x:c>
      <x:c r="Z229" s="118" t="str">
        <x:f>IF(COUNTA($A229:$M229)=0,"",Instructions!$B$29+SUM($W$5:W229))</x:f>
      </x:c>
    </x:row>
    <x:row r="230" ht="30" customHeight="1">
      <x:c r="A230" s="477"/>
      <x:c r="B230" s="482"/>
      <x:c r="C230" s="482"/>
      <x:c r="D230" s="483"/>
      <x:c r="E230" s="483"/>
      <x:c r="F230" s="483"/>
      <x:c r="G230" s="484"/>
      <x:c r="H230" s="484"/>
      <x:c r="I230" s="485"/>
      <x:c r="J230" s="485"/>
      <x:c r="K230" s="484"/>
      <x:c r="L230" s="483"/>
      <x:c r="M230" s="477"/>
      <x:c r="N230" s="112" t="str">
        <x:f>IF(COUNTA($A230:$M230)=0,"",IF(OR(LOWER($F230&amp;"")="subscription",LOWER($F230&amp;"")="membership"),"",IF($G230="","",IF(ISNUMBER(SEARCH("non",LOWER($E230&amp;""))),$G230*0.85,$G230))))</x:f>
      </x:c>
      <x:c r="O230" s="112" t="str">
        <x:f>IF(COUNTA($A230:$M230)=0,"",IF(OR(LOWER($F230&amp;"")="subscription",LOWER($F230&amp;"")="membership"),"",IF(OR($N230="",$I230="",$I230=0),"",IFERROR($N230/$I230,""))))</x:f>
      </x:c>
      <x:c r="P230" s="112" t="str">
        <x:f>IF(COUNTA($A230:$M230)=0,"",IF(OR(LOWER($F230&amp;"")="subscription",LOWER($F230&amp;"")="membership"),"",IF(LOWER($L230&amp;"")="yes",0,IF($K230&lt;&gt;"",$K230,IF($O230&lt;&gt;"",$O230,"")))))</x:f>
      </x:c>
      <x:c r="Q230" s="112" t="str">
        <x:f>IF(COUNTA($A230:$M230)=0,"",IF(OR($U230="Subscription",$U230=""),"",IF($U230="Profit",ROUND($P230-$H230,2),0)))</x:f>
      </x:c>
      <x:c r="R230" s="112" t="str">
        <x:f>IF(COUNTA($A230:$M230)=0,"",IF(OR($U230="Subscription",$U230=""),"",IF($U230="Draw",$H230,0)))</x:f>
      </x:c>
      <x:c r="S230" s="112" t="str">
        <x:f>IF(COUNTA($A230:$M230)=0,"",IF(OR($U230="Subscription",$U230=""),"",IF($U230="Disqualified",$H230,0)))</x:f>
      </x:c>
      <x:c r="T230" s="116" t="str">
        <x:f>IF(COUNTA($A230:$M230)=0,"",IF(OR($U230="Subscription",$U230=""),"",IF($H230=0,0,IF($U230="Profit",$Q230/$H230,IF($U230="Disqualified",-$S230/$H230,0)))))</x:f>
      </x:c>
      <x:c r="U230" s="290" t="str">
        <x:f>IF(COUNTA($A230:$M230)=0,"",IF(OR(LOWER($F230&amp;"")="subscription",LOWER($F230&amp;"")="membership"),"Subscription",IF(LOWER($L230&amp;"")="yes","Disqualified",IF(OR(LOWER($F230&amp;"")="free game",LOWER($F230&amp;"")="free"),IF(AND(ISNUMBER($P230),ISNUMBER($H230),$P230&gt;$H230),"Profit","Free Game"),IF($P230="","",IF(ROUND(IFERROR(VALUE($P230),0)-IFERROR(VALUE($H230),0),2)&gt;0,"Profit","Draw"))))))</x:f>
      </x:c>
      <x:c r="V230" s="144" t="str">
        <x:f>IF(COUNTA($A230:$M230)=0,"",IF(OR($B230="",$C230="",$U230="Subscription"),"",IFERROR(ROUNDUP(($C230-$B230)/7,0),"")))</x:f>
      </x:c>
      <x:c r="W230" s="112" t="str">
        <x:f>IF(COUNTA($A230:$M230)=0,"",IF(OR($U230="Subscription",$U230=""),"",ROUND(IFERROR($Q230,0)-IFERROR($S230,0),2)))</x:f>
      </x:c>
      <x:c r="X230" s="144" t="str">
        <x:f>IF(COUNTA($A230:$M230)=0,"",IF(OR($U230="Subscription",$U230="Free Game",NOT(ISNUMBER($J230)),NOT(ISNUMBER($I230)),$J230=0,$I230=0,$I230&gt;$J230),"",$J230-$I230))</x:f>
      </x:c>
      <x:c r="Y230" s="116" t="str">
        <x:f>IF(COUNTA($A230:$M230)=0,"",IF(OR($U230="Subscription",$U230="Free Game",NOT(ISNUMBER($J230)),$J230=0,$X230=""),"",$X230/$J230))</x:f>
      </x:c>
      <x:c r="Z230" s="118" t="str">
        <x:f>IF(COUNTA($A230:$M230)=0,"",Instructions!$B$29+SUM($W$5:W230))</x:f>
      </x:c>
    </x:row>
    <x:row r="231" ht="30" customHeight="1">
      <x:c r="A231" s="477"/>
      <x:c r="B231" s="482"/>
      <x:c r="C231" s="482"/>
      <x:c r="D231" s="483"/>
      <x:c r="E231" s="483"/>
      <x:c r="F231" s="483"/>
      <x:c r="G231" s="484"/>
      <x:c r="H231" s="484"/>
      <x:c r="I231" s="485"/>
      <x:c r="J231" s="485"/>
      <x:c r="K231" s="484"/>
      <x:c r="L231" s="483"/>
      <x:c r="M231" s="477"/>
      <x:c r="N231" s="112" t="str">
        <x:f>IF(COUNTA($A231:$M231)=0,"",IF(OR(LOWER($F231&amp;"")="subscription",LOWER($F231&amp;"")="membership"),"",IF($G231="","",IF(ISNUMBER(SEARCH("non",LOWER($E231&amp;""))),$G231*0.85,$G231))))</x:f>
      </x:c>
      <x:c r="O231" s="112" t="str">
        <x:f>IF(COUNTA($A231:$M231)=0,"",IF(OR(LOWER($F231&amp;"")="subscription",LOWER($F231&amp;"")="membership"),"",IF(OR($N231="",$I231="",$I231=0),"",IFERROR($N231/$I231,""))))</x:f>
      </x:c>
      <x:c r="P231" s="112" t="str">
        <x:f>IF(COUNTA($A231:$M231)=0,"",IF(OR(LOWER($F231&amp;"")="subscription",LOWER($F231&amp;"")="membership"),"",IF(LOWER($L231&amp;"")="yes",0,IF($K231&lt;&gt;"",$K231,IF($O231&lt;&gt;"",$O231,"")))))</x:f>
      </x:c>
      <x:c r="Q231" s="112" t="str">
        <x:f>IF(COUNTA($A231:$M231)=0,"",IF(OR($U231="Subscription",$U231=""),"",IF($U231="Profit",ROUND($P231-$H231,2),0)))</x:f>
      </x:c>
      <x:c r="R231" s="112" t="str">
        <x:f>IF(COUNTA($A231:$M231)=0,"",IF(OR($U231="Subscription",$U231=""),"",IF($U231="Draw",$H231,0)))</x:f>
      </x:c>
      <x:c r="S231" s="112" t="str">
        <x:f>IF(COUNTA($A231:$M231)=0,"",IF(OR($U231="Subscription",$U231=""),"",IF($U231="Disqualified",$H231,0)))</x:f>
      </x:c>
      <x:c r="T231" s="116" t="str">
        <x:f>IF(COUNTA($A231:$M231)=0,"",IF(OR($U231="Subscription",$U231=""),"",IF($H231=0,0,IF($U231="Profit",$Q231/$H231,IF($U231="Disqualified",-$S231/$H231,0)))))</x:f>
      </x:c>
      <x:c r="U231" s="290" t="str">
        <x:f>IF(COUNTA($A231:$M231)=0,"",IF(OR(LOWER($F231&amp;"")="subscription",LOWER($F231&amp;"")="membership"),"Subscription",IF(LOWER($L231&amp;"")="yes","Disqualified",IF(OR(LOWER($F231&amp;"")="free game",LOWER($F231&amp;"")="free"),IF(AND(ISNUMBER($P231),ISNUMBER($H231),$P231&gt;$H231),"Profit","Free Game"),IF($P231="","",IF(ROUND(IFERROR(VALUE($P231),0)-IFERROR(VALUE($H231),0),2)&gt;0,"Profit","Draw"))))))</x:f>
      </x:c>
      <x:c r="V231" s="144" t="str">
        <x:f>IF(COUNTA($A231:$M231)=0,"",IF(OR($B231="",$C231="",$U231="Subscription"),"",IFERROR(ROUNDUP(($C231-$B231)/7,0),"")))</x:f>
      </x:c>
      <x:c r="W231" s="112" t="str">
        <x:f>IF(COUNTA($A231:$M231)=0,"",IF(OR($U231="Subscription",$U231=""),"",ROUND(IFERROR($Q231,0)-IFERROR($S231,0),2)))</x:f>
      </x:c>
      <x:c r="X231" s="144" t="str">
        <x:f>IF(COUNTA($A231:$M231)=0,"",IF(OR($U231="Subscription",$U231="Free Game",NOT(ISNUMBER($J231)),NOT(ISNUMBER($I231)),$J231=0,$I231=0,$I231&gt;$J231),"",$J231-$I231))</x:f>
      </x:c>
      <x:c r="Y231" s="116" t="str">
        <x:f>IF(COUNTA($A231:$M231)=0,"",IF(OR($U231="Subscription",$U231="Free Game",NOT(ISNUMBER($J231)),$J231=0,$X231=""),"",$X231/$J231))</x:f>
      </x:c>
      <x:c r="Z231" s="118" t="str">
        <x:f>IF(COUNTA($A231:$M231)=0,"",Instructions!$B$29+SUM($W$5:W231))</x:f>
      </x:c>
    </x:row>
    <x:row r="232" ht="30" customHeight="1">
      <x:c r="A232" s="477"/>
      <x:c r="B232" s="482"/>
      <x:c r="C232" s="482"/>
      <x:c r="D232" s="483"/>
      <x:c r="E232" s="483"/>
      <x:c r="F232" s="483"/>
      <x:c r="G232" s="484"/>
      <x:c r="H232" s="484"/>
      <x:c r="I232" s="485"/>
      <x:c r="J232" s="485"/>
      <x:c r="K232" s="484"/>
      <x:c r="L232" s="483"/>
      <x:c r="M232" s="477"/>
      <x:c r="N232" s="112" t="str">
        <x:f>IF(COUNTA($A232:$M232)=0,"",IF(OR(LOWER($F232&amp;"")="subscription",LOWER($F232&amp;"")="membership"),"",IF($G232="","",IF(ISNUMBER(SEARCH("non",LOWER($E232&amp;""))),$G232*0.85,$G232))))</x:f>
      </x:c>
      <x:c r="O232" s="112" t="str">
        <x:f>IF(COUNTA($A232:$M232)=0,"",IF(OR(LOWER($F232&amp;"")="subscription",LOWER($F232&amp;"")="membership"),"",IF(OR($N232="",$I232="",$I232=0),"",IFERROR($N232/$I232,""))))</x:f>
      </x:c>
      <x:c r="P232" s="112" t="str">
        <x:f>IF(COUNTA($A232:$M232)=0,"",IF(OR(LOWER($F232&amp;"")="subscription",LOWER($F232&amp;"")="membership"),"",IF(LOWER($L232&amp;"")="yes",0,IF($K232&lt;&gt;"",$K232,IF($O232&lt;&gt;"",$O232,"")))))</x:f>
      </x:c>
      <x:c r="Q232" s="112" t="str">
        <x:f>IF(COUNTA($A232:$M232)=0,"",IF(OR($U232="Subscription",$U232=""),"",IF($U232="Profit",ROUND($P232-$H232,2),0)))</x:f>
      </x:c>
      <x:c r="R232" s="112" t="str">
        <x:f>IF(COUNTA($A232:$M232)=0,"",IF(OR($U232="Subscription",$U232=""),"",IF($U232="Draw",$H232,0)))</x:f>
      </x:c>
      <x:c r="S232" s="112" t="str">
        <x:f>IF(COUNTA($A232:$M232)=0,"",IF(OR($U232="Subscription",$U232=""),"",IF($U232="Disqualified",$H232,0)))</x:f>
      </x:c>
      <x:c r="T232" s="116" t="str">
        <x:f>IF(COUNTA($A232:$M232)=0,"",IF(OR($U232="Subscription",$U232=""),"",IF($H232=0,0,IF($U232="Profit",$Q232/$H232,IF($U232="Disqualified",-$S232/$H232,0)))))</x:f>
      </x:c>
      <x:c r="U232" s="290" t="str">
        <x:f>IF(COUNTA($A232:$M232)=0,"",IF(OR(LOWER($F232&amp;"")="subscription",LOWER($F232&amp;"")="membership"),"Subscription",IF(LOWER($L232&amp;"")="yes","Disqualified",IF(OR(LOWER($F232&amp;"")="free game",LOWER($F232&amp;"")="free"),IF(AND(ISNUMBER($P232),ISNUMBER($H232),$P232&gt;$H232),"Profit","Free Game"),IF($P232="","",IF(ROUND(IFERROR(VALUE($P232),0)-IFERROR(VALUE($H232),0),2)&gt;0,"Profit","Draw"))))))</x:f>
      </x:c>
      <x:c r="V232" s="144" t="str">
        <x:f>IF(COUNTA($A232:$M232)=0,"",IF(OR($B232="",$C232="",$U232="Subscription"),"",IFERROR(ROUNDUP(($C232-$B232)/7,0),"")))</x:f>
      </x:c>
      <x:c r="W232" s="112" t="str">
        <x:f>IF(COUNTA($A232:$M232)=0,"",IF(OR($U232="Subscription",$U232=""),"",ROUND(IFERROR($Q232,0)-IFERROR($S232,0),2)))</x:f>
      </x:c>
      <x:c r="X232" s="144" t="str">
        <x:f>IF(COUNTA($A232:$M232)=0,"",IF(OR($U232="Subscription",$U232="Free Game",NOT(ISNUMBER($J232)),NOT(ISNUMBER($I232)),$J232=0,$I232=0,$I232&gt;$J232),"",$J232-$I232))</x:f>
      </x:c>
      <x:c r="Y232" s="116" t="str">
        <x:f>IF(COUNTA($A232:$M232)=0,"",IF(OR($U232="Subscription",$U232="Free Game",NOT(ISNUMBER($J232)),$J232=0,$X232=""),"",$X232/$J232))</x:f>
      </x:c>
      <x:c r="Z232" s="118" t="str">
        <x:f>IF(COUNTA($A232:$M232)=0,"",Instructions!$B$29+SUM($W$5:W232))</x:f>
      </x:c>
    </x:row>
    <x:row r="233" ht="30" customHeight="1">
      <x:c r="A233" s="477"/>
      <x:c r="B233" s="482"/>
      <x:c r="C233" s="482"/>
      <x:c r="D233" s="483"/>
      <x:c r="E233" s="483"/>
      <x:c r="F233" s="483"/>
      <x:c r="G233" s="484"/>
      <x:c r="H233" s="484"/>
      <x:c r="I233" s="485"/>
      <x:c r="J233" s="485"/>
      <x:c r="K233" s="484"/>
      <x:c r="L233" s="483"/>
      <x:c r="M233" s="477"/>
      <x:c r="N233" s="112" t="str">
        <x:f>IF(COUNTA($A233:$M233)=0,"",IF(OR(LOWER($F233&amp;"")="subscription",LOWER($F233&amp;"")="membership"),"",IF($G233="","",IF(ISNUMBER(SEARCH("non",LOWER($E233&amp;""))),$G233*0.85,$G233))))</x:f>
      </x:c>
      <x:c r="O233" s="112" t="str">
        <x:f>IF(COUNTA($A233:$M233)=0,"",IF(OR(LOWER($F233&amp;"")="subscription",LOWER($F233&amp;"")="membership"),"",IF(OR($N233="",$I233="",$I233=0),"",IFERROR($N233/$I233,""))))</x:f>
      </x:c>
      <x:c r="P233" s="112" t="str">
        <x:f>IF(COUNTA($A233:$M233)=0,"",IF(OR(LOWER($F233&amp;"")="subscription",LOWER($F233&amp;"")="membership"),"",IF(LOWER($L233&amp;"")="yes",0,IF($K233&lt;&gt;"",$K233,IF($O233&lt;&gt;"",$O233,"")))))</x:f>
      </x:c>
      <x:c r="Q233" s="112" t="str">
        <x:f>IF(COUNTA($A233:$M233)=0,"",IF(OR($U233="Subscription",$U233=""),"",IF($U233="Profit",ROUND($P233-$H233,2),0)))</x:f>
      </x:c>
      <x:c r="R233" s="112" t="str">
        <x:f>IF(COUNTA($A233:$M233)=0,"",IF(OR($U233="Subscription",$U233=""),"",IF($U233="Draw",$H233,0)))</x:f>
      </x:c>
      <x:c r="S233" s="112" t="str">
        <x:f>IF(COUNTA($A233:$M233)=0,"",IF(OR($U233="Subscription",$U233=""),"",IF($U233="Disqualified",$H233,0)))</x:f>
      </x:c>
      <x:c r="T233" s="116" t="str">
        <x:f>IF(COUNTA($A233:$M233)=0,"",IF(OR($U233="Subscription",$U233=""),"",IF($H233=0,0,IF($U233="Profit",$Q233/$H233,IF($U233="Disqualified",-$S233/$H233,0)))))</x:f>
      </x:c>
      <x:c r="U233" s="290" t="str">
        <x:f>IF(COUNTA($A233:$M233)=0,"",IF(OR(LOWER($F233&amp;"")="subscription",LOWER($F233&amp;"")="membership"),"Subscription",IF(LOWER($L233&amp;"")="yes","Disqualified",IF(OR(LOWER($F233&amp;"")="free game",LOWER($F233&amp;"")="free"),IF(AND(ISNUMBER($P233),ISNUMBER($H233),$P233&gt;$H233),"Profit","Free Game"),IF($P233="","",IF(ROUND(IFERROR(VALUE($P233),0)-IFERROR(VALUE($H233),0),2)&gt;0,"Profit","Draw"))))))</x:f>
      </x:c>
      <x:c r="V233" s="144" t="str">
        <x:f>IF(COUNTA($A233:$M233)=0,"",IF(OR($B233="",$C233="",$U233="Subscription"),"",IFERROR(ROUNDUP(($C233-$B233)/7,0),"")))</x:f>
      </x:c>
      <x:c r="W233" s="112" t="str">
        <x:f>IF(COUNTA($A233:$M233)=0,"",IF(OR($U233="Subscription",$U233=""),"",ROUND(IFERROR($Q233,0)-IFERROR($S233,0),2)))</x:f>
      </x:c>
      <x:c r="X233" s="144" t="str">
        <x:f>IF(COUNTA($A233:$M233)=0,"",IF(OR($U233="Subscription",$U233="Free Game",NOT(ISNUMBER($J233)),NOT(ISNUMBER($I233)),$J233=0,$I233=0,$I233&gt;$J233),"",$J233-$I233))</x:f>
      </x:c>
      <x:c r="Y233" s="116" t="str">
        <x:f>IF(COUNTA($A233:$M233)=0,"",IF(OR($U233="Subscription",$U233="Free Game",NOT(ISNUMBER($J233)),$J233=0,$X233=""),"",$X233/$J233))</x:f>
      </x:c>
      <x:c r="Z233" s="118" t="str">
        <x:f>IF(COUNTA($A233:$M233)=0,"",Instructions!$B$29+SUM($W$5:W233))</x:f>
      </x:c>
    </x:row>
    <x:row r="234" ht="30" customHeight="1">
      <x:c r="A234" s="477"/>
      <x:c r="B234" s="482"/>
      <x:c r="C234" s="482"/>
      <x:c r="D234" s="483"/>
      <x:c r="E234" s="483"/>
      <x:c r="F234" s="483"/>
      <x:c r="G234" s="484"/>
      <x:c r="H234" s="484"/>
      <x:c r="I234" s="485"/>
      <x:c r="J234" s="485"/>
      <x:c r="K234" s="484"/>
      <x:c r="L234" s="483"/>
      <x:c r="M234" s="477"/>
      <x:c r="N234" s="112" t="str">
        <x:f>IF(COUNTA($A234:$M234)=0,"",IF(OR(LOWER($F234&amp;"")="subscription",LOWER($F234&amp;"")="membership"),"",IF($G234="","",IF(ISNUMBER(SEARCH("non",LOWER($E234&amp;""))),$G234*0.85,$G234))))</x:f>
      </x:c>
      <x:c r="O234" s="112" t="str">
        <x:f>IF(COUNTA($A234:$M234)=0,"",IF(OR(LOWER($F234&amp;"")="subscription",LOWER($F234&amp;"")="membership"),"",IF(OR($N234="",$I234="",$I234=0),"",IFERROR($N234/$I234,""))))</x:f>
      </x:c>
      <x:c r="P234" s="112" t="str">
        <x:f>IF(COUNTA($A234:$M234)=0,"",IF(OR(LOWER($F234&amp;"")="subscription",LOWER($F234&amp;"")="membership"),"",IF(LOWER($L234&amp;"")="yes",0,IF($K234&lt;&gt;"",$K234,IF($O234&lt;&gt;"",$O234,"")))))</x:f>
      </x:c>
      <x:c r="Q234" s="112" t="str">
        <x:f>IF(COUNTA($A234:$M234)=0,"",IF(OR($U234="Subscription",$U234=""),"",IF($U234="Profit",ROUND($P234-$H234,2),0)))</x:f>
      </x:c>
      <x:c r="R234" s="112" t="str">
        <x:f>IF(COUNTA($A234:$M234)=0,"",IF(OR($U234="Subscription",$U234=""),"",IF($U234="Draw",$H234,0)))</x:f>
      </x:c>
      <x:c r="S234" s="112" t="str">
        <x:f>IF(COUNTA($A234:$M234)=0,"",IF(OR($U234="Subscription",$U234=""),"",IF($U234="Disqualified",$H234,0)))</x:f>
      </x:c>
      <x:c r="T234" s="116" t="str">
        <x:f>IF(COUNTA($A234:$M234)=0,"",IF(OR($U234="Subscription",$U234=""),"",IF($H234=0,0,IF($U234="Profit",$Q234/$H234,IF($U234="Disqualified",-$S234/$H234,0)))))</x:f>
      </x:c>
      <x:c r="U234" s="290" t="str">
        <x:f>IF(COUNTA($A234:$M234)=0,"",IF(OR(LOWER($F234&amp;"")="subscription",LOWER($F234&amp;"")="membership"),"Subscription",IF(LOWER($L234&amp;"")="yes","Disqualified",IF(OR(LOWER($F234&amp;"")="free game",LOWER($F234&amp;"")="free"),IF(AND(ISNUMBER($P234),ISNUMBER($H234),$P234&gt;$H234),"Profit","Free Game"),IF($P234="","",IF(ROUND(IFERROR(VALUE($P234),0)-IFERROR(VALUE($H234),0),2)&gt;0,"Profit","Draw"))))))</x:f>
      </x:c>
      <x:c r="V234" s="144" t="str">
        <x:f>IF(COUNTA($A234:$M234)=0,"",IF(OR($B234="",$C234="",$U234="Subscription"),"",IFERROR(ROUNDUP(($C234-$B234)/7,0),"")))</x:f>
      </x:c>
      <x:c r="W234" s="112" t="str">
        <x:f>IF(COUNTA($A234:$M234)=0,"",IF(OR($U234="Subscription",$U234=""),"",ROUND(IFERROR($Q234,0)-IFERROR($S234,0),2)))</x:f>
      </x:c>
      <x:c r="X234" s="144" t="str">
        <x:f>IF(COUNTA($A234:$M234)=0,"",IF(OR($U234="Subscription",$U234="Free Game",NOT(ISNUMBER($J234)),NOT(ISNUMBER($I234)),$J234=0,$I234=0,$I234&gt;$J234),"",$J234-$I234))</x:f>
      </x:c>
      <x:c r="Y234" s="116" t="str">
        <x:f>IF(COUNTA($A234:$M234)=0,"",IF(OR($U234="Subscription",$U234="Free Game",NOT(ISNUMBER($J234)),$J234=0,$X234=""),"",$X234/$J234))</x:f>
      </x:c>
      <x:c r="Z234" s="118" t="str">
        <x:f>IF(COUNTA($A234:$M234)=0,"",Instructions!$B$29+SUM($W$5:W234))</x:f>
      </x:c>
    </x:row>
    <x:row r="235" ht="30" customHeight="1">
      <x:c r="A235" s="477"/>
      <x:c r="B235" s="482"/>
      <x:c r="C235" s="482"/>
      <x:c r="D235" s="483"/>
      <x:c r="E235" s="483"/>
      <x:c r="F235" s="483"/>
      <x:c r="G235" s="484"/>
      <x:c r="H235" s="484"/>
      <x:c r="I235" s="485"/>
      <x:c r="J235" s="485"/>
      <x:c r="K235" s="484"/>
      <x:c r="L235" s="483"/>
      <x:c r="M235" s="477"/>
      <x:c r="N235" s="112" t="str">
        <x:f>IF(COUNTA($A235:$M235)=0,"",IF(OR(LOWER($F235&amp;"")="subscription",LOWER($F235&amp;"")="membership"),"",IF($G235="","",IF(ISNUMBER(SEARCH("non",LOWER($E235&amp;""))),$G235*0.85,$G235))))</x:f>
      </x:c>
      <x:c r="O235" s="112" t="str">
        <x:f>IF(COUNTA($A235:$M235)=0,"",IF(OR(LOWER($F235&amp;"")="subscription",LOWER($F235&amp;"")="membership"),"",IF(OR($N235="",$I235="",$I235=0),"",IFERROR($N235/$I235,""))))</x:f>
      </x:c>
      <x:c r="P235" s="112" t="str">
        <x:f>IF(COUNTA($A235:$M235)=0,"",IF(OR(LOWER($F235&amp;"")="subscription",LOWER($F235&amp;"")="membership"),"",IF(LOWER($L235&amp;"")="yes",0,IF($K235&lt;&gt;"",$K235,IF($O235&lt;&gt;"",$O235,"")))))</x:f>
      </x:c>
      <x:c r="Q235" s="112" t="str">
        <x:f>IF(COUNTA($A235:$M235)=0,"",IF(OR($U235="Subscription",$U235=""),"",IF($U235="Profit",ROUND($P235-$H235,2),0)))</x:f>
      </x:c>
      <x:c r="R235" s="112" t="str">
        <x:f>IF(COUNTA($A235:$M235)=0,"",IF(OR($U235="Subscription",$U235=""),"",IF($U235="Draw",$H235,0)))</x:f>
      </x:c>
      <x:c r="S235" s="112" t="str">
        <x:f>IF(COUNTA($A235:$M235)=0,"",IF(OR($U235="Subscription",$U235=""),"",IF($U235="Disqualified",$H235,0)))</x:f>
      </x:c>
      <x:c r="T235" s="116" t="str">
        <x:f>IF(COUNTA($A235:$M235)=0,"",IF(OR($U235="Subscription",$U235=""),"",IF($H235=0,0,IF($U235="Profit",$Q235/$H235,IF($U235="Disqualified",-$S235/$H235,0)))))</x:f>
      </x:c>
      <x:c r="U235" s="290" t="str">
        <x:f>IF(COUNTA($A235:$M235)=0,"",IF(OR(LOWER($F235&amp;"")="subscription",LOWER($F235&amp;"")="membership"),"Subscription",IF(LOWER($L235&amp;"")="yes","Disqualified",IF(OR(LOWER($F235&amp;"")="free game",LOWER($F235&amp;"")="free"),IF(AND(ISNUMBER($P235),ISNUMBER($H235),$P235&gt;$H235),"Profit","Free Game"),IF($P235="","",IF(ROUND(IFERROR(VALUE($P235),0)-IFERROR(VALUE($H235),0),2)&gt;0,"Profit","Draw"))))))</x:f>
      </x:c>
      <x:c r="V235" s="144" t="str">
        <x:f>IF(COUNTA($A235:$M235)=0,"",IF(OR($B235="",$C235="",$U235="Subscription"),"",IFERROR(ROUNDUP(($C235-$B235)/7,0),"")))</x:f>
      </x:c>
      <x:c r="W235" s="112" t="str">
        <x:f>IF(COUNTA($A235:$M235)=0,"",IF(OR($U235="Subscription",$U235=""),"",ROUND(IFERROR($Q235,0)-IFERROR($S235,0),2)))</x:f>
      </x:c>
      <x:c r="X235" s="144" t="str">
        <x:f>IF(COUNTA($A235:$M235)=0,"",IF(OR($U235="Subscription",$U235="Free Game",NOT(ISNUMBER($J235)),NOT(ISNUMBER($I235)),$J235=0,$I235=0,$I235&gt;$J235),"",$J235-$I235))</x:f>
      </x:c>
      <x:c r="Y235" s="116" t="str">
        <x:f>IF(COUNTA($A235:$M235)=0,"",IF(OR($U235="Subscription",$U235="Free Game",NOT(ISNUMBER($J235)),$J235=0,$X235=""),"",$X235/$J235))</x:f>
      </x:c>
      <x:c r="Z235" s="118" t="str">
        <x:f>IF(COUNTA($A235:$M235)=0,"",Instructions!$B$29+SUM($W$5:W235))</x:f>
      </x:c>
    </x:row>
    <x:row r="236" ht="30" customHeight="1">
      <x:c r="A236" s="477"/>
      <x:c r="B236" s="482"/>
      <x:c r="C236" s="482"/>
      <x:c r="D236" s="483"/>
      <x:c r="E236" s="483"/>
      <x:c r="F236" s="483"/>
      <x:c r="G236" s="484"/>
      <x:c r="H236" s="484"/>
      <x:c r="I236" s="485"/>
      <x:c r="J236" s="485"/>
      <x:c r="K236" s="484"/>
      <x:c r="L236" s="483"/>
      <x:c r="M236" s="477"/>
      <x:c r="N236" s="112" t="str">
        <x:f>IF(COUNTA($A236:$M236)=0,"",IF(OR(LOWER($F236&amp;"")="subscription",LOWER($F236&amp;"")="membership"),"",IF($G236="","",IF(ISNUMBER(SEARCH("non",LOWER($E236&amp;""))),$G236*0.85,$G236))))</x:f>
      </x:c>
      <x:c r="O236" s="112" t="str">
        <x:f>IF(COUNTA($A236:$M236)=0,"",IF(OR(LOWER($F236&amp;"")="subscription",LOWER($F236&amp;"")="membership"),"",IF(OR($N236="",$I236="",$I236=0),"",IFERROR($N236/$I236,""))))</x:f>
      </x:c>
      <x:c r="P236" s="112" t="str">
        <x:f>IF(COUNTA($A236:$M236)=0,"",IF(OR(LOWER($F236&amp;"")="subscription",LOWER($F236&amp;"")="membership"),"",IF(LOWER($L236&amp;"")="yes",0,IF($K236&lt;&gt;"",$K236,IF($O236&lt;&gt;"",$O236,"")))))</x:f>
      </x:c>
      <x:c r="Q236" s="112" t="str">
        <x:f>IF(COUNTA($A236:$M236)=0,"",IF(OR($U236="Subscription",$U236=""),"",IF($U236="Profit",ROUND($P236-$H236,2),0)))</x:f>
      </x:c>
      <x:c r="R236" s="112" t="str">
        <x:f>IF(COUNTA($A236:$M236)=0,"",IF(OR($U236="Subscription",$U236=""),"",IF($U236="Draw",$H236,0)))</x:f>
      </x:c>
      <x:c r="S236" s="112" t="str">
        <x:f>IF(COUNTA($A236:$M236)=0,"",IF(OR($U236="Subscription",$U236=""),"",IF($U236="Disqualified",$H236,0)))</x:f>
      </x:c>
      <x:c r="T236" s="116" t="str">
        <x:f>IF(COUNTA($A236:$M236)=0,"",IF(OR($U236="Subscription",$U236=""),"",IF($H236=0,0,IF($U236="Profit",$Q236/$H236,IF($U236="Disqualified",-$S236/$H236,0)))))</x:f>
      </x:c>
      <x:c r="U236" s="290" t="str">
        <x:f>IF(COUNTA($A236:$M236)=0,"",IF(OR(LOWER($F236&amp;"")="subscription",LOWER($F236&amp;"")="membership"),"Subscription",IF(LOWER($L236&amp;"")="yes","Disqualified",IF(OR(LOWER($F236&amp;"")="free game",LOWER($F236&amp;"")="free"),IF(AND(ISNUMBER($P236),ISNUMBER($H236),$P236&gt;$H236),"Profit","Free Game"),IF($P236="","",IF(ROUND(IFERROR(VALUE($P236),0)-IFERROR(VALUE($H236),0),2)&gt;0,"Profit","Draw"))))))</x:f>
      </x:c>
      <x:c r="V236" s="144" t="str">
        <x:f>IF(COUNTA($A236:$M236)=0,"",IF(OR($B236="",$C236="",$U236="Subscription"),"",IFERROR(ROUNDUP(($C236-$B236)/7,0),"")))</x:f>
      </x:c>
      <x:c r="W236" s="112" t="str">
        <x:f>IF(COUNTA($A236:$M236)=0,"",IF(OR($U236="Subscription",$U236=""),"",ROUND(IFERROR($Q236,0)-IFERROR($S236,0),2)))</x:f>
      </x:c>
      <x:c r="X236" s="144" t="str">
        <x:f>IF(COUNTA($A236:$M236)=0,"",IF(OR($U236="Subscription",$U236="Free Game",NOT(ISNUMBER($J236)),NOT(ISNUMBER($I236)),$J236=0,$I236=0,$I236&gt;$J236),"",$J236-$I236))</x:f>
      </x:c>
      <x:c r="Y236" s="116" t="str">
        <x:f>IF(COUNTA($A236:$M236)=0,"",IF(OR($U236="Subscription",$U236="Free Game",NOT(ISNUMBER($J236)),$J236=0,$X236=""),"",$X236/$J236))</x:f>
      </x:c>
      <x:c r="Z236" s="118" t="str">
        <x:f>IF(COUNTA($A236:$M236)=0,"",Instructions!$B$29+SUM($W$5:W236))</x:f>
      </x:c>
    </x:row>
    <x:row r="237" ht="30" customHeight="1">
      <x:c r="A237" s="477"/>
      <x:c r="B237" s="482"/>
      <x:c r="C237" s="482"/>
      <x:c r="D237" s="483"/>
      <x:c r="E237" s="483"/>
      <x:c r="F237" s="483"/>
      <x:c r="G237" s="484"/>
      <x:c r="H237" s="484"/>
      <x:c r="I237" s="485"/>
      <x:c r="J237" s="485"/>
      <x:c r="K237" s="484"/>
      <x:c r="L237" s="483"/>
      <x:c r="M237" s="477"/>
      <x:c r="N237" s="112" t="str">
        <x:f>IF(COUNTA($A237:$M237)=0,"",IF(OR(LOWER($F237&amp;"")="subscription",LOWER($F237&amp;"")="membership"),"",IF($G237="","",IF(ISNUMBER(SEARCH("non",LOWER($E237&amp;""))),$G237*0.85,$G237))))</x:f>
      </x:c>
      <x:c r="O237" s="112" t="str">
        <x:f>IF(COUNTA($A237:$M237)=0,"",IF(OR(LOWER($F237&amp;"")="subscription",LOWER($F237&amp;"")="membership"),"",IF(OR($N237="",$I237="",$I237=0),"",IFERROR($N237/$I237,""))))</x:f>
      </x:c>
      <x:c r="P237" s="112" t="str">
        <x:f>IF(COUNTA($A237:$M237)=0,"",IF(OR(LOWER($F237&amp;"")="subscription",LOWER($F237&amp;"")="membership"),"",IF(LOWER($L237&amp;"")="yes",0,IF($K237&lt;&gt;"",$K237,IF($O237&lt;&gt;"",$O237,"")))))</x:f>
      </x:c>
      <x:c r="Q237" s="112" t="str">
        <x:f>IF(COUNTA($A237:$M237)=0,"",IF(OR($U237="Subscription",$U237=""),"",IF($U237="Profit",ROUND($P237-$H237,2),0)))</x:f>
      </x:c>
      <x:c r="R237" s="112" t="str">
        <x:f>IF(COUNTA($A237:$M237)=0,"",IF(OR($U237="Subscription",$U237=""),"",IF($U237="Draw",$H237,0)))</x:f>
      </x:c>
      <x:c r="S237" s="112" t="str">
        <x:f>IF(COUNTA($A237:$M237)=0,"",IF(OR($U237="Subscription",$U237=""),"",IF($U237="Disqualified",$H237,0)))</x:f>
      </x:c>
      <x:c r="T237" s="116" t="str">
        <x:f>IF(COUNTA($A237:$M237)=0,"",IF(OR($U237="Subscription",$U237=""),"",IF($H237=0,0,IF($U237="Profit",$Q237/$H237,IF($U237="Disqualified",-$S237/$H237,0)))))</x:f>
      </x:c>
      <x:c r="U237" s="290" t="str">
        <x:f>IF(COUNTA($A237:$M237)=0,"",IF(OR(LOWER($F237&amp;"")="subscription",LOWER($F237&amp;"")="membership"),"Subscription",IF(LOWER($L237&amp;"")="yes","Disqualified",IF(OR(LOWER($F237&amp;"")="free game",LOWER($F237&amp;"")="free"),IF(AND(ISNUMBER($P237),ISNUMBER($H237),$P237&gt;$H237),"Profit","Free Game"),IF($P237="","",IF(ROUND(IFERROR(VALUE($P237),0)-IFERROR(VALUE($H237),0),2)&gt;0,"Profit","Draw"))))))</x:f>
      </x:c>
      <x:c r="V237" s="144" t="str">
        <x:f>IF(COUNTA($A237:$M237)=0,"",IF(OR($B237="",$C237="",$U237="Subscription"),"",IFERROR(ROUNDUP(($C237-$B237)/7,0),"")))</x:f>
      </x:c>
      <x:c r="W237" s="112" t="str">
        <x:f>IF(COUNTA($A237:$M237)=0,"",IF(OR($U237="Subscription",$U237=""),"",ROUND(IFERROR($Q237,0)-IFERROR($S237,0),2)))</x:f>
      </x:c>
      <x:c r="X237" s="144" t="str">
        <x:f>IF(COUNTA($A237:$M237)=0,"",IF(OR($U237="Subscription",$U237="Free Game",NOT(ISNUMBER($J237)),NOT(ISNUMBER($I237)),$J237=0,$I237=0,$I237&gt;$J237),"",$J237-$I237))</x:f>
      </x:c>
      <x:c r="Y237" s="116" t="str">
        <x:f>IF(COUNTA($A237:$M237)=0,"",IF(OR($U237="Subscription",$U237="Free Game",NOT(ISNUMBER($J237)),$J237=0,$X237=""),"",$X237/$J237))</x:f>
      </x:c>
      <x:c r="Z237" s="118" t="str">
        <x:f>IF(COUNTA($A237:$M237)=0,"",Instructions!$B$29+SUM($W$5:W237))</x:f>
      </x:c>
    </x:row>
    <x:row r="238" ht="30" customHeight="1">
      <x:c r="A238" s="477"/>
      <x:c r="B238" s="482"/>
      <x:c r="C238" s="482"/>
      <x:c r="D238" s="483"/>
      <x:c r="E238" s="483"/>
      <x:c r="F238" s="483"/>
      <x:c r="G238" s="484"/>
      <x:c r="H238" s="484"/>
      <x:c r="I238" s="485"/>
      <x:c r="J238" s="485"/>
      <x:c r="K238" s="484"/>
      <x:c r="L238" s="483"/>
      <x:c r="M238" s="477"/>
      <x:c r="N238" s="112" t="str">
        <x:f>IF(COUNTA($A238:$M238)=0,"",IF(OR(LOWER($F238&amp;"")="subscription",LOWER($F238&amp;"")="membership"),"",IF($G238="","",IF(ISNUMBER(SEARCH("non",LOWER($E238&amp;""))),$G238*0.85,$G238))))</x:f>
      </x:c>
      <x:c r="O238" s="112" t="str">
        <x:f>IF(COUNTA($A238:$M238)=0,"",IF(OR(LOWER($F238&amp;"")="subscription",LOWER($F238&amp;"")="membership"),"",IF(OR($N238="",$I238="",$I238=0),"",IFERROR($N238/$I238,""))))</x:f>
      </x:c>
      <x:c r="P238" s="112" t="str">
        <x:f>IF(COUNTA($A238:$M238)=0,"",IF(OR(LOWER($F238&amp;"")="subscription",LOWER($F238&amp;"")="membership"),"",IF(LOWER($L238&amp;"")="yes",0,IF($K238&lt;&gt;"",$K238,IF($O238&lt;&gt;"",$O238,"")))))</x:f>
      </x:c>
      <x:c r="Q238" s="112" t="str">
        <x:f>IF(COUNTA($A238:$M238)=0,"",IF(OR($U238="Subscription",$U238=""),"",IF($U238="Profit",ROUND($P238-$H238,2),0)))</x:f>
      </x:c>
      <x:c r="R238" s="112" t="str">
        <x:f>IF(COUNTA($A238:$M238)=0,"",IF(OR($U238="Subscription",$U238=""),"",IF($U238="Draw",$H238,0)))</x:f>
      </x:c>
      <x:c r="S238" s="112" t="str">
        <x:f>IF(COUNTA($A238:$M238)=0,"",IF(OR($U238="Subscription",$U238=""),"",IF($U238="Disqualified",$H238,0)))</x:f>
      </x:c>
      <x:c r="T238" s="116" t="str">
        <x:f>IF(COUNTA($A238:$M238)=0,"",IF(OR($U238="Subscription",$U238=""),"",IF($H238=0,0,IF($U238="Profit",$Q238/$H238,IF($U238="Disqualified",-$S238/$H238,0)))))</x:f>
      </x:c>
      <x:c r="U238" s="290" t="str">
        <x:f>IF(COUNTA($A238:$M238)=0,"",IF(OR(LOWER($F238&amp;"")="subscription",LOWER($F238&amp;"")="membership"),"Subscription",IF(LOWER($L238&amp;"")="yes","Disqualified",IF(OR(LOWER($F238&amp;"")="free game",LOWER($F238&amp;"")="free"),IF(AND(ISNUMBER($P238),ISNUMBER($H238),$P238&gt;$H238),"Profit","Free Game"),IF($P238="","",IF(ROUND(IFERROR(VALUE($P238),0)-IFERROR(VALUE($H238),0),2)&gt;0,"Profit","Draw"))))))</x:f>
      </x:c>
      <x:c r="V238" s="144" t="str">
        <x:f>IF(COUNTA($A238:$M238)=0,"",IF(OR($B238="",$C238="",$U238="Subscription"),"",IFERROR(ROUNDUP(($C238-$B238)/7,0),"")))</x:f>
      </x:c>
      <x:c r="W238" s="112" t="str">
        <x:f>IF(COUNTA($A238:$M238)=0,"",IF(OR($U238="Subscription",$U238=""),"",ROUND(IFERROR($Q238,0)-IFERROR($S238,0),2)))</x:f>
      </x:c>
      <x:c r="X238" s="144" t="str">
        <x:f>IF(COUNTA($A238:$M238)=0,"",IF(OR($U238="Subscription",$U238="Free Game",NOT(ISNUMBER($J238)),NOT(ISNUMBER($I238)),$J238=0,$I238=0,$I238&gt;$J238),"",$J238-$I238))</x:f>
      </x:c>
      <x:c r="Y238" s="116" t="str">
        <x:f>IF(COUNTA($A238:$M238)=0,"",IF(OR($U238="Subscription",$U238="Free Game",NOT(ISNUMBER($J238)),$J238=0,$X238=""),"",$X238/$J238))</x:f>
      </x:c>
      <x:c r="Z238" s="118" t="str">
        <x:f>IF(COUNTA($A238:$M238)=0,"",Instructions!$B$29+SUM($W$5:W238))</x:f>
      </x:c>
    </x:row>
    <x:row r="239" ht="30" customHeight="1">
      <x:c r="A239" s="477"/>
      <x:c r="B239" s="482"/>
      <x:c r="C239" s="482"/>
      <x:c r="D239" s="483"/>
      <x:c r="E239" s="483"/>
      <x:c r="F239" s="483"/>
      <x:c r="G239" s="484"/>
      <x:c r="H239" s="484"/>
      <x:c r="I239" s="485"/>
      <x:c r="J239" s="485"/>
      <x:c r="K239" s="484"/>
      <x:c r="L239" s="483"/>
      <x:c r="M239" s="477"/>
      <x:c r="N239" s="112" t="str">
        <x:f>IF(COUNTA($A239:$M239)=0,"",IF(OR(LOWER($F239&amp;"")="subscription",LOWER($F239&amp;"")="membership"),"",IF($G239="","",IF(ISNUMBER(SEARCH("non",LOWER($E239&amp;""))),$G239*0.85,$G239))))</x:f>
      </x:c>
      <x:c r="O239" s="112" t="str">
        <x:f>IF(COUNTA($A239:$M239)=0,"",IF(OR(LOWER($F239&amp;"")="subscription",LOWER($F239&amp;"")="membership"),"",IF(OR($N239="",$I239="",$I239=0),"",IFERROR($N239/$I239,""))))</x:f>
      </x:c>
      <x:c r="P239" s="112" t="str">
        <x:f>IF(COUNTA($A239:$M239)=0,"",IF(OR(LOWER($F239&amp;"")="subscription",LOWER($F239&amp;"")="membership"),"",IF(LOWER($L239&amp;"")="yes",0,IF($K239&lt;&gt;"",$K239,IF($O239&lt;&gt;"",$O239,"")))))</x:f>
      </x:c>
      <x:c r="Q239" s="112" t="str">
        <x:f>IF(COUNTA($A239:$M239)=0,"",IF(OR($U239="Subscription",$U239=""),"",IF($U239="Profit",ROUND($P239-$H239,2),0)))</x:f>
      </x:c>
      <x:c r="R239" s="112" t="str">
        <x:f>IF(COUNTA($A239:$M239)=0,"",IF(OR($U239="Subscription",$U239=""),"",IF($U239="Draw",$H239,0)))</x:f>
      </x:c>
      <x:c r="S239" s="112" t="str">
        <x:f>IF(COUNTA($A239:$M239)=0,"",IF(OR($U239="Subscription",$U239=""),"",IF($U239="Disqualified",$H239,0)))</x:f>
      </x:c>
      <x:c r="T239" s="116" t="str">
        <x:f>IF(COUNTA($A239:$M239)=0,"",IF(OR($U239="Subscription",$U239=""),"",IF($H239=0,0,IF($U239="Profit",$Q239/$H239,IF($U239="Disqualified",-$S239/$H239,0)))))</x:f>
      </x:c>
      <x:c r="U239" s="290" t="str">
        <x:f>IF(COUNTA($A239:$M239)=0,"",IF(OR(LOWER($F239&amp;"")="subscription",LOWER($F239&amp;"")="membership"),"Subscription",IF(LOWER($L239&amp;"")="yes","Disqualified",IF(OR(LOWER($F239&amp;"")="free game",LOWER($F239&amp;"")="free"),IF(AND(ISNUMBER($P239),ISNUMBER($H239),$P239&gt;$H239),"Profit","Free Game"),IF($P239="","",IF(ROUND(IFERROR(VALUE($P239),0)-IFERROR(VALUE($H239),0),2)&gt;0,"Profit","Draw"))))))</x:f>
      </x:c>
      <x:c r="V239" s="144" t="str">
        <x:f>IF(COUNTA($A239:$M239)=0,"",IF(OR($B239="",$C239="",$U239="Subscription"),"",IFERROR(ROUNDUP(($C239-$B239)/7,0),"")))</x:f>
      </x:c>
      <x:c r="W239" s="112" t="str">
        <x:f>IF(COUNTA($A239:$M239)=0,"",IF(OR($U239="Subscription",$U239=""),"",ROUND(IFERROR($Q239,0)-IFERROR($S239,0),2)))</x:f>
      </x:c>
      <x:c r="X239" s="144" t="str">
        <x:f>IF(COUNTA($A239:$M239)=0,"",IF(OR($U239="Subscription",$U239="Free Game",NOT(ISNUMBER($J239)),NOT(ISNUMBER($I239)),$J239=0,$I239=0,$I239&gt;$J239),"",$J239-$I239))</x:f>
      </x:c>
      <x:c r="Y239" s="116" t="str">
        <x:f>IF(COUNTA($A239:$M239)=0,"",IF(OR($U239="Subscription",$U239="Free Game",NOT(ISNUMBER($J239)),$J239=0,$X239=""),"",$X239/$J239))</x:f>
      </x:c>
      <x:c r="Z239" s="118" t="str">
        <x:f>IF(COUNTA($A239:$M239)=0,"",Instructions!$B$29+SUM($W$5:W239))</x:f>
      </x:c>
    </x:row>
    <x:row r="240" ht="30" customHeight="1">
      <x:c r="A240" s="477"/>
      <x:c r="B240" s="482"/>
      <x:c r="C240" s="482"/>
      <x:c r="D240" s="483"/>
      <x:c r="E240" s="483"/>
      <x:c r="F240" s="483"/>
      <x:c r="G240" s="484"/>
      <x:c r="H240" s="484"/>
      <x:c r="I240" s="485"/>
      <x:c r="J240" s="485"/>
      <x:c r="K240" s="484"/>
      <x:c r="L240" s="483"/>
      <x:c r="M240" s="477"/>
      <x:c r="N240" s="112" t="str">
        <x:f>IF(COUNTA($A240:$M240)=0,"",IF(OR(LOWER($F240&amp;"")="subscription",LOWER($F240&amp;"")="membership"),"",IF($G240="","",IF(ISNUMBER(SEARCH("non",LOWER($E240&amp;""))),$G240*0.85,$G240))))</x:f>
      </x:c>
      <x:c r="O240" s="112" t="str">
        <x:f>IF(COUNTA($A240:$M240)=0,"",IF(OR(LOWER($F240&amp;"")="subscription",LOWER($F240&amp;"")="membership"),"",IF(OR($N240="",$I240="",$I240=0),"",IFERROR($N240/$I240,""))))</x:f>
      </x:c>
      <x:c r="P240" s="112" t="str">
        <x:f>IF(COUNTA($A240:$M240)=0,"",IF(OR(LOWER($F240&amp;"")="subscription",LOWER($F240&amp;"")="membership"),"",IF(LOWER($L240&amp;"")="yes",0,IF($K240&lt;&gt;"",$K240,IF($O240&lt;&gt;"",$O240,"")))))</x:f>
      </x:c>
      <x:c r="Q240" s="112" t="str">
        <x:f>IF(COUNTA($A240:$M240)=0,"",IF(OR($U240="Subscription",$U240=""),"",IF($U240="Profit",ROUND($P240-$H240,2),0)))</x:f>
      </x:c>
      <x:c r="R240" s="112" t="str">
        <x:f>IF(COUNTA($A240:$M240)=0,"",IF(OR($U240="Subscription",$U240=""),"",IF($U240="Draw",$H240,0)))</x:f>
      </x:c>
      <x:c r="S240" s="112" t="str">
        <x:f>IF(COUNTA($A240:$M240)=0,"",IF(OR($U240="Subscription",$U240=""),"",IF($U240="Disqualified",$H240,0)))</x:f>
      </x:c>
      <x:c r="T240" s="116" t="str">
        <x:f>IF(COUNTA($A240:$M240)=0,"",IF(OR($U240="Subscription",$U240=""),"",IF($H240=0,0,IF($U240="Profit",$Q240/$H240,IF($U240="Disqualified",-$S240/$H240,0)))))</x:f>
      </x:c>
      <x:c r="U240" s="290" t="str">
        <x:f>IF(COUNTA($A240:$M240)=0,"",IF(OR(LOWER($F240&amp;"")="subscription",LOWER($F240&amp;"")="membership"),"Subscription",IF(LOWER($L240&amp;"")="yes","Disqualified",IF(OR(LOWER($F240&amp;"")="free game",LOWER($F240&amp;"")="free"),IF(AND(ISNUMBER($P240),ISNUMBER($H240),$P240&gt;$H240),"Profit","Free Game"),IF($P240="","",IF(ROUND(IFERROR(VALUE($P240),0)-IFERROR(VALUE($H240),0),2)&gt;0,"Profit","Draw"))))))</x:f>
      </x:c>
      <x:c r="V240" s="144" t="str">
        <x:f>IF(COUNTA($A240:$M240)=0,"",IF(OR($B240="",$C240="",$U240="Subscription"),"",IFERROR(ROUNDUP(($C240-$B240)/7,0),"")))</x:f>
      </x:c>
      <x:c r="W240" s="112" t="str">
        <x:f>IF(COUNTA($A240:$M240)=0,"",IF(OR($U240="Subscription",$U240=""),"",ROUND(IFERROR($Q240,0)-IFERROR($S240,0),2)))</x:f>
      </x:c>
      <x:c r="X240" s="144" t="str">
        <x:f>IF(COUNTA($A240:$M240)=0,"",IF(OR($U240="Subscription",$U240="Free Game",NOT(ISNUMBER($J240)),NOT(ISNUMBER($I240)),$J240=0,$I240=0,$I240&gt;$J240),"",$J240-$I240))</x:f>
      </x:c>
      <x:c r="Y240" s="116" t="str">
        <x:f>IF(COUNTA($A240:$M240)=0,"",IF(OR($U240="Subscription",$U240="Free Game",NOT(ISNUMBER($J240)),$J240=0,$X240=""),"",$X240/$J240))</x:f>
      </x:c>
      <x:c r="Z240" s="118" t="str">
        <x:f>IF(COUNTA($A240:$M240)=0,"",Instructions!$B$29+SUM($W$5:W240))</x:f>
      </x:c>
    </x:row>
    <x:row r="241" ht="30" customHeight="1">
      <x:c r="A241" s="477"/>
      <x:c r="B241" s="482"/>
      <x:c r="C241" s="482"/>
      <x:c r="D241" s="483"/>
      <x:c r="E241" s="483"/>
      <x:c r="F241" s="483"/>
      <x:c r="G241" s="484"/>
      <x:c r="H241" s="484"/>
      <x:c r="I241" s="485"/>
      <x:c r="J241" s="485"/>
      <x:c r="K241" s="484"/>
      <x:c r="L241" s="483"/>
      <x:c r="M241" s="477"/>
      <x:c r="N241" s="112" t="str">
        <x:f>IF(COUNTA($A241:$M241)=0,"",IF(OR(LOWER($F241&amp;"")="subscription",LOWER($F241&amp;"")="membership"),"",IF($G241="","",IF(ISNUMBER(SEARCH("non",LOWER($E241&amp;""))),$G241*0.85,$G241))))</x:f>
      </x:c>
      <x:c r="O241" s="112" t="str">
        <x:f>IF(COUNTA($A241:$M241)=0,"",IF(OR(LOWER($F241&amp;"")="subscription",LOWER($F241&amp;"")="membership"),"",IF(OR($N241="",$I241="",$I241=0),"",IFERROR($N241/$I241,""))))</x:f>
      </x:c>
      <x:c r="P241" s="112" t="str">
        <x:f>IF(COUNTA($A241:$M241)=0,"",IF(OR(LOWER($F241&amp;"")="subscription",LOWER($F241&amp;"")="membership"),"",IF(LOWER($L241&amp;"")="yes",0,IF($K241&lt;&gt;"",$K241,IF($O241&lt;&gt;"",$O241,"")))))</x:f>
      </x:c>
      <x:c r="Q241" s="112" t="str">
        <x:f>IF(COUNTA($A241:$M241)=0,"",IF(OR($U241="Subscription",$U241=""),"",IF($U241="Profit",ROUND($P241-$H241,2),0)))</x:f>
      </x:c>
      <x:c r="R241" s="112" t="str">
        <x:f>IF(COUNTA($A241:$M241)=0,"",IF(OR($U241="Subscription",$U241=""),"",IF($U241="Draw",$H241,0)))</x:f>
      </x:c>
      <x:c r="S241" s="112" t="str">
        <x:f>IF(COUNTA($A241:$M241)=0,"",IF(OR($U241="Subscription",$U241=""),"",IF($U241="Disqualified",$H241,0)))</x:f>
      </x:c>
      <x:c r="T241" s="116" t="str">
        <x:f>IF(COUNTA($A241:$M241)=0,"",IF(OR($U241="Subscription",$U241=""),"",IF($H241=0,0,IF($U241="Profit",$Q241/$H241,IF($U241="Disqualified",-$S241/$H241,0)))))</x:f>
      </x:c>
      <x:c r="U241" s="290" t="str">
        <x:f>IF(COUNTA($A241:$M241)=0,"",IF(OR(LOWER($F241&amp;"")="subscription",LOWER($F241&amp;"")="membership"),"Subscription",IF(LOWER($L241&amp;"")="yes","Disqualified",IF(OR(LOWER($F241&amp;"")="free game",LOWER($F241&amp;"")="free"),IF(AND(ISNUMBER($P241),ISNUMBER($H241),$P241&gt;$H241),"Profit","Free Game"),IF($P241="","",IF(ROUND(IFERROR(VALUE($P241),0)-IFERROR(VALUE($H241),0),2)&gt;0,"Profit","Draw"))))))</x:f>
      </x:c>
      <x:c r="V241" s="144" t="str">
        <x:f>IF(COUNTA($A241:$M241)=0,"",IF(OR($B241="",$C241="",$U241="Subscription"),"",IFERROR(ROUNDUP(($C241-$B241)/7,0),"")))</x:f>
      </x:c>
      <x:c r="W241" s="112" t="str">
        <x:f>IF(COUNTA($A241:$M241)=0,"",IF(OR($U241="Subscription",$U241=""),"",ROUND(IFERROR($Q241,0)-IFERROR($S241,0),2)))</x:f>
      </x:c>
      <x:c r="X241" s="144" t="str">
        <x:f>IF(COUNTA($A241:$M241)=0,"",IF(OR($U241="Subscription",$U241="Free Game",NOT(ISNUMBER($J241)),NOT(ISNUMBER($I241)),$J241=0,$I241=0,$I241&gt;$J241),"",$J241-$I241))</x:f>
      </x:c>
      <x:c r="Y241" s="116" t="str">
        <x:f>IF(COUNTA($A241:$M241)=0,"",IF(OR($U241="Subscription",$U241="Free Game",NOT(ISNUMBER($J241)),$J241=0,$X241=""),"",$X241/$J241))</x:f>
      </x:c>
      <x:c r="Z241" s="118" t="str">
        <x:f>IF(COUNTA($A241:$M241)=0,"",Instructions!$B$29+SUM($W$5:W241))</x:f>
      </x:c>
    </x:row>
    <x:row r="242" ht="30" customHeight="1">
      <x:c r="A242" s="477"/>
      <x:c r="B242" s="482"/>
      <x:c r="C242" s="482"/>
      <x:c r="D242" s="483"/>
      <x:c r="E242" s="483"/>
      <x:c r="F242" s="483"/>
      <x:c r="G242" s="484"/>
      <x:c r="H242" s="484"/>
      <x:c r="I242" s="485"/>
      <x:c r="J242" s="485"/>
      <x:c r="K242" s="484"/>
      <x:c r="L242" s="483"/>
      <x:c r="M242" s="477"/>
      <x:c r="N242" s="112" t="str">
        <x:f>IF(COUNTA($A242:$M242)=0,"",IF(OR(LOWER($F242&amp;"")="subscription",LOWER($F242&amp;"")="membership"),"",IF($G242="","",IF(ISNUMBER(SEARCH("non",LOWER($E242&amp;""))),$G242*0.85,$G242))))</x:f>
      </x:c>
      <x:c r="O242" s="112" t="str">
        <x:f>IF(COUNTA($A242:$M242)=0,"",IF(OR(LOWER($F242&amp;"")="subscription",LOWER($F242&amp;"")="membership"),"",IF(OR($N242="",$I242="",$I242=0),"",IFERROR($N242/$I242,""))))</x:f>
      </x:c>
      <x:c r="P242" s="112" t="str">
        <x:f>IF(COUNTA($A242:$M242)=0,"",IF(OR(LOWER($F242&amp;"")="subscription",LOWER($F242&amp;"")="membership"),"",IF(LOWER($L242&amp;"")="yes",0,IF($K242&lt;&gt;"",$K242,IF($O242&lt;&gt;"",$O242,"")))))</x:f>
      </x:c>
      <x:c r="Q242" s="112" t="str">
        <x:f>IF(COUNTA($A242:$M242)=0,"",IF(OR($U242="Subscription",$U242=""),"",IF($U242="Profit",ROUND($P242-$H242,2),0)))</x:f>
      </x:c>
      <x:c r="R242" s="112" t="str">
        <x:f>IF(COUNTA($A242:$M242)=0,"",IF(OR($U242="Subscription",$U242=""),"",IF($U242="Draw",$H242,0)))</x:f>
      </x:c>
      <x:c r="S242" s="112" t="str">
        <x:f>IF(COUNTA($A242:$M242)=0,"",IF(OR($U242="Subscription",$U242=""),"",IF($U242="Disqualified",$H242,0)))</x:f>
      </x:c>
      <x:c r="T242" s="116" t="str">
        <x:f>IF(COUNTA($A242:$M242)=0,"",IF(OR($U242="Subscription",$U242=""),"",IF($H242=0,0,IF($U242="Profit",$Q242/$H242,IF($U242="Disqualified",-$S242/$H242,0)))))</x:f>
      </x:c>
      <x:c r="U242" s="290" t="str">
        <x:f>IF(COUNTA($A242:$M242)=0,"",IF(OR(LOWER($F242&amp;"")="subscription",LOWER($F242&amp;"")="membership"),"Subscription",IF(LOWER($L242&amp;"")="yes","Disqualified",IF(OR(LOWER($F242&amp;"")="free game",LOWER($F242&amp;"")="free"),IF(AND(ISNUMBER($P242),ISNUMBER($H242),$P242&gt;$H242),"Profit","Free Game"),IF($P242="","",IF(ROUND(IFERROR(VALUE($P242),0)-IFERROR(VALUE($H242),0),2)&gt;0,"Profit","Draw"))))))</x:f>
      </x:c>
      <x:c r="V242" s="144" t="str">
        <x:f>IF(COUNTA($A242:$M242)=0,"",IF(OR($B242="",$C242="",$U242="Subscription"),"",IFERROR(ROUNDUP(($C242-$B242)/7,0),"")))</x:f>
      </x:c>
      <x:c r="W242" s="112" t="str">
        <x:f>IF(COUNTA($A242:$M242)=0,"",IF(OR($U242="Subscription",$U242=""),"",ROUND(IFERROR($Q242,0)-IFERROR($S242,0),2)))</x:f>
      </x:c>
      <x:c r="X242" s="144" t="str">
        <x:f>IF(COUNTA($A242:$M242)=0,"",IF(OR($U242="Subscription",$U242="Free Game",NOT(ISNUMBER($J242)),NOT(ISNUMBER($I242)),$J242=0,$I242=0,$I242&gt;$J242),"",$J242-$I242))</x:f>
      </x:c>
      <x:c r="Y242" s="116" t="str">
        <x:f>IF(COUNTA($A242:$M242)=0,"",IF(OR($U242="Subscription",$U242="Free Game",NOT(ISNUMBER($J242)),$J242=0,$X242=""),"",$X242/$J242))</x:f>
      </x:c>
      <x:c r="Z242" s="118" t="str">
        <x:f>IF(COUNTA($A242:$M242)=0,"",Instructions!$B$29+SUM($W$5:W242))</x:f>
      </x:c>
    </x:row>
    <x:row r="243" ht="30" customHeight="1">
      <x:c r="A243" s="477"/>
      <x:c r="B243" s="482"/>
      <x:c r="C243" s="482"/>
      <x:c r="D243" s="483"/>
      <x:c r="E243" s="483"/>
      <x:c r="F243" s="483"/>
      <x:c r="G243" s="484"/>
      <x:c r="H243" s="484"/>
      <x:c r="I243" s="485"/>
      <x:c r="J243" s="485"/>
      <x:c r="K243" s="484"/>
      <x:c r="L243" s="483"/>
      <x:c r="M243" s="477"/>
      <x:c r="N243" s="112" t="str">
        <x:f>IF(COUNTA($A243:$M243)=0,"",IF(OR(LOWER($F243&amp;"")="subscription",LOWER($F243&amp;"")="membership"),"",IF($G243="","",IF(ISNUMBER(SEARCH("non",LOWER($E243&amp;""))),$G243*0.85,$G243))))</x:f>
      </x:c>
      <x:c r="O243" s="112" t="str">
        <x:f>IF(COUNTA($A243:$M243)=0,"",IF(OR(LOWER($F243&amp;"")="subscription",LOWER($F243&amp;"")="membership"),"",IF(OR($N243="",$I243="",$I243=0),"",IFERROR($N243/$I243,""))))</x:f>
      </x:c>
      <x:c r="P243" s="112" t="str">
        <x:f>IF(COUNTA($A243:$M243)=0,"",IF(OR(LOWER($F243&amp;"")="subscription",LOWER($F243&amp;"")="membership"),"",IF(LOWER($L243&amp;"")="yes",0,IF($K243&lt;&gt;"",$K243,IF($O243&lt;&gt;"",$O243,"")))))</x:f>
      </x:c>
      <x:c r="Q243" s="112" t="str">
        <x:f>IF(COUNTA($A243:$M243)=0,"",IF(OR($U243="Subscription",$U243=""),"",IF($U243="Profit",ROUND($P243-$H243,2),0)))</x:f>
      </x:c>
      <x:c r="R243" s="112" t="str">
        <x:f>IF(COUNTA($A243:$M243)=0,"",IF(OR($U243="Subscription",$U243=""),"",IF($U243="Draw",$H243,0)))</x:f>
      </x:c>
      <x:c r="S243" s="112" t="str">
        <x:f>IF(COUNTA($A243:$M243)=0,"",IF(OR($U243="Subscription",$U243=""),"",IF($U243="Disqualified",$H243,0)))</x:f>
      </x:c>
      <x:c r="T243" s="116" t="str">
        <x:f>IF(COUNTA($A243:$M243)=0,"",IF(OR($U243="Subscription",$U243=""),"",IF($H243=0,0,IF($U243="Profit",$Q243/$H243,IF($U243="Disqualified",-$S243/$H243,0)))))</x:f>
      </x:c>
      <x:c r="U243" s="290" t="str">
        <x:f>IF(COUNTA($A243:$M243)=0,"",IF(OR(LOWER($F243&amp;"")="subscription",LOWER($F243&amp;"")="membership"),"Subscription",IF(LOWER($L243&amp;"")="yes","Disqualified",IF(OR(LOWER($F243&amp;"")="free game",LOWER($F243&amp;"")="free"),IF(AND(ISNUMBER($P243),ISNUMBER($H243),$P243&gt;$H243),"Profit","Free Game"),IF($P243="","",IF(ROUND(IFERROR(VALUE($P243),0)-IFERROR(VALUE($H243),0),2)&gt;0,"Profit","Draw"))))))</x:f>
      </x:c>
      <x:c r="V243" s="144" t="str">
        <x:f>IF(COUNTA($A243:$M243)=0,"",IF(OR($B243="",$C243="",$U243="Subscription"),"",IFERROR(ROUNDUP(($C243-$B243)/7,0),"")))</x:f>
      </x:c>
      <x:c r="W243" s="112" t="str">
        <x:f>IF(COUNTA($A243:$M243)=0,"",IF(OR($U243="Subscription",$U243=""),"",ROUND(IFERROR($Q243,0)-IFERROR($S243,0),2)))</x:f>
      </x:c>
      <x:c r="X243" s="144" t="str">
        <x:f>IF(COUNTA($A243:$M243)=0,"",IF(OR($U243="Subscription",$U243="Free Game",NOT(ISNUMBER($J243)),NOT(ISNUMBER($I243)),$J243=0,$I243=0,$I243&gt;$J243),"",$J243-$I243))</x:f>
      </x:c>
      <x:c r="Y243" s="116" t="str">
        <x:f>IF(COUNTA($A243:$M243)=0,"",IF(OR($U243="Subscription",$U243="Free Game",NOT(ISNUMBER($J243)),$J243=0,$X243=""),"",$X243/$J243))</x:f>
      </x:c>
      <x:c r="Z243" s="118" t="str">
        <x:f>IF(COUNTA($A243:$M243)=0,"",Instructions!$B$29+SUM($W$5:W243))</x:f>
      </x:c>
    </x:row>
    <x:row r="244" ht="30" customHeight="1">
      <x:c r="A244" s="477"/>
      <x:c r="B244" s="482"/>
      <x:c r="C244" s="482"/>
      <x:c r="D244" s="483"/>
      <x:c r="E244" s="483"/>
      <x:c r="F244" s="483"/>
      <x:c r="G244" s="484"/>
      <x:c r="H244" s="484"/>
      <x:c r="I244" s="485"/>
      <x:c r="J244" s="485"/>
      <x:c r="K244" s="484"/>
      <x:c r="L244" s="483"/>
      <x:c r="M244" s="477"/>
      <x:c r="N244" s="112" t="str">
        <x:f>IF(COUNTA($A244:$M244)=0,"",IF(OR(LOWER($F244&amp;"")="subscription",LOWER($F244&amp;"")="membership"),"",IF($G244="","",IF(ISNUMBER(SEARCH("non",LOWER($E244&amp;""))),$G244*0.85,$G244))))</x:f>
      </x:c>
      <x:c r="O244" s="112" t="str">
        <x:f>IF(COUNTA($A244:$M244)=0,"",IF(OR(LOWER($F244&amp;"")="subscription",LOWER($F244&amp;"")="membership"),"",IF(OR($N244="",$I244="",$I244=0),"",IFERROR($N244/$I244,""))))</x:f>
      </x:c>
      <x:c r="P244" s="112" t="str">
        <x:f>IF(COUNTA($A244:$M244)=0,"",IF(OR(LOWER($F244&amp;"")="subscription",LOWER($F244&amp;"")="membership"),"",IF(LOWER($L244&amp;"")="yes",0,IF($K244&lt;&gt;"",$K244,IF($O244&lt;&gt;"",$O244,"")))))</x:f>
      </x:c>
      <x:c r="Q244" s="112" t="str">
        <x:f>IF(COUNTA($A244:$M244)=0,"",IF(OR($U244="Subscription",$U244=""),"",IF($U244="Profit",ROUND($P244-$H244,2),0)))</x:f>
      </x:c>
      <x:c r="R244" s="112" t="str">
        <x:f>IF(COUNTA($A244:$M244)=0,"",IF(OR($U244="Subscription",$U244=""),"",IF($U244="Draw",$H244,0)))</x:f>
      </x:c>
      <x:c r="S244" s="112" t="str">
        <x:f>IF(COUNTA($A244:$M244)=0,"",IF(OR($U244="Subscription",$U244=""),"",IF($U244="Disqualified",$H244,0)))</x:f>
      </x:c>
      <x:c r="T244" s="116" t="str">
        <x:f>IF(COUNTA($A244:$M244)=0,"",IF(OR($U244="Subscription",$U244=""),"",IF($H244=0,0,IF($U244="Profit",$Q244/$H244,IF($U244="Disqualified",-$S244/$H244,0)))))</x:f>
      </x:c>
      <x:c r="U244" s="290" t="str">
        <x:f>IF(COUNTA($A244:$M244)=0,"",IF(OR(LOWER($F244&amp;"")="subscription",LOWER($F244&amp;"")="membership"),"Subscription",IF(LOWER($L244&amp;"")="yes","Disqualified",IF(OR(LOWER($F244&amp;"")="free game",LOWER($F244&amp;"")="free"),IF(AND(ISNUMBER($P244),ISNUMBER($H244),$P244&gt;$H244),"Profit","Free Game"),IF($P244="","",IF(ROUND(IFERROR(VALUE($P244),0)-IFERROR(VALUE($H244),0),2)&gt;0,"Profit","Draw"))))))</x:f>
      </x:c>
      <x:c r="V244" s="144" t="str">
        <x:f>IF(COUNTA($A244:$M244)=0,"",IF(OR($B244="",$C244="",$U244="Subscription"),"",IFERROR(ROUNDUP(($C244-$B244)/7,0),"")))</x:f>
      </x:c>
      <x:c r="W244" s="112" t="str">
        <x:f>IF(COUNTA($A244:$M244)=0,"",IF(OR($U244="Subscription",$U244=""),"",ROUND(IFERROR($Q244,0)-IFERROR($S244,0),2)))</x:f>
      </x:c>
      <x:c r="X244" s="144" t="str">
        <x:f>IF(COUNTA($A244:$M244)=0,"",IF(OR($U244="Subscription",$U244="Free Game",NOT(ISNUMBER($J244)),NOT(ISNUMBER($I244)),$J244=0,$I244=0,$I244&gt;$J244),"",$J244-$I244))</x:f>
      </x:c>
      <x:c r="Y244" s="116" t="str">
        <x:f>IF(COUNTA($A244:$M244)=0,"",IF(OR($U244="Subscription",$U244="Free Game",NOT(ISNUMBER($J244)),$J244=0,$X244=""),"",$X244/$J244))</x:f>
      </x:c>
      <x:c r="Z244" s="118" t="str">
        <x:f>IF(COUNTA($A244:$M244)=0,"",Instructions!$B$29+SUM($W$5:W244))</x:f>
      </x:c>
    </x:row>
    <x:row r="245" ht="30" customHeight="1">
      <x:c r="A245" s="477"/>
      <x:c r="B245" s="482"/>
      <x:c r="C245" s="482"/>
      <x:c r="D245" s="483"/>
      <x:c r="E245" s="483"/>
      <x:c r="F245" s="483"/>
      <x:c r="G245" s="484"/>
      <x:c r="H245" s="484"/>
      <x:c r="I245" s="485"/>
      <x:c r="J245" s="485"/>
      <x:c r="K245" s="484"/>
      <x:c r="L245" s="483"/>
      <x:c r="M245" s="477"/>
      <x:c r="N245" s="112" t="str">
        <x:f>IF(COUNTA($A245:$M245)=0,"",IF(OR(LOWER($F245&amp;"")="subscription",LOWER($F245&amp;"")="membership"),"",IF($G245="","",IF(ISNUMBER(SEARCH("non",LOWER($E245&amp;""))),$G245*0.85,$G245))))</x:f>
      </x:c>
      <x:c r="O245" s="112" t="str">
        <x:f>IF(COUNTA($A245:$M245)=0,"",IF(OR(LOWER($F245&amp;"")="subscription",LOWER($F245&amp;"")="membership"),"",IF(OR($N245="",$I245="",$I245=0),"",IFERROR($N245/$I245,""))))</x:f>
      </x:c>
      <x:c r="P245" s="112" t="str">
        <x:f>IF(COUNTA($A245:$M245)=0,"",IF(OR(LOWER($F245&amp;"")="subscription",LOWER($F245&amp;"")="membership"),"",IF(LOWER($L245&amp;"")="yes",0,IF($K245&lt;&gt;"",$K245,IF($O245&lt;&gt;"",$O245,"")))))</x:f>
      </x:c>
      <x:c r="Q245" s="112" t="str">
        <x:f>IF(COUNTA($A245:$M245)=0,"",IF(OR($U245="Subscription",$U245=""),"",IF($U245="Profit",ROUND($P245-$H245,2),0)))</x:f>
      </x:c>
      <x:c r="R245" s="112" t="str">
        <x:f>IF(COUNTA($A245:$M245)=0,"",IF(OR($U245="Subscription",$U245=""),"",IF($U245="Draw",$H245,0)))</x:f>
      </x:c>
      <x:c r="S245" s="112" t="str">
        <x:f>IF(COUNTA($A245:$M245)=0,"",IF(OR($U245="Subscription",$U245=""),"",IF($U245="Disqualified",$H245,0)))</x:f>
      </x:c>
      <x:c r="T245" s="116" t="str">
        <x:f>IF(COUNTA($A245:$M245)=0,"",IF(OR($U245="Subscription",$U245=""),"",IF($H245=0,0,IF($U245="Profit",$Q245/$H245,IF($U245="Disqualified",-$S245/$H245,0)))))</x:f>
      </x:c>
      <x:c r="U245" s="290" t="str">
        <x:f>IF(COUNTA($A245:$M245)=0,"",IF(OR(LOWER($F245&amp;"")="subscription",LOWER($F245&amp;"")="membership"),"Subscription",IF(LOWER($L245&amp;"")="yes","Disqualified",IF(OR(LOWER($F245&amp;"")="free game",LOWER($F245&amp;"")="free"),IF(AND(ISNUMBER($P245),ISNUMBER($H245),$P245&gt;$H245),"Profit","Free Game"),IF($P245="","",IF(ROUND(IFERROR(VALUE($P245),0)-IFERROR(VALUE($H245),0),2)&gt;0,"Profit","Draw"))))))</x:f>
      </x:c>
      <x:c r="V245" s="144" t="str">
        <x:f>IF(COUNTA($A245:$M245)=0,"",IF(OR($B245="",$C245="",$U245="Subscription"),"",IFERROR(ROUNDUP(($C245-$B245)/7,0),"")))</x:f>
      </x:c>
      <x:c r="W245" s="112" t="str">
        <x:f>IF(COUNTA($A245:$M245)=0,"",IF(OR($U245="Subscription",$U245=""),"",ROUND(IFERROR($Q245,0)-IFERROR($S245,0),2)))</x:f>
      </x:c>
      <x:c r="X245" s="144" t="str">
        <x:f>IF(COUNTA($A245:$M245)=0,"",IF(OR($U245="Subscription",$U245="Free Game",NOT(ISNUMBER($J245)),NOT(ISNUMBER($I245)),$J245=0,$I245=0,$I245&gt;$J245),"",$J245-$I245))</x:f>
      </x:c>
      <x:c r="Y245" s="116" t="str">
        <x:f>IF(COUNTA($A245:$M245)=0,"",IF(OR($U245="Subscription",$U245="Free Game",NOT(ISNUMBER($J245)),$J245=0,$X245=""),"",$X245/$J245))</x:f>
      </x:c>
      <x:c r="Z245" s="118" t="str">
        <x:f>IF(COUNTA($A245:$M245)=0,"",Instructions!$B$29+SUM($W$5:W245))</x:f>
      </x:c>
    </x:row>
    <x:row r="246" ht="30" customHeight="1">
      <x:c r="A246" s="477"/>
      <x:c r="B246" s="482"/>
      <x:c r="C246" s="482"/>
      <x:c r="D246" s="483"/>
      <x:c r="E246" s="483"/>
      <x:c r="F246" s="483"/>
      <x:c r="G246" s="484"/>
      <x:c r="H246" s="484"/>
      <x:c r="I246" s="485"/>
      <x:c r="J246" s="485"/>
      <x:c r="K246" s="484"/>
      <x:c r="L246" s="483"/>
      <x:c r="M246" s="477"/>
      <x:c r="N246" s="112" t="str">
        <x:f>IF(COUNTA($A246:$M246)=0,"",IF(OR(LOWER($F246&amp;"")="subscription",LOWER($F246&amp;"")="membership"),"",IF($G246="","",IF(ISNUMBER(SEARCH("non",LOWER($E246&amp;""))),$G246*0.85,$G246))))</x:f>
      </x:c>
      <x:c r="O246" s="112" t="str">
        <x:f>IF(COUNTA($A246:$M246)=0,"",IF(OR(LOWER($F246&amp;"")="subscription",LOWER($F246&amp;"")="membership"),"",IF(OR($N246="",$I246="",$I246=0),"",IFERROR($N246/$I246,""))))</x:f>
      </x:c>
      <x:c r="P246" s="112" t="str">
        <x:f>IF(COUNTA($A246:$M246)=0,"",IF(OR(LOWER($F246&amp;"")="subscription",LOWER($F246&amp;"")="membership"),"",IF(LOWER($L246&amp;"")="yes",0,IF($K246&lt;&gt;"",$K246,IF($O246&lt;&gt;"",$O246,"")))))</x:f>
      </x:c>
      <x:c r="Q246" s="112" t="str">
        <x:f>IF(COUNTA($A246:$M246)=0,"",IF(OR($U246="Subscription",$U246=""),"",IF($U246="Profit",ROUND($P246-$H246,2),0)))</x:f>
      </x:c>
      <x:c r="R246" s="112" t="str">
        <x:f>IF(COUNTA($A246:$M246)=0,"",IF(OR($U246="Subscription",$U246=""),"",IF($U246="Draw",$H246,0)))</x:f>
      </x:c>
      <x:c r="S246" s="112" t="str">
        <x:f>IF(COUNTA($A246:$M246)=0,"",IF(OR($U246="Subscription",$U246=""),"",IF($U246="Disqualified",$H246,0)))</x:f>
      </x:c>
      <x:c r="T246" s="116" t="str">
        <x:f>IF(COUNTA($A246:$M246)=0,"",IF(OR($U246="Subscription",$U246=""),"",IF($H246=0,0,IF($U246="Profit",$Q246/$H246,IF($U246="Disqualified",-$S246/$H246,0)))))</x:f>
      </x:c>
      <x:c r="U246" s="290" t="str">
        <x:f>IF(COUNTA($A246:$M246)=0,"",IF(OR(LOWER($F246&amp;"")="subscription",LOWER($F246&amp;"")="membership"),"Subscription",IF(LOWER($L246&amp;"")="yes","Disqualified",IF(OR(LOWER($F246&amp;"")="free game",LOWER($F246&amp;"")="free"),IF(AND(ISNUMBER($P246),ISNUMBER($H246),$P246&gt;$H246),"Profit","Free Game"),IF($P246="","",IF(ROUND(IFERROR(VALUE($P246),0)-IFERROR(VALUE($H246),0),2)&gt;0,"Profit","Draw"))))))</x:f>
      </x:c>
      <x:c r="V246" s="144" t="str">
        <x:f>IF(COUNTA($A246:$M246)=0,"",IF(OR($B246="",$C246="",$U246="Subscription"),"",IFERROR(ROUNDUP(($C246-$B246)/7,0),"")))</x:f>
      </x:c>
      <x:c r="W246" s="112" t="str">
        <x:f>IF(COUNTA($A246:$M246)=0,"",IF(OR($U246="Subscription",$U246=""),"",ROUND(IFERROR($Q246,0)-IFERROR($S246,0),2)))</x:f>
      </x:c>
      <x:c r="X246" s="144" t="str">
        <x:f>IF(COUNTA($A246:$M246)=0,"",IF(OR($U246="Subscription",$U246="Free Game",NOT(ISNUMBER($J246)),NOT(ISNUMBER($I246)),$J246=0,$I246=0,$I246&gt;$J246),"",$J246-$I246))</x:f>
      </x:c>
      <x:c r="Y246" s="116" t="str">
        <x:f>IF(COUNTA($A246:$M246)=0,"",IF(OR($U246="Subscription",$U246="Free Game",NOT(ISNUMBER($J246)),$J246=0,$X246=""),"",$X246/$J246))</x:f>
      </x:c>
      <x:c r="Z246" s="118" t="str">
        <x:f>IF(COUNTA($A246:$M246)=0,"",Instructions!$B$29+SUM($W$5:W246))</x:f>
      </x:c>
    </x:row>
    <x:row r="247" ht="30" customHeight="1">
      <x:c r="A247" s="477"/>
      <x:c r="B247" s="482"/>
      <x:c r="C247" s="482"/>
      <x:c r="D247" s="483"/>
      <x:c r="E247" s="483"/>
      <x:c r="F247" s="483"/>
      <x:c r="G247" s="484"/>
      <x:c r="H247" s="484"/>
      <x:c r="I247" s="485"/>
      <x:c r="J247" s="485"/>
      <x:c r="K247" s="484"/>
      <x:c r="L247" s="483"/>
      <x:c r="M247" s="477"/>
      <x:c r="N247" s="112" t="str">
        <x:f>IF(COUNTA($A247:$M247)=0,"",IF(OR(LOWER($F247&amp;"")="subscription",LOWER($F247&amp;"")="membership"),"",IF($G247="","",IF(ISNUMBER(SEARCH("non",LOWER($E247&amp;""))),$G247*0.85,$G247))))</x:f>
      </x:c>
      <x:c r="O247" s="112" t="str">
        <x:f>IF(COUNTA($A247:$M247)=0,"",IF(OR(LOWER($F247&amp;"")="subscription",LOWER($F247&amp;"")="membership"),"",IF(OR($N247="",$I247="",$I247=0),"",IFERROR($N247/$I247,""))))</x:f>
      </x:c>
      <x:c r="P247" s="112" t="str">
        <x:f>IF(COUNTA($A247:$M247)=0,"",IF(OR(LOWER($F247&amp;"")="subscription",LOWER($F247&amp;"")="membership"),"",IF(LOWER($L247&amp;"")="yes",0,IF($K247&lt;&gt;"",$K247,IF($O247&lt;&gt;"",$O247,"")))))</x:f>
      </x:c>
      <x:c r="Q247" s="112" t="str">
        <x:f>IF(COUNTA($A247:$M247)=0,"",IF(OR($U247="Subscription",$U247=""),"",IF($U247="Profit",ROUND($P247-$H247,2),0)))</x:f>
      </x:c>
      <x:c r="R247" s="112" t="str">
        <x:f>IF(COUNTA($A247:$M247)=0,"",IF(OR($U247="Subscription",$U247=""),"",IF($U247="Draw",$H247,0)))</x:f>
      </x:c>
      <x:c r="S247" s="112" t="str">
        <x:f>IF(COUNTA($A247:$M247)=0,"",IF(OR($U247="Subscription",$U247=""),"",IF($U247="Disqualified",$H247,0)))</x:f>
      </x:c>
      <x:c r="T247" s="116" t="str">
        <x:f>IF(COUNTA($A247:$M247)=0,"",IF(OR($U247="Subscription",$U247=""),"",IF($H247=0,0,IF($U247="Profit",$Q247/$H247,IF($U247="Disqualified",-$S247/$H247,0)))))</x:f>
      </x:c>
      <x:c r="U247" s="290" t="str">
        <x:f>IF(COUNTA($A247:$M247)=0,"",IF(OR(LOWER($F247&amp;"")="subscription",LOWER($F247&amp;"")="membership"),"Subscription",IF(LOWER($L247&amp;"")="yes","Disqualified",IF(OR(LOWER($F247&amp;"")="free game",LOWER($F247&amp;"")="free"),IF(AND(ISNUMBER($P247),ISNUMBER($H247),$P247&gt;$H247),"Profit","Free Game"),IF($P247="","",IF(ROUND(IFERROR(VALUE($P247),0)-IFERROR(VALUE($H247),0),2)&gt;0,"Profit","Draw"))))))</x:f>
      </x:c>
      <x:c r="V247" s="144" t="str">
        <x:f>IF(COUNTA($A247:$M247)=0,"",IF(OR($B247="",$C247="",$U247="Subscription"),"",IFERROR(ROUNDUP(($C247-$B247)/7,0),"")))</x:f>
      </x:c>
      <x:c r="W247" s="112" t="str">
        <x:f>IF(COUNTA($A247:$M247)=0,"",IF(OR($U247="Subscription",$U247=""),"",ROUND(IFERROR($Q247,0)-IFERROR($S247,0),2)))</x:f>
      </x:c>
      <x:c r="X247" s="144" t="str">
        <x:f>IF(COUNTA($A247:$M247)=0,"",IF(OR($U247="Subscription",$U247="Free Game",NOT(ISNUMBER($J247)),NOT(ISNUMBER($I247)),$J247=0,$I247=0,$I247&gt;$J247),"",$J247-$I247))</x:f>
      </x:c>
      <x:c r="Y247" s="116" t="str">
        <x:f>IF(COUNTA($A247:$M247)=0,"",IF(OR($U247="Subscription",$U247="Free Game",NOT(ISNUMBER($J247)),$J247=0,$X247=""),"",$X247/$J247))</x:f>
      </x:c>
      <x:c r="Z247" s="118" t="str">
        <x:f>IF(COUNTA($A247:$M247)=0,"",Instructions!$B$29+SUM($W$5:W247))</x:f>
      </x:c>
    </x:row>
    <x:row r="248" ht="30" customHeight="1">
      <x:c r="A248" s="477"/>
      <x:c r="B248" s="482"/>
      <x:c r="C248" s="482"/>
      <x:c r="D248" s="483"/>
      <x:c r="E248" s="483"/>
      <x:c r="F248" s="483"/>
      <x:c r="G248" s="484"/>
      <x:c r="H248" s="484"/>
      <x:c r="I248" s="485"/>
      <x:c r="J248" s="485"/>
      <x:c r="K248" s="484"/>
      <x:c r="L248" s="483"/>
      <x:c r="M248" s="477"/>
      <x:c r="N248" s="112" t="str">
        <x:f>IF(COUNTA($A248:$M248)=0,"",IF(OR(LOWER($F248&amp;"")="subscription",LOWER($F248&amp;"")="membership"),"",IF($G248="","",IF(ISNUMBER(SEARCH("non",LOWER($E248&amp;""))),$G248*0.85,$G248))))</x:f>
      </x:c>
      <x:c r="O248" s="112" t="str">
        <x:f>IF(COUNTA($A248:$M248)=0,"",IF(OR(LOWER($F248&amp;"")="subscription",LOWER($F248&amp;"")="membership"),"",IF(OR($N248="",$I248="",$I248=0),"",IFERROR($N248/$I248,""))))</x:f>
      </x:c>
      <x:c r="P248" s="112" t="str">
        <x:f>IF(COUNTA($A248:$M248)=0,"",IF(OR(LOWER($F248&amp;"")="subscription",LOWER($F248&amp;"")="membership"),"",IF(LOWER($L248&amp;"")="yes",0,IF($K248&lt;&gt;"",$K248,IF($O248&lt;&gt;"",$O248,"")))))</x:f>
      </x:c>
      <x:c r="Q248" s="112" t="str">
        <x:f>IF(COUNTA($A248:$M248)=0,"",IF(OR($U248="Subscription",$U248=""),"",IF($U248="Profit",ROUND($P248-$H248,2),0)))</x:f>
      </x:c>
      <x:c r="R248" s="112" t="str">
        <x:f>IF(COUNTA($A248:$M248)=0,"",IF(OR($U248="Subscription",$U248=""),"",IF($U248="Draw",$H248,0)))</x:f>
      </x:c>
      <x:c r="S248" s="112" t="str">
        <x:f>IF(COUNTA($A248:$M248)=0,"",IF(OR($U248="Subscription",$U248=""),"",IF($U248="Disqualified",$H248,0)))</x:f>
      </x:c>
      <x:c r="T248" s="116" t="str">
        <x:f>IF(COUNTA($A248:$M248)=0,"",IF(OR($U248="Subscription",$U248=""),"",IF($H248=0,0,IF($U248="Profit",$Q248/$H248,IF($U248="Disqualified",-$S248/$H248,0)))))</x:f>
      </x:c>
      <x:c r="U248" s="290" t="str">
        <x:f>IF(COUNTA($A248:$M248)=0,"",IF(OR(LOWER($F248&amp;"")="subscription",LOWER($F248&amp;"")="membership"),"Subscription",IF(LOWER($L248&amp;"")="yes","Disqualified",IF(OR(LOWER($F248&amp;"")="free game",LOWER($F248&amp;"")="free"),IF(AND(ISNUMBER($P248),ISNUMBER($H248),$P248&gt;$H248),"Profit","Free Game"),IF($P248="","",IF(ROUND(IFERROR(VALUE($P248),0)-IFERROR(VALUE($H248),0),2)&gt;0,"Profit","Draw"))))))</x:f>
      </x:c>
      <x:c r="V248" s="144" t="str">
        <x:f>IF(COUNTA($A248:$M248)=0,"",IF(OR($B248="",$C248="",$U248="Subscription"),"",IFERROR(ROUNDUP(($C248-$B248)/7,0),"")))</x:f>
      </x:c>
      <x:c r="W248" s="112" t="str">
        <x:f>IF(COUNTA($A248:$M248)=0,"",IF(OR($U248="Subscription",$U248=""),"",ROUND(IFERROR($Q248,0)-IFERROR($S248,0),2)))</x:f>
      </x:c>
      <x:c r="X248" s="144" t="str">
        <x:f>IF(COUNTA($A248:$M248)=0,"",IF(OR($U248="Subscription",$U248="Free Game",NOT(ISNUMBER($J248)),NOT(ISNUMBER($I248)),$J248=0,$I248=0,$I248&gt;$J248),"",$J248-$I248))</x:f>
      </x:c>
      <x:c r="Y248" s="116" t="str">
        <x:f>IF(COUNTA($A248:$M248)=0,"",IF(OR($U248="Subscription",$U248="Free Game",NOT(ISNUMBER($J248)),$J248=0,$X248=""),"",$X248/$J248))</x:f>
      </x:c>
      <x:c r="Z248" s="118" t="str">
        <x:f>IF(COUNTA($A248:$M248)=0,"",Instructions!$B$29+SUM($W$5:W248))</x:f>
      </x:c>
    </x:row>
    <x:row r="249" ht="30" customHeight="1">
      <x:c r="A249" s="477"/>
      <x:c r="B249" s="482"/>
      <x:c r="C249" s="482"/>
      <x:c r="D249" s="483"/>
      <x:c r="E249" s="483"/>
      <x:c r="F249" s="483"/>
      <x:c r="G249" s="484"/>
      <x:c r="H249" s="484"/>
      <x:c r="I249" s="485"/>
      <x:c r="J249" s="485"/>
      <x:c r="K249" s="484"/>
      <x:c r="L249" s="483"/>
      <x:c r="M249" s="477"/>
      <x:c r="N249" s="112" t="str">
        <x:f>IF(COUNTA($A249:$M249)=0,"",IF(OR(LOWER($F249&amp;"")="subscription",LOWER($F249&amp;"")="membership"),"",IF($G249="","",IF(ISNUMBER(SEARCH("non",LOWER($E249&amp;""))),$G249*0.85,$G249))))</x:f>
      </x:c>
      <x:c r="O249" s="112" t="str">
        <x:f>IF(COUNTA($A249:$M249)=0,"",IF(OR(LOWER($F249&amp;"")="subscription",LOWER($F249&amp;"")="membership"),"",IF(OR($N249="",$I249="",$I249=0),"",IFERROR($N249/$I249,""))))</x:f>
      </x:c>
      <x:c r="P249" s="112" t="str">
        <x:f>IF(COUNTA($A249:$M249)=0,"",IF(OR(LOWER($F249&amp;"")="subscription",LOWER($F249&amp;"")="membership"),"",IF(LOWER($L249&amp;"")="yes",0,IF($K249&lt;&gt;"",$K249,IF($O249&lt;&gt;"",$O249,"")))))</x:f>
      </x:c>
      <x:c r="Q249" s="112" t="str">
        <x:f>IF(COUNTA($A249:$M249)=0,"",IF(OR($U249="Subscription",$U249=""),"",IF($U249="Profit",ROUND($P249-$H249,2),0)))</x:f>
      </x:c>
      <x:c r="R249" s="112" t="str">
        <x:f>IF(COUNTA($A249:$M249)=0,"",IF(OR($U249="Subscription",$U249=""),"",IF($U249="Draw",$H249,0)))</x:f>
      </x:c>
      <x:c r="S249" s="112" t="str">
        <x:f>IF(COUNTA($A249:$M249)=0,"",IF(OR($U249="Subscription",$U249=""),"",IF($U249="Disqualified",$H249,0)))</x:f>
      </x:c>
      <x:c r="T249" s="116" t="str">
        <x:f>IF(COUNTA($A249:$M249)=0,"",IF(OR($U249="Subscription",$U249=""),"",IF($H249=0,0,IF($U249="Profit",$Q249/$H249,IF($U249="Disqualified",-$S249/$H249,0)))))</x:f>
      </x:c>
      <x:c r="U249" s="290" t="str">
        <x:f>IF(COUNTA($A249:$M249)=0,"",IF(OR(LOWER($F249&amp;"")="subscription",LOWER($F249&amp;"")="membership"),"Subscription",IF(LOWER($L249&amp;"")="yes","Disqualified",IF(OR(LOWER($F249&amp;"")="free game",LOWER($F249&amp;"")="free"),IF(AND(ISNUMBER($P249),ISNUMBER($H249),$P249&gt;$H249),"Profit","Free Game"),IF($P249="","",IF(ROUND(IFERROR(VALUE($P249),0)-IFERROR(VALUE($H249),0),2)&gt;0,"Profit","Draw"))))))</x:f>
      </x:c>
      <x:c r="V249" s="144" t="str">
        <x:f>IF(COUNTA($A249:$M249)=0,"",IF(OR($B249="",$C249="",$U249="Subscription"),"",IFERROR(ROUNDUP(($C249-$B249)/7,0),"")))</x:f>
      </x:c>
      <x:c r="W249" s="112" t="str">
        <x:f>IF(COUNTA($A249:$M249)=0,"",IF(OR($U249="Subscription",$U249=""),"",ROUND(IFERROR($Q249,0)-IFERROR($S249,0),2)))</x:f>
      </x:c>
      <x:c r="X249" s="144" t="str">
        <x:f>IF(COUNTA($A249:$M249)=0,"",IF(OR($U249="Subscription",$U249="Free Game",NOT(ISNUMBER($J249)),NOT(ISNUMBER($I249)),$J249=0,$I249=0,$I249&gt;$J249),"",$J249-$I249))</x:f>
      </x:c>
      <x:c r="Y249" s="116" t="str">
        <x:f>IF(COUNTA($A249:$M249)=0,"",IF(OR($U249="Subscription",$U249="Free Game",NOT(ISNUMBER($J249)),$J249=0,$X249=""),"",$X249/$J249))</x:f>
      </x:c>
      <x:c r="Z249" s="118" t="str">
        <x:f>IF(COUNTA($A249:$M249)=0,"",Instructions!$B$29+SUM($W$5:W249))</x:f>
      </x:c>
    </x:row>
    <x:row r="250" ht="30" customHeight="1">
      <x:c r="A250" s="477"/>
      <x:c r="B250" s="482"/>
      <x:c r="C250" s="482"/>
      <x:c r="D250" s="483"/>
      <x:c r="E250" s="483"/>
      <x:c r="F250" s="483"/>
      <x:c r="G250" s="484"/>
      <x:c r="H250" s="484"/>
      <x:c r="I250" s="485"/>
      <x:c r="J250" s="485"/>
      <x:c r="K250" s="484"/>
      <x:c r="L250" s="483"/>
      <x:c r="M250" s="477"/>
      <x:c r="N250" s="112" t="str">
        <x:f>IF(COUNTA($A250:$M250)=0,"",IF(OR(LOWER($F250&amp;"")="subscription",LOWER($F250&amp;"")="membership"),"",IF($G250="","",IF(ISNUMBER(SEARCH("non",LOWER($E250&amp;""))),$G250*0.85,$G250))))</x:f>
      </x:c>
      <x:c r="O250" s="112" t="str">
        <x:f>IF(COUNTA($A250:$M250)=0,"",IF(OR(LOWER($F250&amp;"")="subscription",LOWER($F250&amp;"")="membership"),"",IF(OR($N250="",$I250="",$I250=0),"",IFERROR($N250/$I250,""))))</x:f>
      </x:c>
      <x:c r="P250" s="112" t="str">
        <x:f>IF(COUNTA($A250:$M250)=0,"",IF(OR(LOWER($F250&amp;"")="subscription",LOWER($F250&amp;"")="membership"),"",IF(LOWER($L250&amp;"")="yes",0,IF($K250&lt;&gt;"",$K250,IF($O250&lt;&gt;"",$O250,"")))))</x:f>
      </x:c>
      <x:c r="Q250" s="112" t="str">
        <x:f>IF(COUNTA($A250:$M250)=0,"",IF(OR($U250="Subscription",$U250=""),"",IF($U250="Profit",ROUND($P250-$H250,2),0)))</x:f>
      </x:c>
      <x:c r="R250" s="112" t="str">
        <x:f>IF(COUNTA($A250:$M250)=0,"",IF(OR($U250="Subscription",$U250=""),"",IF($U250="Draw",$H250,0)))</x:f>
      </x:c>
      <x:c r="S250" s="112" t="str">
        <x:f>IF(COUNTA($A250:$M250)=0,"",IF(OR($U250="Subscription",$U250=""),"",IF($U250="Disqualified",$H250,0)))</x:f>
      </x:c>
      <x:c r="T250" s="116" t="str">
        <x:f>IF(COUNTA($A250:$M250)=0,"",IF(OR($U250="Subscription",$U250=""),"",IF($H250=0,0,IF($U250="Profit",$Q250/$H250,IF($U250="Disqualified",-$S250/$H250,0)))))</x:f>
      </x:c>
      <x:c r="U250" s="290" t="str">
        <x:f>IF(COUNTA($A250:$M250)=0,"",IF(OR(LOWER($F250&amp;"")="subscription",LOWER($F250&amp;"")="membership"),"Subscription",IF(LOWER($L250&amp;"")="yes","Disqualified",IF(OR(LOWER($F250&amp;"")="free game",LOWER($F250&amp;"")="free"),IF(AND(ISNUMBER($P250),ISNUMBER($H250),$P250&gt;$H250),"Profit","Free Game"),IF($P250="","",IF(ROUND(IFERROR(VALUE($P250),0)-IFERROR(VALUE($H250),0),2)&gt;0,"Profit","Draw"))))))</x:f>
      </x:c>
      <x:c r="V250" s="144" t="str">
        <x:f>IF(COUNTA($A250:$M250)=0,"",IF(OR($B250="",$C250="",$U250="Subscription"),"",IFERROR(ROUNDUP(($C250-$B250)/7,0),"")))</x:f>
      </x:c>
      <x:c r="W250" s="112" t="str">
        <x:f>IF(COUNTA($A250:$M250)=0,"",IF(OR($U250="Subscription",$U250=""),"",ROUND(IFERROR($Q250,0)-IFERROR($S250,0),2)))</x:f>
      </x:c>
      <x:c r="X250" s="144" t="str">
        <x:f>IF(COUNTA($A250:$M250)=0,"",IF(OR($U250="Subscription",$U250="Free Game",NOT(ISNUMBER($J250)),NOT(ISNUMBER($I250)),$J250=0,$I250=0,$I250&gt;$J250),"",$J250-$I250))</x:f>
      </x:c>
      <x:c r="Y250" s="116" t="str">
        <x:f>IF(COUNTA($A250:$M250)=0,"",IF(OR($U250="Subscription",$U250="Free Game",NOT(ISNUMBER($J250)),$J250=0,$X250=""),"",$X250/$J250))</x:f>
      </x:c>
      <x:c r="Z250" s="118" t="str">
        <x:f>IF(COUNTA($A250:$M250)=0,"",Instructions!$B$29+SUM($W$5:W250))</x:f>
      </x:c>
    </x:row>
    <x:row r="251" ht="30" customHeight="1">
      <x:c r="A251" s="477"/>
      <x:c r="B251" s="482"/>
      <x:c r="C251" s="482"/>
      <x:c r="D251" s="483"/>
      <x:c r="E251" s="483"/>
      <x:c r="F251" s="483"/>
      <x:c r="G251" s="484"/>
      <x:c r="H251" s="484"/>
      <x:c r="I251" s="485"/>
      <x:c r="J251" s="485"/>
      <x:c r="K251" s="484"/>
      <x:c r="L251" s="483"/>
      <x:c r="M251" s="477"/>
      <x:c r="N251" s="112" t="str">
        <x:f>IF(COUNTA($A251:$M251)=0,"",IF(OR(LOWER($F251&amp;"")="subscription",LOWER($F251&amp;"")="membership"),"",IF($G251="","",IF(ISNUMBER(SEARCH("non",LOWER($E251&amp;""))),$G251*0.85,$G251))))</x:f>
      </x:c>
      <x:c r="O251" s="112" t="str">
        <x:f>IF(COUNTA($A251:$M251)=0,"",IF(OR(LOWER($F251&amp;"")="subscription",LOWER($F251&amp;"")="membership"),"",IF(OR($N251="",$I251="",$I251=0),"",IFERROR($N251/$I251,""))))</x:f>
      </x:c>
      <x:c r="P251" s="112" t="str">
        <x:f>IF(COUNTA($A251:$M251)=0,"",IF(OR(LOWER($F251&amp;"")="subscription",LOWER($F251&amp;"")="membership"),"",IF(LOWER($L251&amp;"")="yes",0,IF($K251&lt;&gt;"",$K251,IF($O251&lt;&gt;"",$O251,"")))))</x:f>
      </x:c>
      <x:c r="Q251" s="112" t="str">
        <x:f>IF(COUNTA($A251:$M251)=0,"",IF(OR($U251="Subscription",$U251=""),"",IF($U251="Profit",ROUND($P251-$H251,2),0)))</x:f>
      </x:c>
      <x:c r="R251" s="112" t="str">
        <x:f>IF(COUNTA($A251:$M251)=0,"",IF(OR($U251="Subscription",$U251=""),"",IF($U251="Draw",$H251,0)))</x:f>
      </x:c>
      <x:c r="S251" s="112" t="str">
        <x:f>IF(COUNTA($A251:$M251)=0,"",IF(OR($U251="Subscription",$U251=""),"",IF($U251="Disqualified",$H251,0)))</x:f>
      </x:c>
      <x:c r="T251" s="116" t="str">
        <x:f>IF(COUNTA($A251:$M251)=0,"",IF(OR($U251="Subscription",$U251=""),"",IF($H251=0,0,IF($U251="Profit",$Q251/$H251,IF($U251="Disqualified",-$S251/$H251,0)))))</x:f>
      </x:c>
      <x:c r="U251" s="290" t="str">
        <x:f>IF(COUNTA($A251:$M251)=0,"",IF(OR(LOWER($F251&amp;"")="subscription",LOWER($F251&amp;"")="membership"),"Subscription",IF(LOWER($L251&amp;"")="yes","Disqualified",IF(OR(LOWER($F251&amp;"")="free game",LOWER($F251&amp;"")="free"),IF(AND(ISNUMBER($P251),ISNUMBER($H251),$P251&gt;$H251),"Profit","Free Game"),IF($P251="","",IF(ROUND(IFERROR(VALUE($P251),0)-IFERROR(VALUE($H251),0),2)&gt;0,"Profit","Draw"))))))</x:f>
      </x:c>
      <x:c r="V251" s="144" t="str">
        <x:f>IF(COUNTA($A251:$M251)=0,"",IF(OR($B251="",$C251="",$U251="Subscription"),"",IFERROR(ROUNDUP(($C251-$B251)/7,0),"")))</x:f>
      </x:c>
      <x:c r="W251" s="112" t="str">
        <x:f>IF(COUNTA($A251:$M251)=0,"",IF(OR($U251="Subscription",$U251=""),"",ROUND(IFERROR($Q251,0)-IFERROR($S251,0),2)))</x:f>
      </x:c>
      <x:c r="X251" s="144" t="str">
        <x:f>IF(COUNTA($A251:$M251)=0,"",IF(OR($U251="Subscription",$U251="Free Game",NOT(ISNUMBER($J251)),NOT(ISNUMBER($I251)),$J251=0,$I251=0,$I251&gt;$J251),"",$J251-$I251))</x:f>
      </x:c>
      <x:c r="Y251" s="116" t="str">
        <x:f>IF(COUNTA($A251:$M251)=0,"",IF(OR($U251="Subscription",$U251="Free Game",NOT(ISNUMBER($J251)),$J251=0,$X251=""),"",$X251/$J251))</x:f>
      </x:c>
      <x:c r="Z251" s="118" t="str">
        <x:f>IF(COUNTA($A251:$M251)=0,"",Instructions!$B$29+SUM($W$5:W251))</x:f>
      </x:c>
    </x:row>
    <x:row r="252" ht="30" customHeight="1">
      <x:c r="A252" s="477"/>
      <x:c r="B252" s="482"/>
      <x:c r="C252" s="482"/>
      <x:c r="D252" s="483"/>
      <x:c r="E252" s="483"/>
      <x:c r="F252" s="483"/>
      <x:c r="G252" s="484"/>
      <x:c r="H252" s="484"/>
      <x:c r="I252" s="485"/>
      <x:c r="J252" s="485"/>
      <x:c r="K252" s="484"/>
      <x:c r="L252" s="483"/>
      <x:c r="M252" s="477"/>
      <x:c r="N252" s="112" t="str">
        <x:f>IF(COUNTA($A252:$M252)=0,"",IF(OR(LOWER($F252&amp;"")="subscription",LOWER($F252&amp;"")="membership"),"",IF($G252="","",IF(ISNUMBER(SEARCH("non",LOWER($E252&amp;""))),$G252*0.85,$G252))))</x:f>
      </x:c>
      <x:c r="O252" s="112" t="str">
        <x:f>IF(COUNTA($A252:$M252)=0,"",IF(OR(LOWER($F252&amp;"")="subscription",LOWER($F252&amp;"")="membership"),"",IF(OR($N252="",$I252="",$I252=0),"",IFERROR($N252/$I252,""))))</x:f>
      </x:c>
      <x:c r="P252" s="112" t="str">
        <x:f>IF(COUNTA($A252:$M252)=0,"",IF(OR(LOWER($F252&amp;"")="subscription",LOWER($F252&amp;"")="membership"),"",IF(LOWER($L252&amp;"")="yes",0,IF($K252&lt;&gt;"",$K252,IF($O252&lt;&gt;"",$O252,"")))))</x:f>
      </x:c>
      <x:c r="Q252" s="112" t="str">
        <x:f>IF(COUNTA($A252:$M252)=0,"",IF(OR($U252="Subscription",$U252=""),"",IF($U252="Profit",ROUND($P252-$H252,2),0)))</x:f>
      </x:c>
      <x:c r="R252" s="112" t="str">
        <x:f>IF(COUNTA($A252:$M252)=0,"",IF(OR($U252="Subscription",$U252=""),"",IF($U252="Draw",$H252,0)))</x:f>
      </x:c>
      <x:c r="S252" s="112" t="str">
        <x:f>IF(COUNTA($A252:$M252)=0,"",IF(OR($U252="Subscription",$U252=""),"",IF($U252="Disqualified",$H252,0)))</x:f>
      </x:c>
      <x:c r="T252" s="116" t="str">
        <x:f>IF(COUNTA($A252:$M252)=0,"",IF(OR($U252="Subscription",$U252=""),"",IF($H252=0,0,IF($U252="Profit",$Q252/$H252,IF($U252="Disqualified",-$S252/$H252,0)))))</x:f>
      </x:c>
      <x:c r="U252" s="290" t="str">
        <x:f>IF(COUNTA($A252:$M252)=0,"",IF(OR(LOWER($F252&amp;"")="subscription",LOWER($F252&amp;"")="membership"),"Subscription",IF(LOWER($L252&amp;"")="yes","Disqualified",IF(OR(LOWER($F252&amp;"")="free game",LOWER($F252&amp;"")="free"),IF(AND(ISNUMBER($P252),ISNUMBER($H252),$P252&gt;$H252),"Profit","Free Game"),IF($P252="","",IF(ROUND(IFERROR(VALUE($P252),0)-IFERROR(VALUE($H252),0),2)&gt;0,"Profit","Draw"))))))</x:f>
      </x:c>
      <x:c r="V252" s="144" t="str">
        <x:f>IF(COUNTA($A252:$M252)=0,"",IF(OR($B252="",$C252="",$U252="Subscription"),"",IFERROR(ROUNDUP(($C252-$B252)/7,0),"")))</x:f>
      </x:c>
      <x:c r="W252" s="112" t="str">
        <x:f>IF(COUNTA($A252:$M252)=0,"",IF(OR($U252="Subscription",$U252=""),"",ROUND(IFERROR($Q252,0)-IFERROR($S252,0),2)))</x:f>
      </x:c>
      <x:c r="X252" s="144" t="str">
        <x:f>IF(COUNTA($A252:$M252)=0,"",IF(OR($U252="Subscription",$U252="Free Game",NOT(ISNUMBER($J252)),NOT(ISNUMBER($I252)),$J252=0,$I252=0,$I252&gt;$J252),"",$J252-$I252))</x:f>
      </x:c>
      <x:c r="Y252" s="116" t="str">
        <x:f>IF(COUNTA($A252:$M252)=0,"",IF(OR($U252="Subscription",$U252="Free Game",NOT(ISNUMBER($J252)),$J252=0,$X252=""),"",$X252/$J252))</x:f>
      </x:c>
      <x:c r="Z252" s="118" t="str">
        <x:f>IF(COUNTA($A252:$M252)=0,"",Instructions!$B$29+SUM($W$5:W252))</x:f>
      </x:c>
    </x:row>
    <x:row r="253" ht="30" customHeight="1">
      <x:c r="A253" s="477"/>
      <x:c r="B253" s="482"/>
      <x:c r="C253" s="482"/>
      <x:c r="D253" s="483"/>
      <x:c r="E253" s="483"/>
      <x:c r="F253" s="483"/>
      <x:c r="G253" s="484"/>
      <x:c r="H253" s="484"/>
      <x:c r="I253" s="485"/>
      <x:c r="J253" s="485"/>
      <x:c r="K253" s="484"/>
      <x:c r="L253" s="483"/>
      <x:c r="M253" s="477"/>
      <x:c r="N253" s="112" t="str">
        <x:f>IF(COUNTA($A253:$M253)=0,"",IF(OR(LOWER($F253&amp;"")="subscription",LOWER($F253&amp;"")="membership"),"",IF($G253="","",IF(ISNUMBER(SEARCH("non",LOWER($E253&amp;""))),$G253*0.85,$G253))))</x:f>
      </x:c>
      <x:c r="O253" s="112" t="str">
        <x:f>IF(COUNTA($A253:$M253)=0,"",IF(OR(LOWER($F253&amp;"")="subscription",LOWER($F253&amp;"")="membership"),"",IF(OR($N253="",$I253="",$I253=0),"",IFERROR($N253/$I253,""))))</x:f>
      </x:c>
      <x:c r="P253" s="112" t="str">
        <x:f>IF(COUNTA($A253:$M253)=0,"",IF(OR(LOWER($F253&amp;"")="subscription",LOWER($F253&amp;"")="membership"),"",IF(LOWER($L253&amp;"")="yes",0,IF($K253&lt;&gt;"",$K253,IF($O253&lt;&gt;"",$O253,"")))))</x:f>
      </x:c>
      <x:c r="Q253" s="112" t="str">
        <x:f>IF(COUNTA($A253:$M253)=0,"",IF(OR($U253="Subscription",$U253=""),"",IF($U253="Profit",ROUND($P253-$H253,2),0)))</x:f>
      </x:c>
      <x:c r="R253" s="112" t="str">
        <x:f>IF(COUNTA($A253:$M253)=0,"",IF(OR($U253="Subscription",$U253=""),"",IF($U253="Draw",$H253,0)))</x:f>
      </x:c>
      <x:c r="S253" s="112" t="str">
        <x:f>IF(COUNTA($A253:$M253)=0,"",IF(OR($U253="Subscription",$U253=""),"",IF($U253="Disqualified",$H253,0)))</x:f>
      </x:c>
      <x:c r="T253" s="116" t="str">
        <x:f>IF(COUNTA($A253:$M253)=0,"",IF(OR($U253="Subscription",$U253=""),"",IF($H253=0,0,IF($U253="Profit",$Q253/$H253,IF($U253="Disqualified",-$S253/$H253,0)))))</x:f>
      </x:c>
      <x:c r="U253" s="290" t="str">
        <x:f>IF(COUNTA($A253:$M253)=0,"",IF(OR(LOWER($F253&amp;"")="subscription",LOWER($F253&amp;"")="membership"),"Subscription",IF(LOWER($L253&amp;"")="yes","Disqualified",IF(OR(LOWER($F253&amp;"")="free game",LOWER($F253&amp;"")="free"),IF(AND(ISNUMBER($P253),ISNUMBER($H253),$P253&gt;$H253),"Profit","Free Game"),IF($P253="","",IF(ROUND(IFERROR(VALUE($P253),0)-IFERROR(VALUE($H253),0),2)&gt;0,"Profit","Draw"))))))</x:f>
      </x:c>
      <x:c r="V253" s="144" t="str">
        <x:f>IF(COUNTA($A253:$M253)=0,"",IF(OR($B253="",$C253="",$U253="Subscription"),"",IFERROR(ROUNDUP(($C253-$B253)/7,0),"")))</x:f>
      </x:c>
      <x:c r="W253" s="112" t="str">
        <x:f>IF(COUNTA($A253:$M253)=0,"",IF(OR($U253="Subscription",$U253=""),"",ROUND(IFERROR($Q253,0)-IFERROR($S253,0),2)))</x:f>
      </x:c>
      <x:c r="X253" s="144" t="str">
        <x:f>IF(COUNTA($A253:$M253)=0,"",IF(OR($U253="Subscription",$U253="Free Game",NOT(ISNUMBER($J253)),NOT(ISNUMBER($I253)),$J253=0,$I253=0,$I253&gt;$J253),"",$J253-$I253))</x:f>
      </x:c>
      <x:c r="Y253" s="116" t="str">
        <x:f>IF(COUNTA($A253:$M253)=0,"",IF(OR($U253="Subscription",$U253="Free Game",NOT(ISNUMBER($J253)),$J253=0,$X253=""),"",$X253/$J253))</x:f>
      </x:c>
      <x:c r="Z253" s="118" t="str">
        <x:f>IF(COUNTA($A253:$M253)=0,"",Instructions!$B$29+SUM($W$5:W253))</x:f>
      </x:c>
    </x:row>
    <x:row r="254" ht="30" customHeight="1">
      <x:c r="A254" s="477"/>
      <x:c r="B254" s="482"/>
      <x:c r="C254" s="482"/>
      <x:c r="D254" s="483"/>
      <x:c r="E254" s="483"/>
      <x:c r="F254" s="483"/>
      <x:c r="G254" s="484"/>
      <x:c r="H254" s="484"/>
      <x:c r="I254" s="485"/>
      <x:c r="J254" s="485"/>
      <x:c r="K254" s="484"/>
      <x:c r="L254" s="483"/>
      <x:c r="M254" s="477"/>
      <x:c r="N254" s="112" t="str">
        <x:f>IF(COUNTA($A254:$M254)=0,"",IF(OR(LOWER($F254&amp;"")="subscription",LOWER($F254&amp;"")="membership"),"",IF($G254="","",IF(ISNUMBER(SEARCH("non",LOWER($E254&amp;""))),$G254*0.85,$G254))))</x:f>
      </x:c>
      <x:c r="O254" s="112" t="str">
        <x:f>IF(COUNTA($A254:$M254)=0,"",IF(OR(LOWER($F254&amp;"")="subscription",LOWER($F254&amp;"")="membership"),"",IF(OR($N254="",$I254="",$I254=0),"",IFERROR($N254/$I254,""))))</x:f>
      </x:c>
      <x:c r="P254" s="112" t="str">
        <x:f>IF(COUNTA($A254:$M254)=0,"",IF(OR(LOWER($F254&amp;"")="subscription",LOWER($F254&amp;"")="membership"),"",IF(LOWER($L254&amp;"")="yes",0,IF($K254&lt;&gt;"",$K254,IF($O254&lt;&gt;"",$O254,"")))))</x:f>
      </x:c>
      <x:c r="Q254" s="112" t="str">
        <x:f>IF(COUNTA($A254:$M254)=0,"",IF(OR($U254="Subscription",$U254=""),"",IF($U254="Profit",ROUND($P254-$H254,2),0)))</x:f>
      </x:c>
      <x:c r="R254" s="112" t="str">
        <x:f>IF(COUNTA($A254:$M254)=0,"",IF(OR($U254="Subscription",$U254=""),"",IF($U254="Draw",$H254,0)))</x:f>
      </x:c>
      <x:c r="S254" s="112" t="str">
        <x:f>IF(COUNTA($A254:$M254)=0,"",IF(OR($U254="Subscription",$U254=""),"",IF($U254="Disqualified",$H254,0)))</x:f>
      </x:c>
      <x:c r="T254" s="116" t="str">
        <x:f>IF(COUNTA($A254:$M254)=0,"",IF(OR($U254="Subscription",$U254=""),"",IF($H254=0,0,IF($U254="Profit",$Q254/$H254,IF($U254="Disqualified",-$S254/$H254,0)))))</x:f>
      </x:c>
      <x:c r="U254" s="290" t="str">
        <x:f>IF(COUNTA($A254:$M254)=0,"",IF(OR(LOWER($F254&amp;"")="subscription",LOWER($F254&amp;"")="membership"),"Subscription",IF(LOWER($L254&amp;"")="yes","Disqualified",IF(OR(LOWER($F254&amp;"")="free game",LOWER($F254&amp;"")="free"),IF(AND(ISNUMBER($P254),ISNUMBER($H254),$P254&gt;$H254),"Profit","Free Game"),IF($P254="","",IF(ROUND(IFERROR(VALUE($P254),0)-IFERROR(VALUE($H254),0),2)&gt;0,"Profit","Draw"))))))</x:f>
      </x:c>
      <x:c r="V254" s="144" t="str">
        <x:f>IF(COUNTA($A254:$M254)=0,"",IF(OR($B254="",$C254="",$U254="Subscription"),"",IFERROR(ROUNDUP(($C254-$B254)/7,0),"")))</x:f>
      </x:c>
      <x:c r="W254" s="112" t="str">
        <x:f>IF(COUNTA($A254:$M254)=0,"",IF(OR($U254="Subscription",$U254=""),"",ROUND(IFERROR($Q254,0)-IFERROR($S254,0),2)))</x:f>
      </x:c>
      <x:c r="X254" s="144" t="str">
        <x:f>IF(COUNTA($A254:$M254)=0,"",IF(OR($U254="Subscription",$U254="Free Game",NOT(ISNUMBER($J254)),NOT(ISNUMBER($I254)),$J254=0,$I254=0,$I254&gt;$J254),"",$J254-$I254))</x:f>
      </x:c>
      <x:c r="Y254" s="116" t="str">
        <x:f>IF(COUNTA($A254:$M254)=0,"",IF(OR($U254="Subscription",$U254="Free Game",NOT(ISNUMBER($J254)),$J254=0,$X254=""),"",$X254/$J254))</x:f>
      </x:c>
      <x:c r="Z254" s="118" t="str">
        <x:f>IF(COUNTA($A254:$M254)=0,"",Instructions!$B$29+SUM($W$5:W254))</x:f>
      </x:c>
    </x:row>
    <x:row r="255" ht="30" customHeight="1">
      <x:c r="A255" s="477"/>
      <x:c r="B255" s="482"/>
      <x:c r="C255" s="482"/>
      <x:c r="D255" s="483"/>
      <x:c r="E255" s="483"/>
      <x:c r="F255" s="483"/>
      <x:c r="G255" s="484"/>
      <x:c r="H255" s="484"/>
      <x:c r="I255" s="485"/>
      <x:c r="J255" s="485"/>
      <x:c r="K255" s="484"/>
      <x:c r="L255" s="483"/>
      <x:c r="M255" s="477"/>
      <x:c r="N255" s="112" t="str">
        <x:f>IF(COUNTA($A255:$M255)=0,"",IF(OR(LOWER($F255&amp;"")="subscription",LOWER($F255&amp;"")="membership"),"",IF($G255="","",IF(ISNUMBER(SEARCH("non",LOWER($E255&amp;""))),$G255*0.85,$G255))))</x:f>
      </x:c>
      <x:c r="O255" s="112" t="str">
        <x:f>IF(COUNTA($A255:$M255)=0,"",IF(OR(LOWER($F255&amp;"")="subscription",LOWER($F255&amp;"")="membership"),"",IF(OR($N255="",$I255="",$I255=0),"",IFERROR($N255/$I255,""))))</x:f>
      </x:c>
      <x:c r="P255" s="112" t="str">
        <x:f>IF(COUNTA($A255:$M255)=0,"",IF(OR(LOWER($F255&amp;"")="subscription",LOWER($F255&amp;"")="membership"),"",IF(LOWER($L255&amp;"")="yes",0,IF($K255&lt;&gt;"",$K255,IF($O255&lt;&gt;"",$O255,"")))))</x:f>
      </x:c>
      <x:c r="Q255" s="112" t="str">
        <x:f>IF(COUNTA($A255:$M255)=0,"",IF(OR($U255="Subscription",$U255=""),"",IF($U255="Profit",ROUND($P255-$H255,2),0)))</x:f>
      </x:c>
      <x:c r="R255" s="112" t="str">
        <x:f>IF(COUNTA($A255:$M255)=0,"",IF(OR($U255="Subscription",$U255=""),"",IF($U255="Draw",$H255,0)))</x:f>
      </x:c>
      <x:c r="S255" s="112" t="str">
        <x:f>IF(COUNTA($A255:$M255)=0,"",IF(OR($U255="Subscription",$U255=""),"",IF($U255="Disqualified",$H255,0)))</x:f>
      </x:c>
      <x:c r="T255" s="116" t="str">
        <x:f>IF(COUNTA($A255:$M255)=0,"",IF(OR($U255="Subscription",$U255=""),"",IF($H255=0,0,IF($U255="Profit",$Q255/$H255,IF($U255="Disqualified",-$S255/$H255,0)))))</x:f>
      </x:c>
      <x:c r="U255" s="290" t="str">
        <x:f>IF(COUNTA($A255:$M255)=0,"",IF(OR(LOWER($F255&amp;"")="subscription",LOWER($F255&amp;"")="membership"),"Subscription",IF(LOWER($L255&amp;"")="yes","Disqualified",IF(OR(LOWER($F255&amp;"")="free game",LOWER($F255&amp;"")="free"),IF(AND(ISNUMBER($P255),ISNUMBER($H255),$P255&gt;$H255),"Profit","Free Game"),IF($P255="","",IF(ROUND(IFERROR(VALUE($P255),0)-IFERROR(VALUE($H255),0),2)&gt;0,"Profit","Draw"))))))</x:f>
      </x:c>
      <x:c r="V255" s="144" t="str">
        <x:f>IF(COUNTA($A255:$M255)=0,"",IF(OR($B255="",$C255="",$U255="Subscription"),"",IFERROR(ROUNDUP(($C255-$B255)/7,0),"")))</x:f>
      </x:c>
      <x:c r="W255" s="112" t="str">
        <x:f>IF(COUNTA($A255:$M255)=0,"",IF(OR($U255="Subscription",$U255=""),"",ROUND(IFERROR($Q255,0)-IFERROR($S255,0),2)))</x:f>
      </x:c>
      <x:c r="X255" s="144" t="str">
        <x:f>IF(COUNTA($A255:$M255)=0,"",IF(OR($U255="Subscription",$U255="Free Game",NOT(ISNUMBER($J255)),NOT(ISNUMBER($I255)),$J255=0,$I255=0,$I255&gt;$J255),"",$J255-$I255))</x:f>
      </x:c>
      <x:c r="Y255" s="116" t="str">
        <x:f>IF(COUNTA($A255:$M255)=0,"",IF(OR($U255="Subscription",$U255="Free Game",NOT(ISNUMBER($J255)),$J255=0,$X255=""),"",$X255/$J255))</x:f>
      </x:c>
      <x:c r="Z255" s="118" t="str">
        <x:f>IF(COUNTA($A255:$M255)=0,"",Instructions!$B$29+SUM($W$5:W255))</x:f>
      </x:c>
    </x:row>
    <x:row r="256" ht="30" customHeight="1">
      <x:c r="A256" s="477"/>
      <x:c r="B256" s="482"/>
      <x:c r="C256" s="482"/>
      <x:c r="D256" s="483"/>
      <x:c r="E256" s="483"/>
      <x:c r="F256" s="483"/>
      <x:c r="G256" s="484"/>
      <x:c r="H256" s="484"/>
      <x:c r="I256" s="485"/>
      <x:c r="J256" s="485"/>
      <x:c r="K256" s="484"/>
      <x:c r="L256" s="483"/>
      <x:c r="M256" s="477"/>
      <x:c r="N256" s="112" t="str">
        <x:f>IF(COUNTA($A256:$M256)=0,"",IF(OR(LOWER($F256&amp;"")="subscription",LOWER($F256&amp;"")="membership"),"",IF($G256="","",IF(ISNUMBER(SEARCH("non",LOWER($E256&amp;""))),$G256*0.85,$G256))))</x:f>
      </x:c>
      <x:c r="O256" s="112" t="str">
        <x:f>IF(COUNTA($A256:$M256)=0,"",IF(OR(LOWER($F256&amp;"")="subscription",LOWER($F256&amp;"")="membership"),"",IF(OR($N256="",$I256="",$I256=0),"",IFERROR($N256/$I256,""))))</x:f>
      </x:c>
      <x:c r="P256" s="112" t="str">
        <x:f>IF(COUNTA($A256:$M256)=0,"",IF(OR(LOWER($F256&amp;"")="subscription",LOWER($F256&amp;"")="membership"),"",IF(LOWER($L256&amp;"")="yes",0,IF($K256&lt;&gt;"",$K256,IF($O256&lt;&gt;"",$O256,"")))))</x:f>
      </x:c>
      <x:c r="Q256" s="112" t="str">
        <x:f>IF(COUNTA($A256:$M256)=0,"",IF(OR($U256="Subscription",$U256=""),"",IF($U256="Profit",ROUND($P256-$H256,2),0)))</x:f>
      </x:c>
      <x:c r="R256" s="112" t="str">
        <x:f>IF(COUNTA($A256:$M256)=0,"",IF(OR($U256="Subscription",$U256=""),"",IF($U256="Draw",$H256,0)))</x:f>
      </x:c>
      <x:c r="S256" s="112" t="str">
        <x:f>IF(COUNTA($A256:$M256)=0,"",IF(OR($U256="Subscription",$U256=""),"",IF($U256="Disqualified",$H256,0)))</x:f>
      </x:c>
      <x:c r="T256" s="116" t="str">
        <x:f>IF(COUNTA($A256:$M256)=0,"",IF(OR($U256="Subscription",$U256=""),"",IF($H256=0,0,IF($U256="Profit",$Q256/$H256,IF($U256="Disqualified",-$S256/$H256,0)))))</x:f>
      </x:c>
      <x:c r="U256" s="290" t="str">
        <x:f>IF(COUNTA($A256:$M256)=0,"",IF(OR(LOWER($F256&amp;"")="subscription",LOWER($F256&amp;"")="membership"),"Subscription",IF(LOWER($L256&amp;"")="yes","Disqualified",IF(OR(LOWER($F256&amp;"")="free game",LOWER($F256&amp;"")="free"),IF(AND(ISNUMBER($P256),ISNUMBER($H256),$P256&gt;$H256),"Profit","Free Game"),IF($P256="","",IF(ROUND(IFERROR(VALUE($P256),0)-IFERROR(VALUE($H256),0),2)&gt;0,"Profit","Draw"))))))</x:f>
      </x:c>
      <x:c r="V256" s="144" t="str">
        <x:f>IF(COUNTA($A256:$M256)=0,"",IF(OR($B256="",$C256="",$U256="Subscription"),"",IFERROR(ROUNDUP(($C256-$B256)/7,0),"")))</x:f>
      </x:c>
      <x:c r="W256" s="112" t="str">
        <x:f>IF(COUNTA($A256:$M256)=0,"",IF(OR($U256="Subscription",$U256=""),"",ROUND(IFERROR($Q256,0)-IFERROR($S256,0),2)))</x:f>
      </x:c>
      <x:c r="X256" s="144" t="str">
        <x:f>IF(COUNTA($A256:$M256)=0,"",IF(OR($U256="Subscription",$U256="Free Game",NOT(ISNUMBER($J256)),NOT(ISNUMBER($I256)),$J256=0,$I256=0,$I256&gt;$J256),"",$J256-$I256))</x:f>
      </x:c>
      <x:c r="Y256" s="116" t="str">
        <x:f>IF(COUNTA($A256:$M256)=0,"",IF(OR($U256="Subscription",$U256="Free Game",NOT(ISNUMBER($J256)),$J256=0,$X256=""),"",$X256/$J256))</x:f>
      </x:c>
      <x:c r="Z256" s="118" t="str">
        <x:f>IF(COUNTA($A256:$M256)=0,"",Instructions!$B$29+SUM($W$5:W256))</x:f>
      </x:c>
    </x:row>
    <x:row r="257" ht="30" customHeight="1">
      <x:c r="A257" s="477"/>
      <x:c r="B257" s="482"/>
      <x:c r="C257" s="482"/>
      <x:c r="D257" s="483"/>
      <x:c r="E257" s="483"/>
      <x:c r="F257" s="483"/>
      <x:c r="G257" s="484"/>
      <x:c r="H257" s="484"/>
      <x:c r="I257" s="485"/>
      <x:c r="J257" s="485"/>
      <x:c r="K257" s="484"/>
      <x:c r="L257" s="483"/>
      <x:c r="M257" s="477"/>
      <x:c r="N257" s="112" t="str">
        <x:f>IF(COUNTA($A257:$M257)=0,"",IF(OR(LOWER($F257&amp;"")="subscription",LOWER($F257&amp;"")="membership"),"",IF($G257="","",IF(ISNUMBER(SEARCH("non",LOWER($E257&amp;""))),$G257*0.85,$G257))))</x:f>
      </x:c>
      <x:c r="O257" s="112" t="str">
        <x:f>IF(COUNTA($A257:$M257)=0,"",IF(OR(LOWER($F257&amp;"")="subscription",LOWER($F257&amp;"")="membership"),"",IF(OR($N257="",$I257="",$I257=0),"",IFERROR($N257/$I257,""))))</x:f>
      </x:c>
      <x:c r="P257" s="112" t="str">
        <x:f>IF(COUNTA($A257:$M257)=0,"",IF(OR(LOWER($F257&amp;"")="subscription",LOWER($F257&amp;"")="membership"),"",IF(LOWER($L257&amp;"")="yes",0,IF($K257&lt;&gt;"",$K257,IF($O257&lt;&gt;"",$O257,"")))))</x:f>
      </x:c>
      <x:c r="Q257" s="112" t="str">
        <x:f>IF(COUNTA($A257:$M257)=0,"",IF(OR($U257="Subscription",$U257=""),"",IF($U257="Profit",ROUND($P257-$H257,2),0)))</x:f>
      </x:c>
      <x:c r="R257" s="112" t="str">
        <x:f>IF(COUNTA($A257:$M257)=0,"",IF(OR($U257="Subscription",$U257=""),"",IF($U257="Draw",$H257,0)))</x:f>
      </x:c>
      <x:c r="S257" s="112" t="str">
        <x:f>IF(COUNTA($A257:$M257)=0,"",IF(OR($U257="Subscription",$U257=""),"",IF($U257="Disqualified",$H257,0)))</x:f>
      </x:c>
      <x:c r="T257" s="116" t="str">
        <x:f>IF(COUNTA($A257:$M257)=0,"",IF(OR($U257="Subscription",$U257=""),"",IF($H257=0,0,IF($U257="Profit",$Q257/$H257,IF($U257="Disqualified",-$S257/$H257,0)))))</x:f>
      </x:c>
      <x:c r="U257" s="290" t="str">
        <x:f>IF(COUNTA($A257:$M257)=0,"",IF(OR(LOWER($F257&amp;"")="subscription",LOWER($F257&amp;"")="membership"),"Subscription",IF(LOWER($L257&amp;"")="yes","Disqualified",IF(OR(LOWER($F257&amp;"")="free game",LOWER($F257&amp;"")="free"),IF(AND(ISNUMBER($P257),ISNUMBER($H257),$P257&gt;$H257),"Profit","Free Game"),IF($P257="","",IF(ROUND(IFERROR(VALUE($P257),0)-IFERROR(VALUE($H257),0),2)&gt;0,"Profit","Draw"))))))</x:f>
      </x:c>
      <x:c r="V257" s="144" t="str">
        <x:f>IF(COUNTA($A257:$M257)=0,"",IF(OR($B257="",$C257="",$U257="Subscription"),"",IFERROR(ROUNDUP(($C257-$B257)/7,0),"")))</x:f>
      </x:c>
      <x:c r="W257" s="112" t="str">
        <x:f>IF(COUNTA($A257:$M257)=0,"",IF(OR($U257="Subscription",$U257=""),"",ROUND(IFERROR($Q257,0)-IFERROR($S257,0),2)))</x:f>
      </x:c>
      <x:c r="X257" s="144" t="str">
        <x:f>IF(COUNTA($A257:$M257)=0,"",IF(OR($U257="Subscription",$U257="Free Game",NOT(ISNUMBER($J257)),NOT(ISNUMBER($I257)),$J257=0,$I257=0,$I257&gt;$J257),"",$J257-$I257))</x:f>
      </x:c>
      <x:c r="Y257" s="116" t="str">
        <x:f>IF(COUNTA($A257:$M257)=0,"",IF(OR($U257="Subscription",$U257="Free Game",NOT(ISNUMBER($J257)),$J257=0,$X257=""),"",$X257/$J257))</x:f>
      </x:c>
      <x:c r="Z257" s="118" t="str">
        <x:f>IF(COUNTA($A257:$M257)=0,"",Instructions!$B$29+SUM($W$5:W257))</x:f>
      </x:c>
    </x:row>
    <x:row r="258" ht="30" customHeight="1">
      <x:c r="A258" s="477"/>
      <x:c r="B258" s="482"/>
      <x:c r="C258" s="482"/>
      <x:c r="D258" s="483"/>
      <x:c r="E258" s="483"/>
      <x:c r="F258" s="483"/>
      <x:c r="G258" s="484"/>
      <x:c r="H258" s="484"/>
      <x:c r="I258" s="485"/>
      <x:c r="J258" s="485"/>
      <x:c r="K258" s="484"/>
      <x:c r="L258" s="483"/>
      <x:c r="M258" s="477"/>
      <x:c r="N258" s="112" t="str">
        <x:f>IF(COUNTA($A258:$M258)=0,"",IF(OR(LOWER($F258&amp;"")="subscription",LOWER($F258&amp;"")="membership"),"",IF($G258="","",IF(ISNUMBER(SEARCH("non",LOWER($E258&amp;""))),$G258*0.85,$G258))))</x:f>
      </x:c>
      <x:c r="O258" s="112" t="str">
        <x:f>IF(COUNTA($A258:$M258)=0,"",IF(OR(LOWER($F258&amp;"")="subscription",LOWER($F258&amp;"")="membership"),"",IF(OR($N258="",$I258="",$I258=0),"",IFERROR($N258/$I258,""))))</x:f>
      </x:c>
      <x:c r="P258" s="112" t="str">
        <x:f>IF(COUNTA($A258:$M258)=0,"",IF(OR(LOWER($F258&amp;"")="subscription",LOWER($F258&amp;"")="membership"),"",IF(LOWER($L258&amp;"")="yes",0,IF($K258&lt;&gt;"",$K258,IF($O258&lt;&gt;"",$O258,"")))))</x:f>
      </x:c>
      <x:c r="Q258" s="112" t="str">
        <x:f>IF(COUNTA($A258:$M258)=0,"",IF(OR($U258="Subscription",$U258=""),"",IF($U258="Profit",ROUND($P258-$H258,2),0)))</x:f>
      </x:c>
      <x:c r="R258" s="112" t="str">
        <x:f>IF(COUNTA($A258:$M258)=0,"",IF(OR($U258="Subscription",$U258=""),"",IF($U258="Draw",$H258,0)))</x:f>
      </x:c>
      <x:c r="S258" s="112" t="str">
        <x:f>IF(COUNTA($A258:$M258)=0,"",IF(OR($U258="Subscription",$U258=""),"",IF($U258="Disqualified",$H258,0)))</x:f>
      </x:c>
      <x:c r="T258" s="116" t="str">
        <x:f>IF(COUNTA($A258:$M258)=0,"",IF(OR($U258="Subscription",$U258=""),"",IF($H258=0,0,IF($U258="Profit",$Q258/$H258,IF($U258="Disqualified",-$S258/$H258,0)))))</x:f>
      </x:c>
      <x:c r="U258" s="290" t="str">
        <x:f>IF(COUNTA($A258:$M258)=0,"",IF(OR(LOWER($F258&amp;"")="subscription",LOWER($F258&amp;"")="membership"),"Subscription",IF(LOWER($L258&amp;"")="yes","Disqualified",IF(OR(LOWER($F258&amp;"")="free game",LOWER($F258&amp;"")="free"),IF(AND(ISNUMBER($P258),ISNUMBER($H258),$P258&gt;$H258),"Profit","Free Game"),IF($P258="","",IF(ROUND(IFERROR(VALUE($P258),0)-IFERROR(VALUE($H258),0),2)&gt;0,"Profit","Draw"))))))</x:f>
      </x:c>
      <x:c r="V258" s="144" t="str">
        <x:f>IF(COUNTA($A258:$M258)=0,"",IF(OR($B258="",$C258="",$U258="Subscription"),"",IFERROR(ROUNDUP(($C258-$B258)/7,0),"")))</x:f>
      </x:c>
      <x:c r="W258" s="112" t="str">
        <x:f>IF(COUNTA($A258:$M258)=0,"",IF(OR($U258="Subscription",$U258=""),"",ROUND(IFERROR($Q258,0)-IFERROR($S258,0),2)))</x:f>
      </x:c>
      <x:c r="X258" s="144" t="str">
        <x:f>IF(COUNTA($A258:$M258)=0,"",IF(OR($U258="Subscription",$U258="Free Game",NOT(ISNUMBER($J258)),NOT(ISNUMBER($I258)),$J258=0,$I258=0,$I258&gt;$J258),"",$J258-$I258))</x:f>
      </x:c>
      <x:c r="Y258" s="116" t="str">
        <x:f>IF(COUNTA($A258:$M258)=0,"",IF(OR($U258="Subscription",$U258="Free Game",NOT(ISNUMBER($J258)),$J258=0,$X258=""),"",$X258/$J258))</x:f>
      </x:c>
      <x:c r="Z258" s="118" t="str">
        <x:f>IF(COUNTA($A258:$M258)=0,"",Instructions!$B$29+SUM($W$5:W258))</x:f>
      </x:c>
    </x:row>
    <x:row r="259" ht="30" customHeight="1">
      <x:c r="A259" s="477"/>
      <x:c r="B259" s="482"/>
      <x:c r="C259" s="482"/>
      <x:c r="D259" s="483"/>
      <x:c r="E259" s="483"/>
      <x:c r="F259" s="483"/>
      <x:c r="G259" s="484"/>
      <x:c r="H259" s="484"/>
      <x:c r="I259" s="485"/>
      <x:c r="J259" s="485"/>
      <x:c r="K259" s="484"/>
      <x:c r="L259" s="483"/>
      <x:c r="M259" s="477"/>
      <x:c r="N259" s="112" t="str">
        <x:f>IF(COUNTA($A259:$M259)=0,"",IF(OR(LOWER($F259&amp;"")="subscription",LOWER($F259&amp;"")="membership"),"",IF($G259="","",IF(ISNUMBER(SEARCH("non",LOWER($E259&amp;""))),$G259*0.85,$G259))))</x:f>
      </x:c>
      <x:c r="O259" s="112" t="str">
        <x:f>IF(COUNTA($A259:$M259)=0,"",IF(OR(LOWER($F259&amp;"")="subscription",LOWER($F259&amp;"")="membership"),"",IF(OR($N259="",$I259="",$I259=0),"",IFERROR($N259/$I259,""))))</x:f>
      </x:c>
      <x:c r="P259" s="112" t="str">
        <x:f>IF(COUNTA($A259:$M259)=0,"",IF(OR(LOWER($F259&amp;"")="subscription",LOWER($F259&amp;"")="membership"),"",IF(LOWER($L259&amp;"")="yes",0,IF($K259&lt;&gt;"",$K259,IF($O259&lt;&gt;"",$O259,"")))))</x:f>
      </x:c>
      <x:c r="Q259" s="112" t="str">
        <x:f>IF(COUNTA($A259:$M259)=0,"",IF(OR($U259="Subscription",$U259=""),"",IF($U259="Profit",ROUND($P259-$H259,2),0)))</x:f>
      </x:c>
      <x:c r="R259" s="112" t="str">
        <x:f>IF(COUNTA($A259:$M259)=0,"",IF(OR($U259="Subscription",$U259=""),"",IF($U259="Draw",$H259,0)))</x:f>
      </x:c>
      <x:c r="S259" s="112" t="str">
        <x:f>IF(COUNTA($A259:$M259)=0,"",IF(OR($U259="Subscription",$U259=""),"",IF($U259="Disqualified",$H259,0)))</x:f>
      </x:c>
      <x:c r="T259" s="116" t="str">
        <x:f>IF(COUNTA($A259:$M259)=0,"",IF(OR($U259="Subscription",$U259=""),"",IF($H259=0,0,IF($U259="Profit",$Q259/$H259,IF($U259="Disqualified",-$S259/$H259,0)))))</x:f>
      </x:c>
      <x:c r="U259" s="290" t="str">
        <x:f>IF(COUNTA($A259:$M259)=0,"",IF(OR(LOWER($F259&amp;"")="subscription",LOWER($F259&amp;"")="membership"),"Subscription",IF(LOWER($L259&amp;"")="yes","Disqualified",IF(OR(LOWER($F259&amp;"")="free game",LOWER($F259&amp;"")="free"),IF(AND(ISNUMBER($P259),ISNUMBER($H259),$P259&gt;$H259),"Profit","Free Game"),IF($P259="","",IF(ROUND(IFERROR(VALUE($P259),0)-IFERROR(VALUE($H259),0),2)&gt;0,"Profit","Draw"))))))</x:f>
      </x:c>
      <x:c r="V259" s="144" t="str">
        <x:f>IF(COUNTA($A259:$M259)=0,"",IF(OR($B259="",$C259="",$U259="Subscription"),"",IFERROR(ROUNDUP(($C259-$B259)/7,0),"")))</x:f>
      </x:c>
      <x:c r="W259" s="112" t="str">
        <x:f>IF(COUNTA($A259:$M259)=0,"",IF(OR($U259="Subscription",$U259=""),"",ROUND(IFERROR($Q259,0)-IFERROR($S259,0),2)))</x:f>
      </x:c>
      <x:c r="X259" s="144" t="str">
        <x:f>IF(COUNTA($A259:$M259)=0,"",IF(OR($U259="Subscription",$U259="Free Game",NOT(ISNUMBER($J259)),NOT(ISNUMBER($I259)),$J259=0,$I259=0,$I259&gt;$J259),"",$J259-$I259))</x:f>
      </x:c>
      <x:c r="Y259" s="116" t="str">
        <x:f>IF(COUNTA($A259:$M259)=0,"",IF(OR($U259="Subscription",$U259="Free Game",NOT(ISNUMBER($J259)),$J259=0,$X259=""),"",$X259/$J259))</x:f>
      </x:c>
      <x:c r="Z259" s="118" t="str">
        <x:f>IF(COUNTA($A259:$M259)=0,"",Instructions!$B$29+SUM($W$5:W259))</x:f>
      </x:c>
    </x:row>
    <x:row r="260" ht="30" customHeight="1">
      <x:c r="A260" s="477"/>
      <x:c r="B260" s="482"/>
      <x:c r="C260" s="482"/>
      <x:c r="D260" s="483"/>
      <x:c r="E260" s="483"/>
      <x:c r="F260" s="483"/>
      <x:c r="G260" s="484"/>
      <x:c r="H260" s="484"/>
      <x:c r="I260" s="485"/>
      <x:c r="J260" s="485"/>
      <x:c r="K260" s="484"/>
      <x:c r="L260" s="483"/>
      <x:c r="M260" s="477"/>
      <x:c r="N260" s="112" t="str">
        <x:f>IF(COUNTA($A260:$M260)=0,"",IF(OR(LOWER($F260&amp;"")="subscription",LOWER($F260&amp;"")="membership"),"",IF($G260="","",IF(ISNUMBER(SEARCH("non",LOWER($E260&amp;""))),$G260*0.85,$G260))))</x:f>
      </x:c>
      <x:c r="O260" s="112" t="str">
        <x:f>IF(COUNTA($A260:$M260)=0,"",IF(OR(LOWER($F260&amp;"")="subscription",LOWER($F260&amp;"")="membership"),"",IF(OR($N260="",$I260="",$I260=0),"",IFERROR($N260/$I260,""))))</x:f>
      </x:c>
      <x:c r="P260" s="112" t="str">
        <x:f>IF(COUNTA($A260:$M260)=0,"",IF(OR(LOWER($F260&amp;"")="subscription",LOWER($F260&amp;"")="membership"),"",IF(LOWER($L260&amp;"")="yes",0,IF($K260&lt;&gt;"",$K260,IF($O260&lt;&gt;"",$O260,"")))))</x:f>
      </x:c>
      <x:c r="Q260" s="112" t="str">
        <x:f>IF(COUNTA($A260:$M260)=0,"",IF(OR($U260="Subscription",$U260=""),"",IF($U260="Profit",ROUND($P260-$H260,2),0)))</x:f>
      </x:c>
      <x:c r="R260" s="112" t="str">
        <x:f>IF(COUNTA($A260:$M260)=0,"",IF(OR($U260="Subscription",$U260=""),"",IF($U260="Draw",$H260,0)))</x:f>
      </x:c>
      <x:c r="S260" s="112" t="str">
        <x:f>IF(COUNTA($A260:$M260)=0,"",IF(OR($U260="Subscription",$U260=""),"",IF($U260="Disqualified",$H260,0)))</x:f>
      </x:c>
      <x:c r="T260" s="116" t="str">
        <x:f>IF(COUNTA($A260:$M260)=0,"",IF(OR($U260="Subscription",$U260=""),"",IF($H260=0,0,IF($U260="Profit",$Q260/$H260,IF($U260="Disqualified",-$S260/$H260,0)))))</x:f>
      </x:c>
      <x:c r="U260" s="290" t="str">
        <x:f>IF(COUNTA($A260:$M260)=0,"",IF(OR(LOWER($F260&amp;"")="subscription",LOWER($F260&amp;"")="membership"),"Subscription",IF(LOWER($L260&amp;"")="yes","Disqualified",IF(OR(LOWER($F260&amp;"")="free game",LOWER($F260&amp;"")="free"),IF(AND(ISNUMBER($P260),ISNUMBER($H260),$P260&gt;$H260),"Profit","Free Game"),IF($P260="","",IF(ROUND(IFERROR(VALUE($P260),0)-IFERROR(VALUE($H260),0),2)&gt;0,"Profit","Draw"))))))</x:f>
      </x:c>
      <x:c r="V260" s="144" t="str">
        <x:f>IF(COUNTA($A260:$M260)=0,"",IF(OR($B260="",$C260="",$U260="Subscription"),"",IFERROR(ROUNDUP(($C260-$B260)/7,0),"")))</x:f>
      </x:c>
      <x:c r="W260" s="112" t="str">
        <x:f>IF(COUNTA($A260:$M260)=0,"",IF(OR($U260="Subscription",$U260=""),"",ROUND(IFERROR($Q260,0)-IFERROR($S260,0),2)))</x:f>
      </x:c>
      <x:c r="X260" s="144" t="str">
        <x:f>IF(COUNTA($A260:$M260)=0,"",IF(OR($U260="Subscription",$U260="Free Game",NOT(ISNUMBER($J260)),NOT(ISNUMBER($I260)),$J260=0,$I260=0,$I260&gt;$J260),"",$J260-$I260))</x:f>
      </x:c>
      <x:c r="Y260" s="116" t="str">
        <x:f>IF(COUNTA($A260:$M260)=0,"",IF(OR($U260="Subscription",$U260="Free Game",NOT(ISNUMBER($J260)),$J260=0,$X260=""),"",$X260/$J260))</x:f>
      </x:c>
      <x:c r="Z260" s="118" t="str">
        <x:f>IF(COUNTA($A260:$M260)=0,"",Instructions!$B$29+SUM($W$5:W260))</x:f>
      </x:c>
    </x:row>
    <x:row r="261" ht="30" customHeight="1">
      <x:c r="A261" s="477"/>
      <x:c r="B261" s="482"/>
      <x:c r="C261" s="482"/>
      <x:c r="D261" s="483"/>
      <x:c r="E261" s="483"/>
      <x:c r="F261" s="483"/>
      <x:c r="G261" s="484"/>
      <x:c r="H261" s="484"/>
      <x:c r="I261" s="485"/>
      <x:c r="J261" s="485"/>
      <x:c r="K261" s="484"/>
      <x:c r="L261" s="483"/>
      <x:c r="M261" s="477"/>
      <x:c r="N261" s="112" t="str">
        <x:f>IF(COUNTA($A261:$M261)=0,"",IF(OR(LOWER($F261&amp;"")="subscription",LOWER($F261&amp;"")="membership"),"",IF($G261="","",IF(ISNUMBER(SEARCH("non",LOWER($E261&amp;""))),$G261*0.85,$G261))))</x:f>
      </x:c>
      <x:c r="O261" s="112" t="str">
        <x:f>IF(COUNTA($A261:$M261)=0,"",IF(OR(LOWER($F261&amp;"")="subscription",LOWER($F261&amp;"")="membership"),"",IF(OR($N261="",$I261="",$I261=0),"",IFERROR($N261/$I261,""))))</x:f>
      </x:c>
      <x:c r="P261" s="112" t="str">
        <x:f>IF(COUNTA($A261:$M261)=0,"",IF(OR(LOWER($F261&amp;"")="subscription",LOWER($F261&amp;"")="membership"),"",IF(LOWER($L261&amp;"")="yes",0,IF($K261&lt;&gt;"",$K261,IF($O261&lt;&gt;"",$O261,"")))))</x:f>
      </x:c>
      <x:c r="Q261" s="112" t="str">
        <x:f>IF(COUNTA($A261:$M261)=0,"",IF(OR($U261="Subscription",$U261=""),"",IF($U261="Profit",ROUND($P261-$H261,2),0)))</x:f>
      </x:c>
      <x:c r="R261" s="112" t="str">
        <x:f>IF(COUNTA($A261:$M261)=0,"",IF(OR($U261="Subscription",$U261=""),"",IF($U261="Draw",$H261,0)))</x:f>
      </x:c>
      <x:c r="S261" s="112" t="str">
        <x:f>IF(COUNTA($A261:$M261)=0,"",IF(OR($U261="Subscription",$U261=""),"",IF($U261="Disqualified",$H261,0)))</x:f>
      </x:c>
      <x:c r="T261" s="116" t="str">
        <x:f>IF(COUNTA($A261:$M261)=0,"",IF(OR($U261="Subscription",$U261=""),"",IF($H261=0,0,IF($U261="Profit",$Q261/$H261,IF($U261="Disqualified",-$S261/$H261,0)))))</x:f>
      </x:c>
      <x:c r="U261" s="290" t="str">
        <x:f>IF(COUNTA($A261:$M261)=0,"",IF(OR(LOWER($F261&amp;"")="subscription",LOWER($F261&amp;"")="membership"),"Subscription",IF(LOWER($L261&amp;"")="yes","Disqualified",IF(OR(LOWER($F261&amp;"")="free game",LOWER($F261&amp;"")="free"),IF(AND(ISNUMBER($P261),ISNUMBER($H261),$P261&gt;$H261),"Profit","Free Game"),IF($P261="","",IF(ROUND(IFERROR(VALUE($P261),0)-IFERROR(VALUE($H261),0),2)&gt;0,"Profit","Draw"))))))</x:f>
      </x:c>
      <x:c r="V261" s="144" t="str">
        <x:f>IF(COUNTA($A261:$M261)=0,"",IF(OR($B261="",$C261="",$U261="Subscription"),"",IFERROR(ROUNDUP(($C261-$B261)/7,0),"")))</x:f>
      </x:c>
      <x:c r="W261" s="112" t="str">
        <x:f>IF(COUNTA($A261:$M261)=0,"",IF(OR($U261="Subscription",$U261=""),"",ROUND(IFERROR($Q261,0)-IFERROR($S261,0),2)))</x:f>
      </x:c>
      <x:c r="X261" s="144" t="str">
        <x:f>IF(COUNTA($A261:$M261)=0,"",IF(OR($U261="Subscription",$U261="Free Game",NOT(ISNUMBER($J261)),NOT(ISNUMBER($I261)),$J261=0,$I261=0,$I261&gt;$J261),"",$J261-$I261))</x:f>
      </x:c>
      <x:c r="Y261" s="116" t="str">
        <x:f>IF(COUNTA($A261:$M261)=0,"",IF(OR($U261="Subscription",$U261="Free Game",NOT(ISNUMBER($J261)),$J261=0,$X261=""),"",$X261/$J261))</x:f>
      </x:c>
      <x:c r="Z261" s="118" t="str">
        <x:f>IF(COUNTA($A261:$M261)=0,"",Instructions!$B$29+SUM($W$5:W261))</x:f>
      </x:c>
    </x:row>
    <x:row r="262" ht="30" customHeight="1">
      <x:c r="A262" s="477"/>
      <x:c r="B262" s="482"/>
      <x:c r="C262" s="482"/>
      <x:c r="D262" s="483"/>
      <x:c r="E262" s="483"/>
      <x:c r="F262" s="483"/>
      <x:c r="G262" s="484"/>
      <x:c r="H262" s="484"/>
      <x:c r="I262" s="485"/>
      <x:c r="J262" s="485"/>
      <x:c r="K262" s="484"/>
      <x:c r="L262" s="483"/>
      <x:c r="M262" s="477"/>
      <x:c r="N262" s="112" t="str">
        <x:f>IF(COUNTA($A262:$M262)=0,"",IF(OR(LOWER($F262&amp;"")="subscription",LOWER($F262&amp;"")="membership"),"",IF($G262="","",IF(ISNUMBER(SEARCH("non",LOWER($E262&amp;""))),$G262*0.85,$G262))))</x:f>
      </x:c>
      <x:c r="O262" s="112" t="str">
        <x:f>IF(COUNTA($A262:$M262)=0,"",IF(OR(LOWER($F262&amp;"")="subscription",LOWER($F262&amp;"")="membership"),"",IF(OR($N262="",$I262="",$I262=0),"",IFERROR($N262/$I262,""))))</x:f>
      </x:c>
      <x:c r="P262" s="112" t="str">
        <x:f>IF(COUNTA($A262:$M262)=0,"",IF(OR(LOWER($F262&amp;"")="subscription",LOWER($F262&amp;"")="membership"),"",IF(LOWER($L262&amp;"")="yes",0,IF($K262&lt;&gt;"",$K262,IF($O262&lt;&gt;"",$O262,"")))))</x:f>
      </x:c>
      <x:c r="Q262" s="112" t="str">
        <x:f>IF(COUNTA($A262:$M262)=0,"",IF(OR($U262="Subscription",$U262=""),"",IF($U262="Profit",ROUND($P262-$H262,2),0)))</x:f>
      </x:c>
      <x:c r="R262" s="112" t="str">
        <x:f>IF(COUNTA($A262:$M262)=0,"",IF(OR($U262="Subscription",$U262=""),"",IF($U262="Draw",$H262,0)))</x:f>
      </x:c>
      <x:c r="S262" s="112" t="str">
        <x:f>IF(COUNTA($A262:$M262)=0,"",IF(OR($U262="Subscription",$U262=""),"",IF($U262="Disqualified",$H262,0)))</x:f>
      </x:c>
      <x:c r="T262" s="116" t="str">
        <x:f>IF(COUNTA($A262:$M262)=0,"",IF(OR($U262="Subscription",$U262=""),"",IF($H262=0,0,IF($U262="Profit",$Q262/$H262,IF($U262="Disqualified",-$S262/$H262,0)))))</x:f>
      </x:c>
      <x:c r="U262" s="290" t="str">
        <x:f>IF(COUNTA($A262:$M262)=0,"",IF(OR(LOWER($F262&amp;"")="subscription",LOWER($F262&amp;"")="membership"),"Subscription",IF(LOWER($L262&amp;"")="yes","Disqualified",IF(OR(LOWER($F262&amp;"")="free game",LOWER($F262&amp;"")="free"),IF(AND(ISNUMBER($P262),ISNUMBER($H262),$P262&gt;$H262),"Profit","Free Game"),IF($P262="","",IF(ROUND(IFERROR(VALUE($P262),0)-IFERROR(VALUE($H262),0),2)&gt;0,"Profit","Draw"))))))</x:f>
      </x:c>
      <x:c r="V262" s="144" t="str">
        <x:f>IF(COUNTA($A262:$M262)=0,"",IF(OR($B262="",$C262="",$U262="Subscription"),"",IFERROR(ROUNDUP(($C262-$B262)/7,0),"")))</x:f>
      </x:c>
      <x:c r="W262" s="112" t="str">
        <x:f>IF(COUNTA($A262:$M262)=0,"",IF(OR($U262="Subscription",$U262=""),"",ROUND(IFERROR($Q262,0)-IFERROR($S262,0),2)))</x:f>
      </x:c>
      <x:c r="X262" s="144" t="str">
        <x:f>IF(COUNTA($A262:$M262)=0,"",IF(OR($U262="Subscription",$U262="Free Game",NOT(ISNUMBER($J262)),NOT(ISNUMBER($I262)),$J262=0,$I262=0,$I262&gt;$J262),"",$J262-$I262))</x:f>
      </x:c>
      <x:c r="Y262" s="116" t="str">
        <x:f>IF(COUNTA($A262:$M262)=0,"",IF(OR($U262="Subscription",$U262="Free Game",NOT(ISNUMBER($J262)),$J262=0,$X262=""),"",$X262/$J262))</x:f>
      </x:c>
      <x:c r="Z262" s="118" t="str">
        <x:f>IF(COUNTA($A262:$M262)=0,"",Instructions!$B$29+SUM($W$5:W262))</x:f>
      </x:c>
    </x:row>
    <x:row r="263" ht="30" customHeight="1">
      <x:c r="A263" s="477"/>
      <x:c r="B263" s="482"/>
      <x:c r="C263" s="482"/>
      <x:c r="D263" s="483"/>
      <x:c r="E263" s="483"/>
      <x:c r="F263" s="483"/>
      <x:c r="G263" s="484"/>
      <x:c r="H263" s="484"/>
      <x:c r="I263" s="485"/>
      <x:c r="J263" s="485"/>
      <x:c r="K263" s="484"/>
      <x:c r="L263" s="483"/>
      <x:c r="M263" s="477"/>
      <x:c r="N263" s="112" t="str">
        <x:f>IF(COUNTA($A263:$M263)=0,"",IF(OR(LOWER($F263&amp;"")="subscription",LOWER($F263&amp;"")="membership"),"",IF($G263="","",IF(ISNUMBER(SEARCH("non",LOWER($E263&amp;""))),$G263*0.85,$G263))))</x:f>
      </x:c>
      <x:c r="O263" s="112" t="str">
        <x:f>IF(COUNTA($A263:$M263)=0,"",IF(OR(LOWER($F263&amp;"")="subscription",LOWER($F263&amp;"")="membership"),"",IF(OR($N263="",$I263="",$I263=0),"",IFERROR($N263/$I263,""))))</x:f>
      </x:c>
      <x:c r="P263" s="112" t="str">
        <x:f>IF(COUNTA($A263:$M263)=0,"",IF(OR(LOWER($F263&amp;"")="subscription",LOWER($F263&amp;"")="membership"),"",IF(LOWER($L263&amp;"")="yes",0,IF($K263&lt;&gt;"",$K263,IF($O263&lt;&gt;"",$O263,"")))))</x:f>
      </x:c>
      <x:c r="Q263" s="112" t="str">
        <x:f>IF(COUNTA($A263:$M263)=0,"",IF(OR($U263="Subscription",$U263=""),"",IF($U263="Profit",ROUND($P263-$H263,2),0)))</x:f>
      </x:c>
      <x:c r="R263" s="112" t="str">
        <x:f>IF(COUNTA($A263:$M263)=0,"",IF(OR($U263="Subscription",$U263=""),"",IF($U263="Draw",$H263,0)))</x:f>
      </x:c>
      <x:c r="S263" s="112" t="str">
        <x:f>IF(COUNTA($A263:$M263)=0,"",IF(OR($U263="Subscription",$U263=""),"",IF($U263="Disqualified",$H263,0)))</x:f>
      </x:c>
      <x:c r="T263" s="116" t="str">
        <x:f>IF(COUNTA($A263:$M263)=0,"",IF(OR($U263="Subscription",$U263=""),"",IF($H263=0,0,IF($U263="Profit",$Q263/$H263,IF($U263="Disqualified",-$S263/$H263,0)))))</x:f>
      </x:c>
      <x:c r="U263" s="290" t="str">
        <x:f>IF(COUNTA($A263:$M263)=0,"",IF(OR(LOWER($F263&amp;"")="subscription",LOWER($F263&amp;"")="membership"),"Subscription",IF(LOWER($L263&amp;"")="yes","Disqualified",IF(OR(LOWER($F263&amp;"")="free game",LOWER($F263&amp;"")="free"),IF(AND(ISNUMBER($P263),ISNUMBER($H263),$P263&gt;$H263),"Profit","Free Game"),IF($P263="","",IF(ROUND(IFERROR(VALUE($P263),0)-IFERROR(VALUE($H263),0),2)&gt;0,"Profit","Draw"))))))</x:f>
      </x:c>
      <x:c r="V263" s="144" t="str">
        <x:f>IF(COUNTA($A263:$M263)=0,"",IF(OR($B263="",$C263="",$U263="Subscription"),"",IFERROR(ROUNDUP(($C263-$B263)/7,0),"")))</x:f>
      </x:c>
      <x:c r="W263" s="112" t="str">
        <x:f>IF(COUNTA($A263:$M263)=0,"",IF(OR($U263="Subscription",$U263=""),"",ROUND(IFERROR($Q263,0)-IFERROR($S263,0),2)))</x:f>
      </x:c>
      <x:c r="X263" s="144" t="str">
        <x:f>IF(COUNTA($A263:$M263)=0,"",IF(OR($U263="Subscription",$U263="Free Game",NOT(ISNUMBER($J263)),NOT(ISNUMBER($I263)),$J263=0,$I263=0,$I263&gt;$J263),"",$J263-$I263))</x:f>
      </x:c>
      <x:c r="Y263" s="116" t="str">
        <x:f>IF(COUNTA($A263:$M263)=0,"",IF(OR($U263="Subscription",$U263="Free Game",NOT(ISNUMBER($J263)),$J263=0,$X263=""),"",$X263/$J263))</x:f>
      </x:c>
      <x:c r="Z263" s="118" t="str">
        <x:f>IF(COUNTA($A263:$M263)=0,"",Instructions!$B$29+SUM($W$5:W263))</x:f>
      </x:c>
    </x:row>
    <x:row r="264" ht="30" customHeight="1">
      <x:c r="A264" s="477"/>
      <x:c r="B264" s="482"/>
      <x:c r="C264" s="482"/>
      <x:c r="D264" s="483"/>
      <x:c r="E264" s="483"/>
      <x:c r="F264" s="483"/>
      <x:c r="G264" s="484"/>
      <x:c r="H264" s="484"/>
      <x:c r="I264" s="485"/>
      <x:c r="J264" s="485"/>
      <x:c r="K264" s="484"/>
      <x:c r="L264" s="483"/>
      <x:c r="M264" s="477"/>
      <x:c r="N264" s="112" t="str">
        <x:f>IF(COUNTA($A264:$M264)=0,"",IF(OR(LOWER($F264&amp;"")="subscription",LOWER($F264&amp;"")="membership"),"",IF($G264="","",IF(ISNUMBER(SEARCH("non",LOWER($E264&amp;""))),$G264*0.85,$G264))))</x:f>
      </x:c>
      <x:c r="O264" s="112" t="str">
        <x:f>IF(COUNTA($A264:$M264)=0,"",IF(OR(LOWER($F264&amp;"")="subscription",LOWER($F264&amp;"")="membership"),"",IF(OR($N264="",$I264="",$I264=0),"",IFERROR($N264/$I264,""))))</x:f>
      </x:c>
      <x:c r="P264" s="112" t="str">
        <x:f>IF(COUNTA($A264:$M264)=0,"",IF(OR(LOWER($F264&amp;"")="subscription",LOWER($F264&amp;"")="membership"),"",IF(LOWER($L264&amp;"")="yes",0,IF($K264&lt;&gt;"",$K264,IF($O264&lt;&gt;"",$O264,"")))))</x:f>
      </x:c>
      <x:c r="Q264" s="112" t="str">
        <x:f>IF(COUNTA($A264:$M264)=0,"",IF(OR($U264="Subscription",$U264=""),"",IF($U264="Profit",ROUND($P264-$H264,2),0)))</x:f>
      </x:c>
      <x:c r="R264" s="112" t="str">
        <x:f>IF(COUNTA($A264:$M264)=0,"",IF(OR($U264="Subscription",$U264=""),"",IF($U264="Draw",$H264,0)))</x:f>
      </x:c>
      <x:c r="S264" s="112" t="str">
        <x:f>IF(COUNTA($A264:$M264)=0,"",IF(OR($U264="Subscription",$U264=""),"",IF($U264="Disqualified",$H264,0)))</x:f>
      </x:c>
      <x:c r="T264" s="116" t="str">
        <x:f>IF(COUNTA($A264:$M264)=0,"",IF(OR($U264="Subscription",$U264=""),"",IF($H264=0,0,IF($U264="Profit",$Q264/$H264,IF($U264="Disqualified",-$S264/$H264,0)))))</x:f>
      </x:c>
      <x:c r="U264" s="290" t="str">
        <x:f>IF(COUNTA($A264:$M264)=0,"",IF(OR(LOWER($F264&amp;"")="subscription",LOWER($F264&amp;"")="membership"),"Subscription",IF(LOWER($L264&amp;"")="yes","Disqualified",IF(OR(LOWER($F264&amp;"")="free game",LOWER($F264&amp;"")="free"),IF(AND(ISNUMBER($P264),ISNUMBER($H264),$P264&gt;$H264),"Profit","Free Game"),IF($P264="","",IF(ROUND(IFERROR(VALUE($P264),0)-IFERROR(VALUE($H264),0),2)&gt;0,"Profit","Draw"))))))</x:f>
      </x:c>
      <x:c r="V264" s="144" t="str">
        <x:f>IF(COUNTA($A264:$M264)=0,"",IF(OR($B264="",$C264="",$U264="Subscription"),"",IFERROR(ROUNDUP(($C264-$B264)/7,0),"")))</x:f>
      </x:c>
      <x:c r="W264" s="112" t="str">
        <x:f>IF(COUNTA($A264:$M264)=0,"",IF(OR($U264="Subscription",$U264=""),"",ROUND(IFERROR($Q264,0)-IFERROR($S264,0),2)))</x:f>
      </x:c>
      <x:c r="X264" s="144" t="str">
        <x:f>IF(COUNTA($A264:$M264)=0,"",IF(OR($U264="Subscription",$U264="Free Game",NOT(ISNUMBER($J264)),NOT(ISNUMBER($I264)),$J264=0,$I264=0,$I264&gt;$J264),"",$J264-$I264))</x:f>
      </x:c>
      <x:c r="Y264" s="116" t="str">
        <x:f>IF(COUNTA($A264:$M264)=0,"",IF(OR($U264="Subscription",$U264="Free Game",NOT(ISNUMBER($J264)),$J264=0,$X264=""),"",$X264/$J264))</x:f>
      </x:c>
      <x:c r="Z264" s="118" t="str">
        <x:f>IF(COUNTA($A264:$M264)=0,"",Instructions!$B$29+SUM($W$5:W264))</x:f>
      </x:c>
    </x:row>
    <x:row r="265" ht="30" customHeight="1">
      <x:c r="A265" s="477"/>
      <x:c r="B265" s="482"/>
      <x:c r="C265" s="482"/>
      <x:c r="D265" s="483"/>
      <x:c r="E265" s="483"/>
      <x:c r="F265" s="483"/>
      <x:c r="G265" s="484"/>
      <x:c r="H265" s="484"/>
      <x:c r="I265" s="485"/>
      <x:c r="J265" s="485"/>
      <x:c r="K265" s="484"/>
      <x:c r="L265" s="483"/>
      <x:c r="M265" s="477"/>
      <x:c r="N265" s="112" t="str">
        <x:f>IF(COUNTA($A265:$M265)=0,"",IF(OR(LOWER($F265&amp;"")="subscription",LOWER($F265&amp;"")="membership"),"",IF($G265="","",IF(ISNUMBER(SEARCH("non",LOWER($E265&amp;""))),$G265*0.85,$G265))))</x:f>
      </x:c>
      <x:c r="O265" s="112" t="str">
        <x:f>IF(COUNTA($A265:$M265)=0,"",IF(OR(LOWER($F265&amp;"")="subscription",LOWER($F265&amp;"")="membership"),"",IF(OR($N265="",$I265="",$I265=0),"",IFERROR($N265/$I265,""))))</x:f>
      </x:c>
      <x:c r="P265" s="112" t="str">
        <x:f>IF(COUNTA($A265:$M265)=0,"",IF(OR(LOWER($F265&amp;"")="subscription",LOWER($F265&amp;"")="membership"),"",IF(LOWER($L265&amp;"")="yes",0,IF($K265&lt;&gt;"",$K265,IF($O265&lt;&gt;"",$O265,"")))))</x:f>
      </x:c>
      <x:c r="Q265" s="112" t="str">
        <x:f>IF(COUNTA($A265:$M265)=0,"",IF(OR($U265="Subscription",$U265=""),"",IF($U265="Profit",ROUND($P265-$H265,2),0)))</x:f>
      </x:c>
      <x:c r="R265" s="112" t="str">
        <x:f>IF(COUNTA($A265:$M265)=0,"",IF(OR($U265="Subscription",$U265=""),"",IF($U265="Draw",$H265,0)))</x:f>
      </x:c>
      <x:c r="S265" s="112" t="str">
        <x:f>IF(COUNTA($A265:$M265)=0,"",IF(OR($U265="Subscription",$U265=""),"",IF($U265="Disqualified",$H265,0)))</x:f>
      </x:c>
      <x:c r="T265" s="116" t="str">
        <x:f>IF(COUNTA($A265:$M265)=0,"",IF(OR($U265="Subscription",$U265=""),"",IF($H265=0,0,IF($U265="Profit",$Q265/$H265,IF($U265="Disqualified",-$S265/$H265,0)))))</x:f>
      </x:c>
      <x:c r="U265" s="290" t="str">
        <x:f>IF(COUNTA($A265:$M265)=0,"",IF(OR(LOWER($F265&amp;"")="subscription",LOWER($F265&amp;"")="membership"),"Subscription",IF(LOWER($L265&amp;"")="yes","Disqualified",IF(OR(LOWER($F265&amp;"")="free game",LOWER($F265&amp;"")="free"),IF(AND(ISNUMBER($P265),ISNUMBER($H265),$P265&gt;$H265),"Profit","Free Game"),IF($P265="","",IF(ROUND(IFERROR(VALUE($P265),0)-IFERROR(VALUE($H265),0),2)&gt;0,"Profit","Draw"))))))</x:f>
      </x:c>
      <x:c r="V265" s="144" t="str">
        <x:f>IF(COUNTA($A265:$M265)=0,"",IF(OR($B265="",$C265="",$U265="Subscription"),"",IFERROR(ROUNDUP(($C265-$B265)/7,0),"")))</x:f>
      </x:c>
      <x:c r="W265" s="112" t="str">
        <x:f>IF(COUNTA($A265:$M265)=0,"",IF(OR($U265="Subscription",$U265=""),"",ROUND(IFERROR($Q265,0)-IFERROR($S265,0),2)))</x:f>
      </x:c>
      <x:c r="X265" s="144" t="str">
        <x:f>IF(COUNTA($A265:$M265)=0,"",IF(OR($U265="Subscription",$U265="Free Game",NOT(ISNUMBER($J265)),NOT(ISNUMBER($I265)),$J265=0,$I265=0,$I265&gt;$J265),"",$J265-$I265))</x:f>
      </x:c>
      <x:c r="Y265" s="116" t="str">
        <x:f>IF(COUNTA($A265:$M265)=0,"",IF(OR($U265="Subscription",$U265="Free Game",NOT(ISNUMBER($J265)),$J265=0,$X265=""),"",$X265/$J265))</x:f>
      </x:c>
      <x:c r="Z265" s="118" t="str">
        <x:f>IF(COUNTA($A265:$M265)=0,"",Instructions!$B$29+SUM($W$5:W265))</x:f>
      </x:c>
    </x:row>
    <x:row r="266" ht="30" customHeight="1">
      <x:c r="A266" s="477"/>
      <x:c r="B266" s="482"/>
      <x:c r="C266" s="482"/>
      <x:c r="D266" s="483"/>
      <x:c r="E266" s="483"/>
      <x:c r="F266" s="483"/>
      <x:c r="G266" s="484"/>
      <x:c r="H266" s="484"/>
      <x:c r="I266" s="485"/>
      <x:c r="J266" s="485"/>
      <x:c r="K266" s="484"/>
      <x:c r="L266" s="483"/>
      <x:c r="M266" s="477"/>
      <x:c r="N266" s="112" t="str">
        <x:f>IF(COUNTA($A266:$M266)=0,"",IF(OR(LOWER($F266&amp;"")="subscription",LOWER($F266&amp;"")="membership"),"",IF($G266="","",IF(ISNUMBER(SEARCH("non",LOWER($E266&amp;""))),$G266*0.85,$G266))))</x:f>
      </x:c>
      <x:c r="O266" s="112" t="str">
        <x:f>IF(COUNTA($A266:$M266)=0,"",IF(OR(LOWER($F266&amp;"")="subscription",LOWER($F266&amp;"")="membership"),"",IF(OR($N266="",$I266="",$I266=0),"",IFERROR($N266/$I266,""))))</x:f>
      </x:c>
      <x:c r="P266" s="112" t="str">
        <x:f>IF(COUNTA($A266:$M266)=0,"",IF(OR(LOWER($F266&amp;"")="subscription",LOWER($F266&amp;"")="membership"),"",IF(LOWER($L266&amp;"")="yes",0,IF($K266&lt;&gt;"",$K266,IF($O266&lt;&gt;"",$O266,"")))))</x:f>
      </x:c>
      <x:c r="Q266" s="112" t="str">
        <x:f>IF(COUNTA($A266:$M266)=0,"",IF(OR($U266="Subscription",$U266=""),"",IF($U266="Profit",ROUND($P266-$H266,2),0)))</x:f>
      </x:c>
      <x:c r="R266" s="112" t="str">
        <x:f>IF(COUNTA($A266:$M266)=0,"",IF(OR($U266="Subscription",$U266=""),"",IF($U266="Draw",$H266,0)))</x:f>
      </x:c>
      <x:c r="S266" s="112" t="str">
        <x:f>IF(COUNTA($A266:$M266)=0,"",IF(OR($U266="Subscription",$U266=""),"",IF($U266="Disqualified",$H266,0)))</x:f>
      </x:c>
      <x:c r="T266" s="116" t="str">
        <x:f>IF(COUNTA($A266:$M266)=0,"",IF(OR($U266="Subscription",$U266=""),"",IF($H266=0,0,IF($U266="Profit",$Q266/$H266,IF($U266="Disqualified",-$S266/$H266,0)))))</x:f>
      </x:c>
      <x:c r="U266" s="290" t="str">
        <x:f>IF(COUNTA($A266:$M266)=0,"",IF(OR(LOWER($F266&amp;"")="subscription",LOWER($F266&amp;"")="membership"),"Subscription",IF(LOWER($L266&amp;"")="yes","Disqualified",IF(OR(LOWER($F266&amp;"")="free game",LOWER($F266&amp;"")="free"),IF(AND(ISNUMBER($P266),ISNUMBER($H266),$P266&gt;$H266),"Profit","Free Game"),IF($P266="","",IF(ROUND(IFERROR(VALUE($P266),0)-IFERROR(VALUE($H266),0),2)&gt;0,"Profit","Draw"))))))</x:f>
      </x:c>
      <x:c r="V266" s="144" t="str">
        <x:f>IF(COUNTA($A266:$M266)=0,"",IF(OR($B266="",$C266="",$U266="Subscription"),"",IFERROR(ROUNDUP(($C266-$B266)/7,0),"")))</x:f>
      </x:c>
      <x:c r="W266" s="112" t="str">
        <x:f>IF(COUNTA($A266:$M266)=0,"",IF(OR($U266="Subscription",$U266=""),"",ROUND(IFERROR($Q266,0)-IFERROR($S266,0),2)))</x:f>
      </x:c>
      <x:c r="X266" s="144" t="str">
        <x:f>IF(COUNTA($A266:$M266)=0,"",IF(OR($U266="Subscription",$U266="Free Game",NOT(ISNUMBER($J266)),NOT(ISNUMBER($I266)),$J266=0,$I266=0,$I266&gt;$J266),"",$J266-$I266))</x:f>
      </x:c>
      <x:c r="Y266" s="116" t="str">
        <x:f>IF(COUNTA($A266:$M266)=0,"",IF(OR($U266="Subscription",$U266="Free Game",NOT(ISNUMBER($J266)),$J266=0,$X266=""),"",$X266/$J266))</x:f>
      </x:c>
      <x:c r="Z266" s="118" t="str">
        <x:f>IF(COUNTA($A266:$M266)=0,"",Instructions!$B$29+SUM($W$5:W266))</x:f>
      </x:c>
    </x:row>
    <x:row r="267" ht="30" customHeight="1">
      <x:c r="A267" s="477"/>
      <x:c r="B267" s="482"/>
      <x:c r="C267" s="482"/>
      <x:c r="D267" s="483"/>
      <x:c r="E267" s="483"/>
      <x:c r="F267" s="483"/>
      <x:c r="G267" s="484"/>
      <x:c r="H267" s="484"/>
      <x:c r="I267" s="485"/>
      <x:c r="J267" s="485"/>
      <x:c r="K267" s="484"/>
      <x:c r="L267" s="483"/>
      <x:c r="M267" s="477"/>
      <x:c r="N267" s="112" t="str">
        <x:f>IF(COUNTA($A267:$M267)=0,"",IF(OR(LOWER($F267&amp;"")="subscription",LOWER($F267&amp;"")="membership"),"",IF($G267="","",IF(ISNUMBER(SEARCH("non",LOWER($E267&amp;""))),$G267*0.85,$G267))))</x:f>
      </x:c>
      <x:c r="O267" s="112" t="str">
        <x:f>IF(COUNTA($A267:$M267)=0,"",IF(OR(LOWER($F267&amp;"")="subscription",LOWER($F267&amp;"")="membership"),"",IF(OR($N267="",$I267="",$I267=0),"",IFERROR($N267/$I267,""))))</x:f>
      </x:c>
      <x:c r="P267" s="112" t="str">
        <x:f>IF(COUNTA($A267:$M267)=0,"",IF(OR(LOWER($F267&amp;"")="subscription",LOWER($F267&amp;"")="membership"),"",IF(LOWER($L267&amp;"")="yes",0,IF($K267&lt;&gt;"",$K267,IF($O267&lt;&gt;"",$O267,"")))))</x:f>
      </x:c>
      <x:c r="Q267" s="112" t="str">
        <x:f>IF(COUNTA($A267:$M267)=0,"",IF(OR($U267="Subscription",$U267=""),"",IF($U267="Profit",ROUND($P267-$H267,2),0)))</x:f>
      </x:c>
      <x:c r="R267" s="112" t="str">
        <x:f>IF(COUNTA($A267:$M267)=0,"",IF(OR($U267="Subscription",$U267=""),"",IF($U267="Draw",$H267,0)))</x:f>
      </x:c>
      <x:c r="S267" s="112" t="str">
        <x:f>IF(COUNTA($A267:$M267)=0,"",IF(OR($U267="Subscription",$U267=""),"",IF($U267="Disqualified",$H267,0)))</x:f>
      </x:c>
      <x:c r="T267" s="116" t="str">
        <x:f>IF(COUNTA($A267:$M267)=0,"",IF(OR($U267="Subscription",$U267=""),"",IF($H267=0,0,IF($U267="Profit",$Q267/$H267,IF($U267="Disqualified",-$S267/$H267,0)))))</x:f>
      </x:c>
      <x:c r="U267" s="290" t="str">
        <x:f>IF(COUNTA($A267:$M267)=0,"",IF(OR(LOWER($F267&amp;"")="subscription",LOWER($F267&amp;"")="membership"),"Subscription",IF(LOWER($L267&amp;"")="yes","Disqualified",IF(OR(LOWER($F267&amp;"")="free game",LOWER($F267&amp;"")="free"),IF(AND(ISNUMBER($P267),ISNUMBER($H267),$P267&gt;$H267),"Profit","Free Game"),IF($P267="","",IF(ROUND(IFERROR(VALUE($P267),0)-IFERROR(VALUE($H267),0),2)&gt;0,"Profit","Draw"))))))</x:f>
      </x:c>
      <x:c r="V267" s="144" t="str">
        <x:f>IF(COUNTA($A267:$M267)=0,"",IF(OR($B267="",$C267="",$U267="Subscription"),"",IFERROR(ROUNDUP(($C267-$B267)/7,0),"")))</x:f>
      </x:c>
      <x:c r="W267" s="112" t="str">
        <x:f>IF(COUNTA($A267:$M267)=0,"",IF(OR($U267="Subscription",$U267=""),"",ROUND(IFERROR($Q267,0)-IFERROR($S267,0),2)))</x:f>
      </x:c>
      <x:c r="X267" s="144" t="str">
        <x:f>IF(COUNTA($A267:$M267)=0,"",IF(OR($U267="Subscription",$U267="Free Game",NOT(ISNUMBER($J267)),NOT(ISNUMBER($I267)),$J267=0,$I267=0,$I267&gt;$J267),"",$J267-$I267))</x:f>
      </x:c>
      <x:c r="Y267" s="116" t="str">
        <x:f>IF(COUNTA($A267:$M267)=0,"",IF(OR($U267="Subscription",$U267="Free Game",NOT(ISNUMBER($J267)),$J267=0,$X267=""),"",$X267/$J267))</x:f>
      </x:c>
      <x:c r="Z267" s="118" t="str">
        <x:f>IF(COUNTA($A267:$M267)=0,"",Instructions!$B$29+SUM($W$5:W267))</x:f>
      </x:c>
    </x:row>
    <x:row r="268" ht="30" customHeight="1">
      <x:c r="A268" s="477"/>
      <x:c r="B268" s="482"/>
      <x:c r="C268" s="482"/>
      <x:c r="D268" s="483"/>
      <x:c r="E268" s="483"/>
      <x:c r="F268" s="483"/>
      <x:c r="G268" s="484"/>
      <x:c r="H268" s="484"/>
      <x:c r="I268" s="485"/>
      <x:c r="J268" s="485"/>
      <x:c r="K268" s="484"/>
      <x:c r="L268" s="483"/>
      <x:c r="M268" s="477"/>
      <x:c r="N268" s="112" t="str">
        <x:f>IF(COUNTA($A268:$M268)=0,"",IF(OR(LOWER($F268&amp;"")="subscription",LOWER($F268&amp;"")="membership"),"",IF($G268="","",IF(ISNUMBER(SEARCH("non",LOWER($E268&amp;""))),$G268*0.85,$G268))))</x:f>
      </x:c>
      <x:c r="O268" s="112" t="str">
        <x:f>IF(COUNTA($A268:$M268)=0,"",IF(OR(LOWER($F268&amp;"")="subscription",LOWER($F268&amp;"")="membership"),"",IF(OR($N268="",$I268="",$I268=0),"",IFERROR($N268/$I268,""))))</x:f>
      </x:c>
      <x:c r="P268" s="112" t="str">
        <x:f>IF(COUNTA($A268:$M268)=0,"",IF(OR(LOWER($F268&amp;"")="subscription",LOWER($F268&amp;"")="membership"),"",IF(LOWER($L268&amp;"")="yes",0,IF($K268&lt;&gt;"",$K268,IF($O268&lt;&gt;"",$O268,"")))))</x:f>
      </x:c>
      <x:c r="Q268" s="112" t="str">
        <x:f>IF(COUNTA($A268:$M268)=0,"",IF(OR($U268="Subscription",$U268=""),"",IF($U268="Profit",ROUND($P268-$H268,2),0)))</x:f>
      </x:c>
      <x:c r="R268" s="112" t="str">
        <x:f>IF(COUNTA($A268:$M268)=0,"",IF(OR($U268="Subscription",$U268=""),"",IF($U268="Draw",$H268,0)))</x:f>
      </x:c>
      <x:c r="S268" s="112" t="str">
        <x:f>IF(COUNTA($A268:$M268)=0,"",IF(OR($U268="Subscription",$U268=""),"",IF($U268="Disqualified",$H268,0)))</x:f>
      </x:c>
      <x:c r="T268" s="116" t="str">
        <x:f>IF(COUNTA($A268:$M268)=0,"",IF(OR($U268="Subscription",$U268=""),"",IF($H268=0,0,IF($U268="Profit",$Q268/$H268,IF($U268="Disqualified",-$S268/$H268,0)))))</x:f>
      </x:c>
      <x:c r="U268" s="290" t="str">
        <x:f>IF(COUNTA($A268:$M268)=0,"",IF(OR(LOWER($F268&amp;"")="subscription",LOWER($F268&amp;"")="membership"),"Subscription",IF(LOWER($L268&amp;"")="yes","Disqualified",IF(OR(LOWER($F268&amp;"")="free game",LOWER($F268&amp;"")="free"),IF(AND(ISNUMBER($P268),ISNUMBER($H268),$P268&gt;$H268),"Profit","Free Game"),IF($P268="","",IF(ROUND(IFERROR(VALUE($P268),0)-IFERROR(VALUE($H268),0),2)&gt;0,"Profit","Draw"))))))</x:f>
      </x:c>
      <x:c r="V268" s="144" t="str">
        <x:f>IF(COUNTA($A268:$M268)=0,"",IF(OR($B268="",$C268="",$U268="Subscription"),"",IFERROR(ROUNDUP(($C268-$B268)/7,0),"")))</x:f>
      </x:c>
      <x:c r="W268" s="112" t="str">
        <x:f>IF(COUNTA($A268:$M268)=0,"",IF(OR($U268="Subscription",$U268=""),"",ROUND(IFERROR($Q268,0)-IFERROR($S268,0),2)))</x:f>
      </x:c>
      <x:c r="X268" s="144" t="str">
        <x:f>IF(COUNTA($A268:$M268)=0,"",IF(OR($U268="Subscription",$U268="Free Game",NOT(ISNUMBER($J268)),NOT(ISNUMBER($I268)),$J268=0,$I268=0,$I268&gt;$J268),"",$J268-$I268))</x:f>
      </x:c>
      <x:c r="Y268" s="116" t="str">
        <x:f>IF(COUNTA($A268:$M268)=0,"",IF(OR($U268="Subscription",$U268="Free Game",NOT(ISNUMBER($J268)),$J268=0,$X268=""),"",$X268/$J268))</x:f>
      </x:c>
      <x:c r="Z268" s="118" t="str">
        <x:f>IF(COUNTA($A268:$M268)=0,"",Instructions!$B$29+SUM($W$5:W268))</x:f>
      </x:c>
    </x:row>
    <x:row r="269" ht="30" customHeight="1">
      <x:c r="A269" s="477"/>
      <x:c r="B269" s="482"/>
      <x:c r="C269" s="482"/>
      <x:c r="D269" s="483"/>
      <x:c r="E269" s="483"/>
      <x:c r="F269" s="483"/>
      <x:c r="G269" s="484"/>
      <x:c r="H269" s="484"/>
      <x:c r="I269" s="485"/>
      <x:c r="J269" s="485"/>
      <x:c r="K269" s="484"/>
      <x:c r="L269" s="483"/>
      <x:c r="M269" s="477"/>
      <x:c r="N269" s="112" t="str">
        <x:f>IF(COUNTA($A269:$M269)=0,"",IF(OR(LOWER($F269&amp;"")="subscription",LOWER($F269&amp;"")="membership"),"",IF($G269="","",IF(ISNUMBER(SEARCH("non",LOWER($E269&amp;""))),$G269*0.85,$G269))))</x:f>
      </x:c>
      <x:c r="O269" s="112" t="str">
        <x:f>IF(COUNTA($A269:$M269)=0,"",IF(OR(LOWER($F269&amp;"")="subscription",LOWER($F269&amp;"")="membership"),"",IF(OR($N269="",$I269="",$I269=0),"",IFERROR($N269/$I269,""))))</x:f>
      </x:c>
      <x:c r="P269" s="112" t="str">
        <x:f>IF(COUNTA($A269:$M269)=0,"",IF(OR(LOWER($F269&amp;"")="subscription",LOWER($F269&amp;"")="membership"),"",IF(LOWER($L269&amp;"")="yes",0,IF($K269&lt;&gt;"",$K269,IF($O269&lt;&gt;"",$O269,"")))))</x:f>
      </x:c>
      <x:c r="Q269" s="112" t="str">
        <x:f>IF(COUNTA($A269:$M269)=0,"",IF(OR($U269="Subscription",$U269=""),"",IF($U269="Profit",ROUND($P269-$H269,2),0)))</x:f>
      </x:c>
      <x:c r="R269" s="112" t="str">
        <x:f>IF(COUNTA($A269:$M269)=0,"",IF(OR($U269="Subscription",$U269=""),"",IF($U269="Draw",$H269,0)))</x:f>
      </x:c>
      <x:c r="S269" s="112" t="str">
        <x:f>IF(COUNTA($A269:$M269)=0,"",IF(OR($U269="Subscription",$U269=""),"",IF($U269="Disqualified",$H269,0)))</x:f>
      </x:c>
      <x:c r="T269" s="116" t="str">
        <x:f>IF(COUNTA($A269:$M269)=0,"",IF(OR($U269="Subscription",$U269=""),"",IF($H269=0,0,IF($U269="Profit",$Q269/$H269,IF($U269="Disqualified",-$S269/$H269,0)))))</x:f>
      </x:c>
      <x:c r="U269" s="290" t="str">
        <x:f>IF(COUNTA($A269:$M269)=0,"",IF(OR(LOWER($F269&amp;"")="subscription",LOWER($F269&amp;"")="membership"),"Subscription",IF(LOWER($L269&amp;"")="yes","Disqualified",IF(OR(LOWER($F269&amp;"")="free game",LOWER($F269&amp;"")="free"),IF(AND(ISNUMBER($P269),ISNUMBER($H269),$P269&gt;$H269),"Profit","Free Game"),IF($P269="","",IF(ROUND(IFERROR(VALUE($P269),0)-IFERROR(VALUE($H269),0),2)&gt;0,"Profit","Draw"))))))</x:f>
      </x:c>
      <x:c r="V269" s="144" t="str">
        <x:f>IF(COUNTA($A269:$M269)=0,"",IF(OR($B269="",$C269="",$U269="Subscription"),"",IFERROR(ROUNDUP(($C269-$B269)/7,0),"")))</x:f>
      </x:c>
      <x:c r="W269" s="112" t="str">
        <x:f>IF(COUNTA($A269:$M269)=0,"",IF(OR($U269="Subscription",$U269=""),"",ROUND(IFERROR($Q269,0)-IFERROR($S269,0),2)))</x:f>
      </x:c>
      <x:c r="X269" s="144" t="str">
        <x:f>IF(COUNTA($A269:$M269)=0,"",IF(OR($U269="Subscription",$U269="Free Game",NOT(ISNUMBER($J269)),NOT(ISNUMBER($I269)),$J269=0,$I269=0,$I269&gt;$J269),"",$J269-$I269))</x:f>
      </x:c>
      <x:c r="Y269" s="116" t="str">
        <x:f>IF(COUNTA($A269:$M269)=0,"",IF(OR($U269="Subscription",$U269="Free Game",NOT(ISNUMBER($J269)),$J269=0,$X269=""),"",$X269/$J269))</x:f>
      </x:c>
      <x:c r="Z269" s="118" t="str">
        <x:f>IF(COUNTA($A269:$M269)=0,"",Instructions!$B$29+SUM($W$5:W269))</x:f>
      </x:c>
    </x:row>
    <x:row r="270" ht="30" customHeight="1">
      <x:c r="A270" s="477"/>
      <x:c r="B270" s="482"/>
      <x:c r="C270" s="482"/>
      <x:c r="D270" s="483"/>
      <x:c r="E270" s="483"/>
      <x:c r="F270" s="483"/>
      <x:c r="G270" s="484"/>
      <x:c r="H270" s="484"/>
      <x:c r="I270" s="485"/>
      <x:c r="J270" s="485"/>
      <x:c r="K270" s="484"/>
      <x:c r="L270" s="483"/>
      <x:c r="M270" s="477"/>
      <x:c r="N270" s="112" t="str">
        <x:f>IF(COUNTA($A270:$M270)=0,"",IF(OR(LOWER($F270&amp;"")="subscription",LOWER($F270&amp;"")="membership"),"",IF($G270="","",IF(ISNUMBER(SEARCH("non",LOWER($E270&amp;""))),$G270*0.85,$G270))))</x:f>
      </x:c>
      <x:c r="O270" s="112" t="str">
        <x:f>IF(COUNTA($A270:$M270)=0,"",IF(OR(LOWER($F270&amp;"")="subscription",LOWER($F270&amp;"")="membership"),"",IF(OR($N270="",$I270="",$I270=0),"",IFERROR($N270/$I270,""))))</x:f>
      </x:c>
      <x:c r="P270" s="112" t="str">
        <x:f>IF(COUNTA($A270:$M270)=0,"",IF(OR(LOWER($F270&amp;"")="subscription",LOWER($F270&amp;"")="membership"),"",IF(LOWER($L270&amp;"")="yes",0,IF($K270&lt;&gt;"",$K270,IF($O270&lt;&gt;"",$O270,"")))))</x:f>
      </x:c>
      <x:c r="Q270" s="112" t="str">
        <x:f>IF(COUNTA($A270:$M270)=0,"",IF(OR($U270="Subscription",$U270=""),"",IF($U270="Profit",ROUND($P270-$H270,2),0)))</x:f>
      </x:c>
      <x:c r="R270" s="112" t="str">
        <x:f>IF(COUNTA($A270:$M270)=0,"",IF(OR($U270="Subscription",$U270=""),"",IF($U270="Draw",$H270,0)))</x:f>
      </x:c>
      <x:c r="S270" s="112" t="str">
        <x:f>IF(COUNTA($A270:$M270)=0,"",IF(OR($U270="Subscription",$U270=""),"",IF($U270="Disqualified",$H270,0)))</x:f>
      </x:c>
      <x:c r="T270" s="116" t="str">
        <x:f>IF(COUNTA($A270:$M270)=0,"",IF(OR($U270="Subscription",$U270=""),"",IF($H270=0,0,IF($U270="Profit",$Q270/$H270,IF($U270="Disqualified",-$S270/$H270,0)))))</x:f>
      </x:c>
      <x:c r="U270" s="290" t="str">
        <x:f>IF(COUNTA($A270:$M270)=0,"",IF(OR(LOWER($F270&amp;"")="subscription",LOWER($F270&amp;"")="membership"),"Subscription",IF(LOWER($L270&amp;"")="yes","Disqualified",IF(OR(LOWER($F270&amp;"")="free game",LOWER($F270&amp;"")="free"),IF(AND(ISNUMBER($P270),ISNUMBER($H270),$P270&gt;$H270),"Profit","Free Game"),IF($P270="","",IF(ROUND(IFERROR(VALUE($P270),0)-IFERROR(VALUE($H270),0),2)&gt;0,"Profit","Draw"))))))</x:f>
      </x:c>
      <x:c r="V270" s="144" t="str">
        <x:f>IF(COUNTA($A270:$M270)=0,"",IF(OR($B270="",$C270="",$U270="Subscription"),"",IFERROR(ROUNDUP(($C270-$B270)/7,0),"")))</x:f>
      </x:c>
      <x:c r="W270" s="112" t="str">
        <x:f>IF(COUNTA($A270:$M270)=0,"",IF(OR($U270="Subscription",$U270=""),"",ROUND(IFERROR($Q270,0)-IFERROR($S270,0),2)))</x:f>
      </x:c>
      <x:c r="X270" s="144" t="str">
        <x:f>IF(COUNTA($A270:$M270)=0,"",IF(OR($U270="Subscription",$U270="Free Game",NOT(ISNUMBER($J270)),NOT(ISNUMBER($I270)),$J270=0,$I270=0,$I270&gt;$J270),"",$J270-$I270))</x:f>
      </x:c>
      <x:c r="Y270" s="116" t="str">
        <x:f>IF(COUNTA($A270:$M270)=0,"",IF(OR($U270="Subscription",$U270="Free Game",NOT(ISNUMBER($J270)),$J270=0,$X270=""),"",$X270/$J270))</x:f>
      </x:c>
      <x:c r="Z270" s="118" t="str">
        <x:f>IF(COUNTA($A270:$M270)=0,"",Instructions!$B$29+SUM($W$5:W270))</x:f>
      </x:c>
    </x:row>
    <x:row r="271" ht="30" customHeight="1">
      <x:c r="A271" s="477"/>
      <x:c r="B271" s="482"/>
      <x:c r="C271" s="482"/>
      <x:c r="D271" s="483"/>
      <x:c r="E271" s="483"/>
      <x:c r="F271" s="483"/>
      <x:c r="G271" s="484"/>
      <x:c r="H271" s="484"/>
      <x:c r="I271" s="485"/>
      <x:c r="J271" s="485"/>
      <x:c r="K271" s="484"/>
      <x:c r="L271" s="483"/>
      <x:c r="M271" s="477"/>
      <x:c r="N271" s="112" t="str">
        <x:f>IF(COUNTA($A271:$M271)=0,"",IF(OR(LOWER($F271&amp;"")="subscription",LOWER($F271&amp;"")="membership"),"",IF($G271="","",IF(ISNUMBER(SEARCH("non",LOWER($E271&amp;""))),$G271*0.85,$G271))))</x:f>
      </x:c>
      <x:c r="O271" s="112" t="str">
        <x:f>IF(COUNTA($A271:$M271)=0,"",IF(OR(LOWER($F271&amp;"")="subscription",LOWER($F271&amp;"")="membership"),"",IF(OR($N271="",$I271="",$I271=0),"",IFERROR($N271/$I271,""))))</x:f>
      </x:c>
      <x:c r="P271" s="112" t="str">
        <x:f>IF(COUNTA($A271:$M271)=0,"",IF(OR(LOWER($F271&amp;"")="subscription",LOWER($F271&amp;"")="membership"),"",IF(LOWER($L271&amp;"")="yes",0,IF($K271&lt;&gt;"",$K271,IF($O271&lt;&gt;"",$O271,"")))))</x:f>
      </x:c>
      <x:c r="Q271" s="112" t="str">
        <x:f>IF(COUNTA($A271:$M271)=0,"",IF(OR($U271="Subscription",$U271=""),"",IF($U271="Profit",ROUND($P271-$H271,2),0)))</x:f>
      </x:c>
      <x:c r="R271" s="112" t="str">
        <x:f>IF(COUNTA($A271:$M271)=0,"",IF(OR($U271="Subscription",$U271=""),"",IF($U271="Draw",$H271,0)))</x:f>
      </x:c>
      <x:c r="S271" s="112" t="str">
        <x:f>IF(COUNTA($A271:$M271)=0,"",IF(OR($U271="Subscription",$U271=""),"",IF($U271="Disqualified",$H271,0)))</x:f>
      </x:c>
      <x:c r="T271" s="116" t="str">
        <x:f>IF(COUNTA($A271:$M271)=0,"",IF(OR($U271="Subscription",$U271=""),"",IF($H271=0,0,IF($U271="Profit",$Q271/$H271,IF($U271="Disqualified",-$S271/$H271,0)))))</x:f>
      </x:c>
      <x:c r="U271" s="290" t="str">
        <x:f>IF(COUNTA($A271:$M271)=0,"",IF(OR(LOWER($F271&amp;"")="subscription",LOWER($F271&amp;"")="membership"),"Subscription",IF(LOWER($L271&amp;"")="yes","Disqualified",IF(OR(LOWER($F271&amp;"")="free game",LOWER($F271&amp;"")="free"),IF(AND(ISNUMBER($P271),ISNUMBER($H271),$P271&gt;$H271),"Profit","Free Game"),IF($P271="","",IF(ROUND(IFERROR(VALUE($P271),0)-IFERROR(VALUE($H271),0),2)&gt;0,"Profit","Draw"))))))</x:f>
      </x:c>
      <x:c r="V271" s="144" t="str">
        <x:f>IF(COUNTA($A271:$M271)=0,"",IF(OR($B271="",$C271="",$U271="Subscription"),"",IFERROR(ROUNDUP(($C271-$B271)/7,0),"")))</x:f>
      </x:c>
      <x:c r="W271" s="112" t="str">
        <x:f>IF(COUNTA($A271:$M271)=0,"",IF(OR($U271="Subscription",$U271=""),"",ROUND(IFERROR($Q271,0)-IFERROR($S271,0),2)))</x:f>
      </x:c>
      <x:c r="X271" s="144" t="str">
        <x:f>IF(COUNTA($A271:$M271)=0,"",IF(OR($U271="Subscription",$U271="Free Game",NOT(ISNUMBER($J271)),NOT(ISNUMBER($I271)),$J271=0,$I271=0,$I271&gt;$J271),"",$J271-$I271))</x:f>
      </x:c>
      <x:c r="Y271" s="116" t="str">
        <x:f>IF(COUNTA($A271:$M271)=0,"",IF(OR($U271="Subscription",$U271="Free Game",NOT(ISNUMBER($J271)),$J271=0,$X271=""),"",$X271/$J271))</x:f>
      </x:c>
      <x:c r="Z271" s="118" t="str">
        <x:f>IF(COUNTA($A271:$M271)=0,"",Instructions!$B$29+SUM($W$5:W271))</x:f>
      </x:c>
    </x:row>
    <x:row r="272" ht="30" customHeight="1">
      <x:c r="A272" s="477"/>
      <x:c r="B272" s="482"/>
      <x:c r="C272" s="482"/>
      <x:c r="D272" s="483"/>
      <x:c r="E272" s="483"/>
      <x:c r="F272" s="483"/>
      <x:c r="G272" s="484"/>
      <x:c r="H272" s="484"/>
      <x:c r="I272" s="485"/>
      <x:c r="J272" s="485"/>
      <x:c r="K272" s="484"/>
      <x:c r="L272" s="483"/>
      <x:c r="M272" s="477"/>
      <x:c r="N272" s="112" t="str">
        <x:f>IF(COUNTA($A272:$M272)=0,"",IF(OR(LOWER($F272&amp;"")="subscription",LOWER($F272&amp;"")="membership"),"",IF($G272="","",IF(ISNUMBER(SEARCH("non",LOWER($E272&amp;""))),$G272*0.85,$G272))))</x:f>
      </x:c>
      <x:c r="O272" s="112" t="str">
        <x:f>IF(COUNTA($A272:$M272)=0,"",IF(OR(LOWER($F272&amp;"")="subscription",LOWER($F272&amp;"")="membership"),"",IF(OR($N272="",$I272="",$I272=0),"",IFERROR($N272/$I272,""))))</x:f>
      </x:c>
      <x:c r="P272" s="112" t="str">
        <x:f>IF(COUNTA($A272:$M272)=0,"",IF(OR(LOWER($F272&amp;"")="subscription",LOWER($F272&amp;"")="membership"),"",IF(LOWER($L272&amp;"")="yes",0,IF($K272&lt;&gt;"",$K272,IF($O272&lt;&gt;"",$O272,"")))))</x:f>
      </x:c>
      <x:c r="Q272" s="112" t="str">
        <x:f>IF(COUNTA($A272:$M272)=0,"",IF(OR($U272="Subscription",$U272=""),"",IF($U272="Profit",ROUND($P272-$H272,2),0)))</x:f>
      </x:c>
      <x:c r="R272" s="112" t="str">
        <x:f>IF(COUNTA($A272:$M272)=0,"",IF(OR($U272="Subscription",$U272=""),"",IF($U272="Draw",$H272,0)))</x:f>
      </x:c>
      <x:c r="S272" s="112" t="str">
        <x:f>IF(COUNTA($A272:$M272)=0,"",IF(OR($U272="Subscription",$U272=""),"",IF($U272="Disqualified",$H272,0)))</x:f>
      </x:c>
      <x:c r="T272" s="116" t="str">
        <x:f>IF(COUNTA($A272:$M272)=0,"",IF(OR($U272="Subscription",$U272=""),"",IF($H272=0,0,IF($U272="Profit",$Q272/$H272,IF($U272="Disqualified",-$S272/$H272,0)))))</x:f>
      </x:c>
      <x:c r="U272" s="290" t="str">
        <x:f>IF(COUNTA($A272:$M272)=0,"",IF(OR(LOWER($F272&amp;"")="subscription",LOWER($F272&amp;"")="membership"),"Subscription",IF(LOWER($L272&amp;"")="yes","Disqualified",IF(OR(LOWER($F272&amp;"")="free game",LOWER($F272&amp;"")="free"),IF(AND(ISNUMBER($P272),ISNUMBER($H272),$P272&gt;$H272),"Profit","Free Game"),IF($P272="","",IF(ROUND(IFERROR(VALUE($P272),0)-IFERROR(VALUE($H272),0),2)&gt;0,"Profit","Draw"))))))</x:f>
      </x:c>
      <x:c r="V272" s="144" t="str">
        <x:f>IF(COUNTA($A272:$M272)=0,"",IF(OR($B272="",$C272="",$U272="Subscription"),"",IFERROR(ROUNDUP(($C272-$B272)/7,0),"")))</x:f>
      </x:c>
      <x:c r="W272" s="112" t="str">
        <x:f>IF(COUNTA($A272:$M272)=0,"",IF(OR($U272="Subscription",$U272=""),"",ROUND(IFERROR($Q272,0)-IFERROR($S272,0),2)))</x:f>
      </x:c>
      <x:c r="X272" s="144" t="str">
        <x:f>IF(COUNTA($A272:$M272)=0,"",IF(OR($U272="Subscription",$U272="Free Game",NOT(ISNUMBER($J272)),NOT(ISNUMBER($I272)),$J272=0,$I272=0,$I272&gt;$J272),"",$J272-$I272))</x:f>
      </x:c>
      <x:c r="Y272" s="116" t="str">
        <x:f>IF(COUNTA($A272:$M272)=0,"",IF(OR($U272="Subscription",$U272="Free Game",NOT(ISNUMBER($J272)),$J272=0,$X272=""),"",$X272/$J272))</x:f>
      </x:c>
      <x:c r="Z272" s="118" t="str">
        <x:f>IF(COUNTA($A272:$M272)=0,"",Instructions!$B$29+SUM($W$5:W272))</x:f>
      </x:c>
    </x:row>
    <x:row r="273" ht="30" customHeight="1">
      <x:c r="A273" s="477"/>
      <x:c r="B273" s="482"/>
      <x:c r="C273" s="482"/>
      <x:c r="D273" s="483"/>
      <x:c r="E273" s="483"/>
      <x:c r="F273" s="483"/>
      <x:c r="G273" s="484"/>
      <x:c r="H273" s="484"/>
      <x:c r="I273" s="485"/>
      <x:c r="J273" s="485"/>
      <x:c r="K273" s="484"/>
      <x:c r="L273" s="483"/>
      <x:c r="M273" s="477"/>
      <x:c r="N273" s="112" t="str">
        <x:f>IF(COUNTA($A273:$M273)=0,"",IF(OR(LOWER($F273&amp;"")="subscription",LOWER($F273&amp;"")="membership"),"",IF($G273="","",IF(ISNUMBER(SEARCH("non",LOWER($E273&amp;""))),$G273*0.85,$G273))))</x:f>
      </x:c>
      <x:c r="O273" s="112" t="str">
        <x:f>IF(COUNTA($A273:$M273)=0,"",IF(OR(LOWER($F273&amp;"")="subscription",LOWER($F273&amp;"")="membership"),"",IF(OR($N273="",$I273="",$I273=0),"",IFERROR($N273/$I273,""))))</x:f>
      </x:c>
      <x:c r="P273" s="112" t="str">
        <x:f>IF(COUNTA($A273:$M273)=0,"",IF(OR(LOWER($F273&amp;"")="subscription",LOWER($F273&amp;"")="membership"),"",IF(LOWER($L273&amp;"")="yes",0,IF($K273&lt;&gt;"",$K273,IF($O273&lt;&gt;"",$O273,"")))))</x:f>
      </x:c>
      <x:c r="Q273" s="112" t="str">
        <x:f>IF(COUNTA($A273:$M273)=0,"",IF(OR($U273="Subscription",$U273=""),"",IF($U273="Profit",ROUND($P273-$H273,2),0)))</x:f>
      </x:c>
      <x:c r="R273" s="112" t="str">
        <x:f>IF(COUNTA($A273:$M273)=0,"",IF(OR($U273="Subscription",$U273=""),"",IF($U273="Draw",$H273,0)))</x:f>
      </x:c>
      <x:c r="S273" s="112" t="str">
        <x:f>IF(COUNTA($A273:$M273)=0,"",IF(OR($U273="Subscription",$U273=""),"",IF($U273="Disqualified",$H273,0)))</x:f>
      </x:c>
      <x:c r="T273" s="116" t="str">
        <x:f>IF(COUNTA($A273:$M273)=0,"",IF(OR($U273="Subscription",$U273=""),"",IF($H273=0,0,IF($U273="Profit",$Q273/$H273,IF($U273="Disqualified",-$S273/$H273,0)))))</x:f>
      </x:c>
      <x:c r="U273" s="290" t="str">
        <x:f>IF(COUNTA($A273:$M273)=0,"",IF(OR(LOWER($F273&amp;"")="subscription",LOWER($F273&amp;"")="membership"),"Subscription",IF(LOWER($L273&amp;"")="yes","Disqualified",IF(OR(LOWER($F273&amp;"")="free game",LOWER($F273&amp;"")="free"),IF(AND(ISNUMBER($P273),ISNUMBER($H273),$P273&gt;$H273),"Profit","Free Game"),IF($P273="","",IF(ROUND(IFERROR(VALUE($P273),0)-IFERROR(VALUE($H273),0),2)&gt;0,"Profit","Draw"))))))</x:f>
      </x:c>
      <x:c r="V273" s="144" t="str">
        <x:f>IF(COUNTA($A273:$M273)=0,"",IF(OR($B273="",$C273="",$U273="Subscription"),"",IFERROR(ROUNDUP(($C273-$B273)/7,0),"")))</x:f>
      </x:c>
      <x:c r="W273" s="112" t="str">
        <x:f>IF(COUNTA($A273:$M273)=0,"",IF(OR($U273="Subscription",$U273=""),"",ROUND(IFERROR($Q273,0)-IFERROR($S273,0),2)))</x:f>
      </x:c>
      <x:c r="X273" s="144" t="str">
        <x:f>IF(COUNTA($A273:$M273)=0,"",IF(OR($U273="Subscription",$U273="Free Game",NOT(ISNUMBER($J273)),NOT(ISNUMBER($I273)),$J273=0,$I273=0,$I273&gt;$J273),"",$J273-$I273))</x:f>
      </x:c>
      <x:c r="Y273" s="116" t="str">
        <x:f>IF(COUNTA($A273:$M273)=0,"",IF(OR($U273="Subscription",$U273="Free Game",NOT(ISNUMBER($J273)),$J273=0,$X273=""),"",$X273/$J273))</x:f>
      </x:c>
      <x:c r="Z273" s="118" t="str">
        <x:f>IF(COUNTA($A273:$M273)=0,"",Instructions!$B$29+SUM($W$5:W273))</x:f>
      </x:c>
    </x:row>
    <x:row r="274" ht="30" customHeight="1">
      <x:c r="A274" s="477"/>
      <x:c r="B274" s="482"/>
      <x:c r="C274" s="482"/>
      <x:c r="D274" s="483"/>
      <x:c r="E274" s="483"/>
      <x:c r="F274" s="483"/>
      <x:c r="G274" s="484"/>
      <x:c r="H274" s="484"/>
      <x:c r="I274" s="485"/>
      <x:c r="J274" s="485"/>
      <x:c r="K274" s="484"/>
      <x:c r="L274" s="483"/>
      <x:c r="M274" s="477"/>
      <x:c r="N274" s="112" t="str">
        <x:f>IF(COUNTA($A274:$M274)=0,"",IF(OR(LOWER($F274&amp;"")="subscription",LOWER($F274&amp;"")="membership"),"",IF($G274="","",IF(ISNUMBER(SEARCH("non",LOWER($E274&amp;""))),$G274*0.85,$G274))))</x:f>
      </x:c>
      <x:c r="O274" s="112" t="str">
        <x:f>IF(COUNTA($A274:$M274)=0,"",IF(OR(LOWER($F274&amp;"")="subscription",LOWER($F274&amp;"")="membership"),"",IF(OR($N274="",$I274="",$I274=0),"",IFERROR($N274/$I274,""))))</x:f>
      </x:c>
      <x:c r="P274" s="112" t="str">
        <x:f>IF(COUNTA($A274:$M274)=0,"",IF(OR(LOWER($F274&amp;"")="subscription",LOWER($F274&amp;"")="membership"),"",IF(LOWER($L274&amp;"")="yes",0,IF($K274&lt;&gt;"",$K274,IF($O274&lt;&gt;"",$O274,"")))))</x:f>
      </x:c>
      <x:c r="Q274" s="112" t="str">
        <x:f>IF(COUNTA($A274:$M274)=0,"",IF(OR($U274="Subscription",$U274=""),"",IF($U274="Profit",ROUND($P274-$H274,2),0)))</x:f>
      </x:c>
      <x:c r="R274" s="112" t="str">
        <x:f>IF(COUNTA($A274:$M274)=0,"",IF(OR($U274="Subscription",$U274=""),"",IF($U274="Draw",$H274,0)))</x:f>
      </x:c>
      <x:c r="S274" s="112" t="str">
        <x:f>IF(COUNTA($A274:$M274)=0,"",IF(OR($U274="Subscription",$U274=""),"",IF($U274="Disqualified",$H274,0)))</x:f>
      </x:c>
      <x:c r="T274" s="116" t="str">
        <x:f>IF(COUNTA($A274:$M274)=0,"",IF(OR($U274="Subscription",$U274=""),"",IF($H274=0,0,IF($U274="Profit",$Q274/$H274,IF($U274="Disqualified",-$S274/$H274,0)))))</x:f>
      </x:c>
      <x:c r="U274" s="290" t="str">
        <x:f>IF(COUNTA($A274:$M274)=0,"",IF(OR(LOWER($F274&amp;"")="subscription",LOWER($F274&amp;"")="membership"),"Subscription",IF(LOWER($L274&amp;"")="yes","Disqualified",IF(OR(LOWER($F274&amp;"")="free game",LOWER($F274&amp;"")="free"),IF(AND(ISNUMBER($P274),ISNUMBER($H274),$P274&gt;$H274),"Profit","Free Game"),IF($P274="","",IF(ROUND(IFERROR(VALUE($P274),0)-IFERROR(VALUE($H274),0),2)&gt;0,"Profit","Draw"))))))</x:f>
      </x:c>
      <x:c r="V274" s="144" t="str">
        <x:f>IF(COUNTA($A274:$M274)=0,"",IF(OR($B274="",$C274="",$U274="Subscription"),"",IFERROR(ROUNDUP(($C274-$B274)/7,0),"")))</x:f>
      </x:c>
      <x:c r="W274" s="112" t="str">
        <x:f>IF(COUNTA($A274:$M274)=0,"",IF(OR($U274="Subscription",$U274=""),"",ROUND(IFERROR($Q274,0)-IFERROR($S274,0),2)))</x:f>
      </x:c>
      <x:c r="X274" s="144" t="str">
        <x:f>IF(COUNTA($A274:$M274)=0,"",IF(OR($U274="Subscription",$U274="Free Game",NOT(ISNUMBER($J274)),NOT(ISNUMBER($I274)),$J274=0,$I274=0,$I274&gt;$J274),"",$J274-$I274))</x:f>
      </x:c>
      <x:c r="Y274" s="116" t="str">
        <x:f>IF(COUNTA($A274:$M274)=0,"",IF(OR($U274="Subscription",$U274="Free Game",NOT(ISNUMBER($J274)),$J274=0,$X274=""),"",$X274/$J274))</x:f>
      </x:c>
      <x:c r="Z274" s="118" t="str">
        <x:f>IF(COUNTA($A274:$M274)=0,"",Instructions!$B$29+SUM($W$5:W274))</x:f>
      </x:c>
    </x:row>
    <x:row r="275" ht="30" customHeight="1">
      <x:c r="A275" s="477"/>
      <x:c r="B275" s="482"/>
      <x:c r="C275" s="482"/>
      <x:c r="D275" s="483"/>
      <x:c r="E275" s="483"/>
      <x:c r="F275" s="483"/>
      <x:c r="G275" s="484"/>
      <x:c r="H275" s="484"/>
      <x:c r="I275" s="485"/>
      <x:c r="J275" s="485"/>
      <x:c r="K275" s="484"/>
      <x:c r="L275" s="483"/>
      <x:c r="M275" s="477"/>
      <x:c r="N275" s="112" t="str">
        <x:f>IF(COUNTA($A275:$M275)=0,"",IF(OR(LOWER($F275&amp;"")="subscription",LOWER($F275&amp;"")="membership"),"",IF($G275="","",IF(ISNUMBER(SEARCH("non",LOWER($E275&amp;""))),$G275*0.85,$G275))))</x:f>
      </x:c>
      <x:c r="O275" s="112" t="str">
        <x:f>IF(COUNTA($A275:$M275)=0,"",IF(OR(LOWER($F275&amp;"")="subscription",LOWER($F275&amp;"")="membership"),"",IF(OR($N275="",$I275="",$I275=0),"",IFERROR($N275/$I275,""))))</x:f>
      </x:c>
      <x:c r="P275" s="112" t="str">
        <x:f>IF(COUNTA($A275:$M275)=0,"",IF(OR(LOWER($F275&amp;"")="subscription",LOWER($F275&amp;"")="membership"),"",IF(LOWER($L275&amp;"")="yes",0,IF($K275&lt;&gt;"",$K275,IF($O275&lt;&gt;"",$O275,"")))))</x:f>
      </x:c>
      <x:c r="Q275" s="112" t="str">
        <x:f>IF(COUNTA($A275:$M275)=0,"",IF(OR($U275="Subscription",$U275=""),"",IF($U275="Profit",ROUND($P275-$H275,2),0)))</x:f>
      </x:c>
      <x:c r="R275" s="112" t="str">
        <x:f>IF(COUNTA($A275:$M275)=0,"",IF(OR($U275="Subscription",$U275=""),"",IF($U275="Draw",$H275,0)))</x:f>
      </x:c>
      <x:c r="S275" s="112" t="str">
        <x:f>IF(COUNTA($A275:$M275)=0,"",IF(OR($U275="Subscription",$U275=""),"",IF($U275="Disqualified",$H275,0)))</x:f>
      </x:c>
      <x:c r="T275" s="116" t="str">
        <x:f>IF(COUNTA($A275:$M275)=0,"",IF(OR($U275="Subscription",$U275=""),"",IF($H275=0,0,IF($U275="Profit",$Q275/$H275,IF($U275="Disqualified",-$S275/$H275,0)))))</x:f>
      </x:c>
      <x:c r="U275" s="290" t="str">
        <x:f>IF(COUNTA($A275:$M275)=0,"",IF(OR(LOWER($F275&amp;"")="subscription",LOWER($F275&amp;"")="membership"),"Subscription",IF(LOWER($L275&amp;"")="yes","Disqualified",IF(OR(LOWER($F275&amp;"")="free game",LOWER($F275&amp;"")="free"),IF(AND(ISNUMBER($P275),ISNUMBER($H275),$P275&gt;$H275),"Profit","Free Game"),IF($P275="","",IF(ROUND(IFERROR(VALUE($P275),0)-IFERROR(VALUE($H275),0),2)&gt;0,"Profit","Draw"))))))</x:f>
      </x:c>
      <x:c r="V275" s="144" t="str">
        <x:f>IF(COUNTA($A275:$M275)=0,"",IF(OR($B275="",$C275="",$U275="Subscription"),"",IFERROR(ROUNDUP(($C275-$B275)/7,0),"")))</x:f>
      </x:c>
      <x:c r="W275" s="112" t="str">
        <x:f>IF(COUNTA($A275:$M275)=0,"",IF(OR($U275="Subscription",$U275=""),"",ROUND(IFERROR($Q275,0)-IFERROR($S275,0),2)))</x:f>
      </x:c>
      <x:c r="X275" s="144" t="str">
        <x:f>IF(COUNTA($A275:$M275)=0,"",IF(OR($U275="Subscription",$U275="Free Game",NOT(ISNUMBER($J275)),NOT(ISNUMBER($I275)),$J275=0,$I275=0,$I275&gt;$J275),"",$J275-$I275))</x:f>
      </x:c>
      <x:c r="Y275" s="116" t="str">
        <x:f>IF(COUNTA($A275:$M275)=0,"",IF(OR($U275="Subscription",$U275="Free Game",NOT(ISNUMBER($J275)),$J275=0,$X275=""),"",$X275/$J275))</x:f>
      </x:c>
      <x:c r="Z275" s="118" t="str">
        <x:f>IF(COUNTA($A275:$M275)=0,"",Instructions!$B$29+SUM($W$5:W275))</x:f>
      </x:c>
    </x:row>
    <x:row r="276" ht="30" customHeight="1">
      <x:c r="A276" s="477"/>
      <x:c r="B276" s="482"/>
      <x:c r="C276" s="482"/>
      <x:c r="D276" s="483"/>
      <x:c r="E276" s="483"/>
      <x:c r="F276" s="483"/>
      <x:c r="G276" s="484"/>
      <x:c r="H276" s="484"/>
      <x:c r="I276" s="485"/>
      <x:c r="J276" s="485"/>
      <x:c r="K276" s="484"/>
      <x:c r="L276" s="483"/>
      <x:c r="M276" s="477"/>
      <x:c r="N276" s="112" t="str">
        <x:f>IF(COUNTA($A276:$M276)=0,"",IF(OR(LOWER($F276&amp;"")="subscription",LOWER($F276&amp;"")="membership"),"",IF($G276="","",IF(ISNUMBER(SEARCH("non",LOWER($E276&amp;""))),$G276*0.85,$G276))))</x:f>
      </x:c>
      <x:c r="O276" s="112" t="str">
        <x:f>IF(COUNTA($A276:$M276)=0,"",IF(OR(LOWER($F276&amp;"")="subscription",LOWER($F276&amp;"")="membership"),"",IF(OR($N276="",$I276="",$I276=0),"",IFERROR($N276/$I276,""))))</x:f>
      </x:c>
      <x:c r="P276" s="112" t="str">
        <x:f>IF(COUNTA($A276:$M276)=0,"",IF(OR(LOWER($F276&amp;"")="subscription",LOWER($F276&amp;"")="membership"),"",IF(LOWER($L276&amp;"")="yes",0,IF($K276&lt;&gt;"",$K276,IF($O276&lt;&gt;"",$O276,"")))))</x:f>
      </x:c>
      <x:c r="Q276" s="112" t="str">
        <x:f>IF(COUNTA($A276:$M276)=0,"",IF(OR($U276="Subscription",$U276=""),"",IF($U276="Profit",ROUND($P276-$H276,2),0)))</x:f>
      </x:c>
      <x:c r="R276" s="112" t="str">
        <x:f>IF(COUNTA($A276:$M276)=0,"",IF(OR($U276="Subscription",$U276=""),"",IF($U276="Draw",$H276,0)))</x:f>
      </x:c>
      <x:c r="S276" s="112" t="str">
        <x:f>IF(COUNTA($A276:$M276)=0,"",IF(OR($U276="Subscription",$U276=""),"",IF($U276="Disqualified",$H276,0)))</x:f>
      </x:c>
      <x:c r="T276" s="116" t="str">
        <x:f>IF(COUNTA($A276:$M276)=0,"",IF(OR($U276="Subscription",$U276=""),"",IF($H276=0,0,IF($U276="Profit",$Q276/$H276,IF($U276="Disqualified",-$S276/$H276,0)))))</x:f>
      </x:c>
      <x:c r="U276" s="290" t="str">
        <x:f>IF(COUNTA($A276:$M276)=0,"",IF(OR(LOWER($F276&amp;"")="subscription",LOWER($F276&amp;"")="membership"),"Subscription",IF(LOWER($L276&amp;"")="yes","Disqualified",IF(OR(LOWER($F276&amp;"")="free game",LOWER($F276&amp;"")="free"),IF(AND(ISNUMBER($P276),ISNUMBER($H276),$P276&gt;$H276),"Profit","Free Game"),IF($P276="","",IF(ROUND(IFERROR(VALUE($P276),0)-IFERROR(VALUE($H276),0),2)&gt;0,"Profit","Draw"))))))</x:f>
      </x:c>
      <x:c r="V276" s="144" t="str">
        <x:f>IF(COUNTA($A276:$M276)=0,"",IF(OR($B276="",$C276="",$U276="Subscription"),"",IFERROR(ROUNDUP(($C276-$B276)/7,0),"")))</x:f>
      </x:c>
      <x:c r="W276" s="112" t="str">
        <x:f>IF(COUNTA($A276:$M276)=0,"",IF(OR($U276="Subscription",$U276=""),"",ROUND(IFERROR($Q276,0)-IFERROR($S276,0),2)))</x:f>
      </x:c>
      <x:c r="X276" s="144" t="str">
        <x:f>IF(COUNTA($A276:$M276)=0,"",IF(OR($U276="Subscription",$U276="Free Game",NOT(ISNUMBER($J276)),NOT(ISNUMBER($I276)),$J276=0,$I276=0,$I276&gt;$J276),"",$J276-$I276))</x:f>
      </x:c>
      <x:c r="Y276" s="116" t="str">
        <x:f>IF(COUNTA($A276:$M276)=0,"",IF(OR($U276="Subscription",$U276="Free Game",NOT(ISNUMBER($J276)),$J276=0,$X276=""),"",$X276/$J276))</x:f>
      </x:c>
      <x:c r="Z276" s="118" t="str">
        <x:f>IF(COUNTA($A276:$M276)=0,"",Instructions!$B$29+SUM($W$5:W276))</x:f>
      </x:c>
    </x:row>
    <x:row r="277" ht="30" customHeight="1">
      <x:c r="A277" s="477"/>
      <x:c r="B277" s="482"/>
      <x:c r="C277" s="482"/>
      <x:c r="D277" s="483"/>
      <x:c r="E277" s="483"/>
      <x:c r="F277" s="483"/>
      <x:c r="G277" s="484"/>
      <x:c r="H277" s="484"/>
      <x:c r="I277" s="485"/>
      <x:c r="J277" s="485"/>
      <x:c r="K277" s="484"/>
      <x:c r="L277" s="483"/>
      <x:c r="M277" s="477"/>
      <x:c r="N277" s="112" t="str">
        <x:f>IF(COUNTA($A277:$M277)=0,"",IF(OR(LOWER($F277&amp;"")="subscription",LOWER($F277&amp;"")="membership"),"",IF($G277="","",IF(ISNUMBER(SEARCH("non",LOWER($E277&amp;""))),$G277*0.85,$G277))))</x:f>
      </x:c>
      <x:c r="O277" s="112" t="str">
        <x:f>IF(COUNTA($A277:$M277)=0,"",IF(OR(LOWER($F277&amp;"")="subscription",LOWER($F277&amp;"")="membership"),"",IF(OR($N277="",$I277="",$I277=0),"",IFERROR($N277/$I277,""))))</x:f>
      </x:c>
      <x:c r="P277" s="112" t="str">
        <x:f>IF(COUNTA($A277:$M277)=0,"",IF(OR(LOWER($F277&amp;"")="subscription",LOWER($F277&amp;"")="membership"),"",IF(LOWER($L277&amp;"")="yes",0,IF($K277&lt;&gt;"",$K277,IF($O277&lt;&gt;"",$O277,"")))))</x:f>
      </x:c>
      <x:c r="Q277" s="112" t="str">
        <x:f>IF(COUNTA($A277:$M277)=0,"",IF(OR($U277="Subscription",$U277=""),"",IF($U277="Profit",ROUND($P277-$H277,2),0)))</x:f>
      </x:c>
      <x:c r="R277" s="112" t="str">
        <x:f>IF(COUNTA($A277:$M277)=0,"",IF(OR($U277="Subscription",$U277=""),"",IF($U277="Draw",$H277,0)))</x:f>
      </x:c>
      <x:c r="S277" s="112" t="str">
        <x:f>IF(COUNTA($A277:$M277)=0,"",IF(OR($U277="Subscription",$U277=""),"",IF($U277="Disqualified",$H277,0)))</x:f>
      </x:c>
      <x:c r="T277" s="116" t="str">
        <x:f>IF(COUNTA($A277:$M277)=0,"",IF(OR($U277="Subscription",$U277=""),"",IF($H277=0,0,IF($U277="Profit",$Q277/$H277,IF($U277="Disqualified",-$S277/$H277,0)))))</x:f>
      </x:c>
      <x:c r="U277" s="290" t="str">
        <x:f>IF(COUNTA($A277:$M277)=0,"",IF(OR(LOWER($F277&amp;"")="subscription",LOWER($F277&amp;"")="membership"),"Subscription",IF(LOWER($L277&amp;"")="yes","Disqualified",IF(OR(LOWER($F277&amp;"")="free game",LOWER($F277&amp;"")="free"),IF(AND(ISNUMBER($P277),ISNUMBER($H277),$P277&gt;$H277),"Profit","Free Game"),IF($P277="","",IF(ROUND(IFERROR(VALUE($P277),0)-IFERROR(VALUE($H277),0),2)&gt;0,"Profit","Draw"))))))</x:f>
      </x:c>
      <x:c r="V277" s="144" t="str">
        <x:f>IF(COUNTA($A277:$M277)=0,"",IF(OR($B277="",$C277="",$U277="Subscription"),"",IFERROR(ROUNDUP(($C277-$B277)/7,0),"")))</x:f>
      </x:c>
      <x:c r="W277" s="112" t="str">
        <x:f>IF(COUNTA($A277:$M277)=0,"",IF(OR($U277="Subscription",$U277=""),"",ROUND(IFERROR($Q277,0)-IFERROR($S277,0),2)))</x:f>
      </x:c>
      <x:c r="X277" s="144" t="str">
        <x:f>IF(COUNTA($A277:$M277)=0,"",IF(OR($U277="Subscription",$U277="Free Game",NOT(ISNUMBER($J277)),NOT(ISNUMBER($I277)),$J277=0,$I277=0,$I277&gt;$J277),"",$J277-$I277))</x:f>
      </x:c>
      <x:c r="Y277" s="116" t="str">
        <x:f>IF(COUNTA($A277:$M277)=0,"",IF(OR($U277="Subscription",$U277="Free Game",NOT(ISNUMBER($J277)),$J277=0,$X277=""),"",$X277/$J277))</x:f>
      </x:c>
      <x:c r="Z277" s="118" t="str">
        <x:f>IF(COUNTA($A277:$M277)=0,"",Instructions!$B$29+SUM($W$5:W277))</x:f>
      </x:c>
    </x:row>
    <x:row r="278" ht="30" customHeight="1">
      <x:c r="A278" s="477"/>
      <x:c r="B278" s="482"/>
      <x:c r="C278" s="482"/>
      <x:c r="D278" s="483"/>
      <x:c r="E278" s="483"/>
      <x:c r="F278" s="483"/>
      <x:c r="G278" s="484"/>
      <x:c r="H278" s="484"/>
      <x:c r="I278" s="485"/>
      <x:c r="J278" s="485"/>
      <x:c r="K278" s="484"/>
      <x:c r="L278" s="483"/>
      <x:c r="M278" s="477"/>
      <x:c r="N278" s="112" t="str">
        <x:f>IF(COUNTA($A278:$M278)=0,"",IF(OR(LOWER($F278&amp;"")="subscription",LOWER($F278&amp;"")="membership"),"",IF($G278="","",IF(ISNUMBER(SEARCH("non",LOWER($E278&amp;""))),$G278*0.85,$G278))))</x:f>
      </x:c>
      <x:c r="O278" s="112" t="str">
        <x:f>IF(COUNTA($A278:$M278)=0,"",IF(OR(LOWER($F278&amp;"")="subscription",LOWER($F278&amp;"")="membership"),"",IF(OR($N278="",$I278="",$I278=0),"",IFERROR($N278/$I278,""))))</x:f>
      </x:c>
      <x:c r="P278" s="112" t="str">
        <x:f>IF(COUNTA($A278:$M278)=0,"",IF(OR(LOWER($F278&amp;"")="subscription",LOWER($F278&amp;"")="membership"),"",IF(LOWER($L278&amp;"")="yes",0,IF($K278&lt;&gt;"",$K278,IF($O278&lt;&gt;"",$O278,"")))))</x:f>
      </x:c>
      <x:c r="Q278" s="112" t="str">
        <x:f>IF(COUNTA($A278:$M278)=0,"",IF(OR($U278="Subscription",$U278=""),"",IF($U278="Profit",ROUND($P278-$H278,2),0)))</x:f>
      </x:c>
      <x:c r="R278" s="112" t="str">
        <x:f>IF(COUNTA($A278:$M278)=0,"",IF(OR($U278="Subscription",$U278=""),"",IF($U278="Draw",$H278,0)))</x:f>
      </x:c>
      <x:c r="S278" s="112" t="str">
        <x:f>IF(COUNTA($A278:$M278)=0,"",IF(OR($U278="Subscription",$U278=""),"",IF($U278="Disqualified",$H278,0)))</x:f>
      </x:c>
      <x:c r="T278" s="116" t="str">
        <x:f>IF(COUNTA($A278:$M278)=0,"",IF(OR($U278="Subscription",$U278=""),"",IF($H278=0,0,IF($U278="Profit",$Q278/$H278,IF($U278="Disqualified",-$S278/$H278,0)))))</x:f>
      </x:c>
      <x:c r="U278" s="290" t="str">
        <x:f>IF(COUNTA($A278:$M278)=0,"",IF(OR(LOWER($F278&amp;"")="subscription",LOWER($F278&amp;"")="membership"),"Subscription",IF(LOWER($L278&amp;"")="yes","Disqualified",IF(OR(LOWER($F278&amp;"")="free game",LOWER($F278&amp;"")="free"),IF(AND(ISNUMBER($P278),ISNUMBER($H278),$P278&gt;$H278),"Profit","Free Game"),IF($P278="","",IF(ROUND(IFERROR(VALUE($P278),0)-IFERROR(VALUE($H278),0),2)&gt;0,"Profit","Draw"))))))</x:f>
      </x:c>
      <x:c r="V278" s="144" t="str">
        <x:f>IF(COUNTA($A278:$M278)=0,"",IF(OR($B278="",$C278="",$U278="Subscription"),"",IFERROR(ROUNDUP(($C278-$B278)/7,0),"")))</x:f>
      </x:c>
      <x:c r="W278" s="112" t="str">
        <x:f>IF(COUNTA($A278:$M278)=0,"",IF(OR($U278="Subscription",$U278=""),"",ROUND(IFERROR($Q278,0)-IFERROR($S278,0),2)))</x:f>
      </x:c>
      <x:c r="X278" s="144" t="str">
        <x:f>IF(COUNTA($A278:$M278)=0,"",IF(OR($U278="Subscription",$U278="Free Game",NOT(ISNUMBER($J278)),NOT(ISNUMBER($I278)),$J278=0,$I278=0,$I278&gt;$J278),"",$J278-$I278))</x:f>
      </x:c>
      <x:c r="Y278" s="116" t="str">
        <x:f>IF(COUNTA($A278:$M278)=0,"",IF(OR($U278="Subscription",$U278="Free Game",NOT(ISNUMBER($J278)),$J278=0,$X278=""),"",$X278/$J278))</x:f>
      </x:c>
      <x:c r="Z278" s="118" t="str">
        <x:f>IF(COUNTA($A278:$M278)=0,"",Instructions!$B$29+SUM($W$5:W278))</x:f>
      </x:c>
    </x:row>
    <x:row r="279" ht="30" customHeight="1">
      <x:c r="A279" s="477"/>
      <x:c r="B279" s="482"/>
      <x:c r="C279" s="482"/>
      <x:c r="D279" s="483"/>
      <x:c r="E279" s="483"/>
      <x:c r="F279" s="483"/>
      <x:c r="G279" s="484"/>
      <x:c r="H279" s="484"/>
      <x:c r="I279" s="485"/>
      <x:c r="J279" s="485"/>
      <x:c r="K279" s="484"/>
      <x:c r="L279" s="483"/>
      <x:c r="M279" s="477"/>
      <x:c r="N279" s="112" t="str">
        <x:f>IF(COUNTA($A279:$M279)=0,"",IF(OR(LOWER($F279&amp;"")="subscription",LOWER($F279&amp;"")="membership"),"",IF($G279="","",IF(ISNUMBER(SEARCH("non",LOWER($E279&amp;""))),$G279*0.85,$G279))))</x:f>
      </x:c>
      <x:c r="O279" s="112" t="str">
        <x:f>IF(COUNTA($A279:$M279)=0,"",IF(OR(LOWER($F279&amp;"")="subscription",LOWER($F279&amp;"")="membership"),"",IF(OR($N279="",$I279="",$I279=0),"",IFERROR($N279/$I279,""))))</x:f>
      </x:c>
      <x:c r="P279" s="112" t="str">
        <x:f>IF(COUNTA($A279:$M279)=0,"",IF(OR(LOWER($F279&amp;"")="subscription",LOWER($F279&amp;"")="membership"),"",IF(LOWER($L279&amp;"")="yes",0,IF($K279&lt;&gt;"",$K279,IF($O279&lt;&gt;"",$O279,"")))))</x:f>
      </x:c>
      <x:c r="Q279" s="112" t="str">
        <x:f>IF(COUNTA($A279:$M279)=0,"",IF(OR($U279="Subscription",$U279=""),"",IF($U279="Profit",ROUND($P279-$H279,2),0)))</x:f>
      </x:c>
      <x:c r="R279" s="112" t="str">
        <x:f>IF(COUNTA($A279:$M279)=0,"",IF(OR($U279="Subscription",$U279=""),"",IF($U279="Draw",$H279,0)))</x:f>
      </x:c>
      <x:c r="S279" s="112" t="str">
        <x:f>IF(COUNTA($A279:$M279)=0,"",IF(OR($U279="Subscription",$U279=""),"",IF($U279="Disqualified",$H279,0)))</x:f>
      </x:c>
      <x:c r="T279" s="116" t="str">
        <x:f>IF(COUNTA($A279:$M279)=0,"",IF(OR($U279="Subscription",$U279=""),"",IF($H279=0,0,IF($U279="Profit",$Q279/$H279,IF($U279="Disqualified",-$S279/$H279,0)))))</x:f>
      </x:c>
      <x:c r="U279" s="290" t="str">
        <x:f>IF(COUNTA($A279:$M279)=0,"",IF(OR(LOWER($F279&amp;"")="subscription",LOWER($F279&amp;"")="membership"),"Subscription",IF(LOWER($L279&amp;"")="yes","Disqualified",IF(OR(LOWER($F279&amp;"")="free game",LOWER($F279&amp;"")="free"),IF(AND(ISNUMBER($P279),ISNUMBER($H279),$P279&gt;$H279),"Profit","Free Game"),IF($P279="","",IF(ROUND(IFERROR(VALUE($P279),0)-IFERROR(VALUE($H279),0),2)&gt;0,"Profit","Draw"))))))</x:f>
      </x:c>
      <x:c r="V279" s="144" t="str">
        <x:f>IF(COUNTA($A279:$M279)=0,"",IF(OR($B279="",$C279="",$U279="Subscription"),"",IFERROR(ROUNDUP(($C279-$B279)/7,0),"")))</x:f>
      </x:c>
      <x:c r="W279" s="112" t="str">
        <x:f>IF(COUNTA($A279:$M279)=0,"",IF(OR($U279="Subscription",$U279=""),"",ROUND(IFERROR($Q279,0)-IFERROR($S279,0),2)))</x:f>
      </x:c>
      <x:c r="X279" s="144" t="str">
        <x:f>IF(COUNTA($A279:$M279)=0,"",IF(OR($U279="Subscription",$U279="Free Game",NOT(ISNUMBER($J279)),NOT(ISNUMBER($I279)),$J279=0,$I279=0,$I279&gt;$J279),"",$J279-$I279))</x:f>
      </x:c>
      <x:c r="Y279" s="116" t="str">
        <x:f>IF(COUNTA($A279:$M279)=0,"",IF(OR($U279="Subscription",$U279="Free Game",NOT(ISNUMBER($J279)),$J279=0,$X279=""),"",$X279/$J279))</x:f>
      </x:c>
      <x:c r="Z279" s="118" t="str">
        <x:f>IF(COUNTA($A279:$M279)=0,"",Instructions!$B$29+SUM($W$5:W279))</x:f>
      </x:c>
    </x:row>
    <x:row r="280" ht="30" customHeight="1">
      <x:c r="A280" s="477"/>
      <x:c r="B280" s="482"/>
      <x:c r="C280" s="482"/>
      <x:c r="D280" s="483"/>
      <x:c r="E280" s="483"/>
      <x:c r="F280" s="483"/>
      <x:c r="G280" s="484"/>
      <x:c r="H280" s="484"/>
      <x:c r="I280" s="485"/>
      <x:c r="J280" s="485"/>
      <x:c r="K280" s="484"/>
      <x:c r="L280" s="483"/>
      <x:c r="M280" s="477"/>
      <x:c r="N280" s="112" t="str">
        <x:f>IF(COUNTA($A280:$M280)=0,"",IF(OR(LOWER($F280&amp;"")="subscription",LOWER($F280&amp;"")="membership"),"",IF($G280="","",IF(ISNUMBER(SEARCH("non",LOWER($E280&amp;""))),$G280*0.85,$G280))))</x:f>
      </x:c>
      <x:c r="O280" s="112" t="str">
        <x:f>IF(COUNTA($A280:$M280)=0,"",IF(OR(LOWER($F280&amp;"")="subscription",LOWER($F280&amp;"")="membership"),"",IF(OR($N280="",$I280="",$I280=0),"",IFERROR($N280/$I280,""))))</x:f>
      </x:c>
      <x:c r="P280" s="112" t="str">
        <x:f>IF(COUNTA($A280:$M280)=0,"",IF(OR(LOWER($F280&amp;"")="subscription",LOWER($F280&amp;"")="membership"),"",IF(LOWER($L280&amp;"")="yes",0,IF($K280&lt;&gt;"",$K280,IF($O280&lt;&gt;"",$O280,"")))))</x:f>
      </x:c>
      <x:c r="Q280" s="112" t="str">
        <x:f>IF(COUNTA($A280:$M280)=0,"",IF(OR($U280="Subscription",$U280=""),"",IF($U280="Profit",ROUND($P280-$H280,2),0)))</x:f>
      </x:c>
      <x:c r="R280" s="112" t="str">
        <x:f>IF(COUNTA($A280:$M280)=0,"",IF(OR($U280="Subscription",$U280=""),"",IF($U280="Draw",$H280,0)))</x:f>
      </x:c>
      <x:c r="S280" s="112" t="str">
        <x:f>IF(COUNTA($A280:$M280)=0,"",IF(OR($U280="Subscription",$U280=""),"",IF($U280="Disqualified",$H280,0)))</x:f>
      </x:c>
      <x:c r="T280" s="116" t="str">
        <x:f>IF(COUNTA($A280:$M280)=0,"",IF(OR($U280="Subscription",$U280=""),"",IF($H280=0,0,IF($U280="Profit",$Q280/$H280,IF($U280="Disqualified",-$S280/$H280,0)))))</x:f>
      </x:c>
      <x:c r="U280" s="290" t="str">
        <x:f>IF(COUNTA($A280:$M280)=0,"",IF(OR(LOWER($F280&amp;"")="subscription",LOWER($F280&amp;"")="membership"),"Subscription",IF(LOWER($L280&amp;"")="yes","Disqualified",IF(OR(LOWER($F280&amp;"")="free game",LOWER($F280&amp;"")="free"),IF(AND(ISNUMBER($P280),ISNUMBER($H280),$P280&gt;$H280),"Profit","Free Game"),IF($P280="","",IF(ROUND(IFERROR(VALUE($P280),0)-IFERROR(VALUE($H280),0),2)&gt;0,"Profit","Draw"))))))</x:f>
      </x:c>
      <x:c r="V280" s="144" t="str">
        <x:f>IF(COUNTA($A280:$M280)=0,"",IF(OR($B280="",$C280="",$U280="Subscription"),"",IFERROR(ROUNDUP(($C280-$B280)/7,0),"")))</x:f>
      </x:c>
      <x:c r="W280" s="112" t="str">
        <x:f>IF(COUNTA($A280:$M280)=0,"",IF(OR($U280="Subscription",$U280=""),"",ROUND(IFERROR($Q280,0)-IFERROR($S280,0),2)))</x:f>
      </x:c>
      <x:c r="X280" s="144" t="str">
        <x:f>IF(COUNTA($A280:$M280)=0,"",IF(OR($U280="Subscription",$U280="Free Game",NOT(ISNUMBER($J280)),NOT(ISNUMBER($I280)),$J280=0,$I280=0,$I280&gt;$J280),"",$J280-$I280))</x:f>
      </x:c>
      <x:c r="Y280" s="116" t="str">
        <x:f>IF(COUNTA($A280:$M280)=0,"",IF(OR($U280="Subscription",$U280="Free Game",NOT(ISNUMBER($J280)),$J280=0,$X280=""),"",$X280/$J280))</x:f>
      </x:c>
      <x:c r="Z280" s="118" t="str">
        <x:f>IF(COUNTA($A280:$M280)=0,"",Instructions!$B$29+SUM($W$5:W280))</x:f>
      </x:c>
    </x:row>
    <x:row r="281" ht="30" customHeight="1">
      <x:c r="A281" s="477"/>
      <x:c r="B281" s="482"/>
      <x:c r="C281" s="482"/>
      <x:c r="D281" s="483"/>
      <x:c r="E281" s="483"/>
      <x:c r="F281" s="483"/>
      <x:c r="G281" s="484"/>
      <x:c r="H281" s="484"/>
      <x:c r="I281" s="485"/>
      <x:c r="J281" s="485"/>
      <x:c r="K281" s="484"/>
      <x:c r="L281" s="483"/>
      <x:c r="M281" s="477"/>
      <x:c r="N281" s="112" t="str">
        <x:f>IF(COUNTA($A281:$M281)=0,"",IF(OR(LOWER($F281&amp;"")="subscription",LOWER($F281&amp;"")="membership"),"",IF($G281="","",IF(ISNUMBER(SEARCH("non",LOWER($E281&amp;""))),$G281*0.85,$G281))))</x:f>
      </x:c>
      <x:c r="O281" s="112" t="str">
        <x:f>IF(COUNTA($A281:$M281)=0,"",IF(OR(LOWER($F281&amp;"")="subscription",LOWER($F281&amp;"")="membership"),"",IF(OR($N281="",$I281="",$I281=0),"",IFERROR($N281/$I281,""))))</x:f>
      </x:c>
      <x:c r="P281" s="112" t="str">
        <x:f>IF(COUNTA($A281:$M281)=0,"",IF(OR(LOWER($F281&amp;"")="subscription",LOWER($F281&amp;"")="membership"),"",IF(LOWER($L281&amp;"")="yes",0,IF($K281&lt;&gt;"",$K281,IF($O281&lt;&gt;"",$O281,"")))))</x:f>
      </x:c>
      <x:c r="Q281" s="112" t="str">
        <x:f>IF(COUNTA($A281:$M281)=0,"",IF(OR($U281="Subscription",$U281=""),"",IF($U281="Profit",ROUND($P281-$H281,2),0)))</x:f>
      </x:c>
      <x:c r="R281" s="112" t="str">
        <x:f>IF(COUNTA($A281:$M281)=0,"",IF(OR($U281="Subscription",$U281=""),"",IF($U281="Draw",$H281,0)))</x:f>
      </x:c>
      <x:c r="S281" s="112" t="str">
        <x:f>IF(COUNTA($A281:$M281)=0,"",IF(OR($U281="Subscription",$U281=""),"",IF($U281="Disqualified",$H281,0)))</x:f>
      </x:c>
      <x:c r="T281" s="116" t="str">
        <x:f>IF(COUNTA($A281:$M281)=0,"",IF(OR($U281="Subscription",$U281=""),"",IF($H281=0,0,IF($U281="Profit",$Q281/$H281,IF($U281="Disqualified",-$S281/$H281,0)))))</x:f>
      </x:c>
      <x:c r="U281" s="290" t="str">
        <x:f>IF(COUNTA($A281:$M281)=0,"",IF(OR(LOWER($F281&amp;"")="subscription",LOWER($F281&amp;"")="membership"),"Subscription",IF(LOWER($L281&amp;"")="yes","Disqualified",IF(OR(LOWER($F281&amp;"")="free game",LOWER($F281&amp;"")="free"),IF(AND(ISNUMBER($P281),ISNUMBER($H281),$P281&gt;$H281),"Profit","Free Game"),IF($P281="","",IF(ROUND(IFERROR(VALUE($P281),0)-IFERROR(VALUE($H281),0),2)&gt;0,"Profit","Draw"))))))</x:f>
      </x:c>
      <x:c r="V281" s="144" t="str">
        <x:f>IF(COUNTA($A281:$M281)=0,"",IF(OR($B281="",$C281="",$U281="Subscription"),"",IFERROR(ROUNDUP(($C281-$B281)/7,0),"")))</x:f>
      </x:c>
      <x:c r="W281" s="112" t="str">
        <x:f>IF(COUNTA($A281:$M281)=0,"",IF(OR($U281="Subscription",$U281=""),"",ROUND(IFERROR($Q281,0)-IFERROR($S281,0),2)))</x:f>
      </x:c>
      <x:c r="X281" s="144" t="str">
        <x:f>IF(COUNTA($A281:$M281)=0,"",IF(OR($U281="Subscription",$U281="Free Game",NOT(ISNUMBER($J281)),NOT(ISNUMBER($I281)),$J281=0,$I281=0,$I281&gt;$J281),"",$J281-$I281))</x:f>
      </x:c>
      <x:c r="Y281" s="116" t="str">
        <x:f>IF(COUNTA($A281:$M281)=0,"",IF(OR($U281="Subscription",$U281="Free Game",NOT(ISNUMBER($J281)),$J281=0,$X281=""),"",$X281/$J281))</x:f>
      </x:c>
      <x:c r="Z281" s="118" t="str">
        <x:f>IF(COUNTA($A281:$M281)=0,"",Instructions!$B$29+SUM($W$5:W281))</x:f>
      </x:c>
    </x:row>
    <x:row r="282" ht="30" customHeight="1">
      <x:c r="A282" s="477"/>
      <x:c r="B282" s="482"/>
      <x:c r="C282" s="482"/>
      <x:c r="D282" s="483"/>
      <x:c r="E282" s="483"/>
      <x:c r="F282" s="483"/>
      <x:c r="G282" s="484"/>
      <x:c r="H282" s="484"/>
      <x:c r="I282" s="485"/>
      <x:c r="J282" s="485"/>
      <x:c r="K282" s="484"/>
      <x:c r="L282" s="483"/>
      <x:c r="M282" s="477"/>
      <x:c r="N282" s="112" t="str">
        <x:f>IF(COUNTA($A282:$M282)=0,"",IF(OR(LOWER($F282&amp;"")="subscription",LOWER($F282&amp;"")="membership"),"",IF($G282="","",IF(ISNUMBER(SEARCH("non",LOWER($E282&amp;""))),$G282*0.85,$G282))))</x:f>
      </x:c>
      <x:c r="O282" s="112" t="str">
        <x:f>IF(COUNTA($A282:$M282)=0,"",IF(OR(LOWER($F282&amp;"")="subscription",LOWER($F282&amp;"")="membership"),"",IF(OR($N282="",$I282="",$I282=0),"",IFERROR($N282/$I282,""))))</x:f>
      </x:c>
      <x:c r="P282" s="112" t="str">
        <x:f>IF(COUNTA($A282:$M282)=0,"",IF(OR(LOWER($F282&amp;"")="subscription",LOWER($F282&amp;"")="membership"),"",IF(LOWER($L282&amp;"")="yes",0,IF($K282&lt;&gt;"",$K282,IF($O282&lt;&gt;"",$O282,"")))))</x:f>
      </x:c>
      <x:c r="Q282" s="112" t="str">
        <x:f>IF(COUNTA($A282:$M282)=0,"",IF(OR($U282="Subscription",$U282=""),"",IF($U282="Profit",ROUND($P282-$H282,2),0)))</x:f>
      </x:c>
      <x:c r="R282" s="112" t="str">
        <x:f>IF(COUNTA($A282:$M282)=0,"",IF(OR($U282="Subscription",$U282=""),"",IF($U282="Draw",$H282,0)))</x:f>
      </x:c>
      <x:c r="S282" s="112" t="str">
        <x:f>IF(COUNTA($A282:$M282)=0,"",IF(OR($U282="Subscription",$U282=""),"",IF($U282="Disqualified",$H282,0)))</x:f>
      </x:c>
      <x:c r="T282" s="116" t="str">
        <x:f>IF(COUNTA($A282:$M282)=0,"",IF(OR($U282="Subscription",$U282=""),"",IF($H282=0,0,IF($U282="Profit",$Q282/$H282,IF($U282="Disqualified",-$S282/$H282,0)))))</x:f>
      </x:c>
      <x:c r="U282" s="290" t="str">
        <x:f>IF(COUNTA($A282:$M282)=0,"",IF(OR(LOWER($F282&amp;"")="subscription",LOWER($F282&amp;"")="membership"),"Subscription",IF(LOWER($L282&amp;"")="yes","Disqualified",IF(OR(LOWER($F282&amp;"")="free game",LOWER($F282&amp;"")="free"),IF(AND(ISNUMBER($P282),ISNUMBER($H282),$P282&gt;$H282),"Profit","Free Game"),IF($P282="","",IF(ROUND(IFERROR(VALUE($P282),0)-IFERROR(VALUE($H282),0),2)&gt;0,"Profit","Draw"))))))</x:f>
      </x:c>
      <x:c r="V282" s="144" t="str">
        <x:f>IF(COUNTA($A282:$M282)=0,"",IF(OR($B282="",$C282="",$U282="Subscription"),"",IFERROR(ROUNDUP(($C282-$B282)/7,0),"")))</x:f>
      </x:c>
      <x:c r="W282" s="112" t="str">
        <x:f>IF(COUNTA($A282:$M282)=0,"",IF(OR($U282="Subscription",$U282=""),"",ROUND(IFERROR($Q282,0)-IFERROR($S282,0),2)))</x:f>
      </x:c>
      <x:c r="X282" s="144" t="str">
        <x:f>IF(COUNTA($A282:$M282)=0,"",IF(OR($U282="Subscription",$U282="Free Game",NOT(ISNUMBER($J282)),NOT(ISNUMBER($I282)),$J282=0,$I282=0,$I282&gt;$J282),"",$J282-$I282))</x:f>
      </x:c>
      <x:c r="Y282" s="116" t="str">
        <x:f>IF(COUNTA($A282:$M282)=0,"",IF(OR($U282="Subscription",$U282="Free Game",NOT(ISNUMBER($J282)),$J282=0,$X282=""),"",$X282/$J282))</x:f>
      </x:c>
      <x:c r="Z282" s="118" t="str">
        <x:f>IF(COUNTA($A282:$M282)=0,"",Instructions!$B$29+SUM($W$5:W282))</x:f>
      </x:c>
    </x:row>
    <x:row r="283" ht="30" customHeight="1">
      <x:c r="A283" s="477"/>
      <x:c r="B283" s="482"/>
      <x:c r="C283" s="482"/>
      <x:c r="D283" s="483"/>
      <x:c r="E283" s="483"/>
      <x:c r="F283" s="483"/>
      <x:c r="G283" s="484"/>
      <x:c r="H283" s="484"/>
      <x:c r="I283" s="485"/>
      <x:c r="J283" s="485"/>
      <x:c r="K283" s="484"/>
      <x:c r="L283" s="483"/>
      <x:c r="M283" s="477"/>
      <x:c r="N283" s="112" t="str">
        <x:f>IF(COUNTA($A283:$M283)=0,"",IF(OR(LOWER($F283&amp;"")="subscription",LOWER($F283&amp;"")="membership"),"",IF($G283="","",IF(ISNUMBER(SEARCH("non",LOWER($E283&amp;""))),$G283*0.85,$G283))))</x:f>
      </x:c>
      <x:c r="O283" s="112" t="str">
        <x:f>IF(COUNTA($A283:$M283)=0,"",IF(OR(LOWER($F283&amp;"")="subscription",LOWER($F283&amp;"")="membership"),"",IF(OR($N283="",$I283="",$I283=0),"",IFERROR($N283/$I283,""))))</x:f>
      </x:c>
      <x:c r="P283" s="112" t="str">
        <x:f>IF(COUNTA($A283:$M283)=0,"",IF(OR(LOWER($F283&amp;"")="subscription",LOWER($F283&amp;"")="membership"),"",IF(LOWER($L283&amp;"")="yes",0,IF($K283&lt;&gt;"",$K283,IF($O283&lt;&gt;"",$O283,"")))))</x:f>
      </x:c>
      <x:c r="Q283" s="112" t="str">
        <x:f>IF(COUNTA($A283:$M283)=0,"",IF(OR($U283="Subscription",$U283=""),"",IF($U283="Profit",ROUND($P283-$H283,2),0)))</x:f>
      </x:c>
      <x:c r="R283" s="112" t="str">
        <x:f>IF(COUNTA($A283:$M283)=0,"",IF(OR($U283="Subscription",$U283=""),"",IF($U283="Draw",$H283,0)))</x:f>
      </x:c>
      <x:c r="S283" s="112" t="str">
        <x:f>IF(COUNTA($A283:$M283)=0,"",IF(OR($U283="Subscription",$U283=""),"",IF($U283="Disqualified",$H283,0)))</x:f>
      </x:c>
      <x:c r="T283" s="116" t="str">
        <x:f>IF(COUNTA($A283:$M283)=0,"",IF(OR($U283="Subscription",$U283=""),"",IF($H283=0,0,IF($U283="Profit",$Q283/$H283,IF($U283="Disqualified",-$S283/$H283,0)))))</x:f>
      </x:c>
      <x:c r="U283" s="290" t="str">
        <x:f>IF(COUNTA($A283:$M283)=0,"",IF(OR(LOWER($F283&amp;"")="subscription",LOWER($F283&amp;"")="membership"),"Subscription",IF(LOWER($L283&amp;"")="yes","Disqualified",IF(OR(LOWER($F283&amp;"")="free game",LOWER($F283&amp;"")="free"),IF(AND(ISNUMBER($P283),ISNUMBER($H283),$P283&gt;$H283),"Profit","Free Game"),IF($P283="","",IF(ROUND(IFERROR(VALUE($P283),0)-IFERROR(VALUE($H283),0),2)&gt;0,"Profit","Draw"))))))</x:f>
      </x:c>
      <x:c r="V283" s="144" t="str">
        <x:f>IF(COUNTA($A283:$M283)=0,"",IF(OR($B283="",$C283="",$U283="Subscription"),"",IFERROR(ROUNDUP(($C283-$B283)/7,0),"")))</x:f>
      </x:c>
      <x:c r="W283" s="112" t="str">
        <x:f>IF(COUNTA($A283:$M283)=0,"",IF(OR($U283="Subscription",$U283=""),"",ROUND(IFERROR($Q283,0)-IFERROR($S283,0),2)))</x:f>
      </x:c>
      <x:c r="X283" s="144" t="str">
        <x:f>IF(COUNTA($A283:$M283)=0,"",IF(OR($U283="Subscription",$U283="Free Game",NOT(ISNUMBER($J283)),NOT(ISNUMBER($I283)),$J283=0,$I283=0,$I283&gt;$J283),"",$J283-$I283))</x:f>
      </x:c>
      <x:c r="Y283" s="116" t="str">
        <x:f>IF(COUNTA($A283:$M283)=0,"",IF(OR($U283="Subscription",$U283="Free Game",NOT(ISNUMBER($J283)),$J283=0,$X283=""),"",$X283/$J283))</x:f>
      </x:c>
      <x:c r="Z283" s="118" t="str">
        <x:f>IF(COUNTA($A283:$M283)=0,"",Instructions!$B$29+SUM($W$5:W283))</x:f>
      </x:c>
    </x:row>
    <x:row r="284" ht="30" customHeight="1">
      <x:c r="A284" s="477"/>
      <x:c r="B284" s="482"/>
      <x:c r="C284" s="482"/>
      <x:c r="D284" s="483"/>
      <x:c r="E284" s="483"/>
      <x:c r="F284" s="483"/>
      <x:c r="G284" s="484"/>
      <x:c r="H284" s="484"/>
      <x:c r="I284" s="485"/>
      <x:c r="J284" s="485"/>
      <x:c r="K284" s="484"/>
      <x:c r="L284" s="483"/>
      <x:c r="M284" s="477"/>
      <x:c r="N284" s="112" t="str">
        <x:f>IF(COUNTA($A284:$M284)=0,"",IF(OR(LOWER($F284&amp;"")="subscription",LOWER($F284&amp;"")="membership"),"",IF($G284="","",IF(ISNUMBER(SEARCH("non",LOWER($E284&amp;""))),$G284*0.85,$G284))))</x:f>
      </x:c>
      <x:c r="O284" s="112" t="str">
        <x:f>IF(COUNTA($A284:$M284)=0,"",IF(OR(LOWER($F284&amp;"")="subscription",LOWER($F284&amp;"")="membership"),"",IF(OR($N284="",$I284="",$I284=0),"",IFERROR($N284/$I284,""))))</x:f>
      </x:c>
      <x:c r="P284" s="112" t="str">
        <x:f>IF(COUNTA($A284:$M284)=0,"",IF(OR(LOWER($F284&amp;"")="subscription",LOWER($F284&amp;"")="membership"),"",IF(LOWER($L284&amp;"")="yes",0,IF($K284&lt;&gt;"",$K284,IF($O284&lt;&gt;"",$O284,"")))))</x:f>
      </x:c>
      <x:c r="Q284" s="112" t="str">
        <x:f>IF(COUNTA($A284:$M284)=0,"",IF(OR($U284="Subscription",$U284=""),"",IF($U284="Profit",ROUND($P284-$H284,2),0)))</x:f>
      </x:c>
      <x:c r="R284" s="112" t="str">
        <x:f>IF(COUNTA($A284:$M284)=0,"",IF(OR($U284="Subscription",$U284=""),"",IF($U284="Draw",$H284,0)))</x:f>
      </x:c>
      <x:c r="S284" s="112" t="str">
        <x:f>IF(COUNTA($A284:$M284)=0,"",IF(OR($U284="Subscription",$U284=""),"",IF($U284="Disqualified",$H284,0)))</x:f>
      </x:c>
      <x:c r="T284" s="116" t="str">
        <x:f>IF(COUNTA($A284:$M284)=0,"",IF(OR($U284="Subscription",$U284=""),"",IF($H284=0,0,IF($U284="Profit",$Q284/$H284,IF($U284="Disqualified",-$S284/$H284,0)))))</x:f>
      </x:c>
      <x:c r="U284" s="290" t="str">
        <x:f>IF(COUNTA($A284:$M284)=0,"",IF(OR(LOWER($F284&amp;"")="subscription",LOWER($F284&amp;"")="membership"),"Subscription",IF(LOWER($L284&amp;"")="yes","Disqualified",IF(OR(LOWER($F284&amp;"")="free game",LOWER($F284&amp;"")="free"),IF(AND(ISNUMBER($P284),ISNUMBER($H284),$P284&gt;$H284),"Profit","Free Game"),IF($P284="","",IF(ROUND(IFERROR(VALUE($P284),0)-IFERROR(VALUE($H284),0),2)&gt;0,"Profit","Draw"))))))</x:f>
      </x:c>
      <x:c r="V284" s="144" t="str">
        <x:f>IF(COUNTA($A284:$M284)=0,"",IF(OR($B284="",$C284="",$U284="Subscription"),"",IFERROR(ROUNDUP(($C284-$B284)/7,0),"")))</x:f>
      </x:c>
      <x:c r="W284" s="112" t="str">
        <x:f>IF(COUNTA($A284:$M284)=0,"",IF(OR($U284="Subscription",$U284=""),"",ROUND(IFERROR($Q284,0)-IFERROR($S284,0),2)))</x:f>
      </x:c>
      <x:c r="X284" s="144" t="str">
        <x:f>IF(COUNTA($A284:$M284)=0,"",IF(OR($U284="Subscription",$U284="Free Game",NOT(ISNUMBER($J284)),NOT(ISNUMBER($I284)),$J284=0,$I284=0,$I284&gt;$J284),"",$J284-$I284))</x:f>
      </x:c>
      <x:c r="Y284" s="116" t="str">
        <x:f>IF(COUNTA($A284:$M284)=0,"",IF(OR($U284="Subscription",$U284="Free Game",NOT(ISNUMBER($J284)),$J284=0,$X284=""),"",$X284/$J284))</x:f>
      </x:c>
      <x:c r="Z284" s="118" t="str">
        <x:f>IF(COUNTA($A284:$M284)=0,"",Instructions!$B$29+SUM($W$5:W284))</x:f>
      </x:c>
    </x:row>
    <x:row r="285" ht="30" customHeight="1">
      <x:c r="A285" s="477"/>
      <x:c r="B285" s="482"/>
      <x:c r="C285" s="482"/>
      <x:c r="D285" s="483"/>
      <x:c r="E285" s="483"/>
      <x:c r="F285" s="483"/>
      <x:c r="G285" s="484"/>
      <x:c r="H285" s="484"/>
      <x:c r="I285" s="485"/>
      <x:c r="J285" s="485"/>
      <x:c r="K285" s="484"/>
      <x:c r="L285" s="483"/>
      <x:c r="M285" s="477"/>
      <x:c r="N285" s="112" t="str">
        <x:f>IF(COUNTA($A285:$M285)=0,"",IF(OR(LOWER($F285&amp;"")="subscription",LOWER($F285&amp;"")="membership"),"",IF($G285="","",IF(ISNUMBER(SEARCH("non",LOWER($E285&amp;""))),$G285*0.85,$G285))))</x:f>
      </x:c>
      <x:c r="O285" s="112" t="str">
        <x:f>IF(COUNTA($A285:$M285)=0,"",IF(OR(LOWER($F285&amp;"")="subscription",LOWER($F285&amp;"")="membership"),"",IF(OR($N285="",$I285="",$I285=0),"",IFERROR($N285/$I285,""))))</x:f>
      </x:c>
      <x:c r="P285" s="112" t="str">
        <x:f>IF(COUNTA($A285:$M285)=0,"",IF(OR(LOWER($F285&amp;"")="subscription",LOWER($F285&amp;"")="membership"),"",IF(LOWER($L285&amp;"")="yes",0,IF($K285&lt;&gt;"",$K285,IF($O285&lt;&gt;"",$O285,"")))))</x:f>
      </x:c>
      <x:c r="Q285" s="112" t="str">
        <x:f>IF(COUNTA($A285:$M285)=0,"",IF(OR($U285="Subscription",$U285=""),"",IF($U285="Profit",ROUND($P285-$H285,2),0)))</x:f>
      </x:c>
      <x:c r="R285" s="112" t="str">
        <x:f>IF(COUNTA($A285:$M285)=0,"",IF(OR($U285="Subscription",$U285=""),"",IF($U285="Draw",$H285,0)))</x:f>
      </x:c>
      <x:c r="S285" s="112" t="str">
        <x:f>IF(COUNTA($A285:$M285)=0,"",IF(OR($U285="Subscription",$U285=""),"",IF($U285="Disqualified",$H285,0)))</x:f>
      </x:c>
      <x:c r="T285" s="116" t="str">
        <x:f>IF(COUNTA($A285:$M285)=0,"",IF(OR($U285="Subscription",$U285=""),"",IF($H285=0,0,IF($U285="Profit",$Q285/$H285,IF($U285="Disqualified",-$S285/$H285,0)))))</x:f>
      </x:c>
      <x:c r="U285" s="290" t="str">
        <x:f>IF(COUNTA($A285:$M285)=0,"",IF(OR(LOWER($F285&amp;"")="subscription",LOWER($F285&amp;"")="membership"),"Subscription",IF(LOWER($L285&amp;"")="yes","Disqualified",IF(OR(LOWER($F285&amp;"")="free game",LOWER($F285&amp;"")="free"),IF(AND(ISNUMBER($P285),ISNUMBER($H285),$P285&gt;$H285),"Profit","Free Game"),IF($P285="","",IF(ROUND(IFERROR(VALUE($P285),0)-IFERROR(VALUE($H285),0),2)&gt;0,"Profit","Draw"))))))</x:f>
      </x:c>
      <x:c r="V285" s="144" t="str">
        <x:f>IF(COUNTA($A285:$M285)=0,"",IF(OR($B285="",$C285="",$U285="Subscription"),"",IFERROR(ROUNDUP(($C285-$B285)/7,0),"")))</x:f>
      </x:c>
      <x:c r="W285" s="112" t="str">
        <x:f>IF(COUNTA($A285:$M285)=0,"",IF(OR($U285="Subscription",$U285=""),"",ROUND(IFERROR($Q285,0)-IFERROR($S285,0),2)))</x:f>
      </x:c>
      <x:c r="X285" s="144" t="str">
        <x:f>IF(COUNTA($A285:$M285)=0,"",IF(OR($U285="Subscription",$U285="Free Game",NOT(ISNUMBER($J285)),NOT(ISNUMBER($I285)),$J285=0,$I285=0,$I285&gt;$J285),"",$J285-$I285))</x:f>
      </x:c>
      <x:c r="Y285" s="116" t="str">
        <x:f>IF(COUNTA($A285:$M285)=0,"",IF(OR($U285="Subscription",$U285="Free Game",NOT(ISNUMBER($J285)),$J285=0,$X285=""),"",$X285/$J285))</x:f>
      </x:c>
      <x:c r="Z285" s="118" t="str">
        <x:f>IF(COUNTA($A285:$M285)=0,"",Instructions!$B$29+SUM($W$5:W285))</x:f>
      </x:c>
    </x:row>
    <x:row r="286" ht="30" customHeight="1">
      <x:c r="A286" s="477"/>
      <x:c r="B286" s="482"/>
      <x:c r="C286" s="482"/>
      <x:c r="D286" s="483"/>
      <x:c r="E286" s="483"/>
      <x:c r="F286" s="483"/>
      <x:c r="G286" s="484"/>
      <x:c r="H286" s="484"/>
      <x:c r="I286" s="485"/>
      <x:c r="J286" s="485"/>
      <x:c r="K286" s="484"/>
      <x:c r="L286" s="483"/>
      <x:c r="M286" s="477"/>
      <x:c r="N286" s="112" t="str">
        <x:f>IF(COUNTA($A286:$M286)=0,"",IF(OR(LOWER($F286&amp;"")="subscription",LOWER($F286&amp;"")="membership"),"",IF($G286="","",IF(ISNUMBER(SEARCH("non",LOWER($E286&amp;""))),$G286*0.85,$G286))))</x:f>
      </x:c>
      <x:c r="O286" s="112" t="str">
        <x:f>IF(COUNTA($A286:$M286)=0,"",IF(OR(LOWER($F286&amp;"")="subscription",LOWER($F286&amp;"")="membership"),"",IF(OR($N286="",$I286="",$I286=0),"",IFERROR($N286/$I286,""))))</x:f>
      </x:c>
      <x:c r="P286" s="112" t="str">
        <x:f>IF(COUNTA($A286:$M286)=0,"",IF(OR(LOWER($F286&amp;"")="subscription",LOWER($F286&amp;"")="membership"),"",IF(LOWER($L286&amp;"")="yes",0,IF($K286&lt;&gt;"",$K286,IF($O286&lt;&gt;"",$O286,"")))))</x:f>
      </x:c>
      <x:c r="Q286" s="112" t="str">
        <x:f>IF(COUNTA($A286:$M286)=0,"",IF(OR($U286="Subscription",$U286=""),"",IF($U286="Profit",ROUND($P286-$H286,2),0)))</x:f>
      </x:c>
      <x:c r="R286" s="112" t="str">
        <x:f>IF(COUNTA($A286:$M286)=0,"",IF(OR($U286="Subscription",$U286=""),"",IF($U286="Draw",$H286,0)))</x:f>
      </x:c>
      <x:c r="S286" s="112" t="str">
        <x:f>IF(COUNTA($A286:$M286)=0,"",IF(OR($U286="Subscription",$U286=""),"",IF($U286="Disqualified",$H286,0)))</x:f>
      </x:c>
      <x:c r="T286" s="116" t="str">
        <x:f>IF(COUNTA($A286:$M286)=0,"",IF(OR($U286="Subscription",$U286=""),"",IF($H286=0,0,IF($U286="Profit",$Q286/$H286,IF($U286="Disqualified",-$S286/$H286,0)))))</x:f>
      </x:c>
      <x:c r="U286" s="290" t="str">
        <x:f>IF(COUNTA($A286:$M286)=0,"",IF(OR(LOWER($F286&amp;"")="subscription",LOWER($F286&amp;"")="membership"),"Subscription",IF(LOWER($L286&amp;"")="yes","Disqualified",IF(OR(LOWER($F286&amp;"")="free game",LOWER($F286&amp;"")="free"),IF(AND(ISNUMBER($P286),ISNUMBER($H286),$P286&gt;$H286),"Profit","Free Game"),IF($P286="","",IF(ROUND(IFERROR(VALUE($P286),0)-IFERROR(VALUE($H286),0),2)&gt;0,"Profit","Draw"))))))</x:f>
      </x:c>
      <x:c r="V286" s="144" t="str">
        <x:f>IF(COUNTA($A286:$M286)=0,"",IF(OR($B286="",$C286="",$U286="Subscription"),"",IFERROR(ROUNDUP(($C286-$B286)/7,0),"")))</x:f>
      </x:c>
      <x:c r="W286" s="112" t="str">
        <x:f>IF(COUNTA($A286:$M286)=0,"",IF(OR($U286="Subscription",$U286=""),"",ROUND(IFERROR($Q286,0)-IFERROR($S286,0),2)))</x:f>
      </x:c>
      <x:c r="X286" s="144" t="str">
        <x:f>IF(COUNTA($A286:$M286)=0,"",IF(OR($U286="Subscription",$U286="Free Game",NOT(ISNUMBER($J286)),NOT(ISNUMBER($I286)),$J286=0,$I286=0,$I286&gt;$J286),"",$J286-$I286))</x:f>
      </x:c>
      <x:c r="Y286" s="116" t="str">
        <x:f>IF(COUNTA($A286:$M286)=0,"",IF(OR($U286="Subscription",$U286="Free Game",NOT(ISNUMBER($J286)),$J286=0,$X286=""),"",$X286/$J286))</x:f>
      </x:c>
      <x:c r="Z286" s="118" t="str">
        <x:f>IF(COUNTA($A286:$M286)=0,"",Instructions!$B$29+SUM($W$5:W286))</x:f>
      </x:c>
    </x:row>
    <x:row r="287" ht="30" customHeight="1">
      <x:c r="A287" s="477"/>
      <x:c r="B287" s="482"/>
      <x:c r="C287" s="482"/>
      <x:c r="D287" s="483"/>
      <x:c r="E287" s="483"/>
      <x:c r="F287" s="483"/>
      <x:c r="G287" s="484"/>
      <x:c r="H287" s="484"/>
      <x:c r="I287" s="485"/>
      <x:c r="J287" s="485"/>
      <x:c r="K287" s="484"/>
      <x:c r="L287" s="483"/>
      <x:c r="M287" s="477"/>
      <x:c r="N287" s="112" t="str">
        <x:f>IF(COUNTA($A287:$M287)=0,"",IF(OR(LOWER($F287&amp;"")="subscription",LOWER($F287&amp;"")="membership"),"",IF($G287="","",IF(ISNUMBER(SEARCH("non",LOWER($E287&amp;""))),$G287*0.85,$G287))))</x:f>
      </x:c>
      <x:c r="O287" s="112" t="str">
        <x:f>IF(COUNTA($A287:$M287)=0,"",IF(OR(LOWER($F287&amp;"")="subscription",LOWER($F287&amp;"")="membership"),"",IF(OR($N287="",$I287="",$I287=0),"",IFERROR($N287/$I287,""))))</x:f>
      </x:c>
      <x:c r="P287" s="112" t="str">
        <x:f>IF(COUNTA($A287:$M287)=0,"",IF(OR(LOWER($F287&amp;"")="subscription",LOWER($F287&amp;"")="membership"),"",IF(LOWER($L287&amp;"")="yes",0,IF($K287&lt;&gt;"",$K287,IF($O287&lt;&gt;"",$O287,"")))))</x:f>
      </x:c>
      <x:c r="Q287" s="112" t="str">
        <x:f>IF(COUNTA($A287:$M287)=0,"",IF(OR($U287="Subscription",$U287=""),"",IF($U287="Profit",ROUND($P287-$H287,2),0)))</x:f>
      </x:c>
      <x:c r="R287" s="112" t="str">
        <x:f>IF(COUNTA($A287:$M287)=0,"",IF(OR($U287="Subscription",$U287=""),"",IF($U287="Draw",$H287,0)))</x:f>
      </x:c>
      <x:c r="S287" s="112" t="str">
        <x:f>IF(COUNTA($A287:$M287)=0,"",IF(OR($U287="Subscription",$U287=""),"",IF($U287="Disqualified",$H287,0)))</x:f>
      </x:c>
      <x:c r="T287" s="116" t="str">
        <x:f>IF(COUNTA($A287:$M287)=0,"",IF(OR($U287="Subscription",$U287=""),"",IF($H287=0,0,IF($U287="Profit",$Q287/$H287,IF($U287="Disqualified",-$S287/$H287,0)))))</x:f>
      </x:c>
      <x:c r="U287" s="290" t="str">
        <x:f>IF(COUNTA($A287:$M287)=0,"",IF(OR(LOWER($F287&amp;"")="subscription",LOWER($F287&amp;"")="membership"),"Subscription",IF(LOWER($L287&amp;"")="yes","Disqualified",IF(OR(LOWER($F287&amp;"")="free game",LOWER($F287&amp;"")="free"),IF(AND(ISNUMBER($P287),ISNUMBER($H287),$P287&gt;$H287),"Profit","Free Game"),IF($P287="","",IF(ROUND(IFERROR(VALUE($P287),0)-IFERROR(VALUE($H287),0),2)&gt;0,"Profit","Draw"))))))</x:f>
      </x:c>
      <x:c r="V287" s="144" t="str">
        <x:f>IF(COUNTA($A287:$M287)=0,"",IF(OR($B287="",$C287="",$U287="Subscription"),"",IFERROR(ROUNDUP(($C287-$B287)/7,0),"")))</x:f>
      </x:c>
      <x:c r="W287" s="112" t="str">
        <x:f>IF(COUNTA($A287:$M287)=0,"",IF(OR($U287="Subscription",$U287=""),"",ROUND(IFERROR($Q287,0)-IFERROR($S287,0),2)))</x:f>
      </x:c>
      <x:c r="X287" s="144" t="str">
        <x:f>IF(COUNTA($A287:$M287)=0,"",IF(OR($U287="Subscription",$U287="Free Game",NOT(ISNUMBER($J287)),NOT(ISNUMBER($I287)),$J287=0,$I287=0,$I287&gt;$J287),"",$J287-$I287))</x:f>
      </x:c>
      <x:c r="Y287" s="116" t="str">
        <x:f>IF(COUNTA($A287:$M287)=0,"",IF(OR($U287="Subscription",$U287="Free Game",NOT(ISNUMBER($J287)),$J287=0,$X287=""),"",$X287/$J287))</x:f>
      </x:c>
      <x:c r="Z287" s="118" t="str">
        <x:f>IF(COUNTA($A287:$M287)=0,"",Instructions!$B$29+SUM($W$5:W287))</x:f>
      </x:c>
    </x:row>
    <x:row r="288" ht="30" customHeight="1">
      <x:c r="A288" s="477"/>
      <x:c r="B288" s="482"/>
      <x:c r="C288" s="482"/>
      <x:c r="D288" s="483"/>
      <x:c r="E288" s="483"/>
      <x:c r="F288" s="483"/>
      <x:c r="G288" s="484"/>
      <x:c r="H288" s="484"/>
      <x:c r="I288" s="485"/>
      <x:c r="J288" s="485"/>
      <x:c r="K288" s="484"/>
      <x:c r="L288" s="483"/>
      <x:c r="M288" s="477"/>
      <x:c r="N288" s="112" t="str">
        <x:f>IF(COUNTA($A288:$M288)=0,"",IF(OR(LOWER($F288&amp;"")="subscription",LOWER($F288&amp;"")="membership"),"",IF($G288="","",IF(ISNUMBER(SEARCH("non",LOWER($E288&amp;""))),$G288*0.85,$G288))))</x:f>
      </x:c>
      <x:c r="O288" s="112" t="str">
        <x:f>IF(COUNTA($A288:$M288)=0,"",IF(OR(LOWER($F288&amp;"")="subscription",LOWER($F288&amp;"")="membership"),"",IF(OR($N288="",$I288="",$I288=0),"",IFERROR($N288/$I288,""))))</x:f>
      </x:c>
      <x:c r="P288" s="112" t="str">
        <x:f>IF(COUNTA($A288:$M288)=0,"",IF(OR(LOWER($F288&amp;"")="subscription",LOWER($F288&amp;"")="membership"),"",IF(LOWER($L288&amp;"")="yes",0,IF($K288&lt;&gt;"",$K288,IF($O288&lt;&gt;"",$O288,"")))))</x:f>
      </x:c>
      <x:c r="Q288" s="112" t="str">
        <x:f>IF(COUNTA($A288:$M288)=0,"",IF(OR($U288="Subscription",$U288=""),"",IF($U288="Profit",ROUND($P288-$H288,2),0)))</x:f>
      </x:c>
      <x:c r="R288" s="112" t="str">
        <x:f>IF(COUNTA($A288:$M288)=0,"",IF(OR($U288="Subscription",$U288=""),"",IF($U288="Draw",$H288,0)))</x:f>
      </x:c>
      <x:c r="S288" s="112" t="str">
        <x:f>IF(COUNTA($A288:$M288)=0,"",IF(OR($U288="Subscription",$U288=""),"",IF($U288="Disqualified",$H288,0)))</x:f>
      </x:c>
      <x:c r="T288" s="116" t="str">
        <x:f>IF(COUNTA($A288:$M288)=0,"",IF(OR($U288="Subscription",$U288=""),"",IF($H288=0,0,IF($U288="Profit",$Q288/$H288,IF($U288="Disqualified",-$S288/$H288,0)))))</x:f>
      </x:c>
      <x:c r="U288" s="290" t="str">
        <x:f>IF(COUNTA($A288:$M288)=0,"",IF(OR(LOWER($F288&amp;"")="subscription",LOWER($F288&amp;"")="membership"),"Subscription",IF(LOWER($L288&amp;"")="yes","Disqualified",IF(OR(LOWER($F288&amp;"")="free game",LOWER($F288&amp;"")="free"),IF(AND(ISNUMBER($P288),ISNUMBER($H288),$P288&gt;$H288),"Profit","Free Game"),IF($P288="","",IF(ROUND(IFERROR(VALUE($P288),0)-IFERROR(VALUE($H288),0),2)&gt;0,"Profit","Draw"))))))</x:f>
      </x:c>
      <x:c r="V288" s="144" t="str">
        <x:f>IF(COUNTA($A288:$M288)=0,"",IF(OR($B288="",$C288="",$U288="Subscription"),"",IFERROR(ROUNDUP(($C288-$B288)/7,0),"")))</x:f>
      </x:c>
      <x:c r="W288" s="112" t="str">
        <x:f>IF(COUNTA($A288:$M288)=0,"",IF(OR($U288="Subscription",$U288=""),"",ROUND(IFERROR($Q288,0)-IFERROR($S288,0),2)))</x:f>
      </x:c>
      <x:c r="X288" s="144" t="str">
        <x:f>IF(COUNTA($A288:$M288)=0,"",IF(OR($U288="Subscription",$U288="Free Game",NOT(ISNUMBER($J288)),NOT(ISNUMBER($I288)),$J288=0,$I288=0,$I288&gt;$J288),"",$J288-$I288))</x:f>
      </x:c>
      <x:c r="Y288" s="116" t="str">
        <x:f>IF(COUNTA($A288:$M288)=0,"",IF(OR($U288="Subscription",$U288="Free Game",NOT(ISNUMBER($J288)),$J288=0,$X288=""),"",$X288/$J288))</x:f>
      </x:c>
      <x:c r="Z288" s="118" t="str">
        <x:f>IF(COUNTA($A288:$M288)=0,"",Instructions!$B$29+SUM($W$5:W288))</x:f>
      </x:c>
    </x:row>
    <x:row r="289" ht="30" customHeight="1">
      <x:c r="A289" s="477"/>
      <x:c r="B289" s="482"/>
      <x:c r="C289" s="482"/>
      <x:c r="D289" s="483"/>
      <x:c r="E289" s="483"/>
      <x:c r="F289" s="483"/>
      <x:c r="G289" s="484"/>
      <x:c r="H289" s="484"/>
      <x:c r="I289" s="485"/>
      <x:c r="J289" s="485"/>
      <x:c r="K289" s="484"/>
      <x:c r="L289" s="483"/>
      <x:c r="M289" s="477"/>
      <x:c r="N289" s="112" t="str">
        <x:f>IF(COUNTA($A289:$M289)=0,"",IF(OR(LOWER($F289&amp;"")="subscription",LOWER($F289&amp;"")="membership"),"",IF($G289="","",IF(ISNUMBER(SEARCH("non",LOWER($E289&amp;""))),$G289*0.85,$G289))))</x:f>
      </x:c>
      <x:c r="O289" s="112" t="str">
        <x:f>IF(COUNTA($A289:$M289)=0,"",IF(OR(LOWER($F289&amp;"")="subscription",LOWER($F289&amp;"")="membership"),"",IF(OR($N289="",$I289="",$I289=0),"",IFERROR($N289/$I289,""))))</x:f>
      </x:c>
      <x:c r="P289" s="112" t="str">
        <x:f>IF(COUNTA($A289:$M289)=0,"",IF(OR(LOWER($F289&amp;"")="subscription",LOWER($F289&amp;"")="membership"),"",IF(LOWER($L289&amp;"")="yes",0,IF($K289&lt;&gt;"",$K289,IF($O289&lt;&gt;"",$O289,"")))))</x:f>
      </x:c>
      <x:c r="Q289" s="112" t="str">
        <x:f>IF(COUNTA($A289:$M289)=0,"",IF(OR($U289="Subscription",$U289=""),"",IF($U289="Profit",ROUND($P289-$H289,2),0)))</x:f>
      </x:c>
      <x:c r="R289" s="112" t="str">
        <x:f>IF(COUNTA($A289:$M289)=0,"",IF(OR($U289="Subscription",$U289=""),"",IF($U289="Draw",$H289,0)))</x:f>
      </x:c>
      <x:c r="S289" s="112" t="str">
        <x:f>IF(COUNTA($A289:$M289)=0,"",IF(OR($U289="Subscription",$U289=""),"",IF($U289="Disqualified",$H289,0)))</x:f>
      </x:c>
      <x:c r="T289" s="116" t="str">
        <x:f>IF(COUNTA($A289:$M289)=0,"",IF(OR($U289="Subscription",$U289=""),"",IF($H289=0,0,IF($U289="Profit",$Q289/$H289,IF($U289="Disqualified",-$S289/$H289,0)))))</x:f>
      </x:c>
      <x:c r="U289" s="290" t="str">
        <x:f>IF(COUNTA($A289:$M289)=0,"",IF(OR(LOWER($F289&amp;"")="subscription",LOWER($F289&amp;"")="membership"),"Subscription",IF(LOWER($L289&amp;"")="yes","Disqualified",IF(OR(LOWER($F289&amp;"")="free game",LOWER($F289&amp;"")="free"),IF(AND(ISNUMBER($P289),ISNUMBER($H289),$P289&gt;$H289),"Profit","Free Game"),IF($P289="","",IF(ROUND(IFERROR(VALUE($P289),0)-IFERROR(VALUE($H289),0),2)&gt;0,"Profit","Draw"))))))</x:f>
      </x:c>
      <x:c r="V289" s="144" t="str">
        <x:f>IF(COUNTA($A289:$M289)=0,"",IF(OR($B289="",$C289="",$U289="Subscription"),"",IFERROR(ROUNDUP(($C289-$B289)/7,0),"")))</x:f>
      </x:c>
      <x:c r="W289" s="112" t="str">
        <x:f>IF(COUNTA($A289:$M289)=0,"",IF(OR($U289="Subscription",$U289=""),"",ROUND(IFERROR($Q289,0)-IFERROR($S289,0),2)))</x:f>
      </x:c>
      <x:c r="X289" s="144" t="str">
        <x:f>IF(COUNTA($A289:$M289)=0,"",IF(OR($U289="Subscription",$U289="Free Game",NOT(ISNUMBER($J289)),NOT(ISNUMBER($I289)),$J289=0,$I289=0,$I289&gt;$J289),"",$J289-$I289))</x:f>
      </x:c>
      <x:c r="Y289" s="116" t="str">
        <x:f>IF(COUNTA($A289:$M289)=0,"",IF(OR($U289="Subscription",$U289="Free Game",NOT(ISNUMBER($J289)),$J289=0,$X289=""),"",$X289/$J289))</x:f>
      </x:c>
      <x:c r="Z289" s="118" t="str">
        <x:f>IF(COUNTA($A289:$M289)=0,"",Instructions!$B$29+SUM($W$5:W289))</x:f>
      </x:c>
    </x:row>
    <x:row r="290" ht="30" customHeight="1">
      <x:c r="A290" s="477"/>
      <x:c r="B290" s="482"/>
      <x:c r="C290" s="482"/>
      <x:c r="D290" s="483"/>
      <x:c r="E290" s="483"/>
      <x:c r="F290" s="483"/>
      <x:c r="G290" s="484"/>
      <x:c r="H290" s="484"/>
      <x:c r="I290" s="485"/>
      <x:c r="J290" s="485"/>
      <x:c r="K290" s="484"/>
      <x:c r="L290" s="483"/>
      <x:c r="M290" s="477"/>
      <x:c r="N290" s="112" t="str">
        <x:f>IF(COUNTA($A290:$M290)=0,"",IF(OR(LOWER($F290&amp;"")="subscription",LOWER($F290&amp;"")="membership"),"",IF($G290="","",IF(ISNUMBER(SEARCH("non",LOWER($E290&amp;""))),$G290*0.85,$G290))))</x:f>
      </x:c>
      <x:c r="O290" s="112" t="str">
        <x:f>IF(COUNTA($A290:$M290)=0,"",IF(OR(LOWER($F290&amp;"")="subscription",LOWER($F290&amp;"")="membership"),"",IF(OR($N290="",$I290="",$I290=0),"",IFERROR($N290/$I290,""))))</x:f>
      </x:c>
      <x:c r="P290" s="112" t="str">
        <x:f>IF(COUNTA($A290:$M290)=0,"",IF(OR(LOWER($F290&amp;"")="subscription",LOWER($F290&amp;"")="membership"),"",IF(LOWER($L290&amp;"")="yes",0,IF($K290&lt;&gt;"",$K290,IF($O290&lt;&gt;"",$O290,"")))))</x:f>
      </x:c>
      <x:c r="Q290" s="112" t="str">
        <x:f>IF(COUNTA($A290:$M290)=0,"",IF(OR($U290="Subscription",$U290=""),"",IF($U290="Profit",ROUND($P290-$H290,2),0)))</x:f>
      </x:c>
      <x:c r="R290" s="112" t="str">
        <x:f>IF(COUNTA($A290:$M290)=0,"",IF(OR($U290="Subscription",$U290=""),"",IF($U290="Draw",$H290,0)))</x:f>
      </x:c>
      <x:c r="S290" s="112" t="str">
        <x:f>IF(COUNTA($A290:$M290)=0,"",IF(OR($U290="Subscription",$U290=""),"",IF($U290="Disqualified",$H290,0)))</x:f>
      </x:c>
      <x:c r="T290" s="116" t="str">
        <x:f>IF(COUNTA($A290:$M290)=0,"",IF(OR($U290="Subscription",$U290=""),"",IF($H290=0,0,IF($U290="Profit",$Q290/$H290,IF($U290="Disqualified",-$S290/$H290,0)))))</x:f>
      </x:c>
      <x:c r="U290" s="290" t="str">
        <x:f>IF(COUNTA($A290:$M290)=0,"",IF(OR(LOWER($F290&amp;"")="subscription",LOWER($F290&amp;"")="membership"),"Subscription",IF(LOWER($L290&amp;"")="yes","Disqualified",IF(OR(LOWER($F290&amp;"")="free game",LOWER($F290&amp;"")="free"),IF(AND(ISNUMBER($P290),ISNUMBER($H290),$P290&gt;$H290),"Profit","Free Game"),IF($P290="","",IF(ROUND(IFERROR(VALUE($P290),0)-IFERROR(VALUE($H290),0),2)&gt;0,"Profit","Draw"))))))</x:f>
      </x:c>
      <x:c r="V290" s="144" t="str">
        <x:f>IF(COUNTA($A290:$M290)=0,"",IF(OR($B290="",$C290="",$U290="Subscription"),"",IFERROR(ROUNDUP(($C290-$B290)/7,0),"")))</x:f>
      </x:c>
      <x:c r="W290" s="112" t="str">
        <x:f>IF(COUNTA($A290:$M290)=0,"",IF(OR($U290="Subscription",$U290=""),"",ROUND(IFERROR($Q290,0)-IFERROR($S290,0),2)))</x:f>
      </x:c>
      <x:c r="X290" s="144" t="str">
        <x:f>IF(COUNTA($A290:$M290)=0,"",IF(OR($U290="Subscription",$U290="Free Game",NOT(ISNUMBER($J290)),NOT(ISNUMBER($I290)),$J290=0,$I290=0,$I290&gt;$J290),"",$J290-$I290))</x:f>
      </x:c>
      <x:c r="Y290" s="116" t="str">
        <x:f>IF(COUNTA($A290:$M290)=0,"",IF(OR($U290="Subscription",$U290="Free Game",NOT(ISNUMBER($J290)),$J290=0,$X290=""),"",$X290/$J290))</x:f>
      </x:c>
      <x:c r="Z290" s="118" t="str">
        <x:f>IF(COUNTA($A290:$M290)=0,"",Instructions!$B$29+SUM($W$5:W290))</x:f>
      </x:c>
    </x:row>
    <x:row r="291" ht="30" customHeight="1">
      <x:c r="A291" s="477"/>
      <x:c r="B291" s="482"/>
      <x:c r="C291" s="482"/>
      <x:c r="D291" s="483"/>
      <x:c r="E291" s="483"/>
      <x:c r="F291" s="483"/>
      <x:c r="G291" s="484"/>
      <x:c r="H291" s="484"/>
      <x:c r="I291" s="485"/>
      <x:c r="J291" s="485"/>
      <x:c r="K291" s="484"/>
      <x:c r="L291" s="483"/>
      <x:c r="M291" s="477"/>
      <x:c r="N291" s="112" t="str">
        <x:f>IF(COUNTA($A291:$M291)=0,"",IF(OR(LOWER($F291&amp;"")="subscription",LOWER($F291&amp;"")="membership"),"",IF($G291="","",IF(ISNUMBER(SEARCH("non",LOWER($E291&amp;""))),$G291*0.85,$G291))))</x:f>
      </x:c>
      <x:c r="O291" s="112" t="str">
        <x:f>IF(COUNTA($A291:$M291)=0,"",IF(OR(LOWER($F291&amp;"")="subscription",LOWER($F291&amp;"")="membership"),"",IF(OR($N291="",$I291="",$I291=0),"",IFERROR($N291/$I291,""))))</x:f>
      </x:c>
      <x:c r="P291" s="112" t="str">
        <x:f>IF(COUNTA($A291:$M291)=0,"",IF(OR(LOWER($F291&amp;"")="subscription",LOWER($F291&amp;"")="membership"),"",IF(LOWER($L291&amp;"")="yes",0,IF($K291&lt;&gt;"",$K291,IF($O291&lt;&gt;"",$O291,"")))))</x:f>
      </x:c>
      <x:c r="Q291" s="112" t="str">
        <x:f>IF(COUNTA($A291:$M291)=0,"",IF(OR($U291="Subscription",$U291=""),"",IF($U291="Profit",ROUND($P291-$H291,2),0)))</x:f>
      </x:c>
      <x:c r="R291" s="112" t="str">
        <x:f>IF(COUNTA($A291:$M291)=0,"",IF(OR($U291="Subscription",$U291=""),"",IF($U291="Draw",$H291,0)))</x:f>
      </x:c>
      <x:c r="S291" s="112" t="str">
        <x:f>IF(COUNTA($A291:$M291)=0,"",IF(OR($U291="Subscription",$U291=""),"",IF($U291="Disqualified",$H291,0)))</x:f>
      </x:c>
      <x:c r="T291" s="116" t="str">
        <x:f>IF(COUNTA($A291:$M291)=0,"",IF(OR($U291="Subscription",$U291=""),"",IF($H291=0,0,IF($U291="Profit",$Q291/$H291,IF($U291="Disqualified",-$S291/$H291,0)))))</x:f>
      </x:c>
      <x:c r="U291" s="290" t="str">
        <x:f>IF(COUNTA($A291:$M291)=0,"",IF(OR(LOWER($F291&amp;"")="subscription",LOWER($F291&amp;"")="membership"),"Subscription",IF(LOWER($L291&amp;"")="yes","Disqualified",IF(OR(LOWER($F291&amp;"")="free game",LOWER($F291&amp;"")="free"),IF(AND(ISNUMBER($P291),ISNUMBER($H291),$P291&gt;$H291),"Profit","Free Game"),IF($P291="","",IF(ROUND(IFERROR(VALUE($P291),0)-IFERROR(VALUE($H291),0),2)&gt;0,"Profit","Draw"))))))</x:f>
      </x:c>
      <x:c r="V291" s="144" t="str">
        <x:f>IF(COUNTA($A291:$M291)=0,"",IF(OR($B291="",$C291="",$U291="Subscription"),"",IFERROR(ROUNDUP(($C291-$B291)/7,0),"")))</x:f>
      </x:c>
      <x:c r="W291" s="112" t="str">
        <x:f>IF(COUNTA($A291:$M291)=0,"",IF(OR($U291="Subscription",$U291=""),"",ROUND(IFERROR($Q291,0)-IFERROR($S291,0),2)))</x:f>
      </x:c>
      <x:c r="X291" s="144" t="str">
        <x:f>IF(COUNTA($A291:$M291)=0,"",IF(OR($U291="Subscription",$U291="Free Game",NOT(ISNUMBER($J291)),NOT(ISNUMBER($I291)),$J291=0,$I291=0,$I291&gt;$J291),"",$J291-$I291))</x:f>
      </x:c>
      <x:c r="Y291" s="116" t="str">
        <x:f>IF(COUNTA($A291:$M291)=0,"",IF(OR($U291="Subscription",$U291="Free Game",NOT(ISNUMBER($J291)),$J291=0,$X291=""),"",$X291/$J291))</x:f>
      </x:c>
      <x:c r="Z291" s="118" t="str">
        <x:f>IF(COUNTA($A291:$M291)=0,"",Instructions!$B$29+SUM($W$5:W291))</x:f>
      </x:c>
    </x:row>
    <x:row r="292" ht="30" customHeight="1">
      <x:c r="A292" s="477"/>
      <x:c r="B292" s="482"/>
      <x:c r="C292" s="482"/>
      <x:c r="D292" s="483"/>
      <x:c r="E292" s="483"/>
      <x:c r="F292" s="483"/>
      <x:c r="G292" s="484"/>
      <x:c r="H292" s="484"/>
      <x:c r="I292" s="485"/>
      <x:c r="J292" s="485"/>
      <x:c r="K292" s="484"/>
      <x:c r="L292" s="483"/>
      <x:c r="M292" s="477"/>
      <x:c r="N292" s="112" t="str">
        <x:f>IF(COUNTA($A292:$M292)=0,"",IF(OR(LOWER($F292&amp;"")="subscription",LOWER($F292&amp;"")="membership"),"",IF($G292="","",IF(ISNUMBER(SEARCH("non",LOWER($E292&amp;""))),$G292*0.85,$G292))))</x:f>
      </x:c>
      <x:c r="O292" s="112" t="str">
        <x:f>IF(COUNTA($A292:$M292)=0,"",IF(OR(LOWER($F292&amp;"")="subscription",LOWER($F292&amp;"")="membership"),"",IF(OR($N292="",$I292="",$I292=0),"",IFERROR($N292/$I292,""))))</x:f>
      </x:c>
      <x:c r="P292" s="112" t="str">
        <x:f>IF(COUNTA($A292:$M292)=0,"",IF(OR(LOWER($F292&amp;"")="subscription",LOWER($F292&amp;"")="membership"),"",IF(LOWER($L292&amp;"")="yes",0,IF($K292&lt;&gt;"",$K292,IF($O292&lt;&gt;"",$O292,"")))))</x:f>
      </x:c>
      <x:c r="Q292" s="112" t="str">
        <x:f>IF(COUNTA($A292:$M292)=0,"",IF(OR($U292="Subscription",$U292=""),"",IF($U292="Profit",ROUND($P292-$H292,2),0)))</x:f>
      </x:c>
      <x:c r="R292" s="112" t="str">
        <x:f>IF(COUNTA($A292:$M292)=0,"",IF(OR($U292="Subscription",$U292=""),"",IF($U292="Draw",$H292,0)))</x:f>
      </x:c>
      <x:c r="S292" s="112" t="str">
        <x:f>IF(COUNTA($A292:$M292)=0,"",IF(OR($U292="Subscription",$U292=""),"",IF($U292="Disqualified",$H292,0)))</x:f>
      </x:c>
      <x:c r="T292" s="116" t="str">
        <x:f>IF(COUNTA($A292:$M292)=0,"",IF(OR($U292="Subscription",$U292=""),"",IF($H292=0,0,IF($U292="Profit",$Q292/$H292,IF($U292="Disqualified",-$S292/$H292,0)))))</x:f>
      </x:c>
      <x:c r="U292" s="290" t="str">
        <x:f>IF(COUNTA($A292:$M292)=0,"",IF(OR(LOWER($F292&amp;"")="subscription",LOWER($F292&amp;"")="membership"),"Subscription",IF(LOWER($L292&amp;"")="yes","Disqualified",IF(OR(LOWER($F292&amp;"")="free game",LOWER($F292&amp;"")="free"),IF(AND(ISNUMBER($P292),ISNUMBER($H292),$P292&gt;$H292),"Profit","Free Game"),IF($P292="","",IF(ROUND(IFERROR(VALUE($P292),0)-IFERROR(VALUE($H292),0),2)&gt;0,"Profit","Draw"))))))</x:f>
      </x:c>
      <x:c r="V292" s="144" t="str">
        <x:f>IF(COUNTA($A292:$M292)=0,"",IF(OR($B292="",$C292="",$U292="Subscription"),"",IFERROR(ROUNDUP(($C292-$B292)/7,0),"")))</x:f>
      </x:c>
      <x:c r="W292" s="112" t="str">
        <x:f>IF(COUNTA($A292:$M292)=0,"",IF(OR($U292="Subscription",$U292=""),"",ROUND(IFERROR($Q292,0)-IFERROR($S292,0),2)))</x:f>
      </x:c>
      <x:c r="X292" s="144" t="str">
        <x:f>IF(COUNTA($A292:$M292)=0,"",IF(OR($U292="Subscription",$U292="Free Game",NOT(ISNUMBER($J292)),NOT(ISNUMBER($I292)),$J292=0,$I292=0,$I292&gt;$J292),"",$J292-$I292))</x:f>
      </x:c>
      <x:c r="Y292" s="116" t="str">
        <x:f>IF(COUNTA($A292:$M292)=0,"",IF(OR($U292="Subscription",$U292="Free Game",NOT(ISNUMBER($J292)),$J292=0,$X292=""),"",$X292/$J292))</x:f>
      </x:c>
      <x:c r="Z292" s="118" t="str">
        <x:f>IF(COUNTA($A292:$M292)=0,"",Instructions!$B$29+SUM($W$5:W292))</x:f>
      </x:c>
    </x:row>
    <x:row r="293" ht="30" customHeight="1">
      <x:c r="A293" s="477"/>
      <x:c r="B293" s="482"/>
      <x:c r="C293" s="482"/>
      <x:c r="D293" s="483"/>
      <x:c r="E293" s="483"/>
      <x:c r="F293" s="483"/>
      <x:c r="G293" s="484"/>
      <x:c r="H293" s="484"/>
      <x:c r="I293" s="485"/>
      <x:c r="J293" s="485"/>
      <x:c r="K293" s="484"/>
      <x:c r="L293" s="483"/>
      <x:c r="M293" s="477"/>
      <x:c r="N293" s="112" t="str">
        <x:f>IF(COUNTA($A293:$M293)=0,"",IF(OR(LOWER($F293&amp;"")="subscription",LOWER($F293&amp;"")="membership"),"",IF($G293="","",IF(ISNUMBER(SEARCH("non",LOWER($E293&amp;""))),$G293*0.85,$G293))))</x:f>
      </x:c>
      <x:c r="O293" s="112" t="str">
        <x:f>IF(COUNTA($A293:$M293)=0,"",IF(OR(LOWER($F293&amp;"")="subscription",LOWER($F293&amp;"")="membership"),"",IF(OR($N293="",$I293="",$I293=0),"",IFERROR($N293/$I293,""))))</x:f>
      </x:c>
      <x:c r="P293" s="112" t="str">
        <x:f>IF(COUNTA($A293:$M293)=0,"",IF(OR(LOWER($F293&amp;"")="subscription",LOWER($F293&amp;"")="membership"),"",IF(LOWER($L293&amp;"")="yes",0,IF($K293&lt;&gt;"",$K293,IF($O293&lt;&gt;"",$O293,"")))))</x:f>
      </x:c>
      <x:c r="Q293" s="112" t="str">
        <x:f>IF(COUNTA($A293:$M293)=0,"",IF(OR($U293="Subscription",$U293=""),"",IF($U293="Profit",ROUND($P293-$H293,2),0)))</x:f>
      </x:c>
      <x:c r="R293" s="112" t="str">
        <x:f>IF(COUNTA($A293:$M293)=0,"",IF(OR($U293="Subscription",$U293=""),"",IF($U293="Draw",$H293,0)))</x:f>
      </x:c>
      <x:c r="S293" s="112" t="str">
        <x:f>IF(COUNTA($A293:$M293)=0,"",IF(OR($U293="Subscription",$U293=""),"",IF($U293="Disqualified",$H293,0)))</x:f>
      </x:c>
      <x:c r="T293" s="116" t="str">
        <x:f>IF(COUNTA($A293:$M293)=0,"",IF(OR($U293="Subscription",$U293=""),"",IF($H293=0,0,IF($U293="Profit",$Q293/$H293,IF($U293="Disqualified",-$S293/$H293,0)))))</x:f>
      </x:c>
      <x:c r="U293" s="290" t="str">
        <x:f>IF(COUNTA($A293:$M293)=0,"",IF(OR(LOWER($F293&amp;"")="subscription",LOWER($F293&amp;"")="membership"),"Subscription",IF(LOWER($L293&amp;"")="yes","Disqualified",IF(OR(LOWER($F293&amp;"")="free game",LOWER($F293&amp;"")="free"),IF(AND(ISNUMBER($P293),ISNUMBER($H293),$P293&gt;$H293),"Profit","Free Game"),IF($P293="","",IF(ROUND(IFERROR(VALUE($P293),0)-IFERROR(VALUE($H293),0),2)&gt;0,"Profit","Draw"))))))</x:f>
      </x:c>
      <x:c r="V293" s="144" t="str">
        <x:f>IF(COUNTA($A293:$M293)=0,"",IF(OR($B293="",$C293="",$U293="Subscription"),"",IFERROR(ROUNDUP(($C293-$B293)/7,0),"")))</x:f>
      </x:c>
      <x:c r="W293" s="112" t="str">
        <x:f>IF(COUNTA($A293:$M293)=0,"",IF(OR($U293="Subscription",$U293=""),"",ROUND(IFERROR($Q293,0)-IFERROR($S293,0),2)))</x:f>
      </x:c>
      <x:c r="X293" s="144" t="str">
        <x:f>IF(COUNTA($A293:$M293)=0,"",IF(OR($U293="Subscription",$U293="Free Game",NOT(ISNUMBER($J293)),NOT(ISNUMBER($I293)),$J293=0,$I293=0,$I293&gt;$J293),"",$J293-$I293))</x:f>
      </x:c>
      <x:c r="Y293" s="116" t="str">
        <x:f>IF(COUNTA($A293:$M293)=0,"",IF(OR($U293="Subscription",$U293="Free Game",NOT(ISNUMBER($J293)),$J293=0,$X293=""),"",$X293/$J293))</x:f>
      </x:c>
      <x:c r="Z293" s="118" t="str">
        <x:f>IF(COUNTA($A293:$M293)=0,"",Instructions!$B$29+SUM($W$5:W293))</x:f>
      </x:c>
    </x:row>
    <x:row r="294" ht="30" customHeight="1">
      <x:c r="A294" s="477"/>
      <x:c r="B294" s="482"/>
      <x:c r="C294" s="482"/>
      <x:c r="D294" s="483"/>
      <x:c r="E294" s="483"/>
      <x:c r="F294" s="483"/>
      <x:c r="G294" s="484"/>
      <x:c r="H294" s="484"/>
      <x:c r="I294" s="485"/>
      <x:c r="J294" s="485"/>
      <x:c r="K294" s="484"/>
      <x:c r="L294" s="483"/>
      <x:c r="M294" s="477"/>
      <x:c r="N294" s="112" t="str">
        <x:f>IF(COUNTA($A294:$M294)=0,"",IF(OR(LOWER($F294&amp;"")="subscription",LOWER($F294&amp;"")="membership"),"",IF($G294="","",IF(ISNUMBER(SEARCH("non",LOWER($E294&amp;""))),$G294*0.85,$G294))))</x:f>
      </x:c>
      <x:c r="O294" s="112" t="str">
        <x:f>IF(COUNTA($A294:$M294)=0,"",IF(OR(LOWER($F294&amp;"")="subscription",LOWER($F294&amp;"")="membership"),"",IF(OR($N294="",$I294="",$I294=0),"",IFERROR($N294/$I294,""))))</x:f>
      </x:c>
      <x:c r="P294" s="112" t="str">
        <x:f>IF(COUNTA($A294:$M294)=0,"",IF(OR(LOWER($F294&amp;"")="subscription",LOWER($F294&amp;"")="membership"),"",IF(LOWER($L294&amp;"")="yes",0,IF($K294&lt;&gt;"",$K294,IF($O294&lt;&gt;"",$O294,"")))))</x:f>
      </x:c>
      <x:c r="Q294" s="112" t="str">
        <x:f>IF(COUNTA($A294:$M294)=0,"",IF(OR($U294="Subscription",$U294=""),"",IF($U294="Profit",ROUND($P294-$H294,2),0)))</x:f>
      </x:c>
      <x:c r="R294" s="112" t="str">
        <x:f>IF(COUNTA($A294:$M294)=0,"",IF(OR($U294="Subscription",$U294=""),"",IF($U294="Draw",$H294,0)))</x:f>
      </x:c>
      <x:c r="S294" s="112" t="str">
        <x:f>IF(COUNTA($A294:$M294)=0,"",IF(OR($U294="Subscription",$U294=""),"",IF($U294="Disqualified",$H294,0)))</x:f>
      </x:c>
      <x:c r="T294" s="116" t="str">
        <x:f>IF(COUNTA($A294:$M294)=0,"",IF(OR($U294="Subscription",$U294=""),"",IF($H294=0,0,IF($U294="Profit",$Q294/$H294,IF($U294="Disqualified",-$S294/$H294,0)))))</x:f>
      </x:c>
      <x:c r="U294" s="290" t="str">
        <x:f>IF(COUNTA($A294:$M294)=0,"",IF(OR(LOWER($F294&amp;"")="subscription",LOWER($F294&amp;"")="membership"),"Subscription",IF(LOWER($L294&amp;"")="yes","Disqualified",IF(OR(LOWER($F294&amp;"")="free game",LOWER($F294&amp;"")="free"),IF(AND(ISNUMBER($P294),ISNUMBER($H294),$P294&gt;$H294),"Profit","Free Game"),IF($P294="","",IF(ROUND(IFERROR(VALUE($P294),0)-IFERROR(VALUE($H294),0),2)&gt;0,"Profit","Draw"))))))</x:f>
      </x:c>
      <x:c r="V294" s="144" t="str">
        <x:f>IF(COUNTA($A294:$M294)=0,"",IF(OR($B294="",$C294="",$U294="Subscription"),"",IFERROR(ROUNDUP(($C294-$B294)/7,0),"")))</x:f>
      </x:c>
      <x:c r="W294" s="112" t="str">
        <x:f>IF(COUNTA($A294:$M294)=0,"",IF(OR($U294="Subscription",$U294=""),"",ROUND(IFERROR($Q294,0)-IFERROR($S294,0),2)))</x:f>
      </x:c>
      <x:c r="X294" s="144" t="str">
        <x:f>IF(COUNTA($A294:$M294)=0,"",IF(OR($U294="Subscription",$U294="Free Game",NOT(ISNUMBER($J294)),NOT(ISNUMBER($I294)),$J294=0,$I294=0,$I294&gt;$J294),"",$J294-$I294))</x:f>
      </x:c>
      <x:c r="Y294" s="116" t="str">
        <x:f>IF(COUNTA($A294:$M294)=0,"",IF(OR($U294="Subscription",$U294="Free Game",NOT(ISNUMBER($J294)),$J294=0,$X294=""),"",$X294/$J294))</x:f>
      </x:c>
      <x:c r="Z294" s="118" t="str">
        <x:f>IF(COUNTA($A294:$M294)=0,"",Instructions!$B$29+SUM($W$5:W294))</x:f>
      </x:c>
    </x:row>
    <x:row r="295" ht="30" customHeight="1">
      <x:c r="A295" s="477"/>
      <x:c r="B295" s="482"/>
      <x:c r="C295" s="482"/>
      <x:c r="D295" s="483"/>
      <x:c r="E295" s="483"/>
      <x:c r="F295" s="483"/>
      <x:c r="G295" s="484"/>
      <x:c r="H295" s="484"/>
      <x:c r="I295" s="485"/>
      <x:c r="J295" s="485"/>
      <x:c r="K295" s="484"/>
      <x:c r="L295" s="483"/>
      <x:c r="M295" s="477"/>
      <x:c r="N295" s="112" t="str">
        <x:f>IF(COUNTA($A295:$M295)=0,"",IF(OR(LOWER($F295&amp;"")="subscription",LOWER($F295&amp;"")="membership"),"",IF($G295="","",IF(ISNUMBER(SEARCH("non",LOWER($E295&amp;""))),$G295*0.85,$G295))))</x:f>
      </x:c>
      <x:c r="O295" s="112" t="str">
        <x:f>IF(COUNTA($A295:$M295)=0,"",IF(OR(LOWER($F295&amp;"")="subscription",LOWER($F295&amp;"")="membership"),"",IF(OR($N295="",$I295="",$I295=0),"",IFERROR($N295/$I295,""))))</x:f>
      </x:c>
      <x:c r="P295" s="112" t="str">
        <x:f>IF(COUNTA($A295:$M295)=0,"",IF(OR(LOWER($F295&amp;"")="subscription",LOWER($F295&amp;"")="membership"),"",IF(LOWER($L295&amp;"")="yes",0,IF($K295&lt;&gt;"",$K295,IF($O295&lt;&gt;"",$O295,"")))))</x:f>
      </x:c>
      <x:c r="Q295" s="112" t="str">
        <x:f>IF(COUNTA($A295:$M295)=0,"",IF(OR($U295="Subscription",$U295=""),"",IF($U295="Profit",ROUND($P295-$H295,2),0)))</x:f>
      </x:c>
      <x:c r="R295" s="112" t="str">
        <x:f>IF(COUNTA($A295:$M295)=0,"",IF(OR($U295="Subscription",$U295=""),"",IF($U295="Draw",$H295,0)))</x:f>
      </x:c>
      <x:c r="S295" s="112" t="str">
        <x:f>IF(COUNTA($A295:$M295)=0,"",IF(OR($U295="Subscription",$U295=""),"",IF($U295="Disqualified",$H295,0)))</x:f>
      </x:c>
      <x:c r="T295" s="116" t="str">
        <x:f>IF(COUNTA($A295:$M295)=0,"",IF(OR($U295="Subscription",$U295=""),"",IF($H295=0,0,IF($U295="Profit",$Q295/$H295,IF($U295="Disqualified",-$S295/$H295,0)))))</x:f>
      </x:c>
      <x:c r="U295" s="290" t="str">
        <x:f>IF(COUNTA($A295:$M295)=0,"",IF(OR(LOWER($F295&amp;"")="subscription",LOWER($F295&amp;"")="membership"),"Subscription",IF(LOWER($L295&amp;"")="yes","Disqualified",IF(OR(LOWER($F295&amp;"")="free game",LOWER($F295&amp;"")="free"),IF(AND(ISNUMBER($P295),ISNUMBER($H295),$P295&gt;$H295),"Profit","Free Game"),IF($P295="","",IF(ROUND(IFERROR(VALUE($P295),0)-IFERROR(VALUE($H295),0),2)&gt;0,"Profit","Draw"))))))</x:f>
      </x:c>
      <x:c r="V295" s="144" t="str">
        <x:f>IF(COUNTA($A295:$M295)=0,"",IF(OR($B295="",$C295="",$U295="Subscription"),"",IFERROR(ROUNDUP(($C295-$B295)/7,0),"")))</x:f>
      </x:c>
      <x:c r="W295" s="112" t="str">
        <x:f>IF(COUNTA($A295:$M295)=0,"",IF(OR($U295="Subscription",$U295=""),"",ROUND(IFERROR($Q295,0)-IFERROR($S295,0),2)))</x:f>
      </x:c>
      <x:c r="X295" s="144" t="str">
        <x:f>IF(COUNTA($A295:$M295)=0,"",IF(OR($U295="Subscription",$U295="Free Game",NOT(ISNUMBER($J295)),NOT(ISNUMBER($I295)),$J295=0,$I295=0,$I295&gt;$J295),"",$J295-$I295))</x:f>
      </x:c>
      <x:c r="Y295" s="116" t="str">
        <x:f>IF(COUNTA($A295:$M295)=0,"",IF(OR($U295="Subscription",$U295="Free Game",NOT(ISNUMBER($J295)),$J295=0,$X295=""),"",$X295/$J295))</x:f>
      </x:c>
      <x:c r="Z295" s="118" t="str">
        <x:f>IF(COUNTA($A295:$M295)=0,"",Instructions!$B$29+SUM($W$5:W295))</x:f>
      </x:c>
    </x:row>
    <x:row r="296" ht="30" customHeight="1">
      <x:c r="A296" s="477"/>
      <x:c r="B296" s="482"/>
      <x:c r="C296" s="482"/>
      <x:c r="D296" s="483"/>
      <x:c r="E296" s="483"/>
      <x:c r="F296" s="483"/>
      <x:c r="G296" s="484"/>
      <x:c r="H296" s="484"/>
      <x:c r="I296" s="485"/>
      <x:c r="J296" s="485"/>
      <x:c r="K296" s="484"/>
      <x:c r="L296" s="483"/>
      <x:c r="M296" s="477"/>
      <x:c r="N296" s="112" t="str">
        <x:f>IF(COUNTA($A296:$M296)=0,"",IF(OR(LOWER($F296&amp;"")="subscription",LOWER($F296&amp;"")="membership"),"",IF($G296="","",IF(ISNUMBER(SEARCH("non",LOWER($E296&amp;""))),$G296*0.85,$G296))))</x:f>
      </x:c>
      <x:c r="O296" s="112" t="str">
        <x:f>IF(COUNTA($A296:$M296)=0,"",IF(OR(LOWER($F296&amp;"")="subscription",LOWER($F296&amp;"")="membership"),"",IF(OR($N296="",$I296="",$I296=0),"",IFERROR($N296/$I296,""))))</x:f>
      </x:c>
      <x:c r="P296" s="112" t="str">
        <x:f>IF(COUNTA($A296:$M296)=0,"",IF(OR(LOWER($F296&amp;"")="subscription",LOWER($F296&amp;"")="membership"),"",IF(LOWER($L296&amp;"")="yes",0,IF($K296&lt;&gt;"",$K296,IF($O296&lt;&gt;"",$O296,"")))))</x:f>
      </x:c>
      <x:c r="Q296" s="112" t="str">
        <x:f>IF(COUNTA($A296:$M296)=0,"",IF(OR($U296="Subscription",$U296=""),"",IF($U296="Profit",ROUND($P296-$H296,2),0)))</x:f>
      </x:c>
      <x:c r="R296" s="112" t="str">
        <x:f>IF(COUNTA($A296:$M296)=0,"",IF(OR($U296="Subscription",$U296=""),"",IF($U296="Draw",$H296,0)))</x:f>
      </x:c>
      <x:c r="S296" s="112" t="str">
        <x:f>IF(COUNTA($A296:$M296)=0,"",IF(OR($U296="Subscription",$U296=""),"",IF($U296="Disqualified",$H296,0)))</x:f>
      </x:c>
      <x:c r="T296" s="116" t="str">
        <x:f>IF(COUNTA($A296:$M296)=0,"",IF(OR($U296="Subscription",$U296=""),"",IF($H296=0,0,IF($U296="Profit",$Q296/$H296,IF($U296="Disqualified",-$S296/$H296,0)))))</x:f>
      </x:c>
      <x:c r="U296" s="290" t="str">
        <x:f>IF(COUNTA($A296:$M296)=0,"",IF(OR(LOWER($F296&amp;"")="subscription",LOWER($F296&amp;"")="membership"),"Subscription",IF(LOWER($L296&amp;"")="yes","Disqualified",IF(OR(LOWER($F296&amp;"")="free game",LOWER($F296&amp;"")="free"),IF(AND(ISNUMBER($P296),ISNUMBER($H296),$P296&gt;$H296),"Profit","Free Game"),IF($P296="","",IF(ROUND(IFERROR(VALUE($P296),0)-IFERROR(VALUE($H296),0),2)&gt;0,"Profit","Draw"))))))</x:f>
      </x:c>
      <x:c r="V296" s="144" t="str">
        <x:f>IF(COUNTA($A296:$M296)=0,"",IF(OR($B296="",$C296="",$U296="Subscription"),"",IFERROR(ROUNDUP(($C296-$B296)/7,0),"")))</x:f>
      </x:c>
      <x:c r="W296" s="112" t="str">
        <x:f>IF(COUNTA($A296:$M296)=0,"",IF(OR($U296="Subscription",$U296=""),"",ROUND(IFERROR($Q296,0)-IFERROR($S296,0),2)))</x:f>
      </x:c>
      <x:c r="X296" s="144" t="str">
        <x:f>IF(COUNTA($A296:$M296)=0,"",IF(OR($U296="Subscription",$U296="Free Game",NOT(ISNUMBER($J296)),NOT(ISNUMBER($I296)),$J296=0,$I296=0,$I296&gt;$J296),"",$J296-$I296))</x:f>
      </x:c>
      <x:c r="Y296" s="116" t="str">
        <x:f>IF(COUNTA($A296:$M296)=0,"",IF(OR($U296="Subscription",$U296="Free Game",NOT(ISNUMBER($J296)),$J296=0,$X296=""),"",$X296/$J296))</x:f>
      </x:c>
      <x:c r="Z296" s="118" t="str">
        <x:f>IF(COUNTA($A296:$M296)=0,"",Instructions!$B$29+SUM($W$5:W296))</x:f>
      </x:c>
    </x:row>
    <x:row r="297" ht="30" customHeight="1">
      <x:c r="A297" s="477"/>
      <x:c r="B297" s="482"/>
      <x:c r="C297" s="482"/>
      <x:c r="D297" s="483"/>
      <x:c r="E297" s="483"/>
      <x:c r="F297" s="483"/>
      <x:c r="G297" s="484"/>
      <x:c r="H297" s="484"/>
      <x:c r="I297" s="485"/>
      <x:c r="J297" s="485"/>
      <x:c r="K297" s="484"/>
      <x:c r="L297" s="483"/>
      <x:c r="M297" s="477"/>
      <x:c r="N297" s="112" t="str">
        <x:f>IF(COUNTA($A297:$M297)=0,"",IF(OR(LOWER($F297&amp;"")="subscription",LOWER($F297&amp;"")="membership"),"",IF($G297="","",IF(ISNUMBER(SEARCH("non",LOWER($E297&amp;""))),$G297*0.85,$G297))))</x:f>
      </x:c>
      <x:c r="O297" s="112" t="str">
        <x:f>IF(COUNTA($A297:$M297)=0,"",IF(OR(LOWER($F297&amp;"")="subscription",LOWER($F297&amp;"")="membership"),"",IF(OR($N297="",$I297="",$I297=0),"",IFERROR($N297/$I297,""))))</x:f>
      </x:c>
      <x:c r="P297" s="112" t="str">
        <x:f>IF(COUNTA($A297:$M297)=0,"",IF(OR(LOWER($F297&amp;"")="subscription",LOWER($F297&amp;"")="membership"),"",IF(LOWER($L297&amp;"")="yes",0,IF($K297&lt;&gt;"",$K297,IF($O297&lt;&gt;"",$O297,"")))))</x:f>
      </x:c>
      <x:c r="Q297" s="112" t="str">
        <x:f>IF(COUNTA($A297:$M297)=0,"",IF(OR($U297="Subscription",$U297=""),"",IF($U297="Profit",ROUND($P297-$H297,2),0)))</x:f>
      </x:c>
      <x:c r="R297" s="112" t="str">
        <x:f>IF(COUNTA($A297:$M297)=0,"",IF(OR($U297="Subscription",$U297=""),"",IF($U297="Draw",$H297,0)))</x:f>
      </x:c>
      <x:c r="S297" s="112" t="str">
        <x:f>IF(COUNTA($A297:$M297)=0,"",IF(OR($U297="Subscription",$U297=""),"",IF($U297="Disqualified",$H297,0)))</x:f>
      </x:c>
      <x:c r="T297" s="116" t="str">
        <x:f>IF(COUNTA($A297:$M297)=0,"",IF(OR($U297="Subscription",$U297=""),"",IF($H297=0,0,IF($U297="Profit",$Q297/$H297,IF($U297="Disqualified",-$S297/$H297,0)))))</x:f>
      </x:c>
      <x:c r="U297" s="290" t="str">
        <x:f>IF(COUNTA($A297:$M297)=0,"",IF(OR(LOWER($F297&amp;"")="subscription",LOWER($F297&amp;"")="membership"),"Subscription",IF(LOWER($L297&amp;"")="yes","Disqualified",IF(OR(LOWER($F297&amp;"")="free game",LOWER($F297&amp;"")="free"),IF(AND(ISNUMBER($P297),ISNUMBER($H297),$P297&gt;$H297),"Profit","Free Game"),IF($P297="","",IF(ROUND(IFERROR(VALUE($P297),0)-IFERROR(VALUE($H297),0),2)&gt;0,"Profit","Draw"))))))</x:f>
      </x:c>
      <x:c r="V297" s="144" t="str">
        <x:f>IF(COUNTA($A297:$M297)=0,"",IF(OR($B297="",$C297="",$U297="Subscription"),"",IFERROR(ROUNDUP(($C297-$B297)/7,0),"")))</x:f>
      </x:c>
      <x:c r="W297" s="112" t="str">
        <x:f>IF(COUNTA($A297:$M297)=0,"",IF(OR($U297="Subscription",$U297=""),"",ROUND(IFERROR($Q297,0)-IFERROR($S297,0),2)))</x:f>
      </x:c>
      <x:c r="X297" s="144" t="str">
        <x:f>IF(COUNTA($A297:$M297)=0,"",IF(OR($U297="Subscription",$U297="Free Game",NOT(ISNUMBER($J297)),NOT(ISNUMBER($I297)),$J297=0,$I297=0,$I297&gt;$J297),"",$J297-$I297))</x:f>
      </x:c>
      <x:c r="Y297" s="116" t="str">
        <x:f>IF(COUNTA($A297:$M297)=0,"",IF(OR($U297="Subscription",$U297="Free Game",NOT(ISNUMBER($J297)),$J297=0,$X297=""),"",$X297/$J297))</x:f>
      </x:c>
      <x:c r="Z297" s="118" t="str">
        <x:f>IF(COUNTA($A297:$M297)=0,"",Instructions!$B$29+SUM($W$5:W297))</x:f>
      </x:c>
    </x:row>
    <x:row r="298" ht="30" customHeight="1">
      <x:c r="A298" s="477"/>
      <x:c r="B298" s="482"/>
      <x:c r="C298" s="482"/>
      <x:c r="D298" s="483"/>
      <x:c r="E298" s="483"/>
      <x:c r="F298" s="483"/>
      <x:c r="G298" s="484"/>
      <x:c r="H298" s="484"/>
      <x:c r="I298" s="485"/>
      <x:c r="J298" s="485"/>
      <x:c r="K298" s="484"/>
      <x:c r="L298" s="483"/>
      <x:c r="M298" s="477"/>
      <x:c r="N298" s="112" t="str">
        <x:f>IF(COUNTA($A298:$M298)=0,"",IF(OR(LOWER($F298&amp;"")="subscription",LOWER($F298&amp;"")="membership"),"",IF($G298="","",IF(ISNUMBER(SEARCH("non",LOWER($E298&amp;""))),$G298*0.85,$G298))))</x:f>
      </x:c>
      <x:c r="O298" s="112" t="str">
        <x:f>IF(COUNTA($A298:$M298)=0,"",IF(OR(LOWER($F298&amp;"")="subscription",LOWER($F298&amp;"")="membership"),"",IF(OR($N298="",$I298="",$I298=0),"",IFERROR($N298/$I298,""))))</x:f>
      </x:c>
      <x:c r="P298" s="112" t="str">
        <x:f>IF(COUNTA($A298:$M298)=0,"",IF(OR(LOWER($F298&amp;"")="subscription",LOWER($F298&amp;"")="membership"),"",IF(LOWER($L298&amp;"")="yes",0,IF($K298&lt;&gt;"",$K298,IF($O298&lt;&gt;"",$O298,"")))))</x:f>
      </x:c>
      <x:c r="Q298" s="112" t="str">
        <x:f>IF(COUNTA($A298:$M298)=0,"",IF(OR($U298="Subscription",$U298=""),"",IF($U298="Profit",ROUND($P298-$H298,2),0)))</x:f>
      </x:c>
      <x:c r="R298" s="112" t="str">
        <x:f>IF(COUNTA($A298:$M298)=0,"",IF(OR($U298="Subscription",$U298=""),"",IF($U298="Draw",$H298,0)))</x:f>
      </x:c>
      <x:c r="S298" s="112" t="str">
        <x:f>IF(COUNTA($A298:$M298)=0,"",IF(OR($U298="Subscription",$U298=""),"",IF($U298="Disqualified",$H298,0)))</x:f>
      </x:c>
      <x:c r="T298" s="116" t="str">
        <x:f>IF(COUNTA($A298:$M298)=0,"",IF(OR($U298="Subscription",$U298=""),"",IF($H298=0,0,IF($U298="Profit",$Q298/$H298,IF($U298="Disqualified",-$S298/$H298,0)))))</x:f>
      </x:c>
      <x:c r="U298" s="290" t="str">
        <x:f>IF(COUNTA($A298:$M298)=0,"",IF(OR(LOWER($F298&amp;"")="subscription",LOWER($F298&amp;"")="membership"),"Subscription",IF(LOWER($L298&amp;"")="yes","Disqualified",IF(OR(LOWER($F298&amp;"")="free game",LOWER($F298&amp;"")="free"),IF(AND(ISNUMBER($P298),ISNUMBER($H298),$P298&gt;$H298),"Profit","Free Game"),IF($P298="","",IF(ROUND(IFERROR(VALUE($P298),0)-IFERROR(VALUE($H298),0),2)&gt;0,"Profit","Draw"))))))</x:f>
      </x:c>
      <x:c r="V298" s="144" t="str">
        <x:f>IF(COUNTA($A298:$M298)=0,"",IF(OR($B298="",$C298="",$U298="Subscription"),"",IFERROR(ROUNDUP(($C298-$B298)/7,0),"")))</x:f>
      </x:c>
      <x:c r="W298" s="112" t="str">
        <x:f>IF(COUNTA($A298:$M298)=0,"",IF(OR($U298="Subscription",$U298=""),"",ROUND(IFERROR($Q298,0)-IFERROR($S298,0),2)))</x:f>
      </x:c>
      <x:c r="X298" s="144" t="str">
        <x:f>IF(COUNTA($A298:$M298)=0,"",IF(OR($U298="Subscription",$U298="Free Game",NOT(ISNUMBER($J298)),NOT(ISNUMBER($I298)),$J298=0,$I298=0,$I298&gt;$J298),"",$J298-$I298))</x:f>
      </x:c>
      <x:c r="Y298" s="116" t="str">
        <x:f>IF(COUNTA($A298:$M298)=0,"",IF(OR($U298="Subscription",$U298="Free Game",NOT(ISNUMBER($J298)),$J298=0,$X298=""),"",$X298/$J298))</x:f>
      </x:c>
      <x:c r="Z298" s="118" t="str">
        <x:f>IF(COUNTA($A298:$M298)=0,"",Instructions!$B$29+SUM($W$5:W298))</x:f>
      </x:c>
    </x:row>
    <x:row r="299" ht="30" customHeight="1">
      <x:c r="A299" s="477"/>
      <x:c r="B299" s="482"/>
      <x:c r="C299" s="482"/>
      <x:c r="D299" s="483"/>
      <x:c r="E299" s="483"/>
      <x:c r="F299" s="483"/>
      <x:c r="G299" s="484"/>
      <x:c r="H299" s="484"/>
      <x:c r="I299" s="485"/>
      <x:c r="J299" s="485"/>
      <x:c r="K299" s="484"/>
      <x:c r="L299" s="483"/>
      <x:c r="M299" s="477"/>
      <x:c r="N299" s="112" t="str">
        <x:f>IF(COUNTA($A299:$M299)=0,"",IF(OR(LOWER($F299&amp;"")="subscription",LOWER($F299&amp;"")="membership"),"",IF($G299="","",IF(ISNUMBER(SEARCH("non",LOWER($E299&amp;""))),$G299*0.85,$G299))))</x:f>
      </x:c>
      <x:c r="O299" s="112" t="str">
        <x:f>IF(COUNTA($A299:$M299)=0,"",IF(OR(LOWER($F299&amp;"")="subscription",LOWER($F299&amp;"")="membership"),"",IF(OR($N299="",$I299="",$I299=0),"",IFERROR($N299/$I299,""))))</x:f>
      </x:c>
      <x:c r="P299" s="112" t="str">
        <x:f>IF(COUNTA($A299:$M299)=0,"",IF(OR(LOWER($F299&amp;"")="subscription",LOWER($F299&amp;"")="membership"),"",IF(LOWER($L299&amp;"")="yes",0,IF($K299&lt;&gt;"",$K299,IF($O299&lt;&gt;"",$O299,"")))))</x:f>
      </x:c>
      <x:c r="Q299" s="112" t="str">
        <x:f>IF(COUNTA($A299:$M299)=0,"",IF(OR($U299="Subscription",$U299=""),"",IF($U299="Profit",ROUND($P299-$H299,2),0)))</x:f>
      </x:c>
      <x:c r="R299" s="112" t="str">
        <x:f>IF(COUNTA($A299:$M299)=0,"",IF(OR($U299="Subscription",$U299=""),"",IF($U299="Draw",$H299,0)))</x:f>
      </x:c>
      <x:c r="S299" s="112" t="str">
        <x:f>IF(COUNTA($A299:$M299)=0,"",IF(OR($U299="Subscription",$U299=""),"",IF($U299="Disqualified",$H299,0)))</x:f>
      </x:c>
      <x:c r="T299" s="116" t="str">
        <x:f>IF(COUNTA($A299:$M299)=0,"",IF(OR($U299="Subscription",$U299=""),"",IF($H299=0,0,IF($U299="Profit",$Q299/$H299,IF($U299="Disqualified",-$S299/$H299,0)))))</x:f>
      </x:c>
      <x:c r="U299" s="290" t="str">
        <x:f>IF(COUNTA($A299:$M299)=0,"",IF(OR(LOWER($F299&amp;"")="subscription",LOWER($F299&amp;"")="membership"),"Subscription",IF(LOWER($L299&amp;"")="yes","Disqualified",IF(OR(LOWER($F299&amp;"")="free game",LOWER($F299&amp;"")="free"),IF(AND(ISNUMBER($P299),ISNUMBER($H299),$P299&gt;$H299),"Profit","Free Game"),IF($P299="","",IF(ROUND(IFERROR(VALUE($P299),0)-IFERROR(VALUE($H299),0),2)&gt;0,"Profit","Draw"))))))</x:f>
      </x:c>
      <x:c r="V299" s="144" t="str">
        <x:f>IF(COUNTA($A299:$M299)=0,"",IF(OR($B299="",$C299="",$U299="Subscription"),"",IFERROR(ROUNDUP(($C299-$B299)/7,0),"")))</x:f>
      </x:c>
      <x:c r="W299" s="112" t="str">
        <x:f>IF(COUNTA($A299:$M299)=0,"",IF(OR($U299="Subscription",$U299=""),"",ROUND(IFERROR($Q299,0)-IFERROR($S299,0),2)))</x:f>
      </x:c>
      <x:c r="X299" s="144" t="str">
        <x:f>IF(COUNTA($A299:$M299)=0,"",IF(OR($U299="Subscription",$U299="Free Game",NOT(ISNUMBER($J299)),NOT(ISNUMBER($I299)),$J299=0,$I299=0,$I299&gt;$J299),"",$J299-$I299))</x:f>
      </x:c>
      <x:c r="Y299" s="116" t="str">
        <x:f>IF(COUNTA($A299:$M299)=0,"",IF(OR($U299="Subscription",$U299="Free Game",NOT(ISNUMBER($J299)),$J299=0,$X299=""),"",$X299/$J299))</x:f>
      </x:c>
      <x:c r="Z299" s="118" t="str">
        <x:f>IF(COUNTA($A299:$M299)=0,"",Instructions!$B$29+SUM($W$5:W299))</x:f>
      </x:c>
    </x:row>
    <x:row r="300" ht="30" customHeight="1">
      <x:c r="A300" s="477"/>
      <x:c r="B300" s="482"/>
      <x:c r="C300" s="482"/>
      <x:c r="D300" s="483"/>
      <x:c r="E300" s="483"/>
      <x:c r="F300" s="483"/>
      <x:c r="G300" s="484"/>
      <x:c r="H300" s="484"/>
      <x:c r="I300" s="485"/>
      <x:c r="J300" s="485"/>
      <x:c r="K300" s="484"/>
      <x:c r="L300" s="483"/>
      <x:c r="M300" s="477"/>
      <x:c r="N300" s="112" t="str">
        <x:f>IF(COUNTA($A300:$M300)=0,"",IF(OR(LOWER($F300&amp;"")="subscription",LOWER($F300&amp;"")="membership"),"",IF($G300="","",IF(ISNUMBER(SEARCH("non",LOWER($E300&amp;""))),$G300*0.85,$G300))))</x:f>
      </x:c>
      <x:c r="O300" s="112" t="str">
        <x:f>IF(COUNTA($A300:$M300)=0,"",IF(OR(LOWER($F300&amp;"")="subscription",LOWER($F300&amp;"")="membership"),"",IF(OR($N300="",$I300="",$I300=0),"",IFERROR($N300/$I300,""))))</x:f>
      </x:c>
      <x:c r="P300" s="112" t="str">
        <x:f>IF(COUNTA($A300:$M300)=0,"",IF(OR(LOWER($F300&amp;"")="subscription",LOWER($F300&amp;"")="membership"),"",IF(LOWER($L300&amp;"")="yes",0,IF($K300&lt;&gt;"",$K300,IF($O300&lt;&gt;"",$O300,"")))))</x:f>
      </x:c>
      <x:c r="Q300" s="112" t="str">
        <x:f>IF(COUNTA($A300:$M300)=0,"",IF(OR($U300="Subscription",$U300=""),"",IF($U300="Profit",ROUND($P300-$H300,2),0)))</x:f>
      </x:c>
      <x:c r="R300" s="112" t="str">
        <x:f>IF(COUNTA($A300:$M300)=0,"",IF(OR($U300="Subscription",$U300=""),"",IF($U300="Draw",$H300,0)))</x:f>
      </x:c>
      <x:c r="S300" s="112" t="str">
        <x:f>IF(COUNTA($A300:$M300)=0,"",IF(OR($U300="Subscription",$U300=""),"",IF($U300="Disqualified",$H300,0)))</x:f>
      </x:c>
      <x:c r="T300" s="116" t="str">
        <x:f>IF(COUNTA($A300:$M300)=0,"",IF(OR($U300="Subscription",$U300=""),"",IF($H300=0,0,IF($U300="Profit",$Q300/$H300,IF($U300="Disqualified",-$S300/$H300,0)))))</x:f>
      </x:c>
      <x:c r="U300" s="290" t="str">
        <x:f>IF(COUNTA($A300:$M300)=0,"",IF(OR(LOWER($F300&amp;"")="subscription",LOWER($F300&amp;"")="membership"),"Subscription",IF(LOWER($L300&amp;"")="yes","Disqualified",IF(OR(LOWER($F300&amp;"")="free game",LOWER($F300&amp;"")="free"),IF(AND(ISNUMBER($P300),ISNUMBER($H300),$P300&gt;$H300),"Profit","Free Game"),IF($P300="","",IF(ROUND(IFERROR(VALUE($P300),0)-IFERROR(VALUE($H300),0),2)&gt;0,"Profit","Draw"))))))</x:f>
      </x:c>
      <x:c r="V300" s="144" t="str">
        <x:f>IF(COUNTA($A300:$M300)=0,"",IF(OR($B300="",$C300="",$U300="Subscription"),"",IFERROR(ROUNDUP(($C300-$B300)/7,0),"")))</x:f>
      </x:c>
      <x:c r="W300" s="112" t="str">
        <x:f>IF(COUNTA($A300:$M300)=0,"",IF(OR($U300="Subscription",$U300=""),"",ROUND(IFERROR($Q300,0)-IFERROR($S300,0),2)))</x:f>
      </x:c>
      <x:c r="X300" s="144" t="str">
        <x:f>IF(COUNTA($A300:$M300)=0,"",IF(OR($U300="Subscription",$U300="Free Game",NOT(ISNUMBER($J300)),NOT(ISNUMBER($I300)),$J300=0,$I300=0,$I300&gt;$J300),"",$J300-$I300))</x:f>
      </x:c>
      <x:c r="Y300" s="116" t="str">
        <x:f>IF(COUNTA($A300:$M300)=0,"",IF(OR($U300="Subscription",$U300="Free Game",NOT(ISNUMBER($J300)),$J300=0,$X300=""),"",$X300/$J300))</x:f>
      </x:c>
      <x:c r="Z300" s="118" t="str">
        <x:f>IF(COUNTA($A300:$M300)=0,"",Instructions!$B$29+SUM($W$5:W300))</x:f>
      </x:c>
    </x:row>
    <x:row r="301" ht="30" customHeight="1">
      <x:c r="A301" s="477"/>
      <x:c r="B301" s="482"/>
      <x:c r="C301" s="482"/>
      <x:c r="D301" s="483"/>
      <x:c r="E301" s="483"/>
      <x:c r="F301" s="483"/>
      <x:c r="G301" s="484"/>
      <x:c r="H301" s="484"/>
      <x:c r="I301" s="485"/>
      <x:c r="J301" s="485"/>
      <x:c r="K301" s="484"/>
      <x:c r="L301" s="483"/>
      <x:c r="M301" s="477"/>
      <x:c r="N301" s="112" t="str">
        <x:f>IF(COUNTA($A301:$M301)=0,"",IF(OR(LOWER($F301&amp;"")="subscription",LOWER($F301&amp;"")="membership"),"",IF($G301="","",IF(ISNUMBER(SEARCH("non",LOWER($E301&amp;""))),$G301*0.85,$G301))))</x:f>
      </x:c>
      <x:c r="O301" s="112" t="str">
        <x:f>IF(COUNTA($A301:$M301)=0,"",IF(OR(LOWER($F301&amp;"")="subscription",LOWER($F301&amp;"")="membership"),"",IF(OR($N301="",$I301="",$I301=0),"",IFERROR($N301/$I301,""))))</x:f>
      </x:c>
      <x:c r="P301" s="112" t="str">
        <x:f>IF(COUNTA($A301:$M301)=0,"",IF(OR(LOWER($F301&amp;"")="subscription",LOWER($F301&amp;"")="membership"),"",IF(LOWER($L301&amp;"")="yes",0,IF($K301&lt;&gt;"",$K301,IF($O301&lt;&gt;"",$O301,"")))))</x:f>
      </x:c>
      <x:c r="Q301" s="112" t="str">
        <x:f>IF(COUNTA($A301:$M301)=0,"",IF(OR($U301="Subscription",$U301=""),"",IF($U301="Profit",ROUND($P301-$H301,2),0)))</x:f>
      </x:c>
      <x:c r="R301" s="112" t="str">
        <x:f>IF(COUNTA($A301:$M301)=0,"",IF(OR($U301="Subscription",$U301=""),"",IF($U301="Draw",$H301,0)))</x:f>
      </x:c>
      <x:c r="S301" s="112" t="str">
        <x:f>IF(COUNTA($A301:$M301)=0,"",IF(OR($U301="Subscription",$U301=""),"",IF($U301="Disqualified",$H301,0)))</x:f>
      </x:c>
      <x:c r="T301" s="116" t="str">
        <x:f>IF(COUNTA($A301:$M301)=0,"",IF(OR($U301="Subscription",$U301=""),"",IF($H301=0,0,IF($U301="Profit",$Q301/$H301,IF($U301="Disqualified",-$S301/$H301,0)))))</x:f>
      </x:c>
      <x:c r="U301" s="290" t="str">
        <x:f>IF(COUNTA($A301:$M301)=0,"",IF(OR(LOWER($F301&amp;"")="subscription",LOWER($F301&amp;"")="membership"),"Subscription",IF(LOWER($L301&amp;"")="yes","Disqualified",IF(OR(LOWER($F301&amp;"")="free game",LOWER($F301&amp;"")="free"),IF(AND(ISNUMBER($P301),ISNUMBER($H301),$P301&gt;$H301),"Profit","Free Game"),IF($P301="","",IF(ROUND(IFERROR(VALUE($P301),0)-IFERROR(VALUE($H301),0),2)&gt;0,"Profit","Draw"))))))</x:f>
      </x:c>
      <x:c r="V301" s="144" t="str">
        <x:f>IF(COUNTA($A301:$M301)=0,"",IF(OR($B301="",$C301="",$U301="Subscription"),"",IFERROR(ROUNDUP(($C301-$B301)/7,0),"")))</x:f>
      </x:c>
      <x:c r="W301" s="112" t="str">
        <x:f>IF(COUNTA($A301:$M301)=0,"",IF(OR($U301="Subscription",$U301=""),"",ROUND(IFERROR($Q301,0)-IFERROR($S301,0),2)))</x:f>
      </x:c>
      <x:c r="X301" s="144" t="str">
        <x:f>IF(COUNTA($A301:$M301)=0,"",IF(OR($U301="Subscription",$U301="Free Game",NOT(ISNUMBER($J301)),NOT(ISNUMBER($I301)),$J301=0,$I301=0,$I301&gt;$J301),"",$J301-$I301))</x:f>
      </x:c>
      <x:c r="Y301" s="116" t="str">
        <x:f>IF(COUNTA($A301:$M301)=0,"",IF(OR($U301="Subscription",$U301="Free Game",NOT(ISNUMBER($J301)),$J301=0,$X301=""),"",$X301/$J301))</x:f>
      </x:c>
      <x:c r="Z301" s="118" t="str">
        <x:f>IF(COUNTA($A301:$M301)=0,"",Instructions!$B$29+SUM($W$5:W301))</x:f>
      </x:c>
    </x:row>
    <x:row r="302" ht="30" customHeight="1">
      <x:c r="A302" s="477"/>
      <x:c r="B302" s="482"/>
      <x:c r="C302" s="482"/>
      <x:c r="D302" s="483"/>
      <x:c r="E302" s="483"/>
      <x:c r="F302" s="483"/>
      <x:c r="G302" s="484"/>
      <x:c r="H302" s="484"/>
      <x:c r="I302" s="485"/>
      <x:c r="J302" s="485"/>
      <x:c r="K302" s="484"/>
      <x:c r="L302" s="483"/>
      <x:c r="M302" s="477"/>
      <x:c r="N302" s="112" t="str">
        <x:f>IF(COUNTA($A302:$M302)=0,"",IF(OR(LOWER($F302&amp;"")="subscription",LOWER($F302&amp;"")="membership"),"",IF($G302="","",IF(ISNUMBER(SEARCH("non",LOWER($E302&amp;""))),$G302*0.85,$G302))))</x:f>
      </x:c>
      <x:c r="O302" s="112" t="str">
        <x:f>IF(COUNTA($A302:$M302)=0,"",IF(OR(LOWER($F302&amp;"")="subscription",LOWER($F302&amp;"")="membership"),"",IF(OR($N302="",$I302="",$I302=0),"",IFERROR($N302/$I302,""))))</x:f>
      </x:c>
      <x:c r="P302" s="112" t="str">
        <x:f>IF(COUNTA($A302:$M302)=0,"",IF(OR(LOWER($F302&amp;"")="subscription",LOWER($F302&amp;"")="membership"),"",IF(LOWER($L302&amp;"")="yes",0,IF($K302&lt;&gt;"",$K302,IF($O302&lt;&gt;"",$O302,"")))))</x:f>
      </x:c>
      <x:c r="Q302" s="112" t="str">
        <x:f>IF(COUNTA($A302:$M302)=0,"",IF(OR($U302="Subscription",$U302=""),"",IF($U302="Profit",ROUND($P302-$H302,2),0)))</x:f>
      </x:c>
      <x:c r="R302" s="112" t="str">
        <x:f>IF(COUNTA($A302:$M302)=0,"",IF(OR($U302="Subscription",$U302=""),"",IF($U302="Draw",$H302,0)))</x:f>
      </x:c>
      <x:c r="S302" s="112" t="str">
        <x:f>IF(COUNTA($A302:$M302)=0,"",IF(OR($U302="Subscription",$U302=""),"",IF($U302="Disqualified",$H302,0)))</x:f>
      </x:c>
      <x:c r="T302" s="116" t="str">
        <x:f>IF(COUNTA($A302:$M302)=0,"",IF(OR($U302="Subscription",$U302=""),"",IF($H302=0,0,IF($U302="Profit",$Q302/$H302,IF($U302="Disqualified",-$S302/$H302,0)))))</x:f>
      </x:c>
      <x:c r="U302" s="290" t="str">
        <x:f>IF(COUNTA($A302:$M302)=0,"",IF(OR(LOWER($F302&amp;"")="subscription",LOWER($F302&amp;"")="membership"),"Subscription",IF(LOWER($L302&amp;"")="yes","Disqualified",IF(OR(LOWER($F302&amp;"")="free game",LOWER($F302&amp;"")="free"),IF(AND(ISNUMBER($P302),ISNUMBER($H302),$P302&gt;$H302),"Profit","Free Game"),IF($P302="","",IF(ROUND(IFERROR(VALUE($P302),0)-IFERROR(VALUE($H302),0),2)&gt;0,"Profit","Draw"))))))</x:f>
      </x:c>
      <x:c r="V302" s="144" t="str">
        <x:f>IF(COUNTA($A302:$M302)=0,"",IF(OR($B302="",$C302="",$U302="Subscription"),"",IFERROR(ROUNDUP(($C302-$B302)/7,0),"")))</x:f>
      </x:c>
      <x:c r="W302" s="112" t="str">
        <x:f>IF(COUNTA($A302:$M302)=0,"",IF(OR($U302="Subscription",$U302=""),"",ROUND(IFERROR($Q302,0)-IFERROR($S302,0),2)))</x:f>
      </x:c>
      <x:c r="X302" s="144" t="str">
        <x:f>IF(COUNTA($A302:$M302)=0,"",IF(OR($U302="Subscription",$U302="Free Game",NOT(ISNUMBER($J302)),NOT(ISNUMBER($I302)),$J302=0,$I302=0,$I302&gt;$J302),"",$J302-$I302))</x:f>
      </x:c>
      <x:c r="Y302" s="116" t="str">
        <x:f>IF(COUNTA($A302:$M302)=0,"",IF(OR($U302="Subscription",$U302="Free Game",NOT(ISNUMBER($J302)),$J302=0,$X302=""),"",$X302/$J302))</x:f>
      </x:c>
      <x:c r="Z302" s="118" t="str">
        <x:f>IF(COUNTA($A302:$M302)=0,"",Instructions!$B$29+SUM($W$5:W302))</x:f>
      </x:c>
    </x:row>
    <x:row r="303" ht="30" customHeight="1">
      <x:c r="A303" s="477"/>
      <x:c r="B303" s="482"/>
      <x:c r="C303" s="482"/>
      <x:c r="D303" s="483"/>
      <x:c r="E303" s="483"/>
      <x:c r="F303" s="483"/>
      <x:c r="G303" s="484"/>
      <x:c r="H303" s="484"/>
      <x:c r="I303" s="485"/>
      <x:c r="J303" s="485"/>
      <x:c r="K303" s="484"/>
      <x:c r="L303" s="483"/>
      <x:c r="M303" s="477"/>
      <x:c r="N303" s="112" t="str">
        <x:f>IF(COUNTA($A303:$M303)=0,"",IF(OR(LOWER($F303&amp;"")="subscription",LOWER($F303&amp;"")="membership"),"",IF($G303="","",IF(ISNUMBER(SEARCH("non",LOWER($E303&amp;""))),$G303*0.85,$G303))))</x:f>
      </x:c>
      <x:c r="O303" s="112" t="str">
        <x:f>IF(COUNTA($A303:$M303)=0,"",IF(OR(LOWER($F303&amp;"")="subscription",LOWER($F303&amp;"")="membership"),"",IF(OR($N303="",$I303="",$I303=0),"",IFERROR($N303/$I303,""))))</x:f>
      </x:c>
      <x:c r="P303" s="112" t="str">
        <x:f>IF(COUNTA($A303:$M303)=0,"",IF(OR(LOWER($F303&amp;"")="subscription",LOWER($F303&amp;"")="membership"),"",IF(LOWER($L303&amp;"")="yes",0,IF($K303&lt;&gt;"",$K303,IF($O303&lt;&gt;"",$O303,"")))))</x:f>
      </x:c>
      <x:c r="Q303" s="112" t="str">
        <x:f>IF(COUNTA($A303:$M303)=0,"",IF(OR($U303="Subscription",$U303=""),"",IF($U303="Profit",ROUND($P303-$H303,2),0)))</x:f>
      </x:c>
      <x:c r="R303" s="112" t="str">
        <x:f>IF(COUNTA($A303:$M303)=0,"",IF(OR($U303="Subscription",$U303=""),"",IF($U303="Draw",$H303,0)))</x:f>
      </x:c>
      <x:c r="S303" s="112" t="str">
        <x:f>IF(COUNTA($A303:$M303)=0,"",IF(OR($U303="Subscription",$U303=""),"",IF($U303="Disqualified",$H303,0)))</x:f>
      </x:c>
      <x:c r="T303" s="116" t="str">
        <x:f>IF(COUNTA($A303:$M303)=0,"",IF(OR($U303="Subscription",$U303=""),"",IF($H303=0,0,IF($U303="Profit",$Q303/$H303,IF($U303="Disqualified",-$S303/$H303,0)))))</x:f>
      </x:c>
      <x:c r="U303" s="290" t="str">
        <x:f>IF(COUNTA($A303:$M303)=0,"",IF(OR(LOWER($F303&amp;"")="subscription",LOWER($F303&amp;"")="membership"),"Subscription",IF(LOWER($L303&amp;"")="yes","Disqualified",IF(OR(LOWER($F303&amp;"")="free game",LOWER($F303&amp;"")="free"),IF(AND(ISNUMBER($P303),ISNUMBER($H303),$P303&gt;$H303),"Profit","Free Game"),IF($P303="","",IF(ROUND(IFERROR(VALUE($P303),0)-IFERROR(VALUE($H303),0),2)&gt;0,"Profit","Draw"))))))</x:f>
      </x:c>
      <x:c r="V303" s="144" t="str">
        <x:f>IF(COUNTA($A303:$M303)=0,"",IF(OR($B303="",$C303="",$U303="Subscription"),"",IFERROR(ROUNDUP(($C303-$B303)/7,0),"")))</x:f>
      </x:c>
      <x:c r="W303" s="112" t="str">
        <x:f>IF(COUNTA($A303:$M303)=0,"",IF(OR($U303="Subscription",$U303=""),"",ROUND(IFERROR($Q303,0)-IFERROR($S303,0),2)))</x:f>
      </x:c>
      <x:c r="X303" s="144" t="str">
        <x:f>IF(COUNTA($A303:$M303)=0,"",IF(OR($U303="Subscription",$U303="Free Game",NOT(ISNUMBER($J303)),NOT(ISNUMBER($I303)),$J303=0,$I303=0,$I303&gt;$J303),"",$J303-$I303))</x:f>
      </x:c>
      <x:c r="Y303" s="116" t="str">
        <x:f>IF(COUNTA($A303:$M303)=0,"",IF(OR($U303="Subscription",$U303="Free Game",NOT(ISNUMBER($J303)),$J303=0,$X303=""),"",$X303/$J303))</x:f>
      </x:c>
      <x:c r="Z303" s="118" t="str">
        <x:f>IF(COUNTA($A303:$M303)=0,"",Instructions!$B$29+SUM($W$5:W303))</x:f>
      </x:c>
    </x:row>
    <x:row r="304" ht="30" customHeight="1">
      <x:c r="A304" s="477"/>
      <x:c r="B304" s="482"/>
      <x:c r="C304" s="482"/>
      <x:c r="D304" s="483"/>
      <x:c r="E304" s="483"/>
      <x:c r="F304" s="483"/>
      <x:c r="G304" s="484"/>
      <x:c r="H304" s="484"/>
      <x:c r="I304" s="485"/>
      <x:c r="J304" s="485"/>
      <x:c r="K304" s="484"/>
      <x:c r="L304" s="483"/>
      <x:c r="M304" s="477"/>
      <x:c r="N304" s="112" t="str">
        <x:f>IF(COUNTA($A304:$M304)=0,"",IF(OR(LOWER($F304&amp;"")="subscription",LOWER($F304&amp;"")="membership"),"",IF($G304="","",IF(ISNUMBER(SEARCH("non",LOWER($E304&amp;""))),$G304*0.85,$G304))))</x:f>
      </x:c>
      <x:c r="O304" s="112" t="str">
        <x:f>IF(COUNTA($A304:$M304)=0,"",IF(OR(LOWER($F304&amp;"")="subscription",LOWER($F304&amp;"")="membership"),"",IF(OR($N304="",$I304="",$I304=0),"",IFERROR($N304/$I304,""))))</x:f>
      </x:c>
      <x:c r="P304" s="112" t="str">
        <x:f>IF(COUNTA($A304:$M304)=0,"",IF(OR(LOWER($F304&amp;"")="subscription",LOWER($F304&amp;"")="membership"),"",IF(LOWER($L304&amp;"")="yes",0,IF($K304&lt;&gt;"",$K304,IF($O304&lt;&gt;"",$O304,"")))))</x:f>
      </x:c>
      <x:c r="Q304" s="112" t="str">
        <x:f>IF(COUNTA($A304:$M304)=0,"",IF(OR($U304="Subscription",$U304=""),"",IF($U304="Profit",ROUND($P304-$H304,2),0)))</x:f>
      </x:c>
      <x:c r="R304" s="112" t="str">
        <x:f>IF(COUNTA($A304:$M304)=0,"",IF(OR($U304="Subscription",$U304=""),"",IF($U304="Draw",$H304,0)))</x:f>
      </x:c>
      <x:c r="S304" s="112" t="str">
        <x:f>IF(COUNTA($A304:$M304)=0,"",IF(OR($U304="Subscription",$U304=""),"",IF($U304="Disqualified",$H304,0)))</x:f>
      </x:c>
      <x:c r="T304" s="116" t="str">
        <x:f>IF(COUNTA($A304:$M304)=0,"",IF(OR($U304="Subscription",$U304=""),"",IF($H304=0,0,IF($U304="Profit",$Q304/$H304,IF($U304="Disqualified",-$S304/$H304,0)))))</x:f>
      </x:c>
      <x:c r="U304" s="290" t="str">
        <x:f>IF(COUNTA($A304:$M304)=0,"",IF(OR(LOWER($F304&amp;"")="subscription",LOWER($F304&amp;"")="membership"),"Subscription",IF(LOWER($L304&amp;"")="yes","Disqualified",IF(OR(LOWER($F304&amp;"")="free game",LOWER($F304&amp;"")="free"),IF(AND(ISNUMBER($P304),ISNUMBER($H304),$P304&gt;$H304),"Profit","Free Game"),IF($P304="","",IF(ROUND(IFERROR(VALUE($P304),0)-IFERROR(VALUE($H304),0),2)&gt;0,"Profit","Draw"))))))</x:f>
      </x:c>
      <x:c r="V304" s="144" t="str">
        <x:f>IF(COUNTA($A304:$M304)=0,"",IF(OR($B304="",$C304="",$U304="Subscription"),"",IFERROR(ROUNDUP(($C304-$B304)/7,0),"")))</x:f>
      </x:c>
      <x:c r="W304" s="112" t="str">
        <x:f>IF(COUNTA($A304:$M304)=0,"",IF(OR($U304="Subscription",$U304=""),"",ROUND(IFERROR($Q304,0)-IFERROR($S304,0),2)))</x:f>
      </x:c>
      <x:c r="X304" s="144" t="str">
        <x:f>IF(COUNTA($A304:$M304)=0,"",IF(OR($U304="Subscription",$U304="Free Game",NOT(ISNUMBER($J304)),NOT(ISNUMBER($I304)),$J304=0,$I304=0,$I304&gt;$J304),"",$J304-$I304))</x:f>
      </x:c>
      <x:c r="Y304" s="116" t="str">
        <x:f>IF(COUNTA($A304:$M304)=0,"",IF(OR($U304="Subscription",$U304="Free Game",NOT(ISNUMBER($J304)),$J304=0,$X304=""),"",$X304/$J304))</x:f>
      </x:c>
      <x:c r="Z304" s="118" t="str">
        <x:f>IF(COUNTA($A304:$M304)=0,"",Instructions!$B$29+SUM($W$5:W304))</x:f>
      </x:c>
    </x:row>
    <x:row r="305" ht="30" customHeight="1">
      <x:c r="A305" s="477"/>
      <x:c r="B305" s="482"/>
      <x:c r="C305" s="482"/>
      <x:c r="D305" s="483"/>
      <x:c r="E305" s="483"/>
      <x:c r="F305" s="483"/>
      <x:c r="G305" s="484"/>
      <x:c r="H305" s="484"/>
      <x:c r="I305" s="485"/>
      <x:c r="J305" s="485"/>
      <x:c r="K305" s="484"/>
      <x:c r="L305" s="483"/>
      <x:c r="M305" s="477"/>
      <x:c r="N305" s="112" t="str">
        <x:f>IF(COUNTA($A305:$M305)=0,"",IF(OR(LOWER($F305&amp;"")="subscription",LOWER($F305&amp;"")="membership"),"",IF($G305="","",IF(ISNUMBER(SEARCH("non",LOWER($E305&amp;""))),$G305*0.85,$G305))))</x:f>
      </x:c>
      <x:c r="O305" s="112" t="str">
        <x:f>IF(COUNTA($A305:$M305)=0,"",IF(OR(LOWER($F305&amp;"")="subscription",LOWER($F305&amp;"")="membership"),"",IF(OR($N305="",$I305="",$I305=0),"",IFERROR($N305/$I305,""))))</x:f>
      </x:c>
      <x:c r="P305" s="112" t="str">
        <x:f>IF(COUNTA($A305:$M305)=0,"",IF(OR(LOWER($F305&amp;"")="subscription",LOWER($F305&amp;"")="membership"),"",IF(LOWER($L305&amp;"")="yes",0,IF($K305&lt;&gt;"",$K305,IF($O305&lt;&gt;"",$O305,"")))))</x:f>
      </x:c>
      <x:c r="Q305" s="112" t="str">
        <x:f>IF(COUNTA($A305:$M305)=0,"",IF(OR($U305="Subscription",$U305=""),"",IF($U305="Profit",ROUND($P305-$H305,2),0)))</x:f>
      </x:c>
      <x:c r="R305" s="112" t="str">
        <x:f>IF(COUNTA($A305:$M305)=0,"",IF(OR($U305="Subscription",$U305=""),"",IF($U305="Draw",$H305,0)))</x:f>
      </x:c>
      <x:c r="S305" s="112" t="str">
        <x:f>IF(COUNTA($A305:$M305)=0,"",IF(OR($U305="Subscription",$U305=""),"",IF($U305="Disqualified",$H305,0)))</x:f>
      </x:c>
      <x:c r="T305" s="116" t="str">
        <x:f>IF(COUNTA($A305:$M305)=0,"",IF(OR($U305="Subscription",$U305=""),"",IF($H305=0,0,IF($U305="Profit",$Q305/$H305,IF($U305="Disqualified",-$S305/$H305,0)))))</x:f>
      </x:c>
      <x:c r="U305" s="290" t="str">
        <x:f>IF(COUNTA($A305:$M305)=0,"",IF(OR(LOWER($F305&amp;"")="subscription",LOWER($F305&amp;"")="membership"),"Subscription",IF(LOWER($L305&amp;"")="yes","Disqualified",IF(OR(LOWER($F305&amp;"")="free game",LOWER($F305&amp;"")="free"),IF(AND(ISNUMBER($P305),ISNUMBER($H305),$P305&gt;$H305),"Profit","Free Game"),IF($P305="","",IF(ROUND(IFERROR(VALUE($P305),0)-IFERROR(VALUE($H305),0),2)&gt;0,"Profit","Draw"))))))</x:f>
      </x:c>
      <x:c r="V305" s="144" t="str">
        <x:f>IF(COUNTA($A305:$M305)=0,"",IF(OR($B305="",$C305="",$U305="Subscription"),"",IFERROR(ROUNDUP(($C305-$B305)/7,0),"")))</x:f>
      </x:c>
      <x:c r="W305" s="112" t="str">
        <x:f>IF(COUNTA($A305:$M305)=0,"",IF(OR($U305="Subscription",$U305=""),"",ROUND(IFERROR($Q305,0)-IFERROR($S305,0),2)))</x:f>
      </x:c>
      <x:c r="X305" s="144" t="str">
        <x:f>IF(COUNTA($A305:$M305)=0,"",IF(OR($U305="Subscription",$U305="Free Game",NOT(ISNUMBER($J305)),NOT(ISNUMBER($I305)),$J305=0,$I305=0,$I305&gt;$J305),"",$J305-$I305))</x:f>
      </x:c>
      <x:c r="Y305" s="116" t="str">
        <x:f>IF(COUNTA($A305:$M305)=0,"",IF(OR($U305="Subscription",$U305="Free Game",NOT(ISNUMBER($J305)),$J305=0,$X305=""),"",$X305/$J305))</x:f>
      </x:c>
      <x:c r="Z305" s="118" t="str">
        <x:f>IF(COUNTA($A305:$M305)=0,"",Instructions!$B$29+SUM($W$5:W305))</x:f>
      </x:c>
    </x:row>
    <x:row r="306" ht="30" customHeight="1">
      <x:c r="A306" s="477"/>
      <x:c r="B306" s="482"/>
      <x:c r="C306" s="482"/>
      <x:c r="D306" s="483"/>
      <x:c r="E306" s="483"/>
      <x:c r="F306" s="483"/>
      <x:c r="G306" s="484"/>
      <x:c r="H306" s="484"/>
      <x:c r="I306" s="485"/>
      <x:c r="J306" s="485"/>
      <x:c r="K306" s="484"/>
      <x:c r="L306" s="483"/>
      <x:c r="M306" s="477"/>
      <x:c r="N306" s="112" t="str">
        <x:f>IF(COUNTA($A306:$M306)=0,"",IF(OR(LOWER($F306&amp;"")="subscription",LOWER($F306&amp;"")="membership"),"",IF($G306="","",IF(ISNUMBER(SEARCH("non",LOWER($E306&amp;""))),$G306*0.85,$G306))))</x:f>
      </x:c>
      <x:c r="O306" s="112" t="str">
        <x:f>IF(COUNTA($A306:$M306)=0,"",IF(OR(LOWER($F306&amp;"")="subscription",LOWER($F306&amp;"")="membership"),"",IF(OR($N306="",$I306="",$I306=0),"",IFERROR($N306/$I306,""))))</x:f>
      </x:c>
      <x:c r="P306" s="112" t="str">
        <x:f>IF(COUNTA($A306:$M306)=0,"",IF(OR(LOWER($F306&amp;"")="subscription",LOWER($F306&amp;"")="membership"),"",IF(LOWER($L306&amp;"")="yes",0,IF($K306&lt;&gt;"",$K306,IF($O306&lt;&gt;"",$O306,"")))))</x:f>
      </x:c>
      <x:c r="Q306" s="112" t="str">
        <x:f>IF(COUNTA($A306:$M306)=0,"",IF(OR($U306="Subscription",$U306=""),"",IF($U306="Profit",ROUND($P306-$H306,2),0)))</x:f>
      </x:c>
      <x:c r="R306" s="112" t="str">
        <x:f>IF(COUNTA($A306:$M306)=0,"",IF(OR($U306="Subscription",$U306=""),"",IF($U306="Draw",$H306,0)))</x:f>
      </x:c>
      <x:c r="S306" s="112" t="str">
        <x:f>IF(COUNTA($A306:$M306)=0,"",IF(OR($U306="Subscription",$U306=""),"",IF($U306="Disqualified",$H306,0)))</x:f>
      </x:c>
      <x:c r="T306" s="116" t="str">
        <x:f>IF(COUNTA($A306:$M306)=0,"",IF(OR($U306="Subscription",$U306=""),"",IF($H306=0,0,IF($U306="Profit",$Q306/$H306,IF($U306="Disqualified",-$S306/$H306,0)))))</x:f>
      </x:c>
      <x:c r="U306" s="290" t="str">
        <x:f>IF(COUNTA($A306:$M306)=0,"",IF(OR(LOWER($F306&amp;"")="subscription",LOWER($F306&amp;"")="membership"),"Subscription",IF(LOWER($L306&amp;"")="yes","Disqualified",IF(OR(LOWER($F306&amp;"")="free game",LOWER($F306&amp;"")="free"),IF(AND(ISNUMBER($P306),ISNUMBER($H306),$P306&gt;$H306),"Profit","Free Game"),IF($P306="","",IF(ROUND(IFERROR(VALUE($P306),0)-IFERROR(VALUE($H306),0),2)&gt;0,"Profit","Draw"))))))</x:f>
      </x:c>
      <x:c r="V306" s="144" t="str">
        <x:f>IF(COUNTA($A306:$M306)=0,"",IF(OR($B306="",$C306="",$U306="Subscription"),"",IFERROR(ROUNDUP(($C306-$B306)/7,0),"")))</x:f>
      </x:c>
      <x:c r="W306" s="112" t="str">
        <x:f>IF(COUNTA($A306:$M306)=0,"",IF(OR($U306="Subscription",$U306=""),"",ROUND(IFERROR($Q306,0)-IFERROR($S306,0),2)))</x:f>
      </x:c>
      <x:c r="X306" s="144" t="str">
        <x:f>IF(COUNTA($A306:$M306)=0,"",IF(OR($U306="Subscription",$U306="Free Game",NOT(ISNUMBER($J306)),NOT(ISNUMBER($I306)),$J306=0,$I306=0,$I306&gt;$J306),"",$J306-$I306))</x:f>
      </x:c>
      <x:c r="Y306" s="116" t="str">
        <x:f>IF(COUNTA($A306:$M306)=0,"",IF(OR($U306="Subscription",$U306="Free Game",NOT(ISNUMBER($J306)),$J306=0,$X306=""),"",$X306/$J306))</x:f>
      </x:c>
      <x:c r="Z306" s="118" t="str">
        <x:f>IF(COUNTA($A306:$M306)=0,"",Instructions!$B$29+SUM($W$5:W306))</x:f>
      </x:c>
    </x:row>
    <x:row r="307" ht="30" customHeight="1">
      <x:c r="A307" s="477"/>
      <x:c r="B307" s="482"/>
      <x:c r="C307" s="482"/>
      <x:c r="D307" s="483"/>
      <x:c r="E307" s="483"/>
      <x:c r="F307" s="483"/>
      <x:c r="G307" s="484"/>
      <x:c r="H307" s="484"/>
      <x:c r="I307" s="485"/>
      <x:c r="J307" s="485"/>
      <x:c r="K307" s="484"/>
      <x:c r="L307" s="483"/>
      <x:c r="M307" s="477"/>
      <x:c r="N307" s="112" t="str">
        <x:f>IF(COUNTA($A307:$M307)=0,"",IF(OR(LOWER($F307&amp;"")="subscription",LOWER($F307&amp;"")="membership"),"",IF($G307="","",IF(ISNUMBER(SEARCH("non",LOWER($E307&amp;""))),$G307*0.85,$G307))))</x:f>
      </x:c>
      <x:c r="O307" s="112" t="str">
        <x:f>IF(COUNTA($A307:$M307)=0,"",IF(OR(LOWER($F307&amp;"")="subscription",LOWER($F307&amp;"")="membership"),"",IF(OR($N307="",$I307="",$I307=0),"",IFERROR($N307/$I307,""))))</x:f>
      </x:c>
      <x:c r="P307" s="112" t="str">
        <x:f>IF(COUNTA($A307:$M307)=0,"",IF(OR(LOWER($F307&amp;"")="subscription",LOWER($F307&amp;"")="membership"),"",IF(LOWER($L307&amp;"")="yes",0,IF($K307&lt;&gt;"",$K307,IF($O307&lt;&gt;"",$O307,"")))))</x:f>
      </x:c>
      <x:c r="Q307" s="112" t="str">
        <x:f>IF(COUNTA($A307:$M307)=0,"",IF(OR($U307="Subscription",$U307=""),"",IF($U307="Profit",ROUND($P307-$H307,2),0)))</x:f>
      </x:c>
      <x:c r="R307" s="112" t="str">
        <x:f>IF(COUNTA($A307:$M307)=0,"",IF(OR($U307="Subscription",$U307=""),"",IF($U307="Draw",$H307,0)))</x:f>
      </x:c>
      <x:c r="S307" s="112" t="str">
        <x:f>IF(COUNTA($A307:$M307)=0,"",IF(OR($U307="Subscription",$U307=""),"",IF($U307="Disqualified",$H307,0)))</x:f>
      </x:c>
      <x:c r="T307" s="116" t="str">
        <x:f>IF(COUNTA($A307:$M307)=0,"",IF(OR($U307="Subscription",$U307=""),"",IF($H307=0,0,IF($U307="Profit",$Q307/$H307,IF($U307="Disqualified",-$S307/$H307,0)))))</x:f>
      </x:c>
      <x:c r="U307" s="290" t="str">
        <x:f>IF(COUNTA($A307:$M307)=0,"",IF(OR(LOWER($F307&amp;"")="subscription",LOWER($F307&amp;"")="membership"),"Subscription",IF(LOWER($L307&amp;"")="yes","Disqualified",IF(OR(LOWER($F307&amp;"")="free game",LOWER($F307&amp;"")="free"),IF(AND(ISNUMBER($P307),ISNUMBER($H307),$P307&gt;$H307),"Profit","Free Game"),IF($P307="","",IF(ROUND(IFERROR(VALUE($P307),0)-IFERROR(VALUE($H307),0),2)&gt;0,"Profit","Draw"))))))</x:f>
      </x:c>
      <x:c r="V307" s="144" t="str">
        <x:f>IF(COUNTA($A307:$M307)=0,"",IF(OR($B307="",$C307="",$U307="Subscription"),"",IFERROR(ROUNDUP(($C307-$B307)/7,0),"")))</x:f>
      </x:c>
      <x:c r="W307" s="112" t="str">
        <x:f>IF(COUNTA($A307:$M307)=0,"",IF(OR($U307="Subscription",$U307=""),"",ROUND(IFERROR($Q307,0)-IFERROR($S307,0),2)))</x:f>
      </x:c>
      <x:c r="X307" s="144" t="str">
        <x:f>IF(COUNTA($A307:$M307)=0,"",IF(OR($U307="Subscription",$U307="Free Game",NOT(ISNUMBER($J307)),NOT(ISNUMBER($I307)),$J307=0,$I307=0,$I307&gt;$J307),"",$J307-$I307))</x:f>
      </x:c>
      <x:c r="Y307" s="116" t="str">
        <x:f>IF(COUNTA($A307:$M307)=0,"",IF(OR($U307="Subscription",$U307="Free Game",NOT(ISNUMBER($J307)),$J307=0,$X307=""),"",$X307/$J307))</x:f>
      </x:c>
      <x:c r="Z307" s="118" t="str">
        <x:f>IF(COUNTA($A307:$M307)=0,"",Instructions!$B$29+SUM($W$5:W307))</x:f>
      </x:c>
    </x:row>
    <x:row r="308" ht="30" customHeight="1">
      <x:c r="A308" s="477"/>
      <x:c r="B308" s="482"/>
      <x:c r="C308" s="482"/>
      <x:c r="D308" s="483"/>
      <x:c r="E308" s="483"/>
      <x:c r="F308" s="483"/>
      <x:c r="G308" s="484"/>
      <x:c r="H308" s="484"/>
      <x:c r="I308" s="485"/>
      <x:c r="J308" s="485"/>
      <x:c r="K308" s="484"/>
      <x:c r="L308" s="483"/>
      <x:c r="M308" s="477"/>
      <x:c r="N308" s="112" t="str">
        <x:f>IF(COUNTA($A308:$M308)=0,"",IF(OR(LOWER($F308&amp;"")="subscription",LOWER($F308&amp;"")="membership"),"",IF($G308="","",IF(ISNUMBER(SEARCH("non",LOWER($E308&amp;""))),$G308*0.85,$G308))))</x:f>
      </x:c>
      <x:c r="O308" s="112" t="str">
        <x:f>IF(COUNTA($A308:$M308)=0,"",IF(OR(LOWER($F308&amp;"")="subscription",LOWER($F308&amp;"")="membership"),"",IF(OR($N308="",$I308="",$I308=0),"",IFERROR($N308/$I308,""))))</x:f>
      </x:c>
      <x:c r="P308" s="112" t="str">
        <x:f>IF(COUNTA($A308:$M308)=0,"",IF(OR(LOWER($F308&amp;"")="subscription",LOWER($F308&amp;"")="membership"),"",IF(LOWER($L308&amp;"")="yes",0,IF($K308&lt;&gt;"",$K308,IF($O308&lt;&gt;"",$O308,"")))))</x:f>
      </x:c>
      <x:c r="Q308" s="112" t="str">
        <x:f>IF(COUNTA($A308:$M308)=0,"",IF(OR($U308="Subscription",$U308=""),"",IF($U308="Profit",ROUND($P308-$H308,2),0)))</x:f>
      </x:c>
      <x:c r="R308" s="112" t="str">
        <x:f>IF(COUNTA($A308:$M308)=0,"",IF(OR($U308="Subscription",$U308=""),"",IF($U308="Draw",$H308,0)))</x:f>
      </x:c>
      <x:c r="S308" s="112" t="str">
        <x:f>IF(COUNTA($A308:$M308)=0,"",IF(OR($U308="Subscription",$U308=""),"",IF($U308="Disqualified",$H308,0)))</x:f>
      </x:c>
      <x:c r="T308" s="116" t="str">
        <x:f>IF(COUNTA($A308:$M308)=0,"",IF(OR($U308="Subscription",$U308=""),"",IF($H308=0,0,IF($U308="Profit",$Q308/$H308,IF($U308="Disqualified",-$S308/$H308,0)))))</x:f>
      </x:c>
      <x:c r="U308" s="290" t="str">
        <x:f>IF(COUNTA($A308:$M308)=0,"",IF(OR(LOWER($F308&amp;"")="subscription",LOWER($F308&amp;"")="membership"),"Subscription",IF(LOWER($L308&amp;"")="yes","Disqualified",IF(OR(LOWER($F308&amp;"")="free game",LOWER($F308&amp;"")="free"),IF(AND(ISNUMBER($P308),ISNUMBER($H308),$P308&gt;$H308),"Profit","Free Game"),IF($P308="","",IF(ROUND(IFERROR(VALUE($P308),0)-IFERROR(VALUE($H308),0),2)&gt;0,"Profit","Draw"))))))</x:f>
      </x:c>
      <x:c r="V308" s="144" t="str">
        <x:f>IF(COUNTA($A308:$M308)=0,"",IF(OR($B308="",$C308="",$U308="Subscription"),"",IFERROR(ROUNDUP(($C308-$B308)/7,0),"")))</x:f>
      </x:c>
      <x:c r="W308" s="112" t="str">
        <x:f>IF(COUNTA($A308:$M308)=0,"",IF(OR($U308="Subscription",$U308=""),"",ROUND(IFERROR($Q308,0)-IFERROR($S308,0),2)))</x:f>
      </x:c>
      <x:c r="X308" s="144" t="str">
        <x:f>IF(COUNTA($A308:$M308)=0,"",IF(OR($U308="Subscription",$U308="Free Game",NOT(ISNUMBER($J308)),NOT(ISNUMBER($I308)),$J308=0,$I308=0,$I308&gt;$J308),"",$J308-$I308))</x:f>
      </x:c>
      <x:c r="Y308" s="116" t="str">
        <x:f>IF(COUNTA($A308:$M308)=0,"",IF(OR($U308="Subscription",$U308="Free Game",NOT(ISNUMBER($J308)),$J308=0,$X308=""),"",$X308/$J308))</x:f>
      </x:c>
      <x:c r="Z308" s="118" t="str">
        <x:f>IF(COUNTA($A308:$M308)=0,"",Instructions!$B$29+SUM($W$5:W308))</x:f>
      </x:c>
    </x:row>
    <x:row r="309" ht="30" customHeight="1">
      <x:c r="A309" s="477"/>
      <x:c r="B309" s="482"/>
      <x:c r="C309" s="482"/>
      <x:c r="D309" s="483"/>
      <x:c r="E309" s="483"/>
      <x:c r="F309" s="483"/>
      <x:c r="G309" s="484"/>
      <x:c r="H309" s="484"/>
      <x:c r="I309" s="485"/>
      <x:c r="J309" s="485"/>
      <x:c r="K309" s="484"/>
      <x:c r="L309" s="483"/>
      <x:c r="M309" s="477"/>
      <x:c r="N309" s="112" t="str">
        <x:f>IF(COUNTA($A309:$M309)=0,"",IF(OR(LOWER($F309&amp;"")="subscription",LOWER($F309&amp;"")="membership"),"",IF($G309="","",IF(ISNUMBER(SEARCH("non",LOWER($E309&amp;""))),$G309*0.85,$G309))))</x:f>
      </x:c>
      <x:c r="O309" s="112" t="str">
        <x:f>IF(COUNTA($A309:$M309)=0,"",IF(OR(LOWER($F309&amp;"")="subscription",LOWER($F309&amp;"")="membership"),"",IF(OR($N309="",$I309="",$I309=0),"",IFERROR($N309/$I309,""))))</x:f>
      </x:c>
      <x:c r="P309" s="112" t="str">
        <x:f>IF(COUNTA($A309:$M309)=0,"",IF(OR(LOWER($F309&amp;"")="subscription",LOWER($F309&amp;"")="membership"),"",IF(LOWER($L309&amp;"")="yes",0,IF($K309&lt;&gt;"",$K309,IF($O309&lt;&gt;"",$O309,"")))))</x:f>
      </x:c>
      <x:c r="Q309" s="112" t="str">
        <x:f>IF(COUNTA($A309:$M309)=0,"",IF(OR($U309="Subscription",$U309=""),"",IF($U309="Profit",ROUND($P309-$H309,2),0)))</x:f>
      </x:c>
      <x:c r="R309" s="112" t="str">
        <x:f>IF(COUNTA($A309:$M309)=0,"",IF(OR($U309="Subscription",$U309=""),"",IF($U309="Draw",$H309,0)))</x:f>
      </x:c>
      <x:c r="S309" s="112" t="str">
        <x:f>IF(COUNTA($A309:$M309)=0,"",IF(OR($U309="Subscription",$U309=""),"",IF($U309="Disqualified",$H309,0)))</x:f>
      </x:c>
      <x:c r="T309" s="116" t="str">
        <x:f>IF(COUNTA($A309:$M309)=0,"",IF(OR($U309="Subscription",$U309=""),"",IF($H309=0,0,IF($U309="Profit",$Q309/$H309,IF($U309="Disqualified",-$S309/$H309,0)))))</x:f>
      </x:c>
      <x:c r="U309" s="290" t="str">
        <x:f>IF(COUNTA($A309:$M309)=0,"",IF(OR(LOWER($F309&amp;"")="subscription",LOWER($F309&amp;"")="membership"),"Subscription",IF(LOWER($L309&amp;"")="yes","Disqualified",IF(OR(LOWER($F309&amp;"")="free game",LOWER($F309&amp;"")="free"),IF(AND(ISNUMBER($P309),ISNUMBER($H309),$P309&gt;$H309),"Profit","Free Game"),IF($P309="","",IF(ROUND(IFERROR(VALUE($P309),0)-IFERROR(VALUE($H309),0),2)&gt;0,"Profit","Draw"))))))</x:f>
      </x:c>
      <x:c r="V309" s="144" t="str">
        <x:f>IF(COUNTA($A309:$M309)=0,"",IF(OR($B309="",$C309="",$U309="Subscription"),"",IFERROR(ROUNDUP(($C309-$B309)/7,0),"")))</x:f>
      </x:c>
      <x:c r="W309" s="112" t="str">
        <x:f>IF(COUNTA($A309:$M309)=0,"",IF(OR($U309="Subscription",$U309=""),"",ROUND(IFERROR($Q309,0)-IFERROR($S309,0),2)))</x:f>
      </x:c>
      <x:c r="X309" s="144" t="str">
        <x:f>IF(COUNTA($A309:$M309)=0,"",IF(OR($U309="Subscription",$U309="Free Game",NOT(ISNUMBER($J309)),NOT(ISNUMBER($I309)),$J309=0,$I309=0,$I309&gt;$J309),"",$J309-$I309))</x:f>
      </x:c>
      <x:c r="Y309" s="116" t="str">
        <x:f>IF(COUNTA($A309:$M309)=0,"",IF(OR($U309="Subscription",$U309="Free Game",NOT(ISNUMBER($J309)),$J309=0,$X309=""),"",$X309/$J309))</x:f>
      </x:c>
      <x:c r="Z309" s="118" t="str">
        <x:f>IF(COUNTA($A309:$M309)=0,"",Instructions!$B$29+SUM($W$5:W309))</x:f>
      </x:c>
    </x:row>
    <x:row r="310" ht="30" customHeight="1">
      <x:c r="A310" s="477"/>
      <x:c r="B310" s="482"/>
      <x:c r="C310" s="482"/>
      <x:c r="D310" s="483"/>
      <x:c r="E310" s="483"/>
      <x:c r="F310" s="483"/>
      <x:c r="G310" s="484"/>
      <x:c r="H310" s="484"/>
      <x:c r="I310" s="485"/>
      <x:c r="J310" s="485"/>
      <x:c r="K310" s="484"/>
      <x:c r="L310" s="483"/>
      <x:c r="M310" s="477"/>
      <x:c r="N310" s="112" t="str">
        <x:f>IF(COUNTA($A310:$M310)=0,"",IF(OR(LOWER($F310&amp;"")="subscription",LOWER($F310&amp;"")="membership"),"",IF($G310="","",IF(ISNUMBER(SEARCH("non",LOWER($E310&amp;""))),$G310*0.85,$G310))))</x:f>
      </x:c>
      <x:c r="O310" s="112" t="str">
        <x:f>IF(COUNTA($A310:$M310)=0,"",IF(OR(LOWER($F310&amp;"")="subscription",LOWER($F310&amp;"")="membership"),"",IF(OR($N310="",$I310="",$I310=0),"",IFERROR($N310/$I310,""))))</x:f>
      </x:c>
      <x:c r="P310" s="112" t="str">
        <x:f>IF(COUNTA($A310:$M310)=0,"",IF(OR(LOWER($F310&amp;"")="subscription",LOWER($F310&amp;"")="membership"),"",IF(LOWER($L310&amp;"")="yes",0,IF($K310&lt;&gt;"",$K310,IF($O310&lt;&gt;"",$O310,"")))))</x:f>
      </x:c>
      <x:c r="Q310" s="112" t="str">
        <x:f>IF(COUNTA($A310:$M310)=0,"",IF(OR($U310="Subscription",$U310=""),"",IF($U310="Profit",ROUND($P310-$H310,2),0)))</x:f>
      </x:c>
      <x:c r="R310" s="112" t="str">
        <x:f>IF(COUNTA($A310:$M310)=0,"",IF(OR($U310="Subscription",$U310=""),"",IF($U310="Draw",$H310,0)))</x:f>
      </x:c>
      <x:c r="S310" s="112" t="str">
        <x:f>IF(COUNTA($A310:$M310)=0,"",IF(OR($U310="Subscription",$U310=""),"",IF($U310="Disqualified",$H310,0)))</x:f>
      </x:c>
      <x:c r="T310" s="116" t="str">
        <x:f>IF(COUNTA($A310:$M310)=0,"",IF(OR($U310="Subscription",$U310=""),"",IF($H310=0,0,IF($U310="Profit",$Q310/$H310,IF($U310="Disqualified",-$S310/$H310,0)))))</x:f>
      </x:c>
      <x:c r="U310" s="290" t="str">
        <x:f>IF(COUNTA($A310:$M310)=0,"",IF(OR(LOWER($F310&amp;"")="subscription",LOWER($F310&amp;"")="membership"),"Subscription",IF(LOWER($L310&amp;"")="yes","Disqualified",IF(OR(LOWER($F310&amp;"")="free game",LOWER($F310&amp;"")="free"),IF(AND(ISNUMBER($P310),ISNUMBER($H310),$P310&gt;$H310),"Profit","Free Game"),IF($P310="","",IF(ROUND(IFERROR(VALUE($P310),0)-IFERROR(VALUE($H310),0),2)&gt;0,"Profit","Draw"))))))</x:f>
      </x:c>
      <x:c r="V310" s="144" t="str">
        <x:f>IF(COUNTA($A310:$M310)=0,"",IF(OR($B310="",$C310="",$U310="Subscription"),"",IFERROR(ROUNDUP(($C310-$B310)/7,0),"")))</x:f>
      </x:c>
      <x:c r="W310" s="112" t="str">
        <x:f>IF(COUNTA($A310:$M310)=0,"",IF(OR($U310="Subscription",$U310=""),"",ROUND(IFERROR($Q310,0)-IFERROR($S310,0),2)))</x:f>
      </x:c>
      <x:c r="X310" s="144" t="str">
        <x:f>IF(COUNTA($A310:$M310)=0,"",IF(OR($U310="Subscription",$U310="Free Game",NOT(ISNUMBER($J310)),NOT(ISNUMBER($I310)),$J310=0,$I310=0,$I310&gt;$J310),"",$J310-$I310))</x:f>
      </x:c>
      <x:c r="Y310" s="116" t="str">
        <x:f>IF(COUNTA($A310:$M310)=0,"",IF(OR($U310="Subscription",$U310="Free Game",NOT(ISNUMBER($J310)),$J310=0,$X310=""),"",$X310/$J310))</x:f>
      </x:c>
      <x:c r="Z310" s="118" t="str">
        <x:f>IF(COUNTA($A310:$M310)=0,"",Instructions!$B$29+SUM($W$5:W310))</x:f>
      </x:c>
    </x:row>
    <x:row r="311" ht="30" customHeight="1">
      <x:c r="A311" s="477"/>
      <x:c r="B311" s="482"/>
      <x:c r="C311" s="482"/>
      <x:c r="D311" s="483"/>
      <x:c r="E311" s="483"/>
      <x:c r="F311" s="483"/>
      <x:c r="G311" s="484"/>
      <x:c r="H311" s="484"/>
      <x:c r="I311" s="485"/>
      <x:c r="J311" s="485"/>
      <x:c r="K311" s="484"/>
      <x:c r="L311" s="483"/>
      <x:c r="M311" s="477"/>
      <x:c r="N311" s="112" t="str">
        <x:f>IF(COUNTA($A311:$M311)=0,"",IF(OR(LOWER($F311&amp;"")="subscription",LOWER($F311&amp;"")="membership"),"",IF($G311="","",IF(ISNUMBER(SEARCH("non",LOWER($E311&amp;""))),$G311*0.85,$G311))))</x:f>
      </x:c>
      <x:c r="O311" s="112" t="str">
        <x:f>IF(COUNTA($A311:$M311)=0,"",IF(OR(LOWER($F311&amp;"")="subscription",LOWER($F311&amp;"")="membership"),"",IF(OR($N311="",$I311="",$I311=0),"",IFERROR($N311/$I311,""))))</x:f>
      </x:c>
      <x:c r="P311" s="112" t="str">
        <x:f>IF(COUNTA($A311:$M311)=0,"",IF(OR(LOWER($F311&amp;"")="subscription",LOWER($F311&amp;"")="membership"),"",IF(LOWER($L311&amp;"")="yes",0,IF($K311&lt;&gt;"",$K311,IF($O311&lt;&gt;"",$O311,"")))))</x:f>
      </x:c>
      <x:c r="Q311" s="112" t="str">
        <x:f>IF(COUNTA($A311:$M311)=0,"",IF(OR($U311="Subscription",$U311=""),"",IF($U311="Profit",ROUND($P311-$H311,2),0)))</x:f>
      </x:c>
      <x:c r="R311" s="112" t="str">
        <x:f>IF(COUNTA($A311:$M311)=0,"",IF(OR($U311="Subscription",$U311=""),"",IF($U311="Draw",$H311,0)))</x:f>
      </x:c>
      <x:c r="S311" s="112" t="str">
        <x:f>IF(COUNTA($A311:$M311)=0,"",IF(OR($U311="Subscription",$U311=""),"",IF($U311="Disqualified",$H311,0)))</x:f>
      </x:c>
      <x:c r="T311" s="116" t="str">
        <x:f>IF(COUNTA($A311:$M311)=0,"",IF(OR($U311="Subscription",$U311=""),"",IF($H311=0,0,IF($U311="Profit",$Q311/$H311,IF($U311="Disqualified",-$S311/$H311,0)))))</x:f>
      </x:c>
      <x:c r="U311" s="290" t="str">
        <x:f>IF(COUNTA($A311:$M311)=0,"",IF(OR(LOWER($F311&amp;"")="subscription",LOWER($F311&amp;"")="membership"),"Subscription",IF(LOWER($L311&amp;"")="yes","Disqualified",IF(OR(LOWER($F311&amp;"")="free game",LOWER($F311&amp;"")="free"),IF(AND(ISNUMBER($P311),ISNUMBER($H311),$P311&gt;$H311),"Profit","Free Game"),IF($P311="","",IF(ROUND(IFERROR(VALUE($P311),0)-IFERROR(VALUE($H311),0),2)&gt;0,"Profit","Draw"))))))</x:f>
      </x:c>
      <x:c r="V311" s="144" t="str">
        <x:f>IF(COUNTA($A311:$M311)=0,"",IF(OR($B311="",$C311="",$U311="Subscription"),"",IFERROR(ROUNDUP(($C311-$B311)/7,0),"")))</x:f>
      </x:c>
      <x:c r="W311" s="112" t="str">
        <x:f>IF(COUNTA($A311:$M311)=0,"",IF(OR($U311="Subscription",$U311=""),"",ROUND(IFERROR($Q311,0)-IFERROR($S311,0),2)))</x:f>
      </x:c>
      <x:c r="X311" s="144" t="str">
        <x:f>IF(COUNTA($A311:$M311)=0,"",IF(OR($U311="Subscription",$U311="Free Game",NOT(ISNUMBER($J311)),NOT(ISNUMBER($I311)),$J311=0,$I311=0,$I311&gt;$J311),"",$J311-$I311))</x:f>
      </x:c>
      <x:c r="Y311" s="116" t="str">
        <x:f>IF(COUNTA($A311:$M311)=0,"",IF(OR($U311="Subscription",$U311="Free Game",NOT(ISNUMBER($J311)),$J311=0,$X311=""),"",$X311/$J311))</x:f>
      </x:c>
      <x:c r="Z311" s="118" t="str">
        <x:f>IF(COUNTA($A311:$M311)=0,"",Instructions!$B$29+SUM($W$5:W311))</x:f>
      </x:c>
    </x:row>
    <x:row r="312" ht="30" customHeight="1">
      <x:c r="A312" s="477"/>
      <x:c r="B312" s="482"/>
      <x:c r="C312" s="482"/>
      <x:c r="D312" s="483"/>
      <x:c r="E312" s="483"/>
      <x:c r="F312" s="483"/>
      <x:c r="G312" s="484"/>
      <x:c r="H312" s="484"/>
      <x:c r="I312" s="485"/>
      <x:c r="J312" s="485"/>
      <x:c r="K312" s="484"/>
      <x:c r="L312" s="483"/>
      <x:c r="M312" s="477"/>
      <x:c r="N312" s="112" t="str">
        <x:f>IF(COUNTA($A312:$M312)=0,"",IF(OR(LOWER($F312&amp;"")="subscription",LOWER($F312&amp;"")="membership"),"",IF($G312="","",IF(ISNUMBER(SEARCH("non",LOWER($E312&amp;""))),$G312*0.85,$G312))))</x:f>
      </x:c>
      <x:c r="O312" s="112" t="str">
        <x:f>IF(COUNTA($A312:$M312)=0,"",IF(OR(LOWER($F312&amp;"")="subscription",LOWER($F312&amp;"")="membership"),"",IF(OR($N312="",$I312="",$I312=0),"",IFERROR($N312/$I312,""))))</x:f>
      </x:c>
      <x:c r="P312" s="112" t="str">
        <x:f>IF(COUNTA($A312:$M312)=0,"",IF(OR(LOWER($F312&amp;"")="subscription",LOWER($F312&amp;"")="membership"),"",IF(LOWER($L312&amp;"")="yes",0,IF($K312&lt;&gt;"",$K312,IF($O312&lt;&gt;"",$O312,"")))))</x:f>
      </x:c>
      <x:c r="Q312" s="112" t="str">
        <x:f>IF(COUNTA($A312:$M312)=0,"",IF(OR($U312="Subscription",$U312=""),"",IF($U312="Profit",ROUND($P312-$H312,2),0)))</x:f>
      </x:c>
      <x:c r="R312" s="112" t="str">
        <x:f>IF(COUNTA($A312:$M312)=0,"",IF(OR($U312="Subscription",$U312=""),"",IF($U312="Draw",$H312,0)))</x:f>
      </x:c>
      <x:c r="S312" s="112" t="str">
        <x:f>IF(COUNTA($A312:$M312)=0,"",IF(OR($U312="Subscription",$U312=""),"",IF($U312="Disqualified",$H312,0)))</x:f>
      </x:c>
      <x:c r="T312" s="116" t="str">
        <x:f>IF(COUNTA($A312:$M312)=0,"",IF(OR($U312="Subscription",$U312=""),"",IF($H312=0,0,IF($U312="Profit",$Q312/$H312,IF($U312="Disqualified",-$S312/$H312,0)))))</x:f>
      </x:c>
      <x:c r="U312" s="290" t="str">
        <x:f>IF(COUNTA($A312:$M312)=0,"",IF(OR(LOWER($F312&amp;"")="subscription",LOWER($F312&amp;"")="membership"),"Subscription",IF(LOWER($L312&amp;"")="yes","Disqualified",IF(OR(LOWER($F312&amp;"")="free game",LOWER($F312&amp;"")="free"),IF(AND(ISNUMBER($P312),ISNUMBER($H312),$P312&gt;$H312),"Profit","Free Game"),IF($P312="","",IF(ROUND(IFERROR(VALUE($P312),0)-IFERROR(VALUE($H312),0),2)&gt;0,"Profit","Draw"))))))</x:f>
      </x:c>
      <x:c r="V312" s="144" t="str">
        <x:f>IF(COUNTA($A312:$M312)=0,"",IF(OR($B312="",$C312="",$U312="Subscription"),"",IFERROR(ROUNDUP(($C312-$B312)/7,0),"")))</x:f>
      </x:c>
      <x:c r="W312" s="112" t="str">
        <x:f>IF(COUNTA($A312:$M312)=0,"",IF(OR($U312="Subscription",$U312=""),"",ROUND(IFERROR($Q312,0)-IFERROR($S312,0),2)))</x:f>
      </x:c>
      <x:c r="X312" s="144" t="str">
        <x:f>IF(COUNTA($A312:$M312)=0,"",IF(OR($U312="Subscription",$U312="Free Game",NOT(ISNUMBER($J312)),NOT(ISNUMBER($I312)),$J312=0,$I312=0,$I312&gt;$J312),"",$J312-$I312))</x:f>
      </x:c>
      <x:c r="Y312" s="116" t="str">
        <x:f>IF(COUNTA($A312:$M312)=0,"",IF(OR($U312="Subscription",$U312="Free Game",NOT(ISNUMBER($J312)),$J312=0,$X312=""),"",$X312/$J312))</x:f>
      </x:c>
      <x:c r="Z312" s="118" t="str">
        <x:f>IF(COUNTA($A312:$M312)=0,"",Instructions!$B$29+SUM($W$5:W312))</x:f>
      </x:c>
    </x:row>
    <x:row r="313" ht="30" customHeight="1">
      <x:c r="A313" s="477"/>
      <x:c r="B313" s="482"/>
      <x:c r="C313" s="482"/>
      <x:c r="D313" s="483"/>
      <x:c r="E313" s="483"/>
      <x:c r="F313" s="483"/>
      <x:c r="G313" s="484"/>
      <x:c r="H313" s="484"/>
      <x:c r="I313" s="485"/>
      <x:c r="J313" s="485"/>
      <x:c r="K313" s="484"/>
      <x:c r="L313" s="483"/>
      <x:c r="M313" s="477"/>
      <x:c r="N313" s="112" t="str">
        <x:f>IF(COUNTA($A313:$M313)=0,"",IF(OR(LOWER($F313&amp;"")="subscription",LOWER($F313&amp;"")="membership"),"",IF($G313="","",IF(ISNUMBER(SEARCH("non",LOWER($E313&amp;""))),$G313*0.85,$G313))))</x:f>
      </x:c>
      <x:c r="O313" s="112" t="str">
        <x:f>IF(COUNTA($A313:$M313)=0,"",IF(OR(LOWER($F313&amp;"")="subscription",LOWER($F313&amp;"")="membership"),"",IF(OR($N313="",$I313="",$I313=0),"",IFERROR($N313/$I313,""))))</x:f>
      </x:c>
      <x:c r="P313" s="112" t="str">
        <x:f>IF(COUNTA($A313:$M313)=0,"",IF(OR(LOWER($F313&amp;"")="subscription",LOWER($F313&amp;"")="membership"),"",IF(LOWER($L313&amp;"")="yes",0,IF($K313&lt;&gt;"",$K313,IF($O313&lt;&gt;"",$O313,"")))))</x:f>
      </x:c>
      <x:c r="Q313" s="112" t="str">
        <x:f>IF(COUNTA($A313:$M313)=0,"",IF(OR($U313="Subscription",$U313=""),"",IF($U313="Profit",ROUND($P313-$H313,2),0)))</x:f>
      </x:c>
      <x:c r="R313" s="112" t="str">
        <x:f>IF(COUNTA($A313:$M313)=0,"",IF(OR($U313="Subscription",$U313=""),"",IF($U313="Draw",$H313,0)))</x:f>
      </x:c>
      <x:c r="S313" s="112" t="str">
        <x:f>IF(COUNTA($A313:$M313)=0,"",IF(OR($U313="Subscription",$U313=""),"",IF($U313="Disqualified",$H313,0)))</x:f>
      </x:c>
      <x:c r="T313" s="116" t="str">
        <x:f>IF(COUNTA($A313:$M313)=0,"",IF(OR($U313="Subscription",$U313=""),"",IF($H313=0,0,IF($U313="Profit",$Q313/$H313,IF($U313="Disqualified",-$S313/$H313,0)))))</x:f>
      </x:c>
      <x:c r="U313" s="290" t="str">
        <x:f>IF(COUNTA($A313:$M313)=0,"",IF(OR(LOWER($F313&amp;"")="subscription",LOWER($F313&amp;"")="membership"),"Subscription",IF(LOWER($L313&amp;"")="yes","Disqualified",IF(OR(LOWER($F313&amp;"")="free game",LOWER($F313&amp;"")="free"),IF(AND(ISNUMBER($P313),ISNUMBER($H313),$P313&gt;$H313),"Profit","Free Game"),IF($P313="","",IF(ROUND(IFERROR(VALUE($P313),0)-IFERROR(VALUE($H313),0),2)&gt;0,"Profit","Draw"))))))</x:f>
      </x:c>
      <x:c r="V313" s="144" t="str">
        <x:f>IF(COUNTA($A313:$M313)=0,"",IF(OR($B313="",$C313="",$U313="Subscription"),"",IFERROR(ROUNDUP(($C313-$B313)/7,0),"")))</x:f>
      </x:c>
      <x:c r="W313" s="112" t="str">
        <x:f>IF(COUNTA($A313:$M313)=0,"",IF(OR($U313="Subscription",$U313=""),"",ROUND(IFERROR($Q313,0)-IFERROR($S313,0),2)))</x:f>
      </x:c>
      <x:c r="X313" s="144" t="str">
        <x:f>IF(COUNTA($A313:$M313)=0,"",IF(OR($U313="Subscription",$U313="Free Game",NOT(ISNUMBER($J313)),NOT(ISNUMBER($I313)),$J313=0,$I313=0,$I313&gt;$J313),"",$J313-$I313))</x:f>
      </x:c>
      <x:c r="Y313" s="116" t="str">
        <x:f>IF(COUNTA($A313:$M313)=0,"",IF(OR($U313="Subscription",$U313="Free Game",NOT(ISNUMBER($J313)),$J313=0,$X313=""),"",$X313/$J313))</x:f>
      </x:c>
      <x:c r="Z313" s="118" t="str">
        <x:f>IF(COUNTA($A313:$M313)=0,"",Instructions!$B$29+SUM($W$5:W313))</x:f>
      </x:c>
    </x:row>
    <x:row r="314" ht="30" customHeight="1">
      <x:c r="A314" s="477"/>
      <x:c r="B314" s="482"/>
      <x:c r="C314" s="482"/>
      <x:c r="D314" s="483"/>
      <x:c r="E314" s="483"/>
      <x:c r="F314" s="483"/>
      <x:c r="G314" s="484"/>
      <x:c r="H314" s="484"/>
      <x:c r="I314" s="485"/>
      <x:c r="J314" s="485"/>
      <x:c r="K314" s="484"/>
      <x:c r="L314" s="483"/>
      <x:c r="M314" s="477"/>
      <x:c r="N314" s="112" t="str">
        <x:f>IF(COUNTA($A314:$M314)=0,"",IF(OR(LOWER($F314&amp;"")="subscription",LOWER($F314&amp;"")="membership"),"",IF($G314="","",IF(ISNUMBER(SEARCH("non",LOWER($E314&amp;""))),$G314*0.85,$G314))))</x:f>
      </x:c>
      <x:c r="O314" s="112" t="str">
        <x:f>IF(COUNTA($A314:$M314)=0,"",IF(OR(LOWER($F314&amp;"")="subscription",LOWER($F314&amp;"")="membership"),"",IF(OR($N314="",$I314="",$I314=0),"",IFERROR($N314/$I314,""))))</x:f>
      </x:c>
      <x:c r="P314" s="112" t="str">
        <x:f>IF(COUNTA($A314:$M314)=0,"",IF(OR(LOWER($F314&amp;"")="subscription",LOWER($F314&amp;"")="membership"),"",IF(LOWER($L314&amp;"")="yes",0,IF($K314&lt;&gt;"",$K314,IF($O314&lt;&gt;"",$O314,"")))))</x:f>
      </x:c>
      <x:c r="Q314" s="112" t="str">
        <x:f>IF(COUNTA($A314:$M314)=0,"",IF(OR($U314="Subscription",$U314=""),"",IF($U314="Profit",ROUND($P314-$H314,2),0)))</x:f>
      </x:c>
      <x:c r="R314" s="112" t="str">
        <x:f>IF(COUNTA($A314:$M314)=0,"",IF(OR($U314="Subscription",$U314=""),"",IF($U314="Draw",$H314,0)))</x:f>
      </x:c>
      <x:c r="S314" s="112" t="str">
        <x:f>IF(COUNTA($A314:$M314)=0,"",IF(OR($U314="Subscription",$U314=""),"",IF($U314="Disqualified",$H314,0)))</x:f>
      </x:c>
      <x:c r="T314" s="116" t="str">
        <x:f>IF(COUNTA($A314:$M314)=0,"",IF(OR($U314="Subscription",$U314=""),"",IF($H314=0,0,IF($U314="Profit",$Q314/$H314,IF($U314="Disqualified",-$S314/$H314,0)))))</x:f>
      </x:c>
      <x:c r="U314" s="290" t="str">
        <x:f>IF(COUNTA($A314:$M314)=0,"",IF(OR(LOWER($F314&amp;"")="subscription",LOWER($F314&amp;"")="membership"),"Subscription",IF(LOWER($L314&amp;"")="yes","Disqualified",IF(OR(LOWER($F314&amp;"")="free game",LOWER($F314&amp;"")="free"),IF(AND(ISNUMBER($P314),ISNUMBER($H314),$P314&gt;$H314),"Profit","Free Game"),IF($P314="","",IF(ROUND(IFERROR(VALUE($P314),0)-IFERROR(VALUE($H314),0),2)&gt;0,"Profit","Draw"))))))</x:f>
      </x:c>
      <x:c r="V314" s="144" t="str">
        <x:f>IF(COUNTA($A314:$M314)=0,"",IF(OR($B314="",$C314="",$U314="Subscription"),"",IFERROR(ROUNDUP(($C314-$B314)/7,0),"")))</x:f>
      </x:c>
      <x:c r="W314" s="112" t="str">
        <x:f>IF(COUNTA($A314:$M314)=0,"",IF(OR($U314="Subscription",$U314=""),"",ROUND(IFERROR($Q314,0)-IFERROR($S314,0),2)))</x:f>
      </x:c>
      <x:c r="X314" s="144" t="str">
        <x:f>IF(COUNTA($A314:$M314)=0,"",IF(OR($U314="Subscription",$U314="Free Game",NOT(ISNUMBER($J314)),NOT(ISNUMBER($I314)),$J314=0,$I314=0,$I314&gt;$J314),"",$J314-$I314))</x:f>
      </x:c>
      <x:c r="Y314" s="116" t="str">
        <x:f>IF(COUNTA($A314:$M314)=0,"",IF(OR($U314="Subscription",$U314="Free Game",NOT(ISNUMBER($J314)),$J314=0,$X314=""),"",$X314/$J314))</x:f>
      </x:c>
      <x:c r="Z314" s="118" t="str">
        <x:f>IF(COUNTA($A314:$M314)=0,"",Instructions!$B$29+SUM($W$5:W314))</x:f>
      </x:c>
    </x:row>
    <x:row r="315" ht="30" customHeight="1">
      <x:c r="A315" s="477"/>
      <x:c r="B315" s="482"/>
      <x:c r="C315" s="482"/>
      <x:c r="D315" s="483"/>
      <x:c r="E315" s="483"/>
      <x:c r="F315" s="483"/>
      <x:c r="G315" s="484"/>
      <x:c r="H315" s="484"/>
      <x:c r="I315" s="485"/>
      <x:c r="J315" s="485"/>
      <x:c r="K315" s="484"/>
      <x:c r="L315" s="483"/>
      <x:c r="M315" s="477"/>
      <x:c r="N315" s="112" t="str">
        <x:f>IF(COUNTA($A315:$M315)=0,"",IF(OR(LOWER($F315&amp;"")="subscription",LOWER($F315&amp;"")="membership"),"",IF($G315="","",IF(ISNUMBER(SEARCH("non",LOWER($E315&amp;""))),$G315*0.85,$G315))))</x:f>
      </x:c>
      <x:c r="O315" s="112" t="str">
        <x:f>IF(COUNTA($A315:$M315)=0,"",IF(OR(LOWER($F315&amp;"")="subscription",LOWER($F315&amp;"")="membership"),"",IF(OR($N315="",$I315="",$I315=0),"",IFERROR($N315/$I315,""))))</x:f>
      </x:c>
      <x:c r="P315" s="112" t="str">
        <x:f>IF(COUNTA($A315:$M315)=0,"",IF(OR(LOWER($F315&amp;"")="subscription",LOWER($F315&amp;"")="membership"),"",IF(LOWER($L315&amp;"")="yes",0,IF($K315&lt;&gt;"",$K315,IF($O315&lt;&gt;"",$O315,"")))))</x:f>
      </x:c>
      <x:c r="Q315" s="112" t="str">
        <x:f>IF(COUNTA($A315:$M315)=0,"",IF(OR($U315="Subscription",$U315=""),"",IF($U315="Profit",ROUND($P315-$H315,2),0)))</x:f>
      </x:c>
      <x:c r="R315" s="112" t="str">
        <x:f>IF(COUNTA($A315:$M315)=0,"",IF(OR($U315="Subscription",$U315=""),"",IF($U315="Draw",$H315,0)))</x:f>
      </x:c>
      <x:c r="S315" s="112" t="str">
        <x:f>IF(COUNTA($A315:$M315)=0,"",IF(OR($U315="Subscription",$U315=""),"",IF($U315="Disqualified",$H315,0)))</x:f>
      </x:c>
      <x:c r="T315" s="116" t="str">
        <x:f>IF(COUNTA($A315:$M315)=0,"",IF(OR($U315="Subscription",$U315=""),"",IF($H315=0,0,IF($U315="Profit",$Q315/$H315,IF($U315="Disqualified",-$S315/$H315,0)))))</x:f>
      </x:c>
      <x:c r="U315" s="290" t="str">
        <x:f>IF(COUNTA($A315:$M315)=0,"",IF(OR(LOWER($F315&amp;"")="subscription",LOWER($F315&amp;"")="membership"),"Subscription",IF(LOWER($L315&amp;"")="yes","Disqualified",IF(OR(LOWER($F315&amp;"")="free game",LOWER($F315&amp;"")="free"),IF(AND(ISNUMBER($P315),ISNUMBER($H315),$P315&gt;$H315),"Profit","Free Game"),IF($P315="","",IF(ROUND(IFERROR(VALUE($P315),0)-IFERROR(VALUE($H315),0),2)&gt;0,"Profit","Draw"))))))</x:f>
      </x:c>
      <x:c r="V315" s="144" t="str">
        <x:f>IF(COUNTA($A315:$M315)=0,"",IF(OR($B315="",$C315="",$U315="Subscription"),"",IFERROR(ROUNDUP(($C315-$B315)/7,0),"")))</x:f>
      </x:c>
      <x:c r="W315" s="112" t="str">
        <x:f>IF(COUNTA($A315:$M315)=0,"",IF(OR($U315="Subscription",$U315=""),"",ROUND(IFERROR($Q315,0)-IFERROR($S315,0),2)))</x:f>
      </x:c>
      <x:c r="X315" s="144" t="str">
        <x:f>IF(COUNTA($A315:$M315)=0,"",IF(OR($U315="Subscription",$U315="Free Game",NOT(ISNUMBER($J315)),NOT(ISNUMBER($I315)),$J315=0,$I315=0,$I315&gt;$J315),"",$J315-$I315))</x:f>
      </x:c>
      <x:c r="Y315" s="116" t="str">
        <x:f>IF(COUNTA($A315:$M315)=0,"",IF(OR($U315="Subscription",$U315="Free Game",NOT(ISNUMBER($J315)),$J315=0,$X315=""),"",$X315/$J315))</x:f>
      </x:c>
      <x:c r="Z315" s="118" t="str">
        <x:f>IF(COUNTA($A315:$M315)=0,"",Instructions!$B$29+SUM($W$5:W315))</x:f>
      </x:c>
    </x:row>
    <x:row r="316" ht="30" customHeight="1">
      <x:c r="A316" s="477"/>
      <x:c r="B316" s="482"/>
      <x:c r="C316" s="482"/>
      <x:c r="D316" s="483"/>
      <x:c r="E316" s="483"/>
      <x:c r="F316" s="483"/>
      <x:c r="G316" s="484"/>
      <x:c r="H316" s="484"/>
      <x:c r="I316" s="485"/>
      <x:c r="J316" s="485"/>
      <x:c r="K316" s="484"/>
      <x:c r="L316" s="483"/>
      <x:c r="M316" s="477"/>
      <x:c r="N316" s="112" t="str">
        <x:f>IF(COUNTA($A316:$M316)=0,"",IF(OR(LOWER($F316&amp;"")="subscription",LOWER($F316&amp;"")="membership"),"",IF($G316="","",IF(ISNUMBER(SEARCH("non",LOWER($E316&amp;""))),$G316*0.85,$G316))))</x:f>
      </x:c>
      <x:c r="O316" s="112" t="str">
        <x:f>IF(COUNTA($A316:$M316)=0,"",IF(OR(LOWER($F316&amp;"")="subscription",LOWER($F316&amp;"")="membership"),"",IF(OR($N316="",$I316="",$I316=0),"",IFERROR($N316/$I316,""))))</x:f>
      </x:c>
      <x:c r="P316" s="112" t="str">
        <x:f>IF(COUNTA($A316:$M316)=0,"",IF(OR(LOWER($F316&amp;"")="subscription",LOWER($F316&amp;"")="membership"),"",IF(LOWER($L316&amp;"")="yes",0,IF($K316&lt;&gt;"",$K316,IF($O316&lt;&gt;"",$O316,"")))))</x:f>
      </x:c>
      <x:c r="Q316" s="112" t="str">
        <x:f>IF(COUNTA($A316:$M316)=0,"",IF(OR($U316="Subscription",$U316=""),"",IF($U316="Profit",ROUND($P316-$H316,2),0)))</x:f>
      </x:c>
      <x:c r="R316" s="112" t="str">
        <x:f>IF(COUNTA($A316:$M316)=0,"",IF(OR($U316="Subscription",$U316=""),"",IF($U316="Draw",$H316,0)))</x:f>
      </x:c>
      <x:c r="S316" s="112" t="str">
        <x:f>IF(COUNTA($A316:$M316)=0,"",IF(OR($U316="Subscription",$U316=""),"",IF($U316="Disqualified",$H316,0)))</x:f>
      </x:c>
      <x:c r="T316" s="116" t="str">
        <x:f>IF(COUNTA($A316:$M316)=0,"",IF(OR($U316="Subscription",$U316=""),"",IF($H316=0,0,IF($U316="Profit",$Q316/$H316,IF($U316="Disqualified",-$S316/$H316,0)))))</x:f>
      </x:c>
      <x:c r="U316" s="290" t="str">
        <x:f>IF(COUNTA($A316:$M316)=0,"",IF(OR(LOWER($F316&amp;"")="subscription",LOWER($F316&amp;"")="membership"),"Subscription",IF(LOWER($L316&amp;"")="yes","Disqualified",IF(OR(LOWER($F316&amp;"")="free game",LOWER($F316&amp;"")="free"),IF(AND(ISNUMBER($P316),ISNUMBER($H316),$P316&gt;$H316),"Profit","Free Game"),IF($P316="","",IF(ROUND(IFERROR(VALUE($P316),0)-IFERROR(VALUE($H316),0),2)&gt;0,"Profit","Draw"))))))</x:f>
      </x:c>
      <x:c r="V316" s="144" t="str">
        <x:f>IF(COUNTA($A316:$M316)=0,"",IF(OR($B316="",$C316="",$U316="Subscription"),"",IFERROR(ROUNDUP(($C316-$B316)/7,0),"")))</x:f>
      </x:c>
      <x:c r="W316" s="112" t="str">
        <x:f>IF(COUNTA($A316:$M316)=0,"",IF(OR($U316="Subscription",$U316=""),"",ROUND(IFERROR($Q316,0)-IFERROR($S316,0),2)))</x:f>
      </x:c>
      <x:c r="X316" s="144" t="str">
        <x:f>IF(COUNTA($A316:$M316)=0,"",IF(OR($U316="Subscription",$U316="Free Game",NOT(ISNUMBER($J316)),NOT(ISNUMBER($I316)),$J316=0,$I316=0,$I316&gt;$J316),"",$J316-$I316))</x:f>
      </x:c>
      <x:c r="Y316" s="116" t="str">
        <x:f>IF(COUNTA($A316:$M316)=0,"",IF(OR($U316="Subscription",$U316="Free Game",NOT(ISNUMBER($J316)),$J316=0,$X316=""),"",$X316/$J316))</x:f>
      </x:c>
      <x:c r="Z316" s="118" t="str">
        <x:f>IF(COUNTA($A316:$M316)=0,"",Instructions!$B$29+SUM($W$5:W316))</x:f>
      </x:c>
    </x:row>
    <x:row r="317" ht="30" customHeight="1">
      <x:c r="A317" s="477"/>
      <x:c r="B317" s="482"/>
      <x:c r="C317" s="482"/>
      <x:c r="D317" s="483"/>
      <x:c r="E317" s="483"/>
      <x:c r="F317" s="483"/>
      <x:c r="G317" s="484"/>
      <x:c r="H317" s="484"/>
      <x:c r="I317" s="485"/>
      <x:c r="J317" s="485"/>
      <x:c r="K317" s="484"/>
      <x:c r="L317" s="483"/>
      <x:c r="M317" s="477"/>
      <x:c r="N317" s="112" t="str">
        <x:f>IF(COUNTA($A317:$M317)=0,"",IF(OR(LOWER($F317&amp;"")="subscription",LOWER($F317&amp;"")="membership"),"",IF($G317="","",IF(ISNUMBER(SEARCH("non",LOWER($E317&amp;""))),$G317*0.85,$G317))))</x:f>
      </x:c>
      <x:c r="O317" s="112" t="str">
        <x:f>IF(COUNTA($A317:$M317)=0,"",IF(OR(LOWER($F317&amp;"")="subscription",LOWER($F317&amp;"")="membership"),"",IF(OR($N317="",$I317="",$I317=0),"",IFERROR($N317/$I317,""))))</x:f>
      </x:c>
      <x:c r="P317" s="112" t="str">
        <x:f>IF(COUNTA($A317:$M317)=0,"",IF(OR(LOWER($F317&amp;"")="subscription",LOWER($F317&amp;"")="membership"),"",IF(LOWER($L317&amp;"")="yes",0,IF($K317&lt;&gt;"",$K317,IF($O317&lt;&gt;"",$O317,"")))))</x:f>
      </x:c>
      <x:c r="Q317" s="112" t="str">
        <x:f>IF(COUNTA($A317:$M317)=0,"",IF(OR($U317="Subscription",$U317=""),"",IF($U317="Profit",ROUND($P317-$H317,2),0)))</x:f>
      </x:c>
      <x:c r="R317" s="112" t="str">
        <x:f>IF(COUNTA($A317:$M317)=0,"",IF(OR($U317="Subscription",$U317=""),"",IF($U317="Draw",$H317,0)))</x:f>
      </x:c>
      <x:c r="S317" s="112" t="str">
        <x:f>IF(COUNTA($A317:$M317)=0,"",IF(OR($U317="Subscription",$U317=""),"",IF($U317="Disqualified",$H317,0)))</x:f>
      </x:c>
      <x:c r="T317" s="116" t="str">
        <x:f>IF(COUNTA($A317:$M317)=0,"",IF(OR($U317="Subscription",$U317=""),"",IF($H317=0,0,IF($U317="Profit",$Q317/$H317,IF($U317="Disqualified",-$S317/$H317,0)))))</x:f>
      </x:c>
      <x:c r="U317" s="290" t="str">
        <x:f>IF(COUNTA($A317:$M317)=0,"",IF(OR(LOWER($F317&amp;"")="subscription",LOWER($F317&amp;"")="membership"),"Subscription",IF(LOWER($L317&amp;"")="yes","Disqualified",IF(OR(LOWER($F317&amp;"")="free game",LOWER($F317&amp;"")="free"),IF(AND(ISNUMBER($P317),ISNUMBER($H317),$P317&gt;$H317),"Profit","Free Game"),IF($P317="","",IF(ROUND(IFERROR(VALUE($P317),0)-IFERROR(VALUE($H317),0),2)&gt;0,"Profit","Draw"))))))</x:f>
      </x:c>
      <x:c r="V317" s="144" t="str">
        <x:f>IF(COUNTA($A317:$M317)=0,"",IF(OR($B317="",$C317="",$U317="Subscription"),"",IFERROR(ROUNDUP(($C317-$B317)/7,0),"")))</x:f>
      </x:c>
      <x:c r="W317" s="112" t="str">
        <x:f>IF(COUNTA($A317:$M317)=0,"",IF(OR($U317="Subscription",$U317=""),"",ROUND(IFERROR($Q317,0)-IFERROR($S317,0),2)))</x:f>
      </x:c>
      <x:c r="X317" s="144" t="str">
        <x:f>IF(COUNTA($A317:$M317)=0,"",IF(OR($U317="Subscription",$U317="Free Game",NOT(ISNUMBER($J317)),NOT(ISNUMBER($I317)),$J317=0,$I317=0,$I317&gt;$J317),"",$J317-$I317))</x:f>
      </x:c>
      <x:c r="Y317" s="116" t="str">
        <x:f>IF(COUNTA($A317:$M317)=0,"",IF(OR($U317="Subscription",$U317="Free Game",NOT(ISNUMBER($J317)),$J317=0,$X317=""),"",$X317/$J317))</x:f>
      </x:c>
      <x:c r="Z317" s="118" t="str">
        <x:f>IF(COUNTA($A317:$M317)=0,"",Instructions!$B$29+SUM($W$5:W317))</x:f>
      </x:c>
    </x:row>
    <x:row r="318" ht="30" customHeight="1">
      <x:c r="A318" s="477"/>
      <x:c r="B318" s="482"/>
      <x:c r="C318" s="482"/>
      <x:c r="D318" s="483"/>
      <x:c r="E318" s="483"/>
      <x:c r="F318" s="483"/>
      <x:c r="G318" s="484"/>
      <x:c r="H318" s="484"/>
      <x:c r="I318" s="485"/>
      <x:c r="J318" s="485"/>
      <x:c r="K318" s="484"/>
      <x:c r="L318" s="483"/>
      <x:c r="M318" s="477"/>
      <x:c r="N318" s="112" t="str">
        <x:f>IF(COUNTA($A318:$M318)=0,"",IF(OR(LOWER($F318&amp;"")="subscription",LOWER($F318&amp;"")="membership"),"",IF($G318="","",IF(ISNUMBER(SEARCH("non",LOWER($E318&amp;""))),$G318*0.85,$G318))))</x:f>
      </x:c>
      <x:c r="O318" s="112" t="str">
        <x:f>IF(COUNTA($A318:$M318)=0,"",IF(OR(LOWER($F318&amp;"")="subscription",LOWER($F318&amp;"")="membership"),"",IF(OR($N318="",$I318="",$I318=0),"",IFERROR($N318/$I318,""))))</x:f>
      </x:c>
      <x:c r="P318" s="112" t="str">
        <x:f>IF(COUNTA($A318:$M318)=0,"",IF(OR(LOWER($F318&amp;"")="subscription",LOWER($F318&amp;"")="membership"),"",IF(LOWER($L318&amp;"")="yes",0,IF($K318&lt;&gt;"",$K318,IF($O318&lt;&gt;"",$O318,"")))))</x:f>
      </x:c>
      <x:c r="Q318" s="112" t="str">
        <x:f>IF(COUNTA($A318:$M318)=0,"",IF(OR($U318="Subscription",$U318=""),"",IF($U318="Profit",ROUND($P318-$H318,2),0)))</x:f>
      </x:c>
      <x:c r="R318" s="112" t="str">
        <x:f>IF(COUNTA($A318:$M318)=0,"",IF(OR($U318="Subscription",$U318=""),"",IF($U318="Draw",$H318,0)))</x:f>
      </x:c>
      <x:c r="S318" s="112" t="str">
        <x:f>IF(COUNTA($A318:$M318)=0,"",IF(OR($U318="Subscription",$U318=""),"",IF($U318="Disqualified",$H318,0)))</x:f>
      </x:c>
      <x:c r="T318" s="116" t="str">
        <x:f>IF(COUNTA($A318:$M318)=0,"",IF(OR($U318="Subscription",$U318=""),"",IF($H318=0,0,IF($U318="Profit",$Q318/$H318,IF($U318="Disqualified",-$S318/$H318,0)))))</x:f>
      </x:c>
      <x:c r="U318" s="290" t="str">
        <x:f>IF(COUNTA($A318:$M318)=0,"",IF(OR(LOWER($F318&amp;"")="subscription",LOWER($F318&amp;"")="membership"),"Subscription",IF(LOWER($L318&amp;"")="yes","Disqualified",IF(OR(LOWER($F318&amp;"")="free game",LOWER($F318&amp;"")="free"),IF(AND(ISNUMBER($P318),ISNUMBER($H318),$P318&gt;$H318),"Profit","Free Game"),IF($P318="","",IF(ROUND(IFERROR(VALUE($P318),0)-IFERROR(VALUE($H318),0),2)&gt;0,"Profit","Draw"))))))</x:f>
      </x:c>
      <x:c r="V318" s="144" t="str">
        <x:f>IF(COUNTA($A318:$M318)=0,"",IF(OR($B318="",$C318="",$U318="Subscription"),"",IFERROR(ROUNDUP(($C318-$B318)/7,0),"")))</x:f>
      </x:c>
      <x:c r="W318" s="112" t="str">
        <x:f>IF(COUNTA($A318:$M318)=0,"",IF(OR($U318="Subscription",$U318=""),"",ROUND(IFERROR($Q318,0)-IFERROR($S318,0),2)))</x:f>
      </x:c>
      <x:c r="X318" s="144" t="str">
        <x:f>IF(COUNTA($A318:$M318)=0,"",IF(OR($U318="Subscription",$U318="Free Game",NOT(ISNUMBER($J318)),NOT(ISNUMBER($I318)),$J318=0,$I318=0,$I318&gt;$J318),"",$J318-$I318))</x:f>
      </x:c>
      <x:c r="Y318" s="116" t="str">
        <x:f>IF(COUNTA($A318:$M318)=0,"",IF(OR($U318="Subscription",$U318="Free Game",NOT(ISNUMBER($J318)),$J318=0,$X318=""),"",$X318/$J318))</x:f>
      </x:c>
      <x:c r="Z318" s="118" t="str">
        <x:f>IF(COUNTA($A318:$M318)=0,"",Instructions!$B$29+SUM($W$5:W318))</x:f>
      </x:c>
    </x:row>
    <x:row r="319" ht="30" customHeight="1">
      <x:c r="A319" s="477"/>
      <x:c r="B319" s="482"/>
      <x:c r="C319" s="482"/>
      <x:c r="D319" s="483"/>
      <x:c r="E319" s="483"/>
      <x:c r="F319" s="483"/>
      <x:c r="G319" s="484"/>
      <x:c r="H319" s="484"/>
      <x:c r="I319" s="485"/>
      <x:c r="J319" s="485"/>
      <x:c r="K319" s="484"/>
      <x:c r="L319" s="483"/>
      <x:c r="M319" s="477"/>
      <x:c r="N319" s="112" t="str">
        <x:f>IF(COUNTA($A319:$M319)=0,"",IF(OR(LOWER($F319&amp;"")="subscription",LOWER($F319&amp;"")="membership"),"",IF($G319="","",IF(ISNUMBER(SEARCH("non",LOWER($E319&amp;""))),$G319*0.85,$G319))))</x:f>
      </x:c>
      <x:c r="O319" s="112" t="str">
        <x:f>IF(COUNTA($A319:$M319)=0,"",IF(OR(LOWER($F319&amp;"")="subscription",LOWER($F319&amp;"")="membership"),"",IF(OR($N319="",$I319="",$I319=0),"",IFERROR($N319/$I319,""))))</x:f>
      </x:c>
      <x:c r="P319" s="112" t="str">
        <x:f>IF(COUNTA($A319:$M319)=0,"",IF(OR(LOWER($F319&amp;"")="subscription",LOWER($F319&amp;"")="membership"),"",IF(LOWER($L319&amp;"")="yes",0,IF($K319&lt;&gt;"",$K319,IF($O319&lt;&gt;"",$O319,"")))))</x:f>
      </x:c>
      <x:c r="Q319" s="112" t="str">
        <x:f>IF(COUNTA($A319:$M319)=0,"",IF(OR($U319="Subscription",$U319=""),"",IF($U319="Profit",ROUND($P319-$H319,2),0)))</x:f>
      </x:c>
      <x:c r="R319" s="112" t="str">
        <x:f>IF(COUNTA($A319:$M319)=0,"",IF(OR($U319="Subscription",$U319=""),"",IF($U319="Draw",$H319,0)))</x:f>
      </x:c>
      <x:c r="S319" s="112" t="str">
        <x:f>IF(COUNTA($A319:$M319)=0,"",IF(OR($U319="Subscription",$U319=""),"",IF($U319="Disqualified",$H319,0)))</x:f>
      </x:c>
      <x:c r="T319" s="116" t="str">
        <x:f>IF(COUNTA($A319:$M319)=0,"",IF(OR($U319="Subscription",$U319=""),"",IF($H319=0,0,IF($U319="Profit",$Q319/$H319,IF($U319="Disqualified",-$S319/$H319,0)))))</x:f>
      </x:c>
      <x:c r="U319" s="290" t="str">
        <x:f>IF(COUNTA($A319:$M319)=0,"",IF(OR(LOWER($F319&amp;"")="subscription",LOWER($F319&amp;"")="membership"),"Subscription",IF(LOWER($L319&amp;"")="yes","Disqualified",IF(OR(LOWER($F319&amp;"")="free game",LOWER($F319&amp;"")="free"),IF(AND(ISNUMBER($P319),ISNUMBER($H319),$P319&gt;$H319),"Profit","Free Game"),IF($P319="","",IF(ROUND(IFERROR(VALUE($P319),0)-IFERROR(VALUE($H319),0),2)&gt;0,"Profit","Draw"))))))</x:f>
      </x:c>
      <x:c r="V319" s="144" t="str">
        <x:f>IF(COUNTA($A319:$M319)=0,"",IF(OR($B319="",$C319="",$U319="Subscription"),"",IFERROR(ROUNDUP(($C319-$B319)/7,0),"")))</x:f>
      </x:c>
      <x:c r="W319" s="112" t="str">
        <x:f>IF(COUNTA($A319:$M319)=0,"",IF(OR($U319="Subscription",$U319=""),"",ROUND(IFERROR($Q319,0)-IFERROR($S319,0),2)))</x:f>
      </x:c>
      <x:c r="X319" s="144" t="str">
        <x:f>IF(COUNTA($A319:$M319)=0,"",IF(OR($U319="Subscription",$U319="Free Game",NOT(ISNUMBER($J319)),NOT(ISNUMBER($I319)),$J319=0,$I319=0,$I319&gt;$J319),"",$J319-$I319))</x:f>
      </x:c>
      <x:c r="Y319" s="116" t="str">
        <x:f>IF(COUNTA($A319:$M319)=0,"",IF(OR($U319="Subscription",$U319="Free Game",NOT(ISNUMBER($J319)),$J319=0,$X319=""),"",$X319/$J319))</x:f>
      </x:c>
      <x:c r="Z319" s="118" t="str">
        <x:f>IF(COUNTA($A319:$M319)=0,"",Instructions!$B$29+SUM($W$5:W319))</x:f>
      </x:c>
    </x:row>
    <x:row r="320" ht="30" customHeight="1">
      <x:c r="A320" s="477"/>
      <x:c r="B320" s="482"/>
      <x:c r="C320" s="482"/>
      <x:c r="D320" s="483"/>
      <x:c r="E320" s="483"/>
      <x:c r="F320" s="483"/>
      <x:c r="G320" s="484"/>
      <x:c r="H320" s="484"/>
      <x:c r="I320" s="485"/>
      <x:c r="J320" s="485"/>
      <x:c r="K320" s="484"/>
      <x:c r="L320" s="483"/>
      <x:c r="M320" s="477"/>
      <x:c r="N320" s="112" t="str">
        <x:f>IF(COUNTA($A320:$M320)=0,"",IF(OR(LOWER($F320&amp;"")="subscription",LOWER($F320&amp;"")="membership"),"",IF($G320="","",IF(ISNUMBER(SEARCH("non",LOWER($E320&amp;""))),$G320*0.85,$G320))))</x:f>
      </x:c>
      <x:c r="O320" s="112" t="str">
        <x:f>IF(COUNTA($A320:$M320)=0,"",IF(OR(LOWER($F320&amp;"")="subscription",LOWER($F320&amp;"")="membership"),"",IF(OR($N320="",$I320="",$I320=0),"",IFERROR($N320/$I320,""))))</x:f>
      </x:c>
      <x:c r="P320" s="112" t="str">
        <x:f>IF(COUNTA($A320:$M320)=0,"",IF(OR(LOWER($F320&amp;"")="subscription",LOWER($F320&amp;"")="membership"),"",IF(LOWER($L320&amp;"")="yes",0,IF($K320&lt;&gt;"",$K320,IF($O320&lt;&gt;"",$O320,"")))))</x:f>
      </x:c>
      <x:c r="Q320" s="112" t="str">
        <x:f>IF(COUNTA($A320:$M320)=0,"",IF(OR($U320="Subscription",$U320=""),"",IF($U320="Profit",ROUND($P320-$H320,2),0)))</x:f>
      </x:c>
      <x:c r="R320" s="112" t="str">
        <x:f>IF(COUNTA($A320:$M320)=0,"",IF(OR($U320="Subscription",$U320=""),"",IF($U320="Draw",$H320,0)))</x:f>
      </x:c>
      <x:c r="S320" s="112" t="str">
        <x:f>IF(COUNTA($A320:$M320)=0,"",IF(OR($U320="Subscription",$U320=""),"",IF($U320="Disqualified",$H320,0)))</x:f>
      </x:c>
      <x:c r="T320" s="116" t="str">
        <x:f>IF(COUNTA($A320:$M320)=0,"",IF(OR($U320="Subscription",$U320=""),"",IF($H320=0,0,IF($U320="Profit",$Q320/$H320,IF($U320="Disqualified",-$S320/$H320,0)))))</x:f>
      </x:c>
      <x:c r="U320" s="290" t="str">
        <x:f>IF(COUNTA($A320:$M320)=0,"",IF(OR(LOWER($F320&amp;"")="subscription",LOWER($F320&amp;"")="membership"),"Subscription",IF(LOWER($L320&amp;"")="yes","Disqualified",IF(OR(LOWER($F320&amp;"")="free game",LOWER($F320&amp;"")="free"),IF(AND(ISNUMBER($P320),ISNUMBER($H320),$P320&gt;$H320),"Profit","Free Game"),IF($P320="","",IF(ROUND(IFERROR(VALUE($P320),0)-IFERROR(VALUE($H320),0),2)&gt;0,"Profit","Draw"))))))</x:f>
      </x:c>
      <x:c r="V320" s="144" t="str">
        <x:f>IF(COUNTA($A320:$M320)=0,"",IF(OR($B320="",$C320="",$U320="Subscription"),"",IFERROR(ROUNDUP(($C320-$B320)/7,0),"")))</x:f>
      </x:c>
      <x:c r="W320" s="112" t="str">
        <x:f>IF(COUNTA($A320:$M320)=0,"",IF(OR($U320="Subscription",$U320=""),"",ROUND(IFERROR($Q320,0)-IFERROR($S320,0),2)))</x:f>
      </x:c>
      <x:c r="X320" s="144" t="str">
        <x:f>IF(COUNTA($A320:$M320)=0,"",IF(OR($U320="Subscription",$U320="Free Game",NOT(ISNUMBER($J320)),NOT(ISNUMBER($I320)),$J320=0,$I320=0,$I320&gt;$J320),"",$J320-$I320))</x:f>
      </x:c>
      <x:c r="Y320" s="116" t="str">
        <x:f>IF(COUNTA($A320:$M320)=0,"",IF(OR($U320="Subscription",$U320="Free Game",NOT(ISNUMBER($J320)),$J320=0,$X320=""),"",$X320/$J320))</x:f>
      </x:c>
      <x:c r="Z320" s="118" t="str">
        <x:f>IF(COUNTA($A320:$M320)=0,"",Instructions!$B$29+SUM($W$5:W320))</x:f>
      </x:c>
    </x:row>
    <x:row r="321" ht="30" customHeight="1">
      <x:c r="A321" s="477"/>
      <x:c r="B321" s="482"/>
      <x:c r="C321" s="482"/>
      <x:c r="D321" s="483"/>
      <x:c r="E321" s="483"/>
      <x:c r="F321" s="483"/>
      <x:c r="G321" s="484"/>
      <x:c r="H321" s="484"/>
      <x:c r="I321" s="485"/>
      <x:c r="J321" s="485"/>
      <x:c r="K321" s="484"/>
      <x:c r="L321" s="483"/>
      <x:c r="M321" s="477"/>
      <x:c r="N321" s="112" t="str">
        <x:f>IF(COUNTA($A321:$M321)=0,"",IF(OR(LOWER($F321&amp;"")="subscription",LOWER($F321&amp;"")="membership"),"",IF($G321="","",IF(ISNUMBER(SEARCH("non",LOWER($E321&amp;""))),$G321*0.85,$G321))))</x:f>
      </x:c>
      <x:c r="O321" s="112" t="str">
        <x:f>IF(COUNTA($A321:$M321)=0,"",IF(OR(LOWER($F321&amp;"")="subscription",LOWER($F321&amp;"")="membership"),"",IF(OR($N321="",$I321="",$I321=0),"",IFERROR($N321/$I321,""))))</x:f>
      </x:c>
      <x:c r="P321" s="112" t="str">
        <x:f>IF(COUNTA($A321:$M321)=0,"",IF(OR(LOWER($F321&amp;"")="subscription",LOWER($F321&amp;"")="membership"),"",IF(LOWER($L321&amp;"")="yes",0,IF($K321&lt;&gt;"",$K321,IF($O321&lt;&gt;"",$O321,"")))))</x:f>
      </x:c>
      <x:c r="Q321" s="112" t="str">
        <x:f>IF(COUNTA($A321:$M321)=0,"",IF(OR($U321="Subscription",$U321=""),"",IF($U321="Profit",ROUND($P321-$H321,2),0)))</x:f>
      </x:c>
      <x:c r="R321" s="112" t="str">
        <x:f>IF(COUNTA($A321:$M321)=0,"",IF(OR($U321="Subscription",$U321=""),"",IF($U321="Draw",$H321,0)))</x:f>
      </x:c>
      <x:c r="S321" s="112" t="str">
        <x:f>IF(COUNTA($A321:$M321)=0,"",IF(OR($U321="Subscription",$U321=""),"",IF($U321="Disqualified",$H321,0)))</x:f>
      </x:c>
      <x:c r="T321" s="116" t="str">
        <x:f>IF(COUNTA($A321:$M321)=0,"",IF(OR($U321="Subscription",$U321=""),"",IF($H321=0,0,IF($U321="Profit",$Q321/$H321,IF($U321="Disqualified",-$S321/$H321,0)))))</x:f>
      </x:c>
      <x:c r="U321" s="290" t="str">
        <x:f>IF(COUNTA($A321:$M321)=0,"",IF(OR(LOWER($F321&amp;"")="subscription",LOWER($F321&amp;"")="membership"),"Subscription",IF(LOWER($L321&amp;"")="yes","Disqualified",IF(OR(LOWER($F321&amp;"")="free game",LOWER($F321&amp;"")="free"),IF(AND(ISNUMBER($P321),ISNUMBER($H321),$P321&gt;$H321),"Profit","Free Game"),IF($P321="","",IF(ROUND(IFERROR(VALUE($P321),0)-IFERROR(VALUE($H321),0),2)&gt;0,"Profit","Draw"))))))</x:f>
      </x:c>
      <x:c r="V321" s="144" t="str">
        <x:f>IF(COUNTA($A321:$M321)=0,"",IF(OR($B321="",$C321="",$U321="Subscription"),"",IFERROR(ROUNDUP(($C321-$B321)/7,0),"")))</x:f>
      </x:c>
      <x:c r="W321" s="112" t="str">
        <x:f>IF(COUNTA($A321:$M321)=0,"",IF(OR($U321="Subscription",$U321=""),"",ROUND(IFERROR($Q321,0)-IFERROR($S321,0),2)))</x:f>
      </x:c>
      <x:c r="X321" s="144" t="str">
        <x:f>IF(COUNTA($A321:$M321)=0,"",IF(OR($U321="Subscription",$U321="Free Game",NOT(ISNUMBER($J321)),NOT(ISNUMBER($I321)),$J321=0,$I321=0,$I321&gt;$J321),"",$J321-$I321))</x:f>
      </x:c>
      <x:c r="Y321" s="116" t="str">
        <x:f>IF(COUNTA($A321:$M321)=0,"",IF(OR($U321="Subscription",$U321="Free Game",NOT(ISNUMBER($J321)),$J321=0,$X321=""),"",$X321/$J321))</x:f>
      </x:c>
      <x:c r="Z321" s="118" t="str">
        <x:f>IF(COUNTA($A321:$M321)=0,"",Instructions!$B$29+SUM($W$5:W321))</x:f>
      </x:c>
    </x:row>
    <x:row r="322" ht="30" customHeight="1">
      <x:c r="A322" s="477"/>
      <x:c r="B322" s="482"/>
      <x:c r="C322" s="482"/>
      <x:c r="D322" s="483"/>
      <x:c r="E322" s="483"/>
      <x:c r="F322" s="483"/>
      <x:c r="G322" s="484"/>
      <x:c r="H322" s="484"/>
      <x:c r="I322" s="485"/>
      <x:c r="J322" s="485"/>
      <x:c r="K322" s="484"/>
      <x:c r="L322" s="483"/>
      <x:c r="M322" s="477"/>
      <x:c r="N322" s="112" t="str">
        <x:f>IF(COUNTA($A322:$M322)=0,"",IF(OR(LOWER($F322&amp;"")="subscription",LOWER($F322&amp;"")="membership"),"",IF($G322="","",IF(ISNUMBER(SEARCH("non",LOWER($E322&amp;""))),$G322*0.85,$G322))))</x:f>
      </x:c>
      <x:c r="O322" s="112" t="str">
        <x:f>IF(COUNTA($A322:$M322)=0,"",IF(OR(LOWER($F322&amp;"")="subscription",LOWER($F322&amp;"")="membership"),"",IF(OR($N322="",$I322="",$I322=0),"",IFERROR($N322/$I322,""))))</x:f>
      </x:c>
      <x:c r="P322" s="112" t="str">
        <x:f>IF(COUNTA($A322:$M322)=0,"",IF(OR(LOWER($F322&amp;"")="subscription",LOWER($F322&amp;"")="membership"),"",IF(LOWER($L322&amp;"")="yes",0,IF($K322&lt;&gt;"",$K322,IF($O322&lt;&gt;"",$O322,"")))))</x:f>
      </x:c>
      <x:c r="Q322" s="112" t="str">
        <x:f>IF(COUNTA($A322:$M322)=0,"",IF(OR($U322="Subscription",$U322=""),"",IF($U322="Profit",ROUND($P322-$H322,2),0)))</x:f>
      </x:c>
      <x:c r="R322" s="112" t="str">
        <x:f>IF(COUNTA($A322:$M322)=0,"",IF(OR($U322="Subscription",$U322=""),"",IF($U322="Draw",$H322,0)))</x:f>
      </x:c>
      <x:c r="S322" s="112" t="str">
        <x:f>IF(COUNTA($A322:$M322)=0,"",IF(OR($U322="Subscription",$U322=""),"",IF($U322="Disqualified",$H322,0)))</x:f>
      </x:c>
      <x:c r="T322" s="116" t="str">
        <x:f>IF(COUNTA($A322:$M322)=0,"",IF(OR($U322="Subscription",$U322=""),"",IF($H322=0,0,IF($U322="Profit",$Q322/$H322,IF($U322="Disqualified",-$S322/$H322,0)))))</x:f>
      </x:c>
      <x:c r="U322" s="290" t="str">
        <x:f>IF(COUNTA($A322:$M322)=0,"",IF(OR(LOWER($F322&amp;"")="subscription",LOWER($F322&amp;"")="membership"),"Subscription",IF(LOWER($L322&amp;"")="yes","Disqualified",IF(OR(LOWER($F322&amp;"")="free game",LOWER($F322&amp;"")="free"),IF(AND(ISNUMBER($P322),ISNUMBER($H322),$P322&gt;$H322),"Profit","Free Game"),IF($P322="","",IF(ROUND(IFERROR(VALUE($P322),0)-IFERROR(VALUE($H322),0),2)&gt;0,"Profit","Draw"))))))</x:f>
      </x:c>
      <x:c r="V322" s="144" t="str">
        <x:f>IF(COUNTA($A322:$M322)=0,"",IF(OR($B322="",$C322="",$U322="Subscription"),"",IFERROR(ROUNDUP(($C322-$B322)/7,0),"")))</x:f>
      </x:c>
      <x:c r="W322" s="112" t="str">
        <x:f>IF(COUNTA($A322:$M322)=0,"",IF(OR($U322="Subscription",$U322=""),"",ROUND(IFERROR($Q322,0)-IFERROR($S322,0),2)))</x:f>
      </x:c>
      <x:c r="X322" s="144" t="str">
        <x:f>IF(COUNTA($A322:$M322)=0,"",IF(OR($U322="Subscription",$U322="Free Game",NOT(ISNUMBER($J322)),NOT(ISNUMBER($I322)),$J322=0,$I322=0,$I322&gt;$J322),"",$J322-$I322))</x:f>
      </x:c>
      <x:c r="Y322" s="116" t="str">
        <x:f>IF(COUNTA($A322:$M322)=0,"",IF(OR($U322="Subscription",$U322="Free Game",NOT(ISNUMBER($J322)),$J322=0,$X322=""),"",$X322/$J322))</x:f>
      </x:c>
      <x:c r="Z322" s="118" t="str">
        <x:f>IF(COUNTA($A322:$M322)=0,"",Instructions!$B$29+SUM($W$5:W322))</x:f>
      </x:c>
    </x:row>
    <x:row r="323" ht="30" customHeight="1">
      <x:c r="A323" s="477"/>
      <x:c r="B323" s="482"/>
      <x:c r="C323" s="482"/>
      <x:c r="D323" s="483"/>
      <x:c r="E323" s="483"/>
      <x:c r="F323" s="483"/>
      <x:c r="G323" s="484"/>
      <x:c r="H323" s="484"/>
      <x:c r="I323" s="485"/>
      <x:c r="J323" s="485"/>
      <x:c r="K323" s="484"/>
      <x:c r="L323" s="483"/>
      <x:c r="M323" s="477"/>
      <x:c r="N323" s="112" t="str">
        <x:f>IF(COUNTA($A323:$M323)=0,"",IF(OR(LOWER($F323&amp;"")="subscription",LOWER($F323&amp;"")="membership"),"",IF($G323="","",IF(ISNUMBER(SEARCH("non",LOWER($E323&amp;""))),$G323*0.85,$G323))))</x:f>
      </x:c>
      <x:c r="O323" s="112" t="str">
        <x:f>IF(COUNTA($A323:$M323)=0,"",IF(OR(LOWER($F323&amp;"")="subscription",LOWER($F323&amp;"")="membership"),"",IF(OR($N323="",$I323="",$I323=0),"",IFERROR($N323/$I323,""))))</x:f>
      </x:c>
      <x:c r="P323" s="112" t="str">
        <x:f>IF(COUNTA($A323:$M323)=0,"",IF(OR(LOWER($F323&amp;"")="subscription",LOWER($F323&amp;"")="membership"),"",IF(LOWER($L323&amp;"")="yes",0,IF($K323&lt;&gt;"",$K323,IF($O323&lt;&gt;"",$O323,"")))))</x:f>
      </x:c>
      <x:c r="Q323" s="112" t="str">
        <x:f>IF(COUNTA($A323:$M323)=0,"",IF(OR($U323="Subscription",$U323=""),"",IF($U323="Profit",ROUND($P323-$H323,2),0)))</x:f>
      </x:c>
      <x:c r="R323" s="112" t="str">
        <x:f>IF(COUNTA($A323:$M323)=0,"",IF(OR($U323="Subscription",$U323=""),"",IF($U323="Draw",$H323,0)))</x:f>
      </x:c>
      <x:c r="S323" s="112" t="str">
        <x:f>IF(COUNTA($A323:$M323)=0,"",IF(OR($U323="Subscription",$U323=""),"",IF($U323="Disqualified",$H323,0)))</x:f>
      </x:c>
      <x:c r="T323" s="116" t="str">
        <x:f>IF(COUNTA($A323:$M323)=0,"",IF(OR($U323="Subscription",$U323=""),"",IF($H323=0,0,IF($U323="Profit",$Q323/$H323,IF($U323="Disqualified",-$S323/$H323,0)))))</x:f>
      </x:c>
      <x:c r="U323" s="290" t="str">
        <x:f>IF(COUNTA($A323:$M323)=0,"",IF(OR(LOWER($F323&amp;"")="subscription",LOWER($F323&amp;"")="membership"),"Subscription",IF(LOWER($L323&amp;"")="yes","Disqualified",IF(OR(LOWER($F323&amp;"")="free game",LOWER($F323&amp;"")="free"),IF(AND(ISNUMBER($P323),ISNUMBER($H323),$P323&gt;$H323),"Profit","Free Game"),IF($P323="","",IF(ROUND(IFERROR(VALUE($P323),0)-IFERROR(VALUE($H323),0),2)&gt;0,"Profit","Draw"))))))</x:f>
      </x:c>
      <x:c r="V323" s="144" t="str">
        <x:f>IF(COUNTA($A323:$M323)=0,"",IF(OR($B323="",$C323="",$U323="Subscription"),"",IFERROR(ROUNDUP(($C323-$B323)/7,0),"")))</x:f>
      </x:c>
      <x:c r="W323" s="112" t="str">
        <x:f>IF(COUNTA($A323:$M323)=0,"",IF(OR($U323="Subscription",$U323=""),"",ROUND(IFERROR($Q323,0)-IFERROR($S323,0),2)))</x:f>
      </x:c>
      <x:c r="X323" s="144" t="str">
        <x:f>IF(COUNTA($A323:$M323)=0,"",IF(OR($U323="Subscription",$U323="Free Game",NOT(ISNUMBER($J323)),NOT(ISNUMBER($I323)),$J323=0,$I323=0,$I323&gt;$J323),"",$J323-$I323))</x:f>
      </x:c>
      <x:c r="Y323" s="116" t="str">
        <x:f>IF(COUNTA($A323:$M323)=0,"",IF(OR($U323="Subscription",$U323="Free Game",NOT(ISNUMBER($J323)),$J323=0,$X323=""),"",$X323/$J323))</x:f>
      </x:c>
      <x:c r="Z323" s="118" t="str">
        <x:f>IF(COUNTA($A323:$M323)=0,"",Instructions!$B$29+SUM($W$5:W323))</x:f>
      </x:c>
    </x:row>
    <x:row r="324" ht="30" customHeight="1">
      <x:c r="A324" s="477"/>
      <x:c r="B324" s="482"/>
      <x:c r="C324" s="482"/>
      <x:c r="D324" s="483"/>
      <x:c r="E324" s="483"/>
      <x:c r="F324" s="483"/>
      <x:c r="G324" s="484"/>
      <x:c r="H324" s="484"/>
      <x:c r="I324" s="485"/>
      <x:c r="J324" s="485"/>
      <x:c r="K324" s="484"/>
      <x:c r="L324" s="483"/>
      <x:c r="M324" s="477"/>
      <x:c r="N324" s="112" t="str">
        <x:f>IF(COUNTA($A324:$M324)=0,"",IF(OR(LOWER($F324&amp;"")="subscription",LOWER($F324&amp;"")="membership"),"",IF($G324="","",IF(ISNUMBER(SEARCH("non",LOWER($E324&amp;""))),$G324*0.85,$G324))))</x:f>
      </x:c>
      <x:c r="O324" s="112" t="str">
        <x:f>IF(COUNTA($A324:$M324)=0,"",IF(OR(LOWER($F324&amp;"")="subscription",LOWER($F324&amp;"")="membership"),"",IF(OR($N324="",$I324="",$I324=0),"",IFERROR($N324/$I324,""))))</x:f>
      </x:c>
      <x:c r="P324" s="112" t="str">
        <x:f>IF(COUNTA($A324:$M324)=0,"",IF(OR(LOWER($F324&amp;"")="subscription",LOWER($F324&amp;"")="membership"),"",IF(LOWER($L324&amp;"")="yes",0,IF($K324&lt;&gt;"",$K324,IF($O324&lt;&gt;"",$O324,"")))))</x:f>
      </x:c>
      <x:c r="Q324" s="112" t="str">
        <x:f>IF(COUNTA($A324:$M324)=0,"",IF(OR($U324="Subscription",$U324=""),"",IF($U324="Profit",ROUND($P324-$H324,2),0)))</x:f>
      </x:c>
      <x:c r="R324" s="112" t="str">
        <x:f>IF(COUNTA($A324:$M324)=0,"",IF(OR($U324="Subscription",$U324=""),"",IF($U324="Draw",$H324,0)))</x:f>
      </x:c>
      <x:c r="S324" s="112" t="str">
        <x:f>IF(COUNTA($A324:$M324)=0,"",IF(OR($U324="Subscription",$U324=""),"",IF($U324="Disqualified",$H324,0)))</x:f>
      </x:c>
      <x:c r="T324" s="116" t="str">
        <x:f>IF(COUNTA($A324:$M324)=0,"",IF(OR($U324="Subscription",$U324=""),"",IF($H324=0,0,IF($U324="Profit",$Q324/$H324,IF($U324="Disqualified",-$S324/$H324,0)))))</x:f>
      </x:c>
      <x:c r="U324" s="290" t="str">
        <x:f>IF(COUNTA($A324:$M324)=0,"",IF(OR(LOWER($F324&amp;"")="subscription",LOWER($F324&amp;"")="membership"),"Subscription",IF(LOWER($L324&amp;"")="yes","Disqualified",IF(OR(LOWER($F324&amp;"")="free game",LOWER($F324&amp;"")="free"),IF(AND(ISNUMBER($P324),ISNUMBER($H324),$P324&gt;$H324),"Profit","Free Game"),IF($P324="","",IF(ROUND(IFERROR(VALUE($P324),0)-IFERROR(VALUE($H324),0),2)&gt;0,"Profit","Draw"))))))</x:f>
      </x:c>
      <x:c r="V324" s="144" t="str">
        <x:f>IF(COUNTA($A324:$M324)=0,"",IF(OR($B324="",$C324="",$U324="Subscription"),"",IFERROR(ROUNDUP(($C324-$B324)/7,0),"")))</x:f>
      </x:c>
      <x:c r="W324" s="112" t="str">
        <x:f>IF(COUNTA($A324:$M324)=0,"",IF(OR($U324="Subscription",$U324=""),"",ROUND(IFERROR($Q324,0)-IFERROR($S324,0),2)))</x:f>
      </x:c>
      <x:c r="X324" s="144" t="str">
        <x:f>IF(COUNTA($A324:$M324)=0,"",IF(OR($U324="Subscription",$U324="Free Game",NOT(ISNUMBER($J324)),NOT(ISNUMBER($I324)),$J324=0,$I324=0,$I324&gt;$J324),"",$J324-$I324))</x:f>
      </x:c>
      <x:c r="Y324" s="116" t="str">
        <x:f>IF(COUNTA($A324:$M324)=0,"",IF(OR($U324="Subscription",$U324="Free Game",NOT(ISNUMBER($J324)),$J324=0,$X324=""),"",$X324/$J324))</x:f>
      </x:c>
      <x:c r="Z324" s="118" t="str">
        <x:f>IF(COUNTA($A324:$M324)=0,"",Instructions!$B$29+SUM($W$5:W324))</x:f>
      </x:c>
    </x:row>
    <x:row r="325" ht="30" customHeight="1">
      <x:c r="A325" s="477"/>
      <x:c r="B325" s="482"/>
      <x:c r="C325" s="482"/>
      <x:c r="D325" s="483"/>
      <x:c r="E325" s="483"/>
      <x:c r="F325" s="483"/>
      <x:c r="G325" s="484"/>
      <x:c r="H325" s="484"/>
      <x:c r="I325" s="485"/>
      <x:c r="J325" s="485"/>
      <x:c r="K325" s="484"/>
      <x:c r="L325" s="483"/>
      <x:c r="M325" s="477"/>
      <x:c r="N325" s="112" t="str">
        <x:f>IF(COUNTA($A325:$M325)=0,"",IF(OR(LOWER($F325&amp;"")="subscription",LOWER($F325&amp;"")="membership"),"",IF($G325="","",IF(ISNUMBER(SEARCH("non",LOWER($E325&amp;""))),$G325*0.85,$G325))))</x:f>
      </x:c>
      <x:c r="O325" s="112" t="str">
        <x:f>IF(COUNTA($A325:$M325)=0,"",IF(OR(LOWER($F325&amp;"")="subscription",LOWER($F325&amp;"")="membership"),"",IF(OR($N325="",$I325="",$I325=0),"",IFERROR($N325/$I325,""))))</x:f>
      </x:c>
      <x:c r="P325" s="112" t="str">
        <x:f>IF(COUNTA($A325:$M325)=0,"",IF(OR(LOWER($F325&amp;"")="subscription",LOWER($F325&amp;"")="membership"),"",IF(LOWER($L325&amp;"")="yes",0,IF($K325&lt;&gt;"",$K325,IF($O325&lt;&gt;"",$O325,"")))))</x:f>
      </x:c>
      <x:c r="Q325" s="112" t="str">
        <x:f>IF(COUNTA($A325:$M325)=0,"",IF(OR($U325="Subscription",$U325=""),"",IF($U325="Profit",ROUND($P325-$H325,2),0)))</x:f>
      </x:c>
      <x:c r="R325" s="112" t="str">
        <x:f>IF(COUNTA($A325:$M325)=0,"",IF(OR($U325="Subscription",$U325=""),"",IF($U325="Draw",$H325,0)))</x:f>
      </x:c>
      <x:c r="S325" s="112" t="str">
        <x:f>IF(COUNTA($A325:$M325)=0,"",IF(OR($U325="Subscription",$U325=""),"",IF($U325="Disqualified",$H325,0)))</x:f>
      </x:c>
      <x:c r="T325" s="116" t="str">
        <x:f>IF(COUNTA($A325:$M325)=0,"",IF(OR($U325="Subscription",$U325=""),"",IF($H325=0,0,IF($U325="Profit",$Q325/$H325,IF($U325="Disqualified",-$S325/$H325,0)))))</x:f>
      </x:c>
      <x:c r="U325" s="290" t="str">
        <x:f>IF(COUNTA($A325:$M325)=0,"",IF(OR(LOWER($F325&amp;"")="subscription",LOWER($F325&amp;"")="membership"),"Subscription",IF(LOWER($L325&amp;"")="yes","Disqualified",IF(OR(LOWER($F325&amp;"")="free game",LOWER($F325&amp;"")="free"),IF(AND(ISNUMBER($P325),ISNUMBER($H325),$P325&gt;$H325),"Profit","Free Game"),IF($P325="","",IF(ROUND(IFERROR(VALUE($P325),0)-IFERROR(VALUE($H325),0),2)&gt;0,"Profit","Draw"))))))</x:f>
      </x:c>
      <x:c r="V325" s="144" t="str">
        <x:f>IF(COUNTA($A325:$M325)=0,"",IF(OR($B325="",$C325="",$U325="Subscription"),"",IFERROR(ROUNDUP(($C325-$B325)/7,0),"")))</x:f>
      </x:c>
      <x:c r="W325" s="112" t="str">
        <x:f>IF(COUNTA($A325:$M325)=0,"",IF(OR($U325="Subscription",$U325=""),"",ROUND(IFERROR($Q325,0)-IFERROR($S325,0),2)))</x:f>
      </x:c>
      <x:c r="X325" s="144" t="str">
        <x:f>IF(COUNTA($A325:$M325)=0,"",IF(OR($U325="Subscription",$U325="Free Game",NOT(ISNUMBER($J325)),NOT(ISNUMBER($I325)),$J325=0,$I325=0,$I325&gt;$J325),"",$J325-$I325))</x:f>
      </x:c>
      <x:c r="Y325" s="116" t="str">
        <x:f>IF(COUNTA($A325:$M325)=0,"",IF(OR($U325="Subscription",$U325="Free Game",NOT(ISNUMBER($J325)),$J325=0,$X325=""),"",$X325/$J325))</x:f>
      </x:c>
      <x:c r="Z325" s="118" t="str">
        <x:f>IF(COUNTA($A325:$M325)=0,"",Instructions!$B$29+SUM($W$5:W325))</x:f>
      </x:c>
    </x:row>
    <x:row r="326" ht="30" customHeight="1">
      <x:c r="A326" s="477"/>
      <x:c r="B326" s="482"/>
      <x:c r="C326" s="482"/>
      <x:c r="D326" s="483"/>
      <x:c r="E326" s="483"/>
      <x:c r="F326" s="483"/>
      <x:c r="G326" s="484"/>
      <x:c r="H326" s="484"/>
      <x:c r="I326" s="485"/>
      <x:c r="J326" s="485"/>
      <x:c r="K326" s="484"/>
      <x:c r="L326" s="483"/>
      <x:c r="M326" s="477"/>
      <x:c r="N326" s="112" t="str">
        <x:f>IF(COUNTA($A326:$M326)=0,"",IF(OR(LOWER($F326&amp;"")="subscription",LOWER($F326&amp;"")="membership"),"",IF($G326="","",IF(ISNUMBER(SEARCH("non",LOWER($E326&amp;""))),$G326*0.85,$G326))))</x:f>
      </x:c>
      <x:c r="O326" s="112" t="str">
        <x:f>IF(COUNTA($A326:$M326)=0,"",IF(OR(LOWER($F326&amp;"")="subscription",LOWER($F326&amp;"")="membership"),"",IF(OR($N326="",$I326="",$I326=0),"",IFERROR($N326/$I326,""))))</x:f>
      </x:c>
      <x:c r="P326" s="112" t="str">
        <x:f>IF(COUNTA($A326:$M326)=0,"",IF(OR(LOWER($F326&amp;"")="subscription",LOWER($F326&amp;"")="membership"),"",IF(LOWER($L326&amp;"")="yes",0,IF($K326&lt;&gt;"",$K326,IF($O326&lt;&gt;"",$O326,"")))))</x:f>
      </x:c>
      <x:c r="Q326" s="112" t="str">
        <x:f>IF(COUNTA($A326:$M326)=0,"",IF(OR($U326="Subscription",$U326=""),"",IF($U326="Profit",ROUND($P326-$H326,2),0)))</x:f>
      </x:c>
      <x:c r="R326" s="112" t="str">
        <x:f>IF(COUNTA($A326:$M326)=0,"",IF(OR($U326="Subscription",$U326=""),"",IF($U326="Draw",$H326,0)))</x:f>
      </x:c>
      <x:c r="S326" s="112" t="str">
        <x:f>IF(COUNTA($A326:$M326)=0,"",IF(OR($U326="Subscription",$U326=""),"",IF($U326="Disqualified",$H326,0)))</x:f>
      </x:c>
      <x:c r="T326" s="116" t="str">
        <x:f>IF(COUNTA($A326:$M326)=0,"",IF(OR($U326="Subscription",$U326=""),"",IF($H326=0,0,IF($U326="Profit",$Q326/$H326,IF($U326="Disqualified",-$S326/$H326,0)))))</x:f>
      </x:c>
      <x:c r="U326" s="290" t="str">
        <x:f>IF(COUNTA($A326:$M326)=0,"",IF(OR(LOWER($F326&amp;"")="subscription",LOWER($F326&amp;"")="membership"),"Subscription",IF(LOWER($L326&amp;"")="yes","Disqualified",IF(OR(LOWER($F326&amp;"")="free game",LOWER($F326&amp;"")="free"),IF(AND(ISNUMBER($P326),ISNUMBER($H326),$P326&gt;$H326),"Profit","Free Game"),IF($P326="","",IF(ROUND(IFERROR(VALUE($P326),0)-IFERROR(VALUE($H326),0),2)&gt;0,"Profit","Draw"))))))</x:f>
      </x:c>
      <x:c r="V326" s="144" t="str">
        <x:f>IF(COUNTA($A326:$M326)=0,"",IF(OR($B326="",$C326="",$U326="Subscription"),"",IFERROR(ROUNDUP(($C326-$B326)/7,0),"")))</x:f>
      </x:c>
      <x:c r="W326" s="112" t="str">
        <x:f>IF(COUNTA($A326:$M326)=0,"",IF(OR($U326="Subscription",$U326=""),"",ROUND(IFERROR($Q326,0)-IFERROR($S326,0),2)))</x:f>
      </x:c>
      <x:c r="X326" s="144" t="str">
        <x:f>IF(COUNTA($A326:$M326)=0,"",IF(OR($U326="Subscription",$U326="Free Game",NOT(ISNUMBER($J326)),NOT(ISNUMBER($I326)),$J326=0,$I326=0,$I326&gt;$J326),"",$J326-$I326))</x:f>
      </x:c>
      <x:c r="Y326" s="116" t="str">
        <x:f>IF(COUNTA($A326:$M326)=0,"",IF(OR($U326="Subscription",$U326="Free Game",NOT(ISNUMBER($J326)),$J326=0,$X326=""),"",$X326/$J326))</x:f>
      </x:c>
      <x:c r="Z326" s="118" t="str">
        <x:f>IF(COUNTA($A326:$M326)=0,"",Instructions!$B$29+SUM($W$5:W326))</x:f>
      </x:c>
    </x:row>
    <x:row r="327" ht="30" customHeight="1">
      <x:c r="A327" s="477"/>
      <x:c r="B327" s="482"/>
      <x:c r="C327" s="482"/>
      <x:c r="D327" s="483"/>
      <x:c r="E327" s="483"/>
      <x:c r="F327" s="483"/>
      <x:c r="G327" s="484"/>
      <x:c r="H327" s="484"/>
      <x:c r="I327" s="485"/>
      <x:c r="J327" s="485"/>
      <x:c r="K327" s="484"/>
      <x:c r="L327" s="483"/>
      <x:c r="M327" s="477"/>
      <x:c r="N327" s="112" t="str">
        <x:f>IF(COUNTA($A327:$M327)=0,"",IF(OR(LOWER($F327&amp;"")="subscription",LOWER($F327&amp;"")="membership"),"",IF($G327="","",IF(ISNUMBER(SEARCH("non",LOWER($E327&amp;""))),$G327*0.85,$G327))))</x:f>
      </x:c>
      <x:c r="O327" s="112" t="str">
        <x:f>IF(COUNTA($A327:$M327)=0,"",IF(OR(LOWER($F327&amp;"")="subscription",LOWER($F327&amp;"")="membership"),"",IF(OR($N327="",$I327="",$I327=0),"",IFERROR($N327/$I327,""))))</x:f>
      </x:c>
      <x:c r="P327" s="112" t="str">
        <x:f>IF(COUNTA($A327:$M327)=0,"",IF(OR(LOWER($F327&amp;"")="subscription",LOWER($F327&amp;"")="membership"),"",IF(LOWER($L327&amp;"")="yes",0,IF($K327&lt;&gt;"",$K327,IF($O327&lt;&gt;"",$O327,"")))))</x:f>
      </x:c>
      <x:c r="Q327" s="112" t="str">
        <x:f>IF(COUNTA($A327:$M327)=0,"",IF(OR($U327="Subscription",$U327=""),"",IF($U327="Profit",ROUND($P327-$H327,2),0)))</x:f>
      </x:c>
      <x:c r="R327" s="112" t="str">
        <x:f>IF(COUNTA($A327:$M327)=0,"",IF(OR($U327="Subscription",$U327=""),"",IF($U327="Draw",$H327,0)))</x:f>
      </x:c>
      <x:c r="S327" s="112" t="str">
        <x:f>IF(COUNTA($A327:$M327)=0,"",IF(OR($U327="Subscription",$U327=""),"",IF($U327="Disqualified",$H327,0)))</x:f>
      </x:c>
      <x:c r="T327" s="116" t="str">
        <x:f>IF(COUNTA($A327:$M327)=0,"",IF(OR($U327="Subscription",$U327=""),"",IF($H327=0,0,IF($U327="Profit",$Q327/$H327,IF($U327="Disqualified",-$S327/$H327,0)))))</x:f>
      </x:c>
      <x:c r="U327" s="290" t="str">
        <x:f>IF(COUNTA($A327:$M327)=0,"",IF(OR(LOWER($F327&amp;"")="subscription",LOWER($F327&amp;"")="membership"),"Subscription",IF(LOWER($L327&amp;"")="yes","Disqualified",IF(OR(LOWER($F327&amp;"")="free game",LOWER($F327&amp;"")="free"),IF(AND(ISNUMBER($P327),ISNUMBER($H327),$P327&gt;$H327),"Profit","Free Game"),IF($P327="","",IF(ROUND(IFERROR(VALUE($P327),0)-IFERROR(VALUE($H327),0),2)&gt;0,"Profit","Draw"))))))</x:f>
      </x:c>
      <x:c r="V327" s="144" t="str">
        <x:f>IF(COUNTA($A327:$M327)=0,"",IF(OR($B327="",$C327="",$U327="Subscription"),"",IFERROR(ROUNDUP(($C327-$B327)/7,0),"")))</x:f>
      </x:c>
      <x:c r="W327" s="112" t="str">
        <x:f>IF(COUNTA($A327:$M327)=0,"",IF(OR($U327="Subscription",$U327=""),"",ROUND(IFERROR($Q327,0)-IFERROR($S327,0),2)))</x:f>
      </x:c>
      <x:c r="X327" s="144" t="str">
        <x:f>IF(COUNTA($A327:$M327)=0,"",IF(OR($U327="Subscription",$U327="Free Game",NOT(ISNUMBER($J327)),NOT(ISNUMBER($I327)),$J327=0,$I327=0,$I327&gt;$J327),"",$J327-$I327))</x:f>
      </x:c>
      <x:c r="Y327" s="116" t="str">
        <x:f>IF(COUNTA($A327:$M327)=0,"",IF(OR($U327="Subscription",$U327="Free Game",NOT(ISNUMBER($J327)),$J327=0,$X327=""),"",$X327/$J327))</x:f>
      </x:c>
      <x:c r="Z327" s="118" t="str">
        <x:f>IF(COUNTA($A327:$M327)=0,"",Instructions!$B$29+SUM($W$5:W327))</x:f>
      </x:c>
    </x:row>
    <x:row r="328" ht="30" customHeight="1">
      <x:c r="A328" s="477"/>
      <x:c r="B328" s="482"/>
      <x:c r="C328" s="482"/>
      <x:c r="D328" s="483"/>
      <x:c r="E328" s="483"/>
      <x:c r="F328" s="483"/>
      <x:c r="G328" s="484"/>
      <x:c r="H328" s="484"/>
      <x:c r="I328" s="485"/>
      <x:c r="J328" s="485"/>
      <x:c r="K328" s="484"/>
      <x:c r="L328" s="483"/>
      <x:c r="M328" s="477"/>
      <x:c r="N328" s="112" t="str">
        <x:f>IF(COUNTA($A328:$M328)=0,"",IF(OR(LOWER($F328&amp;"")="subscription",LOWER($F328&amp;"")="membership"),"",IF($G328="","",IF(ISNUMBER(SEARCH("non",LOWER($E328&amp;""))),$G328*0.85,$G328))))</x:f>
      </x:c>
      <x:c r="O328" s="112" t="str">
        <x:f>IF(COUNTA($A328:$M328)=0,"",IF(OR(LOWER($F328&amp;"")="subscription",LOWER($F328&amp;"")="membership"),"",IF(OR($N328="",$I328="",$I328=0),"",IFERROR($N328/$I328,""))))</x:f>
      </x:c>
      <x:c r="P328" s="112" t="str">
        <x:f>IF(COUNTA($A328:$M328)=0,"",IF(OR(LOWER($F328&amp;"")="subscription",LOWER($F328&amp;"")="membership"),"",IF(LOWER($L328&amp;"")="yes",0,IF($K328&lt;&gt;"",$K328,IF($O328&lt;&gt;"",$O328,"")))))</x:f>
      </x:c>
      <x:c r="Q328" s="112" t="str">
        <x:f>IF(COUNTA($A328:$M328)=0,"",IF(OR($U328="Subscription",$U328=""),"",IF($U328="Profit",ROUND($P328-$H328,2),0)))</x:f>
      </x:c>
      <x:c r="R328" s="112" t="str">
        <x:f>IF(COUNTA($A328:$M328)=0,"",IF(OR($U328="Subscription",$U328=""),"",IF($U328="Draw",$H328,0)))</x:f>
      </x:c>
      <x:c r="S328" s="112" t="str">
        <x:f>IF(COUNTA($A328:$M328)=0,"",IF(OR($U328="Subscription",$U328=""),"",IF($U328="Disqualified",$H328,0)))</x:f>
      </x:c>
      <x:c r="T328" s="116" t="str">
        <x:f>IF(COUNTA($A328:$M328)=0,"",IF(OR($U328="Subscription",$U328=""),"",IF($H328=0,0,IF($U328="Profit",$Q328/$H328,IF($U328="Disqualified",-$S328/$H328,0)))))</x:f>
      </x:c>
      <x:c r="U328" s="290" t="str">
        <x:f>IF(COUNTA($A328:$M328)=0,"",IF(OR(LOWER($F328&amp;"")="subscription",LOWER($F328&amp;"")="membership"),"Subscription",IF(LOWER($L328&amp;"")="yes","Disqualified",IF(OR(LOWER($F328&amp;"")="free game",LOWER($F328&amp;"")="free"),IF(AND(ISNUMBER($P328),ISNUMBER($H328),$P328&gt;$H328),"Profit","Free Game"),IF($P328="","",IF(ROUND(IFERROR(VALUE($P328),0)-IFERROR(VALUE($H328),0),2)&gt;0,"Profit","Draw"))))))</x:f>
      </x:c>
      <x:c r="V328" s="144" t="str">
        <x:f>IF(COUNTA($A328:$M328)=0,"",IF(OR($B328="",$C328="",$U328="Subscription"),"",IFERROR(ROUNDUP(($C328-$B328)/7,0),"")))</x:f>
      </x:c>
      <x:c r="W328" s="112" t="str">
        <x:f>IF(COUNTA($A328:$M328)=0,"",IF(OR($U328="Subscription",$U328=""),"",ROUND(IFERROR($Q328,0)-IFERROR($S328,0),2)))</x:f>
      </x:c>
      <x:c r="X328" s="144" t="str">
        <x:f>IF(COUNTA($A328:$M328)=0,"",IF(OR($U328="Subscription",$U328="Free Game",NOT(ISNUMBER($J328)),NOT(ISNUMBER($I328)),$J328=0,$I328=0,$I328&gt;$J328),"",$J328-$I328))</x:f>
      </x:c>
      <x:c r="Y328" s="116" t="str">
        <x:f>IF(COUNTA($A328:$M328)=0,"",IF(OR($U328="Subscription",$U328="Free Game",NOT(ISNUMBER($J328)),$J328=0,$X328=""),"",$X328/$J328))</x:f>
      </x:c>
      <x:c r="Z328" s="118" t="str">
        <x:f>IF(COUNTA($A328:$M328)=0,"",Instructions!$B$29+SUM($W$5:W328))</x:f>
      </x:c>
    </x:row>
    <x:row r="329" ht="30" customHeight="1">
      <x:c r="A329" s="477"/>
      <x:c r="B329" s="482"/>
      <x:c r="C329" s="482"/>
      <x:c r="D329" s="483"/>
      <x:c r="E329" s="483"/>
      <x:c r="F329" s="483"/>
      <x:c r="G329" s="484"/>
      <x:c r="H329" s="484"/>
      <x:c r="I329" s="485"/>
      <x:c r="J329" s="485"/>
      <x:c r="K329" s="484"/>
      <x:c r="L329" s="483"/>
      <x:c r="M329" s="477"/>
      <x:c r="N329" s="112" t="str">
        <x:f>IF(COUNTA($A329:$M329)=0,"",IF(OR(LOWER($F329&amp;"")="subscription",LOWER($F329&amp;"")="membership"),"",IF($G329="","",IF(ISNUMBER(SEARCH("non",LOWER($E329&amp;""))),$G329*0.85,$G329))))</x:f>
      </x:c>
      <x:c r="O329" s="112" t="str">
        <x:f>IF(COUNTA($A329:$M329)=0,"",IF(OR(LOWER($F329&amp;"")="subscription",LOWER($F329&amp;"")="membership"),"",IF(OR($N329="",$I329="",$I329=0),"",IFERROR($N329/$I329,""))))</x:f>
      </x:c>
      <x:c r="P329" s="112" t="str">
        <x:f>IF(COUNTA($A329:$M329)=0,"",IF(OR(LOWER($F329&amp;"")="subscription",LOWER($F329&amp;"")="membership"),"",IF(LOWER($L329&amp;"")="yes",0,IF($K329&lt;&gt;"",$K329,IF($O329&lt;&gt;"",$O329,"")))))</x:f>
      </x:c>
      <x:c r="Q329" s="112" t="str">
        <x:f>IF(COUNTA($A329:$M329)=0,"",IF(OR($U329="Subscription",$U329=""),"",IF($U329="Profit",ROUND($P329-$H329,2),0)))</x:f>
      </x:c>
      <x:c r="R329" s="112" t="str">
        <x:f>IF(COUNTA($A329:$M329)=0,"",IF(OR($U329="Subscription",$U329=""),"",IF($U329="Draw",$H329,0)))</x:f>
      </x:c>
      <x:c r="S329" s="112" t="str">
        <x:f>IF(COUNTA($A329:$M329)=0,"",IF(OR($U329="Subscription",$U329=""),"",IF($U329="Disqualified",$H329,0)))</x:f>
      </x:c>
      <x:c r="T329" s="116" t="str">
        <x:f>IF(COUNTA($A329:$M329)=0,"",IF(OR($U329="Subscription",$U329=""),"",IF($H329=0,0,IF($U329="Profit",$Q329/$H329,IF($U329="Disqualified",-$S329/$H329,0)))))</x:f>
      </x:c>
      <x:c r="U329" s="290" t="str">
        <x:f>IF(COUNTA($A329:$M329)=0,"",IF(OR(LOWER($F329&amp;"")="subscription",LOWER($F329&amp;"")="membership"),"Subscription",IF(LOWER($L329&amp;"")="yes","Disqualified",IF(OR(LOWER($F329&amp;"")="free game",LOWER($F329&amp;"")="free"),IF(AND(ISNUMBER($P329),ISNUMBER($H329),$P329&gt;$H329),"Profit","Free Game"),IF($P329="","",IF(ROUND(IFERROR(VALUE($P329),0)-IFERROR(VALUE($H329),0),2)&gt;0,"Profit","Draw"))))))</x:f>
      </x:c>
      <x:c r="V329" s="144" t="str">
        <x:f>IF(COUNTA($A329:$M329)=0,"",IF(OR($B329="",$C329="",$U329="Subscription"),"",IFERROR(ROUNDUP(($C329-$B329)/7,0),"")))</x:f>
      </x:c>
      <x:c r="W329" s="112" t="str">
        <x:f>IF(COUNTA($A329:$M329)=0,"",IF(OR($U329="Subscription",$U329=""),"",ROUND(IFERROR($Q329,0)-IFERROR($S329,0),2)))</x:f>
      </x:c>
      <x:c r="X329" s="144" t="str">
        <x:f>IF(COUNTA($A329:$M329)=0,"",IF(OR($U329="Subscription",$U329="Free Game",NOT(ISNUMBER($J329)),NOT(ISNUMBER($I329)),$J329=0,$I329=0,$I329&gt;$J329),"",$J329-$I329))</x:f>
      </x:c>
      <x:c r="Y329" s="116" t="str">
        <x:f>IF(COUNTA($A329:$M329)=0,"",IF(OR($U329="Subscription",$U329="Free Game",NOT(ISNUMBER($J329)),$J329=0,$X329=""),"",$X329/$J329))</x:f>
      </x:c>
      <x:c r="Z329" s="118" t="str">
        <x:f>IF(COUNTA($A329:$M329)=0,"",Instructions!$B$29+SUM($W$5:W329))</x:f>
      </x:c>
    </x:row>
    <x:row r="330" ht="30" customHeight="1">
      <x:c r="A330" s="477"/>
      <x:c r="B330" s="482"/>
      <x:c r="C330" s="482"/>
      <x:c r="D330" s="483"/>
      <x:c r="E330" s="483"/>
      <x:c r="F330" s="483"/>
      <x:c r="G330" s="484"/>
      <x:c r="H330" s="484"/>
      <x:c r="I330" s="485"/>
      <x:c r="J330" s="485"/>
      <x:c r="K330" s="484"/>
      <x:c r="L330" s="483"/>
      <x:c r="M330" s="477"/>
      <x:c r="N330" s="112" t="str">
        <x:f>IF(COUNTA($A330:$M330)=0,"",IF(OR(LOWER($F330&amp;"")="subscription",LOWER($F330&amp;"")="membership"),"",IF($G330="","",IF(ISNUMBER(SEARCH("non",LOWER($E330&amp;""))),$G330*0.85,$G330))))</x:f>
      </x:c>
      <x:c r="O330" s="112" t="str">
        <x:f>IF(COUNTA($A330:$M330)=0,"",IF(OR(LOWER($F330&amp;"")="subscription",LOWER($F330&amp;"")="membership"),"",IF(OR($N330="",$I330="",$I330=0),"",IFERROR($N330/$I330,""))))</x:f>
      </x:c>
      <x:c r="P330" s="112" t="str">
        <x:f>IF(COUNTA($A330:$M330)=0,"",IF(OR(LOWER($F330&amp;"")="subscription",LOWER($F330&amp;"")="membership"),"",IF(LOWER($L330&amp;"")="yes",0,IF($K330&lt;&gt;"",$K330,IF($O330&lt;&gt;"",$O330,"")))))</x:f>
      </x:c>
      <x:c r="Q330" s="112" t="str">
        <x:f>IF(COUNTA($A330:$M330)=0,"",IF(OR($U330="Subscription",$U330=""),"",IF($U330="Profit",ROUND($P330-$H330,2),0)))</x:f>
      </x:c>
      <x:c r="R330" s="112" t="str">
        <x:f>IF(COUNTA($A330:$M330)=0,"",IF(OR($U330="Subscription",$U330=""),"",IF($U330="Draw",$H330,0)))</x:f>
      </x:c>
      <x:c r="S330" s="112" t="str">
        <x:f>IF(COUNTA($A330:$M330)=0,"",IF(OR($U330="Subscription",$U330=""),"",IF($U330="Disqualified",$H330,0)))</x:f>
      </x:c>
      <x:c r="T330" s="116" t="str">
        <x:f>IF(COUNTA($A330:$M330)=0,"",IF(OR($U330="Subscription",$U330=""),"",IF($H330=0,0,IF($U330="Profit",$Q330/$H330,IF($U330="Disqualified",-$S330/$H330,0)))))</x:f>
      </x:c>
      <x:c r="U330" s="290" t="str">
        <x:f>IF(COUNTA($A330:$M330)=0,"",IF(OR(LOWER($F330&amp;"")="subscription",LOWER($F330&amp;"")="membership"),"Subscription",IF(LOWER($L330&amp;"")="yes","Disqualified",IF(OR(LOWER($F330&amp;"")="free game",LOWER($F330&amp;"")="free"),IF(AND(ISNUMBER($P330),ISNUMBER($H330),$P330&gt;$H330),"Profit","Free Game"),IF($P330="","",IF(ROUND(IFERROR(VALUE($P330),0)-IFERROR(VALUE($H330),0),2)&gt;0,"Profit","Draw"))))))</x:f>
      </x:c>
      <x:c r="V330" s="144" t="str">
        <x:f>IF(COUNTA($A330:$M330)=0,"",IF(OR($B330="",$C330="",$U330="Subscription"),"",IFERROR(ROUNDUP(($C330-$B330)/7,0),"")))</x:f>
      </x:c>
      <x:c r="W330" s="112" t="str">
        <x:f>IF(COUNTA($A330:$M330)=0,"",IF(OR($U330="Subscription",$U330=""),"",ROUND(IFERROR($Q330,0)-IFERROR($S330,0),2)))</x:f>
      </x:c>
      <x:c r="X330" s="144" t="str">
        <x:f>IF(COUNTA($A330:$M330)=0,"",IF(OR($U330="Subscription",$U330="Free Game",NOT(ISNUMBER($J330)),NOT(ISNUMBER($I330)),$J330=0,$I330=0,$I330&gt;$J330),"",$J330-$I330))</x:f>
      </x:c>
      <x:c r="Y330" s="116" t="str">
        <x:f>IF(COUNTA($A330:$M330)=0,"",IF(OR($U330="Subscription",$U330="Free Game",NOT(ISNUMBER($J330)),$J330=0,$X330=""),"",$X330/$J330))</x:f>
      </x:c>
      <x:c r="Z330" s="118" t="str">
        <x:f>IF(COUNTA($A330:$M330)=0,"",Instructions!$B$29+SUM($W$5:W330))</x:f>
      </x:c>
    </x:row>
    <x:row r="331" ht="30" customHeight="1">
      <x:c r="A331" s="477"/>
      <x:c r="B331" s="482"/>
      <x:c r="C331" s="482"/>
      <x:c r="D331" s="483"/>
      <x:c r="E331" s="483"/>
      <x:c r="F331" s="483"/>
      <x:c r="G331" s="484"/>
      <x:c r="H331" s="484"/>
      <x:c r="I331" s="485"/>
      <x:c r="J331" s="485"/>
      <x:c r="K331" s="484"/>
      <x:c r="L331" s="483"/>
      <x:c r="M331" s="477"/>
      <x:c r="N331" s="112" t="str">
        <x:f>IF(COUNTA($A331:$M331)=0,"",IF(OR(LOWER($F331&amp;"")="subscription",LOWER($F331&amp;"")="membership"),"",IF($G331="","",IF(ISNUMBER(SEARCH("non",LOWER($E331&amp;""))),$G331*0.85,$G331))))</x:f>
      </x:c>
      <x:c r="O331" s="112" t="str">
        <x:f>IF(COUNTA($A331:$M331)=0,"",IF(OR(LOWER($F331&amp;"")="subscription",LOWER($F331&amp;"")="membership"),"",IF(OR($N331="",$I331="",$I331=0),"",IFERROR($N331/$I331,""))))</x:f>
      </x:c>
      <x:c r="P331" s="112" t="str">
        <x:f>IF(COUNTA($A331:$M331)=0,"",IF(OR(LOWER($F331&amp;"")="subscription",LOWER($F331&amp;"")="membership"),"",IF(LOWER($L331&amp;"")="yes",0,IF($K331&lt;&gt;"",$K331,IF($O331&lt;&gt;"",$O331,"")))))</x:f>
      </x:c>
      <x:c r="Q331" s="112" t="str">
        <x:f>IF(COUNTA($A331:$M331)=0,"",IF(OR($U331="Subscription",$U331=""),"",IF($U331="Profit",ROUND($P331-$H331,2),0)))</x:f>
      </x:c>
      <x:c r="R331" s="112" t="str">
        <x:f>IF(COUNTA($A331:$M331)=0,"",IF(OR($U331="Subscription",$U331=""),"",IF($U331="Draw",$H331,0)))</x:f>
      </x:c>
      <x:c r="S331" s="112" t="str">
        <x:f>IF(COUNTA($A331:$M331)=0,"",IF(OR($U331="Subscription",$U331=""),"",IF($U331="Disqualified",$H331,0)))</x:f>
      </x:c>
      <x:c r="T331" s="116" t="str">
        <x:f>IF(COUNTA($A331:$M331)=0,"",IF(OR($U331="Subscription",$U331=""),"",IF($H331=0,0,IF($U331="Profit",$Q331/$H331,IF($U331="Disqualified",-$S331/$H331,0)))))</x:f>
      </x:c>
      <x:c r="U331" s="290" t="str">
        <x:f>IF(COUNTA($A331:$M331)=0,"",IF(OR(LOWER($F331&amp;"")="subscription",LOWER($F331&amp;"")="membership"),"Subscription",IF(LOWER($L331&amp;"")="yes","Disqualified",IF(OR(LOWER($F331&amp;"")="free game",LOWER($F331&amp;"")="free"),IF(AND(ISNUMBER($P331),ISNUMBER($H331),$P331&gt;$H331),"Profit","Free Game"),IF($P331="","",IF(ROUND(IFERROR(VALUE($P331),0)-IFERROR(VALUE($H331),0),2)&gt;0,"Profit","Draw"))))))</x:f>
      </x:c>
      <x:c r="V331" s="144" t="str">
        <x:f>IF(COUNTA($A331:$M331)=0,"",IF(OR($B331="",$C331="",$U331="Subscription"),"",IFERROR(ROUNDUP(($C331-$B331)/7,0),"")))</x:f>
      </x:c>
      <x:c r="W331" s="112" t="str">
        <x:f>IF(COUNTA($A331:$M331)=0,"",IF(OR($U331="Subscription",$U331=""),"",ROUND(IFERROR($Q331,0)-IFERROR($S331,0),2)))</x:f>
      </x:c>
      <x:c r="X331" s="144" t="str">
        <x:f>IF(COUNTA($A331:$M331)=0,"",IF(OR($U331="Subscription",$U331="Free Game",NOT(ISNUMBER($J331)),NOT(ISNUMBER($I331)),$J331=0,$I331=0,$I331&gt;$J331),"",$J331-$I331))</x:f>
      </x:c>
      <x:c r="Y331" s="116" t="str">
        <x:f>IF(COUNTA($A331:$M331)=0,"",IF(OR($U331="Subscription",$U331="Free Game",NOT(ISNUMBER($J331)),$J331=0,$X331=""),"",$X331/$J331))</x:f>
      </x:c>
      <x:c r="Z331" s="118" t="str">
        <x:f>IF(COUNTA($A331:$M331)=0,"",Instructions!$B$29+SUM($W$5:W331))</x:f>
      </x:c>
    </x:row>
    <x:row r="332" ht="30" customHeight="1">
      <x:c r="A332" s="477"/>
      <x:c r="B332" s="482"/>
      <x:c r="C332" s="482"/>
      <x:c r="D332" s="483"/>
      <x:c r="E332" s="483"/>
      <x:c r="F332" s="483"/>
      <x:c r="G332" s="484"/>
      <x:c r="H332" s="484"/>
      <x:c r="I332" s="485"/>
      <x:c r="J332" s="485"/>
      <x:c r="K332" s="484"/>
      <x:c r="L332" s="483"/>
      <x:c r="M332" s="477"/>
      <x:c r="N332" s="112" t="str">
        <x:f>IF(COUNTA($A332:$M332)=0,"",IF(OR(LOWER($F332&amp;"")="subscription",LOWER($F332&amp;"")="membership"),"",IF($G332="","",IF(ISNUMBER(SEARCH("non",LOWER($E332&amp;""))),$G332*0.85,$G332))))</x:f>
      </x:c>
      <x:c r="O332" s="112" t="str">
        <x:f>IF(COUNTA($A332:$M332)=0,"",IF(OR(LOWER($F332&amp;"")="subscription",LOWER($F332&amp;"")="membership"),"",IF(OR($N332="",$I332="",$I332=0),"",IFERROR($N332/$I332,""))))</x:f>
      </x:c>
      <x:c r="P332" s="112" t="str">
        <x:f>IF(COUNTA($A332:$M332)=0,"",IF(OR(LOWER($F332&amp;"")="subscription",LOWER($F332&amp;"")="membership"),"",IF(LOWER($L332&amp;"")="yes",0,IF($K332&lt;&gt;"",$K332,IF($O332&lt;&gt;"",$O332,"")))))</x:f>
      </x:c>
      <x:c r="Q332" s="112" t="str">
        <x:f>IF(COUNTA($A332:$M332)=0,"",IF(OR($U332="Subscription",$U332=""),"",IF($U332="Profit",ROUND($P332-$H332,2),0)))</x:f>
      </x:c>
      <x:c r="R332" s="112" t="str">
        <x:f>IF(COUNTA($A332:$M332)=0,"",IF(OR($U332="Subscription",$U332=""),"",IF($U332="Draw",$H332,0)))</x:f>
      </x:c>
      <x:c r="S332" s="112" t="str">
        <x:f>IF(COUNTA($A332:$M332)=0,"",IF(OR($U332="Subscription",$U332=""),"",IF($U332="Disqualified",$H332,0)))</x:f>
      </x:c>
      <x:c r="T332" s="116" t="str">
        <x:f>IF(COUNTA($A332:$M332)=0,"",IF(OR($U332="Subscription",$U332=""),"",IF($H332=0,0,IF($U332="Profit",$Q332/$H332,IF($U332="Disqualified",-$S332/$H332,0)))))</x:f>
      </x:c>
      <x:c r="U332" s="290" t="str">
        <x:f>IF(COUNTA($A332:$M332)=0,"",IF(OR(LOWER($F332&amp;"")="subscription",LOWER($F332&amp;"")="membership"),"Subscription",IF(LOWER($L332&amp;"")="yes","Disqualified",IF(OR(LOWER($F332&amp;"")="free game",LOWER($F332&amp;"")="free"),IF(AND(ISNUMBER($P332),ISNUMBER($H332),$P332&gt;$H332),"Profit","Free Game"),IF($P332="","",IF(ROUND(IFERROR(VALUE($P332),0)-IFERROR(VALUE($H332),0),2)&gt;0,"Profit","Draw"))))))</x:f>
      </x:c>
      <x:c r="V332" s="144" t="str">
        <x:f>IF(COUNTA($A332:$M332)=0,"",IF(OR($B332="",$C332="",$U332="Subscription"),"",IFERROR(ROUNDUP(($C332-$B332)/7,0),"")))</x:f>
      </x:c>
      <x:c r="W332" s="112" t="str">
        <x:f>IF(COUNTA($A332:$M332)=0,"",IF(OR($U332="Subscription",$U332=""),"",ROUND(IFERROR($Q332,0)-IFERROR($S332,0),2)))</x:f>
      </x:c>
      <x:c r="X332" s="144" t="str">
        <x:f>IF(COUNTA($A332:$M332)=0,"",IF(OR($U332="Subscription",$U332="Free Game",NOT(ISNUMBER($J332)),NOT(ISNUMBER($I332)),$J332=0,$I332=0,$I332&gt;$J332),"",$J332-$I332))</x:f>
      </x:c>
      <x:c r="Y332" s="116" t="str">
        <x:f>IF(COUNTA($A332:$M332)=0,"",IF(OR($U332="Subscription",$U332="Free Game",NOT(ISNUMBER($J332)),$J332=0,$X332=""),"",$X332/$J332))</x:f>
      </x:c>
      <x:c r="Z332" s="118" t="str">
        <x:f>IF(COUNTA($A332:$M332)=0,"",Instructions!$B$29+SUM($W$5:W332))</x:f>
      </x:c>
    </x:row>
    <x:row r="333" ht="30" customHeight="1">
      <x:c r="A333" s="477"/>
      <x:c r="B333" s="482"/>
      <x:c r="C333" s="482"/>
      <x:c r="D333" s="483"/>
      <x:c r="E333" s="483"/>
      <x:c r="F333" s="483"/>
      <x:c r="G333" s="484"/>
      <x:c r="H333" s="484"/>
      <x:c r="I333" s="485"/>
      <x:c r="J333" s="485"/>
      <x:c r="K333" s="484"/>
      <x:c r="L333" s="483"/>
      <x:c r="M333" s="477"/>
      <x:c r="N333" s="112" t="str">
        <x:f>IF(COUNTA($A333:$M333)=0,"",IF(OR(LOWER($F333&amp;"")="subscription",LOWER($F333&amp;"")="membership"),"",IF($G333="","",IF(ISNUMBER(SEARCH("non",LOWER($E333&amp;""))),$G333*0.85,$G333))))</x:f>
      </x:c>
      <x:c r="O333" s="112" t="str">
        <x:f>IF(COUNTA($A333:$M333)=0,"",IF(OR(LOWER($F333&amp;"")="subscription",LOWER($F333&amp;"")="membership"),"",IF(OR($N333="",$I333="",$I333=0),"",IFERROR($N333/$I333,""))))</x:f>
      </x:c>
      <x:c r="P333" s="112" t="str">
        <x:f>IF(COUNTA($A333:$M333)=0,"",IF(OR(LOWER($F333&amp;"")="subscription",LOWER($F333&amp;"")="membership"),"",IF(LOWER($L333&amp;"")="yes",0,IF($K333&lt;&gt;"",$K333,IF($O333&lt;&gt;"",$O333,"")))))</x:f>
      </x:c>
      <x:c r="Q333" s="112" t="str">
        <x:f>IF(COUNTA($A333:$M333)=0,"",IF(OR($U333="Subscription",$U333=""),"",IF($U333="Profit",ROUND($P333-$H333,2),0)))</x:f>
      </x:c>
      <x:c r="R333" s="112" t="str">
        <x:f>IF(COUNTA($A333:$M333)=0,"",IF(OR($U333="Subscription",$U333=""),"",IF($U333="Draw",$H333,0)))</x:f>
      </x:c>
      <x:c r="S333" s="112" t="str">
        <x:f>IF(COUNTA($A333:$M333)=0,"",IF(OR($U333="Subscription",$U333=""),"",IF($U333="Disqualified",$H333,0)))</x:f>
      </x:c>
      <x:c r="T333" s="116" t="str">
        <x:f>IF(COUNTA($A333:$M333)=0,"",IF(OR($U333="Subscription",$U333=""),"",IF($H333=0,0,IF($U333="Profit",$Q333/$H333,IF($U333="Disqualified",-$S333/$H333,0)))))</x:f>
      </x:c>
      <x:c r="U333" s="290" t="str">
        <x:f>IF(COUNTA($A333:$M333)=0,"",IF(OR(LOWER($F333&amp;"")="subscription",LOWER($F333&amp;"")="membership"),"Subscription",IF(LOWER($L333&amp;"")="yes","Disqualified",IF(OR(LOWER($F333&amp;"")="free game",LOWER($F333&amp;"")="free"),IF(AND(ISNUMBER($P333),ISNUMBER($H333),$P333&gt;$H333),"Profit","Free Game"),IF($P333="","",IF(ROUND(IFERROR(VALUE($P333),0)-IFERROR(VALUE($H333),0),2)&gt;0,"Profit","Draw"))))))</x:f>
      </x:c>
      <x:c r="V333" s="144" t="str">
        <x:f>IF(COUNTA($A333:$M333)=0,"",IF(OR($B333="",$C333="",$U333="Subscription"),"",IFERROR(ROUNDUP(($C333-$B333)/7,0),"")))</x:f>
      </x:c>
      <x:c r="W333" s="112" t="str">
        <x:f>IF(COUNTA($A333:$M333)=0,"",IF(OR($U333="Subscription",$U333=""),"",ROUND(IFERROR($Q333,0)-IFERROR($S333,0),2)))</x:f>
      </x:c>
      <x:c r="X333" s="144" t="str">
        <x:f>IF(COUNTA($A333:$M333)=0,"",IF(OR($U333="Subscription",$U333="Free Game",NOT(ISNUMBER($J333)),NOT(ISNUMBER($I333)),$J333=0,$I333=0,$I333&gt;$J333),"",$J333-$I333))</x:f>
      </x:c>
      <x:c r="Y333" s="116" t="str">
        <x:f>IF(COUNTA($A333:$M333)=0,"",IF(OR($U333="Subscription",$U333="Free Game",NOT(ISNUMBER($J333)),$J333=0,$X333=""),"",$X333/$J333))</x:f>
      </x:c>
      <x:c r="Z333" s="118" t="str">
        <x:f>IF(COUNTA($A333:$M333)=0,"",Instructions!$B$29+SUM($W$5:W333))</x:f>
      </x:c>
    </x:row>
    <x:row r="334" ht="30" customHeight="1">
      <x:c r="A334" s="477"/>
      <x:c r="B334" s="482"/>
      <x:c r="C334" s="482"/>
      <x:c r="D334" s="483"/>
      <x:c r="E334" s="483"/>
      <x:c r="F334" s="483"/>
      <x:c r="G334" s="484"/>
      <x:c r="H334" s="484"/>
      <x:c r="I334" s="485"/>
      <x:c r="J334" s="485"/>
      <x:c r="K334" s="484"/>
      <x:c r="L334" s="483"/>
      <x:c r="M334" s="477"/>
      <x:c r="N334" s="112" t="str">
        <x:f>IF(COUNTA($A334:$M334)=0,"",IF(OR(LOWER($F334&amp;"")="subscription",LOWER($F334&amp;"")="membership"),"",IF($G334="","",IF(ISNUMBER(SEARCH("non",LOWER($E334&amp;""))),$G334*0.85,$G334))))</x:f>
      </x:c>
      <x:c r="O334" s="112" t="str">
        <x:f>IF(COUNTA($A334:$M334)=0,"",IF(OR(LOWER($F334&amp;"")="subscription",LOWER($F334&amp;"")="membership"),"",IF(OR($N334="",$I334="",$I334=0),"",IFERROR($N334/$I334,""))))</x:f>
      </x:c>
      <x:c r="P334" s="112" t="str">
        <x:f>IF(COUNTA($A334:$M334)=0,"",IF(OR(LOWER($F334&amp;"")="subscription",LOWER($F334&amp;"")="membership"),"",IF(LOWER($L334&amp;"")="yes",0,IF($K334&lt;&gt;"",$K334,IF($O334&lt;&gt;"",$O334,"")))))</x:f>
      </x:c>
      <x:c r="Q334" s="112" t="str">
        <x:f>IF(COUNTA($A334:$M334)=0,"",IF(OR($U334="Subscription",$U334=""),"",IF($U334="Profit",ROUND($P334-$H334,2),0)))</x:f>
      </x:c>
      <x:c r="R334" s="112" t="str">
        <x:f>IF(COUNTA($A334:$M334)=0,"",IF(OR($U334="Subscription",$U334=""),"",IF($U334="Draw",$H334,0)))</x:f>
      </x:c>
      <x:c r="S334" s="112" t="str">
        <x:f>IF(COUNTA($A334:$M334)=0,"",IF(OR($U334="Subscription",$U334=""),"",IF($U334="Disqualified",$H334,0)))</x:f>
      </x:c>
      <x:c r="T334" s="116" t="str">
        <x:f>IF(COUNTA($A334:$M334)=0,"",IF(OR($U334="Subscription",$U334=""),"",IF($H334=0,0,IF($U334="Profit",$Q334/$H334,IF($U334="Disqualified",-$S334/$H334,0)))))</x:f>
      </x:c>
      <x:c r="U334" s="290" t="str">
        <x:f>IF(COUNTA($A334:$M334)=0,"",IF(OR(LOWER($F334&amp;"")="subscription",LOWER($F334&amp;"")="membership"),"Subscription",IF(LOWER($L334&amp;"")="yes","Disqualified",IF(OR(LOWER($F334&amp;"")="free game",LOWER($F334&amp;"")="free"),IF(AND(ISNUMBER($P334),ISNUMBER($H334),$P334&gt;$H334),"Profit","Free Game"),IF($P334="","",IF(ROUND(IFERROR(VALUE($P334),0)-IFERROR(VALUE($H334),0),2)&gt;0,"Profit","Draw"))))))</x:f>
      </x:c>
      <x:c r="V334" s="144" t="str">
        <x:f>IF(COUNTA($A334:$M334)=0,"",IF(OR($B334="",$C334="",$U334="Subscription"),"",IFERROR(ROUNDUP(($C334-$B334)/7,0),"")))</x:f>
      </x:c>
      <x:c r="W334" s="112" t="str">
        <x:f>IF(COUNTA($A334:$M334)=0,"",IF(OR($U334="Subscription",$U334=""),"",ROUND(IFERROR($Q334,0)-IFERROR($S334,0),2)))</x:f>
      </x:c>
      <x:c r="X334" s="144" t="str">
        <x:f>IF(COUNTA($A334:$M334)=0,"",IF(OR($U334="Subscription",$U334="Free Game",NOT(ISNUMBER($J334)),NOT(ISNUMBER($I334)),$J334=0,$I334=0,$I334&gt;$J334),"",$J334-$I334))</x:f>
      </x:c>
      <x:c r="Y334" s="116" t="str">
        <x:f>IF(COUNTA($A334:$M334)=0,"",IF(OR($U334="Subscription",$U334="Free Game",NOT(ISNUMBER($J334)),$J334=0,$X334=""),"",$X334/$J334))</x:f>
      </x:c>
      <x:c r="Z334" s="118" t="str">
        <x:f>IF(COUNTA($A334:$M334)=0,"",Instructions!$B$29+SUM($W$5:W334))</x:f>
      </x:c>
    </x:row>
    <x:row r="335" ht="30" customHeight="1">
      <x:c r="A335" s="477"/>
      <x:c r="B335" s="482"/>
      <x:c r="C335" s="482"/>
      <x:c r="D335" s="483"/>
      <x:c r="E335" s="483"/>
      <x:c r="F335" s="483"/>
      <x:c r="G335" s="484"/>
      <x:c r="H335" s="484"/>
      <x:c r="I335" s="485"/>
      <x:c r="J335" s="485"/>
      <x:c r="K335" s="484"/>
      <x:c r="L335" s="483"/>
      <x:c r="M335" s="477"/>
      <x:c r="N335" s="112" t="str">
        <x:f>IF(COUNTA($A335:$M335)=0,"",IF(OR(LOWER($F335&amp;"")="subscription",LOWER($F335&amp;"")="membership"),"",IF($G335="","",IF(ISNUMBER(SEARCH("non",LOWER($E335&amp;""))),$G335*0.85,$G335))))</x:f>
      </x:c>
      <x:c r="O335" s="112" t="str">
        <x:f>IF(COUNTA($A335:$M335)=0,"",IF(OR(LOWER($F335&amp;"")="subscription",LOWER($F335&amp;"")="membership"),"",IF(OR($N335="",$I335="",$I335=0),"",IFERROR($N335/$I335,""))))</x:f>
      </x:c>
      <x:c r="P335" s="112" t="str">
        <x:f>IF(COUNTA($A335:$M335)=0,"",IF(OR(LOWER($F335&amp;"")="subscription",LOWER($F335&amp;"")="membership"),"",IF(LOWER($L335&amp;"")="yes",0,IF($K335&lt;&gt;"",$K335,IF($O335&lt;&gt;"",$O335,"")))))</x:f>
      </x:c>
      <x:c r="Q335" s="112" t="str">
        <x:f>IF(COUNTA($A335:$M335)=0,"",IF(OR($U335="Subscription",$U335=""),"",IF($U335="Profit",ROUND($P335-$H335,2),0)))</x:f>
      </x:c>
      <x:c r="R335" s="112" t="str">
        <x:f>IF(COUNTA($A335:$M335)=0,"",IF(OR($U335="Subscription",$U335=""),"",IF($U335="Draw",$H335,0)))</x:f>
      </x:c>
      <x:c r="S335" s="112" t="str">
        <x:f>IF(COUNTA($A335:$M335)=0,"",IF(OR($U335="Subscription",$U335=""),"",IF($U335="Disqualified",$H335,0)))</x:f>
      </x:c>
      <x:c r="T335" s="116" t="str">
        <x:f>IF(COUNTA($A335:$M335)=0,"",IF(OR($U335="Subscription",$U335=""),"",IF($H335=0,0,IF($U335="Profit",$Q335/$H335,IF($U335="Disqualified",-$S335/$H335,0)))))</x:f>
      </x:c>
      <x:c r="U335" s="290" t="str">
        <x:f>IF(COUNTA($A335:$M335)=0,"",IF(OR(LOWER($F335&amp;"")="subscription",LOWER($F335&amp;"")="membership"),"Subscription",IF(LOWER($L335&amp;"")="yes","Disqualified",IF(OR(LOWER($F335&amp;"")="free game",LOWER($F335&amp;"")="free"),IF(AND(ISNUMBER($P335),ISNUMBER($H335),$P335&gt;$H335),"Profit","Free Game"),IF($P335="","",IF(ROUND(IFERROR(VALUE($P335),0)-IFERROR(VALUE($H335),0),2)&gt;0,"Profit","Draw"))))))</x:f>
      </x:c>
      <x:c r="V335" s="144" t="str">
        <x:f>IF(COUNTA($A335:$M335)=0,"",IF(OR($B335="",$C335="",$U335="Subscription"),"",IFERROR(ROUNDUP(($C335-$B335)/7,0),"")))</x:f>
      </x:c>
      <x:c r="W335" s="112" t="str">
        <x:f>IF(COUNTA($A335:$M335)=0,"",IF(OR($U335="Subscription",$U335=""),"",ROUND(IFERROR($Q335,0)-IFERROR($S335,0),2)))</x:f>
      </x:c>
      <x:c r="X335" s="144" t="str">
        <x:f>IF(COUNTA($A335:$M335)=0,"",IF(OR($U335="Subscription",$U335="Free Game",NOT(ISNUMBER($J335)),NOT(ISNUMBER($I335)),$J335=0,$I335=0,$I335&gt;$J335),"",$J335-$I335))</x:f>
      </x:c>
      <x:c r="Y335" s="116" t="str">
        <x:f>IF(COUNTA($A335:$M335)=0,"",IF(OR($U335="Subscription",$U335="Free Game",NOT(ISNUMBER($J335)),$J335=0,$X335=""),"",$X335/$J335))</x:f>
      </x:c>
      <x:c r="Z335" s="118" t="str">
        <x:f>IF(COUNTA($A335:$M335)=0,"",Instructions!$B$29+SUM($W$5:W335))</x:f>
      </x:c>
    </x:row>
    <x:row r="336" ht="30" customHeight="1">
      <x:c r="A336" s="477"/>
      <x:c r="B336" s="482"/>
      <x:c r="C336" s="482"/>
      <x:c r="D336" s="483"/>
      <x:c r="E336" s="483"/>
      <x:c r="F336" s="483"/>
      <x:c r="G336" s="484"/>
      <x:c r="H336" s="484"/>
      <x:c r="I336" s="485"/>
      <x:c r="J336" s="485"/>
      <x:c r="K336" s="484"/>
      <x:c r="L336" s="483"/>
      <x:c r="M336" s="477"/>
      <x:c r="N336" s="112" t="str">
        <x:f>IF(COUNTA($A336:$M336)=0,"",IF(OR(LOWER($F336&amp;"")="subscription",LOWER($F336&amp;"")="membership"),"",IF($G336="","",IF(ISNUMBER(SEARCH("non",LOWER($E336&amp;""))),$G336*0.85,$G336))))</x:f>
      </x:c>
      <x:c r="O336" s="112" t="str">
        <x:f>IF(COUNTA($A336:$M336)=0,"",IF(OR(LOWER($F336&amp;"")="subscription",LOWER($F336&amp;"")="membership"),"",IF(OR($N336="",$I336="",$I336=0),"",IFERROR($N336/$I336,""))))</x:f>
      </x:c>
      <x:c r="P336" s="112" t="str">
        <x:f>IF(COUNTA($A336:$M336)=0,"",IF(OR(LOWER($F336&amp;"")="subscription",LOWER($F336&amp;"")="membership"),"",IF(LOWER($L336&amp;"")="yes",0,IF($K336&lt;&gt;"",$K336,IF($O336&lt;&gt;"",$O336,"")))))</x:f>
      </x:c>
      <x:c r="Q336" s="112" t="str">
        <x:f>IF(COUNTA($A336:$M336)=0,"",IF(OR($U336="Subscription",$U336=""),"",IF($U336="Profit",ROUND($P336-$H336,2),0)))</x:f>
      </x:c>
      <x:c r="R336" s="112" t="str">
        <x:f>IF(COUNTA($A336:$M336)=0,"",IF(OR($U336="Subscription",$U336=""),"",IF($U336="Draw",$H336,0)))</x:f>
      </x:c>
      <x:c r="S336" s="112" t="str">
        <x:f>IF(COUNTA($A336:$M336)=0,"",IF(OR($U336="Subscription",$U336=""),"",IF($U336="Disqualified",$H336,0)))</x:f>
      </x:c>
      <x:c r="T336" s="116" t="str">
        <x:f>IF(COUNTA($A336:$M336)=0,"",IF(OR($U336="Subscription",$U336=""),"",IF($H336=0,0,IF($U336="Profit",$Q336/$H336,IF($U336="Disqualified",-$S336/$H336,0)))))</x:f>
      </x:c>
      <x:c r="U336" s="290" t="str">
        <x:f>IF(COUNTA($A336:$M336)=0,"",IF(OR(LOWER($F336&amp;"")="subscription",LOWER($F336&amp;"")="membership"),"Subscription",IF(LOWER($L336&amp;"")="yes","Disqualified",IF(OR(LOWER($F336&amp;"")="free game",LOWER($F336&amp;"")="free"),IF(AND(ISNUMBER($P336),ISNUMBER($H336),$P336&gt;$H336),"Profit","Free Game"),IF($P336="","",IF(ROUND(IFERROR(VALUE($P336),0)-IFERROR(VALUE($H336),0),2)&gt;0,"Profit","Draw"))))))</x:f>
      </x:c>
      <x:c r="V336" s="144" t="str">
        <x:f>IF(COUNTA($A336:$M336)=0,"",IF(OR($B336="",$C336="",$U336="Subscription"),"",IFERROR(ROUNDUP(($C336-$B336)/7,0),"")))</x:f>
      </x:c>
      <x:c r="W336" s="112" t="str">
        <x:f>IF(COUNTA($A336:$M336)=0,"",IF(OR($U336="Subscription",$U336=""),"",ROUND(IFERROR($Q336,0)-IFERROR($S336,0),2)))</x:f>
      </x:c>
      <x:c r="X336" s="144" t="str">
        <x:f>IF(COUNTA($A336:$M336)=0,"",IF(OR($U336="Subscription",$U336="Free Game",NOT(ISNUMBER($J336)),NOT(ISNUMBER($I336)),$J336=0,$I336=0,$I336&gt;$J336),"",$J336-$I336))</x:f>
      </x:c>
      <x:c r="Y336" s="116" t="str">
        <x:f>IF(COUNTA($A336:$M336)=0,"",IF(OR($U336="Subscription",$U336="Free Game",NOT(ISNUMBER($J336)),$J336=0,$X336=""),"",$X336/$J336))</x:f>
      </x:c>
      <x:c r="Z336" s="118" t="str">
        <x:f>IF(COUNTA($A336:$M336)=0,"",Instructions!$B$29+SUM($W$5:W336))</x:f>
      </x:c>
    </x:row>
    <x:row r="337" ht="30" customHeight="1">
      <x:c r="A337" s="477"/>
      <x:c r="B337" s="482"/>
      <x:c r="C337" s="482"/>
      <x:c r="D337" s="483"/>
      <x:c r="E337" s="483"/>
      <x:c r="F337" s="483"/>
      <x:c r="G337" s="484"/>
      <x:c r="H337" s="484"/>
      <x:c r="I337" s="485"/>
      <x:c r="J337" s="485"/>
      <x:c r="K337" s="484"/>
      <x:c r="L337" s="483"/>
      <x:c r="M337" s="477"/>
      <x:c r="N337" s="112" t="str">
        <x:f>IF(COUNTA($A337:$M337)=0,"",IF(OR(LOWER($F337&amp;"")="subscription",LOWER($F337&amp;"")="membership"),"",IF($G337="","",IF(ISNUMBER(SEARCH("non",LOWER($E337&amp;""))),$G337*0.85,$G337))))</x:f>
      </x:c>
      <x:c r="O337" s="112" t="str">
        <x:f>IF(COUNTA($A337:$M337)=0,"",IF(OR(LOWER($F337&amp;"")="subscription",LOWER($F337&amp;"")="membership"),"",IF(OR($N337="",$I337="",$I337=0),"",IFERROR($N337/$I337,""))))</x:f>
      </x:c>
      <x:c r="P337" s="112" t="str">
        <x:f>IF(COUNTA($A337:$M337)=0,"",IF(OR(LOWER($F337&amp;"")="subscription",LOWER($F337&amp;"")="membership"),"",IF(LOWER($L337&amp;"")="yes",0,IF($K337&lt;&gt;"",$K337,IF($O337&lt;&gt;"",$O337,"")))))</x:f>
      </x:c>
      <x:c r="Q337" s="112" t="str">
        <x:f>IF(COUNTA($A337:$M337)=0,"",IF(OR($U337="Subscription",$U337=""),"",IF($U337="Profit",ROUND($P337-$H337,2),0)))</x:f>
      </x:c>
      <x:c r="R337" s="112" t="str">
        <x:f>IF(COUNTA($A337:$M337)=0,"",IF(OR($U337="Subscription",$U337=""),"",IF($U337="Draw",$H337,0)))</x:f>
      </x:c>
      <x:c r="S337" s="112" t="str">
        <x:f>IF(COUNTA($A337:$M337)=0,"",IF(OR($U337="Subscription",$U337=""),"",IF($U337="Disqualified",$H337,0)))</x:f>
      </x:c>
      <x:c r="T337" s="116" t="str">
        <x:f>IF(COUNTA($A337:$M337)=0,"",IF(OR($U337="Subscription",$U337=""),"",IF($H337=0,0,IF($U337="Profit",$Q337/$H337,IF($U337="Disqualified",-$S337/$H337,0)))))</x:f>
      </x:c>
      <x:c r="U337" s="290" t="str">
        <x:f>IF(COUNTA($A337:$M337)=0,"",IF(OR(LOWER($F337&amp;"")="subscription",LOWER($F337&amp;"")="membership"),"Subscription",IF(LOWER($L337&amp;"")="yes","Disqualified",IF(OR(LOWER($F337&amp;"")="free game",LOWER($F337&amp;"")="free"),IF(AND(ISNUMBER($P337),ISNUMBER($H337),$P337&gt;$H337),"Profit","Free Game"),IF($P337="","",IF(ROUND(IFERROR(VALUE($P337),0)-IFERROR(VALUE($H337),0),2)&gt;0,"Profit","Draw"))))))</x:f>
      </x:c>
      <x:c r="V337" s="144" t="str">
        <x:f>IF(COUNTA($A337:$M337)=0,"",IF(OR($B337="",$C337="",$U337="Subscription"),"",IFERROR(ROUNDUP(($C337-$B337)/7,0),"")))</x:f>
      </x:c>
      <x:c r="W337" s="112" t="str">
        <x:f>IF(COUNTA($A337:$M337)=0,"",IF(OR($U337="Subscription",$U337=""),"",ROUND(IFERROR($Q337,0)-IFERROR($S337,0),2)))</x:f>
      </x:c>
      <x:c r="X337" s="144" t="str">
        <x:f>IF(COUNTA($A337:$M337)=0,"",IF(OR($U337="Subscription",$U337="Free Game",NOT(ISNUMBER($J337)),NOT(ISNUMBER($I337)),$J337=0,$I337=0,$I337&gt;$J337),"",$J337-$I337))</x:f>
      </x:c>
      <x:c r="Y337" s="116" t="str">
        <x:f>IF(COUNTA($A337:$M337)=0,"",IF(OR($U337="Subscription",$U337="Free Game",NOT(ISNUMBER($J337)),$J337=0,$X337=""),"",$X337/$J337))</x:f>
      </x:c>
      <x:c r="Z337" s="118" t="str">
        <x:f>IF(COUNTA($A337:$M337)=0,"",Instructions!$B$29+SUM($W$5:W337))</x:f>
      </x:c>
    </x:row>
    <x:row r="338" ht="30" customHeight="1">
      <x:c r="A338" s="477"/>
      <x:c r="B338" s="482"/>
      <x:c r="C338" s="482"/>
      <x:c r="D338" s="483"/>
      <x:c r="E338" s="483"/>
      <x:c r="F338" s="483"/>
      <x:c r="G338" s="484"/>
      <x:c r="H338" s="484"/>
      <x:c r="I338" s="485"/>
      <x:c r="J338" s="485"/>
      <x:c r="K338" s="484"/>
      <x:c r="L338" s="483"/>
      <x:c r="M338" s="477"/>
      <x:c r="N338" s="112" t="str">
        <x:f>IF(COUNTA($A338:$M338)=0,"",IF(OR(LOWER($F338&amp;"")="subscription",LOWER($F338&amp;"")="membership"),"",IF($G338="","",IF(ISNUMBER(SEARCH("non",LOWER($E338&amp;""))),$G338*0.85,$G338))))</x:f>
      </x:c>
      <x:c r="O338" s="112" t="str">
        <x:f>IF(COUNTA($A338:$M338)=0,"",IF(OR(LOWER($F338&amp;"")="subscription",LOWER($F338&amp;"")="membership"),"",IF(OR($N338="",$I338="",$I338=0),"",IFERROR($N338/$I338,""))))</x:f>
      </x:c>
      <x:c r="P338" s="112" t="str">
        <x:f>IF(COUNTA($A338:$M338)=0,"",IF(OR(LOWER($F338&amp;"")="subscription",LOWER($F338&amp;"")="membership"),"",IF(LOWER($L338&amp;"")="yes",0,IF($K338&lt;&gt;"",$K338,IF($O338&lt;&gt;"",$O338,"")))))</x:f>
      </x:c>
      <x:c r="Q338" s="112" t="str">
        <x:f>IF(COUNTA($A338:$M338)=0,"",IF(OR($U338="Subscription",$U338=""),"",IF($U338="Profit",ROUND($P338-$H338,2),0)))</x:f>
      </x:c>
      <x:c r="R338" s="112" t="str">
        <x:f>IF(COUNTA($A338:$M338)=0,"",IF(OR($U338="Subscription",$U338=""),"",IF($U338="Draw",$H338,0)))</x:f>
      </x:c>
      <x:c r="S338" s="112" t="str">
        <x:f>IF(COUNTA($A338:$M338)=0,"",IF(OR($U338="Subscription",$U338=""),"",IF($U338="Disqualified",$H338,0)))</x:f>
      </x:c>
      <x:c r="T338" s="116" t="str">
        <x:f>IF(COUNTA($A338:$M338)=0,"",IF(OR($U338="Subscription",$U338=""),"",IF($H338=0,0,IF($U338="Profit",$Q338/$H338,IF($U338="Disqualified",-$S338/$H338,0)))))</x:f>
      </x:c>
      <x:c r="U338" s="290" t="str">
        <x:f>IF(COUNTA($A338:$M338)=0,"",IF(OR(LOWER($F338&amp;"")="subscription",LOWER($F338&amp;"")="membership"),"Subscription",IF(LOWER($L338&amp;"")="yes","Disqualified",IF(OR(LOWER($F338&amp;"")="free game",LOWER($F338&amp;"")="free"),IF(AND(ISNUMBER($P338),ISNUMBER($H338),$P338&gt;$H338),"Profit","Free Game"),IF($P338="","",IF(ROUND(IFERROR(VALUE($P338),0)-IFERROR(VALUE($H338),0),2)&gt;0,"Profit","Draw"))))))</x:f>
      </x:c>
      <x:c r="V338" s="144" t="str">
        <x:f>IF(COUNTA($A338:$M338)=0,"",IF(OR($B338="",$C338="",$U338="Subscription"),"",IFERROR(ROUNDUP(($C338-$B338)/7,0),"")))</x:f>
      </x:c>
      <x:c r="W338" s="112" t="str">
        <x:f>IF(COUNTA($A338:$M338)=0,"",IF(OR($U338="Subscription",$U338=""),"",ROUND(IFERROR($Q338,0)-IFERROR($S338,0),2)))</x:f>
      </x:c>
      <x:c r="X338" s="144" t="str">
        <x:f>IF(COUNTA($A338:$M338)=0,"",IF(OR($U338="Subscription",$U338="Free Game",NOT(ISNUMBER($J338)),NOT(ISNUMBER($I338)),$J338=0,$I338=0,$I338&gt;$J338),"",$J338-$I338))</x:f>
      </x:c>
      <x:c r="Y338" s="116" t="str">
        <x:f>IF(COUNTA($A338:$M338)=0,"",IF(OR($U338="Subscription",$U338="Free Game",NOT(ISNUMBER($J338)),$J338=0,$X338=""),"",$X338/$J338))</x:f>
      </x:c>
      <x:c r="Z338" s="118" t="str">
        <x:f>IF(COUNTA($A338:$M338)=0,"",Instructions!$B$29+SUM($W$5:W338))</x:f>
      </x:c>
    </x:row>
    <x:row r="339" ht="30" customHeight="1">
      <x:c r="A339" s="477"/>
      <x:c r="B339" s="482"/>
      <x:c r="C339" s="482"/>
      <x:c r="D339" s="483"/>
      <x:c r="E339" s="483"/>
      <x:c r="F339" s="483"/>
      <x:c r="G339" s="484"/>
      <x:c r="H339" s="484"/>
      <x:c r="I339" s="485"/>
      <x:c r="J339" s="485"/>
      <x:c r="K339" s="484"/>
      <x:c r="L339" s="483"/>
      <x:c r="M339" s="477"/>
      <x:c r="N339" s="112" t="str">
        <x:f>IF(COUNTA($A339:$M339)=0,"",IF(OR(LOWER($F339&amp;"")="subscription",LOWER($F339&amp;"")="membership"),"",IF($G339="","",IF(ISNUMBER(SEARCH("non",LOWER($E339&amp;""))),$G339*0.85,$G339))))</x:f>
      </x:c>
      <x:c r="O339" s="112" t="str">
        <x:f>IF(COUNTA($A339:$M339)=0,"",IF(OR(LOWER($F339&amp;"")="subscription",LOWER($F339&amp;"")="membership"),"",IF(OR($N339="",$I339="",$I339=0),"",IFERROR($N339/$I339,""))))</x:f>
      </x:c>
      <x:c r="P339" s="112" t="str">
        <x:f>IF(COUNTA($A339:$M339)=0,"",IF(OR(LOWER($F339&amp;"")="subscription",LOWER($F339&amp;"")="membership"),"",IF(LOWER($L339&amp;"")="yes",0,IF($K339&lt;&gt;"",$K339,IF($O339&lt;&gt;"",$O339,"")))))</x:f>
      </x:c>
      <x:c r="Q339" s="112" t="str">
        <x:f>IF(COUNTA($A339:$M339)=0,"",IF(OR($U339="Subscription",$U339=""),"",IF($U339="Profit",ROUND($P339-$H339,2),0)))</x:f>
      </x:c>
      <x:c r="R339" s="112" t="str">
        <x:f>IF(COUNTA($A339:$M339)=0,"",IF(OR($U339="Subscription",$U339=""),"",IF($U339="Draw",$H339,0)))</x:f>
      </x:c>
      <x:c r="S339" s="112" t="str">
        <x:f>IF(COUNTA($A339:$M339)=0,"",IF(OR($U339="Subscription",$U339=""),"",IF($U339="Disqualified",$H339,0)))</x:f>
      </x:c>
      <x:c r="T339" s="116" t="str">
        <x:f>IF(COUNTA($A339:$M339)=0,"",IF(OR($U339="Subscription",$U339=""),"",IF($H339=0,0,IF($U339="Profit",$Q339/$H339,IF($U339="Disqualified",-$S339/$H339,0)))))</x:f>
      </x:c>
      <x:c r="U339" s="290" t="str">
        <x:f>IF(COUNTA($A339:$M339)=0,"",IF(OR(LOWER($F339&amp;"")="subscription",LOWER($F339&amp;"")="membership"),"Subscription",IF(LOWER($L339&amp;"")="yes","Disqualified",IF(OR(LOWER($F339&amp;"")="free game",LOWER($F339&amp;"")="free"),IF(AND(ISNUMBER($P339),ISNUMBER($H339),$P339&gt;$H339),"Profit","Free Game"),IF($P339="","",IF(ROUND(IFERROR(VALUE($P339),0)-IFERROR(VALUE($H339),0),2)&gt;0,"Profit","Draw"))))))</x:f>
      </x:c>
      <x:c r="V339" s="144" t="str">
        <x:f>IF(COUNTA($A339:$M339)=0,"",IF(OR($B339="",$C339="",$U339="Subscription"),"",IFERROR(ROUNDUP(($C339-$B339)/7,0),"")))</x:f>
      </x:c>
      <x:c r="W339" s="112" t="str">
        <x:f>IF(COUNTA($A339:$M339)=0,"",IF(OR($U339="Subscription",$U339=""),"",ROUND(IFERROR($Q339,0)-IFERROR($S339,0),2)))</x:f>
      </x:c>
      <x:c r="X339" s="144" t="str">
        <x:f>IF(COUNTA($A339:$M339)=0,"",IF(OR($U339="Subscription",$U339="Free Game",NOT(ISNUMBER($J339)),NOT(ISNUMBER($I339)),$J339=0,$I339=0,$I339&gt;$J339),"",$J339-$I339))</x:f>
      </x:c>
      <x:c r="Y339" s="116" t="str">
        <x:f>IF(COUNTA($A339:$M339)=0,"",IF(OR($U339="Subscription",$U339="Free Game",NOT(ISNUMBER($J339)),$J339=0,$X339=""),"",$X339/$J339))</x:f>
      </x:c>
      <x:c r="Z339" s="118" t="str">
        <x:f>IF(COUNTA($A339:$M339)=0,"",Instructions!$B$29+SUM($W$5:W339))</x:f>
      </x:c>
    </x:row>
    <x:row r="340" ht="30" customHeight="1">
      <x:c r="A340" s="477"/>
      <x:c r="B340" s="482"/>
      <x:c r="C340" s="482"/>
      <x:c r="D340" s="483"/>
      <x:c r="E340" s="483"/>
      <x:c r="F340" s="483"/>
      <x:c r="G340" s="484"/>
      <x:c r="H340" s="484"/>
      <x:c r="I340" s="485"/>
      <x:c r="J340" s="485"/>
      <x:c r="K340" s="484"/>
      <x:c r="L340" s="483"/>
      <x:c r="M340" s="477"/>
      <x:c r="N340" s="112" t="str">
        <x:f>IF(COUNTA($A340:$M340)=0,"",IF(OR(LOWER($F340&amp;"")="subscription",LOWER($F340&amp;"")="membership"),"",IF($G340="","",IF(ISNUMBER(SEARCH("non",LOWER($E340&amp;""))),$G340*0.85,$G340))))</x:f>
      </x:c>
      <x:c r="O340" s="112" t="str">
        <x:f>IF(COUNTA($A340:$M340)=0,"",IF(OR(LOWER($F340&amp;"")="subscription",LOWER($F340&amp;"")="membership"),"",IF(OR($N340="",$I340="",$I340=0),"",IFERROR($N340/$I340,""))))</x:f>
      </x:c>
      <x:c r="P340" s="112" t="str">
        <x:f>IF(COUNTA($A340:$M340)=0,"",IF(OR(LOWER($F340&amp;"")="subscription",LOWER($F340&amp;"")="membership"),"",IF(LOWER($L340&amp;"")="yes",0,IF($K340&lt;&gt;"",$K340,IF($O340&lt;&gt;"",$O340,"")))))</x:f>
      </x:c>
      <x:c r="Q340" s="112" t="str">
        <x:f>IF(COUNTA($A340:$M340)=0,"",IF(OR($U340="Subscription",$U340=""),"",IF($U340="Profit",ROUND($P340-$H340,2),0)))</x:f>
      </x:c>
      <x:c r="R340" s="112" t="str">
        <x:f>IF(COUNTA($A340:$M340)=0,"",IF(OR($U340="Subscription",$U340=""),"",IF($U340="Draw",$H340,0)))</x:f>
      </x:c>
      <x:c r="S340" s="112" t="str">
        <x:f>IF(COUNTA($A340:$M340)=0,"",IF(OR($U340="Subscription",$U340=""),"",IF($U340="Disqualified",$H340,0)))</x:f>
      </x:c>
      <x:c r="T340" s="116" t="str">
        <x:f>IF(COUNTA($A340:$M340)=0,"",IF(OR($U340="Subscription",$U340=""),"",IF($H340=0,0,IF($U340="Profit",$Q340/$H340,IF($U340="Disqualified",-$S340/$H340,0)))))</x:f>
      </x:c>
      <x:c r="U340" s="290" t="str">
        <x:f>IF(COUNTA($A340:$M340)=0,"",IF(OR(LOWER($F340&amp;"")="subscription",LOWER($F340&amp;"")="membership"),"Subscription",IF(LOWER($L340&amp;"")="yes","Disqualified",IF(OR(LOWER($F340&amp;"")="free game",LOWER($F340&amp;"")="free"),IF(AND(ISNUMBER($P340),ISNUMBER($H340),$P340&gt;$H340),"Profit","Free Game"),IF($P340="","",IF(ROUND(IFERROR(VALUE($P340),0)-IFERROR(VALUE($H340),0),2)&gt;0,"Profit","Draw"))))))</x:f>
      </x:c>
      <x:c r="V340" s="144" t="str">
        <x:f>IF(COUNTA($A340:$M340)=0,"",IF(OR($B340="",$C340="",$U340="Subscription"),"",IFERROR(ROUNDUP(($C340-$B340)/7,0),"")))</x:f>
      </x:c>
      <x:c r="W340" s="112" t="str">
        <x:f>IF(COUNTA($A340:$M340)=0,"",IF(OR($U340="Subscription",$U340=""),"",ROUND(IFERROR($Q340,0)-IFERROR($S340,0),2)))</x:f>
      </x:c>
      <x:c r="X340" s="144" t="str">
        <x:f>IF(COUNTA($A340:$M340)=0,"",IF(OR($U340="Subscription",$U340="Free Game",NOT(ISNUMBER($J340)),NOT(ISNUMBER($I340)),$J340=0,$I340=0,$I340&gt;$J340),"",$J340-$I340))</x:f>
      </x:c>
      <x:c r="Y340" s="116" t="str">
        <x:f>IF(COUNTA($A340:$M340)=0,"",IF(OR($U340="Subscription",$U340="Free Game",NOT(ISNUMBER($J340)),$J340=0,$X340=""),"",$X340/$J340))</x:f>
      </x:c>
      <x:c r="Z340" s="118" t="str">
        <x:f>IF(COUNTA($A340:$M340)=0,"",Instructions!$B$29+SUM($W$5:W340))</x:f>
      </x:c>
    </x:row>
    <x:row r="341" ht="30" customHeight="1">
      <x:c r="A341" s="477"/>
      <x:c r="B341" s="482"/>
      <x:c r="C341" s="482"/>
      <x:c r="D341" s="483"/>
      <x:c r="E341" s="483"/>
      <x:c r="F341" s="483"/>
      <x:c r="G341" s="484"/>
      <x:c r="H341" s="484"/>
      <x:c r="I341" s="485"/>
      <x:c r="J341" s="485"/>
      <x:c r="K341" s="484"/>
      <x:c r="L341" s="483"/>
      <x:c r="M341" s="477"/>
      <x:c r="N341" s="112" t="str">
        <x:f>IF(COUNTA($A341:$M341)=0,"",IF(OR(LOWER($F341&amp;"")="subscription",LOWER($F341&amp;"")="membership"),"",IF($G341="","",IF(ISNUMBER(SEARCH("non",LOWER($E341&amp;""))),$G341*0.85,$G341))))</x:f>
      </x:c>
      <x:c r="O341" s="112" t="str">
        <x:f>IF(COUNTA($A341:$M341)=0,"",IF(OR(LOWER($F341&amp;"")="subscription",LOWER($F341&amp;"")="membership"),"",IF(OR($N341="",$I341="",$I341=0),"",IFERROR($N341/$I341,""))))</x:f>
      </x:c>
      <x:c r="P341" s="112" t="str">
        <x:f>IF(COUNTA($A341:$M341)=0,"",IF(OR(LOWER($F341&amp;"")="subscription",LOWER($F341&amp;"")="membership"),"",IF(LOWER($L341&amp;"")="yes",0,IF($K341&lt;&gt;"",$K341,IF($O341&lt;&gt;"",$O341,"")))))</x:f>
      </x:c>
      <x:c r="Q341" s="112" t="str">
        <x:f>IF(COUNTA($A341:$M341)=0,"",IF(OR($U341="Subscription",$U341=""),"",IF($U341="Profit",ROUND($P341-$H341,2),0)))</x:f>
      </x:c>
      <x:c r="R341" s="112" t="str">
        <x:f>IF(COUNTA($A341:$M341)=0,"",IF(OR($U341="Subscription",$U341=""),"",IF($U341="Draw",$H341,0)))</x:f>
      </x:c>
      <x:c r="S341" s="112" t="str">
        <x:f>IF(COUNTA($A341:$M341)=0,"",IF(OR($U341="Subscription",$U341=""),"",IF($U341="Disqualified",$H341,0)))</x:f>
      </x:c>
      <x:c r="T341" s="116" t="str">
        <x:f>IF(COUNTA($A341:$M341)=0,"",IF(OR($U341="Subscription",$U341=""),"",IF($H341=0,0,IF($U341="Profit",$Q341/$H341,IF($U341="Disqualified",-$S341/$H341,0)))))</x:f>
      </x:c>
      <x:c r="U341" s="290" t="str">
        <x:f>IF(COUNTA($A341:$M341)=0,"",IF(OR(LOWER($F341&amp;"")="subscription",LOWER($F341&amp;"")="membership"),"Subscription",IF(LOWER($L341&amp;"")="yes","Disqualified",IF(OR(LOWER($F341&amp;"")="free game",LOWER($F341&amp;"")="free"),IF(AND(ISNUMBER($P341),ISNUMBER($H341),$P341&gt;$H341),"Profit","Free Game"),IF($P341="","",IF(ROUND(IFERROR(VALUE($P341),0)-IFERROR(VALUE($H341),0),2)&gt;0,"Profit","Draw"))))))</x:f>
      </x:c>
      <x:c r="V341" s="144" t="str">
        <x:f>IF(COUNTA($A341:$M341)=0,"",IF(OR($B341="",$C341="",$U341="Subscription"),"",IFERROR(ROUNDUP(($C341-$B341)/7,0),"")))</x:f>
      </x:c>
      <x:c r="W341" s="112" t="str">
        <x:f>IF(COUNTA($A341:$M341)=0,"",IF(OR($U341="Subscription",$U341=""),"",ROUND(IFERROR($Q341,0)-IFERROR($S341,0),2)))</x:f>
      </x:c>
      <x:c r="X341" s="144" t="str">
        <x:f>IF(COUNTA($A341:$M341)=0,"",IF(OR($U341="Subscription",$U341="Free Game",NOT(ISNUMBER($J341)),NOT(ISNUMBER($I341)),$J341=0,$I341=0,$I341&gt;$J341),"",$J341-$I341))</x:f>
      </x:c>
      <x:c r="Y341" s="116" t="str">
        <x:f>IF(COUNTA($A341:$M341)=0,"",IF(OR($U341="Subscription",$U341="Free Game",NOT(ISNUMBER($J341)),$J341=0,$X341=""),"",$X341/$J341))</x:f>
      </x:c>
      <x:c r="Z341" s="118" t="str">
        <x:f>IF(COUNTA($A341:$M341)=0,"",Instructions!$B$29+SUM($W$5:W341))</x:f>
      </x:c>
    </x:row>
    <x:row r="342" ht="30" customHeight="1">
      <x:c r="A342" s="477"/>
      <x:c r="B342" s="482"/>
      <x:c r="C342" s="482"/>
      <x:c r="D342" s="483"/>
      <x:c r="E342" s="483"/>
      <x:c r="F342" s="483"/>
      <x:c r="G342" s="484"/>
      <x:c r="H342" s="484"/>
      <x:c r="I342" s="485"/>
      <x:c r="J342" s="485"/>
      <x:c r="K342" s="484"/>
      <x:c r="L342" s="483"/>
      <x:c r="M342" s="477"/>
      <x:c r="N342" s="112" t="str">
        <x:f>IF(COUNTA($A342:$M342)=0,"",IF(OR(LOWER($F342&amp;"")="subscription",LOWER($F342&amp;"")="membership"),"",IF($G342="","",IF(ISNUMBER(SEARCH("non",LOWER($E342&amp;""))),$G342*0.85,$G342))))</x:f>
      </x:c>
      <x:c r="O342" s="112" t="str">
        <x:f>IF(COUNTA($A342:$M342)=0,"",IF(OR(LOWER($F342&amp;"")="subscription",LOWER($F342&amp;"")="membership"),"",IF(OR($N342="",$I342="",$I342=0),"",IFERROR($N342/$I342,""))))</x:f>
      </x:c>
      <x:c r="P342" s="112" t="str">
        <x:f>IF(COUNTA($A342:$M342)=0,"",IF(OR(LOWER($F342&amp;"")="subscription",LOWER($F342&amp;"")="membership"),"",IF(LOWER($L342&amp;"")="yes",0,IF($K342&lt;&gt;"",$K342,IF($O342&lt;&gt;"",$O342,"")))))</x:f>
      </x:c>
      <x:c r="Q342" s="112" t="str">
        <x:f>IF(COUNTA($A342:$M342)=0,"",IF(OR($U342="Subscription",$U342=""),"",IF($U342="Profit",ROUND($P342-$H342,2),0)))</x:f>
      </x:c>
      <x:c r="R342" s="112" t="str">
        <x:f>IF(COUNTA($A342:$M342)=0,"",IF(OR($U342="Subscription",$U342=""),"",IF($U342="Draw",$H342,0)))</x:f>
      </x:c>
      <x:c r="S342" s="112" t="str">
        <x:f>IF(COUNTA($A342:$M342)=0,"",IF(OR($U342="Subscription",$U342=""),"",IF($U342="Disqualified",$H342,0)))</x:f>
      </x:c>
      <x:c r="T342" s="116" t="str">
        <x:f>IF(COUNTA($A342:$M342)=0,"",IF(OR($U342="Subscription",$U342=""),"",IF($H342=0,0,IF($U342="Profit",$Q342/$H342,IF($U342="Disqualified",-$S342/$H342,0)))))</x:f>
      </x:c>
      <x:c r="U342" s="290" t="str">
        <x:f>IF(COUNTA($A342:$M342)=0,"",IF(OR(LOWER($F342&amp;"")="subscription",LOWER($F342&amp;"")="membership"),"Subscription",IF(LOWER($L342&amp;"")="yes","Disqualified",IF(OR(LOWER($F342&amp;"")="free game",LOWER($F342&amp;"")="free"),IF(AND(ISNUMBER($P342),ISNUMBER($H342),$P342&gt;$H342),"Profit","Free Game"),IF($P342="","",IF(ROUND(IFERROR(VALUE($P342),0)-IFERROR(VALUE($H342),0),2)&gt;0,"Profit","Draw"))))))</x:f>
      </x:c>
      <x:c r="V342" s="144" t="str">
        <x:f>IF(COUNTA($A342:$M342)=0,"",IF(OR($B342="",$C342="",$U342="Subscription"),"",IFERROR(ROUNDUP(($C342-$B342)/7,0),"")))</x:f>
      </x:c>
      <x:c r="W342" s="112" t="str">
        <x:f>IF(COUNTA($A342:$M342)=0,"",IF(OR($U342="Subscription",$U342=""),"",ROUND(IFERROR($Q342,0)-IFERROR($S342,0),2)))</x:f>
      </x:c>
      <x:c r="X342" s="144" t="str">
        <x:f>IF(COUNTA($A342:$M342)=0,"",IF(OR($U342="Subscription",$U342="Free Game",NOT(ISNUMBER($J342)),NOT(ISNUMBER($I342)),$J342=0,$I342=0,$I342&gt;$J342),"",$J342-$I342))</x:f>
      </x:c>
      <x:c r="Y342" s="116" t="str">
        <x:f>IF(COUNTA($A342:$M342)=0,"",IF(OR($U342="Subscription",$U342="Free Game",NOT(ISNUMBER($J342)),$J342=0,$X342=""),"",$X342/$J342))</x:f>
      </x:c>
      <x:c r="Z342" s="118" t="str">
        <x:f>IF(COUNTA($A342:$M342)=0,"",Instructions!$B$29+SUM($W$5:W342))</x:f>
      </x:c>
    </x:row>
    <x:row r="343" ht="30" customHeight="1">
      <x:c r="A343" s="477"/>
      <x:c r="B343" s="482"/>
      <x:c r="C343" s="482"/>
      <x:c r="D343" s="483"/>
      <x:c r="E343" s="483"/>
      <x:c r="F343" s="483"/>
      <x:c r="G343" s="484"/>
      <x:c r="H343" s="484"/>
      <x:c r="I343" s="485"/>
      <x:c r="J343" s="485"/>
      <x:c r="K343" s="484"/>
      <x:c r="L343" s="483"/>
      <x:c r="M343" s="477"/>
      <x:c r="N343" s="112" t="str">
        <x:f>IF(COUNTA($A343:$M343)=0,"",IF(OR(LOWER($F343&amp;"")="subscription",LOWER($F343&amp;"")="membership"),"",IF($G343="","",IF(ISNUMBER(SEARCH("non",LOWER($E343&amp;""))),$G343*0.85,$G343))))</x:f>
      </x:c>
      <x:c r="O343" s="112" t="str">
        <x:f>IF(COUNTA($A343:$M343)=0,"",IF(OR(LOWER($F343&amp;"")="subscription",LOWER($F343&amp;"")="membership"),"",IF(OR($N343="",$I343="",$I343=0),"",IFERROR($N343/$I343,""))))</x:f>
      </x:c>
      <x:c r="P343" s="112" t="str">
        <x:f>IF(COUNTA($A343:$M343)=0,"",IF(OR(LOWER($F343&amp;"")="subscription",LOWER($F343&amp;"")="membership"),"",IF(LOWER($L343&amp;"")="yes",0,IF($K343&lt;&gt;"",$K343,IF($O343&lt;&gt;"",$O343,"")))))</x:f>
      </x:c>
      <x:c r="Q343" s="112" t="str">
        <x:f>IF(COUNTA($A343:$M343)=0,"",IF(OR($U343="Subscription",$U343=""),"",IF($U343="Profit",ROUND($P343-$H343,2),0)))</x:f>
      </x:c>
      <x:c r="R343" s="112" t="str">
        <x:f>IF(COUNTA($A343:$M343)=0,"",IF(OR($U343="Subscription",$U343=""),"",IF($U343="Draw",$H343,0)))</x:f>
      </x:c>
      <x:c r="S343" s="112" t="str">
        <x:f>IF(COUNTA($A343:$M343)=0,"",IF(OR($U343="Subscription",$U343=""),"",IF($U343="Disqualified",$H343,0)))</x:f>
      </x:c>
      <x:c r="T343" s="116" t="str">
        <x:f>IF(COUNTA($A343:$M343)=0,"",IF(OR($U343="Subscription",$U343=""),"",IF($H343=0,0,IF($U343="Profit",$Q343/$H343,IF($U343="Disqualified",-$S343/$H343,0)))))</x:f>
      </x:c>
      <x:c r="U343" s="290" t="str">
        <x:f>IF(COUNTA($A343:$M343)=0,"",IF(OR(LOWER($F343&amp;"")="subscription",LOWER($F343&amp;"")="membership"),"Subscription",IF(LOWER($L343&amp;"")="yes","Disqualified",IF(OR(LOWER($F343&amp;"")="free game",LOWER($F343&amp;"")="free"),IF(AND(ISNUMBER($P343),ISNUMBER($H343),$P343&gt;$H343),"Profit","Free Game"),IF($P343="","",IF(ROUND(IFERROR(VALUE($P343),0)-IFERROR(VALUE($H343),0),2)&gt;0,"Profit","Draw"))))))</x:f>
      </x:c>
      <x:c r="V343" s="144" t="str">
        <x:f>IF(COUNTA($A343:$M343)=0,"",IF(OR($B343="",$C343="",$U343="Subscription"),"",IFERROR(ROUNDUP(($C343-$B343)/7,0),"")))</x:f>
      </x:c>
      <x:c r="W343" s="112" t="str">
        <x:f>IF(COUNTA($A343:$M343)=0,"",IF(OR($U343="Subscription",$U343=""),"",ROUND(IFERROR($Q343,0)-IFERROR($S343,0),2)))</x:f>
      </x:c>
      <x:c r="X343" s="144" t="str">
        <x:f>IF(COUNTA($A343:$M343)=0,"",IF(OR($U343="Subscription",$U343="Free Game",NOT(ISNUMBER($J343)),NOT(ISNUMBER($I343)),$J343=0,$I343=0,$I343&gt;$J343),"",$J343-$I343))</x:f>
      </x:c>
      <x:c r="Y343" s="116" t="str">
        <x:f>IF(COUNTA($A343:$M343)=0,"",IF(OR($U343="Subscription",$U343="Free Game",NOT(ISNUMBER($J343)),$J343=0,$X343=""),"",$X343/$J343))</x:f>
      </x:c>
      <x:c r="Z343" s="118" t="str">
        <x:f>IF(COUNTA($A343:$M343)=0,"",Instructions!$B$29+SUM($W$5:W343))</x:f>
      </x:c>
    </x:row>
    <x:row r="344" ht="30" customHeight="1">
      <x:c r="A344" s="477"/>
      <x:c r="B344" s="482"/>
      <x:c r="C344" s="482"/>
      <x:c r="D344" s="483"/>
      <x:c r="E344" s="483"/>
      <x:c r="F344" s="483"/>
      <x:c r="G344" s="484"/>
      <x:c r="H344" s="484"/>
      <x:c r="I344" s="485"/>
      <x:c r="J344" s="485"/>
      <x:c r="K344" s="484"/>
      <x:c r="L344" s="483"/>
      <x:c r="M344" s="477"/>
      <x:c r="N344" s="112" t="str">
        <x:f>IF(COUNTA($A344:$M344)=0,"",IF(OR(LOWER($F344&amp;"")="subscription",LOWER($F344&amp;"")="membership"),"",IF($G344="","",IF(ISNUMBER(SEARCH("non",LOWER($E344&amp;""))),$G344*0.85,$G344))))</x:f>
      </x:c>
      <x:c r="O344" s="112" t="str">
        <x:f>IF(COUNTA($A344:$M344)=0,"",IF(OR(LOWER($F344&amp;"")="subscription",LOWER($F344&amp;"")="membership"),"",IF(OR($N344="",$I344="",$I344=0),"",IFERROR($N344/$I344,""))))</x:f>
      </x:c>
      <x:c r="P344" s="112" t="str">
        <x:f>IF(COUNTA($A344:$M344)=0,"",IF(OR(LOWER($F344&amp;"")="subscription",LOWER($F344&amp;"")="membership"),"",IF(LOWER($L344&amp;"")="yes",0,IF($K344&lt;&gt;"",$K344,IF($O344&lt;&gt;"",$O344,"")))))</x:f>
      </x:c>
      <x:c r="Q344" s="112" t="str">
        <x:f>IF(COUNTA($A344:$M344)=0,"",IF(OR($U344="Subscription",$U344=""),"",IF($U344="Profit",ROUND($P344-$H344,2),0)))</x:f>
      </x:c>
      <x:c r="R344" s="112" t="str">
        <x:f>IF(COUNTA($A344:$M344)=0,"",IF(OR($U344="Subscription",$U344=""),"",IF($U344="Draw",$H344,0)))</x:f>
      </x:c>
      <x:c r="S344" s="112" t="str">
        <x:f>IF(COUNTA($A344:$M344)=0,"",IF(OR($U344="Subscription",$U344=""),"",IF($U344="Disqualified",$H344,0)))</x:f>
      </x:c>
      <x:c r="T344" s="116" t="str">
        <x:f>IF(COUNTA($A344:$M344)=0,"",IF(OR($U344="Subscription",$U344=""),"",IF($H344=0,0,IF($U344="Profit",$Q344/$H344,IF($U344="Disqualified",-$S344/$H344,0)))))</x:f>
      </x:c>
      <x:c r="U344" s="290" t="str">
        <x:f>IF(COUNTA($A344:$M344)=0,"",IF(OR(LOWER($F344&amp;"")="subscription",LOWER($F344&amp;"")="membership"),"Subscription",IF(LOWER($L344&amp;"")="yes","Disqualified",IF(OR(LOWER($F344&amp;"")="free game",LOWER($F344&amp;"")="free"),IF(AND(ISNUMBER($P344),ISNUMBER($H344),$P344&gt;$H344),"Profit","Free Game"),IF($P344="","",IF(ROUND(IFERROR(VALUE($P344),0)-IFERROR(VALUE($H344),0),2)&gt;0,"Profit","Draw"))))))</x:f>
      </x:c>
      <x:c r="V344" s="144" t="str">
        <x:f>IF(COUNTA($A344:$M344)=0,"",IF(OR($B344="",$C344="",$U344="Subscription"),"",IFERROR(ROUNDUP(($C344-$B344)/7,0),"")))</x:f>
      </x:c>
      <x:c r="W344" s="112" t="str">
        <x:f>IF(COUNTA($A344:$M344)=0,"",IF(OR($U344="Subscription",$U344=""),"",ROUND(IFERROR($Q344,0)-IFERROR($S344,0),2)))</x:f>
      </x:c>
      <x:c r="X344" s="144" t="str">
        <x:f>IF(COUNTA($A344:$M344)=0,"",IF(OR($U344="Subscription",$U344="Free Game",NOT(ISNUMBER($J344)),NOT(ISNUMBER($I344)),$J344=0,$I344=0,$I344&gt;$J344),"",$J344-$I344))</x:f>
      </x:c>
      <x:c r="Y344" s="116" t="str">
        <x:f>IF(COUNTA($A344:$M344)=0,"",IF(OR($U344="Subscription",$U344="Free Game",NOT(ISNUMBER($J344)),$J344=0,$X344=""),"",$X344/$J344))</x:f>
      </x:c>
      <x:c r="Z344" s="118" t="str">
        <x:f>IF(COUNTA($A344:$M344)=0,"",Instructions!$B$29+SUM($W$5:W344))</x:f>
      </x:c>
    </x:row>
    <x:row r="345" ht="30" customHeight="1">
      <x:c r="A345" s="477"/>
      <x:c r="B345" s="482"/>
      <x:c r="C345" s="482"/>
      <x:c r="D345" s="483"/>
      <x:c r="E345" s="483"/>
      <x:c r="F345" s="483"/>
      <x:c r="G345" s="484"/>
      <x:c r="H345" s="484"/>
      <x:c r="I345" s="485"/>
      <x:c r="J345" s="485"/>
      <x:c r="K345" s="484"/>
      <x:c r="L345" s="483"/>
      <x:c r="M345" s="477"/>
      <x:c r="N345" s="112" t="str">
        <x:f>IF(COUNTA($A345:$M345)=0,"",IF(OR(LOWER($F345&amp;"")="subscription",LOWER($F345&amp;"")="membership"),"",IF($G345="","",IF(ISNUMBER(SEARCH("non",LOWER($E345&amp;""))),$G345*0.85,$G345))))</x:f>
      </x:c>
      <x:c r="O345" s="112" t="str">
        <x:f>IF(COUNTA($A345:$M345)=0,"",IF(OR(LOWER($F345&amp;"")="subscription",LOWER($F345&amp;"")="membership"),"",IF(OR($N345="",$I345="",$I345=0),"",IFERROR($N345/$I345,""))))</x:f>
      </x:c>
      <x:c r="P345" s="112" t="str">
        <x:f>IF(COUNTA($A345:$M345)=0,"",IF(OR(LOWER($F345&amp;"")="subscription",LOWER($F345&amp;"")="membership"),"",IF(LOWER($L345&amp;"")="yes",0,IF($K345&lt;&gt;"",$K345,IF($O345&lt;&gt;"",$O345,"")))))</x:f>
      </x:c>
      <x:c r="Q345" s="112" t="str">
        <x:f>IF(COUNTA($A345:$M345)=0,"",IF(OR($U345="Subscription",$U345=""),"",IF($U345="Profit",ROUND($P345-$H345,2),0)))</x:f>
      </x:c>
      <x:c r="R345" s="112" t="str">
        <x:f>IF(COUNTA($A345:$M345)=0,"",IF(OR($U345="Subscription",$U345=""),"",IF($U345="Draw",$H345,0)))</x:f>
      </x:c>
      <x:c r="S345" s="112" t="str">
        <x:f>IF(COUNTA($A345:$M345)=0,"",IF(OR($U345="Subscription",$U345=""),"",IF($U345="Disqualified",$H345,0)))</x:f>
      </x:c>
      <x:c r="T345" s="116" t="str">
        <x:f>IF(COUNTA($A345:$M345)=0,"",IF(OR($U345="Subscription",$U345=""),"",IF($H345=0,0,IF($U345="Profit",$Q345/$H345,IF($U345="Disqualified",-$S345/$H345,0)))))</x:f>
      </x:c>
      <x:c r="U345" s="290" t="str">
        <x:f>IF(COUNTA($A345:$M345)=0,"",IF(OR(LOWER($F345&amp;"")="subscription",LOWER($F345&amp;"")="membership"),"Subscription",IF(LOWER($L345&amp;"")="yes","Disqualified",IF(OR(LOWER($F345&amp;"")="free game",LOWER($F345&amp;"")="free"),IF(AND(ISNUMBER($P345),ISNUMBER($H345),$P345&gt;$H345),"Profit","Free Game"),IF($P345="","",IF(ROUND(IFERROR(VALUE($P345),0)-IFERROR(VALUE($H345),0),2)&gt;0,"Profit","Draw"))))))</x:f>
      </x:c>
      <x:c r="V345" s="144" t="str">
        <x:f>IF(COUNTA($A345:$M345)=0,"",IF(OR($B345="",$C345="",$U345="Subscription"),"",IFERROR(ROUNDUP(($C345-$B345)/7,0),"")))</x:f>
      </x:c>
      <x:c r="W345" s="112" t="str">
        <x:f>IF(COUNTA($A345:$M345)=0,"",IF(OR($U345="Subscription",$U345=""),"",ROUND(IFERROR($Q345,0)-IFERROR($S345,0),2)))</x:f>
      </x:c>
      <x:c r="X345" s="144" t="str">
        <x:f>IF(COUNTA($A345:$M345)=0,"",IF(OR($U345="Subscription",$U345="Free Game",NOT(ISNUMBER($J345)),NOT(ISNUMBER($I345)),$J345=0,$I345=0,$I345&gt;$J345),"",$J345-$I345))</x:f>
      </x:c>
      <x:c r="Y345" s="116" t="str">
        <x:f>IF(COUNTA($A345:$M345)=0,"",IF(OR($U345="Subscription",$U345="Free Game",NOT(ISNUMBER($J345)),$J345=0,$X345=""),"",$X345/$J345))</x:f>
      </x:c>
      <x:c r="Z345" s="118" t="str">
        <x:f>IF(COUNTA($A345:$M345)=0,"",Instructions!$B$29+SUM($W$5:W345))</x:f>
      </x:c>
    </x:row>
    <x:row r="346" ht="30" customHeight="1">
      <x:c r="A346" s="477"/>
      <x:c r="B346" s="482"/>
      <x:c r="C346" s="482"/>
      <x:c r="D346" s="483"/>
      <x:c r="E346" s="483"/>
      <x:c r="F346" s="483"/>
      <x:c r="G346" s="484"/>
      <x:c r="H346" s="484"/>
      <x:c r="I346" s="485"/>
      <x:c r="J346" s="485"/>
      <x:c r="K346" s="484"/>
      <x:c r="L346" s="483"/>
      <x:c r="M346" s="477"/>
      <x:c r="N346" s="112" t="str">
        <x:f>IF(COUNTA($A346:$M346)=0,"",IF(OR(LOWER($F346&amp;"")="subscription",LOWER($F346&amp;"")="membership"),"",IF($G346="","",IF(ISNUMBER(SEARCH("non",LOWER($E346&amp;""))),$G346*0.85,$G346))))</x:f>
      </x:c>
      <x:c r="O346" s="112" t="str">
        <x:f>IF(COUNTA($A346:$M346)=0,"",IF(OR(LOWER($F346&amp;"")="subscription",LOWER($F346&amp;"")="membership"),"",IF(OR($N346="",$I346="",$I346=0),"",IFERROR($N346/$I346,""))))</x:f>
      </x:c>
      <x:c r="P346" s="112" t="str">
        <x:f>IF(COUNTA($A346:$M346)=0,"",IF(OR(LOWER($F346&amp;"")="subscription",LOWER($F346&amp;"")="membership"),"",IF(LOWER($L346&amp;"")="yes",0,IF($K346&lt;&gt;"",$K346,IF($O346&lt;&gt;"",$O346,"")))))</x:f>
      </x:c>
      <x:c r="Q346" s="112" t="str">
        <x:f>IF(COUNTA($A346:$M346)=0,"",IF(OR($U346="Subscription",$U346=""),"",IF($U346="Profit",ROUND($P346-$H346,2),0)))</x:f>
      </x:c>
      <x:c r="R346" s="112" t="str">
        <x:f>IF(COUNTA($A346:$M346)=0,"",IF(OR($U346="Subscription",$U346=""),"",IF($U346="Draw",$H346,0)))</x:f>
      </x:c>
      <x:c r="S346" s="112" t="str">
        <x:f>IF(COUNTA($A346:$M346)=0,"",IF(OR($U346="Subscription",$U346=""),"",IF($U346="Disqualified",$H346,0)))</x:f>
      </x:c>
      <x:c r="T346" s="116" t="str">
        <x:f>IF(COUNTA($A346:$M346)=0,"",IF(OR($U346="Subscription",$U346=""),"",IF($H346=0,0,IF($U346="Profit",$Q346/$H346,IF($U346="Disqualified",-$S346/$H346,0)))))</x:f>
      </x:c>
      <x:c r="U346" s="290" t="str">
        <x:f>IF(COUNTA($A346:$M346)=0,"",IF(OR(LOWER($F346&amp;"")="subscription",LOWER($F346&amp;"")="membership"),"Subscription",IF(LOWER($L346&amp;"")="yes","Disqualified",IF(OR(LOWER($F346&amp;"")="free game",LOWER($F346&amp;"")="free"),IF(AND(ISNUMBER($P346),ISNUMBER($H346),$P346&gt;$H346),"Profit","Free Game"),IF($P346="","",IF(ROUND(IFERROR(VALUE($P346),0)-IFERROR(VALUE($H346),0),2)&gt;0,"Profit","Draw"))))))</x:f>
      </x:c>
      <x:c r="V346" s="144" t="str">
        <x:f>IF(COUNTA($A346:$M346)=0,"",IF(OR($B346="",$C346="",$U346="Subscription"),"",IFERROR(ROUNDUP(($C346-$B346)/7,0),"")))</x:f>
      </x:c>
      <x:c r="W346" s="112" t="str">
        <x:f>IF(COUNTA($A346:$M346)=0,"",IF(OR($U346="Subscription",$U346=""),"",ROUND(IFERROR($Q346,0)-IFERROR($S346,0),2)))</x:f>
      </x:c>
      <x:c r="X346" s="144" t="str">
        <x:f>IF(COUNTA($A346:$M346)=0,"",IF(OR($U346="Subscription",$U346="Free Game",NOT(ISNUMBER($J346)),NOT(ISNUMBER($I346)),$J346=0,$I346=0,$I346&gt;$J346),"",$J346-$I346))</x:f>
      </x:c>
      <x:c r="Y346" s="116" t="str">
        <x:f>IF(COUNTA($A346:$M346)=0,"",IF(OR($U346="Subscription",$U346="Free Game",NOT(ISNUMBER($J346)),$J346=0,$X346=""),"",$X346/$J346))</x:f>
      </x:c>
      <x:c r="Z346" s="118" t="str">
        <x:f>IF(COUNTA($A346:$M346)=0,"",Instructions!$B$29+SUM($W$5:W346))</x:f>
      </x:c>
    </x:row>
    <x:row r="347" ht="30" customHeight="1">
      <x:c r="A347" s="477"/>
      <x:c r="B347" s="482"/>
      <x:c r="C347" s="482"/>
      <x:c r="D347" s="483"/>
      <x:c r="E347" s="483"/>
      <x:c r="F347" s="483"/>
      <x:c r="G347" s="484"/>
      <x:c r="H347" s="484"/>
      <x:c r="I347" s="485"/>
      <x:c r="J347" s="485"/>
      <x:c r="K347" s="484"/>
      <x:c r="L347" s="483"/>
      <x:c r="M347" s="477"/>
      <x:c r="N347" s="112" t="str">
        <x:f>IF(COUNTA($A347:$M347)=0,"",IF(OR(LOWER($F347&amp;"")="subscription",LOWER($F347&amp;"")="membership"),"",IF($G347="","",IF(ISNUMBER(SEARCH("non",LOWER($E347&amp;""))),$G347*0.85,$G347))))</x:f>
      </x:c>
      <x:c r="O347" s="112" t="str">
        <x:f>IF(COUNTA($A347:$M347)=0,"",IF(OR(LOWER($F347&amp;"")="subscription",LOWER($F347&amp;"")="membership"),"",IF(OR($N347="",$I347="",$I347=0),"",IFERROR($N347/$I347,""))))</x:f>
      </x:c>
      <x:c r="P347" s="112" t="str">
        <x:f>IF(COUNTA($A347:$M347)=0,"",IF(OR(LOWER($F347&amp;"")="subscription",LOWER($F347&amp;"")="membership"),"",IF(LOWER($L347&amp;"")="yes",0,IF($K347&lt;&gt;"",$K347,IF($O347&lt;&gt;"",$O347,"")))))</x:f>
      </x:c>
      <x:c r="Q347" s="112" t="str">
        <x:f>IF(COUNTA($A347:$M347)=0,"",IF(OR($U347="Subscription",$U347=""),"",IF($U347="Profit",ROUND($P347-$H347,2),0)))</x:f>
      </x:c>
      <x:c r="R347" s="112" t="str">
        <x:f>IF(COUNTA($A347:$M347)=0,"",IF(OR($U347="Subscription",$U347=""),"",IF($U347="Draw",$H347,0)))</x:f>
      </x:c>
      <x:c r="S347" s="112" t="str">
        <x:f>IF(COUNTA($A347:$M347)=0,"",IF(OR($U347="Subscription",$U347=""),"",IF($U347="Disqualified",$H347,0)))</x:f>
      </x:c>
      <x:c r="T347" s="116" t="str">
        <x:f>IF(COUNTA($A347:$M347)=0,"",IF(OR($U347="Subscription",$U347=""),"",IF($H347=0,0,IF($U347="Profit",$Q347/$H347,IF($U347="Disqualified",-$S347/$H347,0)))))</x:f>
      </x:c>
      <x:c r="U347" s="290" t="str">
        <x:f>IF(COUNTA($A347:$M347)=0,"",IF(OR(LOWER($F347&amp;"")="subscription",LOWER($F347&amp;"")="membership"),"Subscription",IF(LOWER($L347&amp;"")="yes","Disqualified",IF(OR(LOWER($F347&amp;"")="free game",LOWER($F347&amp;"")="free"),IF(AND(ISNUMBER($P347),ISNUMBER($H347),$P347&gt;$H347),"Profit","Free Game"),IF($P347="","",IF(ROUND(IFERROR(VALUE($P347),0)-IFERROR(VALUE($H347),0),2)&gt;0,"Profit","Draw"))))))</x:f>
      </x:c>
      <x:c r="V347" s="144" t="str">
        <x:f>IF(COUNTA($A347:$M347)=0,"",IF(OR($B347="",$C347="",$U347="Subscription"),"",IFERROR(ROUNDUP(($C347-$B347)/7,0),"")))</x:f>
      </x:c>
      <x:c r="W347" s="112" t="str">
        <x:f>IF(COUNTA($A347:$M347)=0,"",IF(OR($U347="Subscription",$U347=""),"",ROUND(IFERROR($Q347,0)-IFERROR($S347,0),2)))</x:f>
      </x:c>
      <x:c r="X347" s="144" t="str">
        <x:f>IF(COUNTA($A347:$M347)=0,"",IF(OR($U347="Subscription",$U347="Free Game",NOT(ISNUMBER($J347)),NOT(ISNUMBER($I347)),$J347=0,$I347=0,$I347&gt;$J347),"",$J347-$I347))</x:f>
      </x:c>
      <x:c r="Y347" s="116" t="str">
        <x:f>IF(COUNTA($A347:$M347)=0,"",IF(OR($U347="Subscription",$U347="Free Game",NOT(ISNUMBER($J347)),$J347=0,$X347=""),"",$X347/$J347))</x:f>
      </x:c>
      <x:c r="Z347" s="118" t="str">
        <x:f>IF(COUNTA($A347:$M347)=0,"",Instructions!$B$29+SUM($W$5:W347))</x:f>
      </x:c>
    </x:row>
    <x:row r="348" ht="30" customHeight="1">
      <x:c r="A348" s="477"/>
      <x:c r="B348" s="482"/>
      <x:c r="C348" s="482"/>
      <x:c r="D348" s="483"/>
      <x:c r="E348" s="483"/>
      <x:c r="F348" s="483"/>
      <x:c r="G348" s="484"/>
      <x:c r="H348" s="484"/>
      <x:c r="I348" s="485"/>
      <x:c r="J348" s="485"/>
      <x:c r="K348" s="484"/>
      <x:c r="L348" s="483"/>
      <x:c r="M348" s="477"/>
      <x:c r="N348" s="112" t="str">
        <x:f>IF(COUNTA($A348:$M348)=0,"",IF(OR(LOWER($F348&amp;"")="subscription",LOWER($F348&amp;"")="membership"),"",IF($G348="","",IF(ISNUMBER(SEARCH("non",LOWER($E348&amp;""))),$G348*0.85,$G348))))</x:f>
      </x:c>
      <x:c r="O348" s="112" t="str">
        <x:f>IF(COUNTA($A348:$M348)=0,"",IF(OR(LOWER($F348&amp;"")="subscription",LOWER($F348&amp;"")="membership"),"",IF(OR($N348="",$I348="",$I348=0),"",IFERROR($N348/$I348,""))))</x:f>
      </x:c>
      <x:c r="P348" s="112" t="str">
        <x:f>IF(COUNTA($A348:$M348)=0,"",IF(OR(LOWER($F348&amp;"")="subscription",LOWER($F348&amp;"")="membership"),"",IF(LOWER($L348&amp;"")="yes",0,IF($K348&lt;&gt;"",$K348,IF($O348&lt;&gt;"",$O348,"")))))</x:f>
      </x:c>
      <x:c r="Q348" s="112" t="str">
        <x:f>IF(COUNTA($A348:$M348)=0,"",IF(OR($U348="Subscription",$U348=""),"",IF($U348="Profit",ROUND($P348-$H348,2),0)))</x:f>
      </x:c>
      <x:c r="R348" s="112" t="str">
        <x:f>IF(COUNTA($A348:$M348)=0,"",IF(OR($U348="Subscription",$U348=""),"",IF($U348="Draw",$H348,0)))</x:f>
      </x:c>
      <x:c r="S348" s="112" t="str">
        <x:f>IF(COUNTA($A348:$M348)=0,"",IF(OR($U348="Subscription",$U348=""),"",IF($U348="Disqualified",$H348,0)))</x:f>
      </x:c>
      <x:c r="T348" s="116" t="str">
        <x:f>IF(COUNTA($A348:$M348)=0,"",IF(OR($U348="Subscription",$U348=""),"",IF($H348=0,0,IF($U348="Profit",$Q348/$H348,IF($U348="Disqualified",-$S348/$H348,0)))))</x:f>
      </x:c>
      <x:c r="U348" s="290" t="str">
        <x:f>IF(COUNTA($A348:$M348)=0,"",IF(OR(LOWER($F348&amp;"")="subscription",LOWER($F348&amp;"")="membership"),"Subscription",IF(LOWER($L348&amp;"")="yes","Disqualified",IF(OR(LOWER($F348&amp;"")="free game",LOWER($F348&amp;"")="free"),IF(AND(ISNUMBER($P348),ISNUMBER($H348),$P348&gt;$H348),"Profit","Free Game"),IF($P348="","",IF(ROUND(IFERROR(VALUE($P348),0)-IFERROR(VALUE($H348),0),2)&gt;0,"Profit","Draw"))))))</x:f>
      </x:c>
      <x:c r="V348" s="144" t="str">
        <x:f>IF(COUNTA($A348:$M348)=0,"",IF(OR($B348="",$C348="",$U348="Subscription"),"",IFERROR(ROUNDUP(($C348-$B348)/7,0),"")))</x:f>
      </x:c>
      <x:c r="W348" s="112" t="str">
        <x:f>IF(COUNTA($A348:$M348)=0,"",IF(OR($U348="Subscription",$U348=""),"",ROUND(IFERROR($Q348,0)-IFERROR($S348,0),2)))</x:f>
      </x:c>
      <x:c r="X348" s="144" t="str">
        <x:f>IF(COUNTA($A348:$M348)=0,"",IF(OR($U348="Subscription",$U348="Free Game",NOT(ISNUMBER($J348)),NOT(ISNUMBER($I348)),$J348=0,$I348=0,$I348&gt;$J348),"",$J348-$I348))</x:f>
      </x:c>
      <x:c r="Y348" s="116" t="str">
        <x:f>IF(COUNTA($A348:$M348)=0,"",IF(OR($U348="Subscription",$U348="Free Game",NOT(ISNUMBER($J348)),$J348=0,$X348=""),"",$X348/$J348))</x:f>
      </x:c>
      <x:c r="Z348" s="118" t="str">
        <x:f>IF(COUNTA($A348:$M348)=0,"",Instructions!$B$29+SUM($W$5:W348))</x:f>
      </x:c>
    </x:row>
    <x:row r="349" ht="30" customHeight="1">
      <x:c r="A349" s="477"/>
      <x:c r="B349" s="482"/>
      <x:c r="C349" s="482"/>
      <x:c r="D349" s="483"/>
      <x:c r="E349" s="483"/>
      <x:c r="F349" s="483"/>
      <x:c r="G349" s="484"/>
      <x:c r="H349" s="484"/>
      <x:c r="I349" s="485"/>
      <x:c r="J349" s="485"/>
      <x:c r="K349" s="484"/>
      <x:c r="L349" s="483"/>
      <x:c r="M349" s="477"/>
      <x:c r="N349" s="112" t="str">
        <x:f>IF(COUNTA($A349:$M349)=0,"",IF(OR(LOWER($F349&amp;"")="subscription",LOWER($F349&amp;"")="membership"),"",IF($G349="","",IF(ISNUMBER(SEARCH("non",LOWER($E349&amp;""))),$G349*0.85,$G349))))</x:f>
      </x:c>
      <x:c r="O349" s="112" t="str">
        <x:f>IF(COUNTA($A349:$M349)=0,"",IF(OR(LOWER($F349&amp;"")="subscription",LOWER($F349&amp;"")="membership"),"",IF(OR($N349="",$I349="",$I349=0),"",IFERROR($N349/$I349,""))))</x:f>
      </x:c>
      <x:c r="P349" s="112" t="str">
        <x:f>IF(COUNTA($A349:$M349)=0,"",IF(OR(LOWER($F349&amp;"")="subscription",LOWER($F349&amp;"")="membership"),"",IF(LOWER($L349&amp;"")="yes",0,IF($K349&lt;&gt;"",$K349,IF($O349&lt;&gt;"",$O349,"")))))</x:f>
      </x:c>
      <x:c r="Q349" s="112" t="str">
        <x:f>IF(COUNTA($A349:$M349)=0,"",IF(OR($U349="Subscription",$U349=""),"",IF($U349="Profit",ROUND($P349-$H349,2),0)))</x:f>
      </x:c>
      <x:c r="R349" s="112" t="str">
        <x:f>IF(COUNTA($A349:$M349)=0,"",IF(OR($U349="Subscription",$U349=""),"",IF($U349="Draw",$H349,0)))</x:f>
      </x:c>
      <x:c r="S349" s="112" t="str">
        <x:f>IF(COUNTA($A349:$M349)=0,"",IF(OR($U349="Subscription",$U349=""),"",IF($U349="Disqualified",$H349,0)))</x:f>
      </x:c>
      <x:c r="T349" s="116" t="str">
        <x:f>IF(COUNTA($A349:$M349)=0,"",IF(OR($U349="Subscription",$U349=""),"",IF($H349=0,0,IF($U349="Profit",$Q349/$H349,IF($U349="Disqualified",-$S349/$H349,0)))))</x:f>
      </x:c>
      <x:c r="U349" s="290" t="str">
        <x:f>IF(COUNTA($A349:$M349)=0,"",IF(OR(LOWER($F349&amp;"")="subscription",LOWER($F349&amp;"")="membership"),"Subscription",IF(LOWER($L349&amp;"")="yes","Disqualified",IF(OR(LOWER($F349&amp;"")="free game",LOWER($F349&amp;"")="free"),IF(AND(ISNUMBER($P349),ISNUMBER($H349),$P349&gt;$H349),"Profit","Free Game"),IF($P349="","",IF(ROUND(IFERROR(VALUE($P349),0)-IFERROR(VALUE($H349),0),2)&gt;0,"Profit","Draw"))))))</x:f>
      </x:c>
      <x:c r="V349" s="144" t="str">
        <x:f>IF(COUNTA($A349:$M349)=0,"",IF(OR($B349="",$C349="",$U349="Subscription"),"",IFERROR(ROUNDUP(($C349-$B349)/7,0),"")))</x:f>
      </x:c>
      <x:c r="W349" s="112" t="str">
        <x:f>IF(COUNTA($A349:$M349)=0,"",IF(OR($U349="Subscription",$U349=""),"",ROUND(IFERROR($Q349,0)-IFERROR($S349,0),2)))</x:f>
      </x:c>
      <x:c r="X349" s="144" t="str">
        <x:f>IF(COUNTA($A349:$M349)=0,"",IF(OR($U349="Subscription",$U349="Free Game",NOT(ISNUMBER($J349)),NOT(ISNUMBER($I349)),$J349=0,$I349=0,$I349&gt;$J349),"",$J349-$I349))</x:f>
      </x:c>
      <x:c r="Y349" s="116" t="str">
        <x:f>IF(COUNTA($A349:$M349)=0,"",IF(OR($U349="Subscription",$U349="Free Game",NOT(ISNUMBER($J349)),$J349=0,$X349=""),"",$X349/$J349))</x:f>
      </x:c>
      <x:c r="Z349" s="118" t="str">
        <x:f>IF(COUNTA($A349:$M349)=0,"",Instructions!$B$29+SUM($W$5:W349))</x:f>
      </x:c>
    </x:row>
    <x:row r="350" ht="30" customHeight="1">
      <x:c r="A350" s="477"/>
      <x:c r="B350" s="482"/>
      <x:c r="C350" s="482"/>
      <x:c r="D350" s="483"/>
      <x:c r="E350" s="483"/>
      <x:c r="F350" s="483"/>
      <x:c r="G350" s="484"/>
      <x:c r="H350" s="484"/>
      <x:c r="I350" s="485"/>
      <x:c r="J350" s="485"/>
      <x:c r="K350" s="484"/>
      <x:c r="L350" s="483"/>
      <x:c r="M350" s="477"/>
      <x:c r="N350" s="112" t="str">
        <x:f>IF(COUNTA($A350:$M350)=0,"",IF(OR(LOWER($F350&amp;"")="subscription",LOWER($F350&amp;"")="membership"),"",IF($G350="","",IF(ISNUMBER(SEARCH("non",LOWER($E350&amp;""))),$G350*0.85,$G350))))</x:f>
      </x:c>
      <x:c r="O350" s="112" t="str">
        <x:f>IF(COUNTA($A350:$M350)=0,"",IF(OR(LOWER($F350&amp;"")="subscription",LOWER($F350&amp;"")="membership"),"",IF(OR($N350="",$I350="",$I350=0),"",IFERROR($N350/$I350,""))))</x:f>
      </x:c>
      <x:c r="P350" s="112" t="str">
        <x:f>IF(COUNTA($A350:$M350)=0,"",IF(OR(LOWER($F350&amp;"")="subscription",LOWER($F350&amp;"")="membership"),"",IF(LOWER($L350&amp;"")="yes",0,IF($K350&lt;&gt;"",$K350,IF($O350&lt;&gt;"",$O350,"")))))</x:f>
      </x:c>
      <x:c r="Q350" s="112" t="str">
        <x:f>IF(COUNTA($A350:$M350)=0,"",IF(OR($U350="Subscription",$U350=""),"",IF($U350="Profit",ROUND($P350-$H350,2),0)))</x:f>
      </x:c>
      <x:c r="R350" s="112" t="str">
        <x:f>IF(COUNTA($A350:$M350)=0,"",IF(OR($U350="Subscription",$U350=""),"",IF($U350="Draw",$H350,0)))</x:f>
      </x:c>
      <x:c r="S350" s="112" t="str">
        <x:f>IF(COUNTA($A350:$M350)=0,"",IF(OR($U350="Subscription",$U350=""),"",IF($U350="Disqualified",$H350,0)))</x:f>
      </x:c>
      <x:c r="T350" s="116" t="str">
        <x:f>IF(COUNTA($A350:$M350)=0,"",IF(OR($U350="Subscription",$U350=""),"",IF($H350=0,0,IF($U350="Profit",$Q350/$H350,IF($U350="Disqualified",-$S350/$H350,0)))))</x:f>
      </x:c>
      <x:c r="U350" s="290" t="str">
        <x:f>IF(COUNTA($A350:$M350)=0,"",IF(OR(LOWER($F350&amp;"")="subscription",LOWER($F350&amp;"")="membership"),"Subscription",IF(LOWER($L350&amp;"")="yes","Disqualified",IF(OR(LOWER($F350&amp;"")="free game",LOWER($F350&amp;"")="free"),IF(AND(ISNUMBER($P350),ISNUMBER($H350),$P350&gt;$H350),"Profit","Free Game"),IF($P350="","",IF(ROUND(IFERROR(VALUE($P350),0)-IFERROR(VALUE($H350),0),2)&gt;0,"Profit","Draw"))))))</x:f>
      </x:c>
      <x:c r="V350" s="144" t="str">
        <x:f>IF(COUNTA($A350:$M350)=0,"",IF(OR($B350="",$C350="",$U350="Subscription"),"",IFERROR(ROUNDUP(($C350-$B350)/7,0),"")))</x:f>
      </x:c>
      <x:c r="W350" s="112" t="str">
        <x:f>IF(COUNTA($A350:$M350)=0,"",IF(OR($U350="Subscription",$U350=""),"",ROUND(IFERROR($Q350,0)-IFERROR($S350,0),2)))</x:f>
      </x:c>
      <x:c r="X350" s="144" t="str">
        <x:f>IF(COUNTA($A350:$M350)=0,"",IF(OR($U350="Subscription",$U350="Free Game",NOT(ISNUMBER($J350)),NOT(ISNUMBER($I350)),$J350=0,$I350=0,$I350&gt;$J350),"",$J350-$I350))</x:f>
      </x:c>
      <x:c r="Y350" s="116" t="str">
        <x:f>IF(COUNTA($A350:$M350)=0,"",IF(OR($U350="Subscription",$U350="Free Game",NOT(ISNUMBER($J350)),$J350=0,$X350=""),"",$X350/$J350))</x:f>
      </x:c>
      <x:c r="Z350" s="118" t="str">
        <x:f>IF(COUNTA($A350:$M350)=0,"",Instructions!$B$29+SUM($W$5:W350))</x:f>
      </x:c>
    </x:row>
    <x:row r="351" ht="30" customHeight="1">
      <x:c r="A351" s="477"/>
      <x:c r="B351" s="482"/>
      <x:c r="C351" s="482"/>
      <x:c r="D351" s="483"/>
      <x:c r="E351" s="483"/>
      <x:c r="F351" s="483"/>
      <x:c r="G351" s="484"/>
      <x:c r="H351" s="484"/>
      <x:c r="I351" s="485"/>
      <x:c r="J351" s="485"/>
      <x:c r="K351" s="484"/>
      <x:c r="L351" s="483"/>
      <x:c r="M351" s="477"/>
      <x:c r="N351" s="112" t="str">
        <x:f>IF(COUNTA($A351:$M351)=0,"",IF(OR(LOWER($F351&amp;"")="subscription",LOWER($F351&amp;"")="membership"),"",IF($G351="","",IF(ISNUMBER(SEARCH("non",LOWER($E351&amp;""))),$G351*0.85,$G351))))</x:f>
      </x:c>
      <x:c r="O351" s="112" t="str">
        <x:f>IF(COUNTA($A351:$M351)=0,"",IF(OR(LOWER($F351&amp;"")="subscription",LOWER($F351&amp;"")="membership"),"",IF(OR($N351="",$I351="",$I351=0),"",IFERROR($N351/$I351,""))))</x:f>
      </x:c>
      <x:c r="P351" s="112" t="str">
        <x:f>IF(COUNTA($A351:$M351)=0,"",IF(OR(LOWER($F351&amp;"")="subscription",LOWER($F351&amp;"")="membership"),"",IF(LOWER($L351&amp;"")="yes",0,IF($K351&lt;&gt;"",$K351,IF($O351&lt;&gt;"",$O351,"")))))</x:f>
      </x:c>
      <x:c r="Q351" s="112" t="str">
        <x:f>IF(COUNTA($A351:$M351)=0,"",IF(OR($U351="Subscription",$U351=""),"",IF($U351="Profit",ROUND($P351-$H351,2),0)))</x:f>
      </x:c>
      <x:c r="R351" s="112" t="str">
        <x:f>IF(COUNTA($A351:$M351)=0,"",IF(OR($U351="Subscription",$U351=""),"",IF($U351="Draw",$H351,0)))</x:f>
      </x:c>
      <x:c r="S351" s="112" t="str">
        <x:f>IF(COUNTA($A351:$M351)=0,"",IF(OR($U351="Subscription",$U351=""),"",IF($U351="Disqualified",$H351,0)))</x:f>
      </x:c>
      <x:c r="T351" s="116" t="str">
        <x:f>IF(COUNTA($A351:$M351)=0,"",IF(OR($U351="Subscription",$U351=""),"",IF($H351=0,0,IF($U351="Profit",$Q351/$H351,IF($U351="Disqualified",-$S351/$H351,0)))))</x:f>
      </x:c>
      <x:c r="U351" s="290" t="str">
        <x:f>IF(COUNTA($A351:$M351)=0,"",IF(OR(LOWER($F351&amp;"")="subscription",LOWER($F351&amp;"")="membership"),"Subscription",IF(LOWER($L351&amp;"")="yes","Disqualified",IF(OR(LOWER($F351&amp;"")="free game",LOWER($F351&amp;"")="free"),IF(AND(ISNUMBER($P351),ISNUMBER($H351),$P351&gt;$H351),"Profit","Free Game"),IF($P351="","",IF(ROUND(IFERROR(VALUE($P351),0)-IFERROR(VALUE($H351),0),2)&gt;0,"Profit","Draw"))))))</x:f>
      </x:c>
      <x:c r="V351" s="144" t="str">
        <x:f>IF(COUNTA($A351:$M351)=0,"",IF(OR($B351="",$C351="",$U351="Subscription"),"",IFERROR(ROUNDUP(($C351-$B351)/7,0),"")))</x:f>
      </x:c>
      <x:c r="W351" s="112" t="str">
        <x:f>IF(COUNTA($A351:$M351)=0,"",IF(OR($U351="Subscription",$U351=""),"",ROUND(IFERROR($Q351,0)-IFERROR($S351,0),2)))</x:f>
      </x:c>
      <x:c r="X351" s="144" t="str">
        <x:f>IF(COUNTA($A351:$M351)=0,"",IF(OR($U351="Subscription",$U351="Free Game",NOT(ISNUMBER($J351)),NOT(ISNUMBER($I351)),$J351=0,$I351=0,$I351&gt;$J351),"",$J351-$I351))</x:f>
      </x:c>
      <x:c r="Y351" s="116" t="str">
        <x:f>IF(COUNTA($A351:$M351)=0,"",IF(OR($U351="Subscription",$U351="Free Game",NOT(ISNUMBER($J351)),$J351=0,$X351=""),"",$X351/$J351))</x:f>
      </x:c>
      <x:c r="Z351" s="118" t="str">
        <x:f>IF(COUNTA($A351:$M351)=0,"",Instructions!$B$29+SUM($W$5:W351))</x:f>
      </x:c>
    </x:row>
    <x:row r="352" ht="30" customHeight="1">
      <x:c r="A352" s="477"/>
      <x:c r="B352" s="482"/>
      <x:c r="C352" s="482"/>
      <x:c r="D352" s="483"/>
      <x:c r="E352" s="483"/>
      <x:c r="F352" s="483"/>
      <x:c r="G352" s="484"/>
      <x:c r="H352" s="484"/>
      <x:c r="I352" s="485"/>
      <x:c r="J352" s="485"/>
      <x:c r="K352" s="484"/>
      <x:c r="L352" s="483"/>
      <x:c r="M352" s="477"/>
      <x:c r="N352" s="112" t="str">
        <x:f>IF(COUNTA($A352:$M352)=0,"",IF(OR(LOWER($F352&amp;"")="subscription",LOWER($F352&amp;"")="membership"),"",IF($G352="","",IF(ISNUMBER(SEARCH("non",LOWER($E352&amp;""))),$G352*0.85,$G352))))</x:f>
      </x:c>
      <x:c r="O352" s="112" t="str">
        <x:f>IF(COUNTA($A352:$M352)=0,"",IF(OR(LOWER($F352&amp;"")="subscription",LOWER($F352&amp;"")="membership"),"",IF(OR($N352="",$I352="",$I352=0),"",IFERROR($N352/$I352,""))))</x:f>
      </x:c>
      <x:c r="P352" s="112" t="str">
        <x:f>IF(COUNTA($A352:$M352)=0,"",IF(OR(LOWER($F352&amp;"")="subscription",LOWER($F352&amp;"")="membership"),"",IF(LOWER($L352&amp;"")="yes",0,IF($K352&lt;&gt;"",$K352,IF($O352&lt;&gt;"",$O352,"")))))</x:f>
      </x:c>
      <x:c r="Q352" s="112" t="str">
        <x:f>IF(COUNTA($A352:$M352)=0,"",IF(OR($U352="Subscription",$U352=""),"",IF($U352="Profit",ROUND($P352-$H352,2),0)))</x:f>
      </x:c>
      <x:c r="R352" s="112" t="str">
        <x:f>IF(COUNTA($A352:$M352)=0,"",IF(OR($U352="Subscription",$U352=""),"",IF($U352="Draw",$H352,0)))</x:f>
      </x:c>
      <x:c r="S352" s="112" t="str">
        <x:f>IF(COUNTA($A352:$M352)=0,"",IF(OR($U352="Subscription",$U352=""),"",IF($U352="Disqualified",$H352,0)))</x:f>
      </x:c>
      <x:c r="T352" s="116" t="str">
        <x:f>IF(COUNTA($A352:$M352)=0,"",IF(OR($U352="Subscription",$U352=""),"",IF($H352=0,0,IF($U352="Profit",$Q352/$H352,IF($U352="Disqualified",-$S352/$H352,0)))))</x:f>
      </x:c>
      <x:c r="U352" s="290" t="str">
        <x:f>IF(COUNTA($A352:$M352)=0,"",IF(OR(LOWER($F352&amp;"")="subscription",LOWER($F352&amp;"")="membership"),"Subscription",IF(LOWER($L352&amp;"")="yes","Disqualified",IF(OR(LOWER($F352&amp;"")="free game",LOWER($F352&amp;"")="free"),IF(AND(ISNUMBER($P352),ISNUMBER($H352),$P352&gt;$H352),"Profit","Free Game"),IF($P352="","",IF(ROUND(IFERROR(VALUE($P352),0)-IFERROR(VALUE($H352),0),2)&gt;0,"Profit","Draw"))))))</x:f>
      </x:c>
      <x:c r="V352" s="144" t="str">
        <x:f>IF(COUNTA($A352:$M352)=0,"",IF(OR($B352="",$C352="",$U352="Subscription"),"",IFERROR(ROUNDUP(($C352-$B352)/7,0),"")))</x:f>
      </x:c>
      <x:c r="W352" s="112" t="str">
        <x:f>IF(COUNTA($A352:$M352)=0,"",IF(OR($U352="Subscription",$U352=""),"",ROUND(IFERROR($Q352,0)-IFERROR($S352,0),2)))</x:f>
      </x:c>
      <x:c r="X352" s="144" t="str">
        <x:f>IF(COUNTA($A352:$M352)=0,"",IF(OR($U352="Subscription",$U352="Free Game",NOT(ISNUMBER($J352)),NOT(ISNUMBER($I352)),$J352=0,$I352=0,$I352&gt;$J352),"",$J352-$I352))</x:f>
      </x:c>
      <x:c r="Y352" s="116" t="str">
        <x:f>IF(COUNTA($A352:$M352)=0,"",IF(OR($U352="Subscription",$U352="Free Game",NOT(ISNUMBER($J352)),$J352=0,$X352=""),"",$X352/$J352))</x:f>
      </x:c>
      <x:c r="Z352" s="118" t="str">
        <x:f>IF(COUNTA($A352:$M352)=0,"",Instructions!$B$29+SUM($W$5:W352))</x:f>
      </x:c>
    </x:row>
    <x:row r="353" ht="30" customHeight="1">
      <x:c r="A353" s="477"/>
      <x:c r="B353" s="482"/>
      <x:c r="C353" s="482"/>
      <x:c r="D353" s="483"/>
      <x:c r="E353" s="483"/>
      <x:c r="F353" s="483"/>
      <x:c r="G353" s="484"/>
      <x:c r="H353" s="484"/>
      <x:c r="I353" s="485"/>
      <x:c r="J353" s="485"/>
      <x:c r="K353" s="484"/>
      <x:c r="L353" s="483"/>
      <x:c r="M353" s="477"/>
      <x:c r="N353" s="112" t="str">
        <x:f>IF(COUNTA($A353:$M353)=0,"",IF(OR(LOWER($F353&amp;"")="subscription",LOWER($F353&amp;"")="membership"),"",IF($G353="","",IF(ISNUMBER(SEARCH("non",LOWER($E353&amp;""))),$G353*0.85,$G353))))</x:f>
      </x:c>
      <x:c r="O353" s="112" t="str">
        <x:f>IF(COUNTA($A353:$M353)=0,"",IF(OR(LOWER($F353&amp;"")="subscription",LOWER($F353&amp;"")="membership"),"",IF(OR($N353="",$I353="",$I353=0),"",IFERROR($N353/$I353,""))))</x:f>
      </x:c>
      <x:c r="P353" s="112" t="str">
        <x:f>IF(COUNTA($A353:$M353)=0,"",IF(OR(LOWER($F353&amp;"")="subscription",LOWER($F353&amp;"")="membership"),"",IF(LOWER($L353&amp;"")="yes",0,IF($K353&lt;&gt;"",$K353,IF($O353&lt;&gt;"",$O353,"")))))</x:f>
      </x:c>
      <x:c r="Q353" s="112" t="str">
        <x:f>IF(COUNTA($A353:$M353)=0,"",IF(OR($U353="Subscription",$U353=""),"",IF($U353="Profit",ROUND($P353-$H353,2),0)))</x:f>
      </x:c>
      <x:c r="R353" s="112" t="str">
        <x:f>IF(COUNTA($A353:$M353)=0,"",IF(OR($U353="Subscription",$U353=""),"",IF($U353="Draw",$H353,0)))</x:f>
      </x:c>
      <x:c r="S353" s="112" t="str">
        <x:f>IF(COUNTA($A353:$M353)=0,"",IF(OR($U353="Subscription",$U353=""),"",IF($U353="Disqualified",$H353,0)))</x:f>
      </x:c>
      <x:c r="T353" s="116" t="str">
        <x:f>IF(COUNTA($A353:$M353)=0,"",IF(OR($U353="Subscription",$U353=""),"",IF($H353=0,0,IF($U353="Profit",$Q353/$H353,IF($U353="Disqualified",-$S353/$H353,0)))))</x:f>
      </x:c>
      <x:c r="U353" s="290" t="str">
        <x:f>IF(COUNTA($A353:$M353)=0,"",IF(OR(LOWER($F353&amp;"")="subscription",LOWER($F353&amp;"")="membership"),"Subscription",IF(LOWER($L353&amp;"")="yes","Disqualified",IF(OR(LOWER($F353&amp;"")="free game",LOWER($F353&amp;"")="free"),IF(AND(ISNUMBER($P353),ISNUMBER($H353),$P353&gt;$H353),"Profit","Free Game"),IF($P353="","",IF(ROUND(IFERROR(VALUE($P353),0)-IFERROR(VALUE($H353),0),2)&gt;0,"Profit","Draw"))))))</x:f>
      </x:c>
      <x:c r="V353" s="144" t="str">
        <x:f>IF(COUNTA($A353:$M353)=0,"",IF(OR($B353="",$C353="",$U353="Subscription"),"",IFERROR(ROUNDUP(($C353-$B353)/7,0),"")))</x:f>
      </x:c>
      <x:c r="W353" s="112" t="str">
        <x:f>IF(COUNTA($A353:$M353)=0,"",IF(OR($U353="Subscription",$U353=""),"",ROUND(IFERROR($Q353,0)-IFERROR($S353,0),2)))</x:f>
      </x:c>
      <x:c r="X353" s="144" t="str">
        <x:f>IF(COUNTA($A353:$M353)=0,"",IF(OR($U353="Subscription",$U353="Free Game",NOT(ISNUMBER($J353)),NOT(ISNUMBER($I353)),$J353=0,$I353=0,$I353&gt;$J353),"",$J353-$I353))</x:f>
      </x:c>
      <x:c r="Y353" s="116" t="str">
        <x:f>IF(COUNTA($A353:$M353)=0,"",IF(OR($U353="Subscription",$U353="Free Game",NOT(ISNUMBER($J353)),$J353=0,$X353=""),"",$X353/$J353))</x:f>
      </x:c>
      <x:c r="Z353" s="118" t="str">
        <x:f>IF(COUNTA($A353:$M353)=0,"",Instructions!$B$29+SUM($W$5:W353))</x:f>
      </x:c>
    </x:row>
    <x:row r="354" ht="30" customHeight="1">
      <x:c r="A354" s="477"/>
      <x:c r="B354" s="482"/>
      <x:c r="C354" s="482"/>
      <x:c r="D354" s="483"/>
      <x:c r="E354" s="483"/>
      <x:c r="F354" s="483"/>
      <x:c r="G354" s="484"/>
      <x:c r="H354" s="484"/>
      <x:c r="I354" s="485"/>
      <x:c r="J354" s="485"/>
      <x:c r="K354" s="484"/>
      <x:c r="L354" s="483"/>
      <x:c r="M354" s="477"/>
      <x:c r="N354" s="112" t="str">
        <x:f>IF(COUNTA($A354:$M354)=0,"",IF(OR(LOWER($F354&amp;"")="subscription",LOWER($F354&amp;"")="membership"),"",IF($G354="","",IF(ISNUMBER(SEARCH("non",LOWER($E354&amp;""))),$G354*0.85,$G354))))</x:f>
      </x:c>
      <x:c r="O354" s="112" t="str">
        <x:f>IF(COUNTA($A354:$M354)=0,"",IF(OR(LOWER($F354&amp;"")="subscription",LOWER($F354&amp;"")="membership"),"",IF(OR($N354="",$I354="",$I354=0),"",IFERROR($N354/$I354,""))))</x:f>
      </x:c>
      <x:c r="P354" s="112" t="str">
        <x:f>IF(COUNTA($A354:$M354)=0,"",IF(OR(LOWER($F354&amp;"")="subscription",LOWER($F354&amp;"")="membership"),"",IF(LOWER($L354&amp;"")="yes",0,IF($K354&lt;&gt;"",$K354,IF($O354&lt;&gt;"",$O354,"")))))</x:f>
      </x:c>
      <x:c r="Q354" s="112" t="str">
        <x:f>IF(COUNTA($A354:$M354)=0,"",IF(OR($U354="Subscription",$U354=""),"",IF($U354="Profit",ROUND($P354-$H354,2),0)))</x:f>
      </x:c>
      <x:c r="R354" s="112" t="str">
        <x:f>IF(COUNTA($A354:$M354)=0,"",IF(OR($U354="Subscription",$U354=""),"",IF($U354="Draw",$H354,0)))</x:f>
      </x:c>
      <x:c r="S354" s="112" t="str">
        <x:f>IF(COUNTA($A354:$M354)=0,"",IF(OR($U354="Subscription",$U354=""),"",IF($U354="Disqualified",$H354,0)))</x:f>
      </x:c>
      <x:c r="T354" s="116" t="str">
        <x:f>IF(COUNTA($A354:$M354)=0,"",IF(OR($U354="Subscription",$U354=""),"",IF($H354=0,0,IF($U354="Profit",$Q354/$H354,IF($U354="Disqualified",-$S354/$H354,0)))))</x:f>
      </x:c>
      <x:c r="U354" s="290" t="str">
        <x:f>IF(COUNTA($A354:$M354)=0,"",IF(OR(LOWER($F354&amp;"")="subscription",LOWER($F354&amp;"")="membership"),"Subscription",IF(LOWER($L354&amp;"")="yes","Disqualified",IF(OR(LOWER($F354&amp;"")="free game",LOWER($F354&amp;"")="free"),IF(AND(ISNUMBER($P354),ISNUMBER($H354),$P354&gt;$H354),"Profit","Free Game"),IF($P354="","",IF(ROUND(IFERROR(VALUE($P354),0)-IFERROR(VALUE($H354),0),2)&gt;0,"Profit","Draw"))))))</x:f>
      </x:c>
      <x:c r="V354" s="144" t="str">
        <x:f>IF(COUNTA($A354:$M354)=0,"",IF(OR($B354="",$C354="",$U354="Subscription"),"",IFERROR(ROUNDUP(($C354-$B354)/7,0),"")))</x:f>
      </x:c>
      <x:c r="W354" s="112" t="str">
        <x:f>IF(COUNTA($A354:$M354)=0,"",IF(OR($U354="Subscription",$U354=""),"",ROUND(IFERROR($Q354,0)-IFERROR($S354,0),2)))</x:f>
      </x:c>
      <x:c r="X354" s="144" t="str">
        <x:f>IF(COUNTA($A354:$M354)=0,"",IF(OR($U354="Subscription",$U354="Free Game",NOT(ISNUMBER($J354)),NOT(ISNUMBER($I354)),$J354=0,$I354=0,$I354&gt;$J354),"",$J354-$I354))</x:f>
      </x:c>
      <x:c r="Y354" s="116" t="str">
        <x:f>IF(COUNTA($A354:$M354)=0,"",IF(OR($U354="Subscription",$U354="Free Game",NOT(ISNUMBER($J354)),$J354=0,$X354=""),"",$X354/$J354))</x:f>
      </x:c>
      <x:c r="Z354" s="118" t="str">
        <x:f>IF(COUNTA($A354:$M354)=0,"",Instructions!$B$29+SUM($W$5:W354))</x:f>
      </x:c>
    </x:row>
    <x:row r="355" ht="30" customHeight="1">
      <x:c r="A355" s="477"/>
      <x:c r="B355" s="482"/>
      <x:c r="C355" s="482"/>
      <x:c r="D355" s="483"/>
      <x:c r="E355" s="483"/>
      <x:c r="F355" s="483"/>
      <x:c r="G355" s="484"/>
      <x:c r="H355" s="484"/>
      <x:c r="I355" s="485"/>
      <x:c r="J355" s="485"/>
      <x:c r="K355" s="484"/>
      <x:c r="L355" s="483"/>
      <x:c r="M355" s="477"/>
      <x:c r="N355" s="112" t="str">
        <x:f>IF(COUNTA($A355:$M355)=0,"",IF(OR(LOWER($F355&amp;"")="subscription",LOWER($F355&amp;"")="membership"),"",IF($G355="","",IF(ISNUMBER(SEARCH("non",LOWER($E355&amp;""))),$G355*0.85,$G355))))</x:f>
      </x:c>
      <x:c r="O355" s="112" t="str">
        <x:f>IF(COUNTA($A355:$M355)=0,"",IF(OR(LOWER($F355&amp;"")="subscription",LOWER($F355&amp;"")="membership"),"",IF(OR($N355="",$I355="",$I355=0),"",IFERROR($N355/$I355,""))))</x:f>
      </x:c>
      <x:c r="P355" s="112" t="str">
        <x:f>IF(COUNTA($A355:$M355)=0,"",IF(OR(LOWER($F355&amp;"")="subscription",LOWER($F355&amp;"")="membership"),"",IF(LOWER($L355&amp;"")="yes",0,IF($K355&lt;&gt;"",$K355,IF($O355&lt;&gt;"",$O355,"")))))</x:f>
      </x:c>
      <x:c r="Q355" s="112" t="str">
        <x:f>IF(COUNTA($A355:$M355)=0,"",IF(OR($U355="Subscription",$U355=""),"",IF($U355="Profit",ROUND($P355-$H355,2),0)))</x:f>
      </x:c>
      <x:c r="R355" s="112" t="str">
        <x:f>IF(COUNTA($A355:$M355)=0,"",IF(OR($U355="Subscription",$U355=""),"",IF($U355="Draw",$H355,0)))</x:f>
      </x:c>
      <x:c r="S355" s="112" t="str">
        <x:f>IF(COUNTA($A355:$M355)=0,"",IF(OR($U355="Subscription",$U355=""),"",IF($U355="Disqualified",$H355,0)))</x:f>
      </x:c>
      <x:c r="T355" s="116" t="str">
        <x:f>IF(COUNTA($A355:$M355)=0,"",IF(OR($U355="Subscription",$U355=""),"",IF($H355=0,0,IF($U355="Profit",$Q355/$H355,IF($U355="Disqualified",-$S355/$H355,0)))))</x:f>
      </x:c>
      <x:c r="U355" s="290" t="str">
        <x:f>IF(COUNTA($A355:$M355)=0,"",IF(OR(LOWER($F355&amp;"")="subscription",LOWER($F355&amp;"")="membership"),"Subscription",IF(LOWER($L355&amp;"")="yes","Disqualified",IF(OR(LOWER($F355&amp;"")="free game",LOWER($F355&amp;"")="free"),IF(AND(ISNUMBER($P355),ISNUMBER($H355),$P355&gt;$H355),"Profit","Free Game"),IF($P355="","",IF(ROUND(IFERROR(VALUE($P355),0)-IFERROR(VALUE($H355),0),2)&gt;0,"Profit","Draw"))))))</x:f>
      </x:c>
      <x:c r="V355" s="144" t="str">
        <x:f>IF(COUNTA($A355:$M355)=0,"",IF(OR($B355="",$C355="",$U355="Subscription"),"",IFERROR(ROUNDUP(($C355-$B355)/7,0),"")))</x:f>
      </x:c>
      <x:c r="W355" s="112" t="str">
        <x:f>IF(COUNTA($A355:$M355)=0,"",IF(OR($U355="Subscription",$U355=""),"",ROUND(IFERROR($Q355,0)-IFERROR($S355,0),2)))</x:f>
      </x:c>
      <x:c r="X355" s="144" t="str">
        <x:f>IF(COUNTA($A355:$M355)=0,"",IF(OR($U355="Subscription",$U355="Free Game",NOT(ISNUMBER($J355)),NOT(ISNUMBER($I355)),$J355=0,$I355=0,$I355&gt;$J355),"",$J355-$I355))</x:f>
      </x:c>
      <x:c r="Y355" s="116" t="str">
        <x:f>IF(COUNTA($A355:$M355)=0,"",IF(OR($U355="Subscription",$U355="Free Game",NOT(ISNUMBER($J355)),$J355=0,$X355=""),"",$X355/$J355))</x:f>
      </x:c>
      <x:c r="Z355" s="118" t="str">
        <x:f>IF(COUNTA($A355:$M355)=0,"",Instructions!$B$29+SUM($W$5:W355))</x:f>
      </x:c>
    </x:row>
    <x:row r="356" ht="30" customHeight="1">
      <x:c r="A356" s="477"/>
      <x:c r="B356" s="482"/>
      <x:c r="C356" s="482"/>
      <x:c r="D356" s="483"/>
      <x:c r="E356" s="483"/>
      <x:c r="F356" s="483"/>
      <x:c r="G356" s="484"/>
      <x:c r="H356" s="484"/>
      <x:c r="I356" s="485"/>
      <x:c r="J356" s="485"/>
      <x:c r="K356" s="484"/>
      <x:c r="L356" s="483"/>
      <x:c r="M356" s="477"/>
      <x:c r="N356" s="112" t="str">
        <x:f>IF(COUNTA($A356:$M356)=0,"",IF(OR(LOWER($F356&amp;"")="subscription",LOWER($F356&amp;"")="membership"),"",IF($G356="","",IF(ISNUMBER(SEARCH("non",LOWER($E356&amp;""))),$G356*0.85,$G356))))</x:f>
      </x:c>
      <x:c r="O356" s="112" t="str">
        <x:f>IF(COUNTA($A356:$M356)=0,"",IF(OR(LOWER($F356&amp;"")="subscription",LOWER($F356&amp;"")="membership"),"",IF(OR($N356="",$I356="",$I356=0),"",IFERROR($N356/$I356,""))))</x:f>
      </x:c>
      <x:c r="P356" s="112" t="str">
        <x:f>IF(COUNTA($A356:$M356)=0,"",IF(OR(LOWER($F356&amp;"")="subscription",LOWER($F356&amp;"")="membership"),"",IF(LOWER($L356&amp;"")="yes",0,IF($K356&lt;&gt;"",$K356,IF($O356&lt;&gt;"",$O356,"")))))</x:f>
      </x:c>
      <x:c r="Q356" s="112" t="str">
        <x:f>IF(COUNTA($A356:$M356)=0,"",IF(OR($U356="Subscription",$U356=""),"",IF($U356="Profit",ROUND($P356-$H356,2),0)))</x:f>
      </x:c>
      <x:c r="R356" s="112" t="str">
        <x:f>IF(COUNTA($A356:$M356)=0,"",IF(OR($U356="Subscription",$U356=""),"",IF($U356="Draw",$H356,0)))</x:f>
      </x:c>
      <x:c r="S356" s="112" t="str">
        <x:f>IF(COUNTA($A356:$M356)=0,"",IF(OR($U356="Subscription",$U356=""),"",IF($U356="Disqualified",$H356,0)))</x:f>
      </x:c>
      <x:c r="T356" s="116" t="str">
        <x:f>IF(COUNTA($A356:$M356)=0,"",IF(OR($U356="Subscription",$U356=""),"",IF($H356=0,0,IF($U356="Profit",$Q356/$H356,IF($U356="Disqualified",-$S356/$H356,0)))))</x:f>
      </x:c>
      <x:c r="U356" s="290" t="str">
        <x:f>IF(COUNTA($A356:$M356)=0,"",IF(OR(LOWER($F356&amp;"")="subscription",LOWER($F356&amp;"")="membership"),"Subscription",IF(LOWER($L356&amp;"")="yes","Disqualified",IF(OR(LOWER($F356&amp;"")="free game",LOWER($F356&amp;"")="free"),IF(AND(ISNUMBER($P356),ISNUMBER($H356),$P356&gt;$H356),"Profit","Free Game"),IF($P356="","",IF(ROUND(IFERROR(VALUE($P356),0)-IFERROR(VALUE($H356),0),2)&gt;0,"Profit","Draw"))))))</x:f>
      </x:c>
      <x:c r="V356" s="144" t="str">
        <x:f>IF(COUNTA($A356:$M356)=0,"",IF(OR($B356="",$C356="",$U356="Subscription"),"",IFERROR(ROUNDUP(($C356-$B356)/7,0),"")))</x:f>
      </x:c>
      <x:c r="W356" s="112" t="str">
        <x:f>IF(COUNTA($A356:$M356)=0,"",IF(OR($U356="Subscription",$U356=""),"",ROUND(IFERROR($Q356,0)-IFERROR($S356,0),2)))</x:f>
      </x:c>
      <x:c r="X356" s="144" t="str">
        <x:f>IF(COUNTA($A356:$M356)=0,"",IF(OR($U356="Subscription",$U356="Free Game",NOT(ISNUMBER($J356)),NOT(ISNUMBER($I356)),$J356=0,$I356=0,$I356&gt;$J356),"",$J356-$I356))</x:f>
      </x:c>
      <x:c r="Y356" s="116" t="str">
        <x:f>IF(COUNTA($A356:$M356)=0,"",IF(OR($U356="Subscription",$U356="Free Game",NOT(ISNUMBER($J356)),$J356=0,$X356=""),"",$X356/$J356))</x:f>
      </x:c>
      <x:c r="Z356" s="118" t="str">
        <x:f>IF(COUNTA($A356:$M356)=0,"",Instructions!$B$29+SUM($W$5:W356))</x:f>
      </x:c>
    </x:row>
    <x:row r="357" ht="30" customHeight="1">
      <x:c r="A357" s="477"/>
      <x:c r="B357" s="482"/>
      <x:c r="C357" s="482"/>
      <x:c r="D357" s="483"/>
      <x:c r="E357" s="483"/>
      <x:c r="F357" s="483"/>
      <x:c r="G357" s="484"/>
      <x:c r="H357" s="484"/>
      <x:c r="I357" s="485"/>
      <x:c r="J357" s="485"/>
      <x:c r="K357" s="484"/>
      <x:c r="L357" s="483"/>
      <x:c r="M357" s="477"/>
      <x:c r="N357" s="112" t="str">
        <x:f>IF(COUNTA($A357:$M357)=0,"",IF(OR(LOWER($F357&amp;"")="subscription",LOWER($F357&amp;"")="membership"),"",IF($G357="","",IF(ISNUMBER(SEARCH("non",LOWER($E357&amp;""))),$G357*0.85,$G357))))</x:f>
      </x:c>
      <x:c r="O357" s="112" t="str">
        <x:f>IF(COUNTA($A357:$M357)=0,"",IF(OR(LOWER($F357&amp;"")="subscription",LOWER($F357&amp;"")="membership"),"",IF(OR($N357="",$I357="",$I357=0),"",IFERROR($N357/$I357,""))))</x:f>
      </x:c>
      <x:c r="P357" s="112" t="str">
        <x:f>IF(COUNTA($A357:$M357)=0,"",IF(OR(LOWER($F357&amp;"")="subscription",LOWER($F357&amp;"")="membership"),"",IF(LOWER($L357&amp;"")="yes",0,IF($K357&lt;&gt;"",$K357,IF($O357&lt;&gt;"",$O357,"")))))</x:f>
      </x:c>
      <x:c r="Q357" s="112" t="str">
        <x:f>IF(COUNTA($A357:$M357)=0,"",IF(OR($U357="Subscription",$U357=""),"",IF($U357="Profit",ROUND($P357-$H357,2),0)))</x:f>
      </x:c>
      <x:c r="R357" s="112" t="str">
        <x:f>IF(COUNTA($A357:$M357)=0,"",IF(OR($U357="Subscription",$U357=""),"",IF($U357="Draw",$H357,0)))</x:f>
      </x:c>
      <x:c r="S357" s="112" t="str">
        <x:f>IF(COUNTA($A357:$M357)=0,"",IF(OR($U357="Subscription",$U357=""),"",IF($U357="Disqualified",$H357,0)))</x:f>
      </x:c>
      <x:c r="T357" s="116" t="str">
        <x:f>IF(COUNTA($A357:$M357)=0,"",IF(OR($U357="Subscription",$U357=""),"",IF($H357=0,0,IF($U357="Profit",$Q357/$H357,IF($U357="Disqualified",-$S357/$H357,0)))))</x:f>
      </x:c>
      <x:c r="U357" s="290" t="str">
        <x:f>IF(COUNTA($A357:$M357)=0,"",IF(OR(LOWER($F357&amp;"")="subscription",LOWER($F357&amp;"")="membership"),"Subscription",IF(LOWER($L357&amp;"")="yes","Disqualified",IF(OR(LOWER($F357&amp;"")="free game",LOWER($F357&amp;"")="free"),IF(AND(ISNUMBER($P357),ISNUMBER($H357),$P357&gt;$H357),"Profit","Free Game"),IF($P357="","",IF(ROUND(IFERROR(VALUE($P357),0)-IFERROR(VALUE($H357),0),2)&gt;0,"Profit","Draw"))))))</x:f>
      </x:c>
      <x:c r="V357" s="144" t="str">
        <x:f>IF(COUNTA($A357:$M357)=0,"",IF(OR($B357="",$C357="",$U357="Subscription"),"",IFERROR(ROUNDUP(($C357-$B357)/7,0),"")))</x:f>
      </x:c>
      <x:c r="W357" s="112" t="str">
        <x:f>IF(COUNTA($A357:$M357)=0,"",IF(OR($U357="Subscription",$U357=""),"",ROUND(IFERROR($Q357,0)-IFERROR($S357,0),2)))</x:f>
      </x:c>
      <x:c r="X357" s="144" t="str">
        <x:f>IF(COUNTA($A357:$M357)=0,"",IF(OR($U357="Subscription",$U357="Free Game",NOT(ISNUMBER($J357)),NOT(ISNUMBER($I357)),$J357=0,$I357=0,$I357&gt;$J357),"",$J357-$I357))</x:f>
      </x:c>
      <x:c r="Y357" s="116" t="str">
        <x:f>IF(COUNTA($A357:$M357)=0,"",IF(OR($U357="Subscription",$U357="Free Game",NOT(ISNUMBER($J357)),$J357=0,$X357=""),"",$X357/$J357))</x:f>
      </x:c>
      <x:c r="Z357" s="118" t="str">
        <x:f>IF(COUNTA($A357:$M357)=0,"",Instructions!$B$29+SUM($W$5:W357))</x:f>
      </x:c>
    </x:row>
    <x:row r="358" ht="30" customHeight="1">
      <x:c r="A358" s="477"/>
      <x:c r="B358" s="482"/>
      <x:c r="C358" s="482"/>
      <x:c r="D358" s="483"/>
      <x:c r="E358" s="483"/>
      <x:c r="F358" s="483"/>
      <x:c r="G358" s="484"/>
      <x:c r="H358" s="484"/>
      <x:c r="I358" s="485"/>
      <x:c r="J358" s="485"/>
      <x:c r="K358" s="484"/>
      <x:c r="L358" s="483"/>
      <x:c r="M358" s="477"/>
      <x:c r="N358" s="112" t="str">
        <x:f>IF(COUNTA($A358:$M358)=0,"",IF(OR(LOWER($F358&amp;"")="subscription",LOWER($F358&amp;"")="membership"),"",IF($G358="","",IF(ISNUMBER(SEARCH("non",LOWER($E358&amp;""))),$G358*0.85,$G358))))</x:f>
      </x:c>
      <x:c r="O358" s="112" t="str">
        <x:f>IF(COUNTA($A358:$M358)=0,"",IF(OR(LOWER($F358&amp;"")="subscription",LOWER($F358&amp;"")="membership"),"",IF(OR($N358="",$I358="",$I358=0),"",IFERROR($N358/$I358,""))))</x:f>
      </x:c>
      <x:c r="P358" s="112" t="str">
        <x:f>IF(COUNTA($A358:$M358)=0,"",IF(OR(LOWER($F358&amp;"")="subscription",LOWER($F358&amp;"")="membership"),"",IF(LOWER($L358&amp;"")="yes",0,IF($K358&lt;&gt;"",$K358,IF($O358&lt;&gt;"",$O358,"")))))</x:f>
      </x:c>
      <x:c r="Q358" s="112" t="str">
        <x:f>IF(COUNTA($A358:$M358)=0,"",IF(OR($U358="Subscription",$U358=""),"",IF($U358="Profit",ROUND($P358-$H358,2),0)))</x:f>
      </x:c>
      <x:c r="R358" s="112" t="str">
        <x:f>IF(COUNTA($A358:$M358)=0,"",IF(OR($U358="Subscription",$U358=""),"",IF($U358="Draw",$H358,0)))</x:f>
      </x:c>
      <x:c r="S358" s="112" t="str">
        <x:f>IF(COUNTA($A358:$M358)=0,"",IF(OR($U358="Subscription",$U358=""),"",IF($U358="Disqualified",$H358,0)))</x:f>
      </x:c>
      <x:c r="T358" s="116" t="str">
        <x:f>IF(COUNTA($A358:$M358)=0,"",IF(OR($U358="Subscription",$U358=""),"",IF($H358=0,0,IF($U358="Profit",$Q358/$H358,IF($U358="Disqualified",-$S358/$H358,0)))))</x:f>
      </x:c>
      <x:c r="U358" s="290" t="str">
        <x:f>IF(COUNTA($A358:$M358)=0,"",IF(OR(LOWER($F358&amp;"")="subscription",LOWER($F358&amp;"")="membership"),"Subscription",IF(LOWER($L358&amp;"")="yes","Disqualified",IF(OR(LOWER($F358&amp;"")="free game",LOWER($F358&amp;"")="free"),IF(AND(ISNUMBER($P358),ISNUMBER($H358),$P358&gt;$H358),"Profit","Free Game"),IF($P358="","",IF(ROUND(IFERROR(VALUE($P358),0)-IFERROR(VALUE($H358),0),2)&gt;0,"Profit","Draw"))))))</x:f>
      </x:c>
      <x:c r="V358" s="144" t="str">
        <x:f>IF(COUNTA($A358:$M358)=0,"",IF(OR($B358="",$C358="",$U358="Subscription"),"",IFERROR(ROUNDUP(($C358-$B358)/7,0),"")))</x:f>
      </x:c>
      <x:c r="W358" s="112" t="str">
        <x:f>IF(COUNTA($A358:$M358)=0,"",IF(OR($U358="Subscription",$U358=""),"",ROUND(IFERROR($Q358,0)-IFERROR($S358,0),2)))</x:f>
      </x:c>
      <x:c r="X358" s="144" t="str">
        <x:f>IF(COUNTA($A358:$M358)=0,"",IF(OR($U358="Subscription",$U358="Free Game",NOT(ISNUMBER($J358)),NOT(ISNUMBER($I358)),$J358=0,$I358=0,$I358&gt;$J358),"",$J358-$I358))</x:f>
      </x:c>
      <x:c r="Y358" s="116" t="str">
        <x:f>IF(COUNTA($A358:$M358)=0,"",IF(OR($U358="Subscription",$U358="Free Game",NOT(ISNUMBER($J358)),$J358=0,$X358=""),"",$X358/$J358))</x:f>
      </x:c>
      <x:c r="Z358" s="118" t="str">
        <x:f>IF(COUNTA($A358:$M358)=0,"",Instructions!$B$29+SUM($W$5:W358))</x:f>
      </x:c>
    </x:row>
    <x:row r="359" ht="30" customHeight="1">
      <x:c r="A359" s="477"/>
      <x:c r="B359" s="482"/>
      <x:c r="C359" s="482"/>
      <x:c r="D359" s="483"/>
      <x:c r="E359" s="483"/>
      <x:c r="F359" s="483"/>
      <x:c r="G359" s="484"/>
      <x:c r="H359" s="484"/>
      <x:c r="I359" s="485"/>
      <x:c r="J359" s="485"/>
      <x:c r="K359" s="484"/>
      <x:c r="L359" s="483"/>
      <x:c r="M359" s="477"/>
      <x:c r="N359" s="112" t="str">
        <x:f>IF(COUNTA($A359:$M359)=0,"",IF(OR(LOWER($F359&amp;"")="subscription",LOWER($F359&amp;"")="membership"),"",IF($G359="","",IF(ISNUMBER(SEARCH("non",LOWER($E359&amp;""))),$G359*0.85,$G359))))</x:f>
      </x:c>
      <x:c r="O359" s="112" t="str">
        <x:f>IF(COUNTA($A359:$M359)=0,"",IF(OR(LOWER($F359&amp;"")="subscription",LOWER($F359&amp;"")="membership"),"",IF(OR($N359="",$I359="",$I359=0),"",IFERROR($N359/$I359,""))))</x:f>
      </x:c>
      <x:c r="P359" s="112" t="str">
        <x:f>IF(COUNTA($A359:$M359)=0,"",IF(OR(LOWER($F359&amp;"")="subscription",LOWER($F359&amp;"")="membership"),"",IF(LOWER($L359&amp;"")="yes",0,IF($K359&lt;&gt;"",$K359,IF($O359&lt;&gt;"",$O359,"")))))</x:f>
      </x:c>
      <x:c r="Q359" s="112" t="str">
        <x:f>IF(COUNTA($A359:$M359)=0,"",IF(OR($U359="Subscription",$U359=""),"",IF($U359="Profit",ROUND($P359-$H359,2),0)))</x:f>
      </x:c>
      <x:c r="R359" s="112" t="str">
        <x:f>IF(COUNTA($A359:$M359)=0,"",IF(OR($U359="Subscription",$U359=""),"",IF($U359="Draw",$H359,0)))</x:f>
      </x:c>
      <x:c r="S359" s="112" t="str">
        <x:f>IF(COUNTA($A359:$M359)=0,"",IF(OR($U359="Subscription",$U359=""),"",IF($U359="Disqualified",$H359,0)))</x:f>
      </x:c>
      <x:c r="T359" s="116" t="str">
        <x:f>IF(COUNTA($A359:$M359)=0,"",IF(OR($U359="Subscription",$U359=""),"",IF($H359=0,0,IF($U359="Profit",$Q359/$H359,IF($U359="Disqualified",-$S359/$H359,0)))))</x:f>
      </x:c>
      <x:c r="U359" s="290" t="str">
        <x:f>IF(COUNTA($A359:$M359)=0,"",IF(OR(LOWER($F359&amp;"")="subscription",LOWER($F359&amp;"")="membership"),"Subscription",IF(LOWER($L359&amp;"")="yes","Disqualified",IF(OR(LOWER($F359&amp;"")="free game",LOWER($F359&amp;"")="free"),IF(AND(ISNUMBER($P359),ISNUMBER($H359),$P359&gt;$H359),"Profit","Free Game"),IF($P359="","",IF(ROUND(IFERROR(VALUE($P359),0)-IFERROR(VALUE($H359),0),2)&gt;0,"Profit","Draw"))))))</x:f>
      </x:c>
      <x:c r="V359" s="144" t="str">
        <x:f>IF(COUNTA($A359:$M359)=0,"",IF(OR($B359="",$C359="",$U359="Subscription"),"",IFERROR(ROUNDUP(($C359-$B359)/7,0),"")))</x:f>
      </x:c>
      <x:c r="W359" s="112" t="str">
        <x:f>IF(COUNTA($A359:$M359)=0,"",IF(OR($U359="Subscription",$U359=""),"",ROUND(IFERROR($Q359,0)-IFERROR($S359,0),2)))</x:f>
      </x:c>
      <x:c r="X359" s="144" t="str">
        <x:f>IF(COUNTA($A359:$M359)=0,"",IF(OR($U359="Subscription",$U359="Free Game",NOT(ISNUMBER($J359)),NOT(ISNUMBER($I359)),$J359=0,$I359=0,$I359&gt;$J359),"",$J359-$I359))</x:f>
      </x:c>
      <x:c r="Y359" s="116" t="str">
        <x:f>IF(COUNTA($A359:$M359)=0,"",IF(OR($U359="Subscription",$U359="Free Game",NOT(ISNUMBER($J359)),$J359=0,$X359=""),"",$X359/$J359))</x:f>
      </x:c>
      <x:c r="Z359" s="118" t="str">
        <x:f>IF(COUNTA($A359:$M359)=0,"",Instructions!$B$29+SUM($W$5:W359))</x:f>
      </x:c>
    </x:row>
    <x:row r="360" ht="30" customHeight="1">
      <x:c r="A360" s="477"/>
      <x:c r="B360" s="482"/>
      <x:c r="C360" s="482"/>
      <x:c r="D360" s="483"/>
      <x:c r="E360" s="483"/>
      <x:c r="F360" s="483"/>
      <x:c r="G360" s="484"/>
      <x:c r="H360" s="484"/>
      <x:c r="I360" s="485"/>
      <x:c r="J360" s="485"/>
      <x:c r="K360" s="484"/>
      <x:c r="L360" s="483"/>
      <x:c r="M360" s="477"/>
      <x:c r="N360" s="112" t="str">
        <x:f>IF(COUNTA($A360:$M360)=0,"",IF(OR(LOWER($F360&amp;"")="subscription",LOWER($F360&amp;"")="membership"),"",IF($G360="","",IF(ISNUMBER(SEARCH("non",LOWER($E360&amp;""))),$G360*0.85,$G360))))</x:f>
      </x:c>
      <x:c r="O360" s="112" t="str">
        <x:f>IF(COUNTA($A360:$M360)=0,"",IF(OR(LOWER($F360&amp;"")="subscription",LOWER($F360&amp;"")="membership"),"",IF(OR($N360="",$I360="",$I360=0),"",IFERROR($N360/$I360,""))))</x:f>
      </x:c>
      <x:c r="P360" s="112" t="str">
        <x:f>IF(COUNTA($A360:$M360)=0,"",IF(OR(LOWER($F360&amp;"")="subscription",LOWER($F360&amp;"")="membership"),"",IF(LOWER($L360&amp;"")="yes",0,IF($K360&lt;&gt;"",$K360,IF($O360&lt;&gt;"",$O360,"")))))</x:f>
      </x:c>
      <x:c r="Q360" s="112" t="str">
        <x:f>IF(COUNTA($A360:$M360)=0,"",IF(OR($U360="Subscription",$U360=""),"",IF($U360="Profit",ROUND($P360-$H360,2),0)))</x:f>
      </x:c>
      <x:c r="R360" s="112" t="str">
        <x:f>IF(COUNTA($A360:$M360)=0,"",IF(OR($U360="Subscription",$U360=""),"",IF($U360="Draw",$H360,0)))</x:f>
      </x:c>
      <x:c r="S360" s="112" t="str">
        <x:f>IF(COUNTA($A360:$M360)=0,"",IF(OR($U360="Subscription",$U360=""),"",IF($U360="Disqualified",$H360,0)))</x:f>
      </x:c>
      <x:c r="T360" s="116" t="str">
        <x:f>IF(COUNTA($A360:$M360)=0,"",IF(OR($U360="Subscription",$U360=""),"",IF($H360=0,0,IF($U360="Profit",$Q360/$H360,IF($U360="Disqualified",-$S360/$H360,0)))))</x:f>
      </x:c>
      <x:c r="U360" s="290" t="str">
        <x:f>IF(COUNTA($A360:$M360)=0,"",IF(OR(LOWER($F360&amp;"")="subscription",LOWER($F360&amp;"")="membership"),"Subscription",IF(LOWER($L360&amp;"")="yes","Disqualified",IF(OR(LOWER($F360&amp;"")="free game",LOWER($F360&amp;"")="free"),IF(AND(ISNUMBER($P360),ISNUMBER($H360),$P360&gt;$H360),"Profit","Free Game"),IF($P360="","",IF(ROUND(IFERROR(VALUE($P360),0)-IFERROR(VALUE($H360),0),2)&gt;0,"Profit","Draw"))))))</x:f>
      </x:c>
      <x:c r="V360" s="144" t="str">
        <x:f>IF(COUNTA($A360:$M360)=0,"",IF(OR($B360="",$C360="",$U360="Subscription"),"",IFERROR(ROUNDUP(($C360-$B360)/7,0),"")))</x:f>
      </x:c>
      <x:c r="W360" s="112" t="str">
        <x:f>IF(COUNTA($A360:$M360)=0,"",IF(OR($U360="Subscription",$U360=""),"",ROUND(IFERROR($Q360,0)-IFERROR($S360,0),2)))</x:f>
      </x:c>
      <x:c r="X360" s="144" t="str">
        <x:f>IF(COUNTA($A360:$M360)=0,"",IF(OR($U360="Subscription",$U360="Free Game",NOT(ISNUMBER($J360)),NOT(ISNUMBER($I360)),$J360=0,$I360=0,$I360&gt;$J360),"",$J360-$I360))</x:f>
      </x:c>
      <x:c r="Y360" s="116" t="str">
        <x:f>IF(COUNTA($A360:$M360)=0,"",IF(OR($U360="Subscription",$U360="Free Game",NOT(ISNUMBER($J360)),$J360=0,$X360=""),"",$X360/$J360))</x:f>
      </x:c>
      <x:c r="Z360" s="118" t="str">
        <x:f>IF(COUNTA($A360:$M360)=0,"",Instructions!$B$29+SUM($W$5:W360))</x:f>
      </x:c>
    </x:row>
    <x:row r="361" ht="30" customHeight="1">
      <x:c r="A361" s="477"/>
      <x:c r="B361" s="482"/>
      <x:c r="C361" s="482"/>
      <x:c r="D361" s="483"/>
      <x:c r="E361" s="483"/>
      <x:c r="F361" s="483"/>
      <x:c r="G361" s="484"/>
      <x:c r="H361" s="484"/>
      <x:c r="I361" s="485"/>
      <x:c r="J361" s="485"/>
      <x:c r="K361" s="484"/>
      <x:c r="L361" s="483"/>
      <x:c r="M361" s="477"/>
      <x:c r="N361" s="112" t="str">
        <x:f>IF(COUNTA($A361:$M361)=0,"",IF(OR(LOWER($F361&amp;"")="subscription",LOWER($F361&amp;"")="membership"),"",IF($G361="","",IF(ISNUMBER(SEARCH("non",LOWER($E361&amp;""))),$G361*0.85,$G361))))</x:f>
      </x:c>
      <x:c r="O361" s="112" t="str">
        <x:f>IF(COUNTA($A361:$M361)=0,"",IF(OR(LOWER($F361&amp;"")="subscription",LOWER($F361&amp;"")="membership"),"",IF(OR($N361="",$I361="",$I361=0),"",IFERROR($N361/$I361,""))))</x:f>
      </x:c>
      <x:c r="P361" s="112" t="str">
        <x:f>IF(COUNTA($A361:$M361)=0,"",IF(OR(LOWER($F361&amp;"")="subscription",LOWER($F361&amp;"")="membership"),"",IF(LOWER($L361&amp;"")="yes",0,IF($K361&lt;&gt;"",$K361,IF($O361&lt;&gt;"",$O361,"")))))</x:f>
      </x:c>
      <x:c r="Q361" s="112" t="str">
        <x:f>IF(COUNTA($A361:$M361)=0,"",IF(OR($U361="Subscription",$U361=""),"",IF($U361="Profit",ROUND($P361-$H361,2),0)))</x:f>
      </x:c>
      <x:c r="R361" s="112" t="str">
        <x:f>IF(COUNTA($A361:$M361)=0,"",IF(OR($U361="Subscription",$U361=""),"",IF($U361="Draw",$H361,0)))</x:f>
      </x:c>
      <x:c r="S361" s="112" t="str">
        <x:f>IF(COUNTA($A361:$M361)=0,"",IF(OR($U361="Subscription",$U361=""),"",IF($U361="Disqualified",$H361,0)))</x:f>
      </x:c>
      <x:c r="T361" s="116" t="str">
        <x:f>IF(COUNTA($A361:$M361)=0,"",IF(OR($U361="Subscription",$U361=""),"",IF($H361=0,0,IF($U361="Profit",$Q361/$H361,IF($U361="Disqualified",-$S361/$H361,0)))))</x:f>
      </x:c>
      <x:c r="U361" s="290" t="str">
        <x:f>IF(COUNTA($A361:$M361)=0,"",IF(OR(LOWER($F361&amp;"")="subscription",LOWER($F361&amp;"")="membership"),"Subscription",IF(LOWER($L361&amp;"")="yes","Disqualified",IF(OR(LOWER($F361&amp;"")="free game",LOWER($F361&amp;"")="free"),IF(AND(ISNUMBER($P361),ISNUMBER($H361),$P361&gt;$H361),"Profit","Free Game"),IF($P361="","",IF(ROUND(IFERROR(VALUE($P361),0)-IFERROR(VALUE($H361),0),2)&gt;0,"Profit","Draw"))))))</x:f>
      </x:c>
      <x:c r="V361" s="144" t="str">
        <x:f>IF(COUNTA($A361:$M361)=0,"",IF(OR($B361="",$C361="",$U361="Subscription"),"",IFERROR(ROUNDUP(($C361-$B361)/7,0),"")))</x:f>
      </x:c>
      <x:c r="W361" s="112" t="str">
        <x:f>IF(COUNTA($A361:$M361)=0,"",IF(OR($U361="Subscription",$U361=""),"",ROUND(IFERROR($Q361,0)-IFERROR($S361,0),2)))</x:f>
      </x:c>
      <x:c r="X361" s="144" t="str">
        <x:f>IF(COUNTA($A361:$M361)=0,"",IF(OR($U361="Subscription",$U361="Free Game",NOT(ISNUMBER($J361)),NOT(ISNUMBER($I361)),$J361=0,$I361=0,$I361&gt;$J361),"",$J361-$I361))</x:f>
      </x:c>
      <x:c r="Y361" s="116" t="str">
        <x:f>IF(COUNTA($A361:$M361)=0,"",IF(OR($U361="Subscription",$U361="Free Game",NOT(ISNUMBER($J361)),$J361=0,$X361=""),"",$X361/$J361))</x:f>
      </x:c>
      <x:c r="Z361" s="118" t="str">
        <x:f>IF(COUNTA($A361:$M361)=0,"",Instructions!$B$29+SUM($W$5:W361))</x:f>
      </x:c>
    </x:row>
    <x:row r="362" ht="30" customHeight="1">
      <x:c r="A362" s="477"/>
      <x:c r="B362" s="482"/>
      <x:c r="C362" s="482"/>
      <x:c r="D362" s="483"/>
      <x:c r="E362" s="483"/>
      <x:c r="F362" s="483"/>
      <x:c r="G362" s="484"/>
      <x:c r="H362" s="484"/>
      <x:c r="I362" s="485"/>
      <x:c r="J362" s="485"/>
      <x:c r="K362" s="484"/>
      <x:c r="L362" s="483"/>
      <x:c r="M362" s="477"/>
      <x:c r="N362" s="112" t="str">
        <x:f>IF(COUNTA($A362:$M362)=0,"",IF(OR(LOWER($F362&amp;"")="subscription",LOWER($F362&amp;"")="membership"),"",IF($G362="","",IF(ISNUMBER(SEARCH("non",LOWER($E362&amp;""))),$G362*0.85,$G362))))</x:f>
      </x:c>
      <x:c r="O362" s="112" t="str">
        <x:f>IF(COUNTA($A362:$M362)=0,"",IF(OR(LOWER($F362&amp;"")="subscription",LOWER($F362&amp;"")="membership"),"",IF(OR($N362="",$I362="",$I362=0),"",IFERROR($N362/$I362,""))))</x:f>
      </x:c>
      <x:c r="P362" s="112" t="str">
        <x:f>IF(COUNTA($A362:$M362)=0,"",IF(OR(LOWER($F362&amp;"")="subscription",LOWER($F362&amp;"")="membership"),"",IF(LOWER($L362&amp;"")="yes",0,IF($K362&lt;&gt;"",$K362,IF($O362&lt;&gt;"",$O362,"")))))</x:f>
      </x:c>
      <x:c r="Q362" s="112" t="str">
        <x:f>IF(COUNTA($A362:$M362)=0,"",IF(OR($U362="Subscription",$U362=""),"",IF($U362="Profit",ROUND($P362-$H362,2),0)))</x:f>
      </x:c>
      <x:c r="R362" s="112" t="str">
        <x:f>IF(COUNTA($A362:$M362)=0,"",IF(OR($U362="Subscription",$U362=""),"",IF($U362="Draw",$H362,0)))</x:f>
      </x:c>
      <x:c r="S362" s="112" t="str">
        <x:f>IF(COUNTA($A362:$M362)=0,"",IF(OR($U362="Subscription",$U362=""),"",IF($U362="Disqualified",$H362,0)))</x:f>
      </x:c>
      <x:c r="T362" s="116" t="str">
        <x:f>IF(COUNTA($A362:$M362)=0,"",IF(OR($U362="Subscription",$U362=""),"",IF($H362=0,0,IF($U362="Profit",$Q362/$H362,IF($U362="Disqualified",-$S362/$H362,0)))))</x:f>
      </x:c>
      <x:c r="U362" s="290" t="str">
        <x:f>IF(COUNTA($A362:$M362)=0,"",IF(OR(LOWER($F362&amp;"")="subscription",LOWER($F362&amp;"")="membership"),"Subscription",IF(LOWER($L362&amp;"")="yes","Disqualified",IF(OR(LOWER($F362&amp;"")="free game",LOWER($F362&amp;"")="free"),IF(AND(ISNUMBER($P362),ISNUMBER($H362),$P362&gt;$H362),"Profit","Free Game"),IF($P362="","",IF(ROUND(IFERROR(VALUE($P362),0)-IFERROR(VALUE($H362),0),2)&gt;0,"Profit","Draw"))))))</x:f>
      </x:c>
      <x:c r="V362" s="144" t="str">
        <x:f>IF(COUNTA($A362:$M362)=0,"",IF(OR($B362="",$C362="",$U362="Subscription"),"",IFERROR(ROUNDUP(($C362-$B362)/7,0),"")))</x:f>
      </x:c>
      <x:c r="W362" s="112" t="str">
        <x:f>IF(COUNTA($A362:$M362)=0,"",IF(OR($U362="Subscription",$U362=""),"",ROUND(IFERROR($Q362,0)-IFERROR($S362,0),2)))</x:f>
      </x:c>
      <x:c r="X362" s="144" t="str">
        <x:f>IF(COUNTA($A362:$M362)=0,"",IF(OR($U362="Subscription",$U362="Free Game",NOT(ISNUMBER($J362)),NOT(ISNUMBER($I362)),$J362=0,$I362=0,$I362&gt;$J362),"",$J362-$I362))</x:f>
      </x:c>
      <x:c r="Y362" s="116" t="str">
        <x:f>IF(COUNTA($A362:$M362)=0,"",IF(OR($U362="Subscription",$U362="Free Game",NOT(ISNUMBER($J362)),$J362=0,$X362=""),"",$X362/$J362))</x:f>
      </x:c>
      <x:c r="Z362" s="118" t="str">
        <x:f>IF(COUNTA($A362:$M362)=0,"",Instructions!$B$29+SUM($W$5:W362))</x:f>
      </x:c>
    </x:row>
    <x:row r="363" ht="30" customHeight="1">
      <x:c r="A363" s="477"/>
      <x:c r="B363" s="482"/>
      <x:c r="C363" s="482"/>
      <x:c r="D363" s="483"/>
      <x:c r="E363" s="483"/>
      <x:c r="F363" s="483"/>
      <x:c r="G363" s="484"/>
      <x:c r="H363" s="484"/>
      <x:c r="I363" s="485"/>
      <x:c r="J363" s="485"/>
      <x:c r="K363" s="484"/>
      <x:c r="L363" s="483"/>
      <x:c r="M363" s="477"/>
      <x:c r="N363" s="112" t="str">
        <x:f>IF(COUNTA($A363:$M363)=0,"",IF(OR(LOWER($F363&amp;"")="subscription",LOWER($F363&amp;"")="membership"),"",IF($G363="","",IF(ISNUMBER(SEARCH("non",LOWER($E363&amp;""))),$G363*0.85,$G363))))</x:f>
      </x:c>
      <x:c r="O363" s="112" t="str">
        <x:f>IF(COUNTA($A363:$M363)=0,"",IF(OR(LOWER($F363&amp;"")="subscription",LOWER($F363&amp;"")="membership"),"",IF(OR($N363="",$I363="",$I363=0),"",IFERROR($N363/$I363,""))))</x:f>
      </x:c>
      <x:c r="P363" s="112" t="str">
        <x:f>IF(COUNTA($A363:$M363)=0,"",IF(OR(LOWER($F363&amp;"")="subscription",LOWER($F363&amp;"")="membership"),"",IF(LOWER($L363&amp;"")="yes",0,IF($K363&lt;&gt;"",$K363,IF($O363&lt;&gt;"",$O363,"")))))</x:f>
      </x:c>
      <x:c r="Q363" s="112" t="str">
        <x:f>IF(COUNTA($A363:$M363)=0,"",IF(OR($U363="Subscription",$U363=""),"",IF($U363="Profit",ROUND($P363-$H363,2),0)))</x:f>
      </x:c>
      <x:c r="R363" s="112" t="str">
        <x:f>IF(COUNTA($A363:$M363)=0,"",IF(OR($U363="Subscription",$U363=""),"",IF($U363="Draw",$H363,0)))</x:f>
      </x:c>
      <x:c r="S363" s="112" t="str">
        <x:f>IF(COUNTA($A363:$M363)=0,"",IF(OR($U363="Subscription",$U363=""),"",IF($U363="Disqualified",$H363,0)))</x:f>
      </x:c>
      <x:c r="T363" s="116" t="str">
        <x:f>IF(COUNTA($A363:$M363)=0,"",IF(OR($U363="Subscription",$U363=""),"",IF($H363=0,0,IF($U363="Profit",$Q363/$H363,IF($U363="Disqualified",-$S363/$H363,0)))))</x:f>
      </x:c>
      <x:c r="U363" s="290" t="str">
        <x:f>IF(COUNTA($A363:$M363)=0,"",IF(OR(LOWER($F363&amp;"")="subscription",LOWER($F363&amp;"")="membership"),"Subscription",IF(LOWER($L363&amp;"")="yes","Disqualified",IF(OR(LOWER($F363&amp;"")="free game",LOWER($F363&amp;"")="free"),IF(AND(ISNUMBER($P363),ISNUMBER($H363),$P363&gt;$H363),"Profit","Free Game"),IF($P363="","",IF(ROUND(IFERROR(VALUE($P363),0)-IFERROR(VALUE($H363),0),2)&gt;0,"Profit","Draw"))))))</x:f>
      </x:c>
      <x:c r="V363" s="144" t="str">
        <x:f>IF(COUNTA($A363:$M363)=0,"",IF(OR($B363="",$C363="",$U363="Subscription"),"",IFERROR(ROUNDUP(($C363-$B363)/7,0),"")))</x:f>
      </x:c>
      <x:c r="W363" s="112" t="str">
        <x:f>IF(COUNTA($A363:$M363)=0,"",IF(OR($U363="Subscription",$U363=""),"",ROUND(IFERROR($Q363,0)-IFERROR($S363,0),2)))</x:f>
      </x:c>
      <x:c r="X363" s="144" t="str">
        <x:f>IF(COUNTA($A363:$M363)=0,"",IF(OR($U363="Subscription",$U363="Free Game",NOT(ISNUMBER($J363)),NOT(ISNUMBER($I363)),$J363=0,$I363=0,$I363&gt;$J363),"",$J363-$I363))</x:f>
      </x:c>
      <x:c r="Y363" s="116" t="str">
        <x:f>IF(COUNTA($A363:$M363)=0,"",IF(OR($U363="Subscription",$U363="Free Game",NOT(ISNUMBER($J363)),$J363=0,$X363=""),"",$X363/$J363))</x:f>
      </x:c>
      <x:c r="Z363" s="118" t="str">
        <x:f>IF(COUNTA($A363:$M363)=0,"",Instructions!$B$29+SUM($W$5:W363))</x:f>
      </x:c>
    </x:row>
    <x:row r="364" ht="30" customHeight="1">
      <x:c r="A364" s="477"/>
      <x:c r="B364" s="482"/>
      <x:c r="C364" s="482"/>
      <x:c r="D364" s="483"/>
      <x:c r="E364" s="483"/>
      <x:c r="F364" s="483"/>
      <x:c r="G364" s="484"/>
      <x:c r="H364" s="484"/>
      <x:c r="I364" s="485"/>
      <x:c r="J364" s="485"/>
      <x:c r="K364" s="484"/>
      <x:c r="L364" s="483"/>
      <x:c r="M364" s="477"/>
      <x:c r="N364" s="112" t="str">
        <x:f>IF(COUNTA($A364:$M364)=0,"",IF(OR(LOWER($F364&amp;"")="subscription",LOWER($F364&amp;"")="membership"),"",IF($G364="","",IF(ISNUMBER(SEARCH("non",LOWER($E364&amp;""))),$G364*0.85,$G364))))</x:f>
      </x:c>
      <x:c r="O364" s="112" t="str">
        <x:f>IF(COUNTA($A364:$M364)=0,"",IF(OR(LOWER($F364&amp;"")="subscription",LOWER($F364&amp;"")="membership"),"",IF(OR($N364="",$I364="",$I364=0),"",IFERROR($N364/$I364,""))))</x:f>
      </x:c>
      <x:c r="P364" s="112" t="str">
        <x:f>IF(COUNTA($A364:$M364)=0,"",IF(OR(LOWER($F364&amp;"")="subscription",LOWER($F364&amp;"")="membership"),"",IF(LOWER($L364&amp;"")="yes",0,IF($K364&lt;&gt;"",$K364,IF($O364&lt;&gt;"",$O364,"")))))</x:f>
      </x:c>
      <x:c r="Q364" s="112" t="str">
        <x:f>IF(COUNTA($A364:$M364)=0,"",IF(OR($U364="Subscription",$U364=""),"",IF($U364="Profit",ROUND($P364-$H364,2),0)))</x:f>
      </x:c>
      <x:c r="R364" s="112" t="str">
        <x:f>IF(COUNTA($A364:$M364)=0,"",IF(OR($U364="Subscription",$U364=""),"",IF($U364="Draw",$H364,0)))</x:f>
      </x:c>
      <x:c r="S364" s="112" t="str">
        <x:f>IF(COUNTA($A364:$M364)=0,"",IF(OR($U364="Subscription",$U364=""),"",IF($U364="Disqualified",$H364,0)))</x:f>
      </x:c>
      <x:c r="T364" s="116" t="str">
        <x:f>IF(COUNTA($A364:$M364)=0,"",IF(OR($U364="Subscription",$U364=""),"",IF($H364=0,0,IF($U364="Profit",$Q364/$H364,IF($U364="Disqualified",-$S364/$H364,0)))))</x:f>
      </x:c>
      <x:c r="U364" s="290" t="str">
        <x:f>IF(COUNTA($A364:$M364)=0,"",IF(OR(LOWER($F364&amp;"")="subscription",LOWER($F364&amp;"")="membership"),"Subscription",IF(LOWER($L364&amp;"")="yes","Disqualified",IF(OR(LOWER($F364&amp;"")="free game",LOWER($F364&amp;"")="free"),IF(AND(ISNUMBER($P364),ISNUMBER($H364),$P364&gt;$H364),"Profit","Free Game"),IF($P364="","",IF(ROUND(IFERROR(VALUE($P364),0)-IFERROR(VALUE($H364),0),2)&gt;0,"Profit","Draw"))))))</x:f>
      </x:c>
      <x:c r="V364" s="144" t="str">
        <x:f>IF(COUNTA($A364:$M364)=0,"",IF(OR($B364="",$C364="",$U364="Subscription"),"",IFERROR(ROUNDUP(($C364-$B364)/7,0),"")))</x:f>
      </x:c>
      <x:c r="W364" s="112" t="str">
        <x:f>IF(COUNTA($A364:$M364)=0,"",IF(OR($U364="Subscription",$U364=""),"",ROUND(IFERROR($Q364,0)-IFERROR($S364,0),2)))</x:f>
      </x:c>
      <x:c r="X364" s="144" t="str">
        <x:f>IF(COUNTA($A364:$M364)=0,"",IF(OR($U364="Subscription",$U364="Free Game",NOT(ISNUMBER($J364)),NOT(ISNUMBER($I364)),$J364=0,$I364=0,$I364&gt;$J364),"",$J364-$I364))</x:f>
      </x:c>
      <x:c r="Y364" s="116" t="str">
        <x:f>IF(COUNTA($A364:$M364)=0,"",IF(OR($U364="Subscription",$U364="Free Game",NOT(ISNUMBER($J364)),$J364=0,$X364=""),"",$X364/$J364))</x:f>
      </x:c>
      <x:c r="Z364" s="118" t="str">
        <x:f>IF(COUNTA($A364:$M364)=0,"",Instructions!$B$29+SUM($W$5:W364))</x:f>
      </x:c>
    </x:row>
    <x:row r="365" ht="30" customHeight="1">
      <x:c r="A365" s="477"/>
      <x:c r="B365" s="482"/>
      <x:c r="C365" s="482"/>
      <x:c r="D365" s="483"/>
      <x:c r="E365" s="483"/>
      <x:c r="F365" s="483"/>
      <x:c r="G365" s="484"/>
      <x:c r="H365" s="484"/>
      <x:c r="I365" s="485"/>
      <x:c r="J365" s="485"/>
      <x:c r="K365" s="484"/>
      <x:c r="L365" s="483"/>
      <x:c r="M365" s="477"/>
      <x:c r="N365" s="112" t="str">
        <x:f>IF(COUNTA($A365:$M365)=0,"",IF(OR(LOWER($F365&amp;"")="subscription",LOWER($F365&amp;"")="membership"),"",IF($G365="","",IF(ISNUMBER(SEARCH("non",LOWER($E365&amp;""))),$G365*0.85,$G365))))</x:f>
      </x:c>
      <x:c r="O365" s="112" t="str">
        <x:f>IF(COUNTA($A365:$M365)=0,"",IF(OR(LOWER($F365&amp;"")="subscription",LOWER($F365&amp;"")="membership"),"",IF(OR($N365="",$I365="",$I365=0),"",IFERROR($N365/$I365,""))))</x:f>
      </x:c>
      <x:c r="P365" s="112" t="str">
        <x:f>IF(COUNTA($A365:$M365)=0,"",IF(OR(LOWER($F365&amp;"")="subscription",LOWER($F365&amp;"")="membership"),"",IF(LOWER($L365&amp;"")="yes",0,IF($K365&lt;&gt;"",$K365,IF($O365&lt;&gt;"",$O365,"")))))</x:f>
      </x:c>
      <x:c r="Q365" s="112" t="str">
        <x:f>IF(COUNTA($A365:$M365)=0,"",IF(OR($U365="Subscription",$U365=""),"",IF($U365="Profit",ROUND($P365-$H365,2),0)))</x:f>
      </x:c>
      <x:c r="R365" s="112" t="str">
        <x:f>IF(COUNTA($A365:$M365)=0,"",IF(OR($U365="Subscription",$U365=""),"",IF($U365="Draw",$H365,0)))</x:f>
      </x:c>
      <x:c r="S365" s="112" t="str">
        <x:f>IF(COUNTA($A365:$M365)=0,"",IF(OR($U365="Subscription",$U365=""),"",IF($U365="Disqualified",$H365,0)))</x:f>
      </x:c>
      <x:c r="T365" s="116" t="str">
        <x:f>IF(COUNTA($A365:$M365)=0,"",IF(OR($U365="Subscription",$U365=""),"",IF($H365=0,0,IF($U365="Profit",$Q365/$H365,IF($U365="Disqualified",-$S365/$H365,0)))))</x:f>
      </x:c>
      <x:c r="U365" s="290" t="str">
        <x:f>IF(COUNTA($A365:$M365)=0,"",IF(OR(LOWER($F365&amp;"")="subscription",LOWER($F365&amp;"")="membership"),"Subscription",IF(LOWER($L365&amp;"")="yes","Disqualified",IF(OR(LOWER($F365&amp;"")="free game",LOWER($F365&amp;"")="free"),IF(AND(ISNUMBER($P365),ISNUMBER($H365),$P365&gt;$H365),"Profit","Free Game"),IF($P365="","",IF(ROUND(IFERROR(VALUE($P365),0)-IFERROR(VALUE($H365),0),2)&gt;0,"Profit","Draw"))))))</x:f>
      </x:c>
      <x:c r="V365" s="144" t="str">
        <x:f>IF(COUNTA($A365:$M365)=0,"",IF(OR($B365="",$C365="",$U365="Subscription"),"",IFERROR(ROUNDUP(($C365-$B365)/7,0),"")))</x:f>
      </x:c>
      <x:c r="W365" s="112" t="str">
        <x:f>IF(COUNTA($A365:$M365)=0,"",IF(OR($U365="Subscription",$U365=""),"",ROUND(IFERROR($Q365,0)-IFERROR($S365,0),2)))</x:f>
      </x:c>
      <x:c r="X365" s="144" t="str">
        <x:f>IF(COUNTA($A365:$M365)=0,"",IF(OR($U365="Subscription",$U365="Free Game",NOT(ISNUMBER($J365)),NOT(ISNUMBER($I365)),$J365=0,$I365=0,$I365&gt;$J365),"",$J365-$I365))</x:f>
      </x:c>
      <x:c r="Y365" s="116" t="str">
        <x:f>IF(COUNTA($A365:$M365)=0,"",IF(OR($U365="Subscription",$U365="Free Game",NOT(ISNUMBER($J365)),$J365=0,$X365=""),"",$X365/$J365))</x:f>
      </x:c>
      <x:c r="Z365" s="118" t="str">
        <x:f>IF(COUNTA($A365:$M365)=0,"",Instructions!$B$29+SUM($W$5:W365))</x:f>
      </x:c>
    </x:row>
    <x:row r="366" ht="30" customHeight="1">
      <x:c r="A366" s="477"/>
      <x:c r="B366" s="482"/>
      <x:c r="C366" s="482"/>
      <x:c r="D366" s="483"/>
      <x:c r="E366" s="483"/>
      <x:c r="F366" s="483"/>
      <x:c r="G366" s="484"/>
      <x:c r="H366" s="484"/>
      <x:c r="I366" s="485"/>
      <x:c r="J366" s="485"/>
      <x:c r="K366" s="484"/>
      <x:c r="L366" s="483"/>
      <x:c r="M366" s="477"/>
      <x:c r="N366" s="112" t="str">
        <x:f>IF(COUNTA($A366:$M366)=0,"",IF(OR(LOWER($F366&amp;"")="subscription",LOWER($F366&amp;"")="membership"),"",IF($G366="","",IF(ISNUMBER(SEARCH("non",LOWER($E366&amp;""))),$G366*0.85,$G366))))</x:f>
      </x:c>
      <x:c r="O366" s="112" t="str">
        <x:f>IF(COUNTA($A366:$M366)=0,"",IF(OR(LOWER($F366&amp;"")="subscription",LOWER($F366&amp;"")="membership"),"",IF(OR($N366="",$I366="",$I366=0),"",IFERROR($N366/$I366,""))))</x:f>
      </x:c>
      <x:c r="P366" s="112" t="str">
        <x:f>IF(COUNTA($A366:$M366)=0,"",IF(OR(LOWER($F366&amp;"")="subscription",LOWER($F366&amp;"")="membership"),"",IF(LOWER($L366&amp;"")="yes",0,IF($K366&lt;&gt;"",$K366,IF($O366&lt;&gt;"",$O366,"")))))</x:f>
      </x:c>
      <x:c r="Q366" s="112" t="str">
        <x:f>IF(COUNTA($A366:$M366)=0,"",IF(OR($U366="Subscription",$U366=""),"",IF($U366="Profit",ROUND($P366-$H366,2),0)))</x:f>
      </x:c>
      <x:c r="R366" s="112" t="str">
        <x:f>IF(COUNTA($A366:$M366)=0,"",IF(OR($U366="Subscription",$U366=""),"",IF($U366="Draw",$H366,0)))</x:f>
      </x:c>
      <x:c r="S366" s="112" t="str">
        <x:f>IF(COUNTA($A366:$M366)=0,"",IF(OR($U366="Subscription",$U366=""),"",IF($U366="Disqualified",$H366,0)))</x:f>
      </x:c>
      <x:c r="T366" s="116" t="str">
        <x:f>IF(COUNTA($A366:$M366)=0,"",IF(OR($U366="Subscription",$U366=""),"",IF($H366=0,0,IF($U366="Profit",$Q366/$H366,IF($U366="Disqualified",-$S366/$H366,0)))))</x:f>
      </x:c>
      <x:c r="U366" s="290" t="str">
        <x:f>IF(COUNTA($A366:$M366)=0,"",IF(OR(LOWER($F366&amp;"")="subscription",LOWER($F366&amp;"")="membership"),"Subscription",IF(LOWER($L366&amp;"")="yes","Disqualified",IF(OR(LOWER($F366&amp;"")="free game",LOWER($F366&amp;"")="free"),IF(AND(ISNUMBER($P366),ISNUMBER($H366),$P366&gt;$H366),"Profit","Free Game"),IF($P366="","",IF(ROUND(IFERROR(VALUE($P366),0)-IFERROR(VALUE($H366),0),2)&gt;0,"Profit","Draw"))))))</x:f>
      </x:c>
      <x:c r="V366" s="144" t="str">
        <x:f>IF(COUNTA($A366:$M366)=0,"",IF(OR($B366="",$C366="",$U366="Subscription"),"",IFERROR(ROUNDUP(($C366-$B366)/7,0),"")))</x:f>
      </x:c>
      <x:c r="W366" s="112" t="str">
        <x:f>IF(COUNTA($A366:$M366)=0,"",IF(OR($U366="Subscription",$U366=""),"",ROUND(IFERROR($Q366,0)-IFERROR($S366,0),2)))</x:f>
      </x:c>
      <x:c r="X366" s="144" t="str">
        <x:f>IF(COUNTA($A366:$M366)=0,"",IF(OR($U366="Subscription",$U366="Free Game",NOT(ISNUMBER($J366)),NOT(ISNUMBER($I366)),$J366=0,$I366=0,$I366&gt;$J366),"",$J366-$I366))</x:f>
      </x:c>
      <x:c r="Y366" s="116" t="str">
        <x:f>IF(COUNTA($A366:$M366)=0,"",IF(OR($U366="Subscription",$U366="Free Game",NOT(ISNUMBER($J366)),$J366=0,$X366=""),"",$X366/$J366))</x:f>
      </x:c>
      <x:c r="Z366" s="118" t="str">
        <x:f>IF(COUNTA($A366:$M366)=0,"",Instructions!$B$29+SUM($W$5:W366))</x:f>
      </x:c>
    </x:row>
    <x:row r="367" ht="30" customHeight="1">
      <x:c r="A367" s="477"/>
      <x:c r="B367" s="482"/>
      <x:c r="C367" s="482"/>
      <x:c r="D367" s="483"/>
      <x:c r="E367" s="483"/>
      <x:c r="F367" s="483"/>
      <x:c r="G367" s="484"/>
      <x:c r="H367" s="484"/>
      <x:c r="I367" s="485"/>
      <x:c r="J367" s="485"/>
      <x:c r="K367" s="484"/>
      <x:c r="L367" s="483"/>
      <x:c r="M367" s="477"/>
      <x:c r="N367" s="112" t="str">
        <x:f>IF(COUNTA($A367:$M367)=0,"",IF(OR(LOWER($F367&amp;"")="subscription",LOWER($F367&amp;"")="membership"),"",IF($G367="","",IF(ISNUMBER(SEARCH("non",LOWER($E367&amp;""))),$G367*0.85,$G367))))</x:f>
      </x:c>
      <x:c r="O367" s="112" t="str">
        <x:f>IF(COUNTA($A367:$M367)=0,"",IF(OR(LOWER($F367&amp;"")="subscription",LOWER($F367&amp;"")="membership"),"",IF(OR($N367="",$I367="",$I367=0),"",IFERROR($N367/$I367,""))))</x:f>
      </x:c>
      <x:c r="P367" s="112" t="str">
        <x:f>IF(COUNTA($A367:$M367)=0,"",IF(OR(LOWER($F367&amp;"")="subscription",LOWER($F367&amp;"")="membership"),"",IF(LOWER($L367&amp;"")="yes",0,IF($K367&lt;&gt;"",$K367,IF($O367&lt;&gt;"",$O367,"")))))</x:f>
      </x:c>
      <x:c r="Q367" s="112" t="str">
        <x:f>IF(COUNTA($A367:$M367)=0,"",IF(OR($U367="Subscription",$U367=""),"",IF($U367="Profit",ROUND($P367-$H367,2),0)))</x:f>
      </x:c>
      <x:c r="R367" s="112" t="str">
        <x:f>IF(COUNTA($A367:$M367)=0,"",IF(OR($U367="Subscription",$U367=""),"",IF($U367="Draw",$H367,0)))</x:f>
      </x:c>
      <x:c r="S367" s="112" t="str">
        <x:f>IF(COUNTA($A367:$M367)=0,"",IF(OR($U367="Subscription",$U367=""),"",IF($U367="Disqualified",$H367,0)))</x:f>
      </x:c>
      <x:c r="T367" s="116" t="str">
        <x:f>IF(COUNTA($A367:$M367)=0,"",IF(OR($U367="Subscription",$U367=""),"",IF($H367=0,0,IF($U367="Profit",$Q367/$H367,IF($U367="Disqualified",-$S367/$H367,0)))))</x:f>
      </x:c>
      <x:c r="U367" s="290" t="str">
        <x:f>IF(COUNTA($A367:$M367)=0,"",IF(OR(LOWER($F367&amp;"")="subscription",LOWER($F367&amp;"")="membership"),"Subscription",IF(LOWER($L367&amp;"")="yes","Disqualified",IF(OR(LOWER($F367&amp;"")="free game",LOWER($F367&amp;"")="free"),IF(AND(ISNUMBER($P367),ISNUMBER($H367),$P367&gt;$H367),"Profit","Free Game"),IF($P367="","",IF(ROUND(IFERROR(VALUE($P367),0)-IFERROR(VALUE($H367),0),2)&gt;0,"Profit","Draw"))))))</x:f>
      </x:c>
      <x:c r="V367" s="144" t="str">
        <x:f>IF(COUNTA($A367:$M367)=0,"",IF(OR($B367="",$C367="",$U367="Subscription"),"",IFERROR(ROUNDUP(($C367-$B367)/7,0),"")))</x:f>
      </x:c>
      <x:c r="W367" s="112" t="str">
        <x:f>IF(COUNTA($A367:$M367)=0,"",IF(OR($U367="Subscription",$U367=""),"",ROUND(IFERROR($Q367,0)-IFERROR($S367,0),2)))</x:f>
      </x:c>
      <x:c r="X367" s="144" t="str">
        <x:f>IF(COUNTA($A367:$M367)=0,"",IF(OR($U367="Subscription",$U367="Free Game",NOT(ISNUMBER($J367)),NOT(ISNUMBER($I367)),$J367=0,$I367=0,$I367&gt;$J367),"",$J367-$I367))</x:f>
      </x:c>
      <x:c r="Y367" s="116" t="str">
        <x:f>IF(COUNTA($A367:$M367)=0,"",IF(OR($U367="Subscription",$U367="Free Game",NOT(ISNUMBER($J367)),$J367=0,$X367=""),"",$X367/$J367))</x:f>
      </x:c>
      <x:c r="Z367" s="118" t="str">
        <x:f>IF(COUNTA($A367:$M367)=0,"",Instructions!$B$29+SUM($W$5:W367))</x:f>
      </x:c>
    </x:row>
    <x:row r="368" ht="30" customHeight="1">
      <x:c r="A368" s="477"/>
      <x:c r="B368" s="482"/>
      <x:c r="C368" s="482"/>
      <x:c r="D368" s="483"/>
      <x:c r="E368" s="483"/>
      <x:c r="F368" s="483"/>
      <x:c r="G368" s="484"/>
      <x:c r="H368" s="484"/>
      <x:c r="I368" s="485"/>
      <x:c r="J368" s="485"/>
      <x:c r="K368" s="484"/>
      <x:c r="L368" s="483"/>
      <x:c r="M368" s="477"/>
      <x:c r="N368" s="112" t="str">
        <x:f>IF(COUNTA($A368:$M368)=0,"",IF(OR(LOWER($F368&amp;"")="subscription",LOWER($F368&amp;"")="membership"),"",IF($G368="","",IF(ISNUMBER(SEARCH("non",LOWER($E368&amp;""))),$G368*0.85,$G368))))</x:f>
      </x:c>
      <x:c r="O368" s="112" t="str">
        <x:f>IF(COUNTA($A368:$M368)=0,"",IF(OR(LOWER($F368&amp;"")="subscription",LOWER($F368&amp;"")="membership"),"",IF(OR($N368="",$I368="",$I368=0),"",IFERROR($N368/$I368,""))))</x:f>
      </x:c>
      <x:c r="P368" s="112" t="str">
        <x:f>IF(COUNTA($A368:$M368)=0,"",IF(OR(LOWER($F368&amp;"")="subscription",LOWER($F368&amp;"")="membership"),"",IF(LOWER($L368&amp;"")="yes",0,IF($K368&lt;&gt;"",$K368,IF($O368&lt;&gt;"",$O368,"")))))</x:f>
      </x:c>
      <x:c r="Q368" s="112" t="str">
        <x:f>IF(COUNTA($A368:$M368)=0,"",IF(OR($U368="Subscription",$U368=""),"",IF($U368="Profit",ROUND($P368-$H368,2),0)))</x:f>
      </x:c>
      <x:c r="R368" s="112" t="str">
        <x:f>IF(COUNTA($A368:$M368)=0,"",IF(OR($U368="Subscription",$U368=""),"",IF($U368="Draw",$H368,0)))</x:f>
      </x:c>
      <x:c r="S368" s="112" t="str">
        <x:f>IF(COUNTA($A368:$M368)=0,"",IF(OR($U368="Subscription",$U368=""),"",IF($U368="Disqualified",$H368,0)))</x:f>
      </x:c>
      <x:c r="T368" s="116" t="str">
        <x:f>IF(COUNTA($A368:$M368)=0,"",IF(OR($U368="Subscription",$U368=""),"",IF($H368=0,0,IF($U368="Profit",$Q368/$H368,IF($U368="Disqualified",-$S368/$H368,0)))))</x:f>
      </x:c>
      <x:c r="U368" s="290" t="str">
        <x:f>IF(COUNTA($A368:$M368)=0,"",IF(OR(LOWER($F368&amp;"")="subscription",LOWER($F368&amp;"")="membership"),"Subscription",IF(LOWER($L368&amp;"")="yes","Disqualified",IF(OR(LOWER($F368&amp;"")="free game",LOWER($F368&amp;"")="free"),IF(AND(ISNUMBER($P368),ISNUMBER($H368),$P368&gt;$H368),"Profit","Free Game"),IF($P368="","",IF(ROUND(IFERROR(VALUE($P368),0)-IFERROR(VALUE($H368),0),2)&gt;0,"Profit","Draw"))))))</x:f>
      </x:c>
      <x:c r="V368" s="144" t="str">
        <x:f>IF(COUNTA($A368:$M368)=0,"",IF(OR($B368="",$C368="",$U368="Subscription"),"",IFERROR(ROUNDUP(($C368-$B368)/7,0),"")))</x:f>
      </x:c>
      <x:c r="W368" s="112" t="str">
        <x:f>IF(COUNTA($A368:$M368)=0,"",IF(OR($U368="Subscription",$U368=""),"",ROUND(IFERROR($Q368,0)-IFERROR($S368,0),2)))</x:f>
      </x:c>
      <x:c r="X368" s="144" t="str">
        <x:f>IF(COUNTA($A368:$M368)=0,"",IF(OR($U368="Subscription",$U368="Free Game",NOT(ISNUMBER($J368)),NOT(ISNUMBER($I368)),$J368=0,$I368=0,$I368&gt;$J368),"",$J368-$I368))</x:f>
      </x:c>
      <x:c r="Y368" s="116" t="str">
        <x:f>IF(COUNTA($A368:$M368)=0,"",IF(OR($U368="Subscription",$U368="Free Game",NOT(ISNUMBER($J368)),$J368=0,$X368=""),"",$X368/$J368))</x:f>
      </x:c>
      <x:c r="Z368" s="118" t="str">
        <x:f>IF(COUNTA($A368:$M368)=0,"",Instructions!$B$29+SUM($W$5:W368))</x:f>
      </x:c>
    </x:row>
    <x:row r="369" ht="30" customHeight="1">
      <x:c r="A369" s="477"/>
      <x:c r="B369" s="482"/>
      <x:c r="C369" s="482"/>
      <x:c r="D369" s="483"/>
      <x:c r="E369" s="483"/>
      <x:c r="F369" s="483"/>
      <x:c r="G369" s="484"/>
      <x:c r="H369" s="484"/>
      <x:c r="I369" s="485"/>
      <x:c r="J369" s="485"/>
      <x:c r="K369" s="484"/>
      <x:c r="L369" s="483"/>
      <x:c r="M369" s="477"/>
      <x:c r="N369" s="112" t="str">
        <x:f>IF(COUNTA($A369:$M369)=0,"",IF(OR(LOWER($F369&amp;"")="subscription",LOWER($F369&amp;"")="membership"),"",IF($G369="","",IF(ISNUMBER(SEARCH("non",LOWER($E369&amp;""))),$G369*0.85,$G369))))</x:f>
      </x:c>
      <x:c r="O369" s="112" t="str">
        <x:f>IF(COUNTA($A369:$M369)=0,"",IF(OR(LOWER($F369&amp;"")="subscription",LOWER($F369&amp;"")="membership"),"",IF(OR($N369="",$I369="",$I369=0),"",IFERROR($N369/$I369,""))))</x:f>
      </x:c>
      <x:c r="P369" s="112" t="str">
        <x:f>IF(COUNTA($A369:$M369)=0,"",IF(OR(LOWER($F369&amp;"")="subscription",LOWER($F369&amp;"")="membership"),"",IF(LOWER($L369&amp;"")="yes",0,IF($K369&lt;&gt;"",$K369,IF($O369&lt;&gt;"",$O369,"")))))</x:f>
      </x:c>
      <x:c r="Q369" s="112" t="str">
        <x:f>IF(COUNTA($A369:$M369)=0,"",IF(OR($U369="Subscription",$U369=""),"",IF($U369="Profit",ROUND($P369-$H369,2),0)))</x:f>
      </x:c>
      <x:c r="R369" s="112" t="str">
        <x:f>IF(COUNTA($A369:$M369)=0,"",IF(OR($U369="Subscription",$U369=""),"",IF($U369="Draw",$H369,0)))</x:f>
      </x:c>
      <x:c r="S369" s="112" t="str">
        <x:f>IF(COUNTA($A369:$M369)=0,"",IF(OR($U369="Subscription",$U369=""),"",IF($U369="Disqualified",$H369,0)))</x:f>
      </x:c>
      <x:c r="T369" s="116" t="str">
        <x:f>IF(COUNTA($A369:$M369)=0,"",IF(OR($U369="Subscription",$U369=""),"",IF($H369=0,0,IF($U369="Profit",$Q369/$H369,IF($U369="Disqualified",-$S369/$H369,0)))))</x:f>
      </x:c>
      <x:c r="U369" s="290" t="str">
        <x:f>IF(COUNTA($A369:$M369)=0,"",IF(OR(LOWER($F369&amp;"")="subscription",LOWER($F369&amp;"")="membership"),"Subscription",IF(LOWER($L369&amp;"")="yes","Disqualified",IF(OR(LOWER($F369&amp;"")="free game",LOWER($F369&amp;"")="free"),IF(AND(ISNUMBER($P369),ISNUMBER($H369),$P369&gt;$H369),"Profit","Free Game"),IF($P369="","",IF(ROUND(IFERROR(VALUE($P369),0)-IFERROR(VALUE($H369),0),2)&gt;0,"Profit","Draw"))))))</x:f>
      </x:c>
      <x:c r="V369" s="144" t="str">
        <x:f>IF(COUNTA($A369:$M369)=0,"",IF(OR($B369="",$C369="",$U369="Subscription"),"",IFERROR(ROUNDUP(($C369-$B369)/7,0),"")))</x:f>
      </x:c>
      <x:c r="W369" s="112" t="str">
        <x:f>IF(COUNTA($A369:$M369)=0,"",IF(OR($U369="Subscription",$U369=""),"",ROUND(IFERROR($Q369,0)-IFERROR($S369,0),2)))</x:f>
      </x:c>
      <x:c r="X369" s="144" t="str">
        <x:f>IF(COUNTA($A369:$M369)=0,"",IF(OR($U369="Subscription",$U369="Free Game",NOT(ISNUMBER($J369)),NOT(ISNUMBER($I369)),$J369=0,$I369=0,$I369&gt;$J369),"",$J369-$I369))</x:f>
      </x:c>
      <x:c r="Y369" s="116" t="str">
        <x:f>IF(COUNTA($A369:$M369)=0,"",IF(OR($U369="Subscription",$U369="Free Game",NOT(ISNUMBER($J369)),$J369=0,$X369=""),"",$X369/$J369))</x:f>
      </x:c>
      <x:c r="Z369" s="118" t="str">
        <x:f>IF(COUNTA($A369:$M369)=0,"",Instructions!$B$29+SUM($W$5:W369))</x:f>
      </x:c>
    </x:row>
    <x:row r="370" ht="30" customHeight="1">
      <x:c r="A370" s="477"/>
      <x:c r="B370" s="482"/>
      <x:c r="C370" s="482"/>
      <x:c r="D370" s="483"/>
      <x:c r="E370" s="483"/>
      <x:c r="F370" s="483"/>
      <x:c r="G370" s="484"/>
      <x:c r="H370" s="484"/>
      <x:c r="I370" s="485"/>
      <x:c r="J370" s="485"/>
      <x:c r="K370" s="484"/>
      <x:c r="L370" s="483"/>
      <x:c r="M370" s="477"/>
      <x:c r="N370" s="112" t="str">
        <x:f>IF(COUNTA($A370:$M370)=0,"",IF(OR(LOWER($F370&amp;"")="subscription",LOWER($F370&amp;"")="membership"),"",IF($G370="","",IF(ISNUMBER(SEARCH("non",LOWER($E370&amp;""))),$G370*0.85,$G370))))</x:f>
      </x:c>
      <x:c r="O370" s="112" t="str">
        <x:f>IF(COUNTA($A370:$M370)=0,"",IF(OR(LOWER($F370&amp;"")="subscription",LOWER($F370&amp;"")="membership"),"",IF(OR($N370="",$I370="",$I370=0),"",IFERROR($N370/$I370,""))))</x:f>
      </x:c>
      <x:c r="P370" s="112" t="str">
        <x:f>IF(COUNTA($A370:$M370)=0,"",IF(OR(LOWER($F370&amp;"")="subscription",LOWER($F370&amp;"")="membership"),"",IF(LOWER($L370&amp;"")="yes",0,IF($K370&lt;&gt;"",$K370,IF($O370&lt;&gt;"",$O370,"")))))</x:f>
      </x:c>
      <x:c r="Q370" s="112" t="str">
        <x:f>IF(COUNTA($A370:$M370)=0,"",IF(OR($U370="Subscription",$U370=""),"",IF($U370="Profit",ROUND($P370-$H370,2),0)))</x:f>
      </x:c>
      <x:c r="R370" s="112" t="str">
        <x:f>IF(COUNTA($A370:$M370)=0,"",IF(OR($U370="Subscription",$U370=""),"",IF($U370="Draw",$H370,0)))</x:f>
      </x:c>
      <x:c r="S370" s="112" t="str">
        <x:f>IF(COUNTA($A370:$M370)=0,"",IF(OR($U370="Subscription",$U370=""),"",IF($U370="Disqualified",$H370,0)))</x:f>
      </x:c>
      <x:c r="T370" s="116" t="str">
        <x:f>IF(COUNTA($A370:$M370)=0,"",IF(OR($U370="Subscription",$U370=""),"",IF($H370=0,0,IF($U370="Profit",$Q370/$H370,IF($U370="Disqualified",-$S370/$H370,0)))))</x:f>
      </x:c>
      <x:c r="U370" s="290" t="str">
        <x:f>IF(COUNTA($A370:$M370)=0,"",IF(OR(LOWER($F370&amp;"")="subscription",LOWER($F370&amp;"")="membership"),"Subscription",IF(LOWER($L370&amp;"")="yes","Disqualified",IF(OR(LOWER($F370&amp;"")="free game",LOWER($F370&amp;"")="free"),IF(AND(ISNUMBER($P370),ISNUMBER($H370),$P370&gt;$H370),"Profit","Free Game"),IF($P370="","",IF(ROUND(IFERROR(VALUE($P370),0)-IFERROR(VALUE($H370),0),2)&gt;0,"Profit","Draw"))))))</x:f>
      </x:c>
      <x:c r="V370" s="144" t="str">
        <x:f>IF(COUNTA($A370:$M370)=0,"",IF(OR($B370="",$C370="",$U370="Subscription"),"",IFERROR(ROUNDUP(($C370-$B370)/7,0),"")))</x:f>
      </x:c>
      <x:c r="W370" s="112" t="str">
        <x:f>IF(COUNTA($A370:$M370)=0,"",IF(OR($U370="Subscription",$U370=""),"",ROUND(IFERROR($Q370,0)-IFERROR($S370,0),2)))</x:f>
      </x:c>
      <x:c r="X370" s="144" t="str">
        <x:f>IF(COUNTA($A370:$M370)=0,"",IF(OR($U370="Subscription",$U370="Free Game",NOT(ISNUMBER($J370)),NOT(ISNUMBER($I370)),$J370=0,$I370=0,$I370&gt;$J370),"",$J370-$I370))</x:f>
      </x:c>
      <x:c r="Y370" s="116" t="str">
        <x:f>IF(COUNTA($A370:$M370)=0,"",IF(OR($U370="Subscription",$U370="Free Game",NOT(ISNUMBER($J370)),$J370=0,$X370=""),"",$X370/$J370))</x:f>
      </x:c>
      <x:c r="Z370" s="118" t="str">
        <x:f>IF(COUNTA($A370:$M370)=0,"",Instructions!$B$29+SUM($W$5:W370))</x:f>
      </x:c>
    </x:row>
    <x:row r="371" ht="30" customHeight="1">
      <x:c r="A371" s="477"/>
      <x:c r="B371" s="482"/>
      <x:c r="C371" s="482"/>
      <x:c r="D371" s="483"/>
      <x:c r="E371" s="483"/>
      <x:c r="F371" s="483"/>
      <x:c r="G371" s="484"/>
      <x:c r="H371" s="484"/>
      <x:c r="I371" s="485"/>
      <x:c r="J371" s="485"/>
      <x:c r="K371" s="484"/>
      <x:c r="L371" s="483"/>
      <x:c r="M371" s="477"/>
      <x:c r="N371" s="112" t="str">
        <x:f>IF(COUNTA($A371:$M371)=0,"",IF(OR(LOWER($F371&amp;"")="subscription",LOWER($F371&amp;"")="membership"),"",IF($G371="","",IF(ISNUMBER(SEARCH("non",LOWER($E371&amp;""))),$G371*0.85,$G371))))</x:f>
      </x:c>
      <x:c r="O371" s="112" t="str">
        <x:f>IF(COUNTA($A371:$M371)=0,"",IF(OR(LOWER($F371&amp;"")="subscription",LOWER($F371&amp;"")="membership"),"",IF(OR($N371="",$I371="",$I371=0),"",IFERROR($N371/$I371,""))))</x:f>
      </x:c>
      <x:c r="P371" s="112" t="str">
        <x:f>IF(COUNTA($A371:$M371)=0,"",IF(OR(LOWER($F371&amp;"")="subscription",LOWER($F371&amp;"")="membership"),"",IF(LOWER($L371&amp;"")="yes",0,IF($K371&lt;&gt;"",$K371,IF($O371&lt;&gt;"",$O371,"")))))</x:f>
      </x:c>
      <x:c r="Q371" s="112" t="str">
        <x:f>IF(COUNTA($A371:$M371)=0,"",IF(OR($U371="Subscription",$U371=""),"",IF($U371="Profit",ROUND($P371-$H371,2),0)))</x:f>
      </x:c>
      <x:c r="R371" s="112" t="str">
        <x:f>IF(COUNTA($A371:$M371)=0,"",IF(OR($U371="Subscription",$U371=""),"",IF($U371="Draw",$H371,0)))</x:f>
      </x:c>
      <x:c r="S371" s="112" t="str">
        <x:f>IF(COUNTA($A371:$M371)=0,"",IF(OR($U371="Subscription",$U371=""),"",IF($U371="Disqualified",$H371,0)))</x:f>
      </x:c>
      <x:c r="T371" s="116" t="str">
        <x:f>IF(COUNTA($A371:$M371)=0,"",IF(OR($U371="Subscription",$U371=""),"",IF($H371=0,0,IF($U371="Profit",$Q371/$H371,IF($U371="Disqualified",-$S371/$H371,0)))))</x:f>
      </x:c>
      <x:c r="U371" s="290" t="str">
        <x:f>IF(COUNTA($A371:$M371)=0,"",IF(OR(LOWER($F371&amp;"")="subscription",LOWER($F371&amp;"")="membership"),"Subscription",IF(LOWER($L371&amp;"")="yes","Disqualified",IF(OR(LOWER($F371&amp;"")="free game",LOWER($F371&amp;"")="free"),IF(AND(ISNUMBER($P371),ISNUMBER($H371),$P371&gt;$H371),"Profit","Free Game"),IF($P371="","",IF(ROUND(IFERROR(VALUE($P371),0)-IFERROR(VALUE($H371),0),2)&gt;0,"Profit","Draw"))))))</x:f>
      </x:c>
      <x:c r="V371" s="144" t="str">
        <x:f>IF(COUNTA($A371:$M371)=0,"",IF(OR($B371="",$C371="",$U371="Subscription"),"",IFERROR(ROUNDUP(($C371-$B371)/7,0),"")))</x:f>
      </x:c>
      <x:c r="W371" s="112" t="str">
        <x:f>IF(COUNTA($A371:$M371)=0,"",IF(OR($U371="Subscription",$U371=""),"",ROUND(IFERROR($Q371,0)-IFERROR($S371,0),2)))</x:f>
      </x:c>
      <x:c r="X371" s="144" t="str">
        <x:f>IF(COUNTA($A371:$M371)=0,"",IF(OR($U371="Subscription",$U371="Free Game",NOT(ISNUMBER($J371)),NOT(ISNUMBER($I371)),$J371=0,$I371=0,$I371&gt;$J371),"",$J371-$I371))</x:f>
      </x:c>
      <x:c r="Y371" s="116" t="str">
        <x:f>IF(COUNTA($A371:$M371)=0,"",IF(OR($U371="Subscription",$U371="Free Game",NOT(ISNUMBER($J371)),$J371=0,$X371=""),"",$X371/$J371))</x:f>
      </x:c>
      <x:c r="Z371" s="118" t="str">
        <x:f>IF(COUNTA($A371:$M371)=0,"",Instructions!$B$29+SUM($W$5:W371))</x:f>
      </x:c>
    </x:row>
    <x:row r="372" ht="30" customHeight="1">
      <x:c r="A372" s="477"/>
      <x:c r="B372" s="482"/>
      <x:c r="C372" s="482"/>
      <x:c r="D372" s="483"/>
      <x:c r="E372" s="483"/>
      <x:c r="F372" s="483"/>
      <x:c r="G372" s="484"/>
      <x:c r="H372" s="484"/>
      <x:c r="I372" s="485"/>
      <x:c r="J372" s="485"/>
      <x:c r="K372" s="484"/>
      <x:c r="L372" s="483"/>
      <x:c r="M372" s="477"/>
      <x:c r="N372" s="112" t="str">
        <x:f>IF(COUNTA($A372:$M372)=0,"",IF(OR(LOWER($F372&amp;"")="subscription",LOWER($F372&amp;"")="membership"),"",IF($G372="","",IF(ISNUMBER(SEARCH("non",LOWER($E372&amp;""))),$G372*0.85,$G372))))</x:f>
      </x:c>
      <x:c r="O372" s="112" t="str">
        <x:f>IF(COUNTA($A372:$M372)=0,"",IF(OR(LOWER($F372&amp;"")="subscription",LOWER($F372&amp;"")="membership"),"",IF(OR($N372="",$I372="",$I372=0),"",IFERROR($N372/$I372,""))))</x:f>
      </x:c>
      <x:c r="P372" s="112" t="str">
        <x:f>IF(COUNTA($A372:$M372)=0,"",IF(OR(LOWER($F372&amp;"")="subscription",LOWER($F372&amp;"")="membership"),"",IF(LOWER($L372&amp;"")="yes",0,IF($K372&lt;&gt;"",$K372,IF($O372&lt;&gt;"",$O372,"")))))</x:f>
      </x:c>
      <x:c r="Q372" s="112" t="str">
        <x:f>IF(COUNTA($A372:$M372)=0,"",IF(OR($U372="Subscription",$U372=""),"",IF($U372="Profit",ROUND($P372-$H372,2),0)))</x:f>
      </x:c>
      <x:c r="R372" s="112" t="str">
        <x:f>IF(COUNTA($A372:$M372)=0,"",IF(OR($U372="Subscription",$U372=""),"",IF($U372="Draw",$H372,0)))</x:f>
      </x:c>
      <x:c r="S372" s="112" t="str">
        <x:f>IF(COUNTA($A372:$M372)=0,"",IF(OR($U372="Subscription",$U372=""),"",IF($U372="Disqualified",$H372,0)))</x:f>
      </x:c>
      <x:c r="T372" s="116" t="str">
        <x:f>IF(COUNTA($A372:$M372)=0,"",IF(OR($U372="Subscription",$U372=""),"",IF($H372=0,0,IF($U372="Profit",$Q372/$H372,IF($U372="Disqualified",-$S372/$H372,0)))))</x:f>
      </x:c>
      <x:c r="U372" s="290" t="str">
        <x:f>IF(COUNTA($A372:$M372)=0,"",IF(OR(LOWER($F372&amp;"")="subscription",LOWER($F372&amp;"")="membership"),"Subscription",IF(LOWER($L372&amp;"")="yes","Disqualified",IF(OR(LOWER($F372&amp;"")="free game",LOWER($F372&amp;"")="free"),IF(AND(ISNUMBER($P372),ISNUMBER($H372),$P372&gt;$H372),"Profit","Free Game"),IF($P372="","",IF(ROUND(IFERROR(VALUE($P372),0)-IFERROR(VALUE($H372),0),2)&gt;0,"Profit","Draw"))))))</x:f>
      </x:c>
      <x:c r="V372" s="144" t="str">
        <x:f>IF(COUNTA($A372:$M372)=0,"",IF(OR($B372="",$C372="",$U372="Subscription"),"",IFERROR(ROUNDUP(($C372-$B372)/7,0),"")))</x:f>
      </x:c>
      <x:c r="W372" s="112" t="str">
        <x:f>IF(COUNTA($A372:$M372)=0,"",IF(OR($U372="Subscription",$U372=""),"",ROUND(IFERROR($Q372,0)-IFERROR($S372,0),2)))</x:f>
      </x:c>
      <x:c r="X372" s="144" t="str">
        <x:f>IF(COUNTA($A372:$M372)=0,"",IF(OR($U372="Subscription",$U372="Free Game",NOT(ISNUMBER($J372)),NOT(ISNUMBER($I372)),$J372=0,$I372=0,$I372&gt;$J372),"",$J372-$I372))</x:f>
      </x:c>
      <x:c r="Y372" s="116" t="str">
        <x:f>IF(COUNTA($A372:$M372)=0,"",IF(OR($U372="Subscription",$U372="Free Game",NOT(ISNUMBER($J372)),$J372=0,$X372=""),"",$X372/$J372))</x:f>
      </x:c>
      <x:c r="Z372" s="118" t="str">
        <x:f>IF(COUNTA($A372:$M372)=0,"",Instructions!$B$29+SUM($W$5:W372))</x:f>
      </x:c>
    </x:row>
    <x:row r="373" ht="30" customHeight="1">
      <x:c r="A373" s="477"/>
      <x:c r="B373" s="482"/>
      <x:c r="C373" s="482"/>
      <x:c r="D373" s="483"/>
      <x:c r="E373" s="483"/>
      <x:c r="F373" s="483"/>
      <x:c r="G373" s="484"/>
      <x:c r="H373" s="484"/>
      <x:c r="I373" s="485"/>
      <x:c r="J373" s="485"/>
      <x:c r="K373" s="484"/>
      <x:c r="L373" s="483"/>
      <x:c r="M373" s="477"/>
      <x:c r="N373" s="112" t="str">
        <x:f>IF(COUNTA($A373:$M373)=0,"",IF(OR(LOWER($F373&amp;"")="subscription",LOWER($F373&amp;"")="membership"),"",IF($G373="","",IF(ISNUMBER(SEARCH("non",LOWER($E373&amp;""))),$G373*0.85,$G373))))</x:f>
      </x:c>
      <x:c r="O373" s="112" t="str">
        <x:f>IF(COUNTA($A373:$M373)=0,"",IF(OR(LOWER($F373&amp;"")="subscription",LOWER($F373&amp;"")="membership"),"",IF(OR($N373="",$I373="",$I373=0),"",IFERROR($N373/$I373,""))))</x:f>
      </x:c>
      <x:c r="P373" s="112" t="str">
        <x:f>IF(COUNTA($A373:$M373)=0,"",IF(OR(LOWER($F373&amp;"")="subscription",LOWER($F373&amp;"")="membership"),"",IF(LOWER($L373&amp;"")="yes",0,IF($K373&lt;&gt;"",$K373,IF($O373&lt;&gt;"",$O373,"")))))</x:f>
      </x:c>
      <x:c r="Q373" s="112" t="str">
        <x:f>IF(COUNTA($A373:$M373)=0,"",IF(OR($U373="Subscription",$U373=""),"",IF($U373="Profit",ROUND($P373-$H373,2),0)))</x:f>
      </x:c>
      <x:c r="R373" s="112" t="str">
        <x:f>IF(COUNTA($A373:$M373)=0,"",IF(OR($U373="Subscription",$U373=""),"",IF($U373="Draw",$H373,0)))</x:f>
      </x:c>
      <x:c r="S373" s="112" t="str">
        <x:f>IF(COUNTA($A373:$M373)=0,"",IF(OR($U373="Subscription",$U373=""),"",IF($U373="Disqualified",$H373,0)))</x:f>
      </x:c>
      <x:c r="T373" s="116" t="str">
        <x:f>IF(COUNTA($A373:$M373)=0,"",IF(OR($U373="Subscription",$U373=""),"",IF($H373=0,0,IF($U373="Profit",$Q373/$H373,IF($U373="Disqualified",-$S373/$H373,0)))))</x:f>
      </x:c>
      <x:c r="U373" s="290" t="str">
        <x:f>IF(COUNTA($A373:$M373)=0,"",IF(OR(LOWER($F373&amp;"")="subscription",LOWER($F373&amp;"")="membership"),"Subscription",IF(LOWER($L373&amp;"")="yes","Disqualified",IF(OR(LOWER($F373&amp;"")="free game",LOWER($F373&amp;"")="free"),IF(AND(ISNUMBER($P373),ISNUMBER($H373),$P373&gt;$H373),"Profit","Free Game"),IF($P373="","",IF(ROUND(IFERROR(VALUE($P373),0)-IFERROR(VALUE($H373),0),2)&gt;0,"Profit","Draw"))))))</x:f>
      </x:c>
      <x:c r="V373" s="144" t="str">
        <x:f>IF(COUNTA($A373:$M373)=0,"",IF(OR($B373="",$C373="",$U373="Subscription"),"",IFERROR(ROUNDUP(($C373-$B373)/7,0),"")))</x:f>
      </x:c>
      <x:c r="W373" s="112" t="str">
        <x:f>IF(COUNTA($A373:$M373)=0,"",IF(OR($U373="Subscription",$U373=""),"",ROUND(IFERROR($Q373,0)-IFERROR($S373,0),2)))</x:f>
      </x:c>
      <x:c r="X373" s="144" t="str">
        <x:f>IF(COUNTA($A373:$M373)=0,"",IF(OR($U373="Subscription",$U373="Free Game",NOT(ISNUMBER($J373)),NOT(ISNUMBER($I373)),$J373=0,$I373=0,$I373&gt;$J373),"",$J373-$I373))</x:f>
      </x:c>
      <x:c r="Y373" s="116" t="str">
        <x:f>IF(COUNTA($A373:$M373)=0,"",IF(OR($U373="Subscription",$U373="Free Game",NOT(ISNUMBER($J373)),$J373=0,$X373=""),"",$X373/$J373))</x:f>
      </x:c>
      <x:c r="Z373" s="118" t="str">
        <x:f>IF(COUNTA($A373:$M373)=0,"",Instructions!$B$29+SUM($W$5:W373))</x:f>
      </x:c>
    </x:row>
    <x:row r="374" ht="30" customHeight="1">
      <x:c r="A374" s="477"/>
      <x:c r="B374" s="482"/>
      <x:c r="C374" s="482"/>
      <x:c r="D374" s="483"/>
      <x:c r="E374" s="483"/>
      <x:c r="F374" s="483"/>
      <x:c r="G374" s="484"/>
      <x:c r="H374" s="484"/>
      <x:c r="I374" s="485"/>
      <x:c r="J374" s="485"/>
      <x:c r="K374" s="484"/>
      <x:c r="L374" s="483"/>
      <x:c r="M374" s="477"/>
      <x:c r="N374" s="112" t="str">
        <x:f>IF(COUNTA($A374:$M374)=0,"",IF(OR(LOWER($F374&amp;"")="subscription",LOWER($F374&amp;"")="membership"),"",IF($G374="","",IF(ISNUMBER(SEARCH("non",LOWER($E374&amp;""))),$G374*0.85,$G374))))</x:f>
      </x:c>
      <x:c r="O374" s="112" t="str">
        <x:f>IF(COUNTA($A374:$M374)=0,"",IF(OR(LOWER($F374&amp;"")="subscription",LOWER($F374&amp;"")="membership"),"",IF(OR($N374="",$I374="",$I374=0),"",IFERROR($N374/$I374,""))))</x:f>
      </x:c>
      <x:c r="P374" s="112" t="str">
        <x:f>IF(COUNTA($A374:$M374)=0,"",IF(OR(LOWER($F374&amp;"")="subscription",LOWER($F374&amp;"")="membership"),"",IF(LOWER($L374&amp;"")="yes",0,IF($K374&lt;&gt;"",$K374,IF($O374&lt;&gt;"",$O374,"")))))</x:f>
      </x:c>
      <x:c r="Q374" s="112" t="str">
        <x:f>IF(COUNTA($A374:$M374)=0,"",IF(OR($U374="Subscription",$U374=""),"",IF($U374="Profit",ROUND($P374-$H374,2),0)))</x:f>
      </x:c>
      <x:c r="R374" s="112" t="str">
        <x:f>IF(COUNTA($A374:$M374)=0,"",IF(OR($U374="Subscription",$U374=""),"",IF($U374="Draw",$H374,0)))</x:f>
      </x:c>
      <x:c r="S374" s="112" t="str">
        <x:f>IF(COUNTA($A374:$M374)=0,"",IF(OR($U374="Subscription",$U374=""),"",IF($U374="Disqualified",$H374,0)))</x:f>
      </x:c>
      <x:c r="T374" s="116" t="str">
        <x:f>IF(COUNTA($A374:$M374)=0,"",IF(OR($U374="Subscription",$U374=""),"",IF($H374=0,0,IF($U374="Profit",$Q374/$H374,IF($U374="Disqualified",-$S374/$H374,0)))))</x:f>
      </x:c>
      <x:c r="U374" s="290" t="str">
        <x:f>IF(COUNTA($A374:$M374)=0,"",IF(OR(LOWER($F374&amp;"")="subscription",LOWER($F374&amp;"")="membership"),"Subscription",IF(LOWER($L374&amp;"")="yes","Disqualified",IF(OR(LOWER($F374&amp;"")="free game",LOWER($F374&amp;"")="free"),IF(AND(ISNUMBER($P374),ISNUMBER($H374),$P374&gt;$H374),"Profit","Free Game"),IF($P374="","",IF(ROUND(IFERROR(VALUE($P374),0)-IFERROR(VALUE($H374),0),2)&gt;0,"Profit","Draw"))))))</x:f>
      </x:c>
      <x:c r="V374" s="144" t="str">
        <x:f>IF(COUNTA($A374:$M374)=0,"",IF(OR($B374="",$C374="",$U374="Subscription"),"",IFERROR(ROUNDUP(($C374-$B374)/7,0),"")))</x:f>
      </x:c>
      <x:c r="W374" s="112" t="str">
        <x:f>IF(COUNTA($A374:$M374)=0,"",IF(OR($U374="Subscription",$U374=""),"",ROUND(IFERROR($Q374,0)-IFERROR($S374,0),2)))</x:f>
      </x:c>
      <x:c r="X374" s="144" t="str">
        <x:f>IF(COUNTA($A374:$M374)=0,"",IF(OR($U374="Subscription",$U374="Free Game",NOT(ISNUMBER($J374)),NOT(ISNUMBER($I374)),$J374=0,$I374=0,$I374&gt;$J374),"",$J374-$I374))</x:f>
      </x:c>
      <x:c r="Y374" s="116" t="str">
        <x:f>IF(COUNTA($A374:$M374)=0,"",IF(OR($U374="Subscription",$U374="Free Game",NOT(ISNUMBER($J374)),$J374=0,$X374=""),"",$X374/$J374))</x:f>
      </x:c>
      <x:c r="Z374" s="118" t="str">
        <x:f>IF(COUNTA($A374:$M374)=0,"",Instructions!$B$29+SUM($W$5:W374))</x:f>
      </x:c>
    </x:row>
    <x:row r="375" ht="30" customHeight="1">
      <x:c r="A375" s="477"/>
      <x:c r="B375" s="482"/>
      <x:c r="C375" s="482"/>
      <x:c r="D375" s="483"/>
      <x:c r="E375" s="483"/>
      <x:c r="F375" s="483"/>
      <x:c r="G375" s="484"/>
      <x:c r="H375" s="484"/>
      <x:c r="I375" s="485"/>
      <x:c r="J375" s="485"/>
      <x:c r="K375" s="484"/>
      <x:c r="L375" s="483"/>
      <x:c r="M375" s="477"/>
      <x:c r="N375" s="112" t="str">
        <x:f>IF(COUNTA($A375:$M375)=0,"",IF(OR(LOWER($F375&amp;"")="subscription",LOWER($F375&amp;"")="membership"),"",IF($G375="","",IF(ISNUMBER(SEARCH("non",LOWER($E375&amp;""))),$G375*0.85,$G375))))</x:f>
      </x:c>
      <x:c r="O375" s="112" t="str">
        <x:f>IF(COUNTA($A375:$M375)=0,"",IF(OR(LOWER($F375&amp;"")="subscription",LOWER($F375&amp;"")="membership"),"",IF(OR($N375="",$I375="",$I375=0),"",IFERROR($N375/$I375,""))))</x:f>
      </x:c>
      <x:c r="P375" s="112" t="str">
        <x:f>IF(COUNTA($A375:$M375)=0,"",IF(OR(LOWER($F375&amp;"")="subscription",LOWER($F375&amp;"")="membership"),"",IF(LOWER($L375&amp;"")="yes",0,IF($K375&lt;&gt;"",$K375,IF($O375&lt;&gt;"",$O375,"")))))</x:f>
      </x:c>
      <x:c r="Q375" s="112" t="str">
        <x:f>IF(COUNTA($A375:$M375)=0,"",IF(OR($U375="Subscription",$U375=""),"",IF($U375="Profit",ROUND($P375-$H375,2),0)))</x:f>
      </x:c>
      <x:c r="R375" s="112" t="str">
        <x:f>IF(COUNTA($A375:$M375)=0,"",IF(OR($U375="Subscription",$U375=""),"",IF($U375="Draw",$H375,0)))</x:f>
      </x:c>
      <x:c r="S375" s="112" t="str">
        <x:f>IF(COUNTA($A375:$M375)=0,"",IF(OR($U375="Subscription",$U375=""),"",IF($U375="Disqualified",$H375,0)))</x:f>
      </x:c>
      <x:c r="T375" s="116" t="str">
        <x:f>IF(COUNTA($A375:$M375)=0,"",IF(OR($U375="Subscription",$U375=""),"",IF($H375=0,0,IF($U375="Profit",$Q375/$H375,IF($U375="Disqualified",-$S375/$H375,0)))))</x:f>
      </x:c>
      <x:c r="U375" s="290" t="str">
        <x:f>IF(COUNTA($A375:$M375)=0,"",IF(OR(LOWER($F375&amp;"")="subscription",LOWER($F375&amp;"")="membership"),"Subscription",IF(LOWER($L375&amp;"")="yes","Disqualified",IF(OR(LOWER($F375&amp;"")="free game",LOWER($F375&amp;"")="free"),IF(AND(ISNUMBER($P375),ISNUMBER($H375),$P375&gt;$H375),"Profit","Free Game"),IF($P375="","",IF(ROUND(IFERROR(VALUE($P375),0)-IFERROR(VALUE($H375),0),2)&gt;0,"Profit","Draw"))))))</x:f>
      </x:c>
      <x:c r="V375" s="144" t="str">
        <x:f>IF(COUNTA($A375:$M375)=0,"",IF(OR($B375="",$C375="",$U375="Subscription"),"",IFERROR(ROUNDUP(($C375-$B375)/7,0),"")))</x:f>
      </x:c>
      <x:c r="W375" s="112" t="str">
        <x:f>IF(COUNTA($A375:$M375)=0,"",IF(OR($U375="Subscription",$U375=""),"",ROUND(IFERROR($Q375,0)-IFERROR($S375,0),2)))</x:f>
      </x:c>
      <x:c r="X375" s="144" t="str">
        <x:f>IF(COUNTA($A375:$M375)=0,"",IF(OR($U375="Subscription",$U375="Free Game",NOT(ISNUMBER($J375)),NOT(ISNUMBER($I375)),$J375=0,$I375=0,$I375&gt;$J375),"",$J375-$I375))</x:f>
      </x:c>
      <x:c r="Y375" s="116" t="str">
        <x:f>IF(COUNTA($A375:$M375)=0,"",IF(OR($U375="Subscription",$U375="Free Game",NOT(ISNUMBER($J375)),$J375=0,$X375=""),"",$X375/$J375))</x:f>
      </x:c>
      <x:c r="Z375" s="118" t="str">
        <x:f>IF(COUNTA($A375:$M375)=0,"",Instructions!$B$29+SUM($W$5:W375))</x:f>
      </x:c>
    </x:row>
    <x:row r="376" ht="30" customHeight="1">
      <x:c r="A376" s="477"/>
      <x:c r="B376" s="482"/>
      <x:c r="C376" s="482"/>
      <x:c r="D376" s="483"/>
      <x:c r="E376" s="483"/>
      <x:c r="F376" s="483"/>
      <x:c r="G376" s="484"/>
      <x:c r="H376" s="484"/>
      <x:c r="I376" s="485"/>
      <x:c r="J376" s="485"/>
      <x:c r="K376" s="484"/>
      <x:c r="L376" s="483"/>
      <x:c r="M376" s="477"/>
      <x:c r="N376" s="112" t="str">
        <x:f>IF(COUNTA($A376:$M376)=0,"",IF(OR(LOWER($F376&amp;"")="subscription",LOWER($F376&amp;"")="membership"),"",IF($G376="","",IF(ISNUMBER(SEARCH("non",LOWER($E376&amp;""))),$G376*0.85,$G376))))</x:f>
      </x:c>
      <x:c r="O376" s="112" t="str">
        <x:f>IF(COUNTA($A376:$M376)=0,"",IF(OR(LOWER($F376&amp;"")="subscription",LOWER($F376&amp;"")="membership"),"",IF(OR($N376="",$I376="",$I376=0),"",IFERROR($N376/$I376,""))))</x:f>
      </x:c>
      <x:c r="P376" s="112" t="str">
        <x:f>IF(COUNTA($A376:$M376)=0,"",IF(OR(LOWER($F376&amp;"")="subscription",LOWER($F376&amp;"")="membership"),"",IF(LOWER($L376&amp;"")="yes",0,IF($K376&lt;&gt;"",$K376,IF($O376&lt;&gt;"",$O376,"")))))</x:f>
      </x:c>
      <x:c r="Q376" s="112" t="str">
        <x:f>IF(COUNTA($A376:$M376)=0,"",IF(OR($U376="Subscription",$U376=""),"",IF($U376="Profit",ROUND($P376-$H376,2),0)))</x:f>
      </x:c>
      <x:c r="R376" s="112" t="str">
        <x:f>IF(COUNTA($A376:$M376)=0,"",IF(OR($U376="Subscription",$U376=""),"",IF($U376="Draw",$H376,0)))</x:f>
      </x:c>
      <x:c r="S376" s="112" t="str">
        <x:f>IF(COUNTA($A376:$M376)=0,"",IF(OR($U376="Subscription",$U376=""),"",IF($U376="Disqualified",$H376,0)))</x:f>
      </x:c>
      <x:c r="T376" s="116" t="str">
        <x:f>IF(COUNTA($A376:$M376)=0,"",IF(OR($U376="Subscription",$U376=""),"",IF($H376=0,0,IF($U376="Profit",$Q376/$H376,IF($U376="Disqualified",-$S376/$H376,0)))))</x:f>
      </x:c>
      <x:c r="U376" s="290" t="str">
        <x:f>IF(COUNTA($A376:$M376)=0,"",IF(OR(LOWER($F376&amp;"")="subscription",LOWER($F376&amp;"")="membership"),"Subscription",IF(LOWER($L376&amp;"")="yes","Disqualified",IF(OR(LOWER($F376&amp;"")="free game",LOWER($F376&amp;"")="free"),IF(AND(ISNUMBER($P376),ISNUMBER($H376),$P376&gt;$H376),"Profit","Free Game"),IF($P376="","",IF(ROUND(IFERROR(VALUE($P376),0)-IFERROR(VALUE($H376),0),2)&gt;0,"Profit","Draw"))))))</x:f>
      </x:c>
      <x:c r="V376" s="144" t="str">
        <x:f>IF(COUNTA($A376:$M376)=0,"",IF(OR($B376="",$C376="",$U376="Subscription"),"",IFERROR(ROUNDUP(($C376-$B376)/7,0),"")))</x:f>
      </x:c>
      <x:c r="W376" s="112" t="str">
        <x:f>IF(COUNTA($A376:$M376)=0,"",IF(OR($U376="Subscription",$U376=""),"",ROUND(IFERROR($Q376,0)-IFERROR($S376,0),2)))</x:f>
      </x:c>
      <x:c r="X376" s="144" t="str">
        <x:f>IF(COUNTA($A376:$M376)=0,"",IF(OR($U376="Subscription",$U376="Free Game",NOT(ISNUMBER($J376)),NOT(ISNUMBER($I376)),$J376=0,$I376=0,$I376&gt;$J376),"",$J376-$I376))</x:f>
      </x:c>
      <x:c r="Y376" s="116" t="str">
        <x:f>IF(COUNTA($A376:$M376)=0,"",IF(OR($U376="Subscription",$U376="Free Game",NOT(ISNUMBER($J376)),$J376=0,$X376=""),"",$X376/$J376))</x:f>
      </x:c>
      <x:c r="Z376" s="118" t="str">
        <x:f>IF(COUNTA($A376:$M376)=0,"",Instructions!$B$29+SUM($W$5:W376))</x:f>
      </x:c>
    </x:row>
    <x:row r="377" ht="30" customHeight="1">
      <x:c r="A377" s="477"/>
      <x:c r="B377" s="482"/>
      <x:c r="C377" s="482"/>
      <x:c r="D377" s="483"/>
      <x:c r="E377" s="483"/>
      <x:c r="F377" s="483"/>
      <x:c r="G377" s="484"/>
      <x:c r="H377" s="484"/>
      <x:c r="I377" s="485"/>
      <x:c r="J377" s="485"/>
      <x:c r="K377" s="484"/>
      <x:c r="L377" s="483"/>
      <x:c r="M377" s="477"/>
      <x:c r="N377" s="112" t="str">
        <x:f>IF(COUNTA($A377:$M377)=0,"",IF(OR(LOWER($F377&amp;"")="subscription",LOWER($F377&amp;"")="membership"),"",IF($G377="","",IF(ISNUMBER(SEARCH("non",LOWER($E377&amp;""))),$G377*0.85,$G377))))</x:f>
      </x:c>
      <x:c r="O377" s="112" t="str">
        <x:f>IF(COUNTA($A377:$M377)=0,"",IF(OR(LOWER($F377&amp;"")="subscription",LOWER($F377&amp;"")="membership"),"",IF(OR($N377="",$I377="",$I377=0),"",IFERROR($N377/$I377,""))))</x:f>
      </x:c>
      <x:c r="P377" s="112" t="str">
        <x:f>IF(COUNTA($A377:$M377)=0,"",IF(OR(LOWER($F377&amp;"")="subscription",LOWER($F377&amp;"")="membership"),"",IF(LOWER($L377&amp;"")="yes",0,IF($K377&lt;&gt;"",$K377,IF($O377&lt;&gt;"",$O377,"")))))</x:f>
      </x:c>
      <x:c r="Q377" s="112" t="str">
        <x:f>IF(COUNTA($A377:$M377)=0,"",IF(OR($U377="Subscription",$U377=""),"",IF($U377="Profit",ROUND($P377-$H377,2),0)))</x:f>
      </x:c>
      <x:c r="R377" s="112" t="str">
        <x:f>IF(COUNTA($A377:$M377)=0,"",IF(OR($U377="Subscription",$U377=""),"",IF($U377="Draw",$H377,0)))</x:f>
      </x:c>
      <x:c r="S377" s="112" t="str">
        <x:f>IF(COUNTA($A377:$M377)=0,"",IF(OR($U377="Subscription",$U377=""),"",IF($U377="Disqualified",$H377,0)))</x:f>
      </x:c>
      <x:c r="T377" s="116" t="str">
        <x:f>IF(COUNTA($A377:$M377)=0,"",IF(OR($U377="Subscription",$U377=""),"",IF($H377=0,0,IF($U377="Profit",$Q377/$H377,IF($U377="Disqualified",-$S377/$H377,0)))))</x:f>
      </x:c>
      <x:c r="U377" s="290" t="str">
        <x:f>IF(COUNTA($A377:$M377)=0,"",IF(OR(LOWER($F377&amp;"")="subscription",LOWER($F377&amp;"")="membership"),"Subscription",IF(LOWER($L377&amp;"")="yes","Disqualified",IF(OR(LOWER($F377&amp;"")="free game",LOWER($F377&amp;"")="free"),IF(AND(ISNUMBER($P377),ISNUMBER($H377),$P377&gt;$H377),"Profit","Free Game"),IF($P377="","",IF(ROUND(IFERROR(VALUE($P377),0)-IFERROR(VALUE($H377),0),2)&gt;0,"Profit","Draw"))))))</x:f>
      </x:c>
      <x:c r="V377" s="144" t="str">
        <x:f>IF(COUNTA($A377:$M377)=0,"",IF(OR($B377="",$C377="",$U377="Subscription"),"",IFERROR(ROUNDUP(($C377-$B377)/7,0),"")))</x:f>
      </x:c>
      <x:c r="W377" s="112" t="str">
        <x:f>IF(COUNTA($A377:$M377)=0,"",IF(OR($U377="Subscription",$U377=""),"",ROUND(IFERROR($Q377,0)-IFERROR($S377,0),2)))</x:f>
      </x:c>
      <x:c r="X377" s="144" t="str">
        <x:f>IF(COUNTA($A377:$M377)=0,"",IF(OR($U377="Subscription",$U377="Free Game",NOT(ISNUMBER($J377)),NOT(ISNUMBER($I377)),$J377=0,$I377=0,$I377&gt;$J377),"",$J377-$I377))</x:f>
      </x:c>
      <x:c r="Y377" s="116" t="str">
        <x:f>IF(COUNTA($A377:$M377)=0,"",IF(OR($U377="Subscription",$U377="Free Game",NOT(ISNUMBER($J377)),$J377=0,$X377=""),"",$X377/$J377))</x:f>
      </x:c>
      <x:c r="Z377" s="118" t="str">
        <x:f>IF(COUNTA($A377:$M377)=0,"",Instructions!$B$29+SUM($W$5:W377))</x:f>
      </x:c>
    </x:row>
    <x:row r="378" ht="30" customHeight="1">
      <x:c r="A378" s="477"/>
      <x:c r="B378" s="482"/>
      <x:c r="C378" s="482"/>
      <x:c r="D378" s="483"/>
      <x:c r="E378" s="483"/>
      <x:c r="F378" s="483"/>
      <x:c r="G378" s="484"/>
      <x:c r="H378" s="484"/>
      <x:c r="I378" s="485"/>
      <x:c r="J378" s="485"/>
      <x:c r="K378" s="484"/>
      <x:c r="L378" s="483"/>
      <x:c r="M378" s="477"/>
      <x:c r="N378" s="112" t="str">
        <x:f>IF(COUNTA($A378:$M378)=0,"",IF(OR(LOWER($F378&amp;"")="subscription",LOWER($F378&amp;"")="membership"),"",IF($G378="","",IF(ISNUMBER(SEARCH("non",LOWER($E378&amp;""))),$G378*0.85,$G378))))</x:f>
      </x:c>
      <x:c r="O378" s="112" t="str">
        <x:f>IF(COUNTA($A378:$M378)=0,"",IF(OR(LOWER($F378&amp;"")="subscription",LOWER($F378&amp;"")="membership"),"",IF(OR($N378="",$I378="",$I378=0),"",IFERROR($N378/$I378,""))))</x:f>
      </x:c>
      <x:c r="P378" s="112" t="str">
        <x:f>IF(COUNTA($A378:$M378)=0,"",IF(OR(LOWER($F378&amp;"")="subscription",LOWER($F378&amp;"")="membership"),"",IF(LOWER($L378&amp;"")="yes",0,IF($K378&lt;&gt;"",$K378,IF($O378&lt;&gt;"",$O378,"")))))</x:f>
      </x:c>
      <x:c r="Q378" s="112" t="str">
        <x:f>IF(COUNTA($A378:$M378)=0,"",IF(OR($U378="Subscription",$U378=""),"",IF($U378="Profit",ROUND($P378-$H378,2),0)))</x:f>
      </x:c>
      <x:c r="R378" s="112" t="str">
        <x:f>IF(COUNTA($A378:$M378)=0,"",IF(OR($U378="Subscription",$U378=""),"",IF($U378="Draw",$H378,0)))</x:f>
      </x:c>
      <x:c r="S378" s="112" t="str">
        <x:f>IF(COUNTA($A378:$M378)=0,"",IF(OR($U378="Subscription",$U378=""),"",IF($U378="Disqualified",$H378,0)))</x:f>
      </x:c>
      <x:c r="T378" s="116" t="str">
        <x:f>IF(COUNTA($A378:$M378)=0,"",IF(OR($U378="Subscription",$U378=""),"",IF($H378=0,0,IF($U378="Profit",$Q378/$H378,IF($U378="Disqualified",-$S378/$H378,0)))))</x:f>
      </x:c>
      <x:c r="U378" s="290" t="str">
        <x:f>IF(COUNTA($A378:$M378)=0,"",IF(OR(LOWER($F378&amp;"")="subscription",LOWER($F378&amp;"")="membership"),"Subscription",IF(LOWER($L378&amp;"")="yes","Disqualified",IF(OR(LOWER($F378&amp;"")="free game",LOWER($F378&amp;"")="free"),IF(AND(ISNUMBER($P378),ISNUMBER($H378),$P378&gt;$H378),"Profit","Free Game"),IF($P378="","",IF(ROUND(IFERROR(VALUE($P378),0)-IFERROR(VALUE($H378),0),2)&gt;0,"Profit","Draw"))))))</x:f>
      </x:c>
      <x:c r="V378" s="144" t="str">
        <x:f>IF(COUNTA($A378:$M378)=0,"",IF(OR($B378="",$C378="",$U378="Subscription"),"",IFERROR(ROUNDUP(($C378-$B378)/7,0),"")))</x:f>
      </x:c>
      <x:c r="W378" s="112" t="str">
        <x:f>IF(COUNTA($A378:$M378)=0,"",IF(OR($U378="Subscription",$U378=""),"",ROUND(IFERROR($Q378,0)-IFERROR($S378,0),2)))</x:f>
      </x:c>
      <x:c r="X378" s="144" t="str">
        <x:f>IF(COUNTA($A378:$M378)=0,"",IF(OR($U378="Subscription",$U378="Free Game",NOT(ISNUMBER($J378)),NOT(ISNUMBER($I378)),$J378=0,$I378=0,$I378&gt;$J378),"",$J378-$I378))</x:f>
      </x:c>
      <x:c r="Y378" s="116" t="str">
        <x:f>IF(COUNTA($A378:$M378)=0,"",IF(OR($U378="Subscription",$U378="Free Game",NOT(ISNUMBER($J378)),$J378=0,$X378=""),"",$X378/$J378))</x:f>
      </x:c>
      <x:c r="Z378" s="118" t="str">
        <x:f>IF(COUNTA($A378:$M378)=0,"",Instructions!$B$29+SUM($W$5:W378))</x:f>
      </x:c>
    </x:row>
    <x:row r="379" ht="30" customHeight="1">
      <x:c r="A379" s="477"/>
      <x:c r="B379" s="482"/>
      <x:c r="C379" s="482"/>
      <x:c r="D379" s="483"/>
      <x:c r="E379" s="483"/>
      <x:c r="F379" s="483"/>
      <x:c r="G379" s="484"/>
      <x:c r="H379" s="484"/>
      <x:c r="I379" s="485"/>
      <x:c r="J379" s="485"/>
      <x:c r="K379" s="484"/>
      <x:c r="L379" s="483"/>
      <x:c r="M379" s="477"/>
      <x:c r="N379" s="112" t="str">
        <x:f>IF(COUNTA($A379:$M379)=0,"",IF(OR(LOWER($F379&amp;"")="subscription",LOWER($F379&amp;"")="membership"),"",IF($G379="","",IF(ISNUMBER(SEARCH("non",LOWER($E379&amp;""))),$G379*0.85,$G379))))</x:f>
      </x:c>
      <x:c r="O379" s="112" t="str">
        <x:f>IF(COUNTA($A379:$M379)=0,"",IF(OR(LOWER($F379&amp;"")="subscription",LOWER($F379&amp;"")="membership"),"",IF(OR($N379="",$I379="",$I379=0),"",IFERROR($N379/$I379,""))))</x:f>
      </x:c>
      <x:c r="P379" s="112" t="str">
        <x:f>IF(COUNTA($A379:$M379)=0,"",IF(OR(LOWER($F379&amp;"")="subscription",LOWER($F379&amp;"")="membership"),"",IF(LOWER($L379&amp;"")="yes",0,IF($K379&lt;&gt;"",$K379,IF($O379&lt;&gt;"",$O379,"")))))</x:f>
      </x:c>
      <x:c r="Q379" s="112" t="str">
        <x:f>IF(COUNTA($A379:$M379)=0,"",IF(OR($U379="Subscription",$U379=""),"",IF($U379="Profit",ROUND($P379-$H379,2),0)))</x:f>
      </x:c>
      <x:c r="R379" s="112" t="str">
        <x:f>IF(COUNTA($A379:$M379)=0,"",IF(OR($U379="Subscription",$U379=""),"",IF($U379="Draw",$H379,0)))</x:f>
      </x:c>
      <x:c r="S379" s="112" t="str">
        <x:f>IF(COUNTA($A379:$M379)=0,"",IF(OR($U379="Subscription",$U379=""),"",IF($U379="Disqualified",$H379,0)))</x:f>
      </x:c>
      <x:c r="T379" s="116" t="str">
        <x:f>IF(COUNTA($A379:$M379)=0,"",IF(OR($U379="Subscription",$U379=""),"",IF($H379=0,0,IF($U379="Profit",$Q379/$H379,IF($U379="Disqualified",-$S379/$H379,0)))))</x:f>
      </x:c>
      <x:c r="U379" s="290" t="str">
        <x:f>IF(COUNTA($A379:$M379)=0,"",IF(OR(LOWER($F379&amp;"")="subscription",LOWER($F379&amp;"")="membership"),"Subscription",IF(LOWER($L379&amp;"")="yes","Disqualified",IF(OR(LOWER($F379&amp;"")="free game",LOWER($F379&amp;"")="free"),IF(AND(ISNUMBER($P379),ISNUMBER($H379),$P379&gt;$H379),"Profit","Free Game"),IF($P379="","",IF(ROUND(IFERROR(VALUE($P379),0)-IFERROR(VALUE($H379),0),2)&gt;0,"Profit","Draw"))))))</x:f>
      </x:c>
      <x:c r="V379" s="144" t="str">
        <x:f>IF(COUNTA($A379:$M379)=0,"",IF(OR($B379="",$C379="",$U379="Subscription"),"",IFERROR(ROUNDUP(($C379-$B379)/7,0),"")))</x:f>
      </x:c>
      <x:c r="W379" s="112" t="str">
        <x:f>IF(COUNTA($A379:$M379)=0,"",IF(OR($U379="Subscription",$U379=""),"",ROUND(IFERROR($Q379,0)-IFERROR($S379,0),2)))</x:f>
      </x:c>
      <x:c r="X379" s="144" t="str">
        <x:f>IF(COUNTA($A379:$M379)=0,"",IF(OR($U379="Subscription",$U379="Free Game",NOT(ISNUMBER($J379)),NOT(ISNUMBER($I379)),$J379=0,$I379=0,$I379&gt;$J379),"",$J379-$I379))</x:f>
      </x:c>
      <x:c r="Y379" s="116" t="str">
        <x:f>IF(COUNTA($A379:$M379)=0,"",IF(OR($U379="Subscription",$U379="Free Game",NOT(ISNUMBER($J379)),$J379=0,$X379=""),"",$X379/$J379))</x:f>
      </x:c>
      <x:c r="Z379" s="118" t="str">
        <x:f>IF(COUNTA($A379:$M379)=0,"",Instructions!$B$29+SUM($W$5:W379))</x:f>
      </x:c>
    </x:row>
    <x:row r="380" ht="30" customHeight="1">
      <x:c r="A380" s="477"/>
      <x:c r="B380" s="482"/>
      <x:c r="C380" s="482"/>
      <x:c r="D380" s="483"/>
      <x:c r="E380" s="483"/>
      <x:c r="F380" s="483"/>
      <x:c r="G380" s="484"/>
      <x:c r="H380" s="484"/>
      <x:c r="I380" s="485"/>
      <x:c r="J380" s="485"/>
      <x:c r="K380" s="484"/>
      <x:c r="L380" s="483"/>
      <x:c r="M380" s="477"/>
      <x:c r="N380" s="112" t="str">
        <x:f>IF(COUNTA($A380:$M380)=0,"",IF(OR(LOWER($F380&amp;"")="subscription",LOWER($F380&amp;"")="membership"),"",IF($G380="","",IF(ISNUMBER(SEARCH("non",LOWER($E380&amp;""))),$G380*0.85,$G380))))</x:f>
      </x:c>
      <x:c r="O380" s="112" t="str">
        <x:f>IF(COUNTA($A380:$M380)=0,"",IF(OR(LOWER($F380&amp;"")="subscription",LOWER($F380&amp;"")="membership"),"",IF(OR($N380="",$I380="",$I380=0),"",IFERROR($N380/$I380,""))))</x:f>
      </x:c>
      <x:c r="P380" s="112" t="str">
        <x:f>IF(COUNTA($A380:$M380)=0,"",IF(OR(LOWER($F380&amp;"")="subscription",LOWER($F380&amp;"")="membership"),"",IF(LOWER($L380&amp;"")="yes",0,IF($K380&lt;&gt;"",$K380,IF($O380&lt;&gt;"",$O380,"")))))</x:f>
      </x:c>
      <x:c r="Q380" s="112" t="str">
        <x:f>IF(COUNTA($A380:$M380)=0,"",IF(OR($U380="Subscription",$U380=""),"",IF($U380="Profit",ROUND($P380-$H380,2),0)))</x:f>
      </x:c>
      <x:c r="R380" s="112" t="str">
        <x:f>IF(COUNTA($A380:$M380)=0,"",IF(OR($U380="Subscription",$U380=""),"",IF($U380="Draw",$H380,0)))</x:f>
      </x:c>
      <x:c r="S380" s="112" t="str">
        <x:f>IF(COUNTA($A380:$M380)=0,"",IF(OR($U380="Subscription",$U380=""),"",IF($U380="Disqualified",$H380,0)))</x:f>
      </x:c>
      <x:c r="T380" s="116" t="str">
        <x:f>IF(COUNTA($A380:$M380)=0,"",IF(OR($U380="Subscription",$U380=""),"",IF($H380=0,0,IF($U380="Profit",$Q380/$H380,IF($U380="Disqualified",-$S380/$H380,0)))))</x:f>
      </x:c>
      <x:c r="U380" s="290" t="str">
        <x:f>IF(COUNTA($A380:$M380)=0,"",IF(OR(LOWER($F380&amp;"")="subscription",LOWER($F380&amp;"")="membership"),"Subscription",IF(LOWER($L380&amp;"")="yes","Disqualified",IF(OR(LOWER($F380&amp;"")="free game",LOWER($F380&amp;"")="free"),IF(AND(ISNUMBER($P380),ISNUMBER($H380),$P380&gt;$H380),"Profit","Free Game"),IF($P380="","",IF(ROUND(IFERROR(VALUE($P380),0)-IFERROR(VALUE($H380),0),2)&gt;0,"Profit","Draw"))))))</x:f>
      </x:c>
      <x:c r="V380" s="144" t="str">
        <x:f>IF(COUNTA($A380:$M380)=0,"",IF(OR($B380="",$C380="",$U380="Subscription"),"",IFERROR(ROUNDUP(($C380-$B380)/7,0),"")))</x:f>
      </x:c>
      <x:c r="W380" s="112" t="str">
        <x:f>IF(COUNTA($A380:$M380)=0,"",IF(OR($U380="Subscription",$U380=""),"",ROUND(IFERROR($Q380,0)-IFERROR($S380,0),2)))</x:f>
      </x:c>
      <x:c r="X380" s="144" t="str">
        <x:f>IF(COUNTA($A380:$M380)=0,"",IF(OR($U380="Subscription",$U380="Free Game",NOT(ISNUMBER($J380)),NOT(ISNUMBER($I380)),$J380=0,$I380=0,$I380&gt;$J380),"",$J380-$I380))</x:f>
      </x:c>
      <x:c r="Y380" s="116" t="str">
        <x:f>IF(COUNTA($A380:$M380)=0,"",IF(OR($U380="Subscription",$U380="Free Game",NOT(ISNUMBER($J380)),$J380=0,$X380=""),"",$X380/$J380))</x:f>
      </x:c>
      <x:c r="Z380" s="118" t="str">
        <x:f>IF(COUNTA($A380:$M380)=0,"",Instructions!$B$29+SUM($W$5:W380))</x:f>
      </x:c>
    </x:row>
    <x:row r="381" ht="30" customHeight="1">
      <x:c r="A381" s="477"/>
      <x:c r="B381" s="482"/>
      <x:c r="C381" s="482"/>
      <x:c r="D381" s="483"/>
      <x:c r="E381" s="483"/>
      <x:c r="F381" s="483"/>
      <x:c r="G381" s="484"/>
      <x:c r="H381" s="484"/>
      <x:c r="I381" s="485"/>
      <x:c r="J381" s="485"/>
      <x:c r="K381" s="484"/>
      <x:c r="L381" s="483"/>
      <x:c r="M381" s="477"/>
      <x:c r="N381" s="112" t="str">
        <x:f>IF(COUNTA($A381:$M381)=0,"",IF(OR(LOWER($F381&amp;"")="subscription",LOWER($F381&amp;"")="membership"),"",IF($G381="","",IF(ISNUMBER(SEARCH("non",LOWER($E381&amp;""))),$G381*0.85,$G381))))</x:f>
      </x:c>
      <x:c r="O381" s="112" t="str">
        <x:f>IF(COUNTA($A381:$M381)=0,"",IF(OR(LOWER($F381&amp;"")="subscription",LOWER($F381&amp;"")="membership"),"",IF(OR($N381="",$I381="",$I381=0),"",IFERROR($N381/$I381,""))))</x:f>
      </x:c>
      <x:c r="P381" s="112" t="str">
        <x:f>IF(COUNTA($A381:$M381)=0,"",IF(OR(LOWER($F381&amp;"")="subscription",LOWER($F381&amp;"")="membership"),"",IF(LOWER($L381&amp;"")="yes",0,IF($K381&lt;&gt;"",$K381,IF($O381&lt;&gt;"",$O381,"")))))</x:f>
      </x:c>
      <x:c r="Q381" s="112" t="str">
        <x:f>IF(COUNTA($A381:$M381)=0,"",IF(OR($U381="Subscription",$U381=""),"",IF($U381="Profit",ROUND($P381-$H381,2),0)))</x:f>
      </x:c>
      <x:c r="R381" s="112" t="str">
        <x:f>IF(COUNTA($A381:$M381)=0,"",IF(OR($U381="Subscription",$U381=""),"",IF($U381="Draw",$H381,0)))</x:f>
      </x:c>
      <x:c r="S381" s="112" t="str">
        <x:f>IF(COUNTA($A381:$M381)=0,"",IF(OR($U381="Subscription",$U381=""),"",IF($U381="Disqualified",$H381,0)))</x:f>
      </x:c>
      <x:c r="T381" s="116" t="str">
        <x:f>IF(COUNTA($A381:$M381)=0,"",IF(OR($U381="Subscription",$U381=""),"",IF($H381=0,0,IF($U381="Profit",$Q381/$H381,IF($U381="Disqualified",-$S381/$H381,0)))))</x:f>
      </x:c>
      <x:c r="U381" s="290" t="str">
        <x:f>IF(COUNTA($A381:$M381)=0,"",IF(OR(LOWER($F381&amp;"")="subscription",LOWER($F381&amp;"")="membership"),"Subscription",IF(LOWER($L381&amp;"")="yes","Disqualified",IF(OR(LOWER($F381&amp;"")="free game",LOWER($F381&amp;"")="free"),IF(AND(ISNUMBER($P381),ISNUMBER($H381),$P381&gt;$H381),"Profit","Free Game"),IF($P381="","",IF(ROUND(IFERROR(VALUE($P381),0)-IFERROR(VALUE($H381),0),2)&gt;0,"Profit","Draw"))))))</x:f>
      </x:c>
      <x:c r="V381" s="144" t="str">
        <x:f>IF(COUNTA($A381:$M381)=0,"",IF(OR($B381="",$C381="",$U381="Subscription"),"",IFERROR(ROUNDUP(($C381-$B381)/7,0),"")))</x:f>
      </x:c>
      <x:c r="W381" s="112" t="str">
        <x:f>IF(COUNTA($A381:$M381)=0,"",IF(OR($U381="Subscription",$U381=""),"",ROUND(IFERROR($Q381,0)-IFERROR($S381,0),2)))</x:f>
      </x:c>
      <x:c r="X381" s="144" t="str">
        <x:f>IF(COUNTA($A381:$M381)=0,"",IF(OR($U381="Subscription",$U381="Free Game",NOT(ISNUMBER($J381)),NOT(ISNUMBER($I381)),$J381=0,$I381=0,$I381&gt;$J381),"",$J381-$I381))</x:f>
      </x:c>
      <x:c r="Y381" s="116" t="str">
        <x:f>IF(COUNTA($A381:$M381)=0,"",IF(OR($U381="Subscription",$U381="Free Game",NOT(ISNUMBER($J381)),$J381=0,$X381=""),"",$X381/$J381))</x:f>
      </x:c>
      <x:c r="Z381" s="118" t="str">
        <x:f>IF(COUNTA($A381:$M381)=0,"",Instructions!$B$29+SUM($W$5:W381))</x:f>
      </x:c>
    </x:row>
    <x:row r="382" ht="30" customHeight="1">
      <x:c r="A382" s="477"/>
      <x:c r="B382" s="482"/>
      <x:c r="C382" s="482"/>
      <x:c r="D382" s="483"/>
      <x:c r="E382" s="483"/>
      <x:c r="F382" s="483"/>
      <x:c r="G382" s="484"/>
      <x:c r="H382" s="484"/>
      <x:c r="I382" s="485"/>
      <x:c r="J382" s="485"/>
      <x:c r="K382" s="484"/>
      <x:c r="L382" s="483"/>
      <x:c r="M382" s="477"/>
      <x:c r="N382" s="112" t="str">
        <x:f>IF(COUNTA($A382:$M382)=0,"",IF(OR(LOWER($F382&amp;"")="subscription",LOWER($F382&amp;"")="membership"),"",IF($G382="","",IF(ISNUMBER(SEARCH("non",LOWER($E382&amp;""))),$G382*0.85,$G382))))</x:f>
      </x:c>
      <x:c r="O382" s="112" t="str">
        <x:f>IF(COUNTA($A382:$M382)=0,"",IF(OR(LOWER($F382&amp;"")="subscription",LOWER($F382&amp;"")="membership"),"",IF(OR($N382="",$I382="",$I382=0),"",IFERROR($N382/$I382,""))))</x:f>
      </x:c>
      <x:c r="P382" s="112" t="str">
        <x:f>IF(COUNTA($A382:$M382)=0,"",IF(OR(LOWER($F382&amp;"")="subscription",LOWER($F382&amp;"")="membership"),"",IF(LOWER($L382&amp;"")="yes",0,IF($K382&lt;&gt;"",$K382,IF($O382&lt;&gt;"",$O382,"")))))</x:f>
      </x:c>
      <x:c r="Q382" s="112" t="str">
        <x:f>IF(COUNTA($A382:$M382)=0,"",IF(OR($U382="Subscription",$U382=""),"",IF($U382="Profit",ROUND($P382-$H382,2),0)))</x:f>
      </x:c>
      <x:c r="R382" s="112" t="str">
        <x:f>IF(COUNTA($A382:$M382)=0,"",IF(OR($U382="Subscription",$U382=""),"",IF($U382="Draw",$H382,0)))</x:f>
      </x:c>
      <x:c r="S382" s="112" t="str">
        <x:f>IF(COUNTA($A382:$M382)=0,"",IF(OR($U382="Subscription",$U382=""),"",IF($U382="Disqualified",$H382,0)))</x:f>
      </x:c>
      <x:c r="T382" s="116" t="str">
        <x:f>IF(COUNTA($A382:$M382)=0,"",IF(OR($U382="Subscription",$U382=""),"",IF($H382=0,0,IF($U382="Profit",$Q382/$H382,IF($U382="Disqualified",-$S382/$H382,0)))))</x:f>
      </x:c>
      <x:c r="U382" s="290" t="str">
        <x:f>IF(COUNTA($A382:$M382)=0,"",IF(OR(LOWER($F382&amp;"")="subscription",LOWER($F382&amp;"")="membership"),"Subscription",IF(LOWER($L382&amp;"")="yes","Disqualified",IF(OR(LOWER($F382&amp;"")="free game",LOWER($F382&amp;"")="free"),IF(AND(ISNUMBER($P382),ISNUMBER($H382),$P382&gt;$H382),"Profit","Free Game"),IF($P382="","",IF(ROUND(IFERROR(VALUE($P382),0)-IFERROR(VALUE($H382),0),2)&gt;0,"Profit","Draw"))))))</x:f>
      </x:c>
      <x:c r="V382" s="144" t="str">
        <x:f>IF(COUNTA($A382:$M382)=0,"",IF(OR($B382="",$C382="",$U382="Subscription"),"",IFERROR(ROUNDUP(($C382-$B382)/7,0),"")))</x:f>
      </x:c>
      <x:c r="W382" s="112" t="str">
        <x:f>IF(COUNTA($A382:$M382)=0,"",IF(OR($U382="Subscription",$U382=""),"",ROUND(IFERROR($Q382,0)-IFERROR($S382,0),2)))</x:f>
      </x:c>
      <x:c r="X382" s="144" t="str">
        <x:f>IF(COUNTA($A382:$M382)=0,"",IF(OR($U382="Subscription",$U382="Free Game",NOT(ISNUMBER($J382)),NOT(ISNUMBER($I382)),$J382=0,$I382=0,$I382&gt;$J382),"",$J382-$I382))</x:f>
      </x:c>
      <x:c r="Y382" s="116" t="str">
        <x:f>IF(COUNTA($A382:$M382)=0,"",IF(OR($U382="Subscription",$U382="Free Game",NOT(ISNUMBER($J382)),$J382=0,$X382=""),"",$X382/$J382))</x:f>
      </x:c>
      <x:c r="Z382" s="118" t="str">
        <x:f>IF(COUNTA($A382:$M382)=0,"",Instructions!$B$29+SUM($W$5:W382))</x:f>
      </x:c>
    </x:row>
    <x:row r="383" ht="30" customHeight="1">
      <x:c r="A383" s="477"/>
      <x:c r="B383" s="482"/>
      <x:c r="C383" s="482"/>
      <x:c r="D383" s="483"/>
      <x:c r="E383" s="483"/>
      <x:c r="F383" s="483"/>
      <x:c r="G383" s="484"/>
      <x:c r="H383" s="484"/>
      <x:c r="I383" s="485"/>
      <x:c r="J383" s="485"/>
      <x:c r="K383" s="484"/>
      <x:c r="L383" s="483"/>
      <x:c r="M383" s="477"/>
      <x:c r="N383" s="112" t="str">
        <x:f>IF(COUNTA($A383:$M383)=0,"",IF(OR(LOWER($F383&amp;"")="subscription",LOWER($F383&amp;"")="membership"),"",IF($G383="","",IF(ISNUMBER(SEARCH("non",LOWER($E383&amp;""))),$G383*0.85,$G383))))</x:f>
      </x:c>
      <x:c r="O383" s="112" t="str">
        <x:f>IF(COUNTA($A383:$M383)=0,"",IF(OR(LOWER($F383&amp;"")="subscription",LOWER($F383&amp;"")="membership"),"",IF(OR($N383="",$I383="",$I383=0),"",IFERROR($N383/$I383,""))))</x:f>
      </x:c>
      <x:c r="P383" s="112" t="str">
        <x:f>IF(COUNTA($A383:$M383)=0,"",IF(OR(LOWER($F383&amp;"")="subscription",LOWER($F383&amp;"")="membership"),"",IF(LOWER($L383&amp;"")="yes",0,IF($K383&lt;&gt;"",$K383,IF($O383&lt;&gt;"",$O383,"")))))</x:f>
      </x:c>
      <x:c r="Q383" s="112" t="str">
        <x:f>IF(COUNTA($A383:$M383)=0,"",IF(OR($U383="Subscription",$U383=""),"",IF($U383="Profit",ROUND($P383-$H383,2),0)))</x:f>
      </x:c>
      <x:c r="R383" s="112" t="str">
        <x:f>IF(COUNTA($A383:$M383)=0,"",IF(OR($U383="Subscription",$U383=""),"",IF($U383="Draw",$H383,0)))</x:f>
      </x:c>
      <x:c r="S383" s="112" t="str">
        <x:f>IF(COUNTA($A383:$M383)=0,"",IF(OR($U383="Subscription",$U383=""),"",IF($U383="Disqualified",$H383,0)))</x:f>
      </x:c>
      <x:c r="T383" s="116" t="str">
        <x:f>IF(COUNTA($A383:$M383)=0,"",IF(OR($U383="Subscription",$U383=""),"",IF($H383=0,0,IF($U383="Profit",$Q383/$H383,IF($U383="Disqualified",-$S383/$H383,0)))))</x:f>
      </x:c>
      <x:c r="U383" s="290" t="str">
        <x:f>IF(COUNTA($A383:$M383)=0,"",IF(OR(LOWER($F383&amp;"")="subscription",LOWER($F383&amp;"")="membership"),"Subscription",IF(LOWER($L383&amp;"")="yes","Disqualified",IF(OR(LOWER($F383&amp;"")="free game",LOWER($F383&amp;"")="free"),IF(AND(ISNUMBER($P383),ISNUMBER($H383),$P383&gt;$H383),"Profit","Free Game"),IF($P383="","",IF(ROUND(IFERROR(VALUE($P383),0)-IFERROR(VALUE($H383),0),2)&gt;0,"Profit","Draw"))))))</x:f>
      </x:c>
      <x:c r="V383" s="144" t="str">
        <x:f>IF(COUNTA($A383:$M383)=0,"",IF(OR($B383="",$C383="",$U383="Subscription"),"",IFERROR(ROUNDUP(($C383-$B383)/7,0),"")))</x:f>
      </x:c>
      <x:c r="W383" s="112" t="str">
        <x:f>IF(COUNTA($A383:$M383)=0,"",IF(OR($U383="Subscription",$U383=""),"",ROUND(IFERROR($Q383,0)-IFERROR($S383,0),2)))</x:f>
      </x:c>
      <x:c r="X383" s="144" t="str">
        <x:f>IF(COUNTA($A383:$M383)=0,"",IF(OR($U383="Subscription",$U383="Free Game",NOT(ISNUMBER($J383)),NOT(ISNUMBER($I383)),$J383=0,$I383=0,$I383&gt;$J383),"",$J383-$I383))</x:f>
      </x:c>
      <x:c r="Y383" s="116" t="str">
        <x:f>IF(COUNTA($A383:$M383)=0,"",IF(OR($U383="Subscription",$U383="Free Game",NOT(ISNUMBER($J383)),$J383=0,$X383=""),"",$X383/$J383))</x:f>
      </x:c>
      <x:c r="Z383" s="118" t="str">
        <x:f>IF(COUNTA($A383:$M383)=0,"",Instructions!$B$29+SUM($W$5:W383))</x:f>
      </x:c>
    </x:row>
    <x:row r="384" ht="30" customHeight="1">
      <x:c r="A384" s="477"/>
      <x:c r="B384" s="482"/>
      <x:c r="C384" s="482"/>
      <x:c r="D384" s="483"/>
      <x:c r="E384" s="483"/>
      <x:c r="F384" s="483"/>
      <x:c r="G384" s="484"/>
      <x:c r="H384" s="484"/>
      <x:c r="I384" s="485"/>
      <x:c r="J384" s="485"/>
      <x:c r="K384" s="484"/>
      <x:c r="L384" s="483"/>
      <x:c r="M384" s="477"/>
      <x:c r="N384" s="112" t="str">
        <x:f>IF(COUNTA($A384:$M384)=0,"",IF(OR(LOWER($F384&amp;"")="subscription",LOWER($F384&amp;"")="membership"),"",IF($G384="","",IF(ISNUMBER(SEARCH("non",LOWER($E384&amp;""))),$G384*0.85,$G384))))</x:f>
      </x:c>
      <x:c r="O384" s="112" t="str">
        <x:f>IF(COUNTA($A384:$M384)=0,"",IF(OR(LOWER($F384&amp;"")="subscription",LOWER($F384&amp;"")="membership"),"",IF(OR($N384="",$I384="",$I384=0),"",IFERROR($N384/$I384,""))))</x:f>
      </x:c>
      <x:c r="P384" s="112" t="str">
        <x:f>IF(COUNTA($A384:$M384)=0,"",IF(OR(LOWER($F384&amp;"")="subscription",LOWER($F384&amp;"")="membership"),"",IF(LOWER($L384&amp;"")="yes",0,IF($K384&lt;&gt;"",$K384,IF($O384&lt;&gt;"",$O384,"")))))</x:f>
      </x:c>
      <x:c r="Q384" s="112" t="str">
        <x:f>IF(COUNTA($A384:$M384)=0,"",IF(OR($U384="Subscription",$U384=""),"",IF($U384="Profit",ROUND($P384-$H384,2),0)))</x:f>
      </x:c>
      <x:c r="R384" s="112" t="str">
        <x:f>IF(COUNTA($A384:$M384)=0,"",IF(OR($U384="Subscription",$U384=""),"",IF($U384="Draw",$H384,0)))</x:f>
      </x:c>
      <x:c r="S384" s="112" t="str">
        <x:f>IF(COUNTA($A384:$M384)=0,"",IF(OR($U384="Subscription",$U384=""),"",IF($U384="Disqualified",$H384,0)))</x:f>
      </x:c>
      <x:c r="T384" s="116" t="str">
        <x:f>IF(COUNTA($A384:$M384)=0,"",IF(OR($U384="Subscription",$U384=""),"",IF($H384=0,0,IF($U384="Profit",$Q384/$H384,IF($U384="Disqualified",-$S384/$H384,0)))))</x:f>
      </x:c>
      <x:c r="U384" s="290" t="str">
        <x:f>IF(COUNTA($A384:$M384)=0,"",IF(OR(LOWER($F384&amp;"")="subscription",LOWER($F384&amp;"")="membership"),"Subscription",IF(LOWER($L384&amp;"")="yes","Disqualified",IF(OR(LOWER($F384&amp;"")="free game",LOWER($F384&amp;"")="free"),IF(AND(ISNUMBER($P384),ISNUMBER($H384),$P384&gt;$H384),"Profit","Free Game"),IF($P384="","",IF(ROUND(IFERROR(VALUE($P384),0)-IFERROR(VALUE($H384),0),2)&gt;0,"Profit","Draw"))))))</x:f>
      </x:c>
      <x:c r="V384" s="144" t="str">
        <x:f>IF(COUNTA($A384:$M384)=0,"",IF(OR($B384="",$C384="",$U384="Subscription"),"",IFERROR(ROUNDUP(($C384-$B384)/7,0),"")))</x:f>
      </x:c>
      <x:c r="W384" s="112" t="str">
        <x:f>IF(COUNTA($A384:$M384)=0,"",IF(OR($U384="Subscription",$U384=""),"",ROUND(IFERROR($Q384,0)-IFERROR($S384,0),2)))</x:f>
      </x:c>
      <x:c r="X384" s="144" t="str">
        <x:f>IF(COUNTA($A384:$M384)=0,"",IF(OR($U384="Subscription",$U384="Free Game",NOT(ISNUMBER($J384)),NOT(ISNUMBER($I384)),$J384=0,$I384=0,$I384&gt;$J384),"",$J384-$I384))</x:f>
      </x:c>
      <x:c r="Y384" s="116" t="str">
        <x:f>IF(COUNTA($A384:$M384)=0,"",IF(OR($U384="Subscription",$U384="Free Game",NOT(ISNUMBER($J384)),$J384=0,$X384=""),"",$X384/$J384))</x:f>
      </x:c>
      <x:c r="Z384" s="118" t="str">
        <x:f>IF(COUNTA($A384:$M384)=0,"",Instructions!$B$29+SUM($W$5:W384))</x:f>
      </x:c>
    </x:row>
    <x:row r="385" ht="30" customHeight="1">
      <x:c r="A385" s="477"/>
      <x:c r="B385" s="482"/>
      <x:c r="C385" s="482"/>
      <x:c r="D385" s="483"/>
      <x:c r="E385" s="483"/>
      <x:c r="F385" s="483"/>
      <x:c r="G385" s="484"/>
      <x:c r="H385" s="484"/>
      <x:c r="I385" s="485"/>
      <x:c r="J385" s="485"/>
      <x:c r="K385" s="484"/>
      <x:c r="L385" s="483"/>
      <x:c r="M385" s="477"/>
      <x:c r="N385" s="112" t="str">
        <x:f>IF(COUNTA($A385:$M385)=0,"",IF(OR(LOWER($F385&amp;"")="subscription",LOWER($F385&amp;"")="membership"),"",IF($G385="","",IF(ISNUMBER(SEARCH("non",LOWER($E385&amp;""))),$G385*0.85,$G385))))</x:f>
      </x:c>
      <x:c r="O385" s="112" t="str">
        <x:f>IF(COUNTA($A385:$M385)=0,"",IF(OR(LOWER($F385&amp;"")="subscription",LOWER($F385&amp;"")="membership"),"",IF(OR($N385="",$I385="",$I385=0),"",IFERROR($N385/$I385,""))))</x:f>
      </x:c>
      <x:c r="P385" s="112" t="str">
        <x:f>IF(COUNTA($A385:$M385)=0,"",IF(OR(LOWER($F385&amp;"")="subscription",LOWER($F385&amp;"")="membership"),"",IF(LOWER($L385&amp;"")="yes",0,IF($K385&lt;&gt;"",$K385,IF($O385&lt;&gt;"",$O385,"")))))</x:f>
      </x:c>
      <x:c r="Q385" s="112" t="str">
        <x:f>IF(COUNTA($A385:$M385)=0,"",IF(OR($U385="Subscription",$U385=""),"",IF($U385="Profit",ROUND($P385-$H385,2),0)))</x:f>
      </x:c>
      <x:c r="R385" s="112" t="str">
        <x:f>IF(COUNTA($A385:$M385)=0,"",IF(OR($U385="Subscription",$U385=""),"",IF($U385="Draw",$H385,0)))</x:f>
      </x:c>
      <x:c r="S385" s="112" t="str">
        <x:f>IF(COUNTA($A385:$M385)=0,"",IF(OR($U385="Subscription",$U385=""),"",IF($U385="Disqualified",$H385,0)))</x:f>
      </x:c>
      <x:c r="T385" s="116" t="str">
        <x:f>IF(COUNTA($A385:$M385)=0,"",IF(OR($U385="Subscription",$U385=""),"",IF($H385=0,0,IF($U385="Profit",$Q385/$H385,IF($U385="Disqualified",-$S385/$H385,0)))))</x:f>
      </x:c>
      <x:c r="U385" s="290" t="str">
        <x:f>IF(COUNTA($A385:$M385)=0,"",IF(OR(LOWER($F385&amp;"")="subscription",LOWER($F385&amp;"")="membership"),"Subscription",IF(LOWER($L385&amp;"")="yes","Disqualified",IF(OR(LOWER($F385&amp;"")="free game",LOWER($F385&amp;"")="free"),IF(AND(ISNUMBER($P385),ISNUMBER($H385),$P385&gt;$H385),"Profit","Free Game"),IF($P385="","",IF(ROUND(IFERROR(VALUE($P385),0)-IFERROR(VALUE($H385),0),2)&gt;0,"Profit","Draw"))))))</x:f>
      </x:c>
      <x:c r="V385" s="144" t="str">
        <x:f>IF(COUNTA($A385:$M385)=0,"",IF(OR($B385="",$C385="",$U385="Subscription"),"",IFERROR(ROUNDUP(($C385-$B385)/7,0),"")))</x:f>
      </x:c>
      <x:c r="W385" s="112" t="str">
        <x:f>IF(COUNTA($A385:$M385)=0,"",IF(OR($U385="Subscription",$U385=""),"",ROUND(IFERROR($Q385,0)-IFERROR($S385,0),2)))</x:f>
      </x:c>
      <x:c r="X385" s="144" t="str">
        <x:f>IF(COUNTA($A385:$M385)=0,"",IF(OR($U385="Subscription",$U385="Free Game",NOT(ISNUMBER($J385)),NOT(ISNUMBER($I385)),$J385=0,$I385=0,$I385&gt;$J385),"",$J385-$I385))</x:f>
      </x:c>
      <x:c r="Y385" s="116" t="str">
        <x:f>IF(COUNTA($A385:$M385)=0,"",IF(OR($U385="Subscription",$U385="Free Game",NOT(ISNUMBER($J385)),$J385=0,$X385=""),"",$X385/$J385))</x:f>
      </x:c>
      <x:c r="Z385" s="118" t="str">
        <x:f>IF(COUNTA($A385:$M385)=0,"",Instructions!$B$29+SUM($W$5:W385))</x:f>
      </x:c>
    </x:row>
    <x:row r="386" ht="30" customHeight="1">
      <x:c r="A386" s="477"/>
      <x:c r="B386" s="482"/>
      <x:c r="C386" s="482"/>
      <x:c r="D386" s="483"/>
      <x:c r="E386" s="483"/>
      <x:c r="F386" s="483"/>
      <x:c r="G386" s="484"/>
      <x:c r="H386" s="484"/>
      <x:c r="I386" s="485"/>
      <x:c r="J386" s="485"/>
      <x:c r="K386" s="484"/>
      <x:c r="L386" s="483"/>
      <x:c r="M386" s="477"/>
      <x:c r="N386" s="112" t="str">
        <x:f>IF(COUNTA($A386:$M386)=0,"",IF(OR(LOWER($F386&amp;"")="subscription",LOWER($F386&amp;"")="membership"),"",IF($G386="","",IF(ISNUMBER(SEARCH("non",LOWER($E386&amp;""))),$G386*0.85,$G386))))</x:f>
      </x:c>
      <x:c r="O386" s="112" t="str">
        <x:f>IF(COUNTA($A386:$M386)=0,"",IF(OR(LOWER($F386&amp;"")="subscription",LOWER($F386&amp;"")="membership"),"",IF(OR($N386="",$I386="",$I386=0),"",IFERROR($N386/$I386,""))))</x:f>
      </x:c>
      <x:c r="P386" s="112" t="str">
        <x:f>IF(COUNTA($A386:$M386)=0,"",IF(OR(LOWER($F386&amp;"")="subscription",LOWER($F386&amp;"")="membership"),"",IF(LOWER($L386&amp;"")="yes",0,IF($K386&lt;&gt;"",$K386,IF($O386&lt;&gt;"",$O386,"")))))</x:f>
      </x:c>
      <x:c r="Q386" s="112" t="str">
        <x:f>IF(COUNTA($A386:$M386)=0,"",IF(OR($U386="Subscription",$U386=""),"",IF($U386="Profit",ROUND($P386-$H386,2),0)))</x:f>
      </x:c>
      <x:c r="R386" s="112" t="str">
        <x:f>IF(COUNTA($A386:$M386)=0,"",IF(OR($U386="Subscription",$U386=""),"",IF($U386="Draw",$H386,0)))</x:f>
      </x:c>
      <x:c r="S386" s="112" t="str">
        <x:f>IF(COUNTA($A386:$M386)=0,"",IF(OR($U386="Subscription",$U386=""),"",IF($U386="Disqualified",$H386,0)))</x:f>
      </x:c>
      <x:c r="T386" s="116" t="str">
        <x:f>IF(COUNTA($A386:$M386)=0,"",IF(OR($U386="Subscription",$U386=""),"",IF($H386=0,0,IF($U386="Profit",$Q386/$H386,IF($U386="Disqualified",-$S386/$H386,0)))))</x:f>
      </x:c>
      <x:c r="U386" s="290" t="str">
        <x:f>IF(COUNTA($A386:$M386)=0,"",IF(OR(LOWER($F386&amp;"")="subscription",LOWER($F386&amp;"")="membership"),"Subscription",IF(LOWER($L386&amp;"")="yes","Disqualified",IF(OR(LOWER($F386&amp;"")="free game",LOWER($F386&amp;"")="free"),IF(AND(ISNUMBER($P386),ISNUMBER($H386),$P386&gt;$H386),"Profit","Free Game"),IF($P386="","",IF(ROUND(IFERROR(VALUE($P386),0)-IFERROR(VALUE($H386),0),2)&gt;0,"Profit","Draw"))))))</x:f>
      </x:c>
      <x:c r="V386" s="144" t="str">
        <x:f>IF(COUNTA($A386:$M386)=0,"",IF(OR($B386="",$C386="",$U386="Subscription"),"",IFERROR(ROUNDUP(($C386-$B386)/7,0),"")))</x:f>
      </x:c>
      <x:c r="W386" s="112" t="str">
        <x:f>IF(COUNTA($A386:$M386)=0,"",IF(OR($U386="Subscription",$U386=""),"",ROUND(IFERROR($Q386,0)-IFERROR($S386,0),2)))</x:f>
      </x:c>
      <x:c r="X386" s="144" t="str">
        <x:f>IF(COUNTA($A386:$M386)=0,"",IF(OR($U386="Subscription",$U386="Free Game",NOT(ISNUMBER($J386)),NOT(ISNUMBER($I386)),$J386=0,$I386=0,$I386&gt;$J386),"",$J386-$I386))</x:f>
      </x:c>
      <x:c r="Y386" s="116" t="str">
        <x:f>IF(COUNTA($A386:$M386)=0,"",IF(OR($U386="Subscription",$U386="Free Game",NOT(ISNUMBER($J386)),$J386=0,$X386=""),"",$X386/$J386))</x:f>
      </x:c>
      <x:c r="Z386" s="118" t="str">
        <x:f>IF(COUNTA($A386:$M386)=0,"",Instructions!$B$29+SUM($W$5:W386))</x:f>
      </x:c>
    </x:row>
    <x:row r="387" ht="30" customHeight="1">
      <x:c r="A387" s="477"/>
      <x:c r="B387" s="482"/>
      <x:c r="C387" s="482"/>
      <x:c r="D387" s="483"/>
      <x:c r="E387" s="483"/>
      <x:c r="F387" s="483"/>
      <x:c r="G387" s="484"/>
      <x:c r="H387" s="484"/>
      <x:c r="I387" s="485"/>
      <x:c r="J387" s="485"/>
      <x:c r="K387" s="484"/>
      <x:c r="L387" s="483"/>
      <x:c r="M387" s="477"/>
      <x:c r="N387" s="112" t="str">
        <x:f>IF(COUNTA($A387:$M387)=0,"",IF(OR(LOWER($F387&amp;"")="subscription",LOWER($F387&amp;"")="membership"),"",IF($G387="","",IF(ISNUMBER(SEARCH("non",LOWER($E387&amp;""))),$G387*0.85,$G387))))</x:f>
      </x:c>
      <x:c r="O387" s="112" t="str">
        <x:f>IF(COUNTA($A387:$M387)=0,"",IF(OR(LOWER($F387&amp;"")="subscription",LOWER($F387&amp;"")="membership"),"",IF(OR($N387="",$I387="",$I387=0),"",IFERROR($N387/$I387,""))))</x:f>
      </x:c>
      <x:c r="P387" s="112" t="str">
        <x:f>IF(COUNTA($A387:$M387)=0,"",IF(OR(LOWER($F387&amp;"")="subscription",LOWER($F387&amp;"")="membership"),"",IF(LOWER($L387&amp;"")="yes",0,IF($K387&lt;&gt;"",$K387,IF($O387&lt;&gt;"",$O387,"")))))</x:f>
      </x:c>
      <x:c r="Q387" s="112" t="str">
        <x:f>IF(COUNTA($A387:$M387)=0,"",IF(OR($U387="Subscription",$U387=""),"",IF($U387="Profit",ROUND($P387-$H387,2),0)))</x:f>
      </x:c>
      <x:c r="R387" s="112" t="str">
        <x:f>IF(COUNTA($A387:$M387)=0,"",IF(OR($U387="Subscription",$U387=""),"",IF($U387="Draw",$H387,0)))</x:f>
      </x:c>
      <x:c r="S387" s="112" t="str">
        <x:f>IF(COUNTA($A387:$M387)=0,"",IF(OR($U387="Subscription",$U387=""),"",IF($U387="Disqualified",$H387,0)))</x:f>
      </x:c>
      <x:c r="T387" s="116" t="str">
        <x:f>IF(COUNTA($A387:$M387)=0,"",IF(OR($U387="Subscription",$U387=""),"",IF($H387=0,0,IF($U387="Profit",$Q387/$H387,IF($U387="Disqualified",-$S387/$H387,0)))))</x:f>
      </x:c>
      <x:c r="U387" s="290" t="str">
        <x:f>IF(COUNTA($A387:$M387)=0,"",IF(OR(LOWER($F387&amp;"")="subscription",LOWER($F387&amp;"")="membership"),"Subscription",IF(LOWER($L387&amp;"")="yes","Disqualified",IF(OR(LOWER($F387&amp;"")="free game",LOWER($F387&amp;"")="free"),IF(AND(ISNUMBER($P387),ISNUMBER($H387),$P387&gt;$H387),"Profit","Free Game"),IF($P387="","",IF(ROUND(IFERROR(VALUE($P387),0)-IFERROR(VALUE($H387),0),2)&gt;0,"Profit","Draw"))))))</x:f>
      </x:c>
      <x:c r="V387" s="144" t="str">
        <x:f>IF(COUNTA($A387:$M387)=0,"",IF(OR($B387="",$C387="",$U387="Subscription"),"",IFERROR(ROUNDUP(($C387-$B387)/7,0),"")))</x:f>
      </x:c>
      <x:c r="W387" s="112" t="str">
        <x:f>IF(COUNTA($A387:$M387)=0,"",IF(OR($U387="Subscription",$U387=""),"",ROUND(IFERROR($Q387,0)-IFERROR($S387,0),2)))</x:f>
      </x:c>
      <x:c r="X387" s="144" t="str">
        <x:f>IF(COUNTA($A387:$M387)=0,"",IF(OR($U387="Subscription",$U387="Free Game",NOT(ISNUMBER($J387)),NOT(ISNUMBER($I387)),$J387=0,$I387=0,$I387&gt;$J387),"",$J387-$I387))</x:f>
      </x:c>
      <x:c r="Y387" s="116" t="str">
        <x:f>IF(COUNTA($A387:$M387)=0,"",IF(OR($U387="Subscription",$U387="Free Game",NOT(ISNUMBER($J387)),$J387=0,$X387=""),"",$X387/$J387))</x:f>
      </x:c>
      <x:c r="Z387" s="118" t="str">
        <x:f>IF(COUNTA($A387:$M387)=0,"",Instructions!$B$29+SUM($W$5:W387))</x:f>
      </x:c>
    </x:row>
    <x:row r="388" ht="30" customHeight="1">
      <x:c r="A388" s="477"/>
      <x:c r="B388" s="482"/>
      <x:c r="C388" s="482"/>
      <x:c r="D388" s="483"/>
      <x:c r="E388" s="483"/>
      <x:c r="F388" s="483"/>
      <x:c r="G388" s="484"/>
      <x:c r="H388" s="484"/>
      <x:c r="I388" s="485"/>
      <x:c r="J388" s="485"/>
      <x:c r="K388" s="484"/>
      <x:c r="L388" s="483"/>
      <x:c r="M388" s="477"/>
      <x:c r="N388" s="112" t="str">
        <x:f>IF(COUNTA($A388:$M388)=0,"",IF(OR(LOWER($F388&amp;"")="subscription",LOWER($F388&amp;"")="membership"),"",IF($G388="","",IF(ISNUMBER(SEARCH("non",LOWER($E388&amp;""))),$G388*0.85,$G388))))</x:f>
      </x:c>
      <x:c r="O388" s="112" t="str">
        <x:f>IF(COUNTA($A388:$M388)=0,"",IF(OR(LOWER($F388&amp;"")="subscription",LOWER($F388&amp;"")="membership"),"",IF(OR($N388="",$I388="",$I388=0),"",IFERROR($N388/$I388,""))))</x:f>
      </x:c>
      <x:c r="P388" s="112" t="str">
        <x:f>IF(COUNTA($A388:$M388)=0,"",IF(OR(LOWER($F388&amp;"")="subscription",LOWER($F388&amp;"")="membership"),"",IF(LOWER($L388&amp;"")="yes",0,IF($K388&lt;&gt;"",$K388,IF($O388&lt;&gt;"",$O388,"")))))</x:f>
      </x:c>
      <x:c r="Q388" s="112" t="str">
        <x:f>IF(COUNTA($A388:$M388)=0,"",IF(OR($U388="Subscription",$U388=""),"",IF($U388="Profit",ROUND($P388-$H388,2),0)))</x:f>
      </x:c>
      <x:c r="R388" s="112" t="str">
        <x:f>IF(COUNTA($A388:$M388)=0,"",IF(OR($U388="Subscription",$U388=""),"",IF($U388="Draw",$H388,0)))</x:f>
      </x:c>
      <x:c r="S388" s="112" t="str">
        <x:f>IF(COUNTA($A388:$M388)=0,"",IF(OR($U388="Subscription",$U388=""),"",IF($U388="Disqualified",$H388,0)))</x:f>
      </x:c>
      <x:c r="T388" s="116" t="str">
        <x:f>IF(COUNTA($A388:$M388)=0,"",IF(OR($U388="Subscription",$U388=""),"",IF($H388=0,0,IF($U388="Profit",$Q388/$H388,IF($U388="Disqualified",-$S388/$H388,0)))))</x:f>
      </x:c>
      <x:c r="U388" s="290" t="str">
        <x:f>IF(COUNTA($A388:$M388)=0,"",IF(OR(LOWER($F388&amp;"")="subscription",LOWER($F388&amp;"")="membership"),"Subscription",IF(LOWER($L388&amp;"")="yes","Disqualified",IF(OR(LOWER($F388&amp;"")="free game",LOWER($F388&amp;"")="free"),IF(AND(ISNUMBER($P388),ISNUMBER($H388),$P388&gt;$H388),"Profit","Free Game"),IF($P388="","",IF(ROUND(IFERROR(VALUE($P388),0)-IFERROR(VALUE($H388),0),2)&gt;0,"Profit","Draw"))))))</x:f>
      </x:c>
      <x:c r="V388" s="144" t="str">
        <x:f>IF(COUNTA($A388:$M388)=0,"",IF(OR($B388="",$C388="",$U388="Subscription"),"",IFERROR(ROUNDUP(($C388-$B388)/7,0),"")))</x:f>
      </x:c>
      <x:c r="W388" s="112" t="str">
        <x:f>IF(COUNTA($A388:$M388)=0,"",IF(OR($U388="Subscription",$U388=""),"",ROUND(IFERROR($Q388,0)-IFERROR($S388,0),2)))</x:f>
      </x:c>
      <x:c r="X388" s="144" t="str">
        <x:f>IF(COUNTA($A388:$M388)=0,"",IF(OR($U388="Subscription",$U388="Free Game",NOT(ISNUMBER($J388)),NOT(ISNUMBER($I388)),$J388=0,$I388=0,$I388&gt;$J388),"",$J388-$I388))</x:f>
      </x:c>
      <x:c r="Y388" s="116" t="str">
        <x:f>IF(COUNTA($A388:$M388)=0,"",IF(OR($U388="Subscription",$U388="Free Game",NOT(ISNUMBER($J388)),$J388=0,$X388=""),"",$X388/$J388))</x:f>
      </x:c>
      <x:c r="Z388" s="118" t="str">
        <x:f>IF(COUNTA($A388:$M388)=0,"",Instructions!$B$29+SUM($W$5:W388))</x:f>
      </x:c>
    </x:row>
    <x:row r="389" ht="30" customHeight="1">
      <x:c r="A389" s="477"/>
      <x:c r="B389" s="482"/>
      <x:c r="C389" s="482"/>
      <x:c r="D389" s="483"/>
      <x:c r="E389" s="483"/>
      <x:c r="F389" s="483"/>
      <x:c r="G389" s="484"/>
      <x:c r="H389" s="484"/>
      <x:c r="I389" s="485"/>
      <x:c r="J389" s="485"/>
      <x:c r="K389" s="484"/>
      <x:c r="L389" s="483"/>
      <x:c r="M389" s="477"/>
      <x:c r="N389" s="112" t="str">
        <x:f>IF(COUNTA($A389:$M389)=0,"",IF(OR(LOWER($F389&amp;"")="subscription",LOWER($F389&amp;"")="membership"),"",IF($G389="","",IF(ISNUMBER(SEARCH("non",LOWER($E389&amp;""))),$G389*0.85,$G389))))</x:f>
      </x:c>
      <x:c r="O389" s="112" t="str">
        <x:f>IF(COUNTA($A389:$M389)=0,"",IF(OR(LOWER($F389&amp;"")="subscription",LOWER($F389&amp;"")="membership"),"",IF(OR($N389="",$I389="",$I389=0),"",IFERROR($N389/$I389,""))))</x:f>
      </x:c>
      <x:c r="P389" s="112" t="str">
        <x:f>IF(COUNTA($A389:$M389)=0,"",IF(OR(LOWER($F389&amp;"")="subscription",LOWER($F389&amp;"")="membership"),"",IF(LOWER($L389&amp;"")="yes",0,IF($K389&lt;&gt;"",$K389,IF($O389&lt;&gt;"",$O389,"")))))</x:f>
      </x:c>
      <x:c r="Q389" s="112" t="str">
        <x:f>IF(COUNTA($A389:$M389)=0,"",IF(OR($U389="Subscription",$U389=""),"",IF($U389="Profit",ROUND($P389-$H389,2),0)))</x:f>
      </x:c>
      <x:c r="R389" s="112" t="str">
        <x:f>IF(COUNTA($A389:$M389)=0,"",IF(OR($U389="Subscription",$U389=""),"",IF($U389="Draw",$H389,0)))</x:f>
      </x:c>
      <x:c r="S389" s="112" t="str">
        <x:f>IF(COUNTA($A389:$M389)=0,"",IF(OR($U389="Subscription",$U389=""),"",IF($U389="Disqualified",$H389,0)))</x:f>
      </x:c>
      <x:c r="T389" s="116" t="str">
        <x:f>IF(COUNTA($A389:$M389)=0,"",IF(OR($U389="Subscription",$U389=""),"",IF($H389=0,0,IF($U389="Profit",$Q389/$H389,IF($U389="Disqualified",-$S389/$H389,0)))))</x:f>
      </x:c>
      <x:c r="U389" s="290" t="str">
        <x:f>IF(COUNTA($A389:$M389)=0,"",IF(OR(LOWER($F389&amp;"")="subscription",LOWER($F389&amp;"")="membership"),"Subscription",IF(LOWER($L389&amp;"")="yes","Disqualified",IF(OR(LOWER($F389&amp;"")="free game",LOWER($F389&amp;"")="free"),IF(AND(ISNUMBER($P389),ISNUMBER($H389),$P389&gt;$H389),"Profit","Free Game"),IF($P389="","",IF(ROUND(IFERROR(VALUE($P389),0)-IFERROR(VALUE($H389),0),2)&gt;0,"Profit","Draw"))))))</x:f>
      </x:c>
      <x:c r="V389" s="144" t="str">
        <x:f>IF(COUNTA($A389:$M389)=0,"",IF(OR($B389="",$C389="",$U389="Subscription"),"",IFERROR(ROUNDUP(($C389-$B389)/7,0),"")))</x:f>
      </x:c>
      <x:c r="W389" s="112" t="str">
        <x:f>IF(COUNTA($A389:$M389)=0,"",IF(OR($U389="Subscription",$U389=""),"",ROUND(IFERROR($Q389,0)-IFERROR($S389,0),2)))</x:f>
      </x:c>
      <x:c r="X389" s="144" t="str">
        <x:f>IF(COUNTA($A389:$M389)=0,"",IF(OR($U389="Subscription",$U389="Free Game",NOT(ISNUMBER($J389)),NOT(ISNUMBER($I389)),$J389=0,$I389=0,$I389&gt;$J389),"",$J389-$I389))</x:f>
      </x:c>
      <x:c r="Y389" s="116" t="str">
        <x:f>IF(COUNTA($A389:$M389)=0,"",IF(OR($U389="Subscription",$U389="Free Game",NOT(ISNUMBER($J389)),$J389=0,$X389=""),"",$X389/$J389))</x:f>
      </x:c>
      <x:c r="Z389" s="118" t="str">
        <x:f>IF(COUNTA($A389:$M389)=0,"",Instructions!$B$29+SUM($W$5:W389))</x:f>
      </x:c>
    </x:row>
    <x:row r="390" ht="30" customHeight="1">
      <x:c r="A390" s="477"/>
      <x:c r="B390" s="482"/>
      <x:c r="C390" s="482"/>
      <x:c r="D390" s="483"/>
      <x:c r="E390" s="483"/>
      <x:c r="F390" s="483"/>
      <x:c r="G390" s="484"/>
      <x:c r="H390" s="484"/>
      <x:c r="I390" s="485"/>
      <x:c r="J390" s="485"/>
      <x:c r="K390" s="484"/>
      <x:c r="L390" s="483"/>
      <x:c r="M390" s="477"/>
      <x:c r="N390" s="112" t="str">
        <x:f>IF(COUNTA($A390:$M390)=0,"",IF(OR(LOWER($F390&amp;"")="subscription",LOWER($F390&amp;"")="membership"),"",IF($G390="","",IF(ISNUMBER(SEARCH("non",LOWER($E390&amp;""))),$G390*0.85,$G390))))</x:f>
      </x:c>
      <x:c r="O390" s="112" t="str">
        <x:f>IF(COUNTA($A390:$M390)=0,"",IF(OR(LOWER($F390&amp;"")="subscription",LOWER($F390&amp;"")="membership"),"",IF(OR($N390="",$I390="",$I390=0),"",IFERROR($N390/$I390,""))))</x:f>
      </x:c>
      <x:c r="P390" s="112" t="str">
        <x:f>IF(COUNTA($A390:$M390)=0,"",IF(OR(LOWER($F390&amp;"")="subscription",LOWER($F390&amp;"")="membership"),"",IF(LOWER($L390&amp;"")="yes",0,IF($K390&lt;&gt;"",$K390,IF($O390&lt;&gt;"",$O390,"")))))</x:f>
      </x:c>
      <x:c r="Q390" s="112" t="str">
        <x:f>IF(COUNTA($A390:$M390)=0,"",IF(OR($U390="Subscription",$U390=""),"",IF($U390="Profit",ROUND($P390-$H390,2),0)))</x:f>
      </x:c>
      <x:c r="R390" s="112" t="str">
        <x:f>IF(COUNTA($A390:$M390)=0,"",IF(OR($U390="Subscription",$U390=""),"",IF($U390="Draw",$H390,0)))</x:f>
      </x:c>
      <x:c r="S390" s="112" t="str">
        <x:f>IF(COUNTA($A390:$M390)=0,"",IF(OR($U390="Subscription",$U390=""),"",IF($U390="Disqualified",$H390,0)))</x:f>
      </x:c>
      <x:c r="T390" s="116" t="str">
        <x:f>IF(COUNTA($A390:$M390)=0,"",IF(OR($U390="Subscription",$U390=""),"",IF($H390=0,0,IF($U390="Profit",$Q390/$H390,IF($U390="Disqualified",-$S390/$H390,0)))))</x:f>
      </x:c>
      <x:c r="U390" s="290" t="str">
        <x:f>IF(COUNTA($A390:$M390)=0,"",IF(OR(LOWER($F390&amp;"")="subscription",LOWER($F390&amp;"")="membership"),"Subscription",IF(LOWER($L390&amp;"")="yes","Disqualified",IF(OR(LOWER($F390&amp;"")="free game",LOWER($F390&amp;"")="free"),IF(AND(ISNUMBER($P390),ISNUMBER($H390),$P390&gt;$H390),"Profit","Free Game"),IF($P390="","",IF(ROUND(IFERROR(VALUE($P390),0)-IFERROR(VALUE($H390),0),2)&gt;0,"Profit","Draw"))))))</x:f>
      </x:c>
      <x:c r="V390" s="144" t="str">
        <x:f>IF(COUNTA($A390:$M390)=0,"",IF(OR($B390="",$C390="",$U390="Subscription"),"",IFERROR(ROUNDUP(($C390-$B390)/7,0),"")))</x:f>
      </x:c>
      <x:c r="W390" s="112" t="str">
        <x:f>IF(COUNTA($A390:$M390)=0,"",IF(OR($U390="Subscription",$U390=""),"",ROUND(IFERROR($Q390,0)-IFERROR($S390,0),2)))</x:f>
      </x:c>
      <x:c r="X390" s="144" t="str">
        <x:f>IF(COUNTA($A390:$M390)=0,"",IF(OR($U390="Subscription",$U390="Free Game",NOT(ISNUMBER($J390)),NOT(ISNUMBER($I390)),$J390=0,$I390=0,$I390&gt;$J390),"",$J390-$I390))</x:f>
      </x:c>
      <x:c r="Y390" s="116" t="str">
        <x:f>IF(COUNTA($A390:$M390)=0,"",IF(OR($U390="Subscription",$U390="Free Game",NOT(ISNUMBER($J390)),$J390=0,$X390=""),"",$X390/$J390))</x:f>
      </x:c>
      <x:c r="Z390" s="118" t="str">
        <x:f>IF(COUNTA($A390:$M390)=0,"",Instructions!$B$29+SUM($W$5:W390))</x:f>
      </x:c>
    </x:row>
    <x:row r="391" ht="30" customHeight="1">
      <x:c r="A391" s="477"/>
      <x:c r="B391" s="482"/>
      <x:c r="C391" s="482"/>
      <x:c r="D391" s="483"/>
      <x:c r="E391" s="483"/>
      <x:c r="F391" s="483"/>
      <x:c r="G391" s="484"/>
      <x:c r="H391" s="484"/>
      <x:c r="I391" s="485"/>
      <x:c r="J391" s="485"/>
      <x:c r="K391" s="484"/>
      <x:c r="L391" s="483"/>
      <x:c r="M391" s="477"/>
      <x:c r="N391" s="112" t="str">
        <x:f>IF(COUNTA($A391:$M391)=0,"",IF(OR(LOWER($F391&amp;"")="subscription",LOWER($F391&amp;"")="membership"),"",IF($G391="","",IF(ISNUMBER(SEARCH("non",LOWER($E391&amp;""))),$G391*0.85,$G391))))</x:f>
      </x:c>
      <x:c r="O391" s="112" t="str">
        <x:f>IF(COUNTA($A391:$M391)=0,"",IF(OR(LOWER($F391&amp;"")="subscription",LOWER($F391&amp;"")="membership"),"",IF(OR($N391="",$I391="",$I391=0),"",IFERROR($N391/$I391,""))))</x:f>
      </x:c>
      <x:c r="P391" s="112" t="str">
        <x:f>IF(COUNTA($A391:$M391)=0,"",IF(OR(LOWER($F391&amp;"")="subscription",LOWER($F391&amp;"")="membership"),"",IF(LOWER($L391&amp;"")="yes",0,IF($K391&lt;&gt;"",$K391,IF($O391&lt;&gt;"",$O391,"")))))</x:f>
      </x:c>
      <x:c r="Q391" s="112" t="str">
        <x:f>IF(COUNTA($A391:$M391)=0,"",IF(OR($U391="Subscription",$U391=""),"",IF($U391="Profit",ROUND($P391-$H391,2),0)))</x:f>
      </x:c>
      <x:c r="R391" s="112" t="str">
        <x:f>IF(COUNTA($A391:$M391)=0,"",IF(OR($U391="Subscription",$U391=""),"",IF($U391="Draw",$H391,0)))</x:f>
      </x:c>
      <x:c r="S391" s="112" t="str">
        <x:f>IF(COUNTA($A391:$M391)=0,"",IF(OR($U391="Subscription",$U391=""),"",IF($U391="Disqualified",$H391,0)))</x:f>
      </x:c>
      <x:c r="T391" s="116" t="str">
        <x:f>IF(COUNTA($A391:$M391)=0,"",IF(OR($U391="Subscription",$U391=""),"",IF($H391=0,0,IF($U391="Profit",$Q391/$H391,IF($U391="Disqualified",-$S391/$H391,0)))))</x:f>
      </x:c>
      <x:c r="U391" s="290" t="str">
        <x:f>IF(COUNTA($A391:$M391)=0,"",IF(OR(LOWER($F391&amp;"")="subscription",LOWER($F391&amp;"")="membership"),"Subscription",IF(LOWER($L391&amp;"")="yes","Disqualified",IF(OR(LOWER($F391&amp;"")="free game",LOWER($F391&amp;"")="free"),IF(AND(ISNUMBER($P391),ISNUMBER($H391),$P391&gt;$H391),"Profit","Free Game"),IF($P391="","",IF(ROUND(IFERROR(VALUE($P391),0)-IFERROR(VALUE($H391),0),2)&gt;0,"Profit","Draw"))))))</x:f>
      </x:c>
      <x:c r="V391" s="144" t="str">
        <x:f>IF(COUNTA($A391:$M391)=0,"",IF(OR($B391="",$C391="",$U391="Subscription"),"",IFERROR(ROUNDUP(($C391-$B391)/7,0),"")))</x:f>
      </x:c>
      <x:c r="W391" s="112" t="str">
        <x:f>IF(COUNTA($A391:$M391)=0,"",IF(OR($U391="Subscription",$U391=""),"",ROUND(IFERROR($Q391,0)-IFERROR($S391,0),2)))</x:f>
      </x:c>
      <x:c r="X391" s="144" t="str">
        <x:f>IF(COUNTA($A391:$M391)=0,"",IF(OR($U391="Subscription",$U391="Free Game",NOT(ISNUMBER($J391)),NOT(ISNUMBER($I391)),$J391=0,$I391=0,$I391&gt;$J391),"",$J391-$I391))</x:f>
      </x:c>
      <x:c r="Y391" s="116" t="str">
        <x:f>IF(COUNTA($A391:$M391)=0,"",IF(OR($U391="Subscription",$U391="Free Game",NOT(ISNUMBER($J391)),$J391=0,$X391=""),"",$X391/$J391))</x:f>
      </x:c>
      <x:c r="Z391" s="118" t="str">
        <x:f>IF(COUNTA($A391:$M391)=0,"",Instructions!$B$29+SUM($W$5:W391))</x:f>
      </x:c>
    </x:row>
    <x:row r="392" ht="30" customHeight="1">
      <x:c r="A392" s="477"/>
      <x:c r="B392" s="482"/>
      <x:c r="C392" s="482"/>
      <x:c r="D392" s="483"/>
      <x:c r="E392" s="483"/>
      <x:c r="F392" s="483"/>
      <x:c r="G392" s="484"/>
      <x:c r="H392" s="484"/>
      <x:c r="I392" s="485"/>
      <x:c r="J392" s="485"/>
      <x:c r="K392" s="484"/>
      <x:c r="L392" s="483"/>
      <x:c r="M392" s="477"/>
      <x:c r="N392" s="112" t="str">
        <x:f>IF(COUNTA($A392:$M392)=0,"",IF(OR(LOWER($F392&amp;"")="subscription",LOWER($F392&amp;"")="membership"),"",IF($G392="","",IF(ISNUMBER(SEARCH("non",LOWER($E392&amp;""))),$G392*0.85,$G392))))</x:f>
      </x:c>
      <x:c r="O392" s="112" t="str">
        <x:f>IF(COUNTA($A392:$M392)=0,"",IF(OR(LOWER($F392&amp;"")="subscription",LOWER($F392&amp;"")="membership"),"",IF(OR($N392="",$I392="",$I392=0),"",IFERROR($N392/$I392,""))))</x:f>
      </x:c>
      <x:c r="P392" s="112" t="str">
        <x:f>IF(COUNTA($A392:$M392)=0,"",IF(OR(LOWER($F392&amp;"")="subscription",LOWER($F392&amp;"")="membership"),"",IF(LOWER($L392&amp;"")="yes",0,IF($K392&lt;&gt;"",$K392,IF($O392&lt;&gt;"",$O392,"")))))</x:f>
      </x:c>
      <x:c r="Q392" s="112" t="str">
        <x:f>IF(COUNTA($A392:$M392)=0,"",IF(OR($U392="Subscription",$U392=""),"",IF($U392="Profit",ROUND($P392-$H392,2),0)))</x:f>
      </x:c>
      <x:c r="R392" s="112" t="str">
        <x:f>IF(COUNTA($A392:$M392)=0,"",IF(OR($U392="Subscription",$U392=""),"",IF($U392="Draw",$H392,0)))</x:f>
      </x:c>
      <x:c r="S392" s="112" t="str">
        <x:f>IF(COUNTA($A392:$M392)=0,"",IF(OR($U392="Subscription",$U392=""),"",IF($U392="Disqualified",$H392,0)))</x:f>
      </x:c>
      <x:c r="T392" s="116" t="str">
        <x:f>IF(COUNTA($A392:$M392)=0,"",IF(OR($U392="Subscription",$U392=""),"",IF($H392=0,0,IF($U392="Profit",$Q392/$H392,IF($U392="Disqualified",-$S392/$H392,0)))))</x:f>
      </x:c>
      <x:c r="U392" s="290" t="str">
        <x:f>IF(COUNTA($A392:$M392)=0,"",IF(OR(LOWER($F392&amp;"")="subscription",LOWER($F392&amp;"")="membership"),"Subscription",IF(LOWER($L392&amp;"")="yes","Disqualified",IF(OR(LOWER($F392&amp;"")="free game",LOWER($F392&amp;"")="free"),IF(AND(ISNUMBER($P392),ISNUMBER($H392),$P392&gt;$H392),"Profit","Free Game"),IF($P392="","",IF(ROUND(IFERROR(VALUE($P392),0)-IFERROR(VALUE($H392),0),2)&gt;0,"Profit","Draw"))))))</x:f>
      </x:c>
      <x:c r="V392" s="144" t="str">
        <x:f>IF(COUNTA($A392:$M392)=0,"",IF(OR($B392="",$C392="",$U392="Subscription"),"",IFERROR(ROUNDUP(($C392-$B392)/7,0),"")))</x:f>
      </x:c>
      <x:c r="W392" s="112" t="str">
        <x:f>IF(COUNTA($A392:$M392)=0,"",IF(OR($U392="Subscription",$U392=""),"",ROUND(IFERROR($Q392,0)-IFERROR($S392,0),2)))</x:f>
      </x:c>
      <x:c r="X392" s="144" t="str">
        <x:f>IF(COUNTA($A392:$M392)=0,"",IF(OR($U392="Subscription",$U392="Free Game",NOT(ISNUMBER($J392)),NOT(ISNUMBER($I392)),$J392=0,$I392=0,$I392&gt;$J392),"",$J392-$I392))</x:f>
      </x:c>
      <x:c r="Y392" s="116" t="str">
        <x:f>IF(COUNTA($A392:$M392)=0,"",IF(OR($U392="Subscription",$U392="Free Game",NOT(ISNUMBER($J392)),$J392=0,$X392=""),"",$X392/$J392))</x:f>
      </x:c>
      <x:c r="Z392" s="118" t="str">
        <x:f>IF(COUNTA($A392:$M392)=0,"",Instructions!$B$29+SUM($W$5:W392))</x:f>
      </x:c>
    </x:row>
    <x:row r="393" ht="30" customHeight="1">
      <x:c r="A393" s="477"/>
      <x:c r="B393" s="482"/>
      <x:c r="C393" s="482"/>
      <x:c r="D393" s="483"/>
      <x:c r="E393" s="483"/>
      <x:c r="F393" s="483"/>
      <x:c r="G393" s="484"/>
      <x:c r="H393" s="484"/>
      <x:c r="I393" s="485"/>
      <x:c r="J393" s="485"/>
      <x:c r="K393" s="484"/>
      <x:c r="L393" s="483"/>
      <x:c r="M393" s="477"/>
      <x:c r="N393" s="112" t="str">
        <x:f>IF(COUNTA($A393:$M393)=0,"",IF(OR(LOWER($F393&amp;"")="subscription",LOWER($F393&amp;"")="membership"),"",IF($G393="","",IF(ISNUMBER(SEARCH("non",LOWER($E393&amp;""))),$G393*0.85,$G393))))</x:f>
      </x:c>
      <x:c r="O393" s="112" t="str">
        <x:f>IF(COUNTA($A393:$M393)=0,"",IF(OR(LOWER($F393&amp;"")="subscription",LOWER($F393&amp;"")="membership"),"",IF(OR($N393="",$I393="",$I393=0),"",IFERROR($N393/$I393,""))))</x:f>
      </x:c>
      <x:c r="P393" s="112" t="str">
        <x:f>IF(COUNTA($A393:$M393)=0,"",IF(OR(LOWER($F393&amp;"")="subscription",LOWER($F393&amp;"")="membership"),"",IF(LOWER($L393&amp;"")="yes",0,IF($K393&lt;&gt;"",$K393,IF($O393&lt;&gt;"",$O393,"")))))</x:f>
      </x:c>
      <x:c r="Q393" s="112" t="str">
        <x:f>IF(COUNTA($A393:$M393)=0,"",IF(OR($U393="Subscription",$U393=""),"",IF($U393="Profit",ROUND($P393-$H393,2),0)))</x:f>
      </x:c>
      <x:c r="R393" s="112" t="str">
        <x:f>IF(COUNTA($A393:$M393)=0,"",IF(OR($U393="Subscription",$U393=""),"",IF($U393="Draw",$H393,0)))</x:f>
      </x:c>
      <x:c r="S393" s="112" t="str">
        <x:f>IF(COUNTA($A393:$M393)=0,"",IF(OR($U393="Subscription",$U393=""),"",IF($U393="Disqualified",$H393,0)))</x:f>
      </x:c>
      <x:c r="T393" s="116" t="str">
        <x:f>IF(COUNTA($A393:$M393)=0,"",IF(OR($U393="Subscription",$U393=""),"",IF($H393=0,0,IF($U393="Profit",$Q393/$H393,IF($U393="Disqualified",-$S393/$H393,0)))))</x:f>
      </x:c>
      <x:c r="U393" s="290" t="str">
        <x:f>IF(COUNTA($A393:$M393)=0,"",IF(OR(LOWER($F393&amp;"")="subscription",LOWER($F393&amp;"")="membership"),"Subscription",IF(LOWER($L393&amp;"")="yes","Disqualified",IF(OR(LOWER($F393&amp;"")="free game",LOWER($F393&amp;"")="free"),IF(AND(ISNUMBER($P393),ISNUMBER($H393),$P393&gt;$H393),"Profit","Free Game"),IF($P393="","",IF(ROUND(IFERROR(VALUE($P393),0)-IFERROR(VALUE($H393),0),2)&gt;0,"Profit","Draw"))))))</x:f>
      </x:c>
      <x:c r="V393" s="144" t="str">
        <x:f>IF(COUNTA($A393:$M393)=0,"",IF(OR($B393="",$C393="",$U393="Subscription"),"",IFERROR(ROUNDUP(($C393-$B393)/7,0),"")))</x:f>
      </x:c>
      <x:c r="W393" s="112" t="str">
        <x:f>IF(COUNTA($A393:$M393)=0,"",IF(OR($U393="Subscription",$U393=""),"",ROUND(IFERROR($Q393,0)-IFERROR($S393,0),2)))</x:f>
      </x:c>
      <x:c r="X393" s="144" t="str">
        <x:f>IF(COUNTA($A393:$M393)=0,"",IF(OR($U393="Subscription",$U393="Free Game",NOT(ISNUMBER($J393)),NOT(ISNUMBER($I393)),$J393=0,$I393=0,$I393&gt;$J393),"",$J393-$I393))</x:f>
      </x:c>
      <x:c r="Y393" s="116" t="str">
        <x:f>IF(COUNTA($A393:$M393)=0,"",IF(OR($U393="Subscription",$U393="Free Game",NOT(ISNUMBER($J393)),$J393=0,$X393=""),"",$X393/$J393))</x:f>
      </x:c>
      <x:c r="Z393" s="118" t="str">
        <x:f>IF(COUNTA($A393:$M393)=0,"",Instructions!$B$29+SUM($W$5:W393))</x:f>
      </x:c>
    </x:row>
    <x:row r="394" ht="30" customHeight="1">
      <x:c r="A394" s="477"/>
      <x:c r="B394" s="482"/>
      <x:c r="C394" s="482"/>
      <x:c r="D394" s="483"/>
      <x:c r="E394" s="483"/>
      <x:c r="F394" s="483"/>
      <x:c r="G394" s="484"/>
      <x:c r="H394" s="484"/>
      <x:c r="I394" s="485"/>
      <x:c r="J394" s="485"/>
      <x:c r="K394" s="484"/>
      <x:c r="L394" s="483"/>
      <x:c r="M394" s="477"/>
      <x:c r="N394" s="112" t="str">
        <x:f>IF(COUNTA($A394:$M394)=0,"",IF(OR(LOWER($F394&amp;"")="subscription",LOWER($F394&amp;"")="membership"),"",IF($G394="","",IF(ISNUMBER(SEARCH("non",LOWER($E394&amp;""))),$G394*0.85,$G394))))</x:f>
      </x:c>
      <x:c r="O394" s="112" t="str">
        <x:f>IF(COUNTA($A394:$M394)=0,"",IF(OR(LOWER($F394&amp;"")="subscription",LOWER($F394&amp;"")="membership"),"",IF(OR($N394="",$I394="",$I394=0),"",IFERROR($N394/$I394,""))))</x:f>
      </x:c>
      <x:c r="P394" s="112" t="str">
        <x:f>IF(COUNTA($A394:$M394)=0,"",IF(OR(LOWER($F394&amp;"")="subscription",LOWER($F394&amp;"")="membership"),"",IF(LOWER($L394&amp;"")="yes",0,IF($K394&lt;&gt;"",$K394,IF($O394&lt;&gt;"",$O394,"")))))</x:f>
      </x:c>
      <x:c r="Q394" s="112" t="str">
        <x:f>IF(COUNTA($A394:$M394)=0,"",IF(OR($U394="Subscription",$U394=""),"",IF($U394="Profit",ROUND($P394-$H394,2),0)))</x:f>
      </x:c>
      <x:c r="R394" s="112" t="str">
        <x:f>IF(COUNTA($A394:$M394)=0,"",IF(OR($U394="Subscription",$U394=""),"",IF($U394="Draw",$H394,0)))</x:f>
      </x:c>
      <x:c r="S394" s="112" t="str">
        <x:f>IF(COUNTA($A394:$M394)=0,"",IF(OR($U394="Subscription",$U394=""),"",IF($U394="Disqualified",$H394,0)))</x:f>
      </x:c>
      <x:c r="T394" s="116" t="str">
        <x:f>IF(COUNTA($A394:$M394)=0,"",IF(OR($U394="Subscription",$U394=""),"",IF($H394=0,0,IF($U394="Profit",$Q394/$H394,IF($U394="Disqualified",-$S394/$H394,0)))))</x:f>
      </x:c>
      <x:c r="U394" s="290" t="str">
        <x:f>IF(COUNTA($A394:$M394)=0,"",IF(OR(LOWER($F394&amp;"")="subscription",LOWER($F394&amp;"")="membership"),"Subscription",IF(LOWER($L394&amp;"")="yes","Disqualified",IF(OR(LOWER($F394&amp;"")="free game",LOWER($F394&amp;"")="free"),IF(AND(ISNUMBER($P394),ISNUMBER($H394),$P394&gt;$H394),"Profit","Free Game"),IF($P394="","",IF(ROUND(IFERROR(VALUE($P394),0)-IFERROR(VALUE($H394),0),2)&gt;0,"Profit","Draw"))))))</x:f>
      </x:c>
      <x:c r="V394" s="144" t="str">
        <x:f>IF(COUNTA($A394:$M394)=0,"",IF(OR($B394="",$C394="",$U394="Subscription"),"",IFERROR(ROUNDUP(($C394-$B394)/7,0),"")))</x:f>
      </x:c>
      <x:c r="W394" s="112" t="str">
        <x:f>IF(COUNTA($A394:$M394)=0,"",IF(OR($U394="Subscription",$U394=""),"",ROUND(IFERROR($Q394,0)-IFERROR($S394,0),2)))</x:f>
      </x:c>
      <x:c r="X394" s="144" t="str">
        <x:f>IF(COUNTA($A394:$M394)=0,"",IF(OR($U394="Subscription",$U394="Free Game",NOT(ISNUMBER($J394)),NOT(ISNUMBER($I394)),$J394=0,$I394=0,$I394&gt;$J394),"",$J394-$I394))</x:f>
      </x:c>
      <x:c r="Y394" s="116" t="str">
        <x:f>IF(COUNTA($A394:$M394)=0,"",IF(OR($U394="Subscription",$U394="Free Game",NOT(ISNUMBER($J394)),$J394=0,$X394=""),"",$X394/$J394))</x:f>
      </x:c>
      <x:c r="Z394" s="118" t="str">
        <x:f>IF(COUNTA($A394:$M394)=0,"",Instructions!$B$29+SUM($W$5:W394))</x:f>
      </x:c>
    </x:row>
    <x:row r="395" ht="30" customHeight="1">
      <x:c r="A395" s="477"/>
      <x:c r="B395" s="482"/>
      <x:c r="C395" s="482"/>
      <x:c r="D395" s="483"/>
      <x:c r="E395" s="483"/>
      <x:c r="F395" s="483"/>
      <x:c r="G395" s="484"/>
      <x:c r="H395" s="484"/>
      <x:c r="I395" s="485"/>
      <x:c r="J395" s="485"/>
      <x:c r="K395" s="484"/>
      <x:c r="L395" s="483"/>
      <x:c r="M395" s="477"/>
      <x:c r="N395" s="112" t="str">
        <x:f>IF(COUNTA($A395:$M395)=0,"",IF(OR(LOWER($F395&amp;"")="subscription",LOWER($F395&amp;"")="membership"),"",IF($G395="","",IF(ISNUMBER(SEARCH("non",LOWER($E395&amp;""))),$G395*0.85,$G395))))</x:f>
      </x:c>
      <x:c r="O395" s="112" t="str">
        <x:f>IF(COUNTA($A395:$M395)=0,"",IF(OR(LOWER($F395&amp;"")="subscription",LOWER($F395&amp;"")="membership"),"",IF(OR($N395="",$I395="",$I395=0),"",IFERROR($N395/$I395,""))))</x:f>
      </x:c>
      <x:c r="P395" s="112" t="str">
        <x:f>IF(COUNTA($A395:$M395)=0,"",IF(OR(LOWER($F395&amp;"")="subscription",LOWER($F395&amp;"")="membership"),"",IF(LOWER($L395&amp;"")="yes",0,IF($K395&lt;&gt;"",$K395,IF($O395&lt;&gt;"",$O395,"")))))</x:f>
      </x:c>
      <x:c r="Q395" s="112" t="str">
        <x:f>IF(COUNTA($A395:$M395)=0,"",IF(OR($U395="Subscription",$U395=""),"",IF($U395="Profit",ROUND($P395-$H395,2),0)))</x:f>
      </x:c>
      <x:c r="R395" s="112" t="str">
        <x:f>IF(COUNTA($A395:$M395)=0,"",IF(OR($U395="Subscription",$U395=""),"",IF($U395="Draw",$H395,0)))</x:f>
      </x:c>
      <x:c r="S395" s="112" t="str">
        <x:f>IF(COUNTA($A395:$M395)=0,"",IF(OR($U395="Subscription",$U395=""),"",IF($U395="Disqualified",$H395,0)))</x:f>
      </x:c>
      <x:c r="T395" s="116" t="str">
        <x:f>IF(COUNTA($A395:$M395)=0,"",IF(OR($U395="Subscription",$U395=""),"",IF($H395=0,0,IF($U395="Profit",$Q395/$H395,IF($U395="Disqualified",-$S395/$H395,0)))))</x:f>
      </x:c>
      <x:c r="U395" s="290" t="str">
        <x:f>IF(COUNTA($A395:$M395)=0,"",IF(OR(LOWER($F395&amp;"")="subscription",LOWER($F395&amp;"")="membership"),"Subscription",IF(LOWER($L395&amp;"")="yes","Disqualified",IF(OR(LOWER($F395&amp;"")="free game",LOWER($F395&amp;"")="free"),IF(AND(ISNUMBER($P395),ISNUMBER($H395),$P395&gt;$H395),"Profit","Free Game"),IF($P395="","",IF(ROUND(IFERROR(VALUE($P395),0)-IFERROR(VALUE($H395),0),2)&gt;0,"Profit","Draw"))))))</x:f>
      </x:c>
      <x:c r="V395" s="144" t="str">
        <x:f>IF(COUNTA($A395:$M395)=0,"",IF(OR($B395="",$C395="",$U395="Subscription"),"",IFERROR(ROUNDUP(($C395-$B395)/7,0),"")))</x:f>
      </x:c>
      <x:c r="W395" s="112" t="str">
        <x:f>IF(COUNTA($A395:$M395)=0,"",IF(OR($U395="Subscription",$U395=""),"",ROUND(IFERROR($Q395,0)-IFERROR($S395,0),2)))</x:f>
      </x:c>
      <x:c r="X395" s="144" t="str">
        <x:f>IF(COUNTA($A395:$M395)=0,"",IF(OR($U395="Subscription",$U395="Free Game",NOT(ISNUMBER($J395)),NOT(ISNUMBER($I395)),$J395=0,$I395=0,$I395&gt;$J395),"",$J395-$I395))</x:f>
      </x:c>
      <x:c r="Y395" s="116" t="str">
        <x:f>IF(COUNTA($A395:$M395)=0,"",IF(OR($U395="Subscription",$U395="Free Game",NOT(ISNUMBER($J395)),$J395=0,$X395=""),"",$X395/$J395))</x:f>
      </x:c>
      <x:c r="Z395" s="118" t="str">
        <x:f>IF(COUNTA($A395:$M395)=0,"",Instructions!$B$29+SUM($W$5:W395))</x:f>
      </x:c>
    </x:row>
    <x:row r="396" ht="30" customHeight="1">
      <x:c r="A396" s="477"/>
      <x:c r="B396" s="482"/>
      <x:c r="C396" s="482"/>
      <x:c r="D396" s="483"/>
      <x:c r="E396" s="483"/>
      <x:c r="F396" s="483"/>
      <x:c r="G396" s="484"/>
      <x:c r="H396" s="484"/>
      <x:c r="I396" s="485"/>
      <x:c r="J396" s="485"/>
      <x:c r="K396" s="484"/>
      <x:c r="L396" s="483"/>
      <x:c r="M396" s="477"/>
      <x:c r="N396" s="112" t="str">
        <x:f>IF(COUNTA($A396:$M396)=0,"",IF(OR(LOWER($F396&amp;"")="subscription",LOWER($F396&amp;"")="membership"),"",IF($G396="","",IF(ISNUMBER(SEARCH("non",LOWER($E396&amp;""))),$G396*0.85,$G396))))</x:f>
      </x:c>
      <x:c r="O396" s="112" t="str">
        <x:f>IF(COUNTA($A396:$M396)=0,"",IF(OR(LOWER($F396&amp;"")="subscription",LOWER($F396&amp;"")="membership"),"",IF(OR($N396="",$I396="",$I396=0),"",IFERROR($N396/$I396,""))))</x:f>
      </x:c>
      <x:c r="P396" s="112" t="str">
        <x:f>IF(COUNTA($A396:$M396)=0,"",IF(OR(LOWER($F396&amp;"")="subscription",LOWER($F396&amp;"")="membership"),"",IF(LOWER($L396&amp;"")="yes",0,IF($K396&lt;&gt;"",$K396,IF($O396&lt;&gt;"",$O396,"")))))</x:f>
      </x:c>
      <x:c r="Q396" s="112" t="str">
        <x:f>IF(COUNTA($A396:$M396)=0,"",IF(OR($U396="Subscription",$U396=""),"",IF($U396="Profit",ROUND($P396-$H396,2),0)))</x:f>
      </x:c>
      <x:c r="R396" s="112" t="str">
        <x:f>IF(COUNTA($A396:$M396)=0,"",IF(OR($U396="Subscription",$U396=""),"",IF($U396="Draw",$H396,0)))</x:f>
      </x:c>
      <x:c r="S396" s="112" t="str">
        <x:f>IF(COUNTA($A396:$M396)=0,"",IF(OR($U396="Subscription",$U396=""),"",IF($U396="Disqualified",$H396,0)))</x:f>
      </x:c>
      <x:c r="T396" s="116" t="str">
        <x:f>IF(COUNTA($A396:$M396)=0,"",IF(OR($U396="Subscription",$U396=""),"",IF($H396=0,0,IF($U396="Profit",$Q396/$H396,IF($U396="Disqualified",-$S396/$H396,0)))))</x:f>
      </x:c>
      <x:c r="U396" s="290" t="str">
        <x:f>IF(COUNTA($A396:$M396)=0,"",IF(OR(LOWER($F396&amp;"")="subscription",LOWER($F396&amp;"")="membership"),"Subscription",IF(LOWER($L396&amp;"")="yes","Disqualified",IF(OR(LOWER($F396&amp;"")="free game",LOWER($F396&amp;"")="free"),IF(AND(ISNUMBER($P396),ISNUMBER($H396),$P396&gt;$H396),"Profit","Free Game"),IF($P396="","",IF(ROUND(IFERROR(VALUE($P396),0)-IFERROR(VALUE($H396),0),2)&gt;0,"Profit","Draw"))))))</x:f>
      </x:c>
      <x:c r="V396" s="144" t="str">
        <x:f>IF(COUNTA($A396:$M396)=0,"",IF(OR($B396="",$C396="",$U396="Subscription"),"",IFERROR(ROUNDUP(($C396-$B396)/7,0),"")))</x:f>
      </x:c>
      <x:c r="W396" s="112" t="str">
        <x:f>IF(COUNTA($A396:$M396)=0,"",IF(OR($U396="Subscription",$U396=""),"",ROUND(IFERROR($Q396,0)-IFERROR($S396,0),2)))</x:f>
      </x:c>
      <x:c r="X396" s="144" t="str">
        <x:f>IF(COUNTA($A396:$M396)=0,"",IF(OR($U396="Subscription",$U396="Free Game",NOT(ISNUMBER($J396)),NOT(ISNUMBER($I396)),$J396=0,$I396=0,$I396&gt;$J396),"",$J396-$I396))</x:f>
      </x:c>
      <x:c r="Y396" s="116" t="str">
        <x:f>IF(COUNTA($A396:$M396)=0,"",IF(OR($U396="Subscription",$U396="Free Game",NOT(ISNUMBER($J396)),$J396=0,$X396=""),"",$X396/$J396))</x:f>
      </x:c>
      <x:c r="Z396" s="118" t="str">
        <x:f>IF(COUNTA($A396:$M396)=0,"",Instructions!$B$29+SUM($W$5:W396))</x:f>
      </x:c>
    </x:row>
    <x:row r="397" ht="30" customHeight="1">
      <x:c r="A397" s="477"/>
      <x:c r="B397" s="482"/>
      <x:c r="C397" s="482"/>
      <x:c r="D397" s="483"/>
      <x:c r="E397" s="483"/>
      <x:c r="F397" s="483"/>
      <x:c r="G397" s="484"/>
      <x:c r="H397" s="484"/>
      <x:c r="I397" s="485"/>
      <x:c r="J397" s="485"/>
      <x:c r="K397" s="484"/>
      <x:c r="L397" s="483"/>
      <x:c r="M397" s="477"/>
      <x:c r="N397" s="112" t="str">
        <x:f>IF(COUNTA($A397:$M397)=0,"",IF(OR(LOWER($F397&amp;"")="subscription",LOWER($F397&amp;"")="membership"),"",IF($G397="","",IF(ISNUMBER(SEARCH("non",LOWER($E397&amp;""))),$G397*0.85,$G397))))</x:f>
      </x:c>
      <x:c r="O397" s="112" t="str">
        <x:f>IF(COUNTA($A397:$M397)=0,"",IF(OR(LOWER($F397&amp;"")="subscription",LOWER($F397&amp;"")="membership"),"",IF(OR($N397="",$I397="",$I397=0),"",IFERROR($N397/$I397,""))))</x:f>
      </x:c>
      <x:c r="P397" s="112" t="str">
        <x:f>IF(COUNTA($A397:$M397)=0,"",IF(OR(LOWER($F397&amp;"")="subscription",LOWER($F397&amp;"")="membership"),"",IF(LOWER($L397&amp;"")="yes",0,IF($K397&lt;&gt;"",$K397,IF($O397&lt;&gt;"",$O397,"")))))</x:f>
      </x:c>
      <x:c r="Q397" s="112" t="str">
        <x:f>IF(COUNTA($A397:$M397)=0,"",IF(OR($U397="Subscription",$U397=""),"",IF($U397="Profit",ROUND($P397-$H397,2),0)))</x:f>
      </x:c>
      <x:c r="R397" s="112" t="str">
        <x:f>IF(COUNTA($A397:$M397)=0,"",IF(OR($U397="Subscription",$U397=""),"",IF($U397="Draw",$H397,0)))</x:f>
      </x:c>
      <x:c r="S397" s="112" t="str">
        <x:f>IF(COUNTA($A397:$M397)=0,"",IF(OR($U397="Subscription",$U397=""),"",IF($U397="Disqualified",$H397,0)))</x:f>
      </x:c>
      <x:c r="T397" s="116" t="str">
        <x:f>IF(COUNTA($A397:$M397)=0,"",IF(OR($U397="Subscription",$U397=""),"",IF($H397=0,0,IF($U397="Profit",$Q397/$H397,IF($U397="Disqualified",-$S397/$H397,0)))))</x:f>
      </x:c>
      <x:c r="U397" s="290" t="str">
        <x:f>IF(COUNTA($A397:$M397)=0,"",IF(OR(LOWER($F397&amp;"")="subscription",LOWER($F397&amp;"")="membership"),"Subscription",IF(LOWER($L397&amp;"")="yes","Disqualified",IF(OR(LOWER($F397&amp;"")="free game",LOWER($F397&amp;"")="free"),IF(AND(ISNUMBER($P397),ISNUMBER($H397),$P397&gt;$H397),"Profit","Free Game"),IF($P397="","",IF(ROUND(IFERROR(VALUE($P397),0)-IFERROR(VALUE($H397),0),2)&gt;0,"Profit","Draw"))))))</x:f>
      </x:c>
      <x:c r="V397" s="144" t="str">
        <x:f>IF(COUNTA($A397:$M397)=0,"",IF(OR($B397="",$C397="",$U397="Subscription"),"",IFERROR(ROUNDUP(($C397-$B397)/7,0),"")))</x:f>
      </x:c>
      <x:c r="W397" s="112" t="str">
        <x:f>IF(COUNTA($A397:$M397)=0,"",IF(OR($U397="Subscription",$U397=""),"",ROUND(IFERROR($Q397,0)-IFERROR($S397,0),2)))</x:f>
      </x:c>
      <x:c r="X397" s="144" t="str">
        <x:f>IF(COUNTA($A397:$M397)=0,"",IF(OR($U397="Subscription",$U397="Free Game",NOT(ISNUMBER($J397)),NOT(ISNUMBER($I397)),$J397=0,$I397=0,$I397&gt;$J397),"",$J397-$I397))</x:f>
      </x:c>
      <x:c r="Y397" s="116" t="str">
        <x:f>IF(COUNTA($A397:$M397)=0,"",IF(OR($U397="Subscription",$U397="Free Game",NOT(ISNUMBER($J397)),$J397=0,$X397=""),"",$X397/$J397))</x:f>
      </x:c>
      <x:c r="Z397" s="118" t="str">
        <x:f>IF(COUNTA($A397:$M397)=0,"",Instructions!$B$29+SUM($W$5:W397))</x:f>
      </x:c>
    </x:row>
    <x:row r="398" ht="30" customHeight="1">
      <x:c r="A398" s="477"/>
      <x:c r="B398" s="482"/>
      <x:c r="C398" s="482"/>
      <x:c r="D398" s="483"/>
      <x:c r="E398" s="483"/>
      <x:c r="F398" s="483"/>
      <x:c r="G398" s="484"/>
      <x:c r="H398" s="484"/>
      <x:c r="I398" s="485"/>
      <x:c r="J398" s="485"/>
      <x:c r="K398" s="484"/>
      <x:c r="L398" s="483"/>
      <x:c r="M398" s="477"/>
      <x:c r="N398" s="112" t="str">
        <x:f>IF(COUNTA($A398:$M398)=0,"",IF(OR(LOWER($F398&amp;"")="subscription",LOWER($F398&amp;"")="membership"),"",IF($G398="","",IF(ISNUMBER(SEARCH("non",LOWER($E398&amp;""))),$G398*0.85,$G398))))</x:f>
      </x:c>
      <x:c r="O398" s="112" t="str">
        <x:f>IF(COUNTA($A398:$M398)=0,"",IF(OR(LOWER($F398&amp;"")="subscription",LOWER($F398&amp;"")="membership"),"",IF(OR($N398="",$I398="",$I398=0),"",IFERROR($N398/$I398,""))))</x:f>
      </x:c>
      <x:c r="P398" s="112" t="str">
        <x:f>IF(COUNTA($A398:$M398)=0,"",IF(OR(LOWER($F398&amp;"")="subscription",LOWER($F398&amp;"")="membership"),"",IF(LOWER($L398&amp;"")="yes",0,IF($K398&lt;&gt;"",$K398,IF($O398&lt;&gt;"",$O398,"")))))</x:f>
      </x:c>
      <x:c r="Q398" s="112" t="str">
        <x:f>IF(COUNTA($A398:$M398)=0,"",IF(OR($U398="Subscription",$U398=""),"",IF($U398="Profit",ROUND($P398-$H398,2),0)))</x:f>
      </x:c>
      <x:c r="R398" s="112" t="str">
        <x:f>IF(COUNTA($A398:$M398)=0,"",IF(OR($U398="Subscription",$U398=""),"",IF($U398="Draw",$H398,0)))</x:f>
      </x:c>
      <x:c r="S398" s="112" t="str">
        <x:f>IF(COUNTA($A398:$M398)=0,"",IF(OR($U398="Subscription",$U398=""),"",IF($U398="Disqualified",$H398,0)))</x:f>
      </x:c>
      <x:c r="T398" s="116" t="str">
        <x:f>IF(COUNTA($A398:$M398)=0,"",IF(OR($U398="Subscription",$U398=""),"",IF($H398=0,0,IF($U398="Profit",$Q398/$H398,IF($U398="Disqualified",-$S398/$H398,0)))))</x:f>
      </x:c>
      <x:c r="U398" s="290" t="str">
        <x:f>IF(COUNTA($A398:$M398)=0,"",IF(OR(LOWER($F398&amp;"")="subscription",LOWER($F398&amp;"")="membership"),"Subscription",IF(LOWER($L398&amp;"")="yes","Disqualified",IF(OR(LOWER($F398&amp;"")="free game",LOWER($F398&amp;"")="free"),IF(AND(ISNUMBER($P398),ISNUMBER($H398),$P398&gt;$H398),"Profit","Free Game"),IF($P398="","",IF(ROUND(IFERROR(VALUE($P398),0)-IFERROR(VALUE($H398),0),2)&gt;0,"Profit","Draw"))))))</x:f>
      </x:c>
      <x:c r="V398" s="144" t="str">
        <x:f>IF(COUNTA($A398:$M398)=0,"",IF(OR($B398="",$C398="",$U398="Subscription"),"",IFERROR(ROUNDUP(($C398-$B398)/7,0),"")))</x:f>
      </x:c>
      <x:c r="W398" s="112" t="str">
        <x:f>IF(COUNTA($A398:$M398)=0,"",IF(OR($U398="Subscription",$U398=""),"",ROUND(IFERROR($Q398,0)-IFERROR($S398,0),2)))</x:f>
      </x:c>
      <x:c r="X398" s="144" t="str">
        <x:f>IF(COUNTA($A398:$M398)=0,"",IF(OR($U398="Subscription",$U398="Free Game",NOT(ISNUMBER($J398)),NOT(ISNUMBER($I398)),$J398=0,$I398=0,$I398&gt;$J398),"",$J398-$I398))</x:f>
      </x:c>
      <x:c r="Y398" s="116" t="str">
        <x:f>IF(COUNTA($A398:$M398)=0,"",IF(OR($U398="Subscription",$U398="Free Game",NOT(ISNUMBER($J398)),$J398=0,$X398=""),"",$X398/$J398))</x:f>
      </x:c>
      <x:c r="Z398" s="118" t="str">
        <x:f>IF(COUNTA($A398:$M398)=0,"",Instructions!$B$29+SUM($W$5:W398))</x:f>
      </x:c>
    </x:row>
    <x:row r="399" ht="30" customHeight="1">
      <x:c r="A399" s="477"/>
      <x:c r="B399" s="482"/>
      <x:c r="C399" s="482"/>
      <x:c r="D399" s="483"/>
      <x:c r="E399" s="483"/>
      <x:c r="F399" s="483"/>
      <x:c r="G399" s="484"/>
      <x:c r="H399" s="484"/>
      <x:c r="I399" s="485"/>
      <x:c r="J399" s="485"/>
      <x:c r="K399" s="484"/>
      <x:c r="L399" s="483"/>
      <x:c r="M399" s="477"/>
      <x:c r="N399" s="112" t="str">
        <x:f>IF(COUNTA($A399:$M399)=0,"",IF(OR(LOWER($F399&amp;"")="subscription",LOWER($F399&amp;"")="membership"),"",IF($G399="","",IF(ISNUMBER(SEARCH("non",LOWER($E399&amp;""))),$G399*0.85,$G399))))</x:f>
      </x:c>
      <x:c r="O399" s="112" t="str">
        <x:f>IF(COUNTA($A399:$M399)=0,"",IF(OR(LOWER($F399&amp;"")="subscription",LOWER($F399&amp;"")="membership"),"",IF(OR($N399="",$I399="",$I399=0),"",IFERROR($N399/$I399,""))))</x:f>
      </x:c>
      <x:c r="P399" s="112" t="str">
        <x:f>IF(COUNTA($A399:$M399)=0,"",IF(OR(LOWER($F399&amp;"")="subscription",LOWER($F399&amp;"")="membership"),"",IF(LOWER($L399&amp;"")="yes",0,IF($K399&lt;&gt;"",$K399,IF($O399&lt;&gt;"",$O399,"")))))</x:f>
      </x:c>
      <x:c r="Q399" s="112" t="str">
        <x:f>IF(COUNTA($A399:$M399)=0,"",IF(OR($U399="Subscription",$U399=""),"",IF($U399="Profit",ROUND($P399-$H399,2),0)))</x:f>
      </x:c>
      <x:c r="R399" s="112" t="str">
        <x:f>IF(COUNTA($A399:$M399)=0,"",IF(OR($U399="Subscription",$U399=""),"",IF($U399="Draw",$H399,0)))</x:f>
      </x:c>
      <x:c r="S399" s="112" t="str">
        <x:f>IF(COUNTA($A399:$M399)=0,"",IF(OR($U399="Subscription",$U399=""),"",IF($U399="Disqualified",$H399,0)))</x:f>
      </x:c>
      <x:c r="T399" s="116" t="str">
        <x:f>IF(COUNTA($A399:$M399)=0,"",IF(OR($U399="Subscription",$U399=""),"",IF($H399=0,0,IF($U399="Profit",$Q399/$H399,IF($U399="Disqualified",-$S399/$H399,0)))))</x:f>
      </x:c>
      <x:c r="U399" s="290" t="str">
        <x:f>IF(COUNTA($A399:$M399)=0,"",IF(OR(LOWER($F399&amp;"")="subscription",LOWER($F399&amp;"")="membership"),"Subscription",IF(LOWER($L399&amp;"")="yes","Disqualified",IF(OR(LOWER($F399&amp;"")="free game",LOWER($F399&amp;"")="free"),IF(AND(ISNUMBER($P399),ISNUMBER($H399),$P399&gt;$H399),"Profit","Free Game"),IF($P399="","",IF(ROUND(IFERROR(VALUE($P399),0)-IFERROR(VALUE($H399),0),2)&gt;0,"Profit","Draw"))))))</x:f>
      </x:c>
      <x:c r="V399" s="144" t="str">
        <x:f>IF(COUNTA($A399:$M399)=0,"",IF(OR($B399="",$C399="",$U399="Subscription"),"",IFERROR(ROUNDUP(($C399-$B399)/7,0),"")))</x:f>
      </x:c>
      <x:c r="W399" s="112" t="str">
        <x:f>IF(COUNTA($A399:$M399)=0,"",IF(OR($U399="Subscription",$U399=""),"",ROUND(IFERROR($Q399,0)-IFERROR($S399,0),2)))</x:f>
      </x:c>
      <x:c r="X399" s="144" t="str">
        <x:f>IF(COUNTA($A399:$M399)=0,"",IF(OR($U399="Subscription",$U399="Free Game",NOT(ISNUMBER($J399)),NOT(ISNUMBER($I399)),$J399=0,$I399=0,$I399&gt;$J399),"",$J399-$I399))</x:f>
      </x:c>
      <x:c r="Y399" s="116" t="str">
        <x:f>IF(COUNTA($A399:$M399)=0,"",IF(OR($U399="Subscription",$U399="Free Game",NOT(ISNUMBER($J399)),$J399=0,$X399=""),"",$X399/$J399))</x:f>
      </x:c>
      <x:c r="Z399" s="118" t="str">
        <x:f>IF(COUNTA($A399:$M399)=0,"",Instructions!$B$29+SUM($W$5:W399))</x:f>
      </x:c>
    </x:row>
    <x:row r="400" ht="30" customHeight="1">
      <x:c r="A400" s="477"/>
      <x:c r="B400" s="482"/>
      <x:c r="C400" s="482"/>
      <x:c r="D400" s="483"/>
      <x:c r="E400" s="483"/>
      <x:c r="F400" s="483"/>
      <x:c r="G400" s="484"/>
      <x:c r="H400" s="484"/>
      <x:c r="I400" s="485"/>
      <x:c r="J400" s="485"/>
      <x:c r="K400" s="484"/>
      <x:c r="L400" s="483"/>
      <x:c r="M400" s="477"/>
      <x:c r="N400" s="112" t="str">
        <x:f>IF(COUNTA($A400:$M400)=0,"",IF(OR(LOWER($F400&amp;"")="subscription",LOWER($F400&amp;"")="membership"),"",IF($G400="","",IF(ISNUMBER(SEARCH("non",LOWER($E400&amp;""))),$G400*0.85,$G400))))</x:f>
      </x:c>
      <x:c r="O400" s="112" t="str">
        <x:f>IF(COUNTA($A400:$M400)=0,"",IF(OR(LOWER($F400&amp;"")="subscription",LOWER($F400&amp;"")="membership"),"",IF(OR($N400="",$I400="",$I400=0),"",IFERROR($N400/$I400,""))))</x:f>
      </x:c>
      <x:c r="P400" s="112" t="str">
        <x:f>IF(COUNTA($A400:$M400)=0,"",IF(OR(LOWER($F400&amp;"")="subscription",LOWER($F400&amp;"")="membership"),"",IF(LOWER($L400&amp;"")="yes",0,IF($K400&lt;&gt;"",$K400,IF($O400&lt;&gt;"",$O400,"")))))</x:f>
      </x:c>
      <x:c r="Q400" s="112" t="str">
        <x:f>IF(COUNTA($A400:$M400)=0,"",IF(OR($U400="Subscription",$U400=""),"",IF($U400="Profit",ROUND($P400-$H400,2),0)))</x:f>
      </x:c>
      <x:c r="R400" s="112" t="str">
        <x:f>IF(COUNTA($A400:$M400)=0,"",IF(OR($U400="Subscription",$U400=""),"",IF($U400="Draw",$H400,0)))</x:f>
      </x:c>
      <x:c r="S400" s="112" t="str">
        <x:f>IF(COUNTA($A400:$M400)=0,"",IF(OR($U400="Subscription",$U400=""),"",IF($U400="Disqualified",$H400,0)))</x:f>
      </x:c>
      <x:c r="T400" s="116" t="str">
        <x:f>IF(COUNTA($A400:$M400)=0,"",IF(OR($U400="Subscription",$U400=""),"",IF($H400=0,0,IF($U400="Profit",$Q400/$H400,IF($U400="Disqualified",-$S400/$H400,0)))))</x:f>
      </x:c>
      <x:c r="U400" s="290" t="str">
        <x:f>IF(COUNTA($A400:$M400)=0,"",IF(OR(LOWER($F400&amp;"")="subscription",LOWER($F400&amp;"")="membership"),"Subscription",IF(LOWER($L400&amp;"")="yes","Disqualified",IF(OR(LOWER($F400&amp;"")="free game",LOWER($F400&amp;"")="free"),IF(AND(ISNUMBER($P400),ISNUMBER($H400),$P400&gt;$H400),"Profit","Free Game"),IF($P400="","",IF(ROUND(IFERROR(VALUE($P400),0)-IFERROR(VALUE($H400),0),2)&gt;0,"Profit","Draw"))))))</x:f>
      </x:c>
      <x:c r="V400" s="144" t="str">
        <x:f>IF(COUNTA($A400:$M400)=0,"",IF(OR($B400="",$C400="",$U400="Subscription"),"",IFERROR(ROUNDUP(($C400-$B400)/7,0),"")))</x:f>
      </x:c>
      <x:c r="W400" s="112" t="str">
        <x:f>IF(COUNTA($A400:$M400)=0,"",IF(OR($U400="Subscription",$U400=""),"",ROUND(IFERROR($Q400,0)-IFERROR($S400,0),2)))</x:f>
      </x:c>
      <x:c r="X400" s="144" t="str">
        <x:f>IF(COUNTA($A400:$M400)=0,"",IF(OR($U400="Subscription",$U400="Free Game",NOT(ISNUMBER($J400)),NOT(ISNUMBER($I400)),$J400=0,$I400=0,$I400&gt;$J400),"",$J400-$I400))</x:f>
      </x:c>
      <x:c r="Y400" s="116" t="str">
        <x:f>IF(COUNTA($A400:$M400)=0,"",IF(OR($U400="Subscription",$U400="Free Game",NOT(ISNUMBER($J400)),$J400=0,$X400=""),"",$X400/$J400))</x:f>
      </x:c>
      <x:c r="Z400" s="118" t="str">
        <x:f>IF(COUNTA($A400:$M400)=0,"",Instructions!$B$29+SUM($W$5:W400))</x:f>
      </x:c>
    </x:row>
    <x:row r="401" ht="30" customHeight="1">
      <x:c r="A401" s="477"/>
      <x:c r="B401" s="482"/>
      <x:c r="C401" s="482"/>
      <x:c r="D401" s="483"/>
      <x:c r="E401" s="483"/>
      <x:c r="F401" s="483"/>
      <x:c r="G401" s="484"/>
      <x:c r="H401" s="484"/>
      <x:c r="I401" s="485"/>
      <x:c r="J401" s="485"/>
      <x:c r="K401" s="484"/>
      <x:c r="L401" s="483"/>
      <x:c r="M401" s="477"/>
      <x:c r="N401" s="112" t="str">
        <x:f>IF(COUNTA($A401:$M401)=0,"",IF(OR(LOWER($F401&amp;"")="subscription",LOWER($F401&amp;"")="membership"),"",IF($G401="","",IF(ISNUMBER(SEARCH("non",LOWER($E401&amp;""))),$G401*0.85,$G401))))</x:f>
      </x:c>
      <x:c r="O401" s="112" t="str">
        <x:f>IF(COUNTA($A401:$M401)=0,"",IF(OR(LOWER($F401&amp;"")="subscription",LOWER($F401&amp;"")="membership"),"",IF(OR($N401="",$I401="",$I401=0),"",IFERROR($N401/$I401,""))))</x:f>
      </x:c>
      <x:c r="P401" s="112" t="str">
        <x:f>IF(COUNTA($A401:$M401)=0,"",IF(OR(LOWER($F401&amp;"")="subscription",LOWER($F401&amp;"")="membership"),"",IF(LOWER($L401&amp;"")="yes",0,IF($K401&lt;&gt;"",$K401,IF($O401&lt;&gt;"",$O401,"")))))</x:f>
      </x:c>
      <x:c r="Q401" s="112" t="str">
        <x:f>IF(COUNTA($A401:$M401)=0,"",IF(OR($U401="Subscription",$U401=""),"",IF($U401="Profit",ROUND($P401-$H401,2),0)))</x:f>
      </x:c>
      <x:c r="R401" s="112" t="str">
        <x:f>IF(COUNTA($A401:$M401)=0,"",IF(OR($U401="Subscription",$U401=""),"",IF($U401="Draw",$H401,0)))</x:f>
      </x:c>
      <x:c r="S401" s="112" t="str">
        <x:f>IF(COUNTA($A401:$M401)=0,"",IF(OR($U401="Subscription",$U401=""),"",IF($U401="Disqualified",$H401,0)))</x:f>
      </x:c>
      <x:c r="T401" s="116" t="str">
        <x:f>IF(COUNTA($A401:$M401)=0,"",IF(OR($U401="Subscription",$U401=""),"",IF($H401=0,0,IF($U401="Profit",$Q401/$H401,IF($U401="Disqualified",-$S401/$H401,0)))))</x:f>
      </x:c>
      <x:c r="U401" s="290" t="str">
        <x:f>IF(COUNTA($A401:$M401)=0,"",IF(OR(LOWER($F401&amp;"")="subscription",LOWER($F401&amp;"")="membership"),"Subscription",IF(LOWER($L401&amp;"")="yes","Disqualified",IF(OR(LOWER($F401&amp;"")="free game",LOWER($F401&amp;"")="free"),IF(AND(ISNUMBER($P401),ISNUMBER($H401),$P401&gt;$H401),"Profit","Free Game"),IF($P401="","",IF(ROUND(IFERROR(VALUE($P401),0)-IFERROR(VALUE($H401),0),2)&gt;0,"Profit","Draw"))))))</x:f>
      </x:c>
      <x:c r="V401" s="144" t="str">
        <x:f>IF(COUNTA($A401:$M401)=0,"",IF(OR($B401="",$C401="",$U401="Subscription"),"",IFERROR(ROUNDUP(($C401-$B401)/7,0),"")))</x:f>
      </x:c>
      <x:c r="W401" s="112" t="str">
        <x:f>IF(COUNTA($A401:$M401)=0,"",IF(OR($U401="Subscription",$U401=""),"",ROUND(IFERROR($Q401,0)-IFERROR($S401,0),2)))</x:f>
      </x:c>
      <x:c r="X401" s="144" t="str">
        <x:f>IF(COUNTA($A401:$M401)=0,"",IF(OR($U401="Subscription",$U401="Free Game",NOT(ISNUMBER($J401)),NOT(ISNUMBER($I401)),$J401=0,$I401=0,$I401&gt;$J401),"",$J401-$I401))</x:f>
      </x:c>
      <x:c r="Y401" s="116" t="str">
        <x:f>IF(COUNTA($A401:$M401)=0,"",IF(OR($U401="Subscription",$U401="Free Game",NOT(ISNUMBER($J401)),$J401=0,$X401=""),"",$X401/$J401))</x:f>
      </x:c>
      <x:c r="Z401" s="118" t="str">
        <x:f>IF(COUNTA($A401:$M401)=0,"",Instructions!$B$29+SUM($W$5:W401))</x:f>
      </x:c>
    </x:row>
    <x:row r="402" ht="30" customHeight="1">
      <x:c r="A402" s="477"/>
      <x:c r="B402" s="482"/>
      <x:c r="C402" s="482"/>
      <x:c r="D402" s="483"/>
      <x:c r="E402" s="483"/>
      <x:c r="F402" s="483"/>
      <x:c r="G402" s="484"/>
      <x:c r="H402" s="484"/>
      <x:c r="I402" s="485"/>
      <x:c r="J402" s="485"/>
      <x:c r="K402" s="484"/>
      <x:c r="L402" s="483"/>
      <x:c r="M402" s="477"/>
      <x:c r="N402" s="112" t="str">
        <x:f>IF(COUNTA($A402:$M402)=0,"",IF(OR(LOWER($F402&amp;"")="subscription",LOWER($F402&amp;"")="membership"),"",IF($G402="","",IF(ISNUMBER(SEARCH("non",LOWER($E402&amp;""))),$G402*0.85,$G402))))</x:f>
      </x:c>
      <x:c r="O402" s="112" t="str">
        <x:f>IF(COUNTA($A402:$M402)=0,"",IF(OR(LOWER($F402&amp;"")="subscription",LOWER($F402&amp;"")="membership"),"",IF(OR($N402="",$I402="",$I402=0),"",IFERROR($N402/$I402,""))))</x:f>
      </x:c>
      <x:c r="P402" s="112" t="str">
        <x:f>IF(COUNTA($A402:$M402)=0,"",IF(OR(LOWER($F402&amp;"")="subscription",LOWER($F402&amp;"")="membership"),"",IF(LOWER($L402&amp;"")="yes",0,IF($K402&lt;&gt;"",$K402,IF($O402&lt;&gt;"",$O402,"")))))</x:f>
      </x:c>
      <x:c r="Q402" s="112" t="str">
        <x:f>IF(COUNTA($A402:$M402)=0,"",IF(OR($U402="Subscription",$U402=""),"",IF($U402="Profit",ROUND($P402-$H402,2),0)))</x:f>
      </x:c>
      <x:c r="R402" s="112" t="str">
        <x:f>IF(COUNTA($A402:$M402)=0,"",IF(OR($U402="Subscription",$U402=""),"",IF($U402="Draw",$H402,0)))</x:f>
      </x:c>
      <x:c r="S402" s="112" t="str">
        <x:f>IF(COUNTA($A402:$M402)=0,"",IF(OR($U402="Subscription",$U402=""),"",IF($U402="Disqualified",$H402,0)))</x:f>
      </x:c>
      <x:c r="T402" s="116" t="str">
        <x:f>IF(COUNTA($A402:$M402)=0,"",IF(OR($U402="Subscription",$U402=""),"",IF($H402=0,0,IF($U402="Profit",$Q402/$H402,IF($U402="Disqualified",-$S402/$H402,0)))))</x:f>
      </x:c>
      <x:c r="U402" s="290" t="str">
        <x:f>IF(COUNTA($A402:$M402)=0,"",IF(OR(LOWER($F402&amp;"")="subscription",LOWER($F402&amp;"")="membership"),"Subscription",IF(LOWER($L402&amp;"")="yes","Disqualified",IF(OR(LOWER($F402&amp;"")="free game",LOWER($F402&amp;"")="free"),IF(AND(ISNUMBER($P402),ISNUMBER($H402),$P402&gt;$H402),"Profit","Free Game"),IF($P402="","",IF(ROUND(IFERROR(VALUE($P402),0)-IFERROR(VALUE($H402),0),2)&gt;0,"Profit","Draw"))))))</x:f>
      </x:c>
      <x:c r="V402" s="144" t="str">
        <x:f>IF(COUNTA($A402:$M402)=0,"",IF(OR($B402="",$C402="",$U402="Subscription"),"",IFERROR(ROUNDUP(($C402-$B402)/7,0),"")))</x:f>
      </x:c>
      <x:c r="W402" s="112" t="str">
        <x:f>IF(COUNTA($A402:$M402)=0,"",IF(OR($U402="Subscription",$U402=""),"",ROUND(IFERROR($Q402,0)-IFERROR($S402,0),2)))</x:f>
      </x:c>
      <x:c r="X402" s="144" t="str">
        <x:f>IF(COUNTA($A402:$M402)=0,"",IF(OR($U402="Subscription",$U402="Free Game",NOT(ISNUMBER($J402)),NOT(ISNUMBER($I402)),$J402=0,$I402=0,$I402&gt;$J402),"",$J402-$I402))</x:f>
      </x:c>
      <x:c r="Y402" s="116" t="str">
        <x:f>IF(COUNTA($A402:$M402)=0,"",IF(OR($U402="Subscription",$U402="Free Game",NOT(ISNUMBER($J402)),$J402=0,$X402=""),"",$X402/$J402))</x:f>
      </x:c>
      <x:c r="Z402" s="118" t="str">
        <x:f>IF(COUNTA($A402:$M402)=0,"",Instructions!$B$29+SUM($W$5:W402))</x:f>
      </x:c>
    </x:row>
    <x:row r="403" ht="30" customHeight="1">
      <x:c r="A403" s="477"/>
      <x:c r="B403" s="482"/>
      <x:c r="C403" s="482"/>
      <x:c r="D403" s="483"/>
      <x:c r="E403" s="483"/>
      <x:c r="F403" s="483"/>
      <x:c r="G403" s="484"/>
      <x:c r="H403" s="484"/>
      <x:c r="I403" s="485"/>
      <x:c r="J403" s="485"/>
      <x:c r="K403" s="484"/>
      <x:c r="L403" s="483"/>
      <x:c r="M403" s="477"/>
      <x:c r="N403" s="112" t="str">
        <x:f>IF(COUNTA($A403:$M403)=0,"",IF(OR(LOWER($F403&amp;"")="subscription",LOWER($F403&amp;"")="membership"),"",IF($G403="","",IF(ISNUMBER(SEARCH("non",LOWER($E403&amp;""))),$G403*0.85,$G403))))</x:f>
      </x:c>
      <x:c r="O403" s="112" t="str">
        <x:f>IF(COUNTA($A403:$M403)=0,"",IF(OR(LOWER($F403&amp;"")="subscription",LOWER($F403&amp;"")="membership"),"",IF(OR($N403="",$I403="",$I403=0),"",IFERROR($N403/$I403,""))))</x:f>
      </x:c>
      <x:c r="P403" s="112" t="str">
        <x:f>IF(COUNTA($A403:$M403)=0,"",IF(OR(LOWER($F403&amp;"")="subscription",LOWER($F403&amp;"")="membership"),"",IF(LOWER($L403&amp;"")="yes",0,IF($K403&lt;&gt;"",$K403,IF($O403&lt;&gt;"",$O403,"")))))</x:f>
      </x:c>
      <x:c r="Q403" s="112" t="str">
        <x:f>IF(COUNTA($A403:$M403)=0,"",IF(OR($U403="Subscription",$U403=""),"",IF($U403="Profit",ROUND($P403-$H403,2),0)))</x:f>
      </x:c>
      <x:c r="R403" s="112" t="str">
        <x:f>IF(COUNTA($A403:$M403)=0,"",IF(OR($U403="Subscription",$U403=""),"",IF($U403="Draw",$H403,0)))</x:f>
      </x:c>
      <x:c r="S403" s="112" t="str">
        <x:f>IF(COUNTA($A403:$M403)=0,"",IF(OR($U403="Subscription",$U403=""),"",IF($U403="Disqualified",$H403,0)))</x:f>
      </x:c>
      <x:c r="T403" s="116" t="str">
        <x:f>IF(COUNTA($A403:$M403)=0,"",IF(OR($U403="Subscription",$U403=""),"",IF($H403=0,0,IF($U403="Profit",$Q403/$H403,IF($U403="Disqualified",-$S403/$H403,0)))))</x:f>
      </x:c>
      <x:c r="U403" s="290" t="str">
        <x:f>IF(COUNTA($A403:$M403)=0,"",IF(OR(LOWER($F403&amp;"")="subscription",LOWER($F403&amp;"")="membership"),"Subscription",IF(LOWER($L403&amp;"")="yes","Disqualified",IF(OR(LOWER($F403&amp;"")="free game",LOWER($F403&amp;"")="free"),IF(AND(ISNUMBER($P403),ISNUMBER($H403),$P403&gt;$H403),"Profit","Free Game"),IF($P403="","",IF(ROUND(IFERROR(VALUE($P403),0)-IFERROR(VALUE($H403),0),2)&gt;0,"Profit","Draw"))))))</x:f>
      </x:c>
      <x:c r="V403" s="144" t="str">
        <x:f>IF(COUNTA($A403:$M403)=0,"",IF(OR($B403="",$C403="",$U403="Subscription"),"",IFERROR(ROUNDUP(($C403-$B403)/7,0),"")))</x:f>
      </x:c>
      <x:c r="W403" s="112" t="str">
        <x:f>IF(COUNTA($A403:$M403)=0,"",IF(OR($U403="Subscription",$U403=""),"",ROUND(IFERROR($Q403,0)-IFERROR($S403,0),2)))</x:f>
      </x:c>
      <x:c r="X403" s="144" t="str">
        <x:f>IF(COUNTA($A403:$M403)=0,"",IF(OR($U403="Subscription",$U403="Free Game",NOT(ISNUMBER($J403)),NOT(ISNUMBER($I403)),$J403=0,$I403=0,$I403&gt;$J403),"",$J403-$I403))</x:f>
      </x:c>
      <x:c r="Y403" s="116" t="str">
        <x:f>IF(COUNTA($A403:$M403)=0,"",IF(OR($U403="Subscription",$U403="Free Game",NOT(ISNUMBER($J403)),$J403=0,$X403=""),"",$X403/$J403))</x:f>
      </x:c>
      <x:c r="Z403" s="118" t="str">
        <x:f>IF(COUNTA($A403:$M403)=0,"",Instructions!$B$29+SUM($W$5:W403))</x:f>
      </x:c>
    </x:row>
    <x:row r="404" ht="30" customHeight="1">
      <x:c r="A404" s="477"/>
      <x:c r="B404" s="482"/>
      <x:c r="C404" s="482"/>
      <x:c r="D404" s="483"/>
      <x:c r="E404" s="483"/>
      <x:c r="F404" s="483"/>
      <x:c r="G404" s="484"/>
      <x:c r="H404" s="484"/>
      <x:c r="I404" s="485"/>
      <x:c r="J404" s="485"/>
      <x:c r="K404" s="484"/>
      <x:c r="L404" s="483"/>
      <x:c r="M404" s="477"/>
      <x:c r="N404" s="112" t="str">
        <x:f>IF(COUNTA($A404:$M404)=0,"",IF(OR(LOWER($F404&amp;"")="subscription",LOWER($F404&amp;"")="membership"),"",IF($G404="","",IF(ISNUMBER(SEARCH("non",LOWER($E404&amp;""))),$G404*0.85,$G404))))</x:f>
      </x:c>
      <x:c r="O404" s="112" t="str">
        <x:f>IF(COUNTA($A404:$M404)=0,"",IF(OR(LOWER($F404&amp;"")="subscription",LOWER($F404&amp;"")="membership"),"",IF(OR($N404="",$I404="",$I404=0),"",IFERROR($N404/$I404,""))))</x:f>
      </x:c>
      <x:c r="P404" s="112" t="str">
        <x:f>IF(COUNTA($A404:$M404)=0,"",IF(OR(LOWER($F404&amp;"")="subscription",LOWER($F404&amp;"")="membership"),"",IF(LOWER($L404&amp;"")="yes",0,IF($K404&lt;&gt;"",$K404,IF($O404&lt;&gt;"",$O404,"")))))</x:f>
      </x:c>
      <x:c r="Q404" s="112" t="str">
        <x:f>IF(COUNTA($A404:$M404)=0,"",IF(OR($U404="Subscription",$U404=""),"",IF($U404="Profit",ROUND($P404-$H404,2),0)))</x:f>
      </x:c>
      <x:c r="R404" s="112" t="str">
        <x:f>IF(COUNTA($A404:$M404)=0,"",IF(OR($U404="Subscription",$U404=""),"",IF($U404="Draw",$H404,0)))</x:f>
      </x:c>
      <x:c r="S404" s="112" t="str">
        <x:f>IF(COUNTA($A404:$M404)=0,"",IF(OR($U404="Subscription",$U404=""),"",IF($U404="Disqualified",$H404,0)))</x:f>
      </x:c>
      <x:c r="T404" s="116" t="str">
        <x:f>IF(COUNTA($A404:$M404)=0,"",IF(OR($U404="Subscription",$U404=""),"",IF($H404=0,0,IF($U404="Profit",$Q404/$H404,IF($U404="Disqualified",-$S404/$H404,0)))))</x:f>
      </x:c>
      <x:c r="U404" s="290" t="str">
        <x:f>IF(COUNTA($A404:$M404)=0,"",IF(OR(LOWER($F404&amp;"")="subscription",LOWER($F404&amp;"")="membership"),"Subscription",IF(LOWER($L404&amp;"")="yes","Disqualified",IF(OR(LOWER($F404&amp;"")="free game",LOWER($F404&amp;"")="free"),IF(AND(ISNUMBER($P404),ISNUMBER($H404),$P404&gt;$H404),"Profit","Free Game"),IF($P404="","",IF(ROUND(IFERROR(VALUE($P404),0)-IFERROR(VALUE($H404),0),2)&gt;0,"Profit","Draw"))))))</x:f>
      </x:c>
      <x:c r="V404" s="144" t="str">
        <x:f>IF(COUNTA($A404:$M404)=0,"",IF(OR($B404="",$C404="",$U404="Subscription"),"",IFERROR(ROUNDUP(($C404-$B404)/7,0),"")))</x:f>
      </x:c>
      <x:c r="W404" s="112" t="str">
        <x:f>IF(COUNTA($A404:$M404)=0,"",IF(OR($U404="Subscription",$U404=""),"",ROUND(IFERROR($Q404,0)-IFERROR($S404,0),2)))</x:f>
      </x:c>
      <x:c r="X404" s="144" t="str">
        <x:f>IF(COUNTA($A404:$M404)=0,"",IF(OR($U404="Subscription",$U404="Free Game",NOT(ISNUMBER($J404)),NOT(ISNUMBER($I404)),$J404=0,$I404=0,$I404&gt;$J404),"",$J404-$I404))</x:f>
      </x:c>
      <x:c r="Y404" s="116" t="str">
        <x:f>IF(COUNTA($A404:$M404)=0,"",IF(OR($U404="Subscription",$U404="Free Game",NOT(ISNUMBER($J404)),$J404=0,$X404=""),"",$X404/$J404))</x:f>
      </x:c>
      <x:c r="Z404" s="118" t="str">
        <x:f>IF(COUNTA($A404:$M404)=0,"",Instructions!$B$29+SUM($W$5:W404))</x:f>
      </x:c>
    </x:row>
    <x:row r="405" ht="30" customHeight="1">
      <x:c r="A405" s="477"/>
      <x:c r="B405" s="482"/>
      <x:c r="C405" s="482"/>
      <x:c r="D405" s="483"/>
      <x:c r="E405" s="483"/>
      <x:c r="F405" s="483"/>
      <x:c r="G405" s="484"/>
      <x:c r="H405" s="484"/>
      <x:c r="I405" s="485"/>
      <x:c r="J405" s="485"/>
      <x:c r="K405" s="484"/>
      <x:c r="L405" s="483"/>
      <x:c r="M405" s="477"/>
      <x:c r="N405" s="112" t="str">
        <x:f>IF(COUNTA($A405:$M405)=0,"",IF(OR(LOWER($F405&amp;"")="subscription",LOWER($F405&amp;"")="membership"),"",IF($G405="","",IF(ISNUMBER(SEARCH("non",LOWER($E405&amp;""))),$G405*0.85,$G405))))</x:f>
      </x:c>
      <x:c r="O405" s="112" t="str">
        <x:f>IF(COUNTA($A405:$M405)=0,"",IF(OR(LOWER($F405&amp;"")="subscription",LOWER($F405&amp;"")="membership"),"",IF(OR($N405="",$I405="",$I405=0),"",IFERROR($N405/$I405,""))))</x:f>
      </x:c>
      <x:c r="P405" s="112" t="str">
        <x:f>IF(COUNTA($A405:$M405)=0,"",IF(OR(LOWER($F405&amp;"")="subscription",LOWER($F405&amp;"")="membership"),"",IF(LOWER($L405&amp;"")="yes",0,IF($K405&lt;&gt;"",$K405,IF($O405&lt;&gt;"",$O405,"")))))</x:f>
      </x:c>
      <x:c r="Q405" s="112" t="str">
        <x:f>IF(COUNTA($A405:$M405)=0,"",IF(OR($U405="Subscription",$U405=""),"",IF($U405="Profit",ROUND($P405-$H405,2),0)))</x:f>
      </x:c>
      <x:c r="R405" s="112" t="str">
        <x:f>IF(COUNTA($A405:$M405)=0,"",IF(OR($U405="Subscription",$U405=""),"",IF($U405="Draw",$H405,0)))</x:f>
      </x:c>
      <x:c r="S405" s="112" t="str">
        <x:f>IF(COUNTA($A405:$M405)=0,"",IF(OR($U405="Subscription",$U405=""),"",IF($U405="Disqualified",$H405,0)))</x:f>
      </x:c>
      <x:c r="T405" s="116" t="str">
        <x:f>IF(COUNTA($A405:$M405)=0,"",IF(OR($U405="Subscription",$U405=""),"",IF($H405=0,0,IF($U405="Profit",$Q405/$H405,IF($U405="Disqualified",-$S405/$H405,0)))))</x:f>
      </x:c>
      <x:c r="U405" s="290" t="str">
        <x:f>IF(COUNTA($A405:$M405)=0,"",IF(OR(LOWER($F405&amp;"")="subscription",LOWER($F405&amp;"")="membership"),"Subscription",IF(LOWER($L405&amp;"")="yes","Disqualified",IF(OR(LOWER($F405&amp;"")="free game",LOWER($F405&amp;"")="free"),IF(AND(ISNUMBER($P405),ISNUMBER($H405),$P405&gt;$H405),"Profit","Free Game"),IF($P405="","",IF(ROUND(IFERROR(VALUE($P405),0)-IFERROR(VALUE($H405),0),2)&gt;0,"Profit","Draw"))))))</x:f>
      </x:c>
      <x:c r="V405" s="144" t="str">
        <x:f>IF(COUNTA($A405:$M405)=0,"",IF(OR($B405="",$C405="",$U405="Subscription"),"",IFERROR(ROUNDUP(($C405-$B405)/7,0),"")))</x:f>
      </x:c>
      <x:c r="W405" s="112" t="str">
        <x:f>IF(COUNTA($A405:$M405)=0,"",IF(OR($U405="Subscription",$U405=""),"",ROUND(IFERROR($Q405,0)-IFERROR($S405,0),2)))</x:f>
      </x:c>
      <x:c r="X405" s="144" t="str">
        <x:f>IF(COUNTA($A405:$M405)=0,"",IF(OR($U405="Subscription",$U405="Free Game",NOT(ISNUMBER($J405)),NOT(ISNUMBER($I405)),$J405=0,$I405=0,$I405&gt;$J405),"",$J405-$I405))</x:f>
      </x:c>
      <x:c r="Y405" s="116" t="str">
        <x:f>IF(COUNTA($A405:$M405)=0,"",IF(OR($U405="Subscription",$U405="Free Game",NOT(ISNUMBER($J405)),$J405=0,$X405=""),"",$X405/$J405))</x:f>
      </x:c>
      <x:c r="Z405" s="118" t="str">
        <x:f>IF(COUNTA($A405:$M405)=0,"",Instructions!$B$29+SUM($W$5:W405))</x:f>
      </x:c>
    </x:row>
    <x:row r="406" ht="30" customHeight="1">
      <x:c r="A406" s="477"/>
      <x:c r="B406" s="482"/>
      <x:c r="C406" s="482"/>
      <x:c r="D406" s="483"/>
      <x:c r="E406" s="483"/>
      <x:c r="F406" s="483"/>
      <x:c r="G406" s="484"/>
      <x:c r="H406" s="484"/>
      <x:c r="I406" s="485"/>
      <x:c r="J406" s="485"/>
      <x:c r="K406" s="484"/>
      <x:c r="L406" s="483"/>
      <x:c r="M406" s="477"/>
      <x:c r="N406" s="112" t="str">
        <x:f>IF(COUNTA($A406:$M406)=0,"",IF(OR(LOWER($F406&amp;"")="subscription",LOWER($F406&amp;"")="membership"),"",IF($G406="","",IF(ISNUMBER(SEARCH("non",LOWER($E406&amp;""))),$G406*0.85,$G406))))</x:f>
      </x:c>
      <x:c r="O406" s="112" t="str">
        <x:f>IF(COUNTA($A406:$M406)=0,"",IF(OR(LOWER($F406&amp;"")="subscription",LOWER($F406&amp;"")="membership"),"",IF(OR($N406="",$I406="",$I406=0),"",IFERROR($N406/$I406,""))))</x:f>
      </x:c>
      <x:c r="P406" s="112" t="str">
        <x:f>IF(COUNTA($A406:$M406)=0,"",IF(OR(LOWER($F406&amp;"")="subscription",LOWER($F406&amp;"")="membership"),"",IF(LOWER($L406&amp;"")="yes",0,IF($K406&lt;&gt;"",$K406,IF($O406&lt;&gt;"",$O406,"")))))</x:f>
      </x:c>
      <x:c r="Q406" s="112" t="str">
        <x:f>IF(COUNTA($A406:$M406)=0,"",IF(OR($U406="Subscription",$U406=""),"",IF($U406="Profit",ROUND($P406-$H406,2),0)))</x:f>
      </x:c>
      <x:c r="R406" s="112" t="str">
        <x:f>IF(COUNTA($A406:$M406)=0,"",IF(OR($U406="Subscription",$U406=""),"",IF($U406="Draw",$H406,0)))</x:f>
      </x:c>
      <x:c r="S406" s="112" t="str">
        <x:f>IF(COUNTA($A406:$M406)=0,"",IF(OR($U406="Subscription",$U406=""),"",IF($U406="Disqualified",$H406,0)))</x:f>
      </x:c>
      <x:c r="T406" s="116" t="str">
        <x:f>IF(COUNTA($A406:$M406)=0,"",IF(OR($U406="Subscription",$U406=""),"",IF($H406=0,0,IF($U406="Profit",$Q406/$H406,IF($U406="Disqualified",-$S406/$H406,0)))))</x:f>
      </x:c>
      <x:c r="U406" s="290" t="str">
        <x:f>IF(COUNTA($A406:$M406)=0,"",IF(OR(LOWER($F406&amp;"")="subscription",LOWER($F406&amp;"")="membership"),"Subscription",IF(LOWER($L406&amp;"")="yes","Disqualified",IF(OR(LOWER($F406&amp;"")="free game",LOWER($F406&amp;"")="free"),IF(AND(ISNUMBER($P406),ISNUMBER($H406),$P406&gt;$H406),"Profit","Free Game"),IF($P406="","",IF(ROUND(IFERROR(VALUE($P406),0)-IFERROR(VALUE($H406),0),2)&gt;0,"Profit","Draw"))))))</x:f>
      </x:c>
      <x:c r="V406" s="144" t="str">
        <x:f>IF(COUNTA($A406:$M406)=0,"",IF(OR($B406="",$C406="",$U406="Subscription"),"",IFERROR(ROUNDUP(($C406-$B406)/7,0),"")))</x:f>
      </x:c>
      <x:c r="W406" s="112" t="str">
        <x:f>IF(COUNTA($A406:$M406)=0,"",IF(OR($U406="Subscription",$U406=""),"",ROUND(IFERROR($Q406,0)-IFERROR($S406,0),2)))</x:f>
      </x:c>
      <x:c r="X406" s="144" t="str">
        <x:f>IF(COUNTA($A406:$M406)=0,"",IF(OR($U406="Subscription",$U406="Free Game",NOT(ISNUMBER($J406)),NOT(ISNUMBER($I406)),$J406=0,$I406=0,$I406&gt;$J406),"",$J406-$I406))</x:f>
      </x:c>
      <x:c r="Y406" s="116" t="str">
        <x:f>IF(COUNTA($A406:$M406)=0,"",IF(OR($U406="Subscription",$U406="Free Game",NOT(ISNUMBER($J406)),$J406=0,$X406=""),"",$X406/$J406))</x:f>
      </x:c>
      <x:c r="Z406" s="118" t="str">
        <x:f>IF(COUNTA($A406:$M406)=0,"",Instructions!$B$29+SUM($W$5:W406))</x:f>
      </x:c>
    </x:row>
    <x:row r="407" ht="30" customHeight="1">
      <x:c r="A407" s="477"/>
      <x:c r="B407" s="482"/>
      <x:c r="C407" s="482"/>
      <x:c r="D407" s="483"/>
      <x:c r="E407" s="483"/>
      <x:c r="F407" s="483"/>
      <x:c r="G407" s="484"/>
      <x:c r="H407" s="484"/>
      <x:c r="I407" s="485"/>
      <x:c r="J407" s="485"/>
      <x:c r="K407" s="484"/>
      <x:c r="L407" s="483"/>
      <x:c r="M407" s="477"/>
      <x:c r="N407" s="112" t="str">
        <x:f>IF(COUNTA($A407:$M407)=0,"",IF(OR(LOWER($F407&amp;"")="subscription",LOWER($F407&amp;"")="membership"),"",IF($G407="","",IF(ISNUMBER(SEARCH("non",LOWER($E407&amp;""))),$G407*0.85,$G407))))</x:f>
      </x:c>
      <x:c r="O407" s="112" t="str">
        <x:f>IF(COUNTA($A407:$M407)=0,"",IF(OR(LOWER($F407&amp;"")="subscription",LOWER($F407&amp;"")="membership"),"",IF(OR($N407="",$I407="",$I407=0),"",IFERROR($N407/$I407,""))))</x:f>
      </x:c>
      <x:c r="P407" s="112" t="str">
        <x:f>IF(COUNTA($A407:$M407)=0,"",IF(OR(LOWER($F407&amp;"")="subscription",LOWER($F407&amp;"")="membership"),"",IF(LOWER($L407&amp;"")="yes",0,IF($K407&lt;&gt;"",$K407,IF($O407&lt;&gt;"",$O407,"")))))</x:f>
      </x:c>
      <x:c r="Q407" s="112" t="str">
        <x:f>IF(COUNTA($A407:$M407)=0,"",IF(OR($U407="Subscription",$U407=""),"",IF($U407="Profit",ROUND($P407-$H407,2),0)))</x:f>
      </x:c>
      <x:c r="R407" s="112" t="str">
        <x:f>IF(COUNTA($A407:$M407)=0,"",IF(OR($U407="Subscription",$U407=""),"",IF($U407="Draw",$H407,0)))</x:f>
      </x:c>
      <x:c r="S407" s="112" t="str">
        <x:f>IF(COUNTA($A407:$M407)=0,"",IF(OR($U407="Subscription",$U407=""),"",IF($U407="Disqualified",$H407,0)))</x:f>
      </x:c>
      <x:c r="T407" s="116" t="str">
        <x:f>IF(COUNTA($A407:$M407)=0,"",IF(OR($U407="Subscription",$U407=""),"",IF($H407=0,0,IF($U407="Profit",$Q407/$H407,IF($U407="Disqualified",-$S407/$H407,0)))))</x:f>
      </x:c>
      <x:c r="U407" s="290" t="str">
        <x:f>IF(COUNTA($A407:$M407)=0,"",IF(OR(LOWER($F407&amp;"")="subscription",LOWER($F407&amp;"")="membership"),"Subscription",IF(LOWER($L407&amp;"")="yes","Disqualified",IF(OR(LOWER($F407&amp;"")="free game",LOWER($F407&amp;"")="free"),IF(AND(ISNUMBER($P407),ISNUMBER($H407),$P407&gt;$H407),"Profit","Free Game"),IF($P407="","",IF(ROUND(IFERROR(VALUE($P407),0)-IFERROR(VALUE($H407),0),2)&gt;0,"Profit","Draw"))))))</x:f>
      </x:c>
      <x:c r="V407" s="144" t="str">
        <x:f>IF(COUNTA($A407:$M407)=0,"",IF(OR($B407="",$C407="",$U407="Subscription"),"",IFERROR(ROUNDUP(($C407-$B407)/7,0),"")))</x:f>
      </x:c>
      <x:c r="W407" s="112" t="str">
        <x:f>IF(COUNTA($A407:$M407)=0,"",IF(OR($U407="Subscription",$U407=""),"",ROUND(IFERROR($Q407,0)-IFERROR($S407,0),2)))</x:f>
      </x:c>
      <x:c r="X407" s="144" t="str">
        <x:f>IF(COUNTA($A407:$M407)=0,"",IF(OR($U407="Subscription",$U407="Free Game",NOT(ISNUMBER($J407)),NOT(ISNUMBER($I407)),$J407=0,$I407=0,$I407&gt;$J407),"",$J407-$I407))</x:f>
      </x:c>
      <x:c r="Y407" s="116" t="str">
        <x:f>IF(COUNTA($A407:$M407)=0,"",IF(OR($U407="Subscription",$U407="Free Game",NOT(ISNUMBER($J407)),$J407=0,$X407=""),"",$X407/$J407))</x:f>
      </x:c>
      <x:c r="Z407" s="118" t="str">
        <x:f>IF(COUNTA($A407:$M407)=0,"",Instructions!$B$29+SUM($W$5:W407))</x:f>
      </x:c>
    </x:row>
    <x:row r="408" ht="30" customHeight="1">
      <x:c r="A408" s="477"/>
      <x:c r="B408" s="482"/>
      <x:c r="C408" s="482"/>
      <x:c r="D408" s="483"/>
      <x:c r="E408" s="483"/>
      <x:c r="F408" s="483"/>
      <x:c r="G408" s="484"/>
      <x:c r="H408" s="484"/>
      <x:c r="I408" s="485"/>
      <x:c r="J408" s="485"/>
      <x:c r="K408" s="484"/>
      <x:c r="L408" s="483"/>
      <x:c r="M408" s="477"/>
      <x:c r="N408" s="112" t="str">
        <x:f>IF(COUNTA($A408:$M408)=0,"",IF(OR(LOWER($F408&amp;"")="subscription",LOWER($F408&amp;"")="membership"),"",IF($G408="","",IF(ISNUMBER(SEARCH("non",LOWER($E408&amp;""))),$G408*0.85,$G408))))</x:f>
      </x:c>
      <x:c r="O408" s="112" t="str">
        <x:f>IF(COUNTA($A408:$M408)=0,"",IF(OR(LOWER($F408&amp;"")="subscription",LOWER($F408&amp;"")="membership"),"",IF(OR($N408="",$I408="",$I408=0),"",IFERROR($N408/$I408,""))))</x:f>
      </x:c>
      <x:c r="P408" s="112" t="str">
        <x:f>IF(COUNTA($A408:$M408)=0,"",IF(OR(LOWER($F408&amp;"")="subscription",LOWER($F408&amp;"")="membership"),"",IF(LOWER($L408&amp;"")="yes",0,IF($K408&lt;&gt;"",$K408,IF($O408&lt;&gt;"",$O408,"")))))</x:f>
      </x:c>
      <x:c r="Q408" s="112" t="str">
        <x:f>IF(COUNTA($A408:$M408)=0,"",IF(OR($U408="Subscription",$U408=""),"",IF($U408="Profit",ROUND($P408-$H408,2),0)))</x:f>
      </x:c>
      <x:c r="R408" s="112" t="str">
        <x:f>IF(COUNTA($A408:$M408)=0,"",IF(OR($U408="Subscription",$U408=""),"",IF($U408="Draw",$H408,0)))</x:f>
      </x:c>
      <x:c r="S408" s="112" t="str">
        <x:f>IF(COUNTA($A408:$M408)=0,"",IF(OR($U408="Subscription",$U408=""),"",IF($U408="Disqualified",$H408,0)))</x:f>
      </x:c>
      <x:c r="T408" s="116" t="str">
        <x:f>IF(COUNTA($A408:$M408)=0,"",IF(OR($U408="Subscription",$U408=""),"",IF($H408=0,0,IF($U408="Profit",$Q408/$H408,IF($U408="Disqualified",-$S408/$H408,0)))))</x:f>
      </x:c>
      <x:c r="U408" s="290" t="str">
        <x:f>IF(COUNTA($A408:$M408)=0,"",IF(OR(LOWER($F408&amp;"")="subscription",LOWER($F408&amp;"")="membership"),"Subscription",IF(LOWER($L408&amp;"")="yes","Disqualified",IF(OR(LOWER($F408&amp;"")="free game",LOWER($F408&amp;"")="free"),IF(AND(ISNUMBER($P408),ISNUMBER($H408),$P408&gt;$H408),"Profit","Free Game"),IF($P408="","",IF(ROUND(IFERROR(VALUE($P408),0)-IFERROR(VALUE($H408),0),2)&gt;0,"Profit","Draw"))))))</x:f>
      </x:c>
      <x:c r="V408" s="144" t="str">
        <x:f>IF(COUNTA($A408:$M408)=0,"",IF(OR($B408="",$C408="",$U408="Subscription"),"",IFERROR(ROUNDUP(($C408-$B408)/7,0),"")))</x:f>
      </x:c>
      <x:c r="W408" s="112" t="str">
        <x:f>IF(COUNTA($A408:$M408)=0,"",IF(OR($U408="Subscription",$U408=""),"",ROUND(IFERROR($Q408,0)-IFERROR($S408,0),2)))</x:f>
      </x:c>
      <x:c r="X408" s="144" t="str">
        <x:f>IF(COUNTA($A408:$M408)=0,"",IF(OR($U408="Subscription",$U408="Free Game",NOT(ISNUMBER($J408)),NOT(ISNUMBER($I408)),$J408=0,$I408=0,$I408&gt;$J408),"",$J408-$I408))</x:f>
      </x:c>
      <x:c r="Y408" s="116" t="str">
        <x:f>IF(COUNTA($A408:$M408)=0,"",IF(OR($U408="Subscription",$U408="Free Game",NOT(ISNUMBER($J408)),$J408=0,$X408=""),"",$X408/$J408))</x:f>
      </x:c>
      <x:c r="Z408" s="118" t="str">
        <x:f>IF(COUNTA($A408:$M408)=0,"",Instructions!$B$29+SUM($W$5:W408))</x:f>
      </x:c>
    </x:row>
    <x:row r="409" ht="30" customHeight="1">
      <x:c r="A409" s="477"/>
      <x:c r="B409" s="482"/>
      <x:c r="C409" s="482"/>
      <x:c r="D409" s="483"/>
      <x:c r="E409" s="483"/>
      <x:c r="F409" s="483"/>
      <x:c r="G409" s="484"/>
      <x:c r="H409" s="484"/>
      <x:c r="I409" s="485"/>
      <x:c r="J409" s="485"/>
      <x:c r="K409" s="484"/>
      <x:c r="L409" s="483"/>
      <x:c r="M409" s="477"/>
      <x:c r="N409" s="112" t="str">
        <x:f>IF(COUNTA($A409:$M409)=0,"",IF(OR(LOWER($F409&amp;"")="subscription",LOWER($F409&amp;"")="membership"),"",IF($G409="","",IF(ISNUMBER(SEARCH("non",LOWER($E409&amp;""))),$G409*0.85,$G409))))</x:f>
      </x:c>
      <x:c r="O409" s="112" t="str">
        <x:f>IF(COUNTA($A409:$M409)=0,"",IF(OR(LOWER($F409&amp;"")="subscription",LOWER($F409&amp;"")="membership"),"",IF(OR($N409="",$I409="",$I409=0),"",IFERROR($N409/$I409,""))))</x:f>
      </x:c>
      <x:c r="P409" s="112" t="str">
        <x:f>IF(COUNTA($A409:$M409)=0,"",IF(OR(LOWER($F409&amp;"")="subscription",LOWER($F409&amp;"")="membership"),"",IF(LOWER($L409&amp;"")="yes",0,IF($K409&lt;&gt;"",$K409,IF($O409&lt;&gt;"",$O409,"")))))</x:f>
      </x:c>
      <x:c r="Q409" s="112" t="str">
        <x:f>IF(COUNTA($A409:$M409)=0,"",IF(OR($U409="Subscription",$U409=""),"",IF($U409="Profit",ROUND($P409-$H409,2),0)))</x:f>
      </x:c>
      <x:c r="R409" s="112" t="str">
        <x:f>IF(COUNTA($A409:$M409)=0,"",IF(OR($U409="Subscription",$U409=""),"",IF($U409="Draw",$H409,0)))</x:f>
      </x:c>
      <x:c r="S409" s="112" t="str">
        <x:f>IF(COUNTA($A409:$M409)=0,"",IF(OR($U409="Subscription",$U409=""),"",IF($U409="Disqualified",$H409,0)))</x:f>
      </x:c>
      <x:c r="T409" s="116" t="str">
        <x:f>IF(COUNTA($A409:$M409)=0,"",IF(OR($U409="Subscription",$U409=""),"",IF($H409=0,0,IF($U409="Profit",$Q409/$H409,IF($U409="Disqualified",-$S409/$H409,0)))))</x:f>
      </x:c>
      <x:c r="U409" s="290" t="str">
        <x:f>IF(COUNTA($A409:$M409)=0,"",IF(OR(LOWER($F409&amp;"")="subscription",LOWER($F409&amp;"")="membership"),"Subscription",IF(LOWER($L409&amp;"")="yes","Disqualified",IF(OR(LOWER($F409&amp;"")="free game",LOWER($F409&amp;"")="free"),IF(AND(ISNUMBER($P409),ISNUMBER($H409),$P409&gt;$H409),"Profit","Free Game"),IF($P409="","",IF(ROUND(IFERROR(VALUE($P409),0)-IFERROR(VALUE($H409),0),2)&gt;0,"Profit","Draw"))))))</x:f>
      </x:c>
      <x:c r="V409" s="144" t="str">
        <x:f>IF(COUNTA($A409:$M409)=0,"",IF(OR($B409="",$C409="",$U409="Subscription"),"",IFERROR(ROUNDUP(($C409-$B409)/7,0),"")))</x:f>
      </x:c>
      <x:c r="W409" s="112" t="str">
        <x:f>IF(COUNTA($A409:$M409)=0,"",IF(OR($U409="Subscription",$U409=""),"",ROUND(IFERROR($Q409,0)-IFERROR($S409,0),2)))</x:f>
      </x:c>
      <x:c r="X409" s="144" t="str">
        <x:f>IF(COUNTA($A409:$M409)=0,"",IF(OR($U409="Subscription",$U409="Free Game",NOT(ISNUMBER($J409)),NOT(ISNUMBER($I409)),$J409=0,$I409=0,$I409&gt;$J409),"",$J409-$I409))</x:f>
      </x:c>
      <x:c r="Y409" s="116" t="str">
        <x:f>IF(COUNTA($A409:$M409)=0,"",IF(OR($U409="Subscription",$U409="Free Game",NOT(ISNUMBER($J409)),$J409=0,$X409=""),"",$X409/$J409))</x:f>
      </x:c>
      <x:c r="Z409" s="118" t="str">
        <x:f>IF(COUNTA($A409:$M409)=0,"",Instructions!$B$29+SUM($W$5:W409))</x:f>
      </x:c>
    </x:row>
    <x:row r="410" ht="30" customHeight="1">
      <x:c r="A410" s="477"/>
      <x:c r="B410" s="482"/>
      <x:c r="C410" s="482"/>
      <x:c r="D410" s="483"/>
      <x:c r="E410" s="483"/>
      <x:c r="F410" s="483"/>
      <x:c r="G410" s="484"/>
      <x:c r="H410" s="484"/>
      <x:c r="I410" s="485"/>
      <x:c r="J410" s="485"/>
      <x:c r="K410" s="484"/>
      <x:c r="L410" s="483"/>
      <x:c r="M410" s="477"/>
      <x:c r="N410" s="112" t="str">
        <x:f>IF(COUNTA($A410:$M410)=0,"",IF(OR(LOWER($F410&amp;"")="subscription",LOWER($F410&amp;"")="membership"),"",IF($G410="","",IF(ISNUMBER(SEARCH("non",LOWER($E410&amp;""))),$G410*0.85,$G410))))</x:f>
      </x:c>
      <x:c r="O410" s="112" t="str">
        <x:f>IF(COUNTA($A410:$M410)=0,"",IF(OR(LOWER($F410&amp;"")="subscription",LOWER($F410&amp;"")="membership"),"",IF(OR($N410="",$I410="",$I410=0),"",IFERROR($N410/$I410,""))))</x:f>
      </x:c>
      <x:c r="P410" s="112" t="str">
        <x:f>IF(COUNTA($A410:$M410)=0,"",IF(OR(LOWER($F410&amp;"")="subscription",LOWER($F410&amp;"")="membership"),"",IF(LOWER($L410&amp;"")="yes",0,IF($K410&lt;&gt;"",$K410,IF($O410&lt;&gt;"",$O410,"")))))</x:f>
      </x:c>
      <x:c r="Q410" s="112" t="str">
        <x:f>IF(COUNTA($A410:$M410)=0,"",IF(OR($U410="Subscription",$U410=""),"",IF($U410="Profit",ROUND($P410-$H410,2),0)))</x:f>
      </x:c>
      <x:c r="R410" s="112" t="str">
        <x:f>IF(COUNTA($A410:$M410)=0,"",IF(OR($U410="Subscription",$U410=""),"",IF($U410="Draw",$H410,0)))</x:f>
      </x:c>
      <x:c r="S410" s="112" t="str">
        <x:f>IF(COUNTA($A410:$M410)=0,"",IF(OR($U410="Subscription",$U410=""),"",IF($U410="Disqualified",$H410,0)))</x:f>
      </x:c>
      <x:c r="T410" s="116" t="str">
        <x:f>IF(COUNTA($A410:$M410)=0,"",IF(OR($U410="Subscription",$U410=""),"",IF($H410=0,0,IF($U410="Profit",$Q410/$H410,IF($U410="Disqualified",-$S410/$H410,0)))))</x:f>
      </x:c>
      <x:c r="U410" s="290" t="str">
        <x:f>IF(COUNTA($A410:$M410)=0,"",IF(OR(LOWER($F410&amp;"")="subscription",LOWER($F410&amp;"")="membership"),"Subscription",IF(LOWER($L410&amp;"")="yes","Disqualified",IF(OR(LOWER($F410&amp;"")="free game",LOWER($F410&amp;"")="free"),IF(AND(ISNUMBER($P410),ISNUMBER($H410),$P410&gt;$H410),"Profit","Free Game"),IF($P410="","",IF(ROUND(IFERROR(VALUE($P410),0)-IFERROR(VALUE($H410),0),2)&gt;0,"Profit","Draw"))))))</x:f>
      </x:c>
      <x:c r="V410" s="144" t="str">
        <x:f>IF(COUNTA($A410:$M410)=0,"",IF(OR($B410="",$C410="",$U410="Subscription"),"",IFERROR(ROUNDUP(($C410-$B410)/7,0),"")))</x:f>
      </x:c>
      <x:c r="W410" s="112" t="str">
        <x:f>IF(COUNTA($A410:$M410)=0,"",IF(OR($U410="Subscription",$U410=""),"",ROUND(IFERROR($Q410,0)-IFERROR($S410,0),2)))</x:f>
      </x:c>
      <x:c r="X410" s="144" t="str">
        <x:f>IF(COUNTA($A410:$M410)=0,"",IF(OR($U410="Subscription",$U410="Free Game",NOT(ISNUMBER($J410)),NOT(ISNUMBER($I410)),$J410=0,$I410=0,$I410&gt;$J410),"",$J410-$I410))</x:f>
      </x:c>
      <x:c r="Y410" s="116" t="str">
        <x:f>IF(COUNTA($A410:$M410)=0,"",IF(OR($U410="Subscription",$U410="Free Game",NOT(ISNUMBER($J410)),$J410=0,$X410=""),"",$X410/$J410))</x:f>
      </x:c>
      <x:c r="Z410" s="118" t="str">
        <x:f>IF(COUNTA($A410:$M410)=0,"",Instructions!$B$29+SUM($W$5:W410))</x:f>
      </x:c>
    </x:row>
    <x:row r="411" ht="30" customHeight="1">
      <x:c r="A411" s="477"/>
      <x:c r="B411" s="482"/>
      <x:c r="C411" s="482"/>
      <x:c r="D411" s="483"/>
      <x:c r="E411" s="483"/>
      <x:c r="F411" s="483"/>
      <x:c r="G411" s="484"/>
      <x:c r="H411" s="484"/>
      <x:c r="I411" s="485"/>
      <x:c r="J411" s="485"/>
      <x:c r="K411" s="484"/>
      <x:c r="L411" s="483"/>
      <x:c r="M411" s="477"/>
      <x:c r="N411" s="112" t="str">
        <x:f>IF(COUNTA($A411:$M411)=0,"",IF(OR(LOWER($F411&amp;"")="subscription",LOWER($F411&amp;"")="membership"),"",IF($G411="","",IF(ISNUMBER(SEARCH("non",LOWER($E411&amp;""))),$G411*0.85,$G411))))</x:f>
      </x:c>
      <x:c r="O411" s="112" t="str">
        <x:f>IF(COUNTA($A411:$M411)=0,"",IF(OR(LOWER($F411&amp;"")="subscription",LOWER($F411&amp;"")="membership"),"",IF(OR($N411="",$I411="",$I411=0),"",IFERROR($N411/$I411,""))))</x:f>
      </x:c>
      <x:c r="P411" s="112" t="str">
        <x:f>IF(COUNTA($A411:$M411)=0,"",IF(OR(LOWER($F411&amp;"")="subscription",LOWER($F411&amp;"")="membership"),"",IF(LOWER($L411&amp;"")="yes",0,IF($K411&lt;&gt;"",$K411,IF($O411&lt;&gt;"",$O411,"")))))</x:f>
      </x:c>
      <x:c r="Q411" s="112" t="str">
        <x:f>IF(COUNTA($A411:$M411)=0,"",IF(OR($U411="Subscription",$U411=""),"",IF($U411="Profit",ROUND($P411-$H411,2),0)))</x:f>
      </x:c>
      <x:c r="R411" s="112" t="str">
        <x:f>IF(COUNTA($A411:$M411)=0,"",IF(OR($U411="Subscription",$U411=""),"",IF($U411="Draw",$H411,0)))</x:f>
      </x:c>
      <x:c r="S411" s="112" t="str">
        <x:f>IF(COUNTA($A411:$M411)=0,"",IF(OR($U411="Subscription",$U411=""),"",IF($U411="Disqualified",$H411,0)))</x:f>
      </x:c>
      <x:c r="T411" s="116" t="str">
        <x:f>IF(COUNTA($A411:$M411)=0,"",IF(OR($U411="Subscription",$U411=""),"",IF($H411=0,0,IF($U411="Profit",$Q411/$H411,IF($U411="Disqualified",-$S411/$H411,0)))))</x:f>
      </x:c>
      <x:c r="U411" s="290" t="str">
        <x:f>IF(COUNTA($A411:$M411)=0,"",IF(OR(LOWER($F411&amp;"")="subscription",LOWER($F411&amp;"")="membership"),"Subscription",IF(LOWER($L411&amp;"")="yes","Disqualified",IF(OR(LOWER($F411&amp;"")="free game",LOWER($F411&amp;"")="free"),IF(AND(ISNUMBER($P411),ISNUMBER($H411),$P411&gt;$H411),"Profit","Free Game"),IF($P411="","",IF(ROUND(IFERROR(VALUE($P411),0)-IFERROR(VALUE($H411),0),2)&gt;0,"Profit","Draw"))))))</x:f>
      </x:c>
      <x:c r="V411" s="144" t="str">
        <x:f>IF(COUNTA($A411:$M411)=0,"",IF(OR($B411="",$C411="",$U411="Subscription"),"",IFERROR(ROUNDUP(($C411-$B411)/7,0),"")))</x:f>
      </x:c>
      <x:c r="W411" s="112" t="str">
        <x:f>IF(COUNTA($A411:$M411)=0,"",IF(OR($U411="Subscription",$U411=""),"",ROUND(IFERROR($Q411,0)-IFERROR($S411,0),2)))</x:f>
      </x:c>
      <x:c r="X411" s="144" t="str">
        <x:f>IF(COUNTA($A411:$M411)=0,"",IF(OR($U411="Subscription",$U411="Free Game",NOT(ISNUMBER($J411)),NOT(ISNUMBER($I411)),$J411=0,$I411=0,$I411&gt;$J411),"",$J411-$I411))</x:f>
      </x:c>
      <x:c r="Y411" s="116" t="str">
        <x:f>IF(COUNTA($A411:$M411)=0,"",IF(OR($U411="Subscription",$U411="Free Game",NOT(ISNUMBER($J411)),$J411=0,$X411=""),"",$X411/$J411))</x:f>
      </x:c>
      <x:c r="Z411" s="118" t="str">
        <x:f>IF(COUNTA($A411:$M411)=0,"",Instructions!$B$29+SUM($W$5:W411))</x:f>
      </x:c>
    </x:row>
    <x:row r="412" ht="30" customHeight="1">
      <x:c r="A412" s="477"/>
      <x:c r="B412" s="482"/>
      <x:c r="C412" s="482"/>
      <x:c r="D412" s="483"/>
      <x:c r="E412" s="483"/>
      <x:c r="F412" s="483"/>
      <x:c r="G412" s="484"/>
      <x:c r="H412" s="484"/>
      <x:c r="I412" s="485"/>
      <x:c r="J412" s="485"/>
      <x:c r="K412" s="484"/>
      <x:c r="L412" s="483"/>
      <x:c r="M412" s="477"/>
      <x:c r="N412" s="112" t="str">
        <x:f>IF(COUNTA($A412:$M412)=0,"",IF(OR(LOWER($F412&amp;"")="subscription",LOWER($F412&amp;"")="membership"),"",IF($G412="","",IF(ISNUMBER(SEARCH("non",LOWER($E412&amp;""))),$G412*0.85,$G412))))</x:f>
      </x:c>
      <x:c r="O412" s="112" t="str">
        <x:f>IF(COUNTA($A412:$M412)=0,"",IF(OR(LOWER($F412&amp;"")="subscription",LOWER($F412&amp;"")="membership"),"",IF(OR($N412="",$I412="",$I412=0),"",IFERROR($N412/$I412,""))))</x:f>
      </x:c>
      <x:c r="P412" s="112" t="str">
        <x:f>IF(COUNTA($A412:$M412)=0,"",IF(OR(LOWER($F412&amp;"")="subscription",LOWER($F412&amp;"")="membership"),"",IF(LOWER($L412&amp;"")="yes",0,IF($K412&lt;&gt;"",$K412,IF($O412&lt;&gt;"",$O412,"")))))</x:f>
      </x:c>
      <x:c r="Q412" s="112" t="str">
        <x:f>IF(COUNTA($A412:$M412)=0,"",IF(OR($U412="Subscription",$U412=""),"",IF($U412="Profit",ROUND($P412-$H412,2),0)))</x:f>
      </x:c>
      <x:c r="R412" s="112" t="str">
        <x:f>IF(COUNTA($A412:$M412)=0,"",IF(OR($U412="Subscription",$U412=""),"",IF($U412="Draw",$H412,0)))</x:f>
      </x:c>
      <x:c r="S412" s="112" t="str">
        <x:f>IF(COUNTA($A412:$M412)=0,"",IF(OR($U412="Subscription",$U412=""),"",IF($U412="Disqualified",$H412,0)))</x:f>
      </x:c>
      <x:c r="T412" s="116" t="str">
        <x:f>IF(COUNTA($A412:$M412)=0,"",IF(OR($U412="Subscription",$U412=""),"",IF($H412=0,0,IF($U412="Profit",$Q412/$H412,IF($U412="Disqualified",-$S412/$H412,0)))))</x:f>
      </x:c>
      <x:c r="U412" s="290" t="str">
        <x:f>IF(COUNTA($A412:$M412)=0,"",IF(OR(LOWER($F412&amp;"")="subscription",LOWER($F412&amp;"")="membership"),"Subscription",IF(LOWER($L412&amp;"")="yes","Disqualified",IF(OR(LOWER($F412&amp;"")="free game",LOWER($F412&amp;"")="free"),IF(AND(ISNUMBER($P412),ISNUMBER($H412),$P412&gt;$H412),"Profit","Free Game"),IF($P412="","",IF(ROUND(IFERROR(VALUE($P412),0)-IFERROR(VALUE($H412),0),2)&gt;0,"Profit","Draw"))))))</x:f>
      </x:c>
      <x:c r="V412" s="144" t="str">
        <x:f>IF(COUNTA($A412:$M412)=0,"",IF(OR($B412="",$C412="",$U412="Subscription"),"",IFERROR(ROUNDUP(($C412-$B412)/7,0),"")))</x:f>
      </x:c>
      <x:c r="W412" s="112" t="str">
        <x:f>IF(COUNTA($A412:$M412)=0,"",IF(OR($U412="Subscription",$U412=""),"",ROUND(IFERROR($Q412,0)-IFERROR($S412,0),2)))</x:f>
      </x:c>
      <x:c r="X412" s="144" t="str">
        <x:f>IF(COUNTA($A412:$M412)=0,"",IF(OR($U412="Subscription",$U412="Free Game",NOT(ISNUMBER($J412)),NOT(ISNUMBER($I412)),$J412=0,$I412=0,$I412&gt;$J412),"",$J412-$I412))</x:f>
      </x:c>
      <x:c r="Y412" s="116" t="str">
        <x:f>IF(COUNTA($A412:$M412)=0,"",IF(OR($U412="Subscription",$U412="Free Game",NOT(ISNUMBER($J412)),$J412=0,$X412=""),"",$X412/$J412))</x:f>
      </x:c>
      <x:c r="Z412" s="118" t="str">
        <x:f>IF(COUNTA($A412:$M412)=0,"",Instructions!$B$29+SUM($W$5:W412))</x:f>
      </x:c>
    </x:row>
    <x:row r="413" ht="30" customHeight="1">
      <x:c r="A413" s="477"/>
      <x:c r="B413" s="482"/>
      <x:c r="C413" s="482"/>
      <x:c r="D413" s="483"/>
      <x:c r="E413" s="483"/>
      <x:c r="F413" s="483"/>
      <x:c r="G413" s="484"/>
      <x:c r="H413" s="484"/>
      <x:c r="I413" s="485"/>
      <x:c r="J413" s="485"/>
      <x:c r="K413" s="484"/>
      <x:c r="L413" s="483"/>
      <x:c r="M413" s="477"/>
      <x:c r="N413" s="112" t="str">
        <x:f>IF(COUNTA($A413:$M413)=0,"",IF(OR(LOWER($F413&amp;"")="subscription",LOWER($F413&amp;"")="membership"),"",IF($G413="","",IF(ISNUMBER(SEARCH("non",LOWER($E413&amp;""))),$G413*0.85,$G413))))</x:f>
      </x:c>
      <x:c r="O413" s="112" t="str">
        <x:f>IF(COUNTA($A413:$M413)=0,"",IF(OR(LOWER($F413&amp;"")="subscription",LOWER($F413&amp;"")="membership"),"",IF(OR($N413="",$I413="",$I413=0),"",IFERROR($N413/$I413,""))))</x:f>
      </x:c>
      <x:c r="P413" s="112" t="str">
        <x:f>IF(COUNTA($A413:$M413)=0,"",IF(OR(LOWER($F413&amp;"")="subscription",LOWER($F413&amp;"")="membership"),"",IF(LOWER($L413&amp;"")="yes",0,IF($K413&lt;&gt;"",$K413,IF($O413&lt;&gt;"",$O413,"")))))</x:f>
      </x:c>
      <x:c r="Q413" s="112" t="str">
        <x:f>IF(COUNTA($A413:$M413)=0,"",IF(OR($U413="Subscription",$U413=""),"",IF($U413="Profit",ROUND($P413-$H413,2),0)))</x:f>
      </x:c>
      <x:c r="R413" s="112" t="str">
        <x:f>IF(COUNTA($A413:$M413)=0,"",IF(OR($U413="Subscription",$U413=""),"",IF($U413="Draw",$H413,0)))</x:f>
      </x:c>
      <x:c r="S413" s="112" t="str">
        <x:f>IF(COUNTA($A413:$M413)=0,"",IF(OR($U413="Subscription",$U413=""),"",IF($U413="Disqualified",$H413,0)))</x:f>
      </x:c>
      <x:c r="T413" s="116" t="str">
        <x:f>IF(COUNTA($A413:$M413)=0,"",IF(OR($U413="Subscription",$U413=""),"",IF($H413=0,0,IF($U413="Profit",$Q413/$H413,IF($U413="Disqualified",-$S413/$H413,0)))))</x:f>
      </x:c>
      <x:c r="U413" s="290" t="str">
        <x:f>IF(COUNTA($A413:$M413)=0,"",IF(OR(LOWER($F413&amp;"")="subscription",LOWER($F413&amp;"")="membership"),"Subscription",IF(LOWER($L413&amp;"")="yes","Disqualified",IF(OR(LOWER($F413&amp;"")="free game",LOWER($F413&amp;"")="free"),IF(AND(ISNUMBER($P413),ISNUMBER($H413),$P413&gt;$H413),"Profit","Free Game"),IF($P413="","",IF(ROUND(IFERROR(VALUE($P413),0)-IFERROR(VALUE($H413),0),2)&gt;0,"Profit","Draw"))))))</x:f>
      </x:c>
      <x:c r="V413" s="144" t="str">
        <x:f>IF(COUNTA($A413:$M413)=0,"",IF(OR($B413="",$C413="",$U413="Subscription"),"",IFERROR(ROUNDUP(($C413-$B413)/7,0),"")))</x:f>
      </x:c>
      <x:c r="W413" s="112" t="str">
        <x:f>IF(COUNTA($A413:$M413)=0,"",IF(OR($U413="Subscription",$U413=""),"",ROUND(IFERROR($Q413,0)-IFERROR($S413,0),2)))</x:f>
      </x:c>
      <x:c r="X413" s="144" t="str">
        <x:f>IF(COUNTA($A413:$M413)=0,"",IF(OR($U413="Subscription",$U413="Free Game",NOT(ISNUMBER($J413)),NOT(ISNUMBER($I413)),$J413=0,$I413=0,$I413&gt;$J413),"",$J413-$I413))</x:f>
      </x:c>
      <x:c r="Y413" s="116" t="str">
        <x:f>IF(COUNTA($A413:$M413)=0,"",IF(OR($U413="Subscription",$U413="Free Game",NOT(ISNUMBER($J413)),$J413=0,$X413=""),"",$X413/$J413))</x:f>
      </x:c>
      <x:c r="Z413" s="118" t="str">
        <x:f>IF(COUNTA($A413:$M413)=0,"",Instructions!$B$29+SUM($W$5:W413))</x:f>
      </x:c>
    </x:row>
    <x:row r="414" ht="30" customHeight="1">
      <x:c r="A414" s="477"/>
      <x:c r="B414" s="482"/>
      <x:c r="C414" s="482"/>
      <x:c r="D414" s="483"/>
      <x:c r="E414" s="483"/>
      <x:c r="F414" s="483"/>
      <x:c r="G414" s="484"/>
      <x:c r="H414" s="484"/>
      <x:c r="I414" s="485"/>
      <x:c r="J414" s="485"/>
      <x:c r="K414" s="484"/>
      <x:c r="L414" s="483"/>
      <x:c r="M414" s="477"/>
      <x:c r="N414" s="112" t="str">
        <x:f>IF(COUNTA($A414:$M414)=0,"",IF(OR(LOWER($F414&amp;"")="subscription",LOWER($F414&amp;"")="membership"),"",IF($G414="","",IF(ISNUMBER(SEARCH("non",LOWER($E414&amp;""))),$G414*0.85,$G414))))</x:f>
      </x:c>
      <x:c r="O414" s="112" t="str">
        <x:f>IF(COUNTA($A414:$M414)=0,"",IF(OR(LOWER($F414&amp;"")="subscription",LOWER($F414&amp;"")="membership"),"",IF(OR($N414="",$I414="",$I414=0),"",IFERROR($N414/$I414,""))))</x:f>
      </x:c>
      <x:c r="P414" s="112" t="str">
        <x:f>IF(COUNTA($A414:$M414)=0,"",IF(OR(LOWER($F414&amp;"")="subscription",LOWER($F414&amp;"")="membership"),"",IF(LOWER($L414&amp;"")="yes",0,IF($K414&lt;&gt;"",$K414,IF($O414&lt;&gt;"",$O414,"")))))</x:f>
      </x:c>
      <x:c r="Q414" s="112" t="str">
        <x:f>IF(COUNTA($A414:$M414)=0,"",IF(OR($U414="Subscription",$U414=""),"",IF($U414="Profit",ROUND($P414-$H414,2),0)))</x:f>
      </x:c>
      <x:c r="R414" s="112" t="str">
        <x:f>IF(COUNTA($A414:$M414)=0,"",IF(OR($U414="Subscription",$U414=""),"",IF($U414="Draw",$H414,0)))</x:f>
      </x:c>
      <x:c r="S414" s="112" t="str">
        <x:f>IF(COUNTA($A414:$M414)=0,"",IF(OR($U414="Subscription",$U414=""),"",IF($U414="Disqualified",$H414,0)))</x:f>
      </x:c>
      <x:c r="T414" s="116" t="str">
        <x:f>IF(COUNTA($A414:$M414)=0,"",IF(OR($U414="Subscription",$U414=""),"",IF($H414=0,0,IF($U414="Profit",$Q414/$H414,IF($U414="Disqualified",-$S414/$H414,0)))))</x:f>
      </x:c>
      <x:c r="U414" s="290" t="str">
        <x:f>IF(COUNTA($A414:$M414)=0,"",IF(OR(LOWER($F414&amp;"")="subscription",LOWER($F414&amp;"")="membership"),"Subscription",IF(LOWER($L414&amp;"")="yes","Disqualified",IF(OR(LOWER($F414&amp;"")="free game",LOWER($F414&amp;"")="free"),IF(AND(ISNUMBER($P414),ISNUMBER($H414),$P414&gt;$H414),"Profit","Free Game"),IF($P414="","",IF(ROUND(IFERROR(VALUE($P414),0)-IFERROR(VALUE($H414),0),2)&gt;0,"Profit","Draw"))))))</x:f>
      </x:c>
      <x:c r="V414" s="144" t="str">
        <x:f>IF(COUNTA($A414:$M414)=0,"",IF(OR($B414="",$C414="",$U414="Subscription"),"",IFERROR(ROUNDUP(($C414-$B414)/7,0),"")))</x:f>
      </x:c>
      <x:c r="W414" s="112" t="str">
        <x:f>IF(COUNTA($A414:$M414)=0,"",IF(OR($U414="Subscription",$U414=""),"",ROUND(IFERROR($Q414,0)-IFERROR($S414,0),2)))</x:f>
      </x:c>
      <x:c r="X414" s="144" t="str">
        <x:f>IF(COUNTA($A414:$M414)=0,"",IF(OR($U414="Subscription",$U414="Free Game",NOT(ISNUMBER($J414)),NOT(ISNUMBER($I414)),$J414=0,$I414=0,$I414&gt;$J414),"",$J414-$I414))</x:f>
      </x:c>
      <x:c r="Y414" s="116" t="str">
        <x:f>IF(COUNTA($A414:$M414)=0,"",IF(OR($U414="Subscription",$U414="Free Game",NOT(ISNUMBER($J414)),$J414=0,$X414=""),"",$X414/$J414))</x:f>
      </x:c>
      <x:c r="Z414" s="118" t="str">
        <x:f>IF(COUNTA($A414:$M414)=0,"",Instructions!$B$29+SUM($W$5:W414))</x:f>
      </x:c>
    </x:row>
    <x:row r="415" ht="30" customHeight="1">
      <x:c r="A415" s="477"/>
      <x:c r="B415" s="482"/>
      <x:c r="C415" s="482"/>
      <x:c r="D415" s="483"/>
      <x:c r="E415" s="483"/>
      <x:c r="F415" s="483"/>
      <x:c r="G415" s="484"/>
      <x:c r="H415" s="484"/>
      <x:c r="I415" s="485"/>
      <x:c r="J415" s="485"/>
      <x:c r="K415" s="484"/>
      <x:c r="L415" s="483"/>
      <x:c r="M415" s="477"/>
      <x:c r="N415" s="112" t="str">
        <x:f>IF(COUNTA($A415:$M415)=0,"",IF(OR(LOWER($F415&amp;"")="subscription",LOWER($F415&amp;"")="membership"),"",IF($G415="","",IF(ISNUMBER(SEARCH("non",LOWER($E415&amp;""))),$G415*0.85,$G415))))</x:f>
      </x:c>
      <x:c r="O415" s="112" t="str">
        <x:f>IF(COUNTA($A415:$M415)=0,"",IF(OR(LOWER($F415&amp;"")="subscription",LOWER($F415&amp;"")="membership"),"",IF(OR($N415="",$I415="",$I415=0),"",IFERROR($N415/$I415,""))))</x:f>
      </x:c>
      <x:c r="P415" s="112" t="str">
        <x:f>IF(COUNTA($A415:$M415)=0,"",IF(OR(LOWER($F415&amp;"")="subscription",LOWER($F415&amp;"")="membership"),"",IF(LOWER($L415&amp;"")="yes",0,IF($K415&lt;&gt;"",$K415,IF($O415&lt;&gt;"",$O415,"")))))</x:f>
      </x:c>
      <x:c r="Q415" s="112" t="str">
        <x:f>IF(COUNTA($A415:$M415)=0,"",IF(OR($U415="Subscription",$U415=""),"",IF($U415="Profit",ROUND($P415-$H415,2),0)))</x:f>
      </x:c>
      <x:c r="R415" s="112" t="str">
        <x:f>IF(COUNTA($A415:$M415)=0,"",IF(OR($U415="Subscription",$U415=""),"",IF($U415="Draw",$H415,0)))</x:f>
      </x:c>
      <x:c r="S415" s="112" t="str">
        <x:f>IF(COUNTA($A415:$M415)=0,"",IF(OR($U415="Subscription",$U415=""),"",IF($U415="Disqualified",$H415,0)))</x:f>
      </x:c>
      <x:c r="T415" s="116" t="str">
        <x:f>IF(COUNTA($A415:$M415)=0,"",IF(OR($U415="Subscription",$U415=""),"",IF($H415=0,0,IF($U415="Profit",$Q415/$H415,IF($U415="Disqualified",-$S415/$H415,0)))))</x:f>
      </x:c>
      <x:c r="U415" s="290" t="str">
        <x:f>IF(COUNTA($A415:$M415)=0,"",IF(OR(LOWER($F415&amp;"")="subscription",LOWER($F415&amp;"")="membership"),"Subscription",IF(LOWER($L415&amp;"")="yes","Disqualified",IF(OR(LOWER($F415&amp;"")="free game",LOWER($F415&amp;"")="free"),IF(AND(ISNUMBER($P415),ISNUMBER($H415),$P415&gt;$H415),"Profit","Free Game"),IF($P415="","",IF(ROUND(IFERROR(VALUE($P415),0)-IFERROR(VALUE($H415),0),2)&gt;0,"Profit","Draw"))))))</x:f>
      </x:c>
      <x:c r="V415" s="144" t="str">
        <x:f>IF(COUNTA($A415:$M415)=0,"",IF(OR($B415="",$C415="",$U415="Subscription"),"",IFERROR(ROUNDUP(($C415-$B415)/7,0),"")))</x:f>
      </x:c>
      <x:c r="W415" s="112" t="str">
        <x:f>IF(COUNTA($A415:$M415)=0,"",IF(OR($U415="Subscription",$U415=""),"",ROUND(IFERROR($Q415,0)-IFERROR($S415,0),2)))</x:f>
      </x:c>
      <x:c r="X415" s="144" t="str">
        <x:f>IF(COUNTA($A415:$M415)=0,"",IF(OR($U415="Subscription",$U415="Free Game",NOT(ISNUMBER($J415)),NOT(ISNUMBER($I415)),$J415=0,$I415=0,$I415&gt;$J415),"",$J415-$I415))</x:f>
      </x:c>
      <x:c r="Y415" s="116" t="str">
        <x:f>IF(COUNTA($A415:$M415)=0,"",IF(OR($U415="Subscription",$U415="Free Game",NOT(ISNUMBER($J415)),$J415=0,$X415=""),"",$X415/$J415))</x:f>
      </x:c>
      <x:c r="Z415" s="118" t="str">
        <x:f>IF(COUNTA($A415:$M415)=0,"",Instructions!$B$29+SUM($W$5:W415))</x:f>
      </x:c>
    </x:row>
    <x:row r="416" ht="30" customHeight="1">
      <x:c r="A416" s="477"/>
      <x:c r="B416" s="482"/>
      <x:c r="C416" s="482"/>
      <x:c r="D416" s="483"/>
      <x:c r="E416" s="483"/>
      <x:c r="F416" s="483"/>
      <x:c r="G416" s="484"/>
      <x:c r="H416" s="484"/>
      <x:c r="I416" s="485"/>
      <x:c r="J416" s="485"/>
      <x:c r="K416" s="484"/>
      <x:c r="L416" s="483"/>
      <x:c r="M416" s="477"/>
      <x:c r="N416" s="112" t="str">
        <x:f>IF(COUNTA($A416:$M416)=0,"",IF(OR(LOWER($F416&amp;"")="subscription",LOWER($F416&amp;"")="membership"),"",IF($G416="","",IF(ISNUMBER(SEARCH("non",LOWER($E416&amp;""))),$G416*0.85,$G416))))</x:f>
      </x:c>
      <x:c r="O416" s="112" t="str">
        <x:f>IF(COUNTA($A416:$M416)=0,"",IF(OR(LOWER($F416&amp;"")="subscription",LOWER($F416&amp;"")="membership"),"",IF(OR($N416="",$I416="",$I416=0),"",IFERROR($N416/$I416,""))))</x:f>
      </x:c>
      <x:c r="P416" s="112" t="str">
        <x:f>IF(COUNTA($A416:$M416)=0,"",IF(OR(LOWER($F416&amp;"")="subscription",LOWER($F416&amp;"")="membership"),"",IF(LOWER($L416&amp;"")="yes",0,IF($K416&lt;&gt;"",$K416,IF($O416&lt;&gt;"",$O416,"")))))</x:f>
      </x:c>
      <x:c r="Q416" s="112" t="str">
        <x:f>IF(COUNTA($A416:$M416)=0,"",IF(OR($U416="Subscription",$U416=""),"",IF($U416="Profit",ROUND($P416-$H416,2),0)))</x:f>
      </x:c>
      <x:c r="R416" s="112" t="str">
        <x:f>IF(COUNTA($A416:$M416)=0,"",IF(OR($U416="Subscription",$U416=""),"",IF($U416="Draw",$H416,0)))</x:f>
      </x:c>
      <x:c r="S416" s="112" t="str">
        <x:f>IF(COUNTA($A416:$M416)=0,"",IF(OR($U416="Subscription",$U416=""),"",IF($U416="Disqualified",$H416,0)))</x:f>
      </x:c>
      <x:c r="T416" s="116" t="str">
        <x:f>IF(COUNTA($A416:$M416)=0,"",IF(OR($U416="Subscription",$U416=""),"",IF($H416=0,0,IF($U416="Profit",$Q416/$H416,IF($U416="Disqualified",-$S416/$H416,0)))))</x:f>
      </x:c>
      <x:c r="U416" s="290" t="str">
        <x:f>IF(COUNTA($A416:$M416)=0,"",IF(OR(LOWER($F416&amp;"")="subscription",LOWER($F416&amp;"")="membership"),"Subscription",IF(LOWER($L416&amp;"")="yes","Disqualified",IF(OR(LOWER($F416&amp;"")="free game",LOWER($F416&amp;"")="free"),IF(AND(ISNUMBER($P416),ISNUMBER($H416),$P416&gt;$H416),"Profit","Free Game"),IF($P416="","",IF(ROUND(IFERROR(VALUE($P416),0)-IFERROR(VALUE($H416),0),2)&gt;0,"Profit","Draw"))))))</x:f>
      </x:c>
      <x:c r="V416" s="144" t="str">
        <x:f>IF(COUNTA($A416:$M416)=0,"",IF(OR($B416="",$C416="",$U416="Subscription"),"",IFERROR(ROUNDUP(($C416-$B416)/7,0),"")))</x:f>
      </x:c>
      <x:c r="W416" s="112" t="str">
        <x:f>IF(COUNTA($A416:$M416)=0,"",IF(OR($U416="Subscription",$U416=""),"",ROUND(IFERROR($Q416,0)-IFERROR($S416,0),2)))</x:f>
      </x:c>
      <x:c r="X416" s="144" t="str">
        <x:f>IF(COUNTA($A416:$M416)=0,"",IF(OR($U416="Subscription",$U416="Free Game",NOT(ISNUMBER($J416)),NOT(ISNUMBER($I416)),$J416=0,$I416=0,$I416&gt;$J416),"",$J416-$I416))</x:f>
      </x:c>
      <x:c r="Y416" s="116" t="str">
        <x:f>IF(COUNTA($A416:$M416)=0,"",IF(OR($U416="Subscription",$U416="Free Game",NOT(ISNUMBER($J416)),$J416=0,$X416=""),"",$X416/$J416))</x:f>
      </x:c>
      <x:c r="Z416" s="118" t="str">
        <x:f>IF(COUNTA($A416:$M416)=0,"",Instructions!$B$29+SUM($W$5:W416))</x:f>
      </x:c>
    </x:row>
    <x:row r="417" ht="30" customHeight="1">
      <x:c r="A417" s="477"/>
      <x:c r="B417" s="482"/>
      <x:c r="C417" s="482"/>
      <x:c r="D417" s="483"/>
      <x:c r="E417" s="483"/>
      <x:c r="F417" s="483"/>
      <x:c r="G417" s="484"/>
      <x:c r="H417" s="484"/>
      <x:c r="I417" s="485"/>
      <x:c r="J417" s="485"/>
      <x:c r="K417" s="484"/>
      <x:c r="L417" s="483"/>
      <x:c r="M417" s="477"/>
      <x:c r="N417" s="112" t="str">
        <x:f>IF(COUNTA($A417:$M417)=0,"",IF(OR(LOWER($F417&amp;"")="subscription",LOWER($F417&amp;"")="membership"),"",IF($G417="","",IF(ISNUMBER(SEARCH("non",LOWER($E417&amp;""))),$G417*0.85,$G417))))</x:f>
      </x:c>
      <x:c r="O417" s="112" t="str">
        <x:f>IF(COUNTA($A417:$M417)=0,"",IF(OR(LOWER($F417&amp;"")="subscription",LOWER($F417&amp;"")="membership"),"",IF(OR($N417="",$I417="",$I417=0),"",IFERROR($N417/$I417,""))))</x:f>
      </x:c>
      <x:c r="P417" s="112" t="str">
        <x:f>IF(COUNTA($A417:$M417)=0,"",IF(OR(LOWER($F417&amp;"")="subscription",LOWER($F417&amp;"")="membership"),"",IF(LOWER($L417&amp;"")="yes",0,IF($K417&lt;&gt;"",$K417,IF($O417&lt;&gt;"",$O417,"")))))</x:f>
      </x:c>
      <x:c r="Q417" s="112" t="str">
        <x:f>IF(COUNTA($A417:$M417)=0,"",IF(OR($U417="Subscription",$U417=""),"",IF($U417="Profit",ROUND($P417-$H417,2),0)))</x:f>
      </x:c>
      <x:c r="R417" s="112" t="str">
        <x:f>IF(COUNTA($A417:$M417)=0,"",IF(OR($U417="Subscription",$U417=""),"",IF($U417="Draw",$H417,0)))</x:f>
      </x:c>
      <x:c r="S417" s="112" t="str">
        <x:f>IF(COUNTA($A417:$M417)=0,"",IF(OR($U417="Subscription",$U417=""),"",IF($U417="Disqualified",$H417,0)))</x:f>
      </x:c>
      <x:c r="T417" s="116" t="str">
        <x:f>IF(COUNTA($A417:$M417)=0,"",IF(OR($U417="Subscription",$U417=""),"",IF($H417=0,0,IF($U417="Profit",$Q417/$H417,IF($U417="Disqualified",-$S417/$H417,0)))))</x:f>
      </x:c>
      <x:c r="U417" s="290" t="str">
        <x:f>IF(COUNTA($A417:$M417)=0,"",IF(OR(LOWER($F417&amp;"")="subscription",LOWER($F417&amp;"")="membership"),"Subscription",IF(LOWER($L417&amp;"")="yes","Disqualified",IF(OR(LOWER($F417&amp;"")="free game",LOWER($F417&amp;"")="free"),IF(AND(ISNUMBER($P417),ISNUMBER($H417),$P417&gt;$H417),"Profit","Free Game"),IF($P417="","",IF(ROUND(IFERROR(VALUE($P417),0)-IFERROR(VALUE($H417),0),2)&gt;0,"Profit","Draw"))))))</x:f>
      </x:c>
      <x:c r="V417" s="144" t="str">
        <x:f>IF(COUNTA($A417:$M417)=0,"",IF(OR($B417="",$C417="",$U417="Subscription"),"",IFERROR(ROUNDUP(($C417-$B417)/7,0),"")))</x:f>
      </x:c>
      <x:c r="W417" s="112" t="str">
        <x:f>IF(COUNTA($A417:$M417)=0,"",IF(OR($U417="Subscription",$U417=""),"",ROUND(IFERROR($Q417,0)-IFERROR($S417,0),2)))</x:f>
      </x:c>
      <x:c r="X417" s="144" t="str">
        <x:f>IF(COUNTA($A417:$M417)=0,"",IF(OR($U417="Subscription",$U417="Free Game",NOT(ISNUMBER($J417)),NOT(ISNUMBER($I417)),$J417=0,$I417=0,$I417&gt;$J417),"",$J417-$I417))</x:f>
      </x:c>
      <x:c r="Y417" s="116" t="str">
        <x:f>IF(COUNTA($A417:$M417)=0,"",IF(OR($U417="Subscription",$U417="Free Game",NOT(ISNUMBER($J417)),$J417=0,$X417=""),"",$X417/$J417))</x:f>
      </x:c>
      <x:c r="Z417" s="118" t="str">
        <x:f>IF(COUNTA($A417:$M417)=0,"",Instructions!$B$29+SUM($W$5:W417))</x:f>
      </x:c>
    </x:row>
    <x:row r="418" ht="30" customHeight="1">
      <x:c r="A418" s="477"/>
      <x:c r="B418" s="482"/>
      <x:c r="C418" s="482"/>
      <x:c r="D418" s="483"/>
      <x:c r="E418" s="483"/>
      <x:c r="F418" s="483"/>
      <x:c r="G418" s="484"/>
      <x:c r="H418" s="484"/>
      <x:c r="I418" s="485"/>
      <x:c r="J418" s="485"/>
      <x:c r="K418" s="484"/>
      <x:c r="L418" s="483"/>
      <x:c r="M418" s="477"/>
      <x:c r="N418" s="112" t="str">
        <x:f>IF(COUNTA($A418:$M418)=0,"",IF(OR(LOWER($F418&amp;"")="subscription",LOWER($F418&amp;"")="membership"),"",IF($G418="","",IF(ISNUMBER(SEARCH("non",LOWER($E418&amp;""))),$G418*0.85,$G418))))</x:f>
      </x:c>
      <x:c r="O418" s="112" t="str">
        <x:f>IF(COUNTA($A418:$M418)=0,"",IF(OR(LOWER($F418&amp;"")="subscription",LOWER($F418&amp;"")="membership"),"",IF(OR($N418="",$I418="",$I418=0),"",IFERROR($N418/$I418,""))))</x:f>
      </x:c>
      <x:c r="P418" s="112" t="str">
        <x:f>IF(COUNTA($A418:$M418)=0,"",IF(OR(LOWER($F418&amp;"")="subscription",LOWER($F418&amp;"")="membership"),"",IF(LOWER($L418&amp;"")="yes",0,IF($K418&lt;&gt;"",$K418,IF($O418&lt;&gt;"",$O418,"")))))</x:f>
      </x:c>
      <x:c r="Q418" s="112" t="str">
        <x:f>IF(COUNTA($A418:$M418)=0,"",IF(OR($U418="Subscription",$U418=""),"",IF($U418="Profit",ROUND($P418-$H418,2),0)))</x:f>
      </x:c>
      <x:c r="R418" s="112" t="str">
        <x:f>IF(COUNTA($A418:$M418)=0,"",IF(OR($U418="Subscription",$U418=""),"",IF($U418="Draw",$H418,0)))</x:f>
      </x:c>
      <x:c r="S418" s="112" t="str">
        <x:f>IF(COUNTA($A418:$M418)=0,"",IF(OR($U418="Subscription",$U418=""),"",IF($U418="Disqualified",$H418,0)))</x:f>
      </x:c>
      <x:c r="T418" s="116" t="str">
        <x:f>IF(COUNTA($A418:$M418)=0,"",IF(OR($U418="Subscription",$U418=""),"",IF($H418=0,0,IF($U418="Profit",$Q418/$H418,IF($U418="Disqualified",-$S418/$H418,0)))))</x:f>
      </x:c>
      <x:c r="U418" s="290" t="str">
        <x:f>IF(COUNTA($A418:$M418)=0,"",IF(OR(LOWER($F418&amp;"")="subscription",LOWER($F418&amp;"")="membership"),"Subscription",IF(LOWER($L418&amp;"")="yes","Disqualified",IF(OR(LOWER($F418&amp;"")="free game",LOWER($F418&amp;"")="free"),IF(AND(ISNUMBER($P418),ISNUMBER($H418),$P418&gt;$H418),"Profit","Free Game"),IF($P418="","",IF(ROUND(IFERROR(VALUE($P418),0)-IFERROR(VALUE($H418),0),2)&gt;0,"Profit","Draw"))))))</x:f>
      </x:c>
      <x:c r="V418" s="144" t="str">
        <x:f>IF(COUNTA($A418:$M418)=0,"",IF(OR($B418="",$C418="",$U418="Subscription"),"",IFERROR(ROUNDUP(($C418-$B418)/7,0),"")))</x:f>
      </x:c>
      <x:c r="W418" s="112" t="str">
        <x:f>IF(COUNTA($A418:$M418)=0,"",IF(OR($U418="Subscription",$U418=""),"",ROUND(IFERROR($Q418,0)-IFERROR($S418,0),2)))</x:f>
      </x:c>
      <x:c r="X418" s="144" t="str">
        <x:f>IF(COUNTA($A418:$M418)=0,"",IF(OR($U418="Subscription",$U418="Free Game",NOT(ISNUMBER($J418)),NOT(ISNUMBER($I418)),$J418=0,$I418=0,$I418&gt;$J418),"",$J418-$I418))</x:f>
      </x:c>
      <x:c r="Y418" s="116" t="str">
        <x:f>IF(COUNTA($A418:$M418)=0,"",IF(OR($U418="Subscription",$U418="Free Game",NOT(ISNUMBER($J418)),$J418=0,$X418=""),"",$X418/$J418))</x:f>
      </x:c>
      <x:c r="Z418" s="118" t="str">
        <x:f>IF(COUNTA($A418:$M418)=0,"",Instructions!$B$29+SUM($W$5:W418))</x:f>
      </x:c>
    </x:row>
    <x:row r="419" ht="30" customHeight="1">
      <x:c r="A419" s="477"/>
      <x:c r="B419" s="482"/>
      <x:c r="C419" s="482"/>
      <x:c r="D419" s="483"/>
      <x:c r="E419" s="483"/>
      <x:c r="F419" s="483"/>
      <x:c r="G419" s="484"/>
      <x:c r="H419" s="484"/>
      <x:c r="I419" s="485"/>
      <x:c r="J419" s="485"/>
      <x:c r="K419" s="484"/>
      <x:c r="L419" s="483"/>
      <x:c r="M419" s="477"/>
      <x:c r="N419" s="112" t="str">
        <x:f>IF(COUNTA($A419:$M419)=0,"",IF(OR(LOWER($F419&amp;"")="subscription",LOWER($F419&amp;"")="membership"),"",IF($G419="","",IF(ISNUMBER(SEARCH("non",LOWER($E419&amp;""))),$G419*0.85,$G419))))</x:f>
      </x:c>
      <x:c r="O419" s="112" t="str">
        <x:f>IF(COUNTA($A419:$M419)=0,"",IF(OR(LOWER($F419&amp;"")="subscription",LOWER($F419&amp;"")="membership"),"",IF(OR($N419="",$I419="",$I419=0),"",IFERROR($N419/$I419,""))))</x:f>
      </x:c>
      <x:c r="P419" s="112" t="str">
        <x:f>IF(COUNTA($A419:$M419)=0,"",IF(OR(LOWER($F419&amp;"")="subscription",LOWER($F419&amp;"")="membership"),"",IF(LOWER($L419&amp;"")="yes",0,IF($K419&lt;&gt;"",$K419,IF($O419&lt;&gt;"",$O419,"")))))</x:f>
      </x:c>
      <x:c r="Q419" s="112" t="str">
        <x:f>IF(COUNTA($A419:$M419)=0,"",IF(OR($U419="Subscription",$U419=""),"",IF($U419="Profit",ROUND($P419-$H419,2),0)))</x:f>
      </x:c>
      <x:c r="R419" s="112" t="str">
        <x:f>IF(COUNTA($A419:$M419)=0,"",IF(OR($U419="Subscription",$U419=""),"",IF($U419="Draw",$H419,0)))</x:f>
      </x:c>
      <x:c r="S419" s="112" t="str">
        <x:f>IF(COUNTA($A419:$M419)=0,"",IF(OR($U419="Subscription",$U419=""),"",IF($U419="Disqualified",$H419,0)))</x:f>
      </x:c>
      <x:c r="T419" s="116" t="str">
        <x:f>IF(COUNTA($A419:$M419)=0,"",IF(OR($U419="Subscription",$U419=""),"",IF($H419=0,0,IF($U419="Profit",$Q419/$H419,IF($U419="Disqualified",-$S419/$H419,0)))))</x:f>
      </x:c>
      <x:c r="U419" s="290" t="str">
        <x:f>IF(COUNTA($A419:$M419)=0,"",IF(OR(LOWER($F419&amp;"")="subscription",LOWER($F419&amp;"")="membership"),"Subscription",IF(LOWER($L419&amp;"")="yes","Disqualified",IF(OR(LOWER($F419&amp;"")="free game",LOWER($F419&amp;"")="free"),IF(AND(ISNUMBER($P419),ISNUMBER($H419),$P419&gt;$H419),"Profit","Free Game"),IF($P419="","",IF(ROUND(IFERROR(VALUE($P419),0)-IFERROR(VALUE($H419),0),2)&gt;0,"Profit","Draw"))))))</x:f>
      </x:c>
      <x:c r="V419" s="144" t="str">
        <x:f>IF(COUNTA($A419:$M419)=0,"",IF(OR($B419="",$C419="",$U419="Subscription"),"",IFERROR(ROUNDUP(($C419-$B419)/7,0),"")))</x:f>
      </x:c>
      <x:c r="W419" s="112" t="str">
        <x:f>IF(COUNTA($A419:$M419)=0,"",IF(OR($U419="Subscription",$U419=""),"",ROUND(IFERROR($Q419,0)-IFERROR($S419,0),2)))</x:f>
      </x:c>
      <x:c r="X419" s="144" t="str">
        <x:f>IF(COUNTA($A419:$M419)=0,"",IF(OR($U419="Subscription",$U419="Free Game",NOT(ISNUMBER($J419)),NOT(ISNUMBER($I419)),$J419=0,$I419=0,$I419&gt;$J419),"",$J419-$I419))</x:f>
      </x:c>
      <x:c r="Y419" s="116" t="str">
        <x:f>IF(COUNTA($A419:$M419)=0,"",IF(OR($U419="Subscription",$U419="Free Game",NOT(ISNUMBER($J419)),$J419=0,$X419=""),"",$X419/$J419))</x:f>
      </x:c>
      <x:c r="Z419" s="118" t="str">
        <x:f>IF(COUNTA($A419:$M419)=0,"",Instructions!$B$29+SUM($W$5:W419))</x:f>
      </x:c>
    </x:row>
    <x:row r="420" ht="30" customHeight="1">
      <x:c r="A420" s="477"/>
      <x:c r="B420" s="482"/>
      <x:c r="C420" s="482"/>
      <x:c r="D420" s="483"/>
      <x:c r="E420" s="483"/>
      <x:c r="F420" s="483"/>
      <x:c r="G420" s="484"/>
      <x:c r="H420" s="484"/>
      <x:c r="I420" s="485"/>
      <x:c r="J420" s="485"/>
      <x:c r="K420" s="484"/>
      <x:c r="L420" s="483"/>
      <x:c r="M420" s="477"/>
      <x:c r="N420" s="112" t="str">
        <x:f>IF(COUNTA($A420:$M420)=0,"",IF(OR(LOWER($F420&amp;"")="subscription",LOWER($F420&amp;"")="membership"),"",IF($G420="","",IF(ISNUMBER(SEARCH("non",LOWER($E420&amp;""))),$G420*0.85,$G420))))</x:f>
      </x:c>
      <x:c r="O420" s="112" t="str">
        <x:f>IF(COUNTA($A420:$M420)=0,"",IF(OR(LOWER($F420&amp;"")="subscription",LOWER($F420&amp;"")="membership"),"",IF(OR($N420="",$I420="",$I420=0),"",IFERROR($N420/$I420,""))))</x:f>
      </x:c>
      <x:c r="P420" s="112" t="str">
        <x:f>IF(COUNTA($A420:$M420)=0,"",IF(OR(LOWER($F420&amp;"")="subscription",LOWER($F420&amp;"")="membership"),"",IF(LOWER($L420&amp;"")="yes",0,IF($K420&lt;&gt;"",$K420,IF($O420&lt;&gt;"",$O420,"")))))</x:f>
      </x:c>
      <x:c r="Q420" s="112" t="str">
        <x:f>IF(COUNTA($A420:$M420)=0,"",IF(OR($U420="Subscription",$U420=""),"",IF($U420="Profit",ROUND($P420-$H420,2),0)))</x:f>
      </x:c>
      <x:c r="R420" s="112" t="str">
        <x:f>IF(COUNTA($A420:$M420)=0,"",IF(OR($U420="Subscription",$U420=""),"",IF($U420="Draw",$H420,0)))</x:f>
      </x:c>
      <x:c r="S420" s="112" t="str">
        <x:f>IF(COUNTA($A420:$M420)=0,"",IF(OR($U420="Subscription",$U420=""),"",IF($U420="Disqualified",$H420,0)))</x:f>
      </x:c>
      <x:c r="T420" s="116" t="str">
        <x:f>IF(COUNTA($A420:$M420)=0,"",IF(OR($U420="Subscription",$U420=""),"",IF($H420=0,0,IF($U420="Profit",$Q420/$H420,IF($U420="Disqualified",-$S420/$H420,0)))))</x:f>
      </x:c>
      <x:c r="U420" s="290" t="str">
        <x:f>IF(COUNTA($A420:$M420)=0,"",IF(OR(LOWER($F420&amp;"")="subscription",LOWER($F420&amp;"")="membership"),"Subscription",IF(LOWER($L420&amp;"")="yes","Disqualified",IF(OR(LOWER($F420&amp;"")="free game",LOWER($F420&amp;"")="free"),IF(AND(ISNUMBER($P420),ISNUMBER($H420),$P420&gt;$H420),"Profit","Free Game"),IF($P420="","",IF(ROUND(IFERROR(VALUE($P420),0)-IFERROR(VALUE($H420),0),2)&gt;0,"Profit","Draw"))))))</x:f>
      </x:c>
      <x:c r="V420" s="144" t="str">
        <x:f>IF(COUNTA($A420:$M420)=0,"",IF(OR($B420="",$C420="",$U420="Subscription"),"",IFERROR(ROUNDUP(($C420-$B420)/7,0),"")))</x:f>
      </x:c>
      <x:c r="W420" s="112" t="str">
        <x:f>IF(COUNTA($A420:$M420)=0,"",IF(OR($U420="Subscription",$U420=""),"",ROUND(IFERROR($Q420,0)-IFERROR($S420,0),2)))</x:f>
      </x:c>
      <x:c r="X420" s="144" t="str">
        <x:f>IF(COUNTA($A420:$M420)=0,"",IF(OR($U420="Subscription",$U420="Free Game",NOT(ISNUMBER($J420)),NOT(ISNUMBER($I420)),$J420=0,$I420=0,$I420&gt;$J420),"",$J420-$I420))</x:f>
      </x:c>
      <x:c r="Y420" s="116" t="str">
        <x:f>IF(COUNTA($A420:$M420)=0,"",IF(OR($U420="Subscription",$U420="Free Game",NOT(ISNUMBER($J420)),$J420=0,$X420=""),"",$X420/$J420))</x:f>
      </x:c>
      <x:c r="Z420" s="118" t="str">
        <x:f>IF(COUNTA($A420:$M420)=0,"",Instructions!$B$29+SUM($W$5:W420))</x:f>
      </x:c>
    </x:row>
    <x:row r="421" ht="30" customHeight="1">
      <x:c r="A421" s="477"/>
      <x:c r="B421" s="482"/>
      <x:c r="C421" s="482"/>
      <x:c r="D421" s="483"/>
      <x:c r="E421" s="483"/>
      <x:c r="F421" s="483"/>
      <x:c r="G421" s="484"/>
      <x:c r="H421" s="484"/>
      <x:c r="I421" s="485"/>
      <x:c r="J421" s="485"/>
      <x:c r="K421" s="484"/>
      <x:c r="L421" s="483"/>
      <x:c r="M421" s="477"/>
      <x:c r="N421" s="112" t="str">
        <x:f>IF(COUNTA($A421:$M421)=0,"",IF(OR(LOWER($F421&amp;"")="subscription",LOWER($F421&amp;"")="membership"),"",IF($G421="","",IF(ISNUMBER(SEARCH("non",LOWER($E421&amp;""))),$G421*0.85,$G421))))</x:f>
      </x:c>
      <x:c r="O421" s="112" t="str">
        <x:f>IF(COUNTA($A421:$M421)=0,"",IF(OR(LOWER($F421&amp;"")="subscription",LOWER($F421&amp;"")="membership"),"",IF(OR($N421="",$I421="",$I421=0),"",IFERROR($N421/$I421,""))))</x:f>
      </x:c>
      <x:c r="P421" s="112" t="str">
        <x:f>IF(COUNTA($A421:$M421)=0,"",IF(OR(LOWER($F421&amp;"")="subscription",LOWER($F421&amp;"")="membership"),"",IF(LOWER($L421&amp;"")="yes",0,IF($K421&lt;&gt;"",$K421,IF($O421&lt;&gt;"",$O421,"")))))</x:f>
      </x:c>
      <x:c r="Q421" s="112" t="str">
        <x:f>IF(COUNTA($A421:$M421)=0,"",IF(OR($U421="Subscription",$U421=""),"",IF($U421="Profit",ROUND($P421-$H421,2),0)))</x:f>
      </x:c>
      <x:c r="R421" s="112" t="str">
        <x:f>IF(COUNTA($A421:$M421)=0,"",IF(OR($U421="Subscription",$U421=""),"",IF($U421="Draw",$H421,0)))</x:f>
      </x:c>
      <x:c r="S421" s="112" t="str">
        <x:f>IF(COUNTA($A421:$M421)=0,"",IF(OR($U421="Subscription",$U421=""),"",IF($U421="Disqualified",$H421,0)))</x:f>
      </x:c>
      <x:c r="T421" s="116" t="str">
        <x:f>IF(COUNTA($A421:$M421)=0,"",IF(OR($U421="Subscription",$U421=""),"",IF($H421=0,0,IF($U421="Profit",$Q421/$H421,IF($U421="Disqualified",-$S421/$H421,0)))))</x:f>
      </x:c>
      <x:c r="U421" s="290" t="str">
        <x:f>IF(COUNTA($A421:$M421)=0,"",IF(OR(LOWER($F421&amp;"")="subscription",LOWER($F421&amp;"")="membership"),"Subscription",IF(LOWER($L421&amp;"")="yes","Disqualified",IF(OR(LOWER($F421&amp;"")="free game",LOWER($F421&amp;"")="free"),IF(AND(ISNUMBER($P421),ISNUMBER($H421),$P421&gt;$H421),"Profit","Free Game"),IF($P421="","",IF(ROUND(IFERROR(VALUE($P421),0)-IFERROR(VALUE($H421),0),2)&gt;0,"Profit","Draw"))))))</x:f>
      </x:c>
      <x:c r="V421" s="144" t="str">
        <x:f>IF(COUNTA($A421:$M421)=0,"",IF(OR($B421="",$C421="",$U421="Subscription"),"",IFERROR(ROUNDUP(($C421-$B421)/7,0),"")))</x:f>
      </x:c>
      <x:c r="W421" s="112" t="str">
        <x:f>IF(COUNTA($A421:$M421)=0,"",IF(OR($U421="Subscription",$U421=""),"",ROUND(IFERROR($Q421,0)-IFERROR($S421,0),2)))</x:f>
      </x:c>
      <x:c r="X421" s="144" t="str">
        <x:f>IF(COUNTA($A421:$M421)=0,"",IF(OR($U421="Subscription",$U421="Free Game",NOT(ISNUMBER($J421)),NOT(ISNUMBER($I421)),$J421=0,$I421=0,$I421&gt;$J421),"",$J421-$I421))</x:f>
      </x:c>
      <x:c r="Y421" s="116" t="str">
        <x:f>IF(COUNTA($A421:$M421)=0,"",IF(OR($U421="Subscription",$U421="Free Game",NOT(ISNUMBER($J421)),$J421=0,$X421=""),"",$X421/$J421))</x:f>
      </x:c>
      <x:c r="Z421" s="118" t="str">
        <x:f>IF(COUNTA($A421:$M421)=0,"",Instructions!$B$29+SUM($W$5:W421))</x:f>
      </x:c>
    </x:row>
    <x:row r="422" ht="30" customHeight="1">
      <x:c r="A422" s="477"/>
      <x:c r="B422" s="482"/>
      <x:c r="C422" s="482"/>
      <x:c r="D422" s="483"/>
      <x:c r="E422" s="483"/>
      <x:c r="F422" s="483"/>
      <x:c r="G422" s="484"/>
      <x:c r="H422" s="484"/>
      <x:c r="I422" s="485"/>
      <x:c r="J422" s="485"/>
      <x:c r="K422" s="484"/>
      <x:c r="L422" s="483"/>
      <x:c r="M422" s="477"/>
      <x:c r="N422" s="112" t="str">
        <x:f>IF(COUNTA($A422:$M422)=0,"",IF(OR(LOWER($F422&amp;"")="subscription",LOWER($F422&amp;"")="membership"),"",IF($G422="","",IF(ISNUMBER(SEARCH("non",LOWER($E422&amp;""))),$G422*0.85,$G422))))</x:f>
      </x:c>
      <x:c r="O422" s="112" t="str">
        <x:f>IF(COUNTA($A422:$M422)=0,"",IF(OR(LOWER($F422&amp;"")="subscription",LOWER($F422&amp;"")="membership"),"",IF(OR($N422="",$I422="",$I422=0),"",IFERROR($N422/$I422,""))))</x:f>
      </x:c>
      <x:c r="P422" s="112" t="str">
        <x:f>IF(COUNTA($A422:$M422)=0,"",IF(OR(LOWER($F422&amp;"")="subscription",LOWER($F422&amp;"")="membership"),"",IF(LOWER($L422&amp;"")="yes",0,IF($K422&lt;&gt;"",$K422,IF($O422&lt;&gt;"",$O422,"")))))</x:f>
      </x:c>
      <x:c r="Q422" s="112" t="str">
        <x:f>IF(COUNTA($A422:$M422)=0,"",IF(OR($U422="Subscription",$U422=""),"",IF($U422="Profit",ROUND($P422-$H422,2),0)))</x:f>
      </x:c>
      <x:c r="R422" s="112" t="str">
        <x:f>IF(COUNTA($A422:$M422)=0,"",IF(OR($U422="Subscription",$U422=""),"",IF($U422="Draw",$H422,0)))</x:f>
      </x:c>
      <x:c r="S422" s="112" t="str">
        <x:f>IF(COUNTA($A422:$M422)=0,"",IF(OR($U422="Subscription",$U422=""),"",IF($U422="Disqualified",$H422,0)))</x:f>
      </x:c>
      <x:c r="T422" s="116" t="str">
        <x:f>IF(COUNTA($A422:$M422)=0,"",IF(OR($U422="Subscription",$U422=""),"",IF($H422=0,0,IF($U422="Profit",$Q422/$H422,IF($U422="Disqualified",-$S422/$H422,0)))))</x:f>
      </x:c>
      <x:c r="U422" s="290" t="str">
        <x:f>IF(COUNTA($A422:$M422)=0,"",IF(OR(LOWER($F422&amp;"")="subscription",LOWER($F422&amp;"")="membership"),"Subscription",IF(LOWER($L422&amp;"")="yes","Disqualified",IF(OR(LOWER($F422&amp;"")="free game",LOWER($F422&amp;"")="free"),IF(AND(ISNUMBER($P422),ISNUMBER($H422),$P422&gt;$H422),"Profit","Free Game"),IF($P422="","",IF(ROUND(IFERROR(VALUE($P422),0)-IFERROR(VALUE($H422),0),2)&gt;0,"Profit","Draw"))))))</x:f>
      </x:c>
      <x:c r="V422" s="144" t="str">
        <x:f>IF(COUNTA($A422:$M422)=0,"",IF(OR($B422="",$C422="",$U422="Subscription"),"",IFERROR(ROUNDUP(($C422-$B422)/7,0),"")))</x:f>
      </x:c>
      <x:c r="W422" s="112" t="str">
        <x:f>IF(COUNTA($A422:$M422)=0,"",IF(OR($U422="Subscription",$U422=""),"",ROUND(IFERROR($Q422,0)-IFERROR($S422,0),2)))</x:f>
      </x:c>
      <x:c r="X422" s="144" t="str">
        <x:f>IF(COUNTA($A422:$M422)=0,"",IF(OR($U422="Subscription",$U422="Free Game",NOT(ISNUMBER($J422)),NOT(ISNUMBER($I422)),$J422=0,$I422=0,$I422&gt;$J422),"",$J422-$I422))</x:f>
      </x:c>
      <x:c r="Y422" s="116" t="str">
        <x:f>IF(COUNTA($A422:$M422)=0,"",IF(OR($U422="Subscription",$U422="Free Game",NOT(ISNUMBER($J422)),$J422=0,$X422=""),"",$X422/$J422))</x:f>
      </x:c>
      <x:c r="Z422" s="118" t="str">
        <x:f>IF(COUNTA($A422:$M422)=0,"",Instructions!$B$29+SUM($W$5:W422))</x:f>
      </x:c>
    </x:row>
    <x:row r="423" ht="30" customHeight="1">
      <x:c r="A423" s="477"/>
      <x:c r="B423" s="482"/>
      <x:c r="C423" s="482"/>
      <x:c r="D423" s="483"/>
      <x:c r="E423" s="483"/>
      <x:c r="F423" s="483"/>
      <x:c r="G423" s="484"/>
      <x:c r="H423" s="484"/>
      <x:c r="I423" s="485"/>
      <x:c r="J423" s="485"/>
      <x:c r="K423" s="484"/>
      <x:c r="L423" s="483"/>
      <x:c r="M423" s="477"/>
      <x:c r="N423" s="112" t="str">
        <x:f>IF(COUNTA($A423:$M423)=0,"",IF(OR(LOWER($F423&amp;"")="subscription",LOWER($F423&amp;"")="membership"),"",IF($G423="","",IF(ISNUMBER(SEARCH("non",LOWER($E423&amp;""))),$G423*0.85,$G423))))</x:f>
      </x:c>
      <x:c r="O423" s="112" t="str">
        <x:f>IF(COUNTA($A423:$M423)=0,"",IF(OR(LOWER($F423&amp;"")="subscription",LOWER($F423&amp;"")="membership"),"",IF(OR($N423="",$I423="",$I423=0),"",IFERROR($N423/$I423,""))))</x:f>
      </x:c>
      <x:c r="P423" s="112" t="str">
        <x:f>IF(COUNTA($A423:$M423)=0,"",IF(OR(LOWER($F423&amp;"")="subscription",LOWER($F423&amp;"")="membership"),"",IF(LOWER($L423&amp;"")="yes",0,IF($K423&lt;&gt;"",$K423,IF($O423&lt;&gt;"",$O423,"")))))</x:f>
      </x:c>
      <x:c r="Q423" s="112" t="str">
        <x:f>IF(COUNTA($A423:$M423)=0,"",IF(OR($U423="Subscription",$U423=""),"",IF($U423="Profit",ROUND($P423-$H423,2),0)))</x:f>
      </x:c>
      <x:c r="R423" s="112" t="str">
        <x:f>IF(COUNTA($A423:$M423)=0,"",IF(OR($U423="Subscription",$U423=""),"",IF($U423="Draw",$H423,0)))</x:f>
      </x:c>
      <x:c r="S423" s="112" t="str">
        <x:f>IF(COUNTA($A423:$M423)=0,"",IF(OR($U423="Subscription",$U423=""),"",IF($U423="Disqualified",$H423,0)))</x:f>
      </x:c>
      <x:c r="T423" s="116" t="str">
        <x:f>IF(COUNTA($A423:$M423)=0,"",IF(OR($U423="Subscription",$U423=""),"",IF($H423=0,0,IF($U423="Profit",$Q423/$H423,IF($U423="Disqualified",-$S423/$H423,0)))))</x:f>
      </x:c>
      <x:c r="U423" s="290" t="str">
        <x:f>IF(COUNTA($A423:$M423)=0,"",IF(OR(LOWER($F423&amp;"")="subscription",LOWER($F423&amp;"")="membership"),"Subscription",IF(LOWER($L423&amp;"")="yes","Disqualified",IF(OR(LOWER($F423&amp;"")="free game",LOWER($F423&amp;"")="free"),IF(AND(ISNUMBER($P423),ISNUMBER($H423),$P423&gt;$H423),"Profit","Free Game"),IF($P423="","",IF(ROUND(IFERROR(VALUE($P423),0)-IFERROR(VALUE($H423),0),2)&gt;0,"Profit","Draw"))))))</x:f>
      </x:c>
      <x:c r="V423" s="144" t="str">
        <x:f>IF(COUNTA($A423:$M423)=0,"",IF(OR($B423="",$C423="",$U423="Subscription"),"",IFERROR(ROUNDUP(($C423-$B423)/7,0),"")))</x:f>
      </x:c>
      <x:c r="W423" s="112" t="str">
        <x:f>IF(COUNTA($A423:$M423)=0,"",IF(OR($U423="Subscription",$U423=""),"",ROUND(IFERROR($Q423,0)-IFERROR($S423,0),2)))</x:f>
      </x:c>
      <x:c r="X423" s="144" t="str">
        <x:f>IF(COUNTA($A423:$M423)=0,"",IF(OR($U423="Subscription",$U423="Free Game",NOT(ISNUMBER($J423)),NOT(ISNUMBER($I423)),$J423=0,$I423=0,$I423&gt;$J423),"",$J423-$I423))</x:f>
      </x:c>
      <x:c r="Y423" s="116" t="str">
        <x:f>IF(COUNTA($A423:$M423)=0,"",IF(OR($U423="Subscription",$U423="Free Game",NOT(ISNUMBER($J423)),$J423=0,$X423=""),"",$X423/$J423))</x:f>
      </x:c>
      <x:c r="Z423" s="118" t="str">
        <x:f>IF(COUNTA($A423:$M423)=0,"",Instructions!$B$29+SUM($W$5:W423))</x:f>
      </x:c>
    </x:row>
    <x:row r="424" ht="30" customHeight="1">
      <x:c r="A424" s="477"/>
      <x:c r="B424" s="482"/>
      <x:c r="C424" s="482"/>
      <x:c r="D424" s="483"/>
      <x:c r="E424" s="483"/>
      <x:c r="F424" s="483"/>
      <x:c r="G424" s="484"/>
      <x:c r="H424" s="484"/>
      <x:c r="I424" s="485"/>
      <x:c r="J424" s="485"/>
      <x:c r="K424" s="484"/>
      <x:c r="L424" s="483"/>
      <x:c r="M424" s="477"/>
      <x:c r="N424" s="112" t="str">
        <x:f>IF(COUNTA($A424:$M424)=0,"",IF(OR(LOWER($F424&amp;"")="subscription",LOWER($F424&amp;"")="membership"),"",IF($G424="","",IF(ISNUMBER(SEARCH("non",LOWER($E424&amp;""))),$G424*0.85,$G424))))</x:f>
      </x:c>
      <x:c r="O424" s="112" t="str">
        <x:f>IF(COUNTA($A424:$M424)=0,"",IF(OR(LOWER($F424&amp;"")="subscription",LOWER($F424&amp;"")="membership"),"",IF(OR($N424="",$I424="",$I424=0),"",IFERROR($N424/$I424,""))))</x:f>
      </x:c>
      <x:c r="P424" s="112" t="str">
        <x:f>IF(COUNTA($A424:$M424)=0,"",IF(OR(LOWER($F424&amp;"")="subscription",LOWER($F424&amp;"")="membership"),"",IF(LOWER($L424&amp;"")="yes",0,IF($K424&lt;&gt;"",$K424,IF($O424&lt;&gt;"",$O424,"")))))</x:f>
      </x:c>
      <x:c r="Q424" s="112" t="str">
        <x:f>IF(COUNTA($A424:$M424)=0,"",IF(OR($U424="Subscription",$U424=""),"",IF($U424="Profit",ROUND($P424-$H424,2),0)))</x:f>
      </x:c>
      <x:c r="R424" s="112" t="str">
        <x:f>IF(COUNTA($A424:$M424)=0,"",IF(OR($U424="Subscription",$U424=""),"",IF($U424="Draw",$H424,0)))</x:f>
      </x:c>
      <x:c r="S424" s="112" t="str">
        <x:f>IF(COUNTA($A424:$M424)=0,"",IF(OR($U424="Subscription",$U424=""),"",IF($U424="Disqualified",$H424,0)))</x:f>
      </x:c>
      <x:c r="T424" s="116" t="str">
        <x:f>IF(COUNTA($A424:$M424)=0,"",IF(OR($U424="Subscription",$U424=""),"",IF($H424=0,0,IF($U424="Profit",$Q424/$H424,IF($U424="Disqualified",-$S424/$H424,0)))))</x:f>
      </x:c>
      <x:c r="U424" s="290" t="str">
        <x:f>IF(COUNTA($A424:$M424)=0,"",IF(OR(LOWER($F424&amp;"")="subscription",LOWER($F424&amp;"")="membership"),"Subscription",IF(LOWER($L424&amp;"")="yes","Disqualified",IF(OR(LOWER($F424&amp;"")="free game",LOWER($F424&amp;"")="free"),IF(AND(ISNUMBER($P424),ISNUMBER($H424),$P424&gt;$H424),"Profit","Free Game"),IF($P424="","",IF(ROUND(IFERROR(VALUE($P424),0)-IFERROR(VALUE($H424),0),2)&gt;0,"Profit","Draw"))))))</x:f>
      </x:c>
      <x:c r="V424" s="144" t="str">
        <x:f>IF(COUNTA($A424:$M424)=0,"",IF(OR($B424="",$C424="",$U424="Subscription"),"",IFERROR(ROUNDUP(($C424-$B424)/7,0),"")))</x:f>
      </x:c>
      <x:c r="W424" s="112" t="str">
        <x:f>IF(COUNTA($A424:$M424)=0,"",IF(OR($U424="Subscription",$U424=""),"",ROUND(IFERROR($Q424,0)-IFERROR($S424,0),2)))</x:f>
      </x:c>
      <x:c r="X424" s="144" t="str">
        <x:f>IF(COUNTA($A424:$M424)=0,"",IF(OR($U424="Subscription",$U424="Free Game",NOT(ISNUMBER($J424)),NOT(ISNUMBER($I424)),$J424=0,$I424=0,$I424&gt;$J424),"",$J424-$I424))</x:f>
      </x:c>
      <x:c r="Y424" s="116" t="str">
        <x:f>IF(COUNTA($A424:$M424)=0,"",IF(OR($U424="Subscription",$U424="Free Game",NOT(ISNUMBER($J424)),$J424=0,$X424=""),"",$X424/$J424))</x:f>
      </x:c>
      <x:c r="Z424" s="118" t="str">
        <x:f>IF(COUNTA($A424:$M424)=0,"",Instructions!$B$29+SUM($W$5:W424))</x:f>
      </x:c>
    </x:row>
    <x:row r="425" ht="30" customHeight="1">
      <x:c r="A425" s="477"/>
      <x:c r="B425" s="482"/>
      <x:c r="C425" s="482"/>
      <x:c r="D425" s="483"/>
      <x:c r="E425" s="483"/>
      <x:c r="F425" s="483"/>
      <x:c r="G425" s="484"/>
      <x:c r="H425" s="484"/>
      <x:c r="I425" s="485"/>
      <x:c r="J425" s="485"/>
      <x:c r="K425" s="484"/>
      <x:c r="L425" s="483"/>
      <x:c r="M425" s="477"/>
      <x:c r="N425" s="112" t="str">
        <x:f>IF(COUNTA($A425:$M425)=0,"",IF(OR(LOWER($F425&amp;"")="subscription",LOWER($F425&amp;"")="membership"),"",IF($G425="","",IF(ISNUMBER(SEARCH("non",LOWER($E425&amp;""))),$G425*0.85,$G425))))</x:f>
      </x:c>
      <x:c r="O425" s="112" t="str">
        <x:f>IF(COUNTA($A425:$M425)=0,"",IF(OR(LOWER($F425&amp;"")="subscription",LOWER($F425&amp;"")="membership"),"",IF(OR($N425="",$I425="",$I425=0),"",IFERROR($N425/$I425,""))))</x:f>
      </x:c>
      <x:c r="P425" s="112" t="str">
        <x:f>IF(COUNTA($A425:$M425)=0,"",IF(OR(LOWER($F425&amp;"")="subscription",LOWER($F425&amp;"")="membership"),"",IF(LOWER($L425&amp;"")="yes",0,IF($K425&lt;&gt;"",$K425,IF($O425&lt;&gt;"",$O425,"")))))</x:f>
      </x:c>
      <x:c r="Q425" s="112" t="str">
        <x:f>IF(COUNTA($A425:$M425)=0,"",IF(OR($U425="Subscription",$U425=""),"",IF($U425="Profit",ROUND($P425-$H425,2),0)))</x:f>
      </x:c>
      <x:c r="R425" s="112" t="str">
        <x:f>IF(COUNTA($A425:$M425)=0,"",IF(OR($U425="Subscription",$U425=""),"",IF($U425="Draw",$H425,0)))</x:f>
      </x:c>
      <x:c r="S425" s="112" t="str">
        <x:f>IF(COUNTA($A425:$M425)=0,"",IF(OR($U425="Subscription",$U425=""),"",IF($U425="Disqualified",$H425,0)))</x:f>
      </x:c>
      <x:c r="T425" s="116" t="str">
        <x:f>IF(COUNTA($A425:$M425)=0,"",IF(OR($U425="Subscription",$U425=""),"",IF($H425=0,0,IF($U425="Profit",$Q425/$H425,IF($U425="Disqualified",-$S425/$H425,0)))))</x:f>
      </x:c>
      <x:c r="U425" s="290" t="str">
        <x:f>IF(COUNTA($A425:$M425)=0,"",IF(OR(LOWER($F425&amp;"")="subscription",LOWER($F425&amp;"")="membership"),"Subscription",IF(LOWER($L425&amp;"")="yes","Disqualified",IF(OR(LOWER($F425&amp;"")="free game",LOWER($F425&amp;"")="free"),IF(AND(ISNUMBER($P425),ISNUMBER($H425),$P425&gt;$H425),"Profit","Free Game"),IF($P425="","",IF(ROUND(IFERROR(VALUE($P425),0)-IFERROR(VALUE($H425),0),2)&gt;0,"Profit","Draw"))))))</x:f>
      </x:c>
      <x:c r="V425" s="144" t="str">
        <x:f>IF(COUNTA($A425:$M425)=0,"",IF(OR($B425="",$C425="",$U425="Subscription"),"",IFERROR(ROUNDUP(($C425-$B425)/7,0),"")))</x:f>
      </x:c>
      <x:c r="W425" s="112" t="str">
        <x:f>IF(COUNTA($A425:$M425)=0,"",IF(OR($U425="Subscription",$U425=""),"",ROUND(IFERROR($Q425,0)-IFERROR($S425,0),2)))</x:f>
      </x:c>
      <x:c r="X425" s="144" t="str">
        <x:f>IF(COUNTA($A425:$M425)=0,"",IF(OR($U425="Subscription",$U425="Free Game",NOT(ISNUMBER($J425)),NOT(ISNUMBER($I425)),$J425=0,$I425=0,$I425&gt;$J425),"",$J425-$I425))</x:f>
      </x:c>
      <x:c r="Y425" s="116" t="str">
        <x:f>IF(COUNTA($A425:$M425)=0,"",IF(OR($U425="Subscription",$U425="Free Game",NOT(ISNUMBER($J425)),$J425=0,$X425=""),"",$X425/$J425))</x:f>
      </x:c>
      <x:c r="Z425" s="118" t="str">
        <x:f>IF(COUNTA($A425:$M425)=0,"",Instructions!$B$29+SUM($W$5:W425))</x:f>
      </x:c>
    </x:row>
    <x:row r="426" ht="30" customHeight="1">
      <x:c r="A426" s="477"/>
      <x:c r="B426" s="482"/>
      <x:c r="C426" s="482"/>
      <x:c r="D426" s="483"/>
      <x:c r="E426" s="483"/>
      <x:c r="F426" s="483"/>
      <x:c r="G426" s="484"/>
      <x:c r="H426" s="484"/>
      <x:c r="I426" s="485"/>
      <x:c r="J426" s="485"/>
      <x:c r="K426" s="484"/>
      <x:c r="L426" s="483"/>
      <x:c r="M426" s="477"/>
      <x:c r="N426" s="112" t="str">
        <x:f>IF(COUNTA($A426:$M426)=0,"",IF(OR(LOWER($F426&amp;"")="subscription",LOWER($F426&amp;"")="membership"),"",IF($G426="","",IF(ISNUMBER(SEARCH("non",LOWER($E426&amp;""))),$G426*0.85,$G426))))</x:f>
      </x:c>
      <x:c r="O426" s="112" t="str">
        <x:f>IF(COUNTA($A426:$M426)=0,"",IF(OR(LOWER($F426&amp;"")="subscription",LOWER($F426&amp;"")="membership"),"",IF(OR($N426="",$I426="",$I426=0),"",IFERROR($N426/$I426,""))))</x:f>
      </x:c>
      <x:c r="P426" s="112" t="str">
        <x:f>IF(COUNTA($A426:$M426)=0,"",IF(OR(LOWER($F426&amp;"")="subscription",LOWER($F426&amp;"")="membership"),"",IF(LOWER($L426&amp;"")="yes",0,IF($K426&lt;&gt;"",$K426,IF($O426&lt;&gt;"",$O426,"")))))</x:f>
      </x:c>
      <x:c r="Q426" s="112" t="str">
        <x:f>IF(COUNTA($A426:$M426)=0,"",IF(OR($U426="Subscription",$U426=""),"",IF($U426="Profit",ROUND($P426-$H426,2),0)))</x:f>
      </x:c>
      <x:c r="R426" s="112" t="str">
        <x:f>IF(COUNTA($A426:$M426)=0,"",IF(OR($U426="Subscription",$U426=""),"",IF($U426="Draw",$H426,0)))</x:f>
      </x:c>
      <x:c r="S426" s="112" t="str">
        <x:f>IF(COUNTA($A426:$M426)=0,"",IF(OR($U426="Subscription",$U426=""),"",IF($U426="Disqualified",$H426,0)))</x:f>
      </x:c>
      <x:c r="T426" s="116" t="str">
        <x:f>IF(COUNTA($A426:$M426)=0,"",IF(OR($U426="Subscription",$U426=""),"",IF($H426=0,0,IF($U426="Profit",$Q426/$H426,IF($U426="Disqualified",-$S426/$H426,0)))))</x:f>
      </x:c>
      <x:c r="U426" s="290" t="str">
        <x:f>IF(COUNTA($A426:$M426)=0,"",IF(OR(LOWER($F426&amp;"")="subscription",LOWER($F426&amp;"")="membership"),"Subscription",IF(LOWER($L426&amp;"")="yes","Disqualified",IF(OR(LOWER($F426&amp;"")="free game",LOWER($F426&amp;"")="free"),IF(AND(ISNUMBER($P426),ISNUMBER($H426),$P426&gt;$H426),"Profit","Free Game"),IF($P426="","",IF(ROUND(IFERROR(VALUE($P426),0)-IFERROR(VALUE($H426),0),2)&gt;0,"Profit","Draw"))))))</x:f>
      </x:c>
      <x:c r="V426" s="144" t="str">
        <x:f>IF(COUNTA($A426:$M426)=0,"",IF(OR($B426="",$C426="",$U426="Subscription"),"",IFERROR(ROUNDUP(($C426-$B426)/7,0),"")))</x:f>
      </x:c>
      <x:c r="W426" s="112" t="str">
        <x:f>IF(COUNTA($A426:$M426)=0,"",IF(OR($U426="Subscription",$U426=""),"",ROUND(IFERROR($Q426,0)-IFERROR($S426,0),2)))</x:f>
      </x:c>
      <x:c r="X426" s="144" t="str">
        <x:f>IF(COUNTA($A426:$M426)=0,"",IF(OR($U426="Subscription",$U426="Free Game",NOT(ISNUMBER($J426)),NOT(ISNUMBER($I426)),$J426=0,$I426=0,$I426&gt;$J426),"",$J426-$I426))</x:f>
      </x:c>
      <x:c r="Y426" s="116" t="str">
        <x:f>IF(COUNTA($A426:$M426)=0,"",IF(OR($U426="Subscription",$U426="Free Game",NOT(ISNUMBER($J426)),$J426=0,$X426=""),"",$X426/$J426))</x:f>
      </x:c>
      <x:c r="Z426" s="118" t="str">
        <x:f>IF(COUNTA($A426:$M426)=0,"",Instructions!$B$29+SUM($W$5:W426))</x:f>
      </x:c>
    </x:row>
    <x:row r="427" ht="30" customHeight="1">
      <x:c r="A427" s="477"/>
      <x:c r="B427" s="482"/>
      <x:c r="C427" s="482"/>
      <x:c r="D427" s="483"/>
      <x:c r="E427" s="483"/>
      <x:c r="F427" s="483"/>
      <x:c r="G427" s="484"/>
      <x:c r="H427" s="484"/>
      <x:c r="I427" s="485"/>
      <x:c r="J427" s="485"/>
      <x:c r="K427" s="484"/>
      <x:c r="L427" s="483"/>
      <x:c r="M427" s="477"/>
      <x:c r="N427" s="112" t="str">
        <x:f>IF(COUNTA($A427:$M427)=0,"",IF(OR(LOWER($F427&amp;"")="subscription",LOWER($F427&amp;"")="membership"),"",IF($G427="","",IF(ISNUMBER(SEARCH("non",LOWER($E427&amp;""))),$G427*0.85,$G427))))</x:f>
      </x:c>
      <x:c r="O427" s="112" t="str">
        <x:f>IF(COUNTA($A427:$M427)=0,"",IF(OR(LOWER($F427&amp;"")="subscription",LOWER($F427&amp;"")="membership"),"",IF(OR($N427="",$I427="",$I427=0),"",IFERROR($N427/$I427,""))))</x:f>
      </x:c>
      <x:c r="P427" s="112" t="str">
        <x:f>IF(COUNTA($A427:$M427)=0,"",IF(OR(LOWER($F427&amp;"")="subscription",LOWER($F427&amp;"")="membership"),"",IF(LOWER($L427&amp;"")="yes",0,IF($K427&lt;&gt;"",$K427,IF($O427&lt;&gt;"",$O427,"")))))</x:f>
      </x:c>
      <x:c r="Q427" s="112" t="str">
        <x:f>IF(COUNTA($A427:$M427)=0,"",IF(OR($U427="Subscription",$U427=""),"",IF($U427="Profit",ROUND($P427-$H427,2),0)))</x:f>
      </x:c>
      <x:c r="R427" s="112" t="str">
        <x:f>IF(COUNTA($A427:$M427)=0,"",IF(OR($U427="Subscription",$U427=""),"",IF($U427="Draw",$H427,0)))</x:f>
      </x:c>
      <x:c r="S427" s="112" t="str">
        <x:f>IF(COUNTA($A427:$M427)=0,"",IF(OR($U427="Subscription",$U427=""),"",IF($U427="Disqualified",$H427,0)))</x:f>
      </x:c>
      <x:c r="T427" s="116" t="str">
        <x:f>IF(COUNTA($A427:$M427)=0,"",IF(OR($U427="Subscription",$U427=""),"",IF($H427=0,0,IF($U427="Profit",$Q427/$H427,IF($U427="Disqualified",-$S427/$H427,0)))))</x:f>
      </x:c>
      <x:c r="U427" s="290" t="str">
        <x:f>IF(COUNTA($A427:$M427)=0,"",IF(OR(LOWER($F427&amp;"")="subscription",LOWER($F427&amp;"")="membership"),"Subscription",IF(LOWER($L427&amp;"")="yes","Disqualified",IF(OR(LOWER($F427&amp;"")="free game",LOWER($F427&amp;"")="free"),IF(AND(ISNUMBER($P427),ISNUMBER($H427),$P427&gt;$H427),"Profit","Free Game"),IF($P427="","",IF(ROUND(IFERROR(VALUE($P427),0)-IFERROR(VALUE($H427),0),2)&gt;0,"Profit","Draw"))))))</x:f>
      </x:c>
      <x:c r="V427" s="144" t="str">
        <x:f>IF(COUNTA($A427:$M427)=0,"",IF(OR($B427="",$C427="",$U427="Subscription"),"",IFERROR(ROUNDUP(($C427-$B427)/7,0),"")))</x:f>
      </x:c>
      <x:c r="W427" s="112" t="str">
        <x:f>IF(COUNTA($A427:$M427)=0,"",IF(OR($U427="Subscription",$U427=""),"",ROUND(IFERROR($Q427,0)-IFERROR($S427,0),2)))</x:f>
      </x:c>
      <x:c r="X427" s="144" t="str">
        <x:f>IF(COUNTA($A427:$M427)=0,"",IF(OR($U427="Subscription",$U427="Free Game",NOT(ISNUMBER($J427)),NOT(ISNUMBER($I427)),$J427=0,$I427=0,$I427&gt;$J427),"",$J427-$I427))</x:f>
      </x:c>
      <x:c r="Y427" s="116" t="str">
        <x:f>IF(COUNTA($A427:$M427)=0,"",IF(OR($U427="Subscription",$U427="Free Game",NOT(ISNUMBER($J427)),$J427=0,$X427=""),"",$X427/$J427))</x:f>
      </x:c>
      <x:c r="Z427" s="118" t="str">
        <x:f>IF(COUNTA($A427:$M427)=0,"",Instructions!$B$29+SUM($W$5:W427))</x:f>
      </x:c>
    </x:row>
    <x:row r="428" ht="30" customHeight="1">
      <x:c r="A428" s="477"/>
      <x:c r="B428" s="482"/>
      <x:c r="C428" s="482"/>
      <x:c r="D428" s="483"/>
      <x:c r="E428" s="483"/>
      <x:c r="F428" s="483"/>
      <x:c r="G428" s="484"/>
      <x:c r="H428" s="484"/>
      <x:c r="I428" s="485"/>
      <x:c r="J428" s="485"/>
      <x:c r="K428" s="484"/>
      <x:c r="L428" s="483"/>
      <x:c r="M428" s="477"/>
      <x:c r="N428" s="112" t="str">
        <x:f>IF(COUNTA($A428:$M428)=0,"",IF(OR(LOWER($F428&amp;"")="subscription",LOWER($F428&amp;"")="membership"),"",IF($G428="","",IF(ISNUMBER(SEARCH("non",LOWER($E428&amp;""))),$G428*0.85,$G428))))</x:f>
      </x:c>
      <x:c r="O428" s="112" t="str">
        <x:f>IF(COUNTA($A428:$M428)=0,"",IF(OR(LOWER($F428&amp;"")="subscription",LOWER($F428&amp;"")="membership"),"",IF(OR($N428="",$I428="",$I428=0),"",IFERROR($N428/$I428,""))))</x:f>
      </x:c>
      <x:c r="P428" s="112" t="str">
        <x:f>IF(COUNTA($A428:$M428)=0,"",IF(OR(LOWER($F428&amp;"")="subscription",LOWER($F428&amp;"")="membership"),"",IF(LOWER($L428&amp;"")="yes",0,IF($K428&lt;&gt;"",$K428,IF($O428&lt;&gt;"",$O428,"")))))</x:f>
      </x:c>
      <x:c r="Q428" s="112" t="str">
        <x:f>IF(COUNTA($A428:$M428)=0,"",IF(OR($U428="Subscription",$U428=""),"",IF($U428="Profit",ROUND($P428-$H428,2),0)))</x:f>
      </x:c>
      <x:c r="R428" s="112" t="str">
        <x:f>IF(COUNTA($A428:$M428)=0,"",IF(OR($U428="Subscription",$U428=""),"",IF($U428="Draw",$H428,0)))</x:f>
      </x:c>
      <x:c r="S428" s="112" t="str">
        <x:f>IF(COUNTA($A428:$M428)=0,"",IF(OR($U428="Subscription",$U428=""),"",IF($U428="Disqualified",$H428,0)))</x:f>
      </x:c>
      <x:c r="T428" s="116" t="str">
        <x:f>IF(COUNTA($A428:$M428)=0,"",IF(OR($U428="Subscription",$U428=""),"",IF($H428=0,0,IF($U428="Profit",$Q428/$H428,IF($U428="Disqualified",-$S428/$H428,0)))))</x:f>
      </x:c>
      <x:c r="U428" s="290" t="str">
        <x:f>IF(COUNTA($A428:$M428)=0,"",IF(OR(LOWER($F428&amp;"")="subscription",LOWER($F428&amp;"")="membership"),"Subscription",IF(LOWER($L428&amp;"")="yes","Disqualified",IF(OR(LOWER($F428&amp;"")="free game",LOWER($F428&amp;"")="free"),IF(AND(ISNUMBER($P428),ISNUMBER($H428),$P428&gt;$H428),"Profit","Free Game"),IF($P428="","",IF(ROUND(IFERROR(VALUE($P428),0)-IFERROR(VALUE($H428),0),2)&gt;0,"Profit","Draw"))))))</x:f>
      </x:c>
      <x:c r="V428" s="144" t="str">
        <x:f>IF(COUNTA($A428:$M428)=0,"",IF(OR($B428="",$C428="",$U428="Subscription"),"",IFERROR(ROUNDUP(($C428-$B428)/7,0),"")))</x:f>
      </x:c>
      <x:c r="W428" s="112" t="str">
        <x:f>IF(COUNTA($A428:$M428)=0,"",IF(OR($U428="Subscription",$U428=""),"",ROUND(IFERROR($Q428,0)-IFERROR($S428,0),2)))</x:f>
      </x:c>
      <x:c r="X428" s="144" t="str">
        <x:f>IF(COUNTA($A428:$M428)=0,"",IF(OR($U428="Subscription",$U428="Free Game",NOT(ISNUMBER($J428)),NOT(ISNUMBER($I428)),$J428=0,$I428=0,$I428&gt;$J428),"",$J428-$I428))</x:f>
      </x:c>
      <x:c r="Y428" s="116" t="str">
        <x:f>IF(COUNTA($A428:$M428)=0,"",IF(OR($U428="Subscription",$U428="Free Game",NOT(ISNUMBER($J428)),$J428=0,$X428=""),"",$X428/$J428))</x:f>
      </x:c>
      <x:c r="Z428" s="118" t="str">
        <x:f>IF(COUNTA($A428:$M428)=0,"",Instructions!$B$29+SUM($W$5:W428))</x:f>
      </x:c>
    </x:row>
    <x:row r="429" ht="30" customHeight="1">
      <x:c r="A429" s="477"/>
      <x:c r="B429" s="482"/>
      <x:c r="C429" s="482"/>
      <x:c r="D429" s="483"/>
      <x:c r="E429" s="483"/>
      <x:c r="F429" s="483"/>
      <x:c r="G429" s="484"/>
      <x:c r="H429" s="484"/>
      <x:c r="I429" s="485"/>
      <x:c r="J429" s="485"/>
      <x:c r="K429" s="484"/>
      <x:c r="L429" s="483"/>
      <x:c r="M429" s="477"/>
      <x:c r="N429" s="112" t="str">
        <x:f>IF(COUNTA($A429:$M429)=0,"",IF(OR(LOWER($F429&amp;"")="subscription",LOWER($F429&amp;"")="membership"),"",IF($G429="","",IF(ISNUMBER(SEARCH("non",LOWER($E429&amp;""))),$G429*0.85,$G429))))</x:f>
      </x:c>
      <x:c r="O429" s="112" t="str">
        <x:f>IF(COUNTA($A429:$M429)=0,"",IF(OR(LOWER($F429&amp;"")="subscription",LOWER($F429&amp;"")="membership"),"",IF(OR($N429="",$I429="",$I429=0),"",IFERROR($N429/$I429,""))))</x:f>
      </x:c>
      <x:c r="P429" s="112" t="str">
        <x:f>IF(COUNTA($A429:$M429)=0,"",IF(OR(LOWER($F429&amp;"")="subscription",LOWER($F429&amp;"")="membership"),"",IF(LOWER($L429&amp;"")="yes",0,IF($K429&lt;&gt;"",$K429,IF($O429&lt;&gt;"",$O429,"")))))</x:f>
      </x:c>
      <x:c r="Q429" s="112" t="str">
        <x:f>IF(COUNTA($A429:$M429)=0,"",IF(OR($U429="Subscription",$U429=""),"",IF($U429="Profit",ROUND($P429-$H429,2),0)))</x:f>
      </x:c>
      <x:c r="R429" s="112" t="str">
        <x:f>IF(COUNTA($A429:$M429)=0,"",IF(OR($U429="Subscription",$U429=""),"",IF($U429="Draw",$H429,0)))</x:f>
      </x:c>
      <x:c r="S429" s="112" t="str">
        <x:f>IF(COUNTA($A429:$M429)=0,"",IF(OR($U429="Subscription",$U429=""),"",IF($U429="Disqualified",$H429,0)))</x:f>
      </x:c>
      <x:c r="T429" s="116" t="str">
        <x:f>IF(COUNTA($A429:$M429)=0,"",IF(OR($U429="Subscription",$U429=""),"",IF($H429=0,0,IF($U429="Profit",$Q429/$H429,IF($U429="Disqualified",-$S429/$H429,0)))))</x:f>
      </x:c>
      <x:c r="U429" s="290" t="str">
        <x:f>IF(COUNTA($A429:$M429)=0,"",IF(OR(LOWER($F429&amp;"")="subscription",LOWER($F429&amp;"")="membership"),"Subscription",IF(LOWER($L429&amp;"")="yes","Disqualified",IF(OR(LOWER($F429&amp;"")="free game",LOWER($F429&amp;"")="free"),IF(AND(ISNUMBER($P429),ISNUMBER($H429),$P429&gt;$H429),"Profit","Free Game"),IF($P429="","",IF(ROUND(IFERROR(VALUE($P429),0)-IFERROR(VALUE($H429),0),2)&gt;0,"Profit","Draw"))))))</x:f>
      </x:c>
      <x:c r="V429" s="144" t="str">
        <x:f>IF(COUNTA($A429:$M429)=0,"",IF(OR($B429="",$C429="",$U429="Subscription"),"",IFERROR(ROUNDUP(($C429-$B429)/7,0),"")))</x:f>
      </x:c>
      <x:c r="W429" s="112" t="str">
        <x:f>IF(COUNTA($A429:$M429)=0,"",IF(OR($U429="Subscription",$U429=""),"",ROUND(IFERROR($Q429,0)-IFERROR($S429,0),2)))</x:f>
      </x:c>
      <x:c r="X429" s="144" t="str">
        <x:f>IF(COUNTA($A429:$M429)=0,"",IF(OR($U429="Subscription",$U429="Free Game",NOT(ISNUMBER($J429)),NOT(ISNUMBER($I429)),$J429=0,$I429=0,$I429&gt;$J429),"",$J429-$I429))</x:f>
      </x:c>
      <x:c r="Y429" s="116" t="str">
        <x:f>IF(COUNTA($A429:$M429)=0,"",IF(OR($U429="Subscription",$U429="Free Game",NOT(ISNUMBER($J429)),$J429=0,$X429=""),"",$X429/$J429))</x:f>
      </x:c>
      <x:c r="Z429" s="118" t="str">
        <x:f>IF(COUNTA($A429:$M429)=0,"",Instructions!$B$29+SUM($W$5:W429))</x:f>
      </x:c>
    </x:row>
    <x:row r="430" ht="30" customHeight="1">
      <x:c r="A430" s="477"/>
      <x:c r="B430" s="482"/>
      <x:c r="C430" s="482"/>
      <x:c r="D430" s="483"/>
      <x:c r="E430" s="483"/>
      <x:c r="F430" s="483"/>
      <x:c r="G430" s="484"/>
      <x:c r="H430" s="484"/>
      <x:c r="I430" s="485"/>
      <x:c r="J430" s="485"/>
      <x:c r="K430" s="484"/>
      <x:c r="L430" s="483"/>
      <x:c r="M430" s="477"/>
      <x:c r="N430" s="112" t="str">
        <x:f>IF(COUNTA($A430:$M430)=0,"",IF(OR(LOWER($F430&amp;"")="subscription",LOWER($F430&amp;"")="membership"),"",IF($G430="","",IF(ISNUMBER(SEARCH("non",LOWER($E430&amp;""))),$G430*0.85,$G430))))</x:f>
      </x:c>
      <x:c r="O430" s="112" t="str">
        <x:f>IF(COUNTA($A430:$M430)=0,"",IF(OR(LOWER($F430&amp;"")="subscription",LOWER($F430&amp;"")="membership"),"",IF(OR($N430="",$I430="",$I430=0),"",IFERROR($N430/$I430,""))))</x:f>
      </x:c>
      <x:c r="P430" s="112" t="str">
        <x:f>IF(COUNTA($A430:$M430)=0,"",IF(OR(LOWER($F430&amp;"")="subscription",LOWER($F430&amp;"")="membership"),"",IF(LOWER($L430&amp;"")="yes",0,IF($K430&lt;&gt;"",$K430,IF($O430&lt;&gt;"",$O430,"")))))</x:f>
      </x:c>
      <x:c r="Q430" s="112" t="str">
        <x:f>IF(COUNTA($A430:$M430)=0,"",IF(OR($U430="Subscription",$U430=""),"",IF($U430="Profit",ROUND($P430-$H430,2),0)))</x:f>
      </x:c>
      <x:c r="R430" s="112" t="str">
        <x:f>IF(COUNTA($A430:$M430)=0,"",IF(OR($U430="Subscription",$U430=""),"",IF($U430="Draw",$H430,0)))</x:f>
      </x:c>
      <x:c r="S430" s="112" t="str">
        <x:f>IF(COUNTA($A430:$M430)=0,"",IF(OR($U430="Subscription",$U430=""),"",IF($U430="Disqualified",$H430,0)))</x:f>
      </x:c>
      <x:c r="T430" s="116" t="str">
        <x:f>IF(COUNTA($A430:$M430)=0,"",IF(OR($U430="Subscription",$U430=""),"",IF($H430=0,0,IF($U430="Profit",$Q430/$H430,IF($U430="Disqualified",-$S430/$H430,0)))))</x:f>
      </x:c>
      <x:c r="U430" s="290" t="str">
        <x:f>IF(COUNTA($A430:$M430)=0,"",IF(OR(LOWER($F430&amp;"")="subscription",LOWER($F430&amp;"")="membership"),"Subscription",IF(LOWER($L430&amp;"")="yes","Disqualified",IF(OR(LOWER($F430&amp;"")="free game",LOWER($F430&amp;"")="free"),IF(AND(ISNUMBER($P430),ISNUMBER($H430),$P430&gt;$H430),"Profit","Free Game"),IF($P430="","",IF(ROUND(IFERROR(VALUE($P430),0)-IFERROR(VALUE($H430),0),2)&gt;0,"Profit","Draw"))))))</x:f>
      </x:c>
      <x:c r="V430" s="144" t="str">
        <x:f>IF(COUNTA($A430:$M430)=0,"",IF(OR($B430="",$C430="",$U430="Subscription"),"",IFERROR(ROUNDUP(($C430-$B430)/7,0),"")))</x:f>
      </x:c>
      <x:c r="W430" s="112" t="str">
        <x:f>IF(COUNTA($A430:$M430)=0,"",IF(OR($U430="Subscription",$U430=""),"",ROUND(IFERROR($Q430,0)-IFERROR($S430,0),2)))</x:f>
      </x:c>
      <x:c r="X430" s="144" t="str">
        <x:f>IF(COUNTA($A430:$M430)=0,"",IF(OR($U430="Subscription",$U430="Free Game",NOT(ISNUMBER($J430)),NOT(ISNUMBER($I430)),$J430=0,$I430=0,$I430&gt;$J430),"",$J430-$I430))</x:f>
      </x:c>
      <x:c r="Y430" s="116" t="str">
        <x:f>IF(COUNTA($A430:$M430)=0,"",IF(OR($U430="Subscription",$U430="Free Game",NOT(ISNUMBER($J430)),$J430=0,$X430=""),"",$X430/$J430))</x:f>
      </x:c>
      <x:c r="Z430" s="118" t="str">
        <x:f>IF(COUNTA($A430:$M430)=0,"",Instructions!$B$29+SUM($W$5:W430))</x:f>
      </x:c>
    </x:row>
    <x:row r="431" ht="30" customHeight="1">
      <x:c r="A431" s="477"/>
      <x:c r="B431" s="482"/>
      <x:c r="C431" s="482"/>
      <x:c r="D431" s="483"/>
      <x:c r="E431" s="483"/>
      <x:c r="F431" s="483"/>
      <x:c r="G431" s="484"/>
      <x:c r="H431" s="484"/>
      <x:c r="I431" s="485"/>
      <x:c r="J431" s="485"/>
      <x:c r="K431" s="484"/>
      <x:c r="L431" s="483"/>
      <x:c r="M431" s="477"/>
      <x:c r="N431" s="112" t="str">
        <x:f>IF(COUNTA($A431:$M431)=0,"",IF(OR(LOWER($F431&amp;"")="subscription",LOWER($F431&amp;"")="membership"),"",IF($G431="","",IF(ISNUMBER(SEARCH("non",LOWER($E431&amp;""))),$G431*0.85,$G431))))</x:f>
      </x:c>
      <x:c r="O431" s="112" t="str">
        <x:f>IF(COUNTA($A431:$M431)=0,"",IF(OR(LOWER($F431&amp;"")="subscription",LOWER($F431&amp;"")="membership"),"",IF(OR($N431="",$I431="",$I431=0),"",IFERROR($N431/$I431,""))))</x:f>
      </x:c>
      <x:c r="P431" s="112" t="str">
        <x:f>IF(COUNTA($A431:$M431)=0,"",IF(OR(LOWER($F431&amp;"")="subscription",LOWER($F431&amp;"")="membership"),"",IF(LOWER($L431&amp;"")="yes",0,IF($K431&lt;&gt;"",$K431,IF($O431&lt;&gt;"",$O431,"")))))</x:f>
      </x:c>
      <x:c r="Q431" s="112" t="str">
        <x:f>IF(COUNTA($A431:$M431)=0,"",IF(OR($U431="Subscription",$U431=""),"",IF($U431="Profit",ROUND($P431-$H431,2),0)))</x:f>
      </x:c>
      <x:c r="R431" s="112" t="str">
        <x:f>IF(COUNTA($A431:$M431)=0,"",IF(OR($U431="Subscription",$U431=""),"",IF($U431="Draw",$H431,0)))</x:f>
      </x:c>
      <x:c r="S431" s="112" t="str">
        <x:f>IF(COUNTA($A431:$M431)=0,"",IF(OR($U431="Subscription",$U431=""),"",IF($U431="Disqualified",$H431,0)))</x:f>
      </x:c>
      <x:c r="T431" s="116" t="str">
        <x:f>IF(COUNTA($A431:$M431)=0,"",IF(OR($U431="Subscription",$U431=""),"",IF($H431=0,0,IF($U431="Profit",$Q431/$H431,IF($U431="Disqualified",-$S431/$H431,0)))))</x:f>
      </x:c>
      <x:c r="U431" s="290" t="str">
        <x:f>IF(COUNTA($A431:$M431)=0,"",IF(OR(LOWER($F431&amp;"")="subscription",LOWER($F431&amp;"")="membership"),"Subscription",IF(LOWER($L431&amp;"")="yes","Disqualified",IF(OR(LOWER($F431&amp;"")="free game",LOWER($F431&amp;"")="free"),IF(AND(ISNUMBER($P431),ISNUMBER($H431),$P431&gt;$H431),"Profit","Free Game"),IF($P431="","",IF(ROUND(IFERROR(VALUE($P431),0)-IFERROR(VALUE($H431),0),2)&gt;0,"Profit","Draw"))))))</x:f>
      </x:c>
      <x:c r="V431" s="144" t="str">
        <x:f>IF(COUNTA($A431:$M431)=0,"",IF(OR($B431="",$C431="",$U431="Subscription"),"",IFERROR(ROUNDUP(($C431-$B431)/7,0),"")))</x:f>
      </x:c>
      <x:c r="W431" s="112" t="str">
        <x:f>IF(COUNTA($A431:$M431)=0,"",IF(OR($U431="Subscription",$U431=""),"",ROUND(IFERROR($Q431,0)-IFERROR($S431,0),2)))</x:f>
      </x:c>
      <x:c r="X431" s="144" t="str">
        <x:f>IF(COUNTA($A431:$M431)=0,"",IF(OR($U431="Subscription",$U431="Free Game",NOT(ISNUMBER($J431)),NOT(ISNUMBER($I431)),$J431=0,$I431=0,$I431&gt;$J431),"",$J431-$I431))</x:f>
      </x:c>
      <x:c r="Y431" s="116" t="str">
        <x:f>IF(COUNTA($A431:$M431)=0,"",IF(OR($U431="Subscription",$U431="Free Game",NOT(ISNUMBER($J431)),$J431=0,$X431=""),"",$X431/$J431))</x:f>
      </x:c>
      <x:c r="Z431" s="118" t="str">
        <x:f>IF(COUNTA($A431:$M431)=0,"",Instructions!$B$29+SUM($W$5:W431))</x:f>
      </x:c>
    </x:row>
    <x:row r="432" ht="30" customHeight="1">
      <x:c r="A432" s="477"/>
      <x:c r="B432" s="482"/>
      <x:c r="C432" s="482"/>
      <x:c r="D432" s="483"/>
      <x:c r="E432" s="483"/>
      <x:c r="F432" s="483"/>
      <x:c r="G432" s="484"/>
      <x:c r="H432" s="484"/>
      <x:c r="I432" s="485"/>
      <x:c r="J432" s="485"/>
      <x:c r="K432" s="484"/>
      <x:c r="L432" s="483"/>
      <x:c r="M432" s="477"/>
      <x:c r="N432" s="112" t="str">
        <x:f>IF(COUNTA($A432:$M432)=0,"",IF(OR(LOWER($F432&amp;"")="subscription",LOWER($F432&amp;"")="membership"),"",IF($G432="","",IF(ISNUMBER(SEARCH("non",LOWER($E432&amp;""))),$G432*0.85,$G432))))</x:f>
      </x:c>
      <x:c r="O432" s="112" t="str">
        <x:f>IF(COUNTA($A432:$M432)=0,"",IF(OR(LOWER($F432&amp;"")="subscription",LOWER($F432&amp;"")="membership"),"",IF(OR($N432="",$I432="",$I432=0),"",IFERROR($N432/$I432,""))))</x:f>
      </x:c>
      <x:c r="P432" s="112" t="str">
        <x:f>IF(COUNTA($A432:$M432)=0,"",IF(OR(LOWER($F432&amp;"")="subscription",LOWER($F432&amp;"")="membership"),"",IF(LOWER($L432&amp;"")="yes",0,IF($K432&lt;&gt;"",$K432,IF($O432&lt;&gt;"",$O432,"")))))</x:f>
      </x:c>
      <x:c r="Q432" s="112" t="str">
        <x:f>IF(COUNTA($A432:$M432)=0,"",IF(OR($U432="Subscription",$U432=""),"",IF($U432="Profit",ROUND($P432-$H432,2),0)))</x:f>
      </x:c>
      <x:c r="R432" s="112" t="str">
        <x:f>IF(COUNTA($A432:$M432)=0,"",IF(OR($U432="Subscription",$U432=""),"",IF($U432="Draw",$H432,0)))</x:f>
      </x:c>
      <x:c r="S432" s="112" t="str">
        <x:f>IF(COUNTA($A432:$M432)=0,"",IF(OR($U432="Subscription",$U432=""),"",IF($U432="Disqualified",$H432,0)))</x:f>
      </x:c>
      <x:c r="T432" s="116" t="str">
        <x:f>IF(COUNTA($A432:$M432)=0,"",IF(OR($U432="Subscription",$U432=""),"",IF($H432=0,0,IF($U432="Profit",$Q432/$H432,IF($U432="Disqualified",-$S432/$H432,0)))))</x:f>
      </x:c>
      <x:c r="U432" s="290" t="str">
        <x:f>IF(COUNTA($A432:$M432)=0,"",IF(OR(LOWER($F432&amp;"")="subscription",LOWER($F432&amp;"")="membership"),"Subscription",IF(LOWER($L432&amp;"")="yes","Disqualified",IF(OR(LOWER($F432&amp;"")="free game",LOWER($F432&amp;"")="free"),IF(AND(ISNUMBER($P432),ISNUMBER($H432),$P432&gt;$H432),"Profit","Free Game"),IF($P432="","",IF(ROUND(IFERROR(VALUE($P432),0)-IFERROR(VALUE($H432),0),2)&gt;0,"Profit","Draw"))))))</x:f>
      </x:c>
      <x:c r="V432" s="144" t="str">
        <x:f>IF(COUNTA($A432:$M432)=0,"",IF(OR($B432="",$C432="",$U432="Subscription"),"",IFERROR(ROUNDUP(($C432-$B432)/7,0),"")))</x:f>
      </x:c>
      <x:c r="W432" s="112" t="str">
        <x:f>IF(COUNTA($A432:$M432)=0,"",IF(OR($U432="Subscription",$U432=""),"",ROUND(IFERROR($Q432,0)-IFERROR($S432,0),2)))</x:f>
      </x:c>
      <x:c r="X432" s="144" t="str">
        <x:f>IF(COUNTA($A432:$M432)=0,"",IF(OR($U432="Subscription",$U432="Free Game",NOT(ISNUMBER($J432)),NOT(ISNUMBER($I432)),$J432=0,$I432=0,$I432&gt;$J432),"",$J432-$I432))</x:f>
      </x:c>
      <x:c r="Y432" s="116" t="str">
        <x:f>IF(COUNTA($A432:$M432)=0,"",IF(OR($U432="Subscription",$U432="Free Game",NOT(ISNUMBER($J432)),$J432=0,$X432=""),"",$X432/$J432))</x:f>
      </x:c>
      <x:c r="Z432" s="118" t="str">
        <x:f>IF(COUNTA($A432:$M432)=0,"",Instructions!$B$29+SUM($W$5:W432))</x:f>
      </x:c>
    </x:row>
    <x:row r="433" ht="30" customHeight="1">
      <x:c r="A433" s="477"/>
      <x:c r="B433" s="482"/>
      <x:c r="C433" s="482"/>
      <x:c r="D433" s="483"/>
      <x:c r="E433" s="483"/>
      <x:c r="F433" s="483"/>
      <x:c r="G433" s="484"/>
      <x:c r="H433" s="484"/>
      <x:c r="I433" s="485"/>
      <x:c r="J433" s="485"/>
      <x:c r="K433" s="484"/>
      <x:c r="L433" s="483"/>
      <x:c r="M433" s="477"/>
      <x:c r="N433" s="112" t="str">
        <x:f>IF(COUNTA($A433:$M433)=0,"",IF(OR(LOWER($F433&amp;"")="subscription",LOWER($F433&amp;"")="membership"),"",IF($G433="","",IF(ISNUMBER(SEARCH("non",LOWER($E433&amp;""))),$G433*0.85,$G433))))</x:f>
      </x:c>
      <x:c r="O433" s="112" t="str">
        <x:f>IF(COUNTA($A433:$M433)=0,"",IF(OR(LOWER($F433&amp;"")="subscription",LOWER($F433&amp;"")="membership"),"",IF(OR($N433="",$I433="",$I433=0),"",IFERROR($N433/$I433,""))))</x:f>
      </x:c>
      <x:c r="P433" s="112" t="str">
        <x:f>IF(COUNTA($A433:$M433)=0,"",IF(OR(LOWER($F433&amp;"")="subscription",LOWER($F433&amp;"")="membership"),"",IF(LOWER($L433&amp;"")="yes",0,IF($K433&lt;&gt;"",$K433,IF($O433&lt;&gt;"",$O433,"")))))</x:f>
      </x:c>
      <x:c r="Q433" s="112" t="str">
        <x:f>IF(COUNTA($A433:$M433)=0,"",IF(OR($U433="Subscription",$U433=""),"",IF($U433="Profit",ROUND($P433-$H433,2),0)))</x:f>
      </x:c>
      <x:c r="R433" s="112" t="str">
        <x:f>IF(COUNTA($A433:$M433)=0,"",IF(OR($U433="Subscription",$U433=""),"",IF($U433="Draw",$H433,0)))</x:f>
      </x:c>
      <x:c r="S433" s="112" t="str">
        <x:f>IF(COUNTA($A433:$M433)=0,"",IF(OR($U433="Subscription",$U433=""),"",IF($U433="Disqualified",$H433,0)))</x:f>
      </x:c>
      <x:c r="T433" s="116" t="str">
        <x:f>IF(COUNTA($A433:$M433)=0,"",IF(OR($U433="Subscription",$U433=""),"",IF($H433=0,0,IF($U433="Profit",$Q433/$H433,IF($U433="Disqualified",-$S433/$H433,0)))))</x:f>
      </x:c>
      <x:c r="U433" s="290" t="str">
        <x:f>IF(COUNTA($A433:$M433)=0,"",IF(OR(LOWER($F433&amp;"")="subscription",LOWER($F433&amp;"")="membership"),"Subscription",IF(LOWER($L433&amp;"")="yes","Disqualified",IF(OR(LOWER($F433&amp;"")="free game",LOWER($F433&amp;"")="free"),IF(AND(ISNUMBER($P433),ISNUMBER($H433),$P433&gt;$H433),"Profit","Free Game"),IF($P433="","",IF(ROUND(IFERROR(VALUE($P433),0)-IFERROR(VALUE($H433),0),2)&gt;0,"Profit","Draw"))))))</x:f>
      </x:c>
      <x:c r="V433" s="144" t="str">
        <x:f>IF(COUNTA($A433:$M433)=0,"",IF(OR($B433="",$C433="",$U433="Subscription"),"",IFERROR(ROUNDUP(($C433-$B433)/7,0),"")))</x:f>
      </x:c>
      <x:c r="W433" s="112" t="str">
        <x:f>IF(COUNTA($A433:$M433)=0,"",IF(OR($U433="Subscription",$U433=""),"",ROUND(IFERROR($Q433,0)-IFERROR($S433,0),2)))</x:f>
      </x:c>
      <x:c r="X433" s="144" t="str">
        <x:f>IF(COUNTA($A433:$M433)=0,"",IF(OR($U433="Subscription",$U433="Free Game",NOT(ISNUMBER($J433)),NOT(ISNUMBER($I433)),$J433=0,$I433=0,$I433&gt;$J433),"",$J433-$I433))</x:f>
      </x:c>
      <x:c r="Y433" s="116" t="str">
        <x:f>IF(COUNTA($A433:$M433)=0,"",IF(OR($U433="Subscription",$U433="Free Game",NOT(ISNUMBER($J433)),$J433=0,$X433=""),"",$X433/$J433))</x:f>
      </x:c>
      <x:c r="Z433" s="118" t="str">
        <x:f>IF(COUNTA($A433:$M433)=0,"",Instructions!$B$29+SUM($W$5:W433))</x:f>
      </x:c>
    </x:row>
    <x:row r="434" ht="30" customHeight="1">
      <x:c r="A434" s="477"/>
      <x:c r="B434" s="482"/>
      <x:c r="C434" s="482"/>
      <x:c r="D434" s="483"/>
      <x:c r="E434" s="483"/>
      <x:c r="F434" s="483"/>
      <x:c r="G434" s="484"/>
      <x:c r="H434" s="484"/>
      <x:c r="I434" s="485"/>
      <x:c r="J434" s="485"/>
      <x:c r="K434" s="484"/>
      <x:c r="L434" s="483"/>
      <x:c r="M434" s="477"/>
      <x:c r="N434" s="112" t="str">
        <x:f>IF(COUNTA($A434:$M434)=0,"",IF(OR(LOWER($F434&amp;"")="subscription",LOWER($F434&amp;"")="membership"),"",IF($G434="","",IF(ISNUMBER(SEARCH("non",LOWER($E434&amp;""))),$G434*0.85,$G434))))</x:f>
      </x:c>
      <x:c r="O434" s="112" t="str">
        <x:f>IF(COUNTA($A434:$M434)=0,"",IF(OR(LOWER($F434&amp;"")="subscription",LOWER($F434&amp;"")="membership"),"",IF(OR($N434="",$I434="",$I434=0),"",IFERROR($N434/$I434,""))))</x:f>
      </x:c>
      <x:c r="P434" s="112" t="str">
        <x:f>IF(COUNTA($A434:$M434)=0,"",IF(OR(LOWER($F434&amp;"")="subscription",LOWER($F434&amp;"")="membership"),"",IF(LOWER($L434&amp;"")="yes",0,IF($K434&lt;&gt;"",$K434,IF($O434&lt;&gt;"",$O434,"")))))</x:f>
      </x:c>
      <x:c r="Q434" s="112" t="str">
        <x:f>IF(COUNTA($A434:$M434)=0,"",IF(OR($U434="Subscription",$U434=""),"",IF($U434="Profit",ROUND($P434-$H434,2),0)))</x:f>
      </x:c>
      <x:c r="R434" s="112" t="str">
        <x:f>IF(COUNTA($A434:$M434)=0,"",IF(OR($U434="Subscription",$U434=""),"",IF($U434="Draw",$H434,0)))</x:f>
      </x:c>
      <x:c r="S434" s="112" t="str">
        <x:f>IF(COUNTA($A434:$M434)=0,"",IF(OR($U434="Subscription",$U434=""),"",IF($U434="Disqualified",$H434,0)))</x:f>
      </x:c>
      <x:c r="T434" s="116" t="str">
        <x:f>IF(COUNTA($A434:$M434)=0,"",IF(OR($U434="Subscription",$U434=""),"",IF($H434=0,0,IF($U434="Profit",$Q434/$H434,IF($U434="Disqualified",-$S434/$H434,0)))))</x:f>
      </x:c>
      <x:c r="U434" s="290" t="str">
        <x:f>IF(COUNTA($A434:$M434)=0,"",IF(OR(LOWER($F434&amp;"")="subscription",LOWER($F434&amp;"")="membership"),"Subscription",IF(LOWER($L434&amp;"")="yes","Disqualified",IF(OR(LOWER($F434&amp;"")="free game",LOWER($F434&amp;"")="free"),IF(AND(ISNUMBER($P434),ISNUMBER($H434),$P434&gt;$H434),"Profit","Free Game"),IF($P434="","",IF(ROUND(IFERROR(VALUE($P434),0)-IFERROR(VALUE($H434),0),2)&gt;0,"Profit","Draw"))))))</x:f>
      </x:c>
      <x:c r="V434" s="144" t="str">
        <x:f>IF(COUNTA($A434:$M434)=0,"",IF(OR($B434="",$C434="",$U434="Subscription"),"",IFERROR(ROUNDUP(($C434-$B434)/7,0),"")))</x:f>
      </x:c>
      <x:c r="W434" s="112" t="str">
        <x:f>IF(COUNTA($A434:$M434)=0,"",IF(OR($U434="Subscription",$U434=""),"",ROUND(IFERROR($Q434,0)-IFERROR($S434,0),2)))</x:f>
      </x:c>
      <x:c r="X434" s="144" t="str">
        <x:f>IF(COUNTA($A434:$M434)=0,"",IF(OR($U434="Subscription",$U434="Free Game",NOT(ISNUMBER($J434)),NOT(ISNUMBER($I434)),$J434=0,$I434=0,$I434&gt;$J434),"",$J434-$I434))</x:f>
      </x:c>
      <x:c r="Y434" s="116" t="str">
        <x:f>IF(COUNTA($A434:$M434)=0,"",IF(OR($U434="Subscription",$U434="Free Game",NOT(ISNUMBER($J434)),$J434=0,$X434=""),"",$X434/$J434))</x:f>
      </x:c>
      <x:c r="Z434" s="118" t="str">
        <x:f>IF(COUNTA($A434:$M434)=0,"",Instructions!$B$29+SUM($W$5:W434))</x:f>
      </x:c>
    </x:row>
    <x:row r="435" ht="30" customHeight="1">
      <x:c r="A435" s="477"/>
      <x:c r="B435" s="482"/>
      <x:c r="C435" s="482"/>
      <x:c r="D435" s="483"/>
      <x:c r="E435" s="483"/>
      <x:c r="F435" s="483"/>
      <x:c r="G435" s="484"/>
      <x:c r="H435" s="484"/>
      <x:c r="I435" s="485"/>
      <x:c r="J435" s="485"/>
      <x:c r="K435" s="484"/>
      <x:c r="L435" s="483"/>
      <x:c r="M435" s="477"/>
      <x:c r="N435" s="112" t="str">
        <x:f>IF(COUNTA($A435:$M435)=0,"",IF(OR(LOWER($F435&amp;"")="subscription",LOWER($F435&amp;"")="membership"),"",IF($G435="","",IF(ISNUMBER(SEARCH("non",LOWER($E435&amp;""))),$G435*0.85,$G435))))</x:f>
      </x:c>
      <x:c r="O435" s="112" t="str">
        <x:f>IF(COUNTA($A435:$M435)=0,"",IF(OR(LOWER($F435&amp;"")="subscription",LOWER($F435&amp;"")="membership"),"",IF(OR($N435="",$I435="",$I435=0),"",IFERROR($N435/$I435,""))))</x:f>
      </x:c>
      <x:c r="P435" s="112" t="str">
        <x:f>IF(COUNTA($A435:$M435)=0,"",IF(OR(LOWER($F435&amp;"")="subscription",LOWER($F435&amp;"")="membership"),"",IF(LOWER($L435&amp;"")="yes",0,IF($K435&lt;&gt;"",$K435,IF($O435&lt;&gt;"",$O435,"")))))</x:f>
      </x:c>
      <x:c r="Q435" s="112" t="str">
        <x:f>IF(COUNTA($A435:$M435)=0,"",IF(OR($U435="Subscription",$U435=""),"",IF($U435="Profit",ROUND($P435-$H435,2),0)))</x:f>
      </x:c>
      <x:c r="R435" s="112" t="str">
        <x:f>IF(COUNTA($A435:$M435)=0,"",IF(OR($U435="Subscription",$U435=""),"",IF($U435="Draw",$H435,0)))</x:f>
      </x:c>
      <x:c r="S435" s="112" t="str">
        <x:f>IF(COUNTA($A435:$M435)=0,"",IF(OR($U435="Subscription",$U435=""),"",IF($U435="Disqualified",$H435,0)))</x:f>
      </x:c>
      <x:c r="T435" s="116" t="str">
        <x:f>IF(COUNTA($A435:$M435)=0,"",IF(OR($U435="Subscription",$U435=""),"",IF($H435=0,0,IF($U435="Profit",$Q435/$H435,IF($U435="Disqualified",-$S435/$H435,0)))))</x:f>
      </x:c>
      <x:c r="U435" s="290" t="str">
        <x:f>IF(COUNTA($A435:$M435)=0,"",IF(OR(LOWER($F435&amp;"")="subscription",LOWER($F435&amp;"")="membership"),"Subscription",IF(LOWER($L435&amp;"")="yes","Disqualified",IF(OR(LOWER($F435&amp;"")="free game",LOWER($F435&amp;"")="free"),IF(AND(ISNUMBER($P435),ISNUMBER($H435),$P435&gt;$H435),"Profit","Free Game"),IF($P435="","",IF(ROUND(IFERROR(VALUE($P435),0)-IFERROR(VALUE($H435),0),2)&gt;0,"Profit","Draw"))))))</x:f>
      </x:c>
      <x:c r="V435" s="144" t="str">
        <x:f>IF(COUNTA($A435:$M435)=0,"",IF(OR($B435="",$C435="",$U435="Subscription"),"",IFERROR(ROUNDUP(($C435-$B435)/7,0),"")))</x:f>
      </x:c>
      <x:c r="W435" s="112" t="str">
        <x:f>IF(COUNTA($A435:$M435)=0,"",IF(OR($U435="Subscription",$U435=""),"",ROUND(IFERROR($Q435,0)-IFERROR($S435,0),2)))</x:f>
      </x:c>
      <x:c r="X435" s="144" t="str">
        <x:f>IF(COUNTA($A435:$M435)=0,"",IF(OR($U435="Subscription",$U435="Free Game",NOT(ISNUMBER($J435)),NOT(ISNUMBER($I435)),$J435=0,$I435=0,$I435&gt;$J435),"",$J435-$I435))</x:f>
      </x:c>
      <x:c r="Y435" s="116" t="str">
        <x:f>IF(COUNTA($A435:$M435)=0,"",IF(OR($U435="Subscription",$U435="Free Game",NOT(ISNUMBER($J435)),$J435=0,$X435=""),"",$X435/$J435))</x:f>
      </x:c>
      <x:c r="Z435" s="118" t="str">
        <x:f>IF(COUNTA($A435:$M435)=0,"",Instructions!$B$29+SUM($W$5:W435))</x:f>
      </x:c>
    </x:row>
    <x:row r="436" ht="30" customHeight="1">
      <x:c r="A436" s="477"/>
      <x:c r="B436" s="482"/>
      <x:c r="C436" s="482"/>
      <x:c r="D436" s="483"/>
      <x:c r="E436" s="483"/>
      <x:c r="F436" s="483"/>
      <x:c r="G436" s="484"/>
      <x:c r="H436" s="484"/>
      <x:c r="I436" s="485"/>
      <x:c r="J436" s="485"/>
      <x:c r="K436" s="484"/>
      <x:c r="L436" s="483"/>
      <x:c r="M436" s="477"/>
      <x:c r="N436" s="112" t="str">
        <x:f>IF(COUNTA($A436:$M436)=0,"",IF(OR(LOWER($F436&amp;"")="subscription",LOWER($F436&amp;"")="membership"),"",IF($G436="","",IF(ISNUMBER(SEARCH("non",LOWER($E436&amp;""))),$G436*0.85,$G436))))</x:f>
      </x:c>
      <x:c r="O436" s="112" t="str">
        <x:f>IF(COUNTA($A436:$M436)=0,"",IF(OR(LOWER($F436&amp;"")="subscription",LOWER($F436&amp;"")="membership"),"",IF(OR($N436="",$I436="",$I436=0),"",IFERROR($N436/$I436,""))))</x:f>
      </x:c>
      <x:c r="P436" s="112" t="str">
        <x:f>IF(COUNTA($A436:$M436)=0,"",IF(OR(LOWER($F436&amp;"")="subscription",LOWER($F436&amp;"")="membership"),"",IF(LOWER($L436&amp;"")="yes",0,IF($K436&lt;&gt;"",$K436,IF($O436&lt;&gt;"",$O436,"")))))</x:f>
      </x:c>
      <x:c r="Q436" s="112" t="str">
        <x:f>IF(COUNTA($A436:$M436)=0,"",IF(OR($U436="Subscription",$U436=""),"",IF($U436="Profit",ROUND($P436-$H436,2),0)))</x:f>
      </x:c>
      <x:c r="R436" s="112" t="str">
        <x:f>IF(COUNTA($A436:$M436)=0,"",IF(OR($U436="Subscription",$U436=""),"",IF($U436="Draw",$H436,0)))</x:f>
      </x:c>
      <x:c r="S436" s="112" t="str">
        <x:f>IF(COUNTA($A436:$M436)=0,"",IF(OR($U436="Subscription",$U436=""),"",IF($U436="Disqualified",$H436,0)))</x:f>
      </x:c>
      <x:c r="T436" s="116" t="str">
        <x:f>IF(COUNTA($A436:$M436)=0,"",IF(OR($U436="Subscription",$U436=""),"",IF($H436=0,0,IF($U436="Profit",$Q436/$H436,IF($U436="Disqualified",-$S436/$H436,0)))))</x:f>
      </x:c>
      <x:c r="U436" s="290" t="str">
        <x:f>IF(COUNTA($A436:$M436)=0,"",IF(OR(LOWER($F436&amp;"")="subscription",LOWER($F436&amp;"")="membership"),"Subscription",IF(LOWER($L436&amp;"")="yes","Disqualified",IF(OR(LOWER($F436&amp;"")="free game",LOWER($F436&amp;"")="free"),IF(AND(ISNUMBER($P436),ISNUMBER($H436),$P436&gt;$H436),"Profit","Free Game"),IF($P436="","",IF(ROUND(IFERROR(VALUE($P436),0)-IFERROR(VALUE($H436),0),2)&gt;0,"Profit","Draw"))))))</x:f>
      </x:c>
      <x:c r="V436" s="144" t="str">
        <x:f>IF(COUNTA($A436:$M436)=0,"",IF(OR($B436="",$C436="",$U436="Subscription"),"",IFERROR(ROUNDUP(($C436-$B436)/7,0),"")))</x:f>
      </x:c>
      <x:c r="W436" s="112" t="str">
        <x:f>IF(COUNTA($A436:$M436)=0,"",IF(OR($U436="Subscription",$U436=""),"",ROUND(IFERROR($Q436,0)-IFERROR($S436,0),2)))</x:f>
      </x:c>
      <x:c r="X436" s="144" t="str">
        <x:f>IF(COUNTA($A436:$M436)=0,"",IF(OR($U436="Subscription",$U436="Free Game",NOT(ISNUMBER($J436)),NOT(ISNUMBER($I436)),$J436=0,$I436=0,$I436&gt;$J436),"",$J436-$I436))</x:f>
      </x:c>
      <x:c r="Y436" s="116" t="str">
        <x:f>IF(COUNTA($A436:$M436)=0,"",IF(OR($U436="Subscription",$U436="Free Game",NOT(ISNUMBER($J436)),$J436=0,$X436=""),"",$X436/$J436))</x:f>
      </x:c>
      <x:c r="Z436" s="118" t="str">
        <x:f>IF(COUNTA($A436:$M436)=0,"",Instructions!$B$29+SUM($W$5:W436))</x:f>
      </x:c>
    </x:row>
    <x:row r="437" ht="30" customHeight="1">
      <x:c r="A437" s="477"/>
      <x:c r="B437" s="482"/>
      <x:c r="C437" s="482"/>
      <x:c r="D437" s="483"/>
      <x:c r="E437" s="483"/>
      <x:c r="F437" s="483"/>
      <x:c r="G437" s="484"/>
      <x:c r="H437" s="484"/>
      <x:c r="I437" s="485"/>
      <x:c r="J437" s="485"/>
      <x:c r="K437" s="484"/>
      <x:c r="L437" s="483"/>
      <x:c r="M437" s="477"/>
      <x:c r="N437" s="112" t="str">
        <x:f>IF(COUNTA($A437:$M437)=0,"",IF(OR(LOWER($F437&amp;"")="subscription",LOWER($F437&amp;"")="membership"),"",IF($G437="","",IF(ISNUMBER(SEARCH("non",LOWER($E437&amp;""))),$G437*0.85,$G437))))</x:f>
      </x:c>
      <x:c r="O437" s="112" t="str">
        <x:f>IF(COUNTA($A437:$M437)=0,"",IF(OR(LOWER($F437&amp;"")="subscription",LOWER($F437&amp;"")="membership"),"",IF(OR($N437="",$I437="",$I437=0),"",IFERROR($N437/$I437,""))))</x:f>
      </x:c>
      <x:c r="P437" s="112" t="str">
        <x:f>IF(COUNTA($A437:$M437)=0,"",IF(OR(LOWER($F437&amp;"")="subscription",LOWER($F437&amp;"")="membership"),"",IF(LOWER($L437&amp;"")="yes",0,IF($K437&lt;&gt;"",$K437,IF($O437&lt;&gt;"",$O437,"")))))</x:f>
      </x:c>
      <x:c r="Q437" s="112" t="str">
        <x:f>IF(COUNTA($A437:$M437)=0,"",IF(OR($U437="Subscription",$U437=""),"",IF($U437="Profit",ROUND($P437-$H437,2),0)))</x:f>
      </x:c>
      <x:c r="R437" s="112" t="str">
        <x:f>IF(COUNTA($A437:$M437)=0,"",IF(OR($U437="Subscription",$U437=""),"",IF($U437="Draw",$H437,0)))</x:f>
      </x:c>
      <x:c r="S437" s="112" t="str">
        <x:f>IF(COUNTA($A437:$M437)=0,"",IF(OR($U437="Subscription",$U437=""),"",IF($U437="Disqualified",$H437,0)))</x:f>
      </x:c>
      <x:c r="T437" s="116" t="str">
        <x:f>IF(COUNTA($A437:$M437)=0,"",IF(OR($U437="Subscription",$U437=""),"",IF($H437=0,0,IF($U437="Profit",$Q437/$H437,IF($U437="Disqualified",-$S437/$H437,0)))))</x:f>
      </x:c>
      <x:c r="U437" s="290" t="str">
        <x:f>IF(COUNTA($A437:$M437)=0,"",IF(OR(LOWER($F437&amp;"")="subscription",LOWER($F437&amp;"")="membership"),"Subscription",IF(LOWER($L437&amp;"")="yes","Disqualified",IF(OR(LOWER($F437&amp;"")="free game",LOWER($F437&amp;"")="free"),IF(AND(ISNUMBER($P437),ISNUMBER($H437),$P437&gt;$H437),"Profit","Free Game"),IF($P437="","",IF(ROUND(IFERROR(VALUE($P437),0)-IFERROR(VALUE($H437),0),2)&gt;0,"Profit","Draw"))))))</x:f>
      </x:c>
      <x:c r="V437" s="144" t="str">
        <x:f>IF(COUNTA($A437:$M437)=0,"",IF(OR($B437="",$C437="",$U437="Subscription"),"",IFERROR(ROUNDUP(($C437-$B437)/7,0),"")))</x:f>
      </x:c>
      <x:c r="W437" s="112" t="str">
        <x:f>IF(COUNTA($A437:$M437)=0,"",IF(OR($U437="Subscription",$U437=""),"",ROUND(IFERROR($Q437,0)-IFERROR($S437,0),2)))</x:f>
      </x:c>
      <x:c r="X437" s="144" t="str">
        <x:f>IF(COUNTA($A437:$M437)=0,"",IF(OR($U437="Subscription",$U437="Free Game",NOT(ISNUMBER($J437)),NOT(ISNUMBER($I437)),$J437=0,$I437=0,$I437&gt;$J437),"",$J437-$I437))</x:f>
      </x:c>
      <x:c r="Y437" s="116" t="str">
        <x:f>IF(COUNTA($A437:$M437)=0,"",IF(OR($U437="Subscription",$U437="Free Game",NOT(ISNUMBER($J437)),$J437=0,$X437=""),"",$X437/$J437))</x:f>
      </x:c>
      <x:c r="Z437" s="118" t="str">
        <x:f>IF(COUNTA($A437:$M437)=0,"",Instructions!$B$29+SUM($W$5:W437))</x:f>
      </x:c>
    </x:row>
    <x:row r="438" ht="30" customHeight="1">
      <x:c r="A438" s="477"/>
      <x:c r="B438" s="482"/>
      <x:c r="C438" s="482"/>
      <x:c r="D438" s="483"/>
      <x:c r="E438" s="483"/>
      <x:c r="F438" s="483"/>
      <x:c r="G438" s="484"/>
      <x:c r="H438" s="484"/>
      <x:c r="I438" s="485"/>
      <x:c r="J438" s="485"/>
      <x:c r="K438" s="484"/>
      <x:c r="L438" s="483"/>
      <x:c r="M438" s="477"/>
      <x:c r="N438" s="112" t="str">
        <x:f>IF(COUNTA($A438:$M438)=0,"",IF(OR(LOWER($F438&amp;"")="subscription",LOWER($F438&amp;"")="membership"),"",IF($G438="","",IF(ISNUMBER(SEARCH("non",LOWER($E438&amp;""))),$G438*0.85,$G438))))</x:f>
      </x:c>
      <x:c r="O438" s="112" t="str">
        <x:f>IF(COUNTA($A438:$M438)=0,"",IF(OR(LOWER($F438&amp;"")="subscription",LOWER($F438&amp;"")="membership"),"",IF(OR($N438="",$I438="",$I438=0),"",IFERROR($N438/$I438,""))))</x:f>
      </x:c>
      <x:c r="P438" s="112" t="str">
        <x:f>IF(COUNTA($A438:$M438)=0,"",IF(OR(LOWER($F438&amp;"")="subscription",LOWER($F438&amp;"")="membership"),"",IF(LOWER($L438&amp;"")="yes",0,IF($K438&lt;&gt;"",$K438,IF($O438&lt;&gt;"",$O438,"")))))</x:f>
      </x:c>
      <x:c r="Q438" s="112" t="str">
        <x:f>IF(COUNTA($A438:$M438)=0,"",IF(OR($U438="Subscription",$U438=""),"",IF($U438="Profit",ROUND($P438-$H438,2),0)))</x:f>
      </x:c>
      <x:c r="R438" s="112" t="str">
        <x:f>IF(COUNTA($A438:$M438)=0,"",IF(OR($U438="Subscription",$U438=""),"",IF($U438="Draw",$H438,0)))</x:f>
      </x:c>
      <x:c r="S438" s="112" t="str">
        <x:f>IF(COUNTA($A438:$M438)=0,"",IF(OR($U438="Subscription",$U438=""),"",IF($U438="Disqualified",$H438,0)))</x:f>
      </x:c>
      <x:c r="T438" s="116" t="str">
        <x:f>IF(COUNTA($A438:$M438)=0,"",IF(OR($U438="Subscription",$U438=""),"",IF($H438=0,0,IF($U438="Profit",$Q438/$H438,IF($U438="Disqualified",-$S438/$H438,0)))))</x:f>
      </x:c>
      <x:c r="U438" s="290" t="str">
        <x:f>IF(COUNTA($A438:$M438)=0,"",IF(OR(LOWER($F438&amp;"")="subscription",LOWER($F438&amp;"")="membership"),"Subscription",IF(LOWER($L438&amp;"")="yes","Disqualified",IF(OR(LOWER($F438&amp;"")="free game",LOWER($F438&amp;"")="free"),IF(AND(ISNUMBER($P438),ISNUMBER($H438),$P438&gt;$H438),"Profit","Free Game"),IF($P438="","",IF(ROUND(IFERROR(VALUE($P438),0)-IFERROR(VALUE($H438),0),2)&gt;0,"Profit","Draw"))))))</x:f>
      </x:c>
      <x:c r="V438" s="144" t="str">
        <x:f>IF(COUNTA($A438:$M438)=0,"",IF(OR($B438="",$C438="",$U438="Subscription"),"",IFERROR(ROUNDUP(($C438-$B438)/7,0),"")))</x:f>
      </x:c>
      <x:c r="W438" s="112" t="str">
        <x:f>IF(COUNTA($A438:$M438)=0,"",IF(OR($U438="Subscription",$U438=""),"",ROUND(IFERROR($Q438,0)-IFERROR($S438,0),2)))</x:f>
      </x:c>
      <x:c r="X438" s="144" t="str">
        <x:f>IF(COUNTA($A438:$M438)=0,"",IF(OR($U438="Subscription",$U438="Free Game",NOT(ISNUMBER($J438)),NOT(ISNUMBER($I438)),$J438=0,$I438=0,$I438&gt;$J438),"",$J438-$I438))</x:f>
      </x:c>
      <x:c r="Y438" s="116" t="str">
        <x:f>IF(COUNTA($A438:$M438)=0,"",IF(OR($U438="Subscription",$U438="Free Game",NOT(ISNUMBER($J438)),$J438=0,$X438=""),"",$X438/$J438))</x:f>
      </x:c>
      <x:c r="Z438" s="118" t="str">
        <x:f>IF(COUNTA($A438:$M438)=0,"",Instructions!$B$29+SUM($W$5:W438))</x:f>
      </x:c>
    </x:row>
    <x:row r="439" ht="30" customHeight="1">
      <x:c r="A439" s="477"/>
      <x:c r="B439" s="482"/>
      <x:c r="C439" s="482"/>
      <x:c r="D439" s="483"/>
      <x:c r="E439" s="483"/>
      <x:c r="F439" s="483"/>
      <x:c r="G439" s="484"/>
      <x:c r="H439" s="484"/>
      <x:c r="I439" s="485"/>
      <x:c r="J439" s="485"/>
      <x:c r="K439" s="484"/>
      <x:c r="L439" s="483"/>
      <x:c r="M439" s="477"/>
      <x:c r="N439" s="112" t="str">
        <x:f>IF(COUNTA($A439:$M439)=0,"",IF(OR(LOWER($F439&amp;"")="subscription",LOWER($F439&amp;"")="membership"),"",IF($G439="","",IF(ISNUMBER(SEARCH("non",LOWER($E439&amp;""))),$G439*0.85,$G439))))</x:f>
      </x:c>
      <x:c r="O439" s="112" t="str">
        <x:f>IF(COUNTA($A439:$M439)=0,"",IF(OR(LOWER($F439&amp;"")="subscription",LOWER($F439&amp;"")="membership"),"",IF(OR($N439="",$I439="",$I439=0),"",IFERROR($N439/$I439,""))))</x:f>
      </x:c>
      <x:c r="P439" s="112" t="str">
        <x:f>IF(COUNTA($A439:$M439)=0,"",IF(OR(LOWER($F439&amp;"")="subscription",LOWER($F439&amp;"")="membership"),"",IF(LOWER($L439&amp;"")="yes",0,IF($K439&lt;&gt;"",$K439,IF($O439&lt;&gt;"",$O439,"")))))</x:f>
      </x:c>
      <x:c r="Q439" s="112" t="str">
        <x:f>IF(COUNTA($A439:$M439)=0,"",IF(OR($U439="Subscription",$U439=""),"",IF($U439="Profit",ROUND($P439-$H439,2),0)))</x:f>
      </x:c>
      <x:c r="R439" s="112" t="str">
        <x:f>IF(COUNTA($A439:$M439)=0,"",IF(OR($U439="Subscription",$U439=""),"",IF($U439="Draw",$H439,0)))</x:f>
      </x:c>
      <x:c r="S439" s="112" t="str">
        <x:f>IF(COUNTA($A439:$M439)=0,"",IF(OR($U439="Subscription",$U439=""),"",IF($U439="Disqualified",$H439,0)))</x:f>
      </x:c>
      <x:c r="T439" s="116" t="str">
        <x:f>IF(COUNTA($A439:$M439)=0,"",IF(OR($U439="Subscription",$U439=""),"",IF($H439=0,0,IF($U439="Profit",$Q439/$H439,IF($U439="Disqualified",-$S439/$H439,0)))))</x:f>
      </x:c>
      <x:c r="U439" s="290" t="str">
        <x:f>IF(COUNTA($A439:$M439)=0,"",IF(OR(LOWER($F439&amp;"")="subscription",LOWER($F439&amp;"")="membership"),"Subscription",IF(LOWER($L439&amp;"")="yes","Disqualified",IF(OR(LOWER($F439&amp;"")="free game",LOWER($F439&amp;"")="free"),IF(AND(ISNUMBER($P439),ISNUMBER($H439),$P439&gt;$H439),"Profit","Free Game"),IF($P439="","",IF(ROUND(IFERROR(VALUE($P439),0)-IFERROR(VALUE($H439),0),2)&gt;0,"Profit","Draw"))))))</x:f>
      </x:c>
      <x:c r="V439" s="144" t="str">
        <x:f>IF(COUNTA($A439:$M439)=0,"",IF(OR($B439="",$C439="",$U439="Subscription"),"",IFERROR(ROUNDUP(($C439-$B439)/7,0),"")))</x:f>
      </x:c>
      <x:c r="W439" s="112" t="str">
        <x:f>IF(COUNTA($A439:$M439)=0,"",IF(OR($U439="Subscription",$U439=""),"",ROUND(IFERROR($Q439,0)-IFERROR($S439,0),2)))</x:f>
      </x:c>
      <x:c r="X439" s="144" t="str">
        <x:f>IF(COUNTA($A439:$M439)=0,"",IF(OR($U439="Subscription",$U439="Free Game",NOT(ISNUMBER($J439)),NOT(ISNUMBER($I439)),$J439=0,$I439=0,$I439&gt;$J439),"",$J439-$I439))</x:f>
      </x:c>
      <x:c r="Y439" s="116" t="str">
        <x:f>IF(COUNTA($A439:$M439)=0,"",IF(OR($U439="Subscription",$U439="Free Game",NOT(ISNUMBER($J439)),$J439=0,$X439=""),"",$X439/$J439))</x:f>
      </x:c>
      <x:c r="Z439" s="118" t="str">
        <x:f>IF(COUNTA($A439:$M439)=0,"",Instructions!$B$29+SUM($W$5:W439))</x:f>
      </x:c>
    </x:row>
    <x:row r="440" ht="30" customHeight="1">
      <x:c r="A440" s="477"/>
      <x:c r="B440" s="482"/>
      <x:c r="C440" s="482"/>
      <x:c r="D440" s="483"/>
      <x:c r="E440" s="483"/>
      <x:c r="F440" s="483"/>
      <x:c r="G440" s="484"/>
      <x:c r="H440" s="484"/>
      <x:c r="I440" s="485"/>
      <x:c r="J440" s="485"/>
      <x:c r="K440" s="484"/>
      <x:c r="L440" s="483"/>
      <x:c r="M440" s="477"/>
      <x:c r="N440" s="112" t="str">
        <x:f>IF(COUNTA($A440:$M440)=0,"",IF(OR(LOWER($F440&amp;"")="subscription",LOWER($F440&amp;"")="membership"),"",IF($G440="","",IF(ISNUMBER(SEARCH("non",LOWER($E440&amp;""))),$G440*0.85,$G440))))</x:f>
      </x:c>
      <x:c r="O440" s="112" t="str">
        <x:f>IF(COUNTA($A440:$M440)=0,"",IF(OR(LOWER($F440&amp;"")="subscription",LOWER($F440&amp;"")="membership"),"",IF(OR($N440="",$I440="",$I440=0),"",IFERROR($N440/$I440,""))))</x:f>
      </x:c>
      <x:c r="P440" s="112" t="str">
        <x:f>IF(COUNTA($A440:$M440)=0,"",IF(OR(LOWER($F440&amp;"")="subscription",LOWER($F440&amp;"")="membership"),"",IF(LOWER($L440&amp;"")="yes",0,IF($K440&lt;&gt;"",$K440,IF($O440&lt;&gt;"",$O440,"")))))</x:f>
      </x:c>
      <x:c r="Q440" s="112" t="str">
        <x:f>IF(COUNTA($A440:$M440)=0,"",IF(OR($U440="Subscription",$U440=""),"",IF($U440="Profit",ROUND($P440-$H440,2),0)))</x:f>
      </x:c>
      <x:c r="R440" s="112" t="str">
        <x:f>IF(COUNTA($A440:$M440)=0,"",IF(OR($U440="Subscription",$U440=""),"",IF($U440="Draw",$H440,0)))</x:f>
      </x:c>
      <x:c r="S440" s="112" t="str">
        <x:f>IF(COUNTA($A440:$M440)=0,"",IF(OR($U440="Subscription",$U440=""),"",IF($U440="Disqualified",$H440,0)))</x:f>
      </x:c>
      <x:c r="T440" s="116" t="str">
        <x:f>IF(COUNTA($A440:$M440)=0,"",IF(OR($U440="Subscription",$U440=""),"",IF($H440=0,0,IF($U440="Profit",$Q440/$H440,IF($U440="Disqualified",-$S440/$H440,0)))))</x:f>
      </x:c>
      <x:c r="U440" s="290" t="str">
        <x:f>IF(COUNTA($A440:$M440)=0,"",IF(OR(LOWER($F440&amp;"")="subscription",LOWER($F440&amp;"")="membership"),"Subscription",IF(LOWER($L440&amp;"")="yes","Disqualified",IF(OR(LOWER($F440&amp;"")="free game",LOWER($F440&amp;"")="free"),IF(AND(ISNUMBER($P440),ISNUMBER($H440),$P440&gt;$H440),"Profit","Free Game"),IF($P440="","",IF(ROUND(IFERROR(VALUE($P440),0)-IFERROR(VALUE($H440),0),2)&gt;0,"Profit","Draw"))))))</x:f>
      </x:c>
      <x:c r="V440" s="144" t="str">
        <x:f>IF(COUNTA($A440:$M440)=0,"",IF(OR($B440="",$C440="",$U440="Subscription"),"",IFERROR(ROUNDUP(($C440-$B440)/7,0),"")))</x:f>
      </x:c>
      <x:c r="W440" s="112" t="str">
        <x:f>IF(COUNTA($A440:$M440)=0,"",IF(OR($U440="Subscription",$U440=""),"",ROUND(IFERROR($Q440,0)-IFERROR($S440,0),2)))</x:f>
      </x:c>
      <x:c r="X440" s="144" t="str">
        <x:f>IF(COUNTA($A440:$M440)=0,"",IF(OR($U440="Subscription",$U440="Free Game",NOT(ISNUMBER($J440)),NOT(ISNUMBER($I440)),$J440=0,$I440=0,$I440&gt;$J440),"",$J440-$I440))</x:f>
      </x:c>
      <x:c r="Y440" s="116" t="str">
        <x:f>IF(COUNTA($A440:$M440)=0,"",IF(OR($U440="Subscription",$U440="Free Game",NOT(ISNUMBER($J440)),$J440=0,$X440=""),"",$X440/$J440))</x:f>
      </x:c>
      <x:c r="Z440" s="118" t="str">
        <x:f>IF(COUNTA($A440:$M440)=0,"",Instructions!$B$29+SUM($W$5:W440))</x:f>
      </x:c>
    </x:row>
    <x:row r="441" ht="30" customHeight="1">
      <x:c r="A441" s="477"/>
      <x:c r="B441" s="482"/>
      <x:c r="C441" s="482"/>
      <x:c r="D441" s="483"/>
      <x:c r="E441" s="483"/>
      <x:c r="F441" s="483"/>
      <x:c r="G441" s="484"/>
      <x:c r="H441" s="484"/>
      <x:c r="I441" s="485"/>
      <x:c r="J441" s="485"/>
      <x:c r="K441" s="484"/>
      <x:c r="L441" s="483"/>
      <x:c r="M441" s="477"/>
      <x:c r="N441" s="112" t="str">
        <x:f>IF(COUNTA($A441:$M441)=0,"",IF(OR(LOWER($F441&amp;"")="subscription",LOWER($F441&amp;"")="membership"),"",IF($G441="","",IF(ISNUMBER(SEARCH("non",LOWER($E441&amp;""))),$G441*0.85,$G441))))</x:f>
      </x:c>
      <x:c r="O441" s="112" t="str">
        <x:f>IF(COUNTA($A441:$M441)=0,"",IF(OR(LOWER($F441&amp;"")="subscription",LOWER($F441&amp;"")="membership"),"",IF(OR($N441="",$I441="",$I441=0),"",IFERROR($N441/$I441,""))))</x:f>
      </x:c>
      <x:c r="P441" s="112" t="str">
        <x:f>IF(COUNTA($A441:$M441)=0,"",IF(OR(LOWER($F441&amp;"")="subscription",LOWER($F441&amp;"")="membership"),"",IF(LOWER($L441&amp;"")="yes",0,IF($K441&lt;&gt;"",$K441,IF($O441&lt;&gt;"",$O441,"")))))</x:f>
      </x:c>
      <x:c r="Q441" s="112" t="str">
        <x:f>IF(COUNTA($A441:$M441)=0,"",IF(OR($U441="Subscription",$U441=""),"",IF($U441="Profit",ROUND($P441-$H441,2),0)))</x:f>
      </x:c>
      <x:c r="R441" s="112" t="str">
        <x:f>IF(COUNTA($A441:$M441)=0,"",IF(OR($U441="Subscription",$U441=""),"",IF($U441="Draw",$H441,0)))</x:f>
      </x:c>
      <x:c r="S441" s="112" t="str">
        <x:f>IF(COUNTA($A441:$M441)=0,"",IF(OR($U441="Subscription",$U441=""),"",IF($U441="Disqualified",$H441,0)))</x:f>
      </x:c>
      <x:c r="T441" s="116" t="str">
        <x:f>IF(COUNTA($A441:$M441)=0,"",IF(OR($U441="Subscription",$U441=""),"",IF($H441=0,0,IF($U441="Profit",$Q441/$H441,IF($U441="Disqualified",-$S441/$H441,0)))))</x:f>
      </x:c>
      <x:c r="U441" s="290" t="str">
        <x:f>IF(COUNTA($A441:$M441)=0,"",IF(OR(LOWER($F441&amp;"")="subscription",LOWER($F441&amp;"")="membership"),"Subscription",IF(LOWER($L441&amp;"")="yes","Disqualified",IF(OR(LOWER($F441&amp;"")="free game",LOWER($F441&amp;"")="free"),IF(AND(ISNUMBER($P441),ISNUMBER($H441),$P441&gt;$H441),"Profit","Free Game"),IF($P441="","",IF(ROUND(IFERROR(VALUE($P441),0)-IFERROR(VALUE($H441),0),2)&gt;0,"Profit","Draw"))))))</x:f>
      </x:c>
      <x:c r="V441" s="144" t="str">
        <x:f>IF(COUNTA($A441:$M441)=0,"",IF(OR($B441="",$C441="",$U441="Subscription"),"",IFERROR(ROUNDUP(($C441-$B441)/7,0),"")))</x:f>
      </x:c>
      <x:c r="W441" s="112" t="str">
        <x:f>IF(COUNTA($A441:$M441)=0,"",IF(OR($U441="Subscription",$U441=""),"",ROUND(IFERROR($Q441,0)-IFERROR($S441,0),2)))</x:f>
      </x:c>
      <x:c r="X441" s="144" t="str">
        <x:f>IF(COUNTA($A441:$M441)=0,"",IF(OR($U441="Subscription",$U441="Free Game",NOT(ISNUMBER($J441)),NOT(ISNUMBER($I441)),$J441=0,$I441=0,$I441&gt;$J441),"",$J441-$I441))</x:f>
      </x:c>
      <x:c r="Y441" s="116" t="str">
        <x:f>IF(COUNTA($A441:$M441)=0,"",IF(OR($U441="Subscription",$U441="Free Game",NOT(ISNUMBER($J441)),$J441=0,$X441=""),"",$X441/$J441))</x:f>
      </x:c>
      <x:c r="Z441" s="118" t="str">
        <x:f>IF(COUNTA($A441:$M441)=0,"",Instructions!$B$29+SUM($W$5:W441))</x:f>
      </x:c>
    </x:row>
    <x:row r="442" ht="30" customHeight="1">
      <x:c r="A442" s="477"/>
      <x:c r="B442" s="482"/>
      <x:c r="C442" s="482"/>
      <x:c r="D442" s="483"/>
      <x:c r="E442" s="483"/>
      <x:c r="F442" s="483"/>
      <x:c r="G442" s="484"/>
      <x:c r="H442" s="484"/>
      <x:c r="I442" s="485"/>
      <x:c r="J442" s="485"/>
      <x:c r="K442" s="484"/>
      <x:c r="L442" s="483"/>
      <x:c r="M442" s="477"/>
      <x:c r="N442" s="112" t="str">
        <x:f>IF(COUNTA($A442:$M442)=0,"",IF(OR(LOWER($F442&amp;"")="subscription",LOWER($F442&amp;"")="membership"),"",IF($G442="","",IF(ISNUMBER(SEARCH("non",LOWER($E442&amp;""))),$G442*0.85,$G442))))</x:f>
      </x:c>
      <x:c r="O442" s="112" t="str">
        <x:f>IF(COUNTA($A442:$M442)=0,"",IF(OR(LOWER($F442&amp;"")="subscription",LOWER($F442&amp;"")="membership"),"",IF(OR($N442="",$I442="",$I442=0),"",IFERROR($N442/$I442,""))))</x:f>
      </x:c>
      <x:c r="P442" s="112" t="str">
        <x:f>IF(COUNTA($A442:$M442)=0,"",IF(OR(LOWER($F442&amp;"")="subscription",LOWER($F442&amp;"")="membership"),"",IF(LOWER($L442&amp;"")="yes",0,IF($K442&lt;&gt;"",$K442,IF($O442&lt;&gt;"",$O442,"")))))</x:f>
      </x:c>
      <x:c r="Q442" s="112" t="str">
        <x:f>IF(COUNTA($A442:$M442)=0,"",IF(OR($U442="Subscription",$U442=""),"",IF($U442="Profit",ROUND($P442-$H442,2),0)))</x:f>
      </x:c>
      <x:c r="R442" s="112" t="str">
        <x:f>IF(COUNTA($A442:$M442)=0,"",IF(OR($U442="Subscription",$U442=""),"",IF($U442="Draw",$H442,0)))</x:f>
      </x:c>
      <x:c r="S442" s="112" t="str">
        <x:f>IF(COUNTA($A442:$M442)=0,"",IF(OR($U442="Subscription",$U442=""),"",IF($U442="Disqualified",$H442,0)))</x:f>
      </x:c>
      <x:c r="T442" s="116" t="str">
        <x:f>IF(COUNTA($A442:$M442)=0,"",IF(OR($U442="Subscription",$U442=""),"",IF($H442=0,0,IF($U442="Profit",$Q442/$H442,IF($U442="Disqualified",-$S442/$H442,0)))))</x:f>
      </x:c>
      <x:c r="U442" s="290" t="str">
        <x:f>IF(COUNTA($A442:$M442)=0,"",IF(OR(LOWER($F442&amp;"")="subscription",LOWER($F442&amp;"")="membership"),"Subscription",IF(LOWER($L442&amp;"")="yes","Disqualified",IF(OR(LOWER($F442&amp;"")="free game",LOWER($F442&amp;"")="free"),IF(AND(ISNUMBER($P442),ISNUMBER($H442),$P442&gt;$H442),"Profit","Free Game"),IF($P442="","",IF(ROUND(IFERROR(VALUE($P442),0)-IFERROR(VALUE($H442),0),2)&gt;0,"Profit","Draw"))))))</x:f>
      </x:c>
      <x:c r="V442" s="144" t="str">
        <x:f>IF(COUNTA($A442:$M442)=0,"",IF(OR($B442="",$C442="",$U442="Subscription"),"",IFERROR(ROUNDUP(($C442-$B442)/7,0),"")))</x:f>
      </x:c>
      <x:c r="W442" s="112" t="str">
        <x:f>IF(COUNTA($A442:$M442)=0,"",IF(OR($U442="Subscription",$U442=""),"",ROUND(IFERROR($Q442,0)-IFERROR($S442,0),2)))</x:f>
      </x:c>
      <x:c r="X442" s="144" t="str">
        <x:f>IF(COUNTA($A442:$M442)=0,"",IF(OR($U442="Subscription",$U442="Free Game",NOT(ISNUMBER($J442)),NOT(ISNUMBER($I442)),$J442=0,$I442=0,$I442&gt;$J442),"",$J442-$I442))</x:f>
      </x:c>
      <x:c r="Y442" s="116" t="str">
        <x:f>IF(COUNTA($A442:$M442)=0,"",IF(OR($U442="Subscription",$U442="Free Game",NOT(ISNUMBER($J442)),$J442=0,$X442=""),"",$X442/$J442))</x:f>
      </x:c>
      <x:c r="Z442" s="118" t="str">
        <x:f>IF(COUNTA($A442:$M442)=0,"",Instructions!$B$29+SUM($W$5:W442))</x:f>
      </x:c>
    </x:row>
    <x:row r="443" ht="30" customHeight="1">
      <x:c r="A443" s="477"/>
      <x:c r="B443" s="482"/>
      <x:c r="C443" s="482"/>
      <x:c r="D443" s="483"/>
      <x:c r="E443" s="483"/>
      <x:c r="F443" s="483"/>
      <x:c r="G443" s="484"/>
      <x:c r="H443" s="484"/>
      <x:c r="I443" s="485"/>
      <x:c r="J443" s="485"/>
      <x:c r="K443" s="484"/>
      <x:c r="L443" s="483"/>
      <x:c r="M443" s="477"/>
      <x:c r="N443" s="112" t="str">
        <x:f>IF(COUNTA($A443:$M443)=0,"",IF(OR(LOWER($F443&amp;"")="subscription",LOWER($F443&amp;"")="membership"),"",IF($G443="","",IF(ISNUMBER(SEARCH("non",LOWER($E443&amp;""))),$G443*0.85,$G443))))</x:f>
      </x:c>
      <x:c r="O443" s="112" t="str">
        <x:f>IF(COUNTA($A443:$M443)=0,"",IF(OR(LOWER($F443&amp;"")="subscription",LOWER($F443&amp;"")="membership"),"",IF(OR($N443="",$I443="",$I443=0),"",IFERROR($N443/$I443,""))))</x:f>
      </x:c>
      <x:c r="P443" s="112" t="str">
        <x:f>IF(COUNTA($A443:$M443)=0,"",IF(OR(LOWER($F443&amp;"")="subscription",LOWER($F443&amp;"")="membership"),"",IF(LOWER($L443&amp;"")="yes",0,IF($K443&lt;&gt;"",$K443,IF($O443&lt;&gt;"",$O443,"")))))</x:f>
      </x:c>
      <x:c r="Q443" s="112" t="str">
        <x:f>IF(COUNTA($A443:$M443)=0,"",IF(OR($U443="Subscription",$U443=""),"",IF($U443="Profit",ROUND($P443-$H443,2),0)))</x:f>
      </x:c>
      <x:c r="R443" s="112" t="str">
        <x:f>IF(COUNTA($A443:$M443)=0,"",IF(OR($U443="Subscription",$U443=""),"",IF($U443="Draw",$H443,0)))</x:f>
      </x:c>
      <x:c r="S443" s="112" t="str">
        <x:f>IF(COUNTA($A443:$M443)=0,"",IF(OR($U443="Subscription",$U443=""),"",IF($U443="Disqualified",$H443,0)))</x:f>
      </x:c>
      <x:c r="T443" s="116" t="str">
        <x:f>IF(COUNTA($A443:$M443)=0,"",IF(OR($U443="Subscription",$U443=""),"",IF($H443=0,0,IF($U443="Profit",$Q443/$H443,IF($U443="Disqualified",-$S443/$H443,0)))))</x:f>
      </x:c>
      <x:c r="U443" s="290" t="str">
        <x:f>IF(COUNTA($A443:$M443)=0,"",IF(OR(LOWER($F443&amp;"")="subscription",LOWER($F443&amp;"")="membership"),"Subscription",IF(LOWER($L443&amp;"")="yes","Disqualified",IF(OR(LOWER($F443&amp;"")="free game",LOWER($F443&amp;"")="free"),IF(AND(ISNUMBER($P443),ISNUMBER($H443),$P443&gt;$H443),"Profit","Free Game"),IF($P443="","",IF(ROUND(IFERROR(VALUE($P443),0)-IFERROR(VALUE($H443),0),2)&gt;0,"Profit","Draw"))))))</x:f>
      </x:c>
      <x:c r="V443" s="144" t="str">
        <x:f>IF(COUNTA($A443:$M443)=0,"",IF(OR($B443="",$C443="",$U443="Subscription"),"",IFERROR(ROUNDUP(($C443-$B443)/7,0),"")))</x:f>
      </x:c>
      <x:c r="W443" s="112" t="str">
        <x:f>IF(COUNTA($A443:$M443)=0,"",IF(OR($U443="Subscription",$U443=""),"",ROUND(IFERROR($Q443,0)-IFERROR($S443,0),2)))</x:f>
      </x:c>
      <x:c r="X443" s="144" t="str">
        <x:f>IF(COUNTA($A443:$M443)=0,"",IF(OR($U443="Subscription",$U443="Free Game",NOT(ISNUMBER($J443)),NOT(ISNUMBER($I443)),$J443=0,$I443=0,$I443&gt;$J443),"",$J443-$I443))</x:f>
      </x:c>
      <x:c r="Y443" s="116" t="str">
        <x:f>IF(COUNTA($A443:$M443)=0,"",IF(OR($U443="Subscription",$U443="Free Game",NOT(ISNUMBER($J443)),$J443=0,$X443=""),"",$X443/$J443))</x:f>
      </x:c>
      <x:c r="Z443" s="118" t="str">
        <x:f>IF(COUNTA($A443:$M443)=0,"",Instructions!$B$29+SUM($W$5:W443))</x:f>
      </x:c>
    </x:row>
    <x:row r="444" ht="30" customHeight="1">
      <x:c r="A444" s="477"/>
      <x:c r="B444" s="482"/>
      <x:c r="C444" s="482"/>
      <x:c r="D444" s="483"/>
      <x:c r="E444" s="483"/>
      <x:c r="F444" s="483"/>
      <x:c r="G444" s="484"/>
      <x:c r="H444" s="484"/>
      <x:c r="I444" s="485"/>
      <x:c r="J444" s="485"/>
      <x:c r="K444" s="484"/>
      <x:c r="L444" s="483"/>
      <x:c r="M444" s="477"/>
      <x:c r="N444" s="112" t="str">
        <x:f>IF(COUNTA($A444:$M444)=0,"",IF(OR(LOWER($F444&amp;"")="subscription",LOWER($F444&amp;"")="membership"),"",IF($G444="","",IF(ISNUMBER(SEARCH("non",LOWER($E444&amp;""))),$G444*0.85,$G444))))</x:f>
      </x:c>
      <x:c r="O444" s="112" t="str">
        <x:f>IF(COUNTA($A444:$M444)=0,"",IF(OR(LOWER($F444&amp;"")="subscription",LOWER($F444&amp;"")="membership"),"",IF(OR($N444="",$I444="",$I444=0),"",IFERROR($N444/$I444,""))))</x:f>
      </x:c>
      <x:c r="P444" s="112" t="str">
        <x:f>IF(COUNTA($A444:$M444)=0,"",IF(OR(LOWER($F444&amp;"")="subscription",LOWER($F444&amp;"")="membership"),"",IF(LOWER($L444&amp;"")="yes",0,IF($K444&lt;&gt;"",$K444,IF($O444&lt;&gt;"",$O444,"")))))</x:f>
      </x:c>
      <x:c r="Q444" s="112" t="str">
        <x:f>IF(COUNTA($A444:$M444)=0,"",IF(OR($U444="Subscription",$U444=""),"",IF($U444="Profit",ROUND($P444-$H444,2),0)))</x:f>
      </x:c>
      <x:c r="R444" s="112" t="str">
        <x:f>IF(COUNTA($A444:$M444)=0,"",IF(OR($U444="Subscription",$U444=""),"",IF($U444="Draw",$H444,0)))</x:f>
      </x:c>
      <x:c r="S444" s="112" t="str">
        <x:f>IF(COUNTA($A444:$M444)=0,"",IF(OR($U444="Subscription",$U444=""),"",IF($U444="Disqualified",$H444,0)))</x:f>
      </x:c>
      <x:c r="T444" s="116" t="str">
        <x:f>IF(COUNTA($A444:$M444)=0,"",IF(OR($U444="Subscription",$U444=""),"",IF($H444=0,0,IF($U444="Profit",$Q444/$H444,IF($U444="Disqualified",-$S444/$H444,0)))))</x:f>
      </x:c>
      <x:c r="U444" s="290" t="str">
        <x:f>IF(COUNTA($A444:$M444)=0,"",IF(OR(LOWER($F444&amp;"")="subscription",LOWER($F444&amp;"")="membership"),"Subscription",IF(LOWER($L444&amp;"")="yes","Disqualified",IF(OR(LOWER($F444&amp;"")="free game",LOWER($F444&amp;"")="free"),IF(AND(ISNUMBER($P444),ISNUMBER($H444),$P444&gt;$H444),"Profit","Free Game"),IF($P444="","",IF(ROUND(IFERROR(VALUE($P444),0)-IFERROR(VALUE($H444),0),2)&gt;0,"Profit","Draw"))))))</x:f>
      </x:c>
      <x:c r="V444" s="144" t="str">
        <x:f>IF(COUNTA($A444:$M444)=0,"",IF(OR($B444="",$C444="",$U444="Subscription"),"",IFERROR(ROUNDUP(($C444-$B444)/7,0),"")))</x:f>
      </x:c>
      <x:c r="W444" s="112" t="str">
        <x:f>IF(COUNTA($A444:$M444)=0,"",IF(OR($U444="Subscription",$U444=""),"",ROUND(IFERROR($Q444,0)-IFERROR($S444,0),2)))</x:f>
      </x:c>
      <x:c r="X444" s="144" t="str">
        <x:f>IF(COUNTA($A444:$M444)=0,"",IF(OR($U444="Subscription",$U444="Free Game",NOT(ISNUMBER($J444)),NOT(ISNUMBER($I444)),$J444=0,$I444=0,$I444&gt;$J444),"",$J444-$I444))</x:f>
      </x:c>
      <x:c r="Y444" s="116" t="str">
        <x:f>IF(COUNTA($A444:$M444)=0,"",IF(OR($U444="Subscription",$U444="Free Game",NOT(ISNUMBER($J444)),$J444=0,$X444=""),"",$X444/$J444))</x:f>
      </x:c>
      <x:c r="Z444" s="118" t="str">
        <x:f>IF(COUNTA($A444:$M444)=0,"",Instructions!$B$29+SUM($W$5:W444))</x:f>
      </x:c>
    </x:row>
    <x:row r="445" ht="30" customHeight="1">
      <x:c r="A445" s="477"/>
      <x:c r="B445" s="482"/>
      <x:c r="C445" s="482"/>
      <x:c r="D445" s="483"/>
      <x:c r="E445" s="483"/>
      <x:c r="F445" s="483"/>
      <x:c r="G445" s="484"/>
      <x:c r="H445" s="484"/>
      <x:c r="I445" s="485"/>
      <x:c r="J445" s="485"/>
      <x:c r="K445" s="484"/>
      <x:c r="L445" s="483"/>
      <x:c r="M445" s="477"/>
      <x:c r="N445" s="112" t="str">
        <x:f>IF(COUNTA($A445:$M445)=0,"",IF(OR(LOWER($F445&amp;"")="subscription",LOWER($F445&amp;"")="membership"),"",IF($G445="","",IF(ISNUMBER(SEARCH("non",LOWER($E445&amp;""))),$G445*0.85,$G445))))</x:f>
      </x:c>
      <x:c r="O445" s="112" t="str">
        <x:f>IF(COUNTA($A445:$M445)=0,"",IF(OR(LOWER($F445&amp;"")="subscription",LOWER($F445&amp;"")="membership"),"",IF(OR($N445="",$I445="",$I445=0),"",IFERROR($N445/$I445,""))))</x:f>
      </x:c>
      <x:c r="P445" s="112" t="str">
        <x:f>IF(COUNTA($A445:$M445)=0,"",IF(OR(LOWER($F445&amp;"")="subscription",LOWER($F445&amp;"")="membership"),"",IF(LOWER($L445&amp;"")="yes",0,IF($K445&lt;&gt;"",$K445,IF($O445&lt;&gt;"",$O445,"")))))</x:f>
      </x:c>
      <x:c r="Q445" s="112" t="str">
        <x:f>IF(COUNTA($A445:$M445)=0,"",IF(OR($U445="Subscription",$U445=""),"",IF($U445="Profit",ROUND($P445-$H445,2),0)))</x:f>
      </x:c>
      <x:c r="R445" s="112" t="str">
        <x:f>IF(COUNTA($A445:$M445)=0,"",IF(OR($U445="Subscription",$U445=""),"",IF($U445="Draw",$H445,0)))</x:f>
      </x:c>
      <x:c r="S445" s="112" t="str">
        <x:f>IF(COUNTA($A445:$M445)=0,"",IF(OR($U445="Subscription",$U445=""),"",IF($U445="Disqualified",$H445,0)))</x:f>
      </x:c>
      <x:c r="T445" s="116" t="str">
        <x:f>IF(COUNTA($A445:$M445)=0,"",IF(OR($U445="Subscription",$U445=""),"",IF($H445=0,0,IF($U445="Profit",$Q445/$H445,IF($U445="Disqualified",-$S445/$H445,0)))))</x:f>
      </x:c>
      <x:c r="U445" s="290" t="str">
        <x:f>IF(COUNTA($A445:$M445)=0,"",IF(OR(LOWER($F445&amp;"")="subscription",LOWER($F445&amp;"")="membership"),"Subscription",IF(LOWER($L445&amp;"")="yes","Disqualified",IF(OR(LOWER($F445&amp;"")="free game",LOWER($F445&amp;"")="free"),IF(AND(ISNUMBER($P445),ISNUMBER($H445),$P445&gt;$H445),"Profit","Free Game"),IF($P445="","",IF(ROUND(IFERROR(VALUE($P445),0)-IFERROR(VALUE($H445),0),2)&gt;0,"Profit","Draw"))))))</x:f>
      </x:c>
      <x:c r="V445" s="144" t="str">
        <x:f>IF(COUNTA($A445:$M445)=0,"",IF(OR($B445="",$C445="",$U445="Subscription"),"",IFERROR(ROUNDUP(($C445-$B445)/7,0),"")))</x:f>
      </x:c>
      <x:c r="W445" s="112" t="str">
        <x:f>IF(COUNTA($A445:$M445)=0,"",IF(OR($U445="Subscription",$U445=""),"",ROUND(IFERROR($Q445,0)-IFERROR($S445,0),2)))</x:f>
      </x:c>
      <x:c r="X445" s="144" t="str">
        <x:f>IF(COUNTA($A445:$M445)=0,"",IF(OR($U445="Subscription",$U445="Free Game",NOT(ISNUMBER($J445)),NOT(ISNUMBER($I445)),$J445=0,$I445=0,$I445&gt;$J445),"",$J445-$I445))</x:f>
      </x:c>
      <x:c r="Y445" s="116" t="str">
        <x:f>IF(COUNTA($A445:$M445)=0,"",IF(OR($U445="Subscription",$U445="Free Game",NOT(ISNUMBER($J445)),$J445=0,$X445=""),"",$X445/$J445))</x:f>
      </x:c>
      <x:c r="Z445" s="118" t="str">
        <x:f>IF(COUNTA($A445:$M445)=0,"",Instructions!$B$29+SUM($W$5:W445))</x:f>
      </x:c>
    </x:row>
    <x:row r="446" ht="30" customHeight="1">
      <x:c r="A446" s="477"/>
      <x:c r="B446" s="482"/>
      <x:c r="C446" s="482"/>
      <x:c r="D446" s="483"/>
      <x:c r="E446" s="483"/>
      <x:c r="F446" s="483"/>
      <x:c r="G446" s="484"/>
      <x:c r="H446" s="484"/>
      <x:c r="I446" s="485"/>
      <x:c r="J446" s="485"/>
      <x:c r="K446" s="484"/>
      <x:c r="L446" s="483"/>
      <x:c r="M446" s="477"/>
      <x:c r="N446" s="112" t="str">
        <x:f>IF(COUNTA($A446:$M446)=0,"",IF(OR(LOWER($F446&amp;"")="subscription",LOWER($F446&amp;"")="membership"),"",IF($G446="","",IF(ISNUMBER(SEARCH("non",LOWER($E446&amp;""))),$G446*0.85,$G446))))</x:f>
      </x:c>
      <x:c r="O446" s="112" t="str">
        <x:f>IF(COUNTA($A446:$M446)=0,"",IF(OR(LOWER($F446&amp;"")="subscription",LOWER($F446&amp;"")="membership"),"",IF(OR($N446="",$I446="",$I446=0),"",IFERROR($N446/$I446,""))))</x:f>
      </x:c>
      <x:c r="P446" s="112" t="str">
        <x:f>IF(COUNTA($A446:$M446)=0,"",IF(OR(LOWER($F446&amp;"")="subscription",LOWER($F446&amp;"")="membership"),"",IF(LOWER($L446&amp;"")="yes",0,IF($K446&lt;&gt;"",$K446,IF($O446&lt;&gt;"",$O446,"")))))</x:f>
      </x:c>
      <x:c r="Q446" s="112" t="str">
        <x:f>IF(COUNTA($A446:$M446)=0,"",IF(OR($U446="Subscription",$U446=""),"",IF($U446="Profit",ROUND($P446-$H446,2),0)))</x:f>
      </x:c>
      <x:c r="R446" s="112" t="str">
        <x:f>IF(COUNTA($A446:$M446)=0,"",IF(OR($U446="Subscription",$U446=""),"",IF($U446="Draw",$H446,0)))</x:f>
      </x:c>
      <x:c r="S446" s="112" t="str">
        <x:f>IF(COUNTA($A446:$M446)=0,"",IF(OR($U446="Subscription",$U446=""),"",IF($U446="Disqualified",$H446,0)))</x:f>
      </x:c>
      <x:c r="T446" s="116" t="str">
        <x:f>IF(COUNTA($A446:$M446)=0,"",IF(OR($U446="Subscription",$U446=""),"",IF($H446=0,0,IF($U446="Profit",$Q446/$H446,IF($U446="Disqualified",-$S446/$H446,0)))))</x:f>
      </x:c>
      <x:c r="U446" s="290" t="str">
        <x:f>IF(COUNTA($A446:$M446)=0,"",IF(OR(LOWER($F446&amp;"")="subscription",LOWER($F446&amp;"")="membership"),"Subscription",IF(LOWER($L446&amp;"")="yes","Disqualified",IF(OR(LOWER($F446&amp;"")="free game",LOWER($F446&amp;"")="free"),IF(AND(ISNUMBER($P446),ISNUMBER($H446),$P446&gt;$H446),"Profit","Free Game"),IF($P446="","",IF(ROUND(IFERROR(VALUE($P446),0)-IFERROR(VALUE($H446),0),2)&gt;0,"Profit","Draw"))))))</x:f>
      </x:c>
      <x:c r="V446" s="144" t="str">
        <x:f>IF(COUNTA($A446:$M446)=0,"",IF(OR($B446="",$C446="",$U446="Subscription"),"",IFERROR(ROUNDUP(($C446-$B446)/7,0),"")))</x:f>
      </x:c>
      <x:c r="W446" s="112" t="str">
        <x:f>IF(COUNTA($A446:$M446)=0,"",IF(OR($U446="Subscription",$U446=""),"",ROUND(IFERROR($Q446,0)-IFERROR($S446,0),2)))</x:f>
      </x:c>
      <x:c r="X446" s="144" t="str">
        <x:f>IF(COUNTA($A446:$M446)=0,"",IF(OR($U446="Subscription",$U446="Free Game",NOT(ISNUMBER($J446)),NOT(ISNUMBER($I446)),$J446=0,$I446=0,$I446&gt;$J446),"",$J446-$I446))</x:f>
      </x:c>
      <x:c r="Y446" s="116" t="str">
        <x:f>IF(COUNTA($A446:$M446)=0,"",IF(OR($U446="Subscription",$U446="Free Game",NOT(ISNUMBER($J446)),$J446=0,$X446=""),"",$X446/$J446))</x:f>
      </x:c>
      <x:c r="Z446" s="118" t="str">
        <x:f>IF(COUNTA($A446:$M446)=0,"",Instructions!$B$29+SUM($W$5:W446))</x:f>
      </x:c>
    </x:row>
    <x:row r="447" ht="30" customHeight="1">
      <x:c r="A447" s="477"/>
      <x:c r="B447" s="482"/>
      <x:c r="C447" s="482"/>
      <x:c r="D447" s="483"/>
      <x:c r="E447" s="483"/>
      <x:c r="F447" s="483"/>
      <x:c r="G447" s="484"/>
      <x:c r="H447" s="484"/>
      <x:c r="I447" s="485"/>
      <x:c r="J447" s="485"/>
      <x:c r="K447" s="484"/>
      <x:c r="L447" s="483"/>
      <x:c r="M447" s="477"/>
      <x:c r="N447" s="112" t="str">
        <x:f>IF(COUNTA($A447:$M447)=0,"",IF(OR(LOWER($F447&amp;"")="subscription",LOWER($F447&amp;"")="membership"),"",IF($G447="","",IF(ISNUMBER(SEARCH("non",LOWER($E447&amp;""))),$G447*0.85,$G447))))</x:f>
      </x:c>
      <x:c r="O447" s="112" t="str">
        <x:f>IF(COUNTA($A447:$M447)=0,"",IF(OR(LOWER($F447&amp;"")="subscription",LOWER($F447&amp;"")="membership"),"",IF(OR($N447="",$I447="",$I447=0),"",IFERROR($N447/$I447,""))))</x:f>
      </x:c>
      <x:c r="P447" s="112" t="str">
        <x:f>IF(COUNTA($A447:$M447)=0,"",IF(OR(LOWER($F447&amp;"")="subscription",LOWER($F447&amp;"")="membership"),"",IF(LOWER($L447&amp;"")="yes",0,IF($K447&lt;&gt;"",$K447,IF($O447&lt;&gt;"",$O447,"")))))</x:f>
      </x:c>
      <x:c r="Q447" s="112" t="str">
        <x:f>IF(COUNTA($A447:$M447)=0,"",IF(OR($U447="Subscription",$U447=""),"",IF($U447="Profit",ROUND($P447-$H447,2),0)))</x:f>
      </x:c>
      <x:c r="R447" s="112" t="str">
        <x:f>IF(COUNTA($A447:$M447)=0,"",IF(OR($U447="Subscription",$U447=""),"",IF($U447="Draw",$H447,0)))</x:f>
      </x:c>
      <x:c r="S447" s="112" t="str">
        <x:f>IF(COUNTA($A447:$M447)=0,"",IF(OR($U447="Subscription",$U447=""),"",IF($U447="Disqualified",$H447,0)))</x:f>
      </x:c>
      <x:c r="T447" s="116" t="str">
        <x:f>IF(COUNTA($A447:$M447)=0,"",IF(OR($U447="Subscription",$U447=""),"",IF($H447=0,0,IF($U447="Profit",$Q447/$H447,IF($U447="Disqualified",-$S447/$H447,0)))))</x:f>
      </x:c>
      <x:c r="U447" s="290" t="str">
        <x:f>IF(COUNTA($A447:$M447)=0,"",IF(OR(LOWER($F447&amp;"")="subscription",LOWER($F447&amp;"")="membership"),"Subscription",IF(LOWER($L447&amp;"")="yes","Disqualified",IF(OR(LOWER($F447&amp;"")="free game",LOWER($F447&amp;"")="free"),IF(AND(ISNUMBER($P447),ISNUMBER($H447),$P447&gt;$H447),"Profit","Free Game"),IF($P447="","",IF(ROUND(IFERROR(VALUE($P447),0)-IFERROR(VALUE($H447),0),2)&gt;0,"Profit","Draw"))))))</x:f>
      </x:c>
      <x:c r="V447" s="144" t="str">
        <x:f>IF(COUNTA($A447:$M447)=0,"",IF(OR($B447="",$C447="",$U447="Subscription"),"",IFERROR(ROUNDUP(($C447-$B447)/7,0),"")))</x:f>
      </x:c>
      <x:c r="W447" s="112" t="str">
        <x:f>IF(COUNTA($A447:$M447)=0,"",IF(OR($U447="Subscription",$U447=""),"",ROUND(IFERROR($Q447,0)-IFERROR($S447,0),2)))</x:f>
      </x:c>
      <x:c r="X447" s="144" t="str">
        <x:f>IF(COUNTA($A447:$M447)=0,"",IF(OR($U447="Subscription",$U447="Free Game",NOT(ISNUMBER($J447)),NOT(ISNUMBER($I447)),$J447=0,$I447=0,$I447&gt;$J447),"",$J447-$I447))</x:f>
      </x:c>
      <x:c r="Y447" s="116" t="str">
        <x:f>IF(COUNTA($A447:$M447)=0,"",IF(OR($U447="Subscription",$U447="Free Game",NOT(ISNUMBER($J447)),$J447=0,$X447=""),"",$X447/$J447))</x:f>
      </x:c>
      <x:c r="Z447" s="118" t="str">
        <x:f>IF(COUNTA($A447:$M447)=0,"",Instructions!$B$29+SUM($W$5:W447))</x:f>
      </x:c>
    </x:row>
    <x:row r="448" ht="30" customHeight="1">
      <x:c r="A448" s="477"/>
      <x:c r="B448" s="482"/>
      <x:c r="C448" s="482"/>
      <x:c r="D448" s="483"/>
      <x:c r="E448" s="483"/>
      <x:c r="F448" s="483"/>
      <x:c r="G448" s="484"/>
      <x:c r="H448" s="484"/>
      <x:c r="I448" s="485"/>
      <x:c r="J448" s="485"/>
      <x:c r="K448" s="484"/>
      <x:c r="L448" s="483"/>
      <x:c r="M448" s="477"/>
      <x:c r="N448" s="112" t="str">
        <x:f>IF(COUNTA($A448:$M448)=0,"",IF(OR(LOWER($F448&amp;"")="subscription",LOWER($F448&amp;"")="membership"),"",IF($G448="","",IF(ISNUMBER(SEARCH("non",LOWER($E448&amp;""))),$G448*0.85,$G448))))</x:f>
      </x:c>
      <x:c r="O448" s="112" t="str">
        <x:f>IF(COUNTA($A448:$M448)=0,"",IF(OR(LOWER($F448&amp;"")="subscription",LOWER($F448&amp;"")="membership"),"",IF(OR($N448="",$I448="",$I448=0),"",IFERROR($N448/$I448,""))))</x:f>
      </x:c>
      <x:c r="P448" s="112" t="str">
        <x:f>IF(COUNTA($A448:$M448)=0,"",IF(OR(LOWER($F448&amp;"")="subscription",LOWER($F448&amp;"")="membership"),"",IF(LOWER($L448&amp;"")="yes",0,IF($K448&lt;&gt;"",$K448,IF($O448&lt;&gt;"",$O448,"")))))</x:f>
      </x:c>
      <x:c r="Q448" s="112" t="str">
        <x:f>IF(COUNTA($A448:$M448)=0,"",IF(OR($U448="Subscription",$U448=""),"",IF($U448="Profit",ROUND($P448-$H448,2),0)))</x:f>
      </x:c>
      <x:c r="R448" s="112" t="str">
        <x:f>IF(COUNTA($A448:$M448)=0,"",IF(OR($U448="Subscription",$U448=""),"",IF($U448="Draw",$H448,0)))</x:f>
      </x:c>
      <x:c r="S448" s="112" t="str">
        <x:f>IF(COUNTA($A448:$M448)=0,"",IF(OR($U448="Subscription",$U448=""),"",IF($U448="Disqualified",$H448,0)))</x:f>
      </x:c>
      <x:c r="T448" s="116" t="str">
        <x:f>IF(COUNTA($A448:$M448)=0,"",IF(OR($U448="Subscription",$U448=""),"",IF($H448=0,0,IF($U448="Profit",$Q448/$H448,IF($U448="Disqualified",-$S448/$H448,0)))))</x:f>
      </x:c>
      <x:c r="U448" s="290" t="str">
        <x:f>IF(COUNTA($A448:$M448)=0,"",IF(OR(LOWER($F448&amp;"")="subscription",LOWER($F448&amp;"")="membership"),"Subscription",IF(LOWER($L448&amp;"")="yes","Disqualified",IF(OR(LOWER($F448&amp;"")="free game",LOWER($F448&amp;"")="free"),IF(AND(ISNUMBER($P448),ISNUMBER($H448),$P448&gt;$H448),"Profit","Free Game"),IF($P448="","",IF(ROUND(IFERROR(VALUE($P448),0)-IFERROR(VALUE($H448),0),2)&gt;0,"Profit","Draw"))))))</x:f>
      </x:c>
      <x:c r="V448" s="144" t="str">
        <x:f>IF(COUNTA($A448:$M448)=0,"",IF(OR($B448="",$C448="",$U448="Subscription"),"",IFERROR(ROUNDUP(($C448-$B448)/7,0),"")))</x:f>
      </x:c>
      <x:c r="W448" s="112" t="str">
        <x:f>IF(COUNTA($A448:$M448)=0,"",IF(OR($U448="Subscription",$U448=""),"",ROUND(IFERROR($Q448,0)-IFERROR($S448,0),2)))</x:f>
      </x:c>
      <x:c r="X448" s="144" t="str">
        <x:f>IF(COUNTA($A448:$M448)=0,"",IF(OR($U448="Subscription",$U448="Free Game",NOT(ISNUMBER($J448)),NOT(ISNUMBER($I448)),$J448=0,$I448=0,$I448&gt;$J448),"",$J448-$I448))</x:f>
      </x:c>
      <x:c r="Y448" s="116" t="str">
        <x:f>IF(COUNTA($A448:$M448)=0,"",IF(OR($U448="Subscription",$U448="Free Game",NOT(ISNUMBER($J448)),$J448=0,$X448=""),"",$X448/$J448))</x:f>
      </x:c>
      <x:c r="Z448" s="118" t="str">
        <x:f>IF(COUNTA($A448:$M448)=0,"",Instructions!$B$29+SUM($W$5:W448))</x:f>
      </x:c>
    </x:row>
    <x:row r="449" ht="30" customHeight="1">
      <x:c r="A449" s="477"/>
      <x:c r="B449" s="482"/>
      <x:c r="C449" s="482"/>
      <x:c r="D449" s="483"/>
      <x:c r="E449" s="483"/>
      <x:c r="F449" s="483"/>
      <x:c r="G449" s="484"/>
      <x:c r="H449" s="484"/>
      <x:c r="I449" s="485"/>
      <x:c r="J449" s="485"/>
      <x:c r="K449" s="484"/>
      <x:c r="L449" s="483"/>
      <x:c r="M449" s="477"/>
      <x:c r="N449" s="112" t="str">
        <x:f>IF(COUNTA($A449:$M449)=0,"",IF(OR(LOWER($F449&amp;"")="subscription",LOWER($F449&amp;"")="membership"),"",IF($G449="","",IF(ISNUMBER(SEARCH("non",LOWER($E449&amp;""))),$G449*0.85,$G449))))</x:f>
      </x:c>
      <x:c r="O449" s="112" t="str">
        <x:f>IF(COUNTA($A449:$M449)=0,"",IF(OR(LOWER($F449&amp;"")="subscription",LOWER($F449&amp;"")="membership"),"",IF(OR($N449="",$I449="",$I449=0),"",IFERROR($N449/$I449,""))))</x:f>
      </x:c>
      <x:c r="P449" s="112" t="str">
        <x:f>IF(COUNTA($A449:$M449)=0,"",IF(OR(LOWER($F449&amp;"")="subscription",LOWER($F449&amp;"")="membership"),"",IF(LOWER($L449&amp;"")="yes",0,IF($K449&lt;&gt;"",$K449,IF($O449&lt;&gt;"",$O449,"")))))</x:f>
      </x:c>
      <x:c r="Q449" s="112" t="str">
        <x:f>IF(COUNTA($A449:$M449)=0,"",IF(OR($U449="Subscription",$U449=""),"",IF($U449="Profit",ROUND($P449-$H449,2),0)))</x:f>
      </x:c>
      <x:c r="R449" s="112" t="str">
        <x:f>IF(COUNTA($A449:$M449)=0,"",IF(OR($U449="Subscription",$U449=""),"",IF($U449="Draw",$H449,0)))</x:f>
      </x:c>
      <x:c r="S449" s="112" t="str">
        <x:f>IF(COUNTA($A449:$M449)=0,"",IF(OR($U449="Subscription",$U449=""),"",IF($U449="Disqualified",$H449,0)))</x:f>
      </x:c>
      <x:c r="T449" s="116" t="str">
        <x:f>IF(COUNTA($A449:$M449)=0,"",IF(OR($U449="Subscription",$U449=""),"",IF($H449=0,0,IF($U449="Profit",$Q449/$H449,IF($U449="Disqualified",-$S449/$H449,0)))))</x:f>
      </x:c>
      <x:c r="U449" s="290" t="str">
        <x:f>IF(COUNTA($A449:$M449)=0,"",IF(OR(LOWER($F449&amp;"")="subscription",LOWER($F449&amp;"")="membership"),"Subscription",IF(LOWER($L449&amp;"")="yes","Disqualified",IF(OR(LOWER($F449&amp;"")="free game",LOWER($F449&amp;"")="free"),IF(AND(ISNUMBER($P449),ISNUMBER($H449),$P449&gt;$H449),"Profit","Free Game"),IF($P449="","",IF(ROUND(IFERROR(VALUE($P449),0)-IFERROR(VALUE($H449),0),2)&gt;0,"Profit","Draw"))))))</x:f>
      </x:c>
      <x:c r="V449" s="144" t="str">
        <x:f>IF(COUNTA($A449:$M449)=0,"",IF(OR($B449="",$C449="",$U449="Subscription"),"",IFERROR(ROUNDUP(($C449-$B449)/7,0),"")))</x:f>
      </x:c>
      <x:c r="W449" s="112" t="str">
        <x:f>IF(COUNTA($A449:$M449)=0,"",IF(OR($U449="Subscription",$U449=""),"",ROUND(IFERROR($Q449,0)-IFERROR($S449,0),2)))</x:f>
      </x:c>
      <x:c r="X449" s="144" t="str">
        <x:f>IF(COUNTA($A449:$M449)=0,"",IF(OR($U449="Subscription",$U449="Free Game",NOT(ISNUMBER($J449)),NOT(ISNUMBER($I449)),$J449=0,$I449=0,$I449&gt;$J449),"",$J449-$I449))</x:f>
      </x:c>
      <x:c r="Y449" s="116" t="str">
        <x:f>IF(COUNTA($A449:$M449)=0,"",IF(OR($U449="Subscription",$U449="Free Game",NOT(ISNUMBER($J449)),$J449=0,$X449=""),"",$X449/$J449))</x:f>
      </x:c>
      <x:c r="Z449" s="118" t="str">
        <x:f>IF(COUNTA($A449:$M449)=0,"",Instructions!$B$29+SUM($W$5:W449))</x:f>
      </x:c>
    </x:row>
    <x:row r="450" ht="30" customHeight="1">
      <x:c r="A450" s="477"/>
      <x:c r="B450" s="482"/>
      <x:c r="C450" s="482"/>
      <x:c r="D450" s="483"/>
      <x:c r="E450" s="483"/>
      <x:c r="F450" s="483"/>
      <x:c r="G450" s="484"/>
      <x:c r="H450" s="484"/>
      <x:c r="I450" s="485"/>
      <x:c r="J450" s="485"/>
      <x:c r="K450" s="484"/>
      <x:c r="L450" s="483"/>
      <x:c r="M450" s="477"/>
      <x:c r="N450" s="112" t="str">
        <x:f>IF(COUNTA($A450:$M450)=0,"",IF(OR(LOWER($F450&amp;"")="subscription",LOWER($F450&amp;"")="membership"),"",IF($G450="","",IF(ISNUMBER(SEARCH("non",LOWER($E450&amp;""))),$G450*0.85,$G450))))</x:f>
      </x:c>
      <x:c r="O450" s="112" t="str">
        <x:f>IF(COUNTA($A450:$M450)=0,"",IF(OR(LOWER($F450&amp;"")="subscription",LOWER($F450&amp;"")="membership"),"",IF(OR($N450="",$I450="",$I450=0),"",IFERROR($N450/$I450,""))))</x:f>
      </x:c>
      <x:c r="P450" s="112" t="str">
        <x:f>IF(COUNTA($A450:$M450)=0,"",IF(OR(LOWER($F450&amp;"")="subscription",LOWER($F450&amp;"")="membership"),"",IF(LOWER($L450&amp;"")="yes",0,IF($K450&lt;&gt;"",$K450,IF($O450&lt;&gt;"",$O450,"")))))</x:f>
      </x:c>
      <x:c r="Q450" s="112" t="str">
        <x:f>IF(COUNTA($A450:$M450)=0,"",IF(OR($U450="Subscription",$U450=""),"",IF($U450="Profit",ROUND($P450-$H450,2),0)))</x:f>
      </x:c>
      <x:c r="R450" s="112" t="str">
        <x:f>IF(COUNTA($A450:$M450)=0,"",IF(OR($U450="Subscription",$U450=""),"",IF($U450="Draw",$H450,0)))</x:f>
      </x:c>
      <x:c r="S450" s="112" t="str">
        <x:f>IF(COUNTA($A450:$M450)=0,"",IF(OR($U450="Subscription",$U450=""),"",IF($U450="Disqualified",$H450,0)))</x:f>
      </x:c>
      <x:c r="T450" s="116" t="str">
        <x:f>IF(COUNTA($A450:$M450)=0,"",IF(OR($U450="Subscription",$U450=""),"",IF($H450=0,0,IF($U450="Profit",$Q450/$H450,IF($U450="Disqualified",-$S450/$H450,0)))))</x:f>
      </x:c>
      <x:c r="U450" s="290" t="str">
        <x:f>IF(COUNTA($A450:$M450)=0,"",IF(OR(LOWER($F450&amp;"")="subscription",LOWER($F450&amp;"")="membership"),"Subscription",IF(LOWER($L450&amp;"")="yes","Disqualified",IF(OR(LOWER($F450&amp;"")="free game",LOWER($F450&amp;"")="free"),IF(AND(ISNUMBER($P450),ISNUMBER($H450),$P450&gt;$H450),"Profit","Free Game"),IF($P450="","",IF(ROUND(IFERROR(VALUE($P450),0)-IFERROR(VALUE($H450),0),2)&gt;0,"Profit","Draw"))))))</x:f>
      </x:c>
      <x:c r="V450" s="144" t="str">
        <x:f>IF(COUNTA($A450:$M450)=0,"",IF(OR($B450="",$C450="",$U450="Subscription"),"",IFERROR(ROUNDUP(($C450-$B450)/7,0),"")))</x:f>
      </x:c>
      <x:c r="W450" s="112" t="str">
        <x:f>IF(COUNTA($A450:$M450)=0,"",IF(OR($U450="Subscription",$U450=""),"",ROUND(IFERROR($Q450,0)-IFERROR($S450,0),2)))</x:f>
      </x:c>
      <x:c r="X450" s="144" t="str">
        <x:f>IF(COUNTA($A450:$M450)=0,"",IF(OR($U450="Subscription",$U450="Free Game",NOT(ISNUMBER($J450)),NOT(ISNUMBER($I450)),$J450=0,$I450=0,$I450&gt;$J450),"",$J450-$I450))</x:f>
      </x:c>
      <x:c r="Y450" s="116" t="str">
        <x:f>IF(COUNTA($A450:$M450)=0,"",IF(OR($U450="Subscription",$U450="Free Game",NOT(ISNUMBER($J450)),$J450=0,$X450=""),"",$X450/$J450))</x:f>
      </x:c>
      <x:c r="Z450" s="118" t="str">
        <x:f>IF(COUNTA($A450:$M450)=0,"",Instructions!$B$29+SUM($W$5:W450))</x:f>
      </x:c>
    </x:row>
    <x:row r="451" ht="30" customHeight="1">
      <x:c r="A451" s="477"/>
      <x:c r="B451" s="482"/>
      <x:c r="C451" s="482"/>
      <x:c r="D451" s="483"/>
      <x:c r="E451" s="483"/>
      <x:c r="F451" s="483"/>
      <x:c r="G451" s="484"/>
      <x:c r="H451" s="484"/>
      <x:c r="I451" s="485"/>
      <x:c r="J451" s="485"/>
      <x:c r="K451" s="484"/>
      <x:c r="L451" s="483"/>
      <x:c r="M451" s="477"/>
      <x:c r="N451" s="112" t="str">
        <x:f>IF(COUNTA($A451:$M451)=0,"",IF(OR(LOWER($F451&amp;"")="subscription",LOWER($F451&amp;"")="membership"),"",IF($G451="","",IF(ISNUMBER(SEARCH("non",LOWER($E451&amp;""))),$G451*0.85,$G451))))</x:f>
      </x:c>
      <x:c r="O451" s="112" t="str">
        <x:f>IF(COUNTA($A451:$M451)=0,"",IF(OR(LOWER($F451&amp;"")="subscription",LOWER($F451&amp;"")="membership"),"",IF(OR($N451="",$I451="",$I451=0),"",IFERROR($N451/$I451,""))))</x:f>
      </x:c>
      <x:c r="P451" s="112" t="str">
        <x:f>IF(COUNTA($A451:$M451)=0,"",IF(OR(LOWER($F451&amp;"")="subscription",LOWER($F451&amp;"")="membership"),"",IF(LOWER($L451&amp;"")="yes",0,IF($K451&lt;&gt;"",$K451,IF($O451&lt;&gt;"",$O451,"")))))</x:f>
      </x:c>
      <x:c r="Q451" s="112" t="str">
        <x:f>IF(COUNTA($A451:$M451)=0,"",IF(OR($U451="Subscription",$U451=""),"",IF($U451="Profit",ROUND($P451-$H451,2),0)))</x:f>
      </x:c>
      <x:c r="R451" s="112" t="str">
        <x:f>IF(COUNTA($A451:$M451)=0,"",IF(OR($U451="Subscription",$U451=""),"",IF($U451="Draw",$H451,0)))</x:f>
      </x:c>
      <x:c r="S451" s="112" t="str">
        <x:f>IF(COUNTA($A451:$M451)=0,"",IF(OR($U451="Subscription",$U451=""),"",IF($U451="Disqualified",$H451,0)))</x:f>
      </x:c>
      <x:c r="T451" s="116" t="str">
        <x:f>IF(COUNTA($A451:$M451)=0,"",IF(OR($U451="Subscription",$U451=""),"",IF($H451=0,0,IF($U451="Profit",$Q451/$H451,IF($U451="Disqualified",-$S451/$H451,0)))))</x:f>
      </x:c>
      <x:c r="U451" s="290" t="str">
        <x:f>IF(COUNTA($A451:$M451)=0,"",IF(OR(LOWER($F451&amp;"")="subscription",LOWER($F451&amp;"")="membership"),"Subscription",IF(LOWER($L451&amp;"")="yes","Disqualified",IF(OR(LOWER($F451&amp;"")="free game",LOWER($F451&amp;"")="free"),IF(AND(ISNUMBER($P451),ISNUMBER($H451),$P451&gt;$H451),"Profit","Free Game"),IF($P451="","",IF(ROUND(IFERROR(VALUE($P451),0)-IFERROR(VALUE($H451),0),2)&gt;0,"Profit","Draw"))))))</x:f>
      </x:c>
      <x:c r="V451" s="144" t="str">
        <x:f>IF(COUNTA($A451:$M451)=0,"",IF(OR($B451="",$C451="",$U451="Subscription"),"",IFERROR(ROUNDUP(($C451-$B451)/7,0),"")))</x:f>
      </x:c>
      <x:c r="W451" s="112" t="str">
        <x:f>IF(COUNTA($A451:$M451)=0,"",IF(OR($U451="Subscription",$U451=""),"",ROUND(IFERROR($Q451,0)-IFERROR($S451,0),2)))</x:f>
      </x:c>
      <x:c r="X451" s="144" t="str">
        <x:f>IF(COUNTA($A451:$M451)=0,"",IF(OR($U451="Subscription",$U451="Free Game",NOT(ISNUMBER($J451)),NOT(ISNUMBER($I451)),$J451=0,$I451=0,$I451&gt;$J451),"",$J451-$I451))</x:f>
      </x:c>
      <x:c r="Y451" s="116" t="str">
        <x:f>IF(COUNTA($A451:$M451)=0,"",IF(OR($U451="Subscription",$U451="Free Game",NOT(ISNUMBER($J451)),$J451=0,$X451=""),"",$X451/$J451))</x:f>
      </x:c>
      <x:c r="Z451" s="118" t="str">
        <x:f>IF(COUNTA($A451:$M451)=0,"",Instructions!$B$29+SUM($W$5:W451))</x:f>
      </x:c>
    </x:row>
    <x:row r="452" ht="30" customHeight="1">
      <x:c r="A452" s="477"/>
      <x:c r="B452" s="482"/>
      <x:c r="C452" s="482"/>
      <x:c r="D452" s="483"/>
      <x:c r="E452" s="483"/>
      <x:c r="F452" s="483"/>
      <x:c r="G452" s="484"/>
      <x:c r="H452" s="484"/>
      <x:c r="I452" s="485"/>
      <x:c r="J452" s="485"/>
      <x:c r="K452" s="484"/>
      <x:c r="L452" s="483"/>
      <x:c r="M452" s="477"/>
      <x:c r="N452" s="112" t="str">
        <x:f>IF(COUNTA($A452:$M452)=0,"",IF(OR(LOWER($F452&amp;"")="subscription",LOWER($F452&amp;"")="membership"),"",IF($G452="","",IF(ISNUMBER(SEARCH("non",LOWER($E452&amp;""))),$G452*0.85,$G452))))</x:f>
      </x:c>
      <x:c r="O452" s="112" t="str">
        <x:f>IF(COUNTA($A452:$M452)=0,"",IF(OR(LOWER($F452&amp;"")="subscription",LOWER($F452&amp;"")="membership"),"",IF(OR($N452="",$I452="",$I452=0),"",IFERROR($N452/$I452,""))))</x:f>
      </x:c>
      <x:c r="P452" s="112" t="str">
        <x:f>IF(COUNTA($A452:$M452)=0,"",IF(OR(LOWER($F452&amp;"")="subscription",LOWER($F452&amp;"")="membership"),"",IF(LOWER($L452&amp;"")="yes",0,IF($K452&lt;&gt;"",$K452,IF($O452&lt;&gt;"",$O452,"")))))</x:f>
      </x:c>
      <x:c r="Q452" s="112" t="str">
        <x:f>IF(COUNTA($A452:$M452)=0,"",IF(OR($U452="Subscription",$U452=""),"",IF($U452="Profit",ROUND($P452-$H452,2),0)))</x:f>
      </x:c>
      <x:c r="R452" s="112" t="str">
        <x:f>IF(COUNTA($A452:$M452)=0,"",IF(OR($U452="Subscription",$U452=""),"",IF($U452="Draw",$H452,0)))</x:f>
      </x:c>
      <x:c r="S452" s="112" t="str">
        <x:f>IF(COUNTA($A452:$M452)=0,"",IF(OR($U452="Subscription",$U452=""),"",IF($U452="Disqualified",$H452,0)))</x:f>
      </x:c>
      <x:c r="T452" s="116" t="str">
        <x:f>IF(COUNTA($A452:$M452)=0,"",IF(OR($U452="Subscription",$U452=""),"",IF($H452=0,0,IF($U452="Profit",$Q452/$H452,IF($U452="Disqualified",-$S452/$H452,0)))))</x:f>
      </x:c>
      <x:c r="U452" s="290" t="str">
        <x:f>IF(COUNTA($A452:$M452)=0,"",IF(OR(LOWER($F452&amp;"")="subscription",LOWER($F452&amp;"")="membership"),"Subscription",IF(LOWER($L452&amp;"")="yes","Disqualified",IF(OR(LOWER($F452&amp;"")="free game",LOWER($F452&amp;"")="free"),IF(AND(ISNUMBER($P452),ISNUMBER($H452),$P452&gt;$H452),"Profit","Free Game"),IF($P452="","",IF(ROUND(IFERROR(VALUE($P452),0)-IFERROR(VALUE($H452),0),2)&gt;0,"Profit","Draw"))))))</x:f>
      </x:c>
      <x:c r="V452" s="144" t="str">
        <x:f>IF(COUNTA($A452:$M452)=0,"",IF(OR($B452="",$C452="",$U452="Subscription"),"",IFERROR(ROUNDUP(($C452-$B452)/7,0),"")))</x:f>
      </x:c>
      <x:c r="W452" s="112" t="str">
        <x:f>IF(COUNTA($A452:$M452)=0,"",IF(OR($U452="Subscription",$U452=""),"",ROUND(IFERROR($Q452,0)-IFERROR($S452,0),2)))</x:f>
      </x:c>
      <x:c r="X452" s="144" t="str">
        <x:f>IF(COUNTA($A452:$M452)=0,"",IF(OR($U452="Subscription",$U452="Free Game",NOT(ISNUMBER($J452)),NOT(ISNUMBER($I452)),$J452=0,$I452=0,$I452&gt;$J452),"",$J452-$I452))</x:f>
      </x:c>
      <x:c r="Y452" s="116" t="str">
        <x:f>IF(COUNTA($A452:$M452)=0,"",IF(OR($U452="Subscription",$U452="Free Game",NOT(ISNUMBER($J452)),$J452=0,$X452=""),"",$X452/$J452))</x:f>
      </x:c>
      <x:c r="Z452" s="118" t="str">
        <x:f>IF(COUNTA($A452:$M452)=0,"",Instructions!$B$29+SUM($W$5:W452))</x:f>
      </x:c>
    </x:row>
    <x:row r="453" ht="30" customHeight="1">
      <x:c r="A453" s="477"/>
      <x:c r="B453" s="482"/>
      <x:c r="C453" s="482"/>
      <x:c r="D453" s="483"/>
      <x:c r="E453" s="483"/>
      <x:c r="F453" s="483"/>
      <x:c r="G453" s="484"/>
      <x:c r="H453" s="484"/>
      <x:c r="I453" s="485"/>
      <x:c r="J453" s="485"/>
      <x:c r="K453" s="484"/>
      <x:c r="L453" s="483"/>
      <x:c r="M453" s="477"/>
      <x:c r="N453" s="112" t="str">
        <x:f>IF(COUNTA($A453:$M453)=0,"",IF(OR(LOWER($F453&amp;"")="subscription",LOWER($F453&amp;"")="membership"),"",IF($G453="","",IF(ISNUMBER(SEARCH("non",LOWER($E453&amp;""))),$G453*0.85,$G453))))</x:f>
      </x:c>
      <x:c r="O453" s="112" t="str">
        <x:f>IF(COUNTA($A453:$M453)=0,"",IF(OR(LOWER($F453&amp;"")="subscription",LOWER($F453&amp;"")="membership"),"",IF(OR($N453="",$I453="",$I453=0),"",IFERROR($N453/$I453,""))))</x:f>
      </x:c>
      <x:c r="P453" s="112" t="str">
        <x:f>IF(COUNTA($A453:$M453)=0,"",IF(OR(LOWER($F453&amp;"")="subscription",LOWER($F453&amp;"")="membership"),"",IF(LOWER($L453&amp;"")="yes",0,IF($K453&lt;&gt;"",$K453,IF($O453&lt;&gt;"",$O453,"")))))</x:f>
      </x:c>
      <x:c r="Q453" s="112" t="str">
        <x:f>IF(COUNTA($A453:$M453)=0,"",IF(OR($U453="Subscription",$U453=""),"",IF($U453="Profit",ROUND($P453-$H453,2),0)))</x:f>
      </x:c>
      <x:c r="R453" s="112" t="str">
        <x:f>IF(COUNTA($A453:$M453)=0,"",IF(OR($U453="Subscription",$U453=""),"",IF($U453="Draw",$H453,0)))</x:f>
      </x:c>
      <x:c r="S453" s="112" t="str">
        <x:f>IF(COUNTA($A453:$M453)=0,"",IF(OR($U453="Subscription",$U453=""),"",IF($U453="Disqualified",$H453,0)))</x:f>
      </x:c>
      <x:c r="T453" s="116" t="str">
        <x:f>IF(COUNTA($A453:$M453)=0,"",IF(OR($U453="Subscription",$U453=""),"",IF($H453=0,0,IF($U453="Profit",$Q453/$H453,IF($U453="Disqualified",-$S453/$H453,0)))))</x:f>
      </x:c>
      <x:c r="U453" s="290" t="str">
        <x:f>IF(COUNTA($A453:$M453)=0,"",IF(OR(LOWER($F453&amp;"")="subscription",LOWER($F453&amp;"")="membership"),"Subscription",IF(LOWER($L453&amp;"")="yes","Disqualified",IF(OR(LOWER($F453&amp;"")="free game",LOWER($F453&amp;"")="free"),IF(AND(ISNUMBER($P453),ISNUMBER($H453),$P453&gt;$H453),"Profit","Free Game"),IF($P453="","",IF(ROUND(IFERROR(VALUE($P453),0)-IFERROR(VALUE($H453),0),2)&gt;0,"Profit","Draw"))))))</x:f>
      </x:c>
      <x:c r="V453" s="144" t="str">
        <x:f>IF(COUNTA($A453:$M453)=0,"",IF(OR($B453="",$C453="",$U453="Subscription"),"",IFERROR(ROUNDUP(($C453-$B453)/7,0),"")))</x:f>
      </x:c>
      <x:c r="W453" s="112" t="str">
        <x:f>IF(COUNTA($A453:$M453)=0,"",IF(OR($U453="Subscription",$U453=""),"",ROUND(IFERROR($Q453,0)-IFERROR($S453,0),2)))</x:f>
      </x:c>
      <x:c r="X453" s="144" t="str">
        <x:f>IF(COUNTA($A453:$M453)=0,"",IF(OR($U453="Subscription",$U453="Free Game",NOT(ISNUMBER($J453)),NOT(ISNUMBER($I453)),$J453=0,$I453=0,$I453&gt;$J453),"",$J453-$I453))</x:f>
      </x:c>
      <x:c r="Y453" s="116" t="str">
        <x:f>IF(COUNTA($A453:$M453)=0,"",IF(OR($U453="Subscription",$U453="Free Game",NOT(ISNUMBER($J453)),$J453=0,$X453=""),"",$X453/$J453))</x:f>
      </x:c>
      <x:c r="Z453" s="118" t="str">
        <x:f>IF(COUNTA($A453:$M453)=0,"",Instructions!$B$29+SUM($W$5:W453))</x:f>
      </x:c>
    </x:row>
    <x:row r="454" ht="30" customHeight="1">
      <x:c r="A454" s="477"/>
      <x:c r="B454" s="482"/>
      <x:c r="C454" s="482"/>
      <x:c r="D454" s="483"/>
      <x:c r="E454" s="483"/>
      <x:c r="F454" s="483"/>
      <x:c r="G454" s="484"/>
      <x:c r="H454" s="484"/>
      <x:c r="I454" s="485"/>
      <x:c r="J454" s="485"/>
      <x:c r="K454" s="484"/>
      <x:c r="L454" s="483"/>
      <x:c r="M454" s="477"/>
      <x:c r="N454" s="112" t="str">
        <x:f>IF(COUNTA($A454:$M454)=0,"",IF(OR(LOWER($F454&amp;"")="subscription",LOWER($F454&amp;"")="membership"),"",IF($G454="","",IF(ISNUMBER(SEARCH("non",LOWER($E454&amp;""))),$G454*0.85,$G454))))</x:f>
      </x:c>
      <x:c r="O454" s="112" t="str">
        <x:f>IF(COUNTA($A454:$M454)=0,"",IF(OR(LOWER($F454&amp;"")="subscription",LOWER($F454&amp;"")="membership"),"",IF(OR($N454="",$I454="",$I454=0),"",IFERROR($N454/$I454,""))))</x:f>
      </x:c>
      <x:c r="P454" s="112" t="str">
        <x:f>IF(COUNTA($A454:$M454)=0,"",IF(OR(LOWER($F454&amp;"")="subscription",LOWER($F454&amp;"")="membership"),"",IF(LOWER($L454&amp;"")="yes",0,IF($K454&lt;&gt;"",$K454,IF($O454&lt;&gt;"",$O454,"")))))</x:f>
      </x:c>
      <x:c r="Q454" s="112" t="str">
        <x:f>IF(COUNTA($A454:$M454)=0,"",IF(OR($U454="Subscription",$U454=""),"",IF($U454="Profit",ROUND($P454-$H454,2),0)))</x:f>
      </x:c>
      <x:c r="R454" s="112" t="str">
        <x:f>IF(COUNTA($A454:$M454)=0,"",IF(OR($U454="Subscription",$U454=""),"",IF($U454="Draw",$H454,0)))</x:f>
      </x:c>
      <x:c r="S454" s="112" t="str">
        <x:f>IF(COUNTA($A454:$M454)=0,"",IF(OR($U454="Subscription",$U454=""),"",IF($U454="Disqualified",$H454,0)))</x:f>
      </x:c>
      <x:c r="T454" s="116" t="str">
        <x:f>IF(COUNTA($A454:$M454)=0,"",IF(OR($U454="Subscription",$U454=""),"",IF($H454=0,0,IF($U454="Profit",$Q454/$H454,IF($U454="Disqualified",-$S454/$H454,0)))))</x:f>
      </x:c>
      <x:c r="U454" s="290" t="str">
        <x:f>IF(COUNTA($A454:$M454)=0,"",IF(OR(LOWER($F454&amp;"")="subscription",LOWER($F454&amp;"")="membership"),"Subscription",IF(LOWER($L454&amp;"")="yes","Disqualified",IF(OR(LOWER($F454&amp;"")="free game",LOWER($F454&amp;"")="free"),IF(AND(ISNUMBER($P454),ISNUMBER($H454),$P454&gt;$H454),"Profit","Free Game"),IF($P454="","",IF(ROUND(IFERROR(VALUE($P454),0)-IFERROR(VALUE($H454),0),2)&gt;0,"Profit","Draw"))))))</x:f>
      </x:c>
      <x:c r="V454" s="144" t="str">
        <x:f>IF(COUNTA($A454:$M454)=0,"",IF(OR($B454="",$C454="",$U454="Subscription"),"",IFERROR(ROUNDUP(($C454-$B454)/7,0),"")))</x:f>
      </x:c>
      <x:c r="W454" s="112" t="str">
        <x:f>IF(COUNTA($A454:$M454)=0,"",IF(OR($U454="Subscription",$U454=""),"",ROUND(IFERROR($Q454,0)-IFERROR($S454,0),2)))</x:f>
      </x:c>
      <x:c r="X454" s="144" t="str">
        <x:f>IF(COUNTA($A454:$M454)=0,"",IF(OR($U454="Subscription",$U454="Free Game",NOT(ISNUMBER($J454)),NOT(ISNUMBER($I454)),$J454=0,$I454=0,$I454&gt;$J454),"",$J454-$I454))</x:f>
      </x:c>
      <x:c r="Y454" s="116" t="str">
        <x:f>IF(COUNTA($A454:$M454)=0,"",IF(OR($U454="Subscription",$U454="Free Game",NOT(ISNUMBER($J454)),$J454=0,$X454=""),"",$X454/$J454))</x:f>
      </x:c>
      <x:c r="Z454" s="118" t="str">
        <x:f>IF(COUNTA($A454:$M454)=0,"",Instructions!$B$29+SUM($W$5:W454))</x:f>
      </x:c>
    </x:row>
    <x:row r="455" ht="30" customHeight="1">
      <x:c r="A455" s="477"/>
      <x:c r="B455" s="482"/>
      <x:c r="C455" s="482"/>
      <x:c r="D455" s="483"/>
      <x:c r="E455" s="483"/>
      <x:c r="F455" s="483"/>
      <x:c r="G455" s="484"/>
      <x:c r="H455" s="484"/>
      <x:c r="I455" s="485"/>
      <x:c r="J455" s="485"/>
      <x:c r="K455" s="484"/>
      <x:c r="L455" s="483"/>
      <x:c r="M455" s="477"/>
      <x:c r="N455" s="112" t="str">
        <x:f>IF(COUNTA($A455:$M455)=0,"",IF(OR(LOWER($F455&amp;"")="subscription",LOWER($F455&amp;"")="membership"),"",IF($G455="","",IF(ISNUMBER(SEARCH("non",LOWER($E455&amp;""))),$G455*0.85,$G455))))</x:f>
      </x:c>
      <x:c r="O455" s="112" t="str">
        <x:f>IF(COUNTA($A455:$M455)=0,"",IF(OR(LOWER($F455&amp;"")="subscription",LOWER($F455&amp;"")="membership"),"",IF(OR($N455="",$I455="",$I455=0),"",IFERROR($N455/$I455,""))))</x:f>
      </x:c>
      <x:c r="P455" s="112" t="str">
        <x:f>IF(COUNTA($A455:$M455)=0,"",IF(OR(LOWER($F455&amp;"")="subscription",LOWER($F455&amp;"")="membership"),"",IF(LOWER($L455&amp;"")="yes",0,IF($K455&lt;&gt;"",$K455,IF($O455&lt;&gt;"",$O455,"")))))</x:f>
      </x:c>
      <x:c r="Q455" s="112" t="str">
        <x:f>IF(COUNTA($A455:$M455)=0,"",IF(OR($U455="Subscription",$U455=""),"",IF($U455="Profit",ROUND($P455-$H455,2),0)))</x:f>
      </x:c>
      <x:c r="R455" s="112" t="str">
        <x:f>IF(COUNTA($A455:$M455)=0,"",IF(OR($U455="Subscription",$U455=""),"",IF($U455="Draw",$H455,0)))</x:f>
      </x:c>
      <x:c r="S455" s="112" t="str">
        <x:f>IF(COUNTA($A455:$M455)=0,"",IF(OR($U455="Subscription",$U455=""),"",IF($U455="Disqualified",$H455,0)))</x:f>
      </x:c>
      <x:c r="T455" s="116" t="str">
        <x:f>IF(COUNTA($A455:$M455)=0,"",IF(OR($U455="Subscription",$U455=""),"",IF($H455=0,0,IF($U455="Profit",$Q455/$H455,IF($U455="Disqualified",-$S455/$H455,0)))))</x:f>
      </x:c>
      <x:c r="U455" s="290" t="str">
        <x:f>IF(COUNTA($A455:$M455)=0,"",IF(OR(LOWER($F455&amp;"")="subscription",LOWER($F455&amp;"")="membership"),"Subscription",IF(LOWER($L455&amp;"")="yes","Disqualified",IF(OR(LOWER($F455&amp;"")="free game",LOWER($F455&amp;"")="free"),IF(AND(ISNUMBER($P455),ISNUMBER($H455),$P455&gt;$H455),"Profit","Free Game"),IF($P455="","",IF(ROUND(IFERROR(VALUE($P455),0)-IFERROR(VALUE($H455),0),2)&gt;0,"Profit","Draw"))))))</x:f>
      </x:c>
      <x:c r="V455" s="144" t="str">
        <x:f>IF(COUNTA($A455:$M455)=0,"",IF(OR($B455="",$C455="",$U455="Subscription"),"",IFERROR(ROUNDUP(($C455-$B455)/7,0),"")))</x:f>
      </x:c>
      <x:c r="W455" s="112" t="str">
        <x:f>IF(COUNTA($A455:$M455)=0,"",IF(OR($U455="Subscription",$U455=""),"",ROUND(IFERROR($Q455,0)-IFERROR($S455,0),2)))</x:f>
      </x:c>
      <x:c r="X455" s="144" t="str">
        <x:f>IF(COUNTA($A455:$M455)=0,"",IF(OR($U455="Subscription",$U455="Free Game",NOT(ISNUMBER($J455)),NOT(ISNUMBER($I455)),$J455=0,$I455=0,$I455&gt;$J455),"",$J455-$I455))</x:f>
      </x:c>
      <x:c r="Y455" s="116" t="str">
        <x:f>IF(COUNTA($A455:$M455)=0,"",IF(OR($U455="Subscription",$U455="Free Game",NOT(ISNUMBER($J455)),$J455=0,$X455=""),"",$X455/$J455))</x:f>
      </x:c>
      <x:c r="Z455" s="118" t="str">
        <x:f>IF(COUNTA($A455:$M455)=0,"",Instructions!$B$29+SUM($W$5:W455))</x:f>
      </x:c>
    </x:row>
    <x:row r="456" ht="30" customHeight="1">
      <x:c r="A456" s="477"/>
      <x:c r="B456" s="482"/>
      <x:c r="C456" s="482"/>
      <x:c r="D456" s="483"/>
      <x:c r="E456" s="483"/>
      <x:c r="F456" s="483"/>
      <x:c r="G456" s="484"/>
      <x:c r="H456" s="484"/>
      <x:c r="I456" s="485"/>
      <x:c r="J456" s="485"/>
      <x:c r="K456" s="484"/>
      <x:c r="L456" s="483"/>
      <x:c r="M456" s="477"/>
      <x:c r="N456" s="112" t="str">
        <x:f>IF(COUNTA($A456:$M456)=0,"",IF(OR(LOWER($F456&amp;"")="subscription",LOWER($F456&amp;"")="membership"),"",IF($G456="","",IF(ISNUMBER(SEARCH("non",LOWER($E456&amp;""))),$G456*0.85,$G456))))</x:f>
      </x:c>
      <x:c r="O456" s="112" t="str">
        <x:f>IF(COUNTA($A456:$M456)=0,"",IF(OR(LOWER($F456&amp;"")="subscription",LOWER($F456&amp;"")="membership"),"",IF(OR($N456="",$I456="",$I456=0),"",IFERROR($N456/$I456,""))))</x:f>
      </x:c>
      <x:c r="P456" s="112" t="str">
        <x:f>IF(COUNTA($A456:$M456)=0,"",IF(OR(LOWER($F456&amp;"")="subscription",LOWER($F456&amp;"")="membership"),"",IF(LOWER($L456&amp;"")="yes",0,IF($K456&lt;&gt;"",$K456,IF($O456&lt;&gt;"",$O456,"")))))</x:f>
      </x:c>
      <x:c r="Q456" s="112" t="str">
        <x:f>IF(COUNTA($A456:$M456)=0,"",IF(OR($U456="Subscription",$U456=""),"",IF($U456="Profit",ROUND($P456-$H456,2),0)))</x:f>
      </x:c>
      <x:c r="R456" s="112" t="str">
        <x:f>IF(COUNTA($A456:$M456)=0,"",IF(OR($U456="Subscription",$U456=""),"",IF($U456="Draw",$H456,0)))</x:f>
      </x:c>
      <x:c r="S456" s="112" t="str">
        <x:f>IF(COUNTA($A456:$M456)=0,"",IF(OR($U456="Subscription",$U456=""),"",IF($U456="Disqualified",$H456,0)))</x:f>
      </x:c>
      <x:c r="T456" s="116" t="str">
        <x:f>IF(COUNTA($A456:$M456)=0,"",IF(OR($U456="Subscription",$U456=""),"",IF($H456=0,0,IF($U456="Profit",$Q456/$H456,IF($U456="Disqualified",-$S456/$H456,0)))))</x:f>
      </x:c>
      <x:c r="U456" s="290" t="str">
        <x:f>IF(COUNTA($A456:$M456)=0,"",IF(OR(LOWER($F456&amp;"")="subscription",LOWER($F456&amp;"")="membership"),"Subscription",IF(LOWER($L456&amp;"")="yes","Disqualified",IF(OR(LOWER($F456&amp;"")="free game",LOWER($F456&amp;"")="free"),IF(AND(ISNUMBER($P456),ISNUMBER($H456),$P456&gt;$H456),"Profit","Free Game"),IF($P456="","",IF(ROUND(IFERROR(VALUE($P456),0)-IFERROR(VALUE($H456),0),2)&gt;0,"Profit","Draw"))))))</x:f>
      </x:c>
      <x:c r="V456" s="144" t="str">
        <x:f>IF(COUNTA($A456:$M456)=0,"",IF(OR($B456="",$C456="",$U456="Subscription"),"",IFERROR(ROUNDUP(($C456-$B456)/7,0),"")))</x:f>
      </x:c>
      <x:c r="W456" s="112" t="str">
        <x:f>IF(COUNTA($A456:$M456)=0,"",IF(OR($U456="Subscription",$U456=""),"",ROUND(IFERROR($Q456,0)-IFERROR($S456,0),2)))</x:f>
      </x:c>
      <x:c r="X456" s="144" t="str">
        <x:f>IF(COUNTA($A456:$M456)=0,"",IF(OR($U456="Subscription",$U456="Free Game",NOT(ISNUMBER($J456)),NOT(ISNUMBER($I456)),$J456=0,$I456=0,$I456&gt;$J456),"",$J456-$I456))</x:f>
      </x:c>
      <x:c r="Y456" s="116" t="str">
        <x:f>IF(COUNTA($A456:$M456)=0,"",IF(OR($U456="Subscription",$U456="Free Game",NOT(ISNUMBER($J456)),$J456=0,$X456=""),"",$X456/$J456))</x:f>
      </x:c>
      <x:c r="Z456" s="118" t="str">
        <x:f>IF(COUNTA($A456:$M456)=0,"",Instructions!$B$29+SUM($W$5:W456))</x:f>
      </x:c>
    </x:row>
    <x:row r="457" ht="30" customHeight="1">
      <x:c r="A457" s="477"/>
      <x:c r="B457" s="482"/>
      <x:c r="C457" s="482"/>
      <x:c r="D457" s="483"/>
      <x:c r="E457" s="483"/>
      <x:c r="F457" s="483"/>
      <x:c r="G457" s="484"/>
      <x:c r="H457" s="484"/>
      <x:c r="I457" s="485"/>
      <x:c r="J457" s="485"/>
      <x:c r="K457" s="484"/>
      <x:c r="L457" s="483"/>
      <x:c r="M457" s="477"/>
      <x:c r="N457" s="112" t="str">
        <x:f>IF(COUNTA($A457:$M457)=0,"",IF(OR(LOWER($F457&amp;"")="subscription",LOWER($F457&amp;"")="membership"),"",IF($G457="","",IF(ISNUMBER(SEARCH("non",LOWER($E457&amp;""))),$G457*0.85,$G457))))</x:f>
      </x:c>
      <x:c r="O457" s="112" t="str">
        <x:f>IF(COUNTA($A457:$M457)=0,"",IF(OR(LOWER($F457&amp;"")="subscription",LOWER($F457&amp;"")="membership"),"",IF(OR($N457="",$I457="",$I457=0),"",IFERROR($N457/$I457,""))))</x:f>
      </x:c>
      <x:c r="P457" s="112" t="str">
        <x:f>IF(COUNTA($A457:$M457)=0,"",IF(OR(LOWER($F457&amp;"")="subscription",LOWER($F457&amp;"")="membership"),"",IF(LOWER($L457&amp;"")="yes",0,IF($K457&lt;&gt;"",$K457,IF($O457&lt;&gt;"",$O457,"")))))</x:f>
      </x:c>
      <x:c r="Q457" s="112" t="str">
        <x:f>IF(COUNTA($A457:$M457)=0,"",IF(OR($U457="Subscription",$U457=""),"",IF($U457="Profit",ROUND($P457-$H457,2),0)))</x:f>
      </x:c>
      <x:c r="R457" s="112" t="str">
        <x:f>IF(COUNTA($A457:$M457)=0,"",IF(OR($U457="Subscription",$U457=""),"",IF($U457="Draw",$H457,0)))</x:f>
      </x:c>
      <x:c r="S457" s="112" t="str">
        <x:f>IF(COUNTA($A457:$M457)=0,"",IF(OR($U457="Subscription",$U457=""),"",IF($U457="Disqualified",$H457,0)))</x:f>
      </x:c>
      <x:c r="T457" s="116" t="str">
        <x:f>IF(COUNTA($A457:$M457)=0,"",IF(OR($U457="Subscription",$U457=""),"",IF($H457=0,0,IF($U457="Profit",$Q457/$H457,IF($U457="Disqualified",-$S457/$H457,0)))))</x:f>
      </x:c>
      <x:c r="U457" s="290" t="str">
        <x:f>IF(COUNTA($A457:$M457)=0,"",IF(OR(LOWER($F457&amp;"")="subscription",LOWER($F457&amp;"")="membership"),"Subscription",IF(LOWER($L457&amp;"")="yes","Disqualified",IF(OR(LOWER($F457&amp;"")="free game",LOWER($F457&amp;"")="free"),IF(AND(ISNUMBER($P457),ISNUMBER($H457),$P457&gt;$H457),"Profit","Free Game"),IF($P457="","",IF(ROUND(IFERROR(VALUE($P457),0)-IFERROR(VALUE($H457),0),2)&gt;0,"Profit","Draw"))))))</x:f>
      </x:c>
      <x:c r="V457" s="144" t="str">
        <x:f>IF(COUNTA($A457:$M457)=0,"",IF(OR($B457="",$C457="",$U457="Subscription"),"",IFERROR(ROUNDUP(($C457-$B457)/7,0),"")))</x:f>
      </x:c>
      <x:c r="W457" s="112" t="str">
        <x:f>IF(COUNTA($A457:$M457)=0,"",IF(OR($U457="Subscription",$U457=""),"",ROUND(IFERROR($Q457,0)-IFERROR($S457,0),2)))</x:f>
      </x:c>
      <x:c r="X457" s="144" t="str">
        <x:f>IF(COUNTA($A457:$M457)=0,"",IF(OR($U457="Subscription",$U457="Free Game",NOT(ISNUMBER($J457)),NOT(ISNUMBER($I457)),$J457=0,$I457=0,$I457&gt;$J457),"",$J457-$I457))</x:f>
      </x:c>
      <x:c r="Y457" s="116" t="str">
        <x:f>IF(COUNTA($A457:$M457)=0,"",IF(OR($U457="Subscription",$U457="Free Game",NOT(ISNUMBER($J457)),$J457=0,$X457=""),"",$X457/$J457))</x:f>
      </x:c>
      <x:c r="Z457" s="118" t="str">
        <x:f>IF(COUNTA($A457:$M457)=0,"",Instructions!$B$29+SUM($W$5:W457))</x:f>
      </x:c>
    </x:row>
    <x:row r="458" ht="30" customHeight="1">
      <x:c r="A458" s="477"/>
      <x:c r="B458" s="482"/>
      <x:c r="C458" s="482"/>
      <x:c r="D458" s="483"/>
      <x:c r="E458" s="483"/>
      <x:c r="F458" s="483"/>
      <x:c r="G458" s="484"/>
      <x:c r="H458" s="484"/>
      <x:c r="I458" s="485"/>
      <x:c r="J458" s="485"/>
      <x:c r="K458" s="484"/>
      <x:c r="L458" s="483"/>
      <x:c r="M458" s="477"/>
      <x:c r="N458" s="112" t="str">
        <x:f>IF(COUNTA($A458:$M458)=0,"",IF(OR(LOWER($F458&amp;"")="subscription",LOWER($F458&amp;"")="membership"),"",IF($G458="","",IF(ISNUMBER(SEARCH("non",LOWER($E458&amp;""))),$G458*0.85,$G458))))</x:f>
      </x:c>
      <x:c r="O458" s="112" t="str">
        <x:f>IF(COUNTA($A458:$M458)=0,"",IF(OR(LOWER($F458&amp;"")="subscription",LOWER($F458&amp;"")="membership"),"",IF(OR($N458="",$I458="",$I458=0),"",IFERROR($N458/$I458,""))))</x:f>
      </x:c>
      <x:c r="P458" s="112" t="str">
        <x:f>IF(COUNTA($A458:$M458)=0,"",IF(OR(LOWER($F458&amp;"")="subscription",LOWER($F458&amp;"")="membership"),"",IF(LOWER($L458&amp;"")="yes",0,IF($K458&lt;&gt;"",$K458,IF($O458&lt;&gt;"",$O458,"")))))</x:f>
      </x:c>
      <x:c r="Q458" s="112" t="str">
        <x:f>IF(COUNTA($A458:$M458)=0,"",IF(OR($U458="Subscription",$U458=""),"",IF($U458="Profit",ROUND($P458-$H458,2),0)))</x:f>
      </x:c>
      <x:c r="R458" s="112" t="str">
        <x:f>IF(COUNTA($A458:$M458)=0,"",IF(OR($U458="Subscription",$U458=""),"",IF($U458="Draw",$H458,0)))</x:f>
      </x:c>
      <x:c r="S458" s="112" t="str">
        <x:f>IF(COUNTA($A458:$M458)=0,"",IF(OR($U458="Subscription",$U458=""),"",IF($U458="Disqualified",$H458,0)))</x:f>
      </x:c>
      <x:c r="T458" s="116" t="str">
        <x:f>IF(COUNTA($A458:$M458)=0,"",IF(OR($U458="Subscription",$U458=""),"",IF($H458=0,0,IF($U458="Profit",$Q458/$H458,IF($U458="Disqualified",-$S458/$H458,0)))))</x:f>
      </x:c>
      <x:c r="U458" s="290" t="str">
        <x:f>IF(COUNTA($A458:$M458)=0,"",IF(OR(LOWER($F458&amp;"")="subscription",LOWER($F458&amp;"")="membership"),"Subscription",IF(LOWER($L458&amp;"")="yes","Disqualified",IF(OR(LOWER($F458&amp;"")="free game",LOWER($F458&amp;"")="free"),IF(AND(ISNUMBER($P458),ISNUMBER($H458),$P458&gt;$H458),"Profit","Free Game"),IF($P458="","",IF(ROUND(IFERROR(VALUE($P458),0)-IFERROR(VALUE($H458),0),2)&gt;0,"Profit","Draw"))))))</x:f>
      </x:c>
      <x:c r="V458" s="144" t="str">
        <x:f>IF(COUNTA($A458:$M458)=0,"",IF(OR($B458="",$C458="",$U458="Subscription"),"",IFERROR(ROUNDUP(($C458-$B458)/7,0),"")))</x:f>
      </x:c>
      <x:c r="W458" s="112" t="str">
        <x:f>IF(COUNTA($A458:$M458)=0,"",IF(OR($U458="Subscription",$U458=""),"",ROUND(IFERROR($Q458,0)-IFERROR($S458,0),2)))</x:f>
      </x:c>
      <x:c r="X458" s="144" t="str">
        <x:f>IF(COUNTA($A458:$M458)=0,"",IF(OR($U458="Subscription",$U458="Free Game",NOT(ISNUMBER($J458)),NOT(ISNUMBER($I458)),$J458=0,$I458=0,$I458&gt;$J458),"",$J458-$I458))</x:f>
      </x:c>
      <x:c r="Y458" s="116" t="str">
        <x:f>IF(COUNTA($A458:$M458)=0,"",IF(OR($U458="Subscription",$U458="Free Game",NOT(ISNUMBER($J458)),$J458=0,$X458=""),"",$X458/$J458))</x:f>
      </x:c>
      <x:c r="Z458" s="118" t="str">
        <x:f>IF(COUNTA($A458:$M458)=0,"",Instructions!$B$29+SUM($W$5:W458))</x:f>
      </x:c>
    </x:row>
    <x:row r="459" ht="30" customHeight="1">
      <x:c r="A459" s="477"/>
      <x:c r="B459" s="482"/>
      <x:c r="C459" s="482"/>
      <x:c r="D459" s="483"/>
      <x:c r="E459" s="483"/>
      <x:c r="F459" s="483"/>
      <x:c r="G459" s="484"/>
      <x:c r="H459" s="484"/>
      <x:c r="I459" s="485"/>
      <x:c r="J459" s="485"/>
      <x:c r="K459" s="484"/>
      <x:c r="L459" s="483"/>
      <x:c r="M459" s="477"/>
      <x:c r="N459" s="112" t="str">
        <x:f>IF(COUNTA($A459:$M459)=0,"",IF(OR(LOWER($F459&amp;"")="subscription",LOWER($F459&amp;"")="membership"),"",IF($G459="","",IF(ISNUMBER(SEARCH("non",LOWER($E459&amp;""))),$G459*0.85,$G459))))</x:f>
      </x:c>
      <x:c r="O459" s="112" t="str">
        <x:f>IF(COUNTA($A459:$M459)=0,"",IF(OR(LOWER($F459&amp;"")="subscription",LOWER($F459&amp;"")="membership"),"",IF(OR($N459="",$I459="",$I459=0),"",IFERROR($N459/$I459,""))))</x:f>
      </x:c>
      <x:c r="P459" s="112" t="str">
        <x:f>IF(COUNTA($A459:$M459)=0,"",IF(OR(LOWER($F459&amp;"")="subscription",LOWER($F459&amp;"")="membership"),"",IF(LOWER($L459&amp;"")="yes",0,IF($K459&lt;&gt;"",$K459,IF($O459&lt;&gt;"",$O459,"")))))</x:f>
      </x:c>
      <x:c r="Q459" s="112" t="str">
        <x:f>IF(COUNTA($A459:$M459)=0,"",IF(OR($U459="Subscription",$U459=""),"",IF($U459="Profit",ROUND($P459-$H459,2),0)))</x:f>
      </x:c>
      <x:c r="R459" s="112" t="str">
        <x:f>IF(COUNTA($A459:$M459)=0,"",IF(OR($U459="Subscription",$U459=""),"",IF($U459="Draw",$H459,0)))</x:f>
      </x:c>
      <x:c r="S459" s="112" t="str">
        <x:f>IF(COUNTA($A459:$M459)=0,"",IF(OR($U459="Subscription",$U459=""),"",IF($U459="Disqualified",$H459,0)))</x:f>
      </x:c>
      <x:c r="T459" s="116" t="str">
        <x:f>IF(COUNTA($A459:$M459)=0,"",IF(OR($U459="Subscription",$U459=""),"",IF($H459=0,0,IF($U459="Profit",$Q459/$H459,IF($U459="Disqualified",-$S459/$H459,0)))))</x:f>
      </x:c>
      <x:c r="U459" s="290" t="str">
        <x:f>IF(COUNTA($A459:$M459)=0,"",IF(OR(LOWER($F459&amp;"")="subscription",LOWER($F459&amp;"")="membership"),"Subscription",IF(LOWER($L459&amp;"")="yes","Disqualified",IF(OR(LOWER($F459&amp;"")="free game",LOWER($F459&amp;"")="free"),IF(AND(ISNUMBER($P459),ISNUMBER($H459),$P459&gt;$H459),"Profit","Free Game"),IF($P459="","",IF(ROUND(IFERROR(VALUE($P459),0)-IFERROR(VALUE($H459),0),2)&gt;0,"Profit","Draw"))))))</x:f>
      </x:c>
      <x:c r="V459" s="144" t="str">
        <x:f>IF(COUNTA($A459:$M459)=0,"",IF(OR($B459="",$C459="",$U459="Subscription"),"",IFERROR(ROUNDUP(($C459-$B459)/7,0),"")))</x:f>
      </x:c>
      <x:c r="W459" s="112" t="str">
        <x:f>IF(COUNTA($A459:$M459)=0,"",IF(OR($U459="Subscription",$U459=""),"",ROUND(IFERROR($Q459,0)-IFERROR($S459,0),2)))</x:f>
      </x:c>
      <x:c r="X459" s="144" t="str">
        <x:f>IF(COUNTA($A459:$M459)=0,"",IF(OR($U459="Subscription",$U459="Free Game",NOT(ISNUMBER($J459)),NOT(ISNUMBER($I459)),$J459=0,$I459=0,$I459&gt;$J459),"",$J459-$I459))</x:f>
      </x:c>
      <x:c r="Y459" s="116" t="str">
        <x:f>IF(COUNTA($A459:$M459)=0,"",IF(OR($U459="Subscription",$U459="Free Game",NOT(ISNUMBER($J459)),$J459=0,$X459=""),"",$X459/$J459))</x:f>
      </x:c>
      <x:c r="Z459" s="118" t="str">
        <x:f>IF(COUNTA($A459:$M459)=0,"",Instructions!$B$29+SUM($W$5:W459))</x:f>
      </x:c>
    </x:row>
    <x:row r="460" ht="30" customHeight="1">
      <x:c r="A460" s="477"/>
      <x:c r="B460" s="482"/>
      <x:c r="C460" s="482"/>
      <x:c r="D460" s="483"/>
      <x:c r="E460" s="483"/>
      <x:c r="F460" s="483"/>
      <x:c r="G460" s="484"/>
      <x:c r="H460" s="484"/>
      <x:c r="I460" s="485"/>
      <x:c r="J460" s="485"/>
      <x:c r="K460" s="484"/>
      <x:c r="L460" s="483"/>
      <x:c r="M460" s="477"/>
      <x:c r="N460" s="112" t="str">
        <x:f>IF(COUNTA($A460:$M460)=0,"",IF(OR(LOWER($F460&amp;"")="subscription",LOWER($F460&amp;"")="membership"),"",IF($G460="","",IF(ISNUMBER(SEARCH("non",LOWER($E460&amp;""))),$G460*0.85,$G460))))</x:f>
      </x:c>
      <x:c r="O460" s="112" t="str">
        <x:f>IF(COUNTA($A460:$M460)=0,"",IF(OR(LOWER($F460&amp;"")="subscription",LOWER($F460&amp;"")="membership"),"",IF(OR($N460="",$I460="",$I460=0),"",IFERROR($N460/$I460,""))))</x:f>
      </x:c>
      <x:c r="P460" s="112" t="str">
        <x:f>IF(COUNTA($A460:$M460)=0,"",IF(OR(LOWER($F460&amp;"")="subscription",LOWER($F460&amp;"")="membership"),"",IF(LOWER($L460&amp;"")="yes",0,IF($K460&lt;&gt;"",$K460,IF($O460&lt;&gt;"",$O460,"")))))</x:f>
      </x:c>
      <x:c r="Q460" s="112" t="str">
        <x:f>IF(COUNTA($A460:$M460)=0,"",IF(OR($U460="Subscription",$U460=""),"",IF($U460="Profit",ROUND($P460-$H460,2),0)))</x:f>
      </x:c>
      <x:c r="R460" s="112" t="str">
        <x:f>IF(COUNTA($A460:$M460)=0,"",IF(OR($U460="Subscription",$U460=""),"",IF($U460="Draw",$H460,0)))</x:f>
      </x:c>
      <x:c r="S460" s="112" t="str">
        <x:f>IF(COUNTA($A460:$M460)=0,"",IF(OR($U460="Subscription",$U460=""),"",IF($U460="Disqualified",$H460,0)))</x:f>
      </x:c>
      <x:c r="T460" s="116" t="str">
        <x:f>IF(COUNTA($A460:$M460)=0,"",IF(OR($U460="Subscription",$U460=""),"",IF($H460=0,0,IF($U460="Profit",$Q460/$H460,IF($U460="Disqualified",-$S460/$H460,0)))))</x:f>
      </x:c>
      <x:c r="U460" s="290" t="str">
        <x:f>IF(COUNTA($A460:$M460)=0,"",IF(OR(LOWER($F460&amp;"")="subscription",LOWER($F460&amp;"")="membership"),"Subscription",IF(LOWER($L460&amp;"")="yes","Disqualified",IF(OR(LOWER($F460&amp;"")="free game",LOWER($F460&amp;"")="free"),IF(AND(ISNUMBER($P460),ISNUMBER($H460),$P460&gt;$H460),"Profit","Free Game"),IF($P460="","",IF(ROUND(IFERROR(VALUE($P460),0)-IFERROR(VALUE($H460),0),2)&gt;0,"Profit","Draw"))))))</x:f>
      </x:c>
      <x:c r="V460" s="144" t="str">
        <x:f>IF(COUNTA($A460:$M460)=0,"",IF(OR($B460="",$C460="",$U460="Subscription"),"",IFERROR(ROUNDUP(($C460-$B460)/7,0),"")))</x:f>
      </x:c>
      <x:c r="W460" s="112" t="str">
        <x:f>IF(COUNTA($A460:$M460)=0,"",IF(OR($U460="Subscription",$U460=""),"",ROUND(IFERROR($Q460,0)-IFERROR($S460,0),2)))</x:f>
      </x:c>
      <x:c r="X460" s="144" t="str">
        <x:f>IF(COUNTA($A460:$M460)=0,"",IF(OR($U460="Subscription",$U460="Free Game",NOT(ISNUMBER($J460)),NOT(ISNUMBER($I460)),$J460=0,$I460=0,$I460&gt;$J460),"",$J460-$I460))</x:f>
      </x:c>
      <x:c r="Y460" s="116" t="str">
        <x:f>IF(COUNTA($A460:$M460)=0,"",IF(OR($U460="Subscription",$U460="Free Game",NOT(ISNUMBER($J460)),$J460=0,$X460=""),"",$X460/$J460))</x:f>
      </x:c>
      <x:c r="Z460" s="118" t="str">
        <x:f>IF(COUNTA($A460:$M460)=0,"",Instructions!$B$29+SUM($W$5:W460))</x:f>
      </x:c>
    </x:row>
    <x:row r="461" ht="30" customHeight="1">
      <x:c r="A461" s="477"/>
      <x:c r="B461" s="482"/>
      <x:c r="C461" s="482"/>
      <x:c r="D461" s="483"/>
      <x:c r="E461" s="483"/>
      <x:c r="F461" s="483"/>
      <x:c r="G461" s="484"/>
      <x:c r="H461" s="484"/>
      <x:c r="I461" s="485"/>
      <x:c r="J461" s="485"/>
      <x:c r="K461" s="484"/>
      <x:c r="L461" s="483"/>
      <x:c r="M461" s="477"/>
      <x:c r="N461" s="112" t="str">
        <x:f>IF(COUNTA($A461:$M461)=0,"",IF(OR(LOWER($F461&amp;"")="subscription",LOWER($F461&amp;"")="membership"),"",IF($G461="","",IF(ISNUMBER(SEARCH("non",LOWER($E461&amp;""))),$G461*0.85,$G461))))</x:f>
      </x:c>
      <x:c r="O461" s="112" t="str">
        <x:f>IF(COUNTA($A461:$M461)=0,"",IF(OR(LOWER($F461&amp;"")="subscription",LOWER($F461&amp;"")="membership"),"",IF(OR($N461="",$I461="",$I461=0),"",IFERROR($N461/$I461,""))))</x:f>
      </x:c>
      <x:c r="P461" s="112" t="str">
        <x:f>IF(COUNTA($A461:$M461)=0,"",IF(OR(LOWER($F461&amp;"")="subscription",LOWER($F461&amp;"")="membership"),"",IF(LOWER($L461&amp;"")="yes",0,IF($K461&lt;&gt;"",$K461,IF($O461&lt;&gt;"",$O461,"")))))</x:f>
      </x:c>
      <x:c r="Q461" s="112" t="str">
        <x:f>IF(COUNTA($A461:$M461)=0,"",IF(OR($U461="Subscription",$U461=""),"",IF($U461="Profit",ROUND($P461-$H461,2),0)))</x:f>
      </x:c>
      <x:c r="R461" s="112" t="str">
        <x:f>IF(COUNTA($A461:$M461)=0,"",IF(OR($U461="Subscription",$U461=""),"",IF($U461="Draw",$H461,0)))</x:f>
      </x:c>
      <x:c r="S461" s="112" t="str">
        <x:f>IF(COUNTA($A461:$M461)=0,"",IF(OR($U461="Subscription",$U461=""),"",IF($U461="Disqualified",$H461,0)))</x:f>
      </x:c>
      <x:c r="T461" s="116" t="str">
        <x:f>IF(COUNTA($A461:$M461)=0,"",IF(OR($U461="Subscription",$U461=""),"",IF($H461=0,0,IF($U461="Profit",$Q461/$H461,IF($U461="Disqualified",-$S461/$H461,0)))))</x:f>
      </x:c>
      <x:c r="U461" s="290" t="str">
        <x:f>IF(COUNTA($A461:$M461)=0,"",IF(OR(LOWER($F461&amp;"")="subscription",LOWER($F461&amp;"")="membership"),"Subscription",IF(LOWER($L461&amp;"")="yes","Disqualified",IF(OR(LOWER($F461&amp;"")="free game",LOWER($F461&amp;"")="free"),IF(AND(ISNUMBER($P461),ISNUMBER($H461),$P461&gt;$H461),"Profit","Free Game"),IF($P461="","",IF(ROUND(IFERROR(VALUE($P461),0)-IFERROR(VALUE($H461),0),2)&gt;0,"Profit","Draw"))))))</x:f>
      </x:c>
      <x:c r="V461" s="144" t="str">
        <x:f>IF(COUNTA($A461:$M461)=0,"",IF(OR($B461="",$C461="",$U461="Subscription"),"",IFERROR(ROUNDUP(($C461-$B461)/7,0),"")))</x:f>
      </x:c>
      <x:c r="W461" s="112" t="str">
        <x:f>IF(COUNTA($A461:$M461)=0,"",IF(OR($U461="Subscription",$U461=""),"",ROUND(IFERROR($Q461,0)-IFERROR($S461,0),2)))</x:f>
      </x:c>
      <x:c r="X461" s="144" t="str">
        <x:f>IF(COUNTA($A461:$M461)=0,"",IF(OR($U461="Subscription",$U461="Free Game",NOT(ISNUMBER($J461)),NOT(ISNUMBER($I461)),$J461=0,$I461=0,$I461&gt;$J461),"",$J461-$I461))</x:f>
      </x:c>
      <x:c r="Y461" s="116" t="str">
        <x:f>IF(COUNTA($A461:$M461)=0,"",IF(OR($U461="Subscription",$U461="Free Game",NOT(ISNUMBER($J461)),$J461=0,$X461=""),"",$X461/$J461))</x:f>
      </x:c>
      <x:c r="Z461" s="118" t="str">
        <x:f>IF(COUNTA($A461:$M461)=0,"",Instructions!$B$29+SUM($W$5:W461))</x:f>
      </x:c>
    </x:row>
    <x:row r="462" ht="30" customHeight="1">
      <x:c r="A462" s="477"/>
      <x:c r="B462" s="482"/>
      <x:c r="C462" s="482"/>
      <x:c r="D462" s="483"/>
      <x:c r="E462" s="483"/>
      <x:c r="F462" s="483"/>
      <x:c r="G462" s="484"/>
      <x:c r="H462" s="484"/>
      <x:c r="I462" s="485"/>
      <x:c r="J462" s="485"/>
      <x:c r="K462" s="484"/>
      <x:c r="L462" s="483"/>
      <x:c r="M462" s="477"/>
      <x:c r="N462" s="112" t="str">
        <x:f>IF(COUNTA($A462:$M462)=0,"",IF(OR(LOWER($F462&amp;"")="subscription",LOWER($F462&amp;"")="membership"),"",IF($G462="","",IF(ISNUMBER(SEARCH("non",LOWER($E462&amp;""))),$G462*0.85,$G462))))</x:f>
      </x:c>
      <x:c r="O462" s="112" t="str">
        <x:f>IF(COUNTA($A462:$M462)=0,"",IF(OR(LOWER($F462&amp;"")="subscription",LOWER($F462&amp;"")="membership"),"",IF(OR($N462="",$I462="",$I462=0),"",IFERROR($N462/$I462,""))))</x:f>
      </x:c>
      <x:c r="P462" s="112" t="str">
        <x:f>IF(COUNTA($A462:$M462)=0,"",IF(OR(LOWER($F462&amp;"")="subscription",LOWER($F462&amp;"")="membership"),"",IF(LOWER($L462&amp;"")="yes",0,IF($K462&lt;&gt;"",$K462,IF($O462&lt;&gt;"",$O462,"")))))</x:f>
      </x:c>
      <x:c r="Q462" s="112" t="str">
        <x:f>IF(COUNTA($A462:$M462)=0,"",IF(OR($U462="Subscription",$U462=""),"",IF($U462="Profit",ROUND($P462-$H462,2),0)))</x:f>
      </x:c>
      <x:c r="R462" s="112" t="str">
        <x:f>IF(COUNTA($A462:$M462)=0,"",IF(OR($U462="Subscription",$U462=""),"",IF($U462="Draw",$H462,0)))</x:f>
      </x:c>
      <x:c r="S462" s="112" t="str">
        <x:f>IF(COUNTA($A462:$M462)=0,"",IF(OR($U462="Subscription",$U462=""),"",IF($U462="Disqualified",$H462,0)))</x:f>
      </x:c>
      <x:c r="T462" s="116" t="str">
        <x:f>IF(COUNTA($A462:$M462)=0,"",IF(OR($U462="Subscription",$U462=""),"",IF($H462=0,0,IF($U462="Profit",$Q462/$H462,IF($U462="Disqualified",-$S462/$H462,0)))))</x:f>
      </x:c>
      <x:c r="U462" s="290" t="str">
        <x:f>IF(COUNTA($A462:$M462)=0,"",IF(OR(LOWER($F462&amp;"")="subscription",LOWER($F462&amp;"")="membership"),"Subscription",IF(LOWER($L462&amp;"")="yes","Disqualified",IF(OR(LOWER($F462&amp;"")="free game",LOWER($F462&amp;"")="free"),IF(AND(ISNUMBER($P462),ISNUMBER($H462),$P462&gt;$H462),"Profit","Free Game"),IF($P462="","",IF(ROUND(IFERROR(VALUE($P462),0)-IFERROR(VALUE($H462),0),2)&gt;0,"Profit","Draw"))))))</x:f>
      </x:c>
      <x:c r="V462" s="144" t="str">
        <x:f>IF(COUNTA($A462:$M462)=0,"",IF(OR($B462="",$C462="",$U462="Subscription"),"",IFERROR(ROUNDUP(($C462-$B462)/7,0),"")))</x:f>
      </x:c>
      <x:c r="W462" s="112" t="str">
        <x:f>IF(COUNTA($A462:$M462)=0,"",IF(OR($U462="Subscription",$U462=""),"",ROUND(IFERROR($Q462,0)-IFERROR($S462,0),2)))</x:f>
      </x:c>
      <x:c r="X462" s="144" t="str">
        <x:f>IF(COUNTA($A462:$M462)=0,"",IF(OR($U462="Subscription",$U462="Free Game",NOT(ISNUMBER($J462)),NOT(ISNUMBER($I462)),$J462=0,$I462=0,$I462&gt;$J462),"",$J462-$I462))</x:f>
      </x:c>
      <x:c r="Y462" s="116" t="str">
        <x:f>IF(COUNTA($A462:$M462)=0,"",IF(OR($U462="Subscription",$U462="Free Game",NOT(ISNUMBER($J462)),$J462=0,$X462=""),"",$X462/$J462))</x:f>
      </x:c>
      <x:c r="Z462" s="118" t="str">
        <x:f>IF(COUNTA($A462:$M462)=0,"",Instructions!$B$29+SUM($W$5:W462))</x:f>
      </x:c>
    </x:row>
    <x:row r="463" ht="30" customHeight="1">
      <x:c r="A463" s="477"/>
      <x:c r="B463" s="482"/>
      <x:c r="C463" s="482"/>
      <x:c r="D463" s="483"/>
      <x:c r="E463" s="483"/>
      <x:c r="F463" s="483"/>
      <x:c r="G463" s="484"/>
      <x:c r="H463" s="484"/>
      <x:c r="I463" s="485"/>
      <x:c r="J463" s="485"/>
      <x:c r="K463" s="484"/>
      <x:c r="L463" s="483"/>
      <x:c r="M463" s="477"/>
      <x:c r="N463" s="112" t="str">
        <x:f>IF(COUNTA($A463:$M463)=0,"",IF(OR(LOWER($F463&amp;"")="subscription",LOWER($F463&amp;"")="membership"),"",IF($G463="","",IF(ISNUMBER(SEARCH("non",LOWER($E463&amp;""))),$G463*0.85,$G463))))</x:f>
      </x:c>
      <x:c r="O463" s="112" t="str">
        <x:f>IF(COUNTA($A463:$M463)=0,"",IF(OR(LOWER($F463&amp;"")="subscription",LOWER($F463&amp;"")="membership"),"",IF(OR($N463="",$I463="",$I463=0),"",IFERROR($N463/$I463,""))))</x:f>
      </x:c>
      <x:c r="P463" s="112" t="str">
        <x:f>IF(COUNTA($A463:$M463)=0,"",IF(OR(LOWER($F463&amp;"")="subscription",LOWER($F463&amp;"")="membership"),"",IF(LOWER($L463&amp;"")="yes",0,IF($K463&lt;&gt;"",$K463,IF($O463&lt;&gt;"",$O463,"")))))</x:f>
      </x:c>
      <x:c r="Q463" s="112" t="str">
        <x:f>IF(COUNTA($A463:$M463)=0,"",IF(OR($U463="Subscription",$U463=""),"",IF($U463="Profit",ROUND($P463-$H463,2),0)))</x:f>
      </x:c>
      <x:c r="R463" s="112" t="str">
        <x:f>IF(COUNTA($A463:$M463)=0,"",IF(OR($U463="Subscription",$U463=""),"",IF($U463="Draw",$H463,0)))</x:f>
      </x:c>
      <x:c r="S463" s="112" t="str">
        <x:f>IF(COUNTA($A463:$M463)=0,"",IF(OR($U463="Subscription",$U463=""),"",IF($U463="Disqualified",$H463,0)))</x:f>
      </x:c>
      <x:c r="T463" s="116" t="str">
        <x:f>IF(COUNTA($A463:$M463)=0,"",IF(OR($U463="Subscription",$U463=""),"",IF($H463=0,0,IF($U463="Profit",$Q463/$H463,IF($U463="Disqualified",-$S463/$H463,0)))))</x:f>
      </x:c>
      <x:c r="U463" s="290" t="str">
        <x:f>IF(COUNTA($A463:$M463)=0,"",IF(OR(LOWER($F463&amp;"")="subscription",LOWER($F463&amp;"")="membership"),"Subscription",IF(LOWER($L463&amp;"")="yes","Disqualified",IF(OR(LOWER($F463&amp;"")="free game",LOWER($F463&amp;"")="free"),IF(AND(ISNUMBER($P463),ISNUMBER($H463),$P463&gt;$H463),"Profit","Free Game"),IF($P463="","",IF(ROUND(IFERROR(VALUE($P463),0)-IFERROR(VALUE($H463),0),2)&gt;0,"Profit","Draw"))))))</x:f>
      </x:c>
      <x:c r="V463" s="144" t="str">
        <x:f>IF(COUNTA($A463:$M463)=0,"",IF(OR($B463="",$C463="",$U463="Subscription"),"",IFERROR(ROUNDUP(($C463-$B463)/7,0),"")))</x:f>
      </x:c>
      <x:c r="W463" s="112" t="str">
        <x:f>IF(COUNTA($A463:$M463)=0,"",IF(OR($U463="Subscription",$U463=""),"",ROUND(IFERROR($Q463,0)-IFERROR($S463,0),2)))</x:f>
      </x:c>
      <x:c r="X463" s="144" t="str">
        <x:f>IF(COUNTA($A463:$M463)=0,"",IF(OR($U463="Subscription",$U463="Free Game",NOT(ISNUMBER($J463)),NOT(ISNUMBER($I463)),$J463=0,$I463=0,$I463&gt;$J463),"",$J463-$I463))</x:f>
      </x:c>
      <x:c r="Y463" s="116" t="str">
        <x:f>IF(COUNTA($A463:$M463)=0,"",IF(OR($U463="Subscription",$U463="Free Game",NOT(ISNUMBER($J463)),$J463=0,$X463=""),"",$X463/$J463))</x:f>
      </x:c>
      <x:c r="Z463" s="118" t="str">
        <x:f>IF(COUNTA($A463:$M463)=0,"",Instructions!$B$29+SUM($W$5:W463))</x:f>
      </x:c>
    </x:row>
    <x:row r="464" ht="30" customHeight="1">
      <x:c r="A464" s="477"/>
      <x:c r="B464" s="482"/>
      <x:c r="C464" s="482"/>
      <x:c r="D464" s="483"/>
      <x:c r="E464" s="483"/>
      <x:c r="F464" s="483"/>
      <x:c r="G464" s="484"/>
      <x:c r="H464" s="484"/>
      <x:c r="I464" s="485"/>
      <x:c r="J464" s="485"/>
      <x:c r="K464" s="484"/>
      <x:c r="L464" s="483"/>
      <x:c r="M464" s="477"/>
      <x:c r="N464" s="112" t="str">
        <x:f>IF(COUNTA($A464:$M464)=0,"",IF(OR(LOWER($F464&amp;"")="subscription",LOWER($F464&amp;"")="membership"),"",IF($G464="","",IF(ISNUMBER(SEARCH("non",LOWER($E464&amp;""))),$G464*0.85,$G464))))</x:f>
      </x:c>
      <x:c r="O464" s="112" t="str">
        <x:f>IF(COUNTA($A464:$M464)=0,"",IF(OR(LOWER($F464&amp;"")="subscription",LOWER($F464&amp;"")="membership"),"",IF(OR($N464="",$I464="",$I464=0),"",IFERROR($N464/$I464,""))))</x:f>
      </x:c>
      <x:c r="P464" s="112" t="str">
        <x:f>IF(COUNTA($A464:$M464)=0,"",IF(OR(LOWER($F464&amp;"")="subscription",LOWER($F464&amp;"")="membership"),"",IF(LOWER($L464&amp;"")="yes",0,IF($K464&lt;&gt;"",$K464,IF($O464&lt;&gt;"",$O464,"")))))</x:f>
      </x:c>
      <x:c r="Q464" s="112" t="str">
        <x:f>IF(COUNTA($A464:$M464)=0,"",IF(OR($U464="Subscription",$U464=""),"",IF($U464="Profit",ROUND($P464-$H464,2),0)))</x:f>
      </x:c>
      <x:c r="R464" s="112" t="str">
        <x:f>IF(COUNTA($A464:$M464)=0,"",IF(OR($U464="Subscription",$U464=""),"",IF($U464="Draw",$H464,0)))</x:f>
      </x:c>
      <x:c r="S464" s="112" t="str">
        <x:f>IF(COUNTA($A464:$M464)=0,"",IF(OR($U464="Subscription",$U464=""),"",IF($U464="Disqualified",$H464,0)))</x:f>
      </x:c>
      <x:c r="T464" s="116" t="str">
        <x:f>IF(COUNTA($A464:$M464)=0,"",IF(OR($U464="Subscription",$U464=""),"",IF($H464=0,0,IF($U464="Profit",$Q464/$H464,IF($U464="Disqualified",-$S464/$H464,0)))))</x:f>
      </x:c>
      <x:c r="U464" s="290" t="str">
        <x:f>IF(COUNTA($A464:$M464)=0,"",IF(OR(LOWER($F464&amp;"")="subscription",LOWER($F464&amp;"")="membership"),"Subscription",IF(LOWER($L464&amp;"")="yes","Disqualified",IF(OR(LOWER($F464&amp;"")="free game",LOWER($F464&amp;"")="free"),IF(AND(ISNUMBER($P464),ISNUMBER($H464),$P464&gt;$H464),"Profit","Free Game"),IF($P464="","",IF(ROUND(IFERROR(VALUE($P464),0)-IFERROR(VALUE($H464),0),2)&gt;0,"Profit","Draw"))))))</x:f>
      </x:c>
      <x:c r="V464" s="144" t="str">
        <x:f>IF(COUNTA($A464:$M464)=0,"",IF(OR($B464="",$C464="",$U464="Subscription"),"",IFERROR(ROUNDUP(($C464-$B464)/7,0),"")))</x:f>
      </x:c>
      <x:c r="W464" s="112" t="str">
        <x:f>IF(COUNTA($A464:$M464)=0,"",IF(OR($U464="Subscription",$U464=""),"",ROUND(IFERROR($Q464,0)-IFERROR($S464,0),2)))</x:f>
      </x:c>
      <x:c r="X464" s="144" t="str">
        <x:f>IF(COUNTA($A464:$M464)=0,"",IF(OR($U464="Subscription",$U464="Free Game",NOT(ISNUMBER($J464)),NOT(ISNUMBER($I464)),$J464=0,$I464=0,$I464&gt;$J464),"",$J464-$I464))</x:f>
      </x:c>
      <x:c r="Y464" s="116" t="str">
        <x:f>IF(COUNTA($A464:$M464)=0,"",IF(OR($U464="Subscription",$U464="Free Game",NOT(ISNUMBER($J464)),$J464=0,$X464=""),"",$X464/$J464))</x:f>
      </x:c>
      <x:c r="Z464" s="118" t="str">
        <x:f>IF(COUNTA($A464:$M464)=0,"",Instructions!$B$29+SUM($W$5:W464))</x:f>
      </x:c>
    </x:row>
    <x:row r="465" ht="30" customHeight="1">
      <x:c r="A465" s="477"/>
      <x:c r="B465" s="482"/>
      <x:c r="C465" s="482"/>
      <x:c r="D465" s="483"/>
      <x:c r="E465" s="483"/>
      <x:c r="F465" s="483"/>
      <x:c r="G465" s="484"/>
      <x:c r="H465" s="484"/>
      <x:c r="I465" s="485"/>
      <x:c r="J465" s="485"/>
      <x:c r="K465" s="484"/>
      <x:c r="L465" s="483"/>
      <x:c r="M465" s="477"/>
      <x:c r="N465" s="112" t="str">
        <x:f>IF(COUNTA($A465:$M465)=0,"",IF(OR(LOWER($F465&amp;"")="subscription",LOWER($F465&amp;"")="membership"),"",IF($G465="","",IF(ISNUMBER(SEARCH("non",LOWER($E465&amp;""))),$G465*0.85,$G465))))</x:f>
      </x:c>
      <x:c r="O465" s="112" t="str">
        <x:f>IF(COUNTA($A465:$M465)=0,"",IF(OR(LOWER($F465&amp;"")="subscription",LOWER($F465&amp;"")="membership"),"",IF(OR($N465="",$I465="",$I465=0),"",IFERROR($N465/$I465,""))))</x:f>
      </x:c>
      <x:c r="P465" s="112" t="str">
        <x:f>IF(COUNTA($A465:$M465)=0,"",IF(OR(LOWER($F465&amp;"")="subscription",LOWER($F465&amp;"")="membership"),"",IF(LOWER($L465&amp;"")="yes",0,IF($K465&lt;&gt;"",$K465,IF($O465&lt;&gt;"",$O465,"")))))</x:f>
      </x:c>
      <x:c r="Q465" s="112" t="str">
        <x:f>IF(COUNTA($A465:$M465)=0,"",IF(OR($U465="Subscription",$U465=""),"",IF($U465="Profit",ROUND($P465-$H465,2),0)))</x:f>
      </x:c>
      <x:c r="R465" s="112" t="str">
        <x:f>IF(COUNTA($A465:$M465)=0,"",IF(OR($U465="Subscription",$U465=""),"",IF($U465="Draw",$H465,0)))</x:f>
      </x:c>
      <x:c r="S465" s="112" t="str">
        <x:f>IF(COUNTA($A465:$M465)=0,"",IF(OR($U465="Subscription",$U465=""),"",IF($U465="Disqualified",$H465,0)))</x:f>
      </x:c>
      <x:c r="T465" s="116" t="str">
        <x:f>IF(COUNTA($A465:$M465)=0,"",IF(OR($U465="Subscription",$U465=""),"",IF($H465=0,0,IF($U465="Profit",$Q465/$H465,IF($U465="Disqualified",-$S465/$H465,0)))))</x:f>
      </x:c>
      <x:c r="U465" s="290" t="str">
        <x:f>IF(COUNTA($A465:$M465)=0,"",IF(OR(LOWER($F465&amp;"")="subscription",LOWER($F465&amp;"")="membership"),"Subscription",IF(LOWER($L465&amp;"")="yes","Disqualified",IF(OR(LOWER($F465&amp;"")="free game",LOWER($F465&amp;"")="free"),IF(AND(ISNUMBER($P465),ISNUMBER($H465),$P465&gt;$H465),"Profit","Free Game"),IF($P465="","",IF(ROUND(IFERROR(VALUE($P465),0)-IFERROR(VALUE($H465),0),2)&gt;0,"Profit","Draw"))))))</x:f>
      </x:c>
      <x:c r="V465" s="144" t="str">
        <x:f>IF(COUNTA($A465:$M465)=0,"",IF(OR($B465="",$C465="",$U465="Subscription"),"",IFERROR(ROUNDUP(($C465-$B465)/7,0),"")))</x:f>
      </x:c>
      <x:c r="W465" s="112" t="str">
        <x:f>IF(COUNTA($A465:$M465)=0,"",IF(OR($U465="Subscription",$U465=""),"",ROUND(IFERROR($Q465,0)-IFERROR($S465,0),2)))</x:f>
      </x:c>
      <x:c r="X465" s="144" t="str">
        <x:f>IF(COUNTA($A465:$M465)=0,"",IF(OR($U465="Subscription",$U465="Free Game",NOT(ISNUMBER($J465)),NOT(ISNUMBER($I465)),$J465=0,$I465=0,$I465&gt;$J465),"",$J465-$I465))</x:f>
      </x:c>
      <x:c r="Y465" s="116" t="str">
        <x:f>IF(COUNTA($A465:$M465)=0,"",IF(OR($U465="Subscription",$U465="Free Game",NOT(ISNUMBER($J465)),$J465=0,$X465=""),"",$X465/$J465))</x:f>
      </x:c>
      <x:c r="Z465" s="118" t="str">
        <x:f>IF(COUNTA($A465:$M465)=0,"",Instructions!$B$29+SUM($W$5:W465))</x:f>
      </x:c>
    </x:row>
    <x:row r="466" ht="30" customHeight="1">
      <x:c r="A466" s="477"/>
      <x:c r="B466" s="482"/>
      <x:c r="C466" s="482"/>
      <x:c r="D466" s="483"/>
      <x:c r="E466" s="483"/>
      <x:c r="F466" s="483"/>
      <x:c r="G466" s="484"/>
      <x:c r="H466" s="484"/>
      <x:c r="I466" s="485"/>
      <x:c r="J466" s="485"/>
      <x:c r="K466" s="484"/>
      <x:c r="L466" s="483"/>
      <x:c r="M466" s="477"/>
      <x:c r="N466" s="112" t="str">
        <x:f>IF(COUNTA($A466:$M466)=0,"",IF(OR(LOWER($F466&amp;"")="subscription",LOWER($F466&amp;"")="membership"),"",IF($G466="","",IF(ISNUMBER(SEARCH("non",LOWER($E466&amp;""))),$G466*0.85,$G466))))</x:f>
      </x:c>
      <x:c r="O466" s="112" t="str">
        <x:f>IF(COUNTA($A466:$M466)=0,"",IF(OR(LOWER($F466&amp;"")="subscription",LOWER($F466&amp;"")="membership"),"",IF(OR($N466="",$I466="",$I466=0),"",IFERROR($N466/$I466,""))))</x:f>
      </x:c>
      <x:c r="P466" s="112" t="str">
        <x:f>IF(COUNTA($A466:$M466)=0,"",IF(OR(LOWER($F466&amp;"")="subscription",LOWER($F466&amp;"")="membership"),"",IF(LOWER($L466&amp;"")="yes",0,IF($K466&lt;&gt;"",$K466,IF($O466&lt;&gt;"",$O466,"")))))</x:f>
      </x:c>
      <x:c r="Q466" s="112" t="str">
        <x:f>IF(COUNTA($A466:$M466)=0,"",IF(OR($U466="Subscription",$U466=""),"",IF($U466="Profit",ROUND($P466-$H466,2),0)))</x:f>
      </x:c>
      <x:c r="R466" s="112" t="str">
        <x:f>IF(COUNTA($A466:$M466)=0,"",IF(OR($U466="Subscription",$U466=""),"",IF($U466="Draw",$H466,0)))</x:f>
      </x:c>
      <x:c r="S466" s="112" t="str">
        <x:f>IF(COUNTA($A466:$M466)=0,"",IF(OR($U466="Subscription",$U466=""),"",IF($U466="Disqualified",$H466,0)))</x:f>
      </x:c>
      <x:c r="T466" s="116" t="str">
        <x:f>IF(COUNTA($A466:$M466)=0,"",IF(OR($U466="Subscription",$U466=""),"",IF($H466=0,0,IF($U466="Profit",$Q466/$H466,IF($U466="Disqualified",-$S466/$H466,0)))))</x:f>
      </x:c>
      <x:c r="U466" s="290" t="str">
        <x:f>IF(COUNTA($A466:$M466)=0,"",IF(OR(LOWER($F466&amp;"")="subscription",LOWER($F466&amp;"")="membership"),"Subscription",IF(LOWER($L466&amp;"")="yes","Disqualified",IF(OR(LOWER($F466&amp;"")="free game",LOWER($F466&amp;"")="free"),IF(AND(ISNUMBER($P466),ISNUMBER($H466),$P466&gt;$H466),"Profit","Free Game"),IF($P466="","",IF(ROUND(IFERROR(VALUE($P466),0)-IFERROR(VALUE($H466),0),2)&gt;0,"Profit","Draw"))))))</x:f>
      </x:c>
      <x:c r="V466" s="144" t="str">
        <x:f>IF(COUNTA($A466:$M466)=0,"",IF(OR($B466="",$C466="",$U466="Subscription"),"",IFERROR(ROUNDUP(($C466-$B466)/7,0),"")))</x:f>
      </x:c>
      <x:c r="W466" s="112" t="str">
        <x:f>IF(COUNTA($A466:$M466)=0,"",IF(OR($U466="Subscription",$U466=""),"",ROUND(IFERROR($Q466,0)-IFERROR($S466,0),2)))</x:f>
      </x:c>
      <x:c r="X466" s="144" t="str">
        <x:f>IF(COUNTA($A466:$M466)=0,"",IF(OR($U466="Subscription",$U466="Free Game",NOT(ISNUMBER($J466)),NOT(ISNUMBER($I466)),$J466=0,$I466=0,$I466&gt;$J466),"",$J466-$I466))</x:f>
      </x:c>
      <x:c r="Y466" s="116" t="str">
        <x:f>IF(COUNTA($A466:$M466)=0,"",IF(OR($U466="Subscription",$U466="Free Game",NOT(ISNUMBER($J466)),$J466=0,$X466=""),"",$X466/$J466))</x:f>
      </x:c>
      <x:c r="Z466" s="118" t="str">
        <x:f>IF(COUNTA($A466:$M466)=0,"",Instructions!$B$29+SUM($W$5:W466))</x:f>
      </x:c>
    </x:row>
    <x:row r="467" ht="30" customHeight="1">
      <x:c r="A467" s="477"/>
      <x:c r="B467" s="482"/>
      <x:c r="C467" s="482"/>
      <x:c r="D467" s="483"/>
      <x:c r="E467" s="483"/>
      <x:c r="F467" s="483"/>
      <x:c r="G467" s="484"/>
      <x:c r="H467" s="484"/>
      <x:c r="I467" s="485"/>
      <x:c r="J467" s="485"/>
      <x:c r="K467" s="484"/>
      <x:c r="L467" s="483"/>
      <x:c r="M467" s="477"/>
      <x:c r="N467" s="112" t="str">
        <x:f>IF(COUNTA($A467:$M467)=0,"",IF(OR(LOWER($F467&amp;"")="subscription",LOWER($F467&amp;"")="membership"),"",IF($G467="","",IF(ISNUMBER(SEARCH("non",LOWER($E467&amp;""))),$G467*0.85,$G467))))</x:f>
      </x:c>
      <x:c r="O467" s="112" t="str">
        <x:f>IF(COUNTA($A467:$M467)=0,"",IF(OR(LOWER($F467&amp;"")="subscription",LOWER($F467&amp;"")="membership"),"",IF(OR($N467="",$I467="",$I467=0),"",IFERROR($N467/$I467,""))))</x:f>
      </x:c>
      <x:c r="P467" s="112" t="str">
        <x:f>IF(COUNTA($A467:$M467)=0,"",IF(OR(LOWER($F467&amp;"")="subscription",LOWER($F467&amp;"")="membership"),"",IF(LOWER($L467&amp;"")="yes",0,IF($K467&lt;&gt;"",$K467,IF($O467&lt;&gt;"",$O467,"")))))</x:f>
      </x:c>
      <x:c r="Q467" s="112" t="str">
        <x:f>IF(COUNTA($A467:$M467)=0,"",IF(OR($U467="Subscription",$U467=""),"",IF($U467="Profit",ROUND($P467-$H467,2),0)))</x:f>
      </x:c>
      <x:c r="R467" s="112" t="str">
        <x:f>IF(COUNTA($A467:$M467)=0,"",IF(OR($U467="Subscription",$U467=""),"",IF($U467="Draw",$H467,0)))</x:f>
      </x:c>
      <x:c r="S467" s="112" t="str">
        <x:f>IF(COUNTA($A467:$M467)=0,"",IF(OR($U467="Subscription",$U467=""),"",IF($U467="Disqualified",$H467,0)))</x:f>
      </x:c>
      <x:c r="T467" s="116" t="str">
        <x:f>IF(COUNTA($A467:$M467)=0,"",IF(OR($U467="Subscription",$U467=""),"",IF($H467=0,0,IF($U467="Profit",$Q467/$H467,IF($U467="Disqualified",-$S467/$H467,0)))))</x:f>
      </x:c>
      <x:c r="U467" s="290" t="str">
        <x:f>IF(COUNTA($A467:$M467)=0,"",IF(OR(LOWER($F467&amp;"")="subscription",LOWER($F467&amp;"")="membership"),"Subscription",IF(LOWER($L467&amp;"")="yes","Disqualified",IF(OR(LOWER($F467&amp;"")="free game",LOWER($F467&amp;"")="free"),IF(AND(ISNUMBER($P467),ISNUMBER($H467),$P467&gt;$H467),"Profit","Free Game"),IF($P467="","",IF(ROUND(IFERROR(VALUE($P467),0)-IFERROR(VALUE($H467),0),2)&gt;0,"Profit","Draw"))))))</x:f>
      </x:c>
      <x:c r="V467" s="144" t="str">
        <x:f>IF(COUNTA($A467:$M467)=0,"",IF(OR($B467="",$C467="",$U467="Subscription"),"",IFERROR(ROUNDUP(($C467-$B467)/7,0),"")))</x:f>
      </x:c>
      <x:c r="W467" s="112" t="str">
        <x:f>IF(COUNTA($A467:$M467)=0,"",IF(OR($U467="Subscription",$U467=""),"",ROUND(IFERROR($Q467,0)-IFERROR($S467,0),2)))</x:f>
      </x:c>
      <x:c r="X467" s="144" t="str">
        <x:f>IF(COUNTA($A467:$M467)=0,"",IF(OR($U467="Subscription",$U467="Free Game",NOT(ISNUMBER($J467)),NOT(ISNUMBER($I467)),$J467=0,$I467=0,$I467&gt;$J467),"",$J467-$I467))</x:f>
      </x:c>
      <x:c r="Y467" s="116" t="str">
        <x:f>IF(COUNTA($A467:$M467)=0,"",IF(OR($U467="Subscription",$U467="Free Game",NOT(ISNUMBER($J467)),$J467=0,$X467=""),"",$X467/$J467))</x:f>
      </x:c>
      <x:c r="Z467" s="118" t="str">
        <x:f>IF(COUNTA($A467:$M467)=0,"",Instructions!$B$29+SUM($W$5:W467))</x:f>
      </x:c>
    </x:row>
    <x:row r="468" ht="30" customHeight="1">
      <x:c r="A468" s="477"/>
      <x:c r="B468" s="482"/>
      <x:c r="C468" s="482"/>
      <x:c r="D468" s="483"/>
      <x:c r="E468" s="483"/>
      <x:c r="F468" s="483"/>
      <x:c r="G468" s="484"/>
      <x:c r="H468" s="484"/>
      <x:c r="I468" s="485"/>
      <x:c r="J468" s="485"/>
      <x:c r="K468" s="484"/>
      <x:c r="L468" s="483"/>
      <x:c r="M468" s="477"/>
      <x:c r="N468" s="112" t="str">
        <x:f>IF(COUNTA($A468:$M468)=0,"",IF(OR(LOWER($F468&amp;"")="subscription",LOWER($F468&amp;"")="membership"),"",IF($G468="","",IF(ISNUMBER(SEARCH("non",LOWER($E468&amp;""))),$G468*0.85,$G468))))</x:f>
      </x:c>
      <x:c r="O468" s="112" t="str">
        <x:f>IF(COUNTA($A468:$M468)=0,"",IF(OR(LOWER($F468&amp;"")="subscription",LOWER($F468&amp;"")="membership"),"",IF(OR($N468="",$I468="",$I468=0),"",IFERROR($N468/$I468,""))))</x:f>
      </x:c>
      <x:c r="P468" s="112" t="str">
        <x:f>IF(COUNTA($A468:$M468)=0,"",IF(OR(LOWER($F468&amp;"")="subscription",LOWER($F468&amp;"")="membership"),"",IF(LOWER($L468&amp;"")="yes",0,IF($K468&lt;&gt;"",$K468,IF($O468&lt;&gt;"",$O468,"")))))</x:f>
      </x:c>
      <x:c r="Q468" s="112" t="str">
        <x:f>IF(COUNTA($A468:$M468)=0,"",IF(OR($U468="Subscription",$U468=""),"",IF($U468="Profit",ROUND($P468-$H468,2),0)))</x:f>
      </x:c>
      <x:c r="R468" s="112" t="str">
        <x:f>IF(COUNTA($A468:$M468)=0,"",IF(OR($U468="Subscription",$U468=""),"",IF($U468="Draw",$H468,0)))</x:f>
      </x:c>
      <x:c r="S468" s="112" t="str">
        <x:f>IF(COUNTA($A468:$M468)=0,"",IF(OR($U468="Subscription",$U468=""),"",IF($U468="Disqualified",$H468,0)))</x:f>
      </x:c>
      <x:c r="T468" s="116" t="str">
        <x:f>IF(COUNTA($A468:$M468)=0,"",IF(OR($U468="Subscription",$U468=""),"",IF($H468=0,0,IF($U468="Profit",$Q468/$H468,IF($U468="Disqualified",-$S468/$H468,0)))))</x:f>
      </x:c>
      <x:c r="U468" s="290" t="str">
        <x:f>IF(COUNTA($A468:$M468)=0,"",IF(OR(LOWER($F468&amp;"")="subscription",LOWER($F468&amp;"")="membership"),"Subscription",IF(LOWER($L468&amp;"")="yes","Disqualified",IF(OR(LOWER($F468&amp;"")="free game",LOWER($F468&amp;"")="free"),IF(AND(ISNUMBER($P468),ISNUMBER($H468),$P468&gt;$H468),"Profit","Free Game"),IF($P468="","",IF(ROUND(IFERROR(VALUE($P468),0)-IFERROR(VALUE($H468),0),2)&gt;0,"Profit","Draw"))))))</x:f>
      </x:c>
      <x:c r="V468" s="144" t="str">
        <x:f>IF(COUNTA($A468:$M468)=0,"",IF(OR($B468="",$C468="",$U468="Subscription"),"",IFERROR(ROUNDUP(($C468-$B468)/7,0),"")))</x:f>
      </x:c>
      <x:c r="W468" s="112" t="str">
        <x:f>IF(COUNTA($A468:$M468)=0,"",IF(OR($U468="Subscription",$U468=""),"",ROUND(IFERROR($Q468,0)-IFERROR($S468,0),2)))</x:f>
      </x:c>
      <x:c r="X468" s="144" t="str">
        <x:f>IF(COUNTA($A468:$M468)=0,"",IF(OR($U468="Subscription",$U468="Free Game",NOT(ISNUMBER($J468)),NOT(ISNUMBER($I468)),$J468=0,$I468=0,$I468&gt;$J468),"",$J468-$I468))</x:f>
      </x:c>
      <x:c r="Y468" s="116" t="str">
        <x:f>IF(COUNTA($A468:$M468)=0,"",IF(OR($U468="Subscription",$U468="Free Game",NOT(ISNUMBER($J468)),$J468=0,$X468=""),"",$X468/$J468))</x:f>
      </x:c>
      <x:c r="Z468" s="118" t="str">
        <x:f>IF(COUNTA($A468:$M468)=0,"",Instructions!$B$29+SUM($W$5:W468))</x:f>
      </x:c>
    </x:row>
    <x:row r="469" ht="30" customHeight="1">
      <x:c r="A469" s="477"/>
      <x:c r="B469" s="482"/>
      <x:c r="C469" s="482"/>
      <x:c r="D469" s="483"/>
      <x:c r="E469" s="483"/>
      <x:c r="F469" s="483"/>
      <x:c r="G469" s="484"/>
      <x:c r="H469" s="484"/>
      <x:c r="I469" s="485"/>
      <x:c r="J469" s="485"/>
      <x:c r="K469" s="484"/>
      <x:c r="L469" s="483"/>
      <x:c r="M469" s="477"/>
      <x:c r="N469" s="112" t="str">
        <x:f>IF(COUNTA($A469:$M469)=0,"",IF(OR(LOWER($F469&amp;"")="subscription",LOWER($F469&amp;"")="membership"),"",IF($G469="","",IF(ISNUMBER(SEARCH("non",LOWER($E469&amp;""))),$G469*0.85,$G469))))</x:f>
      </x:c>
      <x:c r="O469" s="112" t="str">
        <x:f>IF(COUNTA($A469:$M469)=0,"",IF(OR(LOWER($F469&amp;"")="subscription",LOWER($F469&amp;"")="membership"),"",IF(OR($N469="",$I469="",$I469=0),"",IFERROR($N469/$I469,""))))</x:f>
      </x:c>
      <x:c r="P469" s="112" t="str">
        <x:f>IF(COUNTA($A469:$M469)=0,"",IF(OR(LOWER($F469&amp;"")="subscription",LOWER($F469&amp;"")="membership"),"",IF(LOWER($L469&amp;"")="yes",0,IF($K469&lt;&gt;"",$K469,IF($O469&lt;&gt;"",$O469,"")))))</x:f>
      </x:c>
      <x:c r="Q469" s="112" t="str">
        <x:f>IF(COUNTA($A469:$M469)=0,"",IF(OR($U469="Subscription",$U469=""),"",IF($U469="Profit",ROUND($P469-$H469,2),0)))</x:f>
      </x:c>
      <x:c r="R469" s="112" t="str">
        <x:f>IF(COUNTA($A469:$M469)=0,"",IF(OR($U469="Subscription",$U469=""),"",IF($U469="Draw",$H469,0)))</x:f>
      </x:c>
      <x:c r="S469" s="112" t="str">
        <x:f>IF(COUNTA($A469:$M469)=0,"",IF(OR($U469="Subscription",$U469=""),"",IF($U469="Disqualified",$H469,0)))</x:f>
      </x:c>
      <x:c r="T469" s="116" t="str">
        <x:f>IF(COUNTA($A469:$M469)=0,"",IF(OR($U469="Subscription",$U469=""),"",IF($H469=0,0,IF($U469="Profit",$Q469/$H469,IF($U469="Disqualified",-$S469/$H469,0)))))</x:f>
      </x:c>
      <x:c r="U469" s="290" t="str">
        <x:f>IF(COUNTA($A469:$M469)=0,"",IF(OR(LOWER($F469&amp;"")="subscription",LOWER($F469&amp;"")="membership"),"Subscription",IF(LOWER($L469&amp;"")="yes","Disqualified",IF(OR(LOWER($F469&amp;"")="free game",LOWER($F469&amp;"")="free"),IF(AND(ISNUMBER($P469),ISNUMBER($H469),$P469&gt;$H469),"Profit","Free Game"),IF($P469="","",IF(ROUND(IFERROR(VALUE($P469),0)-IFERROR(VALUE($H469),0),2)&gt;0,"Profit","Draw"))))))</x:f>
      </x:c>
      <x:c r="V469" s="144" t="str">
        <x:f>IF(COUNTA($A469:$M469)=0,"",IF(OR($B469="",$C469="",$U469="Subscription"),"",IFERROR(ROUNDUP(($C469-$B469)/7,0),"")))</x:f>
      </x:c>
      <x:c r="W469" s="112" t="str">
        <x:f>IF(COUNTA($A469:$M469)=0,"",IF(OR($U469="Subscription",$U469=""),"",ROUND(IFERROR($Q469,0)-IFERROR($S469,0),2)))</x:f>
      </x:c>
      <x:c r="X469" s="144" t="str">
        <x:f>IF(COUNTA($A469:$M469)=0,"",IF(OR($U469="Subscription",$U469="Free Game",NOT(ISNUMBER($J469)),NOT(ISNUMBER($I469)),$J469=0,$I469=0,$I469&gt;$J469),"",$J469-$I469))</x:f>
      </x:c>
      <x:c r="Y469" s="116" t="str">
        <x:f>IF(COUNTA($A469:$M469)=0,"",IF(OR($U469="Subscription",$U469="Free Game",NOT(ISNUMBER($J469)),$J469=0,$X469=""),"",$X469/$J469))</x:f>
      </x:c>
      <x:c r="Z469" s="118" t="str">
        <x:f>IF(COUNTA($A469:$M469)=0,"",Instructions!$B$29+SUM($W$5:W469))</x:f>
      </x:c>
    </x:row>
    <x:row r="470" ht="30" customHeight="1">
      <x:c r="A470" s="477"/>
      <x:c r="B470" s="482"/>
      <x:c r="C470" s="482"/>
      <x:c r="D470" s="483"/>
      <x:c r="E470" s="483"/>
      <x:c r="F470" s="483"/>
      <x:c r="G470" s="484"/>
      <x:c r="H470" s="484"/>
      <x:c r="I470" s="485"/>
      <x:c r="J470" s="485"/>
      <x:c r="K470" s="484"/>
      <x:c r="L470" s="483"/>
      <x:c r="M470" s="477"/>
      <x:c r="N470" s="112" t="str">
        <x:f>IF(COUNTA($A470:$M470)=0,"",IF(OR(LOWER($F470&amp;"")="subscription",LOWER($F470&amp;"")="membership"),"",IF($G470="","",IF(ISNUMBER(SEARCH("non",LOWER($E470&amp;""))),$G470*0.85,$G470))))</x:f>
      </x:c>
      <x:c r="O470" s="112" t="str">
        <x:f>IF(COUNTA($A470:$M470)=0,"",IF(OR(LOWER($F470&amp;"")="subscription",LOWER($F470&amp;"")="membership"),"",IF(OR($N470="",$I470="",$I470=0),"",IFERROR($N470/$I470,""))))</x:f>
      </x:c>
      <x:c r="P470" s="112" t="str">
        <x:f>IF(COUNTA($A470:$M470)=0,"",IF(OR(LOWER($F470&amp;"")="subscription",LOWER($F470&amp;"")="membership"),"",IF(LOWER($L470&amp;"")="yes",0,IF($K470&lt;&gt;"",$K470,IF($O470&lt;&gt;"",$O470,"")))))</x:f>
      </x:c>
      <x:c r="Q470" s="112" t="str">
        <x:f>IF(COUNTA($A470:$M470)=0,"",IF(OR($U470="Subscription",$U470=""),"",IF($U470="Profit",ROUND($P470-$H470,2),0)))</x:f>
      </x:c>
      <x:c r="R470" s="112" t="str">
        <x:f>IF(COUNTA($A470:$M470)=0,"",IF(OR($U470="Subscription",$U470=""),"",IF($U470="Draw",$H470,0)))</x:f>
      </x:c>
      <x:c r="S470" s="112" t="str">
        <x:f>IF(COUNTA($A470:$M470)=0,"",IF(OR($U470="Subscription",$U470=""),"",IF($U470="Disqualified",$H470,0)))</x:f>
      </x:c>
      <x:c r="T470" s="116" t="str">
        <x:f>IF(COUNTA($A470:$M470)=0,"",IF(OR($U470="Subscription",$U470=""),"",IF($H470=0,0,IF($U470="Profit",$Q470/$H470,IF($U470="Disqualified",-$S470/$H470,0)))))</x:f>
      </x:c>
      <x:c r="U470" s="290" t="str">
        <x:f>IF(COUNTA($A470:$M470)=0,"",IF(OR(LOWER($F470&amp;"")="subscription",LOWER($F470&amp;"")="membership"),"Subscription",IF(LOWER($L470&amp;"")="yes","Disqualified",IF(OR(LOWER($F470&amp;"")="free game",LOWER($F470&amp;"")="free"),IF(AND(ISNUMBER($P470),ISNUMBER($H470),$P470&gt;$H470),"Profit","Free Game"),IF($P470="","",IF(ROUND(IFERROR(VALUE($P470),0)-IFERROR(VALUE($H470),0),2)&gt;0,"Profit","Draw"))))))</x:f>
      </x:c>
      <x:c r="V470" s="144" t="str">
        <x:f>IF(COUNTA($A470:$M470)=0,"",IF(OR($B470="",$C470="",$U470="Subscription"),"",IFERROR(ROUNDUP(($C470-$B470)/7,0),"")))</x:f>
      </x:c>
      <x:c r="W470" s="112" t="str">
        <x:f>IF(COUNTA($A470:$M470)=0,"",IF(OR($U470="Subscription",$U470=""),"",ROUND(IFERROR($Q470,0)-IFERROR($S470,0),2)))</x:f>
      </x:c>
      <x:c r="X470" s="144" t="str">
        <x:f>IF(COUNTA($A470:$M470)=0,"",IF(OR($U470="Subscription",$U470="Free Game",NOT(ISNUMBER($J470)),NOT(ISNUMBER($I470)),$J470=0,$I470=0,$I470&gt;$J470),"",$J470-$I470))</x:f>
      </x:c>
      <x:c r="Y470" s="116" t="str">
        <x:f>IF(COUNTA($A470:$M470)=0,"",IF(OR($U470="Subscription",$U470="Free Game",NOT(ISNUMBER($J470)),$J470=0,$X470=""),"",$X470/$J470))</x:f>
      </x:c>
      <x:c r="Z470" s="118" t="str">
        <x:f>IF(COUNTA($A470:$M470)=0,"",Instructions!$B$29+SUM($W$5:W470))</x:f>
      </x:c>
    </x:row>
    <x:row r="471" ht="30" customHeight="1">
      <x:c r="A471" s="477"/>
      <x:c r="B471" s="482"/>
      <x:c r="C471" s="482"/>
      <x:c r="D471" s="483"/>
      <x:c r="E471" s="483"/>
      <x:c r="F471" s="483"/>
      <x:c r="G471" s="484"/>
      <x:c r="H471" s="484"/>
      <x:c r="I471" s="485"/>
      <x:c r="J471" s="485"/>
      <x:c r="K471" s="484"/>
      <x:c r="L471" s="483"/>
      <x:c r="M471" s="477"/>
      <x:c r="N471" s="112" t="str">
        <x:f>IF(COUNTA($A471:$M471)=0,"",IF(OR(LOWER($F471&amp;"")="subscription",LOWER($F471&amp;"")="membership"),"",IF($G471="","",IF(ISNUMBER(SEARCH("non",LOWER($E471&amp;""))),$G471*0.85,$G471))))</x:f>
      </x:c>
      <x:c r="O471" s="112" t="str">
        <x:f>IF(COUNTA($A471:$M471)=0,"",IF(OR(LOWER($F471&amp;"")="subscription",LOWER($F471&amp;"")="membership"),"",IF(OR($N471="",$I471="",$I471=0),"",IFERROR($N471/$I471,""))))</x:f>
      </x:c>
      <x:c r="P471" s="112" t="str">
        <x:f>IF(COUNTA($A471:$M471)=0,"",IF(OR(LOWER($F471&amp;"")="subscription",LOWER($F471&amp;"")="membership"),"",IF(LOWER($L471&amp;"")="yes",0,IF($K471&lt;&gt;"",$K471,IF($O471&lt;&gt;"",$O471,"")))))</x:f>
      </x:c>
      <x:c r="Q471" s="112" t="str">
        <x:f>IF(COUNTA($A471:$M471)=0,"",IF(OR($U471="Subscription",$U471=""),"",IF($U471="Profit",ROUND($P471-$H471,2),0)))</x:f>
      </x:c>
      <x:c r="R471" s="112" t="str">
        <x:f>IF(COUNTA($A471:$M471)=0,"",IF(OR($U471="Subscription",$U471=""),"",IF($U471="Draw",$H471,0)))</x:f>
      </x:c>
      <x:c r="S471" s="112" t="str">
        <x:f>IF(COUNTA($A471:$M471)=0,"",IF(OR($U471="Subscription",$U471=""),"",IF($U471="Disqualified",$H471,0)))</x:f>
      </x:c>
      <x:c r="T471" s="116" t="str">
        <x:f>IF(COUNTA($A471:$M471)=0,"",IF(OR($U471="Subscription",$U471=""),"",IF($H471=0,0,IF($U471="Profit",$Q471/$H471,IF($U471="Disqualified",-$S471/$H471,0)))))</x:f>
      </x:c>
      <x:c r="U471" s="290" t="str">
        <x:f>IF(COUNTA($A471:$M471)=0,"",IF(OR(LOWER($F471&amp;"")="subscription",LOWER($F471&amp;"")="membership"),"Subscription",IF(LOWER($L471&amp;"")="yes","Disqualified",IF(OR(LOWER($F471&amp;"")="free game",LOWER($F471&amp;"")="free"),IF(AND(ISNUMBER($P471),ISNUMBER($H471),$P471&gt;$H471),"Profit","Free Game"),IF($P471="","",IF(ROUND(IFERROR(VALUE($P471),0)-IFERROR(VALUE($H471),0),2)&gt;0,"Profit","Draw"))))))</x:f>
      </x:c>
      <x:c r="V471" s="144" t="str">
        <x:f>IF(COUNTA($A471:$M471)=0,"",IF(OR($B471="",$C471="",$U471="Subscription"),"",IFERROR(ROUNDUP(($C471-$B471)/7,0),"")))</x:f>
      </x:c>
      <x:c r="W471" s="112" t="str">
        <x:f>IF(COUNTA($A471:$M471)=0,"",IF(OR($U471="Subscription",$U471=""),"",ROUND(IFERROR($Q471,0)-IFERROR($S471,0),2)))</x:f>
      </x:c>
      <x:c r="X471" s="144" t="str">
        <x:f>IF(COUNTA($A471:$M471)=0,"",IF(OR($U471="Subscription",$U471="Free Game",NOT(ISNUMBER($J471)),NOT(ISNUMBER($I471)),$J471=0,$I471=0,$I471&gt;$J471),"",$J471-$I471))</x:f>
      </x:c>
      <x:c r="Y471" s="116" t="str">
        <x:f>IF(COUNTA($A471:$M471)=0,"",IF(OR($U471="Subscription",$U471="Free Game",NOT(ISNUMBER($J471)),$J471=0,$X471=""),"",$X471/$J471))</x:f>
      </x:c>
      <x:c r="Z471" s="118" t="str">
        <x:f>IF(COUNTA($A471:$M471)=0,"",Instructions!$B$29+SUM($W$5:W471))</x:f>
      </x:c>
    </x:row>
    <x:row r="472" ht="30" customHeight="1">
      <x:c r="A472" s="477"/>
      <x:c r="B472" s="482"/>
      <x:c r="C472" s="482"/>
      <x:c r="D472" s="483"/>
      <x:c r="E472" s="483"/>
      <x:c r="F472" s="483"/>
      <x:c r="G472" s="484"/>
      <x:c r="H472" s="484"/>
      <x:c r="I472" s="485"/>
      <x:c r="J472" s="485"/>
      <x:c r="K472" s="484"/>
      <x:c r="L472" s="483"/>
      <x:c r="M472" s="477"/>
      <x:c r="N472" s="112" t="str">
        <x:f>IF(COUNTA($A472:$M472)=0,"",IF(OR(LOWER($F472&amp;"")="subscription",LOWER($F472&amp;"")="membership"),"",IF($G472="","",IF(ISNUMBER(SEARCH("non",LOWER($E472&amp;""))),$G472*0.85,$G472))))</x:f>
      </x:c>
      <x:c r="O472" s="112" t="str">
        <x:f>IF(COUNTA($A472:$M472)=0,"",IF(OR(LOWER($F472&amp;"")="subscription",LOWER($F472&amp;"")="membership"),"",IF(OR($N472="",$I472="",$I472=0),"",IFERROR($N472/$I472,""))))</x:f>
      </x:c>
      <x:c r="P472" s="112" t="str">
        <x:f>IF(COUNTA($A472:$M472)=0,"",IF(OR(LOWER($F472&amp;"")="subscription",LOWER($F472&amp;"")="membership"),"",IF(LOWER($L472&amp;"")="yes",0,IF($K472&lt;&gt;"",$K472,IF($O472&lt;&gt;"",$O472,"")))))</x:f>
      </x:c>
      <x:c r="Q472" s="112" t="str">
        <x:f>IF(COUNTA($A472:$M472)=0,"",IF(OR($U472="Subscription",$U472=""),"",IF($U472="Profit",ROUND($P472-$H472,2),0)))</x:f>
      </x:c>
      <x:c r="R472" s="112" t="str">
        <x:f>IF(COUNTA($A472:$M472)=0,"",IF(OR($U472="Subscription",$U472=""),"",IF($U472="Draw",$H472,0)))</x:f>
      </x:c>
      <x:c r="S472" s="112" t="str">
        <x:f>IF(COUNTA($A472:$M472)=0,"",IF(OR($U472="Subscription",$U472=""),"",IF($U472="Disqualified",$H472,0)))</x:f>
      </x:c>
      <x:c r="T472" s="116" t="str">
        <x:f>IF(COUNTA($A472:$M472)=0,"",IF(OR($U472="Subscription",$U472=""),"",IF($H472=0,0,IF($U472="Profit",$Q472/$H472,IF($U472="Disqualified",-$S472/$H472,0)))))</x:f>
      </x:c>
      <x:c r="U472" s="290" t="str">
        <x:f>IF(COUNTA($A472:$M472)=0,"",IF(OR(LOWER($F472&amp;"")="subscription",LOWER($F472&amp;"")="membership"),"Subscription",IF(LOWER($L472&amp;"")="yes","Disqualified",IF(OR(LOWER($F472&amp;"")="free game",LOWER($F472&amp;"")="free"),IF(AND(ISNUMBER($P472),ISNUMBER($H472),$P472&gt;$H472),"Profit","Free Game"),IF($P472="","",IF(ROUND(IFERROR(VALUE($P472),0)-IFERROR(VALUE($H472),0),2)&gt;0,"Profit","Draw"))))))</x:f>
      </x:c>
      <x:c r="V472" s="144" t="str">
        <x:f>IF(COUNTA($A472:$M472)=0,"",IF(OR($B472="",$C472="",$U472="Subscription"),"",IFERROR(ROUNDUP(($C472-$B472)/7,0),"")))</x:f>
      </x:c>
      <x:c r="W472" s="112" t="str">
        <x:f>IF(COUNTA($A472:$M472)=0,"",IF(OR($U472="Subscription",$U472=""),"",ROUND(IFERROR($Q472,0)-IFERROR($S472,0),2)))</x:f>
      </x:c>
      <x:c r="X472" s="144" t="str">
        <x:f>IF(COUNTA($A472:$M472)=0,"",IF(OR($U472="Subscription",$U472="Free Game",NOT(ISNUMBER($J472)),NOT(ISNUMBER($I472)),$J472=0,$I472=0,$I472&gt;$J472),"",$J472-$I472))</x:f>
      </x:c>
      <x:c r="Y472" s="116" t="str">
        <x:f>IF(COUNTA($A472:$M472)=0,"",IF(OR($U472="Subscription",$U472="Free Game",NOT(ISNUMBER($J472)),$J472=0,$X472=""),"",$X472/$J472))</x:f>
      </x:c>
      <x:c r="Z472" s="118" t="str">
        <x:f>IF(COUNTA($A472:$M472)=0,"",Instructions!$B$29+SUM($W$5:W472))</x:f>
      </x:c>
    </x:row>
    <x:row r="473" ht="30" customHeight="1">
      <x:c r="A473" s="477"/>
      <x:c r="B473" s="482"/>
      <x:c r="C473" s="482"/>
      <x:c r="D473" s="483"/>
      <x:c r="E473" s="483"/>
      <x:c r="F473" s="483"/>
      <x:c r="G473" s="484"/>
      <x:c r="H473" s="484"/>
      <x:c r="I473" s="485"/>
      <x:c r="J473" s="485"/>
      <x:c r="K473" s="484"/>
      <x:c r="L473" s="483"/>
      <x:c r="M473" s="477"/>
      <x:c r="N473" s="112" t="str">
        <x:f>IF(COUNTA($A473:$M473)=0,"",IF(OR(LOWER($F473&amp;"")="subscription",LOWER($F473&amp;"")="membership"),"",IF($G473="","",IF(ISNUMBER(SEARCH("non",LOWER($E473&amp;""))),$G473*0.85,$G473))))</x:f>
      </x:c>
      <x:c r="O473" s="112" t="str">
        <x:f>IF(COUNTA($A473:$M473)=0,"",IF(OR(LOWER($F473&amp;"")="subscription",LOWER($F473&amp;"")="membership"),"",IF(OR($N473="",$I473="",$I473=0),"",IFERROR($N473/$I473,""))))</x:f>
      </x:c>
      <x:c r="P473" s="112" t="str">
        <x:f>IF(COUNTA($A473:$M473)=0,"",IF(OR(LOWER($F473&amp;"")="subscription",LOWER($F473&amp;"")="membership"),"",IF(LOWER($L473&amp;"")="yes",0,IF($K473&lt;&gt;"",$K473,IF($O473&lt;&gt;"",$O473,"")))))</x:f>
      </x:c>
      <x:c r="Q473" s="112" t="str">
        <x:f>IF(COUNTA($A473:$M473)=0,"",IF(OR($U473="Subscription",$U473=""),"",IF($U473="Profit",ROUND($P473-$H473,2),0)))</x:f>
      </x:c>
      <x:c r="R473" s="112" t="str">
        <x:f>IF(COUNTA($A473:$M473)=0,"",IF(OR($U473="Subscription",$U473=""),"",IF($U473="Draw",$H473,0)))</x:f>
      </x:c>
      <x:c r="S473" s="112" t="str">
        <x:f>IF(COUNTA($A473:$M473)=0,"",IF(OR($U473="Subscription",$U473=""),"",IF($U473="Disqualified",$H473,0)))</x:f>
      </x:c>
      <x:c r="T473" s="116" t="str">
        <x:f>IF(COUNTA($A473:$M473)=0,"",IF(OR($U473="Subscription",$U473=""),"",IF($H473=0,0,IF($U473="Profit",$Q473/$H473,IF($U473="Disqualified",-$S473/$H473,0)))))</x:f>
      </x:c>
      <x:c r="U473" s="290" t="str">
        <x:f>IF(COUNTA($A473:$M473)=0,"",IF(OR(LOWER($F473&amp;"")="subscription",LOWER($F473&amp;"")="membership"),"Subscription",IF(LOWER($L473&amp;"")="yes","Disqualified",IF(OR(LOWER($F473&amp;"")="free game",LOWER($F473&amp;"")="free"),IF(AND(ISNUMBER($P473),ISNUMBER($H473),$P473&gt;$H473),"Profit","Free Game"),IF($P473="","",IF(ROUND(IFERROR(VALUE($P473),0)-IFERROR(VALUE($H473),0),2)&gt;0,"Profit","Draw"))))))</x:f>
      </x:c>
      <x:c r="V473" s="144" t="str">
        <x:f>IF(COUNTA($A473:$M473)=0,"",IF(OR($B473="",$C473="",$U473="Subscription"),"",IFERROR(ROUNDUP(($C473-$B473)/7,0),"")))</x:f>
      </x:c>
      <x:c r="W473" s="112" t="str">
        <x:f>IF(COUNTA($A473:$M473)=0,"",IF(OR($U473="Subscription",$U473=""),"",ROUND(IFERROR($Q473,0)-IFERROR($S473,0),2)))</x:f>
      </x:c>
      <x:c r="X473" s="144" t="str">
        <x:f>IF(COUNTA($A473:$M473)=0,"",IF(OR($U473="Subscription",$U473="Free Game",NOT(ISNUMBER($J473)),NOT(ISNUMBER($I473)),$J473=0,$I473=0,$I473&gt;$J473),"",$J473-$I473))</x:f>
      </x:c>
      <x:c r="Y473" s="116" t="str">
        <x:f>IF(COUNTA($A473:$M473)=0,"",IF(OR($U473="Subscription",$U473="Free Game",NOT(ISNUMBER($J473)),$J473=0,$X473=""),"",$X473/$J473))</x:f>
      </x:c>
      <x:c r="Z473" s="118" t="str">
        <x:f>IF(COUNTA($A473:$M473)=0,"",Instructions!$B$29+SUM($W$5:W473))</x:f>
      </x:c>
    </x:row>
    <x:row r="474" ht="30" customHeight="1">
      <x:c r="A474" s="477"/>
      <x:c r="B474" s="482"/>
      <x:c r="C474" s="482"/>
      <x:c r="D474" s="483"/>
      <x:c r="E474" s="483"/>
      <x:c r="F474" s="483"/>
      <x:c r="G474" s="484"/>
      <x:c r="H474" s="484"/>
      <x:c r="I474" s="485"/>
      <x:c r="J474" s="485"/>
      <x:c r="K474" s="484"/>
      <x:c r="L474" s="483"/>
      <x:c r="M474" s="477"/>
      <x:c r="N474" s="112" t="str">
        <x:f>IF(COUNTA($A474:$M474)=0,"",IF(OR(LOWER($F474&amp;"")="subscription",LOWER($F474&amp;"")="membership"),"",IF($G474="","",IF(ISNUMBER(SEARCH("non",LOWER($E474&amp;""))),$G474*0.85,$G474))))</x:f>
      </x:c>
      <x:c r="O474" s="112" t="str">
        <x:f>IF(COUNTA($A474:$M474)=0,"",IF(OR(LOWER($F474&amp;"")="subscription",LOWER($F474&amp;"")="membership"),"",IF(OR($N474="",$I474="",$I474=0),"",IFERROR($N474/$I474,""))))</x:f>
      </x:c>
      <x:c r="P474" s="112" t="str">
        <x:f>IF(COUNTA($A474:$M474)=0,"",IF(OR(LOWER($F474&amp;"")="subscription",LOWER($F474&amp;"")="membership"),"",IF(LOWER($L474&amp;"")="yes",0,IF($K474&lt;&gt;"",$K474,IF($O474&lt;&gt;"",$O474,"")))))</x:f>
      </x:c>
      <x:c r="Q474" s="112" t="str">
        <x:f>IF(COUNTA($A474:$M474)=0,"",IF(OR($U474="Subscription",$U474=""),"",IF($U474="Profit",ROUND($P474-$H474,2),0)))</x:f>
      </x:c>
      <x:c r="R474" s="112" t="str">
        <x:f>IF(COUNTA($A474:$M474)=0,"",IF(OR($U474="Subscription",$U474=""),"",IF($U474="Draw",$H474,0)))</x:f>
      </x:c>
      <x:c r="S474" s="112" t="str">
        <x:f>IF(COUNTA($A474:$M474)=0,"",IF(OR($U474="Subscription",$U474=""),"",IF($U474="Disqualified",$H474,0)))</x:f>
      </x:c>
      <x:c r="T474" s="116" t="str">
        <x:f>IF(COUNTA($A474:$M474)=0,"",IF(OR($U474="Subscription",$U474=""),"",IF($H474=0,0,IF($U474="Profit",$Q474/$H474,IF($U474="Disqualified",-$S474/$H474,0)))))</x:f>
      </x:c>
      <x:c r="U474" s="290" t="str">
        <x:f>IF(COUNTA($A474:$M474)=0,"",IF(OR(LOWER($F474&amp;"")="subscription",LOWER($F474&amp;"")="membership"),"Subscription",IF(LOWER($L474&amp;"")="yes","Disqualified",IF(OR(LOWER($F474&amp;"")="free game",LOWER($F474&amp;"")="free"),IF(AND(ISNUMBER($P474),ISNUMBER($H474),$P474&gt;$H474),"Profit","Free Game"),IF($P474="","",IF(ROUND(IFERROR(VALUE($P474),0)-IFERROR(VALUE($H474),0),2)&gt;0,"Profit","Draw"))))))</x:f>
      </x:c>
      <x:c r="V474" s="144" t="str">
        <x:f>IF(COUNTA($A474:$M474)=0,"",IF(OR($B474="",$C474="",$U474="Subscription"),"",IFERROR(ROUNDUP(($C474-$B474)/7,0),"")))</x:f>
      </x:c>
      <x:c r="W474" s="112" t="str">
        <x:f>IF(COUNTA($A474:$M474)=0,"",IF(OR($U474="Subscription",$U474=""),"",ROUND(IFERROR($Q474,0)-IFERROR($S474,0),2)))</x:f>
      </x:c>
      <x:c r="X474" s="144" t="str">
        <x:f>IF(COUNTA($A474:$M474)=0,"",IF(OR($U474="Subscription",$U474="Free Game",NOT(ISNUMBER($J474)),NOT(ISNUMBER($I474)),$J474=0,$I474=0,$I474&gt;$J474),"",$J474-$I474))</x:f>
      </x:c>
      <x:c r="Y474" s="116" t="str">
        <x:f>IF(COUNTA($A474:$M474)=0,"",IF(OR($U474="Subscription",$U474="Free Game",NOT(ISNUMBER($J474)),$J474=0,$X474=""),"",$X474/$J474))</x:f>
      </x:c>
      <x:c r="Z474" s="118" t="str">
        <x:f>IF(COUNTA($A474:$M474)=0,"",Instructions!$B$29+SUM($W$5:W474))</x:f>
      </x:c>
    </x:row>
    <x:row r="475" ht="30" customHeight="1">
      <x:c r="A475" s="477"/>
      <x:c r="B475" s="482"/>
      <x:c r="C475" s="482"/>
      <x:c r="D475" s="483"/>
      <x:c r="E475" s="483"/>
      <x:c r="F475" s="483"/>
      <x:c r="G475" s="484"/>
      <x:c r="H475" s="484"/>
      <x:c r="I475" s="485"/>
      <x:c r="J475" s="485"/>
      <x:c r="K475" s="484"/>
      <x:c r="L475" s="483"/>
      <x:c r="M475" s="477"/>
      <x:c r="N475" s="112" t="str">
        <x:f>IF(COUNTA($A475:$M475)=0,"",IF(OR(LOWER($F475&amp;"")="subscription",LOWER($F475&amp;"")="membership"),"",IF($G475="","",IF(ISNUMBER(SEARCH("non",LOWER($E475&amp;""))),$G475*0.85,$G475))))</x:f>
      </x:c>
      <x:c r="O475" s="112" t="str">
        <x:f>IF(COUNTA($A475:$M475)=0,"",IF(OR(LOWER($F475&amp;"")="subscription",LOWER($F475&amp;"")="membership"),"",IF(OR($N475="",$I475="",$I475=0),"",IFERROR($N475/$I475,""))))</x:f>
      </x:c>
      <x:c r="P475" s="112" t="str">
        <x:f>IF(COUNTA($A475:$M475)=0,"",IF(OR(LOWER($F475&amp;"")="subscription",LOWER($F475&amp;"")="membership"),"",IF(LOWER($L475&amp;"")="yes",0,IF($K475&lt;&gt;"",$K475,IF($O475&lt;&gt;"",$O475,"")))))</x:f>
      </x:c>
      <x:c r="Q475" s="112" t="str">
        <x:f>IF(COUNTA($A475:$M475)=0,"",IF(OR($U475="Subscription",$U475=""),"",IF($U475="Profit",ROUND($P475-$H475,2),0)))</x:f>
      </x:c>
      <x:c r="R475" s="112" t="str">
        <x:f>IF(COUNTA($A475:$M475)=0,"",IF(OR($U475="Subscription",$U475=""),"",IF($U475="Draw",$H475,0)))</x:f>
      </x:c>
      <x:c r="S475" s="112" t="str">
        <x:f>IF(COUNTA($A475:$M475)=0,"",IF(OR($U475="Subscription",$U475=""),"",IF($U475="Disqualified",$H475,0)))</x:f>
      </x:c>
      <x:c r="T475" s="116" t="str">
        <x:f>IF(COUNTA($A475:$M475)=0,"",IF(OR($U475="Subscription",$U475=""),"",IF($H475=0,0,IF($U475="Profit",$Q475/$H475,IF($U475="Disqualified",-$S475/$H475,0)))))</x:f>
      </x:c>
      <x:c r="U475" s="290" t="str">
        <x:f>IF(COUNTA($A475:$M475)=0,"",IF(OR(LOWER($F475&amp;"")="subscription",LOWER($F475&amp;"")="membership"),"Subscription",IF(LOWER($L475&amp;"")="yes","Disqualified",IF(OR(LOWER($F475&amp;"")="free game",LOWER($F475&amp;"")="free"),IF(AND(ISNUMBER($P475),ISNUMBER($H475),$P475&gt;$H475),"Profit","Free Game"),IF($P475="","",IF(ROUND(IFERROR(VALUE($P475),0)-IFERROR(VALUE($H475),0),2)&gt;0,"Profit","Draw"))))))</x:f>
      </x:c>
      <x:c r="V475" s="144" t="str">
        <x:f>IF(COUNTA($A475:$M475)=0,"",IF(OR($B475="",$C475="",$U475="Subscription"),"",IFERROR(ROUNDUP(($C475-$B475)/7,0),"")))</x:f>
      </x:c>
      <x:c r="W475" s="112" t="str">
        <x:f>IF(COUNTA($A475:$M475)=0,"",IF(OR($U475="Subscription",$U475=""),"",ROUND(IFERROR($Q475,0)-IFERROR($S475,0),2)))</x:f>
      </x:c>
      <x:c r="X475" s="144" t="str">
        <x:f>IF(COUNTA($A475:$M475)=0,"",IF(OR($U475="Subscription",$U475="Free Game",NOT(ISNUMBER($J475)),NOT(ISNUMBER($I475)),$J475=0,$I475=0,$I475&gt;$J475),"",$J475-$I475))</x:f>
      </x:c>
      <x:c r="Y475" s="116" t="str">
        <x:f>IF(COUNTA($A475:$M475)=0,"",IF(OR($U475="Subscription",$U475="Free Game",NOT(ISNUMBER($J475)),$J475=0,$X475=""),"",$X475/$J475))</x:f>
      </x:c>
      <x:c r="Z475" s="118" t="str">
        <x:f>IF(COUNTA($A475:$M475)=0,"",Instructions!$B$29+SUM($W$5:W475))</x:f>
      </x:c>
    </x:row>
    <x:row r="476" ht="30" customHeight="1">
      <x:c r="A476" s="477"/>
      <x:c r="B476" s="482"/>
      <x:c r="C476" s="482"/>
      <x:c r="D476" s="483"/>
      <x:c r="E476" s="483"/>
      <x:c r="F476" s="483"/>
      <x:c r="G476" s="484"/>
      <x:c r="H476" s="484"/>
      <x:c r="I476" s="485"/>
      <x:c r="J476" s="485"/>
      <x:c r="K476" s="484"/>
      <x:c r="L476" s="483"/>
      <x:c r="M476" s="477"/>
      <x:c r="N476" s="112" t="str">
        <x:f>IF(COUNTA($A476:$M476)=0,"",IF(OR(LOWER($F476&amp;"")="subscription",LOWER($F476&amp;"")="membership"),"",IF($G476="","",IF(ISNUMBER(SEARCH("non",LOWER($E476&amp;""))),$G476*0.85,$G476))))</x:f>
      </x:c>
      <x:c r="O476" s="112" t="str">
        <x:f>IF(COUNTA($A476:$M476)=0,"",IF(OR(LOWER($F476&amp;"")="subscription",LOWER($F476&amp;"")="membership"),"",IF(OR($N476="",$I476="",$I476=0),"",IFERROR($N476/$I476,""))))</x:f>
      </x:c>
      <x:c r="P476" s="112" t="str">
        <x:f>IF(COUNTA($A476:$M476)=0,"",IF(OR(LOWER($F476&amp;"")="subscription",LOWER($F476&amp;"")="membership"),"",IF(LOWER($L476&amp;"")="yes",0,IF($K476&lt;&gt;"",$K476,IF($O476&lt;&gt;"",$O476,"")))))</x:f>
      </x:c>
      <x:c r="Q476" s="112" t="str">
        <x:f>IF(COUNTA($A476:$M476)=0,"",IF(OR($U476="Subscription",$U476=""),"",IF($U476="Profit",ROUND($P476-$H476,2),0)))</x:f>
      </x:c>
      <x:c r="R476" s="112" t="str">
        <x:f>IF(COUNTA($A476:$M476)=0,"",IF(OR($U476="Subscription",$U476=""),"",IF($U476="Draw",$H476,0)))</x:f>
      </x:c>
      <x:c r="S476" s="112" t="str">
        <x:f>IF(COUNTA($A476:$M476)=0,"",IF(OR($U476="Subscription",$U476=""),"",IF($U476="Disqualified",$H476,0)))</x:f>
      </x:c>
      <x:c r="T476" s="116" t="str">
        <x:f>IF(COUNTA($A476:$M476)=0,"",IF(OR($U476="Subscription",$U476=""),"",IF($H476=0,0,IF($U476="Profit",$Q476/$H476,IF($U476="Disqualified",-$S476/$H476,0)))))</x:f>
      </x:c>
      <x:c r="U476" s="290" t="str">
        <x:f>IF(COUNTA($A476:$M476)=0,"",IF(OR(LOWER($F476&amp;"")="subscription",LOWER($F476&amp;"")="membership"),"Subscription",IF(LOWER($L476&amp;"")="yes","Disqualified",IF(OR(LOWER($F476&amp;"")="free game",LOWER($F476&amp;"")="free"),IF(AND(ISNUMBER($P476),ISNUMBER($H476),$P476&gt;$H476),"Profit","Free Game"),IF($P476="","",IF(ROUND(IFERROR(VALUE($P476),0)-IFERROR(VALUE($H476),0),2)&gt;0,"Profit","Draw"))))))</x:f>
      </x:c>
      <x:c r="V476" s="144" t="str">
        <x:f>IF(COUNTA($A476:$M476)=0,"",IF(OR($B476="",$C476="",$U476="Subscription"),"",IFERROR(ROUNDUP(($C476-$B476)/7,0),"")))</x:f>
      </x:c>
      <x:c r="W476" s="112" t="str">
        <x:f>IF(COUNTA($A476:$M476)=0,"",IF(OR($U476="Subscription",$U476=""),"",ROUND(IFERROR($Q476,0)-IFERROR($S476,0),2)))</x:f>
      </x:c>
      <x:c r="X476" s="144" t="str">
        <x:f>IF(COUNTA($A476:$M476)=0,"",IF(OR($U476="Subscription",$U476="Free Game",NOT(ISNUMBER($J476)),NOT(ISNUMBER($I476)),$J476=0,$I476=0,$I476&gt;$J476),"",$J476-$I476))</x:f>
      </x:c>
      <x:c r="Y476" s="116" t="str">
        <x:f>IF(COUNTA($A476:$M476)=0,"",IF(OR($U476="Subscription",$U476="Free Game",NOT(ISNUMBER($J476)),$J476=0,$X476=""),"",$X476/$J476))</x:f>
      </x:c>
      <x:c r="Z476" s="118" t="str">
        <x:f>IF(COUNTA($A476:$M476)=0,"",Instructions!$B$29+SUM($W$5:W476))</x:f>
      </x:c>
    </x:row>
    <x:row r="477" ht="30" customHeight="1">
      <x:c r="A477" s="477"/>
      <x:c r="B477" s="482"/>
      <x:c r="C477" s="482"/>
      <x:c r="D477" s="483"/>
      <x:c r="E477" s="483"/>
      <x:c r="F477" s="483"/>
      <x:c r="G477" s="484"/>
      <x:c r="H477" s="484"/>
      <x:c r="I477" s="485"/>
      <x:c r="J477" s="485"/>
      <x:c r="K477" s="484"/>
      <x:c r="L477" s="483"/>
      <x:c r="M477" s="477"/>
      <x:c r="N477" s="112" t="str">
        <x:f>IF(COUNTA($A477:$M477)=0,"",IF(OR(LOWER($F477&amp;"")="subscription",LOWER($F477&amp;"")="membership"),"",IF($G477="","",IF(ISNUMBER(SEARCH("non",LOWER($E477&amp;""))),$G477*0.85,$G477))))</x:f>
      </x:c>
      <x:c r="O477" s="112" t="str">
        <x:f>IF(COUNTA($A477:$M477)=0,"",IF(OR(LOWER($F477&amp;"")="subscription",LOWER($F477&amp;"")="membership"),"",IF(OR($N477="",$I477="",$I477=0),"",IFERROR($N477/$I477,""))))</x:f>
      </x:c>
      <x:c r="P477" s="112" t="str">
        <x:f>IF(COUNTA($A477:$M477)=0,"",IF(OR(LOWER($F477&amp;"")="subscription",LOWER($F477&amp;"")="membership"),"",IF(LOWER($L477&amp;"")="yes",0,IF($K477&lt;&gt;"",$K477,IF($O477&lt;&gt;"",$O477,"")))))</x:f>
      </x:c>
      <x:c r="Q477" s="112" t="str">
        <x:f>IF(COUNTA($A477:$M477)=0,"",IF(OR($U477="Subscription",$U477=""),"",IF($U477="Profit",ROUND($P477-$H477,2),0)))</x:f>
      </x:c>
      <x:c r="R477" s="112" t="str">
        <x:f>IF(COUNTA($A477:$M477)=0,"",IF(OR($U477="Subscription",$U477=""),"",IF($U477="Draw",$H477,0)))</x:f>
      </x:c>
      <x:c r="S477" s="112" t="str">
        <x:f>IF(COUNTA($A477:$M477)=0,"",IF(OR($U477="Subscription",$U477=""),"",IF($U477="Disqualified",$H477,0)))</x:f>
      </x:c>
      <x:c r="T477" s="116" t="str">
        <x:f>IF(COUNTA($A477:$M477)=0,"",IF(OR($U477="Subscription",$U477=""),"",IF($H477=0,0,IF($U477="Profit",$Q477/$H477,IF($U477="Disqualified",-$S477/$H477,0)))))</x:f>
      </x:c>
      <x:c r="U477" s="290" t="str">
        <x:f>IF(COUNTA($A477:$M477)=0,"",IF(OR(LOWER($F477&amp;"")="subscription",LOWER($F477&amp;"")="membership"),"Subscription",IF(LOWER($L477&amp;"")="yes","Disqualified",IF(OR(LOWER($F477&amp;"")="free game",LOWER($F477&amp;"")="free"),IF(AND(ISNUMBER($P477),ISNUMBER($H477),$P477&gt;$H477),"Profit","Free Game"),IF($P477="","",IF(ROUND(IFERROR(VALUE($P477),0)-IFERROR(VALUE($H477),0),2)&gt;0,"Profit","Draw"))))))</x:f>
      </x:c>
      <x:c r="V477" s="144" t="str">
        <x:f>IF(COUNTA($A477:$M477)=0,"",IF(OR($B477="",$C477="",$U477="Subscription"),"",IFERROR(ROUNDUP(($C477-$B477)/7,0),"")))</x:f>
      </x:c>
      <x:c r="W477" s="112" t="str">
        <x:f>IF(COUNTA($A477:$M477)=0,"",IF(OR($U477="Subscription",$U477=""),"",ROUND(IFERROR($Q477,0)-IFERROR($S477,0),2)))</x:f>
      </x:c>
      <x:c r="X477" s="144" t="str">
        <x:f>IF(COUNTA($A477:$M477)=0,"",IF(OR($U477="Subscription",$U477="Free Game",NOT(ISNUMBER($J477)),NOT(ISNUMBER($I477)),$J477=0,$I477=0,$I477&gt;$J477),"",$J477-$I477))</x:f>
      </x:c>
      <x:c r="Y477" s="116" t="str">
        <x:f>IF(COUNTA($A477:$M477)=0,"",IF(OR($U477="Subscription",$U477="Free Game",NOT(ISNUMBER($J477)),$J477=0,$X477=""),"",$X477/$J477))</x:f>
      </x:c>
      <x:c r="Z477" s="118" t="str">
        <x:f>IF(COUNTA($A477:$M477)=0,"",Instructions!$B$29+SUM($W$5:W477))</x:f>
      </x:c>
    </x:row>
    <x:row r="478" ht="30" customHeight="1">
      <x:c r="A478" s="477"/>
      <x:c r="B478" s="482"/>
      <x:c r="C478" s="482"/>
      <x:c r="D478" s="483"/>
      <x:c r="E478" s="483"/>
      <x:c r="F478" s="483"/>
      <x:c r="G478" s="484"/>
      <x:c r="H478" s="484"/>
      <x:c r="I478" s="485"/>
      <x:c r="J478" s="485"/>
      <x:c r="K478" s="484"/>
      <x:c r="L478" s="483"/>
      <x:c r="M478" s="477"/>
      <x:c r="N478" s="112" t="str">
        <x:f>IF(COUNTA($A478:$M478)=0,"",IF(OR(LOWER($F478&amp;"")="subscription",LOWER($F478&amp;"")="membership"),"",IF($G478="","",IF(ISNUMBER(SEARCH("non",LOWER($E478&amp;""))),$G478*0.85,$G478))))</x:f>
      </x:c>
      <x:c r="O478" s="112" t="str">
        <x:f>IF(COUNTA($A478:$M478)=0,"",IF(OR(LOWER($F478&amp;"")="subscription",LOWER($F478&amp;"")="membership"),"",IF(OR($N478="",$I478="",$I478=0),"",IFERROR($N478/$I478,""))))</x:f>
      </x:c>
      <x:c r="P478" s="112" t="str">
        <x:f>IF(COUNTA($A478:$M478)=0,"",IF(OR(LOWER($F478&amp;"")="subscription",LOWER($F478&amp;"")="membership"),"",IF(LOWER($L478&amp;"")="yes",0,IF($K478&lt;&gt;"",$K478,IF($O478&lt;&gt;"",$O478,"")))))</x:f>
      </x:c>
      <x:c r="Q478" s="112" t="str">
        <x:f>IF(COUNTA($A478:$M478)=0,"",IF(OR($U478="Subscription",$U478=""),"",IF($U478="Profit",ROUND($P478-$H478,2),0)))</x:f>
      </x:c>
      <x:c r="R478" s="112" t="str">
        <x:f>IF(COUNTA($A478:$M478)=0,"",IF(OR($U478="Subscription",$U478=""),"",IF($U478="Draw",$H478,0)))</x:f>
      </x:c>
      <x:c r="S478" s="112" t="str">
        <x:f>IF(COUNTA($A478:$M478)=0,"",IF(OR($U478="Subscription",$U478=""),"",IF($U478="Disqualified",$H478,0)))</x:f>
      </x:c>
      <x:c r="T478" s="116" t="str">
        <x:f>IF(COUNTA($A478:$M478)=0,"",IF(OR($U478="Subscription",$U478=""),"",IF($H478=0,0,IF($U478="Profit",$Q478/$H478,IF($U478="Disqualified",-$S478/$H478,0)))))</x:f>
      </x:c>
      <x:c r="U478" s="290" t="str">
        <x:f>IF(COUNTA($A478:$M478)=0,"",IF(OR(LOWER($F478&amp;"")="subscription",LOWER($F478&amp;"")="membership"),"Subscription",IF(LOWER($L478&amp;"")="yes","Disqualified",IF(OR(LOWER($F478&amp;"")="free game",LOWER($F478&amp;"")="free"),IF(AND(ISNUMBER($P478),ISNUMBER($H478),$P478&gt;$H478),"Profit","Free Game"),IF($P478="","",IF(ROUND(IFERROR(VALUE($P478),0)-IFERROR(VALUE($H478),0),2)&gt;0,"Profit","Draw"))))))</x:f>
      </x:c>
      <x:c r="V478" s="144" t="str">
        <x:f>IF(COUNTA($A478:$M478)=0,"",IF(OR($B478="",$C478="",$U478="Subscription"),"",IFERROR(ROUNDUP(($C478-$B478)/7,0),"")))</x:f>
      </x:c>
      <x:c r="W478" s="112" t="str">
        <x:f>IF(COUNTA($A478:$M478)=0,"",IF(OR($U478="Subscription",$U478=""),"",ROUND(IFERROR($Q478,0)-IFERROR($S478,0),2)))</x:f>
      </x:c>
      <x:c r="X478" s="144" t="str">
        <x:f>IF(COUNTA($A478:$M478)=0,"",IF(OR($U478="Subscription",$U478="Free Game",NOT(ISNUMBER($J478)),NOT(ISNUMBER($I478)),$J478=0,$I478=0,$I478&gt;$J478),"",$J478-$I478))</x:f>
      </x:c>
      <x:c r="Y478" s="116" t="str">
        <x:f>IF(COUNTA($A478:$M478)=0,"",IF(OR($U478="Subscription",$U478="Free Game",NOT(ISNUMBER($J478)),$J478=0,$X478=""),"",$X478/$J478))</x:f>
      </x:c>
      <x:c r="Z478" s="118" t="str">
        <x:f>IF(COUNTA($A478:$M478)=0,"",Instructions!$B$29+SUM($W$5:W478))</x:f>
      </x:c>
    </x:row>
    <x:row r="479" ht="30" customHeight="1">
      <x:c r="A479" s="477"/>
      <x:c r="B479" s="482"/>
      <x:c r="C479" s="482"/>
      <x:c r="D479" s="483"/>
      <x:c r="E479" s="483"/>
      <x:c r="F479" s="483"/>
      <x:c r="G479" s="484"/>
      <x:c r="H479" s="484"/>
      <x:c r="I479" s="485"/>
      <x:c r="J479" s="485"/>
      <x:c r="K479" s="484"/>
      <x:c r="L479" s="483"/>
      <x:c r="M479" s="477"/>
      <x:c r="N479" s="112" t="str">
        <x:f>IF(COUNTA($A479:$M479)=0,"",IF(OR(LOWER($F479&amp;"")="subscription",LOWER($F479&amp;"")="membership"),"",IF($G479="","",IF(ISNUMBER(SEARCH("non",LOWER($E479&amp;""))),$G479*0.85,$G479))))</x:f>
      </x:c>
      <x:c r="O479" s="112" t="str">
        <x:f>IF(COUNTA($A479:$M479)=0,"",IF(OR(LOWER($F479&amp;"")="subscription",LOWER($F479&amp;"")="membership"),"",IF(OR($N479="",$I479="",$I479=0),"",IFERROR($N479/$I479,""))))</x:f>
      </x:c>
      <x:c r="P479" s="112" t="str">
        <x:f>IF(COUNTA($A479:$M479)=0,"",IF(OR(LOWER($F479&amp;"")="subscription",LOWER($F479&amp;"")="membership"),"",IF(LOWER($L479&amp;"")="yes",0,IF($K479&lt;&gt;"",$K479,IF($O479&lt;&gt;"",$O479,"")))))</x:f>
      </x:c>
      <x:c r="Q479" s="112" t="str">
        <x:f>IF(COUNTA($A479:$M479)=0,"",IF(OR($U479="Subscription",$U479=""),"",IF($U479="Profit",ROUND($P479-$H479,2),0)))</x:f>
      </x:c>
      <x:c r="R479" s="112" t="str">
        <x:f>IF(COUNTA($A479:$M479)=0,"",IF(OR($U479="Subscription",$U479=""),"",IF($U479="Draw",$H479,0)))</x:f>
      </x:c>
      <x:c r="S479" s="112" t="str">
        <x:f>IF(COUNTA($A479:$M479)=0,"",IF(OR($U479="Subscription",$U479=""),"",IF($U479="Disqualified",$H479,0)))</x:f>
      </x:c>
      <x:c r="T479" s="116" t="str">
        <x:f>IF(COUNTA($A479:$M479)=0,"",IF(OR($U479="Subscription",$U479=""),"",IF($H479=0,0,IF($U479="Profit",$Q479/$H479,IF($U479="Disqualified",-$S479/$H479,0)))))</x:f>
      </x:c>
      <x:c r="U479" s="290" t="str">
        <x:f>IF(COUNTA($A479:$M479)=0,"",IF(OR(LOWER($F479&amp;"")="subscription",LOWER($F479&amp;"")="membership"),"Subscription",IF(LOWER($L479&amp;"")="yes","Disqualified",IF(OR(LOWER($F479&amp;"")="free game",LOWER($F479&amp;"")="free"),IF(AND(ISNUMBER($P479),ISNUMBER($H479),$P479&gt;$H479),"Profit","Free Game"),IF($P479="","",IF(ROUND(IFERROR(VALUE($P479),0)-IFERROR(VALUE($H479),0),2)&gt;0,"Profit","Draw"))))))</x:f>
      </x:c>
      <x:c r="V479" s="144" t="str">
        <x:f>IF(COUNTA($A479:$M479)=0,"",IF(OR($B479="",$C479="",$U479="Subscription"),"",IFERROR(ROUNDUP(($C479-$B479)/7,0),"")))</x:f>
      </x:c>
      <x:c r="W479" s="112" t="str">
        <x:f>IF(COUNTA($A479:$M479)=0,"",IF(OR($U479="Subscription",$U479=""),"",ROUND(IFERROR($Q479,0)-IFERROR($S479,0),2)))</x:f>
      </x:c>
      <x:c r="X479" s="144" t="str">
        <x:f>IF(COUNTA($A479:$M479)=0,"",IF(OR($U479="Subscription",$U479="Free Game",NOT(ISNUMBER($J479)),NOT(ISNUMBER($I479)),$J479=0,$I479=0,$I479&gt;$J479),"",$J479-$I479))</x:f>
      </x:c>
      <x:c r="Y479" s="116" t="str">
        <x:f>IF(COUNTA($A479:$M479)=0,"",IF(OR($U479="Subscription",$U479="Free Game",NOT(ISNUMBER($J479)),$J479=0,$X479=""),"",$X479/$J479))</x:f>
      </x:c>
      <x:c r="Z479" s="118" t="str">
        <x:f>IF(COUNTA($A479:$M479)=0,"",Instructions!$B$29+SUM($W$5:W479))</x:f>
      </x:c>
    </x:row>
    <x:row r="480" ht="30" customHeight="1">
      <x:c r="A480" s="477"/>
      <x:c r="B480" s="482"/>
      <x:c r="C480" s="482"/>
      <x:c r="D480" s="483"/>
      <x:c r="E480" s="483"/>
      <x:c r="F480" s="483"/>
      <x:c r="G480" s="484"/>
      <x:c r="H480" s="484"/>
      <x:c r="I480" s="485"/>
      <x:c r="J480" s="485"/>
      <x:c r="K480" s="484"/>
      <x:c r="L480" s="483"/>
      <x:c r="M480" s="477"/>
      <x:c r="N480" s="112" t="str">
        <x:f>IF(COUNTA($A480:$M480)=0,"",IF(OR(LOWER($F480&amp;"")="subscription",LOWER($F480&amp;"")="membership"),"",IF($G480="","",IF(ISNUMBER(SEARCH("non",LOWER($E480&amp;""))),$G480*0.85,$G480))))</x:f>
      </x:c>
      <x:c r="O480" s="112" t="str">
        <x:f>IF(COUNTA($A480:$M480)=0,"",IF(OR(LOWER($F480&amp;"")="subscription",LOWER($F480&amp;"")="membership"),"",IF(OR($N480="",$I480="",$I480=0),"",IFERROR($N480/$I480,""))))</x:f>
      </x:c>
      <x:c r="P480" s="112" t="str">
        <x:f>IF(COUNTA($A480:$M480)=0,"",IF(OR(LOWER($F480&amp;"")="subscription",LOWER($F480&amp;"")="membership"),"",IF(LOWER($L480&amp;"")="yes",0,IF($K480&lt;&gt;"",$K480,IF($O480&lt;&gt;"",$O480,"")))))</x:f>
      </x:c>
      <x:c r="Q480" s="112" t="str">
        <x:f>IF(COUNTA($A480:$M480)=0,"",IF(OR($U480="Subscription",$U480=""),"",IF($U480="Profit",ROUND($P480-$H480,2),0)))</x:f>
      </x:c>
      <x:c r="R480" s="112" t="str">
        <x:f>IF(COUNTA($A480:$M480)=0,"",IF(OR($U480="Subscription",$U480=""),"",IF($U480="Draw",$H480,0)))</x:f>
      </x:c>
      <x:c r="S480" s="112" t="str">
        <x:f>IF(COUNTA($A480:$M480)=0,"",IF(OR($U480="Subscription",$U480=""),"",IF($U480="Disqualified",$H480,0)))</x:f>
      </x:c>
      <x:c r="T480" s="116" t="str">
        <x:f>IF(COUNTA($A480:$M480)=0,"",IF(OR($U480="Subscription",$U480=""),"",IF($H480=0,0,IF($U480="Profit",$Q480/$H480,IF($U480="Disqualified",-$S480/$H480,0)))))</x:f>
      </x:c>
      <x:c r="U480" s="290" t="str">
        <x:f>IF(COUNTA($A480:$M480)=0,"",IF(OR(LOWER($F480&amp;"")="subscription",LOWER($F480&amp;"")="membership"),"Subscription",IF(LOWER($L480&amp;"")="yes","Disqualified",IF(OR(LOWER($F480&amp;"")="free game",LOWER($F480&amp;"")="free"),IF(AND(ISNUMBER($P480),ISNUMBER($H480),$P480&gt;$H480),"Profit","Free Game"),IF($P480="","",IF(ROUND(IFERROR(VALUE($P480),0)-IFERROR(VALUE($H480),0),2)&gt;0,"Profit","Draw"))))))</x:f>
      </x:c>
      <x:c r="V480" s="144" t="str">
        <x:f>IF(COUNTA($A480:$M480)=0,"",IF(OR($B480="",$C480="",$U480="Subscription"),"",IFERROR(ROUNDUP(($C480-$B480)/7,0),"")))</x:f>
      </x:c>
      <x:c r="W480" s="112" t="str">
        <x:f>IF(COUNTA($A480:$M480)=0,"",IF(OR($U480="Subscription",$U480=""),"",ROUND(IFERROR($Q480,0)-IFERROR($S480,0),2)))</x:f>
      </x:c>
      <x:c r="X480" s="144" t="str">
        <x:f>IF(COUNTA($A480:$M480)=0,"",IF(OR($U480="Subscription",$U480="Free Game",NOT(ISNUMBER($J480)),NOT(ISNUMBER($I480)),$J480=0,$I480=0,$I480&gt;$J480),"",$J480-$I480))</x:f>
      </x:c>
      <x:c r="Y480" s="116" t="str">
        <x:f>IF(COUNTA($A480:$M480)=0,"",IF(OR($U480="Subscription",$U480="Free Game",NOT(ISNUMBER($J480)),$J480=0,$X480=""),"",$X480/$J480))</x:f>
      </x:c>
      <x:c r="Z480" s="118" t="str">
        <x:f>IF(COUNTA($A480:$M480)=0,"",Instructions!$B$29+SUM($W$5:W480))</x:f>
      </x:c>
    </x:row>
    <x:row r="481" ht="30" customHeight="1">
      <x:c r="A481" s="477"/>
      <x:c r="B481" s="482"/>
      <x:c r="C481" s="482"/>
      <x:c r="D481" s="483"/>
      <x:c r="E481" s="483"/>
      <x:c r="F481" s="483"/>
      <x:c r="G481" s="484"/>
      <x:c r="H481" s="484"/>
      <x:c r="I481" s="485"/>
      <x:c r="J481" s="485"/>
      <x:c r="K481" s="484"/>
      <x:c r="L481" s="483"/>
      <x:c r="M481" s="477"/>
      <x:c r="N481" s="112" t="str">
        <x:f>IF(COUNTA($A481:$M481)=0,"",IF(OR(LOWER($F481&amp;"")="subscription",LOWER($F481&amp;"")="membership"),"",IF($G481="","",IF(ISNUMBER(SEARCH("non",LOWER($E481&amp;""))),$G481*0.85,$G481))))</x:f>
      </x:c>
      <x:c r="O481" s="112" t="str">
        <x:f>IF(COUNTA($A481:$M481)=0,"",IF(OR(LOWER($F481&amp;"")="subscription",LOWER($F481&amp;"")="membership"),"",IF(OR($N481="",$I481="",$I481=0),"",IFERROR($N481/$I481,""))))</x:f>
      </x:c>
      <x:c r="P481" s="112" t="str">
        <x:f>IF(COUNTA($A481:$M481)=0,"",IF(OR(LOWER($F481&amp;"")="subscription",LOWER($F481&amp;"")="membership"),"",IF(LOWER($L481&amp;"")="yes",0,IF($K481&lt;&gt;"",$K481,IF($O481&lt;&gt;"",$O481,"")))))</x:f>
      </x:c>
      <x:c r="Q481" s="112" t="str">
        <x:f>IF(COUNTA($A481:$M481)=0,"",IF(OR($U481="Subscription",$U481=""),"",IF($U481="Profit",ROUND($P481-$H481,2),0)))</x:f>
      </x:c>
      <x:c r="R481" s="112" t="str">
        <x:f>IF(COUNTA($A481:$M481)=0,"",IF(OR($U481="Subscription",$U481=""),"",IF($U481="Draw",$H481,0)))</x:f>
      </x:c>
      <x:c r="S481" s="112" t="str">
        <x:f>IF(COUNTA($A481:$M481)=0,"",IF(OR($U481="Subscription",$U481=""),"",IF($U481="Disqualified",$H481,0)))</x:f>
      </x:c>
      <x:c r="T481" s="116" t="str">
        <x:f>IF(COUNTA($A481:$M481)=0,"",IF(OR($U481="Subscription",$U481=""),"",IF($H481=0,0,IF($U481="Profit",$Q481/$H481,IF($U481="Disqualified",-$S481/$H481,0)))))</x:f>
      </x:c>
      <x:c r="U481" s="290" t="str">
        <x:f>IF(COUNTA($A481:$M481)=0,"",IF(OR(LOWER($F481&amp;"")="subscription",LOWER($F481&amp;"")="membership"),"Subscription",IF(LOWER($L481&amp;"")="yes","Disqualified",IF(OR(LOWER($F481&amp;"")="free game",LOWER($F481&amp;"")="free"),IF(AND(ISNUMBER($P481),ISNUMBER($H481),$P481&gt;$H481),"Profit","Free Game"),IF($P481="","",IF(ROUND(IFERROR(VALUE($P481),0)-IFERROR(VALUE($H481),0),2)&gt;0,"Profit","Draw"))))))</x:f>
      </x:c>
      <x:c r="V481" s="144" t="str">
        <x:f>IF(COUNTA($A481:$M481)=0,"",IF(OR($B481="",$C481="",$U481="Subscription"),"",IFERROR(ROUNDUP(($C481-$B481)/7,0),"")))</x:f>
      </x:c>
      <x:c r="W481" s="112" t="str">
        <x:f>IF(COUNTA($A481:$M481)=0,"",IF(OR($U481="Subscription",$U481=""),"",ROUND(IFERROR($Q481,0)-IFERROR($S481,0),2)))</x:f>
      </x:c>
      <x:c r="X481" s="144" t="str">
        <x:f>IF(COUNTA($A481:$M481)=0,"",IF(OR($U481="Subscription",$U481="Free Game",NOT(ISNUMBER($J481)),NOT(ISNUMBER($I481)),$J481=0,$I481=0,$I481&gt;$J481),"",$J481-$I481))</x:f>
      </x:c>
      <x:c r="Y481" s="116" t="str">
        <x:f>IF(COUNTA($A481:$M481)=0,"",IF(OR($U481="Subscription",$U481="Free Game",NOT(ISNUMBER($J481)),$J481=0,$X481=""),"",$X481/$J481))</x:f>
      </x:c>
      <x:c r="Z481" s="118" t="str">
        <x:f>IF(COUNTA($A481:$M481)=0,"",Instructions!$B$29+SUM($W$5:W481))</x:f>
      </x:c>
    </x:row>
    <x:row r="482" ht="30" customHeight="1">
      <x:c r="A482" s="477"/>
      <x:c r="B482" s="482"/>
      <x:c r="C482" s="482"/>
      <x:c r="D482" s="483"/>
      <x:c r="E482" s="483"/>
      <x:c r="F482" s="483"/>
      <x:c r="G482" s="484"/>
      <x:c r="H482" s="484"/>
      <x:c r="I482" s="485"/>
      <x:c r="J482" s="485"/>
      <x:c r="K482" s="484"/>
      <x:c r="L482" s="483"/>
      <x:c r="M482" s="477"/>
      <x:c r="N482" s="112" t="str">
        <x:f>IF(COUNTA($A482:$M482)=0,"",IF(OR(LOWER($F482&amp;"")="subscription",LOWER($F482&amp;"")="membership"),"",IF($G482="","",IF(ISNUMBER(SEARCH("non",LOWER($E482&amp;""))),$G482*0.85,$G482))))</x:f>
      </x:c>
      <x:c r="O482" s="112" t="str">
        <x:f>IF(COUNTA($A482:$M482)=0,"",IF(OR(LOWER($F482&amp;"")="subscription",LOWER($F482&amp;"")="membership"),"",IF(OR($N482="",$I482="",$I482=0),"",IFERROR($N482/$I482,""))))</x:f>
      </x:c>
      <x:c r="P482" s="112" t="str">
        <x:f>IF(COUNTA($A482:$M482)=0,"",IF(OR(LOWER($F482&amp;"")="subscription",LOWER($F482&amp;"")="membership"),"",IF(LOWER($L482&amp;"")="yes",0,IF($K482&lt;&gt;"",$K482,IF($O482&lt;&gt;"",$O482,"")))))</x:f>
      </x:c>
      <x:c r="Q482" s="112" t="str">
        <x:f>IF(COUNTA($A482:$M482)=0,"",IF(OR($U482="Subscription",$U482=""),"",IF($U482="Profit",ROUND($P482-$H482,2),0)))</x:f>
      </x:c>
      <x:c r="R482" s="112" t="str">
        <x:f>IF(COUNTA($A482:$M482)=0,"",IF(OR($U482="Subscription",$U482=""),"",IF($U482="Draw",$H482,0)))</x:f>
      </x:c>
      <x:c r="S482" s="112" t="str">
        <x:f>IF(COUNTA($A482:$M482)=0,"",IF(OR($U482="Subscription",$U482=""),"",IF($U482="Disqualified",$H482,0)))</x:f>
      </x:c>
      <x:c r="T482" s="116" t="str">
        <x:f>IF(COUNTA($A482:$M482)=0,"",IF(OR($U482="Subscription",$U482=""),"",IF($H482=0,0,IF($U482="Profit",$Q482/$H482,IF($U482="Disqualified",-$S482/$H482,0)))))</x:f>
      </x:c>
      <x:c r="U482" s="290" t="str">
        <x:f>IF(COUNTA($A482:$M482)=0,"",IF(OR(LOWER($F482&amp;"")="subscription",LOWER($F482&amp;"")="membership"),"Subscription",IF(LOWER($L482&amp;"")="yes","Disqualified",IF(OR(LOWER($F482&amp;"")="free game",LOWER($F482&amp;"")="free"),IF(AND(ISNUMBER($P482),ISNUMBER($H482),$P482&gt;$H482),"Profit","Free Game"),IF($P482="","",IF(ROUND(IFERROR(VALUE($P482),0)-IFERROR(VALUE($H482),0),2)&gt;0,"Profit","Draw"))))))</x:f>
      </x:c>
      <x:c r="V482" s="144" t="str">
        <x:f>IF(COUNTA($A482:$M482)=0,"",IF(OR($B482="",$C482="",$U482="Subscription"),"",IFERROR(ROUNDUP(($C482-$B482)/7,0),"")))</x:f>
      </x:c>
      <x:c r="W482" s="112" t="str">
        <x:f>IF(COUNTA($A482:$M482)=0,"",IF(OR($U482="Subscription",$U482=""),"",ROUND(IFERROR($Q482,0)-IFERROR($S482,0),2)))</x:f>
      </x:c>
      <x:c r="X482" s="144" t="str">
        <x:f>IF(COUNTA($A482:$M482)=0,"",IF(OR($U482="Subscription",$U482="Free Game",NOT(ISNUMBER($J482)),NOT(ISNUMBER($I482)),$J482=0,$I482=0,$I482&gt;$J482),"",$J482-$I482))</x:f>
      </x:c>
      <x:c r="Y482" s="116" t="str">
        <x:f>IF(COUNTA($A482:$M482)=0,"",IF(OR($U482="Subscription",$U482="Free Game",NOT(ISNUMBER($J482)),$J482=0,$X482=""),"",$X482/$J482))</x:f>
      </x:c>
      <x:c r="Z482" s="118" t="str">
        <x:f>IF(COUNTA($A482:$M482)=0,"",Instructions!$B$29+SUM($W$5:W482))</x:f>
      </x:c>
    </x:row>
    <x:row r="483" ht="30" customHeight="1">
      <x:c r="A483" s="477"/>
      <x:c r="B483" s="482"/>
      <x:c r="C483" s="482"/>
      <x:c r="D483" s="483"/>
      <x:c r="E483" s="483"/>
      <x:c r="F483" s="483"/>
      <x:c r="G483" s="484"/>
      <x:c r="H483" s="484"/>
      <x:c r="I483" s="485"/>
      <x:c r="J483" s="485"/>
      <x:c r="K483" s="484"/>
      <x:c r="L483" s="483"/>
      <x:c r="M483" s="477"/>
      <x:c r="N483" s="112" t="str">
        <x:f>IF(COUNTA($A483:$M483)=0,"",IF(OR(LOWER($F483&amp;"")="subscription",LOWER($F483&amp;"")="membership"),"",IF($G483="","",IF(ISNUMBER(SEARCH("non",LOWER($E483&amp;""))),$G483*0.85,$G483))))</x:f>
      </x:c>
      <x:c r="O483" s="112" t="str">
        <x:f>IF(COUNTA($A483:$M483)=0,"",IF(OR(LOWER($F483&amp;"")="subscription",LOWER($F483&amp;"")="membership"),"",IF(OR($N483="",$I483="",$I483=0),"",IFERROR($N483/$I483,""))))</x:f>
      </x:c>
      <x:c r="P483" s="112" t="str">
        <x:f>IF(COUNTA($A483:$M483)=0,"",IF(OR(LOWER($F483&amp;"")="subscription",LOWER($F483&amp;"")="membership"),"",IF(LOWER($L483&amp;"")="yes",0,IF($K483&lt;&gt;"",$K483,IF($O483&lt;&gt;"",$O483,"")))))</x:f>
      </x:c>
      <x:c r="Q483" s="112" t="str">
        <x:f>IF(COUNTA($A483:$M483)=0,"",IF(OR($U483="Subscription",$U483=""),"",IF($U483="Profit",ROUND($P483-$H483,2),0)))</x:f>
      </x:c>
      <x:c r="R483" s="112" t="str">
        <x:f>IF(COUNTA($A483:$M483)=0,"",IF(OR($U483="Subscription",$U483=""),"",IF($U483="Draw",$H483,0)))</x:f>
      </x:c>
      <x:c r="S483" s="112" t="str">
        <x:f>IF(COUNTA($A483:$M483)=0,"",IF(OR($U483="Subscription",$U483=""),"",IF($U483="Disqualified",$H483,0)))</x:f>
      </x:c>
      <x:c r="T483" s="116" t="str">
        <x:f>IF(COUNTA($A483:$M483)=0,"",IF(OR($U483="Subscription",$U483=""),"",IF($H483=0,0,IF($U483="Profit",$Q483/$H483,IF($U483="Disqualified",-$S483/$H483,0)))))</x:f>
      </x:c>
      <x:c r="U483" s="290" t="str">
        <x:f>IF(COUNTA($A483:$M483)=0,"",IF(OR(LOWER($F483&amp;"")="subscription",LOWER($F483&amp;"")="membership"),"Subscription",IF(LOWER($L483&amp;"")="yes","Disqualified",IF(OR(LOWER($F483&amp;"")="free game",LOWER($F483&amp;"")="free"),IF(AND(ISNUMBER($P483),ISNUMBER($H483),$P483&gt;$H483),"Profit","Free Game"),IF($P483="","",IF(ROUND(IFERROR(VALUE($P483),0)-IFERROR(VALUE($H483),0),2)&gt;0,"Profit","Draw"))))))</x:f>
      </x:c>
      <x:c r="V483" s="144" t="str">
        <x:f>IF(COUNTA($A483:$M483)=0,"",IF(OR($B483="",$C483="",$U483="Subscription"),"",IFERROR(ROUNDUP(($C483-$B483)/7,0),"")))</x:f>
      </x:c>
      <x:c r="W483" s="112" t="str">
        <x:f>IF(COUNTA($A483:$M483)=0,"",IF(OR($U483="Subscription",$U483=""),"",ROUND(IFERROR($Q483,0)-IFERROR($S483,0),2)))</x:f>
      </x:c>
      <x:c r="X483" s="144" t="str">
        <x:f>IF(COUNTA($A483:$M483)=0,"",IF(OR($U483="Subscription",$U483="Free Game",NOT(ISNUMBER($J483)),NOT(ISNUMBER($I483)),$J483=0,$I483=0,$I483&gt;$J483),"",$J483-$I483))</x:f>
      </x:c>
      <x:c r="Y483" s="116" t="str">
        <x:f>IF(COUNTA($A483:$M483)=0,"",IF(OR($U483="Subscription",$U483="Free Game",NOT(ISNUMBER($J483)),$J483=0,$X483=""),"",$X483/$J483))</x:f>
      </x:c>
      <x:c r="Z483" s="118" t="str">
        <x:f>IF(COUNTA($A483:$M483)=0,"",Instructions!$B$29+SUM($W$5:W483))</x:f>
      </x:c>
    </x:row>
    <x:row r="484" ht="30" customHeight="1">
      <x:c r="A484" s="477"/>
      <x:c r="B484" s="482"/>
      <x:c r="C484" s="482"/>
      <x:c r="D484" s="483"/>
      <x:c r="E484" s="483"/>
      <x:c r="F484" s="483"/>
      <x:c r="G484" s="484"/>
      <x:c r="H484" s="484"/>
      <x:c r="I484" s="485"/>
      <x:c r="J484" s="485"/>
      <x:c r="K484" s="484"/>
      <x:c r="L484" s="483"/>
      <x:c r="M484" s="477"/>
      <x:c r="N484" s="112" t="str">
        <x:f>IF(COUNTA($A484:$M484)=0,"",IF(OR(LOWER($F484&amp;"")="subscription",LOWER($F484&amp;"")="membership"),"",IF($G484="","",IF(ISNUMBER(SEARCH("non",LOWER($E484&amp;""))),$G484*0.85,$G484))))</x:f>
      </x:c>
      <x:c r="O484" s="112" t="str">
        <x:f>IF(COUNTA($A484:$M484)=0,"",IF(OR(LOWER($F484&amp;"")="subscription",LOWER($F484&amp;"")="membership"),"",IF(OR($N484="",$I484="",$I484=0),"",IFERROR($N484/$I484,""))))</x:f>
      </x:c>
      <x:c r="P484" s="112" t="str">
        <x:f>IF(COUNTA($A484:$M484)=0,"",IF(OR(LOWER($F484&amp;"")="subscription",LOWER($F484&amp;"")="membership"),"",IF(LOWER($L484&amp;"")="yes",0,IF($K484&lt;&gt;"",$K484,IF($O484&lt;&gt;"",$O484,"")))))</x:f>
      </x:c>
      <x:c r="Q484" s="112" t="str">
        <x:f>IF(COUNTA($A484:$M484)=0,"",IF(OR($U484="Subscription",$U484=""),"",IF($U484="Profit",ROUND($P484-$H484,2),0)))</x:f>
      </x:c>
      <x:c r="R484" s="112" t="str">
        <x:f>IF(COUNTA($A484:$M484)=0,"",IF(OR($U484="Subscription",$U484=""),"",IF($U484="Draw",$H484,0)))</x:f>
      </x:c>
      <x:c r="S484" s="112" t="str">
        <x:f>IF(COUNTA($A484:$M484)=0,"",IF(OR($U484="Subscription",$U484=""),"",IF($U484="Disqualified",$H484,0)))</x:f>
      </x:c>
      <x:c r="T484" s="116" t="str">
        <x:f>IF(COUNTA($A484:$M484)=0,"",IF(OR($U484="Subscription",$U484=""),"",IF($H484=0,0,IF($U484="Profit",$Q484/$H484,IF($U484="Disqualified",-$S484/$H484,0)))))</x:f>
      </x:c>
      <x:c r="U484" s="290" t="str">
        <x:f>IF(COUNTA($A484:$M484)=0,"",IF(OR(LOWER($F484&amp;"")="subscription",LOWER($F484&amp;"")="membership"),"Subscription",IF(LOWER($L484&amp;"")="yes","Disqualified",IF(OR(LOWER($F484&amp;"")="free game",LOWER($F484&amp;"")="free"),IF(AND(ISNUMBER($P484),ISNUMBER($H484),$P484&gt;$H484),"Profit","Free Game"),IF($P484="","",IF(ROUND(IFERROR(VALUE($P484),0)-IFERROR(VALUE($H484),0),2)&gt;0,"Profit","Draw"))))))</x:f>
      </x:c>
      <x:c r="V484" s="144" t="str">
        <x:f>IF(COUNTA($A484:$M484)=0,"",IF(OR($B484="",$C484="",$U484="Subscription"),"",IFERROR(ROUNDUP(($C484-$B484)/7,0),"")))</x:f>
      </x:c>
      <x:c r="W484" s="112" t="str">
        <x:f>IF(COUNTA($A484:$M484)=0,"",IF(OR($U484="Subscription",$U484=""),"",ROUND(IFERROR($Q484,0)-IFERROR($S484,0),2)))</x:f>
      </x:c>
      <x:c r="X484" s="144" t="str">
        <x:f>IF(COUNTA($A484:$M484)=0,"",IF(OR($U484="Subscription",$U484="Free Game",NOT(ISNUMBER($J484)),NOT(ISNUMBER($I484)),$J484=0,$I484=0,$I484&gt;$J484),"",$J484-$I484))</x:f>
      </x:c>
      <x:c r="Y484" s="116" t="str">
        <x:f>IF(COUNTA($A484:$M484)=0,"",IF(OR($U484="Subscription",$U484="Free Game",NOT(ISNUMBER($J484)),$J484=0,$X484=""),"",$X484/$J484))</x:f>
      </x:c>
      <x:c r="Z484" s="118" t="str">
        <x:f>IF(COUNTA($A484:$M484)=0,"",Instructions!$B$29+SUM($W$5:W484))</x:f>
      </x:c>
    </x:row>
    <x:row r="485" ht="30" customHeight="1">
      <x:c r="A485" s="477"/>
      <x:c r="B485" s="482"/>
      <x:c r="C485" s="482"/>
      <x:c r="D485" s="483"/>
      <x:c r="E485" s="483"/>
      <x:c r="F485" s="483"/>
      <x:c r="G485" s="484"/>
      <x:c r="H485" s="484"/>
      <x:c r="I485" s="485"/>
      <x:c r="J485" s="485"/>
      <x:c r="K485" s="484"/>
      <x:c r="L485" s="483"/>
      <x:c r="M485" s="477"/>
      <x:c r="N485" s="112" t="str">
        <x:f>IF(COUNTA($A485:$M485)=0,"",IF(OR(LOWER($F485&amp;"")="subscription",LOWER($F485&amp;"")="membership"),"",IF($G485="","",IF(ISNUMBER(SEARCH("non",LOWER($E485&amp;""))),$G485*0.85,$G485))))</x:f>
      </x:c>
      <x:c r="O485" s="112" t="str">
        <x:f>IF(COUNTA($A485:$M485)=0,"",IF(OR(LOWER($F485&amp;"")="subscription",LOWER($F485&amp;"")="membership"),"",IF(OR($N485="",$I485="",$I485=0),"",IFERROR($N485/$I485,""))))</x:f>
      </x:c>
      <x:c r="P485" s="112" t="str">
        <x:f>IF(COUNTA($A485:$M485)=0,"",IF(OR(LOWER($F485&amp;"")="subscription",LOWER($F485&amp;"")="membership"),"",IF(LOWER($L485&amp;"")="yes",0,IF($K485&lt;&gt;"",$K485,IF($O485&lt;&gt;"",$O485,"")))))</x:f>
      </x:c>
      <x:c r="Q485" s="112" t="str">
        <x:f>IF(COUNTA($A485:$M485)=0,"",IF(OR($U485="Subscription",$U485=""),"",IF($U485="Profit",ROUND($P485-$H485,2),0)))</x:f>
      </x:c>
      <x:c r="R485" s="112" t="str">
        <x:f>IF(COUNTA($A485:$M485)=0,"",IF(OR($U485="Subscription",$U485=""),"",IF($U485="Draw",$H485,0)))</x:f>
      </x:c>
      <x:c r="S485" s="112" t="str">
        <x:f>IF(COUNTA($A485:$M485)=0,"",IF(OR($U485="Subscription",$U485=""),"",IF($U485="Disqualified",$H485,0)))</x:f>
      </x:c>
      <x:c r="T485" s="116" t="str">
        <x:f>IF(COUNTA($A485:$M485)=0,"",IF(OR($U485="Subscription",$U485=""),"",IF($H485=0,0,IF($U485="Profit",$Q485/$H485,IF($U485="Disqualified",-$S485/$H485,0)))))</x:f>
      </x:c>
      <x:c r="U485" s="290" t="str">
        <x:f>IF(COUNTA($A485:$M485)=0,"",IF(OR(LOWER($F485&amp;"")="subscription",LOWER($F485&amp;"")="membership"),"Subscription",IF(LOWER($L485&amp;"")="yes","Disqualified",IF(OR(LOWER($F485&amp;"")="free game",LOWER($F485&amp;"")="free"),IF(AND(ISNUMBER($P485),ISNUMBER($H485),$P485&gt;$H485),"Profit","Free Game"),IF($P485="","",IF(ROUND(IFERROR(VALUE($P485),0)-IFERROR(VALUE($H485),0),2)&gt;0,"Profit","Draw"))))))</x:f>
      </x:c>
      <x:c r="V485" s="144" t="str">
        <x:f>IF(COUNTA($A485:$M485)=0,"",IF(OR($B485="",$C485="",$U485="Subscription"),"",IFERROR(ROUNDUP(($C485-$B485)/7,0),"")))</x:f>
      </x:c>
      <x:c r="W485" s="112" t="str">
        <x:f>IF(COUNTA($A485:$M485)=0,"",IF(OR($U485="Subscription",$U485=""),"",ROUND(IFERROR($Q485,0)-IFERROR($S485,0),2)))</x:f>
      </x:c>
      <x:c r="X485" s="144" t="str">
        <x:f>IF(COUNTA($A485:$M485)=0,"",IF(OR($U485="Subscription",$U485="Free Game",NOT(ISNUMBER($J485)),NOT(ISNUMBER($I485)),$J485=0,$I485=0,$I485&gt;$J485),"",$J485-$I485))</x:f>
      </x:c>
      <x:c r="Y485" s="116" t="str">
        <x:f>IF(COUNTA($A485:$M485)=0,"",IF(OR($U485="Subscription",$U485="Free Game",NOT(ISNUMBER($J485)),$J485=0,$X485=""),"",$X485/$J485))</x:f>
      </x:c>
      <x:c r="Z485" s="118" t="str">
        <x:f>IF(COUNTA($A485:$M485)=0,"",Instructions!$B$29+SUM($W$5:W485))</x:f>
      </x:c>
    </x:row>
    <x:row r="486" ht="30" customHeight="1">
      <x:c r="A486" s="477"/>
      <x:c r="B486" s="482"/>
      <x:c r="C486" s="482"/>
      <x:c r="D486" s="483"/>
      <x:c r="E486" s="483"/>
      <x:c r="F486" s="483"/>
      <x:c r="G486" s="484"/>
      <x:c r="H486" s="484"/>
      <x:c r="I486" s="485"/>
      <x:c r="J486" s="485"/>
      <x:c r="K486" s="484"/>
      <x:c r="L486" s="483"/>
      <x:c r="M486" s="477"/>
      <x:c r="N486" s="112" t="str">
        <x:f>IF(COUNTA($A486:$M486)=0,"",IF(OR(LOWER($F486&amp;"")="subscription",LOWER($F486&amp;"")="membership"),"",IF($G486="","",IF(ISNUMBER(SEARCH("non",LOWER($E486&amp;""))),$G486*0.85,$G486))))</x:f>
      </x:c>
      <x:c r="O486" s="112" t="str">
        <x:f>IF(COUNTA($A486:$M486)=0,"",IF(OR(LOWER($F486&amp;"")="subscription",LOWER($F486&amp;"")="membership"),"",IF(OR($N486="",$I486="",$I486=0),"",IFERROR($N486/$I486,""))))</x:f>
      </x:c>
      <x:c r="P486" s="112" t="str">
        <x:f>IF(COUNTA($A486:$M486)=0,"",IF(OR(LOWER($F486&amp;"")="subscription",LOWER($F486&amp;"")="membership"),"",IF(LOWER($L486&amp;"")="yes",0,IF($K486&lt;&gt;"",$K486,IF($O486&lt;&gt;"",$O486,"")))))</x:f>
      </x:c>
      <x:c r="Q486" s="112" t="str">
        <x:f>IF(COUNTA($A486:$M486)=0,"",IF(OR($U486="Subscription",$U486=""),"",IF($U486="Profit",ROUND($P486-$H486,2),0)))</x:f>
      </x:c>
      <x:c r="R486" s="112" t="str">
        <x:f>IF(COUNTA($A486:$M486)=0,"",IF(OR($U486="Subscription",$U486=""),"",IF($U486="Draw",$H486,0)))</x:f>
      </x:c>
      <x:c r="S486" s="112" t="str">
        <x:f>IF(COUNTA($A486:$M486)=0,"",IF(OR($U486="Subscription",$U486=""),"",IF($U486="Disqualified",$H486,0)))</x:f>
      </x:c>
      <x:c r="T486" s="116" t="str">
        <x:f>IF(COUNTA($A486:$M486)=0,"",IF(OR($U486="Subscription",$U486=""),"",IF($H486=0,0,IF($U486="Profit",$Q486/$H486,IF($U486="Disqualified",-$S486/$H486,0)))))</x:f>
      </x:c>
      <x:c r="U486" s="290" t="str">
        <x:f>IF(COUNTA($A486:$M486)=0,"",IF(OR(LOWER($F486&amp;"")="subscription",LOWER($F486&amp;"")="membership"),"Subscription",IF(LOWER($L486&amp;"")="yes","Disqualified",IF(OR(LOWER($F486&amp;"")="free game",LOWER($F486&amp;"")="free"),IF(AND(ISNUMBER($P486),ISNUMBER($H486),$P486&gt;$H486),"Profit","Free Game"),IF($P486="","",IF(ROUND(IFERROR(VALUE($P486),0)-IFERROR(VALUE($H486),0),2)&gt;0,"Profit","Draw"))))))</x:f>
      </x:c>
      <x:c r="V486" s="144" t="str">
        <x:f>IF(COUNTA($A486:$M486)=0,"",IF(OR($B486="",$C486="",$U486="Subscription"),"",IFERROR(ROUNDUP(($C486-$B486)/7,0),"")))</x:f>
      </x:c>
      <x:c r="W486" s="112" t="str">
        <x:f>IF(COUNTA($A486:$M486)=0,"",IF(OR($U486="Subscription",$U486=""),"",ROUND(IFERROR($Q486,0)-IFERROR($S486,0),2)))</x:f>
      </x:c>
      <x:c r="X486" s="144" t="str">
        <x:f>IF(COUNTA($A486:$M486)=0,"",IF(OR($U486="Subscription",$U486="Free Game",NOT(ISNUMBER($J486)),NOT(ISNUMBER($I486)),$J486=0,$I486=0,$I486&gt;$J486),"",$J486-$I486))</x:f>
      </x:c>
      <x:c r="Y486" s="116" t="str">
        <x:f>IF(COUNTA($A486:$M486)=0,"",IF(OR($U486="Subscription",$U486="Free Game",NOT(ISNUMBER($J486)),$J486=0,$X486=""),"",$X486/$J486))</x:f>
      </x:c>
      <x:c r="Z486" s="118" t="str">
        <x:f>IF(COUNTA($A486:$M486)=0,"",Instructions!$B$29+SUM($W$5:W486))</x:f>
      </x:c>
    </x:row>
    <x:row r="487" ht="30" customHeight="1">
      <x:c r="A487" s="477"/>
      <x:c r="B487" s="482"/>
      <x:c r="C487" s="482"/>
      <x:c r="D487" s="483"/>
      <x:c r="E487" s="483"/>
      <x:c r="F487" s="483"/>
      <x:c r="G487" s="484"/>
      <x:c r="H487" s="484"/>
      <x:c r="I487" s="485"/>
      <x:c r="J487" s="485"/>
      <x:c r="K487" s="484"/>
      <x:c r="L487" s="483"/>
      <x:c r="M487" s="477"/>
      <x:c r="N487" s="112" t="str">
        <x:f>IF(COUNTA($A487:$M487)=0,"",IF(OR(LOWER($F487&amp;"")="subscription",LOWER($F487&amp;"")="membership"),"",IF($G487="","",IF(ISNUMBER(SEARCH("non",LOWER($E487&amp;""))),$G487*0.85,$G487))))</x:f>
      </x:c>
      <x:c r="O487" s="112" t="str">
        <x:f>IF(COUNTA($A487:$M487)=0,"",IF(OR(LOWER($F487&amp;"")="subscription",LOWER($F487&amp;"")="membership"),"",IF(OR($N487="",$I487="",$I487=0),"",IFERROR($N487/$I487,""))))</x:f>
      </x:c>
      <x:c r="P487" s="112" t="str">
        <x:f>IF(COUNTA($A487:$M487)=0,"",IF(OR(LOWER($F487&amp;"")="subscription",LOWER($F487&amp;"")="membership"),"",IF(LOWER($L487&amp;"")="yes",0,IF($K487&lt;&gt;"",$K487,IF($O487&lt;&gt;"",$O487,"")))))</x:f>
      </x:c>
      <x:c r="Q487" s="112" t="str">
        <x:f>IF(COUNTA($A487:$M487)=0,"",IF(OR($U487="Subscription",$U487=""),"",IF($U487="Profit",ROUND($P487-$H487,2),0)))</x:f>
      </x:c>
      <x:c r="R487" s="112" t="str">
        <x:f>IF(COUNTA($A487:$M487)=0,"",IF(OR($U487="Subscription",$U487=""),"",IF($U487="Draw",$H487,0)))</x:f>
      </x:c>
      <x:c r="S487" s="112" t="str">
        <x:f>IF(COUNTA($A487:$M487)=0,"",IF(OR($U487="Subscription",$U487=""),"",IF($U487="Disqualified",$H487,0)))</x:f>
      </x:c>
      <x:c r="T487" s="116" t="str">
        <x:f>IF(COUNTA($A487:$M487)=0,"",IF(OR($U487="Subscription",$U487=""),"",IF($H487=0,0,IF($U487="Profit",$Q487/$H487,IF($U487="Disqualified",-$S487/$H487,0)))))</x:f>
      </x:c>
      <x:c r="U487" s="290" t="str">
        <x:f>IF(COUNTA($A487:$M487)=0,"",IF(OR(LOWER($F487&amp;"")="subscription",LOWER($F487&amp;"")="membership"),"Subscription",IF(LOWER($L487&amp;"")="yes","Disqualified",IF(OR(LOWER($F487&amp;"")="free game",LOWER($F487&amp;"")="free"),IF(AND(ISNUMBER($P487),ISNUMBER($H487),$P487&gt;$H487),"Profit","Free Game"),IF($P487="","",IF(ROUND(IFERROR(VALUE($P487),0)-IFERROR(VALUE($H487),0),2)&gt;0,"Profit","Draw"))))))</x:f>
      </x:c>
      <x:c r="V487" s="144" t="str">
        <x:f>IF(COUNTA($A487:$M487)=0,"",IF(OR($B487="",$C487="",$U487="Subscription"),"",IFERROR(ROUNDUP(($C487-$B487)/7,0),"")))</x:f>
      </x:c>
      <x:c r="W487" s="112" t="str">
        <x:f>IF(COUNTA($A487:$M487)=0,"",IF(OR($U487="Subscription",$U487=""),"",ROUND(IFERROR($Q487,0)-IFERROR($S487,0),2)))</x:f>
      </x:c>
      <x:c r="X487" s="144" t="str">
        <x:f>IF(COUNTA($A487:$M487)=0,"",IF(OR($U487="Subscription",$U487="Free Game",NOT(ISNUMBER($J487)),NOT(ISNUMBER($I487)),$J487=0,$I487=0,$I487&gt;$J487),"",$J487-$I487))</x:f>
      </x:c>
      <x:c r="Y487" s="116" t="str">
        <x:f>IF(COUNTA($A487:$M487)=0,"",IF(OR($U487="Subscription",$U487="Free Game",NOT(ISNUMBER($J487)),$J487=0,$X487=""),"",$X487/$J487))</x:f>
      </x:c>
      <x:c r="Z487" s="118" t="str">
        <x:f>IF(COUNTA($A487:$M487)=0,"",Instructions!$B$29+SUM($W$5:W487))</x:f>
      </x:c>
    </x:row>
    <x:row r="488" ht="30" customHeight="1">
      <x:c r="A488" s="477"/>
      <x:c r="B488" s="482"/>
      <x:c r="C488" s="482"/>
      <x:c r="D488" s="483"/>
      <x:c r="E488" s="483"/>
      <x:c r="F488" s="483"/>
      <x:c r="G488" s="484"/>
      <x:c r="H488" s="484"/>
      <x:c r="I488" s="485"/>
      <x:c r="J488" s="485"/>
      <x:c r="K488" s="484"/>
      <x:c r="L488" s="483"/>
      <x:c r="M488" s="477"/>
      <x:c r="N488" s="112" t="str">
        <x:f>IF(COUNTA($A488:$M488)=0,"",IF(OR(LOWER($F488&amp;"")="subscription",LOWER($F488&amp;"")="membership"),"",IF($G488="","",IF(ISNUMBER(SEARCH("non",LOWER($E488&amp;""))),$G488*0.85,$G488))))</x:f>
      </x:c>
      <x:c r="O488" s="112" t="str">
        <x:f>IF(COUNTA($A488:$M488)=0,"",IF(OR(LOWER($F488&amp;"")="subscription",LOWER($F488&amp;"")="membership"),"",IF(OR($N488="",$I488="",$I488=0),"",IFERROR($N488/$I488,""))))</x:f>
      </x:c>
      <x:c r="P488" s="112" t="str">
        <x:f>IF(COUNTA($A488:$M488)=0,"",IF(OR(LOWER($F488&amp;"")="subscription",LOWER($F488&amp;"")="membership"),"",IF(LOWER($L488&amp;"")="yes",0,IF($K488&lt;&gt;"",$K488,IF($O488&lt;&gt;"",$O488,"")))))</x:f>
      </x:c>
      <x:c r="Q488" s="112" t="str">
        <x:f>IF(COUNTA($A488:$M488)=0,"",IF(OR($U488="Subscription",$U488=""),"",IF($U488="Profit",ROUND($P488-$H488,2),0)))</x:f>
      </x:c>
      <x:c r="R488" s="112" t="str">
        <x:f>IF(COUNTA($A488:$M488)=0,"",IF(OR($U488="Subscription",$U488=""),"",IF($U488="Draw",$H488,0)))</x:f>
      </x:c>
      <x:c r="S488" s="112" t="str">
        <x:f>IF(COUNTA($A488:$M488)=0,"",IF(OR($U488="Subscription",$U488=""),"",IF($U488="Disqualified",$H488,0)))</x:f>
      </x:c>
      <x:c r="T488" s="116" t="str">
        <x:f>IF(COUNTA($A488:$M488)=0,"",IF(OR($U488="Subscription",$U488=""),"",IF($H488=0,0,IF($U488="Profit",$Q488/$H488,IF($U488="Disqualified",-$S488/$H488,0)))))</x:f>
      </x:c>
      <x:c r="U488" s="290" t="str">
        <x:f>IF(COUNTA($A488:$M488)=0,"",IF(OR(LOWER($F488&amp;"")="subscription",LOWER($F488&amp;"")="membership"),"Subscription",IF(LOWER($L488&amp;"")="yes","Disqualified",IF(OR(LOWER($F488&amp;"")="free game",LOWER($F488&amp;"")="free"),IF(AND(ISNUMBER($P488),ISNUMBER($H488),$P488&gt;$H488),"Profit","Free Game"),IF($P488="","",IF(ROUND(IFERROR(VALUE($P488),0)-IFERROR(VALUE($H488),0),2)&gt;0,"Profit","Draw"))))))</x:f>
      </x:c>
      <x:c r="V488" s="144" t="str">
        <x:f>IF(COUNTA($A488:$M488)=0,"",IF(OR($B488="",$C488="",$U488="Subscription"),"",IFERROR(ROUNDUP(($C488-$B488)/7,0),"")))</x:f>
      </x:c>
      <x:c r="W488" s="112" t="str">
        <x:f>IF(COUNTA($A488:$M488)=0,"",IF(OR($U488="Subscription",$U488=""),"",ROUND(IFERROR($Q488,0)-IFERROR($S488,0),2)))</x:f>
      </x:c>
      <x:c r="X488" s="144" t="str">
        <x:f>IF(COUNTA($A488:$M488)=0,"",IF(OR($U488="Subscription",$U488="Free Game",NOT(ISNUMBER($J488)),NOT(ISNUMBER($I488)),$J488=0,$I488=0,$I488&gt;$J488),"",$J488-$I488))</x:f>
      </x:c>
      <x:c r="Y488" s="116" t="str">
        <x:f>IF(COUNTA($A488:$M488)=0,"",IF(OR($U488="Subscription",$U488="Free Game",NOT(ISNUMBER($J488)),$J488=0,$X488=""),"",$X488/$J488))</x:f>
      </x:c>
      <x:c r="Z488" s="118" t="str">
        <x:f>IF(COUNTA($A488:$M488)=0,"",Instructions!$B$29+SUM($W$5:W488))</x:f>
      </x:c>
    </x:row>
    <x:row r="489" ht="30" customHeight="1">
      <x:c r="A489" s="477"/>
      <x:c r="B489" s="482"/>
      <x:c r="C489" s="482"/>
      <x:c r="D489" s="483"/>
      <x:c r="E489" s="483"/>
      <x:c r="F489" s="483"/>
      <x:c r="G489" s="484"/>
      <x:c r="H489" s="484"/>
      <x:c r="I489" s="485"/>
      <x:c r="J489" s="485"/>
      <x:c r="K489" s="484"/>
      <x:c r="L489" s="483"/>
      <x:c r="M489" s="477"/>
      <x:c r="N489" s="112" t="str">
        <x:f>IF(COUNTA($A489:$M489)=0,"",IF(OR(LOWER($F489&amp;"")="subscription",LOWER($F489&amp;"")="membership"),"",IF($G489="","",IF(ISNUMBER(SEARCH("non",LOWER($E489&amp;""))),$G489*0.85,$G489))))</x:f>
      </x:c>
      <x:c r="O489" s="112" t="str">
        <x:f>IF(COUNTA($A489:$M489)=0,"",IF(OR(LOWER($F489&amp;"")="subscription",LOWER($F489&amp;"")="membership"),"",IF(OR($N489="",$I489="",$I489=0),"",IFERROR($N489/$I489,""))))</x:f>
      </x:c>
      <x:c r="P489" s="112" t="str">
        <x:f>IF(COUNTA($A489:$M489)=0,"",IF(OR(LOWER($F489&amp;"")="subscription",LOWER($F489&amp;"")="membership"),"",IF(LOWER($L489&amp;"")="yes",0,IF($K489&lt;&gt;"",$K489,IF($O489&lt;&gt;"",$O489,"")))))</x:f>
      </x:c>
      <x:c r="Q489" s="112" t="str">
        <x:f>IF(COUNTA($A489:$M489)=0,"",IF(OR($U489="Subscription",$U489=""),"",IF($U489="Profit",ROUND($P489-$H489,2),0)))</x:f>
      </x:c>
      <x:c r="R489" s="112" t="str">
        <x:f>IF(COUNTA($A489:$M489)=0,"",IF(OR($U489="Subscription",$U489=""),"",IF($U489="Draw",$H489,0)))</x:f>
      </x:c>
      <x:c r="S489" s="112" t="str">
        <x:f>IF(COUNTA($A489:$M489)=0,"",IF(OR($U489="Subscription",$U489=""),"",IF($U489="Disqualified",$H489,0)))</x:f>
      </x:c>
      <x:c r="T489" s="116" t="str">
        <x:f>IF(COUNTA($A489:$M489)=0,"",IF(OR($U489="Subscription",$U489=""),"",IF($H489=0,0,IF($U489="Profit",$Q489/$H489,IF($U489="Disqualified",-$S489/$H489,0)))))</x:f>
      </x:c>
      <x:c r="U489" s="290" t="str">
        <x:f>IF(COUNTA($A489:$M489)=0,"",IF(OR(LOWER($F489&amp;"")="subscription",LOWER($F489&amp;"")="membership"),"Subscription",IF(LOWER($L489&amp;"")="yes","Disqualified",IF(OR(LOWER($F489&amp;"")="free game",LOWER($F489&amp;"")="free"),IF(AND(ISNUMBER($P489),ISNUMBER($H489),$P489&gt;$H489),"Profit","Free Game"),IF($P489="","",IF(ROUND(IFERROR(VALUE($P489),0)-IFERROR(VALUE($H489),0),2)&gt;0,"Profit","Draw"))))))</x:f>
      </x:c>
      <x:c r="V489" s="144" t="str">
        <x:f>IF(COUNTA($A489:$M489)=0,"",IF(OR($B489="",$C489="",$U489="Subscription"),"",IFERROR(ROUNDUP(($C489-$B489)/7,0),"")))</x:f>
      </x:c>
      <x:c r="W489" s="112" t="str">
        <x:f>IF(COUNTA($A489:$M489)=0,"",IF(OR($U489="Subscription",$U489=""),"",ROUND(IFERROR($Q489,0)-IFERROR($S489,0),2)))</x:f>
      </x:c>
      <x:c r="X489" s="144" t="str">
        <x:f>IF(COUNTA($A489:$M489)=0,"",IF(OR($U489="Subscription",$U489="Free Game",NOT(ISNUMBER($J489)),NOT(ISNUMBER($I489)),$J489=0,$I489=0,$I489&gt;$J489),"",$J489-$I489))</x:f>
      </x:c>
      <x:c r="Y489" s="116" t="str">
        <x:f>IF(COUNTA($A489:$M489)=0,"",IF(OR($U489="Subscription",$U489="Free Game",NOT(ISNUMBER($J489)),$J489=0,$X489=""),"",$X489/$J489))</x:f>
      </x:c>
      <x:c r="Z489" s="118" t="str">
        <x:f>IF(COUNTA($A489:$M489)=0,"",Instructions!$B$29+SUM($W$5:W489))</x:f>
      </x:c>
    </x:row>
    <x:row r="490" ht="30" customHeight="1">
      <x:c r="A490" s="477"/>
      <x:c r="B490" s="482"/>
      <x:c r="C490" s="482"/>
      <x:c r="D490" s="483"/>
      <x:c r="E490" s="483"/>
      <x:c r="F490" s="483"/>
      <x:c r="G490" s="484"/>
      <x:c r="H490" s="484"/>
      <x:c r="I490" s="485"/>
      <x:c r="J490" s="485"/>
      <x:c r="K490" s="484"/>
      <x:c r="L490" s="483"/>
      <x:c r="M490" s="477"/>
      <x:c r="N490" s="112" t="str">
        <x:f>IF(COUNTA($A490:$M490)=0,"",IF(OR(LOWER($F490&amp;"")="subscription",LOWER($F490&amp;"")="membership"),"",IF($G490="","",IF(ISNUMBER(SEARCH("non",LOWER($E490&amp;""))),$G490*0.85,$G490))))</x:f>
      </x:c>
      <x:c r="O490" s="112" t="str">
        <x:f>IF(COUNTA($A490:$M490)=0,"",IF(OR(LOWER($F490&amp;"")="subscription",LOWER($F490&amp;"")="membership"),"",IF(OR($N490="",$I490="",$I490=0),"",IFERROR($N490/$I490,""))))</x:f>
      </x:c>
      <x:c r="P490" s="112" t="str">
        <x:f>IF(COUNTA($A490:$M490)=0,"",IF(OR(LOWER($F490&amp;"")="subscription",LOWER($F490&amp;"")="membership"),"",IF(LOWER($L490&amp;"")="yes",0,IF($K490&lt;&gt;"",$K490,IF($O490&lt;&gt;"",$O490,"")))))</x:f>
      </x:c>
      <x:c r="Q490" s="112" t="str">
        <x:f>IF(COUNTA($A490:$M490)=0,"",IF(OR($U490="Subscription",$U490=""),"",IF($U490="Profit",ROUND($P490-$H490,2),0)))</x:f>
      </x:c>
      <x:c r="R490" s="112" t="str">
        <x:f>IF(COUNTA($A490:$M490)=0,"",IF(OR($U490="Subscription",$U490=""),"",IF($U490="Draw",$H490,0)))</x:f>
      </x:c>
      <x:c r="S490" s="112" t="str">
        <x:f>IF(COUNTA($A490:$M490)=0,"",IF(OR($U490="Subscription",$U490=""),"",IF($U490="Disqualified",$H490,0)))</x:f>
      </x:c>
      <x:c r="T490" s="116" t="str">
        <x:f>IF(COUNTA($A490:$M490)=0,"",IF(OR($U490="Subscription",$U490=""),"",IF($H490=0,0,IF($U490="Profit",$Q490/$H490,IF($U490="Disqualified",-$S490/$H490,0)))))</x:f>
      </x:c>
      <x:c r="U490" s="290" t="str">
        <x:f>IF(COUNTA($A490:$M490)=0,"",IF(OR(LOWER($F490&amp;"")="subscription",LOWER($F490&amp;"")="membership"),"Subscription",IF(LOWER($L490&amp;"")="yes","Disqualified",IF(OR(LOWER($F490&amp;"")="free game",LOWER($F490&amp;"")="free"),IF(AND(ISNUMBER($P490),ISNUMBER($H490),$P490&gt;$H490),"Profit","Free Game"),IF($P490="","",IF(ROUND(IFERROR(VALUE($P490),0)-IFERROR(VALUE($H490),0),2)&gt;0,"Profit","Draw"))))))</x:f>
      </x:c>
      <x:c r="V490" s="144" t="str">
        <x:f>IF(COUNTA($A490:$M490)=0,"",IF(OR($B490="",$C490="",$U490="Subscription"),"",IFERROR(ROUNDUP(($C490-$B490)/7,0),"")))</x:f>
      </x:c>
      <x:c r="W490" s="112" t="str">
        <x:f>IF(COUNTA($A490:$M490)=0,"",IF(OR($U490="Subscription",$U490=""),"",ROUND(IFERROR($Q490,0)-IFERROR($S490,0),2)))</x:f>
      </x:c>
      <x:c r="X490" s="144" t="str">
        <x:f>IF(COUNTA($A490:$M490)=0,"",IF(OR($U490="Subscription",$U490="Free Game",NOT(ISNUMBER($J490)),NOT(ISNUMBER($I490)),$J490=0,$I490=0,$I490&gt;$J490),"",$J490-$I490))</x:f>
      </x:c>
      <x:c r="Y490" s="116" t="str">
        <x:f>IF(COUNTA($A490:$M490)=0,"",IF(OR($U490="Subscription",$U490="Free Game",NOT(ISNUMBER($J490)),$J490=0,$X490=""),"",$X490/$J490))</x:f>
      </x:c>
      <x:c r="Z490" s="118" t="str">
        <x:f>IF(COUNTA($A490:$M490)=0,"",Instructions!$B$29+SUM($W$5:W490))</x:f>
      </x:c>
    </x:row>
    <x:row r="491" ht="30" customHeight="1">
      <x:c r="A491" s="477"/>
      <x:c r="B491" s="482"/>
      <x:c r="C491" s="482"/>
      <x:c r="D491" s="483"/>
      <x:c r="E491" s="483"/>
      <x:c r="F491" s="483"/>
      <x:c r="G491" s="484"/>
      <x:c r="H491" s="484"/>
      <x:c r="I491" s="485"/>
      <x:c r="J491" s="485"/>
      <x:c r="K491" s="484"/>
      <x:c r="L491" s="483"/>
      <x:c r="M491" s="477"/>
      <x:c r="N491" s="112" t="str">
        <x:f>IF(COUNTA($A491:$M491)=0,"",IF(OR(LOWER($F491&amp;"")="subscription",LOWER($F491&amp;"")="membership"),"",IF($G491="","",IF(ISNUMBER(SEARCH("non",LOWER($E491&amp;""))),$G491*0.85,$G491))))</x:f>
      </x:c>
      <x:c r="O491" s="112" t="str">
        <x:f>IF(COUNTA($A491:$M491)=0,"",IF(OR(LOWER($F491&amp;"")="subscription",LOWER($F491&amp;"")="membership"),"",IF(OR($N491="",$I491="",$I491=0),"",IFERROR($N491/$I491,""))))</x:f>
      </x:c>
      <x:c r="P491" s="112" t="str">
        <x:f>IF(COUNTA($A491:$M491)=0,"",IF(OR(LOWER($F491&amp;"")="subscription",LOWER($F491&amp;"")="membership"),"",IF(LOWER($L491&amp;"")="yes",0,IF($K491&lt;&gt;"",$K491,IF($O491&lt;&gt;"",$O491,"")))))</x:f>
      </x:c>
      <x:c r="Q491" s="112" t="str">
        <x:f>IF(COUNTA($A491:$M491)=0,"",IF(OR($U491="Subscription",$U491=""),"",IF($U491="Profit",ROUND($P491-$H491,2),0)))</x:f>
      </x:c>
      <x:c r="R491" s="112" t="str">
        <x:f>IF(COUNTA($A491:$M491)=0,"",IF(OR($U491="Subscription",$U491=""),"",IF($U491="Draw",$H491,0)))</x:f>
      </x:c>
      <x:c r="S491" s="112" t="str">
        <x:f>IF(COUNTA($A491:$M491)=0,"",IF(OR($U491="Subscription",$U491=""),"",IF($U491="Disqualified",$H491,0)))</x:f>
      </x:c>
      <x:c r="T491" s="116" t="str">
        <x:f>IF(COUNTA($A491:$M491)=0,"",IF(OR($U491="Subscription",$U491=""),"",IF($H491=0,0,IF($U491="Profit",$Q491/$H491,IF($U491="Disqualified",-$S491/$H491,0)))))</x:f>
      </x:c>
      <x:c r="U491" s="290" t="str">
        <x:f>IF(COUNTA($A491:$M491)=0,"",IF(OR(LOWER($F491&amp;"")="subscription",LOWER($F491&amp;"")="membership"),"Subscription",IF(LOWER($L491&amp;"")="yes","Disqualified",IF(OR(LOWER($F491&amp;"")="free game",LOWER($F491&amp;"")="free"),IF(AND(ISNUMBER($P491),ISNUMBER($H491),$P491&gt;$H491),"Profit","Free Game"),IF($P491="","",IF(ROUND(IFERROR(VALUE($P491),0)-IFERROR(VALUE($H491),0),2)&gt;0,"Profit","Draw"))))))</x:f>
      </x:c>
      <x:c r="V491" s="144" t="str">
        <x:f>IF(COUNTA($A491:$M491)=0,"",IF(OR($B491="",$C491="",$U491="Subscription"),"",IFERROR(ROUNDUP(($C491-$B491)/7,0),"")))</x:f>
      </x:c>
      <x:c r="W491" s="112" t="str">
        <x:f>IF(COUNTA($A491:$M491)=0,"",IF(OR($U491="Subscription",$U491=""),"",ROUND(IFERROR($Q491,0)-IFERROR($S491,0),2)))</x:f>
      </x:c>
      <x:c r="X491" s="144" t="str">
        <x:f>IF(COUNTA($A491:$M491)=0,"",IF(OR($U491="Subscription",$U491="Free Game",NOT(ISNUMBER($J491)),NOT(ISNUMBER($I491)),$J491=0,$I491=0,$I491&gt;$J491),"",$J491-$I491))</x:f>
      </x:c>
      <x:c r="Y491" s="116" t="str">
        <x:f>IF(COUNTA($A491:$M491)=0,"",IF(OR($U491="Subscription",$U491="Free Game",NOT(ISNUMBER($J491)),$J491=0,$X491=""),"",$X491/$J491))</x:f>
      </x:c>
      <x:c r="Z491" s="118" t="str">
        <x:f>IF(COUNTA($A491:$M491)=0,"",Instructions!$B$29+SUM($W$5:W491))</x:f>
      </x:c>
    </x:row>
    <x:row r="492" ht="30" customHeight="1">
      <x:c r="A492" s="477"/>
      <x:c r="B492" s="482"/>
      <x:c r="C492" s="482"/>
      <x:c r="D492" s="483"/>
      <x:c r="E492" s="483"/>
      <x:c r="F492" s="483"/>
      <x:c r="G492" s="484"/>
      <x:c r="H492" s="484"/>
      <x:c r="I492" s="485"/>
      <x:c r="J492" s="485"/>
      <x:c r="K492" s="484"/>
      <x:c r="L492" s="483"/>
      <x:c r="M492" s="477"/>
      <x:c r="N492" s="112" t="str">
        <x:f>IF(COUNTA($A492:$M492)=0,"",IF(OR(LOWER($F492&amp;"")="subscription",LOWER($F492&amp;"")="membership"),"",IF($G492="","",IF(ISNUMBER(SEARCH("non",LOWER($E492&amp;""))),$G492*0.85,$G492))))</x:f>
      </x:c>
      <x:c r="O492" s="112" t="str">
        <x:f>IF(COUNTA($A492:$M492)=0,"",IF(OR(LOWER($F492&amp;"")="subscription",LOWER($F492&amp;"")="membership"),"",IF(OR($N492="",$I492="",$I492=0),"",IFERROR($N492/$I492,""))))</x:f>
      </x:c>
      <x:c r="P492" s="112" t="str">
        <x:f>IF(COUNTA($A492:$M492)=0,"",IF(OR(LOWER($F492&amp;"")="subscription",LOWER($F492&amp;"")="membership"),"",IF(LOWER($L492&amp;"")="yes",0,IF($K492&lt;&gt;"",$K492,IF($O492&lt;&gt;"",$O492,"")))))</x:f>
      </x:c>
      <x:c r="Q492" s="112" t="str">
        <x:f>IF(COUNTA($A492:$M492)=0,"",IF(OR($U492="Subscription",$U492=""),"",IF($U492="Profit",ROUND($P492-$H492,2),0)))</x:f>
      </x:c>
      <x:c r="R492" s="112" t="str">
        <x:f>IF(COUNTA($A492:$M492)=0,"",IF(OR($U492="Subscription",$U492=""),"",IF($U492="Draw",$H492,0)))</x:f>
      </x:c>
      <x:c r="S492" s="112" t="str">
        <x:f>IF(COUNTA($A492:$M492)=0,"",IF(OR($U492="Subscription",$U492=""),"",IF($U492="Disqualified",$H492,0)))</x:f>
      </x:c>
      <x:c r="T492" s="116" t="str">
        <x:f>IF(COUNTA($A492:$M492)=0,"",IF(OR($U492="Subscription",$U492=""),"",IF($H492=0,0,IF($U492="Profit",$Q492/$H492,IF($U492="Disqualified",-$S492/$H492,0)))))</x:f>
      </x:c>
      <x:c r="U492" s="290" t="str">
        <x:f>IF(COUNTA($A492:$M492)=0,"",IF(OR(LOWER($F492&amp;"")="subscription",LOWER($F492&amp;"")="membership"),"Subscription",IF(LOWER($L492&amp;"")="yes","Disqualified",IF(OR(LOWER($F492&amp;"")="free game",LOWER($F492&amp;"")="free"),IF(AND(ISNUMBER($P492),ISNUMBER($H492),$P492&gt;$H492),"Profit","Free Game"),IF($P492="","",IF(ROUND(IFERROR(VALUE($P492),0)-IFERROR(VALUE($H492),0),2)&gt;0,"Profit","Draw"))))))</x:f>
      </x:c>
      <x:c r="V492" s="144" t="str">
        <x:f>IF(COUNTA($A492:$M492)=0,"",IF(OR($B492="",$C492="",$U492="Subscription"),"",IFERROR(ROUNDUP(($C492-$B492)/7,0),"")))</x:f>
      </x:c>
      <x:c r="W492" s="112" t="str">
        <x:f>IF(COUNTA($A492:$M492)=0,"",IF(OR($U492="Subscription",$U492=""),"",ROUND(IFERROR($Q492,0)-IFERROR($S492,0),2)))</x:f>
      </x:c>
      <x:c r="X492" s="144" t="str">
        <x:f>IF(COUNTA($A492:$M492)=0,"",IF(OR($U492="Subscription",$U492="Free Game",NOT(ISNUMBER($J492)),NOT(ISNUMBER($I492)),$J492=0,$I492=0,$I492&gt;$J492),"",$J492-$I492))</x:f>
      </x:c>
      <x:c r="Y492" s="116" t="str">
        <x:f>IF(COUNTA($A492:$M492)=0,"",IF(OR($U492="Subscription",$U492="Free Game",NOT(ISNUMBER($J492)),$J492=0,$X492=""),"",$X492/$J492))</x:f>
      </x:c>
      <x:c r="Z492" s="118" t="str">
        <x:f>IF(COUNTA($A492:$M492)=0,"",Instructions!$B$29+SUM($W$5:W492))</x:f>
      </x:c>
    </x:row>
    <x:row r="493" ht="30" customHeight="1">
      <x:c r="A493" s="477"/>
      <x:c r="B493" s="482"/>
      <x:c r="C493" s="482"/>
      <x:c r="D493" s="483"/>
      <x:c r="E493" s="483"/>
      <x:c r="F493" s="483"/>
      <x:c r="G493" s="484"/>
      <x:c r="H493" s="484"/>
      <x:c r="I493" s="485"/>
      <x:c r="J493" s="485"/>
      <x:c r="K493" s="484"/>
      <x:c r="L493" s="483"/>
      <x:c r="M493" s="477"/>
      <x:c r="N493" s="112" t="str">
        <x:f>IF(COUNTA($A493:$M493)=0,"",IF(OR(LOWER($F493&amp;"")="subscription",LOWER($F493&amp;"")="membership"),"",IF($G493="","",IF(ISNUMBER(SEARCH("non",LOWER($E493&amp;""))),$G493*0.85,$G493))))</x:f>
      </x:c>
      <x:c r="O493" s="112" t="str">
        <x:f>IF(COUNTA($A493:$M493)=0,"",IF(OR(LOWER($F493&amp;"")="subscription",LOWER($F493&amp;"")="membership"),"",IF(OR($N493="",$I493="",$I493=0),"",IFERROR($N493/$I493,""))))</x:f>
      </x:c>
      <x:c r="P493" s="112" t="str">
        <x:f>IF(COUNTA($A493:$M493)=0,"",IF(OR(LOWER($F493&amp;"")="subscription",LOWER($F493&amp;"")="membership"),"",IF(LOWER($L493&amp;"")="yes",0,IF($K493&lt;&gt;"",$K493,IF($O493&lt;&gt;"",$O493,"")))))</x:f>
      </x:c>
      <x:c r="Q493" s="112" t="str">
        <x:f>IF(COUNTA($A493:$M493)=0,"",IF(OR($U493="Subscription",$U493=""),"",IF($U493="Profit",ROUND($P493-$H493,2),0)))</x:f>
      </x:c>
      <x:c r="R493" s="112" t="str">
        <x:f>IF(COUNTA($A493:$M493)=0,"",IF(OR($U493="Subscription",$U493=""),"",IF($U493="Draw",$H493,0)))</x:f>
      </x:c>
      <x:c r="S493" s="112" t="str">
        <x:f>IF(COUNTA($A493:$M493)=0,"",IF(OR($U493="Subscription",$U493=""),"",IF($U493="Disqualified",$H493,0)))</x:f>
      </x:c>
      <x:c r="T493" s="116" t="str">
        <x:f>IF(COUNTA($A493:$M493)=0,"",IF(OR($U493="Subscription",$U493=""),"",IF($H493=0,0,IF($U493="Profit",$Q493/$H493,IF($U493="Disqualified",-$S493/$H493,0)))))</x:f>
      </x:c>
      <x:c r="U493" s="290" t="str">
        <x:f>IF(COUNTA($A493:$M493)=0,"",IF(OR(LOWER($F493&amp;"")="subscription",LOWER($F493&amp;"")="membership"),"Subscription",IF(LOWER($L493&amp;"")="yes","Disqualified",IF(OR(LOWER($F493&amp;"")="free game",LOWER($F493&amp;"")="free"),IF(AND(ISNUMBER($P493),ISNUMBER($H493),$P493&gt;$H493),"Profit","Free Game"),IF($P493="","",IF(ROUND(IFERROR(VALUE($P493),0)-IFERROR(VALUE($H493),0),2)&gt;0,"Profit","Draw"))))))</x:f>
      </x:c>
      <x:c r="V493" s="144" t="str">
        <x:f>IF(COUNTA($A493:$M493)=0,"",IF(OR($B493="",$C493="",$U493="Subscription"),"",IFERROR(ROUNDUP(($C493-$B493)/7,0),"")))</x:f>
      </x:c>
      <x:c r="W493" s="112" t="str">
        <x:f>IF(COUNTA($A493:$M493)=0,"",IF(OR($U493="Subscription",$U493=""),"",ROUND(IFERROR($Q493,0)-IFERROR($S493,0),2)))</x:f>
      </x:c>
      <x:c r="X493" s="144" t="str">
        <x:f>IF(COUNTA($A493:$M493)=0,"",IF(OR($U493="Subscription",$U493="Free Game",NOT(ISNUMBER($J493)),NOT(ISNUMBER($I493)),$J493=0,$I493=0,$I493&gt;$J493),"",$J493-$I493))</x:f>
      </x:c>
      <x:c r="Y493" s="116" t="str">
        <x:f>IF(COUNTA($A493:$M493)=0,"",IF(OR($U493="Subscription",$U493="Free Game",NOT(ISNUMBER($J493)),$J493=0,$X493=""),"",$X493/$J493))</x:f>
      </x:c>
      <x:c r="Z493" s="118" t="str">
        <x:f>IF(COUNTA($A493:$M493)=0,"",Instructions!$B$29+SUM($W$5:W493))</x:f>
      </x:c>
    </x:row>
    <x:row r="494" ht="30" customHeight="1">
      <x:c r="A494" s="477"/>
      <x:c r="B494" s="482"/>
      <x:c r="C494" s="482"/>
      <x:c r="D494" s="483"/>
      <x:c r="E494" s="483"/>
      <x:c r="F494" s="483"/>
      <x:c r="G494" s="484"/>
      <x:c r="H494" s="484"/>
      <x:c r="I494" s="485"/>
      <x:c r="J494" s="485"/>
      <x:c r="K494" s="484"/>
      <x:c r="L494" s="483"/>
      <x:c r="M494" s="477"/>
      <x:c r="N494" s="112" t="str">
        <x:f>IF(COUNTA($A494:$M494)=0,"",IF(OR(LOWER($F494&amp;"")="subscription",LOWER($F494&amp;"")="membership"),"",IF($G494="","",IF(ISNUMBER(SEARCH("non",LOWER($E494&amp;""))),$G494*0.85,$G494))))</x:f>
      </x:c>
      <x:c r="O494" s="112" t="str">
        <x:f>IF(COUNTA($A494:$M494)=0,"",IF(OR(LOWER($F494&amp;"")="subscription",LOWER($F494&amp;"")="membership"),"",IF(OR($N494="",$I494="",$I494=0),"",IFERROR($N494/$I494,""))))</x:f>
      </x:c>
      <x:c r="P494" s="112" t="str">
        <x:f>IF(COUNTA($A494:$M494)=0,"",IF(OR(LOWER($F494&amp;"")="subscription",LOWER($F494&amp;"")="membership"),"",IF(LOWER($L494&amp;"")="yes",0,IF($K494&lt;&gt;"",$K494,IF($O494&lt;&gt;"",$O494,"")))))</x:f>
      </x:c>
      <x:c r="Q494" s="112" t="str">
        <x:f>IF(COUNTA($A494:$M494)=0,"",IF(OR($U494="Subscription",$U494=""),"",IF($U494="Profit",ROUND($P494-$H494,2),0)))</x:f>
      </x:c>
      <x:c r="R494" s="112" t="str">
        <x:f>IF(COUNTA($A494:$M494)=0,"",IF(OR($U494="Subscription",$U494=""),"",IF($U494="Draw",$H494,0)))</x:f>
      </x:c>
      <x:c r="S494" s="112" t="str">
        <x:f>IF(COUNTA($A494:$M494)=0,"",IF(OR($U494="Subscription",$U494=""),"",IF($U494="Disqualified",$H494,0)))</x:f>
      </x:c>
      <x:c r="T494" s="116" t="str">
        <x:f>IF(COUNTA($A494:$M494)=0,"",IF(OR($U494="Subscription",$U494=""),"",IF($H494=0,0,IF($U494="Profit",$Q494/$H494,IF($U494="Disqualified",-$S494/$H494,0)))))</x:f>
      </x:c>
      <x:c r="U494" s="290" t="str">
        <x:f>IF(COUNTA($A494:$M494)=0,"",IF(OR(LOWER($F494&amp;"")="subscription",LOWER($F494&amp;"")="membership"),"Subscription",IF(LOWER($L494&amp;"")="yes","Disqualified",IF(OR(LOWER($F494&amp;"")="free game",LOWER($F494&amp;"")="free"),IF(AND(ISNUMBER($P494),ISNUMBER($H494),$P494&gt;$H494),"Profit","Free Game"),IF($P494="","",IF(ROUND(IFERROR(VALUE($P494),0)-IFERROR(VALUE($H494),0),2)&gt;0,"Profit","Draw"))))))</x:f>
      </x:c>
      <x:c r="V494" s="144" t="str">
        <x:f>IF(COUNTA($A494:$M494)=0,"",IF(OR($B494="",$C494="",$U494="Subscription"),"",IFERROR(ROUNDUP(($C494-$B494)/7,0),"")))</x:f>
      </x:c>
      <x:c r="W494" s="112" t="str">
        <x:f>IF(COUNTA($A494:$M494)=0,"",IF(OR($U494="Subscription",$U494=""),"",ROUND(IFERROR($Q494,0)-IFERROR($S494,0),2)))</x:f>
      </x:c>
      <x:c r="X494" s="144" t="str">
        <x:f>IF(COUNTA($A494:$M494)=0,"",IF(OR($U494="Subscription",$U494="Free Game",NOT(ISNUMBER($J494)),NOT(ISNUMBER($I494)),$J494=0,$I494=0,$I494&gt;$J494),"",$J494-$I494))</x:f>
      </x:c>
      <x:c r="Y494" s="116" t="str">
        <x:f>IF(COUNTA($A494:$M494)=0,"",IF(OR($U494="Subscription",$U494="Free Game",NOT(ISNUMBER($J494)),$J494=0,$X494=""),"",$X494/$J494))</x:f>
      </x:c>
      <x:c r="Z494" s="118" t="str">
        <x:f>IF(COUNTA($A494:$M494)=0,"",Instructions!$B$29+SUM($W$5:W494))</x:f>
      </x:c>
    </x:row>
    <x:row r="495" ht="30" customHeight="1">
      <x:c r="A495" s="477"/>
      <x:c r="B495" s="482"/>
      <x:c r="C495" s="482"/>
      <x:c r="D495" s="483"/>
      <x:c r="E495" s="483"/>
      <x:c r="F495" s="483"/>
      <x:c r="G495" s="484"/>
      <x:c r="H495" s="484"/>
      <x:c r="I495" s="485"/>
      <x:c r="J495" s="485"/>
      <x:c r="K495" s="484"/>
      <x:c r="L495" s="483"/>
      <x:c r="M495" s="477"/>
      <x:c r="N495" s="112" t="str">
        <x:f>IF(COUNTA($A495:$M495)=0,"",IF(OR(LOWER($F495&amp;"")="subscription",LOWER($F495&amp;"")="membership"),"",IF($G495="","",IF(ISNUMBER(SEARCH("non",LOWER($E495&amp;""))),$G495*0.85,$G495))))</x:f>
      </x:c>
      <x:c r="O495" s="112" t="str">
        <x:f>IF(COUNTA($A495:$M495)=0,"",IF(OR(LOWER($F495&amp;"")="subscription",LOWER($F495&amp;"")="membership"),"",IF(OR($N495="",$I495="",$I495=0),"",IFERROR($N495/$I495,""))))</x:f>
      </x:c>
      <x:c r="P495" s="112" t="str">
        <x:f>IF(COUNTA($A495:$M495)=0,"",IF(OR(LOWER($F495&amp;"")="subscription",LOWER($F495&amp;"")="membership"),"",IF(LOWER($L495&amp;"")="yes",0,IF($K495&lt;&gt;"",$K495,IF($O495&lt;&gt;"",$O495,"")))))</x:f>
      </x:c>
      <x:c r="Q495" s="112" t="str">
        <x:f>IF(COUNTA($A495:$M495)=0,"",IF(OR($U495="Subscription",$U495=""),"",IF($U495="Profit",ROUND($P495-$H495,2),0)))</x:f>
      </x:c>
      <x:c r="R495" s="112" t="str">
        <x:f>IF(COUNTA($A495:$M495)=0,"",IF(OR($U495="Subscription",$U495=""),"",IF($U495="Draw",$H495,0)))</x:f>
      </x:c>
      <x:c r="S495" s="112" t="str">
        <x:f>IF(COUNTA($A495:$M495)=0,"",IF(OR($U495="Subscription",$U495=""),"",IF($U495="Disqualified",$H495,0)))</x:f>
      </x:c>
      <x:c r="T495" s="116" t="str">
        <x:f>IF(COUNTA($A495:$M495)=0,"",IF(OR($U495="Subscription",$U495=""),"",IF($H495=0,0,IF($U495="Profit",$Q495/$H495,IF($U495="Disqualified",-$S495/$H495,0)))))</x:f>
      </x:c>
      <x:c r="U495" s="290" t="str">
        <x:f>IF(COUNTA($A495:$M495)=0,"",IF(OR(LOWER($F495&amp;"")="subscription",LOWER($F495&amp;"")="membership"),"Subscription",IF(LOWER($L495&amp;"")="yes","Disqualified",IF(OR(LOWER($F495&amp;"")="free game",LOWER($F495&amp;"")="free"),IF(AND(ISNUMBER($P495),ISNUMBER($H495),$P495&gt;$H495),"Profit","Free Game"),IF($P495="","",IF(ROUND(IFERROR(VALUE($P495),0)-IFERROR(VALUE($H495),0),2)&gt;0,"Profit","Draw"))))))</x:f>
      </x:c>
      <x:c r="V495" s="144" t="str">
        <x:f>IF(COUNTA($A495:$M495)=0,"",IF(OR($B495="",$C495="",$U495="Subscription"),"",IFERROR(ROUNDUP(($C495-$B495)/7,0),"")))</x:f>
      </x:c>
      <x:c r="W495" s="112" t="str">
        <x:f>IF(COUNTA($A495:$M495)=0,"",IF(OR($U495="Subscription",$U495=""),"",ROUND(IFERROR($Q495,0)-IFERROR($S495,0),2)))</x:f>
      </x:c>
      <x:c r="X495" s="144" t="str">
        <x:f>IF(COUNTA($A495:$M495)=0,"",IF(OR($U495="Subscription",$U495="Free Game",NOT(ISNUMBER($J495)),NOT(ISNUMBER($I495)),$J495=0,$I495=0,$I495&gt;$J495),"",$J495-$I495))</x:f>
      </x:c>
      <x:c r="Y495" s="116" t="str">
        <x:f>IF(COUNTA($A495:$M495)=0,"",IF(OR($U495="Subscription",$U495="Free Game",NOT(ISNUMBER($J495)),$J495=0,$X495=""),"",$X495/$J495))</x:f>
      </x:c>
      <x:c r="Z495" s="118" t="str">
        <x:f>IF(COUNTA($A495:$M495)=0,"",Instructions!$B$29+SUM($W$5:W495))</x:f>
      </x:c>
    </x:row>
    <x:row r="496" ht="30" customHeight="1">
      <x:c r="A496" s="477"/>
      <x:c r="B496" s="482"/>
      <x:c r="C496" s="482"/>
      <x:c r="D496" s="483"/>
      <x:c r="E496" s="483"/>
      <x:c r="F496" s="483"/>
      <x:c r="G496" s="484"/>
      <x:c r="H496" s="484"/>
      <x:c r="I496" s="485"/>
      <x:c r="J496" s="485"/>
      <x:c r="K496" s="484"/>
      <x:c r="L496" s="483"/>
      <x:c r="M496" s="477"/>
      <x:c r="N496" s="112" t="str">
        <x:f>IF(COUNTA($A496:$M496)=0,"",IF(OR(LOWER($F496&amp;"")="subscription",LOWER($F496&amp;"")="membership"),"",IF($G496="","",IF(ISNUMBER(SEARCH("non",LOWER($E496&amp;""))),$G496*0.85,$G496))))</x:f>
      </x:c>
      <x:c r="O496" s="112" t="str">
        <x:f>IF(COUNTA($A496:$M496)=0,"",IF(OR(LOWER($F496&amp;"")="subscription",LOWER($F496&amp;"")="membership"),"",IF(OR($N496="",$I496="",$I496=0),"",IFERROR($N496/$I496,""))))</x:f>
      </x:c>
      <x:c r="P496" s="112" t="str">
        <x:f>IF(COUNTA($A496:$M496)=0,"",IF(OR(LOWER($F496&amp;"")="subscription",LOWER($F496&amp;"")="membership"),"",IF(LOWER($L496&amp;"")="yes",0,IF($K496&lt;&gt;"",$K496,IF($O496&lt;&gt;"",$O496,"")))))</x:f>
      </x:c>
      <x:c r="Q496" s="112" t="str">
        <x:f>IF(COUNTA($A496:$M496)=0,"",IF(OR($U496="Subscription",$U496=""),"",IF($U496="Profit",ROUND($P496-$H496,2),0)))</x:f>
      </x:c>
      <x:c r="R496" s="112" t="str">
        <x:f>IF(COUNTA($A496:$M496)=0,"",IF(OR($U496="Subscription",$U496=""),"",IF($U496="Draw",$H496,0)))</x:f>
      </x:c>
      <x:c r="S496" s="112" t="str">
        <x:f>IF(COUNTA($A496:$M496)=0,"",IF(OR($U496="Subscription",$U496=""),"",IF($U496="Disqualified",$H496,0)))</x:f>
      </x:c>
      <x:c r="T496" s="116" t="str">
        <x:f>IF(COUNTA($A496:$M496)=0,"",IF(OR($U496="Subscription",$U496=""),"",IF($H496=0,0,IF($U496="Profit",$Q496/$H496,IF($U496="Disqualified",-$S496/$H496,0)))))</x:f>
      </x:c>
      <x:c r="U496" s="290" t="str">
        <x:f>IF(COUNTA($A496:$M496)=0,"",IF(OR(LOWER($F496&amp;"")="subscription",LOWER($F496&amp;"")="membership"),"Subscription",IF(LOWER($L496&amp;"")="yes","Disqualified",IF(OR(LOWER($F496&amp;"")="free game",LOWER($F496&amp;"")="free"),IF(AND(ISNUMBER($P496),ISNUMBER($H496),$P496&gt;$H496),"Profit","Free Game"),IF($P496="","",IF(ROUND(IFERROR(VALUE($P496),0)-IFERROR(VALUE($H496),0),2)&gt;0,"Profit","Draw"))))))</x:f>
      </x:c>
      <x:c r="V496" s="144" t="str">
        <x:f>IF(COUNTA($A496:$M496)=0,"",IF(OR($B496="",$C496="",$U496="Subscription"),"",IFERROR(ROUNDUP(($C496-$B496)/7,0),"")))</x:f>
      </x:c>
      <x:c r="W496" s="112" t="str">
        <x:f>IF(COUNTA($A496:$M496)=0,"",IF(OR($U496="Subscription",$U496=""),"",ROUND(IFERROR($Q496,0)-IFERROR($S496,0),2)))</x:f>
      </x:c>
      <x:c r="X496" s="144" t="str">
        <x:f>IF(COUNTA($A496:$M496)=0,"",IF(OR($U496="Subscription",$U496="Free Game",NOT(ISNUMBER($J496)),NOT(ISNUMBER($I496)),$J496=0,$I496=0,$I496&gt;$J496),"",$J496-$I496))</x:f>
      </x:c>
      <x:c r="Y496" s="116" t="str">
        <x:f>IF(COUNTA($A496:$M496)=0,"",IF(OR($U496="Subscription",$U496="Free Game",NOT(ISNUMBER($J496)),$J496=0,$X496=""),"",$X496/$J496))</x:f>
      </x:c>
      <x:c r="Z496" s="118" t="str">
        <x:f>IF(COUNTA($A496:$M496)=0,"",Instructions!$B$29+SUM($W$5:W496))</x:f>
      </x:c>
    </x:row>
    <x:row r="497" ht="30" customHeight="1">
      <x:c r="A497" s="477"/>
      <x:c r="B497" s="482"/>
      <x:c r="C497" s="482"/>
      <x:c r="D497" s="483"/>
      <x:c r="E497" s="483"/>
      <x:c r="F497" s="483"/>
      <x:c r="G497" s="484"/>
      <x:c r="H497" s="484"/>
      <x:c r="I497" s="485"/>
      <x:c r="J497" s="485"/>
      <x:c r="K497" s="484"/>
      <x:c r="L497" s="483"/>
      <x:c r="M497" s="477"/>
      <x:c r="N497" s="112" t="str">
        <x:f>IF(COUNTA($A497:$M497)=0,"",IF(OR(LOWER($F497&amp;"")="subscription",LOWER($F497&amp;"")="membership"),"",IF($G497="","",IF(ISNUMBER(SEARCH("non",LOWER($E497&amp;""))),$G497*0.85,$G497))))</x:f>
      </x:c>
      <x:c r="O497" s="112" t="str">
        <x:f>IF(COUNTA($A497:$M497)=0,"",IF(OR(LOWER($F497&amp;"")="subscription",LOWER($F497&amp;"")="membership"),"",IF(OR($N497="",$I497="",$I497=0),"",IFERROR($N497/$I497,""))))</x:f>
      </x:c>
      <x:c r="P497" s="112" t="str">
        <x:f>IF(COUNTA($A497:$M497)=0,"",IF(OR(LOWER($F497&amp;"")="subscription",LOWER($F497&amp;"")="membership"),"",IF(LOWER($L497&amp;"")="yes",0,IF($K497&lt;&gt;"",$K497,IF($O497&lt;&gt;"",$O497,"")))))</x:f>
      </x:c>
      <x:c r="Q497" s="112" t="str">
        <x:f>IF(COUNTA($A497:$M497)=0,"",IF(OR($U497="Subscription",$U497=""),"",IF($U497="Profit",ROUND($P497-$H497,2),0)))</x:f>
      </x:c>
      <x:c r="R497" s="112" t="str">
        <x:f>IF(COUNTA($A497:$M497)=0,"",IF(OR($U497="Subscription",$U497=""),"",IF($U497="Draw",$H497,0)))</x:f>
      </x:c>
      <x:c r="S497" s="112" t="str">
        <x:f>IF(COUNTA($A497:$M497)=0,"",IF(OR($U497="Subscription",$U497=""),"",IF($U497="Disqualified",$H497,0)))</x:f>
      </x:c>
      <x:c r="T497" s="116" t="str">
        <x:f>IF(COUNTA($A497:$M497)=0,"",IF(OR($U497="Subscription",$U497=""),"",IF($H497=0,0,IF($U497="Profit",$Q497/$H497,IF($U497="Disqualified",-$S497/$H497,0)))))</x:f>
      </x:c>
      <x:c r="U497" s="290" t="str">
        <x:f>IF(COUNTA($A497:$M497)=0,"",IF(OR(LOWER($F497&amp;"")="subscription",LOWER($F497&amp;"")="membership"),"Subscription",IF(LOWER($L497&amp;"")="yes","Disqualified",IF(OR(LOWER($F497&amp;"")="free game",LOWER($F497&amp;"")="free"),IF(AND(ISNUMBER($P497),ISNUMBER($H497),$P497&gt;$H497),"Profit","Free Game"),IF($P497="","",IF(ROUND(IFERROR(VALUE($P497),0)-IFERROR(VALUE($H497),0),2)&gt;0,"Profit","Draw"))))))</x:f>
      </x:c>
      <x:c r="V497" s="144" t="str">
        <x:f>IF(COUNTA($A497:$M497)=0,"",IF(OR($B497="",$C497="",$U497="Subscription"),"",IFERROR(ROUNDUP(($C497-$B497)/7,0),"")))</x:f>
      </x:c>
      <x:c r="W497" s="112" t="str">
        <x:f>IF(COUNTA($A497:$M497)=0,"",IF(OR($U497="Subscription",$U497=""),"",ROUND(IFERROR($Q497,0)-IFERROR($S497,0),2)))</x:f>
      </x:c>
      <x:c r="X497" s="144" t="str">
        <x:f>IF(COUNTA($A497:$M497)=0,"",IF(OR($U497="Subscription",$U497="Free Game",NOT(ISNUMBER($J497)),NOT(ISNUMBER($I497)),$J497=0,$I497=0,$I497&gt;$J497),"",$J497-$I497))</x:f>
      </x:c>
      <x:c r="Y497" s="116" t="str">
        <x:f>IF(COUNTA($A497:$M497)=0,"",IF(OR($U497="Subscription",$U497="Free Game",NOT(ISNUMBER($J497)),$J497=0,$X497=""),"",$X497/$J497))</x:f>
      </x:c>
      <x:c r="Z497" s="118" t="str">
        <x:f>IF(COUNTA($A497:$M497)=0,"",Instructions!$B$29+SUM($W$5:W497))</x:f>
      </x:c>
    </x:row>
    <x:row r="498" ht="30" customHeight="1">
      <x:c r="A498" s="477"/>
      <x:c r="B498" s="482"/>
      <x:c r="C498" s="482"/>
      <x:c r="D498" s="483"/>
      <x:c r="E498" s="483"/>
      <x:c r="F498" s="483"/>
      <x:c r="G498" s="484"/>
      <x:c r="H498" s="484"/>
      <x:c r="I498" s="485"/>
      <x:c r="J498" s="485"/>
      <x:c r="K498" s="484"/>
      <x:c r="L498" s="483"/>
      <x:c r="M498" s="477"/>
      <x:c r="N498" s="112" t="str">
        <x:f>IF(COUNTA($A498:$M498)=0,"",IF(OR(LOWER($F498&amp;"")="subscription",LOWER($F498&amp;"")="membership"),"",IF($G498="","",IF(ISNUMBER(SEARCH("non",LOWER($E498&amp;""))),$G498*0.85,$G498))))</x:f>
      </x:c>
      <x:c r="O498" s="112" t="str">
        <x:f>IF(COUNTA($A498:$M498)=0,"",IF(OR(LOWER($F498&amp;"")="subscription",LOWER($F498&amp;"")="membership"),"",IF(OR($N498="",$I498="",$I498=0),"",IFERROR($N498/$I498,""))))</x:f>
      </x:c>
      <x:c r="P498" s="112" t="str">
        <x:f>IF(COUNTA($A498:$M498)=0,"",IF(OR(LOWER($F498&amp;"")="subscription",LOWER($F498&amp;"")="membership"),"",IF(LOWER($L498&amp;"")="yes",0,IF($K498&lt;&gt;"",$K498,IF($O498&lt;&gt;"",$O498,"")))))</x:f>
      </x:c>
      <x:c r="Q498" s="112" t="str">
        <x:f>IF(COUNTA($A498:$M498)=0,"",IF(OR($U498="Subscription",$U498=""),"",IF($U498="Profit",ROUND($P498-$H498,2),0)))</x:f>
      </x:c>
      <x:c r="R498" s="112" t="str">
        <x:f>IF(COUNTA($A498:$M498)=0,"",IF(OR($U498="Subscription",$U498=""),"",IF($U498="Draw",$H498,0)))</x:f>
      </x:c>
      <x:c r="S498" s="112" t="str">
        <x:f>IF(COUNTA($A498:$M498)=0,"",IF(OR($U498="Subscription",$U498=""),"",IF($U498="Disqualified",$H498,0)))</x:f>
      </x:c>
      <x:c r="T498" s="116" t="str">
        <x:f>IF(COUNTA($A498:$M498)=0,"",IF(OR($U498="Subscription",$U498=""),"",IF($H498=0,0,IF($U498="Profit",$Q498/$H498,IF($U498="Disqualified",-$S498/$H498,0)))))</x:f>
      </x:c>
      <x:c r="U498" s="290" t="str">
        <x:f>IF(COUNTA($A498:$M498)=0,"",IF(OR(LOWER($F498&amp;"")="subscription",LOWER($F498&amp;"")="membership"),"Subscription",IF(LOWER($L498&amp;"")="yes","Disqualified",IF(OR(LOWER($F498&amp;"")="free game",LOWER($F498&amp;"")="free"),IF(AND(ISNUMBER($P498),ISNUMBER($H498),$P498&gt;$H498),"Profit","Free Game"),IF($P498="","",IF(ROUND(IFERROR(VALUE($P498),0)-IFERROR(VALUE($H498),0),2)&gt;0,"Profit","Draw"))))))</x:f>
      </x:c>
      <x:c r="V498" s="144" t="str">
        <x:f>IF(COUNTA($A498:$M498)=0,"",IF(OR($B498="",$C498="",$U498="Subscription"),"",IFERROR(ROUNDUP(($C498-$B498)/7,0),"")))</x:f>
      </x:c>
      <x:c r="W498" s="112" t="str">
        <x:f>IF(COUNTA($A498:$M498)=0,"",IF(OR($U498="Subscription",$U498=""),"",ROUND(IFERROR($Q498,0)-IFERROR($S498,0),2)))</x:f>
      </x:c>
      <x:c r="X498" s="144" t="str">
        <x:f>IF(COUNTA($A498:$M498)=0,"",IF(OR($U498="Subscription",$U498="Free Game",NOT(ISNUMBER($J498)),NOT(ISNUMBER($I498)),$J498=0,$I498=0,$I498&gt;$J498),"",$J498-$I498))</x:f>
      </x:c>
      <x:c r="Y498" s="116" t="str">
        <x:f>IF(COUNTA($A498:$M498)=0,"",IF(OR($U498="Subscription",$U498="Free Game",NOT(ISNUMBER($J498)),$J498=0,$X498=""),"",$X498/$J498))</x:f>
      </x:c>
      <x:c r="Z498" s="118" t="str">
        <x:f>IF(COUNTA($A498:$M498)=0,"",Instructions!$B$29+SUM($W$5:W498))</x:f>
      </x:c>
    </x:row>
    <x:row r="499" ht="30" customHeight="1">
      <x:c r="A499" s="477"/>
      <x:c r="B499" s="482"/>
      <x:c r="C499" s="482"/>
      <x:c r="D499" s="483"/>
      <x:c r="E499" s="483"/>
      <x:c r="F499" s="483"/>
      <x:c r="G499" s="484"/>
      <x:c r="H499" s="484"/>
      <x:c r="I499" s="485"/>
      <x:c r="J499" s="485"/>
      <x:c r="K499" s="484"/>
      <x:c r="L499" s="483"/>
      <x:c r="M499" s="477"/>
      <x:c r="N499" s="112" t="str">
        <x:f>IF(COUNTA($A499:$M499)=0,"",IF(OR(LOWER($F499&amp;"")="subscription",LOWER($F499&amp;"")="membership"),"",IF($G499="","",IF(ISNUMBER(SEARCH("non",LOWER($E499&amp;""))),$G499*0.85,$G499))))</x:f>
      </x:c>
      <x:c r="O499" s="112" t="str">
        <x:f>IF(COUNTA($A499:$M499)=0,"",IF(OR(LOWER($F499&amp;"")="subscription",LOWER($F499&amp;"")="membership"),"",IF(OR($N499="",$I499="",$I499=0),"",IFERROR($N499/$I499,""))))</x:f>
      </x:c>
      <x:c r="P499" s="112" t="str">
        <x:f>IF(COUNTA($A499:$M499)=0,"",IF(OR(LOWER($F499&amp;"")="subscription",LOWER($F499&amp;"")="membership"),"",IF(LOWER($L499&amp;"")="yes",0,IF($K499&lt;&gt;"",$K499,IF($O499&lt;&gt;"",$O499,"")))))</x:f>
      </x:c>
      <x:c r="Q499" s="112" t="str">
        <x:f>IF(COUNTA($A499:$M499)=0,"",IF(OR($U499="Subscription",$U499=""),"",IF($U499="Profit",ROUND($P499-$H499,2),0)))</x:f>
      </x:c>
      <x:c r="R499" s="112" t="str">
        <x:f>IF(COUNTA($A499:$M499)=0,"",IF(OR($U499="Subscription",$U499=""),"",IF($U499="Draw",$H499,0)))</x:f>
      </x:c>
      <x:c r="S499" s="112" t="str">
        <x:f>IF(COUNTA($A499:$M499)=0,"",IF(OR($U499="Subscription",$U499=""),"",IF($U499="Disqualified",$H499,0)))</x:f>
      </x:c>
      <x:c r="T499" s="116" t="str">
        <x:f>IF(COUNTA($A499:$M499)=0,"",IF(OR($U499="Subscription",$U499=""),"",IF($H499=0,0,IF($U499="Profit",$Q499/$H499,IF($U499="Disqualified",-$S499/$H499,0)))))</x:f>
      </x:c>
      <x:c r="U499" s="290" t="str">
        <x:f>IF(COUNTA($A499:$M499)=0,"",IF(OR(LOWER($F499&amp;"")="subscription",LOWER($F499&amp;"")="membership"),"Subscription",IF(LOWER($L499&amp;"")="yes","Disqualified",IF(OR(LOWER($F499&amp;"")="free game",LOWER($F499&amp;"")="free"),IF(AND(ISNUMBER($P499),ISNUMBER($H499),$P499&gt;$H499),"Profit","Free Game"),IF($P499="","",IF(ROUND(IFERROR(VALUE($P499),0)-IFERROR(VALUE($H499),0),2)&gt;0,"Profit","Draw"))))))</x:f>
      </x:c>
      <x:c r="V499" s="144" t="str">
        <x:f>IF(COUNTA($A499:$M499)=0,"",IF(OR($B499="",$C499="",$U499="Subscription"),"",IFERROR(ROUNDUP(($C499-$B499)/7,0),"")))</x:f>
      </x:c>
      <x:c r="W499" s="112" t="str">
        <x:f>IF(COUNTA($A499:$M499)=0,"",IF(OR($U499="Subscription",$U499=""),"",ROUND(IFERROR($Q499,0)-IFERROR($S499,0),2)))</x:f>
      </x:c>
      <x:c r="X499" s="144" t="str">
        <x:f>IF(COUNTA($A499:$M499)=0,"",IF(OR($U499="Subscription",$U499="Free Game",NOT(ISNUMBER($J499)),NOT(ISNUMBER($I499)),$J499=0,$I499=0,$I499&gt;$J499),"",$J499-$I499))</x:f>
      </x:c>
      <x:c r="Y499" s="116" t="str">
        <x:f>IF(COUNTA($A499:$M499)=0,"",IF(OR($U499="Subscription",$U499="Free Game",NOT(ISNUMBER($J499)),$J499=0,$X499=""),"",$X499/$J499))</x:f>
      </x:c>
      <x:c r="Z499" s="118" t="str">
        <x:f>IF(COUNTA($A499:$M499)=0,"",Instructions!$B$29+SUM($W$5:W499))</x:f>
      </x:c>
    </x:row>
    <x:row r="500" ht="30" customHeight="1">
      <x:c r="A500" s="477"/>
      <x:c r="B500" s="482"/>
      <x:c r="C500" s="482"/>
      <x:c r="D500" s="483"/>
      <x:c r="E500" s="483"/>
      <x:c r="F500" s="483"/>
      <x:c r="G500" s="484"/>
      <x:c r="H500" s="484"/>
      <x:c r="I500" s="485"/>
      <x:c r="J500" s="485"/>
      <x:c r="K500" s="484"/>
      <x:c r="L500" s="483"/>
      <x:c r="M500" s="477"/>
      <x:c r="N500" s="112" t="str">
        <x:f>IF(COUNTA($A500:$M500)=0,"",IF(OR(LOWER($F500&amp;"")="subscription",LOWER($F500&amp;"")="membership"),"",IF($G500="","",IF(ISNUMBER(SEARCH("non",LOWER($E500&amp;""))),$G500*0.85,$G500))))</x:f>
      </x:c>
      <x:c r="O500" s="112" t="str">
        <x:f>IF(COUNTA($A500:$M500)=0,"",IF(OR(LOWER($F500&amp;"")="subscription",LOWER($F500&amp;"")="membership"),"",IF(OR($N500="",$I500="",$I500=0),"",IFERROR($N500/$I500,""))))</x:f>
      </x:c>
      <x:c r="P500" s="112" t="str">
        <x:f>IF(COUNTA($A500:$M500)=0,"",IF(OR(LOWER($F500&amp;"")="subscription",LOWER($F500&amp;"")="membership"),"",IF(LOWER($L500&amp;"")="yes",0,IF($K500&lt;&gt;"",$K500,IF($O500&lt;&gt;"",$O500,"")))))</x:f>
      </x:c>
      <x:c r="Q500" s="112" t="str">
        <x:f>IF(COUNTA($A500:$M500)=0,"",IF(OR($U500="Subscription",$U500=""),"",IF($U500="Profit",ROUND($P500-$H500,2),0)))</x:f>
      </x:c>
      <x:c r="R500" s="112" t="str">
        <x:f>IF(COUNTA($A500:$M500)=0,"",IF(OR($U500="Subscription",$U500=""),"",IF($U500="Draw",$H500,0)))</x:f>
      </x:c>
      <x:c r="S500" s="112" t="str">
        <x:f>IF(COUNTA($A500:$M500)=0,"",IF(OR($U500="Subscription",$U500=""),"",IF($U500="Disqualified",$H500,0)))</x:f>
      </x:c>
      <x:c r="T500" s="116" t="str">
        <x:f>IF(COUNTA($A500:$M500)=0,"",IF(OR($U500="Subscription",$U500=""),"",IF($H500=0,0,IF($U500="Profit",$Q500/$H500,IF($U500="Disqualified",-$S500/$H500,0)))))</x:f>
      </x:c>
      <x:c r="U500" s="290" t="str">
        <x:f>IF(COUNTA($A500:$M500)=0,"",IF(OR(LOWER($F500&amp;"")="subscription",LOWER($F500&amp;"")="membership"),"Subscription",IF(LOWER($L500&amp;"")="yes","Disqualified",IF(OR(LOWER($F500&amp;"")="free game",LOWER($F500&amp;"")="free"),IF(AND(ISNUMBER($P500),ISNUMBER($H500),$P500&gt;$H500),"Profit","Free Game"),IF($P500="","",IF(ROUND(IFERROR(VALUE($P500),0)-IFERROR(VALUE($H500),0),2)&gt;0,"Profit","Draw"))))))</x:f>
      </x:c>
      <x:c r="V500" s="144" t="str">
        <x:f>IF(COUNTA($A500:$M500)=0,"",IF(OR($B500="",$C500="",$U500="Subscription"),"",IFERROR(ROUNDUP(($C500-$B500)/7,0),"")))</x:f>
      </x:c>
      <x:c r="W500" s="112" t="str">
        <x:f>IF(COUNTA($A500:$M500)=0,"",IF(OR($U500="Subscription",$U500=""),"",ROUND(IFERROR($Q500,0)-IFERROR($S500,0),2)))</x:f>
      </x:c>
      <x:c r="X500" s="144" t="str">
        <x:f>IF(COUNTA($A500:$M500)=0,"",IF(OR($U500="Subscription",$U500="Free Game",NOT(ISNUMBER($J500)),NOT(ISNUMBER($I500)),$J500=0,$I500=0,$I500&gt;$J500),"",$J500-$I500))</x:f>
      </x:c>
      <x:c r="Y500" s="116" t="str">
        <x:f>IF(COUNTA($A500:$M500)=0,"",IF(OR($U500="Subscription",$U500="Free Game",NOT(ISNUMBER($J500)),$J500=0,$X500=""),"",$X500/$J500))</x:f>
      </x:c>
      <x:c r="Z500" s="118" t="str">
        <x:f>IF(COUNTA($A500:$M500)=0,"",Instructions!$B$29+SUM($W$5:W500))</x:f>
      </x:c>
    </x:row>
    <x:row r="501" ht="30" customHeight="1">
      <x:c r="A501" s="477"/>
      <x:c r="B501" s="482"/>
      <x:c r="C501" s="482"/>
      <x:c r="D501" s="483"/>
      <x:c r="E501" s="483"/>
      <x:c r="F501" s="483"/>
      <x:c r="G501" s="484"/>
      <x:c r="H501" s="484"/>
      <x:c r="I501" s="485"/>
      <x:c r="J501" s="485"/>
      <x:c r="K501" s="484"/>
      <x:c r="L501" s="483"/>
      <x:c r="M501" s="477"/>
      <x:c r="N501" s="288" t="str">
        <x:f>IF(COUNTA($A501:$M501)=0,"",IF(OR(LOWER($F501&amp;"")="subscription",LOWER($F501&amp;"")="membership"),"",IF($G501="","",IF(ISNUMBER(SEARCH("non",LOWER($E501&amp;""))),$G501*0.85,$G501))))</x:f>
      </x:c>
      <x:c r="O501" s="288" t="str">
        <x:f>IF(COUNTA($A501:$M501)=0,"",IF(OR(LOWER($F501&amp;"")="subscription",LOWER($F501&amp;"")="membership"),"",IF(OR($N501="",$I501="",$I501=0),"",IFERROR($N501/$I501,""))))</x:f>
      </x:c>
      <x:c r="P501" s="288" t="str">
        <x:f>IF(COUNTA($A501:$M501)=0,"",IF(OR(LOWER($F501&amp;"")="subscription",LOWER($F501&amp;"")="membership"),"",IF(LOWER($L501&amp;"")="yes",0,IF($K501&lt;&gt;"",$K501,IF($O501&lt;&gt;"",$O501,"")))))</x:f>
      </x:c>
      <x:c r="Q501" s="288" t="str">
        <x:f>IF(COUNTA($A501:$M501)=0,"",IF(OR($U501="Subscription",$U501=""),"",IF($U501="Profit",ROUND($P501-$H501,2),0)))</x:f>
      </x:c>
      <x:c r="R501" s="288" t="str">
        <x:f>IF(COUNTA($A501:$M501)=0,"",IF(OR($U501="Subscription",$U501=""),"",IF($U501="Draw",$H501,0)))</x:f>
      </x:c>
      <x:c r="S501" s="288" t="str">
        <x:f>IF(COUNTA($A501:$M501)=0,"",IF(OR($U501="Subscription",$U501=""),"",IF($U501="Disqualified",$H501,0)))</x:f>
      </x:c>
      <x:c r="T501" s="289" t="str">
        <x:f>IF(COUNTA($A501:$M501)=0,"",IF(OR($U501="Subscription",$U501=""),"",IF($H501=0,0,IF($U501="Profit",$Q501/$H501,IF($U501="Disqualified",-$S501/$H501,0)))))</x:f>
      </x:c>
      <x:c r="U501" s="291" t="str">
        <x:f>IF(COUNTA($A501:$M501)=0,"",IF(OR(LOWER($F501&amp;"")="subscription",LOWER($F501&amp;"")="membership"),"Subscription",IF(LOWER($L501&amp;"")="yes","Disqualified",IF(OR(LOWER($F501&amp;"")="free game",LOWER($F501&amp;"")="free"),IF(AND(ISNUMBER($P501),ISNUMBER($H501),$P501&gt;$H501),"Profit","Free Game"),IF($P501="","",IF(ROUND(IFERROR(VALUE($P501),0)-IFERROR(VALUE($H501),0),2)&gt;0,"Profit","Draw"))))))</x:f>
      </x:c>
      <x:c r="V501" s="292" t="str">
        <x:f>IF(COUNTA($A501:$M501)=0,"",IF(OR($B501="",$C501="",$U501="Subscription"),"",IFERROR(ROUNDUP(($C501-$B501)/7,0),"")))</x:f>
      </x:c>
      <x:c r="W501" s="288" t="str">
        <x:f>IF(COUNTA($A501:$M501)=0,"",IF(OR($U501="Subscription",$U501=""),"",ROUND(IFERROR($Q501,0)-IFERROR($S501,0),2)))</x:f>
      </x:c>
      <x:c r="X501" s="292" t="str">
        <x:f>IF(COUNTA($A501:$M501)=0,"",IF(OR($U501="Subscription",$U501="Free Game",NOT(ISNUMBER($J501)),NOT(ISNUMBER($I501)),$J501=0,$I501=0,$I501&gt;$J501),"",$J501-$I501))</x:f>
      </x:c>
      <x:c r="Y501" s="289" t="str">
        <x:f>IF(COUNTA($A501:$M501)=0,"",IF(OR($U501="Subscription",$U501="Free Game",NOT(ISNUMBER($J501)),$J501=0,$X501=""),"",$X501/$J501))</x:f>
      </x:c>
      <x:c r="Z501" s="288" t="str">
        <x:f>IF(COUNTA($A501:$M501)=0,"",Instructions!$B$29+SUM($W$5:W501))</x:f>
      </x:c>
    </x:row>
    <x:row r="502" ht="30" customHeight="1">
      <x:c r="A502" s="477"/>
      <x:c r="B502" s="482"/>
      <x:c r="C502" s="482"/>
      <x:c r="D502" s="483"/>
      <x:c r="E502" s="483"/>
      <x:c r="F502" s="483"/>
      <x:c r="G502" s="484"/>
      <x:c r="H502" s="484"/>
      <x:c r="I502" s="485"/>
      <x:c r="J502" s="485"/>
      <x:c r="K502" s="484"/>
      <x:c r="L502" s="483"/>
      <x:c r="M502" s="477"/>
      <x:c r="N502" s="288" t="str">
        <x:f>IF(COUNTA($A502:$M502)=0,"",IF(OR(LOWER($F502&amp;"")="subscription",LOWER($F502&amp;"")="membership"),"",IF($G502="","",IF(ISNUMBER(SEARCH("non",LOWER($E502&amp;""))),$G502*0.85,$G502))))</x:f>
      </x:c>
      <x:c r="O502" s="288" t="str">
        <x:f>IF(COUNTA($A502:$M502)=0,"",IF(OR(LOWER($F502&amp;"")="subscription",LOWER($F502&amp;"")="membership"),"",IF(OR($N502="",$I502="",$I502=0),"",IFERROR($N502/$I502,""))))</x:f>
      </x:c>
      <x:c r="P502" s="288" t="str">
        <x:f>IF(COUNTA($A502:$M502)=0,"",IF(OR(LOWER($F502&amp;"")="subscription",LOWER($F502&amp;"")="membership"),"",IF(LOWER($L502&amp;"")="yes",0,IF($K502&lt;&gt;"",$K502,IF($O502&lt;&gt;"",$O502,"")))))</x:f>
      </x:c>
      <x:c r="Q502" s="288" t="str">
        <x:f>IF(COUNTA($A502:$M502)=0,"",IF(OR($U502="Subscription",$U502=""),"",IF($U502="Profit",ROUND($P502-$H502,2),0)))</x:f>
      </x:c>
      <x:c r="R502" s="288" t="str">
        <x:f>IF(COUNTA($A502:$M502)=0,"",IF(OR($U502="Subscription",$U502=""),"",IF($U502="Draw",$H502,0)))</x:f>
      </x:c>
      <x:c r="S502" s="288" t="str">
        <x:f>IF(COUNTA($A502:$M502)=0,"",IF(OR($U502="Subscription",$U502=""),"",IF($U502="Disqualified",$H502,0)))</x:f>
      </x:c>
      <x:c r="T502" s="289" t="str">
        <x:f>IF(COUNTA($A502:$M502)=0,"",IF(OR($U502="Subscription",$U502=""),"",IF($H502=0,0,IF($U502="Profit",$Q502/$H502,IF($U502="Disqualified",-$S502/$H502,0)))))</x:f>
      </x:c>
      <x:c r="U502" s="291" t="str">
        <x:f>IF(COUNTA($A502:$M502)=0,"",IF(OR(LOWER($F502&amp;"")="subscription",LOWER($F502&amp;"")="membership"),"Subscription",IF(LOWER($L502&amp;"")="yes","Disqualified",IF(OR(LOWER($F502&amp;"")="free game",LOWER($F502&amp;"")="free"),IF(AND(ISNUMBER($P502),ISNUMBER($H502),$P502&gt;$H502),"Profit","Free Game"),IF($P502="","",IF(ROUND(IFERROR(VALUE($P502),0)-IFERROR(VALUE($H502),0),2)&gt;0,"Profit","Draw"))))))</x:f>
      </x:c>
      <x:c r="V502" s="292" t="str">
        <x:f>IF(COUNTA($A502:$M502)=0,"",IF(OR($B502="",$C502="",$U502="Subscription"),"",IFERROR(ROUNDUP(($C502-$B502)/7,0),"")))</x:f>
      </x:c>
      <x:c r="W502" s="288" t="str">
        <x:f>IF(COUNTA($A502:$M502)=0,"",IF(OR($U502="Subscription",$U502=""),"",ROUND(IFERROR($Q502,0)-IFERROR($S502,0),2)))</x:f>
      </x:c>
      <x:c r="X502" s="292" t="str">
        <x:f>IF(COUNTA($A502:$M502)=0,"",IF(OR($U502="Subscription",$U502="Free Game",NOT(ISNUMBER($J502)),NOT(ISNUMBER($I502)),$J502=0,$I502=0,$I502&gt;$J502),"",$J502-$I502))</x:f>
      </x:c>
      <x:c r="Y502" s="289" t="str">
        <x:f>IF(COUNTA($A502:$M502)=0,"",IF(OR($U502="Subscription",$U502="Free Game",NOT(ISNUMBER($J502)),$J502=0,$X502=""),"",$X502/$J502))</x:f>
      </x:c>
      <x:c r="Z502" s="288" t="str">
        <x:f>IF(COUNTA($A502:$M502)=0,"",Instructions!$B$29+SUM($W$5:W502))</x:f>
      </x:c>
    </x:row>
    <x:row r="503" ht="30" customHeight="1">
      <x:c r="A503" s="477"/>
      <x:c r="B503" s="482"/>
      <x:c r="C503" s="482"/>
      <x:c r="D503" s="483"/>
      <x:c r="E503" s="483"/>
      <x:c r="F503" s="483"/>
      <x:c r="G503" s="484"/>
      <x:c r="H503" s="484"/>
      <x:c r="I503" s="485"/>
      <x:c r="J503" s="485"/>
      <x:c r="K503" s="484"/>
      <x:c r="L503" s="483"/>
      <x:c r="M503" s="477"/>
      <x:c r="N503" s="288" t="str">
        <x:f>IF(COUNTA($A503:$M503)=0,"",IF(OR(LOWER($F503&amp;"")="subscription",LOWER($F503&amp;"")="membership"),"",IF($G503="","",IF(ISNUMBER(SEARCH("non",LOWER($E503&amp;""))),$G503*0.85,$G503))))</x:f>
      </x:c>
      <x:c r="O503" s="288" t="str">
        <x:f>IF(COUNTA($A503:$M503)=0,"",IF(OR(LOWER($F503&amp;"")="subscription",LOWER($F503&amp;"")="membership"),"",IF(OR($N503="",$I503="",$I503=0),"",IFERROR($N503/$I503,""))))</x:f>
      </x:c>
      <x:c r="P503" s="288" t="str">
        <x:f>IF(COUNTA($A503:$M503)=0,"",IF(OR(LOWER($F503&amp;"")="subscription",LOWER($F503&amp;"")="membership"),"",IF(LOWER($L503&amp;"")="yes",0,IF($K503&lt;&gt;"",$K503,IF($O503&lt;&gt;"",$O503,"")))))</x:f>
      </x:c>
      <x:c r="Q503" s="288" t="str">
        <x:f>IF(COUNTA($A503:$M503)=0,"",IF(OR($U503="Subscription",$U503=""),"",IF($U503="Profit",ROUND($P503-$H503,2),0)))</x:f>
      </x:c>
      <x:c r="R503" s="288" t="str">
        <x:f>IF(COUNTA($A503:$M503)=0,"",IF(OR($U503="Subscription",$U503=""),"",IF($U503="Draw",$H503,0)))</x:f>
      </x:c>
      <x:c r="S503" s="288" t="str">
        <x:f>IF(COUNTA($A503:$M503)=0,"",IF(OR($U503="Subscription",$U503=""),"",IF($U503="Disqualified",$H503,0)))</x:f>
      </x:c>
      <x:c r="T503" s="289" t="str">
        <x:f>IF(COUNTA($A503:$M503)=0,"",IF(OR($U503="Subscription",$U503=""),"",IF($H503=0,0,IF($U503="Profit",$Q503/$H503,IF($U503="Disqualified",-$S503/$H503,0)))))</x:f>
      </x:c>
      <x:c r="U503" s="291" t="str">
        <x:f>IF(COUNTA($A503:$M503)=0,"",IF(OR(LOWER($F503&amp;"")="subscription",LOWER($F503&amp;"")="membership"),"Subscription",IF(LOWER($L503&amp;"")="yes","Disqualified",IF(OR(LOWER($F503&amp;"")="free game",LOWER($F503&amp;"")="free"),IF(AND(ISNUMBER($P503),ISNUMBER($H503),$P503&gt;$H503),"Profit","Free Game"),IF($P503="","",IF(ROUND(IFERROR(VALUE($P503),0)-IFERROR(VALUE($H503),0),2)&gt;0,"Profit","Draw"))))))</x:f>
      </x:c>
      <x:c r="V503" s="292" t="str">
        <x:f>IF(COUNTA($A503:$M503)=0,"",IF(OR($B503="",$C503="",$U503="Subscription"),"",IFERROR(ROUNDUP(($C503-$B503)/7,0),"")))</x:f>
      </x:c>
      <x:c r="W503" s="288" t="str">
        <x:f>IF(COUNTA($A503:$M503)=0,"",IF(OR($U503="Subscription",$U503=""),"",ROUND(IFERROR($Q503,0)-IFERROR($S503,0),2)))</x:f>
      </x:c>
      <x:c r="X503" s="292" t="str">
        <x:f>IF(COUNTA($A503:$M503)=0,"",IF(OR($U503="Subscription",$U503="Free Game",NOT(ISNUMBER($J503)),NOT(ISNUMBER($I503)),$J503=0,$I503=0,$I503&gt;$J503),"",$J503-$I503))</x:f>
      </x:c>
      <x:c r="Y503" s="289" t="str">
        <x:f>IF(COUNTA($A503:$M503)=0,"",IF(OR($U503="Subscription",$U503="Free Game",NOT(ISNUMBER($J503)),$J503=0,$X503=""),"",$X503/$J503))</x:f>
      </x:c>
      <x:c r="Z503" s="288" t="str">
        <x:f>IF(COUNTA($A503:$M503)=0,"",Instructions!$B$29+SUM($W$5:W503))</x:f>
      </x:c>
    </x:row>
    <x:row r="504" ht="30" customHeight="1">
      <x:c r="A504" s="477"/>
      <x:c r="B504" s="478"/>
      <x:c r="C504" s="478"/>
      <x:c r="D504" s="479"/>
      <x:c r="E504" s="479"/>
      <x:c r="F504" s="479"/>
      <x:c r="G504" s="480"/>
      <x:c r="H504" s="480"/>
      <x:c r="I504" s="481"/>
      <x:c r="J504" s="481"/>
      <x:c r="K504" s="480"/>
      <x:c r="L504" s="479"/>
      <x:c r="M504" s="477"/>
      <x:c r="N504" s="288" t="str">
        <x:f>IF(COUNTA($A504:$M504)=0,"",IF(OR(LOWER($F504&amp;"")="subscription",LOWER($F504&amp;"")="membership"),"",IF($G504="","",IF(ISNUMBER(SEARCH("non",LOWER($E504&amp;""))),$G504*0.85,$G504))))</x:f>
      </x:c>
      <x:c r="O504" s="288" t="str">
        <x:f>IF(COUNTA($A504:$M504)=0,"",IF(OR(LOWER($F504&amp;"")="subscription",LOWER($F504&amp;"")="membership"),"",IF(OR($N504="",$I504="",$I504=0),"",IFERROR($N504/$I504,""))))</x:f>
      </x:c>
      <x:c r="P504" s="288" t="str">
        <x:f>IF(COUNTA($A504:$M504)=0,"",IF(OR(LOWER($F504&amp;"")="subscription",LOWER($F504&amp;"")="membership"),"",IF(LOWER($L504&amp;"")="yes",0,IF($K504&lt;&gt;"",$K504,IF($O504&lt;&gt;"",$O504,"")))))</x:f>
      </x:c>
      <x:c r="Q504" s="288" t="str">
        <x:f>IF(COUNTA($A504:$M504)=0,"",IF(OR($U504="Subscription",$U504=""),"",IF($U504="Profit",ROUND($P504-$H504,2),0)))</x:f>
      </x:c>
      <x:c r="R504" s="288" t="str">
        <x:f>IF(COUNTA($A504:$M504)=0,"",IF(OR($U504="Subscription",$U504=""),"",IF($U504="Draw",$H504,0)))</x:f>
      </x:c>
      <x:c r="S504" s="288" t="str">
        <x:f>IF(COUNTA($A504:$M504)=0,"",IF(OR($U504="Subscription",$U504=""),"",IF($U504="Disqualified",$H504,0)))</x:f>
      </x:c>
      <x:c r="T504" s="289" t="str">
        <x:f>IF(COUNTA($A504:$M504)=0,"",IF(OR($U504="Subscription",$U504=""),"",IF($H504=0,0,IF($U504="Profit",$Q504/$H504,IF($U504="Disqualified",-$S504/$H504,0)))))</x:f>
      </x:c>
      <x:c r="U504" s="291" t="str">
        <x:f>IF(COUNTA($A504:$M504)=0,"",IF(OR(LOWER($F504&amp;"")="subscription",LOWER($F504&amp;"")="membership"),"Subscription",IF(LOWER($L504&amp;"")="yes","Disqualified",IF(OR(LOWER($F504&amp;"")="free game",LOWER($F504&amp;"")="free"),IF(AND(ISNUMBER($P504),ISNUMBER($H504),$P504&gt;$H504),"Profit","Free Game"),IF($P504="","",IF(ROUND(IFERROR(VALUE($P504),0)-IFERROR(VALUE($H504),0),2)&gt;0,"Profit","Draw"))))))</x:f>
      </x:c>
      <x:c r="V504" s="292" t="str">
        <x:f>IF(COUNTA($A504:$M504)=0,"",IF(OR($B504="",$C504="",$U504="Subscription"),"",IFERROR(ROUNDUP(($C504-$B504)/7,0),"")))</x:f>
      </x:c>
      <x:c r="W504" s="288" t="str">
        <x:f>IF(COUNTA($A504:$M504)=0,"",IF(OR($U504="Subscription",$U504=""),"",ROUND(IFERROR($Q504,0)-IFERROR($S504,0),2)))</x:f>
      </x:c>
      <x:c r="X504" s="292" t="str">
        <x:f>IF(COUNTA($A504:$M504)=0,"",IF(OR($U504="Subscription",$U504="Free Game",NOT(ISNUMBER($J504)),NOT(ISNUMBER($I504)),$J504=0,$I504=0,$I504&gt;$J504),"",$J504-$I504))</x:f>
      </x:c>
      <x:c r="Y504" s="289" t="str">
        <x:f>IF(COUNTA($A504:$M504)=0,"",IF(OR($U504="Subscription",$U504="Free Game",NOT(ISNUMBER($J504)),$J504=0,$X504=""),"",$X504/$J504))</x:f>
      </x:c>
      <x:c r="Z504" s="28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customHeight="1">
      <x:c r="A1" s="122" t="str">
        <x:v>Record Review — Game Index and Field Review — v230</x:v>
      </x:c>
      <x:c r="B1" s="122"/>
      <x:c r="C1" s="122"/>
      <x:c r="D1" s="122"/>
      <x:c r="E1" s="122"/>
      <x:c r="F1" s="122"/>
      <x:c r="I1" s="333" t="str">
        <x:v>Review Totals</x:v>
      </x:c>
      <x:c r="J1" s="333"/>
    </x:row>
    <x:row r="2" ht="48"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I2" s="335" t="str">
        <x:v>Total Games</x:v>
      </x:c>
      <x:c r="J2" s="339" t="n">
        <x:f>COUNT($A$5:$A$504)</x:f>
        <x:v>0</x:v>
      </x:c>
    </x:row>
    <x:row r="3">
      <x:c r="A3"/>
      <x:c r="B3"/>
      <x:c r="C3"/>
      <x:c r="D3"/>
      <x:c r="E3"/>
      <x:c r="F3"/>
      <x:c r="I3" s="335" t="str">
        <x:v>Profit Games</x:v>
      </x:c>
      <x:c r="J3" s="339" t="n">
        <x:f>COUNTIF('Game Records'!$U$5:$U$504,"Profit")</x:f>
        <x:v>0</x:v>
      </x:c>
    </x:row>
    <x:row r="4" ht="44"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I4" s="335" t="str">
        <x:v>Draw Games</x:v>
      </x:c>
      <x:c r="J4" s="339" t="n">
        <x:f>COUNTIF('Game Records'!$U$5:$U$504,"Draw")</x:f>
        <x:v>0</x:v>
      </x:c>
    </x:row>
    <x:row r="5">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Game",OR('Game Records'!$D5="",LOWER('Game Records'!$D5&amp;"")="n/a")),"Entry Mode; ","")&amp;IF(AND('Game Records'!$U5&lt;&gt;"Subscription",'Game Records'!$U5&lt;&gt;"Free Game",OR('Game Records'!$E5="",LOWER('Game Records'!$E5&amp;"")="n/a")),"Game Type; ","")&amp;IF('Game Records'!$F5="","Payment Type; ","")&amp;IF(AND('Game Records'!$U5&lt;&gt;"Subscription",'Game Records'!$U5&lt;&gt;"Free Game",'Game Records'!$G5=""),"Gross Pot; ","")&amp;IF(AND('Game Records'!$U5&lt;&gt;"Free Game",'Game Records'!$H5=""),"Entry Fee; ","")&amp;IF(AND('Game Records'!$U5&lt;&gt;"Subscription",'Game Records'!$U5&lt;&gt;"Free Game",'Game Records'!$I5=""),"Eligible Players; ","")&amp;IF(AND('Game Records'!$U5&lt;&gt;"Subscription",'Game Records'!$U5&lt;&gt;"Free Game",'Game Records'!$J5=""),"Total Players; ","")&amp;IF(AND(LOWER('Game Records'!$D5&amp;"")="finalized",LOWER('Game Records'!$L5&amp;"")&lt;&gt;"yes",'Game Records'!$U5&lt;&gt;"Subscription",'Game Records'!$U5&lt;&gt;"Free Game",'Game Records'!$K5=""),"Final Earned; ","")&amp;IF(AND(LOWER('Game Records'!$D5&amp;"")="finalized",'Game Records'!$U5&lt;&gt;"Subscription",'Game Records'!$U5&lt;&gt;"Free Game",OR('Game Records'!$L5="",LOWER('Game Records'!$L5&amp;"")="n/a")),"Disqualified Status; ",""))</x:f>
      </x:c>
      <x:c r="G5" s="331" t="str">
        <x:f>IF($A5="","",IFERROR('Game Records'!$M5,""))</x:f>
      </x:c>
      <x:c r="I5" s="335" t="str">
        <x:v>Disqualified Games</x:v>
      </x:c>
      <x:c r="J5" s="339" t="n">
        <x:f>COUNTIF('Game Records'!$U$5:$U$504,"Disqualified")</x:f>
        <x:v>0</x:v>
      </x:c>
    </x:row>
    <x:row r="6">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Game",OR('Game Records'!$D6="",LOWER('Game Records'!$D6&amp;"")="n/a")),"Entry Mode; ","")&amp;IF(AND('Game Records'!$U6&lt;&gt;"Subscription",'Game Records'!$U6&lt;&gt;"Free Game",OR('Game Records'!$E6="",LOWER('Game Records'!$E6&amp;"")="n/a")),"Game Type; ","")&amp;IF('Game Records'!$F6="","Payment Type; ","")&amp;IF(AND('Game Records'!$U6&lt;&gt;"Subscription",'Game Records'!$U6&lt;&gt;"Free Game",'Game Records'!$G6=""),"Gross Pot; ","")&amp;IF(AND('Game Records'!$U6&lt;&gt;"Free Game",'Game Records'!$H6=""),"Entry Fee; ","")&amp;IF(AND('Game Records'!$U6&lt;&gt;"Subscription",'Game Records'!$U6&lt;&gt;"Free Game",'Game Records'!$I6=""),"Eligible Players; ","")&amp;IF(AND('Game Records'!$U6&lt;&gt;"Subscription",'Game Records'!$U6&lt;&gt;"Free Game",'Game Records'!$J6=""),"Total Players; ","")&amp;IF(AND(LOWER('Game Records'!$D6&amp;"")="finalized",LOWER('Game Records'!$L6&amp;"")&lt;&gt;"yes",'Game Records'!$U6&lt;&gt;"Subscription",'Game Records'!$U6&lt;&gt;"Free Game",'Game Records'!$K6=""),"Final Earned; ","")&amp;IF(AND(LOWER('Game Records'!$D6&amp;"")="finalized",'Game Records'!$U6&lt;&gt;"Subscription",'Game Records'!$U6&lt;&gt;"Free Game",OR('Game Records'!$L6="",LOWER('Game Records'!$L6&amp;"")="n/a")),"Disqualified Status; ",""))</x:f>
      </x:c>
      <x:c r="G6" s="331" t="str">
        <x:f>IF($A6="","",IFERROR('Game Records'!$M6,""))</x:f>
      </x:c>
      <x:c r="I6" s="335" t="str">
        <x:v>Free Games</x:v>
      </x:c>
      <x:c r="J6" s="339" t="n">
        <x:f>COUNTIF('Game Records'!$F$5:$F$504,"Free Game")</x:f>
        <x:v>0</x:v>
      </x:c>
    </x:row>
    <x:row r="7">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Game",OR('Game Records'!$D7="",LOWER('Game Records'!$D7&amp;"")="n/a")),"Entry Mode; ","")&amp;IF(AND('Game Records'!$U7&lt;&gt;"Subscription",'Game Records'!$U7&lt;&gt;"Free Game",OR('Game Records'!$E7="",LOWER('Game Records'!$E7&amp;"")="n/a")),"Game Type; ","")&amp;IF('Game Records'!$F7="","Payment Type; ","")&amp;IF(AND('Game Records'!$U7&lt;&gt;"Subscription",'Game Records'!$U7&lt;&gt;"Free Game",'Game Records'!$G7=""),"Gross Pot; ","")&amp;IF(AND('Game Records'!$U7&lt;&gt;"Free Game",'Game Records'!$H7=""),"Entry Fee; ","")&amp;IF(AND('Game Records'!$U7&lt;&gt;"Subscription",'Game Records'!$U7&lt;&gt;"Free Game",'Game Records'!$I7=""),"Eligible Players; ","")&amp;IF(AND('Game Records'!$U7&lt;&gt;"Subscription",'Game Records'!$U7&lt;&gt;"Free Game",'Game Records'!$J7=""),"Total Players; ","")&amp;IF(AND(LOWER('Game Records'!$D7&amp;"")="finalized",LOWER('Game Records'!$L7&amp;"")&lt;&gt;"yes",'Game Records'!$U7&lt;&gt;"Subscription",'Game Records'!$U7&lt;&gt;"Free Game",'Game Records'!$K7=""),"Final Earned; ","")&amp;IF(AND(LOWER('Game Records'!$D7&amp;"")="finalized",'Game Records'!$U7&lt;&gt;"Subscription",'Game Records'!$U7&lt;&gt;"Free Game",OR('Game Records'!$L7="",LOWER('Game Records'!$L7&amp;"")="n/a")),"Disqualified Status; ",""))</x:f>
      </x:c>
      <x:c r="G7" s="331" t="str">
        <x:f>IF($A7="","",IFERROR('Game Records'!$M7,""))</x:f>
      </x:c>
      <x:c r="I7" s="335" t="str">
        <x:v>Points Games</x:v>
      </x:c>
      <x:c r="J7" s="339" t="n">
        <x:f>COUNTIF('Game Records'!$F$5:$F$504,"Points")</x:f>
        <x:v>0</x:v>
      </x:c>
    </x:row>
    <x:row r="8">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Game",OR('Game Records'!$D8="",LOWER('Game Records'!$D8&amp;"")="n/a")),"Entry Mode; ","")&amp;IF(AND('Game Records'!$U8&lt;&gt;"Subscription",'Game Records'!$U8&lt;&gt;"Free Game",OR('Game Records'!$E8="",LOWER('Game Records'!$E8&amp;"")="n/a")),"Game Type; ","")&amp;IF('Game Records'!$F8="","Payment Type; ","")&amp;IF(AND('Game Records'!$U8&lt;&gt;"Subscription",'Game Records'!$U8&lt;&gt;"Free Game",'Game Records'!$G8=""),"Gross Pot; ","")&amp;IF(AND('Game Records'!$U8&lt;&gt;"Free Game",'Game Records'!$H8=""),"Entry Fee; ","")&amp;IF(AND('Game Records'!$U8&lt;&gt;"Subscription",'Game Records'!$U8&lt;&gt;"Free Game",'Game Records'!$I8=""),"Eligible Players; ","")&amp;IF(AND('Game Records'!$U8&lt;&gt;"Subscription",'Game Records'!$U8&lt;&gt;"Free Game",'Game Records'!$J8=""),"Total Players; ","")&amp;IF(AND(LOWER('Game Records'!$D8&amp;"")="finalized",LOWER('Game Records'!$L8&amp;"")&lt;&gt;"yes",'Game Records'!$U8&lt;&gt;"Subscription",'Game Records'!$U8&lt;&gt;"Free Game",'Game Records'!$K8=""),"Final Earned; ","")&amp;IF(AND(LOWER('Game Records'!$D8&amp;"")="finalized",'Game Records'!$U8&lt;&gt;"Subscription",'Game Records'!$U8&lt;&gt;"Free Game",OR('Game Records'!$L8="",LOWER('Game Records'!$L8&amp;"")="n/a")),"Disqualified Status; ",""))</x:f>
      </x:c>
      <x:c r="G8" s="331" t="str">
        <x:f>IF($A8="","",IFERROR('Game Records'!$M8,""))</x:f>
      </x:c>
      <x:c r="I8" s="335" t="str">
        <x:v>Cash / Hybrid Games</x:v>
      </x:c>
      <x:c r="J8" s="339" t="n">
        <x:f>COUNTIF('Game Records'!$F$5:$F$504,"Cash")+COUNTIF('Game Records'!$F$5:$F$504,"Hybrid")</x:f>
        <x:v>0</x:v>
      </x:c>
    </x:row>
    <x:row r="9">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Game",OR('Game Records'!$D9="",LOWER('Game Records'!$D9&amp;"")="n/a")),"Entry Mode; ","")&amp;IF(AND('Game Records'!$U9&lt;&gt;"Subscription",'Game Records'!$U9&lt;&gt;"Free Game",OR('Game Records'!$E9="",LOWER('Game Records'!$E9&amp;"")="n/a")),"Game Type; ","")&amp;IF('Game Records'!$F9="","Payment Type; ","")&amp;IF(AND('Game Records'!$U9&lt;&gt;"Subscription",'Game Records'!$U9&lt;&gt;"Free Game",'Game Records'!$G9=""),"Gross Pot; ","")&amp;IF(AND('Game Records'!$U9&lt;&gt;"Free Game",'Game Records'!$H9=""),"Entry Fee; ","")&amp;IF(AND('Game Records'!$U9&lt;&gt;"Subscription",'Game Records'!$U9&lt;&gt;"Free Game",'Game Records'!$I9=""),"Eligible Players; ","")&amp;IF(AND('Game Records'!$U9&lt;&gt;"Subscription",'Game Records'!$U9&lt;&gt;"Free Game",'Game Records'!$J9=""),"Total Players; ","")&amp;IF(AND(LOWER('Game Records'!$D9&amp;"")="finalized",LOWER('Game Records'!$L9&amp;"")&lt;&gt;"yes",'Game Records'!$U9&lt;&gt;"Subscription",'Game Records'!$U9&lt;&gt;"Free Game",'Game Records'!$K9=""),"Final Earned; ","")&amp;IF(AND(LOWER('Game Records'!$D9&amp;"")="finalized",'Game Records'!$U9&lt;&gt;"Subscription",'Game Records'!$U9&lt;&gt;"Free Game",OR('Game Records'!$L9="",LOWER('Game Records'!$L9&amp;"")="n/a")),"Disqualified Status; ",""))</x:f>
      </x:c>
      <x:c r="G9" s="331" t="str">
        <x:f>IF($A9="","",IFERROR('Game Records'!$M9,""))</x:f>
      </x:c>
    </x:row>
    <x:row r="10">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Game",OR('Game Records'!$D10="",LOWER('Game Records'!$D10&amp;"")="n/a")),"Entry Mode; ","")&amp;IF(AND('Game Records'!$U10&lt;&gt;"Subscription",'Game Records'!$U10&lt;&gt;"Free Game",OR('Game Records'!$E10="",LOWER('Game Records'!$E10&amp;"")="n/a")),"Game Type; ","")&amp;IF('Game Records'!$F10="","Payment Type; ","")&amp;IF(AND('Game Records'!$U10&lt;&gt;"Subscription",'Game Records'!$U10&lt;&gt;"Free Game",'Game Records'!$G10=""),"Gross Pot; ","")&amp;IF(AND('Game Records'!$U10&lt;&gt;"Free Game",'Game Records'!$H10=""),"Entry Fee; ","")&amp;IF(AND('Game Records'!$U10&lt;&gt;"Subscription",'Game Records'!$U10&lt;&gt;"Free Game",'Game Records'!$I10=""),"Eligible Players; ","")&amp;IF(AND('Game Records'!$U10&lt;&gt;"Subscription",'Game Records'!$U10&lt;&gt;"Free Game",'Game Records'!$J10=""),"Total Players; ","")&amp;IF(AND(LOWER('Game Records'!$D10&amp;"")="finalized",LOWER('Game Records'!$L10&amp;"")&lt;&gt;"yes",'Game Records'!$U10&lt;&gt;"Subscription",'Game Records'!$U10&lt;&gt;"Free Game",'Game Records'!$K10=""),"Final Earned; ","")&amp;IF(AND(LOWER('Game Records'!$D10&amp;"")="finalized",'Game Records'!$U10&lt;&gt;"Subscription",'Game Records'!$U10&lt;&gt;"Free Game",OR('Game Records'!$L10="",LOWER('Game Records'!$L10&amp;"")="n/a")),"Disqualified Status; ",""))</x:f>
      </x:c>
      <x:c r="G10" s="331" t="str">
        <x:f>IF($A10="","",IFERROR('Game Records'!$M10,""))</x:f>
      </x:c>
    </x:row>
    <x:row r="1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Game",OR('Game Records'!$D11="",LOWER('Game Records'!$D11&amp;"")="n/a")),"Entry Mode; ","")&amp;IF(AND('Game Records'!$U11&lt;&gt;"Subscription",'Game Records'!$U11&lt;&gt;"Free Game",OR('Game Records'!$E11="",LOWER('Game Records'!$E11&amp;"")="n/a")),"Game Type; ","")&amp;IF('Game Records'!$F11="","Payment Type; ","")&amp;IF(AND('Game Records'!$U11&lt;&gt;"Subscription",'Game Records'!$U11&lt;&gt;"Free Game",'Game Records'!$G11=""),"Gross Pot; ","")&amp;IF(AND('Game Records'!$U11&lt;&gt;"Free Game",'Game Records'!$H11=""),"Entry Fee; ","")&amp;IF(AND('Game Records'!$U11&lt;&gt;"Subscription",'Game Records'!$U11&lt;&gt;"Free Game",'Game Records'!$I11=""),"Eligible Players; ","")&amp;IF(AND('Game Records'!$U11&lt;&gt;"Subscription",'Game Records'!$U11&lt;&gt;"Free Game",'Game Records'!$J11=""),"Total Players; ","")&amp;IF(AND(LOWER('Game Records'!$D11&amp;"")="finalized",LOWER('Game Records'!$L11&amp;"")&lt;&gt;"yes",'Game Records'!$U11&lt;&gt;"Subscription",'Game Records'!$U11&lt;&gt;"Free Game",'Game Records'!$K11=""),"Final Earned; ","")&amp;IF(AND(LOWER('Game Records'!$D11&amp;"")="finalized",'Game Records'!$U11&lt;&gt;"Subscription",'Game Records'!$U11&lt;&gt;"Free Game",OR('Game Records'!$L11="",LOWER('Game Records'!$L11&amp;"")="n/a")),"Disqualified Status; ",""))</x:f>
      </x:c>
      <x:c r="G11" s="331" t="str">
        <x:f>IF($A11="","",IFERROR('Game Records'!$M11,""))</x:f>
      </x:c>
    </x:row>
    <x:row r="12">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Game",OR('Game Records'!$D12="",LOWER('Game Records'!$D12&amp;"")="n/a")),"Entry Mode; ","")&amp;IF(AND('Game Records'!$U12&lt;&gt;"Subscription",'Game Records'!$U12&lt;&gt;"Free Game",OR('Game Records'!$E12="",LOWER('Game Records'!$E12&amp;"")="n/a")),"Game Type; ","")&amp;IF('Game Records'!$F12="","Payment Type; ","")&amp;IF(AND('Game Records'!$U12&lt;&gt;"Subscription",'Game Records'!$U12&lt;&gt;"Free Game",'Game Records'!$G12=""),"Gross Pot; ","")&amp;IF(AND('Game Records'!$U12&lt;&gt;"Free Game",'Game Records'!$H12=""),"Entry Fee; ","")&amp;IF(AND('Game Records'!$U12&lt;&gt;"Subscription",'Game Records'!$U12&lt;&gt;"Free Game",'Game Records'!$I12=""),"Eligible Players; ","")&amp;IF(AND('Game Records'!$U12&lt;&gt;"Subscription",'Game Records'!$U12&lt;&gt;"Free Game",'Game Records'!$J12=""),"Total Players; ","")&amp;IF(AND(LOWER('Game Records'!$D12&amp;"")="finalized",LOWER('Game Records'!$L12&amp;"")&lt;&gt;"yes",'Game Records'!$U12&lt;&gt;"Subscription",'Game Records'!$U12&lt;&gt;"Free Game",'Game Records'!$K12=""),"Final Earned; ","")&amp;IF(AND(LOWER('Game Records'!$D12&amp;"")="finalized",'Game Records'!$U12&lt;&gt;"Subscription",'Game Records'!$U12&lt;&gt;"Free Game",OR('Game Records'!$L12="",LOWER('Game Records'!$L12&amp;"")="n/a")),"Disqualified Status; ",""))</x:f>
      </x:c>
      <x:c r="G12" s="331" t="str">
        <x:f>IF($A12="","",IFERROR('Game Records'!$M12,""))</x:f>
      </x:c>
    </x:row>
    <x:row r="13">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Game",OR('Game Records'!$D13="",LOWER('Game Records'!$D13&amp;"")="n/a")),"Entry Mode; ","")&amp;IF(AND('Game Records'!$U13&lt;&gt;"Subscription",'Game Records'!$U13&lt;&gt;"Free Game",OR('Game Records'!$E13="",LOWER('Game Records'!$E13&amp;"")="n/a")),"Game Type; ","")&amp;IF('Game Records'!$F13="","Payment Type; ","")&amp;IF(AND('Game Records'!$U13&lt;&gt;"Subscription",'Game Records'!$U13&lt;&gt;"Free Game",'Game Records'!$G13=""),"Gross Pot; ","")&amp;IF(AND('Game Records'!$U13&lt;&gt;"Free Game",'Game Records'!$H13=""),"Entry Fee; ","")&amp;IF(AND('Game Records'!$U13&lt;&gt;"Subscription",'Game Records'!$U13&lt;&gt;"Free Game",'Game Records'!$I13=""),"Eligible Players; ","")&amp;IF(AND('Game Records'!$U13&lt;&gt;"Subscription",'Game Records'!$U13&lt;&gt;"Free Game",'Game Records'!$J13=""),"Total Players; ","")&amp;IF(AND(LOWER('Game Records'!$D13&amp;"")="finalized",LOWER('Game Records'!$L13&amp;"")&lt;&gt;"yes",'Game Records'!$U13&lt;&gt;"Subscription",'Game Records'!$U13&lt;&gt;"Free Game",'Game Records'!$K13=""),"Final Earned; ","")&amp;IF(AND(LOWER('Game Records'!$D13&amp;"")="finalized",'Game Records'!$U13&lt;&gt;"Subscription",'Game Records'!$U13&lt;&gt;"Free Game",OR('Game Records'!$L13="",LOWER('Game Records'!$L13&amp;"")="n/a")),"Disqualified Status; ",""))</x:f>
      </x:c>
      <x:c r="G13" s="331" t="str">
        <x:f>IF($A13="","",IFERROR('Game Records'!$M13,""))</x:f>
      </x:c>
    </x:row>
    <x:row r="14">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Game",OR('Game Records'!$D14="",LOWER('Game Records'!$D14&amp;"")="n/a")),"Entry Mode; ","")&amp;IF(AND('Game Records'!$U14&lt;&gt;"Subscription",'Game Records'!$U14&lt;&gt;"Free Game",OR('Game Records'!$E14="",LOWER('Game Records'!$E14&amp;"")="n/a")),"Game Type; ","")&amp;IF('Game Records'!$F14="","Payment Type; ","")&amp;IF(AND('Game Records'!$U14&lt;&gt;"Subscription",'Game Records'!$U14&lt;&gt;"Free Game",'Game Records'!$G14=""),"Gross Pot; ","")&amp;IF(AND('Game Records'!$U14&lt;&gt;"Free Game",'Game Records'!$H14=""),"Entry Fee; ","")&amp;IF(AND('Game Records'!$U14&lt;&gt;"Subscription",'Game Records'!$U14&lt;&gt;"Free Game",'Game Records'!$I14=""),"Eligible Players; ","")&amp;IF(AND('Game Records'!$U14&lt;&gt;"Subscription",'Game Records'!$U14&lt;&gt;"Free Game",'Game Records'!$J14=""),"Total Players; ","")&amp;IF(AND(LOWER('Game Records'!$D14&amp;"")="finalized",LOWER('Game Records'!$L14&amp;"")&lt;&gt;"yes",'Game Records'!$U14&lt;&gt;"Subscription",'Game Records'!$U14&lt;&gt;"Free Game",'Game Records'!$K14=""),"Final Earned; ","")&amp;IF(AND(LOWER('Game Records'!$D14&amp;"")="finalized",'Game Records'!$U14&lt;&gt;"Subscription",'Game Records'!$U14&lt;&gt;"Free Game",OR('Game Records'!$L14="",LOWER('Game Records'!$L14&amp;"")="n/a")),"Disqualified Status; ",""))</x:f>
      </x:c>
      <x:c r="G14" s="331" t="str">
        <x:f>IF($A14="","",IFERROR('Game Records'!$M14,""))</x:f>
      </x:c>
    </x:row>
    <x:row r="15">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Game",OR('Game Records'!$D15="",LOWER('Game Records'!$D15&amp;"")="n/a")),"Entry Mode; ","")&amp;IF(AND('Game Records'!$U15&lt;&gt;"Subscription",'Game Records'!$U15&lt;&gt;"Free Game",OR('Game Records'!$E15="",LOWER('Game Records'!$E15&amp;"")="n/a")),"Game Type; ","")&amp;IF('Game Records'!$F15="","Payment Type; ","")&amp;IF(AND('Game Records'!$U15&lt;&gt;"Subscription",'Game Records'!$U15&lt;&gt;"Free Game",'Game Records'!$G15=""),"Gross Pot; ","")&amp;IF(AND('Game Records'!$U15&lt;&gt;"Free Game",'Game Records'!$H15=""),"Entry Fee; ","")&amp;IF(AND('Game Records'!$U15&lt;&gt;"Subscription",'Game Records'!$U15&lt;&gt;"Free Game",'Game Records'!$I15=""),"Eligible Players; ","")&amp;IF(AND('Game Records'!$U15&lt;&gt;"Subscription",'Game Records'!$U15&lt;&gt;"Free Game",'Game Records'!$J15=""),"Total Players; ","")&amp;IF(AND(LOWER('Game Records'!$D15&amp;"")="finalized",LOWER('Game Records'!$L15&amp;"")&lt;&gt;"yes",'Game Records'!$U15&lt;&gt;"Subscription",'Game Records'!$U15&lt;&gt;"Free Game",'Game Records'!$K15=""),"Final Earned; ","")&amp;IF(AND(LOWER('Game Records'!$D15&amp;"")="finalized",'Game Records'!$U15&lt;&gt;"Subscription",'Game Records'!$U15&lt;&gt;"Free Game",OR('Game Records'!$L15="",LOWER('Game Records'!$L15&amp;"")="n/a")),"Disqualified Status; ",""))</x:f>
      </x:c>
      <x:c r="G15" s="331" t="str">
        <x:f>IF($A15="","",IFERROR('Game Records'!$M15,""))</x:f>
      </x:c>
    </x:row>
    <x:row r="16">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Game",OR('Game Records'!$D16="",LOWER('Game Records'!$D16&amp;"")="n/a")),"Entry Mode; ","")&amp;IF(AND('Game Records'!$U16&lt;&gt;"Subscription",'Game Records'!$U16&lt;&gt;"Free Game",OR('Game Records'!$E16="",LOWER('Game Records'!$E16&amp;"")="n/a")),"Game Type; ","")&amp;IF('Game Records'!$F16="","Payment Type; ","")&amp;IF(AND('Game Records'!$U16&lt;&gt;"Subscription",'Game Records'!$U16&lt;&gt;"Free Game",'Game Records'!$G16=""),"Gross Pot; ","")&amp;IF(AND('Game Records'!$U16&lt;&gt;"Free Game",'Game Records'!$H16=""),"Entry Fee; ","")&amp;IF(AND('Game Records'!$U16&lt;&gt;"Subscription",'Game Records'!$U16&lt;&gt;"Free Game",'Game Records'!$I16=""),"Eligible Players; ","")&amp;IF(AND('Game Records'!$U16&lt;&gt;"Subscription",'Game Records'!$U16&lt;&gt;"Free Game",'Game Records'!$J16=""),"Total Players; ","")&amp;IF(AND(LOWER('Game Records'!$D16&amp;"")="finalized",LOWER('Game Records'!$L16&amp;"")&lt;&gt;"yes",'Game Records'!$U16&lt;&gt;"Subscription",'Game Records'!$U16&lt;&gt;"Free Game",'Game Records'!$K16=""),"Final Earned; ","")&amp;IF(AND(LOWER('Game Records'!$D16&amp;"")="finalized",'Game Records'!$U16&lt;&gt;"Subscription",'Game Records'!$U16&lt;&gt;"Free Game",OR('Game Records'!$L16="",LOWER('Game Records'!$L16&amp;"")="n/a")),"Disqualified Status; ",""))</x:f>
      </x:c>
      <x:c r="G16" s="331" t="str">
        <x:f>IF($A16="","",IFERROR('Game Records'!$M16,""))</x:f>
      </x:c>
    </x:row>
    <x:row r="17">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Game",OR('Game Records'!$D17="",LOWER('Game Records'!$D17&amp;"")="n/a")),"Entry Mode; ","")&amp;IF(AND('Game Records'!$U17&lt;&gt;"Subscription",'Game Records'!$U17&lt;&gt;"Free Game",OR('Game Records'!$E17="",LOWER('Game Records'!$E17&amp;"")="n/a")),"Game Type; ","")&amp;IF('Game Records'!$F17="","Payment Type; ","")&amp;IF(AND('Game Records'!$U17&lt;&gt;"Subscription",'Game Records'!$U17&lt;&gt;"Free Game",'Game Records'!$G17=""),"Gross Pot; ","")&amp;IF(AND('Game Records'!$U17&lt;&gt;"Free Game",'Game Records'!$H17=""),"Entry Fee; ","")&amp;IF(AND('Game Records'!$U17&lt;&gt;"Subscription",'Game Records'!$U17&lt;&gt;"Free Game",'Game Records'!$I17=""),"Eligible Players; ","")&amp;IF(AND('Game Records'!$U17&lt;&gt;"Subscription",'Game Records'!$U17&lt;&gt;"Free Game",'Game Records'!$J17=""),"Total Players; ","")&amp;IF(AND(LOWER('Game Records'!$D17&amp;"")="finalized",LOWER('Game Records'!$L17&amp;"")&lt;&gt;"yes",'Game Records'!$U17&lt;&gt;"Subscription",'Game Records'!$U17&lt;&gt;"Free Game",'Game Records'!$K17=""),"Final Earned; ","")&amp;IF(AND(LOWER('Game Records'!$D17&amp;"")="finalized",'Game Records'!$U17&lt;&gt;"Subscription",'Game Records'!$U17&lt;&gt;"Free Game",OR('Game Records'!$L17="",LOWER('Game Records'!$L17&amp;"")="n/a")),"Disqualified Status; ",""))</x:f>
      </x:c>
      <x:c r="G17" s="331" t="str">
        <x:f>IF($A17="","",IFERROR('Game Records'!$M17,""))</x:f>
      </x:c>
    </x:row>
    <x:row r="18">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Game",OR('Game Records'!$D18="",LOWER('Game Records'!$D18&amp;"")="n/a")),"Entry Mode; ","")&amp;IF(AND('Game Records'!$U18&lt;&gt;"Subscription",'Game Records'!$U18&lt;&gt;"Free Game",OR('Game Records'!$E18="",LOWER('Game Records'!$E18&amp;"")="n/a")),"Game Type; ","")&amp;IF('Game Records'!$F18="","Payment Type; ","")&amp;IF(AND('Game Records'!$U18&lt;&gt;"Subscription",'Game Records'!$U18&lt;&gt;"Free Game",'Game Records'!$G18=""),"Gross Pot; ","")&amp;IF(AND('Game Records'!$U18&lt;&gt;"Free Game",'Game Records'!$H18=""),"Entry Fee; ","")&amp;IF(AND('Game Records'!$U18&lt;&gt;"Subscription",'Game Records'!$U18&lt;&gt;"Free Game",'Game Records'!$I18=""),"Eligible Players; ","")&amp;IF(AND('Game Records'!$U18&lt;&gt;"Subscription",'Game Records'!$U18&lt;&gt;"Free Game",'Game Records'!$J18=""),"Total Players; ","")&amp;IF(AND(LOWER('Game Records'!$D18&amp;"")="finalized",LOWER('Game Records'!$L18&amp;"")&lt;&gt;"yes",'Game Records'!$U18&lt;&gt;"Subscription",'Game Records'!$U18&lt;&gt;"Free Game",'Game Records'!$K18=""),"Final Earned; ","")&amp;IF(AND(LOWER('Game Records'!$D18&amp;"")="finalized",'Game Records'!$U18&lt;&gt;"Subscription",'Game Records'!$U18&lt;&gt;"Free Game",OR('Game Records'!$L18="",LOWER('Game Records'!$L18&amp;"")="n/a")),"Disqualified Status; ",""))</x:f>
      </x:c>
      <x:c r="G18" s="331" t="str">
        <x:f>IF($A18="","",IFERROR('Game Records'!$M18,""))</x:f>
      </x:c>
    </x:row>
    <x:row r="19">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Game",OR('Game Records'!$D19="",LOWER('Game Records'!$D19&amp;"")="n/a")),"Entry Mode; ","")&amp;IF(AND('Game Records'!$U19&lt;&gt;"Subscription",'Game Records'!$U19&lt;&gt;"Free Game",OR('Game Records'!$E19="",LOWER('Game Records'!$E19&amp;"")="n/a")),"Game Type; ","")&amp;IF('Game Records'!$F19="","Payment Type; ","")&amp;IF(AND('Game Records'!$U19&lt;&gt;"Subscription",'Game Records'!$U19&lt;&gt;"Free Game",'Game Records'!$G19=""),"Gross Pot; ","")&amp;IF(AND('Game Records'!$U19&lt;&gt;"Free Game",'Game Records'!$H19=""),"Entry Fee; ","")&amp;IF(AND('Game Records'!$U19&lt;&gt;"Subscription",'Game Records'!$U19&lt;&gt;"Free Game",'Game Records'!$I19=""),"Eligible Players; ","")&amp;IF(AND('Game Records'!$U19&lt;&gt;"Subscription",'Game Records'!$U19&lt;&gt;"Free Game",'Game Records'!$J19=""),"Total Players; ","")&amp;IF(AND(LOWER('Game Records'!$D19&amp;"")="finalized",LOWER('Game Records'!$L19&amp;"")&lt;&gt;"yes",'Game Records'!$U19&lt;&gt;"Subscription",'Game Records'!$U19&lt;&gt;"Free Game",'Game Records'!$K19=""),"Final Earned; ","")&amp;IF(AND(LOWER('Game Records'!$D19&amp;"")="finalized",'Game Records'!$U19&lt;&gt;"Subscription",'Game Records'!$U19&lt;&gt;"Free Game",OR('Game Records'!$L19="",LOWER('Game Records'!$L19&amp;"")="n/a")),"Disqualified Status; ",""))</x:f>
      </x:c>
      <x:c r="G19" s="331" t="str">
        <x:f>IF($A19="","",IFERROR('Game Records'!$M19,""))</x:f>
      </x:c>
    </x:row>
    <x:row r="20">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Game",OR('Game Records'!$D20="",LOWER('Game Records'!$D20&amp;"")="n/a")),"Entry Mode; ","")&amp;IF(AND('Game Records'!$U20&lt;&gt;"Subscription",'Game Records'!$U20&lt;&gt;"Free Game",OR('Game Records'!$E20="",LOWER('Game Records'!$E20&amp;"")="n/a")),"Game Type; ","")&amp;IF('Game Records'!$F20="","Payment Type; ","")&amp;IF(AND('Game Records'!$U20&lt;&gt;"Subscription",'Game Records'!$U20&lt;&gt;"Free Game",'Game Records'!$G20=""),"Gross Pot; ","")&amp;IF(AND('Game Records'!$U20&lt;&gt;"Free Game",'Game Records'!$H20=""),"Entry Fee; ","")&amp;IF(AND('Game Records'!$U20&lt;&gt;"Subscription",'Game Records'!$U20&lt;&gt;"Free Game",'Game Records'!$I20=""),"Eligible Players; ","")&amp;IF(AND('Game Records'!$U20&lt;&gt;"Subscription",'Game Records'!$U20&lt;&gt;"Free Game",'Game Records'!$J20=""),"Total Players; ","")&amp;IF(AND(LOWER('Game Records'!$D20&amp;"")="finalized",LOWER('Game Records'!$L20&amp;"")&lt;&gt;"yes",'Game Records'!$U20&lt;&gt;"Subscription",'Game Records'!$U20&lt;&gt;"Free Game",'Game Records'!$K20=""),"Final Earned; ","")&amp;IF(AND(LOWER('Game Records'!$D20&amp;"")="finalized",'Game Records'!$U20&lt;&gt;"Subscription",'Game Records'!$U20&lt;&gt;"Free Game",OR('Game Records'!$L20="",LOWER('Game Records'!$L20&amp;"")="n/a")),"Disqualified Status; ",""))</x:f>
      </x:c>
      <x:c r="G20" s="331" t="str">
        <x:f>IF($A20="","",IFERROR('Game Records'!$M20,""))</x:f>
      </x:c>
    </x:row>
    <x:row r="2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Game",OR('Game Records'!$D21="",LOWER('Game Records'!$D21&amp;"")="n/a")),"Entry Mode; ","")&amp;IF(AND('Game Records'!$U21&lt;&gt;"Subscription",'Game Records'!$U21&lt;&gt;"Free Game",OR('Game Records'!$E21="",LOWER('Game Records'!$E21&amp;"")="n/a")),"Game Type; ","")&amp;IF('Game Records'!$F21="","Payment Type; ","")&amp;IF(AND('Game Records'!$U21&lt;&gt;"Subscription",'Game Records'!$U21&lt;&gt;"Free Game",'Game Records'!$G21=""),"Gross Pot; ","")&amp;IF(AND('Game Records'!$U21&lt;&gt;"Free Game",'Game Records'!$H21=""),"Entry Fee; ","")&amp;IF(AND('Game Records'!$U21&lt;&gt;"Subscription",'Game Records'!$U21&lt;&gt;"Free Game",'Game Records'!$I21=""),"Eligible Players; ","")&amp;IF(AND('Game Records'!$U21&lt;&gt;"Subscription",'Game Records'!$U21&lt;&gt;"Free Game",'Game Records'!$J21=""),"Total Players; ","")&amp;IF(AND(LOWER('Game Records'!$D21&amp;"")="finalized",LOWER('Game Records'!$L21&amp;"")&lt;&gt;"yes",'Game Records'!$U21&lt;&gt;"Subscription",'Game Records'!$U21&lt;&gt;"Free Game",'Game Records'!$K21=""),"Final Earned; ","")&amp;IF(AND(LOWER('Game Records'!$D21&amp;"")="finalized",'Game Records'!$U21&lt;&gt;"Subscription",'Game Records'!$U21&lt;&gt;"Free Game",OR('Game Records'!$L21="",LOWER('Game Records'!$L21&amp;"")="n/a")),"Disqualified Status; ",""))</x:f>
      </x:c>
      <x:c r="G21" s="331" t="str">
        <x:f>IF($A21="","",IFERROR('Game Records'!$M21,""))</x:f>
      </x:c>
    </x:row>
    <x:row r="22">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Game",OR('Game Records'!$D22="",LOWER('Game Records'!$D22&amp;"")="n/a")),"Entry Mode; ","")&amp;IF(AND('Game Records'!$U22&lt;&gt;"Subscription",'Game Records'!$U22&lt;&gt;"Free Game",OR('Game Records'!$E22="",LOWER('Game Records'!$E22&amp;"")="n/a")),"Game Type; ","")&amp;IF('Game Records'!$F22="","Payment Type; ","")&amp;IF(AND('Game Records'!$U22&lt;&gt;"Subscription",'Game Records'!$U22&lt;&gt;"Free Game",'Game Records'!$G22=""),"Gross Pot; ","")&amp;IF(AND('Game Records'!$U22&lt;&gt;"Free Game",'Game Records'!$H22=""),"Entry Fee; ","")&amp;IF(AND('Game Records'!$U22&lt;&gt;"Subscription",'Game Records'!$U22&lt;&gt;"Free Game",'Game Records'!$I22=""),"Eligible Players; ","")&amp;IF(AND('Game Records'!$U22&lt;&gt;"Subscription",'Game Records'!$U22&lt;&gt;"Free Game",'Game Records'!$J22=""),"Total Players; ","")&amp;IF(AND(LOWER('Game Records'!$D22&amp;"")="finalized",LOWER('Game Records'!$L22&amp;"")&lt;&gt;"yes",'Game Records'!$U22&lt;&gt;"Subscription",'Game Records'!$U22&lt;&gt;"Free Game",'Game Records'!$K22=""),"Final Earned; ","")&amp;IF(AND(LOWER('Game Records'!$D22&amp;"")="finalized",'Game Records'!$U22&lt;&gt;"Subscription",'Game Records'!$U22&lt;&gt;"Free Game",OR('Game Records'!$L22="",LOWER('Game Records'!$L22&amp;"")="n/a")),"Disqualified Status; ",""))</x:f>
      </x:c>
      <x:c r="G22" s="331" t="str">
        <x:f>IF($A22="","",IFERROR('Game Records'!$M22,""))</x:f>
      </x:c>
    </x:row>
    <x:row r="23">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Game",OR('Game Records'!$D23="",LOWER('Game Records'!$D23&amp;"")="n/a")),"Entry Mode; ","")&amp;IF(AND('Game Records'!$U23&lt;&gt;"Subscription",'Game Records'!$U23&lt;&gt;"Free Game",OR('Game Records'!$E23="",LOWER('Game Records'!$E23&amp;"")="n/a")),"Game Type; ","")&amp;IF('Game Records'!$F23="","Payment Type; ","")&amp;IF(AND('Game Records'!$U23&lt;&gt;"Subscription",'Game Records'!$U23&lt;&gt;"Free Game",'Game Records'!$G23=""),"Gross Pot; ","")&amp;IF(AND('Game Records'!$U23&lt;&gt;"Free Game",'Game Records'!$H23=""),"Entry Fee; ","")&amp;IF(AND('Game Records'!$U23&lt;&gt;"Subscription",'Game Records'!$U23&lt;&gt;"Free Game",'Game Records'!$I23=""),"Eligible Players; ","")&amp;IF(AND('Game Records'!$U23&lt;&gt;"Subscription",'Game Records'!$U23&lt;&gt;"Free Game",'Game Records'!$J23=""),"Total Players; ","")&amp;IF(AND(LOWER('Game Records'!$D23&amp;"")="finalized",LOWER('Game Records'!$L23&amp;"")&lt;&gt;"yes",'Game Records'!$U23&lt;&gt;"Subscription",'Game Records'!$U23&lt;&gt;"Free Game",'Game Records'!$K23=""),"Final Earned; ","")&amp;IF(AND(LOWER('Game Records'!$D23&amp;"")="finalized",'Game Records'!$U23&lt;&gt;"Subscription",'Game Records'!$U23&lt;&gt;"Free Game",OR('Game Records'!$L23="",LOWER('Game Records'!$L23&amp;"")="n/a")),"Disqualified Status; ",""))</x:f>
      </x:c>
      <x:c r="G23" s="331" t="str">
        <x:f>IF($A23="","",IFERROR('Game Records'!$M23,""))</x:f>
      </x:c>
    </x:row>
    <x:row r="24">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Game",OR('Game Records'!$D24="",LOWER('Game Records'!$D24&amp;"")="n/a")),"Entry Mode; ","")&amp;IF(AND('Game Records'!$U24&lt;&gt;"Subscription",'Game Records'!$U24&lt;&gt;"Free Game",OR('Game Records'!$E24="",LOWER('Game Records'!$E24&amp;"")="n/a")),"Game Type; ","")&amp;IF('Game Records'!$F24="","Payment Type; ","")&amp;IF(AND('Game Records'!$U24&lt;&gt;"Subscription",'Game Records'!$U24&lt;&gt;"Free Game",'Game Records'!$G24=""),"Gross Pot; ","")&amp;IF(AND('Game Records'!$U24&lt;&gt;"Free Game",'Game Records'!$H24=""),"Entry Fee; ","")&amp;IF(AND('Game Records'!$U24&lt;&gt;"Subscription",'Game Records'!$U24&lt;&gt;"Free Game",'Game Records'!$I24=""),"Eligible Players; ","")&amp;IF(AND('Game Records'!$U24&lt;&gt;"Subscription",'Game Records'!$U24&lt;&gt;"Free Game",'Game Records'!$J24=""),"Total Players; ","")&amp;IF(AND(LOWER('Game Records'!$D24&amp;"")="finalized",LOWER('Game Records'!$L24&amp;"")&lt;&gt;"yes",'Game Records'!$U24&lt;&gt;"Subscription",'Game Records'!$U24&lt;&gt;"Free Game",'Game Records'!$K24=""),"Final Earned; ","")&amp;IF(AND(LOWER('Game Records'!$D24&amp;"")="finalized",'Game Records'!$U24&lt;&gt;"Subscription",'Game Records'!$U24&lt;&gt;"Free Game",OR('Game Records'!$L24="",LOWER('Game Records'!$L24&amp;"")="n/a")),"Disqualified Status; ",""))</x:f>
      </x:c>
      <x:c r="G24" s="331" t="str">
        <x:f>IF($A24="","",IFERROR('Game Records'!$M24,""))</x:f>
      </x:c>
    </x:row>
    <x:row r="25">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Game",OR('Game Records'!$D25="",LOWER('Game Records'!$D25&amp;"")="n/a")),"Entry Mode; ","")&amp;IF(AND('Game Records'!$U25&lt;&gt;"Subscription",'Game Records'!$U25&lt;&gt;"Free Game",OR('Game Records'!$E25="",LOWER('Game Records'!$E25&amp;"")="n/a")),"Game Type; ","")&amp;IF('Game Records'!$F25="","Payment Type; ","")&amp;IF(AND('Game Records'!$U25&lt;&gt;"Subscription",'Game Records'!$U25&lt;&gt;"Free Game",'Game Records'!$G25=""),"Gross Pot; ","")&amp;IF(AND('Game Records'!$U25&lt;&gt;"Free Game",'Game Records'!$H25=""),"Entry Fee; ","")&amp;IF(AND('Game Records'!$U25&lt;&gt;"Subscription",'Game Records'!$U25&lt;&gt;"Free Game",'Game Records'!$I25=""),"Eligible Players; ","")&amp;IF(AND('Game Records'!$U25&lt;&gt;"Subscription",'Game Records'!$U25&lt;&gt;"Free Game",'Game Records'!$J25=""),"Total Players; ","")&amp;IF(AND(LOWER('Game Records'!$D25&amp;"")="finalized",LOWER('Game Records'!$L25&amp;"")&lt;&gt;"yes",'Game Records'!$U25&lt;&gt;"Subscription",'Game Records'!$U25&lt;&gt;"Free Game",'Game Records'!$K25=""),"Final Earned; ","")&amp;IF(AND(LOWER('Game Records'!$D25&amp;"")="finalized",'Game Records'!$U25&lt;&gt;"Subscription",'Game Records'!$U25&lt;&gt;"Free Game",OR('Game Records'!$L25="",LOWER('Game Records'!$L25&amp;"")="n/a")),"Disqualified Status; ",""))</x:f>
      </x:c>
      <x:c r="G25" s="331" t="str">
        <x:f>IF($A25="","",IFERROR('Game Records'!$M25,""))</x:f>
      </x:c>
    </x:row>
    <x:row r="26">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Game",OR('Game Records'!$D26="",LOWER('Game Records'!$D26&amp;"")="n/a")),"Entry Mode; ","")&amp;IF(AND('Game Records'!$U26&lt;&gt;"Subscription",'Game Records'!$U26&lt;&gt;"Free Game",OR('Game Records'!$E26="",LOWER('Game Records'!$E26&amp;"")="n/a")),"Game Type; ","")&amp;IF('Game Records'!$F26="","Payment Type; ","")&amp;IF(AND('Game Records'!$U26&lt;&gt;"Subscription",'Game Records'!$U26&lt;&gt;"Free Game",'Game Records'!$G26=""),"Gross Pot; ","")&amp;IF(AND('Game Records'!$U26&lt;&gt;"Free Game",'Game Records'!$H26=""),"Entry Fee; ","")&amp;IF(AND('Game Records'!$U26&lt;&gt;"Subscription",'Game Records'!$U26&lt;&gt;"Free Game",'Game Records'!$I26=""),"Eligible Players; ","")&amp;IF(AND('Game Records'!$U26&lt;&gt;"Subscription",'Game Records'!$U26&lt;&gt;"Free Game",'Game Records'!$J26=""),"Total Players; ","")&amp;IF(AND(LOWER('Game Records'!$D26&amp;"")="finalized",LOWER('Game Records'!$L26&amp;"")&lt;&gt;"yes",'Game Records'!$U26&lt;&gt;"Subscription",'Game Records'!$U26&lt;&gt;"Free Game",'Game Records'!$K26=""),"Final Earned; ","")&amp;IF(AND(LOWER('Game Records'!$D26&amp;"")="finalized",'Game Records'!$U26&lt;&gt;"Subscription",'Game Records'!$U26&lt;&gt;"Free Game",OR('Game Records'!$L26="",LOWER('Game Records'!$L26&amp;"")="n/a")),"Disqualified Status; ",""))</x:f>
      </x:c>
      <x:c r="G26" s="331" t="str">
        <x:f>IF($A26="","",IFERROR('Game Records'!$M26,""))</x:f>
      </x:c>
    </x:row>
    <x:row r="27">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Game",OR('Game Records'!$D27="",LOWER('Game Records'!$D27&amp;"")="n/a")),"Entry Mode; ","")&amp;IF(AND('Game Records'!$U27&lt;&gt;"Subscription",'Game Records'!$U27&lt;&gt;"Free Game",OR('Game Records'!$E27="",LOWER('Game Records'!$E27&amp;"")="n/a")),"Game Type; ","")&amp;IF('Game Records'!$F27="","Payment Type; ","")&amp;IF(AND('Game Records'!$U27&lt;&gt;"Subscription",'Game Records'!$U27&lt;&gt;"Free Game",'Game Records'!$G27=""),"Gross Pot; ","")&amp;IF(AND('Game Records'!$U27&lt;&gt;"Free Game",'Game Records'!$H27=""),"Entry Fee; ","")&amp;IF(AND('Game Records'!$U27&lt;&gt;"Subscription",'Game Records'!$U27&lt;&gt;"Free Game",'Game Records'!$I27=""),"Eligible Players; ","")&amp;IF(AND('Game Records'!$U27&lt;&gt;"Subscription",'Game Records'!$U27&lt;&gt;"Free Game",'Game Records'!$J27=""),"Total Players; ","")&amp;IF(AND(LOWER('Game Records'!$D27&amp;"")="finalized",LOWER('Game Records'!$L27&amp;"")&lt;&gt;"yes",'Game Records'!$U27&lt;&gt;"Subscription",'Game Records'!$U27&lt;&gt;"Free Game",'Game Records'!$K27=""),"Final Earned; ","")&amp;IF(AND(LOWER('Game Records'!$D27&amp;"")="finalized",'Game Records'!$U27&lt;&gt;"Subscription",'Game Records'!$U27&lt;&gt;"Free Game",OR('Game Records'!$L27="",LOWER('Game Records'!$L27&amp;"")="n/a")),"Disqualified Status; ",""))</x:f>
      </x:c>
      <x:c r="G27" s="331" t="str">
        <x:f>IF($A27="","",IFERROR('Game Records'!$M27,""))</x:f>
      </x:c>
    </x:row>
    <x:row r="28">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Game",OR('Game Records'!$D28="",LOWER('Game Records'!$D28&amp;"")="n/a")),"Entry Mode; ","")&amp;IF(AND('Game Records'!$U28&lt;&gt;"Subscription",'Game Records'!$U28&lt;&gt;"Free Game",OR('Game Records'!$E28="",LOWER('Game Records'!$E28&amp;"")="n/a")),"Game Type; ","")&amp;IF('Game Records'!$F28="","Payment Type; ","")&amp;IF(AND('Game Records'!$U28&lt;&gt;"Subscription",'Game Records'!$U28&lt;&gt;"Free Game",'Game Records'!$G28=""),"Gross Pot; ","")&amp;IF(AND('Game Records'!$U28&lt;&gt;"Free Game",'Game Records'!$H28=""),"Entry Fee; ","")&amp;IF(AND('Game Records'!$U28&lt;&gt;"Subscription",'Game Records'!$U28&lt;&gt;"Free Game",'Game Records'!$I28=""),"Eligible Players; ","")&amp;IF(AND('Game Records'!$U28&lt;&gt;"Subscription",'Game Records'!$U28&lt;&gt;"Free Game",'Game Records'!$J28=""),"Total Players; ","")&amp;IF(AND(LOWER('Game Records'!$D28&amp;"")="finalized",LOWER('Game Records'!$L28&amp;"")&lt;&gt;"yes",'Game Records'!$U28&lt;&gt;"Subscription",'Game Records'!$U28&lt;&gt;"Free Game",'Game Records'!$K28=""),"Final Earned; ","")&amp;IF(AND(LOWER('Game Records'!$D28&amp;"")="finalized",'Game Records'!$U28&lt;&gt;"Subscription",'Game Records'!$U28&lt;&gt;"Free Game",OR('Game Records'!$L28="",LOWER('Game Records'!$L28&amp;"")="n/a")),"Disqualified Status; ",""))</x:f>
      </x:c>
      <x:c r="G28" s="331" t="str">
        <x:f>IF($A28="","",IFERROR('Game Records'!$M28,""))</x:f>
      </x:c>
    </x:row>
    <x:row r="29">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Game",OR('Game Records'!$D29="",LOWER('Game Records'!$D29&amp;"")="n/a")),"Entry Mode; ","")&amp;IF(AND('Game Records'!$U29&lt;&gt;"Subscription",'Game Records'!$U29&lt;&gt;"Free Game",OR('Game Records'!$E29="",LOWER('Game Records'!$E29&amp;"")="n/a")),"Game Type; ","")&amp;IF('Game Records'!$F29="","Payment Type; ","")&amp;IF(AND('Game Records'!$U29&lt;&gt;"Subscription",'Game Records'!$U29&lt;&gt;"Free Game",'Game Records'!$G29=""),"Gross Pot; ","")&amp;IF(AND('Game Records'!$U29&lt;&gt;"Free Game",'Game Records'!$H29=""),"Entry Fee; ","")&amp;IF(AND('Game Records'!$U29&lt;&gt;"Subscription",'Game Records'!$U29&lt;&gt;"Free Game",'Game Records'!$I29=""),"Eligible Players; ","")&amp;IF(AND('Game Records'!$U29&lt;&gt;"Subscription",'Game Records'!$U29&lt;&gt;"Free Game",'Game Records'!$J29=""),"Total Players; ","")&amp;IF(AND(LOWER('Game Records'!$D29&amp;"")="finalized",LOWER('Game Records'!$L29&amp;"")&lt;&gt;"yes",'Game Records'!$U29&lt;&gt;"Subscription",'Game Records'!$U29&lt;&gt;"Free Game",'Game Records'!$K29=""),"Final Earned; ","")&amp;IF(AND(LOWER('Game Records'!$D29&amp;"")="finalized",'Game Records'!$U29&lt;&gt;"Subscription",'Game Records'!$U29&lt;&gt;"Free Game",OR('Game Records'!$L29="",LOWER('Game Records'!$L29&amp;"")="n/a")),"Disqualified Status; ",""))</x:f>
      </x:c>
      <x:c r="G29" s="331" t="str">
        <x:f>IF($A29="","",IFERROR('Game Records'!$M29,""))</x:f>
      </x:c>
    </x:row>
    <x:row r="30">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Game",OR('Game Records'!$D30="",LOWER('Game Records'!$D30&amp;"")="n/a")),"Entry Mode; ","")&amp;IF(AND('Game Records'!$U30&lt;&gt;"Subscription",'Game Records'!$U30&lt;&gt;"Free Game",OR('Game Records'!$E30="",LOWER('Game Records'!$E30&amp;"")="n/a")),"Game Type; ","")&amp;IF('Game Records'!$F30="","Payment Type; ","")&amp;IF(AND('Game Records'!$U30&lt;&gt;"Subscription",'Game Records'!$U30&lt;&gt;"Free Game",'Game Records'!$G30=""),"Gross Pot; ","")&amp;IF(AND('Game Records'!$U30&lt;&gt;"Free Game",'Game Records'!$H30=""),"Entry Fee; ","")&amp;IF(AND('Game Records'!$U30&lt;&gt;"Subscription",'Game Records'!$U30&lt;&gt;"Free Game",'Game Records'!$I30=""),"Eligible Players; ","")&amp;IF(AND('Game Records'!$U30&lt;&gt;"Subscription",'Game Records'!$U30&lt;&gt;"Free Game",'Game Records'!$J30=""),"Total Players; ","")&amp;IF(AND(LOWER('Game Records'!$D30&amp;"")="finalized",LOWER('Game Records'!$L30&amp;"")&lt;&gt;"yes",'Game Records'!$U30&lt;&gt;"Subscription",'Game Records'!$U30&lt;&gt;"Free Game",'Game Records'!$K30=""),"Final Earned; ","")&amp;IF(AND(LOWER('Game Records'!$D30&amp;"")="finalized",'Game Records'!$U30&lt;&gt;"Subscription",'Game Records'!$U30&lt;&gt;"Free Game",OR('Game Records'!$L30="",LOWER('Game Records'!$L30&amp;"")="n/a")),"Disqualified Status; ",""))</x:f>
      </x:c>
      <x:c r="G30" s="331" t="str">
        <x:f>IF($A30="","",IFERROR('Game Records'!$M30,""))</x:f>
      </x:c>
    </x:row>
    <x:row r="3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Game",OR('Game Records'!$D31="",LOWER('Game Records'!$D31&amp;"")="n/a")),"Entry Mode; ","")&amp;IF(AND('Game Records'!$U31&lt;&gt;"Subscription",'Game Records'!$U31&lt;&gt;"Free Game",OR('Game Records'!$E31="",LOWER('Game Records'!$E31&amp;"")="n/a")),"Game Type; ","")&amp;IF('Game Records'!$F31="","Payment Type; ","")&amp;IF(AND('Game Records'!$U31&lt;&gt;"Subscription",'Game Records'!$U31&lt;&gt;"Free Game",'Game Records'!$G31=""),"Gross Pot; ","")&amp;IF(AND('Game Records'!$U31&lt;&gt;"Free Game",'Game Records'!$H31=""),"Entry Fee; ","")&amp;IF(AND('Game Records'!$U31&lt;&gt;"Subscription",'Game Records'!$U31&lt;&gt;"Free Game",'Game Records'!$I31=""),"Eligible Players; ","")&amp;IF(AND('Game Records'!$U31&lt;&gt;"Subscription",'Game Records'!$U31&lt;&gt;"Free Game",'Game Records'!$J31=""),"Total Players; ","")&amp;IF(AND(LOWER('Game Records'!$D31&amp;"")="finalized",LOWER('Game Records'!$L31&amp;"")&lt;&gt;"yes",'Game Records'!$U31&lt;&gt;"Subscription",'Game Records'!$U31&lt;&gt;"Free Game",'Game Records'!$K31=""),"Final Earned; ","")&amp;IF(AND(LOWER('Game Records'!$D31&amp;"")="finalized",'Game Records'!$U31&lt;&gt;"Subscription",'Game Records'!$U31&lt;&gt;"Free Game",OR('Game Records'!$L31="",LOWER('Game Records'!$L31&amp;"")="n/a")),"Disqualified Status; ",""))</x:f>
      </x:c>
      <x:c r="G31" s="331" t="str">
        <x:f>IF($A31="","",IFERROR('Game Records'!$M31,""))</x:f>
      </x:c>
    </x:row>
    <x:row r="32">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Game",OR('Game Records'!$D32="",LOWER('Game Records'!$D32&amp;"")="n/a")),"Entry Mode; ","")&amp;IF(AND('Game Records'!$U32&lt;&gt;"Subscription",'Game Records'!$U32&lt;&gt;"Free Game",OR('Game Records'!$E32="",LOWER('Game Records'!$E32&amp;"")="n/a")),"Game Type; ","")&amp;IF('Game Records'!$F32="","Payment Type; ","")&amp;IF(AND('Game Records'!$U32&lt;&gt;"Subscription",'Game Records'!$U32&lt;&gt;"Free Game",'Game Records'!$G32=""),"Gross Pot; ","")&amp;IF(AND('Game Records'!$U32&lt;&gt;"Free Game",'Game Records'!$H32=""),"Entry Fee; ","")&amp;IF(AND('Game Records'!$U32&lt;&gt;"Subscription",'Game Records'!$U32&lt;&gt;"Free Game",'Game Records'!$I32=""),"Eligible Players; ","")&amp;IF(AND('Game Records'!$U32&lt;&gt;"Subscription",'Game Records'!$U32&lt;&gt;"Free Game",'Game Records'!$J32=""),"Total Players; ","")&amp;IF(AND(LOWER('Game Records'!$D32&amp;"")="finalized",LOWER('Game Records'!$L32&amp;"")&lt;&gt;"yes",'Game Records'!$U32&lt;&gt;"Subscription",'Game Records'!$U32&lt;&gt;"Free Game",'Game Records'!$K32=""),"Final Earned; ","")&amp;IF(AND(LOWER('Game Records'!$D32&amp;"")="finalized",'Game Records'!$U32&lt;&gt;"Subscription",'Game Records'!$U32&lt;&gt;"Free Game",OR('Game Records'!$L32="",LOWER('Game Records'!$L32&amp;"")="n/a")),"Disqualified Status; ",""))</x:f>
      </x:c>
      <x:c r="G32" s="331" t="str">
        <x:f>IF($A32="","",IFERROR('Game Records'!$M32,""))</x:f>
      </x:c>
    </x:row>
    <x:row r="33">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Game",OR('Game Records'!$D33="",LOWER('Game Records'!$D33&amp;"")="n/a")),"Entry Mode; ","")&amp;IF(AND('Game Records'!$U33&lt;&gt;"Subscription",'Game Records'!$U33&lt;&gt;"Free Game",OR('Game Records'!$E33="",LOWER('Game Records'!$E33&amp;"")="n/a")),"Game Type; ","")&amp;IF('Game Records'!$F33="","Payment Type; ","")&amp;IF(AND('Game Records'!$U33&lt;&gt;"Subscription",'Game Records'!$U33&lt;&gt;"Free Game",'Game Records'!$G33=""),"Gross Pot; ","")&amp;IF(AND('Game Records'!$U33&lt;&gt;"Free Game",'Game Records'!$H33=""),"Entry Fee; ","")&amp;IF(AND('Game Records'!$U33&lt;&gt;"Subscription",'Game Records'!$U33&lt;&gt;"Free Game",'Game Records'!$I33=""),"Eligible Players; ","")&amp;IF(AND('Game Records'!$U33&lt;&gt;"Subscription",'Game Records'!$U33&lt;&gt;"Free Game",'Game Records'!$J33=""),"Total Players; ","")&amp;IF(AND(LOWER('Game Records'!$D33&amp;"")="finalized",LOWER('Game Records'!$L33&amp;"")&lt;&gt;"yes",'Game Records'!$U33&lt;&gt;"Subscription",'Game Records'!$U33&lt;&gt;"Free Game",'Game Records'!$K33=""),"Final Earned; ","")&amp;IF(AND(LOWER('Game Records'!$D33&amp;"")="finalized",'Game Records'!$U33&lt;&gt;"Subscription",'Game Records'!$U33&lt;&gt;"Free Game",OR('Game Records'!$L33="",LOWER('Game Records'!$L33&amp;"")="n/a")),"Disqualified Status; ",""))</x:f>
      </x:c>
      <x:c r="G33" s="331" t="str">
        <x:f>IF($A33="","",IFERROR('Game Records'!$M33,""))</x:f>
      </x:c>
    </x:row>
    <x:row r="34">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Game",OR('Game Records'!$D34="",LOWER('Game Records'!$D34&amp;"")="n/a")),"Entry Mode; ","")&amp;IF(AND('Game Records'!$U34&lt;&gt;"Subscription",'Game Records'!$U34&lt;&gt;"Free Game",OR('Game Records'!$E34="",LOWER('Game Records'!$E34&amp;"")="n/a")),"Game Type; ","")&amp;IF('Game Records'!$F34="","Payment Type; ","")&amp;IF(AND('Game Records'!$U34&lt;&gt;"Subscription",'Game Records'!$U34&lt;&gt;"Free Game",'Game Records'!$G34=""),"Gross Pot; ","")&amp;IF(AND('Game Records'!$U34&lt;&gt;"Free Game",'Game Records'!$H34=""),"Entry Fee; ","")&amp;IF(AND('Game Records'!$U34&lt;&gt;"Subscription",'Game Records'!$U34&lt;&gt;"Free Game",'Game Records'!$I34=""),"Eligible Players; ","")&amp;IF(AND('Game Records'!$U34&lt;&gt;"Subscription",'Game Records'!$U34&lt;&gt;"Free Game",'Game Records'!$J34=""),"Total Players; ","")&amp;IF(AND(LOWER('Game Records'!$D34&amp;"")="finalized",LOWER('Game Records'!$L34&amp;"")&lt;&gt;"yes",'Game Records'!$U34&lt;&gt;"Subscription",'Game Records'!$U34&lt;&gt;"Free Game",'Game Records'!$K34=""),"Final Earned; ","")&amp;IF(AND(LOWER('Game Records'!$D34&amp;"")="finalized",'Game Records'!$U34&lt;&gt;"Subscription",'Game Records'!$U34&lt;&gt;"Free Game",OR('Game Records'!$L34="",LOWER('Game Records'!$L34&amp;"")="n/a")),"Disqualified Status; ",""))</x:f>
      </x:c>
      <x:c r="G34" s="331" t="str">
        <x:f>IF($A34="","",IFERROR('Game Records'!$M34,""))</x:f>
      </x:c>
    </x:row>
    <x:row r="35">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Game",OR('Game Records'!$D35="",LOWER('Game Records'!$D35&amp;"")="n/a")),"Entry Mode; ","")&amp;IF(AND('Game Records'!$U35&lt;&gt;"Subscription",'Game Records'!$U35&lt;&gt;"Free Game",OR('Game Records'!$E35="",LOWER('Game Records'!$E35&amp;"")="n/a")),"Game Type; ","")&amp;IF('Game Records'!$F35="","Payment Type; ","")&amp;IF(AND('Game Records'!$U35&lt;&gt;"Subscription",'Game Records'!$U35&lt;&gt;"Free Game",'Game Records'!$G35=""),"Gross Pot; ","")&amp;IF(AND('Game Records'!$U35&lt;&gt;"Free Game",'Game Records'!$H35=""),"Entry Fee; ","")&amp;IF(AND('Game Records'!$U35&lt;&gt;"Subscription",'Game Records'!$U35&lt;&gt;"Free Game",'Game Records'!$I35=""),"Eligible Players; ","")&amp;IF(AND('Game Records'!$U35&lt;&gt;"Subscription",'Game Records'!$U35&lt;&gt;"Free Game",'Game Records'!$J35=""),"Total Players; ","")&amp;IF(AND(LOWER('Game Records'!$D35&amp;"")="finalized",LOWER('Game Records'!$L35&amp;"")&lt;&gt;"yes",'Game Records'!$U35&lt;&gt;"Subscription",'Game Records'!$U35&lt;&gt;"Free Game",'Game Records'!$K35=""),"Final Earned; ","")&amp;IF(AND(LOWER('Game Records'!$D35&amp;"")="finalized",'Game Records'!$U35&lt;&gt;"Subscription",'Game Records'!$U35&lt;&gt;"Free Game",OR('Game Records'!$L35="",LOWER('Game Records'!$L35&amp;"")="n/a")),"Disqualified Status; ",""))</x:f>
      </x:c>
      <x:c r="G35" s="331" t="str">
        <x:f>IF($A35="","",IFERROR('Game Records'!$M35,""))</x:f>
      </x:c>
    </x:row>
    <x:row r="36">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Game",OR('Game Records'!$D36="",LOWER('Game Records'!$D36&amp;"")="n/a")),"Entry Mode; ","")&amp;IF(AND('Game Records'!$U36&lt;&gt;"Subscription",'Game Records'!$U36&lt;&gt;"Free Game",OR('Game Records'!$E36="",LOWER('Game Records'!$E36&amp;"")="n/a")),"Game Type; ","")&amp;IF('Game Records'!$F36="","Payment Type; ","")&amp;IF(AND('Game Records'!$U36&lt;&gt;"Subscription",'Game Records'!$U36&lt;&gt;"Free Game",'Game Records'!$G36=""),"Gross Pot; ","")&amp;IF(AND('Game Records'!$U36&lt;&gt;"Free Game",'Game Records'!$H36=""),"Entry Fee; ","")&amp;IF(AND('Game Records'!$U36&lt;&gt;"Subscription",'Game Records'!$U36&lt;&gt;"Free Game",'Game Records'!$I36=""),"Eligible Players; ","")&amp;IF(AND('Game Records'!$U36&lt;&gt;"Subscription",'Game Records'!$U36&lt;&gt;"Free Game",'Game Records'!$J36=""),"Total Players; ","")&amp;IF(AND(LOWER('Game Records'!$D36&amp;"")="finalized",LOWER('Game Records'!$L36&amp;"")&lt;&gt;"yes",'Game Records'!$U36&lt;&gt;"Subscription",'Game Records'!$U36&lt;&gt;"Free Game",'Game Records'!$K36=""),"Final Earned; ","")&amp;IF(AND(LOWER('Game Records'!$D36&amp;"")="finalized",'Game Records'!$U36&lt;&gt;"Subscription",'Game Records'!$U36&lt;&gt;"Free Game",OR('Game Records'!$L36="",LOWER('Game Records'!$L36&amp;"")="n/a")),"Disqualified Status; ",""))</x:f>
      </x:c>
      <x:c r="G36" s="331" t="str">
        <x:f>IF($A36="","",IFERROR('Game Records'!$M36,""))</x:f>
      </x:c>
    </x:row>
    <x:row r="37">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Game",OR('Game Records'!$D37="",LOWER('Game Records'!$D37&amp;"")="n/a")),"Entry Mode; ","")&amp;IF(AND('Game Records'!$U37&lt;&gt;"Subscription",'Game Records'!$U37&lt;&gt;"Free Game",OR('Game Records'!$E37="",LOWER('Game Records'!$E37&amp;"")="n/a")),"Game Type; ","")&amp;IF('Game Records'!$F37="","Payment Type; ","")&amp;IF(AND('Game Records'!$U37&lt;&gt;"Subscription",'Game Records'!$U37&lt;&gt;"Free Game",'Game Records'!$G37=""),"Gross Pot; ","")&amp;IF(AND('Game Records'!$U37&lt;&gt;"Free Game",'Game Records'!$H37=""),"Entry Fee; ","")&amp;IF(AND('Game Records'!$U37&lt;&gt;"Subscription",'Game Records'!$U37&lt;&gt;"Free Game",'Game Records'!$I37=""),"Eligible Players; ","")&amp;IF(AND('Game Records'!$U37&lt;&gt;"Subscription",'Game Records'!$U37&lt;&gt;"Free Game",'Game Records'!$J37=""),"Total Players; ","")&amp;IF(AND(LOWER('Game Records'!$D37&amp;"")="finalized",LOWER('Game Records'!$L37&amp;"")&lt;&gt;"yes",'Game Records'!$U37&lt;&gt;"Subscription",'Game Records'!$U37&lt;&gt;"Free Game",'Game Records'!$K37=""),"Final Earned; ","")&amp;IF(AND(LOWER('Game Records'!$D37&amp;"")="finalized",'Game Records'!$U37&lt;&gt;"Subscription",'Game Records'!$U37&lt;&gt;"Free Game",OR('Game Records'!$L37="",LOWER('Game Records'!$L37&amp;"")="n/a")),"Disqualified Status; ",""))</x:f>
      </x:c>
      <x:c r="G37" s="331" t="str">
        <x:f>IF($A37="","",IFERROR('Game Records'!$M37,""))</x:f>
      </x:c>
    </x:row>
    <x:row r="38">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Game",OR('Game Records'!$D38="",LOWER('Game Records'!$D38&amp;"")="n/a")),"Entry Mode; ","")&amp;IF(AND('Game Records'!$U38&lt;&gt;"Subscription",'Game Records'!$U38&lt;&gt;"Free Game",OR('Game Records'!$E38="",LOWER('Game Records'!$E38&amp;"")="n/a")),"Game Type; ","")&amp;IF('Game Records'!$F38="","Payment Type; ","")&amp;IF(AND('Game Records'!$U38&lt;&gt;"Subscription",'Game Records'!$U38&lt;&gt;"Free Game",'Game Records'!$G38=""),"Gross Pot; ","")&amp;IF(AND('Game Records'!$U38&lt;&gt;"Free Game",'Game Records'!$H38=""),"Entry Fee; ","")&amp;IF(AND('Game Records'!$U38&lt;&gt;"Subscription",'Game Records'!$U38&lt;&gt;"Free Game",'Game Records'!$I38=""),"Eligible Players; ","")&amp;IF(AND('Game Records'!$U38&lt;&gt;"Subscription",'Game Records'!$U38&lt;&gt;"Free Game",'Game Records'!$J38=""),"Total Players; ","")&amp;IF(AND(LOWER('Game Records'!$D38&amp;"")="finalized",LOWER('Game Records'!$L38&amp;"")&lt;&gt;"yes",'Game Records'!$U38&lt;&gt;"Subscription",'Game Records'!$U38&lt;&gt;"Free Game",'Game Records'!$K38=""),"Final Earned; ","")&amp;IF(AND(LOWER('Game Records'!$D38&amp;"")="finalized",'Game Records'!$U38&lt;&gt;"Subscription",'Game Records'!$U38&lt;&gt;"Free Game",OR('Game Records'!$L38="",LOWER('Game Records'!$L38&amp;"")="n/a")),"Disqualified Status; ",""))</x:f>
      </x:c>
      <x:c r="G38" s="331" t="str">
        <x:f>IF($A38="","",IFERROR('Game Records'!$M38,""))</x:f>
      </x:c>
    </x:row>
    <x:row r="39">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Game",OR('Game Records'!$D39="",LOWER('Game Records'!$D39&amp;"")="n/a")),"Entry Mode; ","")&amp;IF(AND('Game Records'!$U39&lt;&gt;"Subscription",'Game Records'!$U39&lt;&gt;"Free Game",OR('Game Records'!$E39="",LOWER('Game Records'!$E39&amp;"")="n/a")),"Game Type; ","")&amp;IF('Game Records'!$F39="","Payment Type; ","")&amp;IF(AND('Game Records'!$U39&lt;&gt;"Subscription",'Game Records'!$U39&lt;&gt;"Free Game",'Game Records'!$G39=""),"Gross Pot; ","")&amp;IF(AND('Game Records'!$U39&lt;&gt;"Free Game",'Game Records'!$H39=""),"Entry Fee; ","")&amp;IF(AND('Game Records'!$U39&lt;&gt;"Subscription",'Game Records'!$U39&lt;&gt;"Free Game",'Game Records'!$I39=""),"Eligible Players; ","")&amp;IF(AND('Game Records'!$U39&lt;&gt;"Subscription",'Game Records'!$U39&lt;&gt;"Free Game",'Game Records'!$J39=""),"Total Players; ","")&amp;IF(AND(LOWER('Game Records'!$D39&amp;"")="finalized",LOWER('Game Records'!$L39&amp;"")&lt;&gt;"yes",'Game Records'!$U39&lt;&gt;"Subscription",'Game Records'!$U39&lt;&gt;"Free Game",'Game Records'!$K39=""),"Final Earned; ","")&amp;IF(AND(LOWER('Game Records'!$D39&amp;"")="finalized",'Game Records'!$U39&lt;&gt;"Subscription",'Game Records'!$U39&lt;&gt;"Free Game",OR('Game Records'!$L39="",LOWER('Game Records'!$L39&amp;"")="n/a")),"Disqualified Status; ",""))</x:f>
      </x:c>
      <x:c r="G39" s="331" t="str">
        <x:f>IF($A39="","",IFERROR('Game Records'!$M39,""))</x:f>
      </x:c>
    </x:row>
    <x:row r="40">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Game",OR('Game Records'!$D40="",LOWER('Game Records'!$D40&amp;"")="n/a")),"Entry Mode; ","")&amp;IF(AND('Game Records'!$U40&lt;&gt;"Subscription",'Game Records'!$U40&lt;&gt;"Free Game",OR('Game Records'!$E40="",LOWER('Game Records'!$E40&amp;"")="n/a")),"Game Type; ","")&amp;IF('Game Records'!$F40="","Payment Type; ","")&amp;IF(AND('Game Records'!$U40&lt;&gt;"Subscription",'Game Records'!$U40&lt;&gt;"Free Game",'Game Records'!$G40=""),"Gross Pot; ","")&amp;IF(AND('Game Records'!$U40&lt;&gt;"Free Game",'Game Records'!$H40=""),"Entry Fee; ","")&amp;IF(AND('Game Records'!$U40&lt;&gt;"Subscription",'Game Records'!$U40&lt;&gt;"Free Game",'Game Records'!$I40=""),"Eligible Players; ","")&amp;IF(AND('Game Records'!$U40&lt;&gt;"Subscription",'Game Records'!$U40&lt;&gt;"Free Game",'Game Records'!$J40=""),"Total Players; ","")&amp;IF(AND(LOWER('Game Records'!$D40&amp;"")="finalized",LOWER('Game Records'!$L40&amp;"")&lt;&gt;"yes",'Game Records'!$U40&lt;&gt;"Subscription",'Game Records'!$U40&lt;&gt;"Free Game",'Game Records'!$K40=""),"Final Earned; ","")&amp;IF(AND(LOWER('Game Records'!$D40&amp;"")="finalized",'Game Records'!$U40&lt;&gt;"Subscription",'Game Records'!$U40&lt;&gt;"Free Game",OR('Game Records'!$L40="",LOWER('Game Records'!$L40&amp;"")="n/a")),"Disqualified Status; ",""))</x:f>
      </x:c>
      <x:c r="G40" s="331" t="str">
        <x:f>IF($A40="","",IFERROR('Game Records'!$M40,""))</x:f>
      </x:c>
    </x:row>
    <x:row r="4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Game",OR('Game Records'!$D41="",LOWER('Game Records'!$D41&amp;"")="n/a")),"Entry Mode; ","")&amp;IF(AND('Game Records'!$U41&lt;&gt;"Subscription",'Game Records'!$U41&lt;&gt;"Free Game",OR('Game Records'!$E41="",LOWER('Game Records'!$E41&amp;"")="n/a")),"Game Type; ","")&amp;IF('Game Records'!$F41="","Payment Type; ","")&amp;IF(AND('Game Records'!$U41&lt;&gt;"Subscription",'Game Records'!$U41&lt;&gt;"Free Game",'Game Records'!$G41=""),"Gross Pot; ","")&amp;IF(AND('Game Records'!$U41&lt;&gt;"Free Game",'Game Records'!$H41=""),"Entry Fee; ","")&amp;IF(AND('Game Records'!$U41&lt;&gt;"Subscription",'Game Records'!$U41&lt;&gt;"Free Game",'Game Records'!$I41=""),"Eligible Players; ","")&amp;IF(AND('Game Records'!$U41&lt;&gt;"Subscription",'Game Records'!$U41&lt;&gt;"Free Game",'Game Records'!$J41=""),"Total Players; ","")&amp;IF(AND(LOWER('Game Records'!$D41&amp;"")="finalized",LOWER('Game Records'!$L41&amp;"")&lt;&gt;"yes",'Game Records'!$U41&lt;&gt;"Subscription",'Game Records'!$U41&lt;&gt;"Free Game",'Game Records'!$K41=""),"Final Earned; ","")&amp;IF(AND(LOWER('Game Records'!$D41&amp;"")="finalized",'Game Records'!$U41&lt;&gt;"Subscription",'Game Records'!$U41&lt;&gt;"Free Game",OR('Game Records'!$L41="",LOWER('Game Records'!$L41&amp;"")="n/a")),"Disqualified Status; ",""))</x:f>
      </x:c>
      <x:c r="G41" s="331" t="str">
        <x:f>IF($A41="","",IFERROR('Game Records'!$M41,""))</x:f>
      </x:c>
    </x:row>
    <x:row r="42">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Game",OR('Game Records'!$D42="",LOWER('Game Records'!$D42&amp;"")="n/a")),"Entry Mode; ","")&amp;IF(AND('Game Records'!$U42&lt;&gt;"Subscription",'Game Records'!$U42&lt;&gt;"Free Game",OR('Game Records'!$E42="",LOWER('Game Records'!$E42&amp;"")="n/a")),"Game Type; ","")&amp;IF('Game Records'!$F42="","Payment Type; ","")&amp;IF(AND('Game Records'!$U42&lt;&gt;"Subscription",'Game Records'!$U42&lt;&gt;"Free Game",'Game Records'!$G42=""),"Gross Pot; ","")&amp;IF(AND('Game Records'!$U42&lt;&gt;"Free Game",'Game Records'!$H42=""),"Entry Fee; ","")&amp;IF(AND('Game Records'!$U42&lt;&gt;"Subscription",'Game Records'!$U42&lt;&gt;"Free Game",'Game Records'!$I42=""),"Eligible Players; ","")&amp;IF(AND('Game Records'!$U42&lt;&gt;"Subscription",'Game Records'!$U42&lt;&gt;"Free Game",'Game Records'!$J42=""),"Total Players; ","")&amp;IF(AND(LOWER('Game Records'!$D42&amp;"")="finalized",LOWER('Game Records'!$L42&amp;"")&lt;&gt;"yes",'Game Records'!$U42&lt;&gt;"Subscription",'Game Records'!$U42&lt;&gt;"Free Game",'Game Records'!$K42=""),"Final Earned; ","")&amp;IF(AND(LOWER('Game Records'!$D42&amp;"")="finalized",'Game Records'!$U42&lt;&gt;"Subscription",'Game Records'!$U42&lt;&gt;"Free Game",OR('Game Records'!$L42="",LOWER('Game Records'!$L42&amp;"")="n/a")),"Disqualified Status; ",""))</x:f>
      </x:c>
      <x:c r="G42" s="331" t="str">
        <x:f>IF($A42="","",IFERROR('Game Records'!$M42,""))</x:f>
      </x:c>
    </x:row>
    <x:row r="43">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Game",OR('Game Records'!$D43="",LOWER('Game Records'!$D43&amp;"")="n/a")),"Entry Mode; ","")&amp;IF(AND('Game Records'!$U43&lt;&gt;"Subscription",'Game Records'!$U43&lt;&gt;"Free Game",OR('Game Records'!$E43="",LOWER('Game Records'!$E43&amp;"")="n/a")),"Game Type; ","")&amp;IF('Game Records'!$F43="","Payment Type; ","")&amp;IF(AND('Game Records'!$U43&lt;&gt;"Subscription",'Game Records'!$U43&lt;&gt;"Free Game",'Game Records'!$G43=""),"Gross Pot; ","")&amp;IF(AND('Game Records'!$U43&lt;&gt;"Free Game",'Game Records'!$H43=""),"Entry Fee; ","")&amp;IF(AND('Game Records'!$U43&lt;&gt;"Subscription",'Game Records'!$U43&lt;&gt;"Free Game",'Game Records'!$I43=""),"Eligible Players; ","")&amp;IF(AND('Game Records'!$U43&lt;&gt;"Subscription",'Game Records'!$U43&lt;&gt;"Free Game",'Game Records'!$J43=""),"Total Players; ","")&amp;IF(AND(LOWER('Game Records'!$D43&amp;"")="finalized",LOWER('Game Records'!$L43&amp;"")&lt;&gt;"yes",'Game Records'!$U43&lt;&gt;"Subscription",'Game Records'!$U43&lt;&gt;"Free Game",'Game Records'!$K43=""),"Final Earned; ","")&amp;IF(AND(LOWER('Game Records'!$D43&amp;"")="finalized",'Game Records'!$U43&lt;&gt;"Subscription",'Game Records'!$U43&lt;&gt;"Free Game",OR('Game Records'!$L43="",LOWER('Game Records'!$L43&amp;"")="n/a")),"Disqualified Status; ",""))</x:f>
      </x:c>
      <x:c r="G43" s="331" t="str">
        <x:f>IF($A43="","",IFERROR('Game Records'!$M43,""))</x:f>
      </x:c>
    </x:row>
    <x:row r="44">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Game",OR('Game Records'!$D44="",LOWER('Game Records'!$D44&amp;"")="n/a")),"Entry Mode; ","")&amp;IF(AND('Game Records'!$U44&lt;&gt;"Subscription",'Game Records'!$U44&lt;&gt;"Free Game",OR('Game Records'!$E44="",LOWER('Game Records'!$E44&amp;"")="n/a")),"Game Type; ","")&amp;IF('Game Records'!$F44="","Payment Type; ","")&amp;IF(AND('Game Records'!$U44&lt;&gt;"Subscription",'Game Records'!$U44&lt;&gt;"Free Game",'Game Records'!$G44=""),"Gross Pot; ","")&amp;IF(AND('Game Records'!$U44&lt;&gt;"Free Game",'Game Records'!$H44=""),"Entry Fee; ","")&amp;IF(AND('Game Records'!$U44&lt;&gt;"Subscription",'Game Records'!$U44&lt;&gt;"Free Game",'Game Records'!$I44=""),"Eligible Players; ","")&amp;IF(AND('Game Records'!$U44&lt;&gt;"Subscription",'Game Records'!$U44&lt;&gt;"Free Game",'Game Records'!$J44=""),"Total Players; ","")&amp;IF(AND(LOWER('Game Records'!$D44&amp;"")="finalized",LOWER('Game Records'!$L44&amp;"")&lt;&gt;"yes",'Game Records'!$U44&lt;&gt;"Subscription",'Game Records'!$U44&lt;&gt;"Free Game",'Game Records'!$K44=""),"Final Earned; ","")&amp;IF(AND(LOWER('Game Records'!$D44&amp;"")="finalized",'Game Records'!$U44&lt;&gt;"Subscription",'Game Records'!$U44&lt;&gt;"Free Game",OR('Game Records'!$L44="",LOWER('Game Records'!$L44&amp;"")="n/a")),"Disqualified Status; ",""))</x:f>
      </x:c>
      <x:c r="G44" s="331" t="str">
        <x:f>IF($A44="","",IFERROR('Game Records'!$M44,""))</x:f>
      </x:c>
    </x:row>
    <x:row r="45">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Game",OR('Game Records'!$D45="",LOWER('Game Records'!$D45&amp;"")="n/a")),"Entry Mode; ","")&amp;IF(AND('Game Records'!$U45&lt;&gt;"Subscription",'Game Records'!$U45&lt;&gt;"Free Game",OR('Game Records'!$E45="",LOWER('Game Records'!$E45&amp;"")="n/a")),"Game Type; ","")&amp;IF('Game Records'!$F45="","Payment Type; ","")&amp;IF(AND('Game Records'!$U45&lt;&gt;"Subscription",'Game Records'!$U45&lt;&gt;"Free Game",'Game Records'!$G45=""),"Gross Pot; ","")&amp;IF(AND('Game Records'!$U45&lt;&gt;"Free Game",'Game Records'!$H45=""),"Entry Fee; ","")&amp;IF(AND('Game Records'!$U45&lt;&gt;"Subscription",'Game Records'!$U45&lt;&gt;"Free Game",'Game Records'!$I45=""),"Eligible Players; ","")&amp;IF(AND('Game Records'!$U45&lt;&gt;"Subscription",'Game Records'!$U45&lt;&gt;"Free Game",'Game Records'!$J45=""),"Total Players; ","")&amp;IF(AND(LOWER('Game Records'!$D45&amp;"")="finalized",LOWER('Game Records'!$L45&amp;"")&lt;&gt;"yes",'Game Records'!$U45&lt;&gt;"Subscription",'Game Records'!$U45&lt;&gt;"Free Game",'Game Records'!$K45=""),"Final Earned; ","")&amp;IF(AND(LOWER('Game Records'!$D45&amp;"")="finalized",'Game Records'!$U45&lt;&gt;"Subscription",'Game Records'!$U45&lt;&gt;"Free Game",OR('Game Records'!$L45="",LOWER('Game Records'!$L45&amp;"")="n/a")),"Disqualified Status; ",""))</x:f>
      </x:c>
      <x:c r="G45" s="331" t="str">
        <x:f>IF($A45="","",IFERROR('Game Records'!$M45,""))</x:f>
      </x:c>
    </x:row>
    <x:row r="46">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Game",OR('Game Records'!$D46="",LOWER('Game Records'!$D46&amp;"")="n/a")),"Entry Mode; ","")&amp;IF(AND('Game Records'!$U46&lt;&gt;"Subscription",'Game Records'!$U46&lt;&gt;"Free Game",OR('Game Records'!$E46="",LOWER('Game Records'!$E46&amp;"")="n/a")),"Game Type; ","")&amp;IF('Game Records'!$F46="","Payment Type; ","")&amp;IF(AND('Game Records'!$U46&lt;&gt;"Subscription",'Game Records'!$U46&lt;&gt;"Free Game",'Game Records'!$G46=""),"Gross Pot; ","")&amp;IF(AND('Game Records'!$U46&lt;&gt;"Free Game",'Game Records'!$H46=""),"Entry Fee; ","")&amp;IF(AND('Game Records'!$U46&lt;&gt;"Subscription",'Game Records'!$U46&lt;&gt;"Free Game",'Game Records'!$I46=""),"Eligible Players; ","")&amp;IF(AND('Game Records'!$U46&lt;&gt;"Subscription",'Game Records'!$U46&lt;&gt;"Free Game",'Game Records'!$J46=""),"Total Players; ","")&amp;IF(AND(LOWER('Game Records'!$D46&amp;"")="finalized",LOWER('Game Records'!$L46&amp;"")&lt;&gt;"yes",'Game Records'!$U46&lt;&gt;"Subscription",'Game Records'!$U46&lt;&gt;"Free Game",'Game Records'!$K46=""),"Final Earned; ","")&amp;IF(AND(LOWER('Game Records'!$D46&amp;"")="finalized",'Game Records'!$U46&lt;&gt;"Subscription",'Game Records'!$U46&lt;&gt;"Free Game",OR('Game Records'!$L46="",LOWER('Game Records'!$L46&amp;"")="n/a")),"Disqualified Status; ",""))</x:f>
      </x:c>
      <x:c r="G46" s="331" t="str">
        <x:f>IF($A46="","",IFERROR('Game Records'!$M46,""))</x:f>
      </x:c>
    </x:row>
    <x:row r="47">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Game",OR('Game Records'!$D47="",LOWER('Game Records'!$D47&amp;"")="n/a")),"Entry Mode; ","")&amp;IF(AND('Game Records'!$U47&lt;&gt;"Subscription",'Game Records'!$U47&lt;&gt;"Free Game",OR('Game Records'!$E47="",LOWER('Game Records'!$E47&amp;"")="n/a")),"Game Type; ","")&amp;IF('Game Records'!$F47="","Payment Type; ","")&amp;IF(AND('Game Records'!$U47&lt;&gt;"Subscription",'Game Records'!$U47&lt;&gt;"Free Game",'Game Records'!$G47=""),"Gross Pot; ","")&amp;IF(AND('Game Records'!$U47&lt;&gt;"Free Game",'Game Records'!$H47=""),"Entry Fee; ","")&amp;IF(AND('Game Records'!$U47&lt;&gt;"Subscription",'Game Records'!$U47&lt;&gt;"Free Game",'Game Records'!$I47=""),"Eligible Players; ","")&amp;IF(AND('Game Records'!$U47&lt;&gt;"Subscription",'Game Records'!$U47&lt;&gt;"Free Game",'Game Records'!$J47=""),"Total Players; ","")&amp;IF(AND(LOWER('Game Records'!$D47&amp;"")="finalized",LOWER('Game Records'!$L47&amp;"")&lt;&gt;"yes",'Game Records'!$U47&lt;&gt;"Subscription",'Game Records'!$U47&lt;&gt;"Free Game",'Game Records'!$K47=""),"Final Earned; ","")&amp;IF(AND(LOWER('Game Records'!$D47&amp;"")="finalized",'Game Records'!$U47&lt;&gt;"Subscription",'Game Records'!$U47&lt;&gt;"Free Game",OR('Game Records'!$L47="",LOWER('Game Records'!$L47&amp;"")="n/a")),"Disqualified Status; ",""))</x:f>
      </x:c>
      <x:c r="G47" s="331" t="str">
        <x:f>IF($A47="","",IFERROR('Game Records'!$M47,""))</x:f>
      </x:c>
    </x:row>
    <x:row r="48">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Game",OR('Game Records'!$D48="",LOWER('Game Records'!$D48&amp;"")="n/a")),"Entry Mode; ","")&amp;IF(AND('Game Records'!$U48&lt;&gt;"Subscription",'Game Records'!$U48&lt;&gt;"Free Game",OR('Game Records'!$E48="",LOWER('Game Records'!$E48&amp;"")="n/a")),"Game Type; ","")&amp;IF('Game Records'!$F48="","Payment Type; ","")&amp;IF(AND('Game Records'!$U48&lt;&gt;"Subscription",'Game Records'!$U48&lt;&gt;"Free Game",'Game Records'!$G48=""),"Gross Pot; ","")&amp;IF(AND('Game Records'!$U48&lt;&gt;"Free Game",'Game Records'!$H48=""),"Entry Fee; ","")&amp;IF(AND('Game Records'!$U48&lt;&gt;"Subscription",'Game Records'!$U48&lt;&gt;"Free Game",'Game Records'!$I48=""),"Eligible Players; ","")&amp;IF(AND('Game Records'!$U48&lt;&gt;"Subscription",'Game Records'!$U48&lt;&gt;"Free Game",'Game Records'!$J48=""),"Total Players; ","")&amp;IF(AND(LOWER('Game Records'!$D48&amp;"")="finalized",LOWER('Game Records'!$L48&amp;"")&lt;&gt;"yes",'Game Records'!$U48&lt;&gt;"Subscription",'Game Records'!$U48&lt;&gt;"Free Game",'Game Records'!$K48=""),"Final Earned; ","")&amp;IF(AND(LOWER('Game Records'!$D48&amp;"")="finalized",'Game Records'!$U48&lt;&gt;"Subscription",'Game Records'!$U48&lt;&gt;"Free Game",OR('Game Records'!$L48="",LOWER('Game Records'!$L48&amp;"")="n/a")),"Disqualified Status; ",""))</x:f>
      </x:c>
      <x:c r="G48" s="331" t="str">
        <x:f>IF($A48="","",IFERROR('Game Records'!$M48,""))</x:f>
      </x:c>
    </x:row>
    <x:row r="49">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Game",OR('Game Records'!$D49="",LOWER('Game Records'!$D49&amp;"")="n/a")),"Entry Mode; ","")&amp;IF(AND('Game Records'!$U49&lt;&gt;"Subscription",'Game Records'!$U49&lt;&gt;"Free Game",OR('Game Records'!$E49="",LOWER('Game Records'!$E49&amp;"")="n/a")),"Game Type; ","")&amp;IF('Game Records'!$F49="","Payment Type; ","")&amp;IF(AND('Game Records'!$U49&lt;&gt;"Subscription",'Game Records'!$U49&lt;&gt;"Free Game",'Game Records'!$G49=""),"Gross Pot; ","")&amp;IF(AND('Game Records'!$U49&lt;&gt;"Free Game",'Game Records'!$H49=""),"Entry Fee; ","")&amp;IF(AND('Game Records'!$U49&lt;&gt;"Subscription",'Game Records'!$U49&lt;&gt;"Free Game",'Game Records'!$I49=""),"Eligible Players; ","")&amp;IF(AND('Game Records'!$U49&lt;&gt;"Subscription",'Game Records'!$U49&lt;&gt;"Free Game",'Game Records'!$J49=""),"Total Players; ","")&amp;IF(AND(LOWER('Game Records'!$D49&amp;"")="finalized",LOWER('Game Records'!$L49&amp;"")&lt;&gt;"yes",'Game Records'!$U49&lt;&gt;"Subscription",'Game Records'!$U49&lt;&gt;"Free Game",'Game Records'!$K49=""),"Final Earned; ","")&amp;IF(AND(LOWER('Game Records'!$D49&amp;"")="finalized",'Game Records'!$U49&lt;&gt;"Subscription",'Game Records'!$U49&lt;&gt;"Free Game",OR('Game Records'!$L49="",LOWER('Game Records'!$L49&amp;"")="n/a")),"Disqualified Status; ",""))</x:f>
      </x:c>
      <x:c r="G49" s="331" t="str">
        <x:f>IF($A49="","",IFERROR('Game Records'!$M49,""))</x:f>
      </x:c>
    </x:row>
    <x:row r="50">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Game",OR('Game Records'!$D50="",LOWER('Game Records'!$D50&amp;"")="n/a")),"Entry Mode; ","")&amp;IF(AND('Game Records'!$U50&lt;&gt;"Subscription",'Game Records'!$U50&lt;&gt;"Free Game",OR('Game Records'!$E50="",LOWER('Game Records'!$E50&amp;"")="n/a")),"Game Type; ","")&amp;IF('Game Records'!$F50="","Payment Type; ","")&amp;IF(AND('Game Records'!$U50&lt;&gt;"Subscription",'Game Records'!$U50&lt;&gt;"Free Game",'Game Records'!$G50=""),"Gross Pot; ","")&amp;IF(AND('Game Records'!$U50&lt;&gt;"Free Game",'Game Records'!$H50=""),"Entry Fee; ","")&amp;IF(AND('Game Records'!$U50&lt;&gt;"Subscription",'Game Records'!$U50&lt;&gt;"Free Game",'Game Records'!$I50=""),"Eligible Players; ","")&amp;IF(AND('Game Records'!$U50&lt;&gt;"Subscription",'Game Records'!$U50&lt;&gt;"Free Game",'Game Records'!$J50=""),"Total Players; ","")&amp;IF(AND(LOWER('Game Records'!$D50&amp;"")="finalized",LOWER('Game Records'!$L50&amp;"")&lt;&gt;"yes",'Game Records'!$U50&lt;&gt;"Subscription",'Game Records'!$U50&lt;&gt;"Free Game",'Game Records'!$K50=""),"Final Earned; ","")&amp;IF(AND(LOWER('Game Records'!$D50&amp;"")="finalized",'Game Records'!$U50&lt;&gt;"Subscription",'Game Records'!$U50&lt;&gt;"Free Game",OR('Game Records'!$L50="",LOWER('Game Records'!$L50&amp;"")="n/a")),"Disqualified Status; ",""))</x:f>
      </x:c>
      <x:c r="G50" s="331" t="str">
        <x:f>IF($A50="","",IFERROR('Game Records'!$M50,""))</x:f>
      </x:c>
    </x:row>
    <x:row r="5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Game",OR('Game Records'!$D51="",LOWER('Game Records'!$D51&amp;"")="n/a")),"Entry Mode; ","")&amp;IF(AND('Game Records'!$U51&lt;&gt;"Subscription",'Game Records'!$U51&lt;&gt;"Free Game",OR('Game Records'!$E51="",LOWER('Game Records'!$E51&amp;"")="n/a")),"Game Type; ","")&amp;IF('Game Records'!$F51="","Payment Type; ","")&amp;IF(AND('Game Records'!$U51&lt;&gt;"Subscription",'Game Records'!$U51&lt;&gt;"Free Game",'Game Records'!$G51=""),"Gross Pot; ","")&amp;IF(AND('Game Records'!$U51&lt;&gt;"Free Game",'Game Records'!$H51=""),"Entry Fee; ","")&amp;IF(AND('Game Records'!$U51&lt;&gt;"Subscription",'Game Records'!$U51&lt;&gt;"Free Game",'Game Records'!$I51=""),"Eligible Players; ","")&amp;IF(AND('Game Records'!$U51&lt;&gt;"Subscription",'Game Records'!$U51&lt;&gt;"Free Game",'Game Records'!$J51=""),"Total Players; ","")&amp;IF(AND(LOWER('Game Records'!$D51&amp;"")="finalized",LOWER('Game Records'!$L51&amp;"")&lt;&gt;"yes",'Game Records'!$U51&lt;&gt;"Subscription",'Game Records'!$U51&lt;&gt;"Free Game",'Game Records'!$K51=""),"Final Earned; ","")&amp;IF(AND(LOWER('Game Records'!$D51&amp;"")="finalized",'Game Records'!$U51&lt;&gt;"Subscription",'Game Records'!$U51&lt;&gt;"Free Game",OR('Game Records'!$L51="",LOWER('Game Records'!$L51&amp;"")="n/a")),"Disqualified Status; ",""))</x:f>
      </x:c>
      <x:c r="G51" s="331" t="str">
        <x:f>IF($A51="","",IFERROR('Game Records'!$M51,""))</x:f>
      </x:c>
    </x:row>
    <x:row r="52">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Game",OR('Game Records'!$D52="",LOWER('Game Records'!$D52&amp;"")="n/a")),"Entry Mode; ","")&amp;IF(AND('Game Records'!$U52&lt;&gt;"Subscription",'Game Records'!$U52&lt;&gt;"Free Game",OR('Game Records'!$E52="",LOWER('Game Records'!$E52&amp;"")="n/a")),"Game Type; ","")&amp;IF('Game Records'!$F52="","Payment Type; ","")&amp;IF(AND('Game Records'!$U52&lt;&gt;"Subscription",'Game Records'!$U52&lt;&gt;"Free Game",'Game Records'!$G52=""),"Gross Pot; ","")&amp;IF(AND('Game Records'!$U52&lt;&gt;"Free Game",'Game Records'!$H52=""),"Entry Fee; ","")&amp;IF(AND('Game Records'!$U52&lt;&gt;"Subscription",'Game Records'!$U52&lt;&gt;"Free Game",'Game Records'!$I52=""),"Eligible Players; ","")&amp;IF(AND('Game Records'!$U52&lt;&gt;"Subscription",'Game Records'!$U52&lt;&gt;"Free Game",'Game Records'!$J52=""),"Total Players; ","")&amp;IF(AND(LOWER('Game Records'!$D52&amp;"")="finalized",LOWER('Game Records'!$L52&amp;"")&lt;&gt;"yes",'Game Records'!$U52&lt;&gt;"Subscription",'Game Records'!$U52&lt;&gt;"Free Game",'Game Records'!$K52=""),"Final Earned; ","")&amp;IF(AND(LOWER('Game Records'!$D52&amp;"")="finalized",'Game Records'!$U52&lt;&gt;"Subscription",'Game Records'!$U52&lt;&gt;"Free Game",OR('Game Records'!$L52="",LOWER('Game Records'!$L52&amp;"")="n/a")),"Disqualified Status; ",""))</x:f>
      </x:c>
      <x:c r="G52" s="331" t="str">
        <x:f>IF($A52="","",IFERROR('Game Records'!$M52,""))</x:f>
      </x:c>
    </x:row>
    <x:row r="53">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Game",OR('Game Records'!$D53="",LOWER('Game Records'!$D53&amp;"")="n/a")),"Entry Mode; ","")&amp;IF(AND('Game Records'!$U53&lt;&gt;"Subscription",'Game Records'!$U53&lt;&gt;"Free Game",OR('Game Records'!$E53="",LOWER('Game Records'!$E53&amp;"")="n/a")),"Game Type; ","")&amp;IF('Game Records'!$F53="","Payment Type; ","")&amp;IF(AND('Game Records'!$U53&lt;&gt;"Subscription",'Game Records'!$U53&lt;&gt;"Free Game",'Game Records'!$G53=""),"Gross Pot; ","")&amp;IF(AND('Game Records'!$U53&lt;&gt;"Free Game",'Game Records'!$H53=""),"Entry Fee; ","")&amp;IF(AND('Game Records'!$U53&lt;&gt;"Subscription",'Game Records'!$U53&lt;&gt;"Free Game",'Game Records'!$I53=""),"Eligible Players; ","")&amp;IF(AND('Game Records'!$U53&lt;&gt;"Subscription",'Game Records'!$U53&lt;&gt;"Free Game",'Game Records'!$J53=""),"Total Players; ","")&amp;IF(AND(LOWER('Game Records'!$D53&amp;"")="finalized",LOWER('Game Records'!$L53&amp;"")&lt;&gt;"yes",'Game Records'!$U53&lt;&gt;"Subscription",'Game Records'!$U53&lt;&gt;"Free Game",'Game Records'!$K53=""),"Final Earned; ","")&amp;IF(AND(LOWER('Game Records'!$D53&amp;"")="finalized",'Game Records'!$U53&lt;&gt;"Subscription",'Game Records'!$U53&lt;&gt;"Free Game",OR('Game Records'!$L53="",LOWER('Game Records'!$L53&amp;"")="n/a")),"Disqualified Status; ",""))</x:f>
      </x:c>
      <x:c r="G53" s="331" t="str">
        <x:f>IF($A53="","",IFERROR('Game Records'!$M53,""))</x:f>
      </x:c>
    </x:row>
    <x:row r="54">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Game",OR('Game Records'!$D54="",LOWER('Game Records'!$D54&amp;"")="n/a")),"Entry Mode; ","")&amp;IF(AND('Game Records'!$U54&lt;&gt;"Subscription",'Game Records'!$U54&lt;&gt;"Free Game",OR('Game Records'!$E54="",LOWER('Game Records'!$E54&amp;"")="n/a")),"Game Type; ","")&amp;IF('Game Records'!$F54="","Payment Type; ","")&amp;IF(AND('Game Records'!$U54&lt;&gt;"Subscription",'Game Records'!$U54&lt;&gt;"Free Game",'Game Records'!$G54=""),"Gross Pot; ","")&amp;IF(AND('Game Records'!$U54&lt;&gt;"Free Game",'Game Records'!$H54=""),"Entry Fee; ","")&amp;IF(AND('Game Records'!$U54&lt;&gt;"Subscription",'Game Records'!$U54&lt;&gt;"Free Game",'Game Records'!$I54=""),"Eligible Players; ","")&amp;IF(AND('Game Records'!$U54&lt;&gt;"Subscription",'Game Records'!$U54&lt;&gt;"Free Game",'Game Records'!$J54=""),"Total Players; ","")&amp;IF(AND(LOWER('Game Records'!$D54&amp;"")="finalized",LOWER('Game Records'!$L54&amp;"")&lt;&gt;"yes",'Game Records'!$U54&lt;&gt;"Subscription",'Game Records'!$U54&lt;&gt;"Free Game",'Game Records'!$K54=""),"Final Earned; ","")&amp;IF(AND(LOWER('Game Records'!$D54&amp;"")="finalized",'Game Records'!$U54&lt;&gt;"Subscription",'Game Records'!$U54&lt;&gt;"Free Game",OR('Game Records'!$L54="",LOWER('Game Records'!$L54&amp;"")="n/a")),"Disqualified Status; ",""))</x:f>
      </x:c>
      <x:c r="G54" s="331" t="str">
        <x:f>IF($A54="","",IFERROR('Game Records'!$M54,""))</x:f>
      </x:c>
    </x:row>
    <x:row r="55">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Game",OR('Game Records'!$D55="",LOWER('Game Records'!$D55&amp;"")="n/a")),"Entry Mode; ","")&amp;IF(AND('Game Records'!$U55&lt;&gt;"Subscription",'Game Records'!$U55&lt;&gt;"Free Game",OR('Game Records'!$E55="",LOWER('Game Records'!$E55&amp;"")="n/a")),"Game Type; ","")&amp;IF('Game Records'!$F55="","Payment Type; ","")&amp;IF(AND('Game Records'!$U55&lt;&gt;"Subscription",'Game Records'!$U55&lt;&gt;"Free Game",'Game Records'!$G55=""),"Gross Pot; ","")&amp;IF(AND('Game Records'!$U55&lt;&gt;"Free Game",'Game Records'!$H55=""),"Entry Fee; ","")&amp;IF(AND('Game Records'!$U55&lt;&gt;"Subscription",'Game Records'!$U55&lt;&gt;"Free Game",'Game Records'!$I55=""),"Eligible Players; ","")&amp;IF(AND('Game Records'!$U55&lt;&gt;"Subscription",'Game Records'!$U55&lt;&gt;"Free Game",'Game Records'!$J55=""),"Total Players; ","")&amp;IF(AND(LOWER('Game Records'!$D55&amp;"")="finalized",LOWER('Game Records'!$L55&amp;"")&lt;&gt;"yes",'Game Records'!$U55&lt;&gt;"Subscription",'Game Records'!$U55&lt;&gt;"Free Game",'Game Records'!$K55=""),"Final Earned; ","")&amp;IF(AND(LOWER('Game Records'!$D55&amp;"")="finalized",'Game Records'!$U55&lt;&gt;"Subscription",'Game Records'!$U55&lt;&gt;"Free Game",OR('Game Records'!$L55="",LOWER('Game Records'!$L55&amp;"")="n/a")),"Disqualified Status; ",""))</x:f>
      </x:c>
      <x:c r="G55" s="331" t="str">
        <x:f>IF($A55="","",IFERROR('Game Records'!$M55,""))</x:f>
      </x:c>
    </x:row>
    <x:row r="56">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Game",OR('Game Records'!$D56="",LOWER('Game Records'!$D56&amp;"")="n/a")),"Entry Mode; ","")&amp;IF(AND('Game Records'!$U56&lt;&gt;"Subscription",'Game Records'!$U56&lt;&gt;"Free Game",OR('Game Records'!$E56="",LOWER('Game Records'!$E56&amp;"")="n/a")),"Game Type; ","")&amp;IF('Game Records'!$F56="","Payment Type; ","")&amp;IF(AND('Game Records'!$U56&lt;&gt;"Subscription",'Game Records'!$U56&lt;&gt;"Free Game",'Game Records'!$G56=""),"Gross Pot; ","")&amp;IF(AND('Game Records'!$U56&lt;&gt;"Free Game",'Game Records'!$H56=""),"Entry Fee; ","")&amp;IF(AND('Game Records'!$U56&lt;&gt;"Subscription",'Game Records'!$U56&lt;&gt;"Free Game",'Game Records'!$I56=""),"Eligible Players; ","")&amp;IF(AND('Game Records'!$U56&lt;&gt;"Subscription",'Game Records'!$U56&lt;&gt;"Free Game",'Game Records'!$J56=""),"Total Players; ","")&amp;IF(AND(LOWER('Game Records'!$D56&amp;"")="finalized",LOWER('Game Records'!$L56&amp;"")&lt;&gt;"yes",'Game Records'!$U56&lt;&gt;"Subscription",'Game Records'!$U56&lt;&gt;"Free Game",'Game Records'!$K56=""),"Final Earned; ","")&amp;IF(AND(LOWER('Game Records'!$D56&amp;"")="finalized",'Game Records'!$U56&lt;&gt;"Subscription",'Game Records'!$U56&lt;&gt;"Free Game",OR('Game Records'!$L56="",LOWER('Game Records'!$L56&amp;"")="n/a")),"Disqualified Status; ",""))</x:f>
      </x:c>
      <x:c r="G56" s="331" t="str">
        <x:f>IF($A56="","",IFERROR('Game Records'!$M56,""))</x:f>
      </x:c>
    </x:row>
    <x:row r="57">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Game",OR('Game Records'!$D57="",LOWER('Game Records'!$D57&amp;"")="n/a")),"Entry Mode; ","")&amp;IF(AND('Game Records'!$U57&lt;&gt;"Subscription",'Game Records'!$U57&lt;&gt;"Free Game",OR('Game Records'!$E57="",LOWER('Game Records'!$E57&amp;"")="n/a")),"Game Type; ","")&amp;IF('Game Records'!$F57="","Payment Type; ","")&amp;IF(AND('Game Records'!$U57&lt;&gt;"Subscription",'Game Records'!$U57&lt;&gt;"Free Game",'Game Records'!$G57=""),"Gross Pot; ","")&amp;IF(AND('Game Records'!$U57&lt;&gt;"Free Game",'Game Records'!$H57=""),"Entry Fee; ","")&amp;IF(AND('Game Records'!$U57&lt;&gt;"Subscription",'Game Records'!$U57&lt;&gt;"Free Game",'Game Records'!$I57=""),"Eligible Players; ","")&amp;IF(AND('Game Records'!$U57&lt;&gt;"Subscription",'Game Records'!$U57&lt;&gt;"Free Game",'Game Records'!$J57=""),"Total Players; ","")&amp;IF(AND(LOWER('Game Records'!$D57&amp;"")="finalized",LOWER('Game Records'!$L57&amp;"")&lt;&gt;"yes",'Game Records'!$U57&lt;&gt;"Subscription",'Game Records'!$U57&lt;&gt;"Free Game",'Game Records'!$K57=""),"Final Earned; ","")&amp;IF(AND(LOWER('Game Records'!$D57&amp;"")="finalized",'Game Records'!$U57&lt;&gt;"Subscription",'Game Records'!$U57&lt;&gt;"Free Game",OR('Game Records'!$L57="",LOWER('Game Records'!$L57&amp;"")="n/a")),"Disqualified Status; ",""))</x:f>
      </x:c>
      <x:c r="G57" s="331" t="str">
        <x:f>IF($A57="","",IFERROR('Game Records'!$M57,""))</x:f>
      </x:c>
    </x:row>
    <x:row r="58">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Game",OR('Game Records'!$D58="",LOWER('Game Records'!$D58&amp;"")="n/a")),"Entry Mode; ","")&amp;IF(AND('Game Records'!$U58&lt;&gt;"Subscription",'Game Records'!$U58&lt;&gt;"Free Game",OR('Game Records'!$E58="",LOWER('Game Records'!$E58&amp;"")="n/a")),"Game Type; ","")&amp;IF('Game Records'!$F58="","Payment Type; ","")&amp;IF(AND('Game Records'!$U58&lt;&gt;"Subscription",'Game Records'!$U58&lt;&gt;"Free Game",'Game Records'!$G58=""),"Gross Pot; ","")&amp;IF(AND('Game Records'!$U58&lt;&gt;"Free Game",'Game Records'!$H58=""),"Entry Fee; ","")&amp;IF(AND('Game Records'!$U58&lt;&gt;"Subscription",'Game Records'!$U58&lt;&gt;"Free Game",'Game Records'!$I58=""),"Eligible Players; ","")&amp;IF(AND('Game Records'!$U58&lt;&gt;"Subscription",'Game Records'!$U58&lt;&gt;"Free Game",'Game Records'!$J58=""),"Total Players; ","")&amp;IF(AND(LOWER('Game Records'!$D58&amp;"")="finalized",LOWER('Game Records'!$L58&amp;"")&lt;&gt;"yes",'Game Records'!$U58&lt;&gt;"Subscription",'Game Records'!$U58&lt;&gt;"Free Game",'Game Records'!$K58=""),"Final Earned; ","")&amp;IF(AND(LOWER('Game Records'!$D58&amp;"")="finalized",'Game Records'!$U58&lt;&gt;"Subscription",'Game Records'!$U58&lt;&gt;"Free Game",OR('Game Records'!$L58="",LOWER('Game Records'!$L58&amp;"")="n/a")),"Disqualified Status; ",""))</x:f>
      </x:c>
      <x:c r="G58" s="331" t="str">
        <x:f>IF($A58="","",IFERROR('Game Records'!$M58,""))</x:f>
      </x:c>
    </x:row>
    <x:row r="59">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Game",OR('Game Records'!$D59="",LOWER('Game Records'!$D59&amp;"")="n/a")),"Entry Mode; ","")&amp;IF(AND('Game Records'!$U59&lt;&gt;"Subscription",'Game Records'!$U59&lt;&gt;"Free Game",OR('Game Records'!$E59="",LOWER('Game Records'!$E59&amp;"")="n/a")),"Game Type; ","")&amp;IF('Game Records'!$F59="","Payment Type; ","")&amp;IF(AND('Game Records'!$U59&lt;&gt;"Subscription",'Game Records'!$U59&lt;&gt;"Free Game",'Game Records'!$G59=""),"Gross Pot; ","")&amp;IF(AND('Game Records'!$U59&lt;&gt;"Free Game",'Game Records'!$H59=""),"Entry Fee; ","")&amp;IF(AND('Game Records'!$U59&lt;&gt;"Subscription",'Game Records'!$U59&lt;&gt;"Free Game",'Game Records'!$I59=""),"Eligible Players; ","")&amp;IF(AND('Game Records'!$U59&lt;&gt;"Subscription",'Game Records'!$U59&lt;&gt;"Free Game",'Game Records'!$J59=""),"Total Players; ","")&amp;IF(AND(LOWER('Game Records'!$D59&amp;"")="finalized",LOWER('Game Records'!$L59&amp;"")&lt;&gt;"yes",'Game Records'!$U59&lt;&gt;"Subscription",'Game Records'!$U59&lt;&gt;"Free Game",'Game Records'!$K59=""),"Final Earned; ","")&amp;IF(AND(LOWER('Game Records'!$D59&amp;"")="finalized",'Game Records'!$U59&lt;&gt;"Subscription",'Game Records'!$U59&lt;&gt;"Free Game",OR('Game Records'!$L59="",LOWER('Game Records'!$L59&amp;"")="n/a")),"Disqualified Status; ",""))</x:f>
      </x:c>
      <x:c r="G59" s="331" t="str">
        <x:f>IF($A59="","",IFERROR('Game Records'!$M59,""))</x:f>
      </x:c>
    </x:row>
    <x:row r="60">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Game",OR('Game Records'!$D60="",LOWER('Game Records'!$D60&amp;"")="n/a")),"Entry Mode; ","")&amp;IF(AND('Game Records'!$U60&lt;&gt;"Subscription",'Game Records'!$U60&lt;&gt;"Free Game",OR('Game Records'!$E60="",LOWER('Game Records'!$E60&amp;"")="n/a")),"Game Type; ","")&amp;IF('Game Records'!$F60="","Payment Type; ","")&amp;IF(AND('Game Records'!$U60&lt;&gt;"Subscription",'Game Records'!$U60&lt;&gt;"Free Game",'Game Records'!$G60=""),"Gross Pot; ","")&amp;IF(AND('Game Records'!$U60&lt;&gt;"Free Game",'Game Records'!$H60=""),"Entry Fee; ","")&amp;IF(AND('Game Records'!$U60&lt;&gt;"Subscription",'Game Records'!$U60&lt;&gt;"Free Game",'Game Records'!$I60=""),"Eligible Players; ","")&amp;IF(AND('Game Records'!$U60&lt;&gt;"Subscription",'Game Records'!$U60&lt;&gt;"Free Game",'Game Records'!$J60=""),"Total Players; ","")&amp;IF(AND(LOWER('Game Records'!$D60&amp;"")="finalized",LOWER('Game Records'!$L60&amp;"")&lt;&gt;"yes",'Game Records'!$U60&lt;&gt;"Subscription",'Game Records'!$U60&lt;&gt;"Free Game",'Game Records'!$K60=""),"Final Earned; ","")&amp;IF(AND(LOWER('Game Records'!$D60&amp;"")="finalized",'Game Records'!$U60&lt;&gt;"Subscription",'Game Records'!$U60&lt;&gt;"Free Game",OR('Game Records'!$L60="",LOWER('Game Records'!$L60&amp;"")="n/a")),"Disqualified Status; ",""))</x:f>
      </x:c>
      <x:c r="G60" s="331" t="str">
        <x:f>IF($A60="","",IFERROR('Game Records'!$M60,""))</x:f>
      </x:c>
    </x:row>
    <x:row r="6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Game",OR('Game Records'!$D61="",LOWER('Game Records'!$D61&amp;"")="n/a")),"Entry Mode; ","")&amp;IF(AND('Game Records'!$U61&lt;&gt;"Subscription",'Game Records'!$U61&lt;&gt;"Free Game",OR('Game Records'!$E61="",LOWER('Game Records'!$E61&amp;"")="n/a")),"Game Type; ","")&amp;IF('Game Records'!$F61="","Payment Type; ","")&amp;IF(AND('Game Records'!$U61&lt;&gt;"Subscription",'Game Records'!$U61&lt;&gt;"Free Game",'Game Records'!$G61=""),"Gross Pot; ","")&amp;IF(AND('Game Records'!$U61&lt;&gt;"Free Game",'Game Records'!$H61=""),"Entry Fee; ","")&amp;IF(AND('Game Records'!$U61&lt;&gt;"Subscription",'Game Records'!$U61&lt;&gt;"Free Game",'Game Records'!$I61=""),"Eligible Players; ","")&amp;IF(AND('Game Records'!$U61&lt;&gt;"Subscription",'Game Records'!$U61&lt;&gt;"Free Game",'Game Records'!$J61=""),"Total Players; ","")&amp;IF(AND(LOWER('Game Records'!$D61&amp;"")="finalized",LOWER('Game Records'!$L61&amp;"")&lt;&gt;"yes",'Game Records'!$U61&lt;&gt;"Subscription",'Game Records'!$U61&lt;&gt;"Free Game",'Game Records'!$K61=""),"Final Earned; ","")&amp;IF(AND(LOWER('Game Records'!$D61&amp;"")="finalized",'Game Records'!$U61&lt;&gt;"Subscription",'Game Records'!$U61&lt;&gt;"Free Game",OR('Game Records'!$L61="",LOWER('Game Records'!$L61&amp;"")="n/a")),"Disqualified Status; ",""))</x:f>
      </x:c>
      <x:c r="G61" s="331" t="str">
        <x:f>IF($A61="","",IFERROR('Game Records'!$M61,""))</x:f>
      </x:c>
    </x:row>
    <x:row r="62">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Game",OR('Game Records'!$D62="",LOWER('Game Records'!$D62&amp;"")="n/a")),"Entry Mode; ","")&amp;IF(AND('Game Records'!$U62&lt;&gt;"Subscription",'Game Records'!$U62&lt;&gt;"Free Game",OR('Game Records'!$E62="",LOWER('Game Records'!$E62&amp;"")="n/a")),"Game Type; ","")&amp;IF('Game Records'!$F62="","Payment Type; ","")&amp;IF(AND('Game Records'!$U62&lt;&gt;"Subscription",'Game Records'!$U62&lt;&gt;"Free Game",'Game Records'!$G62=""),"Gross Pot; ","")&amp;IF(AND('Game Records'!$U62&lt;&gt;"Free Game",'Game Records'!$H62=""),"Entry Fee; ","")&amp;IF(AND('Game Records'!$U62&lt;&gt;"Subscription",'Game Records'!$U62&lt;&gt;"Free Game",'Game Records'!$I62=""),"Eligible Players; ","")&amp;IF(AND('Game Records'!$U62&lt;&gt;"Subscription",'Game Records'!$U62&lt;&gt;"Free Game",'Game Records'!$J62=""),"Total Players; ","")&amp;IF(AND(LOWER('Game Records'!$D62&amp;"")="finalized",LOWER('Game Records'!$L62&amp;"")&lt;&gt;"yes",'Game Records'!$U62&lt;&gt;"Subscription",'Game Records'!$U62&lt;&gt;"Free Game",'Game Records'!$K62=""),"Final Earned; ","")&amp;IF(AND(LOWER('Game Records'!$D62&amp;"")="finalized",'Game Records'!$U62&lt;&gt;"Subscription",'Game Records'!$U62&lt;&gt;"Free Game",OR('Game Records'!$L62="",LOWER('Game Records'!$L62&amp;"")="n/a")),"Disqualified Status; ",""))</x:f>
      </x:c>
      <x:c r="G62" s="331" t="str">
        <x:f>IF($A62="","",IFERROR('Game Records'!$M62,""))</x:f>
      </x:c>
    </x:row>
    <x:row r="63">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Game",OR('Game Records'!$D63="",LOWER('Game Records'!$D63&amp;"")="n/a")),"Entry Mode; ","")&amp;IF(AND('Game Records'!$U63&lt;&gt;"Subscription",'Game Records'!$U63&lt;&gt;"Free Game",OR('Game Records'!$E63="",LOWER('Game Records'!$E63&amp;"")="n/a")),"Game Type; ","")&amp;IF('Game Records'!$F63="","Payment Type; ","")&amp;IF(AND('Game Records'!$U63&lt;&gt;"Subscription",'Game Records'!$U63&lt;&gt;"Free Game",'Game Records'!$G63=""),"Gross Pot; ","")&amp;IF(AND('Game Records'!$U63&lt;&gt;"Free Game",'Game Records'!$H63=""),"Entry Fee; ","")&amp;IF(AND('Game Records'!$U63&lt;&gt;"Subscription",'Game Records'!$U63&lt;&gt;"Free Game",'Game Records'!$I63=""),"Eligible Players; ","")&amp;IF(AND('Game Records'!$U63&lt;&gt;"Subscription",'Game Records'!$U63&lt;&gt;"Free Game",'Game Records'!$J63=""),"Total Players; ","")&amp;IF(AND(LOWER('Game Records'!$D63&amp;"")="finalized",LOWER('Game Records'!$L63&amp;"")&lt;&gt;"yes",'Game Records'!$U63&lt;&gt;"Subscription",'Game Records'!$U63&lt;&gt;"Free Game",'Game Records'!$K63=""),"Final Earned; ","")&amp;IF(AND(LOWER('Game Records'!$D63&amp;"")="finalized",'Game Records'!$U63&lt;&gt;"Subscription",'Game Records'!$U63&lt;&gt;"Free Game",OR('Game Records'!$L63="",LOWER('Game Records'!$L63&amp;"")="n/a")),"Disqualified Status; ",""))</x:f>
      </x:c>
      <x:c r="G63" s="331" t="str">
        <x:f>IF($A63="","",IFERROR('Game Records'!$M63,""))</x:f>
      </x:c>
    </x:row>
    <x:row r="64">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Game",OR('Game Records'!$D64="",LOWER('Game Records'!$D64&amp;"")="n/a")),"Entry Mode; ","")&amp;IF(AND('Game Records'!$U64&lt;&gt;"Subscription",'Game Records'!$U64&lt;&gt;"Free Game",OR('Game Records'!$E64="",LOWER('Game Records'!$E64&amp;"")="n/a")),"Game Type; ","")&amp;IF('Game Records'!$F64="","Payment Type; ","")&amp;IF(AND('Game Records'!$U64&lt;&gt;"Subscription",'Game Records'!$U64&lt;&gt;"Free Game",'Game Records'!$G64=""),"Gross Pot; ","")&amp;IF(AND('Game Records'!$U64&lt;&gt;"Free Game",'Game Records'!$H64=""),"Entry Fee; ","")&amp;IF(AND('Game Records'!$U64&lt;&gt;"Subscription",'Game Records'!$U64&lt;&gt;"Free Game",'Game Records'!$I64=""),"Eligible Players; ","")&amp;IF(AND('Game Records'!$U64&lt;&gt;"Subscription",'Game Records'!$U64&lt;&gt;"Free Game",'Game Records'!$J64=""),"Total Players; ","")&amp;IF(AND(LOWER('Game Records'!$D64&amp;"")="finalized",LOWER('Game Records'!$L64&amp;"")&lt;&gt;"yes",'Game Records'!$U64&lt;&gt;"Subscription",'Game Records'!$U64&lt;&gt;"Free Game",'Game Records'!$K64=""),"Final Earned; ","")&amp;IF(AND(LOWER('Game Records'!$D64&amp;"")="finalized",'Game Records'!$U64&lt;&gt;"Subscription",'Game Records'!$U64&lt;&gt;"Free Game",OR('Game Records'!$L64="",LOWER('Game Records'!$L64&amp;"")="n/a")),"Disqualified Status; ",""))</x:f>
      </x:c>
      <x:c r="G64" s="331" t="str">
        <x:f>IF($A64="","",IFERROR('Game Records'!$M64,""))</x:f>
      </x:c>
    </x:row>
    <x:row r="65">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Game",OR('Game Records'!$D65="",LOWER('Game Records'!$D65&amp;"")="n/a")),"Entry Mode; ","")&amp;IF(AND('Game Records'!$U65&lt;&gt;"Subscription",'Game Records'!$U65&lt;&gt;"Free Game",OR('Game Records'!$E65="",LOWER('Game Records'!$E65&amp;"")="n/a")),"Game Type; ","")&amp;IF('Game Records'!$F65="","Payment Type; ","")&amp;IF(AND('Game Records'!$U65&lt;&gt;"Subscription",'Game Records'!$U65&lt;&gt;"Free Game",'Game Records'!$G65=""),"Gross Pot; ","")&amp;IF(AND('Game Records'!$U65&lt;&gt;"Free Game",'Game Records'!$H65=""),"Entry Fee; ","")&amp;IF(AND('Game Records'!$U65&lt;&gt;"Subscription",'Game Records'!$U65&lt;&gt;"Free Game",'Game Records'!$I65=""),"Eligible Players; ","")&amp;IF(AND('Game Records'!$U65&lt;&gt;"Subscription",'Game Records'!$U65&lt;&gt;"Free Game",'Game Records'!$J65=""),"Total Players; ","")&amp;IF(AND(LOWER('Game Records'!$D65&amp;"")="finalized",LOWER('Game Records'!$L65&amp;"")&lt;&gt;"yes",'Game Records'!$U65&lt;&gt;"Subscription",'Game Records'!$U65&lt;&gt;"Free Game",'Game Records'!$K65=""),"Final Earned; ","")&amp;IF(AND(LOWER('Game Records'!$D65&amp;"")="finalized",'Game Records'!$U65&lt;&gt;"Subscription",'Game Records'!$U65&lt;&gt;"Free Game",OR('Game Records'!$L65="",LOWER('Game Records'!$L65&amp;"")="n/a")),"Disqualified Status; ",""))</x:f>
      </x:c>
      <x:c r="G65" s="331" t="str">
        <x:f>IF($A65="","",IFERROR('Game Records'!$M65,""))</x:f>
      </x:c>
    </x:row>
    <x:row r="66">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Game",OR('Game Records'!$D66="",LOWER('Game Records'!$D66&amp;"")="n/a")),"Entry Mode; ","")&amp;IF(AND('Game Records'!$U66&lt;&gt;"Subscription",'Game Records'!$U66&lt;&gt;"Free Game",OR('Game Records'!$E66="",LOWER('Game Records'!$E66&amp;"")="n/a")),"Game Type; ","")&amp;IF('Game Records'!$F66="","Payment Type; ","")&amp;IF(AND('Game Records'!$U66&lt;&gt;"Subscription",'Game Records'!$U66&lt;&gt;"Free Game",'Game Records'!$G66=""),"Gross Pot; ","")&amp;IF(AND('Game Records'!$U66&lt;&gt;"Free Game",'Game Records'!$H66=""),"Entry Fee; ","")&amp;IF(AND('Game Records'!$U66&lt;&gt;"Subscription",'Game Records'!$U66&lt;&gt;"Free Game",'Game Records'!$I66=""),"Eligible Players; ","")&amp;IF(AND('Game Records'!$U66&lt;&gt;"Subscription",'Game Records'!$U66&lt;&gt;"Free Game",'Game Records'!$J66=""),"Total Players; ","")&amp;IF(AND(LOWER('Game Records'!$D66&amp;"")="finalized",LOWER('Game Records'!$L66&amp;"")&lt;&gt;"yes",'Game Records'!$U66&lt;&gt;"Subscription",'Game Records'!$U66&lt;&gt;"Free Game",'Game Records'!$K66=""),"Final Earned; ","")&amp;IF(AND(LOWER('Game Records'!$D66&amp;"")="finalized",'Game Records'!$U66&lt;&gt;"Subscription",'Game Records'!$U66&lt;&gt;"Free Game",OR('Game Records'!$L66="",LOWER('Game Records'!$L66&amp;"")="n/a")),"Disqualified Status; ",""))</x:f>
      </x:c>
      <x:c r="G66" s="331" t="str">
        <x:f>IF($A66="","",IFERROR('Game Records'!$M66,""))</x:f>
      </x:c>
    </x:row>
    <x:row r="67">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Game",OR('Game Records'!$D67="",LOWER('Game Records'!$D67&amp;"")="n/a")),"Entry Mode; ","")&amp;IF(AND('Game Records'!$U67&lt;&gt;"Subscription",'Game Records'!$U67&lt;&gt;"Free Game",OR('Game Records'!$E67="",LOWER('Game Records'!$E67&amp;"")="n/a")),"Game Type; ","")&amp;IF('Game Records'!$F67="","Payment Type; ","")&amp;IF(AND('Game Records'!$U67&lt;&gt;"Subscription",'Game Records'!$U67&lt;&gt;"Free Game",'Game Records'!$G67=""),"Gross Pot; ","")&amp;IF(AND('Game Records'!$U67&lt;&gt;"Free Game",'Game Records'!$H67=""),"Entry Fee; ","")&amp;IF(AND('Game Records'!$U67&lt;&gt;"Subscription",'Game Records'!$U67&lt;&gt;"Free Game",'Game Records'!$I67=""),"Eligible Players; ","")&amp;IF(AND('Game Records'!$U67&lt;&gt;"Subscription",'Game Records'!$U67&lt;&gt;"Free Game",'Game Records'!$J67=""),"Total Players; ","")&amp;IF(AND(LOWER('Game Records'!$D67&amp;"")="finalized",LOWER('Game Records'!$L67&amp;"")&lt;&gt;"yes",'Game Records'!$U67&lt;&gt;"Subscription",'Game Records'!$U67&lt;&gt;"Free Game",'Game Records'!$K67=""),"Final Earned; ","")&amp;IF(AND(LOWER('Game Records'!$D67&amp;"")="finalized",'Game Records'!$U67&lt;&gt;"Subscription",'Game Records'!$U67&lt;&gt;"Free Game",OR('Game Records'!$L67="",LOWER('Game Records'!$L67&amp;"")="n/a")),"Disqualified Status; ",""))</x:f>
      </x:c>
      <x:c r="G67" s="331" t="str">
        <x:f>IF($A67="","",IFERROR('Game Records'!$M67,""))</x:f>
      </x:c>
    </x:row>
    <x:row r="68">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Game",OR('Game Records'!$D68="",LOWER('Game Records'!$D68&amp;"")="n/a")),"Entry Mode; ","")&amp;IF(AND('Game Records'!$U68&lt;&gt;"Subscription",'Game Records'!$U68&lt;&gt;"Free Game",OR('Game Records'!$E68="",LOWER('Game Records'!$E68&amp;"")="n/a")),"Game Type; ","")&amp;IF('Game Records'!$F68="","Payment Type; ","")&amp;IF(AND('Game Records'!$U68&lt;&gt;"Subscription",'Game Records'!$U68&lt;&gt;"Free Game",'Game Records'!$G68=""),"Gross Pot; ","")&amp;IF(AND('Game Records'!$U68&lt;&gt;"Free Game",'Game Records'!$H68=""),"Entry Fee; ","")&amp;IF(AND('Game Records'!$U68&lt;&gt;"Subscription",'Game Records'!$U68&lt;&gt;"Free Game",'Game Records'!$I68=""),"Eligible Players; ","")&amp;IF(AND('Game Records'!$U68&lt;&gt;"Subscription",'Game Records'!$U68&lt;&gt;"Free Game",'Game Records'!$J68=""),"Total Players; ","")&amp;IF(AND(LOWER('Game Records'!$D68&amp;"")="finalized",LOWER('Game Records'!$L68&amp;"")&lt;&gt;"yes",'Game Records'!$U68&lt;&gt;"Subscription",'Game Records'!$U68&lt;&gt;"Free Game",'Game Records'!$K68=""),"Final Earned; ","")&amp;IF(AND(LOWER('Game Records'!$D68&amp;"")="finalized",'Game Records'!$U68&lt;&gt;"Subscription",'Game Records'!$U68&lt;&gt;"Free Game",OR('Game Records'!$L68="",LOWER('Game Records'!$L68&amp;"")="n/a")),"Disqualified Status; ",""))</x:f>
      </x:c>
      <x:c r="G68" s="331" t="str">
        <x:f>IF($A68="","",IFERROR('Game Records'!$M68,""))</x:f>
      </x:c>
    </x:row>
    <x:row r="69">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Game",OR('Game Records'!$D69="",LOWER('Game Records'!$D69&amp;"")="n/a")),"Entry Mode; ","")&amp;IF(AND('Game Records'!$U69&lt;&gt;"Subscription",'Game Records'!$U69&lt;&gt;"Free Game",OR('Game Records'!$E69="",LOWER('Game Records'!$E69&amp;"")="n/a")),"Game Type; ","")&amp;IF('Game Records'!$F69="","Payment Type; ","")&amp;IF(AND('Game Records'!$U69&lt;&gt;"Subscription",'Game Records'!$U69&lt;&gt;"Free Game",'Game Records'!$G69=""),"Gross Pot; ","")&amp;IF(AND('Game Records'!$U69&lt;&gt;"Free Game",'Game Records'!$H69=""),"Entry Fee; ","")&amp;IF(AND('Game Records'!$U69&lt;&gt;"Subscription",'Game Records'!$U69&lt;&gt;"Free Game",'Game Records'!$I69=""),"Eligible Players; ","")&amp;IF(AND('Game Records'!$U69&lt;&gt;"Subscription",'Game Records'!$U69&lt;&gt;"Free Game",'Game Records'!$J69=""),"Total Players; ","")&amp;IF(AND(LOWER('Game Records'!$D69&amp;"")="finalized",LOWER('Game Records'!$L69&amp;"")&lt;&gt;"yes",'Game Records'!$U69&lt;&gt;"Subscription",'Game Records'!$U69&lt;&gt;"Free Game",'Game Records'!$K69=""),"Final Earned; ","")&amp;IF(AND(LOWER('Game Records'!$D69&amp;"")="finalized",'Game Records'!$U69&lt;&gt;"Subscription",'Game Records'!$U69&lt;&gt;"Free Game",OR('Game Records'!$L69="",LOWER('Game Records'!$L69&amp;"")="n/a")),"Disqualified Status; ",""))</x:f>
      </x:c>
      <x:c r="G69" s="331" t="str">
        <x:f>IF($A69="","",IFERROR('Game Records'!$M69,""))</x:f>
      </x:c>
    </x:row>
    <x:row r="70">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Game",OR('Game Records'!$D70="",LOWER('Game Records'!$D70&amp;"")="n/a")),"Entry Mode; ","")&amp;IF(AND('Game Records'!$U70&lt;&gt;"Subscription",'Game Records'!$U70&lt;&gt;"Free Game",OR('Game Records'!$E70="",LOWER('Game Records'!$E70&amp;"")="n/a")),"Game Type; ","")&amp;IF('Game Records'!$F70="","Payment Type; ","")&amp;IF(AND('Game Records'!$U70&lt;&gt;"Subscription",'Game Records'!$U70&lt;&gt;"Free Game",'Game Records'!$G70=""),"Gross Pot; ","")&amp;IF(AND('Game Records'!$U70&lt;&gt;"Free Game",'Game Records'!$H70=""),"Entry Fee; ","")&amp;IF(AND('Game Records'!$U70&lt;&gt;"Subscription",'Game Records'!$U70&lt;&gt;"Free Game",'Game Records'!$I70=""),"Eligible Players; ","")&amp;IF(AND('Game Records'!$U70&lt;&gt;"Subscription",'Game Records'!$U70&lt;&gt;"Free Game",'Game Records'!$J70=""),"Total Players; ","")&amp;IF(AND(LOWER('Game Records'!$D70&amp;"")="finalized",LOWER('Game Records'!$L70&amp;"")&lt;&gt;"yes",'Game Records'!$U70&lt;&gt;"Subscription",'Game Records'!$U70&lt;&gt;"Free Game",'Game Records'!$K70=""),"Final Earned; ","")&amp;IF(AND(LOWER('Game Records'!$D70&amp;"")="finalized",'Game Records'!$U70&lt;&gt;"Subscription",'Game Records'!$U70&lt;&gt;"Free Game",OR('Game Records'!$L70="",LOWER('Game Records'!$L70&amp;"")="n/a")),"Disqualified Status; ",""))</x:f>
      </x:c>
      <x:c r="G70" s="331" t="str">
        <x:f>IF($A70="","",IFERROR('Game Records'!$M70,""))</x:f>
      </x:c>
    </x:row>
    <x:row r="7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Game",OR('Game Records'!$D71="",LOWER('Game Records'!$D71&amp;"")="n/a")),"Entry Mode; ","")&amp;IF(AND('Game Records'!$U71&lt;&gt;"Subscription",'Game Records'!$U71&lt;&gt;"Free Game",OR('Game Records'!$E71="",LOWER('Game Records'!$E71&amp;"")="n/a")),"Game Type; ","")&amp;IF('Game Records'!$F71="","Payment Type; ","")&amp;IF(AND('Game Records'!$U71&lt;&gt;"Subscription",'Game Records'!$U71&lt;&gt;"Free Game",'Game Records'!$G71=""),"Gross Pot; ","")&amp;IF(AND('Game Records'!$U71&lt;&gt;"Free Game",'Game Records'!$H71=""),"Entry Fee; ","")&amp;IF(AND('Game Records'!$U71&lt;&gt;"Subscription",'Game Records'!$U71&lt;&gt;"Free Game",'Game Records'!$I71=""),"Eligible Players; ","")&amp;IF(AND('Game Records'!$U71&lt;&gt;"Subscription",'Game Records'!$U71&lt;&gt;"Free Game",'Game Records'!$J71=""),"Total Players; ","")&amp;IF(AND(LOWER('Game Records'!$D71&amp;"")="finalized",LOWER('Game Records'!$L71&amp;"")&lt;&gt;"yes",'Game Records'!$U71&lt;&gt;"Subscription",'Game Records'!$U71&lt;&gt;"Free Game",'Game Records'!$K71=""),"Final Earned; ","")&amp;IF(AND(LOWER('Game Records'!$D71&amp;"")="finalized",'Game Records'!$U71&lt;&gt;"Subscription",'Game Records'!$U71&lt;&gt;"Free Game",OR('Game Records'!$L71="",LOWER('Game Records'!$L71&amp;"")="n/a")),"Disqualified Status; ",""))</x:f>
      </x:c>
      <x:c r="G71" s="331" t="str">
        <x:f>IF($A71="","",IFERROR('Game Records'!$M71,""))</x:f>
      </x:c>
    </x:row>
    <x:row r="72">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Game",OR('Game Records'!$D72="",LOWER('Game Records'!$D72&amp;"")="n/a")),"Entry Mode; ","")&amp;IF(AND('Game Records'!$U72&lt;&gt;"Subscription",'Game Records'!$U72&lt;&gt;"Free Game",OR('Game Records'!$E72="",LOWER('Game Records'!$E72&amp;"")="n/a")),"Game Type; ","")&amp;IF('Game Records'!$F72="","Payment Type; ","")&amp;IF(AND('Game Records'!$U72&lt;&gt;"Subscription",'Game Records'!$U72&lt;&gt;"Free Game",'Game Records'!$G72=""),"Gross Pot; ","")&amp;IF(AND('Game Records'!$U72&lt;&gt;"Free Game",'Game Records'!$H72=""),"Entry Fee; ","")&amp;IF(AND('Game Records'!$U72&lt;&gt;"Subscription",'Game Records'!$U72&lt;&gt;"Free Game",'Game Records'!$I72=""),"Eligible Players; ","")&amp;IF(AND('Game Records'!$U72&lt;&gt;"Subscription",'Game Records'!$U72&lt;&gt;"Free Game",'Game Records'!$J72=""),"Total Players; ","")&amp;IF(AND(LOWER('Game Records'!$D72&amp;"")="finalized",LOWER('Game Records'!$L72&amp;"")&lt;&gt;"yes",'Game Records'!$U72&lt;&gt;"Subscription",'Game Records'!$U72&lt;&gt;"Free Game",'Game Records'!$K72=""),"Final Earned; ","")&amp;IF(AND(LOWER('Game Records'!$D72&amp;"")="finalized",'Game Records'!$U72&lt;&gt;"Subscription",'Game Records'!$U72&lt;&gt;"Free Game",OR('Game Records'!$L72="",LOWER('Game Records'!$L72&amp;"")="n/a")),"Disqualified Status; ",""))</x:f>
      </x:c>
      <x:c r="G72" s="331" t="str">
        <x:f>IF($A72="","",IFERROR('Game Records'!$M72,""))</x:f>
      </x:c>
    </x:row>
    <x:row r="73">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Game",OR('Game Records'!$D73="",LOWER('Game Records'!$D73&amp;"")="n/a")),"Entry Mode; ","")&amp;IF(AND('Game Records'!$U73&lt;&gt;"Subscription",'Game Records'!$U73&lt;&gt;"Free Game",OR('Game Records'!$E73="",LOWER('Game Records'!$E73&amp;"")="n/a")),"Game Type; ","")&amp;IF('Game Records'!$F73="","Payment Type; ","")&amp;IF(AND('Game Records'!$U73&lt;&gt;"Subscription",'Game Records'!$U73&lt;&gt;"Free Game",'Game Records'!$G73=""),"Gross Pot; ","")&amp;IF(AND('Game Records'!$U73&lt;&gt;"Free Game",'Game Records'!$H73=""),"Entry Fee; ","")&amp;IF(AND('Game Records'!$U73&lt;&gt;"Subscription",'Game Records'!$U73&lt;&gt;"Free Game",'Game Records'!$I73=""),"Eligible Players; ","")&amp;IF(AND('Game Records'!$U73&lt;&gt;"Subscription",'Game Records'!$U73&lt;&gt;"Free Game",'Game Records'!$J73=""),"Total Players; ","")&amp;IF(AND(LOWER('Game Records'!$D73&amp;"")="finalized",LOWER('Game Records'!$L73&amp;"")&lt;&gt;"yes",'Game Records'!$U73&lt;&gt;"Subscription",'Game Records'!$U73&lt;&gt;"Free Game",'Game Records'!$K73=""),"Final Earned; ","")&amp;IF(AND(LOWER('Game Records'!$D73&amp;"")="finalized",'Game Records'!$U73&lt;&gt;"Subscription",'Game Records'!$U73&lt;&gt;"Free Game",OR('Game Records'!$L73="",LOWER('Game Records'!$L73&amp;"")="n/a")),"Disqualified Status; ",""))</x:f>
      </x:c>
      <x:c r="G73" s="331" t="str">
        <x:f>IF($A73="","",IFERROR('Game Records'!$M73,""))</x:f>
      </x:c>
    </x:row>
    <x:row r="74">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Game",OR('Game Records'!$D74="",LOWER('Game Records'!$D74&amp;"")="n/a")),"Entry Mode; ","")&amp;IF(AND('Game Records'!$U74&lt;&gt;"Subscription",'Game Records'!$U74&lt;&gt;"Free Game",OR('Game Records'!$E74="",LOWER('Game Records'!$E74&amp;"")="n/a")),"Game Type; ","")&amp;IF('Game Records'!$F74="","Payment Type; ","")&amp;IF(AND('Game Records'!$U74&lt;&gt;"Subscription",'Game Records'!$U74&lt;&gt;"Free Game",'Game Records'!$G74=""),"Gross Pot; ","")&amp;IF(AND('Game Records'!$U74&lt;&gt;"Free Game",'Game Records'!$H74=""),"Entry Fee; ","")&amp;IF(AND('Game Records'!$U74&lt;&gt;"Subscription",'Game Records'!$U74&lt;&gt;"Free Game",'Game Records'!$I74=""),"Eligible Players; ","")&amp;IF(AND('Game Records'!$U74&lt;&gt;"Subscription",'Game Records'!$U74&lt;&gt;"Free Game",'Game Records'!$J74=""),"Total Players; ","")&amp;IF(AND(LOWER('Game Records'!$D74&amp;"")="finalized",LOWER('Game Records'!$L74&amp;"")&lt;&gt;"yes",'Game Records'!$U74&lt;&gt;"Subscription",'Game Records'!$U74&lt;&gt;"Free Game",'Game Records'!$K74=""),"Final Earned; ","")&amp;IF(AND(LOWER('Game Records'!$D74&amp;"")="finalized",'Game Records'!$U74&lt;&gt;"Subscription",'Game Records'!$U74&lt;&gt;"Free Game",OR('Game Records'!$L74="",LOWER('Game Records'!$L74&amp;"")="n/a")),"Disqualified Status; ",""))</x:f>
      </x:c>
      <x:c r="G74" s="331" t="str">
        <x:f>IF($A74="","",IFERROR('Game Records'!$M74,""))</x:f>
      </x:c>
    </x:row>
    <x:row r="75">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Game",OR('Game Records'!$D75="",LOWER('Game Records'!$D75&amp;"")="n/a")),"Entry Mode; ","")&amp;IF(AND('Game Records'!$U75&lt;&gt;"Subscription",'Game Records'!$U75&lt;&gt;"Free Game",OR('Game Records'!$E75="",LOWER('Game Records'!$E75&amp;"")="n/a")),"Game Type; ","")&amp;IF('Game Records'!$F75="","Payment Type; ","")&amp;IF(AND('Game Records'!$U75&lt;&gt;"Subscription",'Game Records'!$U75&lt;&gt;"Free Game",'Game Records'!$G75=""),"Gross Pot; ","")&amp;IF(AND('Game Records'!$U75&lt;&gt;"Free Game",'Game Records'!$H75=""),"Entry Fee; ","")&amp;IF(AND('Game Records'!$U75&lt;&gt;"Subscription",'Game Records'!$U75&lt;&gt;"Free Game",'Game Records'!$I75=""),"Eligible Players; ","")&amp;IF(AND('Game Records'!$U75&lt;&gt;"Subscription",'Game Records'!$U75&lt;&gt;"Free Game",'Game Records'!$J75=""),"Total Players; ","")&amp;IF(AND(LOWER('Game Records'!$D75&amp;"")="finalized",LOWER('Game Records'!$L75&amp;"")&lt;&gt;"yes",'Game Records'!$U75&lt;&gt;"Subscription",'Game Records'!$U75&lt;&gt;"Free Game",'Game Records'!$K75=""),"Final Earned; ","")&amp;IF(AND(LOWER('Game Records'!$D75&amp;"")="finalized",'Game Records'!$U75&lt;&gt;"Subscription",'Game Records'!$U75&lt;&gt;"Free Game",OR('Game Records'!$L75="",LOWER('Game Records'!$L75&amp;"")="n/a")),"Disqualified Status; ",""))</x:f>
      </x:c>
      <x:c r="G75" s="331" t="str">
        <x:f>IF($A75="","",IFERROR('Game Records'!$M75,""))</x:f>
      </x:c>
    </x:row>
    <x:row r="76">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Game",OR('Game Records'!$D76="",LOWER('Game Records'!$D76&amp;"")="n/a")),"Entry Mode; ","")&amp;IF(AND('Game Records'!$U76&lt;&gt;"Subscription",'Game Records'!$U76&lt;&gt;"Free Game",OR('Game Records'!$E76="",LOWER('Game Records'!$E76&amp;"")="n/a")),"Game Type; ","")&amp;IF('Game Records'!$F76="","Payment Type; ","")&amp;IF(AND('Game Records'!$U76&lt;&gt;"Subscription",'Game Records'!$U76&lt;&gt;"Free Game",'Game Records'!$G76=""),"Gross Pot; ","")&amp;IF(AND('Game Records'!$U76&lt;&gt;"Free Game",'Game Records'!$H76=""),"Entry Fee; ","")&amp;IF(AND('Game Records'!$U76&lt;&gt;"Subscription",'Game Records'!$U76&lt;&gt;"Free Game",'Game Records'!$I76=""),"Eligible Players; ","")&amp;IF(AND('Game Records'!$U76&lt;&gt;"Subscription",'Game Records'!$U76&lt;&gt;"Free Game",'Game Records'!$J76=""),"Total Players; ","")&amp;IF(AND(LOWER('Game Records'!$D76&amp;"")="finalized",LOWER('Game Records'!$L76&amp;"")&lt;&gt;"yes",'Game Records'!$U76&lt;&gt;"Subscription",'Game Records'!$U76&lt;&gt;"Free Game",'Game Records'!$K76=""),"Final Earned; ","")&amp;IF(AND(LOWER('Game Records'!$D76&amp;"")="finalized",'Game Records'!$U76&lt;&gt;"Subscription",'Game Records'!$U76&lt;&gt;"Free Game",OR('Game Records'!$L76="",LOWER('Game Records'!$L76&amp;"")="n/a")),"Disqualified Status; ",""))</x:f>
      </x:c>
      <x:c r="G76" s="331" t="str">
        <x:f>IF($A76="","",IFERROR('Game Records'!$M76,""))</x:f>
      </x:c>
    </x:row>
    <x:row r="77">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Game",OR('Game Records'!$D77="",LOWER('Game Records'!$D77&amp;"")="n/a")),"Entry Mode; ","")&amp;IF(AND('Game Records'!$U77&lt;&gt;"Subscription",'Game Records'!$U77&lt;&gt;"Free Game",OR('Game Records'!$E77="",LOWER('Game Records'!$E77&amp;"")="n/a")),"Game Type; ","")&amp;IF('Game Records'!$F77="","Payment Type; ","")&amp;IF(AND('Game Records'!$U77&lt;&gt;"Subscription",'Game Records'!$U77&lt;&gt;"Free Game",'Game Records'!$G77=""),"Gross Pot; ","")&amp;IF(AND('Game Records'!$U77&lt;&gt;"Free Game",'Game Records'!$H77=""),"Entry Fee; ","")&amp;IF(AND('Game Records'!$U77&lt;&gt;"Subscription",'Game Records'!$U77&lt;&gt;"Free Game",'Game Records'!$I77=""),"Eligible Players; ","")&amp;IF(AND('Game Records'!$U77&lt;&gt;"Subscription",'Game Records'!$U77&lt;&gt;"Free Game",'Game Records'!$J77=""),"Total Players; ","")&amp;IF(AND(LOWER('Game Records'!$D77&amp;"")="finalized",LOWER('Game Records'!$L77&amp;"")&lt;&gt;"yes",'Game Records'!$U77&lt;&gt;"Subscription",'Game Records'!$U77&lt;&gt;"Free Game",'Game Records'!$K77=""),"Final Earned; ","")&amp;IF(AND(LOWER('Game Records'!$D77&amp;"")="finalized",'Game Records'!$U77&lt;&gt;"Subscription",'Game Records'!$U77&lt;&gt;"Free Game",OR('Game Records'!$L77="",LOWER('Game Records'!$L77&amp;"")="n/a")),"Disqualified Status; ",""))</x:f>
      </x:c>
      <x:c r="G77" s="331" t="str">
        <x:f>IF($A77="","",IFERROR('Game Records'!$M77,""))</x:f>
      </x:c>
    </x:row>
    <x:row r="78">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Game",OR('Game Records'!$D78="",LOWER('Game Records'!$D78&amp;"")="n/a")),"Entry Mode; ","")&amp;IF(AND('Game Records'!$U78&lt;&gt;"Subscription",'Game Records'!$U78&lt;&gt;"Free Game",OR('Game Records'!$E78="",LOWER('Game Records'!$E78&amp;"")="n/a")),"Game Type; ","")&amp;IF('Game Records'!$F78="","Payment Type; ","")&amp;IF(AND('Game Records'!$U78&lt;&gt;"Subscription",'Game Records'!$U78&lt;&gt;"Free Game",'Game Records'!$G78=""),"Gross Pot; ","")&amp;IF(AND('Game Records'!$U78&lt;&gt;"Free Game",'Game Records'!$H78=""),"Entry Fee; ","")&amp;IF(AND('Game Records'!$U78&lt;&gt;"Subscription",'Game Records'!$U78&lt;&gt;"Free Game",'Game Records'!$I78=""),"Eligible Players; ","")&amp;IF(AND('Game Records'!$U78&lt;&gt;"Subscription",'Game Records'!$U78&lt;&gt;"Free Game",'Game Records'!$J78=""),"Total Players; ","")&amp;IF(AND(LOWER('Game Records'!$D78&amp;"")="finalized",LOWER('Game Records'!$L78&amp;"")&lt;&gt;"yes",'Game Records'!$U78&lt;&gt;"Subscription",'Game Records'!$U78&lt;&gt;"Free Game",'Game Records'!$K78=""),"Final Earned; ","")&amp;IF(AND(LOWER('Game Records'!$D78&amp;"")="finalized",'Game Records'!$U78&lt;&gt;"Subscription",'Game Records'!$U78&lt;&gt;"Free Game",OR('Game Records'!$L78="",LOWER('Game Records'!$L78&amp;"")="n/a")),"Disqualified Status; ",""))</x:f>
      </x:c>
      <x:c r="G78" s="331" t="str">
        <x:f>IF($A78="","",IFERROR('Game Records'!$M78,""))</x:f>
      </x:c>
    </x:row>
    <x:row r="79">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Game",OR('Game Records'!$D79="",LOWER('Game Records'!$D79&amp;"")="n/a")),"Entry Mode; ","")&amp;IF(AND('Game Records'!$U79&lt;&gt;"Subscription",'Game Records'!$U79&lt;&gt;"Free Game",OR('Game Records'!$E79="",LOWER('Game Records'!$E79&amp;"")="n/a")),"Game Type; ","")&amp;IF('Game Records'!$F79="","Payment Type; ","")&amp;IF(AND('Game Records'!$U79&lt;&gt;"Subscription",'Game Records'!$U79&lt;&gt;"Free Game",'Game Records'!$G79=""),"Gross Pot; ","")&amp;IF(AND('Game Records'!$U79&lt;&gt;"Free Game",'Game Records'!$H79=""),"Entry Fee; ","")&amp;IF(AND('Game Records'!$U79&lt;&gt;"Subscription",'Game Records'!$U79&lt;&gt;"Free Game",'Game Records'!$I79=""),"Eligible Players; ","")&amp;IF(AND('Game Records'!$U79&lt;&gt;"Subscription",'Game Records'!$U79&lt;&gt;"Free Game",'Game Records'!$J79=""),"Total Players; ","")&amp;IF(AND(LOWER('Game Records'!$D79&amp;"")="finalized",LOWER('Game Records'!$L79&amp;"")&lt;&gt;"yes",'Game Records'!$U79&lt;&gt;"Subscription",'Game Records'!$U79&lt;&gt;"Free Game",'Game Records'!$K79=""),"Final Earned; ","")&amp;IF(AND(LOWER('Game Records'!$D79&amp;"")="finalized",'Game Records'!$U79&lt;&gt;"Subscription",'Game Records'!$U79&lt;&gt;"Free Game",OR('Game Records'!$L79="",LOWER('Game Records'!$L79&amp;"")="n/a")),"Disqualified Status; ",""))</x:f>
      </x:c>
      <x:c r="G79" s="331" t="str">
        <x:f>IF($A79="","",IFERROR('Game Records'!$M79,""))</x:f>
      </x:c>
    </x:row>
    <x:row r="80">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Game",OR('Game Records'!$D80="",LOWER('Game Records'!$D80&amp;"")="n/a")),"Entry Mode; ","")&amp;IF(AND('Game Records'!$U80&lt;&gt;"Subscription",'Game Records'!$U80&lt;&gt;"Free Game",OR('Game Records'!$E80="",LOWER('Game Records'!$E80&amp;"")="n/a")),"Game Type; ","")&amp;IF('Game Records'!$F80="","Payment Type; ","")&amp;IF(AND('Game Records'!$U80&lt;&gt;"Subscription",'Game Records'!$U80&lt;&gt;"Free Game",'Game Records'!$G80=""),"Gross Pot; ","")&amp;IF(AND('Game Records'!$U80&lt;&gt;"Free Game",'Game Records'!$H80=""),"Entry Fee; ","")&amp;IF(AND('Game Records'!$U80&lt;&gt;"Subscription",'Game Records'!$U80&lt;&gt;"Free Game",'Game Records'!$I80=""),"Eligible Players; ","")&amp;IF(AND('Game Records'!$U80&lt;&gt;"Subscription",'Game Records'!$U80&lt;&gt;"Free Game",'Game Records'!$J80=""),"Total Players; ","")&amp;IF(AND(LOWER('Game Records'!$D80&amp;"")="finalized",LOWER('Game Records'!$L80&amp;"")&lt;&gt;"yes",'Game Records'!$U80&lt;&gt;"Subscription",'Game Records'!$U80&lt;&gt;"Free Game",'Game Records'!$K80=""),"Final Earned; ","")&amp;IF(AND(LOWER('Game Records'!$D80&amp;"")="finalized",'Game Records'!$U80&lt;&gt;"Subscription",'Game Records'!$U80&lt;&gt;"Free Game",OR('Game Records'!$L80="",LOWER('Game Records'!$L80&amp;"")="n/a")),"Disqualified Status; ",""))</x:f>
      </x:c>
      <x:c r="G80" s="331" t="str">
        <x:f>IF($A80="","",IFERROR('Game Records'!$M80,""))</x:f>
      </x:c>
    </x:row>
    <x:row r="8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Game",OR('Game Records'!$D81="",LOWER('Game Records'!$D81&amp;"")="n/a")),"Entry Mode; ","")&amp;IF(AND('Game Records'!$U81&lt;&gt;"Subscription",'Game Records'!$U81&lt;&gt;"Free Game",OR('Game Records'!$E81="",LOWER('Game Records'!$E81&amp;"")="n/a")),"Game Type; ","")&amp;IF('Game Records'!$F81="","Payment Type; ","")&amp;IF(AND('Game Records'!$U81&lt;&gt;"Subscription",'Game Records'!$U81&lt;&gt;"Free Game",'Game Records'!$G81=""),"Gross Pot; ","")&amp;IF(AND('Game Records'!$U81&lt;&gt;"Free Game",'Game Records'!$H81=""),"Entry Fee; ","")&amp;IF(AND('Game Records'!$U81&lt;&gt;"Subscription",'Game Records'!$U81&lt;&gt;"Free Game",'Game Records'!$I81=""),"Eligible Players; ","")&amp;IF(AND('Game Records'!$U81&lt;&gt;"Subscription",'Game Records'!$U81&lt;&gt;"Free Game",'Game Records'!$J81=""),"Total Players; ","")&amp;IF(AND(LOWER('Game Records'!$D81&amp;"")="finalized",LOWER('Game Records'!$L81&amp;"")&lt;&gt;"yes",'Game Records'!$U81&lt;&gt;"Subscription",'Game Records'!$U81&lt;&gt;"Free Game",'Game Records'!$K81=""),"Final Earned; ","")&amp;IF(AND(LOWER('Game Records'!$D81&amp;"")="finalized",'Game Records'!$U81&lt;&gt;"Subscription",'Game Records'!$U81&lt;&gt;"Free Game",OR('Game Records'!$L81="",LOWER('Game Records'!$L81&amp;"")="n/a")),"Disqualified Status; ",""))</x:f>
      </x:c>
      <x:c r="G81" s="331" t="str">
        <x:f>IF($A81="","",IFERROR('Game Records'!$M81,""))</x:f>
      </x:c>
    </x:row>
    <x:row r="82">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Game",OR('Game Records'!$D82="",LOWER('Game Records'!$D82&amp;"")="n/a")),"Entry Mode; ","")&amp;IF(AND('Game Records'!$U82&lt;&gt;"Subscription",'Game Records'!$U82&lt;&gt;"Free Game",OR('Game Records'!$E82="",LOWER('Game Records'!$E82&amp;"")="n/a")),"Game Type; ","")&amp;IF('Game Records'!$F82="","Payment Type; ","")&amp;IF(AND('Game Records'!$U82&lt;&gt;"Subscription",'Game Records'!$U82&lt;&gt;"Free Game",'Game Records'!$G82=""),"Gross Pot; ","")&amp;IF(AND('Game Records'!$U82&lt;&gt;"Free Game",'Game Records'!$H82=""),"Entry Fee; ","")&amp;IF(AND('Game Records'!$U82&lt;&gt;"Subscription",'Game Records'!$U82&lt;&gt;"Free Game",'Game Records'!$I82=""),"Eligible Players; ","")&amp;IF(AND('Game Records'!$U82&lt;&gt;"Subscription",'Game Records'!$U82&lt;&gt;"Free Game",'Game Records'!$J82=""),"Total Players; ","")&amp;IF(AND(LOWER('Game Records'!$D82&amp;"")="finalized",LOWER('Game Records'!$L82&amp;"")&lt;&gt;"yes",'Game Records'!$U82&lt;&gt;"Subscription",'Game Records'!$U82&lt;&gt;"Free Game",'Game Records'!$K82=""),"Final Earned; ","")&amp;IF(AND(LOWER('Game Records'!$D82&amp;"")="finalized",'Game Records'!$U82&lt;&gt;"Subscription",'Game Records'!$U82&lt;&gt;"Free Game",OR('Game Records'!$L82="",LOWER('Game Records'!$L82&amp;"")="n/a")),"Disqualified Status; ",""))</x:f>
      </x:c>
      <x:c r="G82" s="331" t="str">
        <x:f>IF($A82="","",IFERROR('Game Records'!$M82,""))</x:f>
      </x:c>
    </x:row>
    <x:row r="83">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Game",OR('Game Records'!$D83="",LOWER('Game Records'!$D83&amp;"")="n/a")),"Entry Mode; ","")&amp;IF(AND('Game Records'!$U83&lt;&gt;"Subscription",'Game Records'!$U83&lt;&gt;"Free Game",OR('Game Records'!$E83="",LOWER('Game Records'!$E83&amp;"")="n/a")),"Game Type; ","")&amp;IF('Game Records'!$F83="","Payment Type; ","")&amp;IF(AND('Game Records'!$U83&lt;&gt;"Subscription",'Game Records'!$U83&lt;&gt;"Free Game",'Game Records'!$G83=""),"Gross Pot; ","")&amp;IF(AND('Game Records'!$U83&lt;&gt;"Free Game",'Game Records'!$H83=""),"Entry Fee; ","")&amp;IF(AND('Game Records'!$U83&lt;&gt;"Subscription",'Game Records'!$U83&lt;&gt;"Free Game",'Game Records'!$I83=""),"Eligible Players; ","")&amp;IF(AND('Game Records'!$U83&lt;&gt;"Subscription",'Game Records'!$U83&lt;&gt;"Free Game",'Game Records'!$J83=""),"Total Players; ","")&amp;IF(AND(LOWER('Game Records'!$D83&amp;"")="finalized",LOWER('Game Records'!$L83&amp;"")&lt;&gt;"yes",'Game Records'!$U83&lt;&gt;"Subscription",'Game Records'!$U83&lt;&gt;"Free Game",'Game Records'!$K83=""),"Final Earned; ","")&amp;IF(AND(LOWER('Game Records'!$D83&amp;"")="finalized",'Game Records'!$U83&lt;&gt;"Subscription",'Game Records'!$U83&lt;&gt;"Free Game",OR('Game Records'!$L83="",LOWER('Game Records'!$L83&amp;"")="n/a")),"Disqualified Status; ",""))</x:f>
      </x:c>
      <x:c r="G83" s="331" t="str">
        <x:f>IF($A83="","",IFERROR('Game Records'!$M83,""))</x:f>
      </x:c>
    </x:row>
    <x:row r="84">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Game",OR('Game Records'!$D84="",LOWER('Game Records'!$D84&amp;"")="n/a")),"Entry Mode; ","")&amp;IF(AND('Game Records'!$U84&lt;&gt;"Subscription",'Game Records'!$U84&lt;&gt;"Free Game",OR('Game Records'!$E84="",LOWER('Game Records'!$E84&amp;"")="n/a")),"Game Type; ","")&amp;IF('Game Records'!$F84="","Payment Type; ","")&amp;IF(AND('Game Records'!$U84&lt;&gt;"Subscription",'Game Records'!$U84&lt;&gt;"Free Game",'Game Records'!$G84=""),"Gross Pot; ","")&amp;IF(AND('Game Records'!$U84&lt;&gt;"Free Game",'Game Records'!$H84=""),"Entry Fee; ","")&amp;IF(AND('Game Records'!$U84&lt;&gt;"Subscription",'Game Records'!$U84&lt;&gt;"Free Game",'Game Records'!$I84=""),"Eligible Players; ","")&amp;IF(AND('Game Records'!$U84&lt;&gt;"Subscription",'Game Records'!$U84&lt;&gt;"Free Game",'Game Records'!$J84=""),"Total Players; ","")&amp;IF(AND(LOWER('Game Records'!$D84&amp;"")="finalized",LOWER('Game Records'!$L84&amp;"")&lt;&gt;"yes",'Game Records'!$U84&lt;&gt;"Subscription",'Game Records'!$U84&lt;&gt;"Free Game",'Game Records'!$K84=""),"Final Earned; ","")&amp;IF(AND(LOWER('Game Records'!$D84&amp;"")="finalized",'Game Records'!$U84&lt;&gt;"Subscription",'Game Records'!$U84&lt;&gt;"Free Game",OR('Game Records'!$L84="",LOWER('Game Records'!$L84&amp;"")="n/a")),"Disqualified Status; ",""))</x:f>
      </x:c>
      <x:c r="G84" s="331" t="str">
        <x:f>IF($A84="","",IFERROR('Game Records'!$M84,""))</x:f>
      </x:c>
    </x:row>
    <x:row r="85">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Game",OR('Game Records'!$D85="",LOWER('Game Records'!$D85&amp;"")="n/a")),"Entry Mode; ","")&amp;IF(AND('Game Records'!$U85&lt;&gt;"Subscription",'Game Records'!$U85&lt;&gt;"Free Game",OR('Game Records'!$E85="",LOWER('Game Records'!$E85&amp;"")="n/a")),"Game Type; ","")&amp;IF('Game Records'!$F85="","Payment Type; ","")&amp;IF(AND('Game Records'!$U85&lt;&gt;"Subscription",'Game Records'!$U85&lt;&gt;"Free Game",'Game Records'!$G85=""),"Gross Pot; ","")&amp;IF(AND('Game Records'!$U85&lt;&gt;"Free Game",'Game Records'!$H85=""),"Entry Fee; ","")&amp;IF(AND('Game Records'!$U85&lt;&gt;"Subscription",'Game Records'!$U85&lt;&gt;"Free Game",'Game Records'!$I85=""),"Eligible Players; ","")&amp;IF(AND('Game Records'!$U85&lt;&gt;"Subscription",'Game Records'!$U85&lt;&gt;"Free Game",'Game Records'!$J85=""),"Total Players; ","")&amp;IF(AND(LOWER('Game Records'!$D85&amp;"")="finalized",LOWER('Game Records'!$L85&amp;"")&lt;&gt;"yes",'Game Records'!$U85&lt;&gt;"Subscription",'Game Records'!$U85&lt;&gt;"Free Game",'Game Records'!$K85=""),"Final Earned; ","")&amp;IF(AND(LOWER('Game Records'!$D85&amp;"")="finalized",'Game Records'!$U85&lt;&gt;"Subscription",'Game Records'!$U85&lt;&gt;"Free Game",OR('Game Records'!$L85="",LOWER('Game Records'!$L85&amp;"")="n/a")),"Disqualified Status; ",""))</x:f>
      </x:c>
      <x:c r="G85" s="331" t="str">
        <x:f>IF($A85="","",IFERROR('Game Records'!$M85,""))</x:f>
      </x:c>
    </x:row>
    <x:row r="86">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Game",OR('Game Records'!$D86="",LOWER('Game Records'!$D86&amp;"")="n/a")),"Entry Mode; ","")&amp;IF(AND('Game Records'!$U86&lt;&gt;"Subscription",'Game Records'!$U86&lt;&gt;"Free Game",OR('Game Records'!$E86="",LOWER('Game Records'!$E86&amp;"")="n/a")),"Game Type; ","")&amp;IF('Game Records'!$F86="","Payment Type; ","")&amp;IF(AND('Game Records'!$U86&lt;&gt;"Subscription",'Game Records'!$U86&lt;&gt;"Free Game",'Game Records'!$G86=""),"Gross Pot; ","")&amp;IF(AND('Game Records'!$U86&lt;&gt;"Free Game",'Game Records'!$H86=""),"Entry Fee; ","")&amp;IF(AND('Game Records'!$U86&lt;&gt;"Subscription",'Game Records'!$U86&lt;&gt;"Free Game",'Game Records'!$I86=""),"Eligible Players; ","")&amp;IF(AND('Game Records'!$U86&lt;&gt;"Subscription",'Game Records'!$U86&lt;&gt;"Free Game",'Game Records'!$J86=""),"Total Players; ","")&amp;IF(AND(LOWER('Game Records'!$D86&amp;"")="finalized",LOWER('Game Records'!$L86&amp;"")&lt;&gt;"yes",'Game Records'!$U86&lt;&gt;"Subscription",'Game Records'!$U86&lt;&gt;"Free Game",'Game Records'!$K86=""),"Final Earned; ","")&amp;IF(AND(LOWER('Game Records'!$D86&amp;"")="finalized",'Game Records'!$U86&lt;&gt;"Subscription",'Game Records'!$U86&lt;&gt;"Free Game",OR('Game Records'!$L86="",LOWER('Game Records'!$L86&amp;"")="n/a")),"Disqualified Status; ",""))</x:f>
      </x:c>
      <x:c r="G86" s="331" t="str">
        <x:f>IF($A86="","",IFERROR('Game Records'!$M86,""))</x:f>
      </x:c>
    </x:row>
    <x:row r="87">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Game",OR('Game Records'!$D87="",LOWER('Game Records'!$D87&amp;"")="n/a")),"Entry Mode; ","")&amp;IF(AND('Game Records'!$U87&lt;&gt;"Subscription",'Game Records'!$U87&lt;&gt;"Free Game",OR('Game Records'!$E87="",LOWER('Game Records'!$E87&amp;"")="n/a")),"Game Type; ","")&amp;IF('Game Records'!$F87="","Payment Type; ","")&amp;IF(AND('Game Records'!$U87&lt;&gt;"Subscription",'Game Records'!$U87&lt;&gt;"Free Game",'Game Records'!$G87=""),"Gross Pot; ","")&amp;IF(AND('Game Records'!$U87&lt;&gt;"Free Game",'Game Records'!$H87=""),"Entry Fee; ","")&amp;IF(AND('Game Records'!$U87&lt;&gt;"Subscription",'Game Records'!$U87&lt;&gt;"Free Game",'Game Records'!$I87=""),"Eligible Players; ","")&amp;IF(AND('Game Records'!$U87&lt;&gt;"Subscription",'Game Records'!$U87&lt;&gt;"Free Game",'Game Records'!$J87=""),"Total Players; ","")&amp;IF(AND(LOWER('Game Records'!$D87&amp;"")="finalized",LOWER('Game Records'!$L87&amp;"")&lt;&gt;"yes",'Game Records'!$U87&lt;&gt;"Subscription",'Game Records'!$U87&lt;&gt;"Free Game",'Game Records'!$K87=""),"Final Earned; ","")&amp;IF(AND(LOWER('Game Records'!$D87&amp;"")="finalized",'Game Records'!$U87&lt;&gt;"Subscription",'Game Records'!$U87&lt;&gt;"Free Game",OR('Game Records'!$L87="",LOWER('Game Records'!$L87&amp;"")="n/a")),"Disqualified Status; ",""))</x:f>
      </x:c>
      <x:c r="G87" s="331" t="str">
        <x:f>IF($A87="","",IFERROR('Game Records'!$M87,""))</x:f>
      </x:c>
    </x:row>
    <x:row r="88">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Game",OR('Game Records'!$D88="",LOWER('Game Records'!$D88&amp;"")="n/a")),"Entry Mode; ","")&amp;IF(AND('Game Records'!$U88&lt;&gt;"Subscription",'Game Records'!$U88&lt;&gt;"Free Game",OR('Game Records'!$E88="",LOWER('Game Records'!$E88&amp;"")="n/a")),"Game Type; ","")&amp;IF('Game Records'!$F88="","Payment Type; ","")&amp;IF(AND('Game Records'!$U88&lt;&gt;"Subscription",'Game Records'!$U88&lt;&gt;"Free Game",'Game Records'!$G88=""),"Gross Pot; ","")&amp;IF(AND('Game Records'!$U88&lt;&gt;"Free Game",'Game Records'!$H88=""),"Entry Fee; ","")&amp;IF(AND('Game Records'!$U88&lt;&gt;"Subscription",'Game Records'!$U88&lt;&gt;"Free Game",'Game Records'!$I88=""),"Eligible Players; ","")&amp;IF(AND('Game Records'!$U88&lt;&gt;"Subscription",'Game Records'!$U88&lt;&gt;"Free Game",'Game Records'!$J88=""),"Total Players; ","")&amp;IF(AND(LOWER('Game Records'!$D88&amp;"")="finalized",LOWER('Game Records'!$L88&amp;"")&lt;&gt;"yes",'Game Records'!$U88&lt;&gt;"Subscription",'Game Records'!$U88&lt;&gt;"Free Game",'Game Records'!$K88=""),"Final Earned; ","")&amp;IF(AND(LOWER('Game Records'!$D88&amp;"")="finalized",'Game Records'!$U88&lt;&gt;"Subscription",'Game Records'!$U88&lt;&gt;"Free Game",OR('Game Records'!$L88="",LOWER('Game Records'!$L88&amp;"")="n/a")),"Disqualified Status; ",""))</x:f>
      </x:c>
      <x:c r="G88" s="331" t="str">
        <x:f>IF($A88="","",IFERROR('Game Records'!$M88,""))</x:f>
      </x:c>
    </x:row>
    <x:row r="89">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Game",OR('Game Records'!$D89="",LOWER('Game Records'!$D89&amp;"")="n/a")),"Entry Mode; ","")&amp;IF(AND('Game Records'!$U89&lt;&gt;"Subscription",'Game Records'!$U89&lt;&gt;"Free Game",OR('Game Records'!$E89="",LOWER('Game Records'!$E89&amp;"")="n/a")),"Game Type; ","")&amp;IF('Game Records'!$F89="","Payment Type; ","")&amp;IF(AND('Game Records'!$U89&lt;&gt;"Subscription",'Game Records'!$U89&lt;&gt;"Free Game",'Game Records'!$G89=""),"Gross Pot; ","")&amp;IF(AND('Game Records'!$U89&lt;&gt;"Free Game",'Game Records'!$H89=""),"Entry Fee; ","")&amp;IF(AND('Game Records'!$U89&lt;&gt;"Subscription",'Game Records'!$U89&lt;&gt;"Free Game",'Game Records'!$I89=""),"Eligible Players; ","")&amp;IF(AND('Game Records'!$U89&lt;&gt;"Subscription",'Game Records'!$U89&lt;&gt;"Free Game",'Game Records'!$J89=""),"Total Players; ","")&amp;IF(AND(LOWER('Game Records'!$D89&amp;"")="finalized",LOWER('Game Records'!$L89&amp;"")&lt;&gt;"yes",'Game Records'!$U89&lt;&gt;"Subscription",'Game Records'!$U89&lt;&gt;"Free Game",'Game Records'!$K89=""),"Final Earned; ","")&amp;IF(AND(LOWER('Game Records'!$D89&amp;"")="finalized",'Game Records'!$U89&lt;&gt;"Subscription",'Game Records'!$U89&lt;&gt;"Free Game",OR('Game Records'!$L89="",LOWER('Game Records'!$L89&amp;"")="n/a")),"Disqualified Status; ",""))</x:f>
      </x:c>
      <x:c r="G89" s="331" t="str">
        <x:f>IF($A89="","",IFERROR('Game Records'!$M89,""))</x:f>
      </x:c>
    </x:row>
    <x:row r="90">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Game",OR('Game Records'!$D90="",LOWER('Game Records'!$D90&amp;"")="n/a")),"Entry Mode; ","")&amp;IF(AND('Game Records'!$U90&lt;&gt;"Subscription",'Game Records'!$U90&lt;&gt;"Free Game",OR('Game Records'!$E90="",LOWER('Game Records'!$E90&amp;"")="n/a")),"Game Type; ","")&amp;IF('Game Records'!$F90="","Payment Type; ","")&amp;IF(AND('Game Records'!$U90&lt;&gt;"Subscription",'Game Records'!$U90&lt;&gt;"Free Game",'Game Records'!$G90=""),"Gross Pot; ","")&amp;IF(AND('Game Records'!$U90&lt;&gt;"Free Game",'Game Records'!$H90=""),"Entry Fee; ","")&amp;IF(AND('Game Records'!$U90&lt;&gt;"Subscription",'Game Records'!$U90&lt;&gt;"Free Game",'Game Records'!$I90=""),"Eligible Players; ","")&amp;IF(AND('Game Records'!$U90&lt;&gt;"Subscription",'Game Records'!$U90&lt;&gt;"Free Game",'Game Records'!$J90=""),"Total Players; ","")&amp;IF(AND(LOWER('Game Records'!$D90&amp;"")="finalized",LOWER('Game Records'!$L90&amp;"")&lt;&gt;"yes",'Game Records'!$U90&lt;&gt;"Subscription",'Game Records'!$U90&lt;&gt;"Free Game",'Game Records'!$K90=""),"Final Earned; ","")&amp;IF(AND(LOWER('Game Records'!$D90&amp;"")="finalized",'Game Records'!$U90&lt;&gt;"Subscription",'Game Records'!$U90&lt;&gt;"Free Game",OR('Game Records'!$L90="",LOWER('Game Records'!$L90&amp;"")="n/a")),"Disqualified Status; ",""))</x:f>
      </x:c>
      <x:c r="G90" s="331" t="str">
        <x:f>IF($A90="","",IFERROR('Game Records'!$M90,""))</x:f>
      </x:c>
    </x:row>
    <x:row r="9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Game",OR('Game Records'!$D91="",LOWER('Game Records'!$D91&amp;"")="n/a")),"Entry Mode; ","")&amp;IF(AND('Game Records'!$U91&lt;&gt;"Subscription",'Game Records'!$U91&lt;&gt;"Free Game",OR('Game Records'!$E91="",LOWER('Game Records'!$E91&amp;"")="n/a")),"Game Type; ","")&amp;IF('Game Records'!$F91="","Payment Type; ","")&amp;IF(AND('Game Records'!$U91&lt;&gt;"Subscription",'Game Records'!$U91&lt;&gt;"Free Game",'Game Records'!$G91=""),"Gross Pot; ","")&amp;IF(AND('Game Records'!$U91&lt;&gt;"Free Game",'Game Records'!$H91=""),"Entry Fee; ","")&amp;IF(AND('Game Records'!$U91&lt;&gt;"Subscription",'Game Records'!$U91&lt;&gt;"Free Game",'Game Records'!$I91=""),"Eligible Players; ","")&amp;IF(AND('Game Records'!$U91&lt;&gt;"Subscription",'Game Records'!$U91&lt;&gt;"Free Game",'Game Records'!$J91=""),"Total Players; ","")&amp;IF(AND(LOWER('Game Records'!$D91&amp;"")="finalized",LOWER('Game Records'!$L91&amp;"")&lt;&gt;"yes",'Game Records'!$U91&lt;&gt;"Subscription",'Game Records'!$U91&lt;&gt;"Free Game",'Game Records'!$K91=""),"Final Earned; ","")&amp;IF(AND(LOWER('Game Records'!$D91&amp;"")="finalized",'Game Records'!$U91&lt;&gt;"Subscription",'Game Records'!$U91&lt;&gt;"Free Game",OR('Game Records'!$L91="",LOWER('Game Records'!$L91&amp;"")="n/a")),"Disqualified Status; ",""))</x:f>
      </x:c>
      <x:c r="G91" s="331" t="str">
        <x:f>IF($A91="","",IFERROR('Game Records'!$M91,""))</x:f>
      </x:c>
    </x:row>
    <x:row r="92">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Game",OR('Game Records'!$D92="",LOWER('Game Records'!$D92&amp;"")="n/a")),"Entry Mode; ","")&amp;IF(AND('Game Records'!$U92&lt;&gt;"Subscription",'Game Records'!$U92&lt;&gt;"Free Game",OR('Game Records'!$E92="",LOWER('Game Records'!$E92&amp;"")="n/a")),"Game Type; ","")&amp;IF('Game Records'!$F92="","Payment Type; ","")&amp;IF(AND('Game Records'!$U92&lt;&gt;"Subscription",'Game Records'!$U92&lt;&gt;"Free Game",'Game Records'!$G92=""),"Gross Pot; ","")&amp;IF(AND('Game Records'!$U92&lt;&gt;"Free Game",'Game Records'!$H92=""),"Entry Fee; ","")&amp;IF(AND('Game Records'!$U92&lt;&gt;"Subscription",'Game Records'!$U92&lt;&gt;"Free Game",'Game Records'!$I92=""),"Eligible Players; ","")&amp;IF(AND('Game Records'!$U92&lt;&gt;"Subscription",'Game Records'!$U92&lt;&gt;"Free Game",'Game Records'!$J92=""),"Total Players; ","")&amp;IF(AND(LOWER('Game Records'!$D92&amp;"")="finalized",LOWER('Game Records'!$L92&amp;"")&lt;&gt;"yes",'Game Records'!$U92&lt;&gt;"Subscription",'Game Records'!$U92&lt;&gt;"Free Game",'Game Records'!$K92=""),"Final Earned; ","")&amp;IF(AND(LOWER('Game Records'!$D92&amp;"")="finalized",'Game Records'!$U92&lt;&gt;"Subscription",'Game Records'!$U92&lt;&gt;"Free Game",OR('Game Records'!$L92="",LOWER('Game Records'!$L92&amp;"")="n/a")),"Disqualified Status; ",""))</x:f>
      </x:c>
      <x:c r="G92" s="331" t="str">
        <x:f>IF($A92="","",IFERROR('Game Records'!$M92,""))</x:f>
      </x:c>
    </x:row>
    <x:row r="93">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Game",OR('Game Records'!$D93="",LOWER('Game Records'!$D93&amp;"")="n/a")),"Entry Mode; ","")&amp;IF(AND('Game Records'!$U93&lt;&gt;"Subscription",'Game Records'!$U93&lt;&gt;"Free Game",OR('Game Records'!$E93="",LOWER('Game Records'!$E93&amp;"")="n/a")),"Game Type; ","")&amp;IF('Game Records'!$F93="","Payment Type; ","")&amp;IF(AND('Game Records'!$U93&lt;&gt;"Subscription",'Game Records'!$U93&lt;&gt;"Free Game",'Game Records'!$G93=""),"Gross Pot; ","")&amp;IF(AND('Game Records'!$U93&lt;&gt;"Free Game",'Game Records'!$H93=""),"Entry Fee; ","")&amp;IF(AND('Game Records'!$U93&lt;&gt;"Subscription",'Game Records'!$U93&lt;&gt;"Free Game",'Game Records'!$I93=""),"Eligible Players; ","")&amp;IF(AND('Game Records'!$U93&lt;&gt;"Subscription",'Game Records'!$U93&lt;&gt;"Free Game",'Game Records'!$J93=""),"Total Players; ","")&amp;IF(AND(LOWER('Game Records'!$D93&amp;"")="finalized",LOWER('Game Records'!$L93&amp;"")&lt;&gt;"yes",'Game Records'!$U93&lt;&gt;"Subscription",'Game Records'!$U93&lt;&gt;"Free Game",'Game Records'!$K93=""),"Final Earned; ","")&amp;IF(AND(LOWER('Game Records'!$D93&amp;"")="finalized",'Game Records'!$U93&lt;&gt;"Subscription",'Game Records'!$U93&lt;&gt;"Free Game",OR('Game Records'!$L93="",LOWER('Game Records'!$L93&amp;"")="n/a")),"Disqualified Status; ",""))</x:f>
      </x:c>
      <x:c r="G93" s="331" t="str">
        <x:f>IF($A93="","",IFERROR('Game Records'!$M93,""))</x:f>
      </x:c>
    </x:row>
    <x:row r="94">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Game",OR('Game Records'!$D94="",LOWER('Game Records'!$D94&amp;"")="n/a")),"Entry Mode; ","")&amp;IF(AND('Game Records'!$U94&lt;&gt;"Subscription",'Game Records'!$U94&lt;&gt;"Free Game",OR('Game Records'!$E94="",LOWER('Game Records'!$E94&amp;"")="n/a")),"Game Type; ","")&amp;IF('Game Records'!$F94="","Payment Type; ","")&amp;IF(AND('Game Records'!$U94&lt;&gt;"Subscription",'Game Records'!$U94&lt;&gt;"Free Game",'Game Records'!$G94=""),"Gross Pot; ","")&amp;IF(AND('Game Records'!$U94&lt;&gt;"Free Game",'Game Records'!$H94=""),"Entry Fee; ","")&amp;IF(AND('Game Records'!$U94&lt;&gt;"Subscription",'Game Records'!$U94&lt;&gt;"Free Game",'Game Records'!$I94=""),"Eligible Players; ","")&amp;IF(AND('Game Records'!$U94&lt;&gt;"Subscription",'Game Records'!$U94&lt;&gt;"Free Game",'Game Records'!$J94=""),"Total Players; ","")&amp;IF(AND(LOWER('Game Records'!$D94&amp;"")="finalized",LOWER('Game Records'!$L94&amp;"")&lt;&gt;"yes",'Game Records'!$U94&lt;&gt;"Subscription",'Game Records'!$U94&lt;&gt;"Free Game",'Game Records'!$K94=""),"Final Earned; ","")&amp;IF(AND(LOWER('Game Records'!$D94&amp;"")="finalized",'Game Records'!$U94&lt;&gt;"Subscription",'Game Records'!$U94&lt;&gt;"Free Game",OR('Game Records'!$L94="",LOWER('Game Records'!$L94&amp;"")="n/a")),"Disqualified Status; ",""))</x:f>
      </x:c>
      <x:c r="G94" s="331" t="str">
        <x:f>IF($A94="","",IFERROR('Game Records'!$M94,""))</x:f>
      </x:c>
    </x:row>
    <x:row r="95">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Game",OR('Game Records'!$D95="",LOWER('Game Records'!$D95&amp;"")="n/a")),"Entry Mode; ","")&amp;IF(AND('Game Records'!$U95&lt;&gt;"Subscription",'Game Records'!$U95&lt;&gt;"Free Game",OR('Game Records'!$E95="",LOWER('Game Records'!$E95&amp;"")="n/a")),"Game Type; ","")&amp;IF('Game Records'!$F95="","Payment Type; ","")&amp;IF(AND('Game Records'!$U95&lt;&gt;"Subscription",'Game Records'!$U95&lt;&gt;"Free Game",'Game Records'!$G95=""),"Gross Pot; ","")&amp;IF(AND('Game Records'!$U95&lt;&gt;"Free Game",'Game Records'!$H95=""),"Entry Fee; ","")&amp;IF(AND('Game Records'!$U95&lt;&gt;"Subscription",'Game Records'!$U95&lt;&gt;"Free Game",'Game Records'!$I95=""),"Eligible Players; ","")&amp;IF(AND('Game Records'!$U95&lt;&gt;"Subscription",'Game Records'!$U95&lt;&gt;"Free Game",'Game Records'!$J95=""),"Total Players; ","")&amp;IF(AND(LOWER('Game Records'!$D95&amp;"")="finalized",LOWER('Game Records'!$L95&amp;"")&lt;&gt;"yes",'Game Records'!$U95&lt;&gt;"Subscription",'Game Records'!$U95&lt;&gt;"Free Game",'Game Records'!$K95=""),"Final Earned; ","")&amp;IF(AND(LOWER('Game Records'!$D95&amp;"")="finalized",'Game Records'!$U95&lt;&gt;"Subscription",'Game Records'!$U95&lt;&gt;"Free Game",OR('Game Records'!$L95="",LOWER('Game Records'!$L95&amp;"")="n/a")),"Disqualified Status; ",""))</x:f>
      </x:c>
      <x:c r="G95" s="331" t="str">
        <x:f>IF($A95="","",IFERROR('Game Records'!$M95,""))</x:f>
      </x:c>
    </x:row>
    <x:row r="96">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Game",OR('Game Records'!$D96="",LOWER('Game Records'!$D96&amp;"")="n/a")),"Entry Mode; ","")&amp;IF(AND('Game Records'!$U96&lt;&gt;"Subscription",'Game Records'!$U96&lt;&gt;"Free Game",OR('Game Records'!$E96="",LOWER('Game Records'!$E96&amp;"")="n/a")),"Game Type; ","")&amp;IF('Game Records'!$F96="","Payment Type; ","")&amp;IF(AND('Game Records'!$U96&lt;&gt;"Subscription",'Game Records'!$U96&lt;&gt;"Free Game",'Game Records'!$G96=""),"Gross Pot; ","")&amp;IF(AND('Game Records'!$U96&lt;&gt;"Free Game",'Game Records'!$H96=""),"Entry Fee; ","")&amp;IF(AND('Game Records'!$U96&lt;&gt;"Subscription",'Game Records'!$U96&lt;&gt;"Free Game",'Game Records'!$I96=""),"Eligible Players; ","")&amp;IF(AND('Game Records'!$U96&lt;&gt;"Subscription",'Game Records'!$U96&lt;&gt;"Free Game",'Game Records'!$J96=""),"Total Players; ","")&amp;IF(AND(LOWER('Game Records'!$D96&amp;"")="finalized",LOWER('Game Records'!$L96&amp;"")&lt;&gt;"yes",'Game Records'!$U96&lt;&gt;"Subscription",'Game Records'!$U96&lt;&gt;"Free Game",'Game Records'!$K96=""),"Final Earned; ","")&amp;IF(AND(LOWER('Game Records'!$D96&amp;"")="finalized",'Game Records'!$U96&lt;&gt;"Subscription",'Game Records'!$U96&lt;&gt;"Free Game",OR('Game Records'!$L96="",LOWER('Game Records'!$L96&amp;"")="n/a")),"Disqualified Status; ",""))</x:f>
      </x:c>
      <x:c r="G96" s="331" t="str">
        <x:f>IF($A96="","",IFERROR('Game Records'!$M96,""))</x:f>
      </x:c>
    </x:row>
    <x:row r="97">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Game",OR('Game Records'!$D97="",LOWER('Game Records'!$D97&amp;"")="n/a")),"Entry Mode; ","")&amp;IF(AND('Game Records'!$U97&lt;&gt;"Subscription",'Game Records'!$U97&lt;&gt;"Free Game",OR('Game Records'!$E97="",LOWER('Game Records'!$E97&amp;"")="n/a")),"Game Type; ","")&amp;IF('Game Records'!$F97="","Payment Type; ","")&amp;IF(AND('Game Records'!$U97&lt;&gt;"Subscription",'Game Records'!$U97&lt;&gt;"Free Game",'Game Records'!$G97=""),"Gross Pot; ","")&amp;IF(AND('Game Records'!$U97&lt;&gt;"Free Game",'Game Records'!$H97=""),"Entry Fee; ","")&amp;IF(AND('Game Records'!$U97&lt;&gt;"Subscription",'Game Records'!$U97&lt;&gt;"Free Game",'Game Records'!$I97=""),"Eligible Players; ","")&amp;IF(AND('Game Records'!$U97&lt;&gt;"Subscription",'Game Records'!$U97&lt;&gt;"Free Game",'Game Records'!$J97=""),"Total Players; ","")&amp;IF(AND(LOWER('Game Records'!$D97&amp;"")="finalized",LOWER('Game Records'!$L97&amp;"")&lt;&gt;"yes",'Game Records'!$U97&lt;&gt;"Subscription",'Game Records'!$U97&lt;&gt;"Free Game",'Game Records'!$K97=""),"Final Earned; ","")&amp;IF(AND(LOWER('Game Records'!$D97&amp;"")="finalized",'Game Records'!$U97&lt;&gt;"Subscription",'Game Records'!$U97&lt;&gt;"Free Game",OR('Game Records'!$L97="",LOWER('Game Records'!$L97&amp;"")="n/a")),"Disqualified Status; ",""))</x:f>
      </x:c>
      <x:c r="G97" s="331" t="str">
        <x:f>IF($A97="","",IFERROR('Game Records'!$M97,""))</x:f>
      </x:c>
    </x:row>
    <x:row r="98">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Game",OR('Game Records'!$D98="",LOWER('Game Records'!$D98&amp;"")="n/a")),"Entry Mode; ","")&amp;IF(AND('Game Records'!$U98&lt;&gt;"Subscription",'Game Records'!$U98&lt;&gt;"Free Game",OR('Game Records'!$E98="",LOWER('Game Records'!$E98&amp;"")="n/a")),"Game Type; ","")&amp;IF('Game Records'!$F98="","Payment Type; ","")&amp;IF(AND('Game Records'!$U98&lt;&gt;"Subscription",'Game Records'!$U98&lt;&gt;"Free Game",'Game Records'!$G98=""),"Gross Pot; ","")&amp;IF(AND('Game Records'!$U98&lt;&gt;"Free Game",'Game Records'!$H98=""),"Entry Fee; ","")&amp;IF(AND('Game Records'!$U98&lt;&gt;"Subscription",'Game Records'!$U98&lt;&gt;"Free Game",'Game Records'!$I98=""),"Eligible Players; ","")&amp;IF(AND('Game Records'!$U98&lt;&gt;"Subscription",'Game Records'!$U98&lt;&gt;"Free Game",'Game Records'!$J98=""),"Total Players; ","")&amp;IF(AND(LOWER('Game Records'!$D98&amp;"")="finalized",LOWER('Game Records'!$L98&amp;"")&lt;&gt;"yes",'Game Records'!$U98&lt;&gt;"Subscription",'Game Records'!$U98&lt;&gt;"Free Game",'Game Records'!$K98=""),"Final Earned; ","")&amp;IF(AND(LOWER('Game Records'!$D98&amp;"")="finalized",'Game Records'!$U98&lt;&gt;"Subscription",'Game Records'!$U98&lt;&gt;"Free Game",OR('Game Records'!$L98="",LOWER('Game Records'!$L98&amp;"")="n/a")),"Disqualified Status; ",""))</x:f>
      </x:c>
      <x:c r="G98" s="331" t="str">
        <x:f>IF($A98="","",IFERROR('Game Records'!$M98,""))</x:f>
      </x:c>
    </x:row>
    <x:row r="99">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Game",OR('Game Records'!$D99="",LOWER('Game Records'!$D99&amp;"")="n/a")),"Entry Mode; ","")&amp;IF(AND('Game Records'!$U99&lt;&gt;"Subscription",'Game Records'!$U99&lt;&gt;"Free Game",OR('Game Records'!$E99="",LOWER('Game Records'!$E99&amp;"")="n/a")),"Game Type; ","")&amp;IF('Game Records'!$F99="","Payment Type; ","")&amp;IF(AND('Game Records'!$U99&lt;&gt;"Subscription",'Game Records'!$U99&lt;&gt;"Free Game",'Game Records'!$G99=""),"Gross Pot; ","")&amp;IF(AND('Game Records'!$U99&lt;&gt;"Free Game",'Game Records'!$H99=""),"Entry Fee; ","")&amp;IF(AND('Game Records'!$U99&lt;&gt;"Subscription",'Game Records'!$U99&lt;&gt;"Free Game",'Game Records'!$I99=""),"Eligible Players; ","")&amp;IF(AND('Game Records'!$U99&lt;&gt;"Subscription",'Game Records'!$U99&lt;&gt;"Free Game",'Game Records'!$J99=""),"Total Players; ","")&amp;IF(AND(LOWER('Game Records'!$D99&amp;"")="finalized",LOWER('Game Records'!$L99&amp;"")&lt;&gt;"yes",'Game Records'!$U99&lt;&gt;"Subscription",'Game Records'!$U99&lt;&gt;"Free Game",'Game Records'!$K99=""),"Final Earned; ","")&amp;IF(AND(LOWER('Game Records'!$D99&amp;"")="finalized",'Game Records'!$U99&lt;&gt;"Subscription",'Game Records'!$U99&lt;&gt;"Free Game",OR('Game Records'!$L99="",LOWER('Game Records'!$L99&amp;"")="n/a")),"Disqualified Status; ",""))</x:f>
      </x:c>
      <x:c r="G99" s="331" t="str">
        <x:f>IF($A99="","",IFERROR('Game Records'!$M99,""))</x:f>
      </x:c>
    </x:row>
    <x:row r="100">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Game",OR('Game Records'!$D100="",LOWER('Game Records'!$D100&amp;"")="n/a")),"Entry Mode; ","")&amp;IF(AND('Game Records'!$U100&lt;&gt;"Subscription",'Game Records'!$U100&lt;&gt;"Free Game",OR('Game Records'!$E100="",LOWER('Game Records'!$E100&amp;"")="n/a")),"Game Type; ","")&amp;IF('Game Records'!$F100="","Payment Type; ","")&amp;IF(AND('Game Records'!$U100&lt;&gt;"Subscription",'Game Records'!$U100&lt;&gt;"Free Game",'Game Records'!$G100=""),"Gross Pot; ","")&amp;IF(AND('Game Records'!$U100&lt;&gt;"Free Game",'Game Records'!$H100=""),"Entry Fee; ","")&amp;IF(AND('Game Records'!$U100&lt;&gt;"Subscription",'Game Records'!$U100&lt;&gt;"Free Game",'Game Records'!$I100=""),"Eligible Players; ","")&amp;IF(AND('Game Records'!$U100&lt;&gt;"Subscription",'Game Records'!$U100&lt;&gt;"Free Game",'Game Records'!$J100=""),"Total Players; ","")&amp;IF(AND(LOWER('Game Records'!$D100&amp;"")="finalized",LOWER('Game Records'!$L100&amp;"")&lt;&gt;"yes",'Game Records'!$U100&lt;&gt;"Subscription",'Game Records'!$U100&lt;&gt;"Free Game",'Game Records'!$K100=""),"Final Earned; ","")&amp;IF(AND(LOWER('Game Records'!$D100&amp;"")="finalized",'Game Records'!$U100&lt;&gt;"Subscription",'Game Records'!$U100&lt;&gt;"Free Game",OR('Game Records'!$L100="",LOWER('Game Records'!$L100&amp;"")="n/a")),"Disqualified Status; ",""))</x:f>
      </x:c>
      <x:c r="G100" s="331" t="str">
        <x:f>IF($A100="","",IFERROR('Game Records'!$M100,""))</x:f>
      </x:c>
    </x:row>
    <x:row r="10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Game",OR('Game Records'!$D101="",LOWER('Game Records'!$D101&amp;"")="n/a")),"Entry Mode; ","")&amp;IF(AND('Game Records'!$U101&lt;&gt;"Subscription",'Game Records'!$U101&lt;&gt;"Free Game",OR('Game Records'!$E101="",LOWER('Game Records'!$E101&amp;"")="n/a")),"Game Type; ","")&amp;IF('Game Records'!$F101="","Payment Type; ","")&amp;IF(AND('Game Records'!$U101&lt;&gt;"Subscription",'Game Records'!$U101&lt;&gt;"Free Game",'Game Records'!$G101=""),"Gross Pot; ","")&amp;IF(AND('Game Records'!$U101&lt;&gt;"Free Game",'Game Records'!$H101=""),"Entry Fee; ","")&amp;IF(AND('Game Records'!$U101&lt;&gt;"Subscription",'Game Records'!$U101&lt;&gt;"Free Game",'Game Records'!$I101=""),"Eligible Players; ","")&amp;IF(AND('Game Records'!$U101&lt;&gt;"Subscription",'Game Records'!$U101&lt;&gt;"Free Game",'Game Records'!$J101=""),"Total Players; ","")&amp;IF(AND(LOWER('Game Records'!$D101&amp;"")="finalized",LOWER('Game Records'!$L101&amp;"")&lt;&gt;"yes",'Game Records'!$U101&lt;&gt;"Subscription",'Game Records'!$U101&lt;&gt;"Free Game",'Game Records'!$K101=""),"Final Earned; ","")&amp;IF(AND(LOWER('Game Records'!$D101&amp;"")="finalized",'Game Records'!$U101&lt;&gt;"Subscription",'Game Records'!$U101&lt;&gt;"Free Game",OR('Game Records'!$L101="",LOWER('Game Records'!$L101&amp;"")="n/a")),"Disqualified Status; ",""))</x:f>
      </x:c>
      <x:c r="G101" s="331" t="str">
        <x:f>IF($A101="","",IFERROR('Game Records'!$M101,""))</x:f>
      </x:c>
    </x:row>
    <x:row r="102">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Game",OR('Game Records'!$D102="",LOWER('Game Records'!$D102&amp;"")="n/a")),"Entry Mode; ","")&amp;IF(AND('Game Records'!$U102&lt;&gt;"Subscription",'Game Records'!$U102&lt;&gt;"Free Game",OR('Game Records'!$E102="",LOWER('Game Records'!$E102&amp;"")="n/a")),"Game Type; ","")&amp;IF('Game Records'!$F102="","Payment Type; ","")&amp;IF(AND('Game Records'!$U102&lt;&gt;"Subscription",'Game Records'!$U102&lt;&gt;"Free Game",'Game Records'!$G102=""),"Gross Pot; ","")&amp;IF(AND('Game Records'!$U102&lt;&gt;"Free Game",'Game Records'!$H102=""),"Entry Fee; ","")&amp;IF(AND('Game Records'!$U102&lt;&gt;"Subscription",'Game Records'!$U102&lt;&gt;"Free Game",'Game Records'!$I102=""),"Eligible Players; ","")&amp;IF(AND('Game Records'!$U102&lt;&gt;"Subscription",'Game Records'!$U102&lt;&gt;"Free Game",'Game Records'!$J102=""),"Total Players; ","")&amp;IF(AND(LOWER('Game Records'!$D102&amp;"")="finalized",LOWER('Game Records'!$L102&amp;"")&lt;&gt;"yes",'Game Records'!$U102&lt;&gt;"Subscription",'Game Records'!$U102&lt;&gt;"Free Game",'Game Records'!$K102=""),"Final Earned; ","")&amp;IF(AND(LOWER('Game Records'!$D102&amp;"")="finalized",'Game Records'!$U102&lt;&gt;"Subscription",'Game Records'!$U102&lt;&gt;"Free Game",OR('Game Records'!$L102="",LOWER('Game Records'!$L102&amp;"")="n/a")),"Disqualified Status; ",""))</x:f>
      </x:c>
      <x:c r="G102" s="331" t="str">
        <x:f>IF($A102="","",IFERROR('Game Records'!$M102,""))</x:f>
      </x:c>
    </x:row>
    <x:row r="103">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Game",OR('Game Records'!$D103="",LOWER('Game Records'!$D103&amp;"")="n/a")),"Entry Mode; ","")&amp;IF(AND('Game Records'!$U103&lt;&gt;"Subscription",'Game Records'!$U103&lt;&gt;"Free Game",OR('Game Records'!$E103="",LOWER('Game Records'!$E103&amp;"")="n/a")),"Game Type; ","")&amp;IF('Game Records'!$F103="","Payment Type; ","")&amp;IF(AND('Game Records'!$U103&lt;&gt;"Subscription",'Game Records'!$U103&lt;&gt;"Free Game",'Game Records'!$G103=""),"Gross Pot; ","")&amp;IF(AND('Game Records'!$U103&lt;&gt;"Free Game",'Game Records'!$H103=""),"Entry Fee; ","")&amp;IF(AND('Game Records'!$U103&lt;&gt;"Subscription",'Game Records'!$U103&lt;&gt;"Free Game",'Game Records'!$I103=""),"Eligible Players; ","")&amp;IF(AND('Game Records'!$U103&lt;&gt;"Subscription",'Game Records'!$U103&lt;&gt;"Free Game",'Game Records'!$J103=""),"Total Players; ","")&amp;IF(AND(LOWER('Game Records'!$D103&amp;"")="finalized",LOWER('Game Records'!$L103&amp;"")&lt;&gt;"yes",'Game Records'!$U103&lt;&gt;"Subscription",'Game Records'!$U103&lt;&gt;"Free Game",'Game Records'!$K103=""),"Final Earned; ","")&amp;IF(AND(LOWER('Game Records'!$D103&amp;"")="finalized",'Game Records'!$U103&lt;&gt;"Subscription",'Game Records'!$U103&lt;&gt;"Free Game",OR('Game Records'!$L103="",LOWER('Game Records'!$L103&amp;"")="n/a")),"Disqualified Status; ",""))</x:f>
      </x:c>
      <x:c r="G103" s="331" t="str">
        <x:f>IF($A103="","",IFERROR('Game Records'!$M103,""))</x:f>
      </x:c>
    </x:row>
    <x:row r="104">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Game",OR('Game Records'!$D104="",LOWER('Game Records'!$D104&amp;"")="n/a")),"Entry Mode; ","")&amp;IF(AND('Game Records'!$U104&lt;&gt;"Subscription",'Game Records'!$U104&lt;&gt;"Free Game",OR('Game Records'!$E104="",LOWER('Game Records'!$E104&amp;"")="n/a")),"Game Type; ","")&amp;IF('Game Records'!$F104="","Payment Type; ","")&amp;IF(AND('Game Records'!$U104&lt;&gt;"Subscription",'Game Records'!$U104&lt;&gt;"Free Game",'Game Records'!$G104=""),"Gross Pot; ","")&amp;IF(AND('Game Records'!$U104&lt;&gt;"Free Game",'Game Records'!$H104=""),"Entry Fee; ","")&amp;IF(AND('Game Records'!$U104&lt;&gt;"Subscription",'Game Records'!$U104&lt;&gt;"Free Game",'Game Records'!$I104=""),"Eligible Players; ","")&amp;IF(AND('Game Records'!$U104&lt;&gt;"Subscription",'Game Records'!$U104&lt;&gt;"Free Game",'Game Records'!$J104=""),"Total Players; ","")&amp;IF(AND(LOWER('Game Records'!$D104&amp;"")="finalized",LOWER('Game Records'!$L104&amp;"")&lt;&gt;"yes",'Game Records'!$U104&lt;&gt;"Subscription",'Game Records'!$U104&lt;&gt;"Free Game",'Game Records'!$K104=""),"Final Earned; ","")&amp;IF(AND(LOWER('Game Records'!$D104&amp;"")="finalized",'Game Records'!$U104&lt;&gt;"Subscription",'Game Records'!$U104&lt;&gt;"Free Game",OR('Game Records'!$L104="",LOWER('Game Records'!$L104&amp;"")="n/a")),"Disqualified Status; ",""))</x:f>
      </x:c>
      <x:c r="G104" s="331" t="str">
        <x:f>IF($A104="","",IFERROR('Game Records'!$M104,""))</x:f>
      </x:c>
    </x:row>
    <x:row r="105">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Game",OR('Game Records'!$D105="",LOWER('Game Records'!$D105&amp;"")="n/a")),"Entry Mode; ","")&amp;IF(AND('Game Records'!$U105&lt;&gt;"Subscription",'Game Records'!$U105&lt;&gt;"Free Game",OR('Game Records'!$E105="",LOWER('Game Records'!$E105&amp;"")="n/a")),"Game Type; ","")&amp;IF('Game Records'!$F105="","Payment Type; ","")&amp;IF(AND('Game Records'!$U105&lt;&gt;"Subscription",'Game Records'!$U105&lt;&gt;"Free Game",'Game Records'!$G105=""),"Gross Pot; ","")&amp;IF(AND('Game Records'!$U105&lt;&gt;"Free Game",'Game Records'!$H105=""),"Entry Fee; ","")&amp;IF(AND('Game Records'!$U105&lt;&gt;"Subscription",'Game Records'!$U105&lt;&gt;"Free Game",'Game Records'!$I105=""),"Eligible Players; ","")&amp;IF(AND('Game Records'!$U105&lt;&gt;"Subscription",'Game Records'!$U105&lt;&gt;"Free Game",'Game Records'!$J105=""),"Total Players; ","")&amp;IF(AND(LOWER('Game Records'!$D105&amp;"")="finalized",LOWER('Game Records'!$L105&amp;"")&lt;&gt;"yes",'Game Records'!$U105&lt;&gt;"Subscription",'Game Records'!$U105&lt;&gt;"Free Game",'Game Records'!$K105=""),"Final Earned; ","")&amp;IF(AND(LOWER('Game Records'!$D105&amp;"")="finalized",'Game Records'!$U105&lt;&gt;"Subscription",'Game Records'!$U105&lt;&gt;"Free Game",OR('Game Records'!$L105="",LOWER('Game Records'!$L105&amp;"")="n/a")),"Disqualified Status; ",""))</x:f>
      </x:c>
      <x:c r="G105" s="331" t="str">
        <x:f>IF($A105="","",IFERROR('Game Records'!$M105,""))</x:f>
      </x:c>
    </x:row>
    <x:row r="106">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Game",OR('Game Records'!$D106="",LOWER('Game Records'!$D106&amp;"")="n/a")),"Entry Mode; ","")&amp;IF(AND('Game Records'!$U106&lt;&gt;"Subscription",'Game Records'!$U106&lt;&gt;"Free Game",OR('Game Records'!$E106="",LOWER('Game Records'!$E106&amp;"")="n/a")),"Game Type; ","")&amp;IF('Game Records'!$F106="","Payment Type; ","")&amp;IF(AND('Game Records'!$U106&lt;&gt;"Subscription",'Game Records'!$U106&lt;&gt;"Free Game",'Game Records'!$G106=""),"Gross Pot; ","")&amp;IF(AND('Game Records'!$U106&lt;&gt;"Free Game",'Game Records'!$H106=""),"Entry Fee; ","")&amp;IF(AND('Game Records'!$U106&lt;&gt;"Subscription",'Game Records'!$U106&lt;&gt;"Free Game",'Game Records'!$I106=""),"Eligible Players; ","")&amp;IF(AND('Game Records'!$U106&lt;&gt;"Subscription",'Game Records'!$U106&lt;&gt;"Free Game",'Game Records'!$J106=""),"Total Players; ","")&amp;IF(AND(LOWER('Game Records'!$D106&amp;"")="finalized",LOWER('Game Records'!$L106&amp;"")&lt;&gt;"yes",'Game Records'!$U106&lt;&gt;"Subscription",'Game Records'!$U106&lt;&gt;"Free Game",'Game Records'!$K106=""),"Final Earned; ","")&amp;IF(AND(LOWER('Game Records'!$D106&amp;"")="finalized",'Game Records'!$U106&lt;&gt;"Subscription",'Game Records'!$U106&lt;&gt;"Free Game",OR('Game Records'!$L106="",LOWER('Game Records'!$L106&amp;"")="n/a")),"Disqualified Status; ",""))</x:f>
      </x:c>
      <x:c r="G106" s="331" t="str">
        <x:f>IF($A106="","",IFERROR('Game Records'!$M106,""))</x:f>
      </x:c>
    </x:row>
    <x:row r="107">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Game",OR('Game Records'!$D107="",LOWER('Game Records'!$D107&amp;"")="n/a")),"Entry Mode; ","")&amp;IF(AND('Game Records'!$U107&lt;&gt;"Subscription",'Game Records'!$U107&lt;&gt;"Free Game",OR('Game Records'!$E107="",LOWER('Game Records'!$E107&amp;"")="n/a")),"Game Type; ","")&amp;IF('Game Records'!$F107="","Payment Type; ","")&amp;IF(AND('Game Records'!$U107&lt;&gt;"Subscription",'Game Records'!$U107&lt;&gt;"Free Game",'Game Records'!$G107=""),"Gross Pot; ","")&amp;IF(AND('Game Records'!$U107&lt;&gt;"Free Game",'Game Records'!$H107=""),"Entry Fee; ","")&amp;IF(AND('Game Records'!$U107&lt;&gt;"Subscription",'Game Records'!$U107&lt;&gt;"Free Game",'Game Records'!$I107=""),"Eligible Players; ","")&amp;IF(AND('Game Records'!$U107&lt;&gt;"Subscription",'Game Records'!$U107&lt;&gt;"Free Game",'Game Records'!$J107=""),"Total Players; ","")&amp;IF(AND(LOWER('Game Records'!$D107&amp;"")="finalized",LOWER('Game Records'!$L107&amp;"")&lt;&gt;"yes",'Game Records'!$U107&lt;&gt;"Subscription",'Game Records'!$U107&lt;&gt;"Free Game",'Game Records'!$K107=""),"Final Earned; ","")&amp;IF(AND(LOWER('Game Records'!$D107&amp;"")="finalized",'Game Records'!$U107&lt;&gt;"Subscription",'Game Records'!$U107&lt;&gt;"Free Game",OR('Game Records'!$L107="",LOWER('Game Records'!$L107&amp;"")="n/a")),"Disqualified Status; ",""))</x:f>
      </x:c>
      <x:c r="G107" s="331" t="str">
        <x:f>IF($A107="","",IFERROR('Game Records'!$M107,""))</x:f>
      </x:c>
    </x:row>
    <x:row r="108">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Game",OR('Game Records'!$D108="",LOWER('Game Records'!$D108&amp;"")="n/a")),"Entry Mode; ","")&amp;IF(AND('Game Records'!$U108&lt;&gt;"Subscription",'Game Records'!$U108&lt;&gt;"Free Game",OR('Game Records'!$E108="",LOWER('Game Records'!$E108&amp;"")="n/a")),"Game Type; ","")&amp;IF('Game Records'!$F108="","Payment Type; ","")&amp;IF(AND('Game Records'!$U108&lt;&gt;"Subscription",'Game Records'!$U108&lt;&gt;"Free Game",'Game Records'!$G108=""),"Gross Pot; ","")&amp;IF(AND('Game Records'!$U108&lt;&gt;"Free Game",'Game Records'!$H108=""),"Entry Fee; ","")&amp;IF(AND('Game Records'!$U108&lt;&gt;"Subscription",'Game Records'!$U108&lt;&gt;"Free Game",'Game Records'!$I108=""),"Eligible Players; ","")&amp;IF(AND('Game Records'!$U108&lt;&gt;"Subscription",'Game Records'!$U108&lt;&gt;"Free Game",'Game Records'!$J108=""),"Total Players; ","")&amp;IF(AND(LOWER('Game Records'!$D108&amp;"")="finalized",LOWER('Game Records'!$L108&amp;"")&lt;&gt;"yes",'Game Records'!$U108&lt;&gt;"Subscription",'Game Records'!$U108&lt;&gt;"Free Game",'Game Records'!$K108=""),"Final Earned; ","")&amp;IF(AND(LOWER('Game Records'!$D108&amp;"")="finalized",'Game Records'!$U108&lt;&gt;"Subscription",'Game Records'!$U108&lt;&gt;"Free Game",OR('Game Records'!$L108="",LOWER('Game Records'!$L108&amp;"")="n/a")),"Disqualified Status; ",""))</x:f>
      </x:c>
      <x:c r="G108" s="331" t="str">
        <x:f>IF($A108="","",IFERROR('Game Records'!$M108,""))</x:f>
      </x:c>
    </x:row>
    <x:row r="109">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Game",OR('Game Records'!$D109="",LOWER('Game Records'!$D109&amp;"")="n/a")),"Entry Mode; ","")&amp;IF(AND('Game Records'!$U109&lt;&gt;"Subscription",'Game Records'!$U109&lt;&gt;"Free Game",OR('Game Records'!$E109="",LOWER('Game Records'!$E109&amp;"")="n/a")),"Game Type; ","")&amp;IF('Game Records'!$F109="","Payment Type; ","")&amp;IF(AND('Game Records'!$U109&lt;&gt;"Subscription",'Game Records'!$U109&lt;&gt;"Free Game",'Game Records'!$G109=""),"Gross Pot; ","")&amp;IF(AND('Game Records'!$U109&lt;&gt;"Free Game",'Game Records'!$H109=""),"Entry Fee; ","")&amp;IF(AND('Game Records'!$U109&lt;&gt;"Subscription",'Game Records'!$U109&lt;&gt;"Free Game",'Game Records'!$I109=""),"Eligible Players; ","")&amp;IF(AND('Game Records'!$U109&lt;&gt;"Subscription",'Game Records'!$U109&lt;&gt;"Free Game",'Game Records'!$J109=""),"Total Players; ","")&amp;IF(AND(LOWER('Game Records'!$D109&amp;"")="finalized",LOWER('Game Records'!$L109&amp;"")&lt;&gt;"yes",'Game Records'!$U109&lt;&gt;"Subscription",'Game Records'!$U109&lt;&gt;"Free Game",'Game Records'!$K109=""),"Final Earned; ","")&amp;IF(AND(LOWER('Game Records'!$D109&amp;"")="finalized",'Game Records'!$U109&lt;&gt;"Subscription",'Game Records'!$U109&lt;&gt;"Free Game",OR('Game Records'!$L109="",LOWER('Game Records'!$L109&amp;"")="n/a")),"Disqualified Status; ",""))</x:f>
      </x:c>
      <x:c r="G109" s="331" t="str">
        <x:f>IF($A109="","",IFERROR('Game Records'!$M109,""))</x:f>
      </x:c>
    </x:row>
    <x:row r="110">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Game",OR('Game Records'!$D110="",LOWER('Game Records'!$D110&amp;"")="n/a")),"Entry Mode; ","")&amp;IF(AND('Game Records'!$U110&lt;&gt;"Subscription",'Game Records'!$U110&lt;&gt;"Free Game",OR('Game Records'!$E110="",LOWER('Game Records'!$E110&amp;"")="n/a")),"Game Type; ","")&amp;IF('Game Records'!$F110="","Payment Type; ","")&amp;IF(AND('Game Records'!$U110&lt;&gt;"Subscription",'Game Records'!$U110&lt;&gt;"Free Game",'Game Records'!$G110=""),"Gross Pot; ","")&amp;IF(AND('Game Records'!$U110&lt;&gt;"Free Game",'Game Records'!$H110=""),"Entry Fee; ","")&amp;IF(AND('Game Records'!$U110&lt;&gt;"Subscription",'Game Records'!$U110&lt;&gt;"Free Game",'Game Records'!$I110=""),"Eligible Players; ","")&amp;IF(AND('Game Records'!$U110&lt;&gt;"Subscription",'Game Records'!$U110&lt;&gt;"Free Game",'Game Records'!$J110=""),"Total Players; ","")&amp;IF(AND(LOWER('Game Records'!$D110&amp;"")="finalized",LOWER('Game Records'!$L110&amp;"")&lt;&gt;"yes",'Game Records'!$U110&lt;&gt;"Subscription",'Game Records'!$U110&lt;&gt;"Free Game",'Game Records'!$K110=""),"Final Earned; ","")&amp;IF(AND(LOWER('Game Records'!$D110&amp;"")="finalized",'Game Records'!$U110&lt;&gt;"Subscription",'Game Records'!$U110&lt;&gt;"Free Game",OR('Game Records'!$L110="",LOWER('Game Records'!$L110&amp;"")="n/a")),"Disqualified Status; ",""))</x:f>
      </x:c>
      <x:c r="G110" s="331" t="str">
        <x:f>IF($A110="","",IFERROR('Game Records'!$M110,""))</x:f>
      </x:c>
    </x:row>
    <x:row r="11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Game",OR('Game Records'!$D111="",LOWER('Game Records'!$D111&amp;"")="n/a")),"Entry Mode; ","")&amp;IF(AND('Game Records'!$U111&lt;&gt;"Subscription",'Game Records'!$U111&lt;&gt;"Free Game",OR('Game Records'!$E111="",LOWER('Game Records'!$E111&amp;"")="n/a")),"Game Type; ","")&amp;IF('Game Records'!$F111="","Payment Type; ","")&amp;IF(AND('Game Records'!$U111&lt;&gt;"Subscription",'Game Records'!$U111&lt;&gt;"Free Game",'Game Records'!$G111=""),"Gross Pot; ","")&amp;IF(AND('Game Records'!$U111&lt;&gt;"Free Game",'Game Records'!$H111=""),"Entry Fee; ","")&amp;IF(AND('Game Records'!$U111&lt;&gt;"Subscription",'Game Records'!$U111&lt;&gt;"Free Game",'Game Records'!$I111=""),"Eligible Players; ","")&amp;IF(AND('Game Records'!$U111&lt;&gt;"Subscription",'Game Records'!$U111&lt;&gt;"Free Game",'Game Records'!$J111=""),"Total Players; ","")&amp;IF(AND(LOWER('Game Records'!$D111&amp;"")="finalized",LOWER('Game Records'!$L111&amp;"")&lt;&gt;"yes",'Game Records'!$U111&lt;&gt;"Subscription",'Game Records'!$U111&lt;&gt;"Free Game",'Game Records'!$K111=""),"Final Earned; ","")&amp;IF(AND(LOWER('Game Records'!$D111&amp;"")="finalized",'Game Records'!$U111&lt;&gt;"Subscription",'Game Records'!$U111&lt;&gt;"Free Game",OR('Game Records'!$L111="",LOWER('Game Records'!$L111&amp;"")="n/a")),"Disqualified Status; ",""))</x:f>
      </x:c>
      <x:c r="G111" s="331" t="str">
        <x:f>IF($A111="","",IFERROR('Game Records'!$M111,""))</x:f>
      </x:c>
    </x:row>
    <x:row r="112">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Game",OR('Game Records'!$D112="",LOWER('Game Records'!$D112&amp;"")="n/a")),"Entry Mode; ","")&amp;IF(AND('Game Records'!$U112&lt;&gt;"Subscription",'Game Records'!$U112&lt;&gt;"Free Game",OR('Game Records'!$E112="",LOWER('Game Records'!$E112&amp;"")="n/a")),"Game Type; ","")&amp;IF('Game Records'!$F112="","Payment Type; ","")&amp;IF(AND('Game Records'!$U112&lt;&gt;"Subscription",'Game Records'!$U112&lt;&gt;"Free Game",'Game Records'!$G112=""),"Gross Pot; ","")&amp;IF(AND('Game Records'!$U112&lt;&gt;"Free Game",'Game Records'!$H112=""),"Entry Fee; ","")&amp;IF(AND('Game Records'!$U112&lt;&gt;"Subscription",'Game Records'!$U112&lt;&gt;"Free Game",'Game Records'!$I112=""),"Eligible Players; ","")&amp;IF(AND('Game Records'!$U112&lt;&gt;"Subscription",'Game Records'!$U112&lt;&gt;"Free Game",'Game Records'!$J112=""),"Total Players; ","")&amp;IF(AND(LOWER('Game Records'!$D112&amp;"")="finalized",LOWER('Game Records'!$L112&amp;"")&lt;&gt;"yes",'Game Records'!$U112&lt;&gt;"Subscription",'Game Records'!$U112&lt;&gt;"Free Game",'Game Records'!$K112=""),"Final Earned; ","")&amp;IF(AND(LOWER('Game Records'!$D112&amp;"")="finalized",'Game Records'!$U112&lt;&gt;"Subscription",'Game Records'!$U112&lt;&gt;"Free Game",OR('Game Records'!$L112="",LOWER('Game Records'!$L112&amp;"")="n/a")),"Disqualified Status; ",""))</x:f>
      </x:c>
      <x:c r="G112" s="331" t="str">
        <x:f>IF($A112="","",IFERROR('Game Records'!$M112,""))</x:f>
      </x:c>
    </x:row>
    <x:row r="113">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Game",OR('Game Records'!$D113="",LOWER('Game Records'!$D113&amp;"")="n/a")),"Entry Mode; ","")&amp;IF(AND('Game Records'!$U113&lt;&gt;"Subscription",'Game Records'!$U113&lt;&gt;"Free Game",OR('Game Records'!$E113="",LOWER('Game Records'!$E113&amp;"")="n/a")),"Game Type; ","")&amp;IF('Game Records'!$F113="","Payment Type; ","")&amp;IF(AND('Game Records'!$U113&lt;&gt;"Subscription",'Game Records'!$U113&lt;&gt;"Free Game",'Game Records'!$G113=""),"Gross Pot; ","")&amp;IF(AND('Game Records'!$U113&lt;&gt;"Free Game",'Game Records'!$H113=""),"Entry Fee; ","")&amp;IF(AND('Game Records'!$U113&lt;&gt;"Subscription",'Game Records'!$U113&lt;&gt;"Free Game",'Game Records'!$I113=""),"Eligible Players; ","")&amp;IF(AND('Game Records'!$U113&lt;&gt;"Subscription",'Game Records'!$U113&lt;&gt;"Free Game",'Game Records'!$J113=""),"Total Players; ","")&amp;IF(AND(LOWER('Game Records'!$D113&amp;"")="finalized",LOWER('Game Records'!$L113&amp;"")&lt;&gt;"yes",'Game Records'!$U113&lt;&gt;"Subscription",'Game Records'!$U113&lt;&gt;"Free Game",'Game Records'!$K113=""),"Final Earned; ","")&amp;IF(AND(LOWER('Game Records'!$D113&amp;"")="finalized",'Game Records'!$U113&lt;&gt;"Subscription",'Game Records'!$U113&lt;&gt;"Free Game",OR('Game Records'!$L113="",LOWER('Game Records'!$L113&amp;"")="n/a")),"Disqualified Status; ",""))</x:f>
      </x:c>
      <x:c r="G113" s="331" t="str">
        <x:f>IF($A113="","",IFERROR('Game Records'!$M113,""))</x:f>
      </x:c>
    </x:row>
    <x:row r="114">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Game",OR('Game Records'!$D114="",LOWER('Game Records'!$D114&amp;"")="n/a")),"Entry Mode; ","")&amp;IF(AND('Game Records'!$U114&lt;&gt;"Subscription",'Game Records'!$U114&lt;&gt;"Free Game",OR('Game Records'!$E114="",LOWER('Game Records'!$E114&amp;"")="n/a")),"Game Type; ","")&amp;IF('Game Records'!$F114="","Payment Type; ","")&amp;IF(AND('Game Records'!$U114&lt;&gt;"Subscription",'Game Records'!$U114&lt;&gt;"Free Game",'Game Records'!$G114=""),"Gross Pot; ","")&amp;IF(AND('Game Records'!$U114&lt;&gt;"Free Game",'Game Records'!$H114=""),"Entry Fee; ","")&amp;IF(AND('Game Records'!$U114&lt;&gt;"Subscription",'Game Records'!$U114&lt;&gt;"Free Game",'Game Records'!$I114=""),"Eligible Players; ","")&amp;IF(AND('Game Records'!$U114&lt;&gt;"Subscription",'Game Records'!$U114&lt;&gt;"Free Game",'Game Records'!$J114=""),"Total Players; ","")&amp;IF(AND(LOWER('Game Records'!$D114&amp;"")="finalized",LOWER('Game Records'!$L114&amp;"")&lt;&gt;"yes",'Game Records'!$U114&lt;&gt;"Subscription",'Game Records'!$U114&lt;&gt;"Free Game",'Game Records'!$K114=""),"Final Earned; ","")&amp;IF(AND(LOWER('Game Records'!$D114&amp;"")="finalized",'Game Records'!$U114&lt;&gt;"Subscription",'Game Records'!$U114&lt;&gt;"Free Game",OR('Game Records'!$L114="",LOWER('Game Records'!$L114&amp;"")="n/a")),"Disqualified Status; ",""))</x:f>
      </x:c>
      <x:c r="G114" s="331" t="str">
        <x:f>IF($A114="","",IFERROR('Game Records'!$M114,""))</x:f>
      </x:c>
    </x:row>
    <x:row r="115">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Game",OR('Game Records'!$D115="",LOWER('Game Records'!$D115&amp;"")="n/a")),"Entry Mode; ","")&amp;IF(AND('Game Records'!$U115&lt;&gt;"Subscription",'Game Records'!$U115&lt;&gt;"Free Game",OR('Game Records'!$E115="",LOWER('Game Records'!$E115&amp;"")="n/a")),"Game Type; ","")&amp;IF('Game Records'!$F115="","Payment Type; ","")&amp;IF(AND('Game Records'!$U115&lt;&gt;"Subscription",'Game Records'!$U115&lt;&gt;"Free Game",'Game Records'!$G115=""),"Gross Pot; ","")&amp;IF(AND('Game Records'!$U115&lt;&gt;"Free Game",'Game Records'!$H115=""),"Entry Fee; ","")&amp;IF(AND('Game Records'!$U115&lt;&gt;"Subscription",'Game Records'!$U115&lt;&gt;"Free Game",'Game Records'!$I115=""),"Eligible Players; ","")&amp;IF(AND('Game Records'!$U115&lt;&gt;"Subscription",'Game Records'!$U115&lt;&gt;"Free Game",'Game Records'!$J115=""),"Total Players; ","")&amp;IF(AND(LOWER('Game Records'!$D115&amp;"")="finalized",LOWER('Game Records'!$L115&amp;"")&lt;&gt;"yes",'Game Records'!$U115&lt;&gt;"Subscription",'Game Records'!$U115&lt;&gt;"Free Game",'Game Records'!$K115=""),"Final Earned; ","")&amp;IF(AND(LOWER('Game Records'!$D115&amp;"")="finalized",'Game Records'!$U115&lt;&gt;"Subscription",'Game Records'!$U115&lt;&gt;"Free Game",OR('Game Records'!$L115="",LOWER('Game Records'!$L115&amp;"")="n/a")),"Disqualified Status; ",""))</x:f>
      </x:c>
      <x:c r="G115" s="331" t="str">
        <x:f>IF($A115="","",IFERROR('Game Records'!$M115,""))</x:f>
      </x:c>
    </x:row>
    <x:row r="116">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Game",OR('Game Records'!$D116="",LOWER('Game Records'!$D116&amp;"")="n/a")),"Entry Mode; ","")&amp;IF(AND('Game Records'!$U116&lt;&gt;"Subscription",'Game Records'!$U116&lt;&gt;"Free Game",OR('Game Records'!$E116="",LOWER('Game Records'!$E116&amp;"")="n/a")),"Game Type; ","")&amp;IF('Game Records'!$F116="","Payment Type; ","")&amp;IF(AND('Game Records'!$U116&lt;&gt;"Subscription",'Game Records'!$U116&lt;&gt;"Free Game",'Game Records'!$G116=""),"Gross Pot; ","")&amp;IF(AND('Game Records'!$U116&lt;&gt;"Free Game",'Game Records'!$H116=""),"Entry Fee; ","")&amp;IF(AND('Game Records'!$U116&lt;&gt;"Subscription",'Game Records'!$U116&lt;&gt;"Free Game",'Game Records'!$I116=""),"Eligible Players; ","")&amp;IF(AND('Game Records'!$U116&lt;&gt;"Subscription",'Game Records'!$U116&lt;&gt;"Free Game",'Game Records'!$J116=""),"Total Players; ","")&amp;IF(AND(LOWER('Game Records'!$D116&amp;"")="finalized",LOWER('Game Records'!$L116&amp;"")&lt;&gt;"yes",'Game Records'!$U116&lt;&gt;"Subscription",'Game Records'!$U116&lt;&gt;"Free Game",'Game Records'!$K116=""),"Final Earned; ","")&amp;IF(AND(LOWER('Game Records'!$D116&amp;"")="finalized",'Game Records'!$U116&lt;&gt;"Subscription",'Game Records'!$U116&lt;&gt;"Free Game",OR('Game Records'!$L116="",LOWER('Game Records'!$L116&amp;"")="n/a")),"Disqualified Status; ",""))</x:f>
      </x:c>
      <x:c r="G116" s="331" t="str">
        <x:f>IF($A116="","",IFERROR('Game Records'!$M116,""))</x:f>
      </x:c>
    </x:row>
    <x:row r="117">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Game",OR('Game Records'!$D117="",LOWER('Game Records'!$D117&amp;"")="n/a")),"Entry Mode; ","")&amp;IF(AND('Game Records'!$U117&lt;&gt;"Subscription",'Game Records'!$U117&lt;&gt;"Free Game",OR('Game Records'!$E117="",LOWER('Game Records'!$E117&amp;"")="n/a")),"Game Type; ","")&amp;IF('Game Records'!$F117="","Payment Type; ","")&amp;IF(AND('Game Records'!$U117&lt;&gt;"Subscription",'Game Records'!$U117&lt;&gt;"Free Game",'Game Records'!$G117=""),"Gross Pot; ","")&amp;IF(AND('Game Records'!$U117&lt;&gt;"Free Game",'Game Records'!$H117=""),"Entry Fee; ","")&amp;IF(AND('Game Records'!$U117&lt;&gt;"Subscription",'Game Records'!$U117&lt;&gt;"Free Game",'Game Records'!$I117=""),"Eligible Players; ","")&amp;IF(AND('Game Records'!$U117&lt;&gt;"Subscription",'Game Records'!$U117&lt;&gt;"Free Game",'Game Records'!$J117=""),"Total Players; ","")&amp;IF(AND(LOWER('Game Records'!$D117&amp;"")="finalized",LOWER('Game Records'!$L117&amp;"")&lt;&gt;"yes",'Game Records'!$U117&lt;&gt;"Subscription",'Game Records'!$U117&lt;&gt;"Free Game",'Game Records'!$K117=""),"Final Earned; ","")&amp;IF(AND(LOWER('Game Records'!$D117&amp;"")="finalized",'Game Records'!$U117&lt;&gt;"Subscription",'Game Records'!$U117&lt;&gt;"Free Game",OR('Game Records'!$L117="",LOWER('Game Records'!$L117&amp;"")="n/a")),"Disqualified Status; ",""))</x:f>
      </x:c>
      <x:c r="G117" s="331" t="str">
        <x:f>IF($A117="","",IFERROR('Game Records'!$M117,""))</x:f>
      </x:c>
    </x:row>
    <x:row r="118">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Game",OR('Game Records'!$D118="",LOWER('Game Records'!$D118&amp;"")="n/a")),"Entry Mode; ","")&amp;IF(AND('Game Records'!$U118&lt;&gt;"Subscription",'Game Records'!$U118&lt;&gt;"Free Game",OR('Game Records'!$E118="",LOWER('Game Records'!$E118&amp;"")="n/a")),"Game Type; ","")&amp;IF('Game Records'!$F118="","Payment Type; ","")&amp;IF(AND('Game Records'!$U118&lt;&gt;"Subscription",'Game Records'!$U118&lt;&gt;"Free Game",'Game Records'!$G118=""),"Gross Pot; ","")&amp;IF(AND('Game Records'!$U118&lt;&gt;"Free Game",'Game Records'!$H118=""),"Entry Fee; ","")&amp;IF(AND('Game Records'!$U118&lt;&gt;"Subscription",'Game Records'!$U118&lt;&gt;"Free Game",'Game Records'!$I118=""),"Eligible Players; ","")&amp;IF(AND('Game Records'!$U118&lt;&gt;"Subscription",'Game Records'!$U118&lt;&gt;"Free Game",'Game Records'!$J118=""),"Total Players; ","")&amp;IF(AND(LOWER('Game Records'!$D118&amp;"")="finalized",LOWER('Game Records'!$L118&amp;"")&lt;&gt;"yes",'Game Records'!$U118&lt;&gt;"Subscription",'Game Records'!$U118&lt;&gt;"Free Game",'Game Records'!$K118=""),"Final Earned; ","")&amp;IF(AND(LOWER('Game Records'!$D118&amp;"")="finalized",'Game Records'!$U118&lt;&gt;"Subscription",'Game Records'!$U118&lt;&gt;"Free Game",OR('Game Records'!$L118="",LOWER('Game Records'!$L118&amp;"")="n/a")),"Disqualified Status; ",""))</x:f>
      </x:c>
      <x:c r="G118" s="331" t="str">
        <x:f>IF($A118="","",IFERROR('Game Records'!$M118,""))</x:f>
      </x:c>
    </x:row>
    <x:row r="119">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Game",OR('Game Records'!$D119="",LOWER('Game Records'!$D119&amp;"")="n/a")),"Entry Mode; ","")&amp;IF(AND('Game Records'!$U119&lt;&gt;"Subscription",'Game Records'!$U119&lt;&gt;"Free Game",OR('Game Records'!$E119="",LOWER('Game Records'!$E119&amp;"")="n/a")),"Game Type; ","")&amp;IF('Game Records'!$F119="","Payment Type; ","")&amp;IF(AND('Game Records'!$U119&lt;&gt;"Subscription",'Game Records'!$U119&lt;&gt;"Free Game",'Game Records'!$G119=""),"Gross Pot; ","")&amp;IF(AND('Game Records'!$U119&lt;&gt;"Free Game",'Game Records'!$H119=""),"Entry Fee; ","")&amp;IF(AND('Game Records'!$U119&lt;&gt;"Subscription",'Game Records'!$U119&lt;&gt;"Free Game",'Game Records'!$I119=""),"Eligible Players; ","")&amp;IF(AND('Game Records'!$U119&lt;&gt;"Subscription",'Game Records'!$U119&lt;&gt;"Free Game",'Game Records'!$J119=""),"Total Players; ","")&amp;IF(AND(LOWER('Game Records'!$D119&amp;"")="finalized",LOWER('Game Records'!$L119&amp;"")&lt;&gt;"yes",'Game Records'!$U119&lt;&gt;"Subscription",'Game Records'!$U119&lt;&gt;"Free Game",'Game Records'!$K119=""),"Final Earned; ","")&amp;IF(AND(LOWER('Game Records'!$D119&amp;"")="finalized",'Game Records'!$U119&lt;&gt;"Subscription",'Game Records'!$U119&lt;&gt;"Free Game",OR('Game Records'!$L119="",LOWER('Game Records'!$L119&amp;"")="n/a")),"Disqualified Status; ",""))</x:f>
      </x:c>
      <x:c r="G119" s="331" t="str">
        <x:f>IF($A119="","",IFERROR('Game Records'!$M119,""))</x:f>
      </x:c>
    </x:row>
    <x:row r="120">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Game",OR('Game Records'!$D120="",LOWER('Game Records'!$D120&amp;"")="n/a")),"Entry Mode; ","")&amp;IF(AND('Game Records'!$U120&lt;&gt;"Subscription",'Game Records'!$U120&lt;&gt;"Free Game",OR('Game Records'!$E120="",LOWER('Game Records'!$E120&amp;"")="n/a")),"Game Type; ","")&amp;IF('Game Records'!$F120="","Payment Type; ","")&amp;IF(AND('Game Records'!$U120&lt;&gt;"Subscription",'Game Records'!$U120&lt;&gt;"Free Game",'Game Records'!$G120=""),"Gross Pot; ","")&amp;IF(AND('Game Records'!$U120&lt;&gt;"Free Game",'Game Records'!$H120=""),"Entry Fee; ","")&amp;IF(AND('Game Records'!$U120&lt;&gt;"Subscription",'Game Records'!$U120&lt;&gt;"Free Game",'Game Records'!$I120=""),"Eligible Players; ","")&amp;IF(AND('Game Records'!$U120&lt;&gt;"Subscription",'Game Records'!$U120&lt;&gt;"Free Game",'Game Records'!$J120=""),"Total Players; ","")&amp;IF(AND(LOWER('Game Records'!$D120&amp;"")="finalized",LOWER('Game Records'!$L120&amp;"")&lt;&gt;"yes",'Game Records'!$U120&lt;&gt;"Subscription",'Game Records'!$U120&lt;&gt;"Free Game",'Game Records'!$K120=""),"Final Earned; ","")&amp;IF(AND(LOWER('Game Records'!$D120&amp;"")="finalized",'Game Records'!$U120&lt;&gt;"Subscription",'Game Records'!$U120&lt;&gt;"Free Game",OR('Game Records'!$L120="",LOWER('Game Records'!$L120&amp;"")="n/a")),"Disqualified Status; ",""))</x:f>
      </x:c>
      <x:c r="G120" s="331" t="str">
        <x:f>IF($A120="","",IFERROR('Game Records'!$M120,""))</x:f>
      </x:c>
    </x:row>
    <x:row r="12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Game",OR('Game Records'!$D121="",LOWER('Game Records'!$D121&amp;"")="n/a")),"Entry Mode; ","")&amp;IF(AND('Game Records'!$U121&lt;&gt;"Subscription",'Game Records'!$U121&lt;&gt;"Free Game",OR('Game Records'!$E121="",LOWER('Game Records'!$E121&amp;"")="n/a")),"Game Type; ","")&amp;IF('Game Records'!$F121="","Payment Type; ","")&amp;IF(AND('Game Records'!$U121&lt;&gt;"Subscription",'Game Records'!$U121&lt;&gt;"Free Game",'Game Records'!$G121=""),"Gross Pot; ","")&amp;IF(AND('Game Records'!$U121&lt;&gt;"Free Game",'Game Records'!$H121=""),"Entry Fee; ","")&amp;IF(AND('Game Records'!$U121&lt;&gt;"Subscription",'Game Records'!$U121&lt;&gt;"Free Game",'Game Records'!$I121=""),"Eligible Players; ","")&amp;IF(AND('Game Records'!$U121&lt;&gt;"Subscription",'Game Records'!$U121&lt;&gt;"Free Game",'Game Records'!$J121=""),"Total Players; ","")&amp;IF(AND(LOWER('Game Records'!$D121&amp;"")="finalized",LOWER('Game Records'!$L121&amp;"")&lt;&gt;"yes",'Game Records'!$U121&lt;&gt;"Subscription",'Game Records'!$U121&lt;&gt;"Free Game",'Game Records'!$K121=""),"Final Earned; ","")&amp;IF(AND(LOWER('Game Records'!$D121&amp;"")="finalized",'Game Records'!$U121&lt;&gt;"Subscription",'Game Records'!$U121&lt;&gt;"Free Game",OR('Game Records'!$L121="",LOWER('Game Records'!$L121&amp;"")="n/a")),"Disqualified Status; ",""))</x:f>
      </x:c>
      <x:c r="G121" s="331" t="str">
        <x:f>IF($A121="","",IFERROR('Game Records'!$M121,""))</x:f>
      </x:c>
    </x:row>
    <x:row r="122">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Game",OR('Game Records'!$D122="",LOWER('Game Records'!$D122&amp;"")="n/a")),"Entry Mode; ","")&amp;IF(AND('Game Records'!$U122&lt;&gt;"Subscription",'Game Records'!$U122&lt;&gt;"Free Game",OR('Game Records'!$E122="",LOWER('Game Records'!$E122&amp;"")="n/a")),"Game Type; ","")&amp;IF('Game Records'!$F122="","Payment Type; ","")&amp;IF(AND('Game Records'!$U122&lt;&gt;"Subscription",'Game Records'!$U122&lt;&gt;"Free Game",'Game Records'!$G122=""),"Gross Pot; ","")&amp;IF(AND('Game Records'!$U122&lt;&gt;"Free Game",'Game Records'!$H122=""),"Entry Fee; ","")&amp;IF(AND('Game Records'!$U122&lt;&gt;"Subscription",'Game Records'!$U122&lt;&gt;"Free Game",'Game Records'!$I122=""),"Eligible Players; ","")&amp;IF(AND('Game Records'!$U122&lt;&gt;"Subscription",'Game Records'!$U122&lt;&gt;"Free Game",'Game Records'!$J122=""),"Total Players; ","")&amp;IF(AND(LOWER('Game Records'!$D122&amp;"")="finalized",LOWER('Game Records'!$L122&amp;"")&lt;&gt;"yes",'Game Records'!$U122&lt;&gt;"Subscription",'Game Records'!$U122&lt;&gt;"Free Game",'Game Records'!$K122=""),"Final Earned; ","")&amp;IF(AND(LOWER('Game Records'!$D122&amp;"")="finalized",'Game Records'!$U122&lt;&gt;"Subscription",'Game Records'!$U122&lt;&gt;"Free Game",OR('Game Records'!$L122="",LOWER('Game Records'!$L122&amp;"")="n/a")),"Disqualified Status; ",""))</x:f>
      </x:c>
      <x:c r="G122" s="331" t="str">
        <x:f>IF($A122="","",IFERROR('Game Records'!$M122,""))</x:f>
      </x:c>
    </x:row>
    <x:row r="123">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Game",OR('Game Records'!$D123="",LOWER('Game Records'!$D123&amp;"")="n/a")),"Entry Mode; ","")&amp;IF(AND('Game Records'!$U123&lt;&gt;"Subscription",'Game Records'!$U123&lt;&gt;"Free Game",OR('Game Records'!$E123="",LOWER('Game Records'!$E123&amp;"")="n/a")),"Game Type; ","")&amp;IF('Game Records'!$F123="","Payment Type; ","")&amp;IF(AND('Game Records'!$U123&lt;&gt;"Subscription",'Game Records'!$U123&lt;&gt;"Free Game",'Game Records'!$G123=""),"Gross Pot; ","")&amp;IF(AND('Game Records'!$U123&lt;&gt;"Free Game",'Game Records'!$H123=""),"Entry Fee; ","")&amp;IF(AND('Game Records'!$U123&lt;&gt;"Subscription",'Game Records'!$U123&lt;&gt;"Free Game",'Game Records'!$I123=""),"Eligible Players; ","")&amp;IF(AND('Game Records'!$U123&lt;&gt;"Subscription",'Game Records'!$U123&lt;&gt;"Free Game",'Game Records'!$J123=""),"Total Players; ","")&amp;IF(AND(LOWER('Game Records'!$D123&amp;"")="finalized",LOWER('Game Records'!$L123&amp;"")&lt;&gt;"yes",'Game Records'!$U123&lt;&gt;"Subscription",'Game Records'!$U123&lt;&gt;"Free Game",'Game Records'!$K123=""),"Final Earned; ","")&amp;IF(AND(LOWER('Game Records'!$D123&amp;"")="finalized",'Game Records'!$U123&lt;&gt;"Subscription",'Game Records'!$U123&lt;&gt;"Free Game",OR('Game Records'!$L123="",LOWER('Game Records'!$L123&amp;"")="n/a")),"Disqualified Status; ",""))</x:f>
      </x:c>
      <x:c r="G123" s="331" t="str">
        <x:f>IF($A123="","",IFERROR('Game Records'!$M123,""))</x:f>
      </x:c>
    </x:row>
    <x:row r="124">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Game",OR('Game Records'!$D124="",LOWER('Game Records'!$D124&amp;"")="n/a")),"Entry Mode; ","")&amp;IF(AND('Game Records'!$U124&lt;&gt;"Subscription",'Game Records'!$U124&lt;&gt;"Free Game",OR('Game Records'!$E124="",LOWER('Game Records'!$E124&amp;"")="n/a")),"Game Type; ","")&amp;IF('Game Records'!$F124="","Payment Type; ","")&amp;IF(AND('Game Records'!$U124&lt;&gt;"Subscription",'Game Records'!$U124&lt;&gt;"Free Game",'Game Records'!$G124=""),"Gross Pot; ","")&amp;IF(AND('Game Records'!$U124&lt;&gt;"Free Game",'Game Records'!$H124=""),"Entry Fee; ","")&amp;IF(AND('Game Records'!$U124&lt;&gt;"Subscription",'Game Records'!$U124&lt;&gt;"Free Game",'Game Records'!$I124=""),"Eligible Players; ","")&amp;IF(AND('Game Records'!$U124&lt;&gt;"Subscription",'Game Records'!$U124&lt;&gt;"Free Game",'Game Records'!$J124=""),"Total Players; ","")&amp;IF(AND(LOWER('Game Records'!$D124&amp;"")="finalized",LOWER('Game Records'!$L124&amp;"")&lt;&gt;"yes",'Game Records'!$U124&lt;&gt;"Subscription",'Game Records'!$U124&lt;&gt;"Free Game",'Game Records'!$K124=""),"Final Earned; ","")&amp;IF(AND(LOWER('Game Records'!$D124&amp;"")="finalized",'Game Records'!$U124&lt;&gt;"Subscription",'Game Records'!$U124&lt;&gt;"Free Game",OR('Game Records'!$L124="",LOWER('Game Records'!$L124&amp;"")="n/a")),"Disqualified Status; ",""))</x:f>
      </x:c>
      <x:c r="G124" s="331" t="str">
        <x:f>IF($A124="","",IFERROR('Game Records'!$M124,""))</x:f>
      </x:c>
    </x:row>
    <x:row r="125">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Game",OR('Game Records'!$D125="",LOWER('Game Records'!$D125&amp;"")="n/a")),"Entry Mode; ","")&amp;IF(AND('Game Records'!$U125&lt;&gt;"Subscription",'Game Records'!$U125&lt;&gt;"Free Game",OR('Game Records'!$E125="",LOWER('Game Records'!$E125&amp;"")="n/a")),"Game Type; ","")&amp;IF('Game Records'!$F125="","Payment Type; ","")&amp;IF(AND('Game Records'!$U125&lt;&gt;"Subscription",'Game Records'!$U125&lt;&gt;"Free Game",'Game Records'!$G125=""),"Gross Pot; ","")&amp;IF(AND('Game Records'!$U125&lt;&gt;"Free Game",'Game Records'!$H125=""),"Entry Fee; ","")&amp;IF(AND('Game Records'!$U125&lt;&gt;"Subscription",'Game Records'!$U125&lt;&gt;"Free Game",'Game Records'!$I125=""),"Eligible Players; ","")&amp;IF(AND('Game Records'!$U125&lt;&gt;"Subscription",'Game Records'!$U125&lt;&gt;"Free Game",'Game Records'!$J125=""),"Total Players; ","")&amp;IF(AND(LOWER('Game Records'!$D125&amp;"")="finalized",LOWER('Game Records'!$L125&amp;"")&lt;&gt;"yes",'Game Records'!$U125&lt;&gt;"Subscription",'Game Records'!$U125&lt;&gt;"Free Game",'Game Records'!$K125=""),"Final Earned; ","")&amp;IF(AND(LOWER('Game Records'!$D125&amp;"")="finalized",'Game Records'!$U125&lt;&gt;"Subscription",'Game Records'!$U125&lt;&gt;"Free Game",OR('Game Records'!$L125="",LOWER('Game Records'!$L125&amp;"")="n/a")),"Disqualified Status; ",""))</x:f>
      </x:c>
      <x:c r="G125" s="331" t="str">
        <x:f>IF($A125="","",IFERROR('Game Records'!$M125,""))</x:f>
      </x:c>
    </x:row>
    <x:row r="126">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Game",OR('Game Records'!$D126="",LOWER('Game Records'!$D126&amp;"")="n/a")),"Entry Mode; ","")&amp;IF(AND('Game Records'!$U126&lt;&gt;"Subscription",'Game Records'!$U126&lt;&gt;"Free Game",OR('Game Records'!$E126="",LOWER('Game Records'!$E126&amp;"")="n/a")),"Game Type; ","")&amp;IF('Game Records'!$F126="","Payment Type; ","")&amp;IF(AND('Game Records'!$U126&lt;&gt;"Subscription",'Game Records'!$U126&lt;&gt;"Free Game",'Game Records'!$G126=""),"Gross Pot; ","")&amp;IF(AND('Game Records'!$U126&lt;&gt;"Free Game",'Game Records'!$H126=""),"Entry Fee; ","")&amp;IF(AND('Game Records'!$U126&lt;&gt;"Subscription",'Game Records'!$U126&lt;&gt;"Free Game",'Game Records'!$I126=""),"Eligible Players; ","")&amp;IF(AND('Game Records'!$U126&lt;&gt;"Subscription",'Game Records'!$U126&lt;&gt;"Free Game",'Game Records'!$J126=""),"Total Players; ","")&amp;IF(AND(LOWER('Game Records'!$D126&amp;"")="finalized",LOWER('Game Records'!$L126&amp;"")&lt;&gt;"yes",'Game Records'!$U126&lt;&gt;"Subscription",'Game Records'!$U126&lt;&gt;"Free Game",'Game Records'!$K126=""),"Final Earned; ","")&amp;IF(AND(LOWER('Game Records'!$D126&amp;"")="finalized",'Game Records'!$U126&lt;&gt;"Subscription",'Game Records'!$U126&lt;&gt;"Free Game",OR('Game Records'!$L126="",LOWER('Game Records'!$L126&amp;"")="n/a")),"Disqualified Status; ",""))</x:f>
      </x:c>
      <x:c r="G126" s="331" t="str">
        <x:f>IF($A126="","",IFERROR('Game Records'!$M126,""))</x:f>
      </x:c>
    </x:row>
    <x:row r="127">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Game",OR('Game Records'!$D127="",LOWER('Game Records'!$D127&amp;"")="n/a")),"Entry Mode; ","")&amp;IF(AND('Game Records'!$U127&lt;&gt;"Subscription",'Game Records'!$U127&lt;&gt;"Free Game",OR('Game Records'!$E127="",LOWER('Game Records'!$E127&amp;"")="n/a")),"Game Type; ","")&amp;IF('Game Records'!$F127="","Payment Type; ","")&amp;IF(AND('Game Records'!$U127&lt;&gt;"Subscription",'Game Records'!$U127&lt;&gt;"Free Game",'Game Records'!$G127=""),"Gross Pot; ","")&amp;IF(AND('Game Records'!$U127&lt;&gt;"Free Game",'Game Records'!$H127=""),"Entry Fee; ","")&amp;IF(AND('Game Records'!$U127&lt;&gt;"Subscription",'Game Records'!$U127&lt;&gt;"Free Game",'Game Records'!$I127=""),"Eligible Players; ","")&amp;IF(AND('Game Records'!$U127&lt;&gt;"Subscription",'Game Records'!$U127&lt;&gt;"Free Game",'Game Records'!$J127=""),"Total Players; ","")&amp;IF(AND(LOWER('Game Records'!$D127&amp;"")="finalized",LOWER('Game Records'!$L127&amp;"")&lt;&gt;"yes",'Game Records'!$U127&lt;&gt;"Subscription",'Game Records'!$U127&lt;&gt;"Free Game",'Game Records'!$K127=""),"Final Earned; ","")&amp;IF(AND(LOWER('Game Records'!$D127&amp;"")="finalized",'Game Records'!$U127&lt;&gt;"Subscription",'Game Records'!$U127&lt;&gt;"Free Game",OR('Game Records'!$L127="",LOWER('Game Records'!$L127&amp;"")="n/a")),"Disqualified Status; ",""))</x:f>
      </x:c>
      <x:c r="G127" s="331" t="str">
        <x:f>IF($A127="","",IFERROR('Game Records'!$M127,""))</x:f>
      </x:c>
    </x:row>
    <x:row r="128">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Game",OR('Game Records'!$D128="",LOWER('Game Records'!$D128&amp;"")="n/a")),"Entry Mode; ","")&amp;IF(AND('Game Records'!$U128&lt;&gt;"Subscription",'Game Records'!$U128&lt;&gt;"Free Game",OR('Game Records'!$E128="",LOWER('Game Records'!$E128&amp;"")="n/a")),"Game Type; ","")&amp;IF('Game Records'!$F128="","Payment Type; ","")&amp;IF(AND('Game Records'!$U128&lt;&gt;"Subscription",'Game Records'!$U128&lt;&gt;"Free Game",'Game Records'!$G128=""),"Gross Pot; ","")&amp;IF(AND('Game Records'!$U128&lt;&gt;"Free Game",'Game Records'!$H128=""),"Entry Fee; ","")&amp;IF(AND('Game Records'!$U128&lt;&gt;"Subscription",'Game Records'!$U128&lt;&gt;"Free Game",'Game Records'!$I128=""),"Eligible Players; ","")&amp;IF(AND('Game Records'!$U128&lt;&gt;"Subscription",'Game Records'!$U128&lt;&gt;"Free Game",'Game Records'!$J128=""),"Total Players; ","")&amp;IF(AND(LOWER('Game Records'!$D128&amp;"")="finalized",LOWER('Game Records'!$L128&amp;"")&lt;&gt;"yes",'Game Records'!$U128&lt;&gt;"Subscription",'Game Records'!$U128&lt;&gt;"Free Game",'Game Records'!$K128=""),"Final Earned; ","")&amp;IF(AND(LOWER('Game Records'!$D128&amp;"")="finalized",'Game Records'!$U128&lt;&gt;"Subscription",'Game Records'!$U128&lt;&gt;"Free Game",OR('Game Records'!$L128="",LOWER('Game Records'!$L128&amp;"")="n/a")),"Disqualified Status; ",""))</x:f>
      </x:c>
      <x:c r="G128" s="331" t="str">
        <x:f>IF($A128="","",IFERROR('Game Records'!$M128,""))</x:f>
      </x:c>
    </x:row>
    <x:row r="129">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Game",OR('Game Records'!$D129="",LOWER('Game Records'!$D129&amp;"")="n/a")),"Entry Mode; ","")&amp;IF(AND('Game Records'!$U129&lt;&gt;"Subscription",'Game Records'!$U129&lt;&gt;"Free Game",OR('Game Records'!$E129="",LOWER('Game Records'!$E129&amp;"")="n/a")),"Game Type; ","")&amp;IF('Game Records'!$F129="","Payment Type; ","")&amp;IF(AND('Game Records'!$U129&lt;&gt;"Subscription",'Game Records'!$U129&lt;&gt;"Free Game",'Game Records'!$G129=""),"Gross Pot; ","")&amp;IF(AND('Game Records'!$U129&lt;&gt;"Free Game",'Game Records'!$H129=""),"Entry Fee; ","")&amp;IF(AND('Game Records'!$U129&lt;&gt;"Subscription",'Game Records'!$U129&lt;&gt;"Free Game",'Game Records'!$I129=""),"Eligible Players; ","")&amp;IF(AND('Game Records'!$U129&lt;&gt;"Subscription",'Game Records'!$U129&lt;&gt;"Free Game",'Game Records'!$J129=""),"Total Players; ","")&amp;IF(AND(LOWER('Game Records'!$D129&amp;"")="finalized",LOWER('Game Records'!$L129&amp;"")&lt;&gt;"yes",'Game Records'!$U129&lt;&gt;"Subscription",'Game Records'!$U129&lt;&gt;"Free Game",'Game Records'!$K129=""),"Final Earned; ","")&amp;IF(AND(LOWER('Game Records'!$D129&amp;"")="finalized",'Game Records'!$U129&lt;&gt;"Subscription",'Game Records'!$U129&lt;&gt;"Free Game",OR('Game Records'!$L129="",LOWER('Game Records'!$L129&amp;"")="n/a")),"Disqualified Status; ",""))</x:f>
      </x:c>
      <x:c r="G129" s="331" t="str">
        <x:f>IF($A129="","",IFERROR('Game Records'!$M129,""))</x:f>
      </x:c>
    </x:row>
    <x:row r="130">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Game",OR('Game Records'!$D130="",LOWER('Game Records'!$D130&amp;"")="n/a")),"Entry Mode; ","")&amp;IF(AND('Game Records'!$U130&lt;&gt;"Subscription",'Game Records'!$U130&lt;&gt;"Free Game",OR('Game Records'!$E130="",LOWER('Game Records'!$E130&amp;"")="n/a")),"Game Type; ","")&amp;IF('Game Records'!$F130="","Payment Type; ","")&amp;IF(AND('Game Records'!$U130&lt;&gt;"Subscription",'Game Records'!$U130&lt;&gt;"Free Game",'Game Records'!$G130=""),"Gross Pot; ","")&amp;IF(AND('Game Records'!$U130&lt;&gt;"Free Game",'Game Records'!$H130=""),"Entry Fee; ","")&amp;IF(AND('Game Records'!$U130&lt;&gt;"Subscription",'Game Records'!$U130&lt;&gt;"Free Game",'Game Records'!$I130=""),"Eligible Players; ","")&amp;IF(AND('Game Records'!$U130&lt;&gt;"Subscription",'Game Records'!$U130&lt;&gt;"Free Game",'Game Records'!$J130=""),"Total Players; ","")&amp;IF(AND(LOWER('Game Records'!$D130&amp;"")="finalized",LOWER('Game Records'!$L130&amp;"")&lt;&gt;"yes",'Game Records'!$U130&lt;&gt;"Subscription",'Game Records'!$U130&lt;&gt;"Free Game",'Game Records'!$K130=""),"Final Earned; ","")&amp;IF(AND(LOWER('Game Records'!$D130&amp;"")="finalized",'Game Records'!$U130&lt;&gt;"Subscription",'Game Records'!$U130&lt;&gt;"Free Game",OR('Game Records'!$L130="",LOWER('Game Records'!$L130&amp;"")="n/a")),"Disqualified Status; ",""))</x:f>
      </x:c>
      <x:c r="G130" s="331" t="str">
        <x:f>IF($A130="","",IFERROR('Game Records'!$M130,""))</x:f>
      </x:c>
    </x:row>
    <x:row r="13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Game",OR('Game Records'!$D131="",LOWER('Game Records'!$D131&amp;"")="n/a")),"Entry Mode; ","")&amp;IF(AND('Game Records'!$U131&lt;&gt;"Subscription",'Game Records'!$U131&lt;&gt;"Free Game",OR('Game Records'!$E131="",LOWER('Game Records'!$E131&amp;"")="n/a")),"Game Type; ","")&amp;IF('Game Records'!$F131="","Payment Type; ","")&amp;IF(AND('Game Records'!$U131&lt;&gt;"Subscription",'Game Records'!$U131&lt;&gt;"Free Game",'Game Records'!$G131=""),"Gross Pot; ","")&amp;IF(AND('Game Records'!$U131&lt;&gt;"Free Game",'Game Records'!$H131=""),"Entry Fee; ","")&amp;IF(AND('Game Records'!$U131&lt;&gt;"Subscription",'Game Records'!$U131&lt;&gt;"Free Game",'Game Records'!$I131=""),"Eligible Players; ","")&amp;IF(AND('Game Records'!$U131&lt;&gt;"Subscription",'Game Records'!$U131&lt;&gt;"Free Game",'Game Records'!$J131=""),"Total Players; ","")&amp;IF(AND(LOWER('Game Records'!$D131&amp;"")="finalized",LOWER('Game Records'!$L131&amp;"")&lt;&gt;"yes",'Game Records'!$U131&lt;&gt;"Subscription",'Game Records'!$U131&lt;&gt;"Free Game",'Game Records'!$K131=""),"Final Earned; ","")&amp;IF(AND(LOWER('Game Records'!$D131&amp;"")="finalized",'Game Records'!$U131&lt;&gt;"Subscription",'Game Records'!$U131&lt;&gt;"Free Game",OR('Game Records'!$L131="",LOWER('Game Records'!$L131&amp;"")="n/a")),"Disqualified Status; ",""))</x:f>
      </x:c>
      <x:c r="G131" s="331" t="str">
        <x:f>IF($A131="","",IFERROR('Game Records'!$M131,""))</x:f>
      </x:c>
    </x:row>
    <x:row r="132">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Game",OR('Game Records'!$D132="",LOWER('Game Records'!$D132&amp;"")="n/a")),"Entry Mode; ","")&amp;IF(AND('Game Records'!$U132&lt;&gt;"Subscription",'Game Records'!$U132&lt;&gt;"Free Game",OR('Game Records'!$E132="",LOWER('Game Records'!$E132&amp;"")="n/a")),"Game Type; ","")&amp;IF('Game Records'!$F132="","Payment Type; ","")&amp;IF(AND('Game Records'!$U132&lt;&gt;"Subscription",'Game Records'!$U132&lt;&gt;"Free Game",'Game Records'!$G132=""),"Gross Pot; ","")&amp;IF(AND('Game Records'!$U132&lt;&gt;"Free Game",'Game Records'!$H132=""),"Entry Fee; ","")&amp;IF(AND('Game Records'!$U132&lt;&gt;"Subscription",'Game Records'!$U132&lt;&gt;"Free Game",'Game Records'!$I132=""),"Eligible Players; ","")&amp;IF(AND('Game Records'!$U132&lt;&gt;"Subscription",'Game Records'!$U132&lt;&gt;"Free Game",'Game Records'!$J132=""),"Total Players; ","")&amp;IF(AND(LOWER('Game Records'!$D132&amp;"")="finalized",LOWER('Game Records'!$L132&amp;"")&lt;&gt;"yes",'Game Records'!$U132&lt;&gt;"Subscription",'Game Records'!$U132&lt;&gt;"Free Game",'Game Records'!$K132=""),"Final Earned; ","")&amp;IF(AND(LOWER('Game Records'!$D132&amp;"")="finalized",'Game Records'!$U132&lt;&gt;"Subscription",'Game Records'!$U132&lt;&gt;"Free Game",OR('Game Records'!$L132="",LOWER('Game Records'!$L132&amp;"")="n/a")),"Disqualified Status; ",""))</x:f>
      </x:c>
      <x:c r="G132" s="331" t="str">
        <x:f>IF($A132="","",IFERROR('Game Records'!$M132,""))</x:f>
      </x:c>
    </x:row>
    <x:row r="133">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Game",OR('Game Records'!$D133="",LOWER('Game Records'!$D133&amp;"")="n/a")),"Entry Mode; ","")&amp;IF(AND('Game Records'!$U133&lt;&gt;"Subscription",'Game Records'!$U133&lt;&gt;"Free Game",OR('Game Records'!$E133="",LOWER('Game Records'!$E133&amp;"")="n/a")),"Game Type; ","")&amp;IF('Game Records'!$F133="","Payment Type; ","")&amp;IF(AND('Game Records'!$U133&lt;&gt;"Subscription",'Game Records'!$U133&lt;&gt;"Free Game",'Game Records'!$G133=""),"Gross Pot; ","")&amp;IF(AND('Game Records'!$U133&lt;&gt;"Free Game",'Game Records'!$H133=""),"Entry Fee; ","")&amp;IF(AND('Game Records'!$U133&lt;&gt;"Subscription",'Game Records'!$U133&lt;&gt;"Free Game",'Game Records'!$I133=""),"Eligible Players; ","")&amp;IF(AND('Game Records'!$U133&lt;&gt;"Subscription",'Game Records'!$U133&lt;&gt;"Free Game",'Game Records'!$J133=""),"Total Players; ","")&amp;IF(AND(LOWER('Game Records'!$D133&amp;"")="finalized",LOWER('Game Records'!$L133&amp;"")&lt;&gt;"yes",'Game Records'!$U133&lt;&gt;"Subscription",'Game Records'!$U133&lt;&gt;"Free Game",'Game Records'!$K133=""),"Final Earned; ","")&amp;IF(AND(LOWER('Game Records'!$D133&amp;"")="finalized",'Game Records'!$U133&lt;&gt;"Subscription",'Game Records'!$U133&lt;&gt;"Free Game",OR('Game Records'!$L133="",LOWER('Game Records'!$L133&amp;"")="n/a")),"Disqualified Status; ",""))</x:f>
      </x:c>
      <x:c r="G133" s="331" t="str">
        <x:f>IF($A133="","",IFERROR('Game Records'!$M133,""))</x:f>
      </x:c>
    </x:row>
    <x:row r="134">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Game",OR('Game Records'!$D134="",LOWER('Game Records'!$D134&amp;"")="n/a")),"Entry Mode; ","")&amp;IF(AND('Game Records'!$U134&lt;&gt;"Subscription",'Game Records'!$U134&lt;&gt;"Free Game",OR('Game Records'!$E134="",LOWER('Game Records'!$E134&amp;"")="n/a")),"Game Type; ","")&amp;IF('Game Records'!$F134="","Payment Type; ","")&amp;IF(AND('Game Records'!$U134&lt;&gt;"Subscription",'Game Records'!$U134&lt;&gt;"Free Game",'Game Records'!$G134=""),"Gross Pot; ","")&amp;IF(AND('Game Records'!$U134&lt;&gt;"Free Game",'Game Records'!$H134=""),"Entry Fee; ","")&amp;IF(AND('Game Records'!$U134&lt;&gt;"Subscription",'Game Records'!$U134&lt;&gt;"Free Game",'Game Records'!$I134=""),"Eligible Players; ","")&amp;IF(AND('Game Records'!$U134&lt;&gt;"Subscription",'Game Records'!$U134&lt;&gt;"Free Game",'Game Records'!$J134=""),"Total Players; ","")&amp;IF(AND(LOWER('Game Records'!$D134&amp;"")="finalized",LOWER('Game Records'!$L134&amp;"")&lt;&gt;"yes",'Game Records'!$U134&lt;&gt;"Subscription",'Game Records'!$U134&lt;&gt;"Free Game",'Game Records'!$K134=""),"Final Earned; ","")&amp;IF(AND(LOWER('Game Records'!$D134&amp;"")="finalized",'Game Records'!$U134&lt;&gt;"Subscription",'Game Records'!$U134&lt;&gt;"Free Game",OR('Game Records'!$L134="",LOWER('Game Records'!$L134&amp;"")="n/a")),"Disqualified Status; ",""))</x:f>
      </x:c>
      <x:c r="G134" s="331" t="str">
        <x:f>IF($A134="","",IFERROR('Game Records'!$M134,""))</x:f>
      </x:c>
    </x:row>
    <x:row r="135">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Game",OR('Game Records'!$D135="",LOWER('Game Records'!$D135&amp;"")="n/a")),"Entry Mode; ","")&amp;IF(AND('Game Records'!$U135&lt;&gt;"Subscription",'Game Records'!$U135&lt;&gt;"Free Game",OR('Game Records'!$E135="",LOWER('Game Records'!$E135&amp;"")="n/a")),"Game Type; ","")&amp;IF('Game Records'!$F135="","Payment Type; ","")&amp;IF(AND('Game Records'!$U135&lt;&gt;"Subscription",'Game Records'!$U135&lt;&gt;"Free Game",'Game Records'!$G135=""),"Gross Pot; ","")&amp;IF(AND('Game Records'!$U135&lt;&gt;"Free Game",'Game Records'!$H135=""),"Entry Fee; ","")&amp;IF(AND('Game Records'!$U135&lt;&gt;"Subscription",'Game Records'!$U135&lt;&gt;"Free Game",'Game Records'!$I135=""),"Eligible Players; ","")&amp;IF(AND('Game Records'!$U135&lt;&gt;"Subscription",'Game Records'!$U135&lt;&gt;"Free Game",'Game Records'!$J135=""),"Total Players; ","")&amp;IF(AND(LOWER('Game Records'!$D135&amp;"")="finalized",LOWER('Game Records'!$L135&amp;"")&lt;&gt;"yes",'Game Records'!$U135&lt;&gt;"Subscription",'Game Records'!$U135&lt;&gt;"Free Game",'Game Records'!$K135=""),"Final Earned; ","")&amp;IF(AND(LOWER('Game Records'!$D135&amp;"")="finalized",'Game Records'!$U135&lt;&gt;"Subscription",'Game Records'!$U135&lt;&gt;"Free Game",OR('Game Records'!$L135="",LOWER('Game Records'!$L135&amp;"")="n/a")),"Disqualified Status; ",""))</x:f>
      </x:c>
      <x:c r="G135" s="331" t="str">
        <x:f>IF($A135="","",IFERROR('Game Records'!$M135,""))</x:f>
      </x:c>
    </x:row>
    <x:row r="136">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Game",OR('Game Records'!$D136="",LOWER('Game Records'!$D136&amp;"")="n/a")),"Entry Mode; ","")&amp;IF(AND('Game Records'!$U136&lt;&gt;"Subscription",'Game Records'!$U136&lt;&gt;"Free Game",OR('Game Records'!$E136="",LOWER('Game Records'!$E136&amp;"")="n/a")),"Game Type; ","")&amp;IF('Game Records'!$F136="","Payment Type; ","")&amp;IF(AND('Game Records'!$U136&lt;&gt;"Subscription",'Game Records'!$U136&lt;&gt;"Free Game",'Game Records'!$G136=""),"Gross Pot; ","")&amp;IF(AND('Game Records'!$U136&lt;&gt;"Free Game",'Game Records'!$H136=""),"Entry Fee; ","")&amp;IF(AND('Game Records'!$U136&lt;&gt;"Subscription",'Game Records'!$U136&lt;&gt;"Free Game",'Game Records'!$I136=""),"Eligible Players; ","")&amp;IF(AND('Game Records'!$U136&lt;&gt;"Subscription",'Game Records'!$U136&lt;&gt;"Free Game",'Game Records'!$J136=""),"Total Players; ","")&amp;IF(AND(LOWER('Game Records'!$D136&amp;"")="finalized",LOWER('Game Records'!$L136&amp;"")&lt;&gt;"yes",'Game Records'!$U136&lt;&gt;"Subscription",'Game Records'!$U136&lt;&gt;"Free Game",'Game Records'!$K136=""),"Final Earned; ","")&amp;IF(AND(LOWER('Game Records'!$D136&amp;"")="finalized",'Game Records'!$U136&lt;&gt;"Subscription",'Game Records'!$U136&lt;&gt;"Free Game",OR('Game Records'!$L136="",LOWER('Game Records'!$L136&amp;"")="n/a")),"Disqualified Status; ",""))</x:f>
      </x:c>
      <x:c r="G136" s="331" t="str">
        <x:f>IF($A136="","",IFERROR('Game Records'!$M136,""))</x:f>
      </x:c>
    </x:row>
    <x:row r="137">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Game",OR('Game Records'!$D137="",LOWER('Game Records'!$D137&amp;"")="n/a")),"Entry Mode; ","")&amp;IF(AND('Game Records'!$U137&lt;&gt;"Subscription",'Game Records'!$U137&lt;&gt;"Free Game",OR('Game Records'!$E137="",LOWER('Game Records'!$E137&amp;"")="n/a")),"Game Type; ","")&amp;IF('Game Records'!$F137="","Payment Type; ","")&amp;IF(AND('Game Records'!$U137&lt;&gt;"Subscription",'Game Records'!$U137&lt;&gt;"Free Game",'Game Records'!$G137=""),"Gross Pot; ","")&amp;IF(AND('Game Records'!$U137&lt;&gt;"Free Game",'Game Records'!$H137=""),"Entry Fee; ","")&amp;IF(AND('Game Records'!$U137&lt;&gt;"Subscription",'Game Records'!$U137&lt;&gt;"Free Game",'Game Records'!$I137=""),"Eligible Players; ","")&amp;IF(AND('Game Records'!$U137&lt;&gt;"Subscription",'Game Records'!$U137&lt;&gt;"Free Game",'Game Records'!$J137=""),"Total Players; ","")&amp;IF(AND(LOWER('Game Records'!$D137&amp;"")="finalized",LOWER('Game Records'!$L137&amp;"")&lt;&gt;"yes",'Game Records'!$U137&lt;&gt;"Subscription",'Game Records'!$U137&lt;&gt;"Free Game",'Game Records'!$K137=""),"Final Earned; ","")&amp;IF(AND(LOWER('Game Records'!$D137&amp;"")="finalized",'Game Records'!$U137&lt;&gt;"Subscription",'Game Records'!$U137&lt;&gt;"Free Game",OR('Game Records'!$L137="",LOWER('Game Records'!$L137&amp;"")="n/a")),"Disqualified Status; ",""))</x:f>
      </x:c>
      <x:c r="G137" s="331" t="str">
        <x:f>IF($A137="","",IFERROR('Game Records'!$M137,""))</x:f>
      </x:c>
    </x:row>
    <x:row r="138">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Game",OR('Game Records'!$D138="",LOWER('Game Records'!$D138&amp;"")="n/a")),"Entry Mode; ","")&amp;IF(AND('Game Records'!$U138&lt;&gt;"Subscription",'Game Records'!$U138&lt;&gt;"Free Game",OR('Game Records'!$E138="",LOWER('Game Records'!$E138&amp;"")="n/a")),"Game Type; ","")&amp;IF('Game Records'!$F138="","Payment Type; ","")&amp;IF(AND('Game Records'!$U138&lt;&gt;"Subscription",'Game Records'!$U138&lt;&gt;"Free Game",'Game Records'!$G138=""),"Gross Pot; ","")&amp;IF(AND('Game Records'!$U138&lt;&gt;"Free Game",'Game Records'!$H138=""),"Entry Fee; ","")&amp;IF(AND('Game Records'!$U138&lt;&gt;"Subscription",'Game Records'!$U138&lt;&gt;"Free Game",'Game Records'!$I138=""),"Eligible Players; ","")&amp;IF(AND('Game Records'!$U138&lt;&gt;"Subscription",'Game Records'!$U138&lt;&gt;"Free Game",'Game Records'!$J138=""),"Total Players; ","")&amp;IF(AND(LOWER('Game Records'!$D138&amp;"")="finalized",LOWER('Game Records'!$L138&amp;"")&lt;&gt;"yes",'Game Records'!$U138&lt;&gt;"Subscription",'Game Records'!$U138&lt;&gt;"Free Game",'Game Records'!$K138=""),"Final Earned; ","")&amp;IF(AND(LOWER('Game Records'!$D138&amp;"")="finalized",'Game Records'!$U138&lt;&gt;"Subscription",'Game Records'!$U138&lt;&gt;"Free Game",OR('Game Records'!$L138="",LOWER('Game Records'!$L138&amp;"")="n/a")),"Disqualified Status; ",""))</x:f>
      </x:c>
      <x:c r="G138" s="331" t="str">
        <x:f>IF($A138="","",IFERROR('Game Records'!$M138,""))</x:f>
      </x:c>
    </x:row>
    <x:row r="139">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Game",OR('Game Records'!$D139="",LOWER('Game Records'!$D139&amp;"")="n/a")),"Entry Mode; ","")&amp;IF(AND('Game Records'!$U139&lt;&gt;"Subscription",'Game Records'!$U139&lt;&gt;"Free Game",OR('Game Records'!$E139="",LOWER('Game Records'!$E139&amp;"")="n/a")),"Game Type; ","")&amp;IF('Game Records'!$F139="","Payment Type; ","")&amp;IF(AND('Game Records'!$U139&lt;&gt;"Subscription",'Game Records'!$U139&lt;&gt;"Free Game",'Game Records'!$G139=""),"Gross Pot; ","")&amp;IF(AND('Game Records'!$U139&lt;&gt;"Free Game",'Game Records'!$H139=""),"Entry Fee; ","")&amp;IF(AND('Game Records'!$U139&lt;&gt;"Subscription",'Game Records'!$U139&lt;&gt;"Free Game",'Game Records'!$I139=""),"Eligible Players; ","")&amp;IF(AND('Game Records'!$U139&lt;&gt;"Subscription",'Game Records'!$U139&lt;&gt;"Free Game",'Game Records'!$J139=""),"Total Players; ","")&amp;IF(AND(LOWER('Game Records'!$D139&amp;"")="finalized",LOWER('Game Records'!$L139&amp;"")&lt;&gt;"yes",'Game Records'!$U139&lt;&gt;"Subscription",'Game Records'!$U139&lt;&gt;"Free Game",'Game Records'!$K139=""),"Final Earned; ","")&amp;IF(AND(LOWER('Game Records'!$D139&amp;"")="finalized",'Game Records'!$U139&lt;&gt;"Subscription",'Game Records'!$U139&lt;&gt;"Free Game",OR('Game Records'!$L139="",LOWER('Game Records'!$L139&amp;"")="n/a")),"Disqualified Status; ",""))</x:f>
      </x:c>
      <x:c r="G139" s="331" t="str">
        <x:f>IF($A139="","",IFERROR('Game Records'!$M139,""))</x:f>
      </x:c>
    </x:row>
    <x:row r="140">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Game",OR('Game Records'!$D140="",LOWER('Game Records'!$D140&amp;"")="n/a")),"Entry Mode; ","")&amp;IF(AND('Game Records'!$U140&lt;&gt;"Subscription",'Game Records'!$U140&lt;&gt;"Free Game",OR('Game Records'!$E140="",LOWER('Game Records'!$E140&amp;"")="n/a")),"Game Type; ","")&amp;IF('Game Records'!$F140="","Payment Type; ","")&amp;IF(AND('Game Records'!$U140&lt;&gt;"Subscription",'Game Records'!$U140&lt;&gt;"Free Game",'Game Records'!$G140=""),"Gross Pot; ","")&amp;IF(AND('Game Records'!$U140&lt;&gt;"Free Game",'Game Records'!$H140=""),"Entry Fee; ","")&amp;IF(AND('Game Records'!$U140&lt;&gt;"Subscription",'Game Records'!$U140&lt;&gt;"Free Game",'Game Records'!$I140=""),"Eligible Players; ","")&amp;IF(AND('Game Records'!$U140&lt;&gt;"Subscription",'Game Records'!$U140&lt;&gt;"Free Game",'Game Records'!$J140=""),"Total Players; ","")&amp;IF(AND(LOWER('Game Records'!$D140&amp;"")="finalized",LOWER('Game Records'!$L140&amp;"")&lt;&gt;"yes",'Game Records'!$U140&lt;&gt;"Subscription",'Game Records'!$U140&lt;&gt;"Free Game",'Game Records'!$K140=""),"Final Earned; ","")&amp;IF(AND(LOWER('Game Records'!$D140&amp;"")="finalized",'Game Records'!$U140&lt;&gt;"Subscription",'Game Records'!$U140&lt;&gt;"Free Game",OR('Game Records'!$L140="",LOWER('Game Records'!$L140&amp;"")="n/a")),"Disqualified Status; ",""))</x:f>
      </x:c>
      <x:c r="G140" s="331" t="str">
        <x:f>IF($A140="","",IFERROR('Game Records'!$M140,""))</x:f>
      </x:c>
    </x:row>
    <x:row r="14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Game",OR('Game Records'!$D141="",LOWER('Game Records'!$D141&amp;"")="n/a")),"Entry Mode; ","")&amp;IF(AND('Game Records'!$U141&lt;&gt;"Subscription",'Game Records'!$U141&lt;&gt;"Free Game",OR('Game Records'!$E141="",LOWER('Game Records'!$E141&amp;"")="n/a")),"Game Type; ","")&amp;IF('Game Records'!$F141="","Payment Type; ","")&amp;IF(AND('Game Records'!$U141&lt;&gt;"Subscription",'Game Records'!$U141&lt;&gt;"Free Game",'Game Records'!$G141=""),"Gross Pot; ","")&amp;IF(AND('Game Records'!$U141&lt;&gt;"Free Game",'Game Records'!$H141=""),"Entry Fee; ","")&amp;IF(AND('Game Records'!$U141&lt;&gt;"Subscription",'Game Records'!$U141&lt;&gt;"Free Game",'Game Records'!$I141=""),"Eligible Players; ","")&amp;IF(AND('Game Records'!$U141&lt;&gt;"Subscription",'Game Records'!$U141&lt;&gt;"Free Game",'Game Records'!$J141=""),"Total Players; ","")&amp;IF(AND(LOWER('Game Records'!$D141&amp;"")="finalized",LOWER('Game Records'!$L141&amp;"")&lt;&gt;"yes",'Game Records'!$U141&lt;&gt;"Subscription",'Game Records'!$U141&lt;&gt;"Free Game",'Game Records'!$K141=""),"Final Earned; ","")&amp;IF(AND(LOWER('Game Records'!$D141&amp;"")="finalized",'Game Records'!$U141&lt;&gt;"Subscription",'Game Records'!$U141&lt;&gt;"Free Game",OR('Game Records'!$L141="",LOWER('Game Records'!$L141&amp;"")="n/a")),"Disqualified Status; ",""))</x:f>
      </x:c>
      <x:c r="G141" s="331" t="str">
        <x:f>IF($A141="","",IFERROR('Game Records'!$M141,""))</x:f>
      </x:c>
    </x:row>
    <x:row r="142">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Game",OR('Game Records'!$D142="",LOWER('Game Records'!$D142&amp;"")="n/a")),"Entry Mode; ","")&amp;IF(AND('Game Records'!$U142&lt;&gt;"Subscription",'Game Records'!$U142&lt;&gt;"Free Game",OR('Game Records'!$E142="",LOWER('Game Records'!$E142&amp;"")="n/a")),"Game Type; ","")&amp;IF('Game Records'!$F142="","Payment Type; ","")&amp;IF(AND('Game Records'!$U142&lt;&gt;"Subscription",'Game Records'!$U142&lt;&gt;"Free Game",'Game Records'!$G142=""),"Gross Pot; ","")&amp;IF(AND('Game Records'!$U142&lt;&gt;"Free Game",'Game Records'!$H142=""),"Entry Fee; ","")&amp;IF(AND('Game Records'!$U142&lt;&gt;"Subscription",'Game Records'!$U142&lt;&gt;"Free Game",'Game Records'!$I142=""),"Eligible Players; ","")&amp;IF(AND('Game Records'!$U142&lt;&gt;"Subscription",'Game Records'!$U142&lt;&gt;"Free Game",'Game Records'!$J142=""),"Total Players; ","")&amp;IF(AND(LOWER('Game Records'!$D142&amp;"")="finalized",LOWER('Game Records'!$L142&amp;"")&lt;&gt;"yes",'Game Records'!$U142&lt;&gt;"Subscription",'Game Records'!$U142&lt;&gt;"Free Game",'Game Records'!$K142=""),"Final Earned; ","")&amp;IF(AND(LOWER('Game Records'!$D142&amp;"")="finalized",'Game Records'!$U142&lt;&gt;"Subscription",'Game Records'!$U142&lt;&gt;"Free Game",OR('Game Records'!$L142="",LOWER('Game Records'!$L142&amp;"")="n/a")),"Disqualified Status; ",""))</x:f>
      </x:c>
      <x:c r="G142" s="331" t="str">
        <x:f>IF($A142="","",IFERROR('Game Records'!$M142,""))</x:f>
      </x:c>
    </x:row>
    <x:row r="143">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Game",OR('Game Records'!$D143="",LOWER('Game Records'!$D143&amp;"")="n/a")),"Entry Mode; ","")&amp;IF(AND('Game Records'!$U143&lt;&gt;"Subscription",'Game Records'!$U143&lt;&gt;"Free Game",OR('Game Records'!$E143="",LOWER('Game Records'!$E143&amp;"")="n/a")),"Game Type; ","")&amp;IF('Game Records'!$F143="","Payment Type; ","")&amp;IF(AND('Game Records'!$U143&lt;&gt;"Subscription",'Game Records'!$U143&lt;&gt;"Free Game",'Game Records'!$G143=""),"Gross Pot; ","")&amp;IF(AND('Game Records'!$U143&lt;&gt;"Free Game",'Game Records'!$H143=""),"Entry Fee; ","")&amp;IF(AND('Game Records'!$U143&lt;&gt;"Subscription",'Game Records'!$U143&lt;&gt;"Free Game",'Game Records'!$I143=""),"Eligible Players; ","")&amp;IF(AND('Game Records'!$U143&lt;&gt;"Subscription",'Game Records'!$U143&lt;&gt;"Free Game",'Game Records'!$J143=""),"Total Players; ","")&amp;IF(AND(LOWER('Game Records'!$D143&amp;"")="finalized",LOWER('Game Records'!$L143&amp;"")&lt;&gt;"yes",'Game Records'!$U143&lt;&gt;"Subscription",'Game Records'!$U143&lt;&gt;"Free Game",'Game Records'!$K143=""),"Final Earned; ","")&amp;IF(AND(LOWER('Game Records'!$D143&amp;"")="finalized",'Game Records'!$U143&lt;&gt;"Subscription",'Game Records'!$U143&lt;&gt;"Free Game",OR('Game Records'!$L143="",LOWER('Game Records'!$L143&amp;"")="n/a")),"Disqualified Status; ",""))</x:f>
      </x:c>
      <x:c r="G143" s="331" t="str">
        <x:f>IF($A143="","",IFERROR('Game Records'!$M143,""))</x:f>
      </x:c>
    </x:row>
    <x:row r="144">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Game",OR('Game Records'!$D144="",LOWER('Game Records'!$D144&amp;"")="n/a")),"Entry Mode; ","")&amp;IF(AND('Game Records'!$U144&lt;&gt;"Subscription",'Game Records'!$U144&lt;&gt;"Free Game",OR('Game Records'!$E144="",LOWER('Game Records'!$E144&amp;"")="n/a")),"Game Type; ","")&amp;IF('Game Records'!$F144="","Payment Type; ","")&amp;IF(AND('Game Records'!$U144&lt;&gt;"Subscription",'Game Records'!$U144&lt;&gt;"Free Game",'Game Records'!$G144=""),"Gross Pot; ","")&amp;IF(AND('Game Records'!$U144&lt;&gt;"Free Game",'Game Records'!$H144=""),"Entry Fee; ","")&amp;IF(AND('Game Records'!$U144&lt;&gt;"Subscription",'Game Records'!$U144&lt;&gt;"Free Game",'Game Records'!$I144=""),"Eligible Players; ","")&amp;IF(AND('Game Records'!$U144&lt;&gt;"Subscription",'Game Records'!$U144&lt;&gt;"Free Game",'Game Records'!$J144=""),"Total Players; ","")&amp;IF(AND(LOWER('Game Records'!$D144&amp;"")="finalized",LOWER('Game Records'!$L144&amp;"")&lt;&gt;"yes",'Game Records'!$U144&lt;&gt;"Subscription",'Game Records'!$U144&lt;&gt;"Free Game",'Game Records'!$K144=""),"Final Earned; ","")&amp;IF(AND(LOWER('Game Records'!$D144&amp;"")="finalized",'Game Records'!$U144&lt;&gt;"Subscription",'Game Records'!$U144&lt;&gt;"Free Game",OR('Game Records'!$L144="",LOWER('Game Records'!$L144&amp;"")="n/a")),"Disqualified Status; ",""))</x:f>
      </x:c>
      <x:c r="G144" s="331" t="str">
        <x:f>IF($A144="","",IFERROR('Game Records'!$M144,""))</x:f>
      </x:c>
    </x:row>
    <x:row r="145">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Game",OR('Game Records'!$D145="",LOWER('Game Records'!$D145&amp;"")="n/a")),"Entry Mode; ","")&amp;IF(AND('Game Records'!$U145&lt;&gt;"Subscription",'Game Records'!$U145&lt;&gt;"Free Game",OR('Game Records'!$E145="",LOWER('Game Records'!$E145&amp;"")="n/a")),"Game Type; ","")&amp;IF('Game Records'!$F145="","Payment Type; ","")&amp;IF(AND('Game Records'!$U145&lt;&gt;"Subscription",'Game Records'!$U145&lt;&gt;"Free Game",'Game Records'!$G145=""),"Gross Pot; ","")&amp;IF(AND('Game Records'!$U145&lt;&gt;"Free Game",'Game Records'!$H145=""),"Entry Fee; ","")&amp;IF(AND('Game Records'!$U145&lt;&gt;"Subscription",'Game Records'!$U145&lt;&gt;"Free Game",'Game Records'!$I145=""),"Eligible Players; ","")&amp;IF(AND('Game Records'!$U145&lt;&gt;"Subscription",'Game Records'!$U145&lt;&gt;"Free Game",'Game Records'!$J145=""),"Total Players; ","")&amp;IF(AND(LOWER('Game Records'!$D145&amp;"")="finalized",LOWER('Game Records'!$L145&amp;"")&lt;&gt;"yes",'Game Records'!$U145&lt;&gt;"Subscription",'Game Records'!$U145&lt;&gt;"Free Game",'Game Records'!$K145=""),"Final Earned; ","")&amp;IF(AND(LOWER('Game Records'!$D145&amp;"")="finalized",'Game Records'!$U145&lt;&gt;"Subscription",'Game Records'!$U145&lt;&gt;"Free Game",OR('Game Records'!$L145="",LOWER('Game Records'!$L145&amp;"")="n/a")),"Disqualified Status; ",""))</x:f>
      </x:c>
      <x:c r="G145" s="331" t="str">
        <x:f>IF($A145="","",IFERROR('Game Records'!$M145,""))</x:f>
      </x:c>
    </x:row>
    <x:row r="146">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Game",OR('Game Records'!$D146="",LOWER('Game Records'!$D146&amp;"")="n/a")),"Entry Mode; ","")&amp;IF(AND('Game Records'!$U146&lt;&gt;"Subscription",'Game Records'!$U146&lt;&gt;"Free Game",OR('Game Records'!$E146="",LOWER('Game Records'!$E146&amp;"")="n/a")),"Game Type; ","")&amp;IF('Game Records'!$F146="","Payment Type; ","")&amp;IF(AND('Game Records'!$U146&lt;&gt;"Subscription",'Game Records'!$U146&lt;&gt;"Free Game",'Game Records'!$G146=""),"Gross Pot; ","")&amp;IF(AND('Game Records'!$U146&lt;&gt;"Free Game",'Game Records'!$H146=""),"Entry Fee; ","")&amp;IF(AND('Game Records'!$U146&lt;&gt;"Subscription",'Game Records'!$U146&lt;&gt;"Free Game",'Game Records'!$I146=""),"Eligible Players; ","")&amp;IF(AND('Game Records'!$U146&lt;&gt;"Subscription",'Game Records'!$U146&lt;&gt;"Free Game",'Game Records'!$J146=""),"Total Players; ","")&amp;IF(AND(LOWER('Game Records'!$D146&amp;"")="finalized",LOWER('Game Records'!$L146&amp;"")&lt;&gt;"yes",'Game Records'!$U146&lt;&gt;"Subscription",'Game Records'!$U146&lt;&gt;"Free Game",'Game Records'!$K146=""),"Final Earned; ","")&amp;IF(AND(LOWER('Game Records'!$D146&amp;"")="finalized",'Game Records'!$U146&lt;&gt;"Subscription",'Game Records'!$U146&lt;&gt;"Free Game",OR('Game Records'!$L146="",LOWER('Game Records'!$L146&amp;"")="n/a")),"Disqualified Status; ",""))</x:f>
      </x:c>
      <x:c r="G146" s="331" t="str">
        <x:f>IF($A146="","",IFERROR('Game Records'!$M146,""))</x:f>
      </x:c>
    </x:row>
    <x:row r="147">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Game",OR('Game Records'!$D147="",LOWER('Game Records'!$D147&amp;"")="n/a")),"Entry Mode; ","")&amp;IF(AND('Game Records'!$U147&lt;&gt;"Subscription",'Game Records'!$U147&lt;&gt;"Free Game",OR('Game Records'!$E147="",LOWER('Game Records'!$E147&amp;"")="n/a")),"Game Type; ","")&amp;IF('Game Records'!$F147="","Payment Type; ","")&amp;IF(AND('Game Records'!$U147&lt;&gt;"Subscription",'Game Records'!$U147&lt;&gt;"Free Game",'Game Records'!$G147=""),"Gross Pot; ","")&amp;IF(AND('Game Records'!$U147&lt;&gt;"Free Game",'Game Records'!$H147=""),"Entry Fee; ","")&amp;IF(AND('Game Records'!$U147&lt;&gt;"Subscription",'Game Records'!$U147&lt;&gt;"Free Game",'Game Records'!$I147=""),"Eligible Players; ","")&amp;IF(AND('Game Records'!$U147&lt;&gt;"Subscription",'Game Records'!$U147&lt;&gt;"Free Game",'Game Records'!$J147=""),"Total Players; ","")&amp;IF(AND(LOWER('Game Records'!$D147&amp;"")="finalized",LOWER('Game Records'!$L147&amp;"")&lt;&gt;"yes",'Game Records'!$U147&lt;&gt;"Subscription",'Game Records'!$U147&lt;&gt;"Free Game",'Game Records'!$K147=""),"Final Earned; ","")&amp;IF(AND(LOWER('Game Records'!$D147&amp;"")="finalized",'Game Records'!$U147&lt;&gt;"Subscription",'Game Records'!$U147&lt;&gt;"Free Game",OR('Game Records'!$L147="",LOWER('Game Records'!$L147&amp;"")="n/a")),"Disqualified Status; ",""))</x:f>
      </x:c>
      <x:c r="G147" s="331" t="str">
        <x:f>IF($A147="","",IFERROR('Game Records'!$M147,""))</x:f>
      </x:c>
    </x:row>
    <x:row r="148">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Game",OR('Game Records'!$D148="",LOWER('Game Records'!$D148&amp;"")="n/a")),"Entry Mode; ","")&amp;IF(AND('Game Records'!$U148&lt;&gt;"Subscription",'Game Records'!$U148&lt;&gt;"Free Game",OR('Game Records'!$E148="",LOWER('Game Records'!$E148&amp;"")="n/a")),"Game Type; ","")&amp;IF('Game Records'!$F148="","Payment Type; ","")&amp;IF(AND('Game Records'!$U148&lt;&gt;"Subscription",'Game Records'!$U148&lt;&gt;"Free Game",'Game Records'!$G148=""),"Gross Pot; ","")&amp;IF(AND('Game Records'!$U148&lt;&gt;"Free Game",'Game Records'!$H148=""),"Entry Fee; ","")&amp;IF(AND('Game Records'!$U148&lt;&gt;"Subscription",'Game Records'!$U148&lt;&gt;"Free Game",'Game Records'!$I148=""),"Eligible Players; ","")&amp;IF(AND('Game Records'!$U148&lt;&gt;"Subscription",'Game Records'!$U148&lt;&gt;"Free Game",'Game Records'!$J148=""),"Total Players; ","")&amp;IF(AND(LOWER('Game Records'!$D148&amp;"")="finalized",LOWER('Game Records'!$L148&amp;"")&lt;&gt;"yes",'Game Records'!$U148&lt;&gt;"Subscription",'Game Records'!$U148&lt;&gt;"Free Game",'Game Records'!$K148=""),"Final Earned; ","")&amp;IF(AND(LOWER('Game Records'!$D148&amp;"")="finalized",'Game Records'!$U148&lt;&gt;"Subscription",'Game Records'!$U148&lt;&gt;"Free Game",OR('Game Records'!$L148="",LOWER('Game Records'!$L148&amp;"")="n/a")),"Disqualified Status; ",""))</x:f>
      </x:c>
      <x:c r="G148" s="331" t="str">
        <x:f>IF($A148="","",IFERROR('Game Records'!$M148,""))</x:f>
      </x:c>
    </x:row>
    <x:row r="149">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Game",OR('Game Records'!$D149="",LOWER('Game Records'!$D149&amp;"")="n/a")),"Entry Mode; ","")&amp;IF(AND('Game Records'!$U149&lt;&gt;"Subscription",'Game Records'!$U149&lt;&gt;"Free Game",OR('Game Records'!$E149="",LOWER('Game Records'!$E149&amp;"")="n/a")),"Game Type; ","")&amp;IF('Game Records'!$F149="","Payment Type; ","")&amp;IF(AND('Game Records'!$U149&lt;&gt;"Subscription",'Game Records'!$U149&lt;&gt;"Free Game",'Game Records'!$G149=""),"Gross Pot; ","")&amp;IF(AND('Game Records'!$U149&lt;&gt;"Free Game",'Game Records'!$H149=""),"Entry Fee; ","")&amp;IF(AND('Game Records'!$U149&lt;&gt;"Subscription",'Game Records'!$U149&lt;&gt;"Free Game",'Game Records'!$I149=""),"Eligible Players; ","")&amp;IF(AND('Game Records'!$U149&lt;&gt;"Subscription",'Game Records'!$U149&lt;&gt;"Free Game",'Game Records'!$J149=""),"Total Players; ","")&amp;IF(AND(LOWER('Game Records'!$D149&amp;"")="finalized",LOWER('Game Records'!$L149&amp;"")&lt;&gt;"yes",'Game Records'!$U149&lt;&gt;"Subscription",'Game Records'!$U149&lt;&gt;"Free Game",'Game Records'!$K149=""),"Final Earned; ","")&amp;IF(AND(LOWER('Game Records'!$D149&amp;"")="finalized",'Game Records'!$U149&lt;&gt;"Subscription",'Game Records'!$U149&lt;&gt;"Free Game",OR('Game Records'!$L149="",LOWER('Game Records'!$L149&amp;"")="n/a")),"Disqualified Status; ",""))</x:f>
      </x:c>
      <x:c r="G149" s="331" t="str">
        <x:f>IF($A149="","",IFERROR('Game Records'!$M149,""))</x:f>
      </x:c>
    </x:row>
    <x:row r="150">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Game",OR('Game Records'!$D150="",LOWER('Game Records'!$D150&amp;"")="n/a")),"Entry Mode; ","")&amp;IF(AND('Game Records'!$U150&lt;&gt;"Subscription",'Game Records'!$U150&lt;&gt;"Free Game",OR('Game Records'!$E150="",LOWER('Game Records'!$E150&amp;"")="n/a")),"Game Type; ","")&amp;IF('Game Records'!$F150="","Payment Type; ","")&amp;IF(AND('Game Records'!$U150&lt;&gt;"Subscription",'Game Records'!$U150&lt;&gt;"Free Game",'Game Records'!$G150=""),"Gross Pot; ","")&amp;IF(AND('Game Records'!$U150&lt;&gt;"Free Game",'Game Records'!$H150=""),"Entry Fee; ","")&amp;IF(AND('Game Records'!$U150&lt;&gt;"Subscription",'Game Records'!$U150&lt;&gt;"Free Game",'Game Records'!$I150=""),"Eligible Players; ","")&amp;IF(AND('Game Records'!$U150&lt;&gt;"Subscription",'Game Records'!$U150&lt;&gt;"Free Game",'Game Records'!$J150=""),"Total Players; ","")&amp;IF(AND(LOWER('Game Records'!$D150&amp;"")="finalized",LOWER('Game Records'!$L150&amp;"")&lt;&gt;"yes",'Game Records'!$U150&lt;&gt;"Subscription",'Game Records'!$U150&lt;&gt;"Free Game",'Game Records'!$K150=""),"Final Earned; ","")&amp;IF(AND(LOWER('Game Records'!$D150&amp;"")="finalized",'Game Records'!$U150&lt;&gt;"Subscription",'Game Records'!$U150&lt;&gt;"Free Game",OR('Game Records'!$L150="",LOWER('Game Records'!$L150&amp;"")="n/a")),"Disqualified Status; ",""))</x:f>
      </x:c>
      <x:c r="G150" s="331" t="str">
        <x:f>IF($A150="","",IFERROR('Game Records'!$M150,""))</x:f>
      </x:c>
    </x:row>
    <x:row r="15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Game",OR('Game Records'!$D151="",LOWER('Game Records'!$D151&amp;"")="n/a")),"Entry Mode; ","")&amp;IF(AND('Game Records'!$U151&lt;&gt;"Subscription",'Game Records'!$U151&lt;&gt;"Free Game",OR('Game Records'!$E151="",LOWER('Game Records'!$E151&amp;"")="n/a")),"Game Type; ","")&amp;IF('Game Records'!$F151="","Payment Type; ","")&amp;IF(AND('Game Records'!$U151&lt;&gt;"Subscription",'Game Records'!$U151&lt;&gt;"Free Game",'Game Records'!$G151=""),"Gross Pot; ","")&amp;IF(AND('Game Records'!$U151&lt;&gt;"Free Game",'Game Records'!$H151=""),"Entry Fee; ","")&amp;IF(AND('Game Records'!$U151&lt;&gt;"Subscription",'Game Records'!$U151&lt;&gt;"Free Game",'Game Records'!$I151=""),"Eligible Players; ","")&amp;IF(AND('Game Records'!$U151&lt;&gt;"Subscription",'Game Records'!$U151&lt;&gt;"Free Game",'Game Records'!$J151=""),"Total Players; ","")&amp;IF(AND(LOWER('Game Records'!$D151&amp;"")="finalized",LOWER('Game Records'!$L151&amp;"")&lt;&gt;"yes",'Game Records'!$U151&lt;&gt;"Subscription",'Game Records'!$U151&lt;&gt;"Free Game",'Game Records'!$K151=""),"Final Earned; ","")&amp;IF(AND(LOWER('Game Records'!$D151&amp;"")="finalized",'Game Records'!$U151&lt;&gt;"Subscription",'Game Records'!$U151&lt;&gt;"Free Game",OR('Game Records'!$L151="",LOWER('Game Records'!$L151&amp;"")="n/a")),"Disqualified Status; ",""))</x:f>
      </x:c>
      <x:c r="G151" s="331" t="str">
        <x:f>IF($A151="","",IFERROR('Game Records'!$M151,""))</x:f>
      </x:c>
    </x:row>
    <x:row r="152">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Game",OR('Game Records'!$D152="",LOWER('Game Records'!$D152&amp;"")="n/a")),"Entry Mode; ","")&amp;IF(AND('Game Records'!$U152&lt;&gt;"Subscription",'Game Records'!$U152&lt;&gt;"Free Game",OR('Game Records'!$E152="",LOWER('Game Records'!$E152&amp;"")="n/a")),"Game Type; ","")&amp;IF('Game Records'!$F152="","Payment Type; ","")&amp;IF(AND('Game Records'!$U152&lt;&gt;"Subscription",'Game Records'!$U152&lt;&gt;"Free Game",'Game Records'!$G152=""),"Gross Pot; ","")&amp;IF(AND('Game Records'!$U152&lt;&gt;"Free Game",'Game Records'!$H152=""),"Entry Fee; ","")&amp;IF(AND('Game Records'!$U152&lt;&gt;"Subscription",'Game Records'!$U152&lt;&gt;"Free Game",'Game Records'!$I152=""),"Eligible Players; ","")&amp;IF(AND('Game Records'!$U152&lt;&gt;"Subscription",'Game Records'!$U152&lt;&gt;"Free Game",'Game Records'!$J152=""),"Total Players; ","")&amp;IF(AND(LOWER('Game Records'!$D152&amp;"")="finalized",LOWER('Game Records'!$L152&amp;"")&lt;&gt;"yes",'Game Records'!$U152&lt;&gt;"Subscription",'Game Records'!$U152&lt;&gt;"Free Game",'Game Records'!$K152=""),"Final Earned; ","")&amp;IF(AND(LOWER('Game Records'!$D152&amp;"")="finalized",'Game Records'!$U152&lt;&gt;"Subscription",'Game Records'!$U152&lt;&gt;"Free Game",OR('Game Records'!$L152="",LOWER('Game Records'!$L152&amp;"")="n/a")),"Disqualified Status; ",""))</x:f>
      </x:c>
      <x:c r="G152" s="331" t="str">
        <x:f>IF($A152="","",IFERROR('Game Records'!$M152,""))</x:f>
      </x:c>
    </x:row>
    <x:row r="153">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Game",OR('Game Records'!$D153="",LOWER('Game Records'!$D153&amp;"")="n/a")),"Entry Mode; ","")&amp;IF(AND('Game Records'!$U153&lt;&gt;"Subscription",'Game Records'!$U153&lt;&gt;"Free Game",OR('Game Records'!$E153="",LOWER('Game Records'!$E153&amp;"")="n/a")),"Game Type; ","")&amp;IF('Game Records'!$F153="","Payment Type; ","")&amp;IF(AND('Game Records'!$U153&lt;&gt;"Subscription",'Game Records'!$U153&lt;&gt;"Free Game",'Game Records'!$G153=""),"Gross Pot; ","")&amp;IF(AND('Game Records'!$U153&lt;&gt;"Free Game",'Game Records'!$H153=""),"Entry Fee; ","")&amp;IF(AND('Game Records'!$U153&lt;&gt;"Subscription",'Game Records'!$U153&lt;&gt;"Free Game",'Game Records'!$I153=""),"Eligible Players; ","")&amp;IF(AND('Game Records'!$U153&lt;&gt;"Subscription",'Game Records'!$U153&lt;&gt;"Free Game",'Game Records'!$J153=""),"Total Players; ","")&amp;IF(AND(LOWER('Game Records'!$D153&amp;"")="finalized",LOWER('Game Records'!$L153&amp;"")&lt;&gt;"yes",'Game Records'!$U153&lt;&gt;"Subscription",'Game Records'!$U153&lt;&gt;"Free Game",'Game Records'!$K153=""),"Final Earned; ","")&amp;IF(AND(LOWER('Game Records'!$D153&amp;"")="finalized",'Game Records'!$U153&lt;&gt;"Subscription",'Game Records'!$U153&lt;&gt;"Free Game",OR('Game Records'!$L153="",LOWER('Game Records'!$L153&amp;"")="n/a")),"Disqualified Status; ",""))</x:f>
      </x:c>
      <x:c r="G153" s="331" t="str">
        <x:f>IF($A153="","",IFERROR('Game Records'!$M153,""))</x:f>
      </x:c>
    </x:row>
    <x:row r="154">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Game",OR('Game Records'!$D154="",LOWER('Game Records'!$D154&amp;"")="n/a")),"Entry Mode; ","")&amp;IF(AND('Game Records'!$U154&lt;&gt;"Subscription",'Game Records'!$U154&lt;&gt;"Free Game",OR('Game Records'!$E154="",LOWER('Game Records'!$E154&amp;"")="n/a")),"Game Type; ","")&amp;IF('Game Records'!$F154="","Payment Type; ","")&amp;IF(AND('Game Records'!$U154&lt;&gt;"Subscription",'Game Records'!$U154&lt;&gt;"Free Game",'Game Records'!$G154=""),"Gross Pot; ","")&amp;IF(AND('Game Records'!$U154&lt;&gt;"Free Game",'Game Records'!$H154=""),"Entry Fee; ","")&amp;IF(AND('Game Records'!$U154&lt;&gt;"Subscription",'Game Records'!$U154&lt;&gt;"Free Game",'Game Records'!$I154=""),"Eligible Players; ","")&amp;IF(AND('Game Records'!$U154&lt;&gt;"Subscription",'Game Records'!$U154&lt;&gt;"Free Game",'Game Records'!$J154=""),"Total Players; ","")&amp;IF(AND(LOWER('Game Records'!$D154&amp;"")="finalized",LOWER('Game Records'!$L154&amp;"")&lt;&gt;"yes",'Game Records'!$U154&lt;&gt;"Subscription",'Game Records'!$U154&lt;&gt;"Free Game",'Game Records'!$K154=""),"Final Earned; ","")&amp;IF(AND(LOWER('Game Records'!$D154&amp;"")="finalized",'Game Records'!$U154&lt;&gt;"Subscription",'Game Records'!$U154&lt;&gt;"Free Game",OR('Game Records'!$L154="",LOWER('Game Records'!$L154&amp;"")="n/a")),"Disqualified Status; ",""))</x:f>
      </x:c>
      <x:c r="G154" s="331" t="str">
        <x:f>IF($A154="","",IFERROR('Game Records'!$M154,""))</x:f>
      </x:c>
    </x:row>
    <x:row r="155">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Game",OR('Game Records'!$D155="",LOWER('Game Records'!$D155&amp;"")="n/a")),"Entry Mode; ","")&amp;IF(AND('Game Records'!$U155&lt;&gt;"Subscription",'Game Records'!$U155&lt;&gt;"Free Game",OR('Game Records'!$E155="",LOWER('Game Records'!$E155&amp;"")="n/a")),"Game Type; ","")&amp;IF('Game Records'!$F155="","Payment Type; ","")&amp;IF(AND('Game Records'!$U155&lt;&gt;"Subscription",'Game Records'!$U155&lt;&gt;"Free Game",'Game Records'!$G155=""),"Gross Pot; ","")&amp;IF(AND('Game Records'!$U155&lt;&gt;"Free Game",'Game Records'!$H155=""),"Entry Fee; ","")&amp;IF(AND('Game Records'!$U155&lt;&gt;"Subscription",'Game Records'!$U155&lt;&gt;"Free Game",'Game Records'!$I155=""),"Eligible Players; ","")&amp;IF(AND('Game Records'!$U155&lt;&gt;"Subscription",'Game Records'!$U155&lt;&gt;"Free Game",'Game Records'!$J155=""),"Total Players; ","")&amp;IF(AND(LOWER('Game Records'!$D155&amp;"")="finalized",LOWER('Game Records'!$L155&amp;"")&lt;&gt;"yes",'Game Records'!$U155&lt;&gt;"Subscription",'Game Records'!$U155&lt;&gt;"Free Game",'Game Records'!$K155=""),"Final Earned; ","")&amp;IF(AND(LOWER('Game Records'!$D155&amp;"")="finalized",'Game Records'!$U155&lt;&gt;"Subscription",'Game Records'!$U155&lt;&gt;"Free Game",OR('Game Records'!$L155="",LOWER('Game Records'!$L155&amp;"")="n/a")),"Disqualified Status; ",""))</x:f>
      </x:c>
      <x:c r="G155" s="331" t="str">
        <x:f>IF($A155="","",IFERROR('Game Records'!$M155,""))</x:f>
      </x:c>
    </x:row>
    <x:row r="156">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Game",OR('Game Records'!$D156="",LOWER('Game Records'!$D156&amp;"")="n/a")),"Entry Mode; ","")&amp;IF(AND('Game Records'!$U156&lt;&gt;"Subscription",'Game Records'!$U156&lt;&gt;"Free Game",OR('Game Records'!$E156="",LOWER('Game Records'!$E156&amp;"")="n/a")),"Game Type; ","")&amp;IF('Game Records'!$F156="","Payment Type; ","")&amp;IF(AND('Game Records'!$U156&lt;&gt;"Subscription",'Game Records'!$U156&lt;&gt;"Free Game",'Game Records'!$G156=""),"Gross Pot; ","")&amp;IF(AND('Game Records'!$U156&lt;&gt;"Free Game",'Game Records'!$H156=""),"Entry Fee; ","")&amp;IF(AND('Game Records'!$U156&lt;&gt;"Subscription",'Game Records'!$U156&lt;&gt;"Free Game",'Game Records'!$I156=""),"Eligible Players; ","")&amp;IF(AND('Game Records'!$U156&lt;&gt;"Subscription",'Game Records'!$U156&lt;&gt;"Free Game",'Game Records'!$J156=""),"Total Players; ","")&amp;IF(AND(LOWER('Game Records'!$D156&amp;"")="finalized",LOWER('Game Records'!$L156&amp;"")&lt;&gt;"yes",'Game Records'!$U156&lt;&gt;"Subscription",'Game Records'!$U156&lt;&gt;"Free Game",'Game Records'!$K156=""),"Final Earned; ","")&amp;IF(AND(LOWER('Game Records'!$D156&amp;"")="finalized",'Game Records'!$U156&lt;&gt;"Subscription",'Game Records'!$U156&lt;&gt;"Free Game",OR('Game Records'!$L156="",LOWER('Game Records'!$L156&amp;"")="n/a")),"Disqualified Status; ",""))</x:f>
      </x:c>
      <x:c r="G156" s="331" t="str">
        <x:f>IF($A156="","",IFERROR('Game Records'!$M156,""))</x:f>
      </x:c>
    </x:row>
    <x:row r="157">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Game",OR('Game Records'!$D157="",LOWER('Game Records'!$D157&amp;"")="n/a")),"Entry Mode; ","")&amp;IF(AND('Game Records'!$U157&lt;&gt;"Subscription",'Game Records'!$U157&lt;&gt;"Free Game",OR('Game Records'!$E157="",LOWER('Game Records'!$E157&amp;"")="n/a")),"Game Type; ","")&amp;IF('Game Records'!$F157="","Payment Type; ","")&amp;IF(AND('Game Records'!$U157&lt;&gt;"Subscription",'Game Records'!$U157&lt;&gt;"Free Game",'Game Records'!$G157=""),"Gross Pot; ","")&amp;IF(AND('Game Records'!$U157&lt;&gt;"Free Game",'Game Records'!$H157=""),"Entry Fee; ","")&amp;IF(AND('Game Records'!$U157&lt;&gt;"Subscription",'Game Records'!$U157&lt;&gt;"Free Game",'Game Records'!$I157=""),"Eligible Players; ","")&amp;IF(AND('Game Records'!$U157&lt;&gt;"Subscription",'Game Records'!$U157&lt;&gt;"Free Game",'Game Records'!$J157=""),"Total Players; ","")&amp;IF(AND(LOWER('Game Records'!$D157&amp;"")="finalized",LOWER('Game Records'!$L157&amp;"")&lt;&gt;"yes",'Game Records'!$U157&lt;&gt;"Subscription",'Game Records'!$U157&lt;&gt;"Free Game",'Game Records'!$K157=""),"Final Earned; ","")&amp;IF(AND(LOWER('Game Records'!$D157&amp;"")="finalized",'Game Records'!$U157&lt;&gt;"Subscription",'Game Records'!$U157&lt;&gt;"Free Game",OR('Game Records'!$L157="",LOWER('Game Records'!$L157&amp;"")="n/a")),"Disqualified Status; ",""))</x:f>
      </x:c>
      <x:c r="G157" s="331" t="str">
        <x:f>IF($A157="","",IFERROR('Game Records'!$M157,""))</x:f>
      </x:c>
    </x:row>
    <x:row r="158">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Game",OR('Game Records'!$D158="",LOWER('Game Records'!$D158&amp;"")="n/a")),"Entry Mode; ","")&amp;IF(AND('Game Records'!$U158&lt;&gt;"Subscription",'Game Records'!$U158&lt;&gt;"Free Game",OR('Game Records'!$E158="",LOWER('Game Records'!$E158&amp;"")="n/a")),"Game Type; ","")&amp;IF('Game Records'!$F158="","Payment Type; ","")&amp;IF(AND('Game Records'!$U158&lt;&gt;"Subscription",'Game Records'!$U158&lt;&gt;"Free Game",'Game Records'!$G158=""),"Gross Pot; ","")&amp;IF(AND('Game Records'!$U158&lt;&gt;"Free Game",'Game Records'!$H158=""),"Entry Fee; ","")&amp;IF(AND('Game Records'!$U158&lt;&gt;"Subscription",'Game Records'!$U158&lt;&gt;"Free Game",'Game Records'!$I158=""),"Eligible Players; ","")&amp;IF(AND('Game Records'!$U158&lt;&gt;"Subscription",'Game Records'!$U158&lt;&gt;"Free Game",'Game Records'!$J158=""),"Total Players; ","")&amp;IF(AND(LOWER('Game Records'!$D158&amp;"")="finalized",LOWER('Game Records'!$L158&amp;"")&lt;&gt;"yes",'Game Records'!$U158&lt;&gt;"Subscription",'Game Records'!$U158&lt;&gt;"Free Game",'Game Records'!$K158=""),"Final Earned; ","")&amp;IF(AND(LOWER('Game Records'!$D158&amp;"")="finalized",'Game Records'!$U158&lt;&gt;"Subscription",'Game Records'!$U158&lt;&gt;"Free Game",OR('Game Records'!$L158="",LOWER('Game Records'!$L158&amp;"")="n/a")),"Disqualified Status; ",""))</x:f>
      </x:c>
      <x:c r="G158" s="331" t="str">
        <x:f>IF($A158="","",IFERROR('Game Records'!$M158,""))</x:f>
      </x:c>
    </x:row>
    <x:row r="159">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Game",OR('Game Records'!$D159="",LOWER('Game Records'!$D159&amp;"")="n/a")),"Entry Mode; ","")&amp;IF(AND('Game Records'!$U159&lt;&gt;"Subscription",'Game Records'!$U159&lt;&gt;"Free Game",OR('Game Records'!$E159="",LOWER('Game Records'!$E159&amp;"")="n/a")),"Game Type; ","")&amp;IF('Game Records'!$F159="","Payment Type; ","")&amp;IF(AND('Game Records'!$U159&lt;&gt;"Subscription",'Game Records'!$U159&lt;&gt;"Free Game",'Game Records'!$G159=""),"Gross Pot; ","")&amp;IF(AND('Game Records'!$U159&lt;&gt;"Free Game",'Game Records'!$H159=""),"Entry Fee; ","")&amp;IF(AND('Game Records'!$U159&lt;&gt;"Subscription",'Game Records'!$U159&lt;&gt;"Free Game",'Game Records'!$I159=""),"Eligible Players; ","")&amp;IF(AND('Game Records'!$U159&lt;&gt;"Subscription",'Game Records'!$U159&lt;&gt;"Free Game",'Game Records'!$J159=""),"Total Players; ","")&amp;IF(AND(LOWER('Game Records'!$D159&amp;"")="finalized",LOWER('Game Records'!$L159&amp;"")&lt;&gt;"yes",'Game Records'!$U159&lt;&gt;"Subscription",'Game Records'!$U159&lt;&gt;"Free Game",'Game Records'!$K159=""),"Final Earned; ","")&amp;IF(AND(LOWER('Game Records'!$D159&amp;"")="finalized",'Game Records'!$U159&lt;&gt;"Subscription",'Game Records'!$U159&lt;&gt;"Free Game",OR('Game Records'!$L159="",LOWER('Game Records'!$L159&amp;"")="n/a")),"Disqualified Status; ",""))</x:f>
      </x:c>
      <x:c r="G159" s="331" t="str">
        <x:f>IF($A159="","",IFERROR('Game Records'!$M159,""))</x:f>
      </x:c>
    </x:row>
    <x:row r="160">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Game",OR('Game Records'!$D160="",LOWER('Game Records'!$D160&amp;"")="n/a")),"Entry Mode; ","")&amp;IF(AND('Game Records'!$U160&lt;&gt;"Subscription",'Game Records'!$U160&lt;&gt;"Free Game",OR('Game Records'!$E160="",LOWER('Game Records'!$E160&amp;"")="n/a")),"Game Type; ","")&amp;IF('Game Records'!$F160="","Payment Type; ","")&amp;IF(AND('Game Records'!$U160&lt;&gt;"Subscription",'Game Records'!$U160&lt;&gt;"Free Game",'Game Records'!$G160=""),"Gross Pot; ","")&amp;IF(AND('Game Records'!$U160&lt;&gt;"Free Game",'Game Records'!$H160=""),"Entry Fee; ","")&amp;IF(AND('Game Records'!$U160&lt;&gt;"Subscription",'Game Records'!$U160&lt;&gt;"Free Game",'Game Records'!$I160=""),"Eligible Players; ","")&amp;IF(AND('Game Records'!$U160&lt;&gt;"Subscription",'Game Records'!$U160&lt;&gt;"Free Game",'Game Records'!$J160=""),"Total Players; ","")&amp;IF(AND(LOWER('Game Records'!$D160&amp;"")="finalized",LOWER('Game Records'!$L160&amp;"")&lt;&gt;"yes",'Game Records'!$U160&lt;&gt;"Subscription",'Game Records'!$U160&lt;&gt;"Free Game",'Game Records'!$K160=""),"Final Earned; ","")&amp;IF(AND(LOWER('Game Records'!$D160&amp;"")="finalized",'Game Records'!$U160&lt;&gt;"Subscription",'Game Records'!$U160&lt;&gt;"Free Game",OR('Game Records'!$L160="",LOWER('Game Records'!$L160&amp;"")="n/a")),"Disqualified Status; ",""))</x:f>
      </x:c>
      <x:c r="G160" s="331" t="str">
        <x:f>IF($A160="","",IFERROR('Game Records'!$M160,""))</x:f>
      </x:c>
    </x:row>
    <x:row r="16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Game",OR('Game Records'!$D161="",LOWER('Game Records'!$D161&amp;"")="n/a")),"Entry Mode; ","")&amp;IF(AND('Game Records'!$U161&lt;&gt;"Subscription",'Game Records'!$U161&lt;&gt;"Free Game",OR('Game Records'!$E161="",LOWER('Game Records'!$E161&amp;"")="n/a")),"Game Type; ","")&amp;IF('Game Records'!$F161="","Payment Type; ","")&amp;IF(AND('Game Records'!$U161&lt;&gt;"Subscription",'Game Records'!$U161&lt;&gt;"Free Game",'Game Records'!$G161=""),"Gross Pot; ","")&amp;IF(AND('Game Records'!$U161&lt;&gt;"Free Game",'Game Records'!$H161=""),"Entry Fee; ","")&amp;IF(AND('Game Records'!$U161&lt;&gt;"Subscription",'Game Records'!$U161&lt;&gt;"Free Game",'Game Records'!$I161=""),"Eligible Players; ","")&amp;IF(AND('Game Records'!$U161&lt;&gt;"Subscription",'Game Records'!$U161&lt;&gt;"Free Game",'Game Records'!$J161=""),"Total Players; ","")&amp;IF(AND(LOWER('Game Records'!$D161&amp;"")="finalized",LOWER('Game Records'!$L161&amp;"")&lt;&gt;"yes",'Game Records'!$U161&lt;&gt;"Subscription",'Game Records'!$U161&lt;&gt;"Free Game",'Game Records'!$K161=""),"Final Earned; ","")&amp;IF(AND(LOWER('Game Records'!$D161&amp;"")="finalized",'Game Records'!$U161&lt;&gt;"Subscription",'Game Records'!$U161&lt;&gt;"Free Game",OR('Game Records'!$L161="",LOWER('Game Records'!$L161&amp;"")="n/a")),"Disqualified Status; ",""))</x:f>
      </x:c>
      <x:c r="G161" s="331" t="str">
        <x:f>IF($A161="","",IFERROR('Game Records'!$M161,""))</x:f>
      </x:c>
    </x:row>
    <x:row r="162">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Game",OR('Game Records'!$D162="",LOWER('Game Records'!$D162&amp;"")="n/a")),"Entry Mode; ","")&amp;IF(AND('Game Records'!$U162&lt;&gt;"Subscription",'Game Records'!$U162&lt;&gt;"Free Game",OR('Game Records'!$E162="",LOWER('Game Records'!$E162&amp;"")="n/a")),"Game Type; ","")&amp;IF('Game Records'!$F162="","Payment Type; ","")&amp;IF(AND('Game Records'!$U162&lt;&gt;"Subscription",'Game Records'!$U162&lt;&gt;"Free Game",'Game Records'!$G162=""),"Gross Pot; ","")&amp;IF(AND('Game Records'!$U162&lt;&gt;"Free Game",'Game Records'!$H162=""),"Entry Fee; ","")&amp;IF(AND('Game Records'!$U162&lt;&gt;"Subscription",'Game Records'!$U162&lt;&gt;"Free Game",'Game Records'!$I162=""),"Eligible Players; ","")&amp;IF(AND('Game Records'!$U162&lt;&gt;"Subscription",'Game Records'!$U162&lt;&gt;"Free Game",'Game Records'!$J162=""),"Total Players; ","")&amp;IF(AND(LOWER('Game Records'!$D162&amp;"")="finalized",LOWER('Game Records'!$L162&amp;"")&lt;&gt;"yes",'Game Records'!$U162&lt;&gt;"Subscription",'Game Records'!$U162&lt;&gt;"Free Game",'Game Records'!$K162=""),"Final Earned; ","")&amp;IF(AND(LOWER('Game Records'!$D162&amp;"")="finalized",'Game Records'!$U162&lt;&gt;"Subscription",'Game Records'!$U162&lt;&gt;"Free Game",OR('Game Records'!$L162="",LOWER('Game Records'!$L162&amp;"")="n/a")),"Disqualified Status; ",""))</x:f>
      </x:c>
      <x:c r="G162" s="331" t="str">
        <x:f>IF($A162="","",IFERROR('Game Records'!$M162,""))</x:f>
      </x:c>
    </x:row>
    <x:row r="163">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Game",OR('Game Records'!$D163="",LOWER('Game Records'!$D163&amp;"")="n/a")),"Entry Mode; ","")&amp;IF(AND('Game Records'!$U163&lt;&gt;"Subscription",'Game Records'!$U163&lt;&gt;"Free Game",OR('Game Records'!$E163="",LOWER('Game Records'!$E163&amp;"")="n/a")),"Game Type; ","")&amp;IF('Game Records'!$F163="","Payment Type; ","")&amp;IF(AND('Game Records'!$U163&lt;&gt;"Subscription",'Game Records'!$U163&lt;&gt;"Free Game",'Game Records'!$G163=""),"Gross Pot; ","")&amp;IF(AND('Game Records'!$U163&lt;&gt;"Free Game",'Game Records'!$H163=""),"Entry Fee; ","")&amp;IF(AND('Game Records'!$U163&lt;&gt;"Subscription",'Game Records'!$U163&lt;&gt;"Free Game",'Game Records'!$I163=""),"Eligible Players; ","")&amp;IF(AND('Game Records'!$U163&lt;&gt;"Subscription",'Game Records'!$U163&lt;&gt;"Free Game",'Game Records'!$J163=""),"Total Players; ","")&amp;IF(AND(LOWER('Game Records'!$D163&amp;"")="finalized",LOWER('Game Records'!$L163&amp;"")&lt;&gt;"yes",'Game Records'!$U163&lt;&gt;"Subscription",'Game Records'!$U163&lt;&gt;"Free Game",'Game Records'!$K163=""),"Final Earned; ","")&amp;IF(AND(LOWER('Game Records'!$D163&amp;"")="finalized",'Game Records'!$U163&lt;&gt;"Subscription",'Game Records'!$U163&lt;&gt;"Free Game",OR('Game Records'!$L163="",LOWER('Game Records'!$L163&amp;"")="n/a")),"Disqualified Status; ",""))</x:f>
      </x:c>
      <x:c r="G163" s="331" t="str">
        <x:f>IF($A163="","",IFERROR('Game Records'!$M163,""))</x:f>
      </x:c>
    </x:row>
    <x:row r="164">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Game",OR('Game Records'!$D164="",LOWER('Game Records'!$D164&amp;"")="n/a")),"Entry Mode; ","")&amp;IF(AND('Game Records'!$U164&lt;&gt;"Subscription",'Game Records'!$U164&lt;&gt;"Free Game",OR('Game Records'!$E164="",LOWER('Game Records'!$E164&amp;"")="n/a")),"Game Type; ","")&amp;IF('Game Records'!$F164="","Payment Type; ","")&amp;IF(AND('Game Records'!$U164&lt;&gt;"Subscription",'Game Records'!$U164&lt;&gt;"Free Game",'Game Records'!$G164=""),"Gross Pot; ","")&amp;IF(AND('Game Records'!$U164&lt;&gt;"Free Game",'Game Records'!$H164=""),"Entry Fee; ","")&amp;IF(AND('Game Records'!$U164&lt;&gt;"Subscription",'Game Records'!$U164&lt;&gt;"Free Game",'Game Records'!$I164=""),"Eligible Players; ","")&amp;IF(AND('Game Records'!$U164&lt;&gt;"Subscription",'Game Records'!$U164&lt;&gt;"Free Game",'Game Records'!$J164=""),"Total Players; ","")&amp;IF(AND(LOWER('Game Records'!$D164&amp;"")="finalized",LOWER('Game Records'!$L164&amp;"")&lt;&gt;"yes",'Game Records'!$U164&lt;&gt;"Subscription",'Game Records'!$U164&lt;&gt;"Free Game",'Game Records'!$K164=""),"Final Earned; ","")&amp;IF(AND(LOWER('Game Records'!$D164&amp;"")="finalized",'Game Records'!$U164&lt;&gt;"Subscription",'Game Records'!$U164&lt;&gt;"Free Game",OR('Game Records'!$L164="",LOWER('Game Records'!$L164&amp;"")="n/a")),"Disqualified Status; ",""))</x:f>
      </x:c>
      <x:c r="G164" s="331" t="str">
        <x:f>IF($A164="","",IFERROR('Game Records'!$M164,""))</x:f>
      </x:c>
    </x:row>
    <x:row r="165">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Game",OR('Game Records'!$D165="",LOWER('Game Records'!$D165&amp;"")="n/a")),"Entry Mode; ","")&amp;IF(AND('Game Records'!$U165&lt;&gt;"Subscription",'Game Records'!$U165&lt;&gt;"Free Game",OR('Game Records'!$E165="",LOWER('Game Records'!$E165&amp;"")="n/a")),"Game Type; ","")&amp;IF('Game Records'!$F165="","Payment Type; ","")&amp;IF(AND('Game Records'!$U165&lt;&gt;"Subscription",'Game Records'!$U165&lt;&gt;"Free Game",'Game Records'!$G165=""),"Gross Pot; ","")&amp;IF(AND('Game Records'!$U165&lt;&gt;"Free Game",'Game Records'!$H165=""),"Entry Fee; ","")&amp;IF(AND('Game Records'!$U165&lt;&gt;"Subscription",'Game Records'!$U165&lt;&gt;"Free Game",'Game Records'!$I165=""),"Eligible Players; ","")&amp;IF(AND('Game Records'!$U165&lt;&gt;"Subscription",'Game Records'!$U165&lt;&gt;"Free Game",'Game Records'!$J165=""),"Total Players; ","")&amp;IF(AND(LOWER('Game Records'!$D165&amp;"")="finalized",LOWER('Game Records'!$L165&amp;"")&lt;&gt;"yes",'Game Records'!$U165&lt;&gt;"Subscription",'Game Records'!$U165&lt;&gt;"Free Game",'Game Records'!$K165=""),"Final Earned; ","")&amp;IF(AND(LOWER('Game Records'!$D165&amp;"")="finalized",'Game Records'!$U165&lt;&gt;"Subscription",'Game Records'!$U165&lt;&gt;"Free Game",OR('Game Records'!$L165="",LOWER('Game Records'!$L165&amp;"")="n/a")),"Disqualified Status; ",""))</x:f>
      </x:c>
      <x:c r="G165" s="331" t="str">
        <x:f>IF($A165="","",IFERROR('Game Records'!$M165,""))</x:f>
      </x:c>
    </x:row>
    <x:row r="166">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Game",OR('Game Records'!$D166="",LOWER('Game Records'!$D166&amp;"")="n/a")),"Entry Mode; ","")&amp;IF(AND('Game Records'!$U166&lt;&gt;"Subscription",'Game Records'!$U166&lt;&gt;"Free Game",OR('Game Records'!$E166="",LOWER('Game Records'!$E166&amp;"")="n/a")),"Game Type; ","")&amp;IF('Game Records'!$F166="","Payment Type; ","")&amp;IF(AND('Game Records'!$U166&lt;&gt;"Subscription",'Game Records'!$U166&lt;&gt;"Free Game",'Game Records'!$G166=""),"Gross Pot; ","")&amp;IF(AND('Game Records'!$U166&lt;&gt;"Free Game",'Game Records'!$H166=""),"Entry Fee; ","")&amp;IF(AND('Game Records'!$U166&lt;&gt;"Subscription",'Game Records'!$U166&lt;&gt;"Free Game",'Game Records'!$I166=""),"Eligible Players; ","")&amp;IF(AND('Game Records'!$U166&lt;&gt;"Subscription",'Game Records'!$U166&lt;&gt;"Free Game",'Game Records'!$J166=""),"Total Players; ","")&amp;IF(AND(LOWER('Game Records'!$D166&amp;"")="finalized",LOWER('Game Records'!$L166&amp;"")&lt;&gt;"yes",'Game Records'!$U166&lt;&gt;"Subscription",'Game Records'!$U166&lt;&gt;"Free Game",'Game Records'!$K166=""),"Final Earned; ","")&amp;IF(AND(LOWER('Game Records'!$D166&amp;"")="finalized",'Game Records'!$U166&lt;&gt;"Subscription",'Game Records'!$U166&lt;&gt;"Free Game",OR('Game Records'!$L166="",LOWER('Game Records'!$L166&amp;"")="n/a")),"Disqualified Status; ",""))</x:f>
      </x:c>
      <x:c r="G166" s="331" t="str">
        <x:f>IF($A166="","",IFERROR('Game Records'!$M166,""))</x:f>
      </x:c>
    </x:row>
    <x:row r="167">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Game",OR('Game Records'!$D167="",LOWER('Game Records'!$D167&amp;"")="n/a")),"Entry Mode; ","")&amp;IF(AND('Game Records'!$U167&lt;&gt;"Subscription",'Game Records'!$U167&lt;&gt;"Free Game",OR('Game Records'!$E167="",LOWER('Game Records'!$E167&amp;"")="n/a")),"Game Type; ","")&amp;IF('Game Records'!$F167="","Payment Type; ","")&amp;IF(AND('Game Records'!$U167&lt;&gt;"Subscription",'Game Records'!$U167&lt;&gt;"Free Game",'Game Records'!$G167=""),"Gross Pot; ","")&amp;IF(AND('Game Records'!$U167&lt;&gt;"Free Game",'Game Records'!$H167=""),"Entry Fee; ","")&amp;IF(AND('Game Records'!$U167&lt;&gt;"Subscription",'Game Records'!$U167&lt;&gt;"Free Game",'Game Records'!$I167=""),"Eligible Players; ","")&amp;IF(AND('Game Records'!$U167&lt;&gt;"Subscription",'Game Records'!$U167&lt;&gt;"Free Game",'Game Records'!$J167=""),"Total Players; ","")&amp;IF(AND(LOWER('Game Records'!$D167&amp;"")="finalized",LOWER('Game Records'!$L167&amp;"")&lt;&gt;"yes",'Game Records'!$U167&lt;&gt;"Subscription",'Game Records'!$U167&lt;&gt;"Free Game",'Game Records'!$K167=""),"Final Earned; ","")&amp;IF(AND(LOWER('Game Records'!$D167&amp;"")="finalized",'Game Records'!$U167&lt;&gt;"Subscription",'Game Records'!$U167&lt;&gt;"Free Game",OR('Game Records'!$L167="",LOWER('Game Records'!$L167&amp;"")="n/a")),"Disqualified Status; ",""))</x:f>
      </x:c>
      <x:c r="G167" s="331" t="str">
        <x:f>IF($A167="","",IFERROR('Game Records'!$M167,""))</x:f>
      </x:c>
    </x:row>
    <x:row r="168">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Game",OR('Game Records'!$D168="",LOWER('Game Records'!$D168&amp;"")="n/a")),"Entry Mode; ","")&amp;IF(AND('Game Records'!$U168&lt;&gt;"Subscription",'Game Records'!$U168&lt;&gt;"Free Game",OR('Game Records'!$E168="",LOWER('Game Records'!$E168&amp;"")="n/a")),"Game Type; ","")&amp;IF('Game Records'!$F168="","Payment Type; ","")&amp;IF(AND('Game Records'!$U168&lt;&gt;"Subscription",'Game Records'!$U168&lt;&gt;"Free Game",'Game Records'!$G168=""),"Gross Pot; ","")&amp;IF(AND('Game Records'!$U168&lt;&gt;"Free Game",'Game Records'!$H168=""),"Entry Fee; ","")&amp;IF(AND('Game Records'!$U168&lt;&gt;"Subscription",'Game Records'!$U168&lt;&gt;"Free Game",'Game Records'!$I168=""),"Eligible Players; ","")&amp;IF(AND('Game Records'!$U168&lt;&gt;"Subscription",'Game Records'!$U168&lt;&gt;"Free Game",'Game Records'!$J168=""),"Total Players; ","")&amp;IF(AND(LOWER('Game Records'!$D168&amp;"")="finalized",LOWER('Game Records'!$L168&amp;"")&lt;&gt;"yes",'Game Records'!$U168&lt;&gt;"Subscription",'Game Records'!$U168&lt;&gt;"Free Game",'Game Records'!$K168=""),"Final Earned; ","")&amp;IF(AND(LOWER('Game Records'!$D168&amp;"")="finalized",'Game Records'!$U168&lt;&gt;"Subscription",'Game Records'!$U168&lt;&gt;"Free Game",OR('Game Records'!$L168="",LOWER('Game Records'!$L168&amp;"")="n/a")),"Disqualified Status; ",""))</x:f>
      </x:c>
      <x:c r="G168" s="331" t="str">
        <x:f>IF($A168="","",IFERROR('Game Records'!$M168,""))</x:f>
      </x:c>
    </x:row>
    <x:row r="169">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Game",OR('Game Records'!$D169="",LOWER('Game Records'!$D169&amp;"")="n/a")),"Entry Mode; ","")&amp;IF(AND('Game Records'!$U169&lt;&gt;"Subscription",'Game Records'!$U169&lt;&gt;"Free Game",OR('Game Records'!$E169="",LOWER('Game Records'!$E169&amp;"")="n/a")),"Game Type; ","")&amp;IF('Game Records'!$F169="","Payment Type; ","")&amp;IF(AND('Game Records'!$U169&lt;&gt;"Subscription",'Game Records'!$U169&lt;&gt;"Free Game",'Game Records'!$G169=""),"Gross Pot; ","")&amp;IF(AND('Game Records'!$U169&lt;&gt;"Free Game",'Game Records'!$H169=""),"Entry Fee; ","")&amp;IF(AND('Game Records'!$U169&lt;&gt;"Subscription",'Game Records'!$U169&lt;&gt;"Free Game",'Game Records'!$I169=""),"Eligible Players; ","")&amp;IF(AND('Game Records'!$U169&lt;&gt;"Subscription",'Game Records'!$U169&lt;&gt;"Free Game",'Game Records'!$J169=""),"Total Players; ","")&amp;IF(AND(LOWER('Game Records'!$D169&amp;"")="finalized",LOWER('Game Records'!$L169&amp;"")&lt;&gt;"yes",'Game Records'!$U169&lt;&gt;"Subscription",'Game Records'!$U169&lt;&gt;"Free Game",'Game Records'!$K169=""),"Final Earned; ","")&amp;IF(AND(LOWER('Game Records'!$D169&amp;"")="finalized",'Game Records'!$U169&lt;&gt;"Subscription",'Game Records'!$U169&lt;&gt;"Free Game",OR('Game Records'!$L169="",LOWER('Game Records'!$L169&amp;"")="n/a")),"Disqualified Status; ",""))</x:f>
      </x:c>
      <x:c r="G169" s="331" t="str">
        <x:f>IF($A169="","",IFERROR('Game Records'!$M169,""))</x:f>
      </x:c>
    </x:row>
    <x:row r="170">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Game",OR('Game Records'!$D170="",LOWER('Game Records'!$D170&amp;"")="n/a")),"Entry Mode; ","")&amp;IF(AND('Game Records'!$U170&lt;&gt;"Subscription",'Game Records'!$U170&lt;&gt;"Free Game",OR('Game Records'!$E170="",LOWER('Game Records'!$E170&amp;"")="n/a")),"Game Type; ","")&amp;IF('Game Records'!$F170="","Payment Type; ","")&amp;IF(AND('Game Records'!$U170&lt;&gt;"Subscription",'Game Records'!$U170&lt;&gt;"Free Game",'Game Records'!$G170=""),"Gross Pot; ","")&amp;IF(AND('Game Records'!$U170&lt;&gt;"Free Game",'Game Records'!$H170=""),"Entry Fee; ","")&amp;IF(AND('Game Records'!$U170&lt;&gt;"Subscription",'Game Records'!$U170&lt;&gt;"Free Game",'Game Records'!$I170=""),"Eligible Players; ","")&amp;IF(AND('Game Records'!$U170&lt;&gt;"Subscription",'Game Records'!$U170&lt;&gt;"Free Game",'Game Records'!$J170=""),"Total Players; ","")&amp;IF(AND(LOWER('Game Records'!$D170&amp;"")="finalized",LOWER('Game Records'!$L170&amp;"")&lt;&gt;"yes",'Game Records'!$U170&lt;&gt;"Subscription",'Game Records'!$U170&lt;&gt;"Free Game",'Game Records'!$K170=""),"Final Earned; ","")&amp;IF(AND(LOWER('Game Records'!$D170&amp;"")="finalized",'Game Records'!$U170&lt;&gt;"Subscription",'Game Records'!$U170&lt;&gt;"Free Game",OR('Game Records'!$L170="",LOWER('Game Records'!$L170&amp;"")="n/a")),"Disqualified Status; ",""))</x:f>
      </x:c>
      <x:c r="G170" s="331" t="str">
        <x:f>IF($A170="","",IFERROR('Game Records'!$M170,""))</x:f>
      </x:c>
    </x:row>
    <x:row r="17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Game",OR('Game Records'!$D171="",LOWER('Game Records'!$D171&amp;"")="n/a")),"Entry Mode; ","")&amp;IF(AND('Game Records'!$U171&lt;&gt;"Subscription",'Game Records'!$U171&lt;&gt;"Free Game",OR('Game Records'!$E171="",LOWER('Game Records'!$E171&amp;"")="n/a")),"Game Type; ","")&amp;IF('Game Records'!$F171="","Payment Type; ","")&amp;IF(AND('Game Records'!$U171&lt;&gt;"Subscription",'Game Records'!$U171&lt;&gt;"Free Game",'Game Records'!$G171=""),"Gross Pot; ","")&amp;IF(AND('Game Records'!$U171&lt;&gt;"Free Game",'Game Records'!$H171=""),"Entry Fee; ","")&amp;IF(AND('Game Records'!$U171&lt;&gt;"Subscription",'Game Records'!$U171&lt;&gt;"Free Game",'Game Records'!$I171=""),"Eligible Players; ","")&amp;IF(AND('Game Records'!$U171&lt;&gt;"Subscription",'Game Records'!$U171&lt;&gt;"Free Game",'Game Records'!$J171=""),"Total Players; ","")&amp;IF(AND(LOWER('Game Records'!$D171&amp;"")="finalized",LOWER('Game Records'!$L171&amp;"")&lt;&gt;"yes",'Game Records'!$U171&lt;&gt;"Subscription",'Game Records'!$U171&lt;&gt;"Free Game",'Game Records'!$K171=""),"Final Earned; ","")&amp;IF(AND(LOWER('Game Records'!$D171&amp;"")="finalized",'Game Records'!$U171&lt;&gt;"Subscription",'Game Records'!$U171&lt;&gt;"Free Game",OR('Game Records'!$L171="",LOWER('Game Records'!$L171&amp;"")="n/a")),"Disqualified Status; ",""))</x:f>
      </x:c>
      <x:c r="G171" s="331" t="str">
        <x:f>IF($A171="","",IFERROR('Game Records'!$M171,""))</x:f>
      </x:c>
    </x:row>
    <x:row r="172">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Game",OR('Game Records'!$D172="",LOWER('Game Records'!$D172&amp;"")="n/a")),"Entry Mode; ","")&amp;IF(AND('Game Records'!$U172&lt;&gt;"Subscription",'Game Records'!$U172&lt;&gt;"Free Game",OR('Game Records'!$E172="",LOWER('Game Records'!$E172&amp;"")="n/a")),"Game Type; ","")&amp;IF('Game Records'!$F172="","Payment Type; ","")&amp;IF(AND('Game Records'!$U172&lt;&gt;"Subscription",'Game Records'!$U172&lt;&gt;"Free Game",'Game Records'!$G172=""),"Gross Pot; ","")&amp;IF(AND('Game Records'!$U172&lt;&gt;"Free Game",'Game Records'!$H172=""),"Entry Fee; ","")&amp;IF(AND('Game Records'!$U172&lt;&gt;"Subscription",'Game Records'!$U172&lt;&gt;"Free Game",'Game Records'!$I172=""),"Eligible Players; ","")&amp;IF(AND('Game Records'!$U172&lt;&gt;"Subscription",'Game Records'!$U172&lt;&gt;"Free Game",'Game Records'!$J172=""),"Total Players; ","")&amp;IF(AND(LOWER('Game Records'!$D172&amp;"")="finalized",LOWER('Game Records'!$L172&amp;"")&lt;&gt;"yes",'Game Records'!$U172&lt;&gt;"Subscription",'Game Records'!$U172&lt;&gt;"Free Game",'Game Records'!$K172=""),"Final Earned; ","")&amp;IF(AND(LOWER('Game Records'!$D172&amp;"")="finalized",'Game Records'!$U172&lt;&gt;"Subscription",'Game Records'!$U172&lt;&gt;"Free Game",OR('Game Records'!$L172="",LOWER('Game Records'!$L172&amp;"")="n/a")),"Disqualified Status; ",""))</x:f>
      </x:c>
      <x:c r="G172" s="331" t="str">
        <x:f>IF($A172="","",IFERROR('Game Records'!$M172,""))</x:f>
      </x:c>
    </x:row>
    <x:row r="173">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Game",OR('Game Records'!$D173="",LOWER('Game Records'!$D173&amp;"")="n/a")),"Entry Mode; ","")&amp;IF(AND('Game Records'!$U173&lt;&gt;"Subscription",'Game Records'!$U173&lt;&gt;"Free Game",OR('Game Records'!$E173="",LOWER('Game Records'!$E173&amp;"")="n/a")),"Game Type; ","")&amp;IF('Game Records'!$F173="","Payment Type; ","")&amp;IF(AND('Game Records'!$U173&lt;&gt;"Subscription",'Game Records'!$U173&lt;&gt;"Free Game",'Game Records'!$G173=""),"Gross Pot; ","")&amp;IF(AND('Game Records'!$U173&lt;&gt;"Free Game",'Game Records'!$H173=""),"Entry Fee; ","")&amp;IF(AND('Game Records'!$U173&lt;&gt;"Subscription",'Game Records'!$U173&lt;&gt;"Free Game",'Game Records'!$I173=""),"Eligible Players; ","")&amp;IF(AND('Game Records'!$U173&lt;&gt;"Subscription",'Game Records'!$U173&lt;&gt;"Free Game",'Game Records'!$J173=""),"Total Players; ","")&amp;IF(AND(LOWER('Game Records'!$D173&amp;"")="finalized",LOWER('Game Records'!$L173&amp;"")&lt;&gt;"yes",'Game Records'!$U173&lt;&gt;"Subscription",'Game Records'!$U173&lt;&gt;"Free Game",'Game Records'!$K173=""),"Final Earned; ","")&amp;IF(AND(LOWER('Game Records'!$D173&amp;"")="finalized",'Game Records'!$U173&lt;&gt;"Subscription",'Game Records'!$U173&lt;&gt;"Free Game",OR('Game Records'!$L173="",LOWER('Game Records'!$L173&amp;"")="n/a")),"Disqualified Status; ",""))</x:f>
      </x:c>
      <x:c r="G173" s="331" t="str">
        <x:f>IF($A173="","",IFERROR('Game Records'!$M173,""))</x:f>
      </x:c>
    </x:row>
    <x:row r="174">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Game",OR('Game Records'!$D174="",LOWER('Game Records'!$D174&amp;"")="n/a")),"Entry Mode; ","")&amp;IF(AND('Game Records'!$U174&lt;&gt;"Subscription",'Game Records'!$U174&lt;&gt;"Free Game",OR('Game Records'!$E174="",LOWER('Game Records'!$E174&amp;"")="n/a")),"Game Type; ","")&amp;IF('Game Records'!$F174="","Payment Type; ","")&amp;IF(AND('Game Records'!$U174&lt;&gt;"Subscription",'Game Records'!$U174&lt;&gt;"Free Game",'Game Records'!$G174=""),"Gross Pot; ","")&amp;IF(AND('Game Records'!$U174&lt;&gt;"Free Game",'Game Records'!$H174=""),"Entry Fee; ","")&amp;IF(AND('Game Records'!$U174&lt;&gt;"Subscription",'Game Records'!$U174&lt;&gt;"Free Game",'Game Records'!$I174=""),"Eligible Players; ","")&amp;IF(AND('Game Records'!$U174&lt;&gt;"Subscription",'Game Records'!$U174&lt;&gt;"Free Game",'Game Records'!$J174=""),"Total Players; ","")&amp;IF(AND(LOWER('Game Records'!$D174&amp;"")="finalized",LOWER('Game Records'!$L174&amp;"")&lt;&gt;"yes",'Game Records'!$U174&lt;&gt;"Subscription",'Game Records'!$U174&lt;&gt;"Free Game",'Game Records'!$K174=""),"Final Earned; ","")&amp;IF(AND(LOWER('Game Records'!$D174&amp;"")="finalized",'Game Records'!$U174&lt;&gt;"Subscription",'Game Records'!$U174&lt;&gt;"Free Game",OR('Game Records'!$L174="",LOWER('Game Records'!$L174&amp;"")="n/a")),"Disqualified Status; ",""))</x:f>
      </x:c>
      <x:c r="G174" s="331" t="str">
        <x:f>IF($A174="","",IFERROR('Game Records'!$M174,""))</x:f>
      </x:c>
    </x:row>
    <x:row r="175">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Game",OR('Game Records'!$D175="",LOWER('Game Records'!$D175&amp;"")="n/a")),"Entry Mode; ","")&amp;IF(AND('Game Records'!$U175&lt;&gt;"Subscription",'Game Records'!$U175&lt;&gt;"Free Game",OR('Game Records'!$E175="",LOWER('Game Records'!$E175&amp;"")="n/a")),"Game Type; ","")&amp;IF('Game Records'!$F175="","Payment Type; ","")&amp;IF(AND('Game Records'!$U175&lt;&gt;"Subscription",'Game Records'!$U175&lt;&gt;"Free Game",'Game Records'!$G175=""),"Gross Pot; ","")&amp;IF(AND('Game Records'!$U175&lt;&gt;"Free Game",'Game Records'!$H175=""),"Entry Fee; ","")&amp;IF(AND('Game Records'!$U175&lt;&gt;"Subscription",'Game Records'!$U175&lt;&gt;"Free Game",'Game Records'!$I175=""),"Eligible Players; ","")&amp;IF(AND('Game Records'!$U175&lt;&gt;"Subscription",'Game Records'!$U175&lt;&gt;"Free Game",'Game Records'!$J175=""),"Total Players; ","")&amp;IF(AND(LOWER('Game Records'!$D175&amp;"")="finalized",LOWER('Game Records'!$L175&amp;"")&lt;&gt;"yes",'Game Records'!$U175&lt;&gt;"Subscription",'Game Records'!$U175&lt;&gt;"Free Game",'Game Records'!$K175=""),"Final Earned; ","")&amp;IF(AND(LOWER('Game Records'!$D175&amp;"")="finalized",'Game Records'!$U175&lt;&gt;"Subscription",'Game Records'!$U175&lt;&gt;"Free Game",OR('Game Records'!$L175="",LOWER('Game Records'!$L175&amp;"")="n/a")),"Disqualified Status; ",""))</x:f>
      </x:c>
      <x:c r="G175" s="331" t="str">
        <x:f>IF($A175="","",IFERROR('Game Records'!$M175,""))</x:f>
      </x:c>
    </x:row>
    <x:row r="176">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Game",OR('Game Records'!$D176="",LOWER('Game Records'!$D176&amp;"")="n/a")),"Entry Mode; ","")&amp;IF(AND('Game Records'!$U176&lt;&gt;"Subscription",'Game Records'!$U176&lt;&gt;"Free Game",OR('Game Records'!$E176="",LOWER('Game Records'!$E176&amp;"")="n/a")),"Game Type; ","")&amp;IF('Game Records'!$F176="","Payment Type; ","")&amp;IF(AND('Game Records'!$U176&lt;&gt;"Subscription",'Game Records'!$U176&lt;&gt;"Free Game",'Game Records'!$G176=""),"Gross Pot; ","")&amp;IF(AND('Game Records'!$U176&lt;&gt;"Free Game",'Game Records'!$H176=""),"Entry Fee; ","")&amp;IF(AND('Game Records'!$U176&lt;&gt;"Subscription",'Game Records'!$U176&lt;&gt;"Free Game",'Game Records'!$I176=""),"Eligible Players; ","")&amp;IF(AND('Game Records'!$U176&lt;&gt;"Subscription",'Game Records'!$U176&lt;&gt;"Free Game",'Game Records'!$J176=""),"Total Players; ","")&amp;IF(AND(LOWER('Game Records'!$D176&amp;"")="finalized",LOWER('Game Records'!$L176&amp;"")&lt;&gt;"yes",'Game Records'!$U176&lt;&gt;"Subscription",'Game Records'!$U176&lt;&gt;"Free Game",'Game Records'!$K176=""),"Final Earned; ","")&amp;IF(AND(LOWER('Game Records'!$D176&amp;"")="finalized",'Game Records'!$U176&lt;&gt;"Subscription",'Game Records'!$U176&lt;&gt;"Free Game",OR('Game Records'!$L176="",LOWER('Game Records'!$L176&amp;"")="n/a")),"Disqualified Status; ",""))</x:f>
      </x:c>
      <x:c r="G176" s="331" t="str">
        <x:f>IF($A176="","",IFERROR('Game Records'!$M176,""))</x:f>
      </x:c>
    </x:row>
    <x:row r="177">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Game",OR('Game Records'!$D177="",LOWER('Game Records'!$D177&amp;"")="n/a")),"Entry Mode; ","")&amp;IF(AND('Game Records'!$U177&lt;&gt;"Subscription",'Game Records'!$U177&lt;&gt;"Free Game",OR('Game Records'!$E177="",LOWER('Game Records'!$E177&amp;"")="n/a")),"Game Type; ","")&amp;IF('Game Records'!$F177="","Payment Type; ","")&amp;IF(AND('Game Records'!$U177&lt;&gt;"Subscription",'Game Records'!$U177&lt;&gt;"Free Game",'Game Records'!$G177=""),"Gross Pot; ","")&amp;IF(AND('Game Records'!$U177&lt;&gt;"Free Game",'Game Records'!$H177=""),"Entry Fee; ","")&amp;IF(AND('Game Records'!$U177&lt;&gt;"Subscription",'Game Records'!$U177&lt;&gt;"Free Game",'Game Records'!$I177=""),"Eligible Players; ","")&amp;IF(AND('Game Records'!$U177&lt;&gt;"Subscription",'Game Records'!$U177&lt;&gt;"Free Game",'Game Records'!$J177=""),"Total Players; ","")&amp;IF(AND(LOWER('Game Records'!$D177&amp;"")="finalized",LOWER('Game Records'!$L177&amp;"")&lt;&gt;"yes",'Game Records'!$U177&lt;&gt;"Subscription",'Game Records'!$U177&lt;&gt;"Free Game",'Game Records'!$K177=""),"Final Earned; ","")&amp;IF(AND(LOWER('Game Records'!$D177&amp;"")="finalized",'Game Records'!$U177&lt;&gt;"Subscription",'Game Records'!$U177&lt;&gt;"Free Game",OR('Game Records'!$L177="",LOWER('Game Records'!$L177&amp;"")="n/a")),"Disqualified Status; ",""))</x:f>
      </x:c>
      <x:c r="G177" s="331" t="str">
        <x:f>IF($A177="","",IFERROR('Game Records'!$M177,""))</x:f>
      </x:c>
    </x:row>
    <x:row r="178">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Game",OR('Game Records'!$D178="",LOWER('Game Records'!$D178&amp;"")="n/a")),"Entry Mode; ","")&amp;IF(AND('Game Records'!$U178&lt;&gt;"Subscription",'Game Records'!$U178&lt;&gt;"Free Game",OR('Game Records'!$E178="",LOWER('Game Records'!$E178&amp;"")="n/a")),"Game Type; ","")&amp;IF('Game Records'!$F178="","Payment Type; ","")&amp;IF(AND('Game Records'!$U178&lt;&gt;"Subscription",'Game Records'!$U178&lt;&gt;"Free Game",'Game Records'!$G178=""),"Gross Pot; ","")&amp;IF(AND('Game Records'!$U178&lt;&gt;"Free Game",'Game Records'!$H178=""),"Entry Fee; ","")&amp;IF(AND('Game Records'!$U178&lt;&gt;"Subscription",'Game Records'!$U178&lt;&gt;"Free Game",'Game Records'!$I178=""),"Eligible Players; ","")&amp;IF(AND('Game Records'!$U178&lt;&gt;"Subscription",'Game Records'!$U178&lt;&gt;"Free Game",'Game Records'!$J178=""),"Total Players; ","")&amp;IF(AND(LOWER('Game Records'!$D178&amp;"")="finalized",LOWER('Game Records'!$L178&amp;"")&lt;&gt;"yes",'Game Records'!$U178&lt;&gt;"Subscription",'Game Records'!$U178&lt;&gt;"Free Game",'Game Records'!$K178=""),"Final Earned; ","")&amp;IF(AND(LOWER('Game Records'!$D178&amp;"")="finalized",'Game Records'!$U178&lt;&gt;"Subscription",'Game Records'!$U178&lt;&gt;"Free Game",OR('Game Records'!$L178="",LOWER('Game Records'!$L178&amp;"")="n/a")),"Disqualified Status; ",""))</x:f>
      </x:c>
      <x:c r="G178" s="331" t="str">
        <x:f>IF($A178="","",IFERROR('Game Records'!$M178,""))</x:f>
      </x:c>
    </x:row>
    <x:row r="179">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Game",OR('Game Records'!$D179="",LOWER('Game Records'!$D179&amp;"")="n/a")),"Entry Mode; ","")&amp;IF(AND('Game Records'!$U179&lt;&gt;"Subscription",'Game Records'!$U179&lt;&gt;"Free Game",OR('Game Records'!$E179="",LOWER('Game Records'!$E179&amp;"")="n/a")),"Game Type; ","")&amp;IF('Game Records'!$F179="","Payment Type; ","")&amp;IF(AND('Game Records'!$U179&lt;&gt;"Subscription",'Game Records'!$U179&lt;&gt;"Free Game",'Game Records'!$G179=""),"Gross Pot; ","")&amp;IF(AND('Game Records'!$U179&lt;&gt;"Free Game",'Game Records'!$H179=""),"Entry Fee; ","")&amp;IF(AND('Game Records'!$U179&lt;&gt;"Subscription",'Game Records'!$U179&lt;&gt;"Free Game",'Game Records'!$I179=""),"Eligible Players; ","")&amp;IF(AND('Game Records'!$U179&lt;&gt;"Subscription",'Game Records'!$U179&lt;&gt;"Free Game",'Game Records'!$J179=""),"Total Players; ","")&amp;IF(AND(LOWER('Game Records'!$D179&amp;"")="finalized",LOWER('Game Records'!$L179&amp;"")&lt;&gt;"yes",'Game Records'!$U179&lt;&gt;"Subscription",'Game Records'!$U179&lt;&gt;"Free Game",'Game Records'!$K179=""),"Final Earned; ","")&amp;IF(AND(LOWER('Game Records'!$D179&amp;"")="finalized",'Game Records'!$U179&lt;&gt;"Subscription",'Game Records'!$U179&lt;&gt;"Free Game",OR('Game Records'!$L179="",LOWER('Game Records'!$L179&amp;"")="n/a")),"Disqualified Status; ",""))</x:f>
      </x:c>
      <x:c r="G179" s="331" t="str">
        <x:f>IF($A179="","",IFERROR('Game Records'!$M179,""))</x:f>
      </x:c>
    </x:row>
    <x:row r="180">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Game",OR('Game Records'!$D180="",LOWER('Game Records'!$D180&amp;"")="n/a")),"Entry Mode; ","")&amp;IF(AND('Game Records'!$U180&lt;&gt;"Subscription",'Game Records'!$U180&lt;&gt;"Free Game",OR('Game Records'!$E180="",LOWER('Game Records'!$E180&amp;"")="n/a")),"Game Type; ","")&amp;IF('Game Records'!$F180="","Payment Type; ","")&amp;IF(AND('Game Records'!$U180&lt;&gt;"Subscription",'Game Records'!$U180&lt;&gt;"Free Game",'Game Records'!$G180=""),"Gross Pot; ","")&amp;IF(AND('Game Records'!$U180&lt;&gt;"Free Game",'Game Records'!$H180=""),"Entry Fee; ","")&amp;IF(AND('Game Records'!$U180&lt;&gt;"Subscription",'Game Records'!$U180&lt;&gt;"Free Game",'Game Records'!$I180=""),"Eligible Players; ","")&amp;IF(AND('Game Records'!$U180&lt;&gt;"Subscription",'Game Records'!$U180&lt;&gt;"Free Game",'Game Records'!$J180=""),"Total Players; ","")&amp;IF(AND(LOWER('Game Records'!$D180&amp;"")="finalized",LOWER('Game Records'!$L180&amp;"")&lt;&gt;"yes",'Game Records'!$U180&lt;&gt;"Subscription",'Game Records'!$U180&lt;&gt;"Free Game",'Game Records'!$K180=""),"Final Earned; ","")&amp;IF(AND(LOWER('Game Records'!$D180&amp;"")="finalized",'Game Records'!$U180&lt;&gt;"Subscription",'Game Records'!$U180&lt;&gt;"Free Game",OR('Game Records'!$L180="",LOWER('Game Records'!$L180&amp;"")="n/a")),"Disqualified Status; ",""))</x:f>
      </x:c>
      <x:c r="G180" s="331" t="str">
        <x:f>IF($A180="","",IFERROR('Game Records'!$M180,""))</x:f>
      </x:c>
    </x:row>
    <x:row r="18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Game",OR('Game Records'!$D181="",LOWER('Game Records'!$D181&amp;"")="n/a")),"Entry Mode; ","")&amp;IF(AND('Game Records'!$U181&lt;&gt;"Subscription",'Game Records'!$U181&lt;&gt;"Free Game",OR('Game Records'!$E181="",LOWER('Game Records'!$E181&amp;"")="n/a")),"Game Type; ","")&amp;IF('Game Records'!$F181="","Payment Type; ","")&amp;IF(AND('Game Records'!$U181&lt;&gt;"Subscription",'Game Records'!$U181&lt;&gt;"Free Game",'Game Records'!$G181=""),"Gross Pot; ","")&amp;IF(AND('Game Records'!$U181&lt;&gt;"Free Game",'Game Records'!$H181=""),"Entry Fee; ","")&amp;IF(AND('Game Records'!$U181&lt;&gt;"Subscription",'Game Records'!$U181&lt;&gt;"Free Game",'Game Records'!$I181=""),"Eligible Players; ","")&amp;IF(AND('Game Records'!$U181&lt;&gt;"Subscription",'Game Records'!$U181&lt;&gt;"Free Game",'Game Records'!$J181=""),"Total Players; ","")&amp;IF(AND(LOWER('Game Records'!$D181&amp;"")="finalized",LOWER('Game Records'!$L181&amp;"")&lt;&gt;"yes",'Game Records'!$U181&lt;&gt;"Subscription",'Game Records'!$U181&lt;&gt;"Free Game",'Game Records'!$K181=""),"Final Earned; ","")&amp;IF(AND(LOWER('Game Records'!$D181&amp;"")="finalized",'Game Records'!$U181&lt;&gt;"Subscription",'Game Records'!$U181&lt;&gt;"Free Game",OR('Game Records'!$L181="",LOWER('Game Records'!$L181&amp;"")="n/a")),"Disqualified Status; ",""))</x:f>
      </x:c>
      <x:c r="G181" s="331" t="str">
        <x:f>IF($A181="","",IFERROR('Game Records'!$M181,""))</x:f>
      </x:c>
    </x:row>
    <x:row r="182">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Game",OR('Game Records'!$D182="",LOWER('Game Records'!$D182&amp;"")="n/a")),"Entry Mode; ","")&amp;IF(AND('Game Records'!$U182&lt;&gt;"Subscription",'Game Records'!$U182&lt;&gt;"Free Game",OR('Game Records'!$E182="",LOWER('Game Records'!$E182&amp;"")="n/a")),"Game Type; ","")&amp;IF('Game Records'!$F182="","Payment Type; ","")&amp;IF(AND('Game Records'!$U182&lt;&gt;"Subscription",'Game Records'!$U182&lt;&gt;"Free Game",'Game Records'!$G182=""),"Gross Pot; ","")&amp;IF(AND('Game Records'!$U182&lt;&gt;"Free Game",'Game Records'!$H182=""),"Entry Fee; ","")&amp;IF(AND('Game Records'!$U182&lt;&gt;"Subscription",'Game Records'!$U182&lt;&gt;"Free Game",'Game Records'!$I182=""),"Eligible Players; ","")&amp;IF(AND('Game Records'!$U182&lt;&gt;"Subscription",'Game Records'!$U182&lt;&gt;"Free Game",'Game Records'!$J182=""),"Total Players; ","")&amp;IF(AND(LOWER('Game Records'!$D182&amp;"")="finalized",LOWER('Game Records'!$L182&amp;"")&lt;&gt;"yes",'Game Records'!$U182&lt;&gt;"Subscription",'Game Records'!$U182&lt;&gt;"Free Game",'Game Records'!$K182=""),"Final Earned; ","")&amp;IF(AND(LOWER('Game Records'!$D182&amp;"")="finalized",'Game Records'!$U182&lt;&gt;"Subscription",'Game Records'!$U182&lt;&gt;"Free Game",OR('Game Records'!$L182="",LOWER('Game Records'!$L182&amp;"")="n/a")),"Disqualified Status; ",""))</x:f>
      </x:c>
      <x:c r="G182" s="331" t="str">
        <x:f>IF($A182="","",IFERROR('Game Records'!$M182,""))</x:f>
      </x:c>
    </x:row>
    <x:row r="183">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Game",OR('Game Records'!$D183="",LOWER('Game Records'!$D183&amp;"")="n/a")),"Entry Mode; ","")&amp;IF(AND('Game Records'!$U183&lt;&gt;"Subscription",'Game Records'!$U183&lt;&gt;"Free Game",OR('Game Records'!$E183="",LOWER('Game Records'!$E183&amp;"")="n/a")),"Game Type; ","")&amp;IF('Game Records'!$F183="","Payment Type; ","")&amp;IF(AND('Game Records'!$U183&lt;&gt;"Subscription",'Game Records'!$U183&lt;&gt;"Free Game",'Game Records'!$G183=""),"Gross Pot; ","")&amp;IF(AND('Game Records'!$U183&lt;&gt;"Free Game",'Game Records'!$H183=""),"Entry Fee; ","")&amp;IF(AND('Game Records'!$U183&lt;&gt;"Subscription",'Game Records'!$U183&lt;&gt;"Free Game",'Game Records'!$I183=""),"Eligible Players; ","")&amp;IF(AND('Game Records'!$U183&lt;&gt;"Subscription",'Game Records'!$U183&lt;&gt;"Free Game",'Game Records'!$J183=""),"Total Players; ","")&amp;IF(AND(LOWER('Game Records'!$D183&amp;"")="finalized",LOWER('Game Records'!$L183&amp;"")&lt;&gt;"yes",'Game Records'!$U183&lt;&gt;"Subscription",'Game Records'!$U183&lt;&gt;"Free Game",'Game Records'!$K183=""),"Final Earned; ","")&amp;IF(AND(LOWER('Game Records'!$D183&amp;"")="finalized",'Game Records'!$U183&lt;&gt;"Subscription",'Game Records'!$U183&lt;&gt;"Free Game",OR('Game Records'!$L183="",LOWER('Game Records'!$L183&amp;"")="n/a")),"Disqualified Status; ",""))</x:f>
      </x:c>
      <x:c r="G183" s="331" t="str">
        <x:f>IF($A183="","",IFERROR('Game Records'!$M183,""))</x:f>
      </x:c>
    </x:row>
    <x:row r="184">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Game",OR('Game Records'!$D184="",LOWER('Game Records'!$D184&amp;"")="n/a")),"Entry Mode; ","")&amp;IF(AND('Game Records'!$U184&lt;&gt;"Subscription",'Game Records'!$U184&lt;&gt;"Free Game",OR('Game Records'!$E184="",LOWER('Game Records'!$E184&amp;"")="n/a")),"Game Type; ","")&amp;IF('Game Records'!$F184="","Payment Type; ","")&amp;IF(AND('Game Records'!$U184&lt;&gt;"Subscription",'Game Records'!$U184&lt;&gt;"Free Game",'Game Records'!$G184=""),"Gross Pot; ","")&amp;IF(AND('Game Records'!$U184&lt;&gt;"Free Game",'Game Records'!$H184=""),"Entry Fee; ","")&amp;IF(AND('Game Records'!$U184&lt;&gt;"Subscription",'Game Records'!$U184&lt;&gt;"Free Game",'Game Records'!$I184=""),"Eligible Players; ","")&amp;IF(AND('Game Records'!$U184&lt;&gt;"Subscription",'Game Records'!$U184&lt;&gt;"Free Game",'Game Records'!$J184=""),"Total Players; ","")&amp;IF(AND(LOWER('Game Records'!$D184&amp;"")="finalized",LOWER('Game Records'!$L184&amp;"")&lt;&gt;"yes",'Game Records'!$U184&lt;&gt;"Subscription",'Game Records'!$U184&lt;&gt;"Free Game",'Game Records'!$K184=""),"Final Earned; ","")&amp;IF(AND(LOWER('Game Records'!$D184&amp;"")="finalized",'Game Records'!$U184&lt;&gt;"Subscription",'Game Records'!$U184&lt;&gt;"Free Game",OR('Game Records'!$L184="",LOWER('Game Records'!$L184&amp;"")="n/a")),"Disqualified Status; ",""))</x:f>
      </x:c>
      <x:c r="G184" s="331" t="str">
        <x:f>IF($A184="","",IFERROR('Game Records'!$M184,""))</x:f>
      </x:c>
    </x:row>
    <x:row r="185">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Game",OR('Game Records'!$D185="",LOWER('Game Records'!$D185&amp;"")="n/a")),"Entry Mode; ","")&amp;IF(AND('Game Records'!$U185&lt;&gt;"Subscription",'Game Records'!$U185&lt;&gt;"Free Game",OR('Game Records'!$E185="",LOWER('Game Records'!$E185&amp;"")="n/a")),"Game Type; ","")&amp;IF('Game Records'!$F185="","Payment Type; ","")&amp;IF(AND('Game Records'!$U185&lt;&gt;"Subscription",'Game Records'!$U185&lt;&gt;"Free Game",'Game Records'!$G185=""),"Gross Pot; ","")&amp;IF(AND('Game Records'!$U185&lt;&gt;"Free Game",'Game Records'!$H185=""),"Entry Fee; ","")&amp;IF(AND('Game Records'!$U185&lt;&gt;"Subscription",'Game Records'!$U185&lt;&gt;"Free Game",'Game Records'!$I185=""),"Eligible Players; ","")&amp;IF(AND('Game Records'!$U185&lt;&gt;"Subscription",'Game Records'!$U185&lt;&gt;"Free Game",'Game Records'!$J185=""),"Total Players; ","")&amp;IF(AND(LOWER('Game Records'!$D185&amp;"")="finalized",LOWER('Game Records'!$L185&amp;"")&lt;&gt;"yes",'Game Records'!$U185&lt;&gt;"Subscription",'Game Records'!$U185&lt;&gt;"Free Game",'Game Records'!$K185=""),"Final Earned; ","")&amp;IF(AND(LOWER('Game Records'!$D185&amp;"")="finalized",'Game Records'!$U185&lt;&gt;"Subscription",'Game Records'!$U185&lt;&gt;"Free Game",OR('Game Records'!$L185="",LOWER('Game Records'!$L185&amp;"")="n/a")),"Disqualified Status; ",""))</x:f>
      </x:c>
      <x:c r="G185" s="331" t="str">
        <x:f>IF($A185="","",IFERROR('Game Records'!$M185,""))</x:f>
      </x:c>
    </x:row>
    <x:row r="186">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Game",OR('Game Records'!$D186="",LOWER('Game Records'!$D186&amp;"")="n/a")),"Entry Mode; ","")&amp;IF(AND('Game Records'!$U186&lt;&gt;"Subscription",'Game Records'!$U186&lt;&gt;"Free Game",OR('Game Records'!$E186="",LOWER('Game Records'!$E186&amp;"")="n/a")),"Game Type; ","")&amp;IF('Game Records'!$F186="","Payment Type; ","")&amp;IF(AND('Game Records'!$U186&lt;&gt;"Subscription",'Game Records'!$U186&lt;&gt;"Free Game",'Game Records'!$G186=""),"Gross Pot; ","")&amp;IF(AND('Game Records'!$U186&lt;&gt;"Free Game",'Game Records'!$H186=""),"Entry Fee; ","")&amp;IF(AND('Game Records'!$U186&lt;&gt;"Subscription",'Game Records'!$U186&lt;&gt;"Free Game",'Game Records'!$I186=""),"Eligible Players; ","")&amp;IF(AND('Game Records'!$U186&lt;&gt;"Subscription",'Game Records'!$U186&lt;&gt;"Free Game",'Game Records'!$J186=""),"Total Players; ","")&amp;IF(AND(LOWER('Game Records'!$D186&amp;"")="finalized",LOWER('Game Records'!$L186&amp;"")&lt;&gt;"yes",'Game Records'!$U186&lt;&gt;"Subscription",'Game Records'!$U186&lt;&gt;"Free Game",'Game Records'!$K186=""),"Final Earned; ","")&amp;IF(AND(LOWER('Game Records'!$D186&amp;"")="finalized",'Game Records'!$U186&lt;&gt;"Subscription",'Game Records'!$U186&lt;&gt;"Free Game",OR('Game Records'!$L186="",LOWER('Game Records'!$L186&amp;"")="n/a")),"Disqualified Status; ",""))</x:f>
      </x:c>
      <x:c r="G186" s="331" t="str">
        <x:f>IF($A186="","",IFERROR('Game Records'!$M186,""))</x:f>
      </x:c>
    </x:row>
    <x:row r="187">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Game",OR('Game Records'!$D187="",LOWER('Game Records'!$D187&amp;"")="n/a")),"Entry Mode; ","")&amp;IF(AND('Game Records'!$U187&lt;&gt;"Subscription",'Game Records'!$U187&lt;&gt;"Free Game",OR('Game Records'!$E187="",LOWER('Game Records'!$E187&amp;"")="n/a")),"Game Type; ","")&amp;IF('Game Records'!$F187="","Payment Type; ","")&amp;IF(AND('Game Records'!$U187&lt;&gt;"Subscription",'Game Records'!$U187&lt;&gt;"Free Game",'Game Records'!$G187=""),"Gross Pot; ","")&amp;IF(AND('Game Records'!$U187&lt;&gt;"Free Game",'Game Records'!$H187=""),"Entry Fee; ","")&amp;IF(AND('Game Records'!$U187&lt;&gt;"Subscription",'Game Records'!$U187&lt;&gt;"Free Game",'Game Records'!$I187=""),"Eligible Players; ","")&amp;IF(AND('Game Records'!$U187&lt;&gt;"Subscription",'Game Records'!$U187&lt;&gt;"Free Game",'Game Records'!$J187=""),"Total Players; ","")&amp;IF(AND(LOWER('Game Records'!$D187&amp;"")="finalized",LOWER('Game Records'!$L187&amp;"")&lt;&gt;"yes",'Game Records'!$U187&lt;&gt;"Subscription",'Game Records'!$U187&lt;&gt;"Free Game",'Game Records'!$K187=""),"Final Earned; ","")&amp;IF(AND(LOWER('Game Records'!$D187&amp;"")="finalized",'Game Records'!$U187&lt;&gt;"Subscription",'Game Records'!$U187&lt;&gt;"Free Game",OR('Game Records'!$L187="",LOWER('Game Records'!$L187&amp;"")="n/a")),"Disqualified Status; ",""))</x:f>
      </x:c>
      <x:c r="G187" s="331" t="str">
        <x:f>IF($A187="","",IFERROR('Game Records'!$M187,""))</x:f>
      </x:c>
    </x:row>
    <x:row r="188">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Game",OR('Game Records'!$D188="",LOWER('Game Records'!$D188&amp;"")="n/a")),"Entry Mode; ","")&amp;IF(AND('Game Records'!$U188&lt;&gt;"Subscription",'Game Records'!$U188&lt;&gt;"Free Game",OR('Game Records'!$E188="",LOWER('Game Records'!$E188&amp;"")="n/a")),"Game Type; ","")&amp;IF('Game Records'!$F188="","Payment Type; ","")&amp;IF(AND('Game Records'!$U188&lt;&gt;"Subscription",'Game Records'!$U188&lt;&gt;"Free Game",'Game Records'!$G188=""),"Gross Pot; ","")&amp;IF(AND('Game Records'!$U188&lt;&gt;"Free Game",'Game Records'!$H188=""),"Entry Fee; ","")&amp;IF(AND('Game Records'!$U188&lt;&gt;"Subscription",'Game Records'!$U188&lt;&gt;"Free Game",'Game Records'!$I188=""),"Eligible Players; ","")&amp;IF(AND('Game Records'!$U188&lt;&gt;"Subscription",'Game Records'!$U188&lt;&gt;"Free Game",'Game Records'!$J188=""),"Total Players; ","")&amp;IF(AND(LOWER('Game Records'!$D188&amp;"")="finalized",LOWER('Game Records'!$L188&amp;"")&lt;&gt;"yes",'Game Records'!$U188&lt;&gt;"Subscription",'Game Records'!$U188&lt;&gt;"Free Game",'Game Records'!$K188=""),"Final Earned; ","")&amp;IF(AND(LOWER('Game Records'!$D188&amp;"")="finalized",'Game Records'!$U188&lt;&gt;"Subscription",'Game Records'!$U188&lt;&gt;"Free Game",OR('Game Records'!$L188="",LOWER('Game Records'!$L188&amp;"")="n/a")),"Disqualified Status; ",""))</x:f>
      </x:c>
      <x:c r="G188" s="331" t="str">
        <x:f>IF($A188="","",IFERROR('Game Records'!$M188,""))</x:f>
      </x:c>
    </x:row>
    <x:row r="189">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Game",OR('Game Records'!$D189="",LOWER('Game Records'!$D189&amp;"")="n/a")),"Entry Mode; ","")&amp;IF(AND('Game Records'!$U189&lt;&gt;"Subscription",'Game Records'!$U189&lt;&gt;"Free Game",OR('Game Records'!$E189="",LOWER('Game Records'!$E189&amp;"")="n/a")),"Game Type; ","")&amp;IF('Game Records'!$F189="","Payment Type; ","")&amp;IF(AND('Game Records'!$U189&lt;&gt;"Subscription",'Game Records'!$U189&lt;&gt;"Free Game",'Game Records'!$G189=""),"Gross Pot; ","")&amp;IF(AND('Game Records'!$U189&lt;&gt;"Free Game",'Game Records'!$H189=""),"Entry Fee; ","")&amp;IF(AND('Game Records'!$U189&lt;&gt;"Subscription",'Game Records'!$U189&lt;&gt;"Free Game",'Game Records'!$I189=""),"Eligible Players; ","")&amp;IF(AND('Game Records'!$U189&lt;&gt;"Subscription",'Game Records'!$U189&lt;&gt;"Free Game",'Game Records'!$J189=""),"Total Players; ","")&amp;IF(AND(LOWER('Game Records'!$D189&amp;"")="finalized",LOWER('Game Records'!$L189&amp;"")&lt;&gt;"yes",'Game Records'!$U189&lt;&gt;"Subscription",'Game Records'!$U189&lt;&gt;"Free Game",'Game Records'!$K189=""),"Final Earned; ","")&amp;IF(AND(LOWER('Game Records'!$D189&amp;"")="finalized",'Game Records'!$U189&lt;&gt;"Subscription",'Game Records'!$U189&lt;&gt;"Free Game",OR('Game Records'!$L189="",LOWER('Game Records'!$L189&amp;"")="n/a")),"Disqualified Status; ",""))</x:f>
      </x:c>
      <x:c r="G189" s="331" t="str">
        <x:f>IF($A189="","",IFERROR('Game Records'!$M189,""))</x:f>
      </x:c>
    </x:row>
    <x:row r="190">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Game",OR('Game Records'!$D190="",LOWER('Game Records'!$D190&amp;"")="n/a")),"Entry Mode; ","")&amp;IF(AND('Game Records'!$U190&lt;&gt;"Subscription",'Game Records'!$U190&lt;&gt;"Free Game",OR('Game Records'!$E190="",LOWER('Game Records'!$E190&amp;"")="n/a")),"Game Type; ","")&amp;IF('Game Records'!$F190="","Payment Type; ","")&amp;IF(AND('Game Records'!$U190&lt;&gt;"Subscription",'Game Records'!$U190&lt;&gt;"Free Game",'Game Records'!$G190=""),"Gross Pot; ","")&amp;IF(AND('Game Records'!$U190&lt;&gt;"Free Game",'Game Records'!$H190=""),"Entry Fee; ","")&amp;IF(AND('Game Records'!$U190&lt;&gt;"Subscription",'Game Records'!$U190&lt;&gt;"Free Game",'Game Records'!$I190=""),"Eligible Players; ","")&amp;IF(AND('Game Records'!$U190&lt;&gt;"Subscription",'Game Records'!$U190&lt;&gt;"Free Game",'Game Records'!$J190=""),"Total Players; ","")&amp;IF(AND(LOWER('Game Records'!$D190&amp;"")="finalized",LOWER('Game Records'!$L190&amp;"")&lt;&gt;"yes",'Game Records'!$U190&lt;&gt;"Subscription",'Game Records'!$U190&lt;&gt;"Free Game",'Game Records'!$K190=""),"Final Earned; ","")&amp;IF(AND(LOWER('Game Records'!$D190&amp;"")="finalized",'Game Records'!$U190&lt;&gt;"Subscription",'Game Records'!$U190&lt;&gt;"Free Game",OR('Game Records'!$L190="",LOWER('Game Records'!$L190&amp;"")="n/a")),"Disqualified Status; ",""))</x:f>
      </x:c>
      <x:c r="G190" s="331" t="str">
        <x:f>IF($A190="","",IFERROR('Game Records'!$M190,""))</x:f>
      </x:c>
    </x:row>
    <x:row r="19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Game",OR('Game Records'!$D191="",LOWER('Game Records'!$D191&amp;"")="n/a")),"Entry Mode; ","")&amp;IF(AND('Game Records'!$U191&lt;&gt;"Subscription",'Game Records'!$U191&lt;&gt;"Free Game",OR('Game Records'!$E191="",LOWER('Game Records'!$E191&amp;"")="n/a")),"Game Type; ","")&amp;IF('Game Records'!$F191="","Payment Type; ","")&amp;IF(AND('Game Records'!$U191&lt;&gt;"Subscription",'Game Records'!$U191&lt;&gt;"Free Game",'Game Records'!$G191=""),"Gross Pot; ","")&amp;IF(AND('Game Records'!$U191&lt;&gt;"Free Game",'Game Records'!$H191=""),"Entry Fee; ","")&amp;IF(AND('Game Records'!$U191&lt;&gt;"Subscription",'Game Records'!$U191&lt;&gt;"Free Game",'Game Records'!$I191=""),"Eligible Players; ","")&amp;IF(AND('Game Records'!$U191&lt;&gt;"Subscription",'Game Records'!$U191&lt;&gt;"Free Game",'Game Records'!$J191=""),"Total Players; ","")&amp;IF(AND(LOWER('Game Records'!$D191&amp;"")="finalized",LOWER('Game Records'!$L191&amp;"")&lt;&gt;"yes",'Game Records'!$U191&lt;&gt;"Subscription",'Game Records'!$U191&lt;&gt;"Free Game",'Game Records'!$K191=""),"Final Earned; ","")&amp;IF(AND(LOWER('Game Records'!$D191&amp;"")="finalized",'Game Records'!$U191&lt;&gt;"Subscription",'Game Records'!$U191&lt;&gt;"Free Game",OR('Game Records'!$L191="",LOWER('Game Records'!$L191&amp;"")="n/a")),"Disqualified Status; ",""))</x:f>
      </x:c>
      <x:c r="G191" s="331" t="str">
        <x:f>IF($A191="","",IFERROR('Game Records'!$M191,""))</x:f>
      </x:c>
    </x:row>
    <x:row r="192">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Game",OR('Game Records'!$D192="",LOWER('Game Records'!$D192&amp;"")="n/a")),"Entry Mode; ","")&amp;IF(AND('Game Records'!$U192&lt;&gt;"Subscription",'Game Records'!$U192&lt;&gt;"Free Game",OR('Game Records'!$E192="",LOWER('Game Records'!$E192&amp;"")="n/a")),"Game Type; ","")&amp;IF('Game Records'!$F192="","Payment Type; ","")&amp;IF(AND('Game Records'!$U192&lt;&gt;"Subscription",'Game Records'!$U192&lt;&gt;"Free Game",'Game Records'!$G192=""),"Gross Pot; ","")&amp;IF(AND('Game Records'!$U192&lt;&gt;"Free Game",'Game Records'!$H192=""),"Entry Fee; ","")&amp;IF(AND('Game Records'!$U192&lt;&gt;"Subscription",'Game Records'!$U192&lt;&gt;"Free Game",'Game Records'!$I192=""),"Eligible Players; ","")&amp;IF(AND('Game Records'!$U192&lt;&gt;"Subscription",'Game Records'!$U192&lt;&gt;"Free Game",'Game Records'!$J192=""),"Total Players; ","")&amp;IF(AND(LOWER('Game Records'!$D192&amp;"")="finalized",LOWER('Game Records'!$L192&amp;"")&lt;&gt;"yes",'Game Records'!$U192&lt;&gt;"Subscription",'Game Records'!$U192&lt;&gt;"Free Game",'Game Records'!$K192=""),"Final Earned; ","")&amp;IF(AND(LOWER('Game Records'!$D192&amp;"")="finalized",'Game Records'!$U192&lt;&gt;"Subscription",'Game Records'!$U192&lt;&gt;"Free Game",OR('Game Records'!$L192="",LOWER('Game Records'!$L192&amp;"")="n/a")),"Disqualified Status; ",""))</x:f>
      </x:c>
      <x:c r="G192" s="331" t="str">
        <x:f>IF($A192="","",IFERROR('Game Records'!$M192,""))</x:f>
      </x:c>
    </x:row>
    <x:row r="193">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Game",OR('Game Records'!$D193="",LOWER('Game Records'!$D193&amp;"")="n/a")),"Entry Mode; ","")&amp;IF(AND('Game Records'!$U193&lt;&gt;"Subscription",'Game Records'!$U193&lt;&gt;"Free Game",OR('Game Records'!$E193="",LOWER('Game Records'!$E193&amp;"")="n/a")),"Game Type; ","")&amp;IF('Game Records'!$F193="","Payment Type; ","")&amp;IF(AND('Game Records'!$U193&lt;&gt;"Subscription",'Game Records'!$U193&lt;&gt;"Free Game",'Game Records'!$G193=""),"Gross Pot; ","")&amp;IF(AND('Game Records'!$U193&lt;&gt;"Free Game",'Game Records'!$H193=""),"Entry Fee; ","")&amp;IF(AND('Game Records'!$U193&lt;&gt;"Subscription",'Game Records'!$U193&lt;&gt;"Free Game",'Game Records'!$I193=""),"Eligible Players; ","")&amp;IF(AND('Game Records'!$U193&lt;&gt;"Subscription",'Game Records'!$U193&lt;&gt;"Free Game",'Game Records'!$J193=""),"Total Players; ","")&amp;IF(AND(LOWER('Game Records'!$D193&amp;"")="finalized",LOWER('Game Records'!$L193&amp;"")&lt;&gt;"yes",'Game Records'!$U193&lt;&gt;"Subscription",'Game Records'!$U193&lt;&gt;"Free Game",'Game Records'!$K193=""),"Final Earned; ","")&amp;IF(AND(LOWER('Game Records'!$D193&amp;"")="finalized",'Game Records'!$U193&lt;&gt;"Subscription",'Game Records'!$U193&lt;&gt;"Free Game",OR('Game Records'!$L193="",LOWER('Game Records'!$L193&amp;"")="n/a")),"Disqualified Status; ",""))</x:f>
      </x:c>
      <x:c r="G193" s="331" t="str">
        <x:f>IF($A193="","",IFERROR('Game Records'!$M193,""))</x:f>
      </x:c>
    </x:row>
    <x:row r="194">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Game",OR('Game Records'!$D194="",LOWER('Game Records'!$D194&amp;"")="n/a")),"Entry Mode; ","")&amp;IF(AND('Game Records'!$U194&lt;&gt;"Subscription",'Game Records'!$U194&lt;&gt;"Free Game",OR('Game Records'!$E194="",LOWER('Game Records'!$E194&amp;"")="n/a")),"Game Type; ","")&amp;IF('Game Records'!$F194="","Payment Type; ","")&amp;IF(AND('Game Records'!$U194&lt;&gt;"Subscription",'Game Records'!$U194&lt;&gt;"Free Game",'Game Records'!$G194=""),"Gross Pot; ","")&amp;IF(AND('Game Records'!$U194&lt;&gt;"Free Game",'Game Records'!$H194=""),"Entry Fee; ","")&amp;IF(AND('Game Records'!$U194&lt;&gt;"Subscription",'Game Records'!$U194&lt;&gt;"Free Game",'Game Records'!$I194=""),"Eligible Players; ","")&amp;IF(AND('Game Records'!$U194&lt;&gt;"Subscription",'Game Records'!$U194&lt;&gt;"Free Game",'Game Records'!$J194=""),"Total Players; ","")&amp;IF(AND(LOWER('Game Records'!$D194&amp;"")="finalized",LOWER('Game Records'!$L194&amp;"")&lt;&gt;"yes",'Game Records'!$U194&lt;&gt;"Subscription",'Game Records'!$U194&lt;&gt;"Free Game",'Game Records'!$K194=""),"Final Earned; ","")&amp;IF(AND(LOWER('Game Records'!$D194&amp;"")="finalized",'Game Records'!$U194&lt;&gt;"Subscription",'Game Records'!$U194&lt;&gt;"Free Game",OR('Game Records'!$L194="",LOWER('Game Records'!$L194&amp;"")="n/a")),"Disqualified Status; ",""))</x:f>
      </x:c>
      <x:c r="G194" s="331" t="str">
        <x:f>IF($A194="","",IFERROR('Game Records'!$M194,""))</x:f>
      </x:c>
    </x:row>
    <x:row r="195">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Game",OR('Game Records'!$D195="",LOWER('Game Records'!$D195&amp;"")="n/a")),"Entry Mode; ","")&amp;IF(AND('Game Records'!$U195&lt;&gt;"Subscription",'Game Records'!$U195&lt;&gt;"Free Game",OR('Game Records'!$E195="",LOWER('Game Records'!$E195&amp;"")="n/a")),"Game Type; ","")&amp;IF('Game Records'!$F195="","Payment Type; ","")&amp;IF(AND('Game Records'!$U195&lt;&gt;"Subscription",'Game Records'!$U195&lt;&gt;"Free Game",'Game Records'!$G195=""),"Gross Pot; ","")&amp;IF(AND('Game Records'!$U195&lt;&gt;"Free Game",'Game Records'!$H195=""),"Entry Fee; ","")&amp;IF(AND('Game Records'!$U195&lt;&gt;"Subscription",'Game Records'!$U195&lt;&gt;"Free Game",'Game Records'!$I195=""),"Eligible Players; ","")&amp;IF(AND('Game Records'!$U195&lt;&gt;"Subscription",'Game Records'!$U195&lt;&gt;"Free Game",'Game Records'!$J195=""),"Total Players; ","")&amp;IF(AND(LOWER('Game Records'!$D195&amp;"")="finalized",LOWER('Game Records'!$L195&amp;"")&lt;&gt;"yes",'Game Records'!$U195&lt;&gt;"Subscription",'Game Records'!$U195&lt;&gt;"Free Game",'Game Records'!$K195=""),"Final Earned; ","")&amp;IF(AND(LOWER('Game Records'!$D195&amp;"")="finalized",'Game Records'!$U195&lt;&gt;"Subscription",'Game Records'!$U195&lt;&gt;"Free Game",OR('Game Records'!$L195="",LOWER('Game Records'!$L195&amp;"")="n/a")),"Disqualified Status; ",""))</x:f>
      </x:c>
      <x:c r="G195" s="331" t="str">
        <x:f>IF($A195="","",IFERROR('Game Records'!$M195,""))</x:f>
      </x:c>
    </x:row>
    <x:row r="196">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Game",OR('Game Records'!$D196="",LOWER('Game Records'!$D196&amp;"")="n/a")),"Entry Mode; ","")&amp;IF(AND('Game Records'!$U196&lt;&gt;"Subscription",'Game Records'!$U196&lt;&gt;"Free Game",OR('Game Records'!$E196="",LOWER('Game Records'!$E196&amp;"")="n/a")),"Game Type; ","")&amp;IF('Game Records'!$F196="","Payment Type; ","")&amp;IF(AND('Game Records'!$U196&lt;&gt;"Subscription",'Game Records'!$U196&lt;&gt;"Free Game",'Game Records'!$G196=""),"Gross Pot; ","")&amp;IF(AND('Game Records'!$U196&lt;&gt;"Free Game",'Game Records'!$H196=""),"Entry Fee; ","")&amp;IF(AND('Game Records'!$U196&lt;&gt;"Subscription",'Game Records'!$U196&lt;&gt;"Free Game",'Game Records'!$I196=""),"Eligible Players; ","")&amp;IF(AND('Game Records'!$U196&lt;&gt;"Subscription",'Game Records'!$U196&lt;&gt;"Free Game",'Game Records'!$J196=""),"Total Players; ","")&amp;IF(AND(LOWER('Game Records'!$D196&amp;"")="finalized",LOWER('Game Records'!$L196&amp;"")&lt;&gt;"yes",'Game Records'!$U196&lt;&gt;"Subscription",'Game Records'!$U196&lt;&gt;"Free Game",'Game Records'!$K196=""),"Final Earned; ","")&amp;IF(AND(LOWER('Game Records'!$D196&amp;"")="finalized",'Game Records'!$U196&lt;&gt;"Subscription",'Game Records'!$U196&lt;&gt;"Free Game",OR('Game Records'!$L196="",LOWER('Game Records'!$L196&amp;"")="n/a")),"Disqualified Status; ",""))</x:f>
      </x:c>
      <x:c r="G196" s="331" t="str">
        <x:f>IF($A196="","",IFERROR('Game Records'!$M196,""))</x:f>
      </x:c>
    </x:row>
    <x:row r="197">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Game",OR('Game Records'!$D197="",LOWER('Game Records'!$D197&amp;"")="n/a")),"Entry Mode; ","")&amp;IF(AND('Game Records'!$U197&lt;&gt;"Subscription",'Game Records'!$U197&lt;&gt;"Free Game",OR('Game Records'!$E197="",LOWER('Game Records'!$E197&amp;"")="n/a")),"Game Type; ","")&amp;IF('Game Records'!$F197="","Payment Type; ","")&amp;IF(AND('Game Records'!$U197&lt;&gt;"Subscription",'Game Records'!$U197&lt;&gt;"Free Game",'Game Records'!$G197=""),"Gross Pot; ","")&amp;IF(AND('Game Records'!$U197&lt;&gt;"Free Game",'Game Records'!$H197=""),"Entry Fee; ","")&amp;IF(AND('Game Records'!$U197&lt;&gt;"Subscription",'Game Records'!$U197&lt;&gt;"Free Game",'Game Records'!$I197=""),"Eligible Players; ","")&amp;IF(AND('Game Records'!$U197&lt;&gt;"Subscription",'Game Records'!$U197&lt;&gt;"Free Game",'Game Records'!$J197=""),"Total Players; ","")&amp;IF(AND(LOWER('Game Records'!$D197&amp;"")="finalized",LOWER('Game Records'!$L197&amp;"")&lt;&gt;"yes",'Game Records'!$U197&lt;&gt;"Subscription",'Game Records'!$U197&lt;&gt;"Free Game",'Game Records'!$K197=""),"Final Earned; ","")&amp;IF(AND(LOWER('Game Records'!$D197&amp;"")="finalized",'Game Records'!$U197&lt;&gt;"Subscription",'Game Records'!$U197&lt;&gt;"Free Game",OR('Game Records'!$L197="",LOWER('Game Records'!$L197&amp;"")="n/a")),"Disqualified Status; ",""))</x:f>
      </x:c>
      <x:c r="G197" s="331" t="str">
        <x:f>IF($A197="","",IFERROR('Game Records'!$M197,""))</x:f>
      </x:c>
    </x:row>
    <x:row r="198">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Game",OR('Game Records'!$D198="",LOWER('Game Records'!$D198&amp;"")="n/a")),"Entry Mode; ","")&amp;IF(AND('Game Records'!$U198&lt;&gt;"Subscription",'Game Records'!$U198&lt;&gt;"Free Game",OR('Game Records'!$E198="",LOWER('Game Records'!$E198&amp;"")="n/a")),"Game Type; ","")&amp;IF('Game Records'!$F198="","Payment Type; ","")&amp;IF(AND('Game Records'!$U198&lt;&gt;"Subscription",'Game Records'!$U198&lt;&gt;"Free Game",'Game Records'!$G198=""),"Gross Pot; ","")&amp;IF(AND('Game Records'!$U198&lt;&gt;"Free Game",'Game Records'!$H198=""),"Entry Fee; ","")&amp;IF(AND('Game Records'!$U198&lt;&gt;"Subscription",'Game Records'!$U198&lt;&gt;"Free Game",'Game Records'!$I198=""),"Eligible Players; ","")&amp;IF(AND('Game Records'!$U198&lt;&gt;"Subscription",'Game Records'!$U198&lt;&gt;"Free Game",'Game Records'!$J198=""),"Total Players; ","")&amp;IF(AND(LOWER('Game Records'!$D198&amp;"")="finalized",LOWER('Game Records'!$L198&amp;"")&lt;&gt;"yes",'Game Records'!$U198&lt;&gt;"Subscription",'Game Records'!$U198&lt;&gt;"Free Game",'Game Records'!$K198=""),"Final Earned; ","")&amp;IF(AND(LOWER('Game Records'!$D198&amp;"")="finalized",'Game Records'!$U198&lt;&gt;"Subscription",'Game Records'!$U198&lt;&gt;"Free Game",OR('Game Records'!$L198="",LOWER('Game Records'!$L198&amp;"")="n/a")),"Disqualified Status; ",""))</x:f>
      </x:c>
      <x:c r="G198" s="331" t="str">
        <x:f>IF($A198="","",IFERROR('Game Records'!$M198,""))</x:f>
      </x:c>
    </x:row>
    <x:row r="199">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Game",OR('Game Records'!$D199="",LOWER('Game Records'!$D199&amp;"")="n/a")),"Entry Mode; ","")&amp;IF(AND('Game Records'!$U199&lt;&gt;"Subscription",'Game Records'!$U199&lt;&gt;"Free Game",OR('Game Records'!$E199="",LOWER('Game Records'!$E199&amp;"")="n/a")),"Game Type; ","")&amp;IF('Game Records'!$F199="","Payment Type; ","")&amp;IF(AND('Game Records'!$U199&lt;&gt;"Subscription",'Game Records'!$U199&lt;&gt;"Free Game",'Game Records'!$G199=""),"Gross Pot; ","")&amp;IF(AND('Game Records'!$U199&lt;&gt;"Free Game",'Game Records'!$H199=""),"Entry Fee; ","")&amp;IF(AND('Game Records'!$U199&lt;&gt;"Subscription",'Game Records'!$U199&lt;&gt;"Free Game",'Game Records'!$I199=""),"Eligible Players; ","")&amp;IF(AND('Game Records'!$U199&lt;&gt;"Subscription",'Game Records'!$U199&lt;&gt;"Free Game",'Game Records'!$J199=""),"Total Players; ","")&amp;IF(AND(LOWER('Game Records'!$D199&amp;"")="finalized",LOWER('Game Records'!$L199&amp;"")&lt;&gt;"yes",'Game Records'!$U199&lt;&gt;"Subscription",'Game Records'!$U199&lt;&gt;"Free Game",'Game Records'!$K199=""),"Final Earned; ","")&amp;IF(AND(LOWER('Game Records'!$D199&amp;"")="finalized",'Game Records'!$U199&lt;&gt;"Subscription",'Game Records'!$U199&lt;&gt;"Free Game",OR('Game Records'!$L199="",LOWER('Game Records'!$L199&amp;"")="n/a")),"Disqualified Status; ",""))</x:f>
      </x:c>
      <x:c r="G199" s="331" t="str">
        <x:f>IF($A199="","",IFERROR('Game Records'!$M199,""))</x:f>
      </x:c>
    </x:row>
    <x:row r="200">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Game",OR('Game Records'!$D200="",LOWER('Game Records'!$D200&amp;"")="n/a")),"Entry Mode; ","")&amp;IF(AND('Game Records'!$U200&lt;&gt;"Subscription",'Game Records'!$U200&lt;&gt;"Free Game",OR('Game Records'!$E200="",LOWER('Game Records'!$E200&amp;"")="n/a")),"Game Type; ","")&amp;IF('Game Records'!$F200="","Payment Type; ","")&amp;IF(AND('Game Records'!$U200&lt;&gt;"Subscription",'Game Records'!$U200&lt;&gt;"Free Game",'Game Records'!$G200=""),"Gross Pot; ","")&amp;IF(AND('Game Records'!$U200&lt;&gt;"Free Game",'Game Records'!$H200=""),"Entry Fee; ","")&amp;IF(AND('Game Records'!$U200&lt;&gt;"Subscription",'Game Records'!$U200&lt;&gt;"Free Game",'Game Records'!$I200=""),"Eligible Players; ","")&amp;IF(AND('Game Records'!$U200&lt;&gt;"Subscription",'Game Records'!$U200&lt;&gt;"Free Game",'Game Records'!$J200=""),"Total Players; ","")&amp;IF(AND(LOWER('Game Records'!$D200&amp;"")="finalized",LOWER('Game Records'!$L200&amp;"")&lt;&gt;"yes",'Game Records'!$U200&lt;&gt;"Subscription",'Game Records'!$U200&lt;&gt;"Free Game",'Game Records'!$K200=""),"Final Earned; ","")&amp;IF(AND(LOWER('Game Records'!$D200&amp;"")="finalized",'Game Records'!$U200&lt;&gt;"Subscription",'Game Records'!$U200&lt;&gt;"Free Game",OR('Game Records'!$L200="",LOWER('Game Records'!$L200&amp;"")="n/a")),"Disqualified Status; ",""))</x:f>
      </x:c>
      <x:c r="G200" s="331" t="str">
        <x:f>IF($A200="","",IFERROR('Game Records'!$M200,""))</x:f>
      </x:c>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Game",OR('Game Records'!$D201="",LOWER('Game Records'!$D201&amp;"")="n/a")),"Entry Mode; ","")&amp;IF(AND('Game Records'!$U201&lt;&gt;"Subscription",'Game Records'!$U201&lt;&gt;"Free Game",OR('Game Records'!$E201="",LOWER('Game Records'!$E201&amp;"")="n/a")),"Game Type; ","")&amp;IF('Game Records'!$F201="","Payment Type; ","")&amp;IF(AND('Game Records'!$U201&lt;&gt;"Subscription",'Game Records'!$U201&lt;&gt;"Free Game",'Game Records'!$G201=""),"Gross Pot; ","")&amp;IF(AND('Game Records'!$U201&lt;&gt;"Free Game",'Game Records'!$H201=""),"Entry Fee; ","")&amp;IF(AND('Game Records'!$U201&lt;&gt;"Subscription",'Game Records'!$U201&lt;&gt;"Free Game",'Game Records'!$I201=""),"Eligible Players; ","")&amp;IF(AND('Game Records'!$U201&lt;&gt;"Subscription",'Game Records'!$U201&lt;&gt;"Free Game",'Game Records'!$J201=""),"Total Players; ","")&amp;IF(AND(LOWER('Game Records'!$D201&amp;"")="finalized",LOWER('Game Records'!$L201&amp;"")&lt;&gt;"yes",'Game Records'!$U201&lt;&gt;"Subscription",'Game Records'!$U201&lt;&gt;"Free Game",'Game Records'!$K201=""),"Final Earned; ","")&amp;IF(AND(LOWER('Game Records'!$D201&amp;"")="finalized",'Game Records'!$U201&lt;&gt;"Subscription",'Game Records'!$U201&lt;&gt;"Free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Game",OR('Game Records'!$D202="",LOWER('Game Records'!$D202&amp;"")="n/a")),"Entry Mode; ","")&amp;IF(AND('Game Records'!$U202&lt;&gt;"Subscription",'Game Records'!$U202&lt;&gt;"Free Game",OR('Game Records'!$E202="",LOWER('Game Records'!$E202&amp;"")="n/a")),"Game Type; ","")&amp;IF('Game Records'!$F202="","Payment Type; ","")&amp;IF(AND('Game Records'!$U202&lt;&gt;"Subscription",'Game Records'!$U202&lt;&gt;"Free Game",'Game Records'!$G202=""),"Gross Pot; ","")&amp;IF(AND('Game Records'!$U202&lt;&gt;"Free Game",'Game Records'!$H202=""),"Entry Fee; ","")&amp;IF(AND('Game Records'!$U202&lt;&gt;"Subscription",'Game Records'!$U202&lt;&gt;"Free Game",'Game Records'!$I202=""),"Eligible Players; ","")&amp;IF(AND('Game Records'!$U202&lt;&gt;"Subscription",'Game Records'!$U202&lt;&gt;"Free Game",'Game Records'!$J202=""),"Total Players; ","")&amp;IF(AND(LOWER('Game Records'!$D202&amp;"")="finalized",LOWER('Game Records'!$L202&amp;"")&lt;&gt;"yes",'Game Records'!$U202&lt;&gt;"Subscription",'Game Records'!$U202&lt;&gt;"Free Game",'Game Records'!$K202=""),"Final Earned; ","")&amp;IF(AND(LOWER('Game Records'!$D202&amp;"")="finalized",'Game Records'!$U202&lt;&gt;"Subscription",'Game Records'!$U202&lt;&gt;"Free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Game",OR('Game Records'!$D203="",LOWER('Game Records'!$D203&amp;"")="n/a")),"Entry Mode; ","")&amp;IF(AND('Game Records'!$U203&lt;&gt;"Subscription",'Game Records'!$U203&lt;&gt;"Free Game",OR('Game Records'!$E203="",LOWER('Game Records'!$E203&amp;"")="n/a")),"Game Type; ","")&amp;IF('Game Records'!$F203="","Payment Type; ","")&amp;IF(AND('Game Records'!$U203&lt;&gt;"Subscription",'Game Records'!$U203&lt;&gt;"Free Game",'Game Records'!$G203=""),"Gross Pot; ","")&amp;IF(AND('Game Records'!$U203&lt;&gt;"Free Game",'Game Records'!$H203=""),"Entry Fee; ","")&amp;IF(AND('Game Records'!$U203&lt;&gt;"Subscription",'Game Records'!$U203&lt;&gt;"Free Game",'Game Records'!$I203=""),"Eligible Players; ","")&amp;IF(AND('Game Records'!$U203&lt;&gt;"Subscription",'Game Records'!$U203&lt;&gt;"Free Game",'Game Records'!$J203=""),"Total Players; ","")&amp;IF(AND(LOWER('Game Records'!$D203&amp;"")="finalized",LOWER('Game Records'!$L203&amp;"")&lt;&gt;"yes",'Game Records'!$U203&lt;&gt;"Subscription",'Game Records'!$U203&lt;&gt;"Free Game",'Game Records'!$K203=""),"Final Earned; ","")&amp;IF(AND(LOWER('Game Records'!$D203&amp;"")="finalized",'Game Records'!$U203&lt;&gt;"Subscription",'Game Records'!$U203&lt;&gt;"Free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Game",OR('Game Records'!$D204="",LOWER('Game Records'!$D204&amp;"")="n/a")),"Entry Mode; ","")&amp;IF(AND('Game Records'!$U204&lt;&gt;"Subscription",'Game Records'!$U204&lt;&gt;"Free Game",OR('Game Records'!$E204="",LOWER('Game Records'!$E204&amp;"")="n/a")),"Game Type; ","")&amp;IF('Game Records'!$F204="","Payment Type; ","")&amp;IF(AND('Game Records'!$U204&lt;&gt;"Subscription",'Game Records'!$U204&lt;&gt;"Free Game",'Game Records'!$G204=""),"Gross Pot; ","")&amp;IF(AND('Game Records'!$U204&lt;&gt;"Free Game",'Game Records'!$H204=""),"Entry Fee; ","")&amp;IF(AND('Game Records'!$U204&lt;&gt;"Subscription",'Game Records'!$U204&lt;&gt;"Free Game",'Game Records'!$I204=""),"Eligible Players; ","")&amp;IF(AND('Game Records'!$U204&lt;&gt;"Subscription",'Game Records'!$U204&lt;&gt;"Free Game",'Game Records'!$J204=""),"Total Players; ","")&amp;IF(AND(LOWER('Game Records'!$D204&amp;"")="finalized",LOWER('Game Records'!$L204&amp;"")&lt;&gt;"yes",'Game Records'!$U204&lt;&gt;"Subscription",'Game Records'!$U204&lt;&gt;"Free Game",'Game Records'!$K204=""),"Final Earned; ","")&amp;IF(AND(LOWER('Game Records'!$D204&amp;"")="finalized",'Game Records'!$U204&lt;&gt;"Subscription",'Game Records'!$U204&lt;&gt;"Free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Game",OR('Game Records'!$D205="",LOWER('Game Records'!$D205&amp;"")="n/a")),"Entry Mode; ","")&amp;IF(AND('Game Records'!$U205&lt;&gt;"Subscription",'Game Records'!$U205&lt;&gt;"Free Game",OR('Game Records'!$E205="",LOWER('Game Records'!$E205&amp;"")="n/a")),"Game Type; ","")&amp;IF('Game Records'!$F205="","Payment Type; ","")&amp;IF(AND('Game Records'!$U205&lt;&gt;"Subscription",'Game Records'!$U205&lt;&gt;"Free Game",'Game Records'!$G205=""),"Gross Pot; ","")&amp;IF(AND('Game Records'!$U205&lt;&gt;"Free Game",'Game Records'!$H205=""),"Entry Fee; ","")&amp;IF(AND('Game Records'!$U205&lt;&gt;"Subscription",'Game Records'!$U205&lt;&gt;"Free Game",'Game Records'!$I205=""),"Eligible Players; ","")&amp;IF(AND('Game Records'!$U205&lt;&gt;"Subscription",'Game Records'!$U205&lt;&gt;"Free Game",'Game Records'!$J205=""),"Total Players; ","")&amp;IF(AND(LOWER('Game Records'!$D205&amp;"")="finalized",LOWER('Game Records'!$L205&amp;"")&lt;&gt;"yes",'Game Records'!$U205&lt;&gt;"Subscription",'Game Records'!$U205&lt;&gt;"Free Game",'Game Records'!$K205=""),"Final Earned; ","")&amp;IF(AND(LOWER('Game Records'!$D205&amp;"")="finalized",'Game Records'!$U205&lt;&gt;"Subscription",'Game Records'!$U205&lt;&gt;"Free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Game",OR('Game Records'!$D206="",LOWER('Game Records'!$D206&amp;"")="n/a")),"Entry Mode; ","")&amp;IF(AND('Game Records'!$U206&lt;&gt;"Subscription",'Game Records'!$U206&lt;&gt;"Free Game",OR('Game Records'!$E206="",LOWER('Game Records'!$E206&amp;"")="n/a")),"Game Type; ","")&amp;IF('Game Records'!$F206="","Payment Type; ","")&amp;IF(AND('Game Records'!$U206&lt;&gt;"Subscription",'Game Records'!$U206&lt;&gt;"Free Game",'Game Records'!$G206=""),"Gross Pot; ","")&amp;IF(AND('Game Records'!$U206&lt;&gt;"Free Game",'Game Records'!$H206=""),"Entry Fee; ","")&amp;IF(AND('Game Records'!$U206&lt;&gt;"Subscription",'Game Records'!$U206&lt;&gt;"Free Game",'Game Records'!$I206=""),"Eligible Players; ","")&amp;IF(AND('Game Records'!$U206&lt;&gt;"Subscription",'Game Records'!$U206&lt;&gt;"Free Game",'Game Records'!$J206=""),"Total Players; ","")&amp;IF(AND(LOWER('Game Records'!$D206&amp;"")="finalized",LOWER('Game Records'!$L206&amp;"")&lt;&gt;"yes",'Game Records'!$U206&lt;&gt;"Subscription",'Game Records'!$U206&lt;&gt;"Free Game",'Game Records'!$K206=""),"Final Earned; ","")&amp;IF(AND(LOWER('Game Records'!$D206&amp;"")="finalized",'Game Records'!$U206&lt;&gt;"Subscription",'Game Records'!$U206&lt;&gt;"Free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Game",OR('Game Records'!$D207="",LOWER('Game Records'!$D207&amp;"")="n/a")),"Entry Mode; ","")&amp;IF(AND('Game Records'!$U207&lt;&gt;"Subscription",'Game Records'!$U207&lt;&gt;"Free Game",OR('Game Records'!$E207="",LOWER('Game Records'!$E207&amp;"")="n/a")),"Game Type; ","")&amp;IF('Game Records'!$F207="","Payment Type; ","")&amp;IF(AND('Game Records'!$U207&lt;&gt;"Subscription",'Game Records'!$U207&lt;&gt;"Free Game",'Game Records'!$G207=""),"Gross Pot; ","")&amp;IF(AND('Game Records'!$U207&lt;&gt;"Free Game",'Game Records'!$H207=""),"Entry Fee; ","")&amp;IF(AND('Game Records'!$U207&lt;&gt;"Subscription",'Game Records'!$U207&lt;&gt;"Free Game",'Game Records'!$I207=""),"Eligible Players; ","")&amp;IF(AND('Game Records'!$U207&lt;&gt;"Subscription",'Game Records'!$U207&lt;&gt;"Free Game",'Game Records'!$J207=""),"Total Players; ","")&amp;IF(AND(LOWER('Game Records'!$D207&amp;"")="finalized",LOWER('Game Records'!$L207&amp;"")&lt;&gt;"yes",'Game Records'!$U207&lt;&gt;"Subscription",'Game Records'!$U207&lt;&gt;"Free Game",'Game Records'!$K207=""),"Final Earned; ","")&amp;IF(AND(LOWER('Game Records'!$D207&amp;"")="finalized",'Game Records'!$U207&lt;&gt;"Subscription",'Game Records'!$U207&lt;&gt;"Free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Game",OR('Game Records'!$D208="",LOWER('Game Records'!$D208&amp;"")="n/a")),"Entry Mode; ","")&amp;IF(AND('Game Records'!$U208&lt;&gt;"Subscription",'Game Records'!$U208&lt;&gt;"Free Game",OR('Game Records'!$E208="",LOWER('Game Records'!$E208&amp;"")="n/a")),"Game Type; ","")&amp;IF('Game Records'!$F208="","Payment Type; ","")&amp;IF(AND('Game Records'!$U208&lt;&gt;"Subscription",'Game Records'!$U208&lt;&gt;"Free Game",'Game Records'!$G208=""),"Gross Pot; ","")&amp;IF(AND('Game Records'!$U208&lt;&gt;"Free Game",'Game Records'!$H208=""),"Entry Fee; ","")&amp;IF(AND('Game Records'!$U208&lt;&gt;"Subscription",'Game Records'!$U208&lt;&gt;"Free Game",'Game Records'!$I208=""),"Eligible Players; ","")&amp;IF(AND('Game Records'!$U208&lt;&gt;"Subscription",'Game Records'!$U208&lt;&gt;"Free Game",'Game Records'!$J208=""),"Total Players; ","")&amp;IF(AND(LOWER('Game Records'!$D208&amp;"")="finalized",LOWER('Game Records'!$L208&amp;"")&lt;&gt;"yes",'Game Records'!$U208&lt;&gt;"Subscription",'Game Records'!$U208&lt;&gt;"Free Game",'Game Records'!$K208=""),"Final Earned; ","")&amp;IF(AND(LOWER('Game Records'!$D208&amp;"")="finalized",'Game Records'!$U208&lt;&gt;"Subscription",'Game Records'!$U208&lt;&gt;"Free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Game",OR('Game Records'!$D209="",LOWER('Game Records'!$D209&amp;"")="n/a")),"Entry Mode; ","")&amp;IF(AND('Game Records'!$U209&lt;&gt;"Subscription",'Game Records'!$U209&lt;&gt;"Free Game",OR('Game Records'!$E209="",LOWER('Game Records'!$E209&amp;"")="n/a")),"Game Type; ","")&amp;IF('Game Records'!$F209="","Payment Type; ","")&amp;IF(AND('Game Records'!$U209&lt;&gt;"Subscription",'Game Records'!$U209&lt;&gt;"Free Game",'Game Records'!$G209=""),"Gross Pot; ","")&amp;IF(AND('Game Records'!$U209&lt;&gt;"Free Game",'Game Records'!$H209=""),"Entry Fee; ","")&amp;IF(AND('Game Records'!$U209&lt;&gt;"Subscription",'Game Records'!$U209&lt;&gt;"Free Game",'Game Records'!$I209=""),"Eligible Players; ","")&amp;IF(AND('Game Records'!$U209&lt;&gt;"Subscription",'Game Records'!$U209&lt;&gt;"Free Game",'Game Records'!$J209=""),"Total Players; ","")&amp;IF(AND(LOWER('Game Records'!$D209&amp;"")="finalized",LOWER('Game Records'!$L209&amp;"")&lt;&gt;"yes",'Game Records'!$U209&lt;&gt;"Subscription",'Game Records'!$U209&lt;&gt;"Free Game",'Game Records'!$K209=""),"Final Earned; ","")&amp;IF(AND(LOWER('Game Records'!$D209&amp;"")="finalized",'Game Records'!$U209&lt;&gt;"Subscription",'Game Records'!$U209&lt;&gt;"Free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Game",OR('Game Records'!$D210="",LOWER('Game Records'!$D210&amp;"")="n/a")),"Entry Mode; ","")&amp;IF(AND('Game Records'!$U210&lt;&gt;"Subscription",'Game Records'!$U210&lt;&gt;"Free Game",OR('Game Records'!$E210="",LOWER('Game Records'!$E210&amp;"")="n/a")),"Game Type; ","")&amp;IF('Game Records'!$F210="","Payment Type; ","")&amp;IF(AND('Game Records'!$U210&lt;&gt;"Subscription",'Game Records'!$U210&lt;&gt;"Free Game",'Game Records'!$G210=""),"Gross Pot; ","")&amp;IF(AND('Game Records'!$U210&lt;&gt;"Free Game",'Game Records'!$H210=""),"Entry Fee; ","")&amp;IF(AND('Game Records'!$U210&lt;&gt;"Subscription",'Game Records'!$U210&lt;&gt;"Free Game",'Game Records'!$I210=""),"Eligible Players; ","")&amp;IF(AND('Game Records'!$U210&lt;&gt;"Subscription",'Game Records'!$U210&lt;&gt;"Free Game",'Game Records'!$J210=""),"Total Players; ","")&amp;IF(AND(LOWER('Game Records'!$D210&amp;"")="finalized",LOWER('Game Records'!$L210&amp;"")&lt;&gt;"yes",'Game Records'!$U210&lt;&gt;"Subscription",'Game Records'!$U210&lt;&gt;"Free Game",'Game Records'!$K210=""),"Final Earned; ","")&amp;IF(AND(LOWER('Game Records'!$D210&amp;"")="finalized",'Game Records'!$U210&lt;&gt;"Subscription",'Game Records'!$U210&lt;&gt;"Free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Game",OR('Game Records'!$D211="",LOWER('Game Records'!$D211&amp;"")="n/a")),"Entry Mode; ","")&amp;IF(AND('Game Records'!$U211&lt;&gt;"Subscription",'Game Records'!$U211&lt;&gt;"Free Game",OR('Game Records'!$E211="",LOWER('Game Records'!$E211&amp;"")="n/a")),"Game Type; ","")&amp;IF('Game Records'!$F211="","Payment Type; ","")&amp;IF(AND('Game Records'!$U211&lt;&gt;"Subscription",'Game Records'!$U211&lt;&gt;"Free Game",'Game Records'!$G211=""),"Gross Pot; ","")&amp;IF(AND('Game Records'!$U211&lt;&gt;"Free Game",'Game Records'!$H211=""),"Entry Fee; ","")&amp;IF(AND('Game Records'!$U211&lt;&gt;"Subscription",'Game Records'!$U211&lt;&gt;"Free Game",'Game Records'!$I211=""),"Eligible Players; ","")&amp;IF(AND('Game Records'!$U211&lt;&gt;"Subscription",'Game Records'!$U211&lt;&gt;"Free Game",'Game Records'!$J211=""),"Total Players; ","")&amp;IF(AND(LOWER('Game Records'!$D211&amp;"")="finalized",LOWER('Game Records'!$L211&amp;"")&lt;&gt;"yes",'Game Records'!$U211&lt;&gt;"Subscription",'Game Records'!$U211&lt;&gt;"Free Game",'Game Records'!$K211=""),"Final Earned; ","")&amp;IF(AND(LOWER('Game Records'!$D211&amp;"")="finalized",'Game Records'!$U211&lt;&gt;"Subscription",'Game Records'!$U211&lt;&gt;"Free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Game",OR('Game Records'!$D212="",LOWER('Game Records'!$D212&amp;"")="n/a")),"Entry Mode; ","")&amp;IF(AND('Game Records'!$U212&lt;&gt;"Subscription",'Game Records'!$U212&lt;&gt;"Free Game",OR('Game Records'!$E212="",LOWER('Game Records'!$E212&amp;"")="n/a")),"Game Type; ","")&amp;IF('Game Records'!$F212="","Payment Type; ","")&amp;IF(AND('Game Records'!$U212&lt;&gt;"Subscription",'Game Records'!$U212&lt;&gt;"Free Game",'Game Records'!$G212=""),"Gross Pot; ","")&amp;IF(AND('Game Records'!$U212&lt;&gt;"Free Game",'Game Records'!$H212=""),"Entry Fee; ","")&amp;IF(AND('Game Records'!$U212&lt;&gt;"Subscription",'Game Records'!$U212&lt;&gt;"Free Game",'Game Records'!$I212=""),"Eligible Players; ","")&amp;IF(AND('Game Records'!$U212&lt;&gt;"Subscription",'Game Records'!$U212&lt;&gt;"Free Game",'Game Records'!$J212=""),"Total Players; ","")&amp;IF(AND(LOWER('Game Records'!$D212&amp;"")="finalized",LOWER('Game Records'!$L212&amp;"")&lt;&gt;"yes",'Game Records'!$U212&lt;&gt;"Subscription",'Game Records'!$U212&lt;&gt;"Free Game",'Game Records'!$K212=""),"Final Earned; ","")&amp;IF(AND(LOWER('Game Records'!$D212&amp;"")="finalized",'Game Records'!$U212&lt;&gt;"Subscription",'Game Records'!$U212&lt;&gt;"Free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Game",OR('Game Records'!$D213="",LOWER('Game Records'!$D213&amp;"")="n/a")),"Entry Mode; ","")&amp;IF(AND('Game Records'!$U213&lt;&gt;"Subscription",'Game Records'!$U213&lt;&gt;"Free Game",OR('Game Records'!$E213="",LOWER('Game Records'!$E213&amp;"")="n/a")),"Game Type; ","")&amp;IF('Game Records'!$F213="","Payment Type; ","")&amp;IF(AND('Game Records'!$U213&lt;&gt;"Subscription",'Game Records'!$U213&lt;&gt;"Free Game",'Game Records'!$G213=""),"Gross Pot; ","")&amp;IF(AND('Game Records'!$U213&lt;&gt;"Free Game",'Game Records'!$H213=""),"Entry Fee; ","")&amp;IF(AND('Game Records'!$U213&lt;&gt;"Subscription",'Game Records'!$U213&lt;&gt;"Free Game",'Game Records'!$I213=""),"Eligible Players; ","")&amp;IF(AND('Game Records'!$U213&lt;&gt;"Subscription",'Game Records'!$U213&lt;&gt;"Free Game",'Game Records'!$J213=""),"Total Players; ","")&amp;IF(AND(LOWER('Game Records'!$D213&amp;"")="finalized",LOWER('Game Records'!$L213&amp;"")&lt;&gt;"yes",'Game Records'!$U213&lt;&gt;"Subscription",'Game Records'!$U213&lt;&gt;"Free Game",'Game Records'!$K213=""),"Final Earned; ","")&amp;IF(AND(LOWER('Game Records'!$D213&amp;"")="finalized",'Game Records'!$U213&lt;&gt;"Subscription",'Game Records'!$U213&lt;&gt;"Free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Game",OR('Game Records'!$D214="",LOWER('Game Records'!$D214&amp;"")="n/a")),"Entry Mode; ","")&amp;IF(AND('Game Records'!$U214&lt;&gt;"Subscription",'Game Records'!$U214&lt;&gt;"Free Game",OR('Game Records'!$E214="",LOWER('Game Records'!$E214&amp;"")="n/a")),"Game Type; ","")&amp;IF('Game Records'!$F214="","Payment Type; ","")&amp;IF(AND('Game Records'!$U214&lt;&gt;"Subscription",'Game Records'!$U214&lt;&gt;"Free Game",'Game Records'!$G214=""),"Gross Pot; ","")&amp;IF(AND('Game Records'!$U214&lt;&gt;"Free Game",'Game Records'!$H214=""),"Entry Fee; ","")&amp;IF(AND('Game Records'!$U214&lt;&gt;"Subscription",'Game Records'!$U214&lt;&gt;"Free Game",'Game Records'!$I214=""),"Eligible Players; ","")&amp;IF(AND('Game Records'!$U214&lt;&gt;"Subscription",'Game Records'!$U214&lt;&gt;"Free Game",'Game Records'!$J214=""),"Total Players; ","")&amp;IF(AND(LOWER('Game Records'!$D214&amp;"")="finalized",LOWER('Game Records'!$L214&amp;"")&lt;&gt;"yes",'Game Records'!$U214&lt;&gt;"Subscription",'Game Records'!$U214&lt;&gt;"Free Game",'Game Records'!$K214=""),"Final Earned; ","")&amp;IF(AND(LOWER('Game Records'!$D214&amp;"")="finalized",'Game Records'!$U214&lt;&gt;"Subscription",'Game Records'!$U214&lt;&gt;"Free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Game",OR('Game Records'!$D215="",LOWER('Game Records'!$D215&amp;"")="n/a")),"Entry Mode; ","")&amp;IF(AND('Game Records'!$U215&lt;&gt;"Subscription",'Game Records'!$U215&lt;&gt;"Free Game",OR('Game Records'!$E215="",LOWER('Game Records'!$E215&amp;"")="n/a")),"Game Type; ","")&amp;IF('Game Records'!$F215="","Payment Type; ","")&amp;IF(AND('Game Records'!$U215&lt;&gt;"Subscription",'Game Records'!$U215&lt;&gt;"Free Game",'Game Records'!$G215=""),"Gross Pot; ","")&amp;IF(AND('Game Records'!$U215&lt;&gt;"Free Game",'Game Records'!$H215=""),"Entry Fee; ","")&amp;IF(AND('Game Records'!$U215&lt;&gt;"Subscription",'Game Records'!$U215&lt;&gt;"Free Game",'Game Records'!$I215=""),"Eligible Players; ","")&amp;IF(AND('Game Records'!$U215&lt;&gt;"Subscription",'Game Records'!$U215&lt;&gt;"Free Game",'Game Records'!$J215=""),"Total Players; ","")&amp;IF(AND(LOWER('Game Records'!$D215&amp;"")="finalized",LOWER('Game Records'!$L215&amp;"")&lt;&gt;"yes",'Game Records'!$U215&lt;&gt;"Subscription",'Game Records'!$U215&lt;&gt;"Free Game",'Game Records'!$K215=""),"Final Earned; ","")&amp;IF(AND(LOWER('Game Records'!$D215&amp;"")="finalized",'Game Records'!$U215&lt;&gt;"Subscription",'Game Records'!$U215&lt;&gt;"Free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Game",OR('Game Records'!$D216="",LOWER('Game Records'!$D216&amp;"")="n/a")),"Entry Mode; ","")&amp;IF(AND('Game Records'!$U216&lt;&gt;"Subscription",'Game Records'!$U216&lt;&gt;"Free Game",OR('Game Records'!$E216="",LOWER('Game Records'!$E216&amp;"")="n/a")),"Game Type; ","")&amp;IF('Game Records'!$F216="","Payment Type; ","")&amp;IF(AND('Game Records'!$U216&lt;&gt;"Subscription",'Game Records'!$U216&lt;&gt;"Free Game",'Game Records'!$G216=""),"Gross Pot; ","")&amp;IF(AND('Game Records'!$U216&lt;&gt;"Free Game",'Game Records'!$H216=""),"Entry Fee; ","")&amp;IF(AND('Game Records'!$U216&lt;&gt;"Subscription",'Game Records'!$U216&lt;&gt;"Free Game",'Game Records'!$I216=""),"Eligible Players; ","")&amp;IF(AND('Game Records'!$U216&lt;&gt;"Subscription",'Game Records'!$U216&lt;&gt;"Free Game",'Game Records'!$J216=""),"Total Players; ","")&amp;IF(AND(LOWER('Game Records'!$D216&amp;"")="finalized",LOWER('Game Records'!$L216&amp;"")&lt;&gt;"yes",'Game Records'!$U216&lt;&gt;"Subscription",'Game Records'!$U216&lt;&gt;"Free Game",'Game Records'!$K216=""),"Final Earned; ","")&amp;IF(AND(LOWER('Game Records'!$D216&amp;"")="finalized",'Game Records'!$U216&lt;&gt;"Subscription",'Game Records'!$U216&lt;&gt;"Free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Game",OR('Game Records'!$D217="",LOWER('Game Records'!$D217&amp;"")="n/a")),"Entry Mode; ","")&amp;IF(AND('Game Records'!$U217&lt;&gt;"Subscription",'Game Records'!$U217&lt;&gt;"Free Game",OR('Game Records'!$E217="",LOWER('Game Records'!$E217&amp;"")="n/a")),"Game Type; ","")&amp;IF('Game Records'!$F217="","Payment Type; ","")&amp;IF(AND('Game Records'!$U217&lt;&gt;"Subscription",'Game Records'!$U217&lt;&gt;"Free Game",'Game Records'!$G217=""),"Gross Pot; ","")&amp;IF(AND('Game Records'!$U217&lt;&gt;"Free Game",'Game Records'!$H217=""),"Entry Fee; ","")&amp;IF(AND('Game Records'!$U217&lt;&gt;"Subscription",'Game Records'!$U217&lt;&gt;"Free Game",'Game Records'!$I217=""),"Eligible Players; ","")&amp;IF(AND('Game Records'!$U217&lt;&gt;"Subscription",'Game Records'!$U217&lt;&gt;"Free Game",'Game Records'!$J217=""),"Total Players; ","")&amp;IF(AND(LOWER('Game Records'!$D217&amp;"")="finalized",LOWER('Game Records'!$L217&amp;"")&lt;&gt;"yes",'Game Records'!$U217&lt;&gt;"Subscription",'Game Records'!$U217&lt;&gt;"Free Game",'Game Records'!$K217=""),"Final Earned; ","")&amp;IF(AND(LOWER('Game Records'!$D217&amp;"")="finalized",'Game Records'!$U217&lt;&gt;"Subscription",'Game Records'!$U217&lt;&gt;"Free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Game",OR('Game Records'!$D218="",LOWER('Game Records'!$D218&amp;"")="n/a")),"Entry Mode; ","")&amp;IF(AND('Game Records'!$U218&lt;&gt;"Subscription",'Game Records'!$U218&lt;&gt;"Free Game",OR('Game Records'!$E218="",LOWER('Game Records'!$E218&amp;"")="n/a")),"Game Type; ","")&amp;IF('Game Records'!$F218="","Payment Type; ","")&amp;IF(AND('Game Records'!$U218&lt;&gt;"Subscription",'Game Records'!$U218&lt;&gt;"Free Game",'Game Records'!$G218=""),"Gross Pot; ","")&amp;IF(AND('Game Records'!$U218&lt;&gt;"Free Game",'Game Records'!$H218=""),"Entry Fee; ","")&amp;IF(AND('Game Records'!$U218&lt;&gt;"Subscription",'Game Records'!$U218&lt;&gt;"Free Game",'Game Records'!$I218=""),"Eligible Players; ","")&amp;IF(AND('Game Records'!$U218&lt;&gt;"Subscription",'Game Records'!$U218&lt;&gt;"Free Game",'Game Records'!$J218=""),"Total Players; ","")&amp;IF(AND(LOWER('Game Records'!$D218&amp;"")="finalized",LOWER('Game Records'!$L218&amp;"")&lt;&gt;"yes",'Game Records'!$U218&lt;&gt;"Subscription",'Game Records'!$U218&lt;&gt;"Free Game",'Game Records'!$K218=""),"Final Earned; ","")&amp;IF(AND(LOWER('Game Records'!$D218&amp;"")="finalized",'Game Records'!$U218&lt;&gt;"Subscription",'Game Records'!$U218&lt;&gt;"Free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Game",OR('Game Records'!$D219="",LOWER('Game Records'!$D219&amp;"")="n/a")),"Entry Mode; ","")&amp;IF(AND('Game Records'!$U219&lt;&gt;"Subscription",'Game Records'!$U219&lt;&gt;"Free Game",OR('Game Records'!$E219="",LOWER('Game Records'!$E219&amp;"")="n/a")),"Game Type; ","")&amp;IF('Game Records'!$F219="","Payment Type; ","")&amp;IF(AND('Game Records'!$U219&lt;&gt;"Subscription",'Game Records'!$U219&lt;&gt;"Free Game",'Game Records'!$G219=""),"Gross Pot; ","")&amp;IF(AND('Game Records'!$U219&lt;&gt;"Free Game",'Game Records'!$H219=""),"Entry Fee; ","")&amp;IF(AND('Game Records'!$U219&lt;&gt;"Subscription",'Game Records'!$U219&lt;&gt;"Free Game",'Game Records'!$I219=""),"Eligible Players; ","")&amp;IF(AND('Game Records'!$U219&lt;&gt;"Subscription",'Game Records'!$U219&lt;&gt;"Free Game",'Game Records'!$J219=""),"Total Players; ","")&amp;IF(AND(LOWER('Game Records'!$D219&amp;"")="finalized",LOWER('Game Records'!$L219&amp;"")&lt;&gt;"yes",'Game Records'!$U219&lt;&gt;"Subscription",'Game Records'!$U219&lt;&gt;"Free Game",'Game Records'!$K219=""),"Final Earned; ","")&amp;IF(AND(LOWER('Game Records'!$D219&amp;"")="finalized",'Game Records'!$U219&lt;&gt;"Subscription",'Game Records'!$U219&lt;&gt;"Free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Game",OR('Game Records'!$D220="",LOWER('Game Records'!$D220&amp;"")="n/a")),"Entry Mode; ","")&amp;IF(AND('Game Records'!$U220&lt;&gt;"Subscription",'Game Records'!$U220&lt;&gt;"Free Game",OR('Game Records'!$E220="",LOWER('Game Records'!$E220&amp;"")="n/a")),"Game Type; ","")&amp;IF('Game Records'!$F220="","Payment Type; ","")&amp;IF(AND('Game Records'!$U220&lt;&gt;"Subscription",'Game Records'!$U220&lt;&gt;"Free Game",'Game Records'!$G220=""),"Gross Pot; ","")&amp;IF(AND('Game Records'!$U220&lt;&gt;"Free Game",'Game Records'!$H220=""),"Entry Fee; ","")&amp;IF(AND('Game Records'!$U220&lt;&gt;"Subscription",'Game Records'!$U220&lt;&gt;"Free Game",'Game Records'!$I220=""),"Eligible Players; ","")&amp;IF(AND('Game Records'!$U220&lt;&gt;"Subscription",'Game Records'!$U220&lt;&gt;"Free Game",'Game Records'!$J220=""),"Total Players; ","")&amp;IF(AND(LOWER('Game Records'!$D220&amp;"")="finalized",LOWER('Game Records'!$L220&amp;"")&lt;&gt;"yes",'Game Records'!$U220&lt;&gt;"Subscription",'Game Records'!$U220&lt;&gt;"Free Game",'Game Records'!$K220=""),"Final Earned; ","")&amp;IF(AND(LOWER('Game Records'!$D220&amp;"")="finalized",'Game Records'!$U220&lt;&gt;"Subscription",'Game Records'!$U220&lt;&gt;"Free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Game",OR('Game Records'!$D221="",LOWER('Game Records'!$D221&amp;"")="n/a")),"Entry Mode; ","")&amp;IF(AND('Game Records'!$U221&lt;&gt;"Subscription",'Game Records'!$U221&lt;&gt;"Free Game",OR('Game Records'!$E221="",LOWER('Game Records'!$E221&amp;"")="n/a")),"Game Type; ","")&amp;IF('Game Records'!$F221="","Payment Type; ","")&amp;IF(AND('Game Records'!$U221&lt;&gt;"Subscription",'Game Records'!$U221&lt;&gt;"Free Game",'Game Records'!$G221=""),"Gross Pot; ","")&amp;IF(AND('Game Records'!$U221&lt;&gt;"Free Game",'Game Records'!$H221=""),"Entry Fee; ","")&amp;IF(AND('Game Records'!$U221&lt;&gt;"Subscription",'Game Records'!$U221&lt;&gt;"Free Game",'Game Records'!$I221=""),"Eligible Players; ","")&amp;IF(AND('Game Records'!$U221&lt;&gt;"Subscription",'Game Records'!$U221&lt;&gt;"Free Game",'Game Records'!$J221=""),"Total Players; ","")&amp;IF(AND(LOWER('Game Records'!$D221&amp;"")="finalized",LOWER('Game Records'!$L221&amp;"")&lt;&gt;"yes",'Game Records'!$U221&lt;&gt;"Subscription",'Game Records'!$U221&lt;&gt;"Free Game",'Game Records'!$K221=""),"Final Earned; ","")&amp;IF(AND(LOWER('Game Records'!$D221&amp;"")="finalized",'Game Records'!$U221&lt;&gt;"Subscription",'Game Records'!$U221&lt;&gt;"Free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Game",OR('Game Records'!$D222="",LOWER('Game Records'!$D222&amp;"")="n/a")),"Entry Mode; ","")&amp;IF(AND('Game Records'!$U222&lt;&gt;"Subscription",'Game Records'!$U222&lt;&gt;"Free Game",OR('Game Records'!$E222="",LOWER('Game Records'!$E222&amp;"")="n/a")),"Game Type; ","")&amp;IF('Game Records'!$F222="","Payment Type; ","")&amp;IF(AND('Game Records'!$U222&lt;&gt;"Subscription",'Game Records'!$U222&lt;&gt;"Free Game",'Game Records'!$G222=""),"Gross Pot; ","")&amp;IF(AND('Game Records'!$U222&lt;&gt;"Free Game",'Game Records'!$H222=""),"Entry Fee; ","")&amp;IF(AND('Game Records'!$U222&lt;&gt;"Subscription",'Game Records'!$U222&lt;&gt;"Free Game",'Game Records'!$I222=""),"Eligible Players; ","")&amp;IF(AND('Game Records'!$U222&lt;&gt;"Subscription",'Game Records'!$U222&lt;&gt;"Free Game",'Game Records'!$J222=""),"Total Players; ","")&amp;IF(AND(LOWER('Game Records'!$D222&amp;"")="finalized",LOWER('Game Records'!$L222&amp;"")&lt;&gt;"yes",'Game Records'!$U222&lt;&gt;"Subscription",'Game Records'!$U222&lt;&gt;"Free Game",'Game Records'!$K222=""),"Final Earned; ","")&amp;IF(AND(LOWER('Game Records'!$D222&amp;"")="finalized",'Game Records'!$U222&lt;&gt;"Subscription",'Game Records'!$U222&lt;&gt;"Free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Game",OR('Game Records'!$D223="",LOWER('Game Records'!$D223&amp;"")="n/a")),"Entry Mode; ","")&amp;IF(AND('Game Records'!$U223&lt;&gt;"Subscription",'Game Records'!$U223&lt;&gt;"Free Game",OR('Game Records'!$E223="",LOWER('Game Records'!$E223&amp;"")="n/a")),"Game Type; ","")&amp;IF('Game Records'!$F223="","Payment Type; ","")&amp;IF(AND('Game Records'!$U223&lt;&gt;"Subscription",'Game Records'!$U223&lt;&gt;"Free Game",'Game Records'!$G223=""),"Gross Pot; ","")&amp;IF(AND('Game Records'!$U223&lt;&gt;"Free Game",'Game Records'!$H223=""),"Entry Fee; ","")&amp;IF(AND('Game Records'!$U223&lt;&gt;"Subscription",'Game Records'!$U223&lt;&gt;"Free Game",'Game Records'!$I223=""),"Eligible Players; ","")&amp;IF(AND('Game Records'!$U223&lt;&gt;"Subscription",'Game Records'!$U223&lt;&gt;"Free Game",'Game Records'!$J223=""),"Total Players; ","")&amp;IF(AND(LOWER('Game Records'!$D223&amp;"")="finalized",LOWER('Game Records'!$L223&amp;"")&lt;&gt;"yes",'Game Records'!$U223&lt;&gt;"Subscription",'Game Records'!$U223&lt;&gt;"Free Game",'Game Records'!$K223=""),"Final Earned; ","")&amp;IF(AND(LOWER('Game Records'!$D223&amp;"")="finalized",'Game Records'!$U223&lt;&gt;"Subscription",'Game Records'!$U223&lt;&gt;"Free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Game",OR('Game Records'!$D224="",LOWER('Game Records'!$D224&amp;"")="n/a")),"Entry Mode; ","")&amp;IF(AND('Game Records'!$U224&lt;&gt;"Subscription",'Game Records'!$U224&lt;&gt;"Free Game",OR('Game Records'!$E224="",LOWER('Game Records'!$E224&amp;"")="n/a")),"Game Type; ","")&amp;IF('Game Records'!$F224="","Payment Type; ","")&amp;IF(AND('Game Records'!$U224&lt;&gt;"Subscription",'Game Records'!$U224&lt;&gt;"Free Game",'Game Records'!$G224=""),"Gross Pot; ","")&amp;IF(AND('Game Records'!$U224&lt;&gt;"Free Game",'Game Records'!$H224=""),"Entry Fee; ","")&amp;IF(AND('Game Records'!$U224&lt;&gt;"Subscription",'Game Records'!$U224&lt;&gt;"Free Game",'Game Records'!$I224=""),"Eligible Players; ","")&amp;IF(AND('Game Records'!$U224&lt;&gt;"Subscription",'Game Records'!$U224&lt;&gt;"Free Game",'Game Records'!$J224=""),"Total Players; ","")&amp;IF(AND(LOWER('Game Records'!$D224&amp;"")="finalized",LOWER('Game Records'!$L224&amp;"")&lt;&gt;"yes",'Game Records'!$U224&lt;&gt;"Subscription",'Game Records'!$U224&lt;&gt;"Free Game",'Game Records'!$K224=""),"Final Earned; ","")&amp;IF(AND(LOWER('Game Records'!$D224&amp;"")="finalized",'Game Records'!$U224&lt;&gt;"Subscription",'Game Records'!$U224&lt;&gt;"Free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Game",OR('Game Records'!$D225="",LOWER('Game Records'!$D225&amp;"")="n/a")),"Entry Mode; ","")&amp;IF(AND('Game Records'!$U225&lt;&gt;"Subscription",'Game Records'!$U225&lt;&gt;"Free Game",OR('Game Records'!$E225="",LOWER('Game Records'!$E225&amp;"")="n/a")),"Game Type; ","")&amp;IF('Game Records'!$F225="","Payment Type; ","")&amp;IF(AND('Game Records'!$U225&lt;&gt;"Subscription",'Game Records'!$U225&lt;&gt;"Free Game",'Game Records'!$G225=""),"Gross Pot; ","")&amp;IF(AND('Game Records'!$U225&lt;&gt;"Free Game",'Game Records'!$H225=""),"Entry Fee; ","")&amp;IF(AND('Game Records'!$U225&lt;&gt;"Subscription",'Game Records'!$U225&lt;&gt;"Free Game",'Game Records'!$I225=""),"Eligible Players; ","")&amp;IF(AND('Game Records'!$U225&lt;&gt;"Subscription",'Game Records'!$U225&lt;&gt;"Free Game",'Game Records'!$J225=""),"Total Players; ","")&amp;IF(AND(LOWER('Game Records'!$D225&amp;"")="finalized",LOWER('Game Records'!$L225&amp;"")&lt;&gt;"yes",'Game Records'!$U225&lt;&gt;"Subscription",'Game Records'!$U225&lt;&gt;"Free Game",'Game Records'!$K225=""),"Final Earned; ","")&amp;IF(AND(LOWER('Game Records'!$D225&amp;"")="finalized",'Game Records'!$U225&lt;&gt;"Subscription",'Game Records'!$U225&lt;&gt;"Free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Game",OR('Game Records'!$D226="",LOWER('Game Records'!$D226&amp;"")="n/a")),"Entry Mode; ","")&amp;IF(AND('Game Records'!$U226&lt;&gt;"Subscription",'Game Records'!$U226&lt;&gt;"Free Game",OR('Game Records'!$E226="",LOWER('Game Records'!$E226&amp;"")="n/a")),"Game Type; ","")&amp;IF('Game Records'!$F226="","Payment Type; ","")&amp;IF(AND('Game Records'!$U226&lt;&gt;"Subscription",'Game Records'!$U226&lt;&gt;"Free Game",'Game Records'!$G226=""),"Gross Pot; ","")&amp;IF(AND('Game Records'!$U226&lt;&gt;"Free Game",'Game Records'!$H226=""),"Entry Fee; ","")&amp;IF(AND('Game Records'!$U226&lt;&gt;"Subscription",'Game Records'!$U226&lt;&gt;"Free Game",'Game Records'!$I226=""),"Eligible Players; ","")&amp;IF(AND('Game Records'!$U226&lt;&gt;"Subscription",'Game Records'!$U226&lt;&gt;"Free Game",'Game Records'!$J226=""),"Total Players; ","")&amp;IF(AND(LOWER('Game Records'!$D226&amp;"")="finalized",LOWER('Game Records'!$L226&amp;"")&lt;&gt;"yes",'Game Records'!$U226&lt;&gt;"Subscription",'Game Records'!$U226&lt;&gt;"Free Game",'Game Records'!$K226=""),"Final Earned; ","")&amp;IF(AND(LOWER('Game Records'!$D226&amp;"")="finalized",'Game Records'!$U226&lt;&gt;"Subscription",'Game Records'!$U226&lt;&gt;"Free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Game",OR('Game Records'!$D227="",LOWER('Game Records'!$D227&amp;"")="n/a")),"Entry Mode; ","")&amp;IF(AND('Game Records'!$U227&lt;&gt;"Subscription",'Game Records'!$U227&lt;&gt;"Free Game",OR('Game Records'!$E227="",LOWER('Game Records'!$E227&amp;"")="n/a")),"Game Type; ","")&amp;IF('Game Records'!$F227="","Payment Type; ","")&amp;IF(AND('Game Records'!$U227&lt;&gt;"Subscription",'Game Records'!$U227&lt;&gt;"Free Game",'Game Records'!$G227=""),"Gross Pot; ","")&amp;IF(AND('Game Records'!$U227&lt;&gt;"Free Game",'Game Records'!$H227=""),"Entry Fee; ","")&amp;IF(AND('Game Records'!$U227&lt;&gt;"Subscription",'Game Records'!$U227&lt;&gt;"Free Game",'Game Records'!$I227=""),"Eligible Players; ","")&amp;IF(AND('Game Records'!$U227&lt;&gt;"Subscription",'Game Records'!$U227&lt;&gt;"Free Game",'Game Records'!$J227=""),"Total Players; ","")&amp;IF(AND(LOWER('Game Records'!$D227&amp;"")="finalized",LOWER('Game Records'!$L227&amp;"")&lt;&gt;"yes",'Game Records'!$U227&lt;&gt;"Subscription",'Game Records'!$U227&lt;&gt;"Free Game",'Game Records'!$K227=""),"Final Earned; ","")&amp;IF(AND(LOWER('Game Records'!$D227&amp;"")="finalized",'Game Records'!$U227&lt;&gt;"Subscription",'Game Records'!$U227&lt;&gt;"Free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Game",OR('Game Records'!$D228="",LOWER('Game Records'!$D228&amp;"")="n/a")),"Entry Mode; ","")&amp;IF(AND('Game Records'!$U228&lt;&gt;"Subscription",'Game Records'!$U228&lt;&gt;"Free Game",OR('Game Records'!$E228="",LOWER('Game Records'!$E228&amp;"")="n/a")),"Game Type; ","")&amp;IF('Game Records'!$F228="","Payment Type; ","")&amp;IF(AND('Game Records'!$U228&lt;&gt;"Subscription",'Game Records'!$U228&lt;&gt;"Free Game",'Game Records'!$G228=""),"Gross Pot; ","")&amp;IF(AND('Game Records'!$U228&lt;&gt;"Free Game",'Game Records'!$H228=""),"Entry Fee; ","")&amp;IF(AND('Game Records'!$U228&lt;&gt;"Subscription",'Game Records'!$U228&lt;&gt;"Free Game",'Game Records'!$I228=""),"Eligible Players; ","")&amp;IF(AND('Game Records'!$U228&lt;&gt;"Subscription",'Game Records'!$U228&lt;&gt;"Free Game",'Game Records'!$J228=""),"Total Players; ","")&amp;IF(AND(LOWER('Game Records'!$D228&amp;"")="finalized",LOWER('Game Records'!$L228&amp;"")&lt;&gt;"yes",'Game Records'!$U228&lt;&gt;"Subscription",'Game Records'!$U228&lt;&gt;"Free Game",'Game Records'!$K228=""),"Final Earned; ","")&amp;IF(AND(LOWER('Game Records'!$D228&amp;"")="finalized",'Game Records'!$U228&lt;&gt;"Subscription",'Game Records'!$U228&lt;&gt;"Free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Game",OR('Game Records'!$D229="",LOWER('Game Records'!$D229&amp;"")="n/a")),"Entry Mode; ","")&amp;IF(AND('Game Records'!$U229&lt;&gt;"Subscription",'Game Records'!$U229&lt;&gt;"Free Game",OR('Game Records'!$E229="",LOWER('Game Records'!$E229&amp;"")="n/a")),"Game Type; ","")&amp;IF('Game Records'!$F229="","Payment Type; ","")&amp;IF(AND('Game Records'!$U229&lt;&gt;"Subscription",'Game Records'!$U229&lt;&gt;"Free Game",'Game Records'!$G229=""),"Gross Pot; ","")&amp;IF(AND('Game Records'!$U229&lt;&gt;"Free Game",'Game Records'!$H229=""),"Entry Fee; ","")&amp;IF(AND('Game Records'!$U229&lt;&gt;"Subscription",'Game Records'!$U229&lt;&gt;"Free Game",'Game Records'!$I229=""),"Eligible Players; ","")&amp;IF(AND('Game Records'!$U229&lt;&gt;"Subscription",'Game Records'!$U229&lt;&gt;"Free Game",'Game Records'!$J229=""),"Total Players; ","")&amp;IF(AND(LOWER('Game Records'!$D229&amp;"")="finalized",LOWER('Game Records'!$L229&amp;"")&lt;&gt;"yes",'Game Records'!$U229&lt;&gt;"Subscription",'Game Records'!$U229&lt;&gt;"Free Game",'Game Records'!$K229=""),"Final Earned; ","")&amp;IF(AND(LOWER('Game Records'!$D229&amp;"")="finalized",'Game Records'!$U229&lt;&gt;"Subscription",'Game Records'!$U229&lt;&gt;"Free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Game",OR('Game Records'!$D230="",LOWER('Game Records'!$D230&amp;"")="n/a")),"Entry Mode; ","")&amp;IF(AND('Game Records'!$U230&lt;&gt;"Subscription",'Game Records'!$U230&lt;&gt;"Free Game",OR('Game Records'!$E230="",LOWER('Game Records'!$E230&amp;"")="n/a")),"Game Type; ","")&amp;IF('Game Records'!$F230="","Payment Type; ","")&amp;IF(AND('Game Records'!$U230&lt;&gt;"Subscription",'Game Records'!$U230&lt;&gt;"Free Game",'Game Records'!$G230=""),"Gross Pot; ","")&amp;IF(AND('Game Records'!$U230&lt;&gt;"Free Game",'Game Records'!$H230=""),"Entry Fee; ","")&amp;IF(AND('Game Records'!$U230&lt;&gt;"Subscription",'Game Records'!$U230&lt;&gt;"Free Game",'Game Records'!$I230=""),"Eligible Players; ","")&amp;IF(AND('Game Records'!$U230&lt;&gt;"Subscription",'Game Records'!$U230&lt;&gt;"Free Game",'Game Records'!$J230=""),"Total Players; ","")&amp;IF(AND(LOWER('Game Records'!$D230&amp;"")="finalized",LOWER('Game Records'!$L230&amp;"")&lt;&gt;"yes",'Game Records'!$U230&lt;&gt;"Subscription",'Game Records'!$U230&lt;&gt;"Free Game",'Game Records'!$K230=""),"Final Earned; ","")&amp;IF(AND(LOWER('Game Records'!$D230&amp;"")="finalized",'Game Records'!$U230&lt;&gt;"Subscription",'Game Records'!$U230&lt;&gt;"Free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Game",OR('Game Records'!$D231="",LOWER('Game Records'!$D231&amp;"")="n/a")),"Entry Mode; ","")&amp;IF(AND('Game Records'!$U231&lt;&gt;"Subscription",'Game Records'!$U231&lt;&gt;"Free Game",OR('Game Records'!$E231="",LOWER('Game Records'!$E231&amp;"")="n/a")),"Game Type; ","")&amp;IF('Game Records'!$F231="","Payment Type; ","")&amp;IF(AND('Game Records'!$U231&lt;&gt;"Subscription",'Game Records'!$U231&lt;&gt;"Free Game",'Game Records'!$G231=""),"Gross Pot; ","")&amp;IF(AND('Game Records'!$U231&lt;&gt;"Free Game",'Game Records'!$H231=""),"Entry Fee; ","")&amp;IF(AND('Game Records'!$U231&lt;&gt;"Subscription",'Game Records'!$U231&lt;&gt;"Free Game",'Game Records'!$I231=""),"Eligible Players; ","")&amp;IF(AND('Game Records'!$U231&lt;&gt;"Subscription",'Game Records'!$U231&lt;&gt;"Free Game",'Game Records'!$J231=""),"Total Players; ","")&amp;IF(AND(LOWER('Game Records'!$D231&amp;"")="finalized",LOWER('Game Records'!$L231&amp;"")&lt;&gt;"yes",'Game Records'!$U231&lt;&gt;"Subscription",'Game Records'!$U231&lt;&gt;"Free Game",'Game Records'!$K231=""),"Final Earned; ","")&amp;IF(AND(LOWER('Game Records'!$D231&amp;"")="finalized",'Game Records'!$U231&lt;&gt;"Subscription",'Game Records'!$U231&lt;&gt;"Free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Game",OR('Game Records'!$D232="",LOWER('Game Records'!$D232&amp;"")="n/a")),"Entry Mode; ","")&amp;IF(AND('Game Records'!$U232&lt;&gt;"Subscription",'Game Records'!$U232&lt;&gt;"Free Game",OR('Game Records'!$E232="",LOWER('Game Records'!$E232&amp;"")="n/a")),"Game Type; ","")&amp;IF('Game Records'!$F232="","Payment Type; ","")&amp;IF(AND('Game Records'!$U232&lt;&gt;"Subscription",'Game Records'!$U232&lt;&gt;"Free Game",'Game Records'!$G232=""),"Gross Pot; ","")&amp;IF(AND('Game Records'!$U232&lt;&gt;"Free Game",'Game Records'!$H232=""),"Entry Fee; ","")&amp;IF(AND('Game Records'!$U232&lt;&gt;"Subscription",'Game Records'!$U232&lt;&gt;"Free Game",'Game Records'!$I232=""),"Eligible Players; ","")&amp;IF(AND('Game Records'!$U232&lt;&gt;"Subscription",'Game Records'!$U232&lt;&gt;"Free Game",'Game Records'!$J232=""),"Total Players; ","")&amp;IF(AND(LOWER('Game Records'!$D232&amp;"")="finalized",LOWER('Game Records'!$L232&amp;"")&lt;&gt;"yes",'Game Records'!$U232&lt;&gt;"Subscription",'Game Records'!$U232&lt;&gt;"Free Game",'Game Records'!$K232=""),"Final Earned; ","")&amp;IF(AND(LOWER('Game Records'!$D232&amp;"")="finalized",'Game Records'!$U232&lt;&gt;"Subscription",'Game Records'!$U232&lt;&gt;"Free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Game",OR('Game Records'!$D233="",LOWER('Game Records'!$D233&amp;"")="n/a")),"Entry Mode; ","")&amp;IF(AND('Game Records'!$U233&lt;&gt;"Subscription",'Game Records'!$U233&lt;&gt;"Free Game",OR('Game Records'!$E233="",LOWER('Game Records'!$E233&amp;"")="n/a")),"Game Type; ","")&amp;IF('Game Records'!$F233="","Payment Type; ","")&amp;IF(AND('Game Records'!$U233&lt;&gt;"Subscription",'Game Records'!$U233&lt;&gt;"Free Game",'Game Records'!$G233=""),"Gross Pot; ","")&amp;IF(AND('Game Records'!$U233&lt;&gt;"Free Game",'Game Records'!$H233=""),"Entry Fee; ","")&amp;IF(AND('Game Records'!$U233&lt;&gt;"Subscription",'Game Records'!$U233&lt;&gt;"Free Game",'Game Records'!$I233=""),"Eligible Players; ","")&amp;IF(AND('Game Records'!$U233&lt;&gt;"Subscription",'Game Records'!$U233&lt;&gt;"Free Game",'Game Records'!$J233=""),"Total Players; ","")&amp;IF(AND(LOWER('Game Records'!$D233&amp;"")="finalized",LOWER('Game Records'!$L233&amp;"")&lt;&gt;"yes",'Game Records'!$U233&lt;&gt;"Subscription",'Game Records'!$U233&lt;&gt;"Free Game",'Game Records'!$K233=""),"Final Earned; ","")&amp;IF(AND(LOWER('Game Records'!$D233&amp;"")="finalized",'Game Records'!$U233&lt;&gt;"Subscription",'Game Records'!$U233&lt;&gt;"Free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Game",OR('Game Records'!$D234="",LOWER('Game Records'!$D234&amp;"")="n/a")),"Entry Mode; ","")&amp;IF(AND('Game Records'!$U234&lt;&gt;"Subscription",'Game Records'!$U234&lt;&gt;"Free Game",OR('Game Records'!$E234="",LOWER('Game Records'!$E234&amp;"")="n/a")),"Game Type; ","")&amp;IF('Game Records'!$F234="","Payment Type; ","")&amp;IF(AND('Game Records'!$U234&lt;&gt;"Subscription",'Game Records'!$U234&lt;&gt;"Free Game",'Game Records'!$G234=""),"Gross Pot; ","")&amp;IF(AND('Game Records'!$U234&lt;&gt;"Free Game",'Game Records'!$H234=""),"Entry Fee; ","")&amp;IF(AND('Game Records'!$U234&lt;&gt;"Subscription",'Game Records'!$U234&lt;&gt;"Free Game",'Game Records'!$I234=""),"Eligible Players; ","")&amp;IF(AND('Game Records'!$U234&lt;&gt;"Subscription",'Game Records'!$U234&lt;&gt;"Free Game",'Game Records'!$J234=""),"Total Players; ","")&amp;IF(AND(LOWER('Game Records'!$D234&amp;"")="finalized",LOWER('Game Records'!$L234&amp;"")&lt;&gt;"yes",'Game Records'!$U234&lt;&gt;"Subscription",'Game Records'!$U234&lt;&gt;"Free Game",'Game Records'!$K234=""),"Final Earned; ","")&amp;IF(AND(LOWER('Game Records'!$D234&amp;"")="finalized",'Game Records'!$U234&lt;&gt;"Subscription",'Game Records'!$U234&lt;&gt;"Free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Game",OR('Game Records'!$D235="",LOWER('Game Records'!$D235&amp;"")="n/a")),"Entry Mode; ","")&amp;IF(AND('Game Records'!$U235&lt;&gt;"Subscription",'Game Records'!$U235&lt;&gt;"Free Game",OR('Game Records'!$E235="",LOWER('Game Records'!$E235&amp;"")="n/a")),"Game Type; ","")&amp;IF('Game Records'!$F235="","Payment Type; ","")&amp;IF(AND('Game Records'!$U235&lt;&gt;"Subscription",'Game Records'!$U235&lt;&gt;"Free Game",'Game Records'!$G235=""),"Gross Pot; ","")&amp;IF(AND('Game Records'!$U235&lt;&gt;"Free Game",'Game Records'!$H235=""),"Entry Fee; ","")&amp;IF(AND('Game Records'!$U235&lt;&gt;"Subscription",'Game Records'!$U235&lt;&gt;"Free Game",'Game Records'!$I235=""),"Eligible Players; ","")&amp;IF(AND('Game Records'!$U235&lt;&gt;"Subscription",'Game Records'!$U235&lt;&gt;"Free Game",'Game Records'!$J235=""),"Total Players; ","")&amp;IF(AND(LOWER('Game Records'!$D235&amp;"")="finalized",LOWER('Game Records'!$L235&amp;"")&lt;&gt;"yes",'Game Records'!$U235&lt;&gt;"Subscription",'Game Records'!$U235&lt;&gt;"Free Game",'Game Records'!$K235=""),"Final Earned; ","")&amp;IF(AND(LOWER('Game Records'!$D235&amp;"")="finalized",'Game Records'!$U235&lt;&gt;"Subscription",'Game Records'!$U235&lt;&gt;"Free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Game",OR('Game Records'!$D236="",LOWER('Game Records'!$D236&amp;"")="n/a")),"Entry Mode; ","")&amp;IF(AND('Game Records'!$U236&lt;&gt;"Subscription",'Game Records'!$U236&lt;&gt;"Free Game",OR('Game Records'!$E236="",LOWER('Game Records'!$E236&amp;"")="n/a")),"Game Type; ","")&amp;IF('Game Records'!$F236="","Payment Type; ","")&amp;IF(AND('Game Records'!$U236&lt;&gt;"Subscription",'Game Records'!$U236&lt;&gt;"Free Game",'Game Records'!$G236=""),"Gross Pot; ","")&amp;IF(AND('Game Records'!$U236&lt;&gt;"Free Game",'Game Records'!$H236=""),"Entry Fee; ","")&amp;IF(AND('Game Records'!$U236&lt;&gt;"Subscription",'Game Records'!$U236&lt;&gt;"Free Game",'Game Records'!$I236=""),"Eligible Players; ","")&amp;IF(AND('Game Records'!$U236&lt;&gt;"Subscription",'Game Records'!$U236&lt;&gt;"Free Game",'Game Records'!$J236=""),"Total Players; ","")&amp;IF(AND(LOWER('Game Records'!$D236&amp;"")="finalized",LOWER('Game Records'!$L236&amp;"")&lt;&gt;"yes",'Game Records'!$U236&lt;&gt;"Subscription",'Game Records'!$U236&lt;&gt;"Free Game",'Game Records'!$K236=""),"Final Earned; ","")&amp;IF(AND(LOWER('Game Records'!$D236&amp;"")="finalized",'Game Records'!$U236&lt;&gt;"Subscription",'Game Records'!$U236&lt;&gt;"Free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Game",OR('Game Records'!$D237="",LOWER('Game Records'!$D237&amp;"")="n/a")),"Entry Mode; ","")&amp;IF(AND('Game Records'!$U237&lt;&gt;"Subscription",'Game Records'!$U237&lt;&gt;"Free Game",OR('Game Records'!$E237="",LOWER('Game Records'!$E237&amp;"")="n/a")),"Game Type; ","")&amp;IF('Game Records'!$F237="","Payment Type; ","")&amp;IF(AND('Game Records'!$U237&lt;&gt;"Subscription",'Game Records'!$U237&lt;&gt;"Free Game",'Game Records'!$G237=""),"Gross Pot; ","")&amp;IF(AND('Game Records'!$U237&lt;&gt;"Free Game",'Game Records'!$H237=""),"Entry Fee; ","")&amp;IF(AND('Game Records'!$U237&lt;&gt;"Subscription",'Game Records'!$U237&lt;&gt;"Free Game",'Game Records'!$I237=""),"Eligible Players; ","")&amp;IF(AND('Game Records'!$U237&lt;&gt;"Subscription",'Game Records'!$U237&lt;&gt;"Free Game",'Game Records'!$J237=""),"Total Players; ","")&amp;IF(AND(LOWER('Game Records'!$D237&amp;"")="finalized",LOWER('Game Records'!$L237&amp;"")&lt;&gt;"yes",'Game Records'!$U237&lt;&gt;"Subscription",'Game Records'!$U237&lt;&gt;"Free Game",'Game Records'!$K237=""),"Final Earned; ","")&amp;IF(AND(LOWER('Game Records'!$D237&amp;"")="finalized",'Game Records'!$U237&lt;&gt;"Subscription",'Game Records'!$U237&lt;&gt;"Free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Game",OR('Game Records'!$D238="",LOWER('Game Records'!$D238&amp;"")="n/a")),"Entry Mode; ","")&amp;IF(AND('Game Records'!$U238&lt;&gt;"Subscription",'Game Records'!$U238&lt;&gt;"Free Game",OR('Game Records'!$E238="",LOWER('Game Records'!$E238&amp;"")="n/a")),"Game Type; ","")&amp;IF('Game Records'!$F238="","Payment Type; ","")&amp;IF(AND('Game Records'!$U238&lt;&gt;"Subscription",'Game Records'!$U238&lt;&gt;"Free Game",'Game Records'!$G238=""),"Gross Pot; ","")&amp;IF(AND('Game Records'!$U238&lt;&gt;"Free Game",'Game Records'!$H238=""),"Entry Fee; ","")&amp;IF(AND('Game Records'!$U238&lt;&gt;"Subscription",'Game Records'!$U238&lt;&gt;"Free Game",'Game Records'!$I238=""),"Eligible Players; ","")&amp;IF(AND('Game Records'!$U238&lt;&gt;"Subscription",'Game Records'!$U238&lt;&gt;"Free Game",'Game Records'!$J238=""),"Total Players; ","")&amp;IF(AND(LOWER('Game Records'!$D238&amp;"")="finalized",LOWER('Game Records'!$L238&amp;"")&lt;&gt;"yes",'Game Records'!$U238&lt;&gt;"Subscription",'Game Records'!$U238&lt;&gt;"Free Game",'Game Records'!$K238=""),"Final Earned; ","")&amp;IF(AND(LOWER('Game Records'!$D238&amp;"")="finalized",'Game Records'!$U238&lt;&gt;"Subscription",'Game Records'!$U238&lt;&gt;"Free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Game",OR('Game Records'!$D239="",LOWER('Game Records'!$D239&amp;"")="n/a")),"Entry Mode; ","")&amp;IF(AND('Game Records'!$U239&lt;&gt;"Subscription",'Game Records'!$U239&lt;&gt;"Free Game",OR('Game Records'!$E239="",LOWER('Game Records'!$E239&amp;"")="n/a")),"Game Type; ","")&amp;IF('Game Records'!$F239="","Payment Type; ","")&amp;IF(AND('Game Records'!$U239&lt;&gt;"Subscription",'Game Records'!$U239&lt;&gt;"Free Game",'Game Records'!$G239=""),"Gross Pot; ","")&amp;IF(AND('Game Records'!$U239&lt;&gt;"Free Game",'Game Records'!$H239=""),"Entry Fee; ","")&amp;IF(AND('Game Records'!$U239&lt;&gt;"Subscription",'Game Records'!$U239&lt;&gt;"Free Game",'Game Records'!$I239=""),"Eligible Players; ","")&amp;IF(AND('Game Records'!$U239&lt;&gt;"Subscription",'Game Records'!$U239&lt;&gt;"Free Game",'Game Records'!$J239=""),"Total Players; ","")&amp;IF(AND(LOWER('Game Records'!$D239&amp;"")="finalized",LOWER('Game Records'!$L239&amp;"")&lt;&gt;"yes",'Game Records'!$U239&lt;&gt;"Subscription",'Game Records'!$U239&lt;&gt;"Free Game",'Game Records'!$K239=""),"Final Earned; ","")&amp;IF(AND(LOWER('Game Records'!$D239&amp;"")="finalized",'Game Records'!$U239&lt;&gt;"Subscription",'Game Records'!$U239&lt;&gt;"Free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Game",OR('Game Records'!$D240="",LOWER('Game Records'!$D240&amp;"")="n/a")),"Entry Mode; ","")&amp;IF(AND('Game Records'!$U240&lt;&gt;"Subscription",'Game Records'!$U240&lt;&gt;"Free Game",OR('Game Records'!$E240="",LOWER('Game Records'!$E240&amp;"")="n/a")),"Game Type; ","")&amp;IF('Game Records'!$F240="","Payment Type; ","")&amp;IF(AND('Game Records'!$U240&lt;&gt;"Subscription",'Game Records'!$U240&lt;&gt;"Free Game",'Game Records'!$G240=""),"Gross Pot; ","")&amp;IF(AND('Game Records'!$U240&lt;&gt;"Free Game",'Game Records'!$H240=""),"Entry Fee; ","")&amp;IF(AND('Game Records'!$U240&lt;&gt;"Subscription",'Game Records'!$U240&lt;&gt;"Free Game",'Game Records'!$I240=""),"Eligible Players; ","")&amp;IF(AND('Game Records'!$U240&lt;&gt;"Subscription",'Game Records'!$U240&lt;&gt;"Free Game",'Game Records'!$J240=""),"Total Players; ","")&amp;IF(AND(LOWER('Game Records'!$D240&amp;"")="finalized",LOWER('Game Records'!$L240&amp;"")&lt;&gt;"yes",'Game Records'!$U240&lt;&gt;"Subscription",'Game Records'!$U240&lt;&gt;"Free Game",'Game Records'!$K240=""),"Final Earned; ","")&amp;IF(AND(LOWER('Game Records'!$D240&amp;"")="finalized",'Game Records'!$U240&lt;&gt;"Subscription",'Game Records'!$U240&lt;&gt;"Free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Game",OR('Game Records'!$D241="",LOWER('Game Records'!$D241&amp;"")="n/a")),"Entry Mode; ","")&amp;IF(AND('Game Records'!$U241&lt;&gt;"Subscription",'Game Records'!$U241&lt;&gt;"Free Game",OR('Game Records'!$E241="",LOWER('Game Records'!$E241&amp;"")="n/a")),"Game Type; ","")&amp;IF('Game Records'!$F241="","Payment Type; ","")&amp;IF(AND('Game Records'!$U241&lt;&gt;"Subscription",'Game Records'!$U241&lt;&gt;"Free Game",'Game Records'!$G241=""),"Gross Pot; ","")&amp;IF(AND('Game Records'!$U241&lt;&gt;"Free Game",'Game Records'!$H241=""),"Entry Fee; ","")&amp;IF(AND('Game Records'!$U241&lt;&gt;"Subscription",'Game Records'!$U241&lt;&gt;"Free Game",'Game Records'!$I241=""),"Eligible Players; ","")&amp;IF(AND('Game Records'!$U241&lt;&gt;"Subscription",'Game Records'!$U241&lt;&gt;"Free Game",'Game Records'!$J241=""),"Total Players; ","")&amp;IF(AND(LOWER('Game Records'!$D241&amp;"")="finalized",LOWER('Game Records'!$L241&amp;"")&lt;&gt;"yes",'Game Records'!$U241&lt;&gt;"Subscription",'Game Records'!$U241&lt;&gt;"Free Game",'Game Records'!$K241=""),"Final Earned; ","")&amp;IF(AND(LOWER('Game Records'!$D241&amp;"")="finalized",'Game Records'!$U241&lt;&gt;"Subscription",'Game Records'!$U241&lt;&gt;"Free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Game",OR('Game Records'!$D242="",LOWER('Game Records'!$D242&amp;"")="n/a")),"Entry Mode; ","")&amp;IF(AND('Game Records'!$U242&lt;&gt;"Subscription",'Game Records'!$U242&lt;&gt;"Free Game",OR('Game Records'!$E242="",LOWER('Game Records'!$E242&amp;"")="n/a")),"Game Type; ","")&amp;IF('Game Records'!$F242="","Payment Type; ","")&amp;IF(AND('Game Records'!$U242&lt;&gt;"Subscription",'Game Records'!$U242&lt;&gt;"Free Game",'Game Records'!$G242=""),"Gross Pot; ","")&amp;IF(AND('Game Records'!$U242&lt;&gt;"Free Game",'Game Records'!$H242=""),"Entry Fee; ","")&amp;IF(AND('Game Records'!$U242&lt;&gt;"Subscription",'Game Records'!$U242&lt;&gt;"Free Game",'Game Records'!$I242=""),"Eligible Players; ","")&amp;IF(AND('Game Records'!$U242&lt;&gt;"Subscription",'Game Records'!$U242&lt;&gt;"Free Game",'Game Records'!$J242=""),"Total Players; ","")&amp;IF(AND(LOWER('Game Records'!$D242&amp;"")="finalized",LOWER('Game Records'!$L242&amp;"")&lt;&gt;"yes",'Game Records'!$U242&lt;&gt;"Subscription",'Game Records'!$U242&lt;&gt;"Free Game",'Game Records'!$K242=""),"Final Earned; ","")&amp;IF(AND(LOWER('Game Records'!$D242&amp;"")="finalized",'Game Records'!$U242&lt;&gt;"Subscription",'Game Records'!$U242&lt;&gt;"Free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Game",OR('Game Records'!$D243="",LOWER('Game Records'!$D243&amp;"")="n/a")),"Entry Mode; ","")&amp;IF(AND('Game Records'!$U243&lt;&gt;"Subscription",'Game Records'!$U243&lt;&gt;"Free Game",OR('Game Records'!$E243="",LOWER('Game Records'!$E243&amp;"")="n/a")),"Game Type; ","")&amp;IF('Game Records'!$F243="","Payment Type; ","")&amp;IF(AND('Game Records'!$U243&lt;&gt;"Subscription",'Game Records'!$U243&lt;&gt;"Free Game",'Game Records'!$G243=""),"Gross Pot; ","")&amp;IF(AND('Game Records'!$U243&lt;&gt;"Free Game",'Game Records'!$H243=""),"Entry Fee; ","")&amp;IF(AND('Game Records'!$U243&lt;&gt;"Subscription",'Game Records'!$U243&lt;&gt;"Free Game",'Game Records'!$I243=""),"Eligible Players; ","")&amp;IF(AND('Game Records'!$U243&lt;&gt;"Subscription",'Game Records'!$U243&lt;&gt;"Free Game",'Game Records'!$J243=""),"Total Players; ","")&amp;IF(AND(LOWER('Game Records'!$D243&amp;"")="finalized",LOWER('Game Records'!$L243&amp;"")&lt;&gt;"yes",'Game Records'!$U243&lt;&gt;"Subscription",'Game Records'!$U243&lt;&gt;"Free Game",'Game Records'!$K243=""),"Final Earned; ","")&amp;IF(AND(LOWER('Game Records'!$D243&amp;"")="finalized",'Game Records'!$U243&lt;&gt;"Subscription",'Game Records'!$U243&lt;&gt;"Free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Game",OR('Game Records'!$D244="",LOWER('Game Records'!$D244&amp;"")="n/a")),"Entry Mode; ","")&amp;IF(AND('Game Records'!$U244&lt;&gt;"Subscription",'Game Records'!$U244&lt;&gt;"Free Game",OR('Game Records'!$E244="",LOWER('Game Records'!$E244&amp;"")="n/a")),"Game Type; ","")&amp;IF('Game Records'!$F244="","Payment Type; ","")&amp;IF(AND('Game Records'!$U244&lt;&gt;"Subscription",'Game Records'!$U244&lt;&gt;"Free Game",'Game Records'!$G244=""),"Gross Pot; ","")&amp;IF(AND('Game Records'!$U244&lt;&gt;"Free Game",'Game Records'!$H244=""),"Entry Fee; ","")&amp;IF(AND('Game Records'!$U244&lt;&gt;"Subscription",'Game Records'!$U244&lt;&gt;"Free Game",'Game Records'!$I244=""),"Eligible Players; ","")&amp;IF(AND('Game Records'!$U244&lt;&gt;"Subscription",'Game Records'!$U244&lt;&gt;"Free Game",'Game Records'!$J244=""),"Total Players; ","")&amp;IF(AND(LOWER('Game Records'!$D244&amp;"")="finalized",LOWER('Game Records'!$L244&amp;"")&lt;&gt;"yes",'Game Records'!$U244&lt;&gt;"Subscription",'Game Records'!$U244&lt;&gt;"Free Game",'Game Records'!$K244=""),"Final Earned; ","")&amp;IF(AND(LOWER('Game Records'!$D244&amp;"")="finalized",'Game Records'!$U244&lt;&gt;"Subscription",'Game Records'!$U244&lt;&gt;"Free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Game",OR('Game Records'!$D245="",LOWER('Game Records'!$D245&amp;"")="n/a")),"Entry Mode; ","")&amp;IF(AND('Game Records'!$U245&lt;&gt;"Subscription",'Game Records'!$U245&lt;&gt;"Free Game",OR('Game Records'!$E245="",LOWER('Game Records'!$E245&amp;"")="n/a")),"Game Type; ","")&amp;IF('Game Records'!$F245="","Payment Type; ","")&amp;IF(AND('Game Records'!$U245&lt;&gt;"Subscription",'Game Records'!$U245&lt;&gt;"Free Game",'Game Records'!$G245=""),"Gross Pot; ","")&amp;IF(AND('Game Records'!$U245&lt;&gt;"Free Game",'Game Records'!$H245=""),"Entry Fee; ","")&amp;IF(AND('Game Records'!$U245&lt;&gt;"Subscription",'Game Records'!$U245&lt;&gt;"Free Game",'Game Records'!$I245=""),"Eligible Players; ","")&amp;IF(AND('Game Records'!$U245&lt;&gt;"Subscription",'Game Records'!$U245&lt;&gt;"Free Game",'Game Records'!$J245=""),"Total Players; ","")&amp;IF(AND(LOWER('Game Records'!$D245&amp;"")="finalized",LOWER('Game Records'!$L245&amp;"")&lt;&gt;"yes",'Game Records'!$U245&lt;&gt;"Subscription",'Game Records'!$U245&lt;&gt;"Free Game",'Game Records'!$K245=""),"Final Earned; ","")&amp;IF(AND(LOWER('Game Records'!$D245&amp;"")="finalized",'Game Records'!$U245&lt;&gt;"Subscription",'Game Records'!$U245&lt;&gt;"Free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Game",OR('Game Records'!$D246="",LOWER('Game Records'!$D246&amp;"")="n/a")),"Entry Mode; ","")&amp;IF(AND('Game Records'!$U246&lt;&gt;"Subscription",'Game Records'!$U246&lt;&gt;"Free Game",OR('Game Records'!$E246="",LOWER('Game Records'!$E246&amp;"")="n/a")),"Game Type; ","")&amp;IF('Game Records'!$F246="","Payment Type; ","")&amp;IF(AND('Game Records'!$U246&lt;&gt;"Subscription",'Game Records'!$U246&lt;&gt;"Free Game",'Game Records'!$G246=""),"Gross Pot; ","")&amp;IF(AND('Game Records'!$U246&lt;&gt;"Free Game",'Game Records'!$H246=""),"Entry Fee; ","")&amp;IF(AND('Game Records'!$U246&lt;&gt;"Subscription",'Game Records'!$U246&lt;&gt;"Free Game",'Game Records'!$I246=""),"Eligible Players; ","")&amp;IF(AND('Game Records'!$U246&lt;&gt;"Subscription",'Game Records'!$U246&lt;&gt;"Free Game",'Game Records'!$J246=""),"Total Players; ","")&amp;IF(AND(LOWER('Game Records'!$D246&amp;"")="finalized",LOWER('Game Records'!$L246&amp;"")&lt;&gt;"yes",'Game Records'!$U246&lt;&gt;"Subscription",'Game Records'!$U246&lt;&gt;"Free Game",'Game Records'!$K246=""),"Final Earned; ","")&amp;IF(AND(LOWER('Game Records'!$D246&amp;"")="finalized",'Game Records'!$U246&lt;&gt;"Subscription",'Game Records'!$U246&lt;&gt;"Free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Game",OR('Game Records'!$D247="",LOWER('Game Records'!$D247&amp;"")="n/a")),"Entry Mode; ","")&amp;IF(AND('Game Records'!$U247&lt;&gt;"Subscription",'Game Records'!$U247&lt;&gt;"Free Game",OR('Game Records'!$E247="",LOWER('Game Records'!$E247&amp;"")="n/a")),"Game Type; ","")&amp;IF('Game Records'!$F247="","Payment Type; ","")&amp;IF(AND('Game Records'!$U247&lt;&gt;"Subscription",'Game Records'!$U247&lt;&gt;"Free Game",'Game Records'!$G247=""),"Gross Pot; ","")&amp;IF(AND('Game Records'!$U247&lt;&gt;"Free Game",'Game Records'!$H247=""),"Entry Fee; ","")&amp;IF(AND('Game Records'!$U247&lt;&gt;"Subscription",'Game Records'!$U247&lt;&gt;"Free Game",'Game Records'!$I247=""),"Eligible Players; ","")&amp;IF(AND('Game Records'!$U247&lt;&gt;"Subscription",'Game Records'!$U247&lt;&gt;"Free Game",'Game Records'!$J247=""),"Total Players; ","")&amp;IF(AND(LOWER('Game Records'!$D247&amp;"")="finalized",LOWER('Game Records'!$L247&amp;"")&lt;&gt;"yes",'Game Records'!$U247&lt;&gt;"Subscription",'Game Records'!$U247&lt;&gt;"Free Game",'Game Records'!$K247=""),"Final Earned; ","")&amp;IF(AND(LOWER('Game Records'!$D247&amp;"")="finalized",'Game Records'!$U247&lt;&gt;"Subscription",'Game Records'!$U247&lt;&gt;"Free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Game",OR('Game Records'!$D248="",LOWER('Game Records'!$D248&amp;"")="n/a")),"Entry Mode; ","")&amp;IF(AND('Game Records'!$U248&lt;&gt;"Subscription",'Game Records'!$U248&lt;&gt;"Free Game",OR('Game Records'!$E248="",LOWER('Game Records'!$E248&amp;"")="n/a")),"Game Type; ","")&amp;IF('Game Records'!$F248="","Payment Type; ","")&amp;IF(AND('Game Records'!$U248&lt;&gt;"Subscription",'Game Records'!$U248&lt;&gt;"Free Game",'Game Records'!$G248=""),"Gross Pot; ","")&amp;IF(AND('Game Records'!$U248&lt;&gt;"Free Game",'Game Records'!$H248=""),"Entry Fee; ","")&amp;IF(AND('Game Records'!$U248&lt;&gt;"Subscription",'Game Records'!$U248&lt;&gt;"Free Game",'Game Records'!$I248=""),"Eligible Players; ","")&amp;IF(AND('Game Records'!$U248&lt;&gt;"Subscription",'Game Records'!$U248&lt;&gt;"Free Game",'Game Records'!$J248=""),"Total Players; ","")&amp;IF(AND(LOWER('Game Records'!$D248&amp;"")="finalized",LOWER('Game Records'!$L248&amp;"")&lt;&gt;"yes",'Game Records'!$U248&lt;&gt;"Subscription",'Game Records'!$U248&lt;&gt;"Free Game",'Game Records'!$K248=""),"Final Earned; ","")&amp;IF(AND(LOWER('Game Records'!$D248&amp;"")="finalized",'Game Records'!$U248&lt;&gt;"Subscription",'Game Records'!$U248&lt;&gt;"Free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Game",OR('Game Records'!$D249="",LOWER('Game Records'!$D249&amp;"")="n/a")),"Entry Mode; ","")&amp;IF(AND('Game Records'!$U249&lt;&gt;"Subscription",'Game Records'!$U249&lt;&gt;"Free Game",OR('Game Records'!$E249="",LOWER('Game Records'!$E249&amp;"")="n/a")),"Game Type; ","")&amp;IF('Game Records'!$F249="","Payment Type; ","")&amp;IF(AND('Game Records'!$U249&lt;&gt;"Subscription",'Game Records'!$U249&lt;&gt;"Free Game",'Game Records'!$G249=""),"Gross Pot; ","")&amp;IF(AND('Game Records'!$U249&lt;&gt;"Free Game",'Game Records'!$H249=""),"Entry Fee; ","")&amp;IF(AND('Game Records'!$U249&lt;&gt;"Subscription",'Game Records'!$U249&lt;&gt;"Free Game",'Game Records'!$I249=""),"Eligible Players; ","")&amp;IF(AND('Game Records'!$U249&lt;&gt;"Subscription",'Game Records'!$U249&lt;&gt;"Free Game",'Game Records'!$J249=""),"Total Players; ","")&amp;IF(AND(LOWER('Game Records'!$D249&amp;"")="finalized",LOWER('Game Records'!$L249&amp;"")&lt;&gt;"yes",'Game Records'!$U249&lt;&gt;"Subscription",'Game Records'!$U249&lt;&gt;"Free Game",'Game Records'!$K249=""),"Final Earned; ","")&amp;IF(AND(LOWER('Game Records'!$D249&amp;"")="finalized",'Game Records'!$U249&lt;&gt;"Subscription",'Game Records'!$U249&lt;&gt;"Free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Game",OR('Game Records'!$D250="",LOWER('Game Records'!$D250&amp;"")="n/a")),"Entry Mode; ","")&amp;IF(AND('Game Records'!$U250&lt;&gt;"Subscription",'Game Records'!$U250&lt;&gt;"Free Game",OR('Game Records'!$E250="",LOWER('Game Records'!$E250&amp;"")="n/a")),"Game Type; ","")&amp;IF('Game Records'!$F250="","Payment Type; ","")&amp;IF(AND('Game Records'!$U250&lt;&gt;"Subscription",'Game Records'!$U250&lt;&gt;"Free Game",'Game Records'!$G250=""),"Gross Pot; ","")&amp;IF(AND('Game Records'!$U250&lt;&gt;"Free Game",'Game Records'!$H250=""),"Entry Fee; ","")&amp;IF(AND('Game Records'!$U250&lt;&gt;"Subscription",'Game Records'!$U250&lt;&gt;"Free Game",'Game Records'!$I250=""),"Eligible Players; ","")&amp;IF(AND('Game Records'!$U250&lt;&gt;"Subscription",'Game Records'!$U250&lt;&gt;"Free Game",'Game Records'!$J250=""),"Total Players; ","")&amp;IF(AND(LOWER('Game Records'!$D250&amp;"")="finalized",LOWER('Game Records'!$L250&amp;"")&lt;&gt;"yes",'Game Records'!$U250&lt;&gt;"Subscription",'Game Records'!$U250&lt;&gt;"Free Game",'Game Records'!$K250=""),"Final Earned; ","")&amp;IF(AND(LOWER('Game Records'!$D250&amp;"")="finalized",'Game Records'!$U250&lt;&gt;"Subscription",'Game Records'!$U250&lt;&gt;"Free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Game",OR('Game Records'!$D251="",LOWER('Game Records'!$D251&amp;"")="n/a")),"Entry Mode; ","")&amp;IF(AND('Game Records'!$U251&lt;&gt;"Subscription",'Game Records'!$U251&lt;&gt;"Free Game",OR('Game Records'!$E251="",LOWER('Game Records'!$E251&amp;"")="n/a")),"Game Type; ","")&amp;IF('Game Records'!$F251="","Payment Type; ","")&amp;IF(AND('Game Records'!$U251&lt;&gt;"Subscription",'Game Records'!$U251&lt;&gt;"Free Game",'Game Records'!$G251=""),"Gross Pot; ","")&amp;IF(AND('Game Records'!$U251&lt;&gt;"Free Game",'Game Records'!$H251=""),"Entry Fee; ","")&amp;IF(AND('Game Records'!$U251&lt;&gt;"Subscription",'Game Records'!$U251&lt;&gt;"Free Game",'Game Records'!$I251=""),"Eligible Players; ","")&amp;IF(AND('Game Records'!$U251&lt;&gt;"Subscription",'Game Records'!$U251&lt;&gt;"Free Game",'Game Records'!$J251=""),"Total Players; ","")&amp;IF(AND(LOWER('Game Records'!$D251&amp;"")="finalized",LOWER('Game Records'!$L251&amp;"")&lt;&gt;"yes",'Game Records'!$U251&lt;&gt;"Subscription",'Game Records'!$U251&lt;&gt;"Free Game",'Game Records'!$K251=""),"Final Earned; ","")&amp;IF(AND(LOWER('Game Records'!$D251&amp;"")="finalized",'Game Records'!$U251&lt;&gt;"Subscription",'Game Records'!$U251&lt;&gt;"Free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Game",OR('Game Records'!$D252="",LOWER('Game Records'!$D252&amp;"")="n/a")),"Entry Mode; ","")&amp;IF(AND('Game Records'!$U252&lt;&gt;"Subscription",'Game Records'!$U252&lt;&gt;"Free Game",OR('Game Records'!$E252="",LOWER('Game Records'!$E252&amp;"")="n/a")),"Game Type; ","")&amp;IF('Game Records'!$F252="","Payment Type; ","")&amp;IF(AND('Game Records'!$U252&lt;&gt;"Subscription",'Game Records'!$U252&lt;&gt;"Free Game",'Game Records'!$G252=""),"Gross Pot; ","")&amp;IF(AND('Game Records'!$U252&lt;&gt;"Free Game",'Game Records'!$H252=""),"Entry Fee; ","")&amp;IF(AND('Game Records'!$U252&lt;&gt;"Subscription",'Game Records'!$U252&lt;&gt;"Free Game",'Game Records'!$I252=""),"Eligible Players; ","")&amp;IF(AND('Game Records'!$U252&lt;&gt;"Subscription",'Game Records'!$U252&lt;&gt;"Free Game",'Game Records'!$J252=""),"Total Players; ","")&amp;IF(AND(LOWER('Game Records'!$D252&amp;"")="finalized",LOWER('Game Records'!$L252&amp;"")&lt;&gt;"yes",'Game Records'!$U252&lt;&gt;"Subscription",'Game Records'!$U252&lt;&gt;"Free Game",'Game Records'!$K252=""),"Final Earned; ","")&amp;IF(AND(LOWER('Game Records'!$D252&amp;"")="finalized",'Game Records'!$U252&lt;&gt;"Subscription",'Game Records'!$U252&lt;&gt;"Free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Game",OR('Game Records'!$D253="",LOWER('Game Records'!$D253&amp;"")="n/a")),"Entry Mode; ","")&amp;IF(AND('Game Records'!$U253&lt;&gt;"Subscription",'Game Records'!$U253&lt;&gt;"Free Game",OR('Game Records'!$E253="",LOWER('Game Records'!$E253&amp;"")="n/a")),"Game Type; ","")&amp;IF('Game Records'!$F253="","Payment Type; ","")&amp;IF(AND('Game Records'!$U253&lt;&gt;"Subscription",'Game Records'!$U253&lt;&gt;"Free Game",'Game Records'!$G253=""),"Gross Pot; ","")&amp;IF(AND('Game Records'!$U253&lt;&gt;"Free Game",'Game Records'!$H253=""),"Entry Fee; ","")&amp;IF(AND('Game Records'!$U253&lt;&gt;"Subscription",'Game Records'!$U253&lt;&gt;"Free Game",'Game Records'!$I253=""),"Eligible Players; ","")&amp;IF(AND('Game Records'!$U253&lt;&gt;"Subscription",'Game Records'!$U253&lt;&gt;"Free Game",'Game Records'!$J253=""),"Total Players; ","")&amp;IF(AND(LOWER('Game Records'!$D253&amp;"")="finalized",LOWER('Game Records'!$L253&amp;"")&lt;&gt;"yes",'Game Records'!$U253&lt;&gt;"Subscription",'Game Records'!$U253&lt;&gt;"Free Game",'Game Records'!$K253=""),"Final Earned; ","")&amp;IF(AND(LOWER('Game Records'!$D253&amp;"")="finalized",'Game Records'!$U253&lt;&gt;"Subscription",'Game Records'!$U253&lt;&gt;"Free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Game",OR('Game Records'!$D254="",LOWER('Game Records'!$D254&amp;"")="n/a")),"Entry Mode; ","")&amp;IF(AND('Game Records'!$U254&lt;&gt;"Subscription",'Game Records'!$U254&lt;&gt;"Free Game",OR('Game Records'!$E254="",LOWER('Game Records'!$E254&amp;"")="n/a")),"Game Type; ","")&amp;IF('Game Records'!$F254="","Payment Type; ","")&amp;IF(AND('Game Records'!$U254&lt;&gt;"Subscription",'Game Records'!$U254&lt;&gt;"Free Game",'Game Records'!$G254=""),"Gross Pot; ","")&amp;IF(AND('Game Records'!$U254&lt;&gt;"Free Game",'Game Records'!$H254=""),"Entry Fee; ","")&amp;IF(AND('Game Records'!$U254&lt;&gt;"Subscription",'Game Records'!$U254&lt;&gt;"Free Game",'Game Records'!$I254=""),"Eligible Players; ","")&amp;IF(AND('Game Records'!$U254&lt;&gt;"Subscription",'Game Records'!$U254&lt;&gt;"Free Game",'Game Records'!$J254=""),"Total Players; ","")&amp;IF(AND(LOWER('Game Records'!$D254&amp;"")="finalized",LOWER('Game Records'!$L254&amp;"")&lt;&gt;"yes",'Game Records'!$U254&lt;&gt;"Subscription",'Game Records'!$U254&lt;&gt;"Free Game",'Game Records'!$K254=""),"Final Earned; ","")&amp;IF(AND(LOWER('Game Records'!$D254&amp;"")="finalized",'Game Records'!$U254&lt;&gt;"Subscription",'Game Records'!$U254&lt;&gt;"Free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Game",OR('Game Records'!$D255="",LOWER('Game Records'!$D255&amp;"")="n/a")),"Entry Mode; ","")&amp;IF(AND('Game Records'!$U255&lt;&gt;"Subscription",'Game Records'!$U255&lt;&gt;"Free Game",OR('Game Records'!$E255="",LOWER('Game Records'!$E255&amp;"")="n/a")),"Game Type; ","")&amp;IF('Game Records'!$F255="","Payment Type; ","")&amp;IF(AND('Game Records'!$U255&lt;&gt;"Subscription",'Game Records'!$U255&lt;&gt;"Free Game",'Game Records'!$G255=""),"Gross Pot; ","")&amp;IF(AND('Game Records'!$U255&lt;&gt;"Free Game",'Game Records'!$H255=""),"Entry Fee; ","")&amp;IF(AND('Game Records'!$U255&lt;&gt;"Subscription",'Game Records'!$U255&lt;&gt;"Free Game",'Game Records'!$I255=""),"Eligible Players; ","")&amp;IF(AND('Game Records'!$U255&lt;&gt;"Subscription",'Game Records'!$U255&lt;&gt;"Free Game",'Game Records'!$J255=""),"Total Players; ","")&amp;IF(AND(LOWER('Game Records'!$D255&amp;"")="finalized",LOWER('Game Records'!$L255&amp;"")&lt;&gt;"yes",'Game Records'!$U255&lt;&gt;"Subscription",'Game Records'!$U255&lt;&gt;"Free Game",'Game Records'!$K255=""),"Final Earned; ","")&amp;IF(AND(LOWER('Game Records'!$D255&amp;"")="finalized",'Game Records'!$U255&lt;&gt;"Subscription",'Game Records'!$U255&lt;&gt;"Free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Game",OR('Game Records'!$D256="",LOWER('Game Records'!$D256&amp;"")="n/a")),"Entry Mode; ","")&amp;IF(AND('Game Records'!$U256&lt;&gt;"Subscription",'Game Records'!$U256&lt;&gt;"Free Game",OR('Game Records'!$E256="",LOWER('Game Records'!$E256&amp;"")="n/a")),"Game Type; ","")&amp;IF('Game Records'!$F256="","Payment Type; ","")&amp;IF(AND('Game Records'!$U256&lt;&gt;"Subscription",'Game Records'!$U256&lt;&gt;"Free Game",'Game Records'!$G256=""),"Gross Pot; ","")&amp;IF(AND('Game Records'!$U256&lt;&gt;"Free Game",'Game Records'!$H256=""),"Entry Fee; ","")&amp;IF(AND('Game Records'!$U256&lt;&gt;"Subscription",'Game Records'!$U256&lt;&gt;"Free Game",'Game Records'!$I256=""),"Eligible Players; ","")&amp;IF(AND('Game Records'!$U256&lt;&gt;"Subscription",'Game Records'!$U256&lt;&gt;"Free Game",'Game Records'!$J256=""),"Total Players; ","")&amp;IF(AND(LOWER('Game Records'!$D256&amp;"")="finalized",LOWER('Game Records'!$L256&amp;"")&lt;&gt;"yes",'Game Records'!$U256&lt;&gt;"Subscription",'Game Records'!$U256&lt;&gt;"Free Game",'Game Records'!$K256=""),"Final Earned; ","")&amp;IF(AND(LOWER('Game Records'!$D256&amp;"")="finalized",'Game Records'!$U256&lt;&gt;"Subscription",'Game Records'!$U256&lt;&gt;"Free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Game",OR('Game Records'!$D257="",LOWER('Game Records'!$D257&amp;"")="n/a")),"Entry Mode; ","")&amp;IF(AND('Game Records'!$U257&lt;&gt;"Subscription",'Game Records'!$U257&lt;&gt;"Free Game",OR('Game Records'!$E257="",LOWER('Game Records'!$E257&amp;"")="n/a")),"Game Type; ","")&amp;IF('Game Records'!$F257="","Payment Type; ","")&amp;IF(AND('Game Records'!$U257&lt;&gt;"Subscription",'Game Records'!$U257&lt;&gt;"Free Game",'Game Records'!$G257=""),"Gross Pot; ","")&amp;IF(AND('Game Records'!$U257&lt;&gt;"Free Game",'Game Records'!$H257=""),"Entry Fee; ","")&amp;IF(AND('Game Records'!$U257&lt;&gt;"Subscription",'Game Records'!$U257&lt;&gt;"Free Game",'Game Records'!$I257=""),"Eligible Players; ","")&amp;IF(AND('Game Records'!$U257&lt;&gt;"Subscription",'Game Records'!$U257&lt;&gt;"Free Game",'Game Records'!$J257=""),"Total Players; ","")&amp;IF(AND(LOWER('Game Records'!$D257&amp;"")="finalized",LOWER('Game Records'!$L257&amp;"")&lt;&gt;"yes",'Game Records'!$U257&lt;&gt;"Subscription",'Game Records'!$U257&lt;&gt;"Free Game",'Game Records'!$K257=""),"Final Earned; ","")&amp;IF(AND(LOWER('Game Records'!$D257&amp;"")="finalized",'Game Records'!$U257&lt;&gt;"Subscription",'Game Records'!$U257&lt;&gt;"Free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Game",OR('Game Records'!$D258="",LOWER('Game Records'!$D258&amp;"")="n/a")),"Entry Mode; ","")&amp;IF(AND('Game Records'!$U258&lt;&gt;"Subscription",'Game Records'!$U258&lt;&gt;"Free Game",OR('Game Records'!$E258="",LOWER('Game Records'!$E258&amp;"")="n/a")),"Game Type; ","")&amp;IF('Game Records'!$F258="","Payment Type; ","")&amp;IF(AND('Game Records'!$U258&lt;&gt;"Subscription",'Game Records'!$U258&lt;&gt;"Free Game",'Game Records'!$G258=""),"Gross Pot; ","")&amp;IF(AND('Game Records'!$U258&lt;&gt;"Free Game",'Game Records'!$H258=""),"Entry Fee; ","")&amp;IF(AND('Game Records'!$U258&lt;&gt;"Subscription",'Game Records'!$U258&lt;&gt;"Free Game",'Game Records'!$I258=""),"Eligible Players; ","")&amp;IF(AND('Game Records'!$U258&lt;&gt;"Subscription",'Game Records'!$U258&lt;&gt;"Free Game",'Game Records'!$J258=""),"Total Players; ","")&amp;IF(AND(LOWER('Game Records'!$D258&amp;"")="finalized",LOWER('Game Records'!$L258&amp;"")&lt;&gt;"yes",'Game Records'!$U258&lt;&gt;"Subscription",'Game Records'!$U258&lt;&gt;"Free Game",'Game Records'!$K258=""),"Final Earned; ","")&amp;IF(AND(LOWER('Game Records'!$D258&amp;"")="finalized",'Game Records'!$U258&lt;&gt;"Subscription",'Game Records'!$U258&lt;&gt;"Free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Game",OR('Game Records'!$D259="",LOWER('Game Records'!$D259&amp;"")="n/a")),"Entry Mode; ","")&amp;IF(AND('Game Records'!$U259&lt;&gt;"Subscription",'Game Records'!$U259&lt;&gt;"Free Game",OR('Game Records'!$E259="",LOWER('Game Records'!$E259&amp;"")="n/a")),"Game Type; ","")&amp;IF('Game Records'!$F259="","Payment Type; ","")&amp;IF(AND('Game Records'!$U259&lt;&gt;"Subscription",'Game Records'!$U259&lt;&gt;"Free Game",'Game Records'!$G259=""),"Gross Pot; ","")&amp;IF(AND('Game Records'!$U259&lt;&gt;"Free Game",'Game Records'!$H259=""),"Entry Fee; ","")&amp;IF(AND('Game Records'!$U259&lt;&gt;"Subscription",'Game Records'!$U259&lt;&gt;"Free Game",'Game Records'!$I259=""),"Eligible Players; ","")&amp;IF(AND('Game Records'!$U259&lt;&gt;"Subscription",'Game Records'!$U259&lt;&gt;"Free Game",'Game Records'!$J259=""),"Total Players; ","")&amp;IF(AND(LOWER('Game Records'!$D259&amp;"")="finalized",LOWER('Game Records'!$L259&amp;"")&lt;&gt;"yes",'Game Records'!$U259&lt;&gt;"Subscription",'Game Records'!$U259&lt;&gt;"Free Game",'Game Records'!$K259=""),"Final Earned; ","")&amp;IF(AND(LOWER('Game Records'!$D259&amp;"")="finalized",'Game Records'!$U259&lt;&gt;"Subscription",'Game Records'!$U259&lt;&gt;"Free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Game",OR('Game Records'!$D260="",LOWER('Game Records'!$D260&amp;"")="n/a")),"Entry Mode; ","")&amp;IF(AND('Game Records'!$U260&lt;&gt;"Subscription",'Game Records'!$U260&lt;&gt;"Free Game",OR('Game Records'!$E260="",LOWER('Game Records'!$E260&amp;"")="n/a")),"Game Type; ","")&amp;IF('Game Records'!$F260="","Payment Type; ","")&amp;IF(AND('Game Records'!$U260&lt;&gt;"Subscription",'Game Records'!$U260&lt;&gt;"Free Game",'Game Records'!$G260=""),"Gross Pot; ","")&amp;IF(AND('Game Records'!$U260&lt;&gt;"Free Game",'Game Records'!$H260=""),"Entry Fee; ","")&amp;IF(AND('Game Records'!$U260&lt;&gt;"Subscription",'Game Records'!$U260&lt;&gt;"Free Game",'Game Records'!$I260=""),"Eligible Players; ","")&amp;IF(AND('Game Records'!$U260&lt;&gt;"Subscription",'Game Records'!$U260&lt;&gt;"Free Game",'Game Records'!$J260=""),"Total Players; ","")&amp;IF(AND(LOWER('Game Records'!$D260&amp;"")="finalized",LOWER('Game Records'!$L260&amp;"")&lt;&gt;"yes",'Game Records'!$U260&lt;&gt;"Subscription",'Game Records'!$U260&lt;&gt;"Free Game",'Game Records'!$K260=""),"Final Earned; ","")&amp;IF(AND(LOWER('Game Records'!$D260&amp;"")="finalized",'Game Records'!$U260&lt;&gt;"Subscription",'Game Records'!$U260&lt;&gt;"Free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Game",OR('Game Records'!$D261="",LOWER('Game Records'!$D261&amp;"")="n/a")),"Entry Mode; ","")&amp;IF(AND('Game Records'!$U261&lt;&gt;"Subscription",'Game Records'!$U261&lt;&gt;"Free Game",OR('Game Records'!$E261="",LOWER('Game Records'!$E261&amp;"")="n/a")),"Game Type; ","")&amp;IF('Game Records'!$F261="","Payment Type; ","")&amp;IF(AND('Game Records'!$U261&lt;&gt;"Subscription",'Game Records'!$U261&lt;&gt;"Free Game",'Game Records'!$G261=""),"Gross Pot; ","")&amp;IF(AND('Game Records'!$U261&lt;&gt;"Free Game",'Game Records'!$H261=""),"Entry Fee; ","")&amp;IF(AND('Game Records'!$U261&lt;&gt;"Subscription",'Game Records'!$U261&lt;&gt;"Free Game",'Game Records'!$I261=""),"Eligible Players; ","")&amp;IF(AND('Game Records'!$U261&lt;&gt;"Subscription",'Game Records'!$U261&lt;&gt;"Free Game",'Game Records'!$J261=""),"Total Players; ","")&amp;IF(AND(LOWER('Game Records'!$D261&amp;"")="finalized",LOWER('Game Records'!$L261&amp;"")&lt;&gt;"yes",'Game Records'!$U261&lt;&gt;"Subscription",'Game Records'!$U261&lt;&gt;"Free Game",'Game Records'!$K261=""),"Final Earned; ","")&amp;IF(AND(LOWER('Game Records'!$D261&amp;"")="finalized",'Game Records'!$U261&lt;&gt;"Subscription",'Game Records'!$U261&lt;&gt;"Free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Game",OR('Game Records'!$D262="",LOWER('Game Records'!$D262&amp;"")="n/a")),"Entry Mode; ","")&amp;IF(AND('Game Records'!$U262&lt;&gt;"Subscription",'Game Records'!$U262&lt;&gt;"Free Game",OR('Game Records'!$E262="",LOWER('Game Records'!$E262&amp;"")="n/a")),"Game Type; ","")&amp;IF('Game Records'!$F262="","Payment Type; ","")&amp;IF(AND('Game Records'!$U262&lt;&gt;"Subscription",'Game Records'!$U262&lt;&gt;"Free Game",'Game Records'!$G262=""),"Gross Pot; ","")&amp;IF(AND('Game Records'!$U262&lt;&gt;"Free Game",'Game Records'!$H262=""),"Entry Fee; ","")&amp;IF(AND('Game Records'!$U262&lt;&gt;"Subscription",'Game Records'!$U262&lt;&gt;"Free Game",'Game Records'!$I262=""),"Eligible Players; ","")&amp;IF(AND('Game Records'!$U262&lt;&gt;"Subscription",'Game Records'!$U262&lt;&gt;"Free Game",'Game Records'!$J262=""),"Total Players; ","")&amp;IF(AND(LOWER('Game Records'!$D262&amp;"")="finalized",LOWER('Game Records'!$L262&amp;"")&lt;&gt;"yes",'Game Records'!$U262&lt;&gt;"Subscription",'Game Records'!$U262&lt;&gt;"Free Game",'Game Records'!$K262=""),"Final Earned; ","")&amp;IF(AND(LOWER('Game Records'!$D262&amp;"")="finalized",'Game Records'!$U262&lt;&gt;"Subscription",'Game Records'!$U262&lt;&gt;"Free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Game",OR('Game Records'!$D263="",LOWER('Game Records'!$D263&amp;"")="n/a")),"Entry Mode; ","")&amp;IF(AND('Game Records'!$U263&lt;&gt;"Subscription",'Game Records'!$U263&lt;&gt;"Free Game",OR('Game Records'!$E263="",LOWER('Game Records'!$E263&amp;"")="n/a")),"Game Type; ","")&amp;IF('Game Records'!$F263="","Payment Type; ","")&amp;IF(AND('Game Records'!$U263&lt;&gt;"Subscription",'Game Records'!$U263&lt;&gt;"Free Game",'Game Records'!$G263=""),"Gross Pot; ","")&amp;IF(AND('Game Records'!$U263&lt;&gt;"Free Game",'Game Records'!$H263=""),"Entry Fee; ","")&amp;IF(AND('Game Records'!$U263&lt;&gt;"Subscription",'Game Records'!$U263&lt;&gt;"Free Game",'Game Records'!$I263=""),"Eligible Players; ","")&amp;IF(AND('Game Records'!$U263&lt;&gt;"Subscription",'Game Records'!$U263&lt;&gt;"Free Game",'Game Records'!$J263=""),"Total Players; ","")&amp;IF(AND(LOWER('Game Records'!$D263&amp;"")="finalized",LOWER('Game Records'!$L263&amp;"")&lt;&gt;"yes",'Game Records'!$U263&lt;&gt;"Subscription",'Game Records'!$U263&lt;&gt;"Free Game",'Game Records'!$K263=""),"Final Earned; ","")&amp;IF(AND(LOWER('Game Records'!$D263&amp;"")="finalized",'Game Records'!$U263&lt;&gt;"Subscription",'Game Records'!$U263&lt;&gt;"Free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Game",OR('Game Records'!$D264="",LOWER('Game Records'!$D264&amp;"")="n/a")),"Entry Mode; ","")&amp;IF(AND('Game Records'!$U264&lt;&gt;"Subscription",'Game Records'!$U264&lt;&gt;"Free Game",OR('Game Records'!$E264="",LOWER('Game Records'!$E264&amp;"")="n/a")),"Game Type; ","")&amp;IF('Game Records'!$F264="","Payment Type; ","")&amp;IF(AND('Game Records'!$U264&lt;&gt;"Subscription",'Game Records'!$U264&lt;&gt;"Free Game",'Game Records'!$G264=""),"Gross Pot; ","")&amp;IF(AND('Game Records'!$U264&lt;&gt;"Free Game",'Game Records'!$H264=""),"Entry Fee; ","")&amp;IF(AND('Game Records'!$U264&lt;&gt;"Subscription",'Game Records'!$U264&lt;&gt;"Free Game",'Game Records'!$I264=""),"Eligible Players; ","")&amp;IF(AND('Game Records'!$U264&lt;&gt;"Subscription",'Game Records'!$U264&lt;&gt;"Free Game",'Game Records'!$J264=""),"Total Players; ","")&amp;IF(AND(LOWER('Game Records'!$D264&amp;"")="finalized",LOWER('Game Records'!$L264&amp;"")&lt;&gt;"yes",'Game Records'!$U264&lt;&gt;"Subscription",'Game Records'!$U264&lt;&gt;"Free Game",'Game Records'!$K264=""),"Final Earned; ","")&amp;IF(AND(LOWER('Game Records'!$D264&amp;"")="finalized",'Game Records'!$U264&lt;&gt;"Subscription",'Game Records'!$U264&lt;&gt;"Free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Game",OR('Game Records'!$D265="",LOWER('Game Records'!$D265&amp;"")="n/a")),"Entry Mode; ","")&amp;IF(AND('Game Records'!$U265&lt;&gt;"Subscription",'Game Records'!$U265&lt;&gt;"Free Game",OR('Game Records'!$E265="",LOWER('Game Records'!$E265&amp;"")="n/a")),"Game Type; ","")&amp;IF('Game Records'!$F265="","Payment Type; ","")&amp;IF(AND('Game Records'!$U265&lt;&gt;"Subscription",'Game Records'!$U265&lt;&gt;"Free Game",'Game Records'!$G265=""),"Gross Pot; ","")&amp;IF(AND('Game Records'!$U265&lt;&gt;"Free Game",'Game Records'!$H265=""),"Entry Fee; ","")&amp;IF(AND('Game Records'!$U265&lt;&gt;"Subscription",'Game Records'!$U265&lt;&gt;"Free Game",'Game Records'!$I265=""),"Eligible Players; ","")&amp;IF(AND('Game Records'!$U265&lt;&gt;"Subscription",'Game Records'!$U265&lt;&gt;"Free Game",'Game Records'!$J265=""),"Total Players; ","")&amp;IF(AND(LOWER('Game Records'!$D265&amp;"")="finalized",LOWER('Game Records'!$L265&amp;"")&lt;&gt;"yes",'Game Records'!$U265&lt;&gt;"Subscription",'Game Records'!$U265&lt;&gt;"Free Game",'Game Records'!$K265=""),"Final Earned; ","")&amp;IF(AND(LOWER('Game Records'!$D265&amp;"")="finalized",'Game Records'!$U265&lt;&gt;"Subscription",'Game Records'!$U265&lt;&gt;"Free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Game",OR('Game Records'!$D266="",LOWER('Game Records'!$D266&amp;"")="n/a")),"Entry Mode; ","")&amp;IF(AND('Game Records'!$U266&lt;&gt;"Subscription",'Game Records'!$U266&lt;&gt;"Free Game",OR('Game Records'!$E266="",LOWER('Game Records'!$E266&amp;"")="n/a")),"Game Type; ","")&amp;IF('Game Records'!$F266="","Payment Type; ","")&amp;IF(AND('Game Records'!$U266&lt;&gt;"Subscription",'Game Records'!$U266&lt;&gt;"Free Game",'Game Records'!$G266=""),"Gross Pot; ","")&amp;IF(AND('Game Records'!$U266&lt;&gt;"Free Game",'Game Records'!$H266=""),"Entry Fee; ","")&amp;IF(AND('Game Records'!$U266&lt;&gt;"Subscription",'Game Records'!$U266&lt;&gt;"Free Game",'Game Records'!$I266=""),"Eligible Players; ","")&amp;IF(AND('Game Records'!$U266&lt;&gt;"Subscription",'Game Records'!$U266&lt;&gt;"Free Game",'Game Records'!$J266=""),"Total Players; ","")&amp;IF(AND(LOWER('Game Records'!$D266&amp;"")="finalized",LOWER('Game Records'!$L266&amp;"")&lt;&gt;"yes",'Game Records'!$U266&lt;&gt;"Subscription",'Game Records'!$U266&lt;&gt;"Free Game",'Game Records'!$K266=""),"Final Earned; ","")&amp;IF(AND(LOWER('Game Records'!$D266&amp;"")="finalized",'Game Records'!$U266&lt;&gt;"Subscription",'Game Records'!$U266&lt;&gt;"Free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Game",OR('Game Records'!$D267="",LOWER('Game Records'!$D267&amp;"")="n/a")),"Entry Mode; ","")&amp;IF(AND('Game Records'!$U267&lt;&gt;"Subscription",'Game Records'!$U267&lt;&gt;"Free Game",OR('Game Records'!$E267="",LOWER('Game Records'!$E267&amp;"")="n/a")),"Game Type; ","")&amp;IF('Game Records'!$F267="","Payment Type; ","")&amp;IF(AND('Game Records'!$U267&lt;&gt;"Subscription",'Game Records'!$U267&lt;&gt;"Free Game",'Game Records'!$G267=""),"Gross Pot; ","")&amp;IF(AND('Game Records'!$U267&lt;&gt;"Free Game",'Game Records'!$H267=""),"Entry Fee; ","")&amp;IF(AND('Game Records'!$U267&lt;&gt;"Subscription",'Game Records'!$U267&lt;&gt;"Free Game",'Game Records'!$I267=""),"Eligible Players; ","")&amp;IF(AND('Game Records'!$U267&lt;&gt;"Subscription",'Game Records'!$U267&lt;&gt;"Free Game",'Game Records'!$J267=""),"Total Players; ","")&amp;IF(AND(LOWER('Game Records'!$D267&amp;"")="finalized",LOWER('Game Records'!$L267&amp;"")&lt;&gt;"yes",'Game Records'!$U267&lt;&gt;"Subscription",'Game Records'!$U267&lt;&gt;"Free Game",'Game Records'!$K267=""),"Final Earned; ","")&amp;IF(AND(LOWER('Game Records'!$D267&amp;"")="finalized",'Game Records'!$U267&lt;&gt;"Subscription",'Game Records'!$U267&lt;&gt;"Free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Game",OR('Game Records'!$D268="",LOWER('Game Records'!$D268&amp;"")="n/a")),"Entry Mode; ","")&amp;IF(AND('Game Records'!$U268&lt;&gt;"Subscription",'Game Records'!$U268&lt;&gt;"Free Game",OR('Game Records'!$E268="",LOWER('Game Records'!$E268&amp;"")="n/a")),"Game Type; ","")&amp;IF('Game Records'!$F268="","Payment Type; ","")&amp;IF(AND('Game Records'!$U268&lt;&gt;"Subscription",'Game Records'!$U268&lt;&gt;"Free Game",'Game Records'!$G268=""),"Gross Pot; ","")&amp;IF(AND('Game Records'!$U268&lt;&gt;"Free Game",'Game Records'!$H268=""),"Entry Fee; ","")&amp;IF(AND('Game Records'!$U268&lt;&gt;"Subscription",'Game Records'!$U268&lt;&gt;"Free Game",'Game Records'!$I268=""),"Eligible Players; ","")&amp;IF(AND('Game Records'!$U268&lt;&gt;"Subscription",'Game Records'!$U268&lt;&gt;"Free Game",'Game Records'!$J268=""),"Total Players; ","")&amp;IF(AND(LOWER('Game Records'!$D268&amp;"")="finalized",LOWER('Game Records'!$L268&amp;"")&lt;&gt;"yes",'Game Records'!$U268&lt;&gt;"Subscription",'Game Records'!$U268&lt;&gt;"Free Game",'Game Records'!$K268=""),"Final Earned; ","")&amp;IF(AND(LOWER('Game Records'!$D268&amp;"")="finalized",'Game Records'!$U268&lt;&gt;"Subscription",'Game Records'!$U268&lt;&gt;"Free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Game",OR('Game Records'!$D269="",LOWER('Game Records'!$D269&amp;"")="n/a")),"Entry Mode; ","")&amp;IF(AND('Game Records'!$U269&lt;&gt;"Subscription",'Game Records'!$U269&lt;&gt;"Free Game",OR('Game Records'!$E269="",LOWER('Game Records'!$E269&amp;"")="n/a")),"Game Type; ","")&amp;IF('Game Records'!$F269="","Payment Type; ","")&amp;IF(AND('Game Records'!$U269&lt;&gt;"Subscription",'Game Records'!$U269&lt;&gt;"Free Game",'Game Records'!$G269=""),"Gross Pot; ","")&amp;IF(AND('Game Records'!$U269&lt;&gt;"Free Game",'Game Records'!$H269=""),"Entry Fee; ","")&amp;IF(AND('Game Records'!$U269&lt;&gt;"Subscription",'Game Records'!$U269&lt;&gt;"Free Game",'Game Records'!$I269=""),"Eligible Players; ","")&amp;IF(AND('Game Records'!$U269&lt;&gt;"Subscription",'Game Records'!$U269&lt;&gt;"Free Game",'Game Records'!$J269=""),"Total Players; ","")&amp;IF(AND(LOWER('Game Records'!$D269&amp;"")="finalized",LOWER('Game Records'!$L269&amp;"")&lt;&gt;"yes",'Game Records'!$U269&lt;&gt;"Subscription",'Game Records'!$U269&lt;&gt;"Free Game",'Game Records'!$K269=""),"Final Earned; ","")&amp;IF(AND(LOWER('Game Records'!$D269&amp;"")="finalized",'Game Records'!$U269&lt;&gt;"Subscription",'Game Records'!$U269&lt;&gt;"Free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Game",OR('Game Records'!$D270="",LOWER('Game Records'!$D270&amp;"")="n/a")),"Entry Mode; ","")&amp;IF(AND('Game Records'!$U270&lt;&gt;"Subscription",'Game Records'!$U270&lt;&gt;"Free Game",OR('Game Records'!$E270="",LOWER('Game Records'!$E270&amp;"")="n/a")),"Game Type; ","")&amp;IF('Game Records'!$F270="","Payment Type; ","")&amp;IF(AND('Game Records'!$U270&lt;&gt;"Subscription",'Game Records'!$U270&lt;&gt;"Free Game",'Game Records'!$G270=""),"Gross Pot; ","")&amp;IF(AND('Game Records'!$U270&lt;&gt;"Free Game",'Game Records'!$H270=""),"Entry Fee; ","")&amp;IF(AND('Game Records'!$U270&lt;&gt;"Subscription",'Game Records'!$U270&lt;&gt;"Free Game",'Game Records'!$I270=""),"Eligible Players; ","")&amp;IF(AND('Game Records'!$U270&lt;&gt;"Subscription",'Game Records'!$U270&lt;&gt;"Free Game",'Game Records'!$J270=""),"Total Players; ","")&amp;IF(AND(LOWER('Game Records'!$D270&amp;"")="finalized",LOWER('Game Records'!$L270&amp;"")&lt;&gt;"yes",'Game Records'!$U270&lt;&gt;"Subscription",'Game Records'!$U270&lt;&gt;"Free Game",'Game Records'!$K270=""),"Final Earned; ","")&amp;IF(AND(LOWER('Game Records'!$D270&amp;"")="finalized",'Game Records'!$U270&lt;&gt;"Subscription",'Game Records'!$U270&lt;&gt;"Free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Game",OR('Game Records'!$D271="",LOWER('Game Records'!$D271&amp;"")="n/a")),"Entry Mode; ","")&amp;IF(AND('Game Records'!$U271&lt;&gt;"Subscription",'Game Records'!$U271&lt;&gt;"Free Game",OR('Game Records'!$E271="",LOWER('Game Records'!$E271&amp;"")="n/a")),"Game Type; ","")&amp;IF('Game Records'!$F271="","Payment Type; ","")&amp;IF(AND('Game Records'!$U271&lt;&gt;"Subscription",'Game Records'!$U271&lt;&gt;"Free Game",'Game Records'!$G271=""),"Gross Pot; ","")&amp;IF(AND('Game Records'!$U271&lt;&gt;"Free Game",'Game Records'!$H271=""),"Entry Fee; ","")&amp;IF(AND('Game Records'!$U271&lt;&gt;"Subscription",'Game Records'!$U271&lt;&gt;"Free Game",'Game Records'!$I271=""),"Eligible Players; ","")&amp;IF(AND('Game Records'!$U271&lt;&gt;"Subscription",'Game Records'!$U271&lt;&gt;"Free Game",'Game Records'!$J271=""),"Total Players; ","")&amp;IF(AND(LOWER('Game Records'!$D271&amp;"")="finalized",LOWER('Game Records'!$L271&amp;"")&lt;&gt;"yes",'Game Records'!$U271&lt;&gt;"Subscription",'Game Records'!$U271&lt;&gt;"Free Game",'Game Records'!$K271=""),"Final Earned; ","")&amp;IF(AND(LOWER('Game Records'!$D271&amp;"")="finalized",'Game Records'!$U271&lt;&gt;"Subscription",'Game Records'!$U271&lt;&gt;"Free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Game",OR('Game Records'!$D272="",LOWER('Game Records'!$D272&amp;"")="n/a")),"Entry Mode; ","")&amp;IF(AND('Game Records'!$U272&lt;&gt;"Subscription",'Game Records'!$U272&lt;&gt;"Free Game",OR('Game Records'!$E272="",LOWER('Game Records'!$E272&amp;"")="n/a")),"Game Type; ","")&amp;IF('Game Records'!$F272="","Payment Type; ","")&amp;IF(AND('Game Records'!$U272&lt;&gt;"Subscription",'Game Records'!$U272&lt;&gt;"Free Game",'Game Records'!$G272=""),"Gross Pot; ","")&amp;IF(AND('Game Records'!$U272&lt;&gt;"Free Game",'Game Records'!$H272=""),"Entry Fee; ","")&amp;IF(AND('Game Records'!$U272&lt;&gt;"Subscription",'Game Records'!$U272&lt;&gt;"Free Game",'Game Records'!$I272=""),"Eligible Players; ","")&amp;IF(AND('Game Records'!$U272&lt;&gt;"Subscription",'Game Records'!$U272&lt;&gt;"Free Game",'Game Records'!$J272=""),"Total Players; ","")&amp;IF(AND(LOWER('Game Records'!$D272&amp;"")="finalized",LOWER('Game Records'!$L272&amp;"")&lt;&gt;"yes",'Game Records'!$U272&lt;&gt;"Subscription",'Game Records'!$U272&lt;&gt;"Free Game",'Game Records'!$K272=""),"Final Earned; ","")&amp;IF(AND(LOWER('Game Records'!$D272&amp;"")="finalized",'Game Records'!$U272&lt;&gt;"Subscription",'Game Records'!$U272&lt;&gt;"Free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Game",OR('Game Records'!$D273="",LOWER('Game Records'!$D273&amp;"")="n/a")),"Entry Mode; ","")&amp;IF(AND('Game Records'!$U273&lt;&gt;"Subscription",'Game Records'!$U273&lt;&gt;"Free Game",OR('Game Records'!$E273="",LOWER('Game Records'!$E273&amp;"")="n/a")),"Game Type; ","")&amp;IF('Game Records'!$F273="","Payment Type; ","")&amp;IF(AND('Game Records'!$U273&lt;&gt;"Subscription",'Game Records'!$U273&lt;&gt;"Free Game",'Game Records'!$G273=""),"Gross Pot; ","")&amp;IF(AND('Game Records'!$U273&lt;&gt;"Free Game",'Game Records'!$H273=""),"Entry Fee; ","")&amp;IF(AND('Game Records'!$U273&lt;&gt;"Subscription",'Game Records'!$U273&lt;&gt;"Free Game",'Game Records'!$I273=""),"Eligible Players; ","")&amp;IF(AND('Game Records'!$U273&lt;&gt;"Subscription",'Game Records'!$U273&lt;&gt;"Free Game",'Game Records'!$J273=""),"Total Players; ","")&amp;IF(AND(LOWER('Game Records'!$D273&amp;"")="finalized",LOWER('Game Records'!$L273&amp;"")&lt;&gt;"yes",'Game Records'!$U273&lt;&gt;"Subscription",'Game Records'!$U273&lt;&gt;"Free Game",'Game Records'!$K273=""),"Final Earned; ","")&amp;IF(AND(LOWER('Game Records'!$D273&amp;"")="finalized",'Game Records'!$U273&lt;&gt;"Subscription",'Game Records'!$U273&lt;&gt;"Free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Game",OR('Game Records'!$D274="",LOWER('Game Records'!$D274&amp;"")="n/a")),"Entry Mode; ","")&amp;IF(AND('Game Records'!$U274&lt;&gt;"Subscription",'Game Records'!$U274&lt;&gt;"Free Game",OR('Game Records'!$E274="",LOWER('Game Records'!$E274&amp;"")="n/a")),"Game Type; ","")&amp;IF('Game Records'!$F274="","Payment Type; ","")&amp;IF(AND('Game Records'!$U274&lt;&gt;"Subscription",'Game Records'!$U274&lt;&gt;"Free Game",'Game Records'!$G274=""),"Gross Pot; ","")&amp;IF(AND('Game Records'!$U274&lt;&gt;"Free Game",'Game Records'!$H274=""),"Entry Fee; ","")&amp;IF(AND('Game Records'!$U274&lt;&gt;"Subscription",'Game Records'!$U274&lt;&gt;"Free Game",'Game Records'!$I274=""),"Eligible Players; ","")&amp;IF(AND('Game Records'!$U274&lt;&gt;"Subscription",'Game Records'!$U274&lt;&gt;"Free Game",'Game Records'!$J274=""),"Total Players; ","")&amp;IF(AND(LOWER('Game Records'!$D274&amp;"")="finalized",LOWER('Game Records'!$L274&amp;"")&lt;&gt;"yes",'Game Records'!$U274&lt;&gt;"Subscription",'Game Records'!$U274&lt;&gt;"Free Game",'Game Records'!$K274=""),"Final Earned; ","")&amp;IF(AND(LOWER('Game Records'!$D274&amp;"")="finalized",'Game Records'!$U274&lt;&gt;"Subscription",'Game Records'!$U274&lt;&gt;"Free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Game",OR('Game Records'!$D275="",LOWER('Game Records'!$D275&amp;"")="n/a")),"Entry Mode; ","")&amp;IF(AND('Game Records'!$U275&lt;&gt;"Subscription",'Game Records'!$U275&lt;&gt;"Free Game",OR('Game Records'!$E275="",LOWER('Game Records'!$E275&amp;"")="n/a")),"Game Type; ","")&amp;IF('Game Records'!$F275="","Payment Type; ","")&amp;IF(AND('Game Records'!$U275&lt;&gt;"Subscription",'Game Records'!$U275&lt;&gt;"Free Game",'Game Records'!$G275=""),"Gross Pot; ","")&amp;IF(AND('Game Records'!$U275&lt;&gt;"Free Game",'Game Records'!$H275=""),"Entry Fee; ","")&amp;IF(AND('Game Records'!$U275&lt;&gt;"Subscription",'Game Records'!$U275&lt;&gt;"Free Game",'Game Records'!$I275=""),"Eligible Players; ","")&amp;IF(AND('Game Records'!$U275&lt;&gt;"Subscription",'Game Records'!$U275&lt;&gt;"Free Game",'Game Records'!$J275=""),"Total Players; ","")&amp;IF(AND(LOWER('Game Records'!$D275&amp;"")="finalized",LOWER('Game Records'!$L275&amp;"")&lt;&gt;"yes",'Game Records'!$U275&lt;&gt;"Subscription",'Game Records'!$U275&lt;&gt;"Free Game",'Game Records'!$K275=""),"Final Earned; ","")&amp;IF(AND(LOWER('Game Records'!$D275&amp;"")="finalized",'Game Records'!$U275&lt;&gt;"Subscription",'Game Records'!$U275&lt;&gt;"Free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Game",OR('Game Records'!$D276="",LOWER('Game Records'!$D276&amp;"")="n/a")),"Entry Mode; ","")&amp;IF(AND('Game Records'!$U276&lt;&gt;"Subscription",'Game Records'!$U276&lt;&gt;"Free Game",OR('Game Records'!$E276="",LOWER('Game Records'!$E276&amp;"")="n/a")),"Game Type; ","")&amp;IF('Game Records'!$F276="","Payment Type; ","")&amp;IF(AND('Game Records'!$U276&lt;&gt;"Subscription",'Game Records'!$U276&lt;&gt;"Free Game",'Game Records'!$G276=""),"Gross Pot; ","")&amp;IF(AND('Game Records'!$U276&lt;&gt;"Free Game",'Game Records'!$H276=""),"Entry Fee; ","")&amp;IF(AND('Game Records'!$U276&lt;&gt;"Subscription",'Game Records'!$U276&lt;&gt;"Free Game",'Game Records'!$I276=""),"Eligible Players; ","")&amp;IF(AND('Game Records'!$U276&lt;&gt;"Subscription",'Game Records'!$U276&lt;&gt;"Free Game",'Game Records'!$J276=""),"Total Players; ","")&amp;IF(AND(LOWER('Game Records'!$D276&amp;"")="finalized",LOWER('Game Records'!$L276&amp;"")&lt;&gt;"yes",'Game Records'!$U276&lt;&gt;"Subscription",'Game Records'!$U276&lt;&gt;"Free Game",'Game Records'!$K276=""),"Final Earned; ","")&amp;IF(AND(LOWER('Game Records'!$D276&amp;"")="finalized",'Game Records'!$U276&lt;&gt;"Subscription",'Game Records'!$U276&lt;&gt;"Free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Game",OR('Game Records'!$D277="",LOWER('Game Records'!$D277&amp;"")="n/a")),"Entry Mode; ","")&amp;IF(AND('Game Records'!$U277&lt;&gt;"Subscription",'Game Records'!$U277&lt;&gt;"Free Game",OR('Game Records'!$E277="",LOWER('Game Records'!$E277&amp;"")="n/a")),"Game Type; ","")&amp;IF('Game Records'!$F277="","Payment Type; ","")&amp;IF(AND('Game Records'!$U277&lt;&gt;"Subscription",'Game Records'!$U277&lt;&gt;"Free Game",'Game Records'!$G277=""),"Gross Pot; ","")&amp;IF(AND('Game Records'!$U277&lt;&gt;"Free Game",'Game Records'!$H277=""),"Entry Fee; ","")&amp;IF(AND('Game Records'!$U277&lt;&gt;"Subscription",'Game Records'!$U277&lt;&gt;"Free Game",'Game Records'!$I277=""),"Eligible Players; ","")&amp;IF(AND('Game Records'!$U277&lt;&gt;"Subscription",'Game Records'!$U277&lt;&gt;"Free Game",'Game Records'!$J277=""),"Total Players; ","")&amp;IF(AND(LOWER('Game Records'!$D277&amp;"")="finalized",LOWER('Game Records'!$L277&amp;"")&lt;&gt;"yes",'Game Records'!$U277&lt;&gt;"Subscription",'Game Records'!$U277&lt;&gt;"Free Game",'Game Records'!$K277=""),"Final Earned; ","")&amp;IF(AND(LOWER('Game Records'!$D277&amp;"")="finalized",'Game Records'!$U277&lt;&gt;"Subscription",'Game Records'!$U277&lt;&gt;"Free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Game",OR('Game Records'!$D278="",LOWER('Game Records'!$D278&amp;"")="n/a")),"Entry Mode; ","")&amp;IF(AND('Game Records'!$U278&lt;&gt;"Subscription",'Game Records'!$U278&lt;&gt;"Free Game",OR('Game Records'!$E278="",LOWER('Game Records'!$E278&amp;"")="n/a")),"Game Type; ","")&amp;IF('Game Records'!$F278="","Payment Type; ","")&amp;IF(AND('Game Records'!$U278&lt;&gt;"Subscription",'Game Records'!$U278&lt;&gt;"Free Game",'Game Records'!$G278=""),"Gross Pot; ","")&amp;IF(AND('Game Records'!$U278&lt;&gt;"Free Game",'Game Records'!$H278=""),"Entry Fee; ","")&amp;IF(AND('Game Records'!$U278&lt;&gt;"Subscription",'Game Records'!$U278&lt;&gt;"Free Game",'Game Records'!$I278=""),"Eligible Players; ","")&amp;IF(AND('Game Records'!$U278&lt;&gt;"Subscription",'Game Records'!$U278&lt;&gt;"Free Game",'Game Records'!$J278=""),"Total Players; ","")&amp;IF(AND(LOWER('Game Records'!$D278&amp;"")="finalized",LOWER('Game Records'!$L278&amp;"")&lt;&gt;"yes",'Game Records'!$U278&lt;&gt;"Subscription",'Game Records'!$U278&lt;&gt;"Free Game",'Game Records'!$K278=""),"Final Earned; ","")&amp;IF(AND(LOWER('Game Records'!$D278&amp;"")="finalized",'Game Records'!$U278&lt;&gt;"Subscription",'Game Records'!$U278&lt;&gt;"Free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Game",OR('Game Records'!$D279="",LOWER('Game Records'!$D279&amp;"")="n/a")),"Entry Mode; ","")&amp;IF(AND('Game Records'!$U279&lt;&gt;"Subscription",'Game Records'!$U279&lt;&gt;"Free Game",OR('Game Records'!$E279="",LOWER('Game Records'!$E279&amp;"")="n/a")),"Game Type; ","")&amp;IF('Game Records'!$F279="","Payment Type; ","")&amp;IF(AND('Game Records'!$U279&lt;&gt;"Subscription",'Game Records'!$U279&lt;&gt;"Free Game",'Game Records'!$G279=""),"Gross Pot; ","")&amp;IF(AND('Game Records'!$U279&lt;&gt;"Free Game",'Game Records'!$H279=""),"Entry Fee; ","")&amp;IF(AND('Game Records'!$U279&lt;&gt;"Subscription",'Game Records'!$U279&lt;&gt;"Free Game",'Game Records'!$I279=""),"Eligible Players; ","")&amp;IF(AND('Game Records'!$U279&lt;&gt;"Subscription",'Game Records'!$U279&lt;&gt;"Free Game",'Game Records'!$J279=""),"Total Players; ","")&amp;IF(AND(LOWER('Game Records'!$D279&amp;"")="finalized",LOWER('Game Records'!$L279&amp;"")&lt;&gt;"yes",'Game Records'!$U279&lt;&gt;"Subscription",'Game Records'!$U279&lt;&gt;"Free Game",'Game Records'!$K279=""),"Final Earned; ","")&amp;IF(AND(LOWER('Game Records'!$D279&amp;"")="finalized",'Game Records'!$U279&lt;&gt;"Subscription",'Game Records'!$U279&lt;&gt;"Free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Game",OR('Game Records'!$D280="",LOWER('Game Records'!$D280&amp;"")="n/a")),"Entry Mode; ","")&amp;IF(AND('Game Records'!$U280&lt;&gt;"Subscription",'Game Records'!$U280&lt;&gt;"Free Game",OR('Game Records'!$E280="",LOWER('Game Records'!$E280&amp;"")="n/a")),"Game Type; ","")&amp;IF('Game Records'!$F280="","Payment Type; ","")&amp;IF(AND('Game Records'!$U280&lt;&gt;"Subscription",'Game Records'!$U280&lt;&gt;"Free Game",'Game Records'!$G280=""),"Gross Pot; ","")&amp;IF(AND('Game Records'!$U280&lt;&gt;"Free Game",'Game Records'!$H280=""),"Entry Fee; ","")&amp;IF(AND('Game Records'!$U280&lt;&gt;"Subscription",'Game Records'!$U280&lt;&gt;"Free Game",'Game Records'!$I280=""),"Eligible Players; ","")&amp;IF(AND('Game Records'!$U280&lt;&gt;"Subscription",'Game Records'!$U280&lt;&gt;"Free Game",'Game Records'!$J280=""),"Total Players; ","")&amp;IF(AND(LOWER('Game Records'!$D280&amp;"")="finalized",LOWER('Game Records'!$L280&amp;"")&lt;&gt;"yes",'Game Records'!$U280&lt;&gt;"Subscription",'Game Records'!$U280&lt;&gt;"Free Game",'Game Records'!$K280=""),"Final Earned; ","")&amp;IF(AND(LOWER('Game Records'!$D280&amp;"")="finalized",'Game Records'!$U280&lt;&gt;"Subscription",'Game Records'!$U280&lt;&gt;"Free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Game",OR('Game Records'!$D281="",LOWER('Game Records'!$D281&amp;"")="n/a")),"Entry Mode; ","")&amp;IF(AND('Game Records'!$U281&lt;&gt;"Subscription",'Game Records'!$U281&lt;&gt;"Free Game",OR('Game Records'!$E281="",LOWER('Game Records'!$E281&amp;"")="n/a")),"Game Type; ","")&amp;IF('Game Records'!$F281="","Payment Type; ","")&amp;IF(AND('Game Records'!$U281&lt;&gt;"Subscription",'Game Records'!$U281&lt;&gt;"Free Game",'Game Records'!$G281=""),"Gross Pot; ","")&amp;IF(AND('Game Records'!$U281&lt;&gt;"Free Game",'Game Records'!$H281=""),"Entry Fee; ","")&amp;IF(AND('Game Records'!$U281&lt;&gt;"Subscription",'Game Records'!$U281&lt;&gt;"Free Game",'Game Records'!$I281=""),"Eligible Players; ","")&amp;IF(AND('Game Records'!$U281&lt;&gt;"Subscription",'Game Records'!$U281&lt;&gt;"Free Game",'Game Records'!$J281=""),"Total Players; ","")&amp;IF(AND(LOWER('Game Records'!$D281&amp;"")="finalized",LOWER('Game Records'!$L281&amp;"")&lt;&gt;"yes",'Game Records'!$U281&lt;&gt;"Subscription",'Game Records'!$U281&lt;&gt;"Free Game",'Game Records'!$K281=""),"Final Earned; ","")&amp;IF(AND(LOWER('Game Records'!$D281&amp;"")="finalized",'Game Records'!$U281&lt;&gt;"Subscription",'Game Records'!$U281&lt;&gt;"Free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Game",OR('Game Records'!$D282="",LOWER('Game Records'!$D282&amp;"")="n/a")),"Entry Mode; ","")&amp;IF(AND('Game Records'!$U282&lt;&gt;"Subscription",'Game Records'!$U282&lt;&gt;"Free Game",OR('Game Records'!$E282="",LOWER('Game Records'!$E282&amp;"")="n/a")),"Game Type; ","")&amp;IF('Game Records'!$F282="","Payment Type; ","")&amp;IF(AND('Game Records'!$U282&lt;&gt;"Subscription",'Game Records'!$U282&lt;&gt;"Free Game",'Game Records'!$G282=""),"Gross Pot; ","")&amp;IF(AND('Game Records'!$U282&lt;&gt;"Free Game",'Game Records'!$H282=""),"Entry Fee; ","")&amp;IF(AND('Game Records'!$U282&lt;&gt;"Subscription",'Game Records'!$U282&lt;&gt;"Free Game",'Game Records'!$I282=""),"Eligible Players; ","")&amp;IF(AND('Game Records'!$U282&lt;&gt;"Subscription",'Game Records'!$U282&lt;&gt;"Free Game",'Game Records'!$J282=""),"Total Players; ","")&amp;IF(AND(LOWER('Game Records'!$D282&amp;"")="finalized",LOWER('Game Records'!$L282&amp;"")&lt;&gt;"yes",'Game Records'!$U282&lt;&gt;"Subscription",'Game Records'!$U282&lt;&gt;"Free Game",'Game Records'!$K282=""),"Final Earned; ","")&amp;IF(AND(LOWER('Game Records'!$D282&amp;"")="finalized",'Game Records'!$U282&lt;&gt;"Subscription",'Game Records'!$U282&lt;&gt;"Free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Game",OR('Game Records'!$D283="",LOWER('Game Records'!$D283&amp;"")="n/a")),"Entry Mode; ","")&amp;IF(AND('Game Records'!$U283&lt;&gt;"Subscription",'Game Records'!$U283&lt;&gt;"Free Game",OR('Game Records'!$E283="",LOWER('Game Records'!$E283&amp;"")="n/a")),"Game Type; ","")&amp;IF('Game Records'!$F283="","Payment Type; ","")&amp;IF(AND('Game Records'!$U283&lt;&gt;"Subscription",'Game Records'!$U283&lt;&gt;"Free Game",'Game Records'!$G283=""),"Gross Pot; ","")&amp;IF(AND('Game Records'!$U283&lt;&gt;"Free Game",'Game Records'!$H283=""),"Entry Fee; ","")&amp;IF(AND('Game Records'!$U283&lt;&gt;"Subscription",'Game Records'!$U283&lt;&gt;"Free Game",'Game Records'!$I283=""),"Eligible Players; ","")&amp;IF(AND('Game Records'!$U283&lt;&gt;"Subscription",'Game Records'!$U283&lt;&gt;"Free Game",'Game Records'!$J283=""),"Total Players; ","")&amp;IF(AND(LOWER('Game Records'!$D283&amp;"")="finalized",LOWER('Game Records'!$L283&amp;"")&lt;&gt;"yes",'Game Records'!$U283&lt;&gt;"Subscription",'Game Records'!$U283&lt;&gt;"Free Game",'Game Records'!$K283=""),"Final Earned; ","")&amp;IF(AND(LOWER('Game Records'!$D283&amp;"")="finalized",'Game Records'!$U283&lt;&gt;"Subscription",'Game Records'!$U283&lt;&gt;"Free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Game",OR('Game Records'!$D284="",LOWER('Game Records'!$D284&amp;"")="n/a")),"Entry Mode; ","")&amp;IF(AND('Game Records'!$U284&lt;&gt;"Subscription",'Game Records'!$U284&lt;&gt;"Free Game",OR('Game Records'!$E284="",LOWER('Game Records'!$E284&amp;"")="n/a")),"Game Type; ","")&amp;IF('Game Records'!$F284="","Payment Type; ","")&amp;IF(AND('Game Records'!$U284&lt;&gt;"Subscription",'Game Records'!$U284&lt;&gt;"Free Game",'Game Records'!$G284=""),"Gross Pot; ","")&amp;IF(AND('Game Records'!$U284&lt;&gt;"Free Game",'Game Records'!$H284=""),"Entry Fee; ","")&amp;IF(AND('Game Records'!$U284&lt;&gt;"Subscription",'Game Records'!$U284&lt;&gt;"Free Game",'Game Records'!$I284=""),"Eligible Players; ","")&amp;IF(AND('Game Records'!$U284&lt;&gt;"Subscription",'Game Records'!$U284&lt;&gt;"Free Game",'Game Records'!$J284=""),"Total Players; ","")&amp;IF(AND(LOWER('Game Records'!$D284&amp;"")="finalized",LOWER('Game Records'!$L284&amp;"")&lt;&gt;"yes",'Game Records'!$U284&lt;&gt;"Subscription",'Game Records'!$U284&lt;&gt;"Free Game",'Game Records'!$K284=""),"Final Earned; ","")&amp;IF(AND(LOWER('Game Records'!$D284&amp;"")="finalized",'Game Records'!$U284&lt;&gt;"Subscription",'Game Records'!$U284&lt;&gt;"Free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Game",OR('Game Records'!$D285="",LOWER('Game Records'!$D285&amp;"")="n/a")),"Entry Mode; ","")&amp;IF(AND('Game Records'!$U285&lt;&gt;"Subscription",'Game Records'!$U285&lt;&gt;"Free Game",OR('Game Records'!$E285="",LOWER('Game Records'!$E285&amp;"")="n/a")),"Game Type; ","")&amp;IF('Game Records'!$F285="","Payment Type; ","")&amp;IF(AND('Game Records'!$U285&lt;&gt;"Subscription",'Game Records'!$U285&lt;&gt;"Free Game",'Game Records'!$G285=""),"Gross Pot; ","")&amp;IF(AND('Game Records'!$U285&lt;&gt;"Free Game",'Game Records'!$H285=""),"Entry Fee; ","")&amp;IF(AND('Game Records'!$U285&lt;&gt;"Subscription",'Game Records'!$U285&lt;&gt;"Free Game",'Game Records'!$I285=""),"Eligible Players; ","")&amp;IF(AND('Game Records'!$U285&lt;&gt;"Subscription",'Game Records'!$U285&lt;&gt;"Free Game",'Game Records'!$J285=""),"Total Players; ","")&amp;IF(AND(LOWER('Game Records'!$D285&amp;"")="finalized",LOWER('Game Records'!$L285&amp;"")&lt;&gt;"yes",'Game Records'!$U285&lt;&gt;"Subscription",'Game Records'!$U285&lt;&gt;"Free Game",'Game Records'!$K285=""),"Final Earned; ","")&amp;IF(AND(LOWER('Game Records'!$D285&amp;"")="finalized",'Game Records'!$U285&lt;&gt;"Subscription",'Game Records'!$U285&lt;&gt;"Free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Game",OR('Game Records'!$D286="",LOWER('Game Records'!$D286&amp;"")="n/a")),"Entry Mode; ","")&amp;IF(AND('Game Records'!$U286&lt;&gt;"Subscription",'Game Records'!$U286&lt;&gt;"Free Game",OR('Game Records'!$E286="",LOWER('Game Records'!$E286&amp;"")="n/a")),"Game Type; ","")&amp;IF('Game Records'!$F286="","Payment Type; ","")&amp;IF(AND('Game Records'!$U286&lt;&gt;"Subscription",'Game Records'!$U286&lt;&gt;"Free Game",'Game Records'!$G286=""),"Gross Pot; ","")&amp;IF(AND('Game Records'!$U286&lt;&gt;"Free Game",'Game Records'!$H286=""),"Entry Fee; ","")&amp;IF(AND('Game Records'!$U286&lt;&gt;"Subscription",'Game Records'!$U286&lt;&gt;"Free Game",'Game Records'!$I286=""),"Eligible Players; ","")&amp;IF(AND('Game Records'!$U286&lt;&gt;"Subscription",'Game Records'!$U286&lt;&gt;"Free Game",'Game Records'!$J286=""),"Total Players; ","")&amp;IF(AND(LOWER('Game Records'!$D286&amp;"")="finalized",LOWER('Game Records'!$L286&amp;"")&lt;&gt;"yes",'Game Records'!$U286&lt;&gt;"Subscription",'Game Records'!$U286&lt;&gt;"Free Game",'Game Records'!$K286=""),"Final Earned; ","")&amp;IF(AND(LOWER('Game Records'!$D286&amp;"")="finalized",'Game Records'!$U286&lt;&gt;"Subscription",'Game Records'!$U286&lt;&gt;"Free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Game",OR('Game Records'!$D287="",LOWER('Game Records'!$D287&amp;"")="n/a")),"Entry Mode; ","")&amp;IF(AND('Game Records'!$U287&lt;&gt;"Subscription",'Game Records'!$U287&lt;&gt;"Free Game",OR('Game Records'!$E287="",LOWER('Game Records'!$E287&amp;"")="n/a")),"Game Type; ","")&amp;IF('Game Records'!$F287="","Payment Type; ","")&amp;IF(AND('Game Records'!$U287&lt;&gt;"Subscription",'Game Records'!$U287&lt;&gt;"Free Game",'Game Records'!$G287=""),"Gross Pot; ","")&amp;IF(AND('Game Records'!$U287&lt;&gt;"Free Game",'Game Records'!$H287=""),"Entry Fee; ","")&amp;IF(AND('Game Records'!$U287&lt;&gt;"Subscription",'Game Records'!$U287&lt;&gt;"Free Game",'Game Records'!$I287=""),"Eligible Players; ","")&amp;IF(AND('Game Records'!$U287&lt;&gt;"Subscription",'Game Records'!$U287&lt;&gt;"Free Game",'Game Records'!$J287=""),"Total Players; ","")&amp;IF(AND(LOWER('Game Records'!$D287&amp;"")="finalized",LOWER('Game Records'!$L287&amp;"")&lt;&gt;"yes",'Game Records'!$U287&lt;&gt;"Subscription",'Game Records'!$U287&lt;&gt;"Free Game",'Game Records'!$K287=""),"Final Earned; ","")&amp;IF(AND(LOWER('Game Records'!$D287&amp;"")="finalized",'Game Records'!$U287&lt;&gt;"Subscription",'Game Records'!$U287&lt;&gt;"Free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Game",OR('Game Records'!$D288="",LOWER('Game Records'!$D288&amp;"")="n/a")),"Entry Mode; ","")&amp;IF(AND('Game Records'!$U288&lt;&gt;"Subscription",'Game Records'!$U288&lt;&gt;"Free Game",OR('Game Records'!$E288="",LOWER('Game Records'!$E288&amp;"")="n/a")),"Game Type; ","")&amp;IF('Game Records'!$F288="","Payment Type; ","")&amp;IF(AND('Game Records'!$U288&lt;&gt;"Subscription",'Game Records'!$U288&lt;&gt;"Free Game",'Game Records'!$G288=""),"Gross Pot; ","")&amp;IF(AND('Game Records'!$U288&lt;&gt;"Free Game",'Game Records'!$H288=""),"Entry Fee; ","")&amp;IF(AND('Game Records'!$U288&lt;&gt;"Subscription",'Game Records'!$U288&lt;&gt;"Free Game",'Game Records'!$I288=""),"Eligible Players; ","")&amp;IF(AND('Game Records'!$U288&lt;&gt;"Subscription",'Game Records'!$U288&lt;&gt;"Free Game",'Game Records'!$J288=""),"Total Players; ","")&amp;IF(AND(LOWER('Game Records'!$D288&amp;"")="finalized",LOWER('Game Records'!$L288&amp;"")&lt;&gt;"yes",'Game Records'!$U288&lt;&gt;"Subscription",'Game Records'!$U288&lt;&gt;"Free Game",'Game Records'!$K288=""),"Final Earned; ","")&amp;IF(AND(LOWER('Game Records'!$D288&amp;"")="finalized",'Game Records'!$U288&lt;&gt;"Subscription",'Game Records'!$U288&lt;&gt;"Free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Game",OR('Game Records'!$D289="",LOWER('Game Records'!$D289&amp;"")="n/a")),"Entry Mode; ","")&amp;IF(AND('Game Records'!$U289&lt;&gt;"Subscription",'Game Records'!$U289&lt;&gt;"Free Game",OR('Game Records'!$E289="",LOWER('Game Records'!$E289&amp;"")="n/a")),"Game Type; ","")&amp;IF('Game Records'!$F289="","Payment Type; ","")&amp;IF(AND('Game Records'!$U289&lt;&gt;"Subscription",'Game Records'!$U289&lt;&gt;"Free Game",'Game Records'!$G289=""),"Gross Pot; ","")&amp;IF(AND('Game Records'!$U289&lt;&gt;"Free Game",'Game Records'!$H289=""),"Entry Fee; ","")&amp;IF(AND('Game Records'!$U289&lt;&gt;"Subscription",'Game Records'!$U289&lt;&gt;"Free Game",'Game Records'!$I289=""),"Eligible Players; ","")&amp;IF(AND('Game Records'!$U289&lt;&gt;"Subscription",'Game Records'!$U289&lt;&gt;"Free Game",'Game Records'!$J289=""),"Total Players; ","")&amp;IF(AND(LOWER('Game Records'!$D289&amp;"")="finalized",LOWER('Game Records'!$L289&amp;"")&lt;&gt;"yes",'Game Records'!$U289&lt;&gt;"Subscription",'Game Records'!$U289&lt;&gt;"Free Game",'Game Records'!$K289=""),"Final Earned; ","")&amp;IF(AND(LOWER('Game Records'!$D289&amp;"")="finalized",'Game Records'!$U289&lt;&gt;"Subscription",'Game Records'!$U289&lt;&gt;"Free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Game",OR('Game Records'!$D290="",LOWER('Game Records'!$D290&amp;"")="n/a")),"Entry Mode; ","")&amp;IF(AND('Game Records'!$U290&lt;&gt;"Subscription",'Game Records'!$U290&lt;&gt;"Free Game",OR('Game Records'!$E290="",LOWER('Game Records'!$E290&amp;"")="n/a")),"Game Type; ","")&amp;IF('Game Records'!$F290="","Payment Type; ","")&amp;IF(AND('Game Records'!$U290&lt;&gt;"Subscription",'Game Records'!$U290&lt;&gt;"Free Game",'Game Records'!$G290=""),"Gross Pot; ","")&amp;IF(AND('Game Records'!$U290&lt;&gt;"Free Game",'Game Records'!$H290=""),"Entry Fee; ","")&amp;IF(AND('Game Records'!$U290&lt;&gt;"Subscription",'Game Records'!$U290&lt;&gt;"Free Game",'Game Records'!$I290=""),"Eligible Players; ","")&amp;IF(AND('Game Records'!$U290&lt;&gt;"Subscription",'Game Records'!$U290&lt;&gt;"Free Game",'Game Records'!$J290=""),"Total Players; ","")&amp;IF(AND(LOWER('Game Records'!$D290&amp;"")="finalized",LOWER('Game Records'!$L290&amp;"")&lt;&gt;"yes",'Game Records'!$U290&lt;&gt;"Subscription",'Game Records'!$U290&lt;&gt;"Free Game",'Game Records'!$K290=""),"Final Earned; ","")&amp;IF(AND(LOWER('Game Records'!$D290&amp;"")="finalized",'Game Records'!$U290&lt;&gt;"Subscription",'Game Records'!$U290&lt;&gt;"Free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Game",OR('Game Records'!$D291="",LOWER('Game Records'!$D291&amp;"")="n/a")),"Entry Mode; ","")&amp;IF(AND('Game Records'!$U291&lt;&gt;"Subscription",'Game Records'!$U291&lt;&gt;"Free Game",OR('Game Records'!$E291="",LOWER('Game Records'!$E291&amp;"")="n/a")),"Game Type; ","")&amp;IF('Game Records'!$F291="","Payment Type; ","")&amp;IF(AND('Game Records'!$U291&lt;&gt;"Subscription",'Game Records'!$U291&lt;&gt;"Free Game",'Game Records'!$G291=""),"Gross Pot; ","")&amp;IF(AND('Game Records'!$U291&lt;&gt;"Free Game",'Game Records'!$H291=""),"Entry Fee; ","")&amp;IF(AND('Game Records'!$U291&lt;&gt;"Subscription",'Game Records'!$U291&lt;&gt;"Free Game",'Game Records'!$I291=""),"Eligible Players; ","")&amp;IF(AND('Game Records'!$U291&lt;&gt;"Subscription",'Game Records'!$U291&lt;&gt;"Free Game",'Game Records'!$J291=""),"Total Players; ","")&amp;IF(AND(LOWER('Game Records'!$D291&amp;"")="finalized",LOWER('Game Records'!$L291&amp;"")&lt;&gt;"yes",'Game Records'!$U291&lt;&gt;"Subscription",'Game Records'!$U291&lt;&gt;"Free Game",'Game Records'!$K291=""),"Final Earned; ","")&amp;IF(AND(LOWER('Game Records'!$D291&amp;"")="finalized",'Game Records'!$U291&lt;&gt;"Subscription",'Game Records'!$U291&lt;&gt;"Free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Game",OR('Game Records'!$D292="",LOWER('Game Records'!$D292&amp;"")="n/a")),"Entry Mode; ","")&amp;IF(AND('Game Records'!$U292&lt;&gt;"Subscription",'Game Records'!$U292&lt;&gt;"Free Game",OR('Game Records'!$E292="",LOWER('Game Records'!$E292&amp;"")="n/a")),"Game Type; ","")&amp;IF('Game Records'!$F292="","Payment Type; ","")&amp;IF(AND('Game Records'!$U292&lt;&gt;"Subscription",'Game Records'!$U292&lt;&gt;"Free Game",'Game Records'!$G292=""),"Gross Pot; ","")&amp;IF(AND('Game Records'!$U292&lt;&gt;"Free Game",'Game Records'!$H292=""),"Entry Fee; ","")&amp;IF(AND('Game Records'!$U292&lt;&gt;"Subscription",'Game Records'!$U292&lt;&gt;"Free Game",'Game Records'!$I292=""),"Eligible Players; ","")&amp;IF(AND('Game Records'!$U292&lt;&gt;"Subscription",'Game Records'!$U292&lt;&gt;"Free Game",'Game Records'!$J292=""),"Total Players; ","")&amp;IF(AND(LOWER('Game Records'!$D292&amp;"")="finalized",LOWER('Game Records'!$L292&amp;"")&lt;&gt;"yes",'Game Records'!$U292&lt;&gt;"Subscription",'Game Records'!$U292&lt;&gt;"Free Game",'Game Records'!$K292=""),"Final Earned; ","")&amp;IF(AND(LOWER('Game Records'!$D292&amp;"")="finalized",'Game Records'!$U292&lt;&gt;"Subscription",'Game Records'!$U292&lt;&gt;"Free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Game",OR('Game Records'!$D293="",LOWER('Game Records'!$D293&amp;"")="n/a")),"Entry Mode; ","")&amp;IF(AND('Game Records'!$U293&lt;&gt;"Subscription",'Game Records'!$U293&lt;&gt;"Free Game",OR('Game Records'!$E293="",LOWER('Game Records'!$E293&amp;"")="n/a")),"Game Type; ","")&amp;IF('Game Records'!$F293="","Payment Type; ","")&amp;IF(AND('Game Records'!$U293&lt;&gt;"Subscription",'Game Records'!$U293&lt;&gt;"Free Game",'Game Records'!$G293=""),"Gross Pot; ","")&amp;IF(AND('Game Records'!$U293&lt;&gt;"Free Game",'Game Records'!$H293=""),"Entry Fee; ","")&amp;IF(AND('Game Records'!$U293&lt;&gt;"Subscription",'Game Records'!$U293&lt;&gt;"Free Game",'Game Records'!$I293=""),"Eligible Players; ","")&amp;IF(AND('Game Records'!$U293&lt;&gt;"Subscription",'Game Records'!$U293&lt;&gt;"Free Game",'Game Records'!$J293=""),"Total Players; ","")&amp;IF(AND(LOWER('Game Records'!$D293&amp;"")="finalized",LOWER('Game Records'!$L293&amp;"")&lt;&gt;"yes",'Game Records'!$U293&lt;&gt;"Subscription",'Game Records'!$U293&lt;&gt;"Free Game",'Game Records'!$K293=""),"Final Earned; ","")&amp;IF(AND(LOWER('Game Records'!$D293&amp;"")="finalized",'Game Records'!$U293&lt;&gt;"Subscription",'Game Records'!$U293&lt;&gt;"Free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Game",OR('Game Records'!$D294="",LOWER('Game Records'!$D294&amp;"")="n/a")),"Entry Mode; ","")&amp;IF(AND('Game Records'!$U294&lt;&gt;"Subscription",'Game Records'!$U294&lt;&gt;"Free Game",OR('Game Records'!$E294="",LOWER('Game Records'!$E294&amp;"")="n/a")),"Game Type; ","")&amp;IF('Game Records'!$F294="","Payment Type; ","")&amp;IF(AND('Game Records'!$U294&lt;&gt;"Subscription",'Game Records'!$U294&lt;&gt;"Free Game",'Game Records'!$G294=""),"Gross Pot; ","")&amp;IF(AND('Game Records'!$U294&lt;&gt;"Free Game",'Game Records'!$H294=""),"Entry Fee; ","")&amp;IF(AND('Game Records'!$U294&lt;&gt;"Subscription",'Game Records'!$U294&lt;&gt;"Free Game",'Game Records'!$I294=""),"Eligible Players; ","")&amp;IF(AND('Game Records'!$U294&lt;&gt;"Subscription",'Game Records'!$U294&lt;&gt;"Free Game",'Game Records'!$J294=""),"Total Players; ","")&amp;IF(AND(LOWER('Game Records'!$D294&amp;"")="finalized",LOWER('Game Records'!$L294&amp;"")&lt;&gt;"yes",'Game Records'!$U294&lt;&gt;"Subscription",'Game Records'!$U294&lt;&gt;"Free Game",'Game Records'!$K294=""),"Final Earned; ","")&amp;IF(AND(LOWER('Game Records'!$D294&amp;"")="finalized",'Game Records'!$U294&lt;&gt;"Subscription",'Game Records'!$U294&lt;&gt;"Free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Game",OR('Game Records'!$D295="",LOWER('Game Records'!$D295&amp;"")="n/a")),"Entry Mode; ","")&amp;IF(AND('Game Records'!$U295&lt;&gt;"Subscription",'Game Records'!$U295&lt;&gt;"Free Game",OR('Game Records'!$E295="",LOWER('Game Records'!$E295&amp;"")="n/a")),"Game Type; ","")&amp;IF('Game Records'!$F295="","Payment Type; ","")&amp;IF(AND('Game Records'!$U295&lt;&gt;"Subscription",'Game Records'!$U295&lt;&gt;"Free Game",'Game Records'!$G295=""),"Gross Pot; ","")&amp;IF(AND('Game Records'!$U295&lt;&gt;"Free Game",'Game Records'!$H295=""),"Entry Fee; ","")&amp;IF(AND('Game Records'!$U295&lt;&gt;"Subscription",'Game Records'!$U295&lt;&gt;"Free Game",'Game Records'!$I295=""),"Eligible Players; ","")&amp;IF(AND('Game Records'!$U295&lt;&gt;"Subscription",'Game Records'!$U295&lt;&gt;"Free Game",'Game Records'!$J295=""),"Total Players; ","")&amp;IF(AND(LOWER('Game Records'!$D295&amp;"")="finalized",LOWER('Game Records'!$L295&amp;"")&lt;&gt;"yes",'Game Records'!$U295&lt;&gt;"Subscription",'Game Records'!$U295&lt;&gt;"Free Game",'Game Records'!$K295=""),"Final Earned; ","")&amp;IF(AND(LOWER('Game Records'!$D295&amp;"")="finalized",'Game Records'!$U295&lt;&gt;"Subscription",'Game Records'!$U295&lt;&gt;"Free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Game",OR('Game Records'!$D296="",LOWER('Game Records'!$D296&amp;"")="n/a")),"Entry Mode; ","")&amp;IF(AND('Game Records'!$U296&lt;&gt;"Subscription",'Game Records'!$U296&lt;&gt;"Free Game",OR('Game Records'!$E296="",LOWER('Game Records'!$E296&amp;"")="n/a")),"Game Type; ","")&amp;IF('Game Records'!$F296="","Payment Type; ","")&amp;IF(AND('Game Records'!$U296&lt;&gt;"Subscription",'Game Records'!$U296&lt;&gt;"Free Game",'Game Records'!$G296=""),"Gross Pot; ","")&amp;IF(AND('Game Records'!$U296&lt;&gt;"Free Game",'Game Records'!$H296=""),"Entry Fee; ","")&amp;IF(AND('Game Records'!$U296&lt;&gt;"Subscription",'Game Records'!$U296&lt;&gt;"Free Game",'Game Records'!$I296=""),"Eligible Players; ","")&amp;IF(AND('Game Records'!$U296&lt;&gt;"Subscription",'Game Records'!$U296&lt;&gt;"Free Game",'Game Records'!$J296=""),"Total Players; ","")&amp;IF(AND(LOWER('Game Records'!$D296&amp;"")="finalized",LOWER('Game Records'!$L296&amp;"")&lt;&gt;"yes",'Game Records'!$U296&lt;&gt;"Subscription",'Game Records'!$U296&lt;&gt;"Free Game",'Game Records'!$K296=""),"Final Earned; ","")&amp;IF(AND(LOWER('Game Records'!$D296&amp;"")="finalized",'Game Records'!$U296&lt;&gt;"Subscription",'Game Records'!$U296&lt;&gt;"Free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Game",OR('Game Records'!$D297="",LOWER('Game Records'!$D297&amp;"")="n/a")),"Entry Mode; ","")&amp;IF(AND('Game Records'!$U297&lt;&gt;"Subscription",'Game Records'!$U297&lt;&gt;"Free Game",OR('Game Records'!$E297="",LOWER('Game Records'!$E297&amp;"")="n/a")),"Game Type; ","")&amp;IF('Game Records'!$F297="","Payment Type; ","")&amp;IF(AND('Game Records'!$U297&lt;&gt;"Subscription",'Game Records'!$U297&lt;&gt;"Free Game",'Game Records'!$G297=""),"Gross Pot; ","")&amp;IF(AND('Game Records'!$U297&lt;&gt;"Free Game",'Game Records'!$H297=""),"Entry Fee; ","")&amp;IF(AND('Game Records'!$U297&lt;&gt;"Subscription",'Game Records'!$U297&lt;&gt;"Free Game",'Game Records'!$I297=""),"Eligible Players; ","")&amp;IF(AND('Game Records'!$U297&lt;&gt;"Subscription",'Game Records'!$U297&lt;&gt;"Free Game",'Game Records'!$J297=""),"Total Players; ","")&amp;IF(AND(LOWER('Game Records'!$D297&amp;"")="finalized",LOWER('Game Records'!$L297&amp;"")&lt;&gt;"yes",'Game Records'!$U297&lt;&gt;"Subscription",'Game Records'!$U297&lt;&gt;"Free Game",'Game Records'!$K297=""),"Final Earned; ","")&amp;IF(AND(LOWER('Game Records'!$D297&amp;"")="finalized",'Game Records'!$U297&lt;&gt;"Subscription",'Game Records'!$U297&lt;&gt;"Free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Game",OR('Game Records'!$D298="",LOWER('Game Records'!$D298&amp;"")="n/a")),"Entry Mode; ","")&amp;IF(AND('Game Records'!$U298&lt;&gt;"Subscription",'Game Records'!$U298&lt;&gt;"Free Game",OR('Game Records'!$E298="",LOWER('Game Records'!$E298&amp;"")="n/a")),"Game Type; ","")&amp;IF('Game Records'!$F298="","Payment Type; ","")&amp;IF(AND('Game Records'!$U298&lt;&gt;"Subscription",'Game Records'!$U298&lt;&gt;"Free Game",'Game Records'!$G298=""),"Gross Pot; ","")&amp;IF(AND('Game Records'!$U298&lt;&gt;"Free Game",'Game Records'!$H298=""),"Entry Fee; ","")&amp;IF(AND('Game Records'!$U298&lt;&gt;"Subscription",'Game Records'!$U298&lt;&gt;"Free Game",'Game Records'!$I298=""),"Eligible Players; ","")&amp;IF(AND('Game Records'!$U298&lt;&gt;"Subscription",'Game Records'!$U298&lt;&gt;"Free Game",'Game Records'!$J298=""),"Total Players; ","")&amp;IF(AND(LOWER('Game Records'!$D298&amp;"")="finalized",LOWER('Game Records'!$L298&amp;"")&lt;&gt;"yes",'Game Records'!$U298&lt;&gt;"Subscription",'Game Records'!$U298&lt;&gt;"Free Game",'Game Records'!$K298=""),"Final Earned; ","")&amp;IF(AND(LOWER('Game Records'!$D298&amp;"")="finalized",'Game Records'!$U298&lt;&gt;"Subscription",'Game Records'!$U298&lt;&gt;"Free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Game",OR('Game Records'!$D299="",LOWER('Game Records'!$D299&amp;"")="n/a")),"Entry Mode; ","")&amp;IF(AND('Game Records'!$U299&lt;&gt;"Subscription",'Game Records'!$U299&lt;&gt;"Free Game",OR('Game Records'!$E299="",LOWER('Game Records'!$E299&amp;"")="n/a")),"Game Type; ","")&amp;IF('Game Records'!$F299="","Payment Type; ","")&amp;IF(AND('Game Records'!$U299&lt;&gt;"Subscription",'Game Records'!$U299&lt;&gt;"Free Game",'Game Records'!$G299=""),"Gross Pot; ","")&amp;IF(AND('Game Records'!$U299&lt;&gt;"Free Game",'Game Records'!$H299=""),"Entry Fee; ","")&amp;IF(AND('Game Records'!$U299&lt;&gt;"Subscription",'Game Records'!$U299&lt;&gt;"Free Game",'Game Records'!$I299=""),"Eligible Players; ","")&amp;IF(AND('Game Records'!$U299&lt;&gt;"Subscription",'Game Records'!$U299&lt;&gt;"Free Game",'Game Records'!$J299=""),"Total Players; ","")&amp;IF(AND(LOWER('Game Records'!$D299&amp;"")="finalized",LOWER('Game Records'!$L299&amp;"")&lt;&gt;"yes",'Game Records'!$U299&lt;&gt;"Subscription",'Game Records'!$U299&lt;&gt;"Free Game",'Game Records'!$K299=""),"Final Earned; ","")&amp;IF(AND(LOWER('Game Records'!$D299&amp;"")="finalized",'Game Records'!$U299&lt;&gt;"Subscription",'Game Records'!$U299&lt;&gt;"Free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Game",OR('Game Records'!$D300="",LOWER('Game Records'!$D300&amp;"")="n/a")),"Entry Mode; ","")&amp;IF(AND('Game Records'!$U300&lt;&gt;"Subscription",'Game Records'!$U300&lt;&gt;"Free Game",OR('Game Records'!$E300="",LOWER('Game Records'!$E300&amp;"")="n/a")),"Game Type; ","")&amp;IF('Game Records'!$F300="","Payment Type; ","")&amp;IF(AND('Game Records'!$U300&lt;&gt;"Subscription",'Game Records'!$U300&lt;&gt;"Free Game",'Game Records'!$G300=""),"Gross Pot; ","")&amp;IF(AND('Game Records'!$U300&lt;&gt;"Free Game",'Game Records'!$H300=""),"Entry Fee; ","")&amp;IF(AND('Game Records'!$U300&lt;&gt;"Subscription",'Game Records'!$U300&lt;&gt;"Free Game",'Game Records'!$I300=""),"Eligible Players; ","")&amp;IF(AND('Game Records'!$U300&lt;&gt;"Subscription",'Game Records'!$U300&lt;&gt;"Free Game",'Game Records'!$J300=""),"Total Players; ","")&amp;IF(AND(LOWER('Game Records'!$D300&amp;"")="finalized",LOWER('Game Records'!$L300&amp;"")&lt;&gt;"yes",'Game Records'!$U300&lt;&gt;"Subscription",'Game Records'!$U300&lt;&gt;"Free Game",'Game Records'!$K300=""),"Final Earned; ","")&amp;IF(AND(LOWER('Game Records'!$D300&amp;"")="finalized",'Game Records'!$U300&lt;&gt;"Subscription",'Game Records'!$U300&lt;&gt;"Free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Game",OR('Game Records'!$D301="",LOWER('Game Records'!$D301&amp;"")="n/a")),"Entry Mode; ","")&amp;IF(AND('Game Records'!$U301&lt;&gt;"Subscription",'Game Records'!$U301&lt;&gt;"Free Game",OR('Game Records'!$E301="",LOWER('Game Records'!$E301&amp;"")="n/a")),"Game Type; ","")&amp;IF('Game Records'!$F301="","Payment Type; ","")&amp;IF(AND('Game Records'!$U301&lt;&gt;"Subscription",'Game Records'!$U301&lt;&gt;"Free Game",'Game Records'!$G301=""),"Gross Pot; ","")&amp;IF(AND('Game Records'!$U301&lt;&gt;"Free Game",'Game Records'!$H301=""),"Entry Fee; ","")&amp;IF(AND('Game Records'!$U301&lt;&gt;"Subscription",'Game Records'!$U301&lt;&gt;"Free Game",'Game Records'!$I301=""),"Eligible Players; ","")&amp;IF(AND('Game Records'!$U301&lt;&gt;"Subscription",'Game Records'!$U301&lt;&gt;"Free Game",'Game Records'!$J301=""),"Total Players; ","")&amp;IF(AND(LOWER('Game Records'!$D301&amp;"")="finalized",LOWER('Game Records'!$L301&amp;"")&lt;&gt;"yes",'Game Records'!$U301&lt;&gt;"Subscription",'Game Records'!$U301&lt;&gt;"Free Game",'Game Records'!$K301=""),"Final Earned; ","")&amp;IF(AND(LOWER('Game Records'!$D301&amp;"")="finalized",'Game Records'!$U301&lt;&gt;"Subscription",'Game Records'!$U301&lt;&gt;"Free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Game",OR('Game Records'!$D302="",LOWER('Game Records'!$D302&amp;"")="n/a")),"Entry Mode; ","")&amp;IF(AND('Game Records'!$U302&lt;&gt;"Subscription",'Game Records'!$U302&lt;&gt;"Free Game",OR('Game Records'!$E302="",LOWER('Game Records'!$E302&amp;"")="n/a")),"Game Type; ","")&amp;IF('Game Records'!$F302="","Payment Type; ","")&amp;IF(AND('Game Records'!$U302&lt;&gt;"Subscription",'Game Records'!$U302&lt;&gt;"Free Game",'Game Records'!$G302=""),"Gross Pot; ","")&amp;IF(AND('Game Records'!$U302&lt;&gt;"Free Game",'Game Records'!$H302=""),"Entry Fee; ","")&amp;IF(AND('Game Records'!$U302&lt;&gt;"Subscription",'Game Records'!$U302&lt;&gt;"Free Game",'Game Records'!$I302=""),"Eligible Players; ","")&amp;IF(AND('Game Records'!$U302&lt;&gt;"Subscription",'Game Records'!$U302&lt;&gt;"Free Game",'Game Records'!$J302=""),"Total Players; ","")&amp;IF(AND(LOWER('Game Records'!$D302&amp;"")="finalized",LOWER('Game Records'!$L302&amp;"")&lt;&gt;"yes",'Game Records'!$U302&lt;&gt;"Subscription",'Game Records'!$U302&lt;&gt;"Free Game",'Game Records'!$K302=""),"Final Earned; ","")&amp;IF(AND(LOWER('Game Records'!$D302&amp;"")="finalized",'Game Records'!$U302&lt;&gt;"Subscription",'Game Records'!$U302&lt;&gt;"Free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Game",OR('Game Records'!$D303="",LOWER('Game Records'!$D303&amp;"")="n/a")),"Entry Mode; ","")&amp;IF(AND('Game Records'!$U303&lt;&gt;"Subscription",'Game Records'!$U303&lt;&gt;"Free Game",OR('Game Records'!$E303="",LOWER('Game Records'!$E303&amp;"")="n/a")),"Game Type; ","")&amp;IF('Game Records'!$F303="","Payment Type; ","")&amp;IF(AND('Game Records'!$U303&lt;&gt;"Subscription",'Game Records'!$U303&lt;&gt;"Free Game",'Game Records'!$G303=""),"Gross Pot; ","")&amp;IF(AND('Game Records'!$U303&lt;&gt;"Free Game",'Game Records'!$H303=""),"Entry Fee; ","")&amp;IF(AND('Game Records'!$U303&lt;&gt;"Subscription",'Game Records'!$U303&lt;&gt;"Free Game",'Game Records'!$I303=""),"Eligible Players; ","")&amp;IF(AND('Game Records'!$U303&lt;&gt;"Subscription",'Game Records'!$U303&lt;&gt;"Free Game",'Game Records'!$J303=""),"Total Players; ","")&amp;IF(AND(LOWER('Game Records'!$D303&amp;"")="finalized",LOWER('Game Records'!$L303&amp;"")&lt;&gt;"yes",'Game Records'!$U303&lt;&gt;"Subscription",'Game Records'!$U303&lt;&gt;"Free Game",'Game Records'!$K303=""),"Final Earned; ","")&amp;IF(AND(LOWER('Game Records'!$D303&amp;"")="finalized",'Game Records'!$U303&lt;&gt;"Subscription",'Game Records'!$U303&lt;&gt;"Free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Game",OR('Game Records'!$D304="",LOWER('Game Records'!$D304&amp;"")="n/a")),"Entry Mode; ","")&amp;IF(AND('Game Records'!$U304&lt;&gt;"Subscription",'Game Records'!$U304&lt;&gt;"Free Game",OR('Game Records'!$E304="",LOWER('Game Records'!$E304&amp;"")="n/a")),"Game Type; ","")&amp;IF('Game Records'!$F304="","Payment Type; ","")&amp;IF(AND('Game Records'!$U304&lt;&gt;"Subscription",'Game Records'!$U304&lt;&gt;"Free Game",'Game Records'!$G304=""),"Gross Pot; ","")&amp;IF(AND('Game Records'!$U304&lt;&gt;"Free Game",'Game Records'!$H304=""),"Entry Fee; ","")&amp;IF(AND('Game Records'!$U304&lt;&gt;"Subscription",'Game Records'!$U304&lt;&gt;"Free Game",'Game Records'!$I304=""),"Eligible Players; ","")&amp;IF(AND('Game Records'!$U304&lt;&gt;"Subscription",'Game Records'!$U304&lt;&gt;"Free Game",'Game Records'!$J304=""),"Total Players; ","")&amp;IF(AND(LOWER('Game Records'!$D304&amp;"")="finalized",LOWER('Game Records'!$L304&amp;"")&lt;&gt;"yes",'Game Records'!$U304&lt;&gt;"Subscription",'Game Records'!$U304&lt;&gt;"Free Game",'Game Records'!$K304=""),"Final Earned; ","")&amp;IF(AND(LOWER('Game Records'!$D304&amp;"")="finalized",'Game Records'!$U304&lt;&gt;"Subscription",'Game Records'!$U304&lt;&gt;"Free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Game",OR('Game Records'!$D305="",LOWER('Game Records'!$D305&amp;"")="n/a")),"Entry Mode; ","")&amp;IF(AND('Game Records'!$U305&lt;&gt;"Subscription",'Game Records'!$U305&lt;&gt;"Free Game",OR('Game Records'!$E305="",LOWER('Game Records'!$E305&amp;"")="n/a")),"Game Type; ","")&amp;IF('Game Records'!$F305="","Payment Type; ","")&amp;IF(AND('Game Records'!$U305&lt;&gt;"Subscription",'Game Records'!$U305&lt;&gt;"Free Game",'Game Records'!$G305=""),"Gross Pot; ","")&amp;IF(AND('Game Records'!$U305&lt;&gt;"Free Game",'Game Records'!$H305=""),"Entry Fee; ","")&amp;IF(AND('Game Records'!$U305&lt;&gt;"Subscription",'Game Records'!$U305&lt;&gt;"Free Game",'Game Records'!$I305=""),"Eligible Players; ","")&amp;IF(AND('Game Records'!$U305&lt;&gt;"Subscription",'Game Records'!$U305&lt;&gt;"Free Game",'Game Records'!$J305=""),"Total Players; ","")&amp;IF(AND(LOWER('Game Records'!$D305&amp;"")="finalized",LOWER('Game Records'!$L305&amp;"")&lt;&gt;"yes",'Game Records'!$U305&lt;&gt;"Subscription",'Game Records'!$U305&lt;&gt;"Free Game",'Game Records'!$K305=""),"Final Earned; ","")&amp;IF(AND(LOWER('Game Records'!$D305&amp;"")="finalized",'Game Records'!$U305&lt;&gt;"Subscription",'Game Records'!$U305&lt;&gt;"Free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Game",OR('Game Records'!$D306="",LOWER('Game Records'!$D306&amp;"")="n/a")),"Entry Mode; ","")&amp;IF(AND('Game Records'!$U306&lt;&gt;"Subscription",'Game Records'!$U306&lt;&gt;"Free Game",OR('Game Records'!$E306="",LOWER('Game Records'!$E306&amp;"")="n/a")),"Game Type; ","")&amp;IF('Game Records'!$F306="","Payment Type; ","")&amp;IF(AND('Game Records'!$U306&lt;&gt;"Subscription",'Game Records'!$U306&lt;&gt;"Free Game",'Game Records'!$G306=""),"Gross Pot; ","")&amp;IF(AND('Game Records'!$U306&lt;&gt;"Free Game",'Game Records'!$H306=""),"Entry Fee; ","")&amp;IF(AND('Game Records'!$U306&lt;&gt;"Subscription",'Game Records'!$U306&lt;&gt;"Free Game",'Game Records'!$I306=""),"Eligible Players; ","")&amp;IF(AND('Game Records'!$U306&lt;&gt;"Subscription",'Game Records'!$U306&lt;&gt;"Free Game",'Game Records'!$J306=""),"Total Players; ","")&amp;IF(AND(LOWER('Game Records'!$D306&amp;"")="finalized",LOWER('Game Records'!$L306&amp;"")&lt;&gt;"yes",'Game Records'!$U306&lt;&gt;"Subscription",'Game Records'!$U306&lt;&gt;"Free Game",'Game Records'!$K306=""),"Final Earned; ","")&amp;IF(AND(LOWER('Game Records'!$D306&amp;"")="finalized",'Game Records'!$U306&lt;&gt;"Subscription",'Game Records'!$U306&lt;&gt;"Free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Game",OR('Game Records'!$D307="",LOWER('Game Records'!$D307&amp;"")="n/a")),"Entry Mode; ","")&amp;IF(AND('Game Records'!$U307&lt;&gt;"Subscription",'Game Records'!$U307&lt;&gt;"Free Game",OR('Game Records'!$E307="",LOWER('Game Records'!$E307&amp;"")="n/a")),"Game Type; ","")&amp;IF('Game Records'!$F307="","Payment Type; ","")&amp;IF(AND('Game Records'!$U307&lt;&gt;"Subscription",'Game Records'!$U307&lt;&gt;"Free Game",'Game Records'!$G307=""),"Gross Pot; ","")&amp;IF(AND('Game Records'!$U307&lt;&gt;"Free Game",'Game Records'!$H307=""),"Entry Fee; ","")&amp;IF(AND('Game Records'!$U307&lt;&gt;"Subscription",'Game Records'!$U307&lt;&gt;"Free Game",'Game Records'!$I307=""),"Eligible Players; ","")&amp;IF(AND('Game Records'!$U307&lt;&gt;"Subscription",'Game Records'!$U307&lt;&gt;"Free Game",'Game Records'!$J307=""),"Total Players; ","")&amp;IF(AND(LOWER('Game Records'!$D307&amp;"")="finalized",LOWER('Game Records'!$L307&amp;"")&lt;&gt;"yes",'Game Records'!$U307&lt;&gt;"Subscription",'Game Records'!$U307&lt;&gt;"Free Game",'Game Records'!$K307=""),"Final Earned; ","")&amp;IF(AND(LOWER('Game Records'!$D307&amp;"")="finalized",'Game Records'!$U307&lt;&gt;"Subscription",'Game Records'!$U307&lt;&gt;"Free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Game",OR('Game Records'!$D308="",LOWER('Game Records'!$D308&amp;"")="n/a")),"Entry Mode; ","")&amp;IF(AND('Game Records'!$U308&lt;&gt;"Subscription",'Game Records'!$U308&lt;&gt;"Free Game",OR('Game Records'!$E308="",LOWER('Game Records'!$E308&amp;"")="n/a")),"Game Type; ","")&amp;IF('Game Records'!$F308="","Payment Type; ","")&amp;IF(AND('Game Records'!$U308&lt;&gt;"Subscription",'Game Records'!$U308&lt;&gt;"Free Game",'Game Records'!$G308=""),"Gross Pot; ","")&amp;IF(AND('Game Records'!$U308&lt;&gt;"Free Game",'Game Records'!$H308=""),"Entry Fee; ","")&amp;IF(AND('Game Records'!$U308&lt;&gt;"Subscription",'Game Records'!$U308&lt;&gt;"Free Game",'Game Records'!$I308=""),"Eligible Players; ","")&amp;IF(AND('Game Records'!$U308&lt;&gt;"Subscription",'Game Records'!$U308&lt;&gt;"Free Game",'Game Records'!$J308=""),"Total Players; ","")&amp;IF(AND(LOWER('Game Records'!$D308&amp;"")="finalized",LOWER('Game Records'!$L308&amp;"")&lt;&gt;"yes",'Game Records'!$U308&lt;&gt;"Subscription",'Game Records'!$U308&lt;&gt;"Free Game",'Game Records'!$K308=""),"Final Earned; ","")&amp;IF(AND(LOWER('Game Records'!$D308&amp;"")="finalized",'Game Records'!$U308&lt;&gt;"Subscription",'Game Records'!$U308&lt;&gt;"Free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Game",OR('Game Records'!$D309="",LOWER('Game Records'!$D309&amp;"")="n/a")),"Entry Mode; ","")&amp;IF(AND('Game Records'!$U309&lt;&gt;"Subscription",'Game Records'!$U309&lt;&gt;"Free Game",OR('Game Records'!$E309="",LOWER('Game Records'!$E309&amp;"")="n/a")),"Game Type; ","")&amp;IF('Game Records'!$F309="","Payment Type; ","")&amp;IF(AND('Game Records'!$U309&lt;&gt;"Subscription",'Game Records'!$U309&lt;&gt;"Free Game",'Game Records'!$G309=""),"Gross Pot; ","")&amp;IF(AND('Game Records'!$U309&lt;&gt;"Free Game",'Game Records'!$H309=""),"Entry Fee; ","")&amp;IF(AND('Game Records'!$U309&lt;&gt;"Subscription",'Game Records'!$U309&lt;&gt;"Free Game",'Game Records'!$I309=""),"Eligible Players; ","")&amp;IF(AND('Game Records'!$U309&lt;&gt;"Subscription",'Game Records'!$U309&lt;&gt;"Free Game",'Game Records'!$J309=""),"Total Players; ","")&amp;IF(AND(LOWER('Game Records'!$D309&amp;"")="finalized",LOWER('Game Records'!$L309&amp;"")&lt;&gt;"yes",'Game Records'!$U309&lt;&gt;"Subscription",'Game Records'!$U309&lt;&gt;"Free Game",'Game Records'!$K309=""),"Final Earned; ","")&amp;IF(AND(LOWER('Game Records'!$D309&amp;"")="finalized",'Game Records'!$U309&lt;&gt;"Subscription",'Game Records'!$U309&lt;&gt;"Free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Game",OR('Game Records'!$D310="",LOWER('Game Records'!$D310&amp;"")="n/a")),"Entry Mode; ","")&amp;IF(AND('Game Records'!$U310&lt;&gt;"Subscription",'Game Records'!$U310&lt;&gt;"Free Game",OR('Game Records'!$E310="",LOWER('Game Records'!$E310&amp;"")="n/a")),"Game Type; ","")&amp;IF('Game Records'!$F310="","Payment Type; ","")&amp;IF(AND('Game Records'!$U310&lt;&gt;"Subscription",'Game Records'!$U310&lt;&gt;"Free Game",'Game Records'!$G310=""),"Gross Pot; ","")&amp;IF(AND('Game Records'!$U310&lt;&gt;"Free Game",'Game Records'!$H310=""),"Entry Fee; ","")&amp;IF(AND('Game Records'!$U310&lt;&gt;"Subscription",'Game Records'!$U310&lt;&gt;"Free Game",'Game Records'!$I310=""),"Eligible Players; ","")&amp;IF(AND('Game Records'!$U310&lt;&gt;"Subscription",'Game Records'!$U310&lt;&gt;"Free Game",'Game Records'!$J310=""),"Total Players; ","")&amp;IF(AND(LOWER('Game Records'!$D310&amp;"")="finalized",LOWER('Game Records'!$L310&amp;"")&lt;&gt;"yes",'Game Records'!$U310&lt;&gt;"Subscription",'Game Records'!$U310&lt;&gt;"Free Game",'Game Records'!$K310=""),"Final Earned; ","")&amp;IF(AND(LOWER('Game Records'!$D310&amp;"")="finalized",'Game Records'!$U310&lt;&gt;"Subscription",'Game Records'!$U310&lt;&gt;"Free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Game",OR('Game Records'!$D311="",LOWER('Game Records'!$D311&amp;"")="n/a")),"Entry Mode; ","")&amp;IF(AND('Game Records'!$U311&lt;&gt;"Subscription",'Game Records'!$U311&lt;&gt;"Free Game",OR('Game Records'!$E311="",LOWER('Game Records'!$E311&amp;"")="n/a")),"Game Type; ","")&amp;IF('Game Records'!$F311="","Payment Type; ","")&amp;IF(AND('Game Records'!$U311&lt;&gt;"Subscription",'Game Records'!$U311&lt;&gt;"Free Game",'Game Records'!$G311=""),"Gross Pot; ","")&amp;IF(AND('Game Records'!$U311&lt;&gt;"Free Game",'Game Records'!$H311=""),"Entry Fee; ","")&amp;IF(AND('Game Records'!$U311&lt;&gt;"Subscription",'Game Records'!$U311&lt;&gt;"Free Game",'Game Records'!$I311=""),"Eligible Players; ","")&amp;IF(AND('Game Records'!$U311&lt;&gt;"Subscription",'Game Records'!$U311&lt;&gt;"Free Game",'Game Records'!$J311=""),"Total Players; ","")&amp;IF(AND(LOWER('Game Records'!$D311&amp;"")="finalized",LOWER('Game Records'!$L311&amp;"")&lt;&gt;"yes",'Game Records'!$U311&lt;&gt;"Subscription",'Game Records'!$U311&lt;&gt;"Free Game",'Game Records'!$K311=""),"Final Earned; ","")&amp;IF(AND(LOWER('Game Records'!$D311&amp;"")="finalized",'Game Records'!$U311&lt;&gt;"Subscription",'Game Records'!$U311&lt;&gt;"Free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Game",OR('Game Records'!$D312="",LOWER('Game Records'!$D312&amp;"")="n/a")),"Entry Mode; ","")&amp;IF(AND('Game Records'!$U312&lt;&gt;"Subscription",'Game Records'!$U312&lt;&gt;"Free Game",OR('Game Records'!$E312="",LOWER('Game Records'!$E312&amp;"")="n/a")),"Game Type; ","")&amp;IF('Game Records'!$F312="","Payment Type; ","")&amp;IF(AND('Game Records'!$U312&lt;&gt;"Subscription",'Game Records'!$U312&lt;&gt;"Free Game",'Game Records'!$G312=""),"Gross Pot; ","")&amp;IF(AND('Game Records'!$U312&lt;&gt;"Free Game",'Game Records'!$H312=""),"Entry Fee; ","")&amp;IF(AND('Game Records'!$U312&lt;&gt;"Subscription",'Game Records'!$U312&lt;&gt;"Free Game",'Game Records'!$I312=""),"Eligible Players; ","")&amp;IF(AND('Game Records'!$U312&lt;&gt;"Subscription",'Game Records'!$U312&lt;&gt;"Free Game",'Game Records'!$J312=""),"Total Players; ","")&amp;IF(AND(LOWER('Game Records'!$D312&amp;"")="finalized",LOWER('Game Records'!$L312&amp;"")&lt;&gt;"yes",'Game Records'!$U312&lt;&gt;"Subscription",'Game Records'!$U312&lt;&gt;"Free Game",'Game Records'!$K312=""),"Final Earned; ","")&amp;IF(AND(LOWER('Game Records'!$D312&amp;"")="finalized",'Game Records'!$U312&lt;&gt;"Subscription",'Game Records'!$U312&lt;&gt;"Free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Game",OR('Game Records'!$D313="",LOWER('Game Records'!$D313&amp;"")="n/a")),"Entry Mode; ","")&amp;IF(AND('Game Records'!$U313&lt;&gt;"Subscription",'Game Records'!$U313&lt;&gt;"Free Game",OR('Game Records'!$E313="",LOWER('Game Records'!$E313&amp;"")="n/a")),"Game Type; ","")&amp;IF('Game Records'!$F313="","Payment Type; ","")&amp;IF(AND('Game Records'!$U313&lt;&gt;"Subscription",'Game Records'!$U313&lt;&gt;"Free Game",'Game Records'!$G313=""),"Gross Pot; ","")&amp;IF(AND('Game Records'!$U313&lt;&gt;"Free Game",'Game Records'!$H313=""),"Entry Fee; ","")&amp;IF(AND('Game Records'!$U313&lt;&gt;"Subscription",'Game Records'!$U313&lt;&gt;"Free Game",'Game Records'!$I313=""),"Eligible Players; ","")&amp;IF(AND('Game Records'!$U313&lt;&gt;"Subscription",'Game Records'!$U313&lt;&gt;"Free Game",'Game Records'!$J313=""),"Total Players; ","")&amp;IF(AND(LOWER('Game Records'!$D313&amp;"")="finalized",LOWER('Game Records'!$L313&amp;"")&lt;&gt;"yes",'Game Records'!$U313&lt;&gt;"Subscription",'Game Records'!$U313&lt;&gt;"Free Game",'Game Records'!$K313=""),"Final Earned; ","")&amp;IF(AND(LOWER('Game Records'!$D313&amp;"")="finalized",'Game Records'!$U313&lt;&gt;"Subscription",'Game Records'!$U313&lt;&gt;"Free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Game",OR('Game Records'!$D314="",LOWER('Game Records'!$D314&amp;"")="n/a")),"Entry Mode; ","")&amp;IF(AND('Game Records'!$U314&lt;&gt;"Subscription",'Game Records'!$U314&lt;&gt;"Free Game",OR('Game Records'!$E314="",LOWER('Game Records'!$E314&amp;"")="n/a")),"Game Type; ","")&amp;IF('Game Records'!$F314="","Payment Type; ","")&amp;IF(AND('Game Records'!$U314&lt;&gt;"Subscription",'Game Records'!$U314&lt;&gt;"Free Game",'Game Records'!$G314=""),"Gross Pot; ","")&amp;IF(AND('Game Records'!$U314&lt;&gt;"Free Game",'Game Records'!$H314=""),"Entry Fee; ","")&amp;IF(AND('Game Records'!$U314&lt;&gt;"Subscription",'Game Records'!$U314&lt;&gt;"Free Game",'Game Records'!$I314=""),"Eligible Players; ","")&amp;IF(AND('Game Records'!$U314&lt;&gt;"Subscription",'Game Records'!$U314&lt;&gt;"Free Game",'Game Records'!$J314=""),"Total Players; ","")&amp;IF(AND(LOWER('Game Records'!$D314&amp;"")="finalized",LOWER('Game Records'!$L314&amp;"")&lt;&gt;"yes",'Game Records'!$U314&lt;&gt;"Subscription",'Game Records'!$U314&lt;&gt;"Free Game",'Game Records'!$K314=""),"Final Earned; ","")&amp;IF(AND(LOWER('Game Records'!$D314&amp;"")="finalized",'Game Records'!$U314&lt;&gt;"Subscription",'Game Records'!$U314&lt;&gt;"Free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Game",OR('Game Records'!$D315="",LOWER('Game Records'!$D315&amp;"")="n/a")),"Entry Mode; ","")&amp;IF(AND('Game Records'!$U315&lt;&gt;"Subscription",'Game Records'!$U315&lt;&gt;"Free Game",OR('Game Records'!$E315="",LOWER('Game Records'!$E315&amp;"")="n/a")),"Game Type; ","")&amp;IF('Game Records'!$F315="","Payment Type; ","")&amp;IF(AND('Game Records'!$U315&lt;&gt;"Subscription",'Game Records'!$U315&lt;&gt;"Free Game",'Game Records'!$G315=""),"Gross Pot; ","")&amp;IF(AND('Game Records'!$U315&lt;&gt;"Free Game",'Game Records'!$H315=""),"Entry Fee; ","")&amp;IF(AND('Game Records'!$U315&lt;&gt;"Subscription",'Game Records'!$U315&lt;&gt;"Free Game",'Game Records'!$I315=""),"Eligible Players; ","")&amp;IF(AND('Game Records'!$U315&lt;&gt;"Subscription",'Game Records'!$U315&lt;&gt;"Free Game",'Game Records'!$J315=""),"Total Players; ","")&amp;IF(AND(LOWER('Game Records'!$D315&amp;"")="finalized",LOWER('Game Records'!$L315&amp;"")&lt;&gt;"yes",'Game Records'!$U315&lt;&gt;"Subscription",'Game Records'!$U315&lt;&gt;"Free Game",'Game Records'!$K315=""),"Final Earned; ","")&amp;IF(AND(LOWER('Game Records'!$D315&amp;"")="finalized",'Game Records'!$U315&lt;&gt;"Subscription",'Game Records'!$U315&lt;&gt;"Free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Game",OR('Game Records'!$D316="",LOWER('Game Records'!$D316&amp;"")="n/a")),"Entry Mode; ","")&amp;IF(AND('Game Records'!$U316&lt;&gt;"Subscription",'Game Records'!$U316&lt;&gt;"Free Game",OR('Game Records'!$E316="",LOWER('Game Records'!$E316&amp;"")="n/a")),"Game Type; ","")&amp;IF('Game Records'!$F316="","Payment Type; ","")&amp;IF(AND('Game Records'!$U316&lt;&gt;"Subscription",'Game Records'!$U316&lt;&gt;"Free Game",'Game Records'!$G316=""),"Gross Pot; ","")&amp;IF(AND('Game Records'!$U316&lt;&gt;"Free Game",'Game Records'!$H316=""),"Entry Fee; ","")&amp;IF(AND('Game Records'!$U316&lt;&gt;"Subscription",'Game Records'!$U316&lt;&gt;"Free Game",'Game Records'!$I316=""),"Eligible Players; ","")&amp;IF(AND('Game Records'!$U316&lt;&gt;"Subscription",'Game Records'!$U316&lt;&gt;"Free Game",'Game Records'!$J316=""),"Total Players; ","")&amp;IF(AND(LOWER('Game Records'!$D316&amp;"")="finalized",LOWER('Game Records'!$L316&amp;"")&lt;&gt;"yes",'Game Records'!$U316&lt;&gt;"Subscription",'Game Records'!$U316&lt;&gt;"Free Game",'Game Records'!$K316=""),"Final Earned; ","")&amp;IF(AND(LOWER('Game Records'!$D316&amp;"")="finalized",'Game Records'!$U316&lt;&gt;"Subscription",'Game Records'!$U316&lt;&gt;"Free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Game",OR('Game Records'!$D317="",LOWER('Game Records'!$D317&amp;"")="n/a")),"Entry Mode; ","")&amp;IF(AND('Game Records'!$U317&lt;&gt;"Subscription",'Game Records'!$U317&lt;&gt;"Free Game",OR('Game Records'!$E317="",LOWER('Game Records'!$E317&amp;"")="n/a")),"Game Type; ","")&amp;IF('Game Records'!$F317="","Payment Type; ","")&amp;IF(AND('Game Records'!$U317&lt;&gt;"Subscription",'Game Records'!$U317&lt;&gt;"Free Game",'Game Records'!$G317=""),"Gross Pot; ","")&amp;IF(AND('Game Records'!$U317&lt;&gt;"Free Game",'Game Records'!$H317=""),"Entry Fee; ","")&amp;IF(AND('Game Records'!$U317&lt;&gt;"Subscription",'Game Records'!$U317&lt;&gt;"Free Game",'Game Records'!$I317=""),"Eligible Players; ","")&amp;IF(AND('Game Records'!$U317&lt;&gt;"Subscription",'Game Records'!$U317&lt;&gt;"Free Game",'Game Records'!$J317=""),"Total Players; ","")&amp;IF(AND(LOWER('Game Records'!$D317&amp;"")="finalized",LOWER('Game Records'!$L317&amp;"")&lt;&gt;"yes",'Game Records'!$U317&lt;&gt;"Subscription",'Game Records'!$U317&lt;&gt;"Free Game",'Game Records'!$K317=""),"Final Earned; ","")&amp;IF(AND(LOWER('Game Records'!$D317&amp;"")="finalized",'Game Records'!$U317&lt;&gt;"Subscription",'Game Records'!$U317&lt;&gt;"Free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Game",OR('Game Records'!$D318="",LOWER('Game Records'!$D318&amp;"")="n/a")),"Entry Mode; ","")&amp;IF(AND('Game Records'!$U318&lt;&gt;"Subscription",'Game Records'!$U318&lt;&gt;"Free Game",OR('Game Records'!$E318="",LOWER('Game Records'!$E318&amp;"")="n/a")),"Game Type; ","")&amp;IF('Game Records'!$F318="","Payment Type; ","")&amp;IF(AND('Game Records'!$U318&lt;&gt;"Subscription",'Game Records'!$U318&lt;&gt;"Free Game",'Game Records'!$G318=""),"Gross Pot; ","")&amp;IF(AND('Game Records'!$U318&lt;&gt;"Free Game",'Game Records'!$H318=""),"Entry Fee; ","")&amp;IF(AND('Game Records'!$U318&lt;&gt;"Subscription",'Game Records'!$U318&lt;&gt;"Free Game",'Game Records'!$I318=""),"Eligible Players; ","")&amp;IF(AND('Game Records'!$U318&lt;&gt;"Subscription",'Game Records'!$U318&lt;&gt;"Free Game",'Game Records'!$J318=""),"Total Players; ","")&amp;IF(AND(LOWER('Game Records'!$D318&amp;"")="finalized",LOWER('Game Records'!$L318&amp;"")&lt;&gt;"yes",'Game Records'!$U318&lt;&gt;"Subscription",'Game Records'!$U318&lt;&gt;"Free Game",'Game Records'!$K318=""),"Final Earned; ","")&amp;IF(AND(LOWER('Game Records'!$D318&amp;"")="finalized",'Game Records'!$U318&lt;&gt;"Subscription",'Game Records'!$U318&lt;&gt;"Free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Game",OR('Game Records'!$D319="",LOWER('Game Records'!$D319&amp;"")="n/a")),"Entry Mode; ","")&amp;IF(AND('Game Records'!$U319&lt;&gt;"Subscription",'Game Records'!$U319&lt;&gt;"Free Game",OR('Game Records'!$E319="",LOWER('Game Records'!$E319&amp;"")="n/a")),"Game Type; ","")&amp;IF('Game Records'!$F319="","Payment Type; ","")&amp;IF(AND('Game Records'!$U319&lt;&gt;"Subscription",'Game Records'!$U319&lt;&gt;"Free Game",'Game Records'!$G319=""),"Gross Pot; ","")&amp;IF(AND('Game Records'!$U319&lt;&gt;"Free Game",'Game Records'!$H319=""),"Entry Fee; ","")&amp;IF(AND('Game Records'!$U319&lt;&gt;"Subscription",'Game Records'!$U319&lt;&gt;"Free Game",'Game Records'!$I319=""),"Eligible Players; ","")&amp;IF(AND('Game Records'!$U319&lt;&gt;"Subscription",'Game Records'!$U319&lt;&gt;"Free Game",'Game Records'!$J319=""),"Total Players; ","")&amp;IF(AND(LOWER('Game Records'!$D319&amp;"")="finalized",LOWER('Game Records'!$L319&amp;"")&lt;&gt;"yes",'Game Records'!$U319&lt;&gt;"Subscription",'Game Records'!$U319&lt;&gt;"Free Game",'Game Records'!$K319=""),"Final Earned; ","")&amp;IF(AND(LOWER('Game Records'!$D319&amp;"")="finalized",'Game Records'!$U319&lt;&gt;"Subscription",'Game Records'!$U319&lt;&gt;"Free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Game",OR('Game Records'!$D320="",LOWER('Game Records'!$D320&amp;"")="n/a")),"Entry Mode; ","")&amp;IF(AND('Game Records'!$U320&lt;&gt;"Subscription",'Game Records'!$U320&lt;&gt;"Free Game",OR('Game Records'!$E320="",LOWER('Game Records'!$E320&amp;"")="n/a")),"Game Type; ","")&amp;IF('Game Records'!$F320="","Payment Type; ","")&amp;IF(AND('Game Records'!$U320&lt;&gt;"Subscription",'Game Records'!$U320&lt;&gt;"Free Game",'Game Records'!$G320=""),"Gross Pot; ","")&amp;IF(AND('Game Records'!$U320&lt;&gt;"Free Game",'Game Records'!$H320=""),"Entry Fee; ","")&amp;IF(AND('Game Records'!$U320&lt;&gt;"Subscription",'Game Records'!$U320&lt;&gt;"Free Game",'Game Records'!$I320=""),"Eligible Players; ","")&amp;IF(AND('Game Records'!$U320&lt;&gt;"Subscription",'Game Records'!$U320&lt;&gt;"Free Game",'Game Records'!$J320=""),"Total Players; ","")&amp;IF(AND(LOWER('Game Records'!$D320&amp;"")="finalized",LOWER('Game Records'!$L320&amp;"")&lt;&gt;"yes",'Game Records'!$U320&lt;&gt;"Subscription",'Game Records'!$U320&lt;&gt;"Free Game",'Game Records'!$K320=""),"Final Earned; ","")&amp;IF(AND(LOWER('Game Records'!$D320&amp;"")="finalized",'Game Records'!$U320&lt;&gt;"Subscription",'Game Records'!$U320&lt;&gt;"Free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Game",OR('Game Records'!$D321="",LOWER('Game Records'!$D321&amp;"")="n/a")),"Entry Mode; ","")&amp;IF(AND('Game Records'!$U321&lt;&gt;"Subscription",'Game Records'!$U321&lt;&gt;"Free Game",OR('Game Records'!$E321="",LOWER('Game Records'!$E321&amp;"")="n/a")),"Game Type; ","")&amp;IF('Game Records'!$F321="","Payment Type; ","")&amp;IF(AND('Game Records'!$U321&lt;&gt;"Subscription",'Game Records'!$U321&lt;&gt;"Free Game",'Game Records'!$G321=""),"Gross Pot; ","")&amp;IF(AND('Game Records'!$U321&lt;&gt;"Free Game",'Game Records'!$H321=""),"Entry Fee; ","")&amp;IF(AND('Game Records'!$U321&lt;&gt;"Subscription",'Game Records'!$U321&lt;&gt;"Free Game",'Game Records'!$I321=""),"Eligible Players; ","")&amp;IF(AND('Game Records'!$U321&lt;&gt;"Subscription",'Game Records'!$U321&lt;&gt;"Free Game",'Game Records'!$J321=""),"Total Players; ","")&amp;IF(AND(LOWER('Game Records'!$D321&amp;"")="finalized",LOWER('Game Records'!$L321&amp;"")&lt;&gt;"yes",'Game Records'!$U321&lt;&gt;"Subscription",'Game Records'!$U321&lt;&gt;"Free Game",'Game Records'!$K321=""),"Final Earned; ","")&amp;IF(AND(LOWER('Game Records'!$D321&amp;"")="finalized",'Game Records'!$U321&lt;&gt;"Subscription",'Game Records'!$U321&lt;&gt;"Free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Game",OR('Game Records'!$D322="",LOWER('Game Records'!$D322&amp;"")="n/a")),"Entry Mode; ","")&amp;IF(AND('Game Records'!$U322&lt;&gt;"Subscription",'Game Records'!$U322&lt;&gt;"Free Game",OR('Game Records'!$E322="",LOWER('Game Records'!$E322&amp;"")="n/a")),"Game Type; ","")&amp;IF('Game Records'!$F322="","Payment Type; ","")&amp;IF(AND('Game Records'!$U322&lt;&gt;"Subscription",'Game Records'!$U322&lt;&gt;"Free Game",'Game Records'!$G322=""),"Gross Pot; ","")&amp;IF(AND('Game Records'!$U322&lt;&gt;"Free Game",'Game Records'!$H322=""),"Entry Fee; ","")&amp;IF(AND('Game Records'!$U322&lt;&gt;"Subscription",'Game Records'!$U322&lt;&gt;"Free Game",'Game Records'!$I322=""),"Eligible Players; ","")&amp;IF(AND('Game Records'!$U322&lt;&gt;"Subscription",'Game Records'!$U322&lt;&gt;"Free Game",'Game Records'!$J322=""),"Total Players; ","")&amp;IF(AND(LOWER('Game Records'!$D322&amp;"")="finalized",LOWER('Game Records'!$L322&amp;"")&lt;&gt;"yes",'Game Records'!$U322&lt;&gt;"Subscription",'Game Records'!$U322&lt;&gt;"Free Game",'Game Records'!$K322=""),"Final Earned; ","")&amp;IF(AND(LOWER('Game Records'!$D322&amp;"")="finalized",'Game Records'!$U322&lt;&gt;"Subscription",'Game Records'!$U322&lt;&gt;"Free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Game",OR('Game Records'!$D323="",LOWER('Game Records'!$D323&amp;"")="n/a")),"Entry Mode; ","")&amp;IF(AND('Game Records'!$U323&lt;&gt;"Subscription",'Game Records'!$U323&lt;&gt;"Free Game",OR('Game Records'!$E323="",LOWER('Game Records'!$E323&amp;"")="n/a")),"Game Type; ","")&amp;IF('Game Records'!$F323="","Payment Type; ","")&amp;IF(AND('Game Records'!$U323&lt;&gt;"Subscription",'Game Records'!$U323&lt;&gt;"Free Game",'Game Records'!$G323=""),"Gross Pot; ","")&amp;IF(AND('Game Records'!$U323&lt;&gt;"Free Game",'Game Records'!$H323=""),"Entry Fee; ","")&amp;IF(AND('Game Records'!$U323&lt;&gt;"Subscription",'Game Records'!$U323&lt;&gt;"Free Game",'Game Records'!$I323=""),"Eligible Players; ","")&amp;IF(AND('Game Records'!$U323&lt;&gt;"Subscription",'Game Records'!$U323&lt;&gt;"Free Game",'Game Records'!$J323=""),"Total Players; ","")&amp;IF(AND(LOWER('Game Records'!$D323&amp;"")="finalized",LOWER('Game Records'!$L323&amp;"")&lt;&gt;"yes",'Game Records'!$U323&lt;&gt;"Subscription",'Game Records'!$U323&lt;&gt;"Free Game",'Game Records'!$K323=""),"Final Earned; ","")&amp;IF(AND(LOWER('Game Records'!$D323&amp;"")="finalized",'Game Records'!$U323&lt;&gt;"Subscription",'Game Records'!$U323&lt;&gt;"Free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Game",OR('Game Records'!$D324="",LOWER('Game Records'!$D324&amp;"")="n/a")),"Entry Mode; ","")&amp;IF(AND('Game Records'!$U324&lt;&gt;"Subscription",'Game Records'!$U324&lt;&gt;"Free Game",OR('Game Records'!$E324="",LOWER('Game Records'!$E324&amp;"")="n/a")),"Game Type; ","")&amp;IF('Game Records'!$F324="","Payment Type; ","")&amp;IF(AND('Game Records'!$U324&lt;&gt;"Subscription",'Game Records'!$U324&lt;&gt;"Free Game",'Game Records'!$G324=""),"Gross Pot; ","")&amp;IF(AND('Game Records'!$U324&lt;&gt;"Free Game",'Game Records'!$H324=""),"Entry Fee; ","")&amp;IF(AND('Game Records'!$U324&lt;&gt;"Subscription",'Game Records'!$U324&lt;&gt;"Free Game",'Game Records'!$I324=""),"Eligible Players; ","")&amp;IF(AND('Game Records'!$U324&lt;&gt;"Subscription",'Game Records'!$U324&lt;&gt;"Free Game",'Game Records'!$J324=""),"Total Players; ","")&amp;IF(AND(LOWER('Game Records'!$D324&amp;"")="finalized",LOWER('Game Records'!$L324&amp;"")&lt;&gt;"yes",'Game Records'!$U324&lt;&gt;"Subscription",'Game Records'!$U324&lt;&gt;"Free Game",'Game Records'!$K324=""),"Final Earned; ","")&amp;IF(AND(LOWER('Game Records'!$D324&amp;"")="finalized",'Game Records'!$U324&lt;&gt;"Subscription",'Game Records'!$U324&lt;&gt;"Free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Game",OR('Game Records'!$D325="",LOWER('Game Records'!$D325&amp;"")="n/a")),"Entry Mode; ","")&amp;IF(AND('Game Records'!$U325&lt;&gt;"Subscription",'Game Records'!$U325&lt;&gt;"Free Game",OR('Game Records'!$E325="",LOWER('Game Records'!$E325&amp;"")="n/a")),"Game Type; ","")&amp;IF('Game Records'!$F325="","Payment Type; ","")&amp;IF(AND('Game Records'!$U325&lt;&gt;"Subscription",'Game Records'!$U325&lt;&gt;"Free Game",'Game Records'!$G325=""),"Gross Pot; ","")&amp;IF(AND('Game Records'!$U325&lt;&gt;"Free Game",'Game Records'!$H325=""),"Entry Fee; ","")&amp;IF(AND('Game Records'!$U325&lt;&gt;"Subscription",'Game Records'!$U325&lt;&gt;"Free Game",'Game Records'!$I325=""),"Eligible Players; ","")&amp;IF(AND('Game Records'!$U325&lt;&gt;"Subscription",'Game Records'!$U325&lt;&gt;"Free Game",'Game Records'!$J325=""),"Total Players; ","")&amp;IF(AND(LOWER('Game Records'!$D325&amp;"")="finalized",LOWER('Game Records'!$L325&amp;"")&lt;&gt;"yes",'Game Records'!$U325&lt;&gt;"Subscription",'Game Records'!$U325&lt;&gt;"Free Game",'Game Records'!$K325=""),"Final Earned; ","")&amp;IF(AND(LOWER('Game Records'!$D325&amp;"")="finalized",'Game Records'!$U325&lt;&gt;"Subscription",'Game Records'!$U325&lt;&gt;"Free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Game",OR('Game Records'!$D326="",LOWER('Game Records'!$D326&amp;"")="n/a")),"Entry Mode; ","")&amp;IF(AND('Game Records'!$U326&lt;&gt;"Subscription",'Game Records'!$U326&lt;&gt;"Free Game",OR('Game Records'!$E326="",LOWER('Game Records'!$E326&amp;"")="n/a")),"Game Type; ","")&amp;IF('Game Records'!$F326="","Payment Type; ","")&amp;IF(AND('Game Records'!$U326&lt;&gt;"Subscription",'Game Records'!$U326&lt;&gt;"Free Game",'Game Records'!$G326=""),"Gross Pot; ","")&amp;IF(AND('Game Records'!$U326&lt;&gt;"Free Game",'Game Records'!$H326=""),"Entry Fee; ","")&amp;IF(AND('Game Records'!$U326&lt;&gt;"Subscription",'Game Records'!$U326&lt;&gt;"Free Game",'Game Records'!$I326=""),"Eligible Players; ","")&amp;IF(AND('Game Records'!$U326&lt;&gt;"Subscription",'Game Records'!$U326&lt;&gt;"Free Game",'Game Records'!$J326=""),"Total Players; ","")&amp;IF(AND(LOWER('Game Records'!$D326&amp;"")="finalized",LOWER('Game Records'!$L326&amp;"")&lt;&gt;"yes",'Game Records'!$U326&lt;&gt;"Subscription",'Game Records'!$U326&lt;&gt;"Free Game",'Game Records'!$K326=""),"Final Earned; ","")&amp;IF(AND(LOWER('Game Records'!$D326&amp;"")="finalized",'Game Records'!$U326&lt;&gt;"Subscription",'Game Records'!$U326&lt;&gt;"Free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Game",OR('Game Records'!$D327="",LOWER('Game Records'!$D327&amp;"")="n/a")),"Entry Mode; ","")&amp;IF(AND('Game Records'!$U327&lt;&gt;"Subscription",'Game Records'!$U327&lt;&gt;"Free Game",OR('Game Records'!$E327="",LOWER('Game Records'!$E327&amp;"")="n/a")),"Game Type; ","")&amp;IF('Game Records'!$F327="","Payment Type; ","")&amp;IF(AND('Game Records'!$U327&lt;&gt;"Subscription",'Game Records'!$U327&lt;&gt;"Free Game",'Game Records'!$G327=""),"Gross Pot; ","")&amp;IF(AND('Game Records'!$U327&lt;&gt;"Free Game",'Game Records'!$H327=""),"Entry Fee; ","")&amp;IF(AND('Game Records'!$U327&lt;&gt;"Subscription",'Game Records'!$U327&lt;&gt;"Free Game",'Game Records'!$I327=""),"Eligible Players; ","")&amp;IF(AND('Game Records'!$U327&lt;&gt;"Subscription",'Game Records'!$U327&lt;&gt;"Free Game",'Game Records'!$J327=""),"Total Players; ","")&amp;IF(AND(LOWER('Game Records'!$D327&amp;"")="finalized",LOWER('Game Records'!$L327&amp;"")&lt;&gt;"yes",'Game Records'!$U327&lt;&gt;"Subscription",'Game Records'!$U327&lt;&gt;"Free Game",'Game Records'!$K327=""),"Final Earned; ","")&amp;IF(AND(LOWER('Game Records'!$D327&amp;"")="finalized",'Game Records'!$U327&lt;&gt;"Subscription",'Game Records'!$U327&lt;&gt;"Free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Game",OR('Game Records'!$D328="",LOWER('Game Records'!$D328&amp;"")="n/a")),"Entry Mode; ","")&amp;IF(AND('Game Records'!$U328&lt;&gt;"Subscription",'Game Records'!$U328&lt;&gt;"Free Game",OR('Game Records'!$E328="",LOWER('Game Records'!$E328&amp;"")="n/a")),"Game Type; ","")&amp;IF('Game Records'!$F328="","Payment Type; ","")&amp;IF(AND('Game Records'!$U328&lt;&gt;"Subscription",'Game Records'!$U328&lt;&gt;"Free Game",'Game Records'!$G328=""),"Gross Pot; ","")&amp;IF(AND('Game Records'!$U328&lt;&gt;"Free Game",'Game Records'!$H328=""),"Entry Fee; ","")&amp;IF(AND('Game Records'!$U328&lt;&gt;"Subscription",'Game Records'!$U328&lt;&gt;"Free Game",'Game Records'!$I328=""),"Eligible Players; ","")&amp;IF(AND('Game Records'!$U328&lt;&gt;"Subscription",'Game Records'!$U328&lt;&gt;"Free Game",'Game Records'!$J328=""),"Total Players; ","")&amp;IF(AND(LOWER('Game Records'!$D328&amp;"")="finalized",LOWER('Game Records'!$L328&amp;"")&lt;&gt;"yes",'Game Records'!$U328&lt;&gt;"Subscription",'Game Records'!$U328&lt;&gt;"Free Game",'Game Records'!$K328=""),"Final Earned; ","")&amp;IF(AND(LOWER('Game Records'!$D328&amp;"")="finalized",'Game Records'!$U328&lt;&gt;"Subscription",'Game Records'!$U328&lt;&gt;"Free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Game",OR('Game Records'!$D329="",LOWER('Game Records'!$D329&amp;"")="n/a")),"Entry Mode; ","")&amp;IF(AND('Game Records'!$U329&lt;&gt;"Subscription",'Game Records'!$U329&lt;&gt;"Free Game",OR('Game Records'!$E329="",LOWER('Game Records'!$E329&amp;"")="n/a")),"Game Type; ","")&amp;IF('Game Records'!$F329="","Payment Type; ","")&amp;IF(AND('Game Records'!$U329&lt;&gt;"Subscription",'Game Records'!$U329&lt;&gt;"Free Game",'Game Records'!$G329=""),"Gross Pot; ","")&amp;IF(AND('Game Records'!$U329&lt;&gt;"Free Game",'Game Records'!$H329=""),"Entry Fee; ","")&amp;IF(AND('Game Records'!$U329&lt;&gt;"Subscription",'Game Records'!$U329&lt;&gt;"Free Game",'Game Records'!$I329=""),"Eligible Players; ","")&amp;IF(AND('Game Records'!$U329&lt;&gt;"Subscription",'Game Records'!$U329&lt;&gt;"Free Game",'Game Records'!$J329=""),"Total Players; ","")&amp;IF(AND(LOWER('Game Records'!$D329&amp;"")="finalized",LOWER('Game Records'!$L329&amp;"")&lt;&gt;"yes",'Game Records'!$U329&lt;&gt;"Subscription",'Game Records'!$U329&lt;&gt;"Free Game",'Game Records'!$K329=""),"Final Earned; ","")&amp;IF(AND(LOWER('Game Records'!$D329&amp;"")="finalized",'Game Records'!$U329&lt;&gt;"Subscription",'Game Records'!$U329&lt;&gt;"Free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Game",OR('Game Records'!$D330="",LOWER('Game Records'!$D330&amp;"")="n/a")),"Entry Mode; ","")&amp;IF(AND('Game Records'!$U330&lt;&gt;"Subscription",'Game Records'!$U330&lt;&gt;"Free Game",OR('Game Records'!$E330="",LOWER('Game Records'!$E330&amp;"")="n/a")),"Game Type; ","")&amp;IF('Game Records'!$F330="","Payment Type; ","")&amp;IF(AND('Game Records'!$U330&lt;&gt;"Subscription",'Game Records'!$U330&lt;&gt;"Free Game",'Game Records'!$G330=""),"Gross Pot; ","")&amp;IF(AND('Game Records'!$U330&lt;&gt;"Free Game",'Game Records'!$H330=""),"Entry Fee; ","")&amp;IF(AND('Game Records'!$U330&lt;&gt;"Subscription",'Game Records'!$U330&lt;&gt;"Free Game",'Game Records'!$I330=""),"Eligible Players; ","")&amp;IF(AND('Game Records'!$U330&lt;&gt;"Subscription",'Game Records'!$U330&lt;&gt;"Free Game",'Game Records'!$J330=""),"Total Players; ","")&amp;IF(AND(LOWER('Game Records'!$D330&amp;"")="finalized",LOWER('Game Records'!$L330&amp;"")&lt;&gt;"yes",'Game Records'!$U330&lt;&gt;"Subscription",'Game Records'!$U330&lt;&gt;"Free Game",'Game Records'!$K330=""),"Final Earned; ","")&amp;IF(AND(LOWER('Game Records'!$D330&amp;"")="finalized",'Game Records'!$U330&lt;&gt;"Subscription",'Game Records'!$U330&lt;&gt;"Free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Game",OR('Game Records'!$D331="",LOWER('Game Records'!$D331&amp;"")="n/a")),"Entry Mode; ","")&amp;IF(AND('Game Records'!$U331&lt;&gt;"Subscription",'Game Records'!$U331&lt;&gt;"Free Game",OR('Game Records'!$E331="",LOWER('Game Records'!$E331&amp;"")="n/a")),"Game Type; ","")&amp;IF('Game Records'!$F331="","Payment Type; ","")&amp;IF(AND('Game Records'!$U331&lt;&gt;"Subscription",'Game Records'!$U331&lt;&gt;"Free Game",'Game Records'!$G331=""),"Gross Pot; ","")&amp;IF(AND('Game Records'!$U331&lt;&gt;"Free Game",'Game Records'!$H331=""),"Entry Fee; ","")&amp;IF(AND('Game Records'!$U331&lt;&gt;"Subscription",'Game Records'!$U331&lt;&gt;"Free Game",'Game Records'!$I331=""),"Eligible Players; ","")&amp;IF(AND('Game Records'!$U331&lt;&gt;"Subscription",'Game Records'!$U331&lt;&gt;"Free Game",'Game Records'!$J331=""),"Total Players; ","")&amp;IF(AND(LOWER('Game Records'!$D331&amp;"")="finalized",LOWER('Game Records'!$L331&amp;"")&lt;&gt;"yes",'Game Records'!$U331&lt;&gt;"Subscription",'Game Records'!$U331&lt;&gt;"Free Game",'Game Records'!$K331=""),"Final Earned; ","")&amp;IF(AND(LOWER('Game Records'!$D331&amp;"")="finalized",'Game Records'!$U331&lt;&gt;"Subscription",'Game Records'!$U331&lt;&gt;"Free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Game",OR('Game Records'!$D332="",LOWER('Game Records'!$D332&amp;"")="n/a")),"Entry Mode; ","")&amp;IF(AND('Game Records'!$U332&lt;&gt;"Subscription",'Game Records'!$U332&lt;&gt;"Free Game",OR('Game Records'!$E332="",LOWER('Game Records'!$E332&amp;"")="n/a")),"Game Type; ","")&amp;IF('Game Records'!$F332="","Payment Type; ","")&amp;IF(AND('Game Records'!$U332&lt;&gt;"Subscription",'Game Records'!$U332&lt;&gt;"Free Game",'Game Records'!$G332=""),"Gross Pot; ","")&amp;IF(AND('Game Records'!$U332&lt;&gt;"Free Game",'Game Records'!$H332=""),"Entry Fee; ","")&amp;IF(AND('Game Records'!$U332&lt;&gt;"Subscription",'Game Records'!$U332&lt;&gt;"Free Game",'Game Records'!$I332=""),"Eligible Players; ","")&amp;IF(AND('Game Records'!$U332&lt;&gt;"Subscription",'Game Records'!$U332&lt;&gt;"Free Game",'Game Records'!$J332=""),"Total Players; ","")&amp;IF(AND(LOWER('Game Records'!$D332&amp;"")="finalized",LOWER('Game Records'!$L332&amp;"")&lt;&gt;"yes",'Game Records'!$U332&lt;&gt;"Subscription",'Game Records'!$U332&lt;&gt;"Free Game",'Game Records'!$K332=""),"Final Earned; ","")&amp;IF(AND(LOWER('Game Records'!$D332&amp;"")="finalized",'Game Records'!$U332&lt;&gt;"Subscription",'Game Records'!$U332&lt;&gt;"Free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Game",OR('Game Records'!$D333="",LOWER('Game Records'!$D333&amp;"")="n/a")),"Entry Mode; ","")&amp;IF(AND('Game Records'!$U333&lt;&gt;"Subscription",'Game Records'!$U333&lt;&gt;"Free Game",OR('Game Records'!$E333="",LOWER('Game Records'!$E333&amp;"")="n/a")),"Game Type; ","")&amp;IF('Game Records'!$F333="","Payment Type; ","")&amp;IF(AND('Game Records'!$U333&lt;&gt;"Subscription",'Game Records'!$U333&lt;&gt;"Free Game",'Game Records'!$G333=""),"Gross Pot; ","")&amp;IF(AND('Game Records'!$U333&lt;&gt;"Free Game",'Game Records'!$H333=""),"Entry Fee; ","")&amp;IF(AND('Game Records'!$U333&lt;&gt;"Subscription",'Game Records'!$U333&lt;&gt;"Free Game",'Game Records'!$I333=""),"Eligible Players; ","")&amp;IF(AND('Game Records'!$U333&lt;&gt;"Subscription",'Game Records'!$U333&lt;&gt;"Free Game",'Game Records'!$J333=""),"Total Players; ","")&amp;IF(AND(LOWER('Game Records'!$D333&amp;"")="finalized",LOWER('Game Records'!$L333&amp;"")&lt;&gt;"yes",'Game Records'!$U333&lt;&gt;"Subscription",'Game Records'!$U333&lt;&gt;"Free Game",'Game Records'!$K333=""),"Final Earned; ","")&amp;IF(AND(LOWER('Game Records'!$D333&amp;"")="finalized",'Game Records'!$U333&lt;&gt;"Subscription",'Game Records'!$U333&lt;&gt;"Free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Game",OR('Game Records'!$D334="",LOWER('Game Records'!$D334&amp;"")="n/a")),"Entry Mode; ","")&amp;IF(AND('Game Records'!$U334&lt;&gt;"Subscription",'Game Records'!$U334&lt;&gt;"Free Game",OR('Game Records'!$E334="",LOWER('Game Records'!$E334&amp;"")="n/a")),"Game Type; ","")&amp;IF('Game Records'!$F334="","Payment Type; ","")&amp;IF(AND('Game Records'!$U334&lt;&gt;"Subscription",'Game Records'!$U334&lt;&gt;"Free Game",'Game Records'!$G334=""),"Gross Pot; ","")&amp;IF(AND('Game Records'!$U334&lt;&gt;"Free Game",'Game Records'!$H334=""),"Entry Fee; ","")&amp;IF(AND('Game Records'!$U334&lt;&gt;"Subscription",'Game Records'!$U334&lt;&gt;"Free Game",'Game Records'!$I334=""),"Eligible Players; ","")&amp;IF(AND('Game Records'!$U334&lt;&gt;"Subscription",'Game Records'!$U334&lt;&gt;"Free Game",'Game Records'!$J334=""),"Total Players; ","")&amp;IF(AND(LOWER('Game Records'!$D334&amp;"")="finalized",LOWER('Game Records'!$L334&amp;"")&lt;&gt;"yes",'Game Records'!$U334&lt;&gt;"Subscription",'Game Records'!$U334&lt;&gt;"Free Game",'Game Records'!$K334=""),"Final Earned; ","")&amp;IF(AND(LOWER('Game Records'!$D334&amp;"")="finalized",'Game Records'!$U334&lt;&gt;"Subscription",'Game Records'!$U334&lt;&gt;"Free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Game",OR('Game Records'!$D335="",LOWER('Game Records'!$D335&amp;"")="n/a")),"Entry Mode; ","")&amp;IF(AND('Game Records'!$U335&lt;&gt;"Subscription",'Game Records'!$U335&lt;&gt;"Free Game",OR('Game Records'!$E335="",LOWER('Game Records'!$E335&amp;"")="n/a")),"Game Type; ","")&amp;IF('Game Records'!$F335="","Payment Type; ","")&amp;IF(AND('Game Records'!$U335&lt;&gt;"Subscription",'Game Records'!$U335&lt;&gt;"Free Game",'Game Records'!$G335=""),"Gross Pot; ","")&amp;IF(AND('Game Records'!$U335&lt;&gt;"Free Game",'Game Records'!$H335=""),"Entry Fee; ","")&amp;IF(AND('Game Records'!$U335&lt;&gt;"Subscription",'Game Records'!$U335&lt;&gt;"Free Game",'Game Records'!$I335=""),"Eligible Players; ","")&amp;IF(AND('Game Records'!$U335&lt;&gt;"Subscription",'Game Records'!$U335&lt;&gt;"Free Game",'Game Records'!$J335=""),"Total Players; ","")&amp;IF(AND(LOWER('Game Records'!$D335&amp;"")="finalized",LOWER('Game Records'!$L335&amp;"")&lt;&gt;"yes",'Game Records'!$U335&lt;&gt;"Subscription",'Game Records'!$U335&lt;&gt;"Free Game",'Game Records'!$K335=""),"Final Earned; ","")&amp;IF(AND(LOWER('Game Records'!$D335&amp;"")="finalized",'Game Records'!$U335&lt;&gt;"Subscription",'Game Records'!$U335&lt;&gt;"Free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Game",OR('Game Records'!$D336="",LOWER('Game Records'!$D336&amp;"")="n/a")),"Entry Mode; ","")&amp;IF(AND('Game Records'!$U336&lt;&gt;"Subscription",'Game Records'!$U336&lt;&gt;"Free Game",OR('Game Records'!$E336="",LOWER('Game Records'!$E336&amp;"")="n/a")),"Game Type; ","")&amp;IF('Game Records'!$F336="","Payment Type; ","")&amp;IF(AND('Game Records'!$U336&lt;&gt;"Subscription",'Game Records'!$U336&lt;&gt;"Free Game",'Game Records'!$G336=""),"Gross Pot; ","")&amp;IF(AND('Game Records'!$U336&lt;&gt;"Free Game",'Game Records'!$H336=""),"Entry Fee; ","")&amp;IF(AND('Game Records'!$U336&lt;&gt;"Subscription",'Game Records'!$U336&lt;&gt;"Free Game",'Game Records'!$I336=""),"Eligible Players; ","")&amp;IF(AND('Game Records'!$U336&lt;&gt;"Subscription",'Game Records'!$U336&lt;&gt;"Free Game",'Game Records'!$J336=""),"Total Players; ","")&amp;IF(AND(LOWER('Game Records'!$D336&amp;"")="finalized",LOWER('Game Records'!$L336&amp;"")&lt;&gt;"yes",'Game Records'!$U336&lt;&gt;"Subscription",'Game Records'!$U336&lt;&gt;"Free Game",'Game Records'!$K336=""),"Final Earned; ","")&amp;IF(AND(LOWER('Game Records'!$D336&amp;"")="finalized",'Game Records'!$U336&lt;&gt;"Subscription",'Game Records'!$U336&lt;&gt;"Free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Game",OR('Game Records'!$D337="",LOWER('Game Records'!$D337&amp;"")="n/a")),"Entry Mode; ","")&amp;IF(AND('Game Records'!$U337&lt;&gt;"Subscription",'Game Records'!$U337&lt;&gt;"Free Game",OR('Game Records'!$E337="",LOWER('Game Records'!$E337&amp;"")="n/a")),"Game Type; ","")&amp;IF('Game Records'!$F337="","Payment Type; ","")&amp;IF(AND('Game Records'!$U337&lt;&gt;"Subscription",'Game Records'!$U337&lt;&gt;"Free Game",'Game Records'!$G337=""),"Gross Pot; ","")&amp;IF(AND('Game Records'!$U337&lt;&gt;"Free Game",'Game Records'!$H337=""),"Entry Fee; ","")&amp;IF(AND('Game Records'!$U337&lt;&gt;"Subscription",'Game Records'!$U337&lt;&gt;"Free Game",'Game Records'!$I337=""),"Eligible Players; ","")&amp;IF(AND('Game Records'!$U337&lt;&gt;"Subscription",'Game Records'!$U337&lt;&gt;"Free Game",'Game Records'!$J337=""),"Total Players; ","")&amp;IF(AND(LOWER('Game Records'!$D337&amp;"")="finalized",LOWER('Game Records'!$L337&amp;"")&lt;&gt;"yes",'Game Records'!$U337&lt;&gt;"Subscription",'Game Records'!$U337&lt;&gt;"Free Game",'Game Records'!$K337=""),"Final Earned; ","")&amp;IF(AND(LOWER('Game Records'!$D337&amp;"")="finalized",'Game Records'!$U337&lt;&gt;"Subscription",'Game Records'!$U337&lt;&gt;"Free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Game",OR('Game Records'!$D338="",LOWER('Game Records'!$D338&amp;"")="n/a")),"Entry Mode; ","")&amp;IF(AND('Game Records'!$U338&lt;&gt;"Subscription",'Game Records'!$U338&lt;&gt;"Free Game",OR('Game Records'!$E338="",LOWER('Game Records'!$E338&amp;"")="n/a")),"Game Type; ","")&amp;IF('Game Records'!$F338="","Payment Type; ","")&amp;IF(AND('Game Records'!$U338&lt;&gt;"Subscription",'Game Records'!$U338&lt;&gt;"Free Game",'Game Records'!$G338=""),"Gross Pot; ","")&amp;IF(AND('Game Records'!$U338&lt;&gt;"Free Game",'Game Records'!$H338=""),"Entry Fee; ","")&amp;IF(AND('Game Records'!$U338&lt;&gt;"Subscription",'Game Records'!$U338&lt;&gt;"Free Game",'Game Records'!$I338=""),"Eligible Players; ","")&amp;IF(AND('Game Records'!$U338&lt;&gt;"Subscription",'Game Records'!$U338&lt;&gt;"Free Game",'Game Records'!$J338=""),"Total Players; ","")&amp;IF(AND(LOWER('Game Records'!$D338&amp;"")="finalized",LOWER('Game Records'!$L338&amp;"")&lt;&gt;"yes",'Game Records'!$U338&lt;&gt;"Subscription",'Game Records'!$U338&lt;&gt;"Free Game",'Game Records'!$K338=""),"Final Earned; ","")&amp;IF(AND(LOWER('Game Records'!$D338&amp;"")="finalized",'Game Records'!$U338&lt;&gt;"Subscription",'Game Records'!$U338&lt;&gt;"Free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Game",OR('Game Records'!$D339="",LOWER('Game Records'!$D339&amp;"")="n/a")),"Entry Mode; ","")&amp;IF(AND('Game Records'!$U339&lt;&gt;"Subscription",'Game Records'!$U339&lt;&gt;"Free Game",OR('Game Records'!$E339="",LOWER('Game Records'!$E339&amp;"")="n/a")),"Game Type; ","")&amp;IF('Game Records'!$F339="","Payment Type; ","")&amp;IF(AND('Game Records'!$U339&lt;&gt;"Subscription",'Game Records'!$U339&lt;&gt;"Free Game",'Game Records'!$G339=""),"Gross Pot; ","")&amp;IF(AND('Game Records'!$U339&lt;&gt;"Free Game",'Game Records'!$H339=""),"Entry Fee; ","")&amp;IF(AND('Game Records'!$U339&lt;&gt;"Subscription",'Game Records'!$U339&lt;&gt;"Free Game",'Game Records'!$I339=""),"Eligible Players; ","")&amp;IF(AND('Game Records'!$U339&lt;&gt;"Subscription",'Game Records'!$U339&lt;&gt;"Free Game",'Game Records'!$J339=""),"Total Players; ","")&amp;IF(AND(LOWER('Game Records'!$D339&amp;"")="finalized",LOWER('Game Records'!$L339&amp;"")&lt;&gt;"yes",'Game Records'!$U339&lt;&gt;"Subscription",'Game Records'!$U339&lt;&gt;"Free Game",'Game Records'!$K339=""),"Final Earned; ","")&amp;IF(AND(LOWER('Game Records'!$D339&amp;"")="finalized",'Game Records'!$U339&lt;&gt;"Subscription",'Game Records'!$U339&lt;&gt;"Free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Game",OR('Game Records'!$D340="",LOWER('Game Records'!$D340&amp;"")="n/a")),"Entry Mode; ","")&amp;IF(AND('Game Records'!$U340&lt;&gt;"Subscription",'Game Records'!$U340&lt;&gt;"Free Game",OR('Game Records'!$E340="",LOWER('Game Records'!$E340&amp;"")="n/a")),"Game Type; ","")&amp;IF('Game Records'!$F340="","Payment Type; ","")&amp;IF(AND('Game Records'!$U340&lt;&gt;"Subscription",'Game Records'!$U340&lt;&gt;"Free Game",'Game Records'!$G340=""),"Gross Pot; ","")&amp;IF(AND('Game Records'!$U340&lt;&gt;"Free Game",'Game Records'!$H340=""),"Entry Fee; ","")&amp;IF(AND('Game Records'!$U340&lt;&gt;"Subscription",'Game Records'!$U340&lt;&gt;"Free Game",'Game Records'!$I340=""),"Eligible Players; ","")&amp;IF(AND('Game Records'!$U340&lt;&gt;"Subscription",'Game Records'!$U340&lt;&gt;"Free Game",'Game Records'!$J340=""),"Total Players; ","")&amp;IF(AND(LOWER('Game Records'!$D340&amp;"")="finalized",LOWER('Game Records'!$L340&amp;"")&lt;&gt;"yes",'Game Records'!$U340&lt;&gt;"Subscription",'Game Records'!$U340&lt;&gt;"Free Game",'Game Records'!$K340=""),"Final Earned; ","")&amp;IF(AND(LOWER('Game Records'!$D340&amp;"")="finalized",'Game Records'!$U340&lt;&gt;"Subscription",'Game Records'!$U340&lt;&gt;"Free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Game",OR('Game Records'!$D341="",LOWER('Game Records'!$D341&amp;"")="n/a")),"Entry Mode; ","")&amp;IF(AND('Game Records'!$U341&lt;&gt;"Subscription",'Game Records'!$U341&lt;&gt;"Free Game",OR('Game Records'!$E341="",LOWER('Game Records'!$E341&amp;"")="n/a")),"Game Type; ","")&amp;IF('Game Records'!$F341="","Payment Type; ","")&amp;IF(AND('Game Records'!$U341&lt;&gt;"Subscription",'Game Records'!$U341&lt;&gt;"Free Game",'Game Records'!$G341=""),"Gross Pot; ","")&amp;IF(AND('Game Records'!$U341&lt;&gt;"Free Game",'Game Records'!$H341=""),"Entry Fee; ","")&amp;IF(AND('Game Records'!$U341&lt;&gt;"Subscription",'Game Records'!$U341&lt;&gt;"Free Game",'Game Records'!$I341=""),"Eligible Players; ","")&amp;IF(AND('Game Records'!$U341&lt;&gt;"Subscription",'Game Records'!$U341&lt;&gt;"Free Game",'Game Records'!$J341=""),"Total Players; ","")&amp;IF(AND(LOWER('Game Records'!$D341&amp;"")="finalized",LOWER('Game Records'!$L341&amp;"")&lt;&gt;"yes",'Game Records'!$U341&lt;&gt;"Subscription",'Game Records'!$U341&lt;&gt;"Free Game",'Game Records'!$K341=""),"Final Earned; ","")&amp;IF(AND(LOWER('Game Records'!$D341&amp;"")="finalized",'Game Records'!$U341&lt;&gt;"Subscription",'Game Records'!$U341&lt;&gt;"Free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Game",OR('Game Records'!$D342="",LOWER('Game Records'!$D342&amp;"")="n/a")),"Entry Mode; ","")&amp;IF(AND('Game Records'!$U342&lt;&gt;"Subscription",'Game Records'!$U342&lt;&gt;"Free Game",OR('Game Records'!$E342="",LOWER('Game Records'!$E342&amp;"")="n/a")),"Game Type; ","")&amp;IF('Game Records'!$F342="","Payment Type; ","")&amp;IF(AND('Game Records'!$U342&lt;&gt;"Subscription",'Game Records'!$U342&lt;&gt;"Free Game",'Game Records'!$G342=""),"Gross Pot; ","")&amp;IF(AND('Game Records'!$U342&lt;&gt;"Free Game",'Game Records'!$H342=""),"Entry Fee; ","")&amp;IF(AND('Game Records'!$U342&lt;&gt;"Subscription",'Game Records'!$U342&lt;&gt;"Free Game",'Game Records'!$I342=""),"Eligible Players; ","")&amp;IF(AND('Game Records'!$U342&lt;&gt;"Subscription",'Game Records'!$U342&lt;&gt;"Free Game",'Game Records'!$J342=""),"Total Players; ","")&amp;IF(AND(LOWER('Game Records'!$D342&amp;"")="finalized",LOWER('Game Records'!$L342&amp;"")&lt;&gt;"yes",'Game Records'!$U342&lt;&gt;"Subscription",'Game Records'!$U342&lt;&gt;"Free Game",'Game Records'!$K342=""),"Final Earned; ","")&amp;IF(AND(LOWER('Game Records'!$D342&amp;"")="finalized",'Game Records'!$U342&lt;&gt;"Subscription",'Game Records'!$U342&lt;&gt;"Free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Game",OR('Game Records'!$D343="",LOWER('Game Records'!$D343&amp;"")="n/a")),"Entry Mode; ","")&amp;IF(AND('Game Records'!$U343&lt;&gt;"Subscription",'Game Records'!$U343&lt;&gt;"Free Game",OR('Game Records'!$E343="",LOWER('Game Records'!$E343&amp;"")="n/a")),"Game Type; ","")&amp;IF('Game Records'!$F343="","Payment Type; ","")&amp;IF(AND('Game Records'!$U343&lt;&gt;"Subscription",'Game Records'!$U343&lt;&gt;"Free Game",'Game Records'!$G343=""),"Gross Pot; ","")&amp;IF(AND('Game Records'!$U343&lt;&gt;"Free Game",'Game Records'!$H343=""),"Entry Fee; ","")&amp;IF(AND('Game Records'!$U343&lt;&gt;"Subscription",'Game Records'!$U343&lt;&gt;"Free Game",'Game Records'!$I343=""),"Eligible Players; ","")&amp;IF(AND('Game Records'!$U343&lt;&gt;"Subscription",'Game Records'!$U343&lt;&gt;"Free Game",'Game Records'!$J343=""),"Total Players; ","")&amp;IF(AND(LOWER('Game Records'!$D343&amp;"")="finalized",LOWER('Game Records'!$L343&amp;"")&lt;&gt;"yes",'Game Records'!$U343&lt;&gt;"Subscription",'Game Records'!$U343&lt;&gt;"Free Game",'Game Records'!$K343=""),"Final Earned; ","")&amp;IF(AND(LOWER('Game Records'!$D343&amp;"")="finalized",'Game Records'!$U343&lt;&gt;"Subscription",'Game Records'!$U343&lt;&gt;"Free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Game",OR('Game Records'!$D344="",LOWER('Game Records'!$D344&amp;"")="n/a")),"Entry Mode; ","")&amp;IF(AND('Game Records'!$U344&lt;&gt;"Subscription",'Game Records'!$U344&lt;&gt;"Free Game",OR('Game Records'!$E344="",LOWER('Game Records'!$E344&amp;"")="n/a")),"Game Type; ","")&amp;IF('Game Records'!$F344="","Payment Type; ","")&amp;IF(AND('Game Records'!$U344&lt;&gt;"Subscription",'Game Records'!$U344&lt;&gt;"Free Game",'Game Records'!$G344=""),"Gross Pot; ","")&amp;IF(AND('Game Records'!$U344&lt;&gt;"Free Game",'Game Records'!$H344=""),"Entry Fee; ","")&amp;IF(AND('Game Records'!$U344&lt;&gt;"Subscription",'Game Records'!$U344&lt;&gt;"Free Game",'Game Records'!$I344=""),"Eligible Players; ","")&amp;IF(AND('Game Records'!$U344&lt;&gt;"Subscription",'Game Records'!$U344&lt;&gt;"Free Game",'Game Records'!$J344=""),"Total Players; ","")&amp;IF(AND(LOWER('Game Records'!$D344&amp;"")="finalized",LOWER('Game Records'!$L344&amp;"")&lt;&gt;"yes",'Game Records'!$U344&lt;&gt;"Subscription",'Game Records'!$U344&lt;&gt;"Free Game",'Game Records'!$K344=""),"Final Earned; ","")&amp;IF(AND(LOWER('Game Records'!$D344&amp;"")="finalized",'Game Records'!$U344&lt;&gt;"Subscription",'Game Records'!$U344&lt;&gt;"Free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Game",OR('Game Records'!$D345="",LOWER('Game Records'!$D345&amp;"")="n/a")),"Entry Mode; ","")&amp;IF(AND('Game Records'!$U345&lt;&gt;"Subscription",'Game Records'!$U345&lt;&gt;"Free Game",OR('Game Records'!$E345="",LOWER('Game Records'!$E345&amp;"")="n/a")),"Game Type; ","")&amp;IF('Game Records'!$F345="","Payment Type; ","")&amp;IF(AND('Game Records'!$U345&lt;&gt;"Subscription",'Game Records'!$U345&lt;&gt;"Free Game",'Game Records'!$G345=""),"Gross Pot; ","")&amp;IF(AND('Game Records'!$U345&lt;&gt;"Free Game",'Game Records'!$H345=""),"Entry Fee; ","")&amp;IF(AND('Game Records'!$U345&lt;&gt;"Subscription",'Game Records'!$U345&lt;&gt;"Free Game",'Game Records'!$I345=""),"Eligible Players; ","")&amp;IF(AND('Game Records'!$U345&lt;&gt;"Subscription",'Game Records'!$U345&lt;&gt;"Free Game",'Game Records'!$J345=""),"Total Players; ","")&amp;IF(AND(LOWER('Game Records'!$D345&amp;"")="finalized",LOWER('Game Records'!$L345&amp;"")&lt;&gt;"yes",'Game Records'!$U345&lt;&gt;"Subscription",'Game Records'!$U345&lt;&gt;"Free Game",'Game Records'!$K345=""),"Final Earned; ","")&amp;IF(AND(LOWER('Game Records'!$D345&amp;"")="finalized",'Game Records'!$U345&lt;&gt;"Subscription",'Game Records'!$U345&lt;&gt;"Free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Game",OR('Game Records'!$D346="",LOWER('Game Records'!$D346&amp;"")="n/a")),"Entry Mode; ","")&amp;IF(AND('Game Records'!$U346&lt;&gt;"Subscription",'Game Records'!$U346&lt;&gt;"Free Game",OR('Game Records'!$E346="",LOWER('Game Records'!$E346&amp;"")="n/a")),"Game Type; ","")&amp;IF('Game Records'!$F346="","Payment Type; ","")&amp;IF(AND('Game Records'!$U346&lt;&gt;"Subscription",'Game Records'!$U346&lt;&gt;"Free Game",'Game Records'!$G346=""),"Gross Pot; ","")&amp;IF(AND('Game Records'!$U346&lt;&gt;"Free Game",'Game Records'!$H346=""),"Entry Fee; ","")&amp;IF(AND('Game Records'!$U346&lt;&gt;"Subscription",'Game Records'!$U346&lt;&gt;"Free Game",'Game Records'!$I346=""),"Eligible Players; ","")&amp;IF(AND('Game Records'!$U346&lt;&gt;"Subscription",'Game Records'!$U346&lt;&gt;"Free Game",'Game Records'!$J346=""),"Total Players; ","")&amp;IF(AND(LOWER('Game Records'!$D346&amp;"")="finalized",LOWER('Game Records'!$L346&amp;"")&lt;&gt;"yes",'Game Records'!$U346&lt;&gt;"Subscription",'Game Records'!$U346&lt;&gt;"Free Game",'Game Records'!$K346=""),"Final Earned; ","")&amp;IF(AND(LOWER('Game Records'!$D346&amp;"")="finalized",'Game Records'!$U346&lt;&gt;"Subscription",'Game Records'!$U346&lt;&gt;"Free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Game",OR('Game Records'!$D347="",LOWER('Game Records'!$D347&amp;"")="n/a")),"Entry Mode; ","")&amp;IF(AND('Game Records'!$U347&lt;&gt;"Subscription",'Game Records'!$U347&lt;&gt;"Free Game",OR('Game Records'!$E347="",LOWER('Game Records'!$E347&amp;"")="n/a")),"Game Type; ","")&amp;IF('Game Records'!$F347="","Payment Type; ","")&amp;IF(AND('Game Records'!$U347&lt;&gt;"Subscription",'Game Records'!$U347&lt;&gt;"Free Game",'Game Records'!$G347=""),"Gross Pot; ","")&amp;IF(AND('Game Records'!$U347&lt;&gt;"Free Game",'Game Records'!$H347=""),"Entry Fee; ","")&amp;IF(AND('Game Records'!$U347&lt;&gt;"Subscription",'Game Records'!$U347&lt;&gt;"Free Game",'Game Records'!$I347=""),"Eligible Players; ","")&amp;IF(AND('Game Records'!$U347&lt;&gt;"Subscription",'Game Records'!$U347&lt;&gt;"Free Game",'Game Records'!$J347=""),"Total Players; ","")&amp;IF(AND(LOWER('Game Records'!$D347&amp;"")="finalized",LOWER('Game Records'!$L347&amp;"")&lt;&gt;"yes",'Game Records'!$U347&lt;&gt;"Subscription",'Game Records'!$U347&lt;&gt;"Free Game",'Game Records'!$K347=""),"Final Earned; ","")&amp;IF(AND(LOWER('Game Records'!$D347&amp;"")="finalized",'Game Records'!$U347&lt;&gt;"Subscription",'Game Records'!$U347&lt;&gt;"Free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Game",OR('Game Records'!$D348="",LOWER('Game Records'!$D348&amp;"")="n/a")),"Entry Mode; ","")&amp;IF(AND('Game Records'!$U348&lt;&gt;"Subscription",'Game Records'!$U348&lt;&gt;"Free Game",OR('Game Records'!$E348="",LOWER('Game Records'!$E348&amp;"")="n/a")),"Game Type; ","")&amp;IF('Game Records'!$F348="","Payment Type; ","")&amp;IF(AND('Game Records'!$U348&lt;&gt;"Subscription",'Game Records'!$U348&lt;&gt;"Free Game",'Game Records'!$G348=""),"Gross Pot; ","")&amp;IF(AND('Game Records'!$U348&lt;&gt;"Free Game",'Game Records'!$H348=""),"Entry Fee; ","")&amp;IF(AND('Game Records'!$U348&lt;&gt;"Subscription",'Game Records'!$U348&lt;&gt;"Free Game",'Game Records'!$I348=""),"Eligible Players; ","")&amp;IF(AND('Game Records'!$U348&lt;&gt;"Subscription",'Game Records'!$U348&lt;&gt;"Free Game",'Game Records'!$J348=""),"Total Players; ","")&amp;IF(AND(LOWER('Game Records'!$D348&amp;"")="finalized",LOWER('Game Records'!$L348&amp;"")&lt;&gt;"yes",'Game Records'!$U348&lt;&gt;"Subscription",'Game Records'!$U348&lt;&gt;"Free Game",'Game Records'!$K348=""),"Final Earned; ","")&amp;IF(AND(LOWER('Game Records'!$D348&amp;"")="finalized",'Game Records'!$U348&lt;&gt;"Subscription",'Game Records'!$U348&lt;&gt;"Free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Game",OR('Game Records'!$D349="",LOWER('Game Records'!$D349&amp;"")="n/a")),"Entry Mode; ","")&amp;IF(AND('Game Records'!$U349&lt;&gt;"Subscription",'Game Records'!$U349&lt;&gt;"Free Game",OR('Game Records'!$E349="",LOWER('Game Records'!$E349&amp;"")="n/a")),"Game Type; ","")&amp;IF('Game Records'!$F349="","Payment Type; ","")&amp;IF(AND('Game Records'!$U349&lt;&gt;"Subscription",'Game Records'!$U349&lt;&gt;"Free Game",'Game Records'!$G349=""),"Gross Pot; ","")&amp;IF(AND('Game Records'!$U349&lt;&gt;"Free Game",'Game Records'!$H349=""),"Entry Fee; ","")&amp;IF(AND('Game Records'!$U349&lt;&gt;"Subscription",'Game Records'!$U349&lt;&gt;"Free Game",'Game Records'!$I349=""),"Eligible Players; ","")&amp;IF(AND('Game Records'!$U349&lt;&gt;"Subscription",'Game Records'!$U349&lt;&gt;"Free Game",'Game Records'!$J349=""),"Total Players; ","")&amp;IF(AND(LOWER('Game Records'!$D349&amp;"")="finalized",LOWER('Game Records'!$L349&amp;"")&lt;&gt;"yes",'Game Records'!$U349&lt;&gt;"Subscription",'Game Records'!$U349&lt;&gt;"Free Game",'Game Records'!$K349=""),"Final Earned; ","")&amp;IF(AND(LOWER('Game Records'!$D349&amp;"")="finalized",'Game Records'!$U349&lt;&gt;"Subscription",'Game Records'!$U349&lt;&gt;"Free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Game",OR('Game Records'!$D350="",LOWER('Game Records'!$D350&amp;"")="n/a")),"Entry Mode; ","")&amp;IF(AND('Game Records'!$U350&lt;&gt;"Subscription",'Game Records'!$U350&lt;&gt;"Free Game",OR('Game Records'!$E350="",LOWER('Game Records'!$E350&amp;"")="n/a")),"Game Type; ","")&amp;IF('Game Records'!$F350="","Payment Type; ","")&amp;IF(AND('Game Records'!$U350&lt;&gt;"Subscription",'Game Records'!$U350&lt;&gt;"Free Game",'Game Records'!$G350=""),"Gross Pot; ","")&amp;IF(AND('Game Records'!$U350&lt;&gt;"Free Game",'Game Records'!$H350=""),"Entry Fee; ","")&amp;IF(AND('Game Records'!$U350&lt;&gt;"Subscription",'Game Records'!$U350&lt;&gt;"Free Game",'Game Records'!$I350=""),"Eligible Players; ","")&amp;IF(AND('Game Records'!$U350&lt;&gt;"Subscription",'Game Records'!$U350&lt;&gt;"Free Game",'Game Records'!$J350=""),"Total Players; ","")&amp;IF(AND(LOWER('Game Records'!$D350&amp;"")="finalized",LOWER('Game Records'!$L350&amp;"")&lt;&gt;"yes",'Game Records'!$U350&lt;&gt;"Subscription",'Game Records'!$U350&lt;&gt;"Free Game",'Game Records'!$K350=""),"Final Earned; ","")&amp;IF(AND(LOWER('Game Records'!$D350&amp;"")="finalized",'Game Records'!$U350&lt;&gt;"Subscription",'Game Records'!$U350&lt;&gt;"Free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Game",OR('Game Records'!$D351="",LOWER('Game Records'!$D351&amp;"")="n/a")),"Entry Mode; ","")&amp;IF(AND('Game Records'!$U351&lt;&gt;"Subscription",'Game Records'!$U351&lt;&gt;"Free Game",OR('Game Records'!$E351="",LOWER('Game Records'!$E351&amp;"")="n/a")),"Game Type; ","")&amp;IF('Game Records'!$F351="","Payment Type; ","")&amp;IF(AND('Game Records'!$U351&lt;&gt;"Subscription",'Game Records'!$U351&lt;&gt;"Free Game",'Game Records'!$G351=""),"Gross Pot; ","")&amp;IF(AND('Game Records'!$U351&lt;&gt;"Free Game",'Game Records'!$H351=""),"Entry Fee; ","")&amp;IF(AND('Game Records'!$U351&lt;&gt;"Subscription",'Game Records'!$U351&lt;&gt;"Free Game",'Game Records'!$I351=""),"Eligible Players; ","")&amp;IF(AND('Game Records'!$U351&lt;&gt;"Subscription",'Game Records'!$U351&lt;&gt;"Free Game",'Game Records'!$J351=""),"Total Players; ","")&amp;IF(AND(LOWER('Game Records'!$D351&amp;"")="finalized",LOWER('Game Records'!$L351&amp;"")&lt;&gt;"yes",'Game Records'!$U351&lt;&gt;"Subscription",'Game Records'!$U351&lt;&gt;"Free Game",'Game Records'!$K351=""),"Final Earned; ","")&amp;IF(AND(LOWER('Game Records'!$D351&amp;"")="finalized",'Game Records'!$U351&lt;&gt;"Subscription",'Game Records'!$U351&lt;&gt;"Free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Game",OR('Game Records'!$D352="",LOWER('Game Records'!$D352&amp;"")="n/a")),"Entry Mode; ","")&amp;IF(AND('Game Records'!$U352&lt;&gt;"Subscription",'Game Records'!$U352&lt;&gt;"Free Game",OR('Game Records'!$E352="",LOWER('Game Records'!$E352&amp;"")="n/a")),"Game Type; ","")&amp;IF('Game Records'!$F352="","Payment Type; ","")&amp;IF(AND('Game Records'!$U352&lt;&gt;"Subscription",'Game Records'!$U352&lt;&gt;"Free Game",'Game Records'!$G352=""),"Gross Pot; ","")&amp;IF(AND('Game Records'!$U352&lt;&gt;"Free Game",'Game Records'!$H352=""),"Entry Fee; ","")&amp;IF(AND('Game Records'!$U352&lt;&gt;"Subscription",'Game Records'!$U352&lt;&gt;"Free Game",'Game Records'!$I352=""),"Eligible Players; ","")&amp;IF(AND('Game Records'!$U352&lt;&gt;"Subscription",'Game Records'!$U352&lt;&gt;"Free Game",'Game Records'!$J352=""),"Total Players; ","")&amp;IF(AND(LOWER('Game Records'!$D352&amp;"")="finalized",LOWER('Game Records'!$L352&amp;"")&lt;&gt;"yes",'Game Records'!$U352&lt;&gt;"Subscription",'Game Records'!$U352&lt;&gt;"Free Game",'Game Records'!$K352=""),"Final Earned; ","")&amp;IF(AND(LOWER('Game Records'!$D352&amp;"")="finalized",'Game Records'!$U352&lt;&gt;"Subscription",'Game Records'!$U352&lt;&gt;"Free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Game",OR('Game Records'!$D353="",LOWER('Game Records'!$D353&amp;"")="n/a")),"Entry Mode; ","")&amp;IF(AND('Game Records'!$U353&lt;&gt;"Subscription",'Game Records'!$U353&lt;&gt;"Free Game",OR('Game Records'!$E353="",LOWER('Game Records'!$E353&amp;"")="n/a")),"Game Type; ","")&amp;IF('Game Records'!$F353="","Payment Type; ","")&amp;IF(AND('Game Records'!$U353&lt;&gt;"Subscription",'Game Records'!$U353&lt;&gt;"Free Game",'Game Records'!$G353=""),"Gross Pot; ","")&amp;IF(AND('Game Records'!$U353&lt;&gt;"Free Game",'Game Records'!$H353=""),"Entry Fee; ","")&amp;IF(AND('Game Records'!$U353&lt;&gt;"Subscription",'Game Records'!$U353&lt;&gt;"Free Game",'Game Records'!$I353=""),"Eligible Players; ","")&amp;IF(AND('Game Records'!$U353&lt;&gt;"Subscription",'Game Records'!$U353&lt;&gt;"Free Game",'Game Records'!$J353=""),"Total Players; ","")&amp;IF(AND(LOWER('Game Records'!$D353&amp;"")="finalized",LOWER('Game Records'!$L353&amp;"")&lt;&gt;"yes",'Game Records'!$U353&lt;&gt;"Subscription",'Game Records'!$U353&lt;&gt;"Free Game",'Game Records'!$K353=""),"Final Earned; ","")&amp;IF(AND(LOWER('Game Records'!$D353&amp;"")="finalized",'Game Records'!$U353&lt;&gt;"Subscription",'Game Records'!$U353&lt;&gt;"Free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Game",OR('Game Records'!$D354="",LOWER('Game Records'!$D354&amp;"")="n/a")),"Entry Mode; ","")&amp;IF(AND('Game Records'!$U354&lt;&gt;"Subscription",'Game Records'!$U354&lt;&gt;"Free Game",OR('Game Records'!$E354="",LOWER('Game Records'!$E354&amp;"")="n/a")),"Game Type; ","")&amp;IF('Game Records'!$F354="","Payment Type; ","")&amp;IF(AND('Game Records'!$U354&lt;&gt;"Subscription",'Game Records'!$U354&lt;&gt;"Free Game",'Game Records'!$G354=""),"Gross Pot; ","")&amp;IF(AND('Game Records'!$U354&lt;&gt;"Free Game",'Game Records'!$H354=""),"Entry Fee; ","")&amp;IF(AND('Game Records'!$U354&lt;&gt;"Subscription",'Game Records'!$U354&lt;&gt;"Free Game",'Game Records'!$I354=""),"Eligible Players; ","")&amp;IF(AND('Game Records'!$U354&lt;&gt;"Subscription",'Game Records'!$U354&lt;&gt;"Free Game",'Game Records'!$J354=""),"Total Players; ","")&amp;IF(AND(LOWER('Game Records'!$D354&amp;"")="finalized",LOWER('Game Records'!$L354&amp;"")&lt;&gt;"yes",'Game Records'!$U354&lt;&gt;"Subscription",'Game Records'!$U354&lt;&gt;"Free Game",'Game Records'!$K354=""),"Final Earned; ","")&amp;IF(AND(LOWER('Game Records'!$D354&amp;"")="finalized",'Game Records'!$U354&lt;&gt;"Subscription",'Game Records'!$U354&lt;&gt;"Free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Game",OR('Game Records'!$D355="",LOWER('Game Records'!$D355&amp;"")="n/a")),"Entry Mode; ","")&amp;IF(AND('Game Records'!$U355&lt;&gt;"Subscription",'Game Records'!$U355&lt;&gt;"Free Game",OR('Game Records'!$E355="",LOWER('Game Records'!$E355&amp;"")="n/a")),"Game Type; ","")&amp;IF('Game Records'!$F355="","Payment Type; ","")&amp;IF(AND('Game Records'!$U355&lt;&gt;"Subscription",'Game Records'!$U355&lt;&gt;"Free Game",'Game Records'!$G355=""),"Gross Pot; ","")&amp;IF(AND('Game Records'!$U355&lt;&gt;"Free Game",'Game Records'!$H355=""),"Entry Fee; ","")&amp;IF(AND('Game Records'!$U355&lt;&gt;"Subscription",'Game Records'!$U355&lt;&gt;"Free Game",'Game Records'!$I355=""),"Eligible Players; ","")&amp;IF(AND('Game Records'!$U355&lt;&gt;"Subscription",'Game Records'!$U355&lt;&gt;"Free Game",'Game Records'!$J355=""),"Total Players; ","")&amp;IF(AND(LOWER('Game Records'!$D355&amp;"")="finalized",LOWER('Game Records'!$L355&amp;"")&lt;&gt;"yes",'Game Records'!$U355&lt;&gt;"Subscription",'Game Records'!$U355&lt;&gt;"Free Game",'Game Records'!$K355=""),"Final Earned; ","")&amp;IF(AND(LOWER('Game Records'!$D355&amp;"")="finalized",'Game Records'!$U355&lt;&gt;"Subscription",'Game Records'!$U355&lt;&gt;"Free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Game",OR('Game Records'!$D356="",LOWER('Game Records'!$D356&amp;"")="n/a")),"Entry Mode; ","")&amp;IF(AND('Game Records'!$U356&lt;&gt;"Subscription",'Game Records'!$U356&lt;&gt;"Free Game",OR('Game Records'!$E356="",LOWER('Game Records'!$E356&amp;"")="n/a")),"Game Type; ","")&amp;IF('Game Records'!$F356="","Payment Type; ","")&amp;IF(AND('Game Records'!$U356&lt;&gt;"Subscription",'Game Records'!$U356&lt;&gt;"Free Game",'Game Records'!$G356=""),"Gross Pot; ","")&amp;IF(AND('Game Records'!$U356&lt;&gt;"Free Game",'Game Records'!$H356=""),"Entry Fee; ","")&amp;IF(AND('Game Records'!$U356&lt;&gt;"Subscription",'Game Records'!$U356&lt;&gt;"Free Game",'Game Records'!$I356=""),"Eligible Players; ","")&amp;IF(AND('Game Records'!$U356&lt;&gt;"Subscription",'Game Records'!$U356&lt;&gt;"Free Game",'Game Records'!$J356=""),"Total Players; ","")&amp;IF(AND(LOWER('Game Records'!$D356&amp;"")="finalized",LOWER('Game Records'!$L356&amp;"")&lt;&gt;"yes",'Game Records'!$U356&lt;&gt;"Subscription",'Game Records'!$U356&lt;&gt;"Free Game",'Game Records'!$K356=""),"Final Earned; ","")&amp;IF(AND(LOWER('Game Records'!$D356&amp;"")="finalized",'Game Records'!$U356&lt;&gt;"Subscription",'Game Records'!$U356&lt;&gt;"Free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Game",OR('Game Records'!$D357="",LOWER('Game Records'!$D357&amp;"")="n/a")),"Entry Mode; ","")&amp;IF(AND('Game Records'!$U357&lt;&gt;"Subscription",'Game Records'!$U357&lt;&gt;"Free Game",OR('Game Records'!$E357="",LOWER('Game Records'!$E357&amp;"")="n/a")),"Game Type; ","")&amp;IF('Game Records'!$F357="","Payment Type; ","")&amp;IF(AND('Game Records'!$U357&lt;&gt;"Subscription",'Game Records'!$U357&lt;&gt;"Free Game",'Game Records'!$G357=""),"Gross Pot; ","")&amp;IF(AND('Game Records'!$U357&lt;&gt;"Free Game",'Game Records'!$H357=""),"Entry Fee; ","")&amp;IF(AND('Game Records'!$U357&lt;&gt;"Subscription",'Game Records'!$U357&lt;&gt;"Free Game",'Game Records'!$I357=""),"Eligible Players; ","")&amp;IF(AND('Game Records'!$U357&lt;&gt;"Subscription",'Game Records'!$U357&lt;&gt;"Free Game",'Game Records'!$J357=""),"Total Players; ","")&amp;IF(AND(LOWER('Game Records'!$D357&amp;"")="finalized",LOWER('Game Records'!$L357&amp;"")&lt;&gt;"yes",'Game Records'!$U357&lt;&gt;"Subscription",'Game Records'!$U357&lt;&gt;"Free Game",'Game Records'!$K357=""),"Final Earned; ","")&amp;IF(AND(LOWER('Game Records'!$D357&amp;"")="finalized",'Game Records'!$U357&lt;&gt;"Subscription",'Game Records'!$U357&lt;&gt;"Free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Game",OR('Game Records'!$D358="",LOWER('Game Records'!$D358&amp;"")="n/a")),"Entry Mode; ","")&amp;IF(AND('Game Records'!$U358&lt;&gt;"Subscription",'Game Records'!$U358&lt;&gt;"Free Game",OR('Game Records'!$E358="",LOWER('Game Records'!$E358&amp;"")="n/a")),"Game Type; ","")&amp;IF('Game Records'!$F358="","Payment Type; ","")&amp;IF(AND('Game Records'!$U358&lt;&gt;"Subscription",'Game Records'!$U358&lt;&gt;"Free Game",'Game Records'!$G358=""),"Gross Pot; ","")&amp;IF(AND('Game Records'!$U358&lt;&gt;"Free Game",'Game Records'!$H358=""),"Entry Fee; ","")&amp;IF(AND('Game Records'!$U358&lt;&gt;"Subscription",'Game Records'!$U358&lt;&gt;"Free Game",'Game Records'!$I358=""),"Eligible Players; ","")&amp;IF(AND('Game Records'!$U358&lt;&gt;"Subscription",'Game Records'!$U358&lt;&gt;"Free Game",'Game Records'!$J358=""),"Total Players; ","")&amp;IF(AND(LOWER('Game Records'!$D358&amp;"")="finalized",LOWER('Game Records'!$L358&amp;"")&lt;&gt;"yes",'Game Records'!$U358&lt;&gt;"Subscription",'Game Records'!$U358&lt;&gt;"Free Game",'Game Records'!$K358=""),"Final Earned; ","")&amp;IF(AND(LOWER('Game Records'!$D358&amp;"")="finalized",'Game Records'!$U358&lt;&gt;"Subscription",'Game Records'!$U358&lt;&gt;"Free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Game",OR('Game Records'!$D359="",LOWER('Game Records'!$D359&amp;"")="n/a")),"Entry Mode; ","")&amp;IF(AND('Game Records'!$U359&lt;&gt;"Subscription",'Game Records'!$U359&lt;&gt;"Free Game",OR('Game Records'!$E359="",LOWER('Game Records'!$E359&amp;"")="n/a")),"Game Type; ","")&amp;IF('Game Records'!$F359="","Payment Type; ","")&amp;IF(AND('Game Records'!$U359&lt;&gt;"Subscription",'Game Records'!$U359&lt;&gt;"Free Game",'Game Records'!$G359=""),"Gross Pot; ","")&amp;IF(AND('Game Records'!$U359&lt;&gt;"Free Game",'Game Records'!$H359=""),"Entry Fee; ","")&amp;IF(AND('Game Records'!$U359&lt;&gt;"Subscription",'Game Records'!$U359&lt;&gt;"Free Game",'Game Records'!$I359=""),"Eligible Players; ","")&amp;IF(AND('Game Records'!$U359&lt;&gt;"Subscription",'Game Records'!$U359&lt;&gt;"Free Game",'Game Records'!$J359=""),"Total Players; ","")&amp;IF(AND(LOWER('Game Records'!$D359&amp;"")="finalized",LOWER('Game Records'!$L359&amp;"")&lt;&gt;"yes",'Game Records'!$U359&lt;&gt;"Subscription",'Game Records'!$U359&lt;&gt;"Free Game",'Game Records'!$K359=""),"Final Earned; ","")&amp;IF(AND(LOWER('Game Records'!$D359&amp;"")="finalized",'Game Records'!$U359&lt;&gt;"Subscription",'Game Records'!$U359&lt;&gt;"Free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Game",OR('Game Records'!$D360="",LOWER('Game Records'!$D360&amp;"")="n/a")),"Entry Mode; ","")&amp;IF(AND('Game Records'!$U360&lt;&gt;"Subscription",'Game Records'!$U360&lt;&gt;"Free Game",OR('Game Records'!$E360="",LOWER('Game Records'!$E360&amp;"")="n/a")),"Game Type; ","")&amp;IF('Game Records'!$F360="","Payment Type; ","")&amp;IF(AND('Game Records'!$U360&lt;&gt;"Subscription",'Game Records'!$U360&lt;&gt;"Free Game",'Game Records'!$G360=""),"Gross Pot; ","")&amp;IF(AND('Game Records'!$U360&lt;&gt;"Free Game",'Game Records'!$H360=""),"Entry Fee; ","")&amp;IF(AND('Game Records'!$U360&lt;&gt;"Subscription",'Game Records'!$U360&lt;&gt;"Free Game",'Game Records'!$I360=""),"Eligible Players; ","")&amp;IF(AND('Game Records'!$U360&lt;&gt;"Subscription",'Game Records'!$U360&lt;&gt;"Free Game",'Game Records'!$J360=""),"Total Players; ","")&amp;IF(AND(LOWER('Game Records'!$D360&amp;"")="finalized",LOWER('Game Records'!$L360&amp;"")&lt;&gt;"yes",'Game Records'!$U360&lt;&gt;"Subscription",'Game Records'!$U360&lt;&gt;"Free Game",'Game Records'!$K360=""),"Final Earned; ","")&amp;IF(AND(LOWER('Game Records'!$D360&amp;"")="finalized",'Game Records'!$U360&lt;&gt;"Subscription",'Game Records'!$U360&lt;&gt;"Free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Game",OR('Game Records'!$D361="",LOWER('Game Records'!$D361&amp;"")="n/a")),"Entry Mode; ","")&amp;IF(AND('Game Records'!$U361&lt;&gt;"Subscription",'Game Records'!$U361&lt;&gt;"Free Game",OR('Game Records'!$E361="",LOWER('Game Records'!$E361&amp;"")="n/a")),"Game Type; ","")&amp;IF('Game Records'!$F361="","Payment Type; ","")&amp;IF(AND('Game Records'!$U361&lt;&gt;"Subscription",'Game Records'!$U361&lt;&gt;"Free Game",'Game Records'!$G361=""),"Gross Pot; ","")&amp;IF(AND('Game Records'!$U361&lt;&gt;"Free Game",'Game Records'!$H361=""),"Entry Fee; ","")&amp;IF(AND('Game Records'!$U361&lt;&gt;"Subscription",'Game Records'!$U361&lt;&gt;"Free Game",'Game Records'!$I361=""),"Eligible Players; ","")&amp;IF(AND('Game Records'!$U361&lt;&gt;"Subscription",'Game Records'!$U361&lt;&gt;"Free Game",'Game Records'!$J361=""),"Total Players; ","")&amp;IF(AND(LOWER('Game Records'!$D361&amp;"")="finalized",LOWER('Game Records'!$L361&amp;"")&lt;&gt;"yes",'Game Records'!$U361&lt;&gt;"Subscription",'Game Records'!$U361&lt;&gt;"Free Game",'Game Records'!$K361=""),"Final Earned; ","")&amp;IF(AND(LOWER('Game Records'!$D361&amp;"")="finalized",'Game Records'!$U361&lt;&gt;"Subscription",'Game Records'!$U361&lt;&gt;"Free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Game",OR('Game Records'!$D362="",LOWER('Game Records'!$D362&amp;"")="n/a")),"Entry Mode; ","")&amp;IF(AND('Game Records'!$U362&lt;&gt;"Subscription",'Game Records'!$U362&lt;&gt;"Free Game",OR('Game Records'!$E362="",LOWER('Game Records'!$E362&amp;"")="n/a")),"Game Type; ","")&amp;IF('Game Records'!$F362="","Payment Type; ","")&amp;IF(AND('Game Records'!$U362&lt;&gt;"Subscription",'Game Records'!$U362&lt;&gt;"Free Game",'Game Records'!$G362=""),"Gross Pot; ","")&amp;IF(AND('Game Records'!$U362&lt;&gt;"Free Game",'Game Records'!$H362=""),"Entry Fee; ","")&amp;IF(AND('Game Records'!$U362&lt;&gt;"Subscription",'Game Records'!$U362&lt;&gt;"Free Game",'Game Records'!$I362=""),"Eligible Players; ","")&amp;IF(AND('Game Records'!$U362&lt;&gt;"Subscription",'Game Records'!$U362&lt;&gt;"Free Game",'Game Records'!$J362=""),"Total Players; ","")&amp;IF(AND(LOWER('Game Records'!$D362&amp;"")="finalized",LOWER('Game Records'!$L362&amp;"")&lt;&gt;"yes",'Game Records'!$U362&lt;&gt;"Subscription",'Game Records'!$U362&lt;&gt;"Free Game",'Game Records'!$K362=""),"Final Earned; ","")&amp;IF(AND(LOWER('Game Records'!$D362&amp;"")="finalized",'Game Records'!$U362&lt;&gt;"Subscription",'Game Records'!$U362&lt;&gt;"Free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Game",OR('Game Records'!$D363="",LOWER('Game Records'!$D363&amp;"")="n/a")),"Entry Mode; ","")&amp;IF(AND('Game Records'!$U363&lt;&gt;"Subscription",'Game Records'!$U363&lt;&gt;"Free Game",OR('Game Records'!$E363="",LOWER('Game Records'!$E363&amp;"")="n/a")),"Game Type; ","")&amp;IF('Game Records'!$F363="","Payment Type; ","")&amp;IF(AND('Game Records'!$U363&lt;&gt;"Subscription",'Game Records'!$U363&lt;&gt;"Free Game",'Game Records'!$G363=""),"Gross Pot; ","")&amp;IF(AND('Game Records'!$U363&lt;&gt;"Free Game",'Game Records'!$H363=""),"Entry Fee; ","")&amp;IF(AND('Game Records'!$U363&lt;&gt;"Subscription",'Game Records'!$U363&lt;&gt;"Free Game",'Game Records'!$I363=""),"Eligible Players; ","")&amp;IF(AND('Game Records'!$U363&lt;&gt;"Subscription",'Game Records'!$U363&lt;&gt;"Free Game",'Game Records'!$J363=""),"Total Players; ","")&amp;IF(AND(LOWER('Game Records'!$D363&amp;"")="finalized",LOWER('Game Records'!$L363&amp;"")&lt;&gt;"yes",'Game Records'!$U363&lt;&gt;"Subscription",'Game Records'!$U363&lt;&gt;"Free Game",'Game Records'!$K363=""),"Final Earned; ","")&amp;IF(AND(LOWER('Game Records'!$D363&amp;"")="finalized",'Game Records'!$U363&lt;&gt;"Subscription",'Game Records'!$U363&lt;&gt;"Free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Game",OR('Game Records'!$D364="",LOWER('Game Records'!$D364&amp;"")="n/a")),"Entry Mode; ","")&amp;IF(AND('Game Records'!$U364&lt;&gt;"Subscription",'Game Records'!$U364&lt;&gt;"Free Game",OR('Game Records'!$E364="",LOWER('Game Records'!$E364&amp;"")="n/a")),"Game Type; ","")&amp;IF('Game Records'!$F364="","Payment Type; ","")&amp;IF(AND('Game Records'!$U364&lt;&gt;"Subscription",'Game Records'!$U364&lt;&gt;"Free Game",'Game Records'!$G364=""),"Gross Pot; ","")&amp;IF(AND('Game Records'!$U364&lt;&gt;"Free Game",'Game Records'!$H364=""),"Entry Fee; ","")&amp;IF(AND('Game Records'!$U364&lt;&gt;"Subscription",'Game Records'!$U364&lt;&gt;"Free Game",'Game Records'!$I364=""),"Eligible Players; ","")&amp;IF(AND('Game Records'!$U364&lt;&gt;"Subscription",'Game Records'!$U364&lt;&gt;"Free Game",'Game Records'!$J364=""),"Total Players; ","")&amp;IF(AND(LOWER('Game Records'!$D364&amp;"")="finalized",LOWER('Game Records'!$L364&amp;"")&lt;&gt;"yes",'Game Records'!$U364&lt;&gt;"Subscription",'Game Records'!$U364&lt;&gt;"Free Game",'Game Records'!$K364=""),"Final Earned; ","")&amp;IF(AND(LOWER('Game Records'!$D364&amp;"")="finalized",'Game Records'!$U364&lt;&gt;"Subscription",'Game Records'!$U364&lt;&gt;"Free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Game",OR('Game Records'!$D365="",LOWER('Game Records'!$D365&amp;"")="n/a")),"Entry Mode; ","")&amp;IF(AND('Game Records'!$U365&lt;&gt;"Subscription",'Game Records'!$U365&lt;&gt;"Free Game",OR('Game Records'!$E365="",LOWER('Game Records'!$E365&amp;"")="n/a")),"Game Type; ","")&amp;IF('Game Records'!$F365="","Payment Type; ","")&amp;IF(AND('Game Records'!$U365&lt;&gt;"Subscription",'Game Records'!$U365&lt;&gt;"Free Game",'Game Records'!$G365=""),"Gross Pot; ","")&amp;IF(AND('Game Records'!$U365&lt;&gt;"Free Game",'Game Records'!$H365=""),"Entry Fee; ","")&amp;IF(AND('Game Records'!$U365&lt;&gt;"Subscription",'Game Records'!$U365&lt;&gt;"Free Game",'Game Records'!$I365=""),"Eligible Players; ","")&amp;IF(AND('Game Records'!$U365&lt;&gt;"Subscription",'Game Records'!$U365&lt;&gt;"Free Game",'Game Records'!$J365=""),"Total Players; ","")&amp;IF(AND(LOWER('Game Records'!$D365&amp;"")="finalized",LOWER('Game Records'!$L365&amp;"")&lt;&gt;"yes",'Game Records'!$U365&lt;&gt;"Subscription",'Game Records'!$U365&lt;&gt;"Free Game",'Game Records'!$K365=""),"Final Earned; ","")&amp;IF(AND(LOWER('Game Records'!$D365&amp;"")="finalized",'Game Records'!$U365&lt;&gt;"Subscription",'Game Records'!$U365&lt;&gt;"Free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Game",OR('Game Records'!$D366="",LOWER('Game Records'!$D366&amp;"")="n/a")),"Entry Mode; ","")&amp;IF(AND('Game Records'!$U366&lt;&gt;"Subscription",'Game Records'!$U366&lt;&gt;"Free Game",OR('Game Records'!$E366="",LOWER('Game Records'!$E366&amp;"")="n/a")),"Game Type; ","")&amp;IF('Game Records'!$F366="","Payment Type; ","")&amp;IF(AND('Game Records'!$U366&lt;&gt;"Subscription",'Game Records'!$U366&lt;&gt;"Free Game",'Game Records'!$G366=""),"Gross Pot; ","")&amp;IF(AND('Game Records'!$U366&lt;&gt;"Free Game",'Game Records'!$H366=""),"Entry Fee; ","")&amp;IF(AND('Game Records'!$U366&lt;&gt;"Subscription",'Game Records'!$U366&lt;&gt;"Free Game",'Game Records'!$I366=""),"Eligible Players; ","")&amp;IF(AND('Game Records'!$U366&lt;&gt;"Subscription",'Game Records'!$U366&lt;&gt;"Free Game",'Game Records'!$J366=""),"Total Players; ","")&amp;IF(AND(LOWER('Game Records'!$D366&amp;"")="finalized",LOWER('Game Records'!$L366&amp;"")&lt;&gt;"yes",'Game Records'!$U366&lt;&gt;"Subscription",'Game Records'!$U366&lt;&gt;"Free Game",'Game Records'!$K366=""),"Final Earned; ","")&amp;IF(AND(LOWER('Game Records'!$D366&amp;"")="finalized",'Game Records'!$U366&lt;&gt;"Subscription",'Game Records'!$U366&lt;&gt;"Free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Game",OR('Game Records'!$D367="",LOWER('Game Records'!$D367&amp;"")="n/a")),"Entry Mode; ","")&amp;IF(AND('Game Records'!$U367&lt;&gt;"Subscription",'Game Records'!$U367&lt;&gt;"Free Game",OR('Game Records'!$E367="",LOWER('Game Records'!$E367&amp;"")="n/a")),"Game Type; ","")&amp;IF('Game Records'!$F367="","Payment Type; ","")&amp;IF(AND('Game Records'!$U367&lt;&gt;"Subscription",'Game Records'!$U367&lt;&gt;"Free Game",'Game Records'!$G367=""),"Gross Pot; ","")&amp;IF(AND('Game Records'!$U367&lt;&gt;"Free Game",'Game Records'!$H367=""),"Entry Fee; ","")&amp;IF(AND('Game Records'!$U367&lt;&gt;"Subscription",'Game Records'!$U367&lt;&gt;"Free Game",'Game Records'!$I367=""),"Eligible Players; ","")&amp;IF(AND('Game Records'!$U367&lt;&gt;"Subscription",'Game Records'!$U367&lt;&gt;"Free Game",'Game Records'!$J367=""),"Total Players; ","")&amp;IF(AND(LOWER('Game Records'!$D367&amp;"")="finalized",LOWER('Game Records'!$L367&amp;"")&lt;&gt;"yes",'Game Records'!$U367&lt;&gt;"Subscription",'Game Records'!$U367&lt;&gt;"Free Game",'Game Records'!$K367=""),"Final Earned; ","")&amp;IF(AND(LOWER('Game Records'!$D367&amp;"")="finalized",'Game Records'!$U367&lt;&gt;"Subscription",'Game Records'!$U367&lt;&gt;"Free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Game",OR('Game Records'!$D368="",LOWER('Game Records'!$D368&amp;"")="n/a")),"Entry Mode; ","")&amp;IF(AND('Game Records'!$U368&lt;&gt;"Subscription",'Game Records'!$U368&lt;&gt;"Free Game",OR('Game Records'!$E368="",LOWER('Game Records'!$E368&amp;"")="n/a")),"Game Type; ","")&amp;IF('Game Records'!$F368="","Payment Type; ","")&amp;IF(AND('Game Records'!$U368&lt;&gt;"Subscription",'Game Records'!$U368&lt;&gt;"Free Game",'Game Records'!$G368=""),"Gross Pot; ","")&amp;IF(AND('Game Records'!$U368&lt;&gt;"Free Game",'Game Records'!$H368=""),"Entry Fee; ","")&amp;IF(AND('Game Records'!$U368&lt;&gt;"Subscription",'Game Records'!$U368&lt;&gt;"Free Game",'Game Records'!$I368=""),"Eligible Players; ","")&amp;IF(AND('Game Records'!$U368&lt;&gt;"Subscription",'Game Records'!$U368&lt;&gt;"Free Game",'Game Records'!$J368=""),"Total Players; ","")&amp;IF(AND(LOWER('Game Records'!$D368&amp;"")="finalized",LOWER('Game Records'!$L368&amp;"")&lt;&gt;"yes",'Game Records'!$U368&lt;&gt;"Subscription",'Game Records'!$U368&lt;&gt;"Free Game",'Game Records'!$K368=""),"Final Earned; ","")&amp;IF(AND(LOWER('Game Records'!$D368&amp;"")="finalized",'Game Records'!$U368&lt;&gt;"Subscription",'Game Records'!$U368&lt;&gt;"Free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Game",OR('Game Records'!$D369="",LOWER('Game Records'!$D369&amp;"")="n/a")),"Entry Mode; ","")&amp;IF(AND('Game Records'!$U369&lt;&gt;"Subscription",'Game Records'!$U369&lt;&gt;"Free Game",OR('Game Records'!$E369="",LOWER('Game Records'!$E369&amp;"")="n/a")),"Game Type; ","")&amp;IF('Game Records'!$F369="","Payment Type; ","")&amp;IF(AND('Game Records'!$U369&lt;&gt;"Subscription",'Game Records'!$U369&lt;&gt;"Free Game",'Game Records'!$G369=""),"Gross Pot; ","")&amp;IF(AND('Game Records'!$U369&lt;&gt;"Free Game",'Game Records'!$H369=""),"Entry Fee; ","")&amp;IF(AND('Game Records'!$U369&lt;&gt;"Subscription",'Game Records'!$U369&lt;&gt;"Free Game",'Game Records'!$I369=""),"Eligible Players; ","")&amp;IF(AND('Game Records'!$U369&lt;&gt;"Subscription",'Game Records'!$U369&lt;&gt;"Free Game",'Game Records'!$J369=""),"Total Players; ","")&amp;IF(AND(LOWER('Game Records'!$D369&amp;"")="finalized",LOWER('Game Records'!$L369&amp;"")&lt;&gt;"yes",'Game Records'!$U369&lt;&gt;"Subscription",'Game Records'!$U369&lt;&gt;"Free Game",'Game Records'!$K369=""),"Final Earned; ","")&amp;IF(AND(LOWER('Game Records'!$D369&amp;"")="finalized",'Game Records'!$U369&lt;&gt;"Subscription",'Game Records'!$U369&lt;&gt;"Free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Game",OR('Game Records'!$D370="",LOWER('Game Records'!$D370&amp;"")="n/a")),"Entry Mode; ","")&amp;IF(AND('Game Records'!$U370&lt;&gt;"Subscription",'Game Records'!$U370&lt;&gt;"Free Game",OR('Game Records'!$E370="",LOWER('Game Records'!$E370&amp;"")="n/a")),"Game Type; ","")&amp;IF('Game Records'!$F370="","Payment Type; ","")&amp;IF(AND('Game Records'!$U370&lt;&gt;"Subscription",'Game Records'!$U370&lt;&gt;"Free Game",'Game Records'!$G370=""),"Gross Pot; ","")&amp;IF(AND('Game Records'!$U370&lt;&gt;"Free Game",'Game Records'!$H370=""),"Entry Fee; ","")&amp;IF(AND('Game Records'!$U370&lt;&gt;"Subscription",'Game Records'!$U370&lt;&gt;"Free Game",'Game Records'!$I370=""),"Eligible Players; ","")&amp;IF(AND('Game Records'!$U370&lt;&gt;"Subscription",'Game Records'!$U370&lt;&gt;"Free Game",'Game Records'!$J370=""),"Total Players; ","")&amp;IF(AND(LOWER('Game Records'!$D370&amp;"")="finalized",LOWER('Game Records'!$L370&amp;"")&lt;&gt;"yes",'Game Records'!$U370&lt;&gt;"Subscription",'Game Records'!$U370&lt;&gt;"Free Game",'Game Records'!$K370=""),"Final Earned; ","")&amp;IF(AND(LOWER('Game Records'!$D370&amp;"")="finalized",'Game Records'!$U370&lt;&gt;"Subscription",'Game Records'!$U370&lt;&gt;"Free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Game",OR('Game Records'!$D371="",LOWER('Game Records'!$D371&amp;"")="n/a")),"Entry Mode; ","")&amp;IF(AND('Game Records'!$U371&lt;&gt;"Subscription",'Game Records'!$U371&lt;&gt;"Free Game",OR('Game Records'!$E371="",LOWER('Game Records'!$E371&amp;"")="n/a")),"Game Type; ","")&amp;IF('Game Records'!$F371="","Payment Type; ","")&amp;IF(AND('Game Records'!$U371&lt;&gt;"Subscription",'Game Records'!$U371&lt;&gt;"Free Game",'Game Records'!$G371=""),"Gross Pot; ","")&amp;IF(AND('Game Records'!$U371&lt;&gt;"Free Game",'Game Records'!$H371=""),"Entry Fee; ","")&amp;IF(AND('Game Records'!$U371&lt;&gt;"Subscription",'Game Records'!$U371&lt;&gt;"Free Game",'Game Records'!$I371=""),"Eligible Players; ","")&amp;IF(AND('Game Records'!$U371&lt;&gt;"Subscription",'Game Records'!$U371&lt;&gt;"Free Game",'Game Records'!$J371=""),"Total Players; ","")&amp;IF(AND(LOWER('Game Records'!$D371&amp;"")="finalized",LOWER('Game Records'!$L371&amp;"")&lt;&gt;"yes",'Game Records'!$U371&lt;&gt;"Subscription",'Game Records'!$U371&lt;&gt;"Free Game",'Game Records'!$K371=""),"Final Earned; ","")&amp;IF(AND(LOWER('Game Records'!$D371&amp;"")="finalized",'Game Records'!$U371&lt;&gt;"Subscription",'Game Records'!$U371&lt;&gt;"Free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Game",OR('Game Records'!$D372="",LOWER('Game Records'!$D372&amp;"")="n/a")),"Entry Mode; ","")&amp;IF(AND('Game Records'!$U372&lt;&gt;"Subscription",'Game Records'!$U372&lt;&gt;"Free Game",OR('Game Records'!$E372="",LOWER('Game Records'!$E372&amp;"")="n/a")),"Game Type; ","")&amp;IF('Game Records'!$F372="","Payment Type; ","")&amp;IF(AND('Game Records'!$U372&lt;&gt;"Subscription",'Game Records'!$U372&lt;&gt;"Free Game",'Game Records'!$G372=""),"Gross Pot; ","")&amp;IF(AND('Game Records'!$U372&lt;&gt;"Free Game",'Game Records'!$H372=""),"Entry Fee; ","")&amp;IF(AND('Game Records'!$U372&lt;&gt;"Subscription",'Game Records'!$U372&lt;&gt;"Free Game",'Game Records'!$I372=""),"Eligible Players; ","")&amp;IF(AND('Game Records'!$U372&lt;&gt;"Subscription",'Game Records'!$U372&lt;&gt;"Free Game",'Game Records'!$J372=""),"Total Players; ","")&amp;IF(AND(LOWER('Game Records'!$D372&amp;"")="finalized",LOWER('Game Records'!$L372&amp;"")&lt;&gt;"yes",'Game Records'!$U372&lt;&gt;"Subscription",'Game Records'!$U372&lt;&gt;"Free Game",'Game Records'!$K372=""),"Final Earned; ","")&amp;IF(AND(LOWER('Game Records'!$D372&amp;"")="finalized",'Game Records'!$U372&lt;&gt;"Subscription",'Game Records'!$U372&lt;&gt;"Free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Game",OR('Game Records'!$D373="",LOWER('Game Records'!$D373&amp;"")="n/a")),"Entry Mode; ","")&amp;IF(AND('Game Records'!$U373&lt;&gt;"Subscription",'Game Records'!$U373&lt;&gt;"Free Game",OR('Game Records'!$E373="",LOWER('Game Records'!$E373&amp;"")="n/a")),"Game Type; ","")&amp;IF('Game Records'!$F373="","Payment Type; ","")&amp;IF(AND('Game Records'!$U373&lt;&gt;"Subscription",'Game Records'!$U373&lt;&gt;"Free Game",'Game Records'!$G373=""),"Gross Pot; ","")&amp;IF(AND('Game Records'!$U373&lt;&gt;"Free Game",'Game Records'!$H373=""),"Entry Fee; ","")&amp;IF(AND('Game Records'!$U373&lt;&gt;"Subscription",'Game Records'!$U373&lt;&gt;"Free Game",'Game Records'!$I373=""),"Eligible Players; ","")&amp;IF(AND('Game Records'!$U373&lt;&gt;"Subscription",'Game Records'!$U373&lt;&gt;"Free Game",'Game Records'!$J373=""),"Total Players; ","")&amp;IF(AND(LOWER('Game Records'!$D373&amp;"")="finalized",LOWER('Game Records'!$L373&amp;"")&lt;&gt;"yes",'Game Records'!$U373&lt;&gt;"Subscription",'Game Records'!$U373&lt;&gt;"Free Game",'Game Records'!$K373=""),"Final Earned; ","")&amp;IF(AND(LOWER('Game Records'!$D373&amp;"")="finalized",'Game Records'!$U373&lt;&gt;"Subscription",'Game Records'!$U373&lt;&gt;"Free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Game",OR('Game Records'!$D374="",LOWER('Game Records'!$D374&amp;"")="n/a")),"Entry Mode; ","")&amp;IF(AND('Game Records'!$U374&lt;&gt;"Subscription",'Game Records'!$U374&lt;&gt;"Free Game",OR('Game Records'!$E374="",LOWER('Game Records'!$E374&amp;"")="n/a")),"Game Type; ","")&amp;IF('Game Records'!$F374="","Payment Type; ","")&amp;IF(AND('Game Records'!$U374&lt;&gt;"Subscription",'Game Records'!$U374&lt;&gt;"Free Game",'Game Records'!$G374=""),"Gross Pot; ","")&amp;IF(AND('Game Records'!$U374&lt;&gt;"Free Game",'Game Records'!$H374=""),"Entry Fee; ","")&amp;IF(AND('Game Records'!$U374&lt;&gt;"Subscription",'Game Records'!$U374&lt;&gt;"Free Game",'Game Records'!$I374=""),"Eligible Players; ","")&amp;IF(AND('Game Records'!$U374&lt;&gt;"Subscription",'Game Records'!$U374&lt;&gt;"Free Game",'Game Records'!$J374=""),"Total Players; ","")&amp;IF(AND(LOWER('Game Records'!$D374&amp;"")="finalized",LOWER('Game Records'!$L374&amp;"")&lt;&gt;"yes",'Game Records'!$U374&lt;&gt;"Subscription",'Game Records'!$U374&lt;&gt;"Free Game",'Game Records'!$K374=""),"Final Earned; ","")&amp;IF(AND(LOWER('Game Records'!$D374&amp;"")="finalized",'Game Records'!$U374&lt;&gt;"Subscription",'Game Records'!$U374&lt;&gt;"Free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Game",OR('Game Records'!$D375="",LOWER('Game Records'!$D375&amp;"")="n/a")),"Entry Mode; ","")&amp;IF(AND('Game Records'!$U375&lt;&gt;"Subscription",'Game Records'!$U375&lt;&gt;"Free Game",OR('Game Records'!$E375="",LOWER('Game Records'!$E375&amp;"")="n/a")),"Game Type; ","")&amp;IF('Game Records'!$F375="","Payment Type; ","")&amp;IF(AND('Game Records'!$U375&lt;&gt;"Subscription",'Game Records'!$U375&lt;&gt;"Free Game",'Game Records'!$G375=""),"Gross Pot; ","")&amp;IF(AND('Game Records'!$U375&lt;&gt;"Free Game",'Game Records'!$H375=""),"Entry Fee; ","")&amp;IF(AND('Game Records'!$U375&lt;&gt;"Subscription",'Game Records'!$U375&lt;&gt;"Free Game",'Game Records'!$I375=""),"Eligible Players; ","")&amp;IF(AND('Game Records'!$U375&lt;&gt;"Subscription",'Game Records'!$U375&lt;&gt;"Free Game",'Game Records'!$J375=""),"Total Players; ","")&amp;IF(AND(LOWER('Game Records'!$D375&amp;"")="finalized",LOWER('Game Records'!$L375&amp;"")&lt;&gt;"yes",'Game Records'!$U375&lt;&gt;"Subscription",'Game Records'!$U375&lt;&gt;"Free Game",'Game Records'!$K375=""),"Final Earned; ","")&amp;IF(AND(LOWER('Game Records'!$D375&amp;"")="finalized",'Game Records'!$U375&lt;&gt;"Subscription",'Game Records'!$U375&lt;&gt;"Free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Game",OR('Game Records'!$D376="",LOWER('Game Records'!$D376&amp;"")="n/a")),"Entry Mode; ","")&amp;IF(AND('Game Records'!$U376&lt;&gt;"Subscription",'Game Records'!$U376&lt;&gt;"Free Game",OR('Game Records'!$E376="",LOWER('Game Records'!$E376&amp;"")="n/a")),"Game Type; ","")&amp;IF('Game Records'!$F376="","Payment Type; ","")&amp;IF(AND('Game Records'!$U376&lt;&gt;"Subscription",'Game Records'!$U376&lt;&gt;"Free Game",'Game Records'!$G376=""),"Gross Pot; ","")&amp;IF(AND('Game Records'!$U376&lt;&gt;"Free Game",'Game Records'!$H376=""),"Entry Fee; ","")&amp;IF(AND('Game Records'!$U376&lt;&gt;"Subscription",'Game Records'!$U376&lt;&gt;"Free Game",'Game Records'!$I376=""),"Eligible Players; ","")&amp;IF(AND('Game Records'!$U376&lt;&gt;"Subscription",'Game Records'!$U376&lt;&gt;"Free Game",'Game Records'!$J376=""),"Total Players; ","")&amp;IF(AND(LOWER('Game Records'!$D376&amp;"")="finalized",LOWER('Game Records'!$L376&amp;"")&lt;&gt;"yes",'Game Records'!$U376&lt;&gt;"Subscription",'Game Records'!$U376&lt;&gt;"Free Game",'Game Records'!$K376=""),"Final Earned; ","")&amp;IF(AND(LOWER('Game Records'!$D376&amp;"")="finalized",'Game Records'!$U376&lt;&gt;"Subscription",'Game Records'!$U376&lt;&gt;"Free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Game",OR('Game Records'!$D377="",LOWER('Game Records'!$D377&amp;"")="n/a")),"Entry Mode; ","")&amp;IF(AND('Game Records'!$U377&lt;&gt;"Subscription",'Game Records'!$U377&lt;&gt;"Free Game",OR('Game Records'!$E377="",LOWER('Game Records'!$E377&amp;"")="n/a")),"Game Type; ","")&amp;IF('Game Records'!$F377="","Payment Type; ","")&amp;IF(AND('Game Records'!$U377&lt;&gt;"Subscription",'Game Records'!$U377&lt;&gt;"Free Game",'Game Records'!$G377=""),"Gross Pot; ","")&amp;IF(AND('Game Records'!$U377&lt;&gt;"Free Game",'Game Records'!$H377=""),"Entry Fee; ","")&amp;IF(AND('Game Records'!$U377&lt;&gt;"Subscription",'Game Records'!$U377&lt;&gt;"Free Game",'Game Records'!$I377=""),"Eligible Players; ","")&amp;IF(AND('Game Records'!$U377&lt;&gt;"Subscription",'Game Records'!$U377&lt;&gt;"Free Game",'Game Records'!$J377=""),"Total Players; ","")&amp;IF(AND(LOWER('Game Records'!$D377&amp;"")="finalized",LOWER('Game Records'!$L377&amp;"")&lt;&gt;"yes",'Game Records'!$U377&lt;&gt;"Subscription",'Game Records'!$U377&lt;&gt;"Free Game",'Game Records'!$K377=""),"Final Earned; ","")&amp;IF(AND(LOWER('Game Records'!$D377&amp;"")="finalized",'Game Records'!$U377&lt;&gt;"Subscription",'Game Records'!$U377&lt;&gt;"Free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Game",OR('Game Records'!$D378="",LOWER('Game Records'!$D378&amp;"")="n/a")),"Entry Mode; ","")&amp;IF(AND('Game Records'!$U378&lt;&gt;"Subscription",'Game Records'!$U378&lt;&gt;"Free Game",OR('Game Records'!$E378="",LOWER('Game Records'!$E378&amp;"")="n/a")),"Game Type; ","")&amp;IF('Game Records'!$F378="","Payment Type; ","")&amp;IF(AND('Game Records'!$U378&lt;&gt;"Subscription",'Game Records'!$U378&lt;&gt;"Free Game",'Game Records'!$G378=""),"Gross Pot; ","")&amp;IF(AND('Game Records'!$U378&lt;&gt;"Free Game",'Game Records'!$H378=""),"Entry Fee; ","")&amp;IF(AND('Game Records'!$U378&lt;&gt;"Subscription",'Game Records'!$U378&lt;&gt;"Free Game",'Game Records'!$I378=""),"Eligible Players; ","")&amp;IF(AND('Game Records'!$U378&lt;&gt;"Subscription",'Game Records'!$U378&lt;&gt;"Free Game",'Game Records'!$J378=""),"Total Players; ","")&amp;IF(AND(LOWER('Game Records'!$D378&amp;"")="finalized",LOWER('Game Records'!$L378&amp;"")&lt;&gt;"yes",'Game Records'!$U378&lt;&gt;"Subscription",'Game Records'!$U378&lt;&gt;"Free Game",'Game Records'!$K378=""),"Final Earned; ","")&amp;IF(AND(LOWER('Game Records'!$D378&amp;"")="finalized",'Game Records'!$U378&lt;&gt;"Subscription",'Game Records'!$U378&lt;&gt;"Free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Game",OR('Game Records'!$D379="",LOWER('Game Records'!$D379&amp;"")="n/a")),"Entry Mode; ","")&amp;IF(AND('Game Records'!$U379&lt;&gt;"Subscription",'Game Records'!$U379&lt;&gt;"Free Game",OR('Game Records'!$E379="",LOWER('Game Records'!$E379&amp;"")="n/a")),"Game Type; ","")&amp;IF('Game Records'!$F379="","Payment Type; ","")&amp;IF(AND('Game Records'!$U379&lt;&gt;"Subscription",'Game Records'!$U379&lt;&gt;"Free Game",'Game Records'!$G379=""),"Gross Pot; ","")&amp;IF(AND('Game Records'!$U379&lt;&gt;"Free Game",'Game Records'!$H379=""),"Entry Fee; ","")&amp;IF(AND('Game Records'!$U379&lt;&gt;"Subscription",'Game Records'!$U379&lt;&gt;"Free Game",'Game Records'!$I379=""),"Eligible Players; ","")&amp;IF(AND('Game Records'!$U379&lt;&gt;"Subscription",'Game Records'!$U379&lt;&gt;"Free Game",'Game Records'!$J379=""),"Total Players; ","")&amp;IF(AND(LOWER('Game Records'!$D379&amp;"")="finalized",LOWER('Game Records'!$L379&amp;"")&lt;&gt;"yes",'Game Records'!$U379&lt;&gt;"Subscription",'Game Records'!$U379&lt;&gt;"Free Game",'Game Records'!$K379=""),"Final Earned; ","")&amp;IF(AND(LOWER('Game Records'!$D379&amp;"")="finalized",'Game Records'!$U379&lt;&gt;"Subscription",'Game Records'!$U379&lt;&gt;"Free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Game",OR('Game Records'!$D380="",LOWER('Game Records'!$D380&amp;"")="n/a")),"Entry Mode; ","")&amp;IF(AND('Game Records'!$U380&lt;&gt;"Subscription",'Game Records'!$U380&lt;&gt;"Free Game",OR('Game Records'!$E380="",LOWER('Game Records'!$E380&amp;"")="n/a")),"Game Type; ","")&amp;IF('Game Records'!$F380="","Payment Type; ","")&amp;IF(AND('Game Records'!$U380&lt;&gt;"Subscription",'Game Records'!$U380&lt;&gt;"Free Game",'Game Records'!$G380=""),"Gross Pot; ","")&amp;IF(AND('Game Records'!$U380&lt;&gt;"Free Game",'Game Records'!$H380=""),"Entry Fee; ","")&amp;IF(AND('Game Records'!$U380&lt;&gt;"Subscription",'Game Records'!$U380&lt;&gt;"Free Game",'Game Records'!$I380=""),"Eligible Players; ","")&amp;IF(AND('Game Records'!$U380&lt;&gt;"Subscription",'Game Records'!$U380&lt;&gt;"Free Game",'Game Records'!$J380=""),"Total Players; ","")&amp;IF(AND(LOWER('Game Records'!$D380&amp;"")="finalized",LOWER('Game Records'!$L380&amp;"")&lt;&gt;"yes",'Game Records'!$U380&lt;&gt;"Subscription",'Game Records'!$U380&lt;&gt;"Free Game",'Game Records'!$K380=""),"Final Earned; ","")&amp;IF(AND(LOWER('Game Records'!$D380&amp;"")="finalized",'Game Records'!$U380&lt;&gt;"Subscription",'Game Records'!$U380&lt;&gt;"Free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Game",OR('Game Records'!$D381="",LOWER('Game Records'!$D381&amp;"")="n/a")),"Entry Mode; ","")&amp;IF(AND('Game Records'!$U381&lt;&gt;"Subscription",'Game Records'!$U381&lt;&gt;"Free Game",OR('Game Records'!$E381="",LOWER('Game Records'!$E381&amp;"")="n/a")),"Game Type; ","")&amp;IF('Game Records'!$F381="","Payment Type; ","")&amp;IF(AND('Game Records'!$U381&lt;&gt;"Subscription",'Game Records'!$U381&lt;&gt;"Free Game",'Game Records'!$G381=""),"Gross Pot; ","")&amp;IF(AND('Game Records'!$U381&lt;&gt;"Free Game",'Game Records'!$H381=""),"Entry Fee; ","")&amp;IF(AND('Game Records'!$U381&lt;&gt;"Subscription",'Game Records'!$U381&lt;&gt;"Free Game",'Game Records'!$I381=""),"Eligible Players; ","")&amp;IF(AND('Game Records'!$U381&lt;&gt;"Subscription",'Game Records'!$U381&lt;&gt;"Free Game",'Game Records'!$J381=""),"Total Players; ","")&amp;IF(AND(LOWER('Game Records'!$D381&amp;"")="finalized",LOWER('Game Records'!$L381&amp;"")&lt;&gt;"yes",'Game Records'!$U381&lt;&gt;"Subscription",'Game Records'!$U381&lt;&gt;"Free Game",'Game Records'!$K381=""),"Final Earned; ","")&amp;IF(AND(LOWER('Game Records'!$D381&amp;"")="finalized",'Game Records'!$U381&lt;&gt;"Subscription",'Game Records'!$U381&lt;&gt;"Free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Game",OR('Game Records'!$D382="",LOWER('Game Records'!$D382&amp;"")="n/a")),"Entry Mode; ","")&amp;IF(AND('Game Records'!$U382&lt;&gt;"Subscription",'Game Records'!$U382&lt;&gt;"Free Game",OR('Game Records'!$E382="",LOWER('Game Records'!$E382&amp;"")="n/a")),"Game Type; ","")&amp;IF('Game Records'!$F382="","Payment Type; ","")&amp;IF(AND('Game Records'!$U382&lt;&gt;"Subscription",'Game Records'!$U382&lt;&gt;"Free Game",'Game Records'!$G382=""),"Gross Pot; ","")&amp;IF(AND('Game Records'!$U382&lt;&gt;"Free Game",'Game Records'!$H382=""),"Entry Fee; ","")&amp;IF(AND('Game Records'!$U382&lt;&gt;"Subscription",'Game Records'!$U382&lt;&gt;"Free Game",'Game Records'!$I382=""),"Eligible Players; ","")&amp;IF(AND('Game Records'!$U382&lt;&gt;"Subscription",'Game Records'!$U382&lt;&gt;"Free Game",'Game Records'!$J382=""),"Total Players; ","")&amp;IF(AND(LOWER('Game Records'!$D382&amp;"")="finalized",LOWER('Game Records'!$L382&amp;"")&lt;&gt;"yes",'Game Records'!$U382&lt;&gt;"Subscription",'Game Records'!$U382&lt;&gt;"Free Game",'Game Records'!$K382=""),"Final Earned; ","")&amp;IF(AND(LOWER('Game Records'!$D382&amp;"")="finalized",'Game Records'!$U382&lt;&gt;"Subscription",'Game Records'!$U382&lt;&gt;"Free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Game",OR('Game Records'!$D383="",LOWER('Game Records'!$D383&amp;"")="n/a")),"Entry Mode; ","")&amp;IF(AND('Game Records'!$U383&lt;&gt;"Subscription",'Game Records'!$U383&lt;&gt;"Free Game",OR('Game Records'!$E383="",LOWER('Game Records'!$E383&amp;"")="n/a")),"Game Type; ","")&amp;IF('Game Records'!$F383="","Payment Type; ","")&amp;IF(AND('Game Records'!$U383&lt;&gt;"Subscription",'Game Records'!$U383&lt;&gt;"Free Game",'Game Records'!$G383=""),"Gross Pot; ","")&amp;IF(AND('Game Records'!$U383&lt;&gt;"Free Game",'Game Records'!$H383=""),"Entry Fee; ","")&amp;IF(AND('Game Records'!$U383&lt;&gt;"Subscription",'Game Records'!$U383&lt;&gt;"Free Game",'Game Records'!$I383=""),"Eligible Players; ","")&amp;IF(AND('Game Records'!$U383&lt;&gt;"Subscription",'Game Records'!$U383&lt;&gt;"Free Game",'Game Records'!$J383=""),"Total Players; ","")&amp;IF(AND(LOWER('Game Records'!$D383&amp;"")="finalized",LOWER('Game Records'!$L383&amp;"")&lt;&gt;"yes",'Game Records'!$U383&lt;&gt;"Subscription",'Game Records'!$U383&lt;&gt;"Free Game",'Game Records'!$K383=""),"Final Earned; ","")&amp;IF(AND(LOWER('Game Records'!$D383&amp;"")="finalized",'Game Records'!$U383&lt;&gt;"Subscription",'Game Records'!$U383&lt;&gt;"Free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Game",OR('Game Records'!$D384="",LOWER('Game Records'!$D384&amp;"")="n/a")),"Entry Mode; ","")&amp;IF(AND('Game Records'!$U384&lt;&gt;"Subscription",'Game Records'!$U384&lt;&gt;"Free Game",OR('Game Records'!$E384="",LOWER('Game Records'!$E384&amp;"")="n/a")),"Game Type; ","")&amp;IF('Game Records'!$F384="","Payment Type; ","")&amp;IF(AND('Game Records'!$U384&lt;&gt;"Subscription",'Game Records'!$U384&lt;&gt;"Free Game",'Game Records'!$G384=""),"Gross Pot; ","")&amp;IF(AND('Game Records'!$U384&lt;&gt;"Free Game",'Game Records'!$H384=""),"Entry Fee; ","")&amp;IF(AND('Game Records'!$U384&lt;&gt;"Subscription",'Game Records'!$U384&lt;&gt;"Free Game",'Game Records'!$I384=""),"Eligible Players; ","")&amp;IF(AND('Game Records'!$U384&lt;&gt;"Subscription",'Game Records'!$U384&lt;&gt;"Free Game",'Game Records'!$J384=""),"Total Players; ","")&amp;IF(AND(LOWER('Game Records'!$D384&amp;"")="finalized",LOWER('Game Records'!$L384&amp;"")&lt;&gt;"yes",'Game Records'!$U384&lt;&gt;"Subscription",'Game Records'!$U384&lt;&gt;"Free Game",'Game Records'!$K384=""),"Final Earned; ","")&amp;IF(AND(LOWER('Game Records'!$D384&amp;"")="finalized",'Game Records'!$U384&lt;&gt;"Subscription",'Game Records'!$U384&lt;&gt;"Free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Game",OR('Game Records'!$D385="",LOWER('Game Records'!$D385&amp;"")="n/a")),"Entry Mode; ","")&amp;IF(AND('Game Records'!$U385&lt;&gt;"Subscription",'Game Records'!$U385&lt;&gt;"Free Game",OR('Game Records'!$E385="",LOWER('Game Records'!$E385&amp;"")="n/a")),"Game Type; ","")&amp;IF('Game Records'!$F385="","Payment Type; ","")&amp;IF(AND('Game Records'!$U385&lt;&gt;"Subscription",'Game Records'!$U385&lt;&gt;"Free Game",'Game Records'!$G385=""),"Gross Pot; ","")&amp;IF(AND('Game Records'!$U385&lt;&gt;"Free Game",'Game Records'!$H385=""),"Entry Fee; ","")&amp;IF(AND('Game Records'!$U385&lt;&gt;"Subscription",'Game Records'!$U385&lt;&gt;"Free Game",'Game Records'!$I385=""),"Eligible Players; ","")&amp;IF(AND('Game Records'!$U385&lt;&gt;"Subscription",'Game Records'!$U385&lt;&gt;"Free Game",'Game Records'!$J385=""),"Total Players; ","")&amp;IF(AND(LOWER('Game Records'!$D385&amp;"")="finalized",LOWER('Game Records'!$L385&amp;"")&lt;&gt;"yes",'Game Records'!$U385&lt;&gt;"Subscription",'Game Records'!$U385&lt;&gt;"Free Game",'Game Records'!$K385=""),"Final Earned; ","")&amp;IF(AND(LOWER('Game Records'!$D385&amp;"")="finalized",'Game Records'!$U385&lt;&gt;"Subscription",'Game Records'!$U385&lt;&gt;"Free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Game",OR('Game Records'!$D386="",LOWER('Game Records'!$D386&amp;"")="n/a")),"Entry Mode; ","")&amp;IF(AND('Game Records'!$U386&lt;&gt;"Subscription",'Game Records'!$U386&lt;&gt;"Free Game",OR('Game Records'!$E386="",LOWER('Game Records'!$E386&amp;"")="n/a")),"Game Type; ","")&amp;IF('Game Records'!$F386="","Payment Type; ","")&amp;IF(AND('Game Records'!$U386&lt;&gt;"Subscription",'Game Records'!$U386&lt;&gt;"Free Game",'Game Records'!$G386=""),"Gross Pot; ","")&amp;IF(AND('Game Records'!$U386&lt;&gt;"Free Game",'Game Records'!$H386=""),"Entry Fee; ","")&amp;IF(AND('Game Records'!$U386&lt;&gt;"Subscription",'Game Records'!$U386&lt;&gt;"Free Game",'Game Records'!$I386=""),"Eligible Players; ","")&amp;IF(AND('Game Records'!$U386&lt;&gt;"Subscription",'Game Records'!$U386&lt;&gt;"Free Game",'Game Records'!$J386=""),"Total Players; ","")&amp;IF(AND(LOWER('Game Records'!$D386&amp;"")="finalized",LOWER('Game Records'!$L386&amp;"")&lt;&gt;"yes",'Game Records'!$U386&lt;&gt;"Subscription",'Game Records'!$U386&lt;&gt;"Free Game",'Game Records'!$K386=""),"Final Earned; ","")&amp;IF(AND(LOWER('Game Records'!$D386&amp;"")="finalized",'Game Records'!$U386&lt;&gt;"Subscription",'Game Records'!$U386&lt;&gt;"Free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Game",OR('Game Records'!$D387="",LOWER('Game Records'!$D387&amp;"")="n/a")),"Entry Mode; ","")&amp;IF(AND('Game Records'!$U387&lt;&gt;"Subscription",'Game Records'!$U387&lt;&gt;"Free Game",OR('Game Records'!$E387="",LOWER('Game Records'!$E387&amp;"")="n/a")),"Game Type; ","")&amp;IF('Game Records'!$F387="","Payment Type; ","")&amp;IF(AND('Game Records'!$U387&lt;&gt;"Subscription",'Game Records'!$U387&lt;&gt;"Free Game",'Game Records'!$G387=""),"Gross Pot; ","")&amp;IF(AND('Game Records'!$U387&lt;&gt;"Free Game",'Game Records'!$H387=""),"Entry Fee; ","")&amp;IF(AND('Game Records'!$U387&lt;&gt;"Subscription",'Game Records'!$U387&lt;&gt;"Free Game",'Game Records'!$I387=""),"Eligible Players; ","")&amp;IF(AND('Game Records'!$U387&lt;&gt;"Subscription",'Game Records'!$U387&lt;&gt;"Free Game",'Game Records'!$J387=""),"Total Players; ","")&amp;IF(AND(LOWER('Game Records'!$D387&amp;"")="finalized",LOWER('Game Records'!$L387&amp;"")&lt;&gt;"yes",'Game Records'!$U387&lt;&gt;"Subscription",'Game Records'!$U387&lt;&gt;"Free Game",'Game Records'!$K387=""),"Final Earned; ","")&amp;IF(AND(LOWER('Game Records'!$D387&amp;"")="finalized",'Game Records'!$U387&lt;&gt;"Subscription",'Game Records'!$U387&lt;&gt;"Free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Game",OR('Game Records'!$D388="",LOWER('Game Records'!$D388&amp;"")="n/a")),"Entry Mode; ","")&amp;IF(AND('Game Records'!$U388&lt;&gt;"Subscription",'Game Records'!$U388&lt;&gt;"Free Game",OR('Game Records'!$E388="",LOWER('Game Records'!$E388&amp;"")="n/a")),"Game Type; ","")&amp;IF('Game Records'!$F388="","Payment Type; ","")&amp;IF(AND('Game Records'!$U388&lt;&gt;"Subscription",'Game Records'!$U388&lt;&gt;"Free Game",'Game Records'!$G388=""),"Gross Pot; ","")&amp;IF(AND('Game Records'!$U388&lt;&gt;"Free Game",'Game Records'!$H388=""),"Entry Fee; ","")&amp;IF(AND('Game Records'!$U388&lt;&gt;"Subscription",'Game Records'!$U388&lt;&gt;"Free Game",'Game Records'!$I388=""),"Eligible Players; ","")&amp;IF(AND('Game Records'!$U388&lt;&gt;"Subscription",'Game Records'!$U388&lt;&gt;"Free Game",'Game Records'!$J388=""),"Total Players; ","")&amp;IF(AND(LOWER('Game Records'!$D388&amp;"")="finalized",LOWER('Game Records'!$L388&amp;"")&lt;&gt;"yes",'Game Records'!$U388&lt;&gt;"Subscription",'Game Records'!$U388&lt;&gt;"Free Game",'Game Records'!$K388=""),"Final Earned; ","")&amp;IF(AND(LOWER('Game Records'!$D388&amp;"")="finalized",'Game Records'!$U388&lt;&gt;"Subscription",'Game Records'!$U388&lt;&gt;"Free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Game",OR('Game Records'!$D389="",LOWER('Game Records'!$D389&amp;"")="n/a")),"Entry Mode; ","")&amp;IF(AND('Game Records'!$U389&lt;&gt;"Subscription",'Game Records'!$U389&lt;&gt;"Free Game",OR('Game Records'!$E389="",LOWER('Game Records'!$E389&amp;"")="n/a")),"Game Type; ","")&amp;IF('Game Records'!$F389="","Payment Type; ","")&amp;IF(AND('Game Records'!$U389&lt;&gt;"Subscription",'Game Records'!$U389&lt;&gt;"Free Game",'Game Records'!$G389=""),"Gross Pot; ","")&amp;IF(AND('Game Records'!$U389&lt;&gt;"Free Game",'Game Records'!$H389=""),"Entry Fee; ","")&amp;IF(AND('Game Records'!$U389&lt;&gt;"Subscription",'Game Records'!$U389&lt;&gt;"Free Game",'Game Records'!$I389=""),"Eligible Players; ","")&amp;IF(AND('Game Records'!$U389&lt;&gt;"Subscription",'Game Records'!$U389&lt;&gt;"Free Game",'Game Records'!$J389=""),"Total Players; ","")&amp;IF(AND(LOWER('Game Records'!$D389&amp;"")="finalized",LOWER('Game Records'!$L389&amp;"")&lt;&gt;"yes",'Game Records'!$U389&lt;&gt;"Subscription",'Game Records'!$U389&lt;&gt;"Free Game",'Game Records'!$K389=""),"Final Earned; ","")&amp;IF(AND(LOWER('Game Records'!$D389&amp;"")="finalized",'Game Records'!$U389&lt;&gt;"Subscription",'Game Records'!$U389&lt;&gt;"Free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Game",OR('Game Records'!$D390="",LOWER('Game Records'!$D390&amp;"")="n/a")),"Entry Mode; ","")&amp;IF(AND('Game Records'!$U390&lt;&gt;"Subscription",'Game Records'!$U390&lt;&gt;"Free Game",OR('Game Records'!$E390="",LOWER('Game Records'!$E390&amp;"")="n/a")),"Game Type; ","")&amp;IF('Game Records'!$F390="","Payment Type; ","")&amp;IF(AND('Game Records'!$U390&lt;&gt;"Subscription",'Game Records'!$U390&lt;&gt;"Free Game",'Game Records'!$G390=""),"Gross Pot; ","")&amp;IF(AND('Game Records'!$U390&lt;&gt;"Free Game",'Game Records'!$H390=""),"Entry Fee; ","")&amp;IF(AND('Game Records'!$U390&lt;&gt;"Subscription",'Game Records'!$U390&lt;&gt;"Free Game",'Game Records'!$I390=""),"Eligible Players; ","")&amp;IF(AND('Game Records'!$U390&lt;&gt;"Subscription",'Game Records'!$U390&lt;&gt;"Free Game",'Game Records'!$J390=""),"Total Players; ","")&amp;IF(AND(LOWER('Game Records'!$D390&amp;"")="finalized",LOWER('Game Records'!$L390&amp;"")&lt;&gt;"yes",'Game Records'!$U390&lt;&gt;"Subscription",'Game Records'!$U390&lt;&gt;"Free Game",'Game Records'!$K390=""),"Final Earned; ","")&amp;IF(AND(LOWER('Game Records'!$D390&amp;"")="finalized",'Game Records'!$U390&lt;&gt;"Subscription",'Game Records'!$U390&lt;&gt;"Free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Game",OR('Game Records'!$D391="",LOWER('Game Records'!$D391&amp;"")="n/a")),"Entry Mode; ","")&amp;IF(AND('Game Records'!$U391&lt;&gt;"Subscription",'Game Records'!$U391&lt;&gt;"Free Game",OR('Game Records'!$E391="",LOWER('Game Records'!$E391&amp;"")="n/a")),"Game Type; ","")&amp;IF('Game Records'!$F391="","Payment Type; ","")&amp;IF(AND('Game Records'!$U391&lt;&gt;"Subscription",'Game Records'!$U391&lt;&gt;"Free Game",'Game Records'!$G391=""),"Gross Pot; ","")&amp;IF(AND('Game Records'!$U391&lt;&gt;"Free Game",'Game Records'!$H391=""),"Entry Fee; ","")&amp;IF(AND('Game Records'!$U391&lt;&gt;"Subscription",'Game Records'!$U391&lt;&gt;"Free Game",'Game Records'!$I391=""),"Eligible Players; ","")&amp;IF(AND('Game Records'!$U391&lt;&gt;"Subscription",'Game Records'!$U391&lt;&gt;"Free Game",'Game Records'!$J391=""),"Total Players; ","")&amp;IF(AND(LOWER('Game Records'!$D391&amp;"")="finalized",LOWER('Game Records'!$L391&amp;"")&lt;&gt;"yes",'Game Records'!$U391&lt;&gt;"Subscription",'Game Records'!$U391&lt;&gt;"Free Game",'Game Records'!$K391=""),"Final Earned; ","")&amp;IF(AND(LOWER('Game Records'!$D391&amp;"")="finalized",'Game Records'!$U391&lt;&gt;"Subscription",'Game Records'!$U391&lt;&gt;"Free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Game",OR('Game Records'!$D392="",LOWER('Game Records'!$D392&amp;"")="n/a")),"Entry Mode; ","")&amp;IF(AND('Game Records'!$U392&lt;&gt;"Subscription",'Game Records'!$U392&lt;&gt;"Free Game",OR('Game Records'!$E392="",LOWER('Game Records'!$E392&amp;"")="n/a")),"Game Type; ","")&amp;IF('Game Records'!$F392="","Payment Type; ","")&amp;IF(AND('Game Records'!$U392&lt;&gt;"Subscription",'Game Records'!$U392&lt;&gt;"Free Game",'Game Records'!$G392=""),"Gross Pot; ","")&amp;IF(AND('Game Records'!$U392&lt;&gt;"Free Game",'Game Records'!$H392=""),"Entry Fee; ","")&amp;IF(AND('Game Records'!$U392&lt;&gt;"Subscription",'Game Records'!$U392&lt;&gt;"Free Game",'Game Records'!$I392=""),"Eligible Players; ","")&amp;IF(AND('Game Records'!$U392&lt;&gt;"Subscription",'Game Records'!$U392&lt;&gt;"Free Game",'Game Records'!$J392=""),"Total Players; ","")&amp;IF(AND(LOWER('Game Records'!$D392&amp;"")="finalized",LOWER('Game Records'!$L392&amp;"")&lt;&gt;"yes",'Game Records'!$U392&lt;&gt;"Subscription",'Game Records'!$U392&lt;&gt;"Free Game",'Game Records'!$K392=""),"Final Earned; ","")&amp;IF(AND(LOWER('Game Records'!$D392&amp;"")="finalized",'Game Records'!$U392&lt;&gt;"Subscription",'Game Records'!$U392&lt;&gt;"Free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Game",OR('Game Records'!$D393="",LOWER('Game Records'!$D393&amp;"")="n/a")),"Entry Mode; ","")&amp;IF(AND('Game Records'!$U393&lt;&gt;"Subscription",'Game Records'!$U393&lt;&gt;"Free Game",OR('Game Records'!$E393="",LOWER('Game Records'!$E393&amp;"")="n/a")),"Game Type; ","")&amp;IF('Game Records'!$F393="","Payment Type; ","")&amp;IF(AND('Game Records'!$U393&lt;&gt;"Subscription",'Game Records'!$U393&lt;&gt;"Free Game",'Game Records'!$G393=""),"Gross Pot; ","")&amp;IF(AND('Game Records'!$U393&lt;&gt;"Free Game",'Game Records'!$H393=""),"Entry Fee; ","")&amp;IF(AND('Game Records'!$U393&lt;&gt;"Subscription",'Game Records'!$U393&lt;&gt;"Free Game",'Game Records'!$I393=""),"Eligible Players; ","")&amp;IF(AND('Game Records'!$U393&lt;&gt;"Subscription",'Game Records'!$U393&lt;&gt;"Free Game",'Game Records'!$J393=""),"Total Players; ","")&amp;IF(AND(LOWER('Game Records'!$D393&amp;"")="finalized",LOWER('Game Records'!$L393&amp;"")&lt;&gt;"yes",'Game Records'!$U393&lt;&gt;"Subscription",'Game Records'!$U393&lt;&gt;"Free Game",'Game Records'!$K393=""),"Final Earned; ","")&amp;IF(AND(LOWER('Game Records'!$D393&amp;"")="finalized",'Game Records'!$U393&lt;&gt;"Subscription",'Game Records'!$U393&lt;&gt;"Free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Game",OR('Game Records'!$D394="",LOWER('Game Records'!$D394&amp;"")="n/a")),"Entry Mode; ","")&amp;IF(AND('Game Records'!$U394&lt;&gt;"Subscription",'Game Records'!$U394&lt;&gt;"Free Game",OR('Game Records'!$E394="",LOWER('Game Records'!$E394&amp;"")="n/a")),"Game Type; ","")&amp;IF('Game Records'!$F394="","Payment Type; ","")&amp;IF(AND('Game Records'!$U394&lt;&gt;"Subscription",'Game Records'!$U394&lt;&gt;"Free Game",'Game Records'!$G394=""),"Gross Pot; ","")&amp;IF(AND('Game Records'!$U394&lt;&gt;"Free Game",'Game Records'!$H394=""),"Entry Fee; ","")&amp;IF(AND('Game Records'!$U394&lt;&gt;"Subscription",'Game Records'!$U394&lt;&gt;"Free Game",'Game Records'!$I394=""),"Eligible Players; ","")&amp;IF(AND('Game Records'!$U394&lt;&gt;"Subscription",'Game Records'!$U394&lt;&gt;"Free Game",'Game Records'!$J394=""),"Total Players; ","")&amp;IF(AND(LOWER('Game Records'!$D394&amp;"")="finalized",LOWER('Game Records'!$L394&amp;"")&lt;&gt;"yes",'Game Records'!$U394&lt;&gt;"Subscription",'Game Records'!$U394&lt;&gt;"Free Game",'Game Records'!$K394=""),"Final Earned; ","")&amp;IF(AND(LOWER('Game Records'!$D394&amp;"")="finalized",'Game Records'!$U394&lt;&gt;"Subscription",'Game Records'!$U394&lt;&gt;"Free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Game",OR('Game Records'!$D395="",LOWER('Game Records'!$D395&amp;"")="n/a")),"Entry Mode; ","")&amp;IF(AND('Game Records'!$U395&lt;&gt;"Subscription",'Game Records'!$U395&lt;&gt;"Free Game",OR('Game Records'!$E395="",LOWER('Game Records'!$E395&amp;"")="n/a")),"Game Type; ","")&amp;IF('Game Records'!$F395="","Payment Type; ","")&amp;IF(AND('Game Records'!$U395&lt;&gt;"Subscription",'Game Records'!$U395&lt;&gt;"Free Game",'Game Records'!$G395=""),"Gross Pot; ","")&amp;IF(AND('Game Records'!$U395&lt;&gt;"Free Game",'Game Records'!$H395=""),"Entry Fee; ","")&amp;IF(AND('Game Records'!$U395&lt;&gt;"Subscription",'Game Records'!$U395&lt;&gt;"Free Game",'Game Records'!$I395=""),"Eligible Players; ","")&amp;IF(AND('Game Records'!$U395&lt;&gt;"Subscription",'Game Records'!$U395&lt;&gt;"Free Game",'Game Records'!$J395=""),"Total Players; ","")&amp;IF(AND(LOWER('Game Records'!$D395&amp;"")="finalized",LOWER('Game Records'!$L395&amp;"")&lt;&gt;"yes",'Game Records'!$U395&lt;&gt;"Subscription",'Game Records'!$U395&lt;&gt;"Free Game",'Game Records'!$K395=""),"Final Earned; ","")&amp;IF(AND(LOWER('Game Records'!$D395&amp;"")="finalized",'Game Records'!$U395&lt;&gt;"Subscription",'Game Records'!$U395&lt;&gt;"Free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Game",OR('Game Records'!$D396="",LOWER('Game Records'!$D396&amp;"")="n/a")),"Entry Mode; ","")&amp;IF(AND('Game Records'!$U396&lt;&gt;"Subscription",'Game Records'!$U396&lt;&gt;"Free Game",OR('Game Records'!$E396="",LOWER('Game Records'!$E396&amp;"")="n/a")),"Game Type; ","")&amp;IF('Game Records'!$F396="","Payment Type; ","")&amp;IF(AND('Game Records'!$U396&lt;&gt;"Subscription",'Game Records'!$U396&lt;&gt;"Free Game",'Game Records'!$G396=""),"Gross Pot; ","")&amp;IF(AND('Game Records'!$U396&lt;&gt;"Free Game",'Game Records'!$H396=""),"Entry Fee; ","")&amp;IF(AND('Game Records'!$U396&lt;&gt;"Subscription",'Game Records'!$U396&lt;&gt;"Free Game",'Game Records'!$I396=""),"Eligible Players; ","")&amp;IF(AND('Game Records'!$U396&lt;&gt;"Subscription",'Game Records'!$U396&lt;&gt;"Free Game",'Game Records'!$J396=""),"Total Players; ","")&amp;IF(AND(LOWER('Game Records'!$D396&amp;"")="finalized",LOWER('Game Records'!$L396&amp;"")&lt;&gt;"yes",'Game Records'!$U396&lt;&gt;"Subscription",'Game Records'!$U396&lt;&gt;"Free Game",'Game Records'!$K396=""),"Final Earned; ","")&amp;IF(AND(LOWER('Game Records'!$D396&amp;"")="finalized",'Game Records'!$U396&lt;&gt;"Subscription",'Game Records'!$U396&lt;&gt;"Free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Game",OR('Game Records'!$D397="",LOWER('Game Records'!$D397&amp;"")="n/a")),"Entry Mode; ","")&amp;IF(AND('Game Records'!$U397&lt;&gt;"Subscription",'Game Records'!$U397&lt;&gt;"Free Game",OR('Game Records'!$E397="",LOWER('Game Records'!$E397&amp;"")="n/a")),"Game Type; ","")&amp;IF('Game Records'!$F397="","Payment Type; ","")&amp;IF(AND('Game Records'!$U397&lt;&gt;"Subscription",'Game Records'!$U397&lt;&gt;"Free Game",'Game Records'!$G397=""),"Gross Pot; ","")&amp;IF(AND('Game Records'!$U397&lt;&gt;"Free Game",'Game Records'!$H397=""),"Entry Fee; ","")&amp;IF(AND('Game Records'!$U397&lt;&gt;"Subscription",'Game Records'!$U397&lt;&gt;"Free Game",'Game Records'!$I397=""),"Eligible Players; ","")&amp;IF(AND('Game Records'!$U397&lt;&gt;"Subscription",'Game Records'!$U397&lt;&gt;"Free Game",'Game Records'!$J397=""),"Total Players; ","")&amp;IF(AND(LOWER('Game Records'!$D397&amp;"")="finalized",LOWER('Game Records'!$L397&amp;"")&lt;&gt;"yes",'Game Records'!$U397&lt;&gt;"Subscription",'Game Records'!$U397&lt;&gt;"Free Game",'Game Records'!$K397=""),"Final Earned; ","")&amp;IF(AND(LOWER('Game Records'!$D397&amp;"")="finalized",'Game Records'!$U397&lt;&gt;"Subscription",'Game Records'!$U397&lt;&gt;"Free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Game",OR('Game Records'!$D398="",LOWER('Game Records'!$D398&amp;"")="n/a")),"Entry Mode; ","")&amp;IF(AND('Game Records'!$U398&lt;&gt;"Subscription",'Game Records'!$U398&lt;&gt;"Free Game",OR('Game Records'!$E398="",LOWER('Game Records'!$E398&amp;"")="n/a")),"Game Type; ","")&amp;IF('Game Records'!$F398="","Payment Type; ","")&amp;IF(AND('Game Records'!$U398&lt;&gt;"Subscription",'Game Records'!$U398&lt;&gt;"Free Game",'Game Records'!$G398=""),"Gross Pot; ","")&amp;IF(AND('Game Records'!$U398&lt;&gt;"Free Game",'Game Records'!$H398=""),"Entry Fee; ","")&amp;IF(AND('Game Records'!$U398&lt;&gt;"Subscription",'Game Records'!$U398&lt;&gt;"Free Game",'Game Records'!$I398=""),"Eligible Players; ","")&amp;IF(AND('Game Records'!$U398&lt;&gt;"Subscription",'Game Records'!$U398&lt;&gt;"Free Game",'Game Records'!$J398=""),"Total Players; ","")&amp;IF(AND(LOWER('Game Records'!$D398&amp;"")="finalized",LOWER('Game Records'!$L398&amp;"")&lt;&gt;"yes",'Game Records'!$U398&lt;&gt;"Subscription",'Game Records'!$U398&lt;&gt;"Free Game",'Game Records'!$K398=""),"Final Earned; ","")&amp;IF(AND(LOWER('Game Records'!$D398&amp;"")="finalized",'Game Records'!$U398&lt;&gt;"Subscription",'Game Records'!$U398&lt;&gt;"Free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Game",OR('Game Records'!$D399="",LOWER('Game Records'!$D399&amp;"")="n/a")),"Entry Mode; ","")&amp;IF(AND('Game Records'!$U399&lt;&gt;"Subscription",'Game Records'!$U399&lt;&gt;"Free Game",OR('Game Records'!$E399="",LOWER('Game Records'!$E399&amp;"")="n/a")),"Game Type; ","")&amp;IF('Game Records'!$F399="","Payment Type; ","")&amp;IF(AND('Game Records'!$U399&lt;&gt;"Subscription",'Game Records'!$U399&lt;&gt;"Free Game",'Game Records'!$G399=""),"Gross Pot; ","")&amp;IF(AND('Game Records'!$U399&lt;&gt;"Free Game",'Game Records'!$H399=""),"Entry Fee; ","")&amp;IF(AND('Game Records'!$U399&lt;&gt;"Subscription",'Game Records'!$U399&lt;&gt;"Free Game",'Game Records'!$I399=""),"Eligible Players; ","")&amp;IF(AND('Game Records'!$U399&lt;&gt;"Subscription",'Game Records'!$U399&lt;&gt;"Free Game",'Game Records'!$J399=""),"Total Players; ","")&amp;IF(AND(LOWER('Game Records'!$D399&amp;"")="finalized",LOWER('Game Records'!$L399&amp;"")&lt;&gt;"yes",'Game Records'!$U399&lt;&gt;"Subscription",'Game Records'!$U399&lt;&gt;"Free Game",'Game Records'!$K399=""),"Final Earned; ","")&amp;IF(AND(LOWER('Game Records'!$D399&amp;"")="finalized",'Game Records'!$U399&lt;&gt;"Subscription",'Game Records'!$U399&lt;&gt;"Free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Game",OR('Game Records'!$D400="",LOWER('Game Records'!$D400&amp;"")="n/a")),"Entry Mode; ","")&amp;IF(AND('Game Records'!$U400&lt;&gt;"Subscription",'Game Records'!$U400&lt;&gt;"Free Game",OR('Game Records'!$E400="",LOWER('Game Records'!$E400&amp;"")="n/a")),"Game Type; ","")&amp;IF('Game Records'!$F400="","Payment Type; ","")&amp;IF(AND('Game Records'!$U400&lt;&gt;"Subscription",'Game Records'!$U400&lt;&gt;"Free Game",'Game Records'!$G400=""),"Gross Pot; ","")&amp;IF(AND('Game Records'!$U400&lt;&gt;"Free Game",'Game Records'!$H400=""),"Entry Fee; ","")&amp;IF(AND('Game Records'!$U400&lt;&gt;"Subscription",'Game Records'!$U400&lt;&gt;"Free Game",'Game Records'!$I400=""),"Eligible Players; ","")&amp;IF(AND('Game Records'!$U400&lt;&gt;"Subscription",'Game Records'!$U400&lt;&gt;"Free Game",'Game Records'!$J400=""),"Total Players; ","")&amp;IF(AND(LOWER('Game Records'!$D400&amp;"")="finalized",LOWER('Game Records'!$L400&amp;"")&lt;&gt;"yes",'Game Records'!$U400&lt;&gt;"Subscription",'Game Records'!$U400&lt;&gt;"Free Game",'Game Records'!$K400=""),"Final Earned; ","")&amp;IF(AND(LOWER('Game Records'!$D400&amp;"")="finalized",'Game Records'!$U400&lt;&gt;"Subscription",'Game Records'!$U400&lt;&gt;"Free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Game",OR('Game Records'!$D401="",LOWER('Game Records'!$D401&amp;"")="n/a")),"Entry Mode; ","")&amp;IF(AND('Game Records'!$U401&lt;&gt;"Subscription",'Game Records'!$U401&lt;&gt;"Free Game",OR('Game Records'!$E401="",LOWER('Game Records'!$E401&amp;"")="n/a")),"Game Type; ","")&amp;IF('Game Records'!$F401="","Payment Type; ","")&amp;IF(AND('Game Records'!$U401&lt;&gt;"Subscription",'Game Records'!$U401&lt;&gt;"Free Game",'Game Records'!$G401=""),"Gross Pot; ","")&amp;IF(AND('Game Records'!$U401&lt;&gt;"Free Game",'Game Records'!$H401=""),"Entry Fee; ","")&amp;IF(AND('Game Records'!$U401&lt;&gt;"Subscription",'Game Records'!$U401&lt;&gt;"Free Game",'Game Records'!$I401=""),"Eligible Players; ","")&amp;IF(AND('Game Records'!$U401&lt;&gt;"Subscription",'Game Records'!$U401&lt;&gt;"Free Game",'Game Records'!$J401=""),"Total Players; ","")&amp;IF(AND(LOWER('Game Records'!$D401&amp;"")="finalized",LOWER('Game Records'!$L401&amp;"")&lt;&gt;"yes",'Game Records'!$U401&lt;&gt;"Subscription",'Game Records'!$U401&lt;&gt;"Free Game",'Game Records'!$K401=""),"Final Earned; ","")&amp;IF(AND(LOWER('Game Records'!$D401&amp;"")="finalized",'Game Records'!$U401&lt;&gt;"Subscription",'Game Records'!$U401&lt;&gt;"Free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Game",OR('Game Records'!$D402="",LOWER('Game Records'!$D402&amp;"")="n/a")),"Entry Mode; ","")&amp;IF(AND('Game Records'!$U402&lt;&gt;"Subscription",'Game Records'!$U402&lt;&gt;"Free Game",OR('Game Records'!$E402="",LOWER('Game Records'!$E402&amp;"")="n/a")),"Game Type; ","")&amp;IF('Game Records'!$F402="","Payment Type; ","")&amp;IF(AND('Game Records'!$U402&lt;&gt;"Subscription",'Game Records'!$U402&lt;&gt;"Free Game",'Game Records'!$G402=""),"Gross Pot; ","")&amp;IF(AND('Game Records'!$U402&lt;&gt;"Free Game",'Game Records'!$H402=""),"Entry Fee; ","")&amp;IF(AND('Game Records'!$U402&lt;&gt;"Subscription",'Game Records'!$U402&lt;&gt;"Free Game",'Game Records'!$I402=""),"Eligible Players; ","")&amp;IF(AND('Game Records'!$U402&lt;&gt;"Subscription",'Game Records'!$U402&lt;&gt;"Free Game",'Game Records'!$J402=""),"Total Players; ","")&amp;IF(AND(LOWER('Game Records'!$D402&amp;"")="finalized",LOWER('Game Records'!$L402&amp;"")&lt;&gt;"yes",'Game Records'!$U402&lt;&gt;"Subscription",'Game Records'!$U402&lt;&gt;"Free Game",'Game Records'!$K402=""),"Final Earned; ","")&amp;IF(AND(LOWER('Game Records'!$D402&amp;"")="finalized",'Game Records'!$U402&lt;&gt;"Subscription",'Game Records'!$U402&lt;&gt;"Free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Game",OR('Game Records'!$D403="",LOWER('Game Records'!$D403&amp;"")="n/a")),"Entry Mode; ","")&amp;IF(AND('Game Records'!$U403&lt;&gt;"Subscription",'Game Records'!$U403&lt;&gt;"Free Game",OR('Game Records'!$E403="",LOWER('Game Records'!$E403&amp;"")="n/a")),"Game Type; ","")&amp;IF('Game Records'!$F403="","Payment Type; ","")&amp;IF(AND('Game Records'!$U403&lt;&gt;"Subscription",'Game Records'!$U403&lt;&gt;"Free Game",'Game Records'!$G403=""),"Gross Pot; ","")&amp;IF(AND('Game Records'!$U403&lt;&gt;"Free Game",'Game Records'!$H403=""),"Entry Fee; ","")&amp;IF(AND('Game Records'!$U403&lt;&gt;"Subscription",'Game Records'!$U403&lt;&gt;"Free Game",'Game Records'!$I403=""),"Eligible Players; ","")&amp;IF(AND('Game Records'!$U403&lt;&gt;"Subscription",'Game Records'!$U403&lt;&gt;"Free Game",'Game Records'!$J403=""),"Total Players; ","")&amp;IF(AND(LOWER('Game Records'!$D403&amp;"")="finalized",LOWER('Game Records'!$L403&amp;"")&lt;&gt;"yes",'Game Records'!$U403&lt;&gt;"Subscription",'Game Records'!$U403&lt;&gt;"Free Game",'Game Records'!$K403=""),"Final Earned; ","")&amp;IF(AND(LOWER('Game Records'!$D403&amp;"")="finalized",'Game Records'!$U403&lt;&gt;"Subscription",'Game Records'!$U403&lt;&gt;"Free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Game",OR('Game Records'!$D404="",LOWER('Game Records'!$D404&amp;"")="n/a")),"Entry Mode; ","")&amp;IF(AND('Game Records'!$U404&lt;&gt;"Subscription",'Game Records'!$U404&lt;&gt;"Free Game",OR('Game Records'!$E404="",LOWER('Game Records'!$E404&amp;"")="n/a")),"Game Type; ","")&amp;IF('Game Records'!$F404="","Payment Type; ","")&amp;IF(AND('Game Records'!$U404&lt;&gt;"Subscription",'Game Records'!$U404&lt;&gt;"Free Game",'Game Records'!$G404=""),"Gross Pot; ","")&amp;IF(AND('Game Records'!$U404&lt;&gt;"Free Game",'Game Records'!$H404=""),"Entry Fee; ","")&amp;IF(AND('Game Records'!$U404&lt;&gt;"Subscription",'Game Records'!$U404&lt;&gt;"Free Game",'Game Records'!$I404=""),"Eligible Players; ","")&amp;IF(AND('Game Records'!$U404&lt;&gt;"Subscription",'Game Records'!$U404&lt;&gt;"Free Game",'Game Records'!$J404=""),"Total Players; ","")&amp;IF(AND(LOWER('Game Records'!$D404&amp;"")="finalized",LOWER('Game Records'!$L404&amp;"")&lt;&gt;"yes",'Game Records'!$U404&lt;&gt;"Subscription",'Game Records'!$U404&lt;&gt;"Free Game",'Game Records'!$K404=""),"Final Earned; ","")&amp;IF(AND(LOWER('Game Records'!$D404&amp;"")="finalized",'Game Records'!$U404&lt;&gt;"Subscription",'Game Records'!$U404&lt;&gt;"Free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Game",OR('Game Records'!$D405="",LOWER('Game Records'!$D405&amp;"")="n/a")),"Entry Mode; ","")&amp;IF(AND('Game Records'!$U405&lt;&gt;"Subscription",'Game Records'!$U405&lt;&gt;"Free Game",OR('Game Records'!$E405="",LOWER('Game Records'!$E405&amp;"")="n/a")),"Game Type; ","")&amp;IF('Game Records'!$F405="","Payment Type; ","")&amp;IF(AND('Game Records'!$U405&lt;&gt;"Subscription",'Game Records'!$U405&lt;&gt;"Free Game",'Game Records'!$G405=""),"Gross Pot; ","")&amp;IF(AND('Game Records'!$U405&lt;&gt;"Free Game",'Game Records'!$H405=""),"Entry Fee; ","")&amp;IF(AND('Game Records'!$U405&lt;&gt;"Subscription",'Game Records'!$U405&lt;&gt;"Free Game",'Game Records'!$I405=""),"Eligible Players; ","")&amp;IF(AND('Game Records'!$U405&lt;&gt;"Subscription",'Game Records'!$U405&lt;&gt;"Free Game",'Game Records'!$J405=""),"Total Players; ","")&amp;IF(AND(LOWER('Game Records'!$D405&amp;"")="finalized",LOWER('Game Records'!$L405&amp;"")&lt;&gt;"yes",'Game Records'!$U405&lt;&gt;"Subscription",'Game Records'!$U405&lt;&gt;"Free Game",'Game Records'!$K405=""),"Final Earned; ","")&amp;IF(AND(LOWER('Game Records'!$D405&amp;"")="finalized",'Game Records'!$U405&lt;&gt;"Subscription",'Game Records'!$U405&lt;&gt;"Free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Game",OR('Game Records'!$D406="",LOWER('Game Records'!$D406&amp;"")="n/a")),"Entry Mode; ","")&amp;IF(AND('Game Records'!$U406&lt;&gt;"Subscription",'Game Records'!$U406&lt;&gt;"Free Game",OR('Game Records'!$E406="",LOWER('Game Records'!$E406&amp;"")="n/a")),"Game Type; ","")&amp;IF('Game Records'!$F406="","Payment Type; ","")&amp;IF(AND('Game Records'!$U406&lt;&gt;"Subscription",'Game Records'!$U406&lt;&gt;"Free Game",'Game Records'!$G406=""),"Gross Pot; ","")&amp;IF(AND('Game Records'!$U406&lt;&gt;"Free Game",'Game Records'!$H406=""),"Entry Fee; ","")&amp;IF(AND('Game Records'!$U406&lt;&gt;"Subscription",'Game Records'!$U406&lt;&gt;"Free Game",'Game Records'!$I406=""),"Eligible Players; ","")&amp;IF(AND('Game Records'!$U406&lt;&gt;"Subscription",'Game Records'!$U406&lt;&gt;"Free Game",'Game Records'!$J406=""),"Total Players; ","")&amp;IF(AND(LOWER('Game Records'!$D406&amp;"")="finalized",LOWER('Game Records'!$L406&amp;"")&lt;&gt;"yes",'Game Records'!$U406&lt;&gt;"Subscription",'Game Records'!$U406&lt;&gt;"Free Game",'Game Records'!$K406=""),"Final Earned; ","")&amp;IF(AND(LOWER('Game Records'!$D406&amp;"")="finalized",'Game Records'!$U406&lt;&gt;"Subscription",'Game Records'!$U406&lt;&gt;"Free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Game",OR('Game Records'!$D407="",LOWER('Game Records'!$D407&amp;"")="n/a")),"Entry Mode; ","")&amp;IF(AND('Game Records'!$U407&lt;&gt;"Subscription",'Game Records'!$U407&lt;&gt;"Free Game",OR('Game Records'!$E407="",LOWER('Game Records'!$E407&amp;"")="n/a")),"Game Type; ","")&amp;IF('Game Records'!$F407="","Payment Type; ","")&amp;IF(AND('Game Records'!$U407&lt;&gt;"Subscription",'Game Records'!$U407&lt;&gt;"Free Game",'Game Records'!$G407=""),"Gross Pot; ","")&amp;IF(AND('Game Records'!$U407&lt;&gt;"Free Game",'Game Records'!$H407=""),"Entry Fee; ","")&amp;IF(AND('Game Records'!$U407&lt;&gt;"Subscription",'Game Records'!$U407&lt;&gt;"Free Game",'Game Records'!$I407=""),"Eligible Players; ","")&amp;IF(AND('Game Records'!$U407&lt;&gt;"Subscription",'Game Records'!$U407&lt;&gt;"Free Game",'Game Records'!$J407=""),"Total Players; ","")&amp;IF(AND(LOWER('Game Records'!$D407&amp;"")="finalized",LOWER('Game Records'!$L407&amp;"")&lt;&gt;"yes",'Game Records'!$U407&lt;&gt;"Subscription",'Game Records'!$U407&lt;&gt;"Free Game",'Game Records'!$K407=""),"Final Earned; ","")&amp;IF(AND(LOWER('Game Records'!$D407&amp;"")="finalized",'Game Records'!$U407&lt;&gt;"Subscription",'Game Records'!$U407&lt;&gt;"Free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Game",OR('Game Records'!$D408="",LOWER('Game Records'!$D408&amp;"")="n/a")),"Entry Mode; ","")&amp;IF(AND('Game Records'!$U408&lt;&gt;"Subscription",'Game Records'!$U408&lt;&gt;"Free Game",OR('Game Records'!$E408="",LOWER('Game Records'!$E408&amp;"")="n/a")),"Game Type; ","")&amp;IF('Game Records'!$F408="","Payment Type; ","")&amp;IF(AND('Game Records'!$U408&lt;&gt;"Subscription",'Game Records'!$U408&lt;&gt;"Free Game",'Game Records'!$G408=""),"Gross Pot; ","")&amp;IF(AND('Game Records'!$U408&lt;&gt;"Free Game",'Game Records'!$H408=""),"Entry Fee; ","")&amp;IF(AND('Game Records'!$U408&lt;&gt;"Subscription",'Game Records'!$U408&lt;&gt;"Free Game",'Game Records'!$I408=""),"Eligible Players; ","")&amp;IF(AND('Game Records'!$U408&lt;&gt;"Subscription",'Game Records'!$U408&lt;&gt;"Free Game",'Game Records'!$J408=""),"Total Players; ","")&amp;IF(AND(LOWER('Game Records'!$D408&amp;"")="finalized",LOWER('Game Records'!$L408&amp;"")&lt;&gt;"yes",'Game Records'!$U408&lt;&gt;"Subscription",'Game Records'!$U408&lt;&gt;"Free Game",'Game Records'!$K408=""),"Final Earned; ","")&amp;IF(AND(LOWER('Game Records'!$D408&amp;"")="finalized",'Game Records'!$U408&lt;&gt;"Subscription",'Game Records'!$U408&lt;&gt;"Free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Game",OR('Game Records'!$D409="",LOWER('Game Records'!$D409&amp;"")="n/a")),"Entry Mode; ","")&amp;IF(AND('Game Records'!$U409&lt;&gt;"Subscription",'Game Records'!$U409&lt;&gt;"Free Game",OR('Game Records'!$E409="",LOWER('Game Records'!$E409&amp;"")="n/a")),"Game Type; ","")&amp;IF('Game Records'!$F409="","Payment Type; ","")&amp;IF(AND('Game Records'!$U409&lt;&gt;"Subscription",'Game Records'!$U409&lt;&gt;"Free Game",'Game Records'!$G409=""),"Gross Pot; ","")&amp;IF(AND('Game Records'!$U409&lt;&gt;"Free Game",'Game Records'!$H409=""),"Entry Fee; ","")&amp;IF(AND('Game Records'!$U409&lt;&gt;"Subscription",'Game Records'!$U409&lt;&gt;"Free Game",'Game Records'!$I409=""),"Eligible Players; ","")&amp;IF(AND('Game Records'!$U409&lt;&gt;"Subscription",'Game Records'!$U409&lt;&gt;"Free Game",'Game Records'!$J409=""),"Total Players; ","")&amp;IF(AND(LOWER('Game Records'!$D409&amp;"")="finalized",LOWER('Game Records'!$L409&amp;"")&lt;&gt;"yes",'Game Records'!$U409&lt;&gt;"Subscription",'Game Records'!$U409&lt;&gt;"Free Game",'Game Records'!$K409=""),"Final Earned; ","")&amp;IF(AND(LOWER('Game Records'!$D409&amp;"")="finalized",'Game Records'!$U409&lt;&gt;"Subscription",'Game Records'!$U409&lt;&gt;"Free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Game",OR('Game Records'!$D410="",LOWER('Game Records'!$D410&amp;"")="n/a")),"Entry Mode; ","")&amp;IF(AND('Game Records'!$U410&lt;&gt;"Subscription",'Game Records'!$U410&lt;&gt;"Free Game",OR('Game Records'!$E410="",LOWER('Game Records'!$E410&amp;"")="n/a")),"Game Type; ","")&amp;IF('Game Records'!$F410="","Payment Type; ","")&amp;IF(AND('Game Records'!$U410&lt;&gt;"Subscription",'Game Records'!$U410&lt;&gt;"Free Game",'Game Records'!$G410=""),"Gross Pot; ","")&amp;IF(AND('Game Records'!$U410&lt;&gt;"Free Game",'Game Records'!$H410=""),"Entry Fee; ","")&amp;IF(AND('Game Records'!$U410&lt;&gt;"Subscription",'Game Records'!$U410&lt;&gt;"Free Game",'Game Records'!$I410=""),"Eligible Players; ","")&amp;IF(AND('Game Records'!$U410&lt;&gt;"Subscription",'Game Records'!$U410&lt;&gt;"Free Game",'Game Records'!$J410=""),"Total Players; ","")&amp;IF(AND(LOWER('Game Records'!$D410&amp;"")="finalized",LOWER('Game Records'!$L410&amp;"")&lt;&gt;"yes",'Game Records'!$U410&lt;&gt;"Subscription",'Game Records'!$U410&lt;&gt;"Free Game",'Game Records'!$K410=""),"Final Earned; ","")&amp;IF(AND(LOWER('Game Records'!$D410&amp;"")="finalized",'Game Records'!$U410&lt;&gt;"Subscription",'Game Records'!$U410&lt;&gt;"Free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Game",OR('Game Records'!$D411="",LOWER('Game Records'!$D411&amp;"")="n/a")),"Entry Mode; ","")&amp;IF(AND('Game Records'!$U411&lt;&gt;"Subscription",'Game Records'!$U411&lt;&gt;"Free Game",OR('Game Records'!$E411="",LOWER('Game Records'!$E411&amp;"")="n/a")),"Game Type; ","")&amp;IF('Game Records'!$F411="","Payment Type; ","")&amp;IF(AND('Game Records'!$U411&lt;&gt;"Subscription",'Game Records'!$U411&lt;&gt;"Free Game",'Game Records'!$G411=""),"Gross Pot; ","")&amp;IF(AND('Game Records'!$U411&lt;&gt;"Free Game",'Game Records'!$H411=""),"Entry Fee; ","")&amp;IF(AND('Game Records'!$U411&lt;&gt;"Subscription",'Game Records'!$U411&lt;&gt;"Free Game",'Game Records'!$I411=""),"Eligible Players; ","")&amp;IF(AND('Game Records'!$U411&lt;&gt;"Subscription",'Game Records'!$U411&lt;&gt;"Free Game",'Game Records'!$J411=""),"Total Players; ","")&amp;IF(AND(LOWER('Game Records'!$D411&amp;"")="finalized",LOWER('Game Records'!$L411&amp;"")&lt;&gt;"yes",'Game Records'!$U411&lt;&gt;"Subscription",'Game Records'!$U411&lt;&gt;"Free Game",'Game Records'!$K411=""),"Final Earned; ","")&amp;IF(AND(LOWER('Game Records'!$D411&amp;"")="finalized",'Game Records'!$U411&lt;&gt;"Subscription",'Game Records'!$U411&lt;&gt;"Free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Game",OR('Game Records'!$D412="",LOWER('Game Records'!$D412&amp;"")="n/a")),"Entry Mode; ","")&amp;IF(AND('Game Records'!$U412&lt;&gt;"Subscription",'Game Records'!$U412&lt;&gt;"Free Game",OR('Game Records'!$E412="",LOWER('Game Records'!$E412&amp;"")="n/a")),"Game Type; ","")&amp;IF('Game Records'!$F412="","Payment Type; ","")&amp;IF(AND('Game Records'!$U412&lt;&gt;"Subscription",'Game Records'!$U412&lt;&gt;"Free Game",'Game Records'!$G412=""),"Gross Pot; ","")&amp;IF(AND('Game Records'!$U412&lt;&gt;"Free Game",'Game Records'!$H412=""),"Entry Fee; ","")&amp;IF(AND('Game Records'!$U412&lt;&gt;"Subscription",'Game Records'!$U412&lt;&gt;"Free Game",'Game Records'!$I412=""),"Eligible Players; ","")&amp;IF(AND('Game Records'!$U412&lt;&gt;"Subscription",'Game Records'!$U412&lt;&gt;"Free Game",'Game Records'!$J412=""),"Total Players; ","")&amp;IF(AND(LOWER('Game Records'!$D412&amp;"")="finalized",LOWER('Game Records'!$L412&amp;"")&lt;&gt;"yes",'Game Records'!$U412&lt;&gt;"Subscription",'Game Records'!$U412&lt;&gt;"Free Game",'Game Records'!$K412=""),"Final Earned; ","")&amp;IF(AND(LOWER('Game Records'!$D412&amp;"")="finalized",'Game Records'!$U412&lt;&gt;"Subscription",'Game Records'!$U412&lt;&gt;"Free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Game",OR('Game Records'!$D413="",LOWER('Game Records'!$D413&amp;"")="n/a")),"Entry Mode; ","")&amp;IF(AND('Game Records'!$U413&lt;&gt;"Subscription",'Game Records'!$U413&lt;&gt;"Free Game",OR('Game Records'!$E413="",LOWER('Game Records'!$E413&amp;"")="n/a")),"Game Type; ","")&amp;IF('Game Records'!$F413="","Payment Type; ","")&amp;IF(AND('Game Records'!$U413&lt;&gt;"Subscription",'Game Records'!$U413&lt;&gt;"Free Game",'Game Records'!$G413=""),"Gross Pot; ","")&amp;IF(AND('Game Records'!$U413&lt;&gt;"Free Game",'Game Records'!$H413=""),"Entry Fee; ","")&amp;IF(AND('Game Records'!$U413&lt;&gt;"Subscription",'Game Records'!$U413&lt;&gt;"Free Game",'Game Records'!$I413=""),"Eligible Players; ","")&amp;IF(AND('Game Records'!$U413&lt;&gt;"Subscription",'Game Records'!$U413&lt;&gt;"Free Game",'Game Records'!$J413=""),"Total Players; ","")&amp;IF(AND(LOWER('Game Records'!$D413&amp;"")="finalized",LOWER('Game Records'!$L413&amp;"")&lt;&gt;"yes",'Game Records'!$U413&lt;&gt;"Subscription",'Game Records'!$U413&lt;&gt;"Free Game",'Game Records'!$K413=""),"Final Earned; ","")&amp;IF(AND(LOWER('Game Records'!$D413&amp;"")="finalized",'Game Records'!$U413&lt;&gt;"Subscription",'Game Records'!$U413&lt;&gt;"Free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Game",OR('Game Records'!$D414="",LOWER('Game Records'!$D414&amp;"")="n/a")),"Entry Mode; ","")&amp;IF(AND('Game Records'!$U414&lt;&gt;"Subscription",'Game Records'!$U414&lt;&gt;"Free Game",OR('Game Records'!$E414="",LOWER('Game Records'!$E414&amp;"")="n/a")),"Game Type; ","")&amp;IF('Game Records'!$F414="","Payment Type; ","")&amp;IF(AND('Game Records'!$U414&lt;&gt;"Subscription",'Game Records'!$U414&lt;&gt;"Free Game",'Game Records'!$G414=""),"Gross Pot; ","")&amp;IF(AND('Game Records'!$U414&lt;&gt;"Free Game",'Game Records'!$H414=""),"Entry Fee; ","")&amp;IF(AND('Game Records'!$U414&lt;&gt;"Subscription",'Game Records'!$U414&lt;&gt;"Free Game",'Game Records'!$I414=""),"Eligible Players; ","")&amp;IF(AND('Game Records'!$U414&lt;&gt;"Subscription",'Game Records'!$U414&lt;&gt;"Free Game",'Game Records'!$J414=""),"Total Players; ","")&amp;IF(AND(LOWER('Game Records'!$D414&amp;"")="finalized",LOWER('Game Records'!$L414&amp;"")&lt;&gt;"yes",'Game Records'!$U414&lt;&gt;"Subscription",'Game Records'!$U414&lt;&gt;"Free Game",'Game Records'!$K414=""),"Final Earned; ","")&amp;IF(AND(LOWER('Game Records'!$D414&amp;"")="finalized",'Game Records'!$U414&lt;&gt;"Subscription",'Game Records'!$U414&lt;&gt;"Free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Game",OR('Game Records'!$D415="",LOWER('Game Records'!$D415&amp;"")="n/a")),"Entry Mode; ","")&amp;IF(AND('Game Records'!$U415&lt;&gt;"Subscription",'Game Records'!$U415&lt;&gt;"Free Game",OR('Game Records'!$E415="",LOWER('Game Records'!$E415&amp;"")="n/a")),"Game Type; ","")&amp;IF('Game Records'!$F415="","Payment Type; ","")&amp;IF(AND('Game Records'!$U415&lt;&gt;"Subscription",'Game Records'!$U415&lt;&gt;"Free Game",'Game Records'!$G415=""),"Gross Pot; ","")&amp;IF(AND('Game Records'!$U415&lt;&gt;"Free Game",'Game Records'!$H415=""),"Entry Fee; ","")&amp;IF(AND('Game Records'!$U415&lt;&gt;"Subscription",'Game Records'!$U415&lt;&gt;"Free Game",'Game Records'!$I415=""),"Eligible Players; ","")&amp;IF(AND('Game Records'!$U415&lt;&gt;"Subscription",'Game Records'!$U415&lt;&gt;"Free Game",'Game Records'!$J415=""),"Total Players; ","")&amp;IF(AND(LOWER('Game Records'!$D415&amp;"")="finalized",LOWER('Game Records'!$L415&amp;"")&lt;&gt;"yes",'Game Records'!$U415&lt;&gt;"Subscription",'Game Records'!$U415&lt;&gt;"Free Game",'Game Records'!$K415=""),"Final Earned; ","")&amp;IF(AND(LOWER('Game Records'!$D415&amp;"")="finalized",'Game Records'!$U415&lt;&gt;"Subscription",'Game Records'!$U415&lt;&gt;"Free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Game",OR('Game Records'!$D416="",LOWER('Game Records'!$D416&amp;"")="n/a")),"Entry Mode; ","")&amp;IF(AND('Game Records'!$U416&lt;&gt;"Subscription",'Game Records'!$U416&lt;&gt;"Free Game",OR('Game Records'!$E416="",LOWER('Game Records'!$E416&amp;"")="n/a")),"Game Type; ","")&amp;IF('Game Records'!$F416="","Payment Type; ","")&amp;IF(AND('Game Records'!$U416&lt;&gt;"Subscription",'Game Records'!$U416&lt;&gt;"Free Game",'Game Records'!$G416=""),"Gross Pot; ","")&amp;IF(AND('Game Records'!$U416&lt;&gt;"Free Game",'Game Records'!$H416=""),"Entry Fee; ","")&amp;IF(AND('Game Records'!$U416&lt;&gt;"Subscription",'Game Records'!$U416&lt;&gt;"Free Game",'Game Records'!$I416=""),"Eligible Players; ","")&amp;IF(AND('Game Records'!$U416&lt;&gt;"Subscription",'Game Records'!$U416&lt;&gt;"Free Game",'Game Records'!$J416=""),"Total Players; ","")&amp;IF(AND(LOWER('Game Records'!$D416&amp;"")="finalized",LOWER('Game Records'!$L416&amp;"")&lt;&gt;"yes",'Game Records'!$U416&lt;&gt;"Subscription",'Game Records'!$U416&lt;&gt;"Free Game",'Game Records'!$K416=""),"Final Earned; ","")&amp;IF(AND(LOWER('Game Records'!$D416&amp;"")="finalized",'Game Records'!$U416&lt;&gt;"Subscription",'Game Records'!$U416&lt;&gt;"Free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Game",OR('Game Records'!$D417="",LOWER('Game Records'!$D417&amp;"")="n/a")),"Entry Mode; ","")&amp;IF(AND('Game Records'!$U417&lt;&gt;"Subscription",'Game Records'!$U417&lt;&gt;"Free Game",OR('Game Records'!$E417="",LOWER('Game Records'!$E417&amp;"")="n/a")),"Game Type; ","")&amp;IF('Game Records'!$F417="","Payment Type; ","")&amp;IF(AND('Game Records'!$U417&lt;&gt;"Subscription",'Game Records'!$U417&lt;&gt;"Free Game",'Game Records'!$G417=""),"Gross Pot; ","")&amp;IF(AND('Game Records'!$U417&lt;&gt;"Free Game",'Game Records'!$H417=""),"Entry Fee; ","")&amp;IF(AND('Game Records'!$U417&lt;&gt;"Subscription",'Game Records'!$U417&lt;&gt;"Free Game",'Game Records'!$I417=""),"Eligible Players; ","")&amp;IF(AND('Game Records'!$U417&lt;&gt;"Subscription",'Game Records'!$U417&lt;&gt;"Free Game",'Game Records'!$J417=""),"Total Players; ","")&amp;IF(AND(LOWER('Game Records'!$D417&amp;"")="finalized",LOWER('Game Records'!$L417&amp;"")&lt;&gt;"yes",'Game Records'!$U417&lt;&gt;"Subscription",'Game Records'!$U417&lt;&gt;"Free Game",'Game Records'!$K417=""),"Final Earned; ","")&amp;IF(AND(LOWER('Game Records'!$D417&amp;"")="finalized",'Game Records'!$U417&lt;&gt;"Subscription",'Game Records'!$U417&lt;&gt;"Free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Game",OR('Game Records'!$D418="",LOWER('Game Records'!$D418&amp;"")="n/a")),"Entry Mode; ","")&amp;IF(AND('Game Records'!$U418&lt;&gt;"Subscription",'Game Records'!$U418&lt;&gt;"Free Game",OR('Game Records'!$E418="",LOWER('Game Records'!$E418&amp;"")="n/a")),"Game Type; ","")&amp;IF('Game Records'!$F418="","Payment Type; ","")&amp;IF(AND('Game Records'!$U418&lt;&gt;"Subscription",'Game Records'!$U418&lt;&gt;"Free Game",'Game Records'!$G418=""),"Gross Pot; ","")&amp;IF(AND('Game Records'!$U418&lt;&gt;"Free Game",'Game Records'!$H418=""),"Entry Fee; ","")&amp;IF(AND('Game Records'!$U418&lt;&gt;"Subscription",'Game Records'!$U418&lt;&gt;"Free Game",'Game Records'!$I418=""),"Eligible Players; ","")&amp;IF(AND('Game Records'!$U418&lt;&gt;"Subscription",'Game Records'!$U418&lt;&gt;"Free Game",'Game Records'!$J418=""),"Total Players; ","")&amp;IF(AND(LOWER('Game Records'!$D418&amp;"")="finalized",LOWER('Game Records'!$L418&amp;"")&lt;&gt;"yes",'Game Records'!$U418&lt;&gt;"Subscription",'Game Records'!$U418&lt;&gt;"Free Game",'Game Records'!$K418=""),"Final Earned; ","")&amp;IF(AND(LOWER('Game Records'!$D418&amp;"")="finalized",'Game Records'!$U418&lt;&gt;"Subscription",'Game Records'!$U418&lt;&gt;"Free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Game",OR('Game Records'!$D419="",LOWER('Game Records'!$D419&amp;"")="n/a")),"Entry Mode; ","")&amp;IF(AND('Game Records'!$U419&lt;&gt;"Subscription",'Game Records'!$U419&lt;&gt;"Free Game",OR('Game Records'!$E419="",LOWER('Game Records'!$E419&amp;"")="n/a")),"Game Type; ","")&amp;IF('Game Records'!$F419="","Payment Type; ","")&amp;IF(AND('Game Records'!$U419&lt;&gt;"Subscription",'Game Records'!$U419&lt;&gt;"Free Game",'Game Records'!$G419=""),"Gross Pot; ","")&amp;IF(AND('Game Records'!$U419&lt;&gt;"Free Game",'Game Records'!$H419=""),"Entry Fee; ","")&amp;IF(AND('Game Records'!$U419&lt;&gt;"Subscription",'Game Records'!$U419&lt;&gt;"Free Game",'Game Records'!$I419=""),"Eligible Players; ","")&amp;IF(AND('Game Records'!$U419&lt;&gt;"Subscription",'Game Records'!$U419&lt;&gt;"Free Game",'Game Records'!$J419=""),"Total Players; ","")&amp;IF(AND(LOWER('Game Records'!$D419&amp;"")="finalized",LOWER('Game Records'!$L419&amp;"")&lt;&gt;"yes",'Game Records'!$U419&lt;&gt;"Subscription",'Game Records'!$U419&lt;&gt;"Free Game",'Game Records'!$K419=""),"Final Earned; ","")&amp;IF(AND(LOWER('Game Records'!$D419&amp;"")="finalized",'Game Records'!$U419&lt;&gt;"Subscription",'Game Records'!$U419&lt;&gt;"Free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Game",OR('Game Records'!$D420="",LOWER('Game Records'!$D420&amp;"")="n/a")),"Entry Mode; ","")&amp;IF(AND('Game Records'!$U420&lt;&gt;"Subscription",'Game Records'!$U420&lt;&gt;"Free Game",OR('Game Records'!$E420="",LOWER('Game Records'!$E420&amp;"")="n/a")),"Game Type; ","")&amp;IF('Game Records'!$F420="","Payment Type; ","")&amp;IF(AND('Game Records'!$U420&lt;&gt;"Subscription",'Game Records'!$U420&lt;&gt;"Free Game",'Game Records'!$G420=""),"Gross Pot; ","")&amp;IF(AND('Game Records'!$U420&lt;&gt;"Free Game",'Game Records'!$H420=""),"Entry Fee; ","")&amp;IF(AND('Game Records'!$U420&lt;&gt;"Subscription",'Game Records'!$U420&lt;&gt;"Free Game",'Game Records'!$I420=""),"Eligible Players; ","")&amp;IF(AND('Game Records'!$U420&lt;&gt;"Subscription",'Game Records'!$U420&lt;&gt;"Free Game",'Game Records'!$J420=""),"Total Players; ","")&amp;IF(AND(LOWER('Game Records'!$D420&amp;"")="finalized",LOWER('Game Records'!$L420&amp;"")&lt;&gt;"yes",'Game Records'!$U420&lt;&gt;"Subscription",'Game Records'!$U420&lt;&gt;"Free Game",'Game Records'!$K420=""),"Final Earned; ","")&amp;IF(AND(LOWER('Game Records'!$D420&amp;"")="finalized",'Game Records'!$U420&lt;&gt;"Subscription",'Game Records'!$U420&lt;&gt;"Free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Game",OR('Game Records'!$D421="",LOWER('Game Records'!$D421&amp;"")="n/a")),"Entry Mode; ","")&amp;IF(AND('Game Records'!$U421&lt;&gt;"Subscription",'Game Records'!$U421&lt;&gt;"Free Game",OR('Game Records'!$E421="",LOWER('Game Records'!$E421&amp;"")="n/a")),"Game Type; ","")&amp;IF('Game Records'!$F421="","Payment Type; ","")&amp;IF(AND('Game Records'!$U421&lt;&gt;"Subscription",'Game Records'!$U421&lt;&gt;"Free Game",'Game Records'!$G421=""),"Gross Pot; ","")&amp;IF(AND('Game Records'!$U421&lt;&gt;"Free Game",'Game Records'!$H421=""),"Entry Fee; ","")&amp;IF(AND('Game Records'!$U421&lt;&gt;"Subscription",'Game Records'!$U421&lt;&gt;"Free Game",'Game Records'!$I421=""),"Eligible Players; ","")&amp;IF(AND('Game Records'!$U421&lt;&gt;"Subscription",'Game Records'!$U421&lt;&gt;"Free Game",'Game Records'!$J421=""),"Total Players; ","")&amp;IF(AND(LOWER('Game Records'!$D421&amp;"")="finalized",LOWER('Game Records'!$L421&amp;"")&lt;&gt;"yes",'Game Records'!$U421&lt;&gt;"Subscription",'Game Records'!$U421&lt;&gt;"Free Game",'Game Records'!$K421=""),"Final Earned; ","")&amp;IF(AND(LOWER('Game Records'!$D421&amp;"")="finalized",'Game Records'!$U421&lt;&gt;"Subscription",'Game Records'!$U421&lt;&gt;"Free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Game",OR('Game Records'!$D422="",LOWER('Game Records'!$D422&amp;"")="n/a")),"Entry Mode; ","")&amp;IF(AND('Game Records'!$U422&lt;&gt;"Subscription",'Game Records'!$U422&lt;&gt;"Free Game",OR('Game Records'!$E422="",LOWER('Game Records'!$E422&amp;"")="n/a")),"Game Type; ","")&amp;IF('Game Records'!$F422="","Payment Type; ","")&amp;IF(AND('Game Records'!$U422&lt;&gt;"Subscription",'Game Records'!$U422&lt;&gt;"Free Game",'Game Records'!$G422=""),"Gross Pot; ","")&amp;IF(AND('Game Records'!$U422&lt;&gt;"Free Game",'Game Records'!$H422=""),"Entry Fee; ","")&amp;IF(AND('Game Records'!$U422&lt;&gt;"Subscription",'Game Records'!$U422&lt;&gt;"Free Game",'Game Records'!$I422=""),"Eligible Players; ","")&amp;IF(AND('Game Records'!$U422&lt;&gt;"Subscription",'Game Records'!$U422&lt;&gt;"Free Game",'Game Records'!$J422=""),"Total Players; ","")&amp;IF(AND(LOWER('Game Records'!$D422&amp;"")="finalized",LOWER('Game Records'!$L422&amp;"")&lt;&gt;"yes",'Game Records'!$U422&lt;&gt;"Subscription",'Game Records'!$U422&lt;&gt;"Free Game",'Game Records'!$K422=""),"Final Earned; ","")&amp;IF(AND(LOWER('Game Records'!$D422&amp;"")="finalized",'Game Records'!$U422&lt;&gt;"Subscription",'Game Records'!$U422&lt;&gt;"Free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Game",OR('Game Records'!$D423="",LOWER('Game Records'!$D423&amp;"")="n/a")),"Entry Mode; ","")&amp;IF(AND('Game Records'!$U423&lt;&gt;"Subscription",'Game Records'!$U423&lt;&gt;"Free Game",OR('Game Records'!$E423="",LOWER('Game Records'!$E423&amp;"")="n/a")),"Game Type; ","")&amp;IF('Game Records'!$F423="","Payment Type; ","")&amp;IF(AND('Game Records'!$U423&lt;&gt;"Subscription",'Game Records'!$U423&lt;&gt;"Free Game",'Game Records'!$G423=""),"Gross Pot; ","")&amp;IF(AND('Game Records'!$U423&lt;&gt;"Free Game",'Game Records'!$H423=""),"Entry Fee; ","")&amp;IF(AND('Game Records'!$U423&lt;&gt;"Subscription",'Game Records'!$U423&lt;&gt;"Free Game",'Game Records'!$I423=""),"Eligible Players; ","")&amp;IF(AND('Game Records'!$U423&lt;&gt;"Subscription",'Game Records'!$U423&lt;&gt;"Free Game",'Game Records'!$J423=""),"Total Players; ","")&amp;IF(AND(LOWER('Game Records'!$D423&amp;"")="finalized",LOWER('Game Records'!$L423&amp;"")&lt;&gt;"yes",'Game Records'!$U423&lt;&gt;"Subscription",'Game Records'!$U423&lt;&gt;"Free Game",'Game Records'!$K423=""),"Final Earned; ","")&amp;IF(AND(LOWER('Game Records'!$D423&amp;"")="finalized",'Game Records'!$U423&lt;&gt;"Subscription",'Game Records'!$U423&lt;&gt;"Free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Game",OR('Game Records'!$D424="",LOWER('Game Records'!$D424&amp;"")="n/a")),"Entry Mode; ","")&amp;IF(AND('Game Records'!$U424&lt;&gt;"Subscription",'Game Records'!$U424&lt;&gt;"Free Game",OR('Game Records'!$E424="",LOWER('Game Records'!$E424&amp;"")="n/a")),"Game Type; ","")&amp;IF('Game Records'!$F424="","Payment Type; ","")&amp;IF(AND('Game Records'!$U424&lt;&gt;"Subscription",'Game Records'!$U424&lt;&gt;"Free Game",'Game Records'!$G424=""),"Gross Pot; ","")&amp;IF(AND('Game Records'!$U424&lt;&gt;"Free Game",'Game Records'!$H424=""),"Entry Fee; ","")&amp;IF(AND('Game Records'!$U424&lt;&gt;"Subscription",'Game Records'!$U424&lt;&gt;"Free Game",'Game Records'!$I424=""),"Eligible Players; ","")&amp;IF(AND('Game Records'!$U424&lt;&gt;"Subscription",'Game Records'!$U424&lt;&gt;"Free Game",'Game Records'!$J424=""),"Total Players; ","")&amp;IF(AND(LOWER('Game Records'!$D424&amp;"")="finalized",LOWER('Game Records'!$L424&amp;"")&lt;&gt;"yes",'Game Records'!$U424&lt;&gt;"Subscription",'Game Records'!$U424&lt;&gt;"Free Game",'Game Records'!$K424=""),"Final Earned; ","")&amp;IF(AND(LOWER('Game Records'!$D424&amp;"")="finalized",'Game Records'!$U424&lt;&gt;"Subscription",'Game Records'!$U424&lt;&gt;"Free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Game",OR('Game Records'!$D425="",LOWER('Game Records'!$D425&amp;"")="n/a")),"Entry Mode; ","")&amp;IF(AND('Game Records'!$U425&lt;&gt;"Subscription",'Game Records'!$U425&lt;&gt;"Free Game",OR('Game Records'!$E425="",LOWER('Game Records'!$E425&amp;"")="n/a")),"Game Type; ","")&amp;IF('Game Records'!$F425="","Payment Type; ","")&amp;IF(AND('Game Records'!$U425&lt;&gt;"Subscription",'Game Records'!$U425&lt;&gt;"Free Game",'Game Records'!$G425=""),"Gross Pot; ","")&amp;IF(AND('Game Records'!$U425&lt;&gt;"Free Game",'Game Records'!$H425=""),"Entry Fee; ","")&amp;IF(AND('Game Records'!$U425&lt;&gt;"Subscription",'Game Records'!$U425&lt;&gt;"Free Game",'Game Records'!$I425=""),"Eligible Players; ","")&amp;IF(AND('Game Records'!$U425&lt;&gt;"Subscription",'Game Records'!$U425&lt;&gt;"Free Game",'Game Records'!$J425=""),"Total Players; ","")&amp;IF(AND(LOWER('Game Records'!$D425&amp;"")="finalized",LOWER('Game Records'!$L425&amp;"")&lt;&gt;"yes",'Game Records'!$U425&lt;&gt;"Subscription",'Game Records'!$U425&lt;&gt;"Free Game",'Game Records'!$K425=""),"Final Earned; ","")&amp;IF(AND(LOWER('Game Records'!$D425&amp;"")="finalized",'Game Records'!$U425&lt;&gt;"Subscription",'Game Records'!$U425&lt;&gt;"Free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Game",OR('Game Records'!$D426="",LOWER('Game Records'!$D426&amp;"")="n/a")),"Entry Mode; ","")&amp;IF(AND('Game Records'!$U426&lt;&gt;"Subscription",'Game Records'!$U426&lt;&gt;"Free Game",OR('Game Records'!$E426="",LOWER('Game Records'!$E426&amp;"")="n/a")),"Game Type; ","")&amp;IF('Game Records'!$F426="","Payment Type; ","")&amp;IF(AND('Game Records'!$U426&lt;&gt;"Subscription",'Game Records'!$U426&lt;&gt;"Free Game",'Game Records'!$G426=""),"Gross Pot; ","")&amp;IF(AND('Game Records'!$U426&lt;&gt;"Free Game",'Game Records'!$H426=""),"Entry Fee; ","")&amp;IF(AND('Game Records'!$U426&lt;&gt;"Subscription",'Game Records'!$U426&lt;&gt;"Free Game",'Game Records'!$I426=""),"Eligible Players; ","")&amp;IF(AND('Game Records'!$U426&lt;&gt;"Subscription",'Game Records'!$U426&lt;&gt;"Free Game",'Game Records'!$J426=""),"Total Players; ","")&amp;IF(AND(LOWER('Game Records'!$D426&amp;"")="finalized",LOWER('Game Records'!$L426&amp;"")&lt;&gt;"yes",'Game Records'!$U426&lt;&gt;"Subscription",'Game Records'!$U426&lt;&gt;"Free Game",'Game Records'!$K426=""),"Final Earned; ","")&amp;IF(AND(LOWER('Game Records'!$D426&amp;"")="finalized",'Game Records'!$U426&lt;&gt;"Subscription",'Game Records'!$U426&lt;&gt;"Free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Game",OR('Game Records'!$D427="",LOWER('Game Records'!$D427&amp;"")="n/a")),"Entry Mode; ","")&amp;IF(AND('Game Records'!$U427&lt;&gt;"Subscription",'Game Records'!$U427&lt;&gt;"Free Game",OR('Game Records'!$E427="",LOWER('Game Records'!$E427&amp;"")="n/a")),"Game Type; ","")&amp;IF('Game Records'!$F427="","Payment Type; ","")&amp;IF(AND('Game Records'!$U427&lt;&gt;"Subscription",'Game Records'!$U427&lt;&gt;"Free Game",'Game Records'!$G427=""),"Gross Pot; ","")&amp;IF(AND('Game Records'!$U427&lt;&gt;"Free Game",'Game Records'!$H427=""),"Entry Fee; ","")&amp;IF(AND('Game Records'!$U427&lt;&gt;"Subscription",'Game Records'!$U427&lt;&gt;"Free Game",'Game Records'!$I427=""),"Eligible Players; ","")&amp;IF(AND('Game Records'!$U427&lt;&gt;"Subscription",'Game Records'!$U427&lt;&gt;"Free Game",'Game Records'!$J427=""),"Total Players; ","")&amp;IF(AND(LOWER('Game Records'!$D427&amp;"")="finalized",LOWER('Game Records'!$L427&amp;"")&lt;&gt;"yes",'Game Records'!$U427&lt;&gt;"Subscription",'Game Records'!$U427&lt;&gt;"Free Game",'Game Records'!$K427=""),"Final Earned; ","")&amp;IF(AND(LOWER('Game Records'!$D427&amp;"")="finalized",'Game Records'!$U427&lt;&gt;"Subscription",'Game Records'!$U427&lt;&gt;"Free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Game",OR('Game Records'!$D428="",LOWER('Game Records'!$D428&amp;"")="n/a")),"Entry Mode; ","")&amp;IF(AND('Game Records'!$U428&lt;&gt;"Subscription",'Game Records'!$U428&lt;&gt;"Free Game",OR('Game Records'!$E428="",LOWER('Game Records'!$E428&amp;"")="n/a")),"Game Type; ","")&amp;IF('Game Records'!$F428="","Payment Type; ","")&amp;IF(AND('Game Records'!$U428&lt;&gt;"Subscription",'Game Records'!$U428&lt;&gt;"Free Game",'Game Records'!$G428=""),"Gross Pot; ","")&amp;IF(AND('Game Records'!$U428&lt;&gt;"Free Game",'Game Records'!$H428=""),"Entry Fee; ","")&amp;IF(AND('Game Records'!$U428&lt;&gt;"Subscription",'Game Records'!$U428&lt;&gt;"Free Game",'Game Records'!$I428=""),"Eligible Players; ","")&amp;IF(AND('Game Records'!$U428&lt;&gt;"Subscription",'Game Records'!$U428&lt;&gt;"Free Game",'Game Records'!$J428=""),"Total Players; ","")&amp;IF(AND(LOWER('Game Records'!$D428&amp;"")="finalized",LOWER('Game Records'!$L428&amp;"")&lt;&gt;"yes",'Game Records'!$U428&lt;&gt;"Subscription",'Game Records'!$U428&lt;&gt;"Free Game",'Game Records'!$K428=""),"Final Earned; ","")&amp;IF(AND(LOWER('Game Records'!$D428&amp;"")="finalized",'Game Records'!$U428&lt;&gt;"Subscription",'Game Records'!$U428&lt;&gt;"Free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Game",OR('Game Records'!$D429="",LOWER('Game Records'!$D429&amp;"")="n/a")),"Entry Mode; ","")&amp;IF(AND('Game Records'!$U429&lt;&gt;"Subscription",'Game Records'!$U429&lt;&gt;"Free Game",OR('Game Records'!$E429="",LOWER('Game Records'!$E429&amp;"")="n/a")),"Game Type; ","")&amp;IF('Game Records'!$F429="","Payment Type; ","")&amp;IF(AND('Game Records'!$U429&lt;&gt;"Subscription",'Game Records'!$U429&lt;&gt;"Free Game",'Game Records'!$G429=""),"Gross Pot; ","")&amp;IF(AND('Game Records'!$U429&lt;&gt;"Free Game",'Game Records'!$H429=""),"Entry Fee; ","")&amp;IF(AND('Game Records'!$U429&lt;&gt;"Subscription",'Game Records'!$U429&lt;&gt;"Free Game",'Game Records'!$I429=""),"Eligible Players; ","")&amp;IF(AND('Game Records'!$U429&lt;&gt;"Subscription",'Game Records'!$U429&lt;&gt;"Free Game",'Game Records'!$J429=""),"Total Players; ","")&amp;IF(AND(LOWER('Game Records'!$D429&amp;"")="finalized",LOWER('Game Records'!$L429&amp;"")&lt;&gt;"yes",'Game Records'!$U429&lt;&gt;"Subscription",'Game Records'!$U429&lt;&gt;"Free Game",'Game Records'!$K429=""),"Final Earned; ","")&amp;IF(AND(LOWER('Game Records'!$D429&amp;"")="finalized",'Game Records'!$U429&lt;&gt;"Subscription",'Game Records'!$U429&lt;&gt;"Free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Game",OR('Game Records'!$D430="",LOWER('Game Records'!$D430&amp;"")="n/a")),"Entry Mode; ","")&amp;IF(AND('Game Records'!$U430&lt;&gt;"Subscription",'Game Records'!$U430&lt;&gt;"Free Game",OR('Game Records'!$E430="",LOWER('Game Records'!$E430&amp;"")="n/a")),"Game Type; ","")&amp;IF('Game Records'!$F430="","Payment Type; ","")&amp;IF(AND('Game Records'!$U430&lt;&gt;"Subscription",'Game Records'!$U430&lt;&gt;"Free Game",'Game Records'!$G430=""),"Gross Pot; ","")&amp;IF(AND('Game Records'!$U430&lt;&gt;"Free Game",'Game Records'!$H430=""),"Entry Fee; ","")&amp;IF(AND('Game Records'!$U430&lt;&gt;"Subscription",'Game Records'!$U430&lt;&gt;"Free Game",'Game Records'!$I430=""),"Eligible Players; ","")&amp;IF(AND('Game Records'!$U430&lt;&gt;"Subscription",'Game Records'!$U430&lt;&gt;"Free Game",'Game Records'!$J430=""),"Total Players; ","")&amp;IF(AND(LOWER('Game Records'!$D430&amp;"")="finalized",LOWER('Game Records'!$L430&amp;"")&lt;&gt;"yes",'Game Records'!$U430&lt;&gt;"Subscription",'Game Records'!$U430&lt;&gt;"Free Game",'Game Records'!$K430=""),"Final Earned; ","")&amp;IF(AND(LOWER('Game Records'!$D430&amp;"")="finalized",'Game Records'!$U430&lt;&gt;"Subscription",'Game Records'!$U430&lt;&gt;"Free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Game",OR('Game Records'!$D431="",LOWER('Game Records'!$D431&amp;"")="n/a")),"Entry Mode; ","")&amp;IF(AND('Game Records'!$U431&lt;&gt;"Subscription",'Game Records'!$U431&lt;&gt;"Free Game",OR('Game Records'!$E431="",LOWER('Game Records'!$E431&amp;"")="n/a")),"Game Type; ","")&amp;IF('Game Records'!$F431="","Payment Type; ","")&amp;IF(AND('Game Records'!$U431&lt;&gt;"Subscription",'Game Records'!$U431&lt;&gt;"Free Game",'Game Records'!$G431=""),"Gross Pot; ","")&amp;IF(AND('Game Records'!$U431&lt;&gt;"Free Game",'Game Records'!$H431=""),"Entry Fee; ","")&amp;IF(AND('Game Records'!$U431&lt;&gt;"Subscription",'Game Records'!$U431&lt;&gt;"Free Game",'Game Records'!$I431=""),"Eligible Players; ","")&amp;IF(AND('Game Records'!$U431&lt;&gt;"Subscription",'Game Records'!$U431&lt;&gt;"Free Game",'Game Records'!$J431=""),"Total Players; ","")&amp;IF(AND(LOWER('Game Records'!$D431&amp;"")="finalized",LOWER('Game Records'!$L431&amp;"")&lt;&gt;"yes",'Game Records'!$U431&lt;&gt;"Subscription",'Game Records'!$U431&lt;&gt;"Free Game",'Game Records'!$K431=""),"Final Earned; ","")&amp;IF(AND(LOWER('Game Records'!$D431&amp;"")="finalized",'Game Records'!$U431&lt;&gt;"Subscription",'Game Records'!$U431&lt;&gt;"Free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Game",OR('Game Records'!$D432="",LOWER('Game Records'!$D432&amp;"")="n/a")),"Entry Mode; ","")&amp;IF(AND('Game Records'!$U432&lt;&gt;"Subscription",'Game Records'!$U432&lt;&gt;"Free Game",OR('Game Records'!$E432="",LOWER('Game Records'!$E432&amp;"")="n/a")),"Game Type; ","")&amp;IF('Game Records'!$F432="","Payment Type; ","")&amp;IF(AND('Game Records'!$U432&lt;&gt;"Subscription",'Game Records'!$U432&lt;&gt;"Free Game",'Game Records'!$G432=""),"Gross Pot; ","")&amp;IF(AND('Game Records'!$U432&lt;&gt;"Free Game",'Game Records'!$H432=""),"Entry Fee; ","")&amp;IF(AND('Game Records'!$U432&lt;&gt;"Subscription",'Game Records'!$U432&lt;&gt;"Free Game",'Game Records'!$I432=""),"Eligible Players; ","")&amp;IF(AND('Game Records'!$U432&lt;&gt;"Subscription",'Game Records'!$U432&lt;&gt;"Free Game",'Game Records'!$J432=""),"Total Players; ","")&amp;IF(AND(LOWER('Game Records'!$D432&amp;"")="finalized",LOWER('Game Records'!$L432&amp;"")&lt;&gt;"yes",'Game Records'!$U432&lt;&gt;"Subscription",'Game Records'!$U432&lt;&gt;"Free Game",'Game Records'!$K432=""),"Final Earned; ","")&amp;IF(AND(LOWER('Game Records'!$D432&amp;"")="finalized",'Game Records'!$U432&lt;&gt;"Subscription",'Game Records'!$U432&lt;&gt;"Free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Game",OR('Game Records'!$D433="",LOWER('Game Records'!$D433&amp;"")="n/a")),"Entry Mode; ","")&amp;IF(AND('Game Records'!$U433&lt;&gt;"Subscription",'Game Records'!$U433&lt;&gt;"Free Game",OR('Game Records'!$E433="",LOWER('Game Records'!$E433&amp;"")="n/a")),"Game Type; ","")&amp;IF('Game Records'!$F433="","Payment Type; ","")&amp;IF(AND('Game Records'!$U433&lt;&gt;"Subscription",'Game Records'!$U433&lt;&gt;"Free Game",'Game Records'!$G433=""),"Gross Pot; ","")&amp;IF(AND('Game Records'!$U433&lt;&gt;"Free Game",'Game Records'!$H433=""),"Entry Fee; ","")&amp;IF(AND('Game Records'!$U433&lt;&gt;"Subscription",'Game Records'!$U433&lt;&gt;"Free Game",'Game Records'!$I433=""),"Eligible Players; ","")&amp;IF(AND('Game Records'!$U433&lt;&gt;"Subscription",'Game Records'!$U433&lt;&gt;"Free Game",'Game Records'!$J433=""),"Total Players; ","")&amp;IF(AND(LOWER('Game Records'!$D433&amp;"")="finalized",LOWER('Game Records'!$L433&amp;"")&lt;&gt;"yes",'Game Records'!$U433&lt;&gt;"Subscription",'Game Records'!$U433&lt;&gt;"Free Game",'Game Records'!$K433=""),"Final Earned; ","")&amp;IF(AND(LOWER('Game Records'!$D433&amp;"")="finalized",'Game Records'!$U433&lt;&gt;"Subscription",'Game Records'!$U433&lt;&gt;"Free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Game",OR('Game Records'!$D434="",LOWER('Game Records'!$D434&amp;"")="n/a")),"Entry Mode; ","")&amp;IF(AND('Game Records'!$U434&lt;&gt;"Subscription",'Game Records'!$U434&lt;&gt;"Free Game",OR('Game Records'!$E434="",LOWER('Game Records'!$E434&amp;"")="n/a")),"Game Type; ","")&amp;IF('Game Records'!$F434="","Payment Type; ","")&amp;IF(AND('Game Records'!$U434&lt;&gt;"Subscription",'Game Records'!$U434&lt;&gt;"Free Game",'Game Records'!$G434=""),"Gross Pot; ","")&amp;IF(AND('Game Records'!$U434&lt;&gt;"Free Game",'Game Records'!$H434=""),"Entry Fee; ","")&amp;IF(AND('Game Records'!$U434&lt;&gt;"Subscription",'Game Records'!$U434&lt;&gt;"Free Game",'Game Records'!$I434=""),"Eligible Players; ","")&amp;IF(AND('Game Records'!$U434&lt;&gt;"Subscription",'Game Records'!$U434&lt;&gt;"Free Game",'Game Records'!$J434=""),"Total Players; ","")&amp;IF(AND(LOWER('Game Records'!$D434&amp;"")="finalized",LOWER('Game Records'!$L434&amp;"")&lt;&gt;"yes",'Game Records'!$U434&lt;&gt;"Subscription",'Game Records'!$U434&lt;&gt;"Free Game",'Game Records'!$K434=""),"Final Earned; ","")&amp;IF(AND(LOWER('Game Records'!$D434&amp;"")="finalized",'Game Records'!$U434&lt;&gt;"Subscription",'Game Records'!$U434&lt;&gt;"Free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Game",OR('Game Records'!$D435="",LOWER('Game Records'!$D435&amp;"")="n/a")),"Entry Mode; ","")&amp;IF(AND('Game Records'!$U435&lt;&gt;"Subscription",'Game Records'!$U435&lt;&gt;"Free Game",OR('Game Records'!$E435="",LOWER('Game Records'!$E435&amp;"")="n/a")),"Game Type; ","")&amp;IF('Game Records'!$F435="","Payment Type; ","")&amp;IF(AND('Game Records'!$U435&lt;&gt;"Subscription",'Game Records'!$U435&lt;&gt;"Free Game",'Game Records'!$G435=""),"Gross Pot; ","")&amp;IF(AND('Game Records'!$U435&lt;&gt;"Free Game",'Game Records'!$H435=""),"Entry Fee; ","")&amp;IF(AND('Game Records'!$U435&lt;&gt;"Subscription",'Game Records'!$U435&lt;&gt;"Free Game",'Game Records'!$I435=""),"Eligible Players; ","")&amp;IF(AND('Game Records'!$U435&lt;&gt;"Subscription",'Game Records'!$U435&lt;&gt;"Free Game",'Game Records'!$J435=""),"Total Players; ","")&amp;IF(AND(LOWER('Game Records'!$D435&amp;"")="finalized",LOWER('Game Records'!$L435&amp;"")&lt;&gt;"yes",'Game Records'!$U435&lt;&gt;"Subscription",'Game Records'!$U435&lt;&gt;"Free Game",'Game Records'!$K435=""),"Final Earned; ","")&amp;IF(AND(LOWER('Game Records'!$D435&amp;"")="finalized",'Game Records'!$U435&lt;&gt;"Subscription",'Game Records'!$U435&lt;&gt;"Free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Game",OR('Game Records'!$D436="",LOWER('Game Records'!$D436&amp;"")="n/a")),"Entry Mode; ","")&amp;IF(AND('Game Records'!$U436&lt;&gt;"Subscription",'Game Records'!$U436&lt;&gt;"Free Game",OR('Game Records'!$E436="",LOWER('Game Records'!$E436&amp;"")="n/a")),"Game Type; ","")&amp;IF('Game Records'!$F436="","Payment Type; ","")&amp;IF(AND('Game Records'!$U436&lt;&gt;"Subscription",'Game Records'!$U436&lt;&gt;"Free Game",'Game Records'!$G436=""),"Gross Pot; ","")&amp;IF(AND('Game Records'!$U436&lt;&gt;"Free Game",'Game Records'!$H436=""),"Entry Fee; ","")&amp;IF(AND('Game Records'!$U436&lt;&gt;"Subscription",'Game Records'!$U436&lt;&gt;"Free Game",'Game Records'!$I436=""),"Eligible Players; ","")&amp;IF(AND('Game Records'!$U436&lt;&gt;"Subscription",'Game Records'!$U436&lt;&gt;"Free Game",'Game Records'!$J436=""),"Total Players; ","")&amp;IF(AND(LOWER('Game Records'!$D436&amp;"")="finalized",LOWER('Game Records'!$L436&amp;"")&lt;&gt;"yes",'Game Records'!$U436&lt;&gt;"Subscription",'Game Records'!$U436&lt;&gt;"Free Game",'Game Records'!$K436=""),"Final Earned; ","")&amp;IF(AND(LOWER('Game Records'!$D436&amp;"")="finalized",'Game Records'!$U436&lt;&gt;"Subscription",'Game Records'!$U436&lt;&gt;"Free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Game",OR('Game Records'!$D437="",LOWER('Game Records'!$D437&amp;"")="n/a")),"Entry Mode; ","")&amp;IF(AND('Game Records'!$U437&lt;&gt;"Subscription",'Game Records'!$U437&lt;&gt;"Free Game",OR('Game Records'!$E437="",LOWER('Game Records'!$E437&amp;"")="n/a")),"Game Type; ","")&amp;IF('Game Records'!$F437="","Payment Type; ","")&amp;IF(AND('Game Records'!$U437&lt;&gt;"Subscription",'Game Records'!$U437&lt;&gt;"Free Game",'Game Records'!$G437=""),"Gross Pot; ","")&amp;IF(AND('Game Records'!$U437&lt;&gt;"Free Game",'Game Records'!$H437=""),"Entry Fee; ","")&amp;IF(AND('Game Records'!$U437&lt;&gt;"Subscription",'Game Records'!$U437&lt;&gt;"Free Game",'Game Records'!$I437=""),"Eligible Players; ","")&amp;IF(AND('Game Records'!$U437&lt;&gt;"Subscription",'Game Records'!$U437&lt;&gt;"Free Game",'Game Records'!$J437=""),"Total Players; ","")&amp;IF(AND(LOWER('Game Records'!$D437&amp;"")="finalized",LOWER('Game Records'!$L437&amp;"")&lt;&gt;"yes",'Game Records'!$U437&lt;&gt;"Subscription",'Game Records'!$U437&lt;&gt;"Free Game",'Game Records'!$K437=""),"Final Earned; ","")&amp;IF(AND(LOWER('Game Records'!$D437&amp;"")="finalized",'Game Records'!$U437&lt;&gt;"Subscription",'Game Records'!$U437&lt;&gt;"Free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Game",OR('Game Records'!$D438="",LOWER('Game Records'!$D438&amp;"")="n/a")),"Entry Mode; ","")&amp;IF(AND('Game Records'!$U438&lt;&gt;"Subscription",'Game Records'!$U438&lt;&gt;"Free Game",OR('Game Records'!$E438="",LOWER('Game Records'!$E438&amp;"")="n/a")),"Game Type; ","")&amp;IF('Game Records'!$F438="","Payment Type; ","")&amp;IF(AND('Game Records'!$U438&lt;&gt;"Subscription",'Game Records'!$U438&lt;&gt;"Free Game",'Game Records'!$G438=""),"Gross Pot; ","")&amp;IF(AND('Game Records'!$U438&lt;&gt;"Free Game",'Game Records'!$H438=""),"Entry Fee; ","")&amp;IF(AND('Game Records'!$U438&lt;&gt;"Subscription",'Game Records'!$U438&lt;&gt;"Free Game",'Game Records'!$I438=""),"Eligible Players; ","")&amp;IF(AND('Game Records'!$U438&lt;&gt;"Subscription",'Game Records'!$U438&lt;&gt;"Free Game",'Game Records'!$J438=""),"Total Players; ","")&amp;IF(AND(LOWER('Game Records'!$D438&amp;"")="finalized",LOWER('Game Records'!$L438&amp;"")&lt;&gt;"yes",'Game Records'!$U438&lt;&gt;"Subscription",'Game Records'!$U438&lt;&gt;"Free Game",'Game Records'!$K438=""),"Final Earned; ","")&amp;IF(AND(LOWER('Game Records'!$D438&amp;"")="finalized",'Game Records'!$U438&lt;&gt;"Subscription",'Game Records'!$U438&lt;&gt;"Free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Game",OR('Game Records'!$D439="",LOWER('Game Records'!$D439&amp;"")="n/a")),"Entry Mode; ","")&amp;IF(AND('Game Records'!$U439&lt;&gt;"Subscription",'Game Records'!$U439&lt;&gt;"Free Game",OR('Game Records'!$E439="",LOWER('Game Records'!$E439&amp;"")="n/a")),"Game Type; ","")&amp;IF('Game Records'!$F439="","Payment Type; ","")&amp;IF(AND('Game Records'!$U439&lt;&gt;"Subscription",'Game Records'!$U439&lt;&gt;"Free Game",'Game Records'!$G439=""),"Gross Pot; ","")&amp;IF(AND('Game Records'!$U439&lt;&gt;"Free Game",'Game Records'!$H439=""),"Entry Fee; ","")&amp;IF(AND('Game Records'!$U439&lt;&gt;"Subscription",'Game Records'!$U439&lt;&gt;"Free Game",'Game Records'!$I439=""),"Eligible Players; ","")&amp;IF(AND('Game Records'!$U439&lt;&gt;"Subscription",'Game Records'!$U439&lt;&gt;"Free Game",'Game Records'!$J439=""),"Total Players; ","")&amp;IF(AND(LOWER('Game Records'!$D439&amp;"")="finalized",LOWER('Game Records'!$L439&amp;"")&lt;&gt;"yes",'Game Records'!$U439&lt;&gt;"Subscription",'Game Records'!$U439&lt;&gt;"Free Game",'Game Records'!$K439=""),"Final Earned; ","")&amp;IF(AND(LOWER('Game Records'!$D439&amp;"")="finalized",'Game Records'!$U439&lt;&gt;"Subscription",'Game Records'!$U439&lt;&gt;"Free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Game",OR('Game Records'!$D440="",LOWER('Game Records'!$D440&amp;"")="n/a")),"Entry Mode; ","")&amp;IF(AND('Game Records'!$U440&lt;&gt;"Subscription",'Game Records'!$U440&lt;&gt;"Free Game",OR('Game Records'!$E440="",LOWER('Game Records'!$E440&amp;"")="n/a")),"Game Type; ","")&amp;IF('Game Records'!$F440="","Payment Type; ","")&amp;IF(AND('Game Records'!$U440&lt;&gt;"Subscription",'Game Records'!$U440&lt;&gt;"Free Game",'Game Records'!$G440=""),"Gross Pot; ","")&amp;IF(AND('Game Records'!$U440&lt;&gt;"Free Game",'Game Records'!$H440=""),"Entry Fee; ","")&amp;IF(AND('Game Records'!$U440&lt;&gt;"Subscription",'Game Records'!$U440&lt;&gt;"Free Game",'Game Records'!$I440=""),"Eligible Players; ","")&amp;IF(AND('Game Records'!$U440&lt;&gt;"Subscription",'Game Records'!$U440&lt;&gt;"Free Game",'Game Records'!$J440=""),"Total Players; ","")&amp;IF(AND(LOWER('Game Records'!$D440&amp;"")="finalized",LOWER('Game Records'!$L440&amp;"")&lt;&gt;"yes",'Game Records'!$U440&lt;&gt;"Subscription",'Game Records'!$U440&lt;&gt;"Free Game",'Game Records'!$K440=""),"Final Earned; ","")&amp;IF(AND(LOWER('Game Records'!$D440&amp;"")="finalized",'Game Records'!$U440&lt;&gt;"Subscription",'Game Records'!$U440&lt;&gt;"Free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Game",OR('Game Records'!$D441="",LOWER('Game Records'!$D441&amp;"")="n/a")),"Entry Mode; ","")&amp;IF(AND('Game Records'!$U441&lt;&gt;"Subscription",'Game Records'!$U441&lt;&gt;"Free Game",OR('Game Records'!$E441="",LOWER('Game Records'!$E441&amp;"")="n/a")),"Game Type; ","")&amp;IF('Game Records'!$F441="","Payment Type; ","")&amp;IF(AND('Game Records'!$U441&lt;&gt;"Subscription",'Game Records'!$U441&lt;&gt;"Free Game",'Game Records'!$G441=""),"Gross Pot; ","")&amp;IF(AND('Game Records'!$U441&lt;&gt;"Free Game",'Game Records'!$H441=""),"Entry Fee; ","")&amp;IF(AND('Game Records'!$U441&lt;&gt;"Subscription",'Game Records'!$U441&lt;&gt;"Free Game",'Game Records'!$I441=""),"Eligible Players; ","")&amp;IF(AND('Game Records'!$U441&lt;&gt;"Subscription",'Game Records'!$U441&lt;&gt;"Free Game",'Game Records'!$J441=""),"Total Players; ","")&amp;IF(AND(LOWER('Game Records'!$D441&amp;"")="finalized",LOWER('Game Records'!$L441&amp;"")&lt;&gt;"yes",'Game Records'!$U441&lt;&gt;"Subscription",'Game Records'!$U441&lt;&gt;"Free Game",'Game Records'!$K441=""),"Final Earned; ","")&amp;IF(AND(LOWER('Game Records'!$D441&amp;"")="finalized",'Game Records'!$U441&lt;&gt;"Subscription",'Game Records'!$U441&lt;&gt;"Free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Game",OR('Game Records'!$D442="",LOWER('Game Records'!$D442&amp;"")="n/a")),"Entry Mode; ","")&amp;IF(AND('Game Records'!$U442&lt;&gt;"Subscription",'Game Records'!$U442&lt;&gt;"Free Game",OR('Game Records'!$E442="",LOWER('Game Records'!$E442&amp;"")="n/a")),"Game Type; ","")&amp;IF('Game Records'!$F442="","Payment Type; ","")&amp;IF(AND('Game Records'!$U442&lt;&gt;"Subscription",'Game Records'!$U442&lt;&gt;"Free Game",'Game Records'!$G442=""),"Gross Pot; ","")&amp;IF(AND('Game Records'!$U442&lt;&gt;"Free Game",'Game Records'!$H442=""),"Entry Fee; ","")&amp;IF(AND('Game Records'!$U442&lt;&gt;"Subscription",'Game Records'!$U442&lt;&gt;"Free Game",'Game Records'!$I442=""),"Eligible Players; ","")&amp;IF(AND('Game Records'!$U442&lt;&gt;"Subscription",'Game Records'!$U442&lt;&gt;"Free Game",'Game Records'!$J442=""),"Total Players; ","")&amp;IF(AND(LOWER('Game Records'!$D442&amp;"")="finalized",LOWER('Game Records'!$L442&amp;"")&lt;&gt;"yes",'Game Records'!$U442&lt;&gt;"Subscription",'Game Records'!$U442&lt;&gt;"Free Game",'Game Records'!$K442=""),"Final Earned; ","")&amp;IF(AND(LOWER('Game Records'!$D442&amp;"")="finalized",'Game Records'!$U442&lt;&gt;"Subscription",'Game Records'!$U442&lt;&gt;"Free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Game",OR('Game Records'!$D443="",LOWER('Game Records'!$D443&amp;"")="n/a")),"Entry Mode; ","")&amp;IF(AND('Game Records'!$U443&lt;&gt;"Subscription",'Game Records'!$U443&lt;&gt;"Free Game",OR('Game Records'!$E443="",LOWER('Game Records'!$E443&amp;"")="n/a")),"Game Type; ","")&amp;IF('Game Records'!$F443="","Payment Type; ","")&amp;IF(AND('Game Records'!$U443&lt;&gt;"Subscription",'Game Records'!$U443&lt;&gt;"Free Game",'Game Records'!$G443=""),"Gross Pot; ","")&amp;IF(AND('Game Records'!$U443&lt;&gt;"Free Game",'Game Records'!$H443=""),"Entry Fee; ","")&amp;IF(AND('Game Records'!$U443&lt;&gt;"Subscription",'Game Records'!$U443&lt;&gt;"Free Game",'Game Records'!$I443=""),"Eligible Players; ","")&amp;IF(AND('Game Records'!$U443&lt;&gt;"Subscription",'Game Records'!$U443&lt;&gt;"Free Game",'Game Records'!$J443=""),"Total Players; ","")&amp;IF(AND(LOWER('Game Records'!$D443&amp;"")="finalized",LOWER('Game Records'!$L443&amp;"")&lt;&gt;"yes",'Game Records'!$U443&lt;&gt;"Subscription",'Game Records'!$U443&lt;&gt;"Free Game",'Game Records'!$K443=""),"Final Earned; ","")&amp;IF(AND(LOWER('Game Records'!$D443&amp;"")="finalized",'Game Records'!$U443&lt;&gt;"Subscription",'Game Records'!$U443&lt;&gt;"Free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Game",OR('Game Records'!$D444="",LOWER('Game Records'!$D444&amp;"")="n/a")),"Entry Mode; ","")&amp;IF(AND('Game Records'!$U444&lt;&gt;"Subscription",'Game Records'!$U444&lt;&gt;"Free Game",OR('Game Records'!$E444="",LOWER('Game Records'!$E444&amp;"")="n/a")),"Game Type; ","")&amp;IF('Game Records'!$F444="","Payment Type; ","")&amp;IF(AND('Game Records'!$U444&lt;&gt;"Subscription",'Game Records'!$U444&lt;&gt;"Free Game",'Game Records'!$G444=""),"Gross Pot; ","")&amp;IF(AND('Game Records'!$U444&lt;&gt;"Free Game",'Game Records'!$H444=""),"Entry Fee; ","")&amp;IF(AND('Game Records'!$U444&lt;&gt;"Subscription",'Game Records'!$U444&lt;&gt;"Free Game",'Game Records'!$I444=""),"Eligible Players; ","")&amp;IF(AND('Game Records'!$U444&lt;&gt;"Subscription",'Game Records'!$U444&lt;&gt;"Free Game",'Game Records'!$J444=""),"Total Players; ","")&amp;IF(AND(LOWER('Game Records'!$D444&amp;"")="finalized",LOWER('Game Records'!$L444&amp;"")&lt;&gt;"yes",'Game Records'!$U444&lt;&gt;"Subscription",'Game Records'!$U444&lt;&gt;"Free Game",'Game Records'!$K444=""),"Final Earned; ","")&amp;IF(AND(LOWER('Game Records'!$D444&amp;"")="finalized",'Game Records'!$U444&lt;&gt;"Subscription",'Game Records'!$U444&lt;&gt;"Free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Game",OR('Game Records'!$D445="",LOWER('Game Records'!$D445&amp;"")="n/a")),"Entry Mode; ","")&amp;IF(AND('Game Records'!$U445&lt;&gt;"Subscription",'Game Records'!$U445&lt;&gt;"Free Game",OR('Game Records'!$E445="",LOWER('Game Records'!$E445&amp;"")="n/a")),"Game Type; ","")&amp;IF('Game Records'!$F445="","Payment Type; ","")&amp;IF(AND('Game Records'!$U445&lt;&gt;"Subscription",'Game Records'!$U445&lt;&gt;"Free Game",'Game Records'!$G445=""),"Gross Pot; ","")&amp;IF(AND('Game Records'!$U445&lt;&gt;"Free Game",'Game Records'!$H445=""),"Entry Fee; ","")&amp;IF(AND('Game Records'!$U445&lt;&gt;"Subscription",'Game Records'!$U445&lt;&gt;"Free Game",'Game Records'!$I445=""),"Eligible Players; ","")&amp;IF(AND('Game Records'!$U445&lt;&gt;"Subscription",'Game Records'!$U445&lt;&gt;"Free Game",'Game Records'!$J445=""),"Total Players; ","")&amp;IF(AND(LOWER('Game Records'!$D445&amp;"")="finalized",LOWER('Game Records'!$L445&amp;"")&lt;&gt;"yes",'Game Records'!$U445&lt;&gt;"Subscription",'Game Records'!$U445&lt;&gt;"Free Game",'Game Records'!$K445=""),"Final Earned; ","")&amp;IF(AND(LOWER('Game Records'!$D445&amp;"")="finalized",'Game Records'!$U445&lt;&gt;"Subscription",'Game Records'!$U445&lt;&gt;"Free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Game",OR('Game Records'!$D446="",LOWER('Game Records'!$D446&amp;"")="n/a")),"Entry Mode; ","")&amp;IF(AND('Game Records'!$U446&lt;&gt;"Subscription",'Game Records'!$U446&lt;&gt;"Free Game",OR('Game Records'!$E446="",LOWER('Game Records'!$E446&amp;"")="n/a")),"Game Type; ","")&amp;IF('Game Records'!$F446="","Payment Type; ","")&amp;IF(AND('Game Records'!$U446&lt;&gt;"Subscription",'Game Records'!$U446&lt;&gt;"Free Game",'Game Records'!$G446=""),"Gross Pot; ","")&amp;IF(AND('Game Records'!$U446&lt;&gt;"Free Game",'Game Records'!$H446=""),"Entry Fee; ","")&amp;IF(AND('Game Records'!$U446&lt;&gt;"Subscription",'Game Records'!$U446&lt;&gt;"Free Game",'Game Records'!$I446=""),"Eligible Players; ","")&amp;IF(AND('Game Records'!$U446&lt;&gt;"Subscription",'Game Records'!$U446&lt;&gt;"Free Game",'Game Records'!$J446=""),"Total Players; ","")&amp;IF(AND(LOWER('Game Records'!$D446&amp;"")="finalized",LOWER('Game Records'!$L446&amp;"")&lt;&gt;"yes",'Game Records'!$U446&lt;&gt;"Subscription",'Game Records'!$U446&lt;&gt;"Free Game",'Game Records'!$K446=""),"Final Earned; ","")&amp;IF(AND(LOWER('Game Records'!$D446&amp;"")="finalized",'Game Records'!$U446&lt;&gt;"Subscription",'Game Records'!$U446&lt;&gt;"Free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Game",OR('Game Records'!$D447="",LOWER('Game Records'!$D447&amp;"")="n/a")),"Entry Mode; ","")&amp;IF(AND('Game Records'!$U447&lt;&gt;"Subscription",'Game Records'!$U447&lt;&gt;"Free Game",OR('Game Records'!$E447="",LOWER('Game Records'!$E447&amp;"")="n/a")),"Game Type; ","")&amp;IF('Game Records'!$F447="","Payment Type; ","")&amp;IF(AND('Game Records'!$U447&lt;&gt;"Subscription",'Game Records'!$U447&lt;&gt;"Free Game",'Game Records'!$G447=""),"Gross Pot; ","")&amp;IF(AND('Game Records'!$U447&lt;&gt;"Free Game",'Game Records'!$H447=""),"Entry Fee; ","")&amp;IF(AND('Game Records'!$U447&lt;&gt;"Subscription",'Game Records'!$U447&lt;&gt;"Free Game",'Game Records'!$I447=""),"Eligible Players; ","")&amp;IF(AND('Game Records'!$U447&lt;&gt;"Subscription",'Game Records'!$U447&lt;&gt;"Free Game",'Game Records'!$J447=""),"Total Players; ","")&amp;IF(AND(LOWER('Game Records'!$D447&amp;"")="finalized",LOWER('Game Records'!$L447&amp;"")&lt;&gt;"yes",'Game Records'!$U447&lt;&gt;"Subscription",'Game Records'!$U447&lt;&gt;"Free Game",'Game Records'!$K447=""),"Final Earned; ","")&amp;IF(AND(LOWER('Game Records'!$D447&amp;"")="finalized",'Game Records'!$U447&lt;&gt;"Subscription",'Game Records'!$U447&lt;&gt;"Free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Game",OR('Game Records'!$D448="",LOWER('Game Records'!$D448&amp;"")="n/a")),"Entry Mode; ","")&amp;IF(AND('Game Records'!$U448&lt;&gt;"Subscription",'Game Records'!$U448&lt;&gt;"Free Game",OR('Game Records'!$E448="",LOWER('Game Records'!$E448&amp;"")="n/a")),"Game Type; ","")&amp;IF('Game Records'!$F448="","Payment Type; ","")&amp;IF(AND('Game Records'!$U448&lt;&gt;"Subscription",'Game Records'!$U448&lt;&gt;"Free Game",'Game Records'!$G448=""),"Gross Pot; ","")&amp;IF(AND('Game Records'!$U448&lt;&gt;"Free Game",'Game Records'!$H448=""),"Entry Fee; ","")&amp;IF(AND('Game Records'!$U448&lt;&gt;"Subscription",'Game Records'!$U448&lt;&gt;"Free Game",'Game Records'!$I448=""),"Eligible Players; ","")&amp;IF(AND('Game Records'!$U448&lt;&gt;"Subscription",'Game Records'!$U448&lt;&gt;"Free Game",'Game Records'!$J448=""),"Total Players; ","")&amp;IF(AND(LOWER('Game Records'!$D448&amp;"")="finalized",LOWER('Game Records'!$L448&amp;"")&lt;&gt;"yes",'Game Records'!$U448&lt;&gt;"Subscription",'Game Records'!$U448&lt;&gt;"Free Game",'Game Records'!$K448=""),"Final Earned; ","")&amp;IF(AND(LOWER('Game Records'!$D448&amp;"")="finalized",'Game Records'!$U448&lt;&gt;"Subscription",'Game Records'!$U448&lt;&gt;"Free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Game",OR('Game Records'!$D449="",LOWER('Game Records'!$D449&amp;"")="n/a")),"Entry Mode; ","")&amp;IF(AND('Game Records'!$U449&lt;&gt;"Subscription",'Game Records'!$U449&lt;&gt;"Free Game",OR('Game Records'!$E449="",LOWER('Game Records'!$E449&amp;"")="n/a")),"Game Type; ","")&amp;IF('Game Records'!$F449="","Payment Type; ","")&amp;IF(AND('Game Records'!$U449&lt;&gt;"Subscription",'Game Records'!$U449&lt;&gt;"Free Game",'Game Records'!$G449=""),"Gross Pot; ","")&amp;IF(AND('Game Records'!$U449&lt;&gt;"Free Game",'Game Records'!$H449=""),"Entry Fee; ","")&amp;IF(AND('Game Records'!$U449&lt;&gt;"Subscription",'Game Records'!$U449&lt;&gt;"Free Game",'Game Records'!$I449=""),"Eligible Players; ","")&amp;IF(AND('Game Records'!$U449&lt;&gt;"Subscription",'Game Records'!$U449&lt;&gt;"Free Game",'Game Records'!$J449=""),"Total Players; ","")&amp;IF(AND(LOWER('Game Records'!$D449&amp;"")="finalized",LOWER('Game Records'!$L449&amp;"")&lt;&gt;"yes",'Game Records'!$U449&lt;&gt;"Subscription",'Game Records'!$U449&lt;&gt;"Free Game",'Game Records'!$K449=""),"Final Earned; ","")&amp;IF(AND(LOWER('Game Records'!$D449&amp;"")="finalized",'Game Records'!$U449&lt;&gt;"Subscription",'Game Records'!$U449&lt;&gt;"Free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Game",OR('Game Records'!$D450="",LOWER('Game Records'!$D450&amp;"")="n/a")),"Entry Mode; ","")&amp;IF(AND('Game Records'!$U450&lt;&gt;"Subscription",'Game Records'!$U450&lt;&gt;"Free Game",OR('Game Records'!$E450="",LOWER('Game Records'!$E450&amp;"")="n/a")),"Game Type; ","")&amp;IF('Game Records'!$F450="","Payment Type; ","")&amp;IF(AND('Game Records'!$U450&lt;&gt;"Subscription",'Game Records'!$U450&lt;&gt;"Free Game",'Game Records'!$G450=""),"Gross Pot; ","")&amp;IF(AND('Game Records'!$U450&lt;&gt;"Free Game",'Game Records'!$H450=""),"Entry Fee; ","")&amp;IF(AND('Game Records'!$U450&lt;&gt;"Subscription",'Game Records'!$U450&lt;&gt;"Free Game",'Game Records'!$I450=""),"Eligible Players; ","")&amp;IF(AND('Game Records'!$U450&lt;&gt;"Subscription",'Game Records'!$U450&lt;&gt;"Free Game",'Game Records'!$J450=""),"Total Players; ","")&amp;IF(AND(LOWER('Game Records'!$D450&amp;"")="finalized",LOWER('Game Records'!$L450&amp;"")&lt;&gt;"yes",'Game Records'!$U450&lt;&gt;"Subscription",'Game Records'!$U450&lt;&gt;"Free Game",'Game Records'!$K450=""),"Final Earned; ","")&amp;IF(AND(LOWER('Game Records'!$D450&amp;"")="finalized",'Game Records'!$U450&lt;&gt;"Subscription",'Game Records'!$U450&lt;&gt;"Free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Game",OR('Game Records'!$D451="",LOWER('Game Records'!$D451&amp;"")="n/a")),"Entry Mode; ","")&amp;IF(AND('Game Records'!$U451&lt;&gt;"Subscription",'Game Records'!$U451&lt;&gt;"Free Game",OR('Game Records'!$E451="",LOWER('Game Records'!$E451&amp;"")="n/a")),"Game Type; ","")&amp;IF('Game Records'!$F451="","Payment Type; ","")&amp;IF(AND('Game Records'!$U451&lt;&gt;"Subscription",'Game Records'!$U451&lt;&gt;"Free Game",'Game Records'!$G451=""),"Gross Pot; ","")&amp;IF(AND('Game Records'!$U451&lt;&gt;"Free Game",'Game Records'!$H451=""),"Entry Fee; ","")&amp;IF(AND('Game Records'!$U451&lt;&gt;"Subscription",'Game Records'!$U451&lt;&gt;"Free Game",'Game Records'!$I451=""),"Eligible Players; ","")&amp;IF(AND('Game Records'!$U451&lt;&gt;"Subscription",'Game Records'!$U451&lt;&gt;"Free Game",'Game Records'!$J451=""),"Total Players; ","")&amp;IF(AND(LOWER('Game Records'!$D451&amp;"")="finalized",LOWER('Game Records'!$L451&amp;"")&lt;&gt;"yes",'Game Records'!$U451&lt;&gt;"Subscription",'Game Records'!$U451&lt;&gt;"Free Game",'Game Records'!$K451=""),"Final Earned; ","")&amp;IF(AND(LOWER('Game Records'!$D451&amp;"")="finalized",'Game Records'!$U451&lt;&gt;"Subscription",'Game Records'!$U451&lt;&gt;"Free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Game",OR('Game Records'!$D452="",LOWER('Game Records'!$D452&amp;"")="n/a")),"Entry Mode; ","")&amp;IF(AND('Game Records'!$U452&lt;&gt;"Subscription",'Game Records'!$U452&lt;&gt;"Free Game",OR('Game Records'!$E452="",LOWER('Game Records'!$E452&amp;"")="n/a")),"Game Type; ","")&amp;IF('Game Records'!$F452="","Payment Type; ","")&amp;IF(AND('Game Records'!$U452&lt;&gt;"Subscription",'Game Records'!$U452&lt;&gt;"Free Game",'Game Records'!$G452=""),"Gross Pot; ","")&amp;IF(AND('Game Records'!$U452&lt;&gt;"Free Game",'Game Records'!$H452=""),"Entry Fee; ","")&amp;IF(AND('Game Records'!$U452&lt;&gt;"Subscription",'Game Records'!$U452&lt;&gt;"Free Game",'Game Records'!$I452=""),"Eligible Players; ","")&amp;IF(AND('Game Records'!$U452&lt;&gt;"Subscription",'Game Records'!$U452&lt;&gt;"Free Game",'Game Records'!$J452=""),"Total Players; ","")&amp;IF(AND(LOWER('Game Records'!$D452&amp;"")="finalized",LOWER('Game Records'!$L452&amp;"")&lt;&gt;"yes",'Game Records'!$U452&lt;&gt;"Subscription",'Game Records'!$U452&lt;&gt;"Free Game",'Game Records'!$K452=""),"Final Earned; ","")&amp;IF(AND(LOWER('Game Records'!$D452&amp;"")="finalized",'Game Records'!$U452&lt;&gt;"Subscription",'Game Records'!$U452&lt;&gt;"Free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Game",OR('Game Records'!$D453="",LOWER('Game Records'!$D453&amp;"")="n/a")),"Entry Mode; ","")&amp;IF(AND('Game Records'!$U453&lt;&gt;"Subscription",'Game Records'!$U453&lt;&gt;"Free Game",OR('Game Records'!$E453="",LOWER('Game Records'!$E453&amp;"")="n/a")),"Game Type; ","")&amp;IF('Game Records'!$F453="","Payment Type; ","")&amp;IF(AND('Game Records'!$U453&lt;&gt;"Subscription",'Game Records'!$U453&lt;&gt;"Free Game",'Game Records'!$G453=""),"Gross Pot; ","")&amp;IF(AND('Game Records'!$U453&lt;&gt;"Free Game",'Game Records'!$H453=""),"Entry Fee; ","")&amp;IF(AND('Game Records'!$U453&lt;&gt;"Subscription",'Game Records'!$U453&lt;&gt;"Free Game",'Game Records'!$I453=""),"Eligible Players; ","")&amp;IF(AND('Game Records'!$U453&lt;&gt;"Subscription",'Game Records'!$U453&lt;&gt;"Free Game",'Game Records'!$J453=""),"Total Players; ","")&amp;IF(AND(LOWER('Game Records'!$D453&amp;"")="finalized",LOWER('Game Records'!$L453&amp;"")&lt;&gt;"yes",'Game Records'!$U453&lt;&gt;"Subscription",'Game Records'!$U453&lt;&gt;"Free Game",'Game Records'!$K453=""),"Final Earned; ","")&amp;IF(AND(LOWER('Game Records'!$D453&amp;"")="finalized",'Game Records'!$U453&lt;&gt;"Subscription",'Game Records'!$U453&lt;&gt;"Free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Game",OR('Game Records'!$D454="",LOWER('Game Records'!$D454&amp;"")="n/a")),"Entry Mode; ","")&amp;IF(AND('Game Records'!$U454&lt;&gt;"Subscription",'Game Records'!$U454&lt;&gt;"Free Game",OR('Game Records'!$E454="",LOWER('Game Records'!$E454&amp;"")="n/a")),"Game Type; ","")&amp;IF('Game Records'!$F454="","Payment Type; ","")&amp;IF(AND('Game Records'!$U454&lt;&gt;"Subscription",'Game Records'!$U454&lt;&gt;"Free Game",'Game Records'!$G454=""),"Gross Pot; ","")&amp;IF(AND('Game Records'!$U454&lt;&gt;"Free Game",'Game Records'!$H454=""),"Entry Fee; ","")&amp;IF(AND('Game Records'!$U454&lt;&gt;"Subscription",'Game Records'!$U454&lt;&gt;"Free Game",'Game Records'!$I454=""),"Eligible Players; ","")&amp;IF(AND('Game Records'!$U454&lt;&gt;"Subscription",'Game Records'!$U454&lt;&gt;"Free Game",'Game Records'!$J454=""),"Total Players; ","")&amp;IF(AND(LOWER('Game Records'!$D454&amp;"")="finalized",LOWER('Game Records'!$L454&amp;"")&lt;&gt;"yes",'Game Records'!$U454&lt;&gt;"Subscription",'Game Records'!$U454&lt;&gt;"Free Game",'Game Records'!$K454=""),"Final Earned; ","")&amp;IF(AND(LOWER('Game Records'!$D454&amp;"")="finalized",'Game Records'!$U454&lt;&gt;"Subscription",'Game Records'!$U454&lt;&gt;"Free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Game",OR('Game Records'!$D455="",LOWER('Game Records'!$D455&amp;"")="n/a")),"Entry Mode; ","")&amp;IF(AND('Game Records'!$U455&lt;&gt;"Subscription",'Game Records'!$U455&lt;&gt;"Free Game",OR('Game Records'!$E455="",LOWER('Game Records'!$E455&amp;"")="n/a")),"Game Type; ","")&amp;IF('Game Records'!$F455="","Payment Type; ","")&amp;IF(AND('Game Records'!$U455&lt;&gt;"Subscription",'Game Records'!$U455&lt;&gt;"Free Game",'Game Records'!$G455=""),"Gross Pot; ","")&amp;IF(AND('Game Records'!$U455&lt;&gt;"Free Game",'Game Records'!$H455=""),"Entry Fee; ","")&amp;IF(AND('Game Records'!$U455&lt;&gt;"Subscription",'Game Records'!$U455&lt;&gt;"Free Game",'Game Records'!$I455=""),"Eligible Players; ","")&amp;IF(AND('Game Records'!$U455&lt;&gt;"Subscription",'Game Records'!$U455&lt;&gt;"Free Game",'Game Records'!$J455=""),"Total Players; ","")&amp;IF(AND(LOWER('Game Records'!$D455&amp;"")="finalized",LOWER('Game Records'!$L455&amp;"")&lt;&gt;"yes",'Game Records'!$U455&lt;&gt;"Subscription",'Game Records'!$U455&lt;&gt;"Free Game",'Game Records'!$K455=""),"Final Earned; ","")&amp;IF(AND(LOWER('Game Records'!$D455&amp;"")="finalized",'Game Records'!$U455&lt;&gt;"Subscription",'Game Records'!$U455&lt;&gt;"Free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Game",OR('Game Records'!$D456="",LOWER('Game Records'!$D456&amp;"")="n/a")),"Entry Mode; ","")&amp;IF(AND('Game Records'!$U456&lt;&gt;"Subscription",'Game Records'!$U456&lt;&gt;"Free Game",OR('Game Records'!$E456="",LOWER('Game Records'!$E456&amp;"")="n/a")),"Game Type; ","")&amp;IF('Game Records'!$F456="","Payment Type; ","")&amp;IF(AND('Game Records'!$U456&lt;&gt;"Subscription",'Game Records'!$U456&lt;&gt;"Free Game",'Game Records'!$G456=""),"Gross Pot; ","")&amp;IF(AND('Game Records'!$U456&lt;&gt;"Free Game",'Game Records'!$H456=""),"Entry Fee; ","")&amp;IF(AND('Game Records'!$U456&lt;&gt;"Subscription",'Game Records'!$U456&lt;&gt;"Free Game",'Game Records'!$I456=""),"Eligible Players; ","")&amp;IF(AND('Game Records'!$U456&lt;&gt;"Subscription",'Game Records'!$U456&lt;&gt;"Free Game",'Game Records'!$J456=""),"Total Players; ","")&amp;IF(AND(LOWER('Game Records'!$D456&amp;"")="finalized",LOWER('Game Records'!$L456&amp;"")&lt;&gt;"yes",'Game Records'!$U456&lt;&gt;"Subscription",'Game Records'!$U456&lt;&gt;"Free Game",'Game Records'!$K456=""),"Final Earned; ","")&amp;IF(AND(LOWER('Game Records'!$D456&amp;"")="finalized",'Game Records'!$U456&lt;&gt;"Subscription",'Game Records'!$U456&lt;&gt;"Free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Game",OR('Game Records'!$D457="",LOWER('Game Records'!$D457&amp;"")="n/a")),"Entry Mode; ","")&amp;IF(AND('Game Records'!$U457&lt;&gt;"Subscription",'Game Records'!$U457&lt;&gt;"Free Game",OR('Game Records'!$E457="",LOWER('Game Records'!$E457&amp;"")="n/a")),"Game Type; ","")&amp;IF('Game Records'!$F457="","Payment Type; ","")&amp;IF(AND('Game Records'!$U457&lt;&gt;"Subscription",'Game Records'!$U457&lt;&gt;"Free Game",'Game Records'!$G457=""),"Gross Pot; ","")&amp;IF(AND('Game Records'!$U457&lt;&gt;"Free Game",'Game Records'!$H457=""),"Entry Fee; ","")&amp;IF(AND('Game Records'!$U457&lt;&gt;"Subscription",'Game Records'!$U457&lt;&gt;"Free Game",'Game Records'!$I457=""),"Eligible Players; ","")&amp;IF(AND('Game Records'!$U457&lt;&gt;"Subscription",'Game Records'!$U457&lt;&gt;"Free Game",'Game Records'!$J457=""),"Total Players; ","")&amp;IF(AND(LOWER('Game Records'!$D457&amp;"")="finalized",LOWER('Game Records'!$L457&amp;"")&lt;&gt;"yes",'Game Records'!$U457&lt;&gt;"Subscription",'Game Records'!$U457&lt;&gt;"Free Game",'Game Records'!$K457=""),"Final Earned; ","")&amp;IF(AND(LOWER('Game Records'!$D457&amp;"")="finalized",'Game Records'!$U457&lt;&gt;"Subscription",'Game Records'!$U457&lt;&gt;"Free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Game",OR('Game Records'!$D458="",LOWER('Game Records'!$D458&amp;"")="n/a")),"Entry Mode; ","")&amp;IF(AND('Game Records'!$U458&lt;&gt;"Subscription",'Game Records'!$U458&lt;&gt;"Free Game",OR('Game Records'!$E458="",LOWER('Game Records'!$E458&amp;"")="n/a")),"Game Type; ","")&amp;IF('Game Records'!$F458="","Payment Type; ","")&amp;IF(AND('Game Records'!$U458&lt;&gt;"Subscription",'Game Records'!$U458&lt;&gt;"Free Game",'Game Records'!$G458=""),"Gross Pot; ","")&amp;IF(AND('Game Records'!$U458&lt;&gt;"Free Game",'Game Records'!$H458=""),"Entry Fee; ","")&amp;IF(AND('Game Records'!$U458&lt;&gt;"Subscription",'Game Records'!$U458&lt;&gt;"Free Game",'Game Records'!$I458=""),"Eligible Players; ","")&amp;IF(AND('Game Records'!$U458&lt;&gt;"Subscription",'Game Records'!$U458&lt;&gt;"Free Game",'Game Records'!$J458=""),"Total Players; ","")&amp;IF(AND(LOWER('Game Records'!$D458&amp;"")="finalized",LOWER('Game Records'!$L458&amp;"")&lt;&gt;"yes",'Game Records'!$U458&lt;&gt;"Subscription",'Game Records'!$U458&lt;&gt;"Free Game",'Game Records'!$K458=""),"Final Earned; ","")&amp;IF(AND(LOWER('Game Records'!$D458&amp;"")="finalized",'Game Records'!$U458&lt;&gt;"Subscription",'Game Records'!$U458&lt;&gt;"Free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Game",OR('Game Records'!$D459="",LOWER('Game Records'!$D459&amp;"")="n/a")),"Entry Mode; ","")&amp;IF(AND('Game Records'!$U459&lt;&gt;"Subscription",'Game Records'!$U459&lt;&gt;"Free Game",OR('Game Records'!$E459="",LOWER('Game Records'!$E459&amp;"")="n/a")),"Game Type; ","")&amp;IF('Game Records'!$F459="","Payment Type; ","")&amp;IF(AND('Game Records'!$U459&lt;&gt;"Subscription",'Game Records'!$U459&lt;&gt;"Free Game",'Game Records'!$G459=""),"Gross Pot; ","")&amp;IF(AND('Game Records'!$U459&lt;&gt;"Free Game",'Game Records'!$H459=""),"Entry Fee; ","")&amp;IF(AND('Game Records'!$U459&lt;&gt;"Subscription",'Game Records'!$U459&lt;&gt;"Free Game",'Game Records'!$I459=""),"Eligible Players; ","")&amp;IF(AND('Game Records'!$U459&lt;&gt;"Subscription",'Game Records'!$U459&lt;&gt;"Free Game",'Game Records'!$J459=""),"Total Players; ","")&amp;IF(AND(LOWER('Game Records'!$D459&amp;"")="finalized",LOWER('Game Records'!$L459&amp;"")&lt;&gt;"yes",'Game Records'!$U459&lt;&gt;"Subscription",'Game Records'!$U459&lt;&gt;"Free Game",'Game Records'!$K459=""),"Final Earned; ","")&amp;IF(AND(LOWER('Game Records'!$D459&amp;"")="finalized",'Game Records'!$U459&lt;&gt;"Subscription",'Game Records'!$U459&lt;&gt;"Free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Game",OR('Game Records'!$D460="",LOWER('Game Records'!$D460&amp;"")="n/a")),"Entry Mode; ","")&amp;IF(AND('Game Records'!$U460&lt;&gt;"Subscription",'Game Records'!$U460&lt;&gt;"Free Game",OR('Game Records'!$E460="",LOWER('Game Records'!$E460&amp;"")="n/a")),"Game Type; ","")&amp;IF('Game Records'!$F460="","Payment Type; ","")&amp;IF(AND('Game Records'!$U460&lt;&gt;"Subscription",'Game Records'!$U460&lt;&gt;"Free Game",'Game Records'!$G460=""),"Gross Pot; ","")&amp;IF(AND('Game Records'!$U460&lt;&gt;"Free Game",'Game Records'!$H460=""),"Entry Fee; ","")&amp;IF(AND('Game Records'!$U460&lt;&gt;"Subscription",'Game Records'!$U460&lt;&gt;"Free Game",'Game Records'!$I460=""),"Eligible Players; ","")&amp;IF(AND('Game Records'!$U460&lt;&gt;"Subscription",'Game Records'!$U460&lt;&gt;"Free Game",'Game Records'!$J460=""),"Total Players; ","")&amp;IF(AND(LOWER('Game Records'!$D460&amp;"")="finalized",LOWER('Game Records'!$L460&amp;"")&lt;&gt;"yes",'Game Records'!$U460&lt;&gt;"Subscription",'Game Records'!$U460&lt;&gt;"Free Game",'Game Records'!$K460=""),"Final Earned; ","")&amp;IF(AND(LOWER('Game Records'!$D460&amp;"")="finalized",'Game Records'!$U460&lt;&gt;"Subscription",'Game Records'!$U460&lt;&gt;"Free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Game",OR('Game Records'!$D461="",LOWER('Game Records'!$D461&amp;"")="n/a")),"Entry Mode; ","")&amp;IF(AND('Game Records'!$U461&lt;&gt;"Subscription",'Game Records'!$U461&lt;&gt;"Free Game",OR('Game Records'!$E461="",LOWER('Game Records'!$E461&amp;"")="n/a")),"Game Type; ","")&amp;IF('Game Records'!$F461="","Payment Type; ","")&amp;IF(AND('Game Records'!$U461&lt;&gt;"Subscription",'Game Records'!$U461&lt;&gt;"Free Game",'Game Records'!$G461=""),"Gross Pot; ","")&amp;IF(AND('Game Records'!$U461&lt;&gt;"Free Game",'Game Records'!$H461=""),"Entry Fee; ","")&amp;IF(AND('Game Records'!$U461&lt;&gt;"Subscription",'Game Records'!$U461&lt;&gt;"Free Game",'Game Records'!$I461=""),"Eligible Players; ","")&amp;IF(AND('Game Records'!$U461&lt;&gt;"Subscription",'Game Records'!$U461&lt;&gt;"Free Game",'Game Records'!$J461=""),"Total Players; ","")&amp;IF(AND(LOWER('Game Records'!$D461&amp;"")="finalized",LOWER('Game Records'!$L461&amp;"")&lt;&gt;"yes",'Game Records'!$U461&lt;&gt;"Subscription",'Game Records'!$U461&lt;&gt;"Free Game",'Game Records'!$K461=""),"Final Earned; ","")&amp;IF(AND(LOWER('Game Records'!$D461&amp;"")="finalized",'Game Records'!$U461&lt;&gt;"Subscription",'Game Records'!$U461&lt;&gt;"Free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Game",OR('Game Records'!$D462="",LOWER('Game Records'!$D462&amp;"")="n/a")),"Entry Mode; ","")&amp;IF(AND('Game Records'!$U462&lt;&gt;"Subscription",'Game Records'!$U462&lt;&gt;"Free Game",OR('Game Records'!$E462="",LOWER('Game Records'!$E462&amp;"")="n/a")),"Game Type; ","")&amp;IF('Game Records'!$F462="","Payment Type; ","")&amp;IF(AND('Game Records'!$U462&lt;&gt;"Subscription",'Game Records'!$U462&lt;&gt;"Free Game",'Game Records'!$G462=""),"Gross Pot; ","")&amp;IF(AND('Game Records'!$U462&lt;&gt;"Free Game",'Game Records'!$H462=""),"Entry Fee; ","")&amp;IF(AND('Game Records'!$U462&lt;&gt;"Subscription",'Game Records'!$U462&lt;&gt;"Free Game",'Game Records'!$I462=""),"Eligible Players; ","")&amp;IF(AND('Game Records'!$U462&lt;&gt;"Subscription",'Game Records'!$U462&lt;&gt;"Free Game",'Game Records'!$J462=""),"Total Players; ","")&amp;IF(AND(LOWER('Game Records'!$D462&amp;"")="finalized",LOWER('Game Records'!$L462&amp;"")&lt;&gt;"yes",'Game Records'!$U462&lt;&gt;"Subscription",'Game Records'!$U462&lt;&gt;"Free Game",'Game Records'!$K462=""),"Final Earned; ","")&amp;IF(AND(LOWER('Game Records'!$D462&amp;"")="finalized",'Game Records'!$U462&lt;&gt;"Subscription",'Game Records'!$U462&lt;&gt;"Free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Game",OR('Game Records'!$D463="",LOWER('Game Records'!$D463&amp;"")="n/a")),"Entry Mode; ","")&amp;IF(AND('Game Records'!$U463&lt;&gt;"Subscription",'Game Records'!$U463&lt;&gt;"Free Game",OR('Game Records'!$E463="",LOWER('Game Records'!$E463&amp;"")="n/a")),"Game Type; ","")&amp;IF('Game Records'!$F463="","Payment Type; ","")&amp;IF(AND('Game Records'!$U463&lt;&gt;"Subscription",'Game Records'!$U463&lt;&gt;"Free Game",'Game Records'!$G463=""),"Gross Pot; ","")&amp;IF(AND('Game Records'!$U463&lt;&gt;"Free Game",'Game Records'!$H463=""),"Entry Fee; ","")&amp;IF(AND('Game Records'!$U463&lt;&gt;"Subscription",'Game Records'!$U463&lt;&gt;"Free Game",'Game Records'!$I463=""),"Eligible Players; ","")&amp;IF(AND('Game Records'!$U463&lt;&gt;"Subscription",'Game Records'!$U463&lt;&gt;"Free Game",'Game Records'!$J463=""),"Total Players; ","")&amp;IF(AND(LOWER('Game Records'!$D463&amp;"")="finalized",LOWER('Game Records'!$L463&amp;"")&lt;&gt;"yes",'Game Records'!$U463&lt;&gt;"Subscription",'Game Records'!$U463&lt;&gt;"Free Game",'Game Records'!$K463=""),"Final Earned; ","")&amp;IF(AND(LOWER('Game Records'!$D463&amp;"")="finalized",'Game Records'!$U463&lt;&gt;"Subscription",'Game Records'!$U463&lt;&gt;"Free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Game",OR('Game Records'!$D464="",LOWER('Game Records'!$D464&amp;"")="n/a")),"Entry Mode; ","")&amp;IF(AND('Game Records'!$U464&lt;&gt;"Subscription",'Game Records'!$U464&lt;&gt;"Free Game",OR('Game Records'!$E464="",LOWER('Game Records'!$E464&amp;"")="n/a")),"Game Type; ","")&amp;IF('Game Records'!$F464="","Payment Type; ","")&amp;IF(AND('Game Records'!$U464&lt;&gt;"Subscription",'Game Records'!$U464&lt;&gt;"Free Game",'Game Records'!$G464=""),"Gross Pot; ","")&amp;IF(AND('Game Records'!$U464&lt;&gt;"Free Game",'Game Records'!$H464=""),"Entry Fee; ","")&amp;IF(AND('Game Records'!$U464&lt;&gt;"Subscription",'Game Records'!$U464&lt;&gt;"Free Game",'Game Records'!$I464=""),"Eligible Players; ","")&amp;IF(AND('Game Records'!$U464&lt;&gt;"Subscription",'Game Records'!$U464&lt;&gt;"Free Game",'Game Records'!$J464=""),"Total Players; ","")&amp;IF(AND(LOWER('Game Records'!$D464&amp;"")="finalized",LOWER('Game Records'!$L464&amp;"")&lt;&gt;"yes",'Game Records'!$U464&lt;&gt;"Subscription",'Game Records'!$U464&lt;&gt;"Free Game",'Game Records'!$K464=""),"Final Earned; ","")&amp;IF(AND(LOWER('Game Records'!$D464&amp;"")="finalized",'Game Records'!$U464&lt;&gt;"Subscription",'Game Records'!$U464&lt;&gt;"Free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Game",OR('Game Records'!$D465="",LOWER('Game Records'!$D465&amp;"")="n/a")),"Entry Mode; ","")&amp;IF(AND('Game Records'!$U465&lt;&gt;"Subscription",'Game Records'!$U465&lt;&gt;"Free Game",OR('Game Records'!$E465="",LOWER('Game Records'!$E465&amp;"")="n/a")),"Game Type; ","")&amp;IF('Game Records'!$F465="","Payment Type; ","")&amp;IF(AND('Game Records'!$U465&lt;&gt;"Subscription",'Game Records'!$U465&lt;&gt;"Free Game",'Game Records'!$G465=""),"Gross Pot; ","")&amp;IF(AND('Game Records'!$U465&lt;&gt;"Free Game",'Game Records'!$H465=""),"Entry Fee; ","")&amp;IF(AND('Game Records'!$U465&lt;&gt;"Subscription",'Game Records'!$U465&lt;&gt;"Free Game",'Game Records'!$I465=""),"Eligible Players; ","")&amp;IF(AND('Game Records'!$U465&lt;&gt;"Subscription",'Game Records'!$U465&lt;&gt;"Free Game",'Game Records'!$J465=""),"Total Players; ","")&amp;IF(AND(LOWER('Game Records'!$D465&amp;"")="finalized",LOWER('Game Records'!$L465&amp;"")&lt;&gt;"yes",'Game Records'!$U465&lt;&gt;"Subscription",'Game Records'!$U465&lt;&gt;"Free Game",'Game Records'!$K465=""),"Final Earned; ","")&amp;IF(AND(LOWER('Game Records'!$D465&amp;"")="finalized",'Game Records'!$U465&lt;&gt;"Subscription",'Game Records'!$U465&lt;&gt;"Free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Game",OR('Game Records'!$D466="",LOWER('Game Records'!$D466&amp;"")="n/a")),"Entry Mode; ","")&amp;IF(AND('Game Records'!$U466&lt;&gt;"Subscription",'Game Records'!$U466&lt;&gt;"Free Game",OR('Game Records'!$E466="",LOWER('Game Records'!$E466&amp;"")="n/a")),"Game Type; ","")&amp;IF('Game Records'!$F466="","Payment Type; ","")&amp;IF(AND('Game Records'!$U466&lt;&gt;"Subscription",'Game Records'!$U466&lt;&gt;"Free Game",'Game Records'!$G466=""),"Gross Pot; ","")&amp;IF(AND('Game Records'!$U466&lt;&gt;"Free Game",'Game Records'!$H466=""),"Entry Fee; ","")&amp;IF(AND('Game Records'!$U466&lt;&gt;"Subscription",'Game Records'!$U466&lt;&gt;"Free Game",'Game Records'!$I466=""),"Eligible Players; ","")&amp;IF(AND('Game Records'!$U466&lt;&gt;"Subscription",'Game Records'!$U466&lt;&gt;"Free Game",'Game Records'!$J466=""),"Total Players; ","")&amp;IF(AND(LOWER('Game Records'!$D466&amp;"")="finalized",LOWER('Game Records'!$L466&amp;"")&lt;&gt;"yes",'Game Records'!$U466&lt;&gt;"Subscription",'Game Records'!$U466&lt;&gt;"Free Game",'Game Records'!$K466=""),"Final Earned; ","")&amp;IF(AND(LOWER('Game Records'!$D466&amp;"")="finalized",'Game Records'!$U466&lt;&gt;"Subscription",'Game Records'!$U466&lt;&gt;"Free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Game",OR('Game Records'!$D467="",LOWER('Game Records'!$D467&amp;"")="n/a")),"Entry Mode; ","")&amp;IF(AND('Game Records'!$U467&lt;&gt;"Subscription",'Game Records'!$U467&lt;&gt;"Free Game",OR('Game Records'!$E467="",LOWER('Game Records'!$E467&amp;"")="n/a")),"Game Type; ","")&amp;IF('Game Records'!$F467="","Payment Type; ","")&amp;IF(AND('Game Records'!$U467&lt;&gt;"Subscription",'Game Records'!$U467&lt;&gt;"Free Game",'Game Records'!$G467=""),"Gross Pot; ","")&amp;IF(AND('Game Records'!$U467&lt;&gt;"Free Game",'Game Records'!$H467=""),"Entry Fee; ","")&amp;IF(AND('Game Records'!$U467&lt;&gt;"Subscription",'Game Records'!$U467&lt;&gt;"Free Game",'Game Records'!$I467=""),"Eligible Players; ","")&amp;IF(AND('Game Records'!$U467&lt;&gt;"Subscription",'Game Records'!$U467&lt;&gt;"Free Game",'Game Records'!$J467=""),"Total Players; ","")&amp;IF(AND(LOWER('Game Records'!$D467&amp;"")="finalized",LOWER('Game Records'!$L467&amp;"")&lt;&gt;"yes",'Game Records'!$U467&lt;&gt;"Subscription",'Game Records'!$U467&lt;&gt;"Free Game",'Game Records'!$K467=""),"Final Earned; ","")&amp;IF(AND(LOWER('Game Records'!$D467&amp;"")="finalized",'Game Records'!$U467&lt;&gt;"Subscription",'Game Records'!$U467&lt;&gt;"Free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Game",OR('Game Records'!$D468="",LOWER('Game Records'!$D468&amp;"")="n/a")),"Entry Mode; ","")&amp;IF(AND('Game Records'!$U468&lt;&gt;"Subscription",'Game Records'!$U468&lt;&gt;"Free Game",OR('Game Records'!$E468="",LOWER('Game Records'!$E468&amp;"")="n/a")),"Game Type; ","")&amp;IF('Game Records'!$F468="","Payment Type; ","")&amp;IF(AND('Game Records'!$U468&lt;&gt;"Subscription",'Game Records'!$U468&lt;&gt;"Free Game",'Game Records'!$G468=""),"Gross Pot; ","")&amp;IF(AND('Game Records'!$U468&lt;&gt;"Free Game",'Game Records'!$H468=""),"Entry Fee; ","")&amp;IF(AND('Game Records'!$U468&lt;&gt;"Subscription",'Game Records'!$U468&lt;&gt;"Free Game",'Game Records'!$I468=""),"Eligible Players; ","")&amp;IF(AND('Game Records'!$U468&lt;&gt;"Subscription",'Game Records'!$U468&lt;&gt;"Free Game",'Game Records'!$J468=""),"Total Players; ","")&amp;IF(AND(LOWER('Game Records'!$D468&amp;"")="finalized",LOWER('Game Records'!$L468&amp;"")&lt;&gt;"yes",'Game Records'!$U468&lt;&gt;"Subscription",'Game Records'!$U468&lt;&gt;"Free Game",'Game Records'!$K468=""),"Final Earned; ","")&amp;IF(AND(LOWER('Game Records'!$D468&amp;"")="finalized",'Game Records'!$U468&lt;&gt;"Subscription",'Game Records'!$U468&lt;&gt;"Free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Game",OR('Game Records'!$D469="",LOWER('Game Records'!$D469&amp;"")="n/a")),"Entry Mode; ","")&amp;IF(AND('Game Records'!$U469&lt;&gt;"Subscription",'Game Records'!$U469&lt;&gt;"Free Game",OR('Game Records'!$E469="",LOWER('Game Records'!$E469&amp;"")="n/a")),"Game Type; ","")&amp;IF('Game Records'!$F469="","Payment Type; ","")&amp;IF(AND('Game Records'!$U469&lt;&gt;"Subscription",'Game Records'!$U469&lt;&gt;"Free Game",'Game Records'!$G469=""),"Gross Pot; ","")&amp;IF(AND('Game Records'!$U469&lt;&gt;"Free Game",'Game Records'!$H469=""),"Entry Fee; ","")&amp;IF(AND('Game Records'!$U469&lt;&gt;"Subscription",'Game Records'!$U469&lt;&gt;"Free Game",'Game Records'!$I469=""),"Eligible Players; ","")&amp;IF(AND('Game Records'!$U469&lt;&gt;"Subscription",'Game Records'!$U469&lt;&gt;"Free Game",'Game Records'!$J469=""),"Total Players; ","")&amp;IF(AND(LOWER('Game Records'!$D469&amp;"")="finalized",LOWER('Game Records'!$L469&amp;"")&lt;&gt;"yes",'Game Records'!$U469&lt;&gt;"Subscription",'Game Records'!$U469&lt;&gt;"Free Game",'Game Records'!$K469=""),"Final Earned; ","")&amp;IF(AND(LOWER('Game Records'!$D469&amp;"")="finalized",'Game Records'!$U469&lt;&gt;"Subscription",'Game Records'!$U469&lt;&gt;"Free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Game",OR('Game Records'!$D470="",LOWER('Game Records'!$D470&amp;"")="n/a")),"Entry Mode; ","")&amp;IF(AND('Game Records'!$U470&lt;&gt;"Subscription",'Game Records'!$U470&lt;&gt;"Free Game",OR('Game Records'!$E470="",LOWER('Game Records'!$E470&amp;"")="n/a")),"Game Type; ","")&amp;IF('Game Records'!$F470="","Payment Type; ","")&amp;IF(AND('Game Records'!$U470&lt;&gt;"Subscription",'Game Records'!$U470&lt;&gt;"Free Game",'Game Records'!$G470=""),"Gross Pot; ","")&amp;IF(AND('Game Records'!$U470&lt;&gt;"Free Game",'Game Records'!$H470=""),"Entry Fee; ","")&amp;IF(AND('Game Records'!$U470&lt;&gt;"Subscription",'Game Records'!$U470&lt;&gt;"Free Game",'Game Records'!$I470=""),"Eligible Players; ","")&amp;IF(AND('Game Records'!$U470&lt;&gt;"Subscription",'Game Records'!$U470&lt;&gt;"Free Game",'Game Records'!$J470=""),"Total Players; ","")&amp;IF(AND(LOWER('Game Records'!$D470&amp;"")="finalized",LOWER('Game Records'!$L470&amp;"")&lt;&gt;"yes",'Game Records'!$U470&lt;&gt;"Subscription",'Game Records'!$U470&lt;&gt;"Free Game",'Game Records'!$K470=""),"Final Earned; ","")&amp;IF(AND(LOWER('Game Records'!$D470&amp;"")="finalized",'Game Records'!$U470&lt;&gt;"Subscription",'Game Records'!$U470&lt;&gt;"Free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Game",OR('Game Records'!$D471="",LOWER('Game Records'!$D471&amp;"")="n/a")),"Entry Mode; ","")&amp;IF(AND('Game Records'!$U471&lt;&gt;"Subscription",'Game Records'!$U471&lt;&gt;"Free Game",OR('Game Records'!$E471="",LOWER('Game Records'!$E471&amp;"")="n/a")),"Game Type; ","")&amp;IF('Game Records'!$F471="","Payment Type; ","")&amp;IF(AND('Game Records'!$U471&lt;&gt;"Subscription",'Game Records'!$U471&lt;&gt;"Free Game",'Game Records'!$G471=""),"Gross Pot; ","")&amp;IF(AND('Game Records'!$U471&lt;&gt;"Free Game",'Game Records'!$H471=""),"Entry Fee; ","")&amp;IF(AND('Game Records'!$U471&lt;&gt;"Subscription",'Game Records'!$U471&lt;&gt;"Free Game",'Game Records'!$I471=""),"Eligible Players; ","")&amp;IF(AND('Game Records'!$U471&lt;&gt;"Subscription",'Game Records'!$U471&lt;&gt;"Free Game",'Game Records'!$J471=""),"Total Players; ","")&amp;IF(AND(LOWER('Game Records'!$D471&amp;"")="finalized",LOWER('Game Records'!$L471&amp;"")&lt;&gt;"yes",'Game Records'!$U471&lt;&gt;"Subscription",'Game Records'!$U471&lt;&gt;"Free Game",'Game Records'!$K471=""),"Final Earned; ","")&amp;IF(AND(LOWER('Game Records'!$D471&amp;"")="finalized",'Game Records'!$U471&lt;&gt;"Subscription",'Game Records'!$U471&lt;&gt;"Free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Game",OR('Game Records'!$D472="",LOWER('Game Records'!$D472&amp;"")="n/a")),"Entry Mode; ","")&amp;IF(AND('Game Records'!$U472&lt;&gt;"Subscription",'Game Records'!$U472&lt;&gt;"Free Game",OR('Game Records'!$E472="",LOWER('Game Records'!$E472&amp;"")="n/a")),"Game Type; ","")&amp;IF('Game Records'!$F472="","Payment Type; ","")&amp;IF(AND('Game Records'!$U472&lt;&gt;"Subscription",'Game Records'!$U472&lt;&gt;"Free Game",'Game Records'!$G472=""),"Gross Pot; ","")&amp;IF(AND('Game Records'!$U472&lt;&gt;"Free Game",'Game Records'!$H472=""),"Entry Fee; ","")&amp;IF(AND('Game Records'!$U472&lt;&gt;"Subscription",'Game Records'!$U472&lt;&gt;"Free Game",'Game Records'!$I472=""),"Eligible Players; ","")&amp;IF(AND('Game Records'!$U472&lt;&gt;"Subscription",'Game Records'!$U472&lt;&gt;"Free Game",'Game Records'!$J472=""),"Total Players; ","")&amp;IF(AND(LOWER('Game Records'!$D472&amp;"")="finalized",LOWER('Game Records'!$L472&amp;"")&lt;&gt;"yes",'Game Records'!$U472&lt;&gt;"Subscription",'Game Records'!$U472&lt;&gt;"Free Game",'Game Records'!$K472=""),"Final Earned; ","")&amp;IF(AND(LOWER('Game Records'!$D472&amp;"")="finalized",'Game Records'!$U472&lt;&gt;"Subscription",'Game Records'!$U472&lt;&gt;"Free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Game",OR('Game Records'!$D473="",LOWER('Game Records'!$D473&amp;"")="n/a")),"Entry Mode; ","")&amp;IF(AND('Game Records'!$U473&lt;&gt;"Subscription",'Game Records'!$U473&lt;&gt;"Free Game",OR('Game Records'!$E473="",LOWER('Game Records'!$E473&amp;"")="n/a")),"Game Type; ","")&amp;IF('Game Records'!$F473="","Payment Type; ","")&amp;IF(AND('Game Records'!$U473&lt;&gt;"Subscription",'Game Records'!$U473&lt;&gt;"Free Game",'Game Records'!$G473=""),"Gross Pot; ","")&amp;IF(AND('Game Records'!$U473&lt;&gt;"Free Game",'Game Records'!$H473=""),"Entry Fee; ","")&amp;IF(AND('Game Records'!$U473&lt;&gt;"Subscription",'Game Records'!$U473&lt;&gt;"Free Game",'Game Records'!$I473=""),"Eligible Players; ","")&amp;IF(AND('Game Records'!$U473&lt;&gt;"Subscription",'Game Records'!$U473&lt;&gt;"Free Game",'Game Records'!$J473=""),"Total Players; ","")&amp;IF(AND(LOWER('Game Records'!$D473&amp;"")="finalized",LOWER('Game Records'!$L473&amp;"")&lt;&gt;"yes",'Game Records'!$U473&lt;&gt;"Subscription",'Game Records'!$U473&lt;&gt;"Free Game",'Game Records'!$K473=""),"Final Earned; ","")&amp;IF(AND(LOWER('Game Records'!$D473&amp;"")="finalized",'Game Records'!$U473&lt;&gt;"Subscription",'Game Records'!$U473&lt;&gt;"Free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Game",OR('Game Records'!$D474="",LOWER('Game Records'!$D474&amp;"")="n/a")),"Entry Mode; ","")&amp;IF(AND('Game Records'!$U474&lt;&gt;"Subscription",'Game Records'!$U474&lt;&gt;"Free Game",OR('Game Records'!$E474="",LOWER('Game Records'!$E474&amp;"")="n/a")),"Game Type; ","")&amp;IF('Game Records'!$F474="","Payment Type; ","")&amp;IF(AND('Game Records'!$U474&lt;&gt;"Subscription",'Game Records'!$U474&lt;&gt;"Free Game",'Game Records'!$G474=""),"Gross Pot; ","")&amp;IF(AND('Game Records'!$U474&lt;&gt;"Free Game",'Game Records'!$H474=""),"Entry Fee; ","")&amp;IF(AND('Game Records'!$U474&lt;&gt;"Subscription",'Game Records'!$U474&lt;&gt;"Free Game",'Game Records'!$I474=""),"Eligible Players; ","")&amp;IF(AND('Game Records'!$U474&lt;&gt;"Subscription",'Game Records'!$U474&lt;&gt;"Free Game",'Game Records'!$J474=""),"Total Players; ","")&amp;IF(AND(LOWER('Game Records'!$D474&amp;"")="finalized",LOWER('Game Records'!$L474&amp;"")&lt;&gt;"yes",'Game Records'!$U474&lt;&gt;"Subscription",'Game Records'!$U474&lt;&gt;"Free Game",'Game Records'!$K474=""),"Final Earned; ","")&amp;IF(AND(LOWER('Game Records'!$D474&amp;"")="finalized",'Game Records'!$U474&lt;&gt;"Subscription",'Game Records'!$U474&lt;&gt;"Free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Game",OR('Game Records'!$D475="",LOWER('Game Records'!$D475&amp;"")="n/a")),"Entry Mode; ","")&amp;IF(AND('Game Records'!$U475&lt;&gt;"Subscription",'Game Records'!$U475&lt;&gt;"Free Game",OR('Game Records'!$E475="",LOWER('Game Records'!$E475&amp;"")="n/a")),"Game Type; ","")&amp;IF('Game Records'!$F475="","Payment Type; ","")&amp;IF(AND('Game Records'!$U475&lt;&gt;"Subscription",'Game Records'!$U475&lt;&gt;"Free Game",'Game Records'!$G475=""),"Gross Pot; ","")&amp;IF(AND('Game Records'!$U475&lt;&gt;"Free Game",'Game Records'!$H475=""),"Entry Fee; ","")&amp;IF(AND('Game Records'!$U475&lt;&gt;"Subscription",'Game Records'!$U475&lt;&gt;"Free Game",'Game Records'!$I475=""),"Eligible Players; ","")&amp;IF(AND('Game Records'!$U475&lt;&gt;"Subscription",'Game Records'!$U475&lt;&gt;"Free Game",'Game Records'!$J475=""),"Total Players; ","")&amp;IF(AND(LOWER('Game Records'!$D475&amp;"")="finalized",LOWER('Game Records'!$L475&amp;"")&lt;&gt;"yes",'Game Records'!$U475&lt;&gt;"Subscription",'Game Records'!$U475&lt;&gt;"Free Game",'Game Records'!$K475=""),"Final Earned; ","")&amp;IF(AND(LOWER('Game Records'!$D475&amp;"")="finalized",'Game Records'!$U475&lt;&gt;"Subscription",'Game Records'!$U475&lt;&gt;"Free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Game",OR('Game Records'!$D476="",LOWER('Game Records'!$D476&amp;"")="n/a")),"Entry Mode; ","")&amp;IF(AND('Game Records'!$U476&lt;&gt;"Subscription",'Game Records'!$U476&lt;&gt;"Free Game",OR('Game Records'!$E476="",LOWER('Game Records'!$E476&amp;"")="n/a")),"Game Type; ","")&amp;IF('Game Records'!$F476="","Payment Type; ","")&amp;IF(AND('Game Records'!$U476&lt;&gt;"Subscription",'Game Records'!$U476&lt;&gt;"Free Game",'Game Records'!$G476=""),"Gross Pot; ","")&amp;IF(AND('Game Records'!$U476&lt;&gt;"Free Game",'Game Records'!$H476=""),"Entry Fee; ","")&amp;IF(AND('Game Records'!$U476&lt;&gt;"Subscription",'Game Records'!$U476&lt;&gt;"Free Game",'Game Records'!$I476=""),"Eligible Players; ","")&amp;IF(AND('Game Records'!$U476&lt;&gt;"Subscription",'Game Records'!$U476&lt;&gt;"Free Game",'Game Records'!$J476=""),"Total Players; ","")&amp;IF(AND(LOWER('Game Records'!$D476&amp;"")="finalized",LOWER('Game Records'!$L476&amp;"")&lt;&gt;"yes",'Game Records'!$U476&lt;&gt;"Subscription",'Game Records'!$U476&lt;&gt;"Free Game",'Game Records'!$K476=""),"Final Earned; ","")&amp;IF(AND(LOWER('Game Records'!$D476&amp;"")="finalized",'Game Records'!$U476&lt;&gt;"Subscription",'Game Records'!$U476&lt;&gt;"Free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Game",OR('Game Records'!$D477="",LOWER('Game Records'!$D477&amp;"")="n/a")),"Entry Mode; ","")&amp;IF(AND('Game Records'!$U477&lt;&gt;"Subscription",'Game Records'!$U477&lt;&gt;"Free Game",OR('Game Records'!$E477="",LOWER('Game Records'!$E477&amp;"")="n/a")),"Game Type; ","")&amp;IF('Game Records'!$F477="","Payment Type; ","")&amp;IF(AND('Game Records'!$U477&lt;&gt;"Subscription",'Game Records'!$U477&lt;&gt;"Free Game",'Game Records'!$G477=""),"Gross Pot; ","")&amp;IF(AND('Game Records'!$U477&lt;&gt;"Free Game",'Game Records'!$H477=""),"Entry Fee; ","")&amp;IF(AND('Game Records'!$U477&lt;&gt;"Subscription",'Game Records'!$U477&lt;&gt;"Free Game",'Game Records'!$I477=""),"Eligible Players; ","")&amp;IF(AND('Game Records'!$U477&lt;&gt;"Subscription",'Game Records'!$U477&lt;&gt;"Free Game",'Game Records'!$J477=""),"Total Players; ","")&amp;IF(AND(LOWER('Game Records'!$D477&amp;"")="finalized",LOWER('Game Records'!$L477&amp;"")&lt;&gt;"yes",'Game Records'!$U477&lt;&gt;"Subscription",'Game Records'!$U477&lt;&gt;"Free Game",'Game Records'!$K477=""),"Final Earned; ","")&amp;IF(AND(LOWER('Game Records'!$D477&amp;"")="finalized",'Game Records'!$U477&lt;&gt;"Subscription",'Game Records'!$U477&lt;&gt;"Free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Game",OR('Game Records'!$D478="",LOWER('Game Records'!$D478&amp;"")="n/a")),"Entry Mode; ","")&amp;IF(AND('Game Records'!$U478&lt;&gt;"Subscription",'Game Records'!$U478&lt;&gt;"Free Game",OR('Game Records'!$E478="",LOWER('Game Records'!$E478&amp;"")="n/a")),"Game Type; ","")&amp;IF('Game Records'!$F478="","Payment Type; ","")&amp;IF(AND('Game Records'!$U478&lt;&gt;"Subscription",'Game Records'!$U478&lt;&gt;"Free Game",'Game Records'!$G478=""),"Gross Pot; ","")&amp;IF(AND('Game Records'!$U478&lt;&gt;"Free Game",'Game Records'!$H478=""),"Entry Fee; ","")&amp;IF(AND('Game Records'!$U478&lt;&gt;"Subscription",'Game Records'!$U478&lt;&gt;"Free Game",'Game Records'!$I478=""),"Eligible Players; ","")&amp;IF(AND('Game Records'!$U478&lt;&gt;"Subscription",'Game Records'!$U478&lt;&gt;"Free Game",'Game Records'!$J478=""),"Total Players; ","")&amp;IF(AND(LOWER('Game Records'!$D478&amp;"")="finalized",LOWER('Game Records'!$L478&amp;"")&lt;&gt;"yes",'Game Records'!$U478&lt;&gt;"Subscription",'Game Records'!$U478&lt;&gt;"Free Game",'Game Records'!$K478=""),"Final Earned; ","")&amp;IF(AND(LOWER('Game Records'!$D478&amp;"")="finalized",'Game Records'!$U478&lt;&gt;"Subscription",'Game Records'!$U478&lt;&gt;"Free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Game",OR('Game Records'!$D479="",LOWER('Game Records'!$D479&amp;"")="n/a")),"Entry Mode; ","")&amp;IF(AND('Game Records'!$U479&lt;&gt;"Subscription",'Game Records'!$U479&lt;&gt;"Free Game",OR('Game Records'!$E479="",LOWER('Game Records'!$E479&amp;"")="n/a")),"Game Type; ","")&amp;IF('Game Records'!$F479="","Payment Type; ","")&amp;IF(AND('Game Records'!$U479&lt;&gt;"Subscription",'Game Records'!$U479&lt;&gt;"Free Game",'Game Records'!$G479=""),"Gross Pot; ","")&amp;IF(AND('Game Records'!$U479&lt;&gt;"Free Game",'Game Records'!$H479=""),"Entry Fee; ","")&amp;IF(AND('Game Records'!$U479&lt;&gt;"Subscription",'Game Records'!$U479&lt;&gt;"Free Game",'Game Records'!$I479=""),"Eligible Players; ","")&amp;IF(AND('Game Records'!$U479&lt;&gt;"Subscription",'Game Records'!$U479&lt;&gt;"Free Game",'Game Records'!$J479=""),"Total Players; ","")&amp;IF(AND(LOWER('Game Records'!$D479&amp;"")="finalized",LOWER('Game Records'!$L479&amp;"")&lt;&gt;"yes",'Game Records'!$U479&lt;&gt;"Subscription",'Game Records'!$U479&lt;&gt;"Free Game",'Game Records'!$K479=""),"Final Earned; ","")&amp;IF(AND(LOWER('Game Records'!$D479&amp;"")="finalized",'Game Records'!$U479&lt;&gt;"Subscription",'Game Records'!$U479&lt;&gt;"Free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Game",OR('Game Records'!$D480="",LOWER('Game Records'!$D480&amp;"")="n/a")),"Entry Mode; ","")&amp;IF(AND('Game Records'!$U480&lt;&gt;"Subscription",'Game Records'!$U480&lt;&gt;"Free Game",OR('Game Records'!$E480="",LOWER('Game Records'!$E480&amp;"")="n/a")),"Game Type; ","")&amp;IF('Game Records'!$F480="","Payment Type; ","")&amp;IF(AND('Game Records'!$U480&lt;&gt;"Subscription",'Game Records'!$U480&lt;&gt;"Free Game",'Game Records'!$G480=""),"Gross Pot; ","")&amp;IF(AND('Game Records'!$U480&lt;&gt;"Free Game",'Game Records'!$H480=""),"Entry Fee; ","")&amp;IF(AND('Game Records'!$U480&lt;&gt;"Subscription",'Game Records'!$U480&lt;&gt;"Free Game",'Game Records'!$I480=""),"Eligible Players; ","")&amp;IF(AND('Game Records'!$U480&lt;&gt;"Subscription",'Game Records'!$U480&lt;&gt;"Free Game",'Game Records'!$J480=""),"Total Players; ","")&amp;IF(AND(LOWER('Game Records'!$D480&amp;"")="finalized",LOWER('Game Records'!$L480&amp;"")&lt;&gt;"yes",'Game Records'!$U480&lt;&gt;"Subscription",'Game Records'!$U480&lt;&gt;"Free Game",'Game Records'!$K480=""),"Final Earned; ","")&amp;IF(AND(LOWER('Game Records'!$D480&amp;"")="finalized",'Game Records'!$U480&lt;&gt;"Subscription",'Game Records'!$U480&lt;&gt;"Free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Game",OR('Game Records'!$D481="",LOWER('Game Records'!$D481&amp;"")="n/a")),"Entry Mode; ","")&amp;IF(AND('Game Records'!$U481&lt;&gt;"Subscription",'Game Records'!$U481&lt;&gt;"Free Game",OR('Game Records'!$E481="",LOWER('Game Records'!$E481&amp;"")="n/a")),"Game Type; ","")&amp;IF('Game Records'!$F481="","Payment Type; ","")&amp;IF(AND('Game Records'!$U481&lt;&gt;"Subscription",'Game Records'!$U481&lt;&gt;"Free Game",'Game Records'!$G481=""),"Gross Pot; ","")&amp;IF(AND('Game Records'!$U481&lt;&gt;"Free Game",'Game Records'!$H481=""),"Entry Fee; ","")&amp;IF(AND('Game Records'!$U481&lt;&gt;"Subscription",'Game Records'!$U481&lt;&gt;"Free Game",'Game Records'!$I481=""),"Eligible Players; ","")&amp;IF(AND('Game Records'!$U481&lt;&gt;"Subscription",'Game Records'!$U481&lt;&gt;"Free Game",'Game Records'!$J481=""),"Total Players; ","")&amp;IF(AND(LOWER('Game Records'!$D481&amp;"")="finalized",LOWER('Game Records'!$L481&amp;"")&lt;&gt;"yes",'Game Records'!$U481&lt;&gt;"Subscription",'Game Records'!$U481&lt;&gt;"Free Game",'Game Records'!$K481=""),"Final Earned; ","")&amp;IF(AND(LOWER('Game Records'!$D481&amp;"")="finalized",'Game Records'!$U481&lt;&gt;"Subscription",'Game Records'!$U481&lt;&gt;"Free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Game",OR('Game Records'!$D482="",LOWER('Game Records'!$D482&amp;"")="n/a")),"Entry Mode; ","")&amp;IF(AND('Game Records'!$U482&lt;&gt;"Subscription",'Game Records'!$U482&lt;&gt;"Free Game",OR('Game Records'!$E482="",LOWER('Game Records'!$E482&amp;"")="n/a")),"Game Type; ","")&amp;IF('Game Records'!$F482="","Payment Type; ","")&amp;IF(AND('Game Records'!$U482&lt;&gt;"Subscription",'Game Records'!$U482&lt;&gt;"Free Game",'Game Records'!$G482=""),"Gross Pot; ","")&amp;IF(AND('Game Records'!$U482&lt;&gt;"Free Game",'Game Records'!$H482=""),"Entry Fee; ","")&amp;IF(AND('Game Records'!$U482&lt;&gt;"Subscription",'Game Records'!$U482&lt;&gt;"Free Game",'Game Records'!$I482=""),"Eligible Players; ","")&amp;IF(AND('Game Records'!$U482&lt;&gt;"Subscription",'Game Records'!$U482&lt;&gt;"Free Game",'Game Records'!$J482=""),"Total Players; ","")&amp;IF(AND(LOWER('Game Records'!$D482&amp;"")="finalized",LOWER('Game Records'!$L482&amp;"")&lt;&gt;"yes",'Game Records'!$U482&lt;&gt;"Subscription",'Game Records'!$U482&lt;&gt;"Free Game",'Game Records'!$K482=""),"Final Earned; ","")&amp;IF(AND(LOWER('Game Records'!$D482&amp;"")="finalized",'Game Records'!$U482&lt;&gt;"Subscription",'Game Records'!$U482&lt;&gt;"Free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Game",OR('Game Records'!$D483="",LOWER('Game Records'!$D483&amp;"")="n/a")),"Entry Mode; ","")&amp;IF(AND('Game Records'!$U483&lt;&gt;"Subscription",'Game Records'!$U483&lt;&gt;"Free Game",OR('Game Records'!$E483="",LOWER('Game Records'!$E483&amp;"")="n/a")),"Game Type; ","")&amp;IF('Game Records'!$F483="","Payment Type; ","")&amp;IF(AND('Game Records'!$U483&lt;&gt;"Subscription",'Game Records'!$U483&lt;&gt;"Free Game",'Game Records'!$G483=""),"Gross Pot; ","")&amp;IF(AND('Game Records'!$U483&lt;&gt;"Free Game",'Game Records'!$H483=""),"Entry Fee; ","")&amp;IF(AND('Game Records'!$U483&lt;&gt;"Subscription",'Game Records'!$U483&lt;&gt;"Free Game",'Game Records'!$I483=""),"Eligible Players; ","")&amp;IF(AND('Game Records'!$U483&lt;&gt;"Subscription",'Game Records'!$U483&lt;&gt;"Free Game",'Game Records'!$J483=""),"Total Players; ","")&amp;IF(AND(LOWER('Game Records'!$D483&amp;"")="finalized",LOWER('Game Records'!$L483&amp;"")&lt;&gt;"yes",'Game Records'!$U483&lt;&gt;"Subscription",'Game Records'!$U483&lt;&gt;"Free Game",'Game Records'!$K483=""),"Final Earned; ","")&amp;IF(AND(LOWER('Game Records'!$D483&amp;"")="finalized",'Game Records'!$U483&lt;&gt;"Subscription",'Game Records'!$U483&lt;&gt;"Free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Game",OR('Game Records'!$D484="",LOWER('Game Records'!$D484&amp;"")="n/a")),"Entry Mode; ","")&amp;IF(AND('Game Records'!$U484&lt;&gt;"Subscription",'Game Records'!$U484&lt;&gt;"Free Game",OR('Game Records'!$E484="",LOWER('Game Records'!$E484&amp;"")="n/a")),"Game Type; ","")&amp;IF('Game Records'!$F484="","Payment Type; ","")&amp;IF(AND('Game Records'!$U484&lt;&gt;"Subscription",'Game Records'!$U484&lt;&gt;"Free Game",'Game Records'!$G484=""),"Gross Pot; ","")&amp;IF(AND('Game Records'!$U484&lt;&gt;"Free Game",'Game Records'!$H484=""),"Entry Fee; ","")&amp;IF(AND('Game Records'!$U484&lt;&gt;"Subscription",'Game Records'!$U484&lt;&gt;"Free Game",'Game Records'!$I484=""),"Eligible Players; ","")&amp;IF(AND('Game Records'!$U484&lt;&gt;"Subscription",'Game Records'!$U484&lt;&gt;"Free Game",'Game Records'!$J484=""),"Total Players; ","")&amp;IF(AND(LOWER('Game Records'!$D484&amp;"")="finalized",LOWER('Game Records'!$L484&amp;"")&lt;&gt;"yes",'Game Records'!$U484&lt;&gt;"Subscription",'Game Records'!$U484&lt;&gt;"Free Game",'Game Records'!$K484=""),"Final Earned; ","")&amp;IF(AND(LOWER('Game Records'!$D484&amp;"")="finalized",'Game Records'!$U484&lt;&gt;"Subscription",'Game Records'!$U484&lt;&gt;"Free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Game",OR('Game Records'!$D485="",LOWER('Game Records'!$D485&amp;"")="n/a")),"Entry Mode; ","")&amp;IF(AND('Game Records'!$U485&lt;&gt;"Subscription",'Game Records'!$U485&lt;&gt;"Free Game",OR('Game Records'!$E485="",LOWER('Game Records'!$E485&amp;"")="n/a")),"Game Type; ","")&amp;IF('Game Records'!$F485="","Payment Type; ","")&amp;IF(AND('Game Records'!$U485&lt;&gt;"Subscription",'Game Records'!$U485&lt;&gt;"Free Game",'Game Records'!$G485=""),"Gross Pot; ","")&amp;IF(AND('Game Records'!$U485&lt;&gt;"Free Game",'Game Records'!$H485=""),"Entry Fee; ","")&amp;IF(AND('Game Records'!$U485&lt;&gt;"Subscription",'Game Records'!$U485&lt;&gt;"Free Game",'Game Records'!$I485=""),"Eligible Players; ","")&amp;IF(AND('Game Records'!$U485&lt;&gt;"Subscription",'Game Records'!$U485&lt;&gt;"Free Game",'Game Records'!$J485=""),"Total Players; ","")&amp;IF(AND(LOWER('Game Records'!$D485&amp;"")="finalized",LOWER('Game Records'!$L485&amp;"")&lt;&gt;"yes",'Game Records'!$U485&lt;&gt;"Subscription",'Game Records'!$U485&lt;&gt;"Free Game",'Game Records'!$K485=""),"Final Earned; ","")&amp;IF(AND(LOWER('Game Records'!$D485&amp;"")="finalized",'Game Records'!$U485&lt;&gt;"Subscription",'Game Records'!$U485&lt;&gt;"Free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Game",OR('Game Records'!$D486="",LOWER('Game Records'!$D486&amp;"")="n/a")),"Entry Mode; ","")&amp;IF(AND('Game Records'!$U486&lt;&gt;"Subscription",'Game Records'!$U486&lt;&gt;"Free Game",OR('Game Records'!$E486="",LOWER('Game Records'!$E486&amp;"")="n/a")),"Game Type; ","")&amp;IF('Game Records'!$F486="","Payment Type; ","")&amp;IF(AND('Game Records'!$U486&lt;&gt;"Subscription",'Game Records'!$U486&lt;&gt;"Free Game",'Game Records'!$G486=""),"Gross Pot; ","")&amp;IF(AND('Game Records'!$U486&lt;&gt;"Free Game",'Game Records'!$H486=""),"Entry Fee; ","")&amp;IF(AND('Game Records'!$U486&lt;&gt;"Subscription",'Game Records'!$U486&lt;&gt;"Free Game",'Game Records'!$I486=""),"Eligible Players; ","")&amp;IF(AND('Game Records'!$U486&lt;&gt;"Subscription",'Game Records'!$U486&lt;&gt;"Free Game",'Game Records'!$J486=""),"Total Players; ","")&amp;IF(AND(LOWER('Game Records'!$D486&amp;"")="finalized",LOWER('Game Records'!$L486&amp;"")&lt;&gt;"yes",'Game Records'!$U486&lt;&gt;"Subscription",'Game Records'!$U486&lt;&gt;"Free Game",'Game Records'!$K486=""),"Final Earned; ","")&amp;IF(AND(LOWER('Game Records'!$D486&amp;"")="finalized",'Game Records'!$U486&lt;&gt;"Subscription",'Game Records'!$U486&lt;&gt;"Free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Game",OR('Game Records'!$D487="",LOWER('Game Records'!$D487&amp;"")="n/a")),"Entry Mode; ","")&amp;IF(AND('Game Records'!$U487&lt;&gt;"Subscription",'Game Records'!$U487&lt;&gt;"Free Game",OR('Game Records'!$E487="",LOWER('Game Records'!$E487&amp;"")="n/a")),"Game Type; ","")&amp;IF('Game Records'!$F487="","Payment Type; ","")&amp;IF(AND('Game Records'!$U487&lt;&gt;"Subscription",'Game Records'!$U487&lt;&gt;"Free Game",'Game Records'!$G487=""),"Gross Pot; ","")&amp;IF(AND('Game Records'!$U487&lt;&gt;"Free Game",'Game Records'!$H487=""),"Entry Fee; ","")&amp;IF(AND('Game Records'!$U487&lt;&gt;"Subscription",'Game Records'!$U487&lt;&gt;"Free Game",'Game Records'!$I487=""),"Eligible Players; ","")&amp;IF(AND('Game Records'!$U487&lt;&gt;"Subscription",'Game Records'!$U487&lt;&gt;"Free Game",'Game Records'!$J487=""),"Total Players; ","")&amp;IF(AND(LOWER('Game Records'!$D487&amp;"")="finalized",LOWER('Game Records'!$L487&amp;"")&lt;&gt;"yes",'Game Records'!$U487&lt;&gt;"Subscription",'Game Records'!$U487&lt;&gt;"Free Game",'Game Records'!$K487=""),"Final Earned; ","")&amp;IF(AND(LOWER('Game Records'!$D487&amp;"")="finalized",'Game Records'!$U487&lt;&gt;"Subscription",'Game Records'!$U487&lt;&gt;"Free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Game",OR('Game Records'!$D488="",LOWER('Game Records'!$D488&amp;"")="n/a")),"Entry Mode; ","")&amp;IF(AND('Game Records'!$U488&lt;&gt;"Subscription",'Game Records'!$U488&lt;&gt;"Free Game",OR('Game Records'!$E488="",LOWER('Game Records'!$E488&amp;"")="n/a")),"Game Type; ","")&amp;IF('Game Records'!$F488="","Payment Type; ","")&amp;IF(AND('Game Records'!$U488&lt;&gt;"Subscription",'Game Records'!$U488&lt;&gt;"Free Game",'Game Records'!$G488=""),"Gross Pot; ","")&amp;IF(AND('Game Records'!$U488&lt;&gt;"Free Game",'Game Records'!$H488=""),"Entry Fee; ","")&amp;IF(AND('Game Records'!$U488&lt;&gt;"Subscription",'Game Records'!$U488&lt;&gt;"Free Game",'Game Records'!$I488=""),"Eligible Players; ","")&amp;IF(AND('Game Records'!$U488&lt;&gt;"Subscription",'Game Records'!$U488&lt;&gt;"Free Game",'Game Records'!$J488=""),"Total Players; ","")&amp;IF(AND(LOWER('Game Records'!$D488&amp;"")="finalized",LOWER('Game Records'!$L488&amp;"")&lt;&gt;"yes",'Game Records'!$U488&lt;&gt;"Subscription",'Game Records'!$U488&lt;&gt;"Free Game",'Game Records'!$K488=""),"Final Earned; ","")&amp;IF(AND(LOWER('Game Records'!$D488&amp;"")="finalized",'Game Records'!$U488&lt;&gt;"Subscription",'Game Records'!$U488&lt;&gt;"Free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Game",OR('Game Records'!$D489="",LOWER('Game Records'!$D489&amp;"")="n/a")),"Entry Mode; ","")&amp;IF(AND('Game Records'!$U489&lt;&gt;"Subscription",'Game Records'!$U489&lt;&gt;"Free Game",OR('Game Records'!$E489="",LOWER('Game Records'!$E489&amp;"")="n/a")),"Game Type; ","")&amp;IF('Game Records'!$F489="","Payment Type; ","")&amp;IF(AND('Game Records'!$U489&lt;&gt;"Subscription",'Game Records'!$U489&lt;&gt;"Free Game",'Game Records'!$G489=""),"Gross Pot; ","")&amp;IF(AND('Game Records'!$U489&lt;&gt;"Free Game",'Game Records'!$H489=""),"Entry Fee; ","")&amp;IF(AND('Game Records'!$U489&lt;&gt;"Subscription",'Game Records'!$U489&lt;&gt;"Free Game",'Game Records'!$I489=""),"Eligible Players; ","")&amp;IF(AND('Game Records'!$U489&lt;&gt;"Subscription",'Game Records'!$U489&lt;&gt;"Free Game",'Game Records'!$J489=""),"Total Players; ","")&amp;IF(AND(LOWER('Game Records'!$D489&amp;"")="finalized",LOWER('Game Records'!$L489&amp;"")&lt;&gt;"yes",'Game Records'!$U489&lt;&gt;"Subscription",'Game Records'!$U489&lt;&gt;"Free Game",'Game Records'!$K489=""),"Final Earned; ","")&amp;IF(AND(LOWER('Game Records'!$D489&amp;"")="finalized",'Game Records'!$U489&lt;&gt;"Subscription",'Game Records'!$U489&lt;&gt;"Free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Game",OR('Game Records'!$D490="",LOWER('Game Records'!$D490&amp;"")="n/a")),"Entry Mode; ","")&amp;IF(AND('Game Records'!$U490&lt;&gt;"Subscription",'Game Records'!$U490&lt;&gt;"Free Game",OR('Game Records'!$E490="",LOWER('Game Records'!$E490&amp;"")="n/a")),"Game Type; ","")&amp;IF('Game Records'!$F490="","Payment Type; ","")&amp;IF(AND('Game Records'!$U490&lt;&gt;"Subscription",'Game Records'!$U490&lt;&gt;"Free Game",'Game Records'!$G490=""),"Gross Pot; ","")&amp;IF(AND('Game Records'!$U490&lt;&gt;"Free Game",'Game Records'!$H490=""),"Entry Fee; ","")&amp;IF(AND('Game Records'!$U490&lt;&gt;"Subscription",'Game Records'!$U490&lt;&gt;"Free Game",'Game Records'!$I490=""),"Eligible Players; ","")&amp;IF(AND('Game Records'!$U490&lt;&gt;"Subscription",'Game Records'!$U490&lt;&gt;"Free Game",'Game Records'!$J490=""),"Total Players; ","")&amp;IF(AND(LOWER('Game Records'!$D490&amp;"")="finalized",LOWER('Game Records'!$L490&amp;"")&lt;&gt;"yes",'Game Records'!$U490&lt;&gt;"Subscription",'Game Records'!$U490&lt;&gt;"Free Game",'Game Records'!$K490=""),"Final Earned; ","")&amp;IF(AND(LOWER('Game Records'!$D490&amp;"")="finalized",'Game Records'!$U490&lt;&gt;"Subscription",'Game Records'!$U490&lt;&gt;"Free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Game",OR('Game Records'!$D491="",LOWER('Game Records'!$D491&amp;"")="n/a")),"Entry Mode; ","")&amp;IF(AND('Game Records'!$U491&lt;&gt;"Subscription",'Game Records'!$U491&lt;&gt;"Free Game",OR('Game Records'!$E491="",LOWER('Game Records'!$E491&amp;"")="n/a")),"Game Type; ","")&amp;IF('Game Records'!$F491="","Payment Type; ","")&amp;IF(AND('Game Records'!$U491&lt;&gt;"Subscription",'Game Records'!$U491&lt;&gt;"Free Game",'Game Records'!$G491=""),"Gross Pot; ","")&amp;IF(AND('Game Records'!$U491&lt;&gt;"Free Game",'Game Records'!$H491=""),"Entry Fee; ","")&amp;IF(AND('Game Records'!$U491&lt;&gt;"Subscription",'Game Records'!$U491&lt;&gt;"Free Game",'Game Records'!$I491=""),"Eligible Players; ","")&amp;IF(AND('Game Records'!$U491&lt;&gt;"Subscription",'Game Records'!$U491&lt;&gt;"Free Game",'Game Records'!$J491=""),"Total Players; ","")&amp;IF(AND(LOWER('Game Records'!$D491&amp;"")="finalized",LOWER('Game Records'!$L491&amp;"")&lt;&gt;"yes",'Game Records'!$U491&lt;&gt;"Subscription",'Game Records'!$U491&lt;&gt;"Free Game",'Game Records'!$K491=""),"Final Earned; ","")&amp;IF(AND(LOWER('Game Records'!$D491&amp;"")="finalized",'Game Records'!$U491&lt;&gt;"Subscription",'Game Records'!$U491&lt;&gt;"Free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Game",OR('Game Records'!$D492="",LOWER('Game Records'!$D492&amp;"")="n/a")),"Entry Mode; ","")&amp;IF(AND('Game Records'!$U492&lt;&gt;"Subscription",'Game Records'!$U492&lt;&gt;"Free Game",OR('Game Records'!$E492="",LOWER('Game Records'!$E492&amp;"")="n/a")),"Game Type; ","")&amp;IF('Game Records'!$F492="","Payment Type; ","")&amp;IF(AND('Game Records'!$U492&lt;&gt;"Subscription",'Game Records'!$U492&lt;&gt;"Free Game",'Game Records'!$G492=""),"Gross Pot; ","")&amp;IF(AND('Game Records'!$U492&lt;&gt;"Free Game",'Game Records'!$H492=""),"Entry Fee; ","")&amp;IF(AND('Game Records'!$U492&lt;&gt;"Subscription",'Game Records'!$U492&lt;&gt;"Free Game",'Game Records'!$I492=""),"Eligible Players; ","")&amp;IF(AND('Game Records'!$U492&lt;&gt;"Subscription",'Game Records'!$U492&lt;&gt;"Free Game",'Game Records'!$J492=""),"Total Players; ","")&amp;IF(AND(LOWER('Game Records'!$D492&amp;"")="finalized",LOWER('Game Records'!$L492&amp;"")&lt;&gt;"yes",'Game Records'!$U492&lt;&gt;"Subscription",'Game Records'!$U492&lt;&gt;"Free Game",'Game Records'!$K492=""),"Final Earned; ","")&amp;IF(AND(LOWER('Game Records'!$D492&amp;"")="finalized",'Game Records'!$U492&lt;&gt;"Subscription",'Game Records'!$U492&lt;&gt;"Free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Game",OR('Game Records'!$D493="",LOWER('Game Records'!$D493&amp;"")="n/a")),"Entry Mode; ","")&amp;IF(AND('Game Records'!$U493&lt;&gt;"Subscription",'Game Records'!$U493&lt;&gt;"Free Game",OR('Game Records'!$E493="",LOWER('Game Records'!$E493&amp;"")="n/a")),"Game Type; ","")&amp;IF('Game Records'!$F493="","Payment Type; ","")&amp;IF(AND('Game Records'!$U493&lt;&gt;"Subscription",'Game Records'!$U493&lt;&gt;"Free Game",'Game Records'!$G493=""),"Gross Pot; ","")&amp;IF(AND('Game Records'!$U493&lt;&gt;"Free Game",'Game Records'!$H493=""),"Entry Fee; ","")&amp;IF(AND('Game Records'!$U493&lt;&gt;"Subscription",'Game Records'!$U493&lt;&gt;"Free Game",'Game Records'!$I493=""),"Eligible Players; ","")&amp;IF(AND('Game Records'!$U493&lt;&gt;"Subscription",'Game Records'!$U493&lt;&gt;"Free Game",'Game Records'!$J493=""),"Total Players; ","")&amp;IF(AND(LOWER('Game Records'!$D493&amp;"")="finalized",LOWER('Game Records'!$L493&amp;"")&lt;&gt;"yes",'Game Records'!$U493&lt;&gt;"Subscription",'Game Records'!$U493&lt;&gt;"Free Game",'Game Records'!$K493=""),"Final Earned; ","")&amp;IF(AND(LOWER('Game Records'!$D493&amp;"")="finalized",'Game Records'!$U493&lt;&gt;"Subscription",'Game Records'!$U493&lt;&gt;"Free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Game",OR('Game Records'!$D494="",LOWER('Game Records'!$D494&amp;"")="n/a")),"Entry Mode; ","")&amp;IF(AND('Game Records'!$U494&lt;&gt;"Subscription",'Game Records'!$U494&lt;&gt;"Free Game",OR('Game Records'!$E494="",LOWER('Game Records'!$E494&amp;"")="n/a")),"Game Type; ","")&amp;IF('Game Records'!$F494="","Payment Type; ","")&amp;IF(AND('Game Records'!$U494&lt;&gt;"Subscription",'Game Records'!$U494&lt;&gt;"Free Game",'Game Records'!$G494=""),"Gross Pot; ","")&amp;IF(AND('Game Records'!$U494&lt;&gt;"Free Game",'Game Records'!$H494=""),"Entry Fee; ","")&amp;IF(AND('Game Records'!$U494&lt;&gt;"Subscription",'Game Records'!$U494&lt;&gt;"Free Game",'Game Records'!$I494=""),"Eligible Players; ","")&amp;IF(AND('Game Records'!$U494&lt;&gt;"Subscription",'Game Records'!$U494&lt;&gt;"Free Game",'Game Records'!$J494=""),"Total Players; ","")&amp;IF(AND(LOWER('Game Records'!$D494&amp;"")="finalized",LOWER('Game Records'!$L494&amp;"")&lt;&gt;"yes",'Game Records'!$U494&lt;&gt;"Subscription",'Game Records'!$U494&lt;&gt;"Free Game",'Game Records'!$K494=""),"Final Earned; ","")&amp;IF(AND(LOWER('Game Records'!$D494&amp;"")="finalized",'Game Records'!$U494&lt;&gt;"Subscription",'Game Records'!$U494&lt;&gt;"Free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Game",OR('Game Records'!$D495="",LOWER('Game Records'!$D495&amp;"")="n/a")),"Entry Mode; ","")&amp;IF(AND('Game Records'!$U495&lt;&gt;"Subscription",'Game Records'!$U495&lt;&gt;"Free Game",OR('Game Records'!$E495="",LOWER('Game Records'!$E495&amp;"")="n/a")),"Game Type; ","")&amp;IF('Game Records'!$F495="","Payment Type; ","")&amp;IF(AND('Game Records'!$U495&lt;&gt;"Subscription",'Game Records'!$U495&lt;&gt;"Free Game",'Game Records'!$G495=""),"Gross Pot; ","")&amp;IF(AND('Game Records'!$U495&lt;&gt;"Free Game",'Game Records'!$H495=""),"Entry Fee; ","")&amp;IF(AND('Game Records'!$U495&lt;&gt;"Subscription",'Game Records'!$U495&lt;&gt;"Free Game",'Game Records'!$I495=""),"Eligible Players; ","")&amp;IF(AND('Game Records'!$U495&lt;&gt;"Subscription",'Game Records'!$U495&lt;&gt;"Free Game",'Game Records'!$J495=""),"Total Players; ","")&amp;IF(AND(LOWER('Game Records'!$D495&amp;"")="finalized",LOWER('Game Records'!$L495&amp;"")&lt;&gt;"yes",'Game Records'!$U495&lt;&gt;"Subscription",'Game Records'!$U495&lt;&gt;"Free Game",'Game Records'!$K495=""),"Final Earned; ","")&amp;IF(AND(LOWER('Game Records'!$D495&amp;"")="finalized",'Game Records'!$U495&lt;&gt;"Subscription",'Game Records'!$U495&lt;&gt;"Free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Game",OR('Game Records'!$D496="",LOWER('Game Records'!$D496&amp;"")="n/a")),"Entry Mode; ","")&amp;IF(AND('Game Records'!$U496&lt;&gt;"Subscription",'Game Records'!$U496&lt;&gt;"Free Game",OR('Game Records'!$E496="",LOWER('Game Records'!$E496&amp;"")="n/a")),"Game Type; ","")&amp;IF('Game Records'!$F496="","Payment Type; ","")&amp;IF(AND('Game Records'!$U496&lt;&gt;"Subscription",'Game Records'!$U496&lt;&gt;"Free Game",'Game Records'!$G496=""),"Gross Pot; ","")&amp;IF(AND('Game Records'!$U496&lt;&gt;"Free Game",'Game Records'!$H496=""),"Entry Fee; ","")&amp;IF(AND('Game Records'!$U496&lt;&gt;"Subscription",'Game Records'!$U496&lt;&gt;"Free Game",'Game Records'!$I496=""),"Eligible Players; ","")&amp;IF(AND('Game Records'!$U496&lt;&gt;"Subscription",'Game Records'!$U496&lt;&gt;"Free Game",'Game Records'!$J496=""),"Total Players; ","")&amp;IF(AND(LOWER('Game Records'!$D496&amp;"")="finalized",LOWER('Game Records'!$L496&amp;"")&lt;&gt;"yes",'Game Records'!$U496&lt;&gt;"Subscription",'Game Records'!$U496&lt;&gt;"Free Game",'Game Records'!$K496=""),"Final Earned; ","")&amp;IF(AND(LOWER('Game Records'!$D496&amp;"")="finalized",'Game Records'!$U496&lt;&gt;"Subscription",'Game Records'!$U496&lt;&gt;"Free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Game",OR('Game Records'!$D497="",LOWER('Game Records'!$D497&amp;"")="n/a")),"Entry Mode; ","")&amp;IF(AND('Game Records'!$U497&lt;&gt;"Subscription",'Game Records'!$U497&lt;&gt;"Free Game",OR('Game Records'!$E497="",LOWER('Game Records'!$E497&amp;"")="n/a")),"Game Type; ","")&amp;IF('Game Records'!$F497="","Payment Type; ","")&amp;IF(AND('Game Records'!$U497&lt;&gt;"Subscription",'Game Records'!$U497&lt;&gt;"Free Game",'Game Records'!$G497=""),"Gross Pot; ","")&amp;IF(AND('Game Records'!$U497&lt;&gt;"Free Game",'Game Records'!$H497=""),"Entry Fee; ","")&amp;IF(AND('Game Records'!$U497&lt;&gt;"Subscription",'Game Records'!$U497&lt;&gt;"Free Game",'Game Records'!$I497=""),"Eligible Players; ","")&amp;IF(AND('Game Records'!$U497&lt;&gt;"Subscription",'Game Records'!$U497&lt;&gt;"Free Game",'Game Records'!$J497=""),"Total Players; ","")&amp;IF(AND(LOWER('Game Records'!$D497&amp;"")="finalized",LOWER('Game Records'!$L497&amp;"")&lt;&gt;"yes",'Game Records'!$U497&lt;&gt;"Subscription",'Game Records'!$U497&lt;&gt;"Free Game",'Game Records'!$K497=""),"Final Earned; ","")&amp;IF(AND(LOWER('Game Records'!$D497&amp;"")="finalized",'Game Records'!$U497&lt;&gt;"Subscription",'Game Records'!$U497&lt;&gt;"Free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Game",OR('Game Records'!$D498="",LOWER('Game Records'!$D498&amp;"")="n/a")),"Entry Mode; ","")&amp;IF(AND('Game Records'!$U498&lt;&gt;"Subscription",'Game Records'!$U498&lt;&gt;"Free Game",OR('Game Records'!$E498="",LOWER('Game Records'!$E498&amp;"")="n/a")),"Game Type; ","")&amp;IF('Game Records'!$F498="","Payment Type; ","")&amp;IF(AND('Game Records'!$U498&lt;&gt;"Subscription",'Game Records'!$U498&lt;&gt;"Free Game",'Game Records'!$G498=""),"Gross Pot; ","")&amp;IF(AND('Game Records'!$U498&lt;&gt;"Free Game",'Game Records'!$H498=""),"Entry Fee; ","")&amp;IF(AND('Game Records'!$U498&lt;&gt;"Subscription",'Game Records'!$U498&lt;&gt;"Free Game",'Game Records'!$I498=""),"Eligible Players; ","")&amp;IF(AND('Game Records'!$U498&lt;&gt;"Subscription",'Game Records'!$U498&lt;&gt;"Free Game",'Game Records'!$J498=""),"Total Players; ","")&amp;IF(AND(LOWER('Game Records'!$D498&amp;"")="finalized",LOWER('Game Records'!$L498&amp;"")&lt;&gt;"yes",'Game Records'!$U498&lt;&gt;"Subscription",'Game Records'!$U498&lt;&gt;"Free Game",'Game Records'!$K498=""),"Final Earned; ","")&amp;IF(AND(LOWER('Game Records'!$D498&amp;"")="finalized",'Game Records'!$U498&lt;&gt;"Subscription",'Game Records'!$U498&lt;&gt;"Free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Game",OR('Game Records'!$D499="",LOWER('Game Records'!$D499&amp;"")="n/a")),"Entry Mode; ","")&amp;IF(AND('Game Records'!$U499&lt;&gt;"Subscription",'Game Records'!$U499&lt;&gt;"Free Game",OR('Game Records'!$E499="",LOWER('Game Records'!$E499&amp;"")="n/a")),"Game Type; ","")&amp;IF('Game Records'!$F499="","Payment Type; ","")&amp;IF(AND('Game Records'!$U499&lt;&gt;"Subscription",'Game Records'!$U499&lt;&gt;"Free Game",'Game Records'!$G499=""),"Gross Pot; ","")&amp;IF(AND('Game Records'!$U499&lt;&gt;"Free Game",'Game Records'!$H499=""),"Entry Fee; ","")&amp;IF(AND('Game Records'!$U499&lt;&gt;"Subscription",'Game Records'!$U499&lt;&gt;"Free Game",'Game Records'!$I499=""),"Eligible Players; ","")&amp;IF(AND('Game Records'!$U499&lt;&gt;"Subscription",'Game Records'!$U499&lt;&gt;"Free Game",'Game Records'!$J499=""),"Total Players; ","")&amp;IF(AND(LOWER('Game Records'!$D499&amp;"")="finalized",LOWER('Game Records'!$L499&amp;"")&lt;&gt;"yes",'Game Records'!$U499&lt;&gt;"Subscription",'Game Records'!$U499&lt;&gt;"Free Game",'Game Records'!$K499=""),"Final Earned; ","")&amp;IF(AND(LOWER('Game Records'!$D499&amp;"")="finalized",'Game Records'!$U499&lt;&gt;"Subscription",'Game Records'!$U499&lt;&gt;"Free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Game",OR('Game Records'!$D500="",LOWER('Game Records'!$D500&amp;"")="n/a")),"Entry Mode; ","")&amp;IF(AND('Game Records'!$U500&lt;&gt;"Subscription",'Game Records'!$U500&lt;&gt;"Free Game",OR('Game Records'!$E500="",LOWER('Game Records'!$E500&amp;"")="n/a")),"Game Type; ","")&amp;IF('Game Records'!$F500="","Payment Type; ","")&amp;IF(AND('Game Records'!$U500&lt;&gt;"Subscription",'Game Records'!$U500&lt;&gt;"Free Game",'Game Records'!$G500=""),"Gross Pot; ","")&amp;IF(AND('Game Records'!$U500&lt;&gt;"Free Game",'Game Records'!$H500=""),"Entry Fee; ","")&amp;IF(AND('Game Records'!$U500&lt;&gt;"Subscription",'Game Records'!$U500&lt;&gt;"Free Game",'Game Records'!$I500=""),"Eligible Players; ","")&amp;IF(AND('Game Records'!$U500&lt;&gt;"Subscription",'Game Records'!$U500&lt;&gt;"Free Game",'Game Records'!$J500=""),"Total Players; ","")&amp;IF(AND(LOWER('Game Records'!$D500&amp;"")="finalized",LOWER('Game Records'!$L500&amp;"")&lt;&gt;"yes",'Game Records'!$U500&lt;&gt;"Subscription",'Game Records'!$U500&lt;&gt;"Free Game",'Game Records'!$K500=""),"Final Earned; ","")&amp;IF(AND(LOWER('Game Records'!$D500&amp;"")="finalized",'Game Records'!$U500&lt;&gt;"Subscription",'Game Records'!$U500&lt;&gt;"Free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Game",OR('Game Records'!$D501="",LOWER('Game Records'!$D501&amp;"")="n/a")),"Entry Mode; ","")&amp;IF(AND('Game Records'!$U501&lt;&gt;"Subscription",'Game Records'!$U501&lt;&gt;"Free Game",OR('Game Records'!$E501="",LOWER('Game Records'!$E501&amp;"")="n/a")),"Game Type; ","")&amp;IF('Game Records'!$F501="","Payment Type; ","")&amp;IF(AND('Game Records'!$U501&lt;&gt;"Subscription",'Game Records'!$U501&lt;&gt;"Free Game",'Game Records'!$G501=""),"Gross Pot; ","")&amp;IF(AND('Game Records'!$U501&lt;&gt;"Free Game",'Game Records'!$H501=""),"Entry Fee; ","")&amp;IF(AND('Game Records'!$U501&lt;&gt;"Subscription",'Game Records'!$U501&lt;&gt;"Free Game",'Game Records'!$I501=""),"Eligible Players; ","")&amp;IF(AND('Game Records'!$U501&lt;&gt;"Subscription",'Game Records'!$U501&lt;&gt;"Free Game",'Game Records'!$J501=""),"Total Players; ","")&amp;IF(AND(LOWER('Game Records'!$D501&amp;"")="finalized",LOWER('Game Records'!$L501&amp;"")&lt;&gt;"yes",'Game Records'!$U501&lt;&gt;"Subscription",'Game Records'!$U501&lt;&gt;"Free Game",'Game Records'!$K501=""),"Final Earned; ","")&amp;IF(AND(LOWER('Game Records'!$D501&amp;"")="finalized",'Game Records'!$U501&lt;&gt;"Subscription",'Game Records'!$U501&lt;&gt;"Free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Game",OR('Game Records'!$D502="",LOWER('Game Records'!$D502&amp;"")="n/a")),"Entry Mode; ","")&amp;IF(AND('Game Records'!$U502&lt;&gt;"Subscription",'Game Records'!$U502&lt;&gt;"Free Game",OR('Game Records'!$E502="",LOWER('Game Records'!$E502&amp;"")="n/a")),"Game Type; ","")&amp;IF('Game Records'!$F502="","Payment Type; ","")&amp;IF(AND('Game Records'!$U502&lt;&gt;"Subscription",'Game Records'!$U502&lt;&gt;"Free Game",'Game Records'!$G502=""),"Gross Pot; ","")&amp;IF(AND('Game Records'!$U502&lt;&gt;"Free Game",'Game Records'!$H502=""),"Entry Fee; ","")&amp;IF(AND('Game Records'!$U502&lt;&gt;"Subscription",'Game Records'!$U502&lt;&gt;"Free Game",'Game Records'!$I502=""),"Eligible Players; ","")&amp;IF(AND('Game Records'!$U502&lt;&gt;"Subscription",'Game Records'!$U502&lt;&gt;"Free Game",'Game Records'!$J502=""),"Total Players; ","")&amp;IF(AND(LOWER('Game Records'!$D502&amp;"")="finalized",LOWER('Game Records'!$L502&amp;"")&lt;&gt;"yes",'Game Records'!$U502&lt;&gt;"Subscription",'Game Records'!$U502&lt;&gt;"Free Game",'Game Records'!$K502=""),"Final Earned; ","")&amp;IF(AND(LOWER('Game Records'!$D502&amp;"")="finalized",'Game Records'!$U502&lt;&gt;"Subscription",'Game Records'!$U502&lt;&gt;"Free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Game",OR('Game Records'!$D503="",LOWER('Game Records'!$D503&amp;"")="n/a")),"Entry Mode; ","")&amp;IF(AND('Game Records'!$U503&lt;&gt;"Subscription",'Game Records'!$U503&lt;&gt;"Free Game",OR('Game Records'!$E503="",LOWER('Game Records'!$E503&amp;"")="n/a")),"Game Type; ","")&amp;IF('Game Records'!$F503="","Payment Type; ","")&amp;IF(AND('Game Records'!$U503&lt;&gt;"Subscription",'Game Records'!$U503&lt;&gt;"Free Game",'Game Records'!$G503=""),"Gross Pot; ","")&amp;IF(AND('Game Records'!$U503&lt;&gt;"Free Game",'Game Records'!$H503=""),"Entry Fee; ","")&amp;IF(AND('Game Records'!$U503&lt;&gt;"Subscription",'Game Records'!$U503&lt;&gt;"Free Game",'Game Records'!$I503=""),"Eligible Players; ","")&amp;IF(AND('Game Records'!$U503&lt;&gt;"Subscription",'Game Records'!$U503&lt;&gt;"Free Game",'Game Records'!$J503=""),"Total Players; ","")&amp;IF(AND(LOWER('Game Records'!$D503&amp;"")="finalized",LOWER('Game Records'!$L503&amp;"")&lt;&gt;"yes",'Game Records'!$U503&lt;&gt;"Subscription",'Game Records'!$U503&lt;&gt;"Free Game",'Game Records'!$K503=""),"Final Earned; ","")&amp;IF(AND(LOWER('Game Records'!$D503&amp;"")="finalized",'Game Records'!$U503&lt;&gt;"Subscription",'Game Records'!$U503&lt;&gt;"Free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Game",OR('Game Records'!$D504="",LOWER('Game Records'!$D504&amp;"")="n/a")),"Entry Mode; ","")&amp;IF(AND('Game Records'!$U504&lt;&gt;"Subscription",'Game Records'!$U504&lt;&gt;"Free Game",OR('Game Records'!$E504="",LOWER('Game Records'!$E504&amp;"")="n/a")),"Game Type; ","")&amp;IF('Game Records'!$F504="","Payment Type; ","")&amp;IF(AND('Game Records'!$U504&lt;&gt;"Subscription",'Game Records'!$U504&lt;&gt;"Free Game",'Game Records'!$G504=""),"Gross Pot; ","")&amp;IF(AND('Game Records'!$U504&lt;&gt;"Free Game",'Game Records'!$H504=""),"Entry Fee; ","")&amp;IF(AND('Game Records'!$U504&lt;&gt;"Subscription",'Game Records'!$U504&lt;&gt;"Free Game",'Game Records'!$I504=""),"Eligible Players; ","")&amp;IF(AND('Game Records'!$U504&lt;&gt;"Subscription",'Game Records'!$U504&lt;&gt;"Free Game",'Game Records'!$J504=""),"Total Players; ","")&amp;IF(AND(LOWER('Game Records'!$D504&amp;"")="finalized",LOWER('Game Records'!$L504&amp;"")&lt;&gt;"yes",'Game Records'!$U504&lt;&gt;"Subscription",'Game Records'!$U504&lt;&gt;"Free Game",'Game Records'!$K504=""),"Final Earned; ","")&amp;IF(AND(LOWER('Game Records'!$D504&amp;"")="finalized",'Game Records'!$U504&lt;&gt;"Subscription",'Game Records'!$U504&lt;&gt;"Free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customHeight="1">
      <x:c r="A1" s="5" t="str">
        <x:v>StepCat Live Summary Dashboard — v230</x:v>
      </x:c>
      <x:c r="B1" s="5"/>
      <x:c r="C1" s="5"/>
      <x:c r="D1" s="5"/>
      <x:c r="E1" s="5"/>
      <x:c r="F1" s="5"/>
    </x:row>
    <x:row r="2">
      <x:c r="A2"/>
      <x:c r="B2"/>
      <x:c r="C2"/>
      <x:c r="D2"/>
      <x:c r="E2"/>
      <x:c r="F2"/>
    </x:row>
    <x:row r="3" ht="38" customHeight="1">
      <x:c r="A3" s="309" t="str">
        <x:v>Game Result</x:v>
      </x:c>
      <x:c r="B3" s="309" t="str">
        <x:v>Game Count</x:v>
      </x:c>
      <x:c r="C3" s="309" t="str">
        <x:v>Share of Completed Games</x:v>
      </x:c>
      <x:c r="D3" s="309" t="str">
        <x:v>Financial Total</x:v>
      </x:c>
      <x:c r="E3" s="309" t="str">
        <x:v>Amount</x:v>
      </x:c>
      <x:c r="F3" s="309" t="str">
        <x:v>What It Represents</x:v>
      </x:c>
    </x:row>
    <x:row r="4" ht="38"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38" customHeight="1">
      <x:c r="A5" s="126" t="str">
        <x:v>Draw Games</x:v>
      </x:c>
      <x:c r="B5" s="126" t="n">
        <x:f>COUNTIF('Game Records'!$U$5:$U$504,"Draw")</x:f>
        <x:v>0</x:v>
      </x:c>
      <x:c r="C5" s="128" t="n">
        <x:f>IF($B$7=0,0,B5/$B$7)</x:f>
        <x:v>0</x:v>
      </x:c>
      <x:c r="D5" s="126" t="str">
        <x:v>Gross Profit Earned</x:v>
      </x:c>
      <x:c r="E5" s="130" t="n">
        <x:f>SUM('Game Records'!$Q$5:$Q$504)</x:f>
        <x:v>0</x:v>
      </x:c>
      <x:c r="F5" s="126" t="str">
        <x:v>Total positive profit before losses or fees</x:v>
      </x:c>
    </x:row>
    <x:row r="6" ht="38"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38" customHeight="1">
      <x:c r="A7" s="126" t="str">
        <x:v>Current Workbook Completed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38" customHeight="1">
      <x:c r="A8" s="126" t="str">
        <x:v>Prior Completed Games (reference)</x:v>
      </x:c>
      <x:c r="B8" s="132" t="n">
        <x:f>Instructions!$B$31</x:f>
        <x:v>0</x:v>
      </x:c>
      <x:c r="C8" s="126"/>
      <x:c r="D8" s="126" t="str">
        <x:v>Actual Running Net Profit</x:v>
      </x:c>
      <x:c r="E8" s="130" t="n">
        <x:f>E4-E7</x:f>
        <x:v>0</x:v>
      </x:c>
      <x:c r="F8" s="126" t="str">
        <x:v>Running net game profit minus current and carried-over membership costs</x:v>
      </x:c>
    </x:row>
    <x:row r="9">
      <x:c r="A9"/>
      <x:c r="B9"/>
      <x:c r="C9"/>
      <x:c r="D9"/>
      <x:c r="E9"/>
      <x:c r="F9"/>
    </x:row>
    <x:row r="10">
      <x:c r="A10"/>
      <x:c r="B10"/>
      <x:c r="C10"/>
      <x:c r="D10"/>
      <x:c r="E10"/>
      <x:c r="F10"/>
    </x:row>
    <x:row r="11">
      <x:c r="A11"/>
      <x:c r="B11"/>
      <x:c r="C11"/>
      <x:c r="D11"/>
      <x:c r="E11"/>
      <x:c r="F11"/>
    </x:row>
    <x:row r="12">
      <x:c r="A12"/>
      <x:c r="B12"/>
      <x:c r="C12"/>
      <x:c r="D12"/>
      <x:c r="E12"/>
      <x:c r="F12"/>
    </x:row>
    <x:row r="13">
      <x:c r="A13"/>
      <x:c r="B13"/>
      <x:c r="C13"/>
      <x:c r="D13"/>
      <x:c r="E13"/>
      <x:c r="F13"/>
    </x:row>
    <x:row r="14">
      <x:c r="A14"/>
      <x:c r="B14"/>
      <x:c r="C14"/>
      <x:c r="D14"/>
      <x:c r="E14"/>
      <x:c r="F14"/>
    </x:row>
    <x:row r="15">
      <x:c r="A15"/>
      <x:c r="B15"/>
      <x:c r="C15"/>
      <x:c r="D15"/>
      <x:c r="E15"/>
      <x:c r="F15"/>
    </x:row>
    <x:row r="16">
      <x:c r="A16"/>
      <x:c r="B16"/>
      <x:c r="C16"/>
      <x:c r="D16"/>
      <x:c r="E16"/>
      <x:c r="F16"/>
    </x:row>
    <x:row r="17">
      <x:c r="A17"/>
      <x:c r="B17"/>
      <x:c r="C17"/>
      <x:c r="D17"/>
      <x:c r="E17"/>
      <x:c r="F17"/>
    </x:row>
    <x:row r="18">
      <x:c r="A18"/>
      <x:c r="B18"/>
      <x:c r="C18"/>
      <x:c r="D18"/>
      <x:c r="E18"/>
      <x:c r="F18"/>
    </x:row>
    <x:row r="19">
      <x:c r="A19"/>
      <x:c r="B19"/>
      <x:c r="C19"/>
      <x:c r="D19"/>
      <x:c r="E19"/>
      <x:c r="F19"/>
    </x:row>
    <x:row r="20">
      <x:c r="A20"/>
      <x:c r="B20"/>
      <x:c r="C20"/>
      <x:c r="D20"/>
      <x:c r="E20"/>
      <x:c r="F20"/>
    </x:row>
    <x:row r="21">
      <x:c r="A21"/>
      <x:c r="B21"/>
      <x:c r="C21"/>
      <x:c r="D21"/>
      <x:c r="E21"/>
      <x:c r="F21"/>
    </x:row>
    <x:row r="22">
      <x:c r="A22"/>
      <x:c r="B22"/>
      <x:c r="C22"/>
      <x:c r="D22"/>
      <x:c r="E22"/>
      <x:c r="F22"/>
    </x:row>
    <x:row r="23">
      <x:c r="A23"/>
      <x:c r="B23"/>
      <x:c r="C23"/>
      <x:c r="D23"/>
      <x:c r="E23"/>
      <x:c r="F23"/>
    </x:row>
    <x:row r="24">
      <x:c r="A24"/>
      <x:c r="B24"/>
      <x:c r="C24"/>
      <x:c r="D24"/>
      <x:c r="E24"/>
      <x:c r="F24"/>
    </x:row>
    <x:row r="25">
      <x:c r="A25"/>
      <x:c r="B25"/>
      <x:c r="C25"/>
      <x:c r="D25"/>
      <x:c r="E25"/>
      <x:c r="F25"/>
    </x:row>
    <x:row r="26">
      <x:c r="A26"/>
      <x:c r="B26"/>
      <x:c r="C26"/>
      <x:c r="D26"/>
      <x:c r="E26"/>
      <x:c r="F26"/>
    </x:row>
    <x:row r="27">
      <x:c r="A27"/>
      <x:c r="B27"/>
      <x:c r="C27"/>
      <x:c r="D27"/>
      <x:c r="E27"/>
      <x:c r="F27"/>
    </x:row>
    <x:row r="28">
      <x:c r="A28"/>
      <x:c r="B28"/>
      <x:c r="C28"/>
      <x:c r="D28"/>
      <x:c r="E28"/>
      <x:c r="F28"/>
    </x:row>
    <x:row r="29">
      <x:c r="A29"/>
      <x:c r="B29"/>
      <x:c r="C29"/>
      <x:c r="D29"/>
      <x:c r="E29"/>
      <x:c r="F29"/>
    </x:row>
    <x:row r="30">
      <x:c r="A30"/>
      <x:c r="B30"/>
      <x:c r="C30"/>
      <x:c r="D30"/>
      <x:c r="E30"/>
      <x:c r="F30"/>
    </x:row>
    <x:row r="31" ht="38" customHeight="1">
      <x:c r="A31" s="895" t="str">
        <x:v>Running Tally</x:v>
      </x:c>
      <x:c r="B31" s="895" t="str">
        <x:v>Exact Count</x:v>
      </x:c>
      <x:c r="C31" s="895" t="str">
        <x:v>Share</x:v>
      </x:c>
      <x:c r="D31"/>
      <x:c r="E31"/>
      <x:c r="F31"/>
    </x:row>
    <x:row r="32" ht="44" customHeight="1">
      <x:c r="A32" s="126" t="str">
        <x:v>Profit</x:v>
      </x:c>
      <x:c r="B32" s="126" t="n">
        <x:f>B4</x:f>
        <x:v>0</x:v>
      </x:c>
      <x:c r="C32" s="128" t="n">
        <x:f>C4</x:f>
        <x:v>0</x:v>
      </x:c>
      <x:c r="D32"/>
      <x:c r="E32"/>
      <x:c r="F32"/>
    </x:row>
    <x:row r="33" ht="44" customHeight="1">
      <x:c r="A33" s="126" t="str">
        <x:v>Draw</x:v>
      </x:c>
      <x:c r="B33" s="126" t="n">
        <x:f>B5</x:f>
        <x:v>0</x:v>
      </x:c>
      <x:c r="C33" s="128" t="n">
        <x:f>C5</x:f>
        <x:v>0</x:v>
      </x:c>
      <x:c r="D33"/>
      <x:c r="E33"/>
      <x:c r="F33"/>
    </x:row>
    <x:row r="34" ht="44" customHeight="1">
      <x:c r="A34" s="126" t="str">
        <x:v>Disqualified / Lost Entry Fee</x:v>
      </x:c>
      <x:c r="B34" s="126" t="n">
        <x:f>B6</x:f>
        <x:v>0</x:v>
      </x:c>
      <x:c r="C34" s="128" t="n">
        <x:f>C6</x:f>
        <x:v>0</x:v>
      </x:c>
      <x:c r="D34"/>
      <x:c r="E34"/>
      <x:c r="F34"/>
    </x:row>
    <x:row r="35" ht="44" customHeight="1">
      <x:c r="A35" s="126" t="str">
        <x:v>Total Completed Games</x:v>
      </x:c>
      <x:c r="B35" s="126" t="n">
        <x:f>B7</x:f>
        <x:v>0</x:v>
      </x:c>
      <x:c r="C35" s="128" t="n">
        <x:f>C7</x:f>
        <x:v>0</x:v>
      </x:c>
      <x:c r="D35"/>
      <x:c r="E35"/>
      <x:c r="F35"/>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1" hidden="0" customWidth="1"/>
    <x:col min="2" max="2" width="19" hidden="0" customWidth="1"/>
    <x:col min="3" max="3" width="19" hidden="0" customWidth="1"/>
    <x:col min="4" max="4" width="19" hidden="0" customWidth="1"/>
    <x:col min="5" max="5" width="19" hidden="0" customWidth="1"/>
  </x:cols>
  <x:sheetData>
    <x:row r="1" ht="32" customHeight="1">
      <x:c r="A1" s="889" t="str">
        <x:v>Member vs Non-Member Performance — v230</x:v>
      </x:c>
      <x:c r="B1" s="889"/>
      <x:c r="C1" s="889"/>
      <x:c r="D1" s="889"/>
      <x:c r="E1" s="889"/>
    </x:row>
    <x:row r="2" ht="34" customHeight="1">
      <x:c r="A2" s="887" t="str">
        <x:v>Compares completed Member, Non-Member, and Unclassified games. Subscription and Free Game rows are excluded.</x:v>
      </x:c>
      <x:c r="B2" s="887"/>
      <x:c r="C2" s="887"/>
      <x:c r="D2" s="887"/>
      <x:c r="E2" s="887"/>
    </x:row>
    <x:row r="3" ht="34" customHeight="1">
      <x:c r="A3" s="888" t="str">
        <x:v>Metric</x:v>
      </x:c>
      <x:c r="B3" s="888" t="str">
        <x:v>Member</x:v>
      </x:c>
      <x:c r="C3" s="888" t="str">
        <x:v>Non-Member</x:v>
      </x:c>
      <x:c r="D3" s="888" t="str">
        <x:v>Unclassified</x:v>
      </x:c>
      <x:c r="E3" s="888" t="str">
        <x:v>All Completed Games</x:v>
      </x:c>
    </x:row>
    <x:row r="4" ht="36" customHeight="1">
      <x:c r="A4" s="126" t="str">
        <x:v>Completed Games</x:v>
      </x:c>
      <x:c r="B4" s="126" t="n">
        <x:f>COUNTIFS('Game Records'!$E$5:$E$504,"Member",'Game Records'!$U$5:$U$504,"&lt;&gt;Subscription",'Game Records'!$U$5:$U$504,"&lt;&gt;Free Game",'Game Records'!$U$5:$U$504,"&lt;&gt;")</x:f>
        <x:v>0</x:v>
      </x:c>
      <x:c r="C4" s="126" t="n">
        <x:f>COUNTIFS('Game Records'!$E$5:$E$504,"Non-Member",'Game Records'!$U$5:$U$504,"&lt;&gt;Subscription",'Game Records'!$U$5:$U$504,"&lt;&gt;Free Game",'Game Records'!$U$5:$U$504,"&lt;&gt;")</x:f>
        <x:v>0</x:v>
      </x:c>
      <x:c r="D4" s="126" t="n">
        <x:f>SUMPRODUCT(('Game Records'!$U$5:$U$504&lt;&gt;"")*('Game Records'!$U$5:$U$504&lt;&gt;"Subscription")*('Game Records'!$U$5:$U$504&lt;&gt;"Free Game")*('Game Records'!$E$5:$E$504&lt;&gt;"Member")*('Game Records'!$E$5:$E$504&lt;&gt;"Non-Member"))</x:f>
        <x:v>0</x:v>
      </x:c>
      <x:c r="E4" s="126" t="n">
        <x:f>SUM(B4:D4)</x:f>
        <x:v>0</x:v>
      </x:c>
    </x:row>
    <x:row r="5" ht="36"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36" customHeight="1">
      <x:c r="A6" s="126" t="str">
        <x:v>Profit Rate</x:v>
      </x:c>
      <x:c r="B6" s="128" t="n">
        <x:f>IF(B4=0,0,B5/B4)</x:f>
        <x:v>0</x:v>
      </x:c>
      <x:c r="C6" s="128" t="n">
        <x:f>IF(C4=0,0,C5/C4)</x:f>
        <x:v>0</x:v>
      </x:c>
      <x:c r="D6" s="128" t="n">
        <x:f>IF(D4=0,0,D5/D4)</x:f>
        <x:v>0</x:v>
      </x:c>
      <x:c r="E6" s="128" t="n">
        <x:f>IF(E4=0,0,E5/E4)</x:f>
        <x:v>0</x:v>
      </x:c>
    </x:row>
    <x:row r="7" ht="36"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36"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36" customHeight="1">
      <x:c r="A9" s="126" t="str">
        <x:v>Average Net Profit</x:v>
      </x:c>
      <x:c r="B9" s="130" t="n">
        <x:f>IF(B4=0,0,B11/B4)</x:f>
        <x:v>0</x:v>
      </x:c>
      <x:c r="C9" s="130" t="n">
        <x:f>IF(C4=0,0,C11/C4)</x:f>
        <x:v>0</x:v>
      </x:c>
      <x:c r="D9" s="130" t="n">
        <x:f>IF(D4=0,0,D11/D4)</x:f>
        <x:v>0</x:v>
      </x:c>
      <x:c r="E9" s="130" t="n">
        <x:f>IF(E4=0,0,E11/E4)</x:f>
        <x:v>0</x:v>
      </x:c>
    </x:row>
    <x:row r="10" ht="36" customHeight="1">
      <x:c r="A10" s="126" t="str">
        <x:v>Average ROI</x:v>
      </x:c>
      <x:c r="B10" s="128" t="n">
        <x:f>IF(B4=0,0,SUMIFS('Game Records'!$T$5:$T$504,'Game Records'!$E$5:$E$504,"Member",'Game Records'!$U$5:$U$504,"&lt;&gt;Subscription",'Game Records'!$U$5:$U$504,"&lt;&gt;Free Game")/B4)</x:f>
        <x:v>0</x:v>
      </x:c>
      <x:c r="C10" s="128" t="n">
        <x:f>IF(C4=0,0,SUMIFS('Game Records'!$T$5:$T$504,'Game Records'!$E$5:$E$504,"Non-Member",'Game Records'!$U$5:$U$504,"&lt;&gt;Subscription",'Game Records'!$U$5:$U$504,"&lt;&gt;Free Game")/C4)</x:f>
        <x:v>0</x:v>
      </x:c>
      <x:c r="D10" s="128" t="n">
        <x:f>IF(D4=0,0,SUMPRODUCT(('Game Records'!$U$5:$U$504&lt;&gt;"Subscription")*('Game Records'!$U$5:$U$504&lt;&gt;"Free Game")*('Game Records'!$E$5:$E$504&lt;&gt;"Member")*('Game Records'!$E$5:$E$504&lt;&gt;"Non-Member")*'Game Records'!$T$5:$T$504)/D4)</x:f>
        <x:v>0</x:v>
      </x:c>
      <x:c r="E10" s="128" t="n">
        <x:f>IF(E4=0,0,SUMIFS('Game Records'!$T$5:$T$504,'Game Records'!$U$5:$U$504,"&lt;&gt;Subscription",'Game Records'!$U$5:$U$504,"&lt;&gt;Free Game")/E4)</x:f>
        <x:v>0</x:v>
      </x:c>
    </x:row>
    <x:row r="11" ht="36" customHeight="1">
      <x:c r="A11" s="126" t="str">
        <x:v>Total Net Profit</x:v>
      </x:c>
      <x:c r="B11" s="130" t="n">
        <x:f>SUMIFS('Game Records'!$W$5:$W$504,'Game Records'!$E$5:$E$504,"Member")</x:f>
        <x:v>0</x:v>
      </x:c>
      <x:c r="C11" s="130" t="n">
        <x:f>SUMIFS('Game Records'!$W$5:$W$504,'Game Records'!$E$5:$E$504,"Non-Member")</x:f>
        <x:v>0</x:v>
      </x:c>
      <x:c r="D11" s="130" t="n">
        <x:f>SUMPRODUCT(('Game Records'!$E$5:$E$504&lt;&gt;"Member")*('Game Records'!$E$5:$E$504&lt;&gt;"Non-Member")*'Game Records'!$W$5:$W$504)</x:f>
        <x:v>0</x:v>
      </x:c>
      <x:c r="E11" s="130" t="n">
        <x:f>SUM('Game Records'!$W$5:$W$504)</x:f>
        <x:v>0</x:v>
      </x:c>
    </x:row>
    <x:row r="12" ht="36" customHeight="1">
      <x:c r="A12" s="126" t="str">
        <x:v>Unclassified Games</x:v>
      </x:c>
      <x:c r="B12" s="126" t="n">
        <x:v>0</x:v>
      </x:c>
      <x:c r="C12" s="126" t="n">
        <x:v>0</x:v>
      </x:c>
      <x:c r="D12" s="126" t="n">
        <x:f>D4</x:f>
        <x:v>0</x:v>
      </x:c>
      <x:c r="E12" s="126" t="n">
        <x:f>D4</x:f>
        <x:v>0</x:v>
      </x:c>
    </x:row>
  </x:sheetData>
  <x:mergeCells>
    <x:mergeCell ref="A2:E2"/>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2" customHeight="1">
      <x:c r="A1" s="889" t="str">
        <x:v>Best Results — Live Reference Table — v230</x:v>
      </x:c>
      <x:c r="B1" s="889"/>
      <x:c r="C1" s="889"/>
      <x:c r="D1" s="889"/>
    </x:row>
    <x:row r="2" ht="34" customHeight="1">
      <x:c r="A2" s="887" t="str">
        <x:v>Shows the strongest results found in Game Records. Values update automatically when records are added or changed.</x:v>
      </x:c>
      <x:c r="B2" s="887"/>
      <x:c r="C2" s="887"/>
      <x:c r="D2" s="887"/>
    </x:row>
    <x:row r="3" ht="30" customHeight="1">
      <x:c r="A3" s="888" t="str">
        <x:v>Metric</x:v>
      </x:c>
      <x:c r="B3" s="888" t="str">
        <x:v>Game</x:v>
      </x:c>
      <x:c r="C3" s="888" t="str">
        <x:v>Value</x:v>
      </x:c>
      <x:c r="D3" s="888" t="str">
        <x:v>Meaning</x:v>
      </x:c>
    </x:row>
    <x:row r="4" ht="36" customHeight="1">
      <x:c r="A4" s="126" t="str">
        <x:v>Highest Net Profit</x:v>
      </x:c>
      <x:c r="B4" s="126" t="str">
        <x:f>IFERROR(INDEX('Game Records'!$A$5:$A$504,MATCH(MAX('Game Records'!$W$5:$W$504),'Game Records'!$W$5:$W$504,0)),"")</x:f>
      </x:c>
      <x:c r="C4" s="130" t="n">
        <x:f>MAX('Game Records'!$W$5:$W$504)</x:f>
        <x:v>0</x:v>
      </x:c>
      <x:c r="D4" s="126" t="str">
        <x:v>Largest positive game result</x:v>
      </x:c>
    </x:row>
    <x:row r="5" ht="36" customHeight="1">
      <x:c r="A5" s="126" t="str">
        <x:v>Highest ROI</x:v>
      </x:c>
      <x:c r="B5" s="126" t="str">
        <x:f>IFERROR(INDEX('Game Records'!$A$5:$A$504,MATCH(MAX('Game Records'!$T$5:$T$504),'Game Records'!$T$5:$T$504,0)),"")</x:f>
      </x:c>
      <x:c r="C5" s="128" t="n">
        <x:f>MAX('Game Records'!$T$5:$T$504)</x:f>
        <x:v>0</x:v>
      </x:c>
      <x:c r="D5" s="126" t="str">
        <x:v>Best return on Entry Fee</x:v>
      </x:c>
    </x:row>
    <x:row r="6" ht="36" customHeight="1">
      <x:c r="A6" s="126" t="str">
        <x:v>Largest Lost Entry Fee</x:v>
      </x:c>
      <x:c r="B6" s="126" t="str">
        <x:f>IFERROR(INDEX('Game Records'!$A$5:$A$504,MATCH(MAX('Game Records'!$S$5:$S$504),'Game Records'!$S$5:$S$504,0)),"")</x:f>
      </x:c>
      <x:c r="C6" s="130" t="n">
        <x:f>MAX('Game Records'!$S$5:$S$504)</x:f>
        <x:v>0</x:v>
      </x:c>
      <x:c r="D6" s="126" t="str">
        <x:v>Largest full-entry loss</x:v>
      </x:c>
    </x:row>
    <x:row r="7" ht="36"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36"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