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9f4ba97492048c4" /></Relationships>
</file>

<file path=xl/workbook.xml><?xml version="1.0" encoding="utf-8"?>
<x:workbook xmlns:x="http://schemas.openxmlformats.org/spreadsheetml/2006/main">
  <x:sheets>
    <x:sheet xmlns:r="http://schemas.openxmlformats.org/officeDocument/2006/relationships" name="Instructions" sheetId="1" r:id="R8823fb16930d45aa"/>
    <x:sheet xmlns:r="http://schemas.openxmlformats.org/officeDocument/2006/relationships" name="Game Records" sheetId="2" r:id="Rf53f5faeb3f6439f"/>
    <x:sheet xmlns:r="http://schemas.openxmlformats.org/officeDocument/2006/relationships" name="Summary" sheetId="3" r:id="R835b99be613f4502"/>
    <x:sheet xmlns:r="http://schemas.openxmlformats.org/officeDocument/2006/relationships" name="Game Comparisons" sheetId="4" r:id="R801b07439a244be3"/>
    <x:sheet xmlns:r="http://schemas.openxmlformats.org/officeDocument/2006/relationships" name="Best Results" sheetId="5" r:id="R6cb5681a7e5d4dd2"/>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mm/dd/yyyy"/>
    <x:numFmt numFmtId="165" formatCode="$0.00"/>
    <x:numFmt numFmtId="166" formatCode="0.0%"/>
    <x:numFmt numFmtId="167" formatCode="$#,##0.00"/>
    <x:numFmt numFmtId="168" formatCode="mm-dd-yyyy"/>
  </x:numFmts>
  <x:fonts count="18">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
      <x:b/>
      <x:i/>
      <x:sz val="11"/>
      <x:color rgb="FF4A210E"/>
      <x:name val="Carlito"/>
    </x:font>
    <x:font>
      <x:b/>
      <x:sz val="11"/>
      <x:color rgb="FF4A210E"/>
      <x:name val="Carlito"/>
    </x:font>
    <x:font>
      <x:b/>
      <x:sz val="11"/>
      <x:color rgb="FF274E13"/>
      <x:name val="Carlito"/>
    </x:font>
    <x:font>
      <x:sz val="11"/>
      <x:color rgb="FF274E13"/>
      <x:name val="Carlito"/>
    </x:font>
    <x:font>
      <x:b/>
      <x:sz val="18"/>
      <x:color rgb="FFC65911"/>
      <x:name val="Carlito"/>
    </x:font>
    <x:font>
      <x:b/>
      <x:sz val="14"/>
      <x:color rgb="FFFFE28A"/>
      <x:name val="Carlito"/>
    </x:font>
    <x:font>
      <x:b/>
      <x:i/>
      <x:sz val="11"/>
      <x:color rgb="FFF0DCC9"/>
      <x:name val="Carlito"/>
    </x:font>
    <x:font>
      <x:i/>
      <x:sz val="11"/>
      <x:color rgb="FFF0DCC9"/>
      <x:name val="Carlito"/>
    </x:font>
    <x:font>
      <x:b/>
      <x:sz val="11"/>
      <x:color rgb="FFFFE28A"/>
      <x:name val="Carlito"/>
    </x:font>
    <x:font>
      <x:b/>
      <x:sz val="14"/>
      <x:color rgb="FFFFFFFF"/>
      <x:name val="Carlito"/>
    </x:font>
    <x:font>
      <x:b/>
      <x:sz val="12"/>
      <x:color rgb="FFFFE28A"/>
      <x:name val="Carlito"/>
    </x:font>
  </x:fonts>
  <x:fills count="34">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
      <x:patternFill patternType="solid">
        <x:fgColor rgb="FF4A210E"/>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2A1A12"/>
      </x:patternFill>
    </x:fill>
    <x:fill>
      <x:patternFill patternType="solid">
        <x:fgColor rgb="FF3D1A0C"/>
      </x:patternFill>
    </x:fill>
    <x:fill>
      <x:patternFill patternType="solid">
        <x:fgColor rgb="FF6D2F0F"/>
      </x:patternFill>
    </x:fill>
    <x:fill>
      <x:patternFill patternType="solid">
        <x:fgColor rgb="FF6D2F0F"/>
      </x:patternFill>
    </x:fill>
    <x:fill>
      <x:patternFill patternType="solid">
        <x:fgColor rgb="FF6C2D13"/>
      </x:patternFill>
    </x:fill>
    <x:fill>
      <x:patternFill patternType="solid">
        <x:fgColor rgb="FF3D1A0C"/>
      </x:patternFill>
    </x:fill>
    <x:fill>
      <x:patternFill patternType="solid">
        <x:fgColor rgb="FFC46824"/>
      </x:patternFill>
    </x:fill>
    <x:fill>
      <x:patternFill patternType="solid">
        <x:fgColor rgb="FFB8672E"/>
      </x:patternFill>
    </x:fill>
    <x:fill>
      <x:patternFill patternType="solid">
        <x:fgColor rgb="FF8A5A2B"/>
      </x:patternFill>
    </x:fill>
    <x:fill>
      <x:patternFill patternType="solid">
        <x:fgColor rgb="FF5C3417"/>
      </x:patternFill>
    </x:fill>
    <x:fill>
      <x:patternFill patternType="solid">
        <x:fgColor rgb="FF3156AB"/>
      </x:patternFill>
    </x:fill>
    <x:fill>
      <x:patternFill patternType="solid">
        <x:fgColor rgb="FF3156AB"/>
      </x:patternFill>
    </x:fill>
  </x:fills>
  <x:borders count="2">
    <x:border/>
    <x:border/>
  </x:borders>
  <x:cellStyleXfs count="1">
    <x:xf numFmtId="0" fontId="0" fillId="0" borderId="1"/>
  </x:cellStyleXfs>
  <x:cellXfs count="422">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0" fillId="3" borderId="0" xfId="0"/>
    <x:xf numFmtId="0" fontId="2" fillId="3" borderId="0" xfId="0"/>
    <x:xf numFmtId="0" fontId="2" fillId="3" borderId="0" xfId="0" applyAlignment="1">
      <x:alignment wrapText="1"/>
    </x:xf>
    <x:xf numFmtId="0" fontId="2" fillId="3" borderId="0" xfId="0" applyAlignment="1">
      <x:alignment horizontal="center" wrapText="1"/>
    </x:xf>
    <x:xf numFmtId="0" fontId="2" fillId="3" borderId="0" xfId="0" applyAlignment="1">
      <x:alignment horizontal="center" vertical="center" wrapText="1"/>
    </x:xf>
    <x:xf numFmtId="0" fontId="0" fillId="3" borderId="1" xfId="0"/>
    <x:xf numFmtId="0" fontId="2" fillId="3" borderId="1" xfId="0"/>
    <x:xf numFmtId="0" fontId="2" fillId="3" borderId="1" xfId="0" applyAlignment="1">
      <x:alignment wrapText="1"/>
    </x:xf>
    <x:xf numFmtId="0" fontId="2" fillId="3" borderId="1" xfId="0" applyAlignment="1">
      <x:alignment horizontal="center" wrapText="1"/>
    </x:xf>
    <x:xf numFmtId="0" fontId="2" fillId="3" borderId="1" xfId="0" applyAlignment="1">
      <x:alignment horizontal="center" vertical="center" wrapText="1"/>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5" borderId="0" xfId="0"/>
    <x:xf numFmtId="0" fontId="4" fillId="5" borderId="0" xfId="0"/>
    <x:xf numFmtId="0" fontId="4" fillId="5" borderId="0" xfId="0" applyAlignment="1">
      <x:alignment wrapText="1"/>
    </x:xf>
    <x:xf numFmtId="0" fontId="4" fillId="5" borderId="0" xfId="0" applyAlignment="1">
      <x:alignment horizontal="left" wrapText="1"/>
    </x:xf>
    <x:xf numFmtId="0" fontId="4" fillId="5" borderId="0" xfId="0" applyAlignment="1">
      <x:alignment horizontal="left" vertical="center" wrapText="1"/>
    </x:xf>
    <x:xf numFmtId="0" fontId="0" fillId="5" borderId="1" xfId="0"/>
    <x:xf numFmtId="0" fontId="4" fillId="5" borderId="1" xfId="0"/>
    <x:xf numFmtId="0" fontId="4" fillId="5" borderId="1" xfId="0" applyAlignment="1">
      <x:alignment wrapText="1"/>
    </x:xf>
    <x:xf numFmtId="0" fontId="4" fillId="5" borderId="1" xfId="0" applyAlignment="1">
      <x:alignment horizontal="left" wrapText="1"/>
    </x:xf>
    <x:xf numFmtId="0" fontId="4" fillId="5" borderId="1" xfId="0" applyAlignment="1">
      <x:alignment horizontal="left" vertical="center" wrapText="1"/>
    </x:xf>
    <x:xf numFmtId="0" fontId="0" fillId="6" borderId="0" xfId="0"/>
    <x:xf numFmtId="0" fontId="5" fillId="6" borderId="0" xfId="0"/>
    <x:xf numFmtId="0" fontId="5" fillId="6" borderId="0" xfId="0" applyAlignment="1">
      <x:alignment wrapText="1"/>
    </x:xf>
    <x:xf numFmtId="0" fontId="5" fillId="6" borderId="0" xfId="0" applyAlignment="1">
      <x:alignment horizontal="center" wrapText="1"/>
    </x:xf>
    <x:xf numFmtId="0" fontId="5" fillId="6" borderId="0" xfId="0" applyAlignment="1">
      <x:alignment horizontal="center" vertical="center" wrapText="1"/>
    </x:xf>
    <x:xf numFmtId="0" fontId="0" fillId="6" borderId="1" xfId="0"/>
    <x:xf numFmtId="0" fontId="5" fillId="6" borderId="1" xfId="0"/>
    <x:xf numFmtId="0" fontId="5" fillId="6" borderId="1" xfId="0" applyAlignment="1">
      <x:alignment wrapText="1"/>
    </x:xf>
    <x:xf numFmtId="0" fontId="5" fillId="6" borderId="1" xfId="0" applyAlignment="1">
      <x:alignment horizontal="center" wrapText="1"/>
    </x:xf>
    <x:xf numFmtId="0" fontId="5" fillId="6" borderId="1" xfId="0" applyAlignment="1">
      <x:alignment horizontal="center" vertical="center" wrapText="1"/>
    </x:xf>
    <x:xf numFmtId="0" fontId="0" fillId="0" borderId="0" xfId="0" applyAlignment="1">
      <x:alignment wrapText="1"/>
    </x:xf>
    <x:xf numFmtId="0" fontId="0" fillId="0" borderId="0" xfId="0" applyAlignment="1">
      <x:alignment horizontal="center" wrapText="1"/>
    </x:xf>
    <x:xf numFmtId="0" fontId="0" fillId="0" borderId="0" xfId="0" applyAlignment="1">
      <x:alignment horizontal="center" vertical="center" wrapText="1"/>
    </x:xf>
    <x:xf numFmtId="0" fontId="0" fillId="0" borderId="1" xfId="0" applyAlignment="1">
      <x:alignment wrapText="1"/>
    </x:xf>
    <x:xf numFmtId="0" fontId="0" fillId="0" borderId="1" xfId="0" applyAlignment="1">
      <x:alignment horizontal="center" wrapText="1"/>
    </x:xf>
    <x:xf numFmtId="0" fontId="0" fillId="0" borderId="1" xfId="0" applyAlignment="1">
      <x:alignment horizontal="center" vertical="center" wrapText="1"/>
    </x:xf>
    <x:xf numFmtId="0" fontId="0" fillId="0" borderId="0" xfId="0" applyAlignment="1">
      <x:alignment horizontal="left" vertical="center" wrapText="1"/>
    </x:xf>
    <x:xf numFmtId="0" fontId="0" fillId="0" borderId="1" xfId="0" applyAlignment="1">
      <x:alignment horizontal="left" vertical="center" wrapText="1"/>
    </x:xf>
    <x:xf numFmtId="164" fontId="0" fillId="0" borderId="0" xfId="0" applyAlignment="1">
      <x:alignment horizontal="center" vertical="center" wrapText="1"/>
    </x:xf>
    <x:xf numFmtId="164" fontId="0" fillId="0" borderId="1" xfId="0" applyAlignment="1">
      <x:alignment horizontal="center" vertical="center" wrapText="1"/>
    </x:xf>
    <x:xf numFmtId="165" fontId="0" fillId="0" borderId="0" xfId="0" applyAlignment="1">
      <x:alignment horizontal="center" vertical="center" wrapText="1"/>
    </x:xf>
    <x:xf numFmtId="165" fontId="0" fillId="0" borderId="1" xfId="0" applyAlignment="1">
      <x:alignment horizontal="center" vertical="center" wrapText="1"/>
    </x:xf>
    <x:xf numFmtId="166" fontId="0" fillId="0" borderId="0" xfId="0" applyAlignment="1">
      <x:alignment horizontal="center" vertical="center" wrapText="1"/>
    </x:xf>
    <x:xf numFmtId="166" fontId="0" fillId="0" borderId="1" xfId="0" applyAlignment="1">
      <x:alignment horizontal="center" vertical="center" wrapText="1"/>
    </x:xf>
    <x:xf numFmtId="1" fontId="0" fillId="0" borderId="0" xfId="0" applyAlignment="1">
      <x:alignment horizontal="center" vertical="center" wrapText="1"/>
    </x:xf>
    <x:xf numFmtId="1" fontId="0" fillId="0" borderId="1" xfId="0" applyAlignment="1">
      <x:alignment horizontal="center" vertical="center" wrapText="1"/>
    </x:xf>
    <x:xf numFmtId="1" fontId="0" fillId="7" borderId="0" xfId="0" applyAlignment="1">
      <x:alignment horizontal="center" vertical="center" wrapText="1"/>
    </x:xf>
    <x:xf numFmtId="1" fontId="0" fillId="7" borderId="1" xfId="0" applyAlignment="1">
      <x:alignment horizontal="center" vertical="center" wrapText="1"/>
    </x:xf>
    <x:xf numFmtId="165" fontId="0" fillId="7" borderId="0" xfId="0" applyAlignment="1">
      <x:alignment horizontal="center" vertical="center" wrapText="1"/>
    </x:xf>
    <x:xf numFmtId="166" fontId="0" fillId="7" borderId="0" xfId="0" applyAlignment="1">
      <x:alignment horizontal="center" vertical="center" wrapText="1"/>
    </x:xf>
    <x:xf numFmtId="165" fontId="0" fillId="7" borderId="1" xfId="0" applyAlignment="1">
      <x:alignment horizontal="center" vertical="center" wrapText="1"/>
    </x:xf>
    <x:xf numFmtId="166" fontId="0" fillId="7" borderId="1" xfId="0" applyAlignment="1">
      <x:alignment horizontal="center" vertical="center" wrapText="1"/>
    </x:xf>
    <x:xf numFmtId="0" fontId="5" fillId="4" borderId="0" xfId="0"/>
    <x:xf numFmtId="0" fontId="5" fillId="4" borderId="0" xfId="0" applyAlignment="1">
      <x:alignment wrapText="1"/>
    </x:xf>
    <x:xf numFmtId="0" fontId="5" fillId="4" borderId="0" xfId="0" applyAlignment="1">
      <x:alignment horizontal="center" wrapText="1"/>
    </x:xf>
    <x:xf numFmtId="0" fontId="5" fillId="4" borderId="0" xfId="0" applyAlignment="1">
      <x:alignment horizontal="center" vertical="center" wrapText="1"/>
    </x:xf>
    <x:xf numFmtId="0" fontId="5" fillId="4" borderId="1" xfId="0"/>
    <x:xf numFmtId="0" fontId="5" fillId="4" borderId="1" xfId="0" applyAlignment="1">
      <x:alignment wrapText="1"/>
    </x:xf>
    <x:xf numFmtId="0" fontId="5" fillId="4" borderId="1" xfId="0" applyAlignment="1">
      <x:alignment horizontal="center" wrapText="1"/>
    </x:xf>
    <x:xf numFmtId="0" fontId="5" fillId="4" borderId="1" xfId="0" applyAlignment="1">
      <x:alignment horizontal="center" vertical="center" wrapText="1"/>
    </x:xf>
    <x:xf numFmtId="0" fontId="0" fillId="8" borderId="0" xfId="0"/>
    <x:xf numFmtId="0" fontId="6" fillId="8" borderId="0" xfId="0"/>
    <x:xf numFmtId="0" fontId="6" fillId="8" borderId="0" xfId="0" applyAlignment="1">
      <x:alignment horizontal="center"/>
    </x:xf>
    <x:xf numFmtId="0" fontId="6" fillId="8" borderId="0" xfId="0" applyAlignment="1">
      <x:alignment horizontal="center" vertical="center"/>
    </x:xf>
    <x:xf numFmtId="0" fontId="0" fillId="8" borderId="1" xfId="0"/>
    <x:xf numFmtId="0" fontId="6" fillId="8" borderId="1" xfId="0"/>
    <x:xf numFmtId="0" fontId="6" fillId="8" borderId="1" xfId="0" applyAlignment="1">
      <x:alignment horizontal="center"/>
    </x:xf>
    <x:xf numFmtId="0" fontId="6" fillId="8" borderId="1" xfId="0" applyAlignment="1">
      <x:alignment horizontal="center" vertical="center"/>
    </x:xf>
    <x:xf numFmtId="1" fontId="6" fillId="8" borderId="0" xfId="0" applyAlignment="1">
      <x:alignment horizontal="center" vertical="center"/>
    </x:xf>
    <x:xf numFmtId="1" fontId="6" fillId="8" borderId="1" xfId="0" applyAlignment="1">
      <x:alignment horizontal="center" vertical="center"/>
    </x:xf>
    <x:xf numFmtId="165" fontId="6" fillId="8" borderId="0" xfId="0" applyAlignment="1">
      <x:alignment horizontal="center" vertical="center"/>
    </x:xf>
    <x:xf numFmtId="165" fontId="6" fillId="8" borderId="1" xfId="0" applyAlignment="1">
      <x:alignment horizontal="center" vertical="center"/>
    </x:xf>
    <x:xf numFmtId="166" fontId="6" fillId="8" borderId="0" xfId="0" applyAlignment="1">
      <x:alignment horizontal="center" vertical="center"/>
    </x:xf>
    <x:xf numFmtId="166" fontId="6" fillId="8" borderId="1" xfId="0" applyAlignment="1">
      <x:alignment horizontal="center" vertical="center"/>
    </x:xf>
    <x:xf numFmtId="0" fontId="3" fillId="4" borderId="0" xfId="0" applyAlignment="1">
      <x:alignment horizontal="left" vertical="center" wrapText="1"/>
    </x:xf>
    <x:xf numFmtId="0" fontId="3" fillId="4" borderId="0" xfId="0" applyAlignment="1">
      <x:alignment horizontal="center" vertical="center" wrapText="1"/>
    </x:xf>
    <x:xf numFmtId="0" fontId="3" fillId="4" borderId="1" xfId="0" applyAlignment="1">
      <x:alignment horizontal="left" vertical="center" wrapText="1"/>
    </x:xf>
    <x:xf numFmtId="0" fontId="3" fillId="4" borderId="1" xfId="0" applyAlignment="1">
      <x:alignment horizontal="center" vertical="center" wrapText="1"/>
    </x:xf>
    <x:xf numFmtId="0" fontId="5" fillId="6" borderId="0" xfId="0" applyAlignment="1">
      <x:alignment horizontal="left" vertical="center" wrapText="1"/>
    </x:xf>
    <x:xf numFmtId="0" fontId="5" fillId="6" borderId="1" xfId="0" applyAlignment="1">
      <x:alignment horizontal="left" vertical="center" wrapText="1"/>
    </x:xf>
    <x:xf numFmtId="165" fontId="5" fillId="6" borderId="0" xfId="0" applyAlignment="1">
      <x:alignment horizontal="center" vertical="center" wrapText="1"/>
    </x:xf>
    <x:xf numFmtId="165" fontId="3" fillId="4" borderId="0" xfId="0" applyAlignment="1">
      <x:alignment horizontal="center" vertical="center" wrapText="1"/>
    </x:xf>
    <x:xf numFmtId="165" fontId="5" fillId="6" borderId="1" xfId="0" applyAlignment="1">
      <x:alignment horizontal="center" vertical="center" wrapText="1"/>
    </x:xf>
    <x:xf numFmtId="165" fontId="3" fillId="4" borderId="1" xfId="0" applyAlignment="1">
      <x:alignment horizontal="center" vertical="center" wrapText="1"/>
    </x:xf>
    <x:xf numFmtId="166" fontId="5" fillId="6" borderId="0" xfId="0" applyAlignment="1">
      <x:alignment horizontal="center" vertical="center" wrapText="1"/>
    </x:xf>
    <x:xf numFmtId="166" fontId="3" fillId="4" borderId="0" xfId="0" applyAlignment="1">
      <x:alignment horizontal="center" vertical="center" wrapText="1"/>
    </x:xf>
    <x:xf numFmtId="166" fontId="5" fillId="6" borderId="1" xfId="0" applyAlignment="1">
      <x:alignment horizontal="center" vertical="center" wrapText="1"/>
    </x:xf>
    <x:xf numFmtId="166" fontId="3" fillId="4" borderId="1" xfId="0" applyAlignment="1">
      <x:alignment horizontal="center" vertical="center" wrapText="1"/>
    </x:xf>
    <x:xf numFmtId="0" fontId="0" fillId="0" borderId="0" xfId="0"/>
    <x:xf numFmtId="0" fontId="5" fillId="9" borderId="0" xfId="0" applyAlignment="1">
      <x:alignment horizontal="center" vertical="center" wrapText="1"/>
    </x:xf>
    <x:xf numFmtId="0" fontId="2" fillId="10" borderId="0" xfId="0" applyAlignment="1">
      <x:alignment horizontal="center" vertical="center" wrapText="1"/>
    </x:xf>
    <x:xf numFmtId="0" fontId="7" fillId="10" borderId="0" xfId="0" applyAlignment="1">
      <x:alignment horizontal="center" vertical="center" wrapText="1"/>
    </x:xf>
    <x:xf numFmtId="0" fontId="7" fillId="11" borderId="0" xfId="0" applyAlignment="1">
      <x:alignment horizontal="center" vertical="center" wrapText="1"/>
    </x:xf>
    <x:xf numFmtId="0" fontId="0" fillId="11" borderId="0" xfId="0"/>
    <x:xf numFmtId="0" fontId="8" fillId="11" borderId="0" xfId="0"/>
    <x:xf numFmtId="0" fontId="8" fillId="11" borderId="0" xfId="0" applyAlignment="1">
      <x:alignment wrapText="1"/>
    </x:xf>
    <x:xf numFmtId="0" fontId="8" fillId="11" borderId="0" xfId="0" applyAlignment="1">
      <x:alignment vertical="center" wrapText="1"/>
    </x:xf>
    <x:xf numFmtId="0" fontId="5" fillId="12" borderId="0" xfId="0" applyAlignment="1">
      <x:alignment horizontal="center" vertical="center" wrapText="1"/>
    </x:xf>
    <x:xf numFmtId="0" fontId="5" fillId="13" borderId="0" xfId="0" applyAlignment="1">
      <x:alignment horizontal="center" vertical="center" wrapText="1"/>
    </x:xf>
    <x:xf numFmtId="166" fontId="0" fillId="13" borderId="0" xfId="0" applyAlignment="1">
      <x:alignment horizontal="center" vertical="center" wrapText="1"/>
    </x:xf>
    <x:xf numFmtId="0" fontId="9" fillId="13" borderId="0" xfId="0" applyAlignment="1">
      <x:alignment horizontal="center" vertical="center" wrapText="1"/>
    </x:xf>
    <x:xf numFmtId="166" fontId="10" fillId="13" borderId="0" xfId="0" applyAlignment="1">
      <x:alignment horizontal="center" vertical="center" wrapText="1"/>
    </x:xf>
    <x:xf numFmtId="0" fontId="9" fillId="14" borderId="0" xfId="0" applyAlignment="1">
      <x:alignment horizontal="center" vertical="center" wrapText="1"/>
    </x:xf>
    <x:xf numFmtId="0" fontId="5" fillId="14" borderId="0" xfId="0" applyAlignment="1">
      <x:alignment horizontal="center" vertical="center" wrapText="1"/>
    </x:xf>
    <x:xf numFmtId="0" fontId="0" fillId="13" borderId="0" xfId="0" applyAlignment="1">
      <x:alignment horizontal="center" vertical="center" wrapText="1"/>
    </x:xf>
    <x:xf numFmtId="0" fontId="10" fillId="13" borderId="0" xfId="0" applyAlignment="1">
      <x:alignment horizontal="center" vertical="center" wrapText="1"/>
    </x:xf>
    <x:xf numFmtId="1" fontId="0" fillId="13" borderId="0" xfId="0" applyAlignment="1">
      <x:alignment horizontal="center" vertical="center" wrapText="1"/>
    </x:xf>
    <x:xf numFmtId="1" fontId="10" fillId="13" borderId="0" xfId="0" applyAlignment="1">
      <x:alignment horizontal="center" vertical="center" wrapText="1"/>
    </x:xf>
    <x:xf numFmtId="165" fontId="0" fillId="13" borderId="0" xfId="0" applyAlignment="1">
      <x:alignment horizontal="center" vertical="center" wrapText="1"/>
    </x:xf>
    <x:xf numFmtId="165" fontId="10" fillId="13" borderId="0" xfId="0" applyAlignment="1">
      <x:alignment horizontal="center" vertical="center" wrapText="1"/>
    </x:xf>
    <x:xf numFmtId="0" fontId="1" fillId="2" borderId="0" xfId="0" applyAlignment="1">
      <x:alignment horizontal="center" vertical="center" wrapText="1"/>
    </x:xf>
    <x:xf numFmtId="0" fontId="1" fillId="11" borderId="0" xfId="0" applyAlignment="1">
      <x:alignment horizontal="center" vertical="center" wrapText="1"/>
    </x:xf>
    <x:xf numFmtId="0" fontId="11" fillId="11" borderId="0" xfId="0" applyAlignment="1">
      <x:alignment horizontal="center" vertical="center" wrapText="1"/>
    </x:xf>
    <x:xf numFmtId="0" fontId="0" fillId="10" borderId="0" xfId="0"/>
    <x:xf numFmtId="0" fontId="8" fillId="10" borderId="0" xfId="0"/>
    <x:xf numFmtId="0" fontId="8" fillId="10" borderId="0" xfId="0" applyAlignment="1">
      <x:alignment wrapText="1"/>
    </x:xf>
    <x:xf numFmtId="0" fontId="8" fillId="10" borderId="0" xfId="0" applyAlignment="1">
      <x:alignment vertical="center" wrapText="1"/>
    </x:xf>
    <x:xf numFmtId="0" fontId="1" fillId="10" borderId="0" xfId="0" applyAlignment="1">
      <x:alignment horizontal="center" vertical="center" wrapText="1"/>
    </x:xf>
    <x:xf numFmtId="0" fontId="11" fillId="10" borderId="0" xfId="0" applyAlignment="1">
      <x:alignment horizontal="center" vertical="center" wrapText="1"/>
    </x:xf>
    <x:xf numFmtId="0" fontId="11" fillId="15" borderId="0" xfId="0" applyAlignment="1">
      <x:alignment horizontal="center" vertical="center" wrapText="1"/>
    </x:xf>
    <x:xf numFmtId="0" fontId="8" fillId="15" borderId="0" xfId="0" applyAlignment="1">
      <x:alignment vertical="center" wrapText="1"/>
    </x:xf>
    <x:xf numFmtId="0" fontId="7" fillId="16" borderId="0" xfId="0" applyAlignment="1">
      <x:alignment horizontal="center" vertical="center" wrapText="1"/>
    </x:xf>
    <x:xf numFmtId="0" fontId="8" fillId="16" borderId="0" xfId="0" applyAlignment="1">
      <x:alignment vertical="center" wrapText="1"/>
    </x:xf>
    <x:xf numFmtId="0" fontId="5" fillId="17" borderId="0" xfId="0" applyAlignment="1">
      <x:alignment horizontal="center" vertical="center" wrapText="1"/>
    </x:xf>
    <x:xf numFmtId="0" fontId="5" fillId="18" borderId="0" xfId="0" applyAlignment="1">
      <x:alignment horizontal="center" vertical="center" wrapText="1"/>
    </x:xf>
    <x:xf numFmtId="166" fontId="10" fillId="18" borderId="0" xfId="0" applyAlignment="1">
      <x:alignment horizontal="center" vertical="center" wrapText="1"/>
    </x:xf>
    <x:xf numFmtId="0" fontId="9" fillId="18" borderId="0" xfId="0" applyAlignment="1">
      <x:alignment horizontal="center" vertical="center" wrapText="1"/>
    </x:xf>
    <x:xf numFmtId="0" fontId="9" fillId="19" borderId="0" xfId="0" applyAlignment="1">
      <x:alignment horizontal="center" vertical="center" wrapText="1"/>
    </x:xf>
    <x:xf numFmtId="0" fontId="5" fillId="19" borderId="0" xfId="0" applyAlignment="1">
      <x:alignment horizontal="center" vertical="center" wrapText="1"/>
    </x:xf>
    <x:xf numFmtId="0" fontId="10" fillId="18" borderId="0" xfId="0" applyAlignment="1">
      <x:alignment horizontal="center" vertical="center" wrapText="1"/>
    </x:xf>
    <x:xf numFmtId="1" fontId="10" fillId="18" borderId="0" xfId="0" applyAlignment="1">
      <x:alignment horizontal="center" vertical="center" wrapText="1"/>
    </x:xf>
    <x:xf numFmtId="165" fontId="10" fillId="18" borderId="0" xfId="0" applyAlignment="1">
      <x:alignment horizontal="center" vertical="center" wrapText="1"/>
    </x:xf>
    <x:xf numFmtId="0" fontId="11" fillId="16" borderId="0" xfId="0" applyAlignment="1">
      <x:alignment horizontal="center" vertical="center" wrapText="1"/>
    </x:xf>
    <x:xf numFmtId="0" fontId="7" fillId="20" borderId="0" xfId="0" applyAlignment="1">
      <x:alignment horizontal="center" vertical="center" wrapText="1"/>
    </x:xf>
    <x:xf numFmtId="0" fontId="8" fillId="20" borderId="0" xfId="0" applyAlignment="1">
      <x:alignment vertical="center" wrapText="1"/>
    </x:xf>
    <x:xf numFmtId="0" fontId="7" fillId="21" borderId="0" xfId="0" applyAlignment="1">
      <x:alignment horizontal="center" vertical="center" wrapText="1"/>
    </x:xf>
    <x:xf numFmtId="0" fontId="8" fillId="21" borderId="0" xfId="0" applyAlignment="1">
      <x:alignment vertical="center" wrapText="1"/>
    </x:xf>
    <x:xf numFmtId="0" fontId="11" fillId="21" borderId="0" xfId="0" applyAlignment="1">
      <x:alignment horizontal="center" vertical="center" wrapText="1"/>
    </x:xf>
    <x:xf numFmtId="167" fontId="1" fillId="2" borderId="0" xfId="0" applyAlignment="1">
      <x:alignment horizontal="center" vertical="center"/>
    </x:xf>
    <x:xf numFmtId="166" fontId="1" fillId="2" borderId="0" xfId="0" applyAlignment="1">
      <x:alignment horizontal="center" vertical="center"/>
    </x:xf>
    <x:xf numFmtId="1" fontId="1" fillId="2" borderId="0" xfId="0" applyAlignment="1">
      <x:alignment horizontal="center" vertical="center"/>
    </x:xf>
    <x:xf numFmtId="168" fontId="1" fillId="2" borderId="0" xfId="0" applyAlignment="1">
      <x:alignment horizontal="center" vertical="center"/>
    </x:xf>
    <x:xf numFmtId="167" fontId="0" fillId="0" borderId="0" xfId="0" applyAlignment="1">
      <x:alignment horizontal="center" vertical="center" wrapText="1"/>
    </x:xf>
    <x:xf numFmtId="167" fontId="0" fillId="0" borderId="0" xfId="0"/>
    <x:xf numFmtId="167" fontId="10" fillId="13" borderId="0" xfId="0" applyAlignment="1">
      <x:alignment horizontal="center" vertical="center" wrapText="1"/>
    </x:xf>
    <x:xf numFmtId="166" fontId="0" fillId="0" borderId="0" xfId="0"/>
    <x:xf numFmtId="168" fontId="0" fillId="0" borderId="0" xfId="0" applyAlignment="1">
      <x:alignment horizontal="center" vertical="center" wrapText="1"/>
    </x:xf>
    <x:xf numFmtId="168" fontId="0" fillId="0" borderId="0" xfId="0"/>
    <x:xf numFmtId="0" fontId="1" fillId="22" borderId="0" xfId="0" applyAlignment="1">
      <x:alignment horizontal="center" vertical="center"/>
    </x:xf>
    <x:xf numFmtId="168" fontId="1" fillId="22" borderId="0" xfId="0" applyAlignment="1">
      <x:alignment horizontal="center" vertical="center"/>
    </x:xf>
    <x:xf numFmtId="167" fontId="1" fillId="22" borderId="0" xfId="0" applyAlignment="1">
      <x:alignment horizontal="center" vertical="center"/>
    </x:xf>
    <x:xf numFmtId="166" fontId="1" fillId="22" borderId="0" xfId="0" applyAlignment="1">
      <x:alignment horizontal="center" vertical="center"/>
    </x:xf>
    <x:xf numFmtId="1" fontId="1" fillId="22" borderId="0" xfId="0" applyAlignment="1">
      <x:alignment horizontal="center" vertical="center"/>
    </x:xf>
    <x:xf numFmtId="0" fontId="0" fillId="22" borderId="0" xfId="0"/>
    <x:xf numFmtId="0" fontId="12" fillId="22" borderId="0" xfId="0" applyAlignment="1">
      <x:alignment horizontal="center" vertical="center"/>
    </x:xf>
    <x:xf numFmtId="168" fontId="12" fillId="22" borderId="0" xfId="0" applyAlignment="1">
      <x:alignment horizontal="center" vertical="center"/>
    </x:xf>
    <x:xf numFmtId="167" fontId="12" fillId="22" borderId="0" xfId="0" applyAlignment="1">
      <x:alignment horizontal="center" vertical="center"/>
    </x:xf>
    <x:xf numFmtId="166" fontId="12" fillId="22" borderId="0" xfId="0" applyAlignment="1">
      <x:alignment horizontal="center" vertical="center"/>
    </x:xf>
    <x:xf numFmtId="1" fontId="12" fillId="22" borderId="0" xfId="0" applyAlignment="1">
      <x:alignment horizontal="center" vertical="center"/>
    </x:xf>
    <x:xf numFmtId="0" fontId="12" fillId="22" borderId="0" xfId="0"/>
    <x:xf numFmtId="0" fontId="12" fillId="22" borderId="0" xfId="0" applyAlignment="1">
      <x:alignment horizontal="center"/>
    </x:xf>
    <x:xf numFmtId="0" fontId="7" fillId="23" borderId="0" xfId="0" applyAlignment="1">
      <x:alignment horizontal="center" vertical="center" wrapText="1"/>
    </x:xf>
    <x:xf numFmtId="0" fontId="0" fillId="23" borderId="0" xfId="0"/>
    <x:xf numFmtId="0" fontId="13" fillId="23" borderId="0" xfId="0" applyAlignment="1">
      <x:alignment horizontal="center" vertical="center" wrapText="1"/>
    </x:xf>
    <x:xf numFmtId="0" fontId="14" fillId="23" borderId="0" xfId="0"/>
    <x:xf numFmtId="0" fontId="14" fillId="23" borderId="0" xfId="0" applyAlignment="1">
      <x:alignment wrapText="1"/>
    </x:xf>
    <x:xf numFmtId="0" fontId="13" fillId="23" borderId="0" xfId="0" applyAlignment="1">
      <x:alignment horizontal="left" vertical="center" wrapText="1"/>
    </x:xf>
    <x:xf numFmtId="0" fontId="14" fillId="23" borderId="0" xfId="0" applyAlignment="1">
      <x:alignment horizontal="left" wrapText="1"/>
    </x:xf>
    <x:xf numFmtId="0" fontId="5" fillId="24" borderId="0" xfId="0" applyAlignment="1">
      <x:alignment horizontal="center" vertical="center" wrapText="1"/>
    </x:xf>
    <x:xf numFmtId="0" fontId="0" fillId="24" borderId="0" xfId="0"/>
    <x:xf numFmtId="0" fontId="5" fillId="24" borderId="0" xfId="0"/>
    <x:xf numFmtId="0" fontId="5" fillId="24" borderId="0" xfId="0" applyAlignment="1">
      <x:alignment wrapText="1"/>
    </x:xf>
    <x:xf numFmtId="0" fontId="5" fillId="24" borderId="0" xfId="0" applyAlignment="1">
      <x:alignment horizontal="center" wrapText="1"/>
    </x:xf>
    <x:xf numFmtId="166" fontId="0" fillId="0" borderId="0" xfId="0" applyAlignment="1">
      <x:alignment horizontal="left" vertical="center" wrapText="1"/>
    </x:xf>
    <x:xf numFmtId="166" fontId="0" fillId="0" borderId="0" xfId="0" applyAlignment="1">
      <x:alignment wrapText="1"/>
    </x:xf>
    <x:xf numFmtId="3" fontId="0" fillId="0" borderId="0" xfId="0" applyAlignment="1">
      <x:alignment horizontal="center" vertical="center" wrapText="1"/>
    </x:xf>
    <x:xf numFmtId="3" fontId="10" fillId="13" borderId="0" xfId="0" applyAlignment="1">
      <x:alignment horizontal="center" vertical="center" wrapText="1"/>
    </x:xf>
    <x:xf numFmtId="3" fontId="0" fillId="0" borderId="0" xfId="0" applyAlignment="1">
      <x:alignment wrapText="1"/>
    </x:xf>
    <x:xf numFmtId="0" fontId="11" fillId="22" borderId="0" xfId="0" applyAlignment="1">
      <x:alignment horizontal="center" vertical="center" wrapText="1"/>
    </x:xf>
    <x:xf numFmtId="0" fontId="12" fillId="22" borderId="0" xfId="0" applyAlignment="1">
      <x:alignment horizontal="center" vertical="center" wrapText="1"/>
    </x:xf>
    <x:xf numFmtId="167" fontId="6" fillId="8" borderId="0" xfId="0" applyAlignment="1">
      <x:alignment horizontal="center" vertical="center"/>
    </x:xf>
    <x:xf numFmtId="3" fontId="3" fillId="4" borderId="0" xfId="0" applyAlignment="1">
      <x:alignment horizontal="center" vertical="center" wrapText="1"/>
    </x:xf>
    <x:xf numFmtId="3" fontId="5" fillId="6" borderId="0" xfId="0" applyAlignment="1">
      <x:alignment horizontal="center" vertical="center" wrapText="1"/>
    </x:xf>
    <x:xf numFmtId="167" fontId="3" fillId="4" borderId="0" xfId="0" applyAlignment="1">
      <x:alignment horizontal="center" vertical="center" wrapText="1"/>
    </x:xf>
    <x:xf numFmtId="167" fontId="5" fillId="6" borderId="0" xfId="0" applyAlignment="1">
      <x:alignment horizontal="center" vertical="center" wrapText="1"/>
    </x:xf>
    <x:xf numFmtId="0" fontId="5" fillId="25" borderId="0" xfId="0" applyAlignment="1">
      <x:alignment horizontal="center" vertical="center" wrapText="1"/>
    </x:xf>
    <x:xf numFmtId="0" fontId="8" fillId="26" borderId="0" xfId="0" applyAlignment="1">
      <x:alignment vertical="center" wrapText="1"/>
    </x:xf>
    <x:xf numFmtId="0" fontId="15" fillId="26" borderId="0" xfId="0" applyAlignment="1">
      <x:alignment vertical="center" wrapText="1"/>
    </x:xf>
    <x:xf numFmtId="0" fontId="15" fillId="26" borderId="0" xfId="0" applyAlignment="1">
      <x:alignment horizontal="center" vertical="center" wrapText="1"/>
    </x:xf>
    <x:xf numFmtId="0" fontId="8" fillId="27" borderId="0" xfId="0" applyAlignment="1">
      <x:alignment vertical="center" wrapText="1"/>
    </x:xf>
    <x:xf numFmtId="0" fontId="0" fillId="27" borderId="0" xfId="0"/>
    <x:xf numFmtId="0" fontId="15" fillId="27" borderId="0" xfId="0" applyAlignment="1">
      <x:alignment vertical="center" wrapText="1"/>
    </x:xf>
    <x:xf numFmtId="0" fontId="15" fillId="27" borderId="0" xfId="0"/>
    <x:xf numFmtId="0" fontId="15" fillId="27" borderId="0" xfId="0" applyAlignment="1">
      <x:alignment wrapText="1"/>
    </x:xf>
    <x:xf numFmtId="0" fontId="15" fillId="27" borderId="0" xfId="0" applyAlignment="1">
      <x:alignment horizontal="center" vertical="center" wrapText="1"/>
    </x:xf>
    <x:xf numFmtId="0" fontId="15" fillId="27" borderId="0" xfId="0" applyAlignment="1">
      <x:alignment horizontal="center" wrapText="1"/>
    </x:xf>
    <x:xf numFmtId="0" fontId="5" fillId="28" borderId="0" xfId="0" applyAlignment="1">
      <x:alignment horizontal="center" vertical="center" wrapText="1"/>
    </x:xf>
    <x:xf numFmtId="0" fontId="5" fillId="29" borderId="0" xfId="0" applyAlignment="1">
      <x:alignment horizontal="center" vertical="center" wrapText="1"/>
    </x:xf>
    <x:xf numFmtId="0" fontId="5" fillId="30" borderId="0" xfId="0" applyAlignment="1">
      <x:alignment horizontal="center" vertical="center" wrapText="1"/>
    </x:xf>
    <x:xf numFmtId="0" fontId="5" fillId="31" borderId="0" xfId="0" applyAlignment="1">
      <x:alignment horizontal="center" vertical="center" wrapText="1"/>
    </x:xf>
    <x:xf numFmtId="0" fontId="5" fillId="27" borderId="0" xfId="0" applyAlignment="1">
      <x:alignment horizontal="center" vertical="center" wrapText="1"/>
    </x:xf>
    <x:xf numFmtId="0" fontId="12" fillId="26" borderId="0" xfId="0" applyAlignment="1">
      <x:alignment horizontal="center" vertical="center" wrapText="1"/>
    </x:xf>
    <x:xf numFmtId="0" fontId="16" fillId="26" borderId="0" xfId="0" applyAlignment="1">
      <x:alignment horizontal="center" vertical="center" wrapText="1"/>
    </x:xf>
    <x:xf numFmtId="0" fontId="3" fillId="27" borderId="0" xfId="0" applyAlignment="1">
      <x:alignment horizontal="left" vertical="center" wrapText="1"/>
    </x:xf>
    <x:xf numFmtId="0" fontId="17" fillId="27" borderId="0" xfId="0" applyAlignment="1">
      <x:alignment horizontal="left" vertical="center" wrapText="1"/>
    </x:xf>
    <x:xf numFmtId="0" fontId="4" fillId="27" borderId="0" xfId="0" applyAlignment="1">
      <x:alignment horizontal="left" vertical="center" wrapText="1"/>
    </x:xf>
    <x:xf numFmtId="0" fontId="15" fillId="27" borderId="0" xfId="0" applyAlignment="1">
      <x:alignment horizontal="left" vertical="center" wrapText="1"/>
    </x:xf>
    <x:xf numFmtId="0" fontId="0" fillId="27" borderId="0" xfId="0" applyAlignment="1">
      <x:alignment wrapText="1"/>
    </x:xf>
    <x:xf numFmtId="0" fontId="8" fillId="23" borderId="0" xfId="0" applyAlignment="1">
      <x:alignment vertical="center" wrapText="1"/>
    </x:xf>
    <x:xf numFmtId="0" fontId="15" fillId="23" borderId="0" xfId="0" applyAlignment="1">
      <x:alignment vertical="center" wrapText="1"/>
    </x:xf>
    <x:xf numFmtId="0" fontId="15" fillId="23" borderId="0" xfId="0"/>
    <x:xf numFmtId="0" fontId="15" fillId="23" borderId="0" xfId="0" applyAlignment="1">
      <x:alignment wrapText="1"/>
    </x:xf>
    <x:xf numFmtId="0" fontId="15" fillId="23" borderId="0" xfId="0" applyAlignment="1">
      <x:alignment horizontal="center" vertical="center" wrapText="1"/>
    </x:xf>
    <x:xf numFmtId="0" fontId="15" fillId="23" borderId="0" xfId="0" applyAlignment="1">
      <x:alignment horizontal="center" wrapText="1"/>
    </x:xf>
    <x:xf numFmtId="0" fontId="5" fillId="23" borderId="0" xfId="0" applyAlignment="1">
      <x:alignment horizontal="center" vertical="center" wrapText="1"/>
    </x:xf>
    <x:xf numFmtId="0" fontId="3" fillId="23" borderId="0" xfId="0" applyAlignment="1">
      <x:alignment horizontal="left" vertical="center" wrapText="1"/>
    </x:xf>
    <x:xf numFmtId="0" fontId="17" fillId="23" borderId="0" xfId="0" applyAlignment="1">
      <x:alignment horizontal="left" vertical="center" wrapText="1"/>
    </x:xf>
    <x:xf numFmtId="0" fontId="4" fillId="23" borderId="0" xfId="0" applyAlignment="1">
      <x:alignment horizontal="left" vertical="center" wrapText="1"/>
    </x:xf>
    <x:xf numFmtId="0" fontId="15" fillId="23" borderId="0" xfId="0" applyAlignment="1">
      <x:alignment horizontal="left" vertical="center" wrapText="1"/>
    </x:xf>
    <x:xf numFmtId="0" fontId="0" fillId="23" borderId="0" xfId="0" applyAlignment="1">
      <x:alignment wrapText="1"/>
    </x:xf>
    <x:xf numFmtId="0" fontId="5" fillId="32" borderId="0" xfId="0" applyAlignment="1">
      <x:alignment horizontal="center" vertical="center" wrapText="1"/>
    </x:xf>
    <x:xf numFmtId="0" fontId="16" fillId="26" borderId="1" xfId="0" applyAlignment="1">
      <x:alignment vertical="center" wrapText="1"/>
    </x:xf>
    <x:xf numFmtId="0" fontId="2" fillId="3" borderId="1" xfId="0" applyAlignment="1">
      <x:alignment vertical="center" wrapText="1"/>
    </x:xf>
    <x:xf numFmtId="0" fontId="0" fillId="0" borderId="0" xfId="0" applyAlignment="1">
      <x:alignment vertical="center" wrapText="1"/>
    </x:xf>
    <x:xf numFmtId="0" fontId="17" fillId="27" borderId="1" xfId="0" applyAlignment="1">
      <x:alignment vertical="center" wrapText="1"/>
    </x:xf>
    <x:xf numFmtId="0" fontId="4" fillId="5" borderId="1" xfId="0" applyAlignment="1">
      <x:alignment vertical="center" wrapText="1"/>
    </x:xf>
    <x:xf numFmtId="0" fontId="3" fillId="4" borderId="1" xfId="0" applyAlignment="1">
      <x:alignment vertical="center" wrapText="1"/>
    </x:xf>
    <x:xf numFmtId="0" fontId="15" fillId="27" borderId="1" xfId="0" applyAlignment="1">
      <x:alignment vertical="center" wrapText="1"/>
    </x:xf>
    <x:xf numFmtId="0" fontId="12" fillId="22" borderId="1" xfId="0" applyAlignment="1">
      <x:alignment horizontal="center" vertical="center"/>
    </x:xf>
    <x:xf numFmtId="0" fontId="13" fillId="23" borderId="1" xfId="0" applyAlignment="1">
      <x:alignment vertical="center" wrapText="1"/>
    </x:xf>
    <x:xf numFmtId="0" fontId="15" fillId="26" borderId="1" xfId="0" applyAlignment="1">
      <x:alignment horizontal="center" vertical="center" wrapText="1"/>
    </x:xf>
    <x:xf numFmtId="0" fontId="15" fillId="27" borderId="1" xfId="0" applyAlignment="1">
      <x:alignment horizontal="center" vertical="center" wrapText="1"/>
    </x:xf>
    <x:xf numFmtId="164" fontId="0" fillId="0" borderId="0" xfId="0" applyAlignment="1">
      <x:alignment horizontal="center" vertical="center" wrapText="1"/>
    </x:xf>
    <x:xf numFmtId="167" fontId="0" fillId="0" borderId="0" xfId="0" applyAlignment="1">
      <x:alignment horizontal="center" vertical="center" wrapText="1"/>
    </x:xf>
    <x:xf numFmtId="3" fontId="0" fillId="0" borderId="0" xfId="0" applyAlignment="1">
      <x:alignment horizontal="center" vertical="center" wrapText="1"/>
    </x:xf>
    <x:xf numFmtId="3" fontId="10" fillId="13" borderId="0" xfId="0" applyAlignment="1">
      <x:alignment horizontal="center" vertical="center" wrapText="1"/>
    </x:xf>
    <x:xf numFmtId="167" fontId="10" fillId="13" borderId="0" xfId="0" applyAlignment="1">
      <x:alignment horizontal="center" vertical="center" wrapText="1"/>
    </x:xf>
    <x:xf numFmtId="166" fontId="0" fillId="0" borderId="0" xfId="0" applyAlignment="1">
      <x:alignment horizontal="left" vertical="center" wrapText="1"/>
    </x:xf>
    <x:xf numFmtId="3" fontId="0" fillId="0" borderId="0" xfId="0" applyAlignment="1">
      <x:alignment wrapText="1"/>
    </x:xf>
    <x:xf numFmtId="166" fontId="0" fillId="0" borderId="0" xfId="0" applyAlignment="1">
      <x:alignment wrapText="1"/>
    </x:xf>
    <x:xf numFmtId="168" fontId="0" fillId="0" borderId="0" xfId="0"/>
    <x:xf numFmtId="167" fontId="0" fillId="0" borderId="0" xfId="0"/>
    <x:xf numFmtId="166" fontId="0" fillId="0" borderId="0" xfId="0"/>
    <x:xf numFmtId="1" fontId="6" fillId="8" borderId="1" xfId="0" applyAlignment="1">
      <x:alignment horizontal="center" vertical="center"/>
    </x:xf>
    <x:xf numFmtId="167" fontId="6" fillId="8" borderId="1" xfId="0" applyAlignment="1">
      <x:alignment horizontal="center" vertical="center"/>
    </x:xf>
    <x:xf numFmtId="166" fontId="6" fillId="8" borderId="1" xfId="0" applyAlignment="1">
      <x:alignment horizontal="center" vertical="center"/>
    </x:xf>
    <x:xf numFmtId="165" fontId="5" fillId="6" borderId="0" xfId="0" applyAlignment="1">
      <x:alignment horizontal="center" vertical="center" wrapText="1"/>
    </x:xf>
    <x:xf numFmtId="166" fontId="5" fillId="6" borderId="0" xfId="0" applyAlignment="1">
      <x:alignment horizontal="center" vertical="center" wrapText="1"/>
    </x:xf>
    <x:xf numFmtId="166" fontId="0" fillId="0" borderId="0" xfId="0" applyAlignment="1">
      <x:alignment horizontal="center" vertical="center" wrapText="1"/>
    </x:xf>
    <x:xf numFmtId="3" fontId="5" fillId="6" borderId="0" xfId="0" applyAlignment="1">
      <x:alignment horizontal="center" vertical="center" wrapText="1"/>
    </x:xf>
    <x:xf numFmtId="167" fontId="5" fillId="6" borderId="0" xfId="0" applyAlignment="1">
      <x:alignment horizontal="center" vertical="center" wrapText="1"/>
    </x:xf>
    <x:xf numFmtId="165" fontId="0" fillId="0" borderId="0" xfId="0" applyAlignment="1">
      <x:alignment horizontal="center"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left" wrapText="1"/>
    </x:xf>
    <x:xf numFmtId="0" fontId="4" fillId="5" borderId="0" xfId="0" applyNumberFormat="1" applyFont="1" applyFill="1" applyBorder="1" applyAlignment="1">
      <x:alignment horizontal="lef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horizontal="center" wrapText="1"/>
    </x:xf>
    <x:xf numFmtId="0" fontId="5" fillId="6"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wrapText="1"/>
    </x:xf>
    <x:xf numFmtId="0" fontId="0" fillId="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164" fontId="0" fillId="0" borderId="0" xfId="0" applyNumberFormat="1" applyFont="1" applyFill="1" applyBorder="1" applyAlignment="1">
      <x:alignment horizontal="center" vertical="center" wrapText="1"/>
    </x:xf>
    <x:xf numFmtId="165" fontId="0" fillId="0" borderId="0" xfId="0" applyNumberFormat="1" applyFont="1" applyFill="1" applyBorder="1" applyAlignment="1">
      <x:alignment horizontal="center" vertical="center" wrapText="1"/>
    </x:xf>
    <x:xf numFmtId="166" fontId="0" fillId="0" borderId="0" xfId="0" applyNumberFormat="1" applyFont="1" applyFill="1" applyBorder="1" applyAlignment="1">
      <x:alignment horizontal="center" vertical="center" wrapText="1"/>
    </x:xf>
    <x:xf numFmtId="1" fontId="0" fillId="0" borderId="0" xfId="0" applyNumberFormat="1" applyFont="1" applyFill="1" applyBorder="1" applyAlignment="1">
      <x:alignment horizontal="center" vertical="center" wrapText="1"/>
    </x:xf>
    <x:xf numFmtId="1" fontId="0" fillId="7" borderId="0" xfId="0" applyNumberFormat="1" applyFont="1" applyFill="1" applyBorder="1" applyAlignment="1">
      <x:alignment horizontal="center" vertical="center" wrapText="1"/>
    </x:xf>
    <x:xf numFmtId="165" fontId="0" fillId="7" borderId="0" xfId="0" applyNumberFormat="1" applyFont="1" applyFill="1" applyBorder="1" applyAlignment="1">
      <x:alignment horizontal="center" vertical="center" wrapText="1"/>
    </x:xf>
    <x:xf numFmtId="166" fontId="0" fillId="7" borderId="0" xfId="0" applyNumberFormat="1" applyFont="1" applyFill="1" applyBorder="1" applyAlignment="1">
      <x:alignment horizontal="center" vertical="center" wrapText="1"/>
    </x:xf>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center" wrapText="1"/>
    </x:xf>
    <x:xf numFmtId="0" fontId="5" fillId="4" borderId="0" xfId="0" applyNumberFormat="1" applyFont="1" applyFill="1" applyBorder="1" applyAlignment="1">
      <x:alignment horizontal="center" vertical="center"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horizontal="center"/>
    </x:xf>
    <x:xf numFmtId="0" fontId="6" fillId="8" borderId="0" xfId="0" applyNumberFormat="1" applyFont="1" applyFill="1" applyBorder="1" applyAlignment="1">
      <x:alignment horizontal="center" vertical="center"/>
    </x:xf>
    <x:xf numFmtId="1" fontId="6" fillId="8" borderId="0" xfId="0" applyNumberFormat="1" applyFont="1" applyFill="1" applyBorder="1" applyAlignment="1">
      <x:alignment horizontal="center" vertical="center"/>
    </x:xf>
    <x:xf numFmtId="165" fontId="6" fillId="8" borderId="0" xfId="0" applyNumberFormat="1" applyFont="1" applyFill="1" applyBorder="1" applyAlignment="1">
      <x:alignment horizontal="center" vertical="center"/>
    </x:xf>
    <x:xf numFmtId="166" fontId="6" fillId="8" borderId="0" xfId="0" applyNumberFormat="1" applyFont="1" applyFill="1" applyBorder="1" applyAlignment="1">
      <x:alignment horizontal="center" vertical="center"/>
    </x:xf>
    <x:xf numFmtId="0" fontId="3" fillId="4"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5" fillId="6" borderId="0" xfId="0" applyNumberFormat="1" applyFont="1" applyFill="1" applyBorder="1" applyAlignment="1">
      <x:alignment horizontal="left" vertical="center" wrapText="1"/>
    </x:xf>
    <x:xf numFmtId="165" fontId="5" fillId="6" borderId="0" xfId="0" applyNumberFormat="1" applyFont="1" applyFill="1" applyBorder="1" applyAlignment="1">
      <x:alignment horizontal="center" vertical="center" wrapText="1"/>
    </x:xf>
    <x:xf numFmtId="165" fontId="3" fillId="4" borderId="0" xfId="0" applyNumberFormat="1" applyFont="1" applyFill="1" applyBorder="1" applyAlignment="1">
      <x:alignment horizontal="center" vertical="center" wrapText="1"/>
    </x:xf>
    <x:xf numFmtId="166" fontId="5" fillId="6" borderId="0" xfId="0" applyNumberFormat="1" applyFont="1" applyFill="1" applyBorder="1" applyAlignment="1">
      <x:alignment horizontal="center" vertical="center" wrapText="1"/>
    </x:xf>
    <x:xf numFmtId="166" fontId="3" fillId="4" borderId="0" xfId="0" applyNumberFormat="1" applyFont="1" applyFill="1" applyBorder="1" applyAlignment="1">
      <x:alignment horizontal="center" vertical="center" wrapText="1"/>
    </x:xf>
    <x:xf numFmtId="0" fontId="5" fillId="9" borderId="0" xfId="0" applyNumberFormat="1" applyFont="1" applyFill="1" applyBorder="1" applyAlignment="1">
      <x:alignment horizontal="center" vertical="center" wrapText="1"/>
    </x:xf>
    <x:xf numFmtId="0" fontId="2" fillId="10" borderId="0" xfId="0" applyNumberFormat="1" applyFont="1" applyFill="1" applyBorder="1" applyAlignment="1">
      <x:alignment horizontal="center" vertical="center" wrapText="1"/>
    </x:xf>
    <x:xf numFmtId="0" fontId="7" fillId="10" borderId="0" xfId="0" applyNumberFormat="1" applyFont="1" applyFill="1" applyBorder="1" applyAlignment="1">
      <x:alignment horizontal="center" vertical="center" wrapText="1"/>
    </x:xf>
    <x:xf numFmtId="0" fontId="0" fillId="10" borderId="0" xfId="0" applyNumberFormat="1" applyFont="1" applyFill="1" applyBorder="1"/>
    <x:xf numFmtId="0" fontId="8" fillId="10" borderId="0" xfId="0" applyNumberFormat="1" applyFont="1" applyFill="1" applyBorder="1"/>
    <x:xf numFmtId="0" fontId="8" fillId="10" borderId="0" xfId="0" applyNumberFormat="1" applyFont="1" applyFill="1" applyBorder="1" applyAlignment="1">
      <x:alignment wrapText="1"/>
    </x:xf>
    <x:xf numFmtId="0" fontId="8" fillId="10" borderId="0" xfId="0" applyNumberFormat="1" applyFont="1" applyFill="1" applyBorder="1" applyAlignment="1">
      <x:alignment vertical="center" wrapText="1"/>
    </x:xf>
    <x:xf numFmtId="0" fontId="5" fillId="13" borderId="0" xfId="0" applyNumberFormat="1" applyFont="1" applyFill="1" applyBorder="1" applyAlignment="1">
      <x:alignment horizontal="center" vertical="center" wrapText="1"/>
    </x:xf>
    <x:xf numFmtId="166" fontId="0" fillId="13" borderId="0" xfId="0" applyNumberFormat="1" applyFont="1" applyFill="1" applyBorder="1" applyAlignment="1">
      <x:alignment horizontal="center" vertical="center" wrapText="1"/>
    </x:xf>
    <x:xf numFmtId="0" fontId="9" fillId="13" borderId="0" xfId="0" applyNumberFormat="1" applyFont="1" applyFill="1" applyBorder="1" applyAlignment="1">
      <x:alignment horizontal="center" vertical="center" wrapText="1"/>
    </x:xf>
    <x:xf numFmtId="166" fontId="10" fillId="13" borderId="0" xfId="0" applyNumberFormat="1" applyFont="1" applyFill="1" applyBorder="1" applyAlignment="1">
      <x:alignment horizontal="center" vertical="center" wrapText="1"/>
    </x:xf>
    <x:xf numFmtId="0" fontId="9" fillId="14" borderId="0" xfId="0" applyNumberFormat="1" applyFont="1" applyFill="1" applyBorder="1" applyAlignment="1">
      <x:alignment horizontal="center" vertical="center" wrapText="1"/>
    </x:xf>
    <x:xf numFmtId="0" fontId="5" fillId="14" borderId="0" xfId="0" applyNumberFormat="1" applyFont="1" applyFill="1" applyBorder="1" applyAlignment="1">
      <x:alignment horizontal="center" vertical="center" wrapText="1"/>
    </x:xf>
    <x:xf numFmtId="0" fontId="0" fillId="13" borderId="0" xfId="0" applyNumberFormat="1" applyFont="1" applyFill="1" applyBorder="1" applyAlignment="1">
      <x:alignment horizontal="center" vertical="center" wrapText="1"/>
    </x:xf>
    <x:xf numFmtId="0" fontId="10" fillId="13" borderId="0" xfId="0" applyNumberFormat="1" applyFont="1" applyFill="1" applyBorder="1" applyAlignment="1">
      <x:alignment horizontal="center" vertical="center" wrapText="1"/>
    </x:xf>
    <x:xf numFmtId="1" fontId="0" fillId="13" borderId="0" xfId="0" applyNumberFormat="1" applyFont="1" applyFill="1" applyBorder="1" applyAlignment="1">
      <x:alignment horizontal="center" vertical="center" wrapText="1"/>
    </x:xf>
    <x:xf numFmtId="1" fontId="10" fillId="13" borderId="0" xfId="0" applyNumberFormat="1" applyFont="1" applyFill="1" applyBorder="1" applyAlignment="1">
      <x:alignment horizontal="center" vertical="center" wrapText="1"/>
    </x:xf>
    <x:xf numFmtId="165" fontId="0" fillId="13" borderId="0" xfId="0" applyNumberFormat="1" applyFont="1" applyFill="1" applyBorder="1" applyAlignment="1">
      <x:alignment horizontal="center" vertical="center" wrapText="1"/>
    </x:xf>
    <x:xf numFmtId="165" fontId="10" fillId="1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10" borderId="0" xfId="0" applyNumberFormat="1" applyFont="1" applyFill="1" applyBorder="1" applyAlignment="1">
      <x:alignment horizontal="center" vertical="center" wrapText="1"/>
    </x:xf>
    <x:xf numFmtId="0" fontId="11" fillId="10" borderId="0" xfId="0" applyNumberFormat="1" applyFont="1" applyFill="1" applyBorder="1" applyAlignment="1">
      <x:alignment horizontal="center" vertical="center" wrapText="1"/>
    </x:xf>
    <x:xf numFmtId="167" fontId="1" fillId="2" borderId="0" xfId="0" applyNumberFormat="1" applyFont="1" applyFill="1" applyBorder="1" applyAlignment="1">
      <x:alignment horizontal="center" vertical="center"/>
    </x:xf>
    <x:xf numFmtId="166" fontId="1" fillId="2" borderId="0" xfId="0" applyNumberFormat="1" applyFont="1" applyFill="1" applyBorder="1" applyAlignment="1">
      <x:alignment horizontal="center" vertical="center"/>
    </x:xf>
    <x:xf numFmtId="1" fontId="1" fillId="2" borderId="0" xfId="0" applyNumberFormat="1" applyFont="1" applyFill="1" applyBorder="1" applyAlignment="1">
      <x:alignment horizontal="center" vertical="center"/>
    </x:xf>
    <x:xf numFmtId="168" fontId="1" fillId="2" borderId="0" xfId="0" applyNumberFormat="1" applyFont="1" applyFill="1" applyBorder="1" applyAlignment="1">
      <x:alignment horizontal="center" vertical="center"/>
    </x:xf>
    <x:xf numFmtId="167" fontId="0" fillId="0" borderId="0" xfId="0" applyNumberFormat="1" applyFont="1" applyFill="1" applyBorder="1" applyAlignment="1">
      <x:alignment horizontal="center" vertical="center" wrapText="1"/>
    </x:xf>
    <x:xf numFmtId="167" fontId="0" fillId="0" borderId="0" xfId="0" applyNumberFormat="1" applyFont="1" applyFill="1" applyBorder="1"/>
    <x:xf numFmtId="167" fontId="10" fillId="13" borderId="0" xfId="0" applyNumberFormat="1" applyFont="1" applyFill="1" applyBorder="1" applyAlignment="1">
      <x:alignment horizontal="center" vertical="center" wrapText="1"/>
    </x:xf>
    <x:xf numFmtId="166" fontId="0" fillId="0" borderId="0" xfId="0" applyNumberFormat="1" applyFont="1" applyFill="1" applyBorder="1"/>
    <x:xf numFmtId="168" fontId="0" fillId="0" borderId="0" xfId="0" applyNumberFormat="1" applyFont="1" applyFill="1" applyBorder="1" applyAlignment="1">
      <x:alignment horizontal="center" vertical="center" wrapText="1"/>
    </x:xf>
    <x:xf numFmtId="168" fontId="0" fillId="0" borderId="0" xfId="0" applyNumberFormat="1" applyFont="1" applyFill="1" applyBorder="1"/>
    <x:xf numFmtId="0" fontId="1" fillId="22" borderId="0" xfId="0" applyNumberFormat="1" applyFont="1" applyFill="1" applyBorder="1" applyAlignment="1">
      <x:alignment horizontal="center" vertical="center"/>
    </x:xf>
    <x:xf numFmtId="168" fontId="1" fillId="22" borderId="0" xfId="0" applyNumberFormat="1" applyFont="1" applyFill="1" applyBorder="1" applyAlignment="1">
      <x:alignment horizontal="center" vertical="center"/>
    </x:xf>
    <x:xf numFmtId="167" fontId="1" fillId="22" borderId="0" xfId="0" applyNumberFormat="1" applyFont="1" applyFill="1" applyBorder="1" applyAlignment="1">
      <x:alignment horizontal="center" vertical="center"/>
    </x:xf>
    <x:xf numFmtId="166" fontId="1" fillId="22" borderId="0" xfId="0" applyNumberFormat="1" applyFont="1" applyFill="1" applyBorder="1" applyAlignment="1">
      <x:alignment horizontal="center" vertical="center"/>
    </x:xf>
    <x:xf numFmtId="1" fontId="1" fillId="22" borderId="0" xfId="0" applyNumberFormat="1" applyFont="1" applyFill="1" applyBorder="1" applyAlignment="1">
      <x:alignment horizontal="center" vertical="center"/>
    </x:xf>
    <x:xf numFmtId="0" fontId="0" fillId="22" borderId="0" xfId="0" applyNumberFormat="1" applyFont="1" applyFill="1" applyBorder="1"/>
    <x:xf numFmtId="0" fontId="12" fillId="22" borderId="0" xfId="0" applyNumberFormat="1" applyFont="1" applyFill="1" applyBorder="1" applyAlignment="1">
      <x:alignment horizontal="center" vertical="center"/>
    </x:xf>
    <x:xf numFmtId="168" fontId="12" fillId="22" borderId="0" xfId="0" applyNumberFormat="1" applyFont="1" applyFill="1" applyBorder="1" applyAlignment="1">
      <x:alignment horizontal="center" vertical="center"/>
    </x:xf>
    <x:xf numFmtId="167" fontId="12" fillId="22" borderId="0" xfId="0" applyNumberFormat="1" applyFont="1" applyFill="1" applyBorder="1" applyAlignment="1">
      <x:alignment horizontal="center" vertical="center"/>
    </x:xf>
    <x:xf numFmtId="166" fontId="12" fillId="22" borderId="0" xfId="0" applyNumberFormat="1" applyFont="1" applyFill="1" applyBorder="1" applyAlignment="1">
      <x:alignment horizontal="center" vertical="center"/>
    </x:xf>
    <x:xf numFmtId="1" fontId="12" fillId="22" borderId="0" xfId="0" applyNumberFormat="1" applyFont="1" applyFill="1" applyBorder="1" applyAlignment="1">
      <x:alignment horizontal="center" vertical="center"/>
    </x:xf>
    <x:xf numFmtId="0" fontId="12" fillId="22" borderId="0" xfId="0" applyNumberFormat="1" applyFont="1" applyFill="1" applyBorder="1"/>
    <x:xf numFmtId="0" fontId="12" fillId="22" borderId="0" xfId="0" applyNumberFormat="1" applyFont="1" applyFill="1" applyBorder="1" applyAlignment="1">
      <x:alignment horizontal="center"/>
    </x:xf>
    <x:xf numFmtId="0" fontId="7" fillId="23" borderId="0" xfId="0" applyNumberFormat="1" applyFont="1" applyFill="1" applyBorder="1" applyAlignment="1">
      <x:alignment horizontal="center" vertical="center" wrapText="1"/>
    </x:xf>
    <x:xf numFmtId="0" fontId="0" fillId="23" borderId="0" xfId="0" applyNumberFormat="1" applyFont="1" applyFill="1" applyBorder="1"/>
    <x:xf numFmtId="0" fontId="13" fillId="23" borderId="0" xfId="0" applyNumberFormat="1" applyFont="1" applyFill="1" applyBorder="1" applyAlignment="1">
      <x:alignment horizontal="center" vertical="center" wrapText="1"/>
    </x:xf>
    <x:xf numFmtId="0" fontId="14" fillId="23" borderId="0" xfId="0" applyNumberFormat="1" applyFont="1" applyFill="1" applyBorder="1"/>
    <x:xf numFmtId="0" fontId="14" fillId="23" borderId="0" xfId="0" applyNumberFormat="1" applyFont="1" applyFill="1" applyBorder="1" applyAlignment="1">
      <x:alignment wrapText="1"/>
    </x:xf>
    <x:xf numFmtId="0" fontId="13" fillId="23" borderId="0" xfId="0" applyNumberFormat="1" applyFont="1" applyFill="1" applyBorder="1" applyAlignment="1">
      <x:alignment horizontal="left" vertical="center" wrapText="1"/>
    </x:xf>
    <x:xf numFmtId="0" fontId="14" fillId="23" borderId="0" xfId="0" applyNumberFormat="1" applyFont="1" applyFill="1" applyBorder="1" applyAlignment="1">
      <x:alignment horizontal="left" wrapText="1"/>
    </x:xf>
    <x:xf numFmtId="0" fontId="5" fillId="24" borderId="0" xfId="0" applyNumberFormat="1" applyFont="1" applyFill="1" applyBorder="1" applyAlignment="1">
      <x:alignment horizontal="center" vertical="center" wrapText="1"/>
    </x:xf>
    <x:xf numFmtId="0" fontId="0" fillId="24" borderId="0" xfId="0" applyNumberFormat="1" applyFont="1" applyFill="1" applyBorder="1"/>
    <x:xf numFmtId="0" fontId="5" fillId="24" borderId="0" xfId="0" applyNumberFormat="1" applyFont="1" applyFill="1" applyBorder="1"/>
    <x:xf numFmtId="0" fontId="5" fillId="24" borderId="0" xfId="0" applyNumberFormat="1" applyFont="1" applyFill="1" applyBorder="1" applyAlignment="1">
      <x:alignment wrapText="1"/>
    </x:xf>
    <x:xf numFmtId="0" fontId="5" fillId="24" borderId="0" xfId="0" applyNumberFormat="1" applyFont="1" applyFill="1" applyBorder="1" applyAlignment="1">
      <x:alignment horizontal="center" wrapText="1"/>
    </x:xf>
    <x:xf numFmtId="166" fontId="0" fillId="0" borderId="0" xfId="0" applyNumberFormat="1" applyFont="1" applyFill="1" applyBorder="1" applyAlignment="1">
      <x:alignment horizontal="left" vertical="center" wrapText="1"/>
    </x:xf>
    <x:xf numFmtId="166" fontId="0" fillId="0" borderId="0" xfId="0" applyNumberFormat="1" applyFont="1" applyFill="1" applyBorder="1" applyAlignment="1">
      <x:alignment wrapText="1"/>
    </x:xf>
    <x:xf numFmtId="3" fontId="0" fillId="0" borderId="0" xfId="0" applyNumberFormat="1" applyFont="1" applyFill="1" applyBorder="1" applyAlignment="1">
      <x:alignment horizontal="center" vertical="center" wrapText="1"/>
    </x:xf>
    <x:xf numFmtId="3" fontId="10" fillId="13" borderId="0" xfId="0" applyNumberFormat="1" applyFont="1" applyFill="1" applyBorder="1" applyAlignment="1">
      <x:alignment horizontal="center" vertical="center" wrapText="1"/>
    </x:xf>
    <x:xf numFmtId="3" fontId="0" fillId="0" borderId="0" xfId="0" applyNumberFormat="1" applyFont="1" applyFill="1" applyBorder="1" applyAlignment="1">
      <x:alignment wrapText="1"/>
    </x:xf>
    <x:xf numFmtId="0" fontId="11" fillId="22" borderId="0" xfId="0" applyNumberFormat="1" applyFont="1" applyFill="1" applyBorder="1" applyAlignment="1">
      <x:alignment horizontal="center" vertical="center" wrapText="1"/>
    </x:xf>
    <x:xf numFmtId="0" fontId="12" fillId="22" borderId="0" xfId="0" applyNumberFormat="1" applyFont="1" applyFill="1" applyBorder="1" applyAlignment="1">
      <x:alignment horizontal="center" vertical="center" wrapText="1"/>
    </x:xf>
    <x:xf numFmtId="167" fontId="6" fillId="8" borderId="0" xfId="0" applyNumberFormat="1" applyFont="1" applyFill="1" applyBorder="1" applyAlignment="1">
      <x:alignment horizontal="center" vertical="center"/>
    </x:xf>
    <x:xf numFmtId="3" fontId="3" fillId="4" borderId="0" xfId="0" applyNumberFormat="1" applyFont="1" applyFill="1" applyBorder="1" applyAlignment="1">
      <x:alignment horizontal="center" vertical="center" wrapText="1"/>
    </x:xf>
    <x:xf numFmtId="3" fontId="5" fillId="6" borderId="0" xfId="0" applyNumberFormat="1" applyFont="1" applyFill="1" applyBorder="1" applyAlignment="1">
      <x:alignment horizontal="center" vertical="center" wrapText="1"/>
    </x:xf>
    <x:xf numFmtId="167" fontId="3" fillId="4" borderId="0" xfId="0" applyNumberFormat="1" applyFont="1" applyFill="1" applyBorder="1" applyAlignment="1">
      <x:alignment horizontal="center" vertical="center" wrapText="1"/>
    </x:xf>
    <x:xf numFmtId="167" fontId="5" fillId="6" borderId="0" xfId="0" applyNumberFormat="1" applyFont="1" applyFill="1" applyBorder="1" applyAlignment="1">
      <x:alignment horizontal="center" vertical="center" wrapText="1"/>
    </x:xf>
    <x:xf numFmtId="0" fontId="8" fillId="26" borderId="0" xfId="0" applyNumberFormat="1" applyFont="1" applyFill="1" applyBorder="1" applyAlignment="1">
      <x:alignment vertical="center" wrapText="1"/>
    </x:xf>
    <x:xf numFmtId="0" fontId="15" fillId="26" borderId="0" xfId="0" applyNumberFormat="1" applyFont="1" applyFill="1" applyBorder="1" applyAlignment="1">
      <x:alignment vertical="center" wrapText="1"/>
    </x:xf>
    <x:xf numFmtId="0" fontId="15" fillId="26" borderId="0" xfId="0" applyNumberFormat="1" applyFont="1" applyFill="1" applyBorder="1" applyAlignment="1">
      <x:alignment horizontal="center" vertical="center" wrapText="1"/>
    </x:xf>
    <x:xf numFmtId="0" fontId="8" fillId="23" borderId="0" xfId="0" applyNumberFormat="1" applyFont="1" applyFill="1" applyBorder="1" applyAlignment="1">
      <x:alignment vertical="center" wrapText="1"/>
    </x:xf>
    <x:xf numFmtId="0" fontId="15" fillId="23" borderId="0" xfId="0" applyNumberFormat="1" applyFont="1" applyFill="1" applyBorder="1" applyAlignment="1">
      <x:alignment vertical="center" wrapText="1"/>
    </x:xf>
    <x:xf numFmtId="0" fontId="15" fillId="23" borderId="0" xfId="0" applyNumberFormat="1" applyFont="1" applyFill="1" applyBorder="1"/>
    <x:xf numFmtId="0" fontId="15" fillId="23" borderId="0" xfId="0" applyNumberFormat="1" applyFont="1" applyFill="1" applyBorder="1" applyAlignment="1">
      <x:alignment wrapText="1"/>
    </x:xf>
    <x:xf numFmtId="0" fontId="15" fillId="23" borderId="0" xfId="0" applyNumberFormat="1" applyFont="1" applyFill="1" applyBorder="1" applyAlignment="1">
      <x:alignment horizontal="center" vertical="center" wrapText="1"/>
    </x:xf>
    <x:xf numFmtId="0" fontId="15" fillId="23" borderId="0" xfId="0" applyNumberFormat="1" applyFont="1" applyFill="1" applyBorder="1" applyAlignment="1">
      <x:alignment horizontal="center" wrapText="1"/>
    </x:xf>
    <x:xf numFmtId="0" fontId="5" fillId="28" borderId="0" xfId="0" applyNumberFormat="1" applyFont="1" applyFill="1" applyBorder="1" applyAlignment="1">
      <x:alignment horizontal="center" vertical="center" wrapText="1"/>
    </x:xf>
    <x:xf numFmtId="0" fontId="5" fillId="29" borderId="0" xfId="0" applyNumberFormat="1" applyFont="1" applyFill="1" applyBorder="1" applyAlignment="1">
      <x:alignment horizontal="center" vertical="center" wrapText="1"/>
    </x:xf>
    <x:xf numFmtId="0" fontId="5" fillId="30" borderId="0" xfId="0" applyNumberFormat="1" applyFont="1" applyFill="1" applyBorder="1" applyAlignment="1">
      <x:alignment horizontal="center" vertical="center" wrapText="1"/>
    </x:xf>
    <x:xf numFmtId="0" fontId="5" fillId="31" borderId="0" xfId="0" applyNumberFormat="1" applyFont="1" applyFill="1" applyBorder="1" applyAlignment="1">
      <x:alignment horizontal="center" vertical="center" wrapText="1"/>
    </x:xf>
    <x:xf numFmtId="0" fontId="5" fillId="23" borderId="0" xfId="0" applyNumberFormat="1" applyFont="1" applyFill="1" applyBorder="1" applyAlignment="1">
      <x:alignment horizontal="center" vertical="center" wrapText="1"/>
    </x:xf>
    <x:xf numFmtId="0" fontId="12" fillId="26" borderId="0" xfId="0" applyNumberFormat="1" applyFont="1" applyFill="1" applyBorder="1" applyAlignment="1">
      <x:alignment horizontal="center" vertical="center" wrapText="1"/>
    </x:xf>
    <x:xf numFmtId="0" fontId="16" fillId="26" borderId="0" xfId="0" applyNumberFormat="1" applyFont="1" applyFill="1" applyBorder="1" applyAlignment="1">
      <x:alignment horizontal="center" vertical="center" wrapText="1"/>
    </x:xf>
    <x:xf numFmtId="0" fontId="3" fillId="23" borderId="0" xfId="0" applyNumberFormat="1" applyFont="1" applyFill="1" applyBorder="1" applyAlignment="1">
      <x:alignment horizontal="left" vertical="center" wrapText="1"/>
    </x:xf>
    <x:xf numFmtId="0" fontId="17" fillId="23" borderId="0" xfId="0" applyNumberFormat="1" applyFont="1" applyFill="1" applyBorder="1" applyAlignment="1">
      <x:alignment horizontal="left" vertical="center" wrapText="1"/>
    </x:xf>
    <x:xf numFmtId="0" fontId="4" fillId="23" borderId="0" xfId="0" applyNumberFormat="1" applyFont="1" applyFill="1" applyBorder="1" applyAlignment="1">
      <x:alignment horizontal="left" vertical="center" wrapText="1"/>
    </x:xf>
    <x:xf numFmtId="0" fontId="15" fillId="23" borderId="0" xfId="0" applyNumberFormat="1" applyFont="1" applyFill="1" applyBorder="1" applyAlignment="1">
      <x:alignment horizontal="left" vertical="center" wrapText="1"/>
    </x:xf>
    <x:xf numFmtId="0" fontId="0" fillId="23" borderId="0" xfId="0" applyNumberFormat="1" applyFont="1" applyFill="1" applyBorder="1" applyAlignment="1">
      <x:alignment wrapText="1"/>
    </x:xf>
    <x:xf numFmtId="0" fontId="5" fillId="32" borderId="0" xfId="0" applyNumberFormat="1" applyFont="1" applyFill="1" applyBorder="1" applyAlignment="1">
      <x:alignment horizontal="center" vertical="center" wrapText="1"/>
    </x:xf>
    <x:xf numFmtId="0" fontId="16" fillId="26" borderId="0" xfId="0" applyNumberFormat="1" applyFont="1" applyFill="1" applyBorder="1" applyAlignment="1">
      <x:alignment vertical="center" wrapText="1"/>
    </x:xf>
    <x:xf numFmtId="0" fontId="2" fillId="3"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17" fillId="23" borderId="0" xfId="0" applyNumberFormat="1" applyFont="1" applyFill="1" applyBorder="1" applyAlignment="1">
      <x:alignment vertical="center" wrapText="1"/>
    </x:xf>
    <x:xf numFmtId="0" fontId="4" fillId="5"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13" fillId="23" borderId="0" xfId="0" applyNumberFormat="1" applyFont="1" applyFill="1" applyBorder="1" applyAlignment="1">
      <x:alignment vertical="center" wrapText="1"/>
    </x:xf>
    <x:xf numFmtId="0" fontId="5" fillId="33" borderId="0" xfId="0" applyNumberFormat="1" applyFont="1" applyFill="1" applyBorder="1" applyAlignment="1">
      <x:alignment horizontal="center" vertical="center" wrapText="1"/>
    </x:xf>
  </x:cellXfs>
  <x:cellStyles count="1">
    <x:cellStyle name="Normal" xfId="0"/>
  </x:cellStyles>
  <x:dxfs count="17">
    <x:dxf>
      <x:font>
        <x:b/>
        <x:color rgb="FF274E13"/>
      </x:font>
      <x:fill>
        <x:patternFill>
          <x:bgColor rgb="FFD9EAD3"/>
        </x:patternFill>
      </x:fill>
    </x:dxf>
    <x:dxf>
      <x:font>
        <x:b/>
        <x:color rgb="FF7F6000"/>
      </x:font>
      <x:fill>
        <x:patternFill>
          <x:bgColor rgb="FFFFF2CC"/>
        </x:patternFill>
      </x:fill>
    </x:dxf>
    <x:dxf>
      <x:font>
        <x:b/>
        <x:color rgb="FF990000"/>
      </x:font>
      <x:fill>
        <x:patternFill>
          <x:bgColor rgb="FFF4CCCC"/>
        </x:patternFill>
      </x:fill>
    </x:dxf>
    <x:dxf>
      <x:font>
        <x:b/>
        <x:color rgb="FF990000"/>
      </x:font>
      <x:fill>
        <x:patternFill>
          <x:bgColor rgb="FFF4CCCC"/>
        </x:patternFill>
      </x:fill>
    </x:dxf>
    <x:dxf>
      <x:font>
        <x:b/>
        <x:color rgb="FF134F5C"/>
      </x:font>
      <x:fill>
        <x:patternFill>
          <x:bgColor rgb="FFD9EAF7"/>
        </x:patternFill>
      </x:fill>
    </x:dxf>
    <x:dxf>
      <x:font>
        <x:b/>
        <x:color rgb="FF008000"/>
      </x:font>
    </x:dxf>
    <x:dxf>
      <x:font>
        <x:b/>
        <x:color rgb="FF000000"/>
      </x:font>
    </x:dxf>
    <x:dxf>
      <x:font>
        <x:b/>
        <x:color rgb="FFC00000"/>
      </x:font>
    </x:dxf>
    <x:dxf>
      <x:font>
        <x:b/>
        <x:color rgb="FF008000"/>
      </x:font>
    </x:dxf>
    <x:dxf>
      <x:font>
        <x:b/>
        <x:color rgb="FF000000"/>
      </x:font>
    </x:dxf>
    <x:dxf>
      <x:font>
        <x:b/>
        <x:color rgb="FFC00000"/>
      </x:font>
    </x:dxf>
    <x:dxf>
      <x:font>
        <x:color rgb="FF00B050"/>
      </x:font>
    </x:dxf>
    <x:dxf>
      <x:font>
        <x:color rgb="FF000000"/>
      </x:font>
    </x:dxf>
    <x:dxf>
      <x:font>
        <x:color rgb="FFC00000"/>
      </x:font>
    </x:dxf>
    <x:dxf>
      <x:font>
        <x:color rgb="FF00B050"/>
      </x:font>
    </x:dxf>
    <x:dxf>
      <x:font>
        <x:color rgb="FF000000"/>
      </x:font>
    </x:dxf>
    <x:dxf>
      <x:font>
        <x:color rgb="FFC00000"/>
      </x:font>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09491813f574f91" /><Relationship Type="http://schemas.openxmlformats.org/officeDocument/2006/relationships/theme" Target="/xl/theme/theme1.xml" Id="R75fe1128d76c49db" /><Relationship Type="http://schemas.openxmlformats.org/officeDocument/2006/relationships/sharedStrings" Target="/xl/sharedStrings.xml" Id="R9bef7a876d0c4083" /><Relationship Type="http://schemas.openxmlformats.org/officeDocument/2006/relationships/worksheet" Target="/xl/worksheets/sheet1.xml" Id="R8823fb16930d45aa" /><Relationship Type="http://schemas.openxmlformats.org/officeDocument/2006/relationships/worksheet" Target="/xl/worksheets/sheet2.xml" Id="Rf53f5faeb3f6439f" /><Relationship Type="http://schemas.openxmlformats.org/officeDocument/2006/relationships/worksheet" Target="/xl/worksheets/sheet3.xml" Id="R835b99be613f4502" /><Relationship Type="http://schemas.openxmlformats.org/officeDocument/2006/relationships/worksheet" Target="/xl/worksheets/sheet4.xml" Id="R801b07439a244be3" /><Relationship Type="http://schemas.openxmlformats.org/officeDocument/2006/relationships/worksheet" Target="/xl/worksheets/sheet5.xml" Id="R6cb5681a7e5d4dd2" /></Relationships>
</file>

<file path=xl/drawings/_rels/drawing1.xml.rels>&#65279;<?xml version="1.0" encoding="utf-8"?><Relationships xmlns="http://schemas.openxmlformats.org/package/2006/relationships"><Relationship Type="http://schemas.openxmlformats.org/officeDocument/2006/relationships/chart" Target="/xl/drawings/charts/chart1.xml" Id="R91a195edeb2f49ab" /></Relationships>
</file>

<file path=xl/drawings/_rels/drawing2.xml.rels>&#65279;<?xml version="1.0" encoding="utf-8"?><Relationships xmlns="http://schemas.openxmlformats.org/package/2006/relationships"><Relationship Type="http://schemas.openxmlformats.org/officeDocument/2006/relationships/chart" Target="/xl/drawings/charts/chart2.xml" Id="Rf8d6e8c9a96c4aa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grouping val="clustered"/>
        <c:varyColors val="0"/>
        <c:ser>
          <c:idx val="0"/>
          <c:order val="0"/>
          <c:tx>
            <c:v>Games</c:v>
          </c:tx>
          <c:spPr>
            <a:ln xmlns:a="http://schemas.openxmlformats.org/drawingml/2006/main">
              <a:prstDash val="solid"/>
            </a:ln>
          </c:spPr>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grouping val="clustered"/>
        <c:varyColors val="0"/>
        <c:ser>
          <c:idx val="0"/>
          <c:order val="0"/>
          <c:tx>
            <c:v>Games</c:v>
          </c:tx>
          <c:spPr>
            <a:ln xmlns:a="http://schemas.openxmlformats.org/drawingml/2006/main">
              <a:prstDash val="solid"/>
            </a:ln>
          </c:spPr>
          <c:cat>
            <c:strRef>
              <c:f>'Game Comparisons'!$A$6:$A$7</c:f>
              <c:strCache>
                <c:ptCount val="0"/>
              </c:strCache>
            </c:strRef>
          </c:cat>
          <c:val>
            <c:numRef>
              <c:f>'Game Comparisons'!$B$6:$B$7</c:f>
              <c:numCache>
                <c:formatCode>General</c:formatCode>
                <c:ptCount val="0"/>
              </c:numCache>
            </c:numRef>
          </c:val>
        </c:ser>
        <c:ser>
          <c:idx val="1"/>
          <c:order val="1"/>
          <c:tx>
            <c:v>Total Net Profit</c:v>
          </c:tx>
          <c:spPr>
            <a:ln xmlns:a="http://schemas.openxmlformats.org/drawingml/2006/main">
              <a:prstDash val="solid"/>
            </a:ln>
          </c:spPr>
          <c:cat>
            <c:strRef>
              <c:f>'Game Comparisons'!$A$6:$A$7</c:f>
              <c:strCache>
                <c:ptCount val="0"/>
              </c:strCache>
            </c:strRef>
          </c:cat>
          <c:val>
            <c:numRef>
              <c:f>'Game Comparisons'!$C$6:$C$7</c:f>
              <c:numCache>
                <c:formatCode>General</c:formatCode>
                <c:ptCount val="0"/>
              </c:numCache>
            </c:numRef>
          </c:val>
        </c:ser>
        <c:ser>
          <c:idx val="2"/>
          <c:order val="2"/>
          <c:tx>
            <c:v>Average Net Profit</c:v>
          </c:tx>
          <c:spPr>
            <a:ln xmlns:a="http://schemas.openxmlformats.org/drawingml/2006/main">
              <a:prstDash val="solid"/>
            </a:ln>
          </c:spPr>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1a195edeb2f49ab"/>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8d6e8c9a96c4aa2"/>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6cc0714d62c43bb" /></Relationships>
</file>

<file path=xl/worksheets/_rels/sheet3.xml.rels>&#65279;<?xml version="1.0" encoding="utf-8"?><Relationships xmlns="http://schemas.openxmlformats.org/package/2006/relationships"><Relationship Type="http://schemas.openxmlformats.org/officeDocument/2006/relationships/drawing" Target="/xl/drawings/drawing1.xml" Id="R3e3a9505355f49d5" /></Relationships>
</file>

<file path=xl/worksheets/_rels/sheet4.xml.rels>&#65279;<?xml version="1.0" encoding="utf-8"?><Relationships xmlns="http://schemas.openxmlformats.org/package/2006/relationships"><Relationship Type="http://schemas.openxmlformats.org/officeDocument/2006/relationships/drawing" Target="/xl/drawings/drawing2.xml" Id="R899eff49b98f42ce" /></Relationships>
</file>

<file path=xl/worksheets/sheet1.xml><?xml version="1.0" encoding="utf-8"?>
<x:worksheet xmlns:x="http://schemas.openxmlformats.org/spreadsheetml/2006/main">
  <x:sheetFormatPr baseColWidth="8" defaultRowHeight="15"/>
  <x:cols>
    <x:col min="1" max="1" width="100" style="106" customWidth="1"/>
    <x:col min="2" max="2" width="14" style="106" customWidth="1"/>
    <x:col min="3" max="3" width="14" style="106" customWidth="1"/>
    <x:col min="4" max="4" width="14" style="106" customWidth="1"/>
    <x:col min="5" max="5" width="14" style="106" customWidth="1"/>
    <x:col min="6" max="6" width="14" style="106" customWidth="1"/>
    <x:col min="7" max="7" width="14" style="106" customWidth="1"/>
    <x:col min="8" max="8" width="14" style="106" customWidth="1"/>
  </x:cols>
  <x:sheetData>
    <x:row r="1" s="106" customFormat="1" ht="21.600000381469727" customHeight="1">
      <x:c r="A1" s="239" t="inlineStr">
        <x:is>
          <x:t xml:space="preserve">StepCat v205 Profitability Analysis Template</x:t>
        </x:is>
      </x:c>
      <x:c r="B1" s="1" t="n"/>
      <x:c r="C1" s="1" t="n"/>
      <x:c r="D1" s="1" t="n"/>
      <x:c r="E1" s="1" t="n"/>
      <x:c r="F1" s="1" t="n"/>
      <x:c r="G1" s="1" t="n"/>
      <x:c r="H1" s="1" t="n"/>
      <x:c r="I1" s="178" t="n"/>
      <x:c r="J1" s="178" t="n"/>
      <x:c r="K1" s="178" t="n"/>
      <x:c r="L1" s="178" t="n"/>
      <x:c r="M1" s="178" t="n"/>
      <x:c r="N1" s="178" t="n"/>
      <x:c r="O1" s="178" t="n"/>
      <x:c r="P1" s="178" t="n"/>
      <x:c r="Q1" s="178" t="n"/>
      <x:c r="R1" s="178" t="n"/>
      <x:c r="S1" s="178" t="n"/>
      <x:c r="T1" s="178" t="n"/>
      <x:c r="U1" s="178" t="n"/>
      <x:c r="V1" s="178" t="n"/>
      <x:c r="W1" s="178" t="n"/>
      <x:c r="X1" s="178" t="n"/>
      <x:c r="Y1" s="178" t="n"/>
      <x:c r="Z1" s="178" t="n"/>
    </x:row>
    <x:row r="2" s="106" customFormat="1" ht="15" customHeight="1">
      <x:c r="A2" s="240" t="inlineStr">
        <x:is>
          <x:t xml:space="preserve">Final spreadsheet template with added formulas for direct estimate, finalized, disqualified, and comparison updates.</x:t>
        </x:is>
      </x:c>
      <x:c r="B2" s="1" t="n"/>
      <x:c r="C2" s="1" t="n"/>
      <x:c r="D2" s="1" t="n"/>
      <x:c r="E2" s="1" t="n"/>
      <x:c r="F2" s="1" t="n"/>
      <x:c r="G2" s="1" t="n"/>
      <x:c r="H2" s="1" t="n"/>
    </x:row>
    <x:row r="3" s="106" customFormat="1" ht="15" customHeight="1">
      <x:c r="A3" s="241" t="n"/>
    </x:row>
    <x:row r="4" s="106" customFormat="1" ht="15" customHeight="1">
      <x:c r="A4" s="242" t="inlineStr">
        <x:is>
          <x:t xml:space="preserve">1. Where to paste</x:t>
        </x:is>
      </x:c>
      <x:c r="B4" s="1" t="n"/>
      <x:c r="C4" s="1" t="n"/>
      <x:c r="D4" s="1" t="n"/>
      <x:c r="E4" s="1" t="n"/>
      <x:c r="F4" s="1" t="n"/>
      <x:c r="G4" s="1" t="n"/>
      <x:c r="H4" s="1" t="n"/>
    </x:row>
    <x:row r="5" s="106" customFormat="1" ht="15" customHeight="1">
      <x:c r="A5" s="243" t="inlineStr">
        <x:is>
          <x:t xml:space="preserve">• Row 3 labels the two main areas: Paste / Edit Inputs and Spreadsheet Formulas.</x:t>
        </x:is>
      </x:c>
      <x:c r="B5" s="1" t="n"/>
      <x:c r="C5" s="1" t="n"/>
      <x:c r="D5" s="1" t="n"/>
      <x:c r="E5" s="1" t="n"/>
      <x:c r="F5" s="1" t="n"/>
      <x:c r="G5" s="1" t="n"/>
      <x:c r="H5" s="1" t="n"/>
    </x:row>
    <x:row r="6" s="106" customFormat="1" ht="15" customHeight="1">
      <x:c r="A6" s="243" t="inlineStr">
        <x:is>
          <x:t xml:space="preserve">• Row 4 is the header row.</x:t>
        </x:is>
      </x:c>
      <x:c r="B6" s="1" t="n"/>
      <x:c r="C6" s="1" t="n"/>
      <x:c r="D6" s="1" t="n"/>
      <x:c r="E6" s="1" t="n"/>
      <x:c r="F6" s="1" t="n"/>
      <x:c r="G6" s="1" t="n"/>
      <x:c r="H6" s="1" t="n"/>
    </x:row>
    <x:row r="7" s="106" customFormat="1" ht="15" customHeight="1">
      <x:c r="A7" s="243" t="inlineStr">
        <x:is>
          <x:t xml:space="preserve">• Row 5 and below are for game records.</x:t>
        </x:is>
      </x:c>
      <x:c r="B7" s="1" t="n"/>
      <x:c r="C7" s="1" t="n"/>
      <x:c r="D7" s="1" t="n"/>
      <x:c r="E7" s="1" t="n"/>
      <x:c r="F7" s="1" t="n"/>
      <x:c r="G7" s="1" t="n"/>
      <x:c r="H7" s="1" t="n"/>
    </x:row>
    <x:row r="8" s="106" customFormat="1" ht="15" customHeight="1">
      <x:c r="A8" s="241" t="inlineStr">
        <x:is>
          <x:t xml:space="preserve">• Paste StepCat result rows starting in A5.</x:t>
        </x:is>
      </x:c>
    </x:row>
    <x:row r="9" s="106" customFormat="1" ht="15" customHeight="1">
      <x:c r="A9" s="244" t="inlineStr">
        <x:is>
          <x:t xml:space="preserve">• Copy This Sheet Row fills columns A through M only.</x:t>
        </x:is>
      </x:c>
      <x:c r="B9" s="1" t="n"/>
      <x:c r="C9" s="1" t="n"/>
      <x:c r="D9" s="1" t="n"/>
      <x:c r="E9" s="1" t="n"/>
      <x:c r="F9" s="1" t="n"/>
      <x:c r="G9" s="1" t="n"/>
      <x:c r="H9" s="1" t="n"/>
    </x:row>
    <x:row r="10" s="106" customFormat="1" ht="15" customHeight="1">
      <x:c r="A10" s="243" t="inlineStr">
        <x:is>
          <x:t xml:space="preserve">• Columns N through Y contain formulas that update from the entered row information.</x:t>
        </x:is>
      </x:c>
      <x:c r="B10" s="1" t="n"/>
      <x:c r="C10" s="1" t="n"/>
      <x:c r="D10" s="1" t="n"/>
      <x:c r="E10" s="1" t="n"/>
      <x:c r="F10" s="1" t="n"/>
      <x:c r="G10" s="1" t="n"/>
      <x:c r="H10" s="1" t="n"/>
    </x:row>
    <x:row r="11" s="106" customFormat="1" ht="15" customHeight="1">
      <x:c r="A11" s="243" t="inlineStr">
        <x:is>
          <x:t xml:space="preserve">• Moving from an older spreadsheet? Paste old game information into columns A through M only.</x:t>
        </x:is>
      </x:c>
      <x:c r="B11" s="1" t="n"/>
      <x:c r="C11" s="1" t="n"/>
      <x:c r="D11" s="1" t="n"/>
      <x:c r="E11" s="1" t="n"/>
      <x:c r="F11" s="1" t="n"/>
      <x:c r="G11" s="1" t="n"/>
      <x:c r="H11" s="1" t="n"/>
    </x:row>
    <x:row r="12" s="106" customFormat="1" ht="15" customHeight="1">
      <x:c r="A12" s="243" t="inlineStr">
        <x:is>
          <x:t xml:space="preserve">• Do not paste over formula columns N through Y unless you intentionally want to replace the v205 formulas and result colors.</x:t>
        </x:is>
      </x:c>
      <x:c r="B12" s="1" t="n"/>
      <x:c r="C12" s="1" t="n"/>
      <x:c r="D12" s="1" t="n"/>
      <x:c r="E12" s="1" t="n"/>
      <x:c r="F12" s="1" t="n"/>
      <x:c r="G12" s="1" t="n"/>
      <x:c r="H12" s="1" t="n"/>
    </x:row>
    <x:row r="13" s="106" customFormat="1" ht="26.399999618530273" customHeight="1">
      <x:c r="A13" s="245" t="inlineStr">
        <x:is>
          <x:t xml:space="preserve">2. Updating entries directly in the spreadsheet</x:t>
        </x:is>
      </x:c>
      <x:c r="B13" s="1" t="n"/>
      <x:c r="C13" s="1" t="n"/>
      <x:c r="D13" s="1" t="n"/>
      <x:c r="E13" s="1" t="n"/>
      <x:c r="F13" s="1" t="n"/>
      <x:c r="G13" s="1" t="n"/>
      <x:c r="H13" s="1" t="n"/>
    </x:row>
    <x:row r="14" s="106" customFormat="1" ht="15" customHeight="1">
      <x:c r="A14" s="243" t="inlineStr">
        <x:is>
          <x:t xml:space="preserve">• Paste app rows into Game Records starting at A5. The app fills input columns A through M only.</x:t>
        </x:is>
      </x:c>
      <x:c r="B14" s="1" t="n"/>
      <x:c r="C14" s="1" t="n"/>
      <x:c r="D14" s="1" t="n"/>
      <x:c r="E14" s="1" t="n"/>
      <x:c r="F14" s="1" t="n"/>
      <x:c r="G14" s="1" t="n"/>
      <x:c r="H14" s="1" t="n"/>
    </x:row>
    <x:row r="15" s="106" customFormat="1" ht="15" customHeight="1">
      <x:c r="A15" s="241" t="inlineStr">
        <x:is>
          <x:t xml:space="preserve">• For estimates, Final Earned stays blank by design. The sheet uses Estimated Earned until a final amount is entered later.</x:t>
        </x:is>
      </x:c>
    </x:row>
    <x:row r="16" s="106" customFormat="1" ht="28.799999237060547" customHeight="1">
      <x:c r="A16" s="244" t="inlineStr">
        <x:is>
          <x:t xml:space="preserve">• When a challenge finalizes, type the returned amount into Final Earned and, if needed, change Entry Mode to Finalized.</x:t>
        </x:is>
      </x:c>
      <x:c r="B16" s="1" t="n"/>
      <x:c r="C16" s="1" t="n"/>
      <x:c r="D16" s="1" t="n"/>
      <x:c r="E16" s="1" t="n"/>
      <x:c r="F16" s="1" t="n"/>
      <x:c r="G16" s="1" t="n"/>
      <x:c r="H16" s="1" t="n"/>
    </x:row>
    <x:row r="17" s="106" customFormat="1" ht="26.399999618530273" customHeight="1">
      <x:c r="A17" s="243" t="inlineStr">
        <x:is>
          <x:t xml:space="preserve">• Gross Pot, Eligible Players, and Total Players may stay filled on finalized rows so estimate and player-comparison columns continue to calculate.</x:t>
        </x:is>
      </x:c>
      <x:c r="B17" s="1" t="n"/>
      <x:c r="C17" s="1" t="n"/>
      <x:c r="D17" s="1" t="n"/>
      <x:c r="E17" s="1" t="n"/>
      <x:c r="F17" s="1" t="n"/>
      <x:c r="G17" s="1" t="n"/>
      <x:c r="H17" s="1" t="n"/>
    </x:row>
    <x:row r="18" s="106" customFormat="1" ht="15" customHeight="1">
      <x:c r="A18" s="243" t="inlineStr">
        <x:is>
          <x:t xml:space="preserve">• If the entry was disqualified, set Disqualified / Lost Entry Fee to Yes. The sheet records a full Entry Fee loss and ignores Final Earned.</x:t>
        </x:is>
      </x:c>
      <x:c r="B18" s="1" t="n"/>
      <x:c r="C18" s="1" t="n"/>
      <x:c r="D18" s="1" t="n"/>
      <x:c r="E18" s="1" t="n"/>
      <x:c r="F18" s="1" t="n"/>
      <x:c r="G18" s="1" t="n"/>
      <x:c r="H18" s="1" t="n"/>
    </x:row>
    <x:row r="19" s="106" customFormat="1" ht="15" customHeight="1">
      <x:c r="A19" s="243" t="inlineStr">
        <x:is>
          <x:t xml:space="preserve">• Profit, Draw, Lost, ROI, Result, Net Profit, and comparison summaries update from the input columns.</x:t>
        </x:is>
      </x:c>
      <x:c r="B19" s="1" t="n"/>
      <x:c r="C19" s="1" t="n"/>
      <x:c r="D19" s="1" t="n"/>
      <x:c r="E19" s="1" t="n"/>
      <x:c r="F19" s="1" t="n"/>
      <x:c r="G19" s="1" t="n"/>
      <x:c r="H19" s="1" t="n"/>
    </x:row>
    <x:row r="20" s="106" customFormat="1" ht="15" customHeight="1">
      <x:c r="A20" s="245" t="inlineStr">
        <x:is>
          <x:t xml:space="preserve">3. Result rules</x:t>
        </x:is>
      </x:c>
      <x:c r="B20" s="1" t="n"/>
      <x:c r="C20" s="1" t="n"/>
      <x:c r="D20" s="1" t="n"/>
      <x:c r="E20" s="1" t="n"/>
      <x:c r="F20" s="1" t="n"/>
      <x:c r="G20" s="1" t="n"/>
      <x:c r="H20" s="1" t="n"/>
    </x:row>
    <x:row r="21" s="106" customFormat="1" ht="15" customHeight="1">
      <x:c r="A21" s="243" t="inlineStr">
        <x:is>
          <x:t xml:space="preserve">• Profit = Earned above Entry Fee.</x:t>
        </x:is>
      </x:c>
      <x:c r="B21" s="1" t="n"/>
      <x:c r="C21" s="1" t="n"/>
      <x:c r="D21" s="1" t="n"/>
      <x:c r="E21" s="1" t="n"/>
      <x:c r="F21" s="1" t="n"/>
      <x:c r="G21" s="1" t="n"/>
      <x:c r="H21" s="1" t="n"/>
    </x:row>
    <x:row r="22" s="106" customFormat="1" ht="15" customHeight="1">
      <x:c r="A22" s="243" t="inlineStr">
        <x:is>
          <x:t xml:space="preserve">• Draw = Earned equal to or below Entry Fee.</x:t>
        </x:is>
      </x:c>
      <x:c r="B22" s="1" t="n"/>
      <x:c r="C22" s="1" t="n"/>
      <x:c r="D22" s="1" t="n"/>
      <x:c r="E22" s="1" t="n"/>
      <x:c r="F22" s="1" t="n"/>
      <x:c r="G22" s="1" t="n"/>
      <x:c r="H22" s="1" t="n"/>
    </x:row>
    <x:row r="23" s="106" customFormat="1" ht="15" customHeight="1">
      <x:c r="A23" s="243" t="inlineStr">
        <x:is>
          <x:t xml:space="preserve">• Lost = full Entry Fee lost only when Disqualified / Lost Entry Fee is Yes.</x:t>
        </x:is>
      </x:c>
      <x:c r="B23" s="1" t="n"/>
      <x:c r="C23" s="1" t="n"/>
      <x:c r="D23" s="1" t="n"/>
      <x:c r="E23" s="1" t="n"/>
      <x:c r="F23" s="1" t="n"/>
      <x:c r="G23" s="1" t="n"/>
      <x:c r="H23" s="1" t="n"/>
    </x:row>
    <x:row r="24" s="106" customFormat="1" ht="15" customHeight="1">
      <x:c r="A24" s="241" t="inlineStr">
        <x:is>
          <x:t xml:space="preserve">• StepCat does not calculate partial losses for eligible entries.</x:t>
        </x:is>
      </x:c>
    </x:row>
    <x:row r="25" s="106" customFormat="1" ht="15" customHeight="1">
      <x:c r="A25" s="244" t="n"/>
      <x:c r="B25" s="1" t="n"/>
      <x:c r="C25" s="1" t="n"/>
      <x:c r="D25" s="1" t="n"/>
      <x:c r="E25" s="1" t="n"/>
      <x:c r="F25" s="1" t="n"/>
      <x:c r="G25" s="1" t="n"/>
      <x:c r="H25" s="1" t="n"/>
    </x:row>
    <x:row r="26" s="106" customFormat="1" ht="15" customHeight="1">
      <x:c r="A26" s="245" t="inlineStr">
        <x:is>
          <x:t xml:space="preserve">4. Formula columns</x:t>
        </x:is>
      </x:c>
      <x:c r="B26" s="1" t="n"/>
      <x:c r="C26" s="1" t="n"/>
      <x:c r="D26" s="1" t="n"/>
      <x:c r="E26" s="1" t="n"/>
      <x:c r="F26" s="1" t="n"/>
      <x:c r="G26" s="1" t="n"/>
      <x:c r="H26" s="1" t="n"/>
    </x:row>
    <x:row r="27" s="106" customFormat="1" ht="15" customHeight="1">
      <x:c r="A27" s="243" t="inlineStr">
        <x:is>
          <x:t xml:space="preserve">• Formula columns are N = Adjusted Pot, O = Estimated Earned, P = Earned Used, Q = Profit, R = Draw, S = Lost, T = ROI, U = Result, V = Challenge Length, W = Net Profit, X = Eliminated Players, and Y = Elimination Rate.</x:t>
        </x:is>
      </x:c>
      <x:c r="B27" s="1" t="n"/>
      <x:c r="C27" s="1" t="n"/>
      <x:c r="D27" s="1" t="n"/>
      <x:c r="E27" s="1" t="n"/>
      <x:c r="F27" s="1" t="n"/>
      <x:c r="G27" s="1" t="n"/>
      <x:c r="H27" s="1" t="n"/>
    </x:row>
    <x:row r="28" s="106" customFormat="1" ht="15" customHeight="1">
      <x:c r="A28" s="243" t="inlineStr">
        <x:is>
          <x:t xml:space="preserve">• Formula cells may look empty, but they are not the same as blank cells.</x:t>
        </x:is>
      </x:c>
      <x:c r="B28" s="1" t="n"/>
      <x:c r="C28" s="1" t="n"/>
      <x:c r="D28" s="1" t="n"/>
      <x:c r="E28" s="1" t="n"/>
      <x:c r="F28" s="1" t="n"/>
      <x:c r="G28" s="1" t="n"/>
      <x:c r="H28" s="1" t="n"/>
    </x:row>
    <x:row r="29" s="106" customFormat="1" ht="15" customHeight="1">
      <x:c r="A29" s="241" t="inlineStr">
        <x:is>
          <x:t xml:space="preserve">• Total Players is optional. Eliminated Players and Elimination Rate stay blank unless Total Players is entered.</x:t>
        </x:is>
      </x:c>
    </x:row>
    <x:row r="30" s="106" customFormat="1" ht="15" customHeight="1">
      <x:c r="A30" s="244" t="inlineStr">
        <x:is>
          <x:t xml:space="preserve">• If a formula is missing, copy it from another working row in the same column.</x:t>
        </x:is>
      </x:c>
      <x:c r="B30" s="1" t="n"/>
      <x:c r="C30" s="1" t="n"/>
      <x:c r="D30" s="1" t="n"/>
      <x:c r="E30" s="1" t="n"/>
      <x:c r="F30" s="1" t="n"/>
      <x:c r="G30" s="1" t="n"/>
      <x:c r="H30" s="1" t="n"/>
    </x:row>
    <x:row r="31" s="106" customFormat="1" ht="15" customHeight="1">
      <x:c r="A31" s="243" t="n"/>
      <x:c r="B31" s="1" t="n"/>
      <x:c r="C31" s="1" t="n"/>
      <x:c r="D31" s="1" t="n"/>
      <x:c r="E31" s="1" t="n"/>
      <x:c r="F31" s="1" t="n"/>
      <x:c r="G31" s="1" t="n"/>
      <x:c r="H31" s="1" t="n"/>
    </x:row>
    <x:row r="32" s="106" customFormat="1" ht="15" customHeight="1">
      <x:c r="A32" s="245" t="inlineStr">
        <x:is>
          <x:t xml:space="preserve">5. User-entered columns</x:t>
        </x:is>
      </x:c>
      <x:c r="B32" s="1" t="n"/>
      <x:c r="C32" s="1" t="n"/>
      <x:c r="D32" s="1" t="n"/>
      <x:c r="E32" s="1" t="n"/>
      <x:c r="F32" s="1" t="n"/>
      <x:c r="G32" s="1" t="n"/>
      <x:c r="H32" s="1" t="n"/>
    </x:row>
    <x:row r="33" s="106" customFormat="1" ht="15" customHeight="1">
      <x:c r="A33" s="243" t="inlineStr">
        <x:is>
          <x:t xml:space="preserve">• A through M are the safe paste/edit input columns, including when moving rows from an older spreadsheet.</x:t>
        </x:is>
      </x:c>
      <x:c r="B33" s="1" t="n"/>
      <x:c r="C33" s="1" t="n"/>
      <x:c r="D33" s="1" t="n"/>
      <x:c r="E33" s="1" t="n"/>
      <x:c r="F33" s="1" t="n"/>
      <x:c r="G33" s="1" t="n"/>
      <x:c r="H33" s="1" t="n"/>
    </x:row>
    <x:row r="34" s="106" customFormat="1" ht="15" customHeight="1">
      <x:c r="A34" s="241" t="inlineStr">
        <x:is>
          <x:t xml:space="preserve">• Entry Mode should be Estimate or Finalized.</x:t>
        </x:is>
      </x:c>
    </x:row>
    <x:row r="35" s="106" customFormat="1" ht="15" customHeight="1">
      <x:c r="A35" s="241" t="inlineStr">
        <x:is>
          <x:t xml:space="preserve">• Final Earned is optional for estimates and should be typed later after the challenge finalizes. It should remain blank for Disqualified entries.</x:t>
        </x:is>
      </x:c>
    </x:row>
    <x:row r="36" s="106" customFormat="1" ht="15" customHeight="1">
      <x:c r="A36" s="241" t="inlineStr">
        <x:is>
          <x:t xml:space="preserve">• Disqualified / Lost Entry Fee should be Yes only when the full Entry Fee was lost.</x:t>
        </x:is>
      </x:c>
    </x:row>
    <x:row r="37" s="106" customFormat="1" ht="15" customHeight="1">
      <x:c r="A37" s="241" t="inlineStr">
        <x:is>
          <x:t xml:space="preserve">• Gross Pot, Eligible Players, and Total Players can remain populated on finalized rows for comparison.</x:t>
        </x:is>
      </x:c>
    </x:row>
    <x:row r="38" s="106" customFormat="1" ht="15" customHeight="1">
      <x:c r="A38" s="241" t="inlineStr">
        <x:is>
          <x:t xml:space="preserve">• Gross Pot, Entry Fee, player counts, and Final Earned can be updated directly in the row.</x:t>
        </x:is>
      </x:c>
    </x:row>
    <x:row r="39" s="106" customFormat="1" ht="15" customHeight="1">
      <x:c r="A39" s="241" t="n"/>
    </x:row>
    <x:row r="40" s="106" customFormat="1" ht="15" customHeight="1">
      <x:c r="A40" s="209" t="inlineStr">
        <x:is>
          <x:t xml:space="preserve">6. Player counts</x:t>
        </x:is>
      </x:c>
    </x:row>
    <x:row r="41" s="106" customFormat="1" ht="15" customHeight="1">
      <x:c r="A41" s="241" t="inlineStr">
        <x:is>
          <x:t xml:space="preserve">• Total Players = everyone who entered the challenge.</x:t>
        </x:is>
      </x:c>
    </x:row>
    <x:row r="42" s="106" customFormat="1" ht="15" customHeight="1">
      <x:c r="A42" s="241" t="inlineStr">
        <x:is>
          <x:t xml:space="preserve">• Eligible Players = players still eligible to win / not disqualified.</x:t>
        </x:is>
      </x:c>
    </x:row>
    <x:row r="43" s="106" customFormat="1" ht="15" customHeight="1">
      <x:c r="A43" s="241" t="inlineStr">
        <x:is>
          <x:t xml:space="preserve">• Eligible Players drives payout estimates. Total Players is context for tracking eliminations.</x:t>
        </x:is>
      </x:c>
    </x:row>
    <x:row r="44" s="106" customFormat="1" ht="15" customHeight="1">
      <x:c r="A44" s="241" t="n"/>
    </x:row>
    <x:row r="45" s="106" customFormat="1" ht="15" customHeight="1">
      <x:c r="A45" s="209" t="inlineStr">
        <x:is>
          <x:t xml:space="preserve">7. Warm-up week estimate tip</x:t>
        </x:is>
      </x:c>
    </x:row>
    <x:row r="46" s="106" customFormat="1" ht="15" customHeight="1">
      <x:c r="A46" s="241" t="inlineStr">
        <x:is>
          <x:t xml:space="preserve">• For best estimate accuracy, add challenges after warm-up week ends.</x:t>
        </x:is>
      </x:c>
    </x:row>
    <x:row r="47" s="106" customFormat="1" ht="15" customHeight="1">
      <x:c r="A47" s="241" t="inlineStr">
        <x:is>
          <x:t xml:space="preserve">• Gross Pot and Total Players are usually more reliable after warm-up week.</x:t>
        </x:is>
      </x:c>
    </x:row>
    <x:row r="48" s="106" customFormat="1" ht="15" customHeight="1">
      <x:c r="A48" s="241" t="inlineStr">
        <x:is>
          <x:t xml:space="preserve">• Update Eligible Players as the challenge progresses.</x:t>
        </x:is>
      </x:c>
    </x:row>
    <x:row r="49" s="106" customFormat="1" ht="15" customHeight="1">
      <x:c r="A49" s="241" t="n"/>
    </x:row>
    <x:row r="50" s="106" customFormat="1" ht="15" customHeight="1">
      <x:c r="A50" s="209" t="inlineStr">
        <x:is>
          <x:t xml:space="preserve">8. What updates automatically</x:t>
        </x:is>
      </x:c>
    </x:row>
    <x:row r="51" s="106" customFormat="1" ht="15" customHeight="1">
      <x:c r="A51" s="241" t="inlineStr">
        <x:is>
          <x:t xml:space="preserve">• Summary shows totals, averages, and result rates.</x:t>
        </x:is>
      </x:c>
    </x:row>
    <x:row r="52" s="106" customFormat="1" ht="15" customHeight="1">
      <x:c r="A52" s="241" t="inlineStr">
        <x:is>
          <x:t xml:space="preserve">• Game Comparisons compares game type, challenge length, entry fee, payment type, player ranges, and elimination rates.</x:t>
        </x:is>
      </x:c>
    </x:row>
    <x:row r="53" s="106" customFormat="1" ht="15" customHeight="1">
      <x:c r="A53" s="241" t="inlineStr">
        <x:is>
          <x:t xml:space="preserve">• Best Results lists the highest Net Profit and ROI values.</x:t>
        </x:is>
      </x:c>
    </x:row>
    <x:row r="54" s="106" customFormat="1" ht="15" customHeight="1">
      <x:c r="A54" s="241" t="n"/>
    </x:row>
    <x:row r="55" s="106" customFormat="1" ht="15" customHeight="1">
      <x:c r="A55" s="241" t="inlineStr">
        <x:is>
          <x:t xml:space="preserve">The official posted game result should always be treated as authoritative.</x:t>
        </x:is>
      </x:c>
    </x:row>
    <x:row r="56" s="106" customFormat="1" ht="15" customHeight="1">
      <x:c r="A56" s="48" t="n"/>
    </x:row>
    <x:row r="57" s="106" customFormat="1" ht="15" customHeight="1">
      <x:c r="A57" s="48" t="n"/>
    </x:row>
    <x:row r="58" s="106" customFormat="1" ht="15" customHeight="1">
      <x:c r="A58" s="48" t="n"/>
    </x:row>
    <x:row r="59" s="106" customFormat="1" ht="15" customHeight="1">
      <x:c r="A59" s="48" t="n"/>
    </x:row>
    <x:row r="60" s="106" customFormat="1" ht="15" customHeight="1">
      <x:c r="A60" s="48" t="n"/>
    </x:row>
  </x:sheetData>
  <x:mergeCells>
    <x:mergeCell ref="A9:H9"/>
    <x:mergeCell ref="A30:H30"/>
    <x:mergeCell ref="A11:H11"/>
    <x:mergeCell ref="A1:H1"/>
    <x:mergeCell ref="A6:H6"/>
    <x:mergeCell ref="A7:H7"/>
    <x:mergeCell ref="A25:H25"/>
    <x:mergeCell ref="A16:H16"/>
    <x:mergeCell ref="A27:H27"/>
    <x:mergeCell ref="A12:H12"/>
    <x:mergeCell ref="A18:H18"/>
    <x:mergeCell ref="A26:H26"/>
    <x:mergeCell ref="A21:H21"/>
    <x:mergeCell ref="A2:H2"/>
    <x:mergeCell ref="A33:H33"/>
    <x:mergeCell ref="A14:H14"/>
    <x:mergeCell ref="A5:H5"/>
    <x:mergeCell ref="A23:H23"/>
    <x:mergeCell ref="A32:H32"/>
    <x:mergeCell ref="A22:H22"/>
    <x:mergeCell ref="A17:H17"/>
    <x:mergeCell ref="A4:H4"/>
    <x:mergeCell ref="A20:H20"/>
    <x:mergeCell ref="A10:H10"/>
    <x:mergeCell ref="A28:H28"/>
    <x:mergeCell ref="A13:H13"/>
    <x:mergeCell ref="A19:H19"/>
    <x:mergeCell ref="A31:H3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22" style="106" customWidth="1"/>
    <x:col min="2" max="2" width="12" style="106" customWidth="1"/>
    <x:col min="3" max="3" width="12" style="106" customWidth="1"/>
    <x:col min="4" max="4" width="14" style="106" customWidth="1"/>
    <x:col min="5" max="5" width="15" style="106" customWidth="1"/>
    <x:col min="6" max="6" width="16" style="106" customWidth="1"/>
    <x:col min="7" max="7" width="14" style="106" customWidth="1"/>
    <x:col min="8" max="8" width="12" style="106" customWidth="1"/>
    <x:col min="9" max="9" width="14" style="106" customWidth="1"/>
    <x:col min="10" max="10" width="12" style="106" customWidth="1"/>
    <x:col min="11" max="11" width="14" style="106" customWidth="1"/>
    <x:col min="12" max="12" width="21" style="106" customWidth="1"/>
    <x:col min="13" max="13" width="24" style="106" customWidth="1"/>
    <x:col min="14" max="14" width="14" style="106" customWidth="1"/>
    <x:col min="15" max="15" width="15" style="106" customWidth="1"/>
    <x:col min="16" max="16" width="13" style="106" customWidth="1"/>
    <x:col min="17" max="17" width="12" style="106" customWidth="1"/>
    <x:col min="18" max="18" width="11" style="106" customWidth="1"/>
    <x:col min="19" max="19" width="11" style="106" customWidth="1"/>
    <x:col min="20" max="20" width="10" style="106" customWidth="1"/>
    <x:col min="21" max="21" width="15" style="106" customWidth="1"/>
    <x:col min="22" max="22" width="17" style="106" customWidth="1"/>
    <x:col min="23" max="23" width="12" style="106" customWidth="1"/>
    <x:col min="24" max="24" width="15" style="106" customWidth="1"/>
    <x:col min="25" max="25" width="14" style="106" customWidth="1"/>
  </x:cols>
  <x:sheetData>
    <x:row r="1" s="106" customFormat="1" ht="32" customHeight="1">
      <x:c r="A1" s="246" t="inlineStr">
        <x:is>
          <x:t xml:space="preserve">Game Records - StepCat v205</x:t>
        </x:is>
      </x:c>
      <x:c r="B1" s="1" t="n"/>
      <x:c r="C1" s="1" t="n"/>
      <x:c r="D1" s="1" t="n"/>
      <x:c r="E1" s="1" t="n"/>
      <x:c r="F1" s="1" t="n"/>
      <x:c r="G1" s="1" t="n"/>
      <x:c r="H1" s="1" t="n"/>
      <x:c r="I1" s="1" t="n"/>
      <x:c r="J1" s="1" t="n"/>
      <x:c r="K1" s="1" t="n"/>
      <x:c r="L1" s="1" t="n"/>
      <x:c r="M1" s="1" t="n"/>
      <x:c r="N1" s="1" t="n"/>
      <x:c r="O1" s="1" t="n"/>
      <x:c r="P1" s="1" t="n"/>
      <x:c r="Q1" s="1" t="n"/>
      <x:c r="R1" s="1" t="n"/>
      <x:c r="S1" s="1" t="n"/>
      <x:c r="T1" s="1" t="n"/>
      <x:c r="U1" s="1" t="n"/>
      <x:c r="V1" s="1" t="n"/>
      <x:c r="W1" s="1" t="n"/>
      <x:c r="X1" s="178" t="n"/>
      <x:c r="Y1" s="178" t="n"/>
    </x:row>
    <x:row r="2" s="106" customFormat="1" ht="22" customHeight="1">
      <x:c r="A2" s="247" t="inlineStr">
        <x:is>
          <x:t xml:space="preserve">Paste StepCat rows into input columns A through M starting in A5. Moving from an older spreadsheet? Paste old game information into A through M only. Do not paste over N through Y; those columns contain the final v205 formulas and result colors.</x:t>
        </x:is>
      </x:c>
      <x:c r="B2" s="1" t="n"/>
      <x:c r="C2" s="1" t="n"/>
      <x:c r="D2" s="1" t="n"/>
      <x:c r="E2" s="1" t="n"/>
      <x:c r="F2" s="1" t="n"/>
      <x:c r="G2" s="1" t="n"/>
      <x:c r="H2" s="1" t="n"/>
      <x:c r="I2" s="1" t="n"/>
      <x:c r="J2" s="1" t="n"/>
      <x:c r="K2" s="1" t="n"/>
      <x:c r="L2" s="1" t="n"/>
      <x:c r="M2" s="1" t="n"/>
      <x:c r="N2" s="1" t="n"/>
      <x:c r="O2" s="1" t="n"/>
      <x:c r="P2" s="1" t="n"/>
      <x:c r="Q2" s="1" t="n"/>
      <x:c r="R2" s="1" t="n"/>
      <x:c r="S2" s="1" t="n"/>
      <x:c r="T2" s="1" t="n"/>
      <x:c r="U2" s="1" t="n"/>
      <x:c r="V2" s="1" t="n"/>
      <x:c r="W2" s="1" t="n"/>
      <x:c r="X2" s="185" t="n"/>
      <x:c r="Y2" s="185" t="n"/>
    </x:row>
    <x:row r="3" s="106" customFormat="1" ht="22" customHeight="1">
      <x:c r="A3" s="248" t="inlineStr">
        <x:is>
          <x:t xml:space="preserve">PASTE / EDIT INPUTS</x:t>
        </x:is>
      </x:c>
      <x:c r="B3" s="1" t="n"/>
      <x:c r="C3" s="1" t="n"/>
      <x:c r="D3" s="1" t="n"/>
      <x:c r="E3" s="1" t="n"/>
      <x:c r="F3" s="1" t="n"/>
      <x:c r="G3" s="1" t="n"/>
      <x:c r="H3" s="1" t="n"/>
      <x:c r="I3" s="1" t="n"/>
      <x:c r="J3" s="1" t="n"/>
      <x:c r="K3" s="1" t="n"/>
      <x:c r="L3" s="1" t="n"/>
      <x:c r="M3" s="1" t="n"/>
      <x:c r="N3" s="249" t="inlineStr">
        <x:is>
          <x:t xml:space="preserve">SPREADSHEET FORMULAS</x:t>
        </x:is>
      </x:c>
      <x:c r="O3" s="1" t="n"/>
      <x:c r="P3" s="1" t="n"/>
      <x:c r="Q3" s="1" t="n"/>
      <x:c r="R3" s="1" t="n"/>
      <x:c r="S3" s="1" t="n"/>
      <x:c r="T3" s="1" t="n"/>
      <x:c r="U3" s="1" t="n"/>
      <x:c r="V3" s="1" t="n"/>
      <x:c r="W3" s="1" t="n"/>
      <x:c r="X3" s="1" t="n"/>
      <x:c r="Y3" s="1" t="n"/>
    </x:row>
    <x:row r="4" s="106" customFormat="1" ht="40" customHeight="1">
      <x:c r="A4" s="214" t="inlineStr">
        <x:is>
          <x:t xml:space="preserve">Game Name</x:t>
        </x:is>
      </x:c>
      <x:c r="B4" s="214" t="inlineStr">
        <x:is>
          <x:t xml:space="preserve">Start Date</x:t>
        </x:is>
      </x:c>
      <x:c r="C4" s="214" t="inlineStr">
        <x:is>
          <x:t xml:space="preserve">End Date</x:t>
        </x:is>
      </x:c>
      <x:c r="D4" s="214" t="inlineStr">
        <x:is>
          <x:t xml:space="preserve">Entry Mode</x:t>
        </x:is>
      </x:c>
      <x:c r="E4" s="214" t="inlineStr">
        <x:is>
          <x:t xml:space="preserve">Game Type</x:t>
        </x:is>
      </x:c>
      <x:c r="F4" s="214" t="inlineStr">
        <x:is>
          <x:t xml:space="preserve">Payment Type</x:t>
        </x:is>
      </x:c>
      <x:c r="G4" s="215" t="inlineStr">
        <x:is>
          <x:t xml:space="preserve">Gross Pot</x:t>
        </x:is>
      </x:c>
      <x:c r="H4" s="215" t="inlineStr">
        <x:is>
          <x:t xml:space="preserve">Entry Fee</x:t>
        </x:is>
      </x:c>
      <x:c r="I4" s="215" t="inlineStr">
        <x:is>
          <x:t xml:space="preserve">Eligible Players</x:t>
        </x:is>
      </x:c>
      <x:c r="J4" s="215" t="inlineStr">
        <x:is>
          <x:t xml:space="preserve">Total Players</x:t>
        </x:is>
      </x:c>
      <x:c r="K4" s="216" t="inlineStr">
        <x:is>
          <x:t xml:space="preserve">Final Earned</x:t>
        </x:is>
      </x:c>
      <x:c r="L4" s="216" t="inlineStr">
        <x:is>
          <x:t xml:space="preserve">Disqualified / Lost Entry Fee</x:t>
        </x:is>
      </x:c>
      <x:c r="M4" s="217" t="inlineStr">
        <x:is>
          <x:t xml:space="preserve">Notes</x:t>
        </x:is>
      </x:c>
      <x:c r="N4" s="218" t="inlineStr">
        <x:is>
          <x:t xml:space="preserve">Adjusted Pot</x:t>
        </x:is>
      </x:c>
      <x:c r="O4" s="218" t="inlineStr">
        <x:is>
          <x:t xml:space="preserve">Estimated Earned</x:t>
        </x:is>
      </x:c>
      <x:c r="P4" s="218" t="inlineStr">
        <x:is>
          <x:t xml:space="preserve">Earned Used</x:t>
        </x:is>
      </x:c>
      <x:c r="Q4" s="218" t="inlineStr">
        <x:is>
          <x:t xml:space="preserve">Profit</x:t>
        </x:is>
      </x:c>
      <x:c r="R4" s="218" t="inlineStr">
        <x:is>
          <x:t xml:space="preserve">Draw</x:t>
        </x:is>
      </x:c>
      <x:c r="S4" s="218" t="inlineStr">
        <x:is>
          <x:t xml:space="preserve">Lost</x:t>
        </x:is>
      </x:c>
      <x:c r="T4" s="218" t="inlineStr">
        <x:is>
          <x:t xml:space="preserve">ROI</x:t>
        </x:is>
      </x:c>
      <x:c r="U4" s="218" t="inlineStr">
        <x:is>
          <x:t xml:space="preserve">Result</x:t>
        </x:is>
      </x:c>
      <x:c r="V4" s="218" t="inlineStr">
        <x:is>
          <x:t xml:space="preserve">Challenge Length (Weeks)</x:t>
        </x:is>
      </x:c>
      <x:c r="W4" s="218" t="inlineStr">
        <x:is>
          <x:t xml:space="preserve">Net Profit</x:t>
        </x:is>
      </x:c>
      <x:c r="X4" s="421" t="inlineStr">
        <x:is>
          <x:t xml:space="preserve">Eliminated Players</x:t>
        </x:is>
      </x:c>
      <x:c r="Y4" s="421" t="inlineStr">
        <x:is>
          <x:t xml:space="preserve">Elimination Rate</x:t>
        </x:is>
      </x:c>
    </x:row>
    <x:row r="5" s="106" customFormat="1" ht="21" customHeight="1">
      <x:c r="A5" s="54" t="n"/>
      <x:c r="B5" s="250" t="n"/>
      <x:c r="C5" s="250" t="n"/>
      <x:c r="D5" s="54" t="n"/>
      <x:c r="E5" s="251" t="n"/>
      <x:c r="F5" s="251" t="n"/>
      <x:c r="G5" s="251" t="n"/>
      <x:c r="H5" s="251" t="n"/>
      <x:c r="I5" s="252" t="n"/>
      <x:c r="J5" s="253" t="n"/>
      <x:c r="K5" s="254" t="n"/>
      <x:c r="L5" s="50" t="n"/>
      <x:c r="M5" s="251" t="n"/>
      <x:c r="N5" s="251">
        <x:f>IF($A5="","",IF($G5="","",IF(ISNUMBER(SEARCH("non",LOWER($E5&amp;""))),$G5*0.85,$G5)))</x:f>
      </x:c>
      <x:c r="O5" s="251">
        <x:f>IF($A5="","",IF(OR($N5="",$I5="",$I5=0),"",$N5/$I5))</x:f>
      </x:c>
      <x:c r="P5" s="251">
        <x:f>IF($A5="","",IF(LOWER($L5&amp;"")="yes",0,IF($K5&lt;&gt;"",$K5,IF($O5&lt;&gt;"",$O5,""))))</x:f>
      </x:c>
      <x:c r="Q5" s="254">
        <x:f>IF($A5="","",IF($U5="Profit",$P5-$H5,0))</x:f>
      </x:c>
      <x:c r="R5" s="251">
        <x:f>IF($A5="","",IF($U5="Draw",$H5,0))</x:f>
      </x:c>
      <x:c r="S5" s="251">
        <x:f>IF($A5="","",IF($U5="Disqualified",$H5,0))</x:f>
      </x:c>
      <x:c r="T5" s="255">
        <x:f>IF($A5="","",IF($H5=0,IF($U5="Profit","N/A",0),IF($U5="Profit",$Q5/$H5,IF($U5="Disqualified",-1,0))))</x:f>
      </x:c>
      <x:c r="U5" s="254">
        <x:f>IF($A5="","",IF(LOWER($L5&amp;"")="yes","Disqualified",IF($P5&gt;$H5,"Profit","Draw")))</x:f>
      </x:c>
      <x:c r="V5" s="253">
        <x:f>IF(OR($B5="",$C5=""),"",IFERROR(ROUNDUP((IF(ISNUMBER($C5),$C5,DATEVALUE($C5))-IF(ISNUMBER($B5),$B5,DATEVALUE($B5)))/7,0),""))</x:f>
      </x:c>
      <x:c r="W5" s="254">
        <x:f>$Q5-$S5</x:f>
      </x:c>
      <x:c r="X5" s="256">
        <x:f>IF(OR($J5="",$I5="",$J5=0,$I5=0,$I5&gt;$J5),"",$J5-$I5)</x:f>
      </x:c>
      <x:c r="Y5" s="257">
        <x:f>IF(OR($J5="",$J5=0,$X5=""),"",$X5/$J5)</x:f>
      </x:c>
    </x:row>
    <x:row r="6" s="106" customFormat="1" ht="21" customHeight="1">
      <x:c r="A6" s="54" t="n"/>
      <x:c r="B6" s="250" t="n"/>
      <x:c r="C6" s="250" t="n"/>
      <x:c r="D6" s="54" t="n"/>
      <x:c r="E6" s="251" t="n"/>
      <x:c r="F6" s="251" t="n"/>
      <x:c r="G6" s="251" t="n"/>
      <x:c r="H6" s="251" t="n"/>
      <x:c r="I6" s="252" t="n"/>
      <x:c r="J6" s="253" t="n"/>
      <x:c r="K6" s="254" t="n"/>
      <x:c r="L6" s="50" t="n"/>
      <x:c r="M6" s="251" t="n"/>
      <x:c r="N6" s="251">
        <x:f>IF($A6="","",IF($G6="","",IF(ISNUMBER(SEARCH("non",LOWER($E6&amp;""))),$G6*0.85,$G6)))</x:f>
      </x:c>
      <x:c r="O6" s="251">
        <x:f>IF($A6="","",IF(OR($N6="",$I6="",$I6=0),"",$N6/$I6))</x:f>
      </x:c>
      <x:c r="P6" s="251">
        <x:f>IF($A6="","",IF(LOWER($L6&amp;"")="yes",0,IF($K6&lt;&gt;"",$K6,IF($O6&lt;&gt;"",$O6,""))))</x:f>
      </x:c>
      <x:c r="Q6" s="254">
        <x:f>IF($A6="","",IF($U6="Profit",$P6-$H6,0))</x:f>
      </x:c>
      <x:c r="R6" s="251">
        <x:f>IF($A6="","",IF($U6="Draw",$H6,0))</x:f>
      </x:c>
      <x:c r="S6" s="251">
        <x:f>IF($A6="","",IF($U6="Disqualified",$H6,0))</x:f>
      </x:c>
      <x:c r="T6" s="255">
        <x:f>IF($A6="","",IF($H6=0,IF($U6="Profit","N/A",0),IF($U6="Profit",$Q6/$H6,IF($U6="Disqualified",-1,0))))</x:f>
      </x:c>
      <x:c r="U6" s="254">
        <x:f>IF($A6="","",IF(LOWER($L6&amp;"")="yes","Disqualified",IF($P6&gt;$H6,"Profit","Draw")))</x:f>
      </x:c>
      <x:c r="V6" s="253">
        <x:f>IF(OR($B6="",$C6=""),"",IFERROR(ROUNDUP((IF(ISNUMBER($C6),$C6,DATEVALUE($C6))-IF(ISNUMBER($B6),$B6,DATEVALUE($B6)))/7,0),""))</x:f>
      </x:c>
      <x:c r="W6" s="254">
        <x:f>$Q6-$S6</x:f>
      </x:c>
      <x:c r="X6" s="256">
        <x:f>IF(OR($J6="",$I6="",$J6=0,$I6=0,$I6&gt;$J6),"",$J6-$I6)</x:f>
      </x:c>
      <x:c r="Y6" s="257">
        <x:f>IF(OR($J6="",$J6=0,$X6=""),"",$X6/$J6)</x:f>
      </x:c>
    </x:row>
    <x:row r="7" s="106" customFormat="1" ht="21" customHeight="1">
      <x:c r="A7" s="54" t="n"/>
      <x:c r="B7" s="250" t="n"/>
      <x:c r="C7" s="250" t="n"/>
      <x:c r="D7" s="54" t="n"/>
      <x:c r="E7" s="251" t="n"/>
      <x:c r="F7" s="251" t="n"/>
      <x:c r="G7" s="251" t="n"/>
      <x:c r="H7" s="251" t="n"/>
      <x:c r="I7" s="252" t="n"/>
      <x:c r="J7" s="253" t="n"/>
      <x:c r="K7" s="254" t="n"/>
      <x:c r="L7" s="50" t="n"/>
      <x:c r="M7" s="251" t="n"/>
      <x:c r="N7" s="251">
        <x:f>IF($A7="","",IF($G7="","",IF(ISNUMBER(SEARCH("non",LOWER($E7&amp;""))),$G7*0.85,$G7)))</x:f>
      </x:c>
      <x:c r="O7" s="251">
        <x:f>IF($A7="","",IF(OR($N7="",$I7="",$I7=0),"",$N7/$I7))</x:f>
      </x:c>
      <x:c r="P7" s="251">
        <x:f>IF($A7="","",IF(LOWER($L7&amp;"")="yes",0,IF($K7&lt;&gt;"",$K7,IF($O7&lt;&gt;"",$O7,""))))</x:f>
      </x:c>
      <x:c r="Q7" s="254">
        <x:f>IF($A7="","",IF($U7="Profit",$P7-$H7,0))</x:f>
      </x:c>
      <x:c r="R7" s="251">
        <x:f>IF($A7="","",IF($U7="Draw",$H7,0))</x:f>
      </x:c>
      <x:c r="S7" s="251">
        <x:f>IF($A7="","",IF($U7="Disqualified",$H7,0))</x:f>
      </x:c>
      <x:c r="T7" s="255">
        <x:f>IF($A7="","",IF($H7=0,IF($U7="Profit","N/A",0),IF($U7="Profit",$Q7/$H7,IF($U7="Disqualified",-1,0))))</x:f>
      </x:c>
      <x:c r="U7" s="254">
        <x:f>IF($A7="","",IF(LOWER($L7&amp;"")="yes","Disqualified",IF($P7&gt;$H7,"Profit","Draw")))</x:f>
      </x:c>
      <x:c r="V7" s="253">
        <x:f>IF(OR($B7="",$C7=""),"",IFERROR(ROUNDUP((IF(ISNUMBER($C7),$C7,DATEVALUE($C7))-IF(ISNUMBER($B7),$B7,DATEVALUE($B7)))/7,0),""))</x:f>
      </x:c>
      <x:c r="W7" s="254">
        <x:f>$Q7-$S7</x:f>
      </x:c>
      <x:c r="X7" s="256">
        <x:f>IF(OR($J7="",$I7="",$J7=0,$I7=0,$I7&gt;$J7),"",$J7-$I7)</x:f>
      </x:c>
      <x:c r="Y7" s="257">
        <x:f>IF(OR($J7="",$J7=0,$X7=""),"",$X7/$J7)</x:f>
      </x:c>
    </x:row>
    <x:row r="8" s="106" customFormat="1" ht="21" customHeight="1">
      <x:c r="A8" s="54" t="n"/>
      <x:c r="B8" s="250" t="n"/>
      <x:c r="C8" s="250" t="n"/>
      <x:c r="D8" s="54" t="n"/>
      <x:c r="E8" s="251" t="n"/>
      <x:c r="F8" s="251" t="n"/>
      <x:c r="G8" s="251" t="n"/>
      <x:c r="H8" s="251" t="n"/>
      <x:c r="I8" s="252" t="n"/>
      <x:c r="J8" s="253" t="n"/>
      <x:c r="K8" s="254" t="n"/>
      <x:c r="L8" s="50" t="n"/>
      <x:c r="M8" s="251" t="n"/>
      <x:c r="N8" s="251">
        <x:f>IF($A8="","",IF($G8="","",IF(ISNUMBER(SEARCH("non",LOWER($E8&amp;""))),$G8*0.85,$G8)))</x:f>
      </x:c>
      <x:c r="O8" s="251">
        <x:f>IF($A8="","",IF(OR($N8="",$I8="",$I8=0),"",$N8/$I8))</x:f>
      </x:c>
      <x:c r="P8" s="251">
        <x:f>IF($A8="","",IF(LOWER($L8&amp;"")="yes",0,IF($K8&lt;&gt;"",$K8,IF($O8&lt;&gt;"",$O8,""))))</x:f>
      </x:c>
      <x:c r="Q8" s="254">
        <x:f>IF($A8="","",IF($U8="Profit",$P8-$H8,0))</x:f>
      </x:c>
      <x:c r="R8" s="251">
        <x:f>IF($A8="","",IF($U8="Draw",$H8,0))</x:f>
      </x:c>
      <x:c r="S8" s="251">
        <x:f>IF($A8="","",IF($U8="Disqualified",$H8,0))</x:f>
      </x:c>
      <x:c r="T8" s="255">
        <x:f>IF($A8="","",IF($H8=0,IF($U8="Profit","N/A",0),IF($U8="Profit",$Q8/$H8,IF($U8="Disqualified",-1,0))))</x:f>
      </x:c>
      <x:c r="U8" s="254">
        <x:f>IF($A8="","",IF(LOWER($L8&amp;"")="yes","Disqualified",IF($P8&gt;$H8,"Profit","Draw")))</x:f>
      </x:c>
      <x:c r="V8" s="253">
        <x:f>IF(OR($B8="",$C8=""),"",IFERROR(ROUNDUP((IF(ISNUMBER($C8),$C8,DATEVALUE($C8))-IF(ISNUMBER($B8),$B8,DATEVALUE($B8)))/7,0),""))</x:f>
      </x:c>
      <x:c r="W8" s="254">
        <x:f>$Q8-$S8</x:f>
      </x:c>
      <x:c r="X8" s="256">
        <x:f>IF(OR($J8="",$I8="",$J8=0,$I8=0,$I8&gt;$J8),"",$J8-$I8)</x:f>
      </x:c>
      <x:c r="Y8" s="257">
        <x:f>IF(OR($J8="",$J8=0,$X8=""),"",$X8/$J8)</x:f>
      </x:c>
    </x:row>
    <x:row r="9" s="106" customFormat="1" ht="21" customHeight="1">
      <x:c r="A9" s="54" t="n"/>
      <x:c r="B9" s="250" t="n"/>
      <x:c r="C9" s="250" t="n"/>
      <x:c r="D9" s="54" t="n"/>
      <x:c r="E9" s="251" t="n"/>
      <x:c r="F9" s="251" t="n"/>
      <x:c r="G9" s="251" t="n"/>
      <x:c r="H9" s="251" t="n"/>
      <x:c r="I9" s="252" t="n"/>
      <x:c r="J9" s="253" t="n"/>
      <x:c r="K9" s="254" t="n"/>
      <x:c r="L9" s="50" t="n"/>
      <x:c r="M9" s="251" t="n"/>
      <x:c r="N9" s="251">
        <x:f>IF($A9="","",IF($G9="","",IF(ISNUMBER(SEARCH("non",LOWER($E9&amp;""))),$G9*0.85,$G9)))</x:f>
      </x:c>
      <x:c r="O9" s="251">
        <x:f>IF($A9="","",IF(OR($N9="",$I9="",$I9=0),"",$N9/$I9))</x:f>
      </x:c>
      <x:c r="P9" s="251">
        <x:f>IF($A9="","",IF(LOWER($L9&amp;"")="yes",0,IF($K9&lt;&gt;"",$K9,IF($O9&lt;&gt;"",$O9,""))))</x:f>
      </x:c>
      <x:c r="Q9" s="254">
        <x:f>IF($A9="","",IF($U9="Profit",$P9-$H9,0))</x:f>
      </x:c>
      <x:c r="R9" s="251">
        <x:f>IF($A9="","",IF($U9="Draw",$H9,0))</x:f>
      </x:c>
      <x:c r="S9" s="251">
        <x:f>IF($A9="","",IF($U9="Disqualified",$H9,0))</x:f>
      </x:c>
      <x:c r="T9" s="255">
        <x:f>IF($A9="","",IF($H9=0,IF($U9="Profit","N/A",0),IF($U9="Profit",$Q9/$H9,IF($U9="Disqualified",-1,0))))</x:f>
      </x:c>
      <x:c r="U9" s="254">
        <x:f>IF($A9="","",IF(LOWER($L9&amp;"")="yes","Disqualified",IF($P9&gt;$H9,"Profit","Draw")))</x:f>
      </x:c>
      <x:c r="V9" s="253">
        <x:f>IF(OR($B9="",$C9=""),"",IFERROR(ROUNDUP((IF(ISNUMBER($C9),$C9,DATEVALUE($C9))-IF(ISNUMBER($B9),$B9,DATEVALUE($B9)))/7,0),""))</x:f>
      </x:c>
      <x:c r="W9" s="254">
        <x:f>$Q9-$S9</x:f>
      </x:c>
      <x:c r="X9" s="256">
        <x:f>IF(OR($J9="",$I9="",$J9=0,$I9=0,$I9&gt;$J9),"",$J9-$I9)</x:f>
      </x:c>
      <x:c r="Y9" s="257">
        <x:f>IF(OR($J9="",$J9=0,$X9=""),"",$X9/$J9)</x:f>
      </x:c>
    </x:row>
    <x:row r="10" s="106" customFormat="1" ht="21" customHeight="1">
      <x:c r="A10" s="54" t="n"/>
      <x:c r="B10" s="250" t="n"/>
      <x:c r="C10" s="250" t="n"/>
      <x:c r="D10" s="54" t="n"/>
      <x:c r="E10" s="251" t="n"/>
      <x:c r="F10" s="251" t="n"/>
      <x:c r="G10" s="251" t="n"/>
      <x:c r="H10" s="251" t="n"/>
      <x:c r="I10" s="252" t="n"/>
      <x:c r="J10" s="253" t="n"/>
      <x:c r="K10" s="254" t="n"/>
      <x:c r="L10" s="50" t="n"/>
      <x:c r="M10" s="251" t="n"/>
      <x:c r="N10" s="251">
        <x:f>IF($A10="","",IF($G10="","",IF(ISNUMBER(SEARCH("non",LOWER($E10&amp;""))),$G10*0.85,$G10)))</x:f>
      </x:c>
      <x:c r="O10" s="251">
        <x:f>IF($A10="","",IF(OR($N10="",$I10="",$I10=0),"",$N10/$I10))</x:f>
      </x:c>
      <x:c r="P10" s="251">
        <x:f>IF($A10="","",IF(LOWER($L10&amp;"")="yes",0,IF($K10&lt;&gt;"",$K10,IF($O10&lt;&gt;"",$O10,""))))</x:f>
      </x:c>
      <x:c r="Q10" s="254">
        <x:f>IF($A10="","",IF($U10="Profit",$P10-$H10,0))</x:f>
      </x:c>
      <x:c r="R10" s="251">
        <x:f>IF($A10="","",IF($U10="Draw",$H10,0))</x:f>
      </x:c>
      <x:c r="S10" s="251">
        <x:f>IF($A10="","",IF($U10="Disqualified",$H10,0))</x:f>
      </x:c>
      <x:c r="T10" s="255">
        <x:f>IF($A10="","",IF($H10=0,IF($U10="Profit","N/A",0),IF($U10="Profit",$Q10/$H10,IF($U10="Disqualified",-1,0))))</x:f>
      </x:c>
      <x:c r="U10" s="254">
        <x:f>IF($A10="","",IF(LOWER($L10&amp;"")="yes","Disqualified",IF($P10&gt;$H10,"Profit","Draw")))</x:f>
      </x:c>
      <x:c r="V10" s="253">
        <x:f>IF(OR($B10="",$C10=""),"",IFERROR(ROUNDUP((IF(ISNUMBER($C10),$C10,DATEVALUE($C10))-IF(ISNUMBER($B10),$B10,DATEVALUE($B10)))/7,0),""))</x:f>
      </x:c>
      <x:c r="W10" s="254">
        <x:f>$Q10-$S10</x:f>
      </x:c>
      <x:c r="X10" s="256">
        <x:f>IF(OR($J10="",$I10="",$J10=0,$I10=0,$I10&gt;$J10),"",$J10-$I10)</x:f>
      </x:c>
      <x:c r="Y10" s="257">
        <x:f>IF(OR($J10="",$J10=0,$X10=""),"",$X10/$J10)</x:f>
      </x:c>
    </x:row>
    <x:row r="11" s="106" customFormat="1" ht="21" customHeight="1">
      <x:c r="A11" s="54" t="n"/>
      <x:c r="B11" s="250" t="n"/>
      <x:c r="C11" s="250" t="n"/>
      <x:c r="D11" s="54" t="n"/>
      <x:c r="E11" s="251" t="n"/>
      <x:c r="F11" s="251" t="n"/>
      <x:c r="G11" s="251" t="n"/>
      <x:c r="H11" s="251" t="n"/>
      <x:c r="I11" s="252" t="n"/>
      <x:c r="J11" s="253" t="n"/>
      <x:c r="K11" s="254" t="n"/>
      <x:c r="L11" s="50" t="n"/>
      <x:c r="M11" s="251" t="n"/>
      <x:c r="N11" s="251">
        <x:f>IF($A11="","",IF($G11="","",IF(ISNUMBER(SEARCH("non",LOWER($E11&amp;""))),$G11*0.85,$G11)))</x:f>
      </x:c>
      <x:c r="O11" s="251">
        <x:f>IF($A11="","",IF(OR($N11="",$I11="",$I11=0),"",$N11/$I11))</x:f>
      </x:c>
      <x:c r="P11" s="251">
        <x:f>IF($A11="","",IF(LOWER($L11&amp;"")="yes",0,IF($K11&lt;&gt;"",$K11,IF($O11&lt;&gt;"",$O11,""))))</x:f>
      </x:c>
      <x:c r="Q11" s="254">
        <x:f>IF($A11="","",IF($U11="Profit",$P11-$H11,0))</x:f>
      </x:c>
      <x:c r="R11" s="251">
        <x:f>IF($A11="","",IF($U11="Draw",$H11,0))</x:f>
      </x:c>
      <x:c r="S11" s="251">
        <x:f>IF($A11="","",IF($U11="Disqualified",$H11,0))</x:f>
      </x:c>
      <x:c r="T11" s="255">
        <x:f>IF($A11="","",IF($H11=0,IF($U11="Profit","N/A",0),IF($U11="Profit",$Q11/$H11,IF($U11="Disqualified",-1,0))))</x:f>
      </x:c>
      <x:c r="U11" s="254">
        <x:f>IF($A11="","",IF(LOWER($L11&amp;"")="yes","Disqualified",IF($P11&gt;$H11,"Profit","Draw")))</x:f>
      </x:c>
      <x:c r="V11" s="253">
        <x:f>IF(OR($B11="",$C11=""),"",IFERROR(ROUNDUP((IF(ISNUMBER($C11),$C11,DATEVALUE($C11))-IF(ISNUMBER($B11),$B11,DATEVALUE($B11)))/7,0),""))</x:f>
      </x:c>
      <x:c r="W11" s="254">
        <x:f>$Q11-$S11</x:f>
      </x:c>
      <x:c r="X11" s="256">
        <x:f>IF(OR($J11="",$I11="",$J11=0,$I11=0,$I11&gt;$J11),"",$J11-$I11)</x:f>
      </x:c>
      <x:c r="Y11" s="257">
        <x:f>IF(OR($J11="",$J11=0,$X11=""),"",$X11/$J11)</x:f>
      </x:c>
    </x:row>
    <x:row r="12" s="106" customFormat="1" ht="21" customHeight="1">
      <x:c r="A12" s="54" t="n"/>
      <x:c r="B12" s="250" t="n"/>
      <x:c r="C12" s="250" t="n"/>
      <x:c r="D12" s="54" t="n"/>
      <x:c r="E12" s="251" t="n"/>
      <x:c r="F12" s="251" t="n"/>
      <x:c r="G12" s="251" t="n"/>
      <x:c r="H12" s="251" t="n"/>
      <x:c r="I12" s="252" t="n"/>
      <x:c r="J12" s="253" t="n"/>
      <x:c r="K12" s="254" t="n"/>
      <x:c r="L12" s="50" t="n"/>
      <x:c r="M12" s="251" t="n"/>
      <x:c r="N12" s="251">
        <x:f>IF($A12="","",IF($G12="","",IF(ISNUMBER(SEARCH("non",LOWER($E12&amp;""))),$G12*0.85,$G12)))</x:f>
      </x:c>
      <x:c r="O12" s="251">
        <x:f>IF($A12="","",IF(OR($N12="",$I12="",$I12=0),"",$N12/$I12))</x:f>
      </x:c>
      <x:c r="P12" s="251">
        <x:f>IF($A12="","",IF(LOWER($L12&amp;"")="yes",0,IF($K12&lt;&gt;"",$K12,IF($O12&lt;&gt;"",$O12,""))))</x:f>
      </x:c>
      <x:c r="Q12" s="254">
        <x:f>IF($A12="","",IF($U12="Profit",$P12-$H12,0))</x:f>
      </x:c>
      <x:c r="R12" s="251">
        <x:f>IF($A12="","",IF($U12="Draw",$H12,0))</x:f>
      </x:c>
      <x:c r="S12" s="251">
        <x:f>IF($A12="","",IF($U12="Disqualified",$H12,0))</x:f>
      </x:c>
      <x:c r="T12" s="255">
        <x:f>IF($A12="","",IF($H12=0,IF($U12="Profit","N/A",0),IF($U12="Profit",$Q12/$H12,IF($U12="Disqualified",-1,0))))</x:f>
      </x:c>
      <x:c r="U12" s="254">
        <x:f>IF($A12="","",IF(LOWER($L12&amp;"")="yes","Disqualified",IF($P12&gt;$H12,"Profit","Draw")))</x:f>
      </x:c>
      <x:c r="V12" s="253">
        <x:f>IF(OR($B12="",$C12=""),"",IFERROR(ROUNDUP((IF(ISNUMBER($C12),$C12,DATEVALUE($C12))-IF(ISNUMBER($B12),$B12,DATEVALUE($B12)))/7,0),""))</x:f>
      </x:c>
      <x:c r="W12" s="254">
        <x:f>$Q12-$S12</x:f>
      </x:c>
      <x:c r="X12" s="256">
        <x:f>IF(OR($J12="",$I12="",$J12=0,$I12=0,$I12&gt;$J12),"",$J12-$I12)</x:f>
      </x:c>
      <x:c r="Y12" s="257">
        <x:f>IF(OR($J12="",$J12=0,$X12=""),"",$X12/$J12)</x:f>
      </x:c>
    </x:row>
    <x:row r="13" s="106" customFormat="1" ht="21" customHeight="1">
      <x:c r="A13" s="54" t="n"/>
      <x:c r="B13" s="250" t="n"/>
      <x:c r="C13" s="250" t="n"/>
      <x:c r="D13" s="54" t="n"/>
      <x:c r="E13" s="251" t="n"/>
      <x:c r="F13" s="251" t="n"/>
      <x:c r="G13" s="251" t="n"/>
      <x:c r="H13" s="251" t="n"/>
      <x:c r="I13" s="252" t="n"/>
      <x:c r="J13" s="253" t="n"/>
      <x:c r="K13" s="254" t="n"/>
      <x:c r="L13" s="50" t="n"/>
      <x:c r="M13" s="251" t="n"/>
      <x:c r="N13" s="251">
        <x:f>IF($A13="","",IF($G13="","",IF(ISNUMBER(SEARCH("non",LOWER($E13&amp;""))),$G13*0.85,$G13)))</x:f>
      </x:c>
      <x:c r="O13" s="251">
        <x:f>IF($A13="","",IF(OR($N13="",$I13="",$I13=0),"",$N13/$I13))</x:f>
      </x:c>
      <x:c r="P13" s="251">
        <x:f>IF($A13="","",IF(LOWER($L13&amp;"")="yes",0,IF($K13&lt;&gt;"",$K13,IF($O13&lt;&gt;"",$O13,""))))</x:f>
      </x:c>
      <x:c r="Q13" s="254">
        <x:f>IF($A13="","",IF($U13="Profit",$P13-$H13,0))</x:f>
      </x:c>
      <x:c r="R13" s="251">
        <x:f>IF($A13="","",IF($U13="Draw",$H13,0))</x:f>
      </x:c>
      <x:c r="S13" s="251">
        <x:f>IF($A13="","",IF($U13="Disqualified",$H13,0))</x:f>
      </x:c>
      <x:c r="T13" s="255">
        <x:f>IF($A13="","",IF($H13=0,IF($U13="Profit","N/A",0),IF($U13="Profit",$Q13/$H13,IF($U13="Disqualified",-1,0))))</x:f>
      </x:c>
      <x:c r="U13" s="254">
        <x:f>IF($A13="","",IF(LOWER($L13&amp;"")="yes","Disqualified",IF($P13&gt;$H13,"Profit","Draw")))</x:f>
      </x:c>
      <x:c r="V13" s="253">
        <x:f>IF(OR($B13="",$C13=""),"",IFERROR(ROUNDUP((IF(ISNUMBER($C13),$C13,DATEVALUE($C13))-IF(ISNUMBER($B13),$B13,DATEVALUE($B13)))/7,0),""))</x:f>
      </x:c>
      <x:c r="W13" s="254">
        <x:f>$Q13-$S13</x:f>
      </x:c>
      <x:c r="X13" s="256">
        <x:f>IF(OR($J13="",$I13="",$J13=0,$I13=0,$I13&gt;$J13),"",$J13-$I13)</x:f>
      </x:c>
      <x:c r="Y13" s="257">
        <x:f>IF(OR($J13="",$J13=0,$X13=""),"",$X13/$J13)</x:f>
      </x:c>
    </x:row>
    <x:row r="14" s="106" customFormat="1" ht="21" customHeight="1">
      <x:c r="A14" s="54" t="n"/>
      <x:c r="B14" s="250" t="n"/>
      <x:c r="C14" s="250" t="n"/>
      <x:c r="D14" s="54" t="n"/>
      <x:c r="E14" s="251" t="n"/>
      <x:c r="F14" s="251" t="n"/>
      <x:c r="G14" s="251" t="n"/>
      <x:c r="H14" s="251" t="n"/>
      <x:c r="I14" s="252" t="n"/>
      <x:c r="J14" s="253" t="n"/>
      <x:c r="K14" s="254" t="n"/>
      <x:c r="L14" s="50" t="n"/>
      <x:c r="M14" s="251" t="n"/>
      <x:c r="N14" s="251">
        <x:f>IF($A14="","",IF($G14="","",IF(ISNUMBER(SEARCH("non",LOWER($E14&amp;""))),$G14*0.85,$G14)))</x:f>
      </x:c>
      <x:c r="O14" s="251">
        <x:f>IF($A14="","",IF(OR($N14="",$I14="",$I14=0),"",$N14/$I14))</x:f>
      </x:c>
      <x:c r="P14" s="251">
        <x:f>IF($A14="","",IF(LOWER($L14&amp;"")="yes",0,IF($K14&lt;&gt;"",$K14,IF($O14&lt;&gt;"",$O14,""))))</x:f>
      </x:c>
      <x:c r="Q14" s="254">
        <x:f>IF($A14="","",IF($U14="Profit",$P14-$H14,0))</x:f>
      </x:c>
      <x:c r="R14" s="251">
        <x:f>IF($A14="","",IF($U14="Draw",$H14,0))</x:f>
      </x:c>
      <x:c r="S14" s="251">
        <x:f>IF($A14="","",IF($U14="Disqualified",$H14,0))</x:f>
      </x:c>
      <x:c r="T14" s="255">
        <x:f>IF($A14="","",IF($H14=0,IF($U14="Profit","N/A",0),IF($U14="Profit",$Q14/$H14,IF($U14="Disqualified",-1,0))))</x:f>
      </x:c>
      <x:c r="U14" s="254">
        <x:f>IF($A14="","",IF(LOWER($L14&amp;"")="yes","Disqualified",IF($P14&gt;$H14,"Profit","Draw")))</x:f>
      </x:c>
      <x:c r="V14" s="253">
        <x:f>IF(OR($B14="",$C14=""),"",IFERROR(ROUNDUP((IF(ISNUMBER($C14),$C14,DATEVALUE($C14))-IF(ISNUMBER($B14),$B14,DATEVALUE($B14)))/7,0),""))</x:f>
      </x:c>
      <x:c r="W14" s="254">
        <x:f>$Q14-$S14</x:f>
      </x:c>
      <x:c r="X14" s="256">
        <x:f>IF(OR($J14="",$I14="",$J14=0,$I14=0,$I14&gt;$J14),"",$J14-$I14)</x:f>
      </x:c>
      <x:c r="Y14" s="257">
        <x:f>IF(OR($J14="",$J14=0,$X14=""),"",$X14/$J14)</x:f>
      </x:c>
    </x:row>
    <x:row r="15" s="106" customFormat="1" ht="21" customHeight="1">
      <x:c r="A15" s="54" t="n"/>
      <x:c r="B15" s="250" t="n"/>
      <x:c r="C15" s="250" t="n"/>
      <x:c r="D15" s="54" t="n"/>
      <x:c r="E15" s="251" t="n"/>
      <x:c r="F15" s="251" t="n"/>
      <x:c r="G15" s="251" t="n"/>
      <x:c r="H15" s="251" t="n"/>
      <x:c r="I15" s="252" t="n"/>
      <x:c r="J15" s="253" t="n"/>
      <x:c r="K15" s="254" t="n"/>
      <x:c r="L15" s="50" t="n"/>
      <x:c r="M15" s="251" t="n"/>
      <x:c r="N15" s="251">
        <x:f>IF($A15="","",IF($G15="","",IF(ISNUMBER(SEARCH("non",LOWER($E15&amp;""))),$G15*0.85,$G15)))</x:f>
      </x:c>
      <x:c r="O15" s="251">
        <x:f>IF($A15="","",IF(OR($N15="",$I15="",$I15=0),"",$N15/$I15))</x:f>
      </x:c>
      <x:c r="P15" s="251">
        <x:f>IF($A15="","",IF(LOWER($L15&amp;"")="yes",0,IF($K15&lt;&gt;"",$K15,IF($O15&lt;&gt;"",$O15,""))))</x:f>
      </x:c>
      <x:c r="Q15" s="254">
        <x:f>IF($A15="","",IF($U15="Profit",$P15-$H15,0))</x:f>
      </x:c>
      <x:c r="R15" s="251">
        <x:f>IF($A15="","",IF($U15="Draw",$H15,0))</x:f>
      </x:c>
      <x:c r="S15" s="251">
        <x:f>IF($A15="","",IF($U15="Disqualified",$H15,0))</x:f>
      </x:c>
      <x:c r="T15" s="255">
        <x:f>IF($A15="","",IF($H15=0,IF($U15="Profit","N/A",0),IF($U15="Profit",$Q15/$H15,IF($U15="Disqualified",-1,0))))</x:f>
      </x:c>
      <x:c r="U15" s="254">
        <x:f>IF($A15="","",IF(LOWER($L15&amp;"")="yes","Disqualified",IF($P15&gt;$H15,"Profit","Draw")))</x:f>
      </x:c>
      <x:c r="V15" s="253">
        <x:f>IF(OR($B15="",$C15=""),"",IFERROR(ROUNDUP((IF(ISNUMBER($C15),$C15,DATEVALUE($C15))-IF(ISNUMBER($B15),$B15,DATEVALUE($B15)))/7,0),""))</x:f>
      </x:c>
      <x:c r="W15" s="254">
        <x:f>$Q15-$S15</x:f>
      </x:c>
      <x:c r="X15" s="256">
        <x:f>IF(OR($J15="",$I15="",$J15=0,$I15=0,$I15&gt;$J15),"",$J15-$I15)</x:f>
      </x:c>
      <x:c r="Y15" s="257">
        <x:f>IF(OR($J15="",$J15=0,$X15=""),"",$X15/$J15)</x:f>
      </x:c>
    </x:row>
    <x:row r="16" s="106" customFormat="1" ht="21" customHeight="1">
      <x:c r="A16" s="54" t="n"/>
      <x:c r="B16" s="250" t="n"/>
      <x:c r="C16" s="250" t="n"/>
      <x:c r="D16" s="54" t="n"/>
      <x:c r="E16" s="251" t="n"/>
      <x:c r="F16" s="251" t="n"/>
      <x:c r="G16" s="251" t="n"/>
      <x:c r="H16" s="251" t="n"/>
      <x:c r="I16" s="252" t="n"/>
      <x:c r="J16" s="253" t="n"/>
      <x:c r="K16" s="254" t="n"/>
      <x:c r="L16" s="50" t="n"/>
      <x:c r="M16" s="251" t="n"/>
      <x:c r="N16" s="251">
        <x:f>IF($A16="","",IF($G16="","",IF(ISNUMBER(SEARCH("non",LOWER($E16&amp;""))),$G16*0.85,$G16)))</x:f>
      </x:c>
      <x:c r="O16" s="251">
        <x:f>IF($A16="","",IF(OR($N16="",$I16="",$I16=0),"",$N16/$I16))</x:f>
      </x:c>
      <x:c r="P16" s="251">
        <x:f>IF($A16="","",IF(LOWER($L16&amp;"")="yes",0,IF($K16&lt;&gt;"",$K16,IF($O16&lt;&gt;"",$O16,""))))</x:f>
      </x:c>
      <x:c r="Q16" s="254">
        <x:f>IF($A16="","",IF($U16="Profit",$P16-$H16,0))</x:f>
      </x:c>
      <x:c r="R16" s="251">
        <x:f>IF($A16="","",IF($U16="Draw",$H16,0))</x:f>
      </x:c>
      <x:c r="S16" s="251">
        <x:f>IF($A16="","",IF($U16="Disqualified",$H16,0))</x:f>
      </x:c>
      <x:c r="T16" s="255">
        <x:f>IF($A16="","",IF($H16=0,IF($U16="Profit","N/A",0),IF($U16="Profit",$Q16/$H16,IF($U16="Disqualified",-1,0))))</x:f>
      </x:c>
      <x:c r="U16" s="254">
        <x:f>IF($A16="","",IF(LOWER($L16&amp;"")="yes","Disqualified",IF($P16&gt;$H16,"Profit","Draw")))</x:f>
      </x:c>
      <x:c r="V16" s="253">
        <x:f>IF(OR($B16="",$C16=""),"",IFERROR(ROUNDUP((IF(ISNUMBER($C16),$C16,DATEVALUE($C16))-IF(ISNUMBER($B16),$B16,DATEVALUE($B16)))/7,0),""))</x:f>
      </x:c>
      <x:c r="W16" s="254">
        <x:f>$Q16-$S16</x:f>
      </x:c>
      <x:c r="X16" s="256">
        <x:f>IF(OR($J16="",$I16="",$J16=0,$I16=0,$I16&gt;$J16),"",$J16-$I16)</x:f>
      </x:c>
      <x:c r="Y16" s="257">
        <x:f>IF(OR($J16="",$J16=0,$X16=""),"",$X16/$J16)</x:f>
      </x:c>
    </x:row>
    <x:row r="17" s="106" customFormat="1" ht="21" customHeight="1">
      <x:c r="A17" s="54" t="n"/>
      <x:c r="B17" s="250" t="n"/>
      <x:c r="C17" s="250" t="n"/>
      <x:c r="D17" s="54" t="n"/>
      <x:c r="E17" s="251" t="n"/>
      <x:c r="F17" s="251" t="n"/>
      <x:c r="G17" s="251" t="n"/>
      <x:c r="H17" s="251" t="n"/>
      <x:c r="I17" s="252" t="n"/>
      <x:c r="J17" s="253" t="n"/>
      <x:c r="K17" s="254" t="n"/>
      <x:c r="L17" s="50" t="n"/>
      <x:c r="M17" s="251" t="n"/>
      <x:c r="N17" s="251">
        <x:f>IF($A17="","",IF($G17="","",IF(ISNUMBER(SEARCH("non",LOWER($E17&amp;""))),$G17*0.85,$G17)))</x:f>
      </x:c>
      <x:c r="O17" s="251">
        <x:f>IF($A17="","",IF(OR($N17="",$I17="",$I17=0),"",$N17/$I17))</x:f>
      </x:c>
      <x:c r="P17" s="251">
        <x:f>IF($A17="","",IF(LOWER($L17&amp;"")="yes",0,IF($K17&lt;&gt;"",$K17,IF($O17&lt;&gt;"",$O17,""))))</x:f>
      </x:c>
      <x:c r="Q17" s="254">
        <x:f>IF($A17="","",IF($U17="Profit",$P17-$H17,0))</x:f>
      </x:c>
      <x:c r="R17" s="251">
        <x:f>IF($A17="","",IF($U17="Draw",$H17,0))</x:f>
      </x:c>
      <x:c r="S17" s="251">
        <x:f>IF($A17="","",IF($U17="Disqualified",$H17,0))</x:f>
      </x:c>
      <x:c r="T17" s="255">
        <x:f>IF($A17="","",IF($H17=0,IF($U17="Profit","N/A",0),IF($U17="Profit",$Q17/$H17,IF($U17="Disqualified",-1,0))))</x:f>
      </x:c>
      <x:c r="U17" s="254">
        <x:f>IF($A17="","",IF(LOWER($L17&amp;"")="yes","Disqualified",IF($P17&gt;$H17,"Profit","Draw")))</x:f>
      </x:c>
      <x:c r="V17" s="253">
        <x:f>IF(OR($B17="",$C17=""),"",IFERROR(ROUNDUP((IF(ISNUMBER($C17),$C17,DATEVALUE($C17))-IF(ISNUMBER($B17),$B17,DATEVALUE($B17)))/7,0),""))</x:f>
      </x:c>
      <x:c r="W17" s="254">
        <x:f>$Q17-$S17</x:f>
      </x:c>
      <x:c r="X17" s="256">
        <x:f>IF(OR($J17="",$I17="",$J17=0,$I17=0,$I17&gt;$J17),"",$J17-$I17)</x:f>
      </x:c>
      <x:c r="Y17" s="257">
        <x:f>IF(OR($J17="",$J17=0,$X17=""),"",$X17/$J17)</x:f>
      </x:c>
    </x:row>
    <x:row r="18" s="106" customFormat="1" ht="21" customHeight="1">
      <x:c r="A18" s="54" t="n"/>
      <x:c r="B18" s="250" t="n"/>
      <x:c r="C18" s="250" t="n"/>
      <x:c r="D18" s="54" t="n"/>
      <x:c r="E18" s="251" t="n"/>
      <x:c r="F18" s="251" t="n"/>
      <x:c r="G18" s="251" t="n"/>
      <x:c r="H18" s="251" t="n"/>
      <x:c r="I18" s="252" t="n"/>
      <x:c r="J18" s="253" t="n"/>
      <x:c r="K18" s="254" t="n"/>
      <x:c r="L18" s="50" t="n"/>
      <x:c r="M18" s="251" t="n"/>
      <x:c r="N18" s="251">
        <x:f>IF($A18="","",IF($G18="","",IF(ISNUMBER(SEARCH("non",LOWER($E18&amp;""))),$G18*0.85,$G18)))</x:f>
      </x:c>
      <x:c r="O18" s="251">
        <x:f>IF($A18="","",IF(OR($N18="",$I18="",$I18=0),"",$N18/$I18))</x:f>
      </x:c>
      <x:c r="P18" s="251">
        <x:f>IF($A18="","",IF(LOWER($L18&amp;"")="yes",0,IF($K18&lt;&gt;"",$K18,IF($O18&lt;&gt;"",$O18,""))))</x:f>
      </x:c>
      <x:c r="Q18" s="254">
        <x:f>IF($A18="","",IF($U18="Profit",$P18-$H18,0))</x:f>
      </x:c>
      <x:c r="R18" s="251">
        <x:f>IF($A18="","",IF($U18="Draw",$H18,0))</x:f>
      </x:c>
      <x:c r="S18" s="251">
        <x:f>IF($A18="","",IF($U18="Disqualified",$H18,0))</x:f>
      </x:c>
      <x:c r="T18" s="255">
        <x:f>IF($A18="","",IF($H18=0,IF($U18="Profit","N/A",0),IF($U18="Profit",$Q18/$H18,IF($U18="Disqualified",-1,0))))</x:f>
      </x:c>
      <x:c r="U18" s="254">
        <x:f>IF($A18="","",IF(LOWER($L18&amp;"")="yes","Disqualified",IF($P18&gt;$H18,"Profit","Draw")))</x:f>
      </x:c>
      <x:c r="V18" s="253">
        <x:f>IF(OR($B18="",$C18=""),"",IFERROR(ROUNDUP((IF(ISNUMBER($C18),$C18,DATEVALUE($C18))-IF(ISNUMBER($B18),$B18,DATEVALUE($B18)))/7,0),""))</x:f>
      </x:c>
      <x:c r="W18" s="254">
        <x:f>$Q18-$S18</x:f>
      </x:c>
      <x:c r="X18" s="256">
        <x:f>IF(OR($J18="",$I18="",$J18=0,$I18=0,$I18&gt;$J18),"",$J18-$I18)</x:f>
      </x:c>
      <x:c r="Y18" s="257">
        <x:f>IF(OR($J18="",$J18=0,$X18=""),"",$X18/$J18)</x:f>
      </x:c>
    </x:row>
    <x:row r="19" s="106" customFormat="1" ht="21" customHeight="1">
      <x:c r="A19" s="54" t="n"/>
      <x:c r="B19" s="250" t="n"/>
      <x:c r="C19" s="250" t="n"/>
      <x:c r="D19" s="54" t="n"/>
      <x:c r="E19" s="251" t="n"/>
      <x:c r="F19" s="251" t="n"/>
      <x:c r="G19" s="251" t="n"/>
      <x:c r="H19" s="251" t="n"/>
      <x:c r="I19" s="252" t="n"/>
      <x:c r="J19" s="253" t="n"/>
      <x:c r="K19" s="254" t="n"/>
      <x:c r="L19" s="50" t="n"/>
      <x:c r="M19" s="251" t="n"/>
      <x:c r="N19" s="251">
        <x:f>IF($A19="","",IF($G19="","",IF(ISNUMBER(SEARCH("non",LOWER($E19&amp;""))),$G19*0.85,$G19)))</x:f>
      </x:c>
      <x:c r="O19" s="251">
        <x:f>IF($A19="","",IF(OR($N19="",$I19="",$I19=0),"",$N19/$I19))</x:f>
      </x:c>
      <x:c r="P19" s="251">
        <x:f>IF($A19="","",IF(LOWER($L19&amp;"")="yes",0,IF($K19&lt;&gt;"",$K19,IF($O19&lt;&gt;"",$O19,""))))</x:f>
      </x:c>
      <x:c r="Q19" s="254">
        <x:f>IF($A19="","",IF($U19="Profit",$P19-$H19,0))</x:f>
      </x:c>
      <x:c r="R19" s="251">
        <x:f>IF($A19="","",IF($U19="Draw",$H19,0))</x:f>
      </x:c>
      <x:c r="S19" s="251">
        <x:f>IF($A19="","",IF($U19="Disqualified",$H19,0))</x:f>
      </x:c>
      <x:c r="T19" s="255">
        <x:f>IF($A19="","",IF($H19=0,IF($U19="Profit","N/A",0),IF($U19="Profit",$Q19/$H19,IF($U19="Disqualified",-1,0))))</x:f>
      </x:c>
      <x:c r="U19" s="254">
        <x:f>IF($A19="","",IF(LOWER($L19&amp;"")="yes","Disqualified",IF($P19&gt;$H19,"Profit","Draw")))</x:f>
      </x:c>
      <x:c r="V19" s="253">
        <x:f>IF(OR($B19="",$C19=""),"",IFERROR(ROUNDUP((IF(ISNUMBER($C19),$C19,DATEVALUE($C19))-IF(ISNUMBER($B19),$B19,DATEVALUE($B19)))/7,0),""))</x:f>
      </x:c>
      <x:c r="W19" s="254">
        <x:f>$Q19-$S19</x:f>
      </x:c>
      <x:c r="X19" s="256">
        <x:f>IF(OR($J19="",$I19="",$J19=0,$I19=0,$I19&gt;$J19),"",$J19-$I19)</x:f>
      </x:c>
      <x:c r="Y19" s="257">
        <x:f>IF(OR($J19="",$J19=0,$X19=""),"",$X19/$J19)</x:f>
      </x:c>
    </x:row>
    <x:row r="20" s="106" customFormat="1" ht="21" customHeight="1">
      <x:c r="A20" s="54" t="n"/>
      <x:c r="B20" s="250" t="n"/>
      <x:c r="C20" s="250" t="n"/>
      <x:c r="D20" s="54" t="n"/>
      <x:c r="E20" s="251" t="n"/>
      <x:c r="F20" s="251" t="n"/>
      <x:c r="G20" s="251" t="n"/>
      <x:c r="H20" s="251" t="n"/>
      <x:c r="I20" s="252" t="n"/>
      <x:c r="J20" s="253" t="n"/>
      <x:c r="K20" s="254" t="n"/>
      <x:c r="L20" s="50" t="n"/>
      <x:c r="M20" s="251" t="n"/>
      <x:c r="N20" s="251">
        <x:f>IF($A20="","",IF($G20="","",IF(ISNUMBER(SEARCH("non",LOWER($E20&amp;""))),$G20*0.85,$G20)))</x:f>
      </x:c>
      <x:c r="O20" s="251">
        <x:f>IF($A20="","",IF(OR($N20="",$I20="",$I20=0),"",$N20/$I20))</x:f>
      </x:c>
      <x:c r="P20" s="251">
        <x:f>IF($A20="","",IF(LOWER($L20&amp;"")="yes",0,IF($K20&lt;&gt;"",$K20,IF($O20&lt;&gt;"",$O20,""))))</x:f>
      </x:c>
      <x:c r="Q20" s="254">
        <x:f>IF($A20="","",IF($U20="Profit",$P20-$H20,0))</x:f>
      </x:c>
      <x:c r="R20" s="251">
        <x:f>IF($A20="","",IF($U20="Draw",$H20,0))</x:f>
      </x:c>
      <x:c r="S20" s="251">
        <x:f>IF($A20="","",IF($U20="Disqualified",$H20,0))</x:f>
      </x:c>
      <x:c r="T20" s="255">
        <x:f>IF($A20="","",IF($H20=0,IF($U20="Profit","N/A",0),IF($U20="Profit",$Q20/$H20,IF($U20="Disqualified",-1,0))))</x:f>
      </x:c>
      <x:c r="U20" s="254">
        <x:f>IF($A20="","",IF(LOWER($L20&amp;"")="yes","Disqualified",IF($P20&gt;$H20,"Profit","Draw")))</x:f>
      </x:c>
      <x:c r="V20" s="253">
        <x:f>IF(OR($B20="",$C20=""),"",IFERROR(ROUNDUP((IF(ISNUMBER($C20),$C20,DATEVALUE($C20))-IF(ISNUMBER($B20),$B20,DATEVALUE($B20)))/7,0),""))</x:f>
      </x:c>
      <x:c r="W20" s="254">
        <x:f>$Q20-$S20</x:f>
      </x:c>
      <x:c r="X20" s="256">
        <x:f>IF(OR($J20="",$I20="",$J20=0,$I20=0,$I20&gt;$J20),"",$J20-$I20)</x:f>
      </x:c>
      <x:c r="Y20" s="257">
        <x:f>IF(OR($J20="",$J20=0,$X20=""),"",$X20/$J20)</x:f>
      </x:c>
    </x:row>
    <x:row r="21" s="106" customFormat="1" ht="21" customHeight="1">
      <x:c r="A21" s="54" t="n"/>
      <x:c r="B21" s="250" t="n"/>
      <x:c r="C21" s="250" t="n"/>
      <x:c r="D21" s="54" t="n"/>
      <x:c r="E21" s="251" t="n"/>
      <x:c r="F21" s="251" t="n"/>
      <x:c r="G21" s="251" t="n"/>
      <x:c r="H21" s="251" t="n"/>
      <x:c r="I21" s="252" t="n"/>
      <x:c r="J21" s="253" t="n"/>
      <x:c r="K21" s="254" t="n"/>
      <x:c r="L21" s="50" t="n"/>
      <x:c r="M21" s="251" t="n"/>
      <x:c r="N21" s="251">
        <x:f>IF($A21="","",IF($G21="","",IF(ISNUMBER(SEARCH("non",LOWER($E21&amp;""))),$G21*0.85,$G21)))</x:f>
      </x:c>
      <x:c r="O21" s="251">
        <x:f>IF($A21="","",IF(OR($N21="",$I21="",$I21=0),"",$N21/$I21))</x:f>
      </x:c>
      <x:c r="P21" s="251">
        <x:f>IF($A21="","",IF(LOWER($L21&amp;"")="yes",0,IF($K21&lt;&gt;"",$K21,IF($O21&lt;&gt;"",$O21,""))))</x:f>
      </x:c>
      <x:c r="Q21" s="254">
        <x:f>IF($A21="","",IF($U21="Profit",$P21-$H21,0))</x:f>
      </x:c>
      <x:c r="R21" s="251">
        <x:f>IF($A21="","",IF($U21="Draw",$H21,0))</x:f>
      </x:c>
      <x:c r="S21" s="251">
        <x:f>IF($A21="","",IF($U21="Disqualified",$H21,0))</x:f>
      </x:c>
      <x:c r="T21" s="255">
        <x:f>IF($A21="","",IF($H21=0,IF($U21="Profit","N/A",0),IF($U21="Profit",$Q21/$H21,IF($U21="Disqualified",-1,0))))</x:f>
      </x:c>
      <x:c r="U21" s="254">
        <x:f>IF($A21="","",IF(LOWER($L21&amp;"")="yes","Disqualified",IF($P21&gt;$H21,"Profit","Draw")))</x:f>
      </x:c>
      <x:c r="V21" s="253">
        <x:f>IF(OR($B21="",$C21=""),"",IFERROR(ROUNDUP((IF(ISNUMBER($C21),$C21,DATEVALUE($C21))-IF(ISNUMBER($B21),$B21,DATEVALUE($B21)))/7,0),""))</x:f>
      </x:c>
      <x:c r="W21" s="254">
        <x:f>$Q21-$S21</x:f>
      </x:c>
      <x:c r="X21" s="256">
        <x:f>IF(OR($J21="",$I21="",$J21=0,$I21=0,$I21&gt;$J21),"",$J21-$I21)</x:f>
      </x:c>
      <x:c r="Y21" s="257">
        <x:f>IF(OR($J21="",$J21=0,$X21=""),"",$X21/$J21)</x:f>
      </x:c>
    </x:row>
    <x:row r="22" s="106" customFormat="1" ht="21" customHeight="1">
      <x:c r="A22" s="54" t="n"/>
      <x:c r="B22" s="250" t="n"/>
      <x:c r="C22" s="250" t="n"/>
      <x:c r="D22" s="54" t="n"/>
      <x:c r="E22" s="251" t="n"/>
      <x:c r="F22" s="251" t="n"/>
      <x:c r="G22" s="251" t="n"/>
      <x:c r="H22" s="251" t="n"/>
      <x:c r="I22" s="252" t="n"/>
      <x:c r="J22" s="253" t="n"/>
      <x:c r="K22" s="254" t="n"/>
      <x:c r="L22" s="50" t="n"/>
      <x:c r="M22" s="251" t="n"/>
      <x:c r="N22" s="251">
        <x:f>IF($A22="","",IF($G22="","",IF(ISNUMBER(SEARCH("non",LOWER($E22&amp;""))),$G22*0.85,$G22)))</x:f>
      </x:c>
      <x:c r="O22" s="251">
        <x:f>IF($A22="","",IF(OR($N22="",$I22="",$I22=0),"",$N22/$I22))</x:f>
      </x:c>
      <x:c r="P22" s="251">
        <x:f>IF($A22="","",IF(LOWER($L22&amp;"")="yes",0,IF($K22&lt;&gt;"",$K22,IF($O22&lt;&gt;"",$O22,""))))</x:f>
      </x:c>
      <x:c r="Q22" s="254">
        <x:f>IF($A22="","",IF($U22="Profit",$P22-$H22,0))</x:f>
      </x:c>
      <x:c r="R22" s="251">
        <x:f>IF($A22="","",IF($U22="Draw",$H22,0))</x:f>
      </x:c>
      <x:c r="S22" s="251">
        <x:f>IF($A22="","",IF($U22="Disqualified",$H22,0))</x:f>
      </x:c>
      <x:c r="T22" s="255">
        <x:f>IF($A22="","",IF($H22=0,IF($U22="Profit","N/A",0),IF($U22="Profit",$Q22/$H22,IF($U22="Disqualified",-1,0))))</x:f>
      </x:c>
      <x:c r="U22" s="254">
        <x:f>IF($A22="","",IF(LOWER($L22&amp;"")="yes","Disqualified",IF($P22&gt;$H22,"Profit","Draw")))</x:f>
      </x:c>
      <x:c r="V22" s="253">
        <x:f>IF(OR($B22="",$C22=""),"",IFERROR(ROUNDUP((IF(ISNUMBER($C22),$C22,DATEVALUE($C22))-IF(ISNUMBER($B22),$B22,DATEVALUE($B22)))/7,0),""))</x:f>
      </x:c>
      <x:c r="W22" s="254">
        <x:f>$Q22-$S22</x:f>
      </x:c>
      <x:c r="X22" s="256">
        <x:f>IF(OR($J22="",$I22="",$J22=0,$I22=0,$I22&gt;$J22),"",$J22-$I22)</x:f>
      </x:c>
      <x:c r="Y22" s="257">
        <x:f>IF(OR($J22="",$J22=0,$X22=""),"",$X22/$J22)</x:f>
      </x:c>
    </x:row>
    <x:row r="23" s="106" customFormat="1" ht="21" customHeight="1">
      <x:c r="A23" s="54" t="n"/>
      <x:c r="B23" s="250" t="n"/>
      <x:c r="C23" s="250" t="n"/>
      <x:c r="D23" s="54" t="n"/>
      <x:c r="E23" s="251" t="n"/>
      <x:c r="F23" s="251" t="n"/>
      <x:c r="G23" s="251" t="n"/>
      <x:c r="H23" s="251" t="n"/>
      <x:c r="I23" s="252" t="n"/>
      <x:c r="J23" s="253" t="n"/>
      <x:c r="K23" s="254" t="n"/>
      <x:c r="L23" s="50" t="n"/>
      <x:c r="M23" s="251" t="n"/>
      <x:c r="N23" s="251">
        <x:f>IF($A23="","",IF($G23="","",IF(ISNUMBER(SEARCH("non",LOWER($E23&amp;""))),$G23*0.85,$G23)))</x:f>
      </x:c>
      <x:c r="O23" s="251">
        <x:f>IF($A23="","",IF(OR($N23="",$I23="",$I23=0),"",$N23/$I23))</x:f>
      </x:c>
      <x:c r="P23" s="251">
        <x:f>IF($A23="","",IF(LOWER($L23&amp;"")="yes",0,IF($K23&lt;&gt;"",$K23,IF($O23&lt;&gt;"",$O23,""))))</x:f>
      </x:c>
      <x:c r="Q23" s="254">
        <x:f>IF($A23="","",IF($U23="Profit",$P23-$H23,0))</x:f>
      </x:c>
      <x:c r="R23" s="251">
        <x:f>IF($A23="","",IF($U23="Draw",$H23,0))</x:f>
      </x:c>
      <x:c r="S23" s="251">
        <x:f>IF($A23="","",IF($U23="Disqualified",$H23,0))</x:f>
      </x:c>
      <x:c r="T23" s="255">
        <x:f>IF($A23="","",IF($H23=0,IF($U23="Profit","N/A",0),IF($U23="Profit",$Q23/$H23,IF($U23="Disqualified",-1,0))))</x:f>
      </x:c>
      <x:c r="U23" s="254">
        <x:f>IF($A23="","",IF(LOWER($L23&amp;"")="yes","Disqualified",IF($P23&gt;$H23,"Profit","Draw")))</x:f>
      </x:c>
      <x:c r="V23" s="253">
        <x:f>IF(OR($B23="",$C23=""),"",IFERROR(ROUNDUP((IF(ISNUMBER($C23),$C23,DATEVALUE($C23))-IF(ISNUMBER($B23),$B23,DATEVALUE($B23)))/7,0),""))</x:f>
      </x:c>
      <x:c r="W23" s="254">
        <x:f>$Q23-$S23</x:f>
      </x:c>
      <x:c r="X23" s="256">
        <x:f>IF(OR($J23="",$I23="",$J23=0,$I23=0,$I23&gt;$J23),"",$J23-$I23)</x:f>
      </x:c>
      <x:c r="Y23" s="257">
        <x:f>IF(OR($J23="",$J23=0,$X23=""),"",$X23/$J23)</x:f>
      </x:c>
    </x:row>
    <x:row r="24" s="106" customFormat="1" ht="21" customHeight="1">
      <x:c r="A24" s="54" t="n"/>
      <x:c r="B24" s="250" t="n"/>
      <x:c r="C24" s="250" t="n"/>
      <x:c r="D24" s="54" t="n"/>
      <x:c r="E24" s="251" t="n"/>
      <x:c r="F24" s="251" t="n"/>
      <x:c r="G24" s="251" t="n"/>
      <x:c r="H24" s="251" t="n"/>
      <x:c r="I24" s="252" t="n"/>
      <x:c r="J24" s="253" t="n"/>
      <x:c r="K24" s="254" t="n"/>
      <x:c r="L24" s="50" t="n"/>
      <x:c r="M24" s="251" t="n"/>
      <x:c r="N24" s="251">
        <x:f>IF($A24="","",IF($G24="","",IF(ISNUMBER(SEARCH("non",LOWER($E24&amp;""))),$G24*0.85,$G24)))</x:f>
      </x:c>
      <x:c r="O24" s="251">
        <x:f>IF($A24="","",IF(OR($N24="",$I24="",$I24=0),"",$N24/$I24))</x:f>
      </x:c>
      <x:c r="P24" s="251">
        <x:f>IF($A24="","",IF(LOWER($L24&amp;"")="yes",0,IF($K24&lt;&gt;"",$K24,IF($O24&lt;&gt;"",$O24,""))))</x:f>
      </x:c>
      <x:c r="Q24" s="254">
        <x:f>IF($A24="","",IF($U24="Profit",$P24-$H24,0))</x:f>
      </x:c>
      <x:c r="R24" s="251">
        <x:f>IF($A24="","",IF($U24="Draw",$H24,0))</x:f>
      </x:c>
      <x:c r="S24" s="251">
        <x:f>IF($A24="","",IF($U24="Disqualified",$H24,0))</x:f>
      </x:c>
      <x:c r="T24" s="255">
        <x:f>IF($A24="","",IF($H24=0,IF($U24="Profit","N/A",0),IF($U24="Profit",$Q24/$H24,IF($U24="Disqualified",-1,0))))</x:f>
      </x:c>
      <x:c r="U24" s="254">
        <x:f>IF($A24="","",IF(LOWER($L24&amp;"")="yes","Disqualified",IF($P24&gt;$H24,"Profit","Draw")))</x:f>
      </x:c>
      <x:c r="V24" s="253">
        <x:f>IF(OR($B24="",$C24=""),"",IFERROR(ROUNDUP((IF(ISNUMBER($C24),$C24,DATEVALUE($C24))-IF(ISNUMBER($B24),$B24,DATEVALUE($B24)))/7,0),""))</x:f>
      </x:c>
      <x:c r="W24" s="254">
        <x:f>$Q24-$S24</x:f>
      </x:c>
      <x:c r="X24" s="256">
        <x:f>IF(OR($J24="",$I24="",$J24=0,$I24=0,$I24&gt;$J24),"",$J24-$I24)</x:f>
      </x:c>
      <x:c r="Y24" s="257">
        <x:f>IF(OR($J24="",$J24=0,$X24=""),"",$X24/$J24)</x:f>
      </x:c>
    </x:row>
    <x:row r="25" s="106" customFormat="1" ht="21" customHeight="1">
      <x:c r="A25" s="54" t="n"/>
      <x:c r="B25" s="250" t="n"/>
      <x:c r="C25" s="250" t="n"/>
      <x:c r="D25" s="54" t="n"/>
      <x:c r="E25" s="251" t="n"/>
      <x:c r="F25" s="251" t="n"/>
      <x:c r="G25" s="251" t="n"/>
      <x:c r="H25" s="251" t="n"/>
      <x:c r="I25" s="252" t="n"/>
      <x:c r="J25" s="253" t="n"/>
      <x:c r="K25" s="254" t="n"/>
      <x:c r="L25" s="50" t="n"/>
      <x:c r="M25" s="251" t="n"/>
      <x:c r="N25" s="251">
        <x:f>IF($A25="","",IF($G25="","",IF(ISNUMBER(SEARCH("non",LOWER($E25&amp;""))),$G25*0.85,$G25)))</x:f>
      </x:c>
      <x:c r="O25" s="251">
        <x:f>IF($A25="","",IF(OR($N25="",$I25="",$I25=0),"",$N25/$I25))</x:f>
      </x:c>
      <x:c r="P25" s="251">
        <x:f>IF($A25="","",IF(LOWER($L25&amp;"")="yes",0,IF($K25&lt;&gt;"",$K25,IF($O25&lt;&gt;"",$O25,""))))</x:f>
      </x:c>
      <x:c r="Q25" s="254">
        <x:f>IF($A25="","",IF($U25="Profit",$P25-$H25,0))</x:f>
      </x:c>
      <x:c r="R25" s="251">
        <x:f>IF($A25="","",IF($U25="Draw",$H25,0))</x:f>
      </x:c>
      <x:c r="S25" s="251">
        <x:f>IF($A25="","",IF($U25="Disqualified",$H25,0))</x:f>
      </x:c>
      <x:c r="T25" s="255">
        <x:f>IF($A25="","",IF($H25=0,IF($U25="Profit","N/A",0),IF($U25="Profit",$Q25/$H25,IF($U25="Disqualified",-1,0))))</x:f>
      </x:c>
      <x:c r="U25" s="254">
        <x:f>IF($A25="","",IF(LOWER($L25&amp;"")="yes","Disqualified",IF($P25&gt;$H25,"Profit","Draw")))</x:f>
      </x:c>
      <x:c r="V25" s="253">
        <x:f>IF(OR($B25="",$C25=""),"",IFERROR(ROUNDUP((IF(ISNUMBER($C25),$C25,DATEVALUE($C25))-IF(ISNUMBER($B25),$B25,DATEVALUE($B25)))/7,0),""))</x:f>
      </x:c>
      <x:c r="W25" s="254">
        <x:f>$Q25-$S25</x:f>
      </x:c>
      <x:c r="X25" s="256">
        <x:f>IF(OR($J25="",$I25="",$J25=0,$I25=0,$I25&gt;$J25),"",$J25-$I25)</x:f>
      </x:c>
      <x:c r="Y25" s="257">
        <x:f>IF(OR($J25="",$J25=0,$X25=""),"",$X25/$J25)</x:f>
      </x:c>
    </x:row>
    <x:row r="26" s="106" customFormat="1" ht="21" customHeight="1">
      <x:c r="A26" s="54" t="n"/>
      <x:c r="B26" s="250" t="n"/>
      <x:c r="C26" s="250" t="n"/>
      <x:c r="D26" s="54" t="n"/>
      <x:c r="E26" s="251" t="n"/>
      <x:c r="F26" s="251" t="n"/>
      <x:c r="G26" s="251" t="n"/>
      <x:c r="H26" s="251" t="n"/>
      <x:c r="I26" s="252" t="n"/>
      <x:c r="J26" s="253" t="n"/>
      <x:c r="K26" s="254" t="n"/>
      <x:c r="L26" s="50" t="n"/>
      <x:c r="M26" s="251" t="n"/>
      <x:c r="N26" s="251">
        <x:f>IF($A26="","",IF($G26="","",IF(ISNUMBER(SEARCH("non",LOWER($E26&amp;""))),$G26*0.85,$G26)))</x:f>
      </x:c>
      <x:c r="O26" s="251">
        <x:f>IF($A26="","",IF(OR($N26="",$I26="",$I26=0),"",$N26/$I26))</x:f>
      </x:c>
      <x:c r="P26" s="251">
        <x:f>IF($A26="","",IF(LOWER($L26&amp;"")="yes",0,IF($K26&lt;&gt;"",$K26,IF($O26&lt;&gt;"",$O26,""))))</x:f>
      </x:c>
      <x:c r="Q26" s="254">
        <x:f>IF($A26="","",IF($U26="Profit",$P26-$H26,0))</x:f>
      </x:c>
      <x:c r="R26" s="251">
        <x:f>IF($A26="","",IF($U26="Draw",$H26,0))</x:f>
      </x:c>
      <x:c r="S26" s="251">
        <x:f>IF($A26="","",IF($U26="Disqualified",$H26,0))</x:f>
      </x:c>
      <x:c r="T26" s="255">
        <x:f>IF($A26="","",IF($H26=0,IF($U26="Profit","N/A",0),IF($U26="Profit",$Q26/$H26,IF($U26="Disqualified",-1,0))))</x:f>
      </x:c>
      <x:c r="U26" s="254">
        <x:f>IF($A26="","",IF(LOWER($L26&amp;"")="yes","Disqualified",IF($P26&gt;$H26,"Profit","Draw")))</x:f>
      </x:c>
      <x:c r="V26" s="253">
        <x:f>IF(OR($B26="",$C26=""),"",IFERROR(ROUNDUP((IF(ISNUMBER($C26),$C26,DATEVALUE($C26))-IF(ISNUMBER($B26),$B26,DATEVALUE($B26)))/7,0),""))</x:f>
      </x:c>
      <x:c r="W26" s="254">
        <x:f>$Q26-$S26</x:f>
      </x:c>
      <x:c r="X26" s="256">
        <x:f>IF(OR($J26="",$I26="",$J26=0,$I26=0,$I26&gt;$J26),"",$J26-$I26)</x:f>
      </x:c>
      <x:c r="Y26" s="257">
        <x:f>IF(OR($J26="",$J26=0,$X26=""),"",$X26/$J26)</x:f>
      </x:c>
    </x:row>
    <x:row r="27" s="106" customFormat="1" ht="21" customHeight="1">
      <x:c r="A27" s="54" t="n"/>
      <x:c r="B27" s="250" t="n"/>
      <x:c r="C27" s="250" t="n"/>
      <x:c r="D27" s="54" t="n"/>
      <x:c r="E27" s="251" t="n"/>
      <x:c r="F27" s="251" t="n"/>
      <x:c r="G27" s="251" t="n"/>
      <x:c r="H27" s="251" t="n"/>
      <x:c r="I27" s="252" t="n"/>
      <x:c r="J27" s="253" t="n"/>
      <x:c r="K27" s="254" t="n"/>
      <x:c r="L27" s="50" t="n"/>
      <x:c r="M27" s="251" t="n"/>
      <x:c r="N27" s="251">
        <x:f>IF($A27="","",IF($G27="","",IF(ISNUMBER(SEARCH("non",LOWER($E27&amp;""))),$G27*0.85,$G27)))</x:f>
      </x:c>
      <x:c r="O27" s="251">
        <x:f>IF($A27="","",IF(OR($N27="",$I27="",$I27=0),"",$N27/$I27))</x:f>
      </x:c>
      <x:c r="P27" s="251">
        <x:f>IF($A27="","",IF(LOWER($L27&amp;"")="yes",0,IF($K27&lt;&gt;"",$K27,IF($O27&lt;&gt;"",$O27,""))))</x:f>
      </x:c>
      <x:c r="Q27" s="254">
        <x:f>IF($A27="","",IF($U27="Profit",$P27-$H27,0))</x:f>
      </x:c>
      <x:c r="R27" s="251">
        <x:f>IF($A27="","",IF($U27="Draw",$H27,0))</x:f>
      </x:c>
      <x:c r="S27" s="251">
        <x:f>IF($A27="","",IF($U27="Disqualified",$H27,0))</x:f>
      </x:c>
      <x:c r="T27" s="255">
        <x:f>IF($A27="","",IF($H27=0,IF($U27="Profit","N/A",0),IF($U27="Profit",$Q27/$H27,IF($U27="Disqualified",-1,0))))</x:f>
      </x:c>
      <x:c r="U27" s="254">
        <x:f>IF($A27="","",IF(LOWER($L27&amp;"")="yes","Disqualified",IF($P27&gt;$H27,"Profit","Draw")))</x:f>
      </x:c>
      <x:c r="V27" s="253">
        <x:f>IF(OR($B27="",$C27=""),"",IFERROR(ROUNDUP((IF(ISNUMBER($C27),$C27,DATEVALUE($C27))-IF(ISNUMBER($B27),$B27,DATEVALUE($B27)))/7,0),""))</x:f>
      </x:c>
      <x:c r="W27" s="254">
        <x:f>$Q27-$S27</x:f>
      </x:c>
      <x:c r="X27" s="256">
        <x:f>IF(OR($J27="",$I27="",$J27=0,$I27=0,$I27&gt;$J27),"",$J27-$I27)</x:f>
      </x:c>
      <x:c r="Y27" s="257">
        <x:f>IF(OR($J27="",$J27=0,$X27=""),"",$X27/$J27)</x:f>
      </x:c>
    </x:row>
    <x:row r="28" s="106" customFormat="1" ht="21" customHeight="1">
      <x:c r="A28" s="54" t="n"/>
      <x:c r="B28" s="250" t="n"/>
      <x:c r="C28" s="250" t="n"/>
      <x:c r="D28" s="54" t="n"/>
      <x:c r="E28" s="251" t="n"/>
      <x:c r="F28" s="251" t="n"/>
      <x:c r="G28" s="251" t="n"/>
      <x:c r="H28" s="251" t="n"/>
      <x:c r="I28" s="252" t="n"/>
      <x:c r="J28" s="253" t="n"/>
      <x:c r="K28" s="254" t="n"/>
      <x:c r="L28" s="50" t="n"/>
      <x:c r="M28" s="251" t="n"/>
      <x:c r="N28" s="251">
        <x:f>IF($A28="","",IF($G28="","",IF(ISNUMBER(SEARCH("non",LOWER($E28&amp;""))),$G28*0.85,$G28)))</x:f>
      </x:c>
      <x:c r="O28" s="251">
        <x:f>IF($A28="","",IF(OR($N28="",$I28="",$I28=0),"",$N28/$I28))</x:f>
      </x:c>
      <x:c r="P28" s="251">
        <x:f>IF($A28="","",IF(LOWER($L28&amp;"")="yes",0,IF($K28&lt;&gt;"",$K28,IF($O28&lt;&gt;"",$O28,""))))</x:f>
      </x:c>
      <x:c r="Q28" s="254">
        <x:f>IF($A28="","",IF($U28="Profit",$P28-$H28,0))</x:f>
      </x:c>
      <x:c r="R28" s="251">
        <x:f>IF($A28="","",IF($U28="Draw",$H28,0))</x:f>
      </x:c>
      <x:c r="S28" s="251">
        <x:f>IF($A28="","",IF($U28="Disqualified",$H28,0))</x:f>
      </x:c>
      <x:c r="T28" s="255">
        <x:f>IF($A28="","",IF($H28=0,IF($U28="Profit","N/A",0),IF($U28="Profit",$Q28/$H28,IF($U28="Disqualified",-1,0))))</x:f>
      </x:c>
      <x:c r="U28" s="254">
        <x:f>IF($A28="","",IF(LOWER($L28&amp;"")="yes","Disqualified",IF($P28&gt;$H28,"Profit","Draw")))</x:f>
      </x:c>
      <x:c r="V28" s="253">
        <x:f>IF(OR($B28="",$C28=""),"",IFERROR(ROUNDUP((IF(ISNUMBER($C28),$C28,DATEVALUE($C28))-IF(ISNUMBER($B28),$B28,DATEVALUE($B28)))/7,0),""))</x:f>
      </x:c>
      <x:c r="W28" s="254">
        <x:f>$Q28-$S28</x:f>
      </x:c>
      <x:c r="X28" s="256">
        <x:f>IF(OR($J28="",$I28="",$J28=0,$I28=0,$I28&gt;$J28),"",$J28-$I28)</x:f>
      </x:c>
      <x:c r="Y28" s="257">
        <x:f>IF(OR($J28="",$J28=0,$X28=""),"",$X28/$J28)</x:f>
      </x:c>
    </x:row>
    <x:row r="29" s="106" customFormat="1" ht="21" customHeight="1">
      <x:c r="A29" s="54" t="n"/>
      <x:c r="B29" s="250" t="n"/>
      <x:c r="C29" s="250" t="n"/>
      <x:c r="D29" s="54" t="n"/>
      <x:c r="E29" s="251" t="n"/>
      <x:c r="F29" s="251" t="n"/>
      <x:c r="G29" s="251" t="n"/>
      <x:c r="H29" s="251" t="n"/>
      <x:c r="I29" s="252" t="n"/>
      <x:c r="J29" s="253" t="n"/>
      <x:c r="K29" s="254" t="n"/>
      <x:c r="L29" s="50" t="n"/>
      <x:c r="M29" s="251" t="n"/>
      <x:c r="N29" s="251">
        <x:f>IF($A29="","",IF($G29="","",IF(ISNUMBER(SEARCH("non",LOWER($E29&amp;""))),$G29*0.85,$G29)))</x:f>
      </x:c>
      <x:c r="O29" s="251">
        <x:f>IF($A29="","",IF(OR($N29="",$I29="",$I29=0),"",$N29/$I29))</x:f>
      </x:c>
      <x:c r="P29" s="251">
        <x:f>IF($A29="","",IF(LOWER($L29&amp;"")="yes",0,IF($K29&lt;&gt;"",$K29,IF($O29&lt;&gt;"",$O29,""))))</x:f>
      </x:c>
      <x:c r="Q29" s="254">
        <x:f>IF($A29="","",IF($U29="Profit",$P29-$H29,0))</x:f>
      </x:c>
      <x:c r="R29" s="251">
        <x:f>IF($A29="","",IF($U29="Draw",$H29,0))</x:f>
      </x:c>
      <x:c r="S29" s="251">
        <x:f>IF($A29="","",IF($U29="Disqualified",$H29,0))</x:f>
      </x:c>
      <x:c r="T29" s="255">
        <x:f>IF($A29="","",IF($H29=0,IF($U29="Profit","N/A",0),IF($U29="Profit",$Q29/$H29,IF($U29="Disqualified",-1,0))))</x:f>
      </x:c>
      <x:c r="U29" s="254">
        <x:f>IF($A29="","",IF(LOWER($L29&amp;"")="yes","Disqualified",IF($P29&gt;$H29,"Profit","Draw")))</x:f>
      </x:c>
      <x:c r="V29" s="253">
        <x:f>IF(OR($B29="",$C29=""),"",IFERROR(ROUNDUP((IF(ISNUMBER($C29),$C29,DATEVALUE($C29))-IF(ISNUMBER($B29),$B29,DATEVALUE($B29)))/7,0),""))</x:f>
      </x:c>
      <x:c r="W29" s="254">
        <x:f>$Q29-$S29</x:f>
      </x:c>
      <x:c r="X29" s="256">
        <x:f>IF(OR($J29="",$I29="",$J29=0,$I29=0,$I29&gt;$J29),"",$J29-$I29)</x:f>
      </x:c>
      <x:c r="Y29" s="257">
        <x:f>IF(OR($J29="",$J29=0,$X29=""),"",$X29/$J29)</x:f>
      </x:c>
    </x:row>
    <x:row r="30" s="106" customFormat="1" ht="21" customHeight="1">
      <x:c r="A30" s="54" t="n"/>
      <x:c r="B30" s="250" t="n"/>
      <x:c r="C30" s="250" t="n"/>
      <x:c r="D30" s="54" t="n"/>
      <x:c r="E30" s="251" t="n"/>
      <x:c r="F30" s="251" t="n"/>
      <x:c r="G30" s="251" t="n"/>
      <x:c r="H30" s="251" t="n"/>
      <x:c r="I30" s="252" t="n"/>
      <x:c r="J30" s="253" t="n"/>
      <x:c r="K30" s="254" t="n"/>
      <x:c r="L30" s="50" t="n"/>
      <x:c r="M30" s="251" t="n"/>
      <x:c r="N30" s="251">
        <x:f>IF($A30="","",IF($G30="","",IF(ISNUMBER(SEARCH("non",LOWER($E30&amp;""))),$G30*0.85,$G30)))</x:f>
      </x:c>
      <x:c r="O30" s="251">
        <x:f>IF($A30="","",IF(OR($N30="",$I30="",$I30=0),"",$N30/$I30))</x:f>
      </x:c>
      <x:c r="P30" s="251">
        <x:f>IF($A30="","",IF(LOWER($L30&amp;"")="yes",0,IF($K30&lt;&gt;"",$K30,IF($O30&lt;&gt;"",$O30,""))))</x:f>
      </x:c>
      <x:c r="Q30" s="254">
        <x:f>IF($A30="","",IF($U30="Profit",$P30-$H30,0))</x:f>
      </x:c>
      <x:c r="R30" s="251">
        <x:f>IF($A30="","",IF($U30="Draw",$H30,0))</x:f>
      </x:c>
      <x:c r="S30" s="251">
        <x:f>IF($A30="","",IF($U30="Disqualified",$H30,0))</x:f>
      </x:c>
      <x:c r="T30" s="255">
        <x:f>IF($A30="","",IF($H30=0,IF($U30="Profit","N/A",0),IF($U30="Profit",$Q30/$H30,IF($U30="Disqualified",-1,0))))</x:f>
      </x:c>
      <x:c r="U30" s="254">
        <x:f>IF($A30="","",IF(LOWER($L30&amp;"")="yes","Disqualified",IF($P30&gt;$H30,"Profit","Draw")))</x:f>
      </x:c>
      <x:c r="V30" s="253">
        <x:f>IF(OR($B30="",$C30=""),"",IFERROR(ROUNDUP((IF(ISNUMBER($C30),$C30,DATEVALUE($C30))-IF(ISNUMBER($B30),$B30,DATEVALUE($B30)))/7,0),""))</x:f>
      </x:c>
      <x:c r="W30" s="254">
        <x:f>$Q30-$S30</x:f>
      </x:c>
      <x:c r="X30" s="256">
        <x:f>IF(OR($J30="",$I30="",$J30=0,$I30=0,$I30&gt;$J30),"",$J30-$I30)</x:f>
      </x:c>
      <x:c r="Y30" s="257">
        <x:f>IF(OR($J30="",$J30=0,$X30=""),"",$X30/$J30)</x:f>
      </x:c>
    </x:row>
    <x:row r="31" s="106" customFormat="1" ht="21" customHeight="1">
      <x:c r="A31" s="54" t="n"/>
      <x:c r="B31" s="250" t="n"/>
      <x:c r="C31" s="250" t="n"/>
      <x:c r="D31" s="54" t="n"/>
      <x:c r="E31" s="251" t="n"/>
      <x:c r="F31" s="251" t="n"/>
      <x:c r="G31" s="251" t="n"/>
      <x:c r="H31" s="251" t="n"/>
      <x:c r="I31" s="252" t="n"/>
      <x:c r="J31" s="253" t="n"/>
      <x:c r="K31" s="254" t="n"/>
      <x:c r="L31" s="50" t="n"/>
      <x:c r="M31" s="251" t="n"/>
      <x:c r="N31" s="251">
        <x:f>IF($A31="","",IF($G31="","",IF(ISNUMBER(SEARCH("non",LOWER($E31&amp;""))),$G31*0.85,$G31)))</x:f>
      </x:c>
      <x:c r="O31" s="251">
        <x:f>IF($A31="","",IF(OR($N31="",$I31="",$I31=0),"",$N31/$I31))</x:f>
      </x:c>
      <x:c r="P31" s="251">
        <x:f>IF($A31="","",IF(LOWER($L31&amp;"")="yes",0,IF($K31&lt;&gt;"",$K31,IF($O31&lt;&gt;"",$O31,""))))</x:f>
      </x:c>
      <x:c r="Q31" s="254">
        <x:f>IF($A31="","",IF($U31="Profit",$P31-$H31,0))</x:f>
      </x:c>
      <x:c r="R31" s="251">
        <x:f>IF($A31="","",IF($U31="Draw",$H31,0))</x:f>
      </x:c>
      <x:c r="S31" s="251">
        <x:f>IF($A31="","",IF($U31="Disqualified",$H31,0))</x:f>
      </x:c>
      <x:c r="T31" s="255">
        <x:f>IF($A31="","",IF($H31=0,IF($U31="Profit","N/A",0),IF($U31="Profit",$Q31/$H31,IF($U31="Disqualified",-1,0))))</x:f>
      </x:c>
      <x:c r="U31" s="254">
        <x:f>IF($A31="","",IF(LOWER($L31&amp;"")="yes","Disqualified",IF($P31&gt;$H31,"Profit","Draw")))</x:f>
      </x:c>
      <x:c r="V31" s="253">
        <x:f>IF(OR($B31="",$C31=""),"",IFERROR(ROUNDUP((IF(ISNUMBER($C31),$C31,DATEVALUE($C31))-IF(ISNUMBER($B31),$B31,DATEVALUE($B31)))/7,0),""))</x:f>
      </x:c>
      <x:c r="W31" s="254">
        <x:f>$Q31-$S31</x:f>
      </x:c>
      <x:c r="X31" s="256">
        <x:f>IF(OR($J31="",$I31="",$J31=0,$I31=0,$I31&gt;$J31),"",$J31-$I31)</x:f>
      </x:c>
      <x:c r="Y31" s="257">
        <x:f>IF(OR($J31="",$J31=0,$X31=""),"",$X31/$J31)</x:f>
      </x:c>
    </x:row>
    <x:row r="32" s="106" customFormat="1" ht="21" customHeight="1">
      <x:c r="A32" s="54" t="n"/>
      <x:c r="B32" s="250" t="n"/>
      <x:c r="C32" s="250" t="n"/>
      <x:c r="D32" s="54" t="n"/>
      <x:c r="E32" s="251" t="n"/>
      <x:c r="F32" s="251" t="n"/>
      <x:c r="G32" s="251" t="n"/>
      <x:c r="H32" s="251" t="n"/>
      <x:c r="I32" s="252" t="n"/>
      <x:c r="J32" s="253" t="n"/>
      <x:c r="K32" s="254" t="n"/>
      <x:c r="L32" s="50" t="n"/>
      <x:c r="M32" s="251" t="n"/>
      <x:c r="N32" s="251">
        <x:f>IF($A32="","",IF($G32="","",IF(ISNUMBER(SEARCH("non",LOWER($E32&amp;""))),$G32*0.85,$G32)))</x:f>
      </x:c>
      <x:c r="O32" s="251">
        <x:f>IF($A32="","",IF(OR($N32="",$I32="",$I32=0),"",$N32/$I32))</x:f>
      </x:c>
      <x:c r="P32" s="251">
        <x:f>IF($A32="","",IF(LOWER($L32&amp;"")="yes",0,IF($K32&lt;&gt;"",$K32,IF($O32&lt;&gt;"",$O32,""))))</x:f>
      </x:c>
      <x:c r="Q32" s="254">
        <x:f>IF($A32="","",IF($U32="Profit",$P32-$H32,0))</x:f>
      </x:c>
      <x:c r="R32" s="251">
        <x:f>IF($A32="","",IF($U32="Draw",$H32,0))</x:f>
      </x:c>
      <x:c r="S32" s="251">
        <x:f>IF($A32="","",IF($U32="Disqualified",$H32,0))</x:f>
      </x:c>
      <x:c r="T32" s="255">
        <x:f>IF($A32="","",IF($H32=0,IF($U32="Profit","N/A",0),IF($U32="Profit",$Q32/$H32,IF($U32="Disqualified",-1,0))))</x:f>
      </x:c>
      <x:c r="U32" s="254">
        <x:f>IF($A32="","",IF(LOWER($L32&amp;"")="yes","Disqualified",IF($P32&gt;$H32,"Profit","Draw")))</x:f>
      </x:c>
      <x:c r="V32" s="253">
        <x:f>IF(OR($B32="",$C32=""),"",IFERROR(ROUNDUP((IF(ISNUMBER($C32),$C32,DATEVALUE($C32))-IF(ISNUMBER($B32),$B32,DATEVALUE($B32)))/7,0),""))</x:f>
      </x:c>
      <x:c r="W32" s="254">
        <x:f>$Q32-$S32</x:f>
      </x:c>
      <x:c r="X32" s="256">
        <x:f>IF(OR($J32="",$I32="",$J32=0,$I32=0,$I32&gt;$J32),"",$J32-$I32)</x:f>
      </x:c>
      <x:c r="Y32" s="257">
        <x:f>IF(OR($J32="",$J32=0,$X32=""),"",$X32/$J32)</x:f>
      </x:c>
    </x:row>
    <x:row r="33" s="106" customFormat="1" ht="21" customHeight="1">
      <x:c r="A33" s="54" t="n"/>
      <x:c r="B33" s="250" t="n"/>
      <x:c r="C33" s="250" t="n"/>
      <x:c r="D33" s="54" t="n"/>
      <x:c r="E33" s="251" t="n"/>
      <x:c r="F33" s="251" t="n"/>
      <x:c r="G33" s="251" t="n"/>
      <x:c r="H33" s="251" t="n"/>
      <x:c r="I33" s="252" t="n"/>
      <x:c r="J33" s="253" t="n"/>
      <x:c r="K33" s="254" t="n"/>
      <x:c r="L33" s="50" t="n"/>
      <x:c r="M33" s="251" t="n"/>
      <x:c r="N33" s="251">
        <x:f>IF($A33="","",IF($G33="","",IF(ISNUMBER(SEARCH("non",LOWER($E33&amp;""))),$G33*0.85,$G33)))</x:f>
      </x:c>
      <x:c r="O33" s="251">
        <x:f>IF($A33="","",IF(OR($N33="",$I33="",$I33=0),"",$N33/$I33))</x:f>
      </x:c>
      <x:c r="P33" s="251">
        <x:f>IF($A33="","",IF(LOWER($L33&amp;"")="yes",0,IF($K33&lt;&gt;"",$K33,IF($O33&lt;&gt;"",$O33,""))))</x:f>
      </x:c>
      <x:c r="Q33" s="254">
        <x:f>IF($A33="","",IF($U33="Profit",$P33-$H33,0))</x:f>
      </x:c>
      <x:c r="R33" s="251">
        <x:f>IF($A33="","",IF($U33="Draw",$H33,0))</x:f>
      </x:c>
      <x:c r="S33" s="251">
        <x:f>IF($A33="","",IF($U33="Disqualified",$H33,0))</x:f>
      </x:c>
      <x:c r="T33" s="255">
        <x:f>IF($A33="","",IF($H33=0,IF($U33="Profit","N/A",0),IF($U33="Profit",$Q33/$H33,IF($U33="Disqualified",-1,0))))</x:f>
      </x:c>
      <x:c r="U33" s="254">
        <x:f>IF($A33="","",IF(LOWER($L33&amp;"")="yes","Disqualified",IF($P33&gt;$H33,"Profit","Draw")))</x:f>
      </x:c>
      <x:c r="V33" s="253">
        <x:f>IF(OR($B33="",$C33=""),"",IFERROR(ROUNDUP((IF(ISNUMBER($C33),$C33,DATEVALUE($C33))-IF(ISNUMBER($B33),$B33,DATEVALUE($B33)))/7,0),""))</x:f>
      </x:c>
      <x:c r="W33" s="254">
        <x:f>$Q33-$S33</x:f>
      </x:c>
      <x:c r="X33" s="256">
        <x:f>IF(OR($J33="",$I33="",$J33=0,$I33=0,$I33&gt;$J33),"",$J33-$I33)</x:f>
      </x:c>
      <x:c r="Y33" s="257">
        <x:f>IF(OR($J33="",$J33=0,$X33=""),"",$X33/$J33)</x:f>
      </x:c>
    </x:row>
    <x:row r="34" s="106" customFormat="1" ht="21" customHeight="1">
      <x:c r="A34" s="54" t="n"/>
      <x:c r="B34" s="250" t="n"/>
      <x:c r="C34" s="250" t="n"/>
      <x:c r="D34" s="54" t="n"/>
      <x:c r="E34" s="251" t="n"/>
      <x:c r="F34" s="251" t="n"/>
      <x:c r="G34" s="251" t="n"/>
      <x:c r="H34" s="251" t="n"/>
      <x:c r="I34" s="252" t="n"/>
      <x:c r="J34" s="253" t="n"/>
      <x:c r="K34" s="254" t="n"/>
      <x:c r="L34" s="50" t="n"/>
      <x:c r="M34" s="251" t="n"/>
      <x:c r="N34" s="251">
        <x:f>IF($A34="","",IF($G34="","",IF(ISNUMBER(SEARCH("non",LOWER($E34&amp;""))),$G34*0.85,$G34)))</x:f>
      </x:c>
      <x:c r="O34" s="251">
        <x:f>IF($A34="","",IF(OR($N34="",$I34="",$I34=0),"",$N34/$I34))</x:f>
      </x:c>
      <x:c r="P34" s="251">
        <x:f>IF($A34="","",IF(LOWER($L34&amp;"")="yes",0,IF($K34&lt;&gt;"",$K34,IF($O34&lt;&gt;"",$O34,""))))</x:f>
      </x:c>
      <x:c r="Q34" s="254">
        <x:f>IF($A34="","",IF($U34="Profit",$P34-$H34,0))</x:f>
      </x:c>
      <x:c r="R34" s="251">
        <x:f>IF($A34="","",IF($U34="Draw",$H34,0))</x:f>
      </x:c>
      <x:c r="S34" s="251">
        <x:f>IF($A34="","",IF($U34="Disqualified",$H34,0))</x:f>
      </x:c>
      <x:c r="T34" s="255">
        <x:f>IF($A34="","",IF($H34=0,IF($U34="Profit","N/A",0),IF($U34="Profit",$Q34/$H34,IF($U34="Disqualified",-1,0))))</x:f>
      </x:c>
      <x:c r="U34" s="254">
        <x:f>IF($A34="","",IF(LOWER($L34&amp;"")="yes","Disqualified",IF($P34&gt;$H34,"Profit","Draw")))</x:f>
      </x:c>
      <x:c r="V34" s="253">
        <x:f>IF(OR($B34="",$C34=""),"",IFERROR(ROUNDUP((IF(ISNUMBER($C34),$C34,DATEVALUE($C34))-IF(ISNUMBER($B34),$B34,DATEVALUE($B34)))/7,0),""))</x:f>
      </x:c>
      <x:c r="W34" s="254">
        <x:f>$Q34-$S34</x:f>
      </x:c>
      <x:c r="X34" s="256">
        <x:f>IF(OR($J34="",$I34="",$J34=0,$I34=0,$I34&gt;$J34),"",$J34-$I34)</x:f>
      </x:c>
      <x:c r="Y34" s="257">
        <x:f>IF(OR($J34="",$J34=0,$X34=""),"",$X34/$J34)</x:f>
      </x:c>
    </x:row>
    <x:row r="35" s="106" customFormat="1" ht="21" customHeight="1">
      <x:c r="A35" s="54" t="n"/>
      <x:c r="B35" s="250" t="n"/>
      <x:c r="C35" s="250" t="n"/>
      <x:c r="D35" s="54" t="n"/>
      <x:c r="E35" s="251" t="n"/>
      <x:c r="F35" s="251" t="n"/>
      <x:c r="G35" s="251" t="n"/>
      <x:c r="H35" s="251" t="n"/>
      <x:c r="I35" s="252" t="n"/>
      <x:c r="J35" s="253" t="n"/>
      <x:c r="K35" s="254" t="n"/>
      <x:c r="L35" s="50" t="n"/>
      <x:c r="M35" s="251" t="n"/>
      <x:c r="N35" s="251">
        <x:f>IF($A35="","",IF($G35="","",IF(ISNUMBER(SEARCH("non",LOWER($E35&amp;""))),$G35*0.85,$G35)))</x:f>
      </x:c>
      <x:c r="O35" s="251">
        <x:f>IF($A35="","",IF(OR($N35="",$I35="",$I35=0),"",$N35/$I35))</x:f>
      </x:c>
      <x:c r="P35" s="251">
        <x:f>IF($A35="","",IF(LOWER($L35&amp;"")="yes",0,IF($K35&lt;&gt;"",$K35,IF($O35&lt;&gt;"",$O35,""))))</x:f>
      </x:c>
      <x:c r="Q35" s="254">
        <x:f>IF($A35="","",IF($U35="Profit",$P35-$H35,0))</x:f>
      </x:c>
      <x:c r="R35" s="251">
        <x:f>IF($A35="","",IF($U35="Draw",$H35,0))</x:f>
      </x:c>
      <x:c r="S35" s="251">
        <x:f>IF($A35="","",IF($U35="Disqualified",$H35,0))</x:f>
      </x:c>
      <x:c r="T35" s="255">
        <x:f>IF($A35="","",IF($H35=0,IF($U35="Profit","N/A",0),IF($U35="Profit",$Q35/$H35,IF($U35="Disqualified",-1,0))))</x:f>
      </x:c>
      <x:c r="U35" s="254">
        <x:f>IF($A35="","",IF(LOWER($L35&amp;"")="yes","Disqualified",IF($P35&gt;$H35,"Profit","Draw")))</x:f>
      </x:c>
      <x:c r="V35" s="253">
        <x:f>IF(OR($B35="",$C35=""),"",IFERROR(ROUNDUP((IF(ISNUMBER($C35),$C35,DATEVALUE($C35))-IF(ISNUMBER($B35),$B35,DATEVALUE($B35)))/7,0),""))</x:f>
      </x:c>
      <x:c r="W35" s="254">
        <x:f>$Q35-$S35</x:f>
      </x:c>
      <x:c r="X35" s="256">
        <x:f>IF(OR($J35="",$I35="",$J35=0,$I35=0,$I35&gt;$J35),"",$J35-$I35)</x:f>
      </x:c>
      <x:c r="Y35" s="257">
        <x:f>IF(OR($J35="",$J35=0,$X35=""),"",$X35/$J35)</x:f>
      </x:c>
    </x:row>
    <x:row r="36" s="106" customFormat="1" ht="21" customHeight="1">
      <x:c r="A36" s="54" t="n"/>
      <x:c r="B36" s="250" t="n"/>
      <x:c r="C36" s="250" t="n"/>
      <x:c r="D36" s="54" t="n"/>
      <x:c r="E36" s="251" t="n"/>
      <x:c r="F36" s="251" t="n"/>
      <x:c r="G36" s="251" t="n"/>
      <x:c r="H36" s="251" t="n"/>
      <x:c r="I36" s="252" t="n"/>
      <x:c r="J36" s="253" t="n"/>
      <x:c r="K36" s="254" t="n"/>
      <x:c r="L36" s="50" t="n"/>
      <x:c r="M36" s="251" t="n"/>
      <x:c r="N36" s="251">
        <x:f>IF($A36="","",IF($G36="","",IF(ISNUMBER(SEARCH("non",LOWER($E36&amp;""))),$G36*0.85,$G36)))</x:f>
      </x:c>
      <x:c r="O36" s="251">
        <x:f>IF($A36="","",IF(OR($N36="",$I36="",$I36=0),"",$N36/$I36))</x:f>
      </x:c>
      <x:c r="P36" s="251">
        <x:f>IF($A36="","",IF(LOWER($L36&amp;"")="yes",0,IF($K36&lt;&gt;"",$K36,IF($O36&lt;&gt;"",$O36,""))))</x:f>
      </x:c>
      <x:c r="Q36" s="254">
        <x:f>IF($A36="","",IF($U36="Profit",$P36-$H36,0))</x:f>
      </x:c>
      <x:c r="R36" s="251">
        <x:f>IF($A36="","",IF($U36="Draw",$H36,0))</x:f>
      </x:c>
      <x:c r="S36" s="251">
        <x:f>IF($A36="","",IF($U36="Disqualified",$H36,0))</x:f>
      </x:c>
      <x:c r="T36" s="255">
        <x:f>IF($A36="","",IF($H36=0,IF($U36="Profit","N/A",0),IF($U36="Profit",$Q36/$H36,IF($U36="Disqualified",-1,0))))</x:f>
      </x:c>
      <x:c r="U36" s="254">
        <x:f>IF($A36="","",IF(LOWER($L36&amp;"")="yes","Disqualified",IF($P36&gt;$H36,"Profit","Draw")))</x:f>
      </x:c>
      <x:c r="V36" s="253">
        <x:f>IF(OR($B36="",$C36=""),"",IFERROR(ROUNDUP((IF(ISNUMBER($C36),$C36,DATEVALUE($C36))-IF(ISNUMBER($B36),$B36,DATEVALUE($B36)))/7,0),""))</x:f>
      </x:c>
      <x:c r="W36" s="254">
        <x:f>$Q36-$S36</x:f>
      </x:c>
      <x:c r="X36" s="256">
        <x:f>IF(OR($J36="",$I36="",$J36=0,$I36=0,$I36&gt;$J36),"",$J36-$I36)</x:f>
      </x:c>
      <x:c r="Y36" s="257">
        <x:f>IF(OR($J36="",$J36=0,$X36=""),"",$X36/$J36)</x:f>
      </x:c>
    </x:row>
    <x:row r="37" s="106" customFormat="1" ht="21" customHeight="1">
      <x:c r="A37" s="54" t="n"/>
      <x:c r="B37" s="250" t="n"/>
      <x:c r="C37" s="250" t="n"/>
      <x:c r="D37" s="54" t="n"/>
      <x:c r="E37" s="251" t="n"/>
      <x:c r="F37" s="251" t="n"/>
      <x:c r="G37" s="251" t="n"/>
      <x:c r="H37" s="251" t="n"/>
      <x:c r="I37" s="252" t="n"/>
      <x:c r="J37" s="253" t="n"/>
      <x:c r="K37" s="254" t="n"/>
      <x:c r="L37" s="50" t="n"/>
      <x:c r="M37" s="251" t="n"/>
      <x:c r="N37" s="251">
        <x:f>IF($A37="","",IF($G37="","",IF(ISNUMBER(SEARCH("non",LOWER($E37&amp;""))),$G37*0.85,$G37)))</x:f>
      </x:c>
      <x:c r="O37" s="251">
        <x:f>IF($A37="","",IF(OR($N37="",$I37="",$I37=0),"",$N37/$I37))</x:f>
      </x:c>
      <x:c r="P37" s="251">
        <x:f>IF($A37="","",IF(LOWER($L37&amp;"")="yes",0,IF($K37&lt;&gt;"",$K37,IF($O37&lt;&gt;"",$O37,""))))</x:f>
      </x:c>
      <x:c r="Q37" s="254">
        <x:f>IF($A37="","",IF($U37="Profit",$P37-$H37,0))</x:f>
      </x:c>
      <x:c r="R37" s="251">
        <x:f>IF($A37="","",IF($U37="Draw",$H37,0))</x:f>
      </x:c>
      <x:c r="S37" s="251">
        <x:f>IF($A37="","",IF($U37="Disqualified",$H37,0))</x:f>
      </x:c>
      <x:c r="T37" s="255">
        <x:f>IF($A37="","",IF($H37=0,IF($U37="Profit","N/A",0),IF($U37="Profit",$Q37/$H37,IF($U37="Disqualified",-1,0))))</x:f>
      </x:c>
      <x:c r="U37" s="254">
        <x:f>IF($A37="","",IF(LOWER($L37&amp;"")="yes","Disqualified",IF($P37&gt;$H37,"Profit","Draw")))</x:f>
      </x:c>
      <x:c r="V37" s="253">
        <x:f>IF(OR($B37="",$C37=""),"",IFERROR(ROUNDUP((IF(ISNUMBER($C37),$C37,DATEVALUE($C37))-IF(ISNUMBER($B37),$B37,DATEVALUE($B37)))/7,0),""))</x:f>
      </x:c>
      <x:c r="W37" s="254">
        <x:f>$Q37-$S37</x:f>
      </x:c>
      <x:c r="X37" s="256">
        <x:f>IF(OR($J37="",$I37="",$J37=0,$I37=0,$I37&gt;$J37),"",$J37-$I37)</x:f>
      </x:c>
      <x:c r="Y37" s="257">
        <x:f>IF(OR($J37="",$J37=0,$X37=""),"",$X37/$J37)</x:f>
      </x:c>
    </x:row>
    <x:row r="38" s="106" customFormat="1" ht="21" customHeight="1">
      <x:c r="A38" s="54" t="n"/>
      <x:c r="B38" s="250" t="n"/>
      <x:c r="C38" s="250" t="n"/>
      <x:c r="D38" s="54" t="n"/>
      <x:c r="E38" s="251" t="n"/>
      <x:c r="F38" s="251" t="n"/>
      <x:c r="G38" s="251" t="n"/>
      <x:c r="H38" s="251" t="n"/>
      <x:c r="I38" s="252" t="n"/>
      <x:c r="J38" s="253" t="n"/>
      <x:c r="K38" s="254" t="n"/>
      <x:c r="L38" s="50" t="n"/>
      <x:c r="M38" s="251" t="n"/>
      <x:c r="N38" s="251">
        <x:f>IF($A38="","",IF($G38="","",IF(ISNUMBER(SEARCH("non",LOWER($E38&amp;""))),$G38*0.85,$G38)))</x:f>
      </x:c>
      <x:c r="O38" s="251">
        <x:f>IF($A38="","",IF(OR($N38="",$I38="",$I38=0),"",$N38/$I38))</x:f>
      </x:c>
      <x:c r="P38" s="251">
        <x:f>IF($A38="","",IF(LOWER($L38&amp;"")="yes",0,IF($K38&lt;&gt;"",$K38,IF($O38&lt;&gt;"",$O38,""))))</x:f>
      </x:c>
      <x:c r="Q38" s="254">
        <x:f>IF($A38="","",IF($U38="Profit",$P38-$H38,0))</x:f>
      </x:c>
      <x:c r="R38" s="251">
        <x:f>IF($A38="","",IF($U38="Draw",$H38,0))</x:f>
      </x:c>
      <x:c r="S38" s="251">
        <x:f>IF($A38="","",IF($U38="Disqualified",$H38,0))</x:f>
      </x:c>
      <x:c r="T38" s="255">
        <x:f>IF($A38="","",IF($H38=0,IF($U38="Profit","N/A",0),IF($U38="Profit",$Q38/$H38,IF($U38="Disqualified",-1,0))))</x:f>
      </x:c>
      <x:c r="U38" s="254">
        <x:f>IF($A38="","",IF(LOWER($L38&amp;"")="yes","Disqualified",IF($P38&gt;$H38,"Profit","Draw")))</x:f>
      </x:c>
      <x:c r="V38" s="253">
        <x:f>IF(OR($B38="",$C38=""),"",IFERROR(ROUNDUP((IF(ISNUMBER($C38),$C38,DATEVALUE($C38))-IF(ISNUMBER($B38),$B38,DATEVALUE($B38)))/7,0),""))</x:f>
      </x:c>
      <x:c r="W38" s="254">
        <x:f>$Q38-$S38</x:f>
      </x:c>
      <x:c r="X38" s="256">
        <x:f>IF(OR($J38="",$I38="",$J38=0,$I38=0,$I38&gt;$J38),"",$J38-$I38)</x:f>
      </x:c>
      <x:c r="Y38" s="257">
        <x:f>IF(OR($J38="",$J38=0,$X38=""),"",$X38/$J38)</x:f>
      </x:c>
    </x:row>
    <x:row r="39" s="106" customFormat="1" ht="21" customHeight="1">
      <x:c r="A39" s="54" t="n"/>
      <x:c r="B39" s="250" t="n"/>
      <x:c r="C39" s="250" t="n"/>
      <x:c r="D39" s="54" t="n"/>
      <x:c r="E39" s="251" t="n"/>
      <x:c r="F39" s="251" t="n"/>
      <x:c r="G39" s="251" t="n"/>
      <x:c r="H39" s="251" t="n"/>
      <x:c r="I39" s="252" t="n"/>
      <x:c r="J39" s="253" t="n"/>
      <x:c r="K39" s="254" t="n"/>
      <x:c r="L39" s="50" t="n"/>
      <x:c r="M39" s="251" t="n"/>
      <x:c r="N39" s="251">
        <x:f>IF($A39="","",IF($G39="","",IF(ISNUMBER(SEARCH("non",LOWER($E39&amp;""))),$G39*0.85,$G39)))</x:f>
      </x:c>
      <x:c r="O39" s="251">
        <x:f>IF($A39="","",IF(OR($N39="",$I39="",$I39=0),"",$N39/$I39))</x:f>
      </x:c>
      <x:c r="P39" s="251">
        <x:f>IF($A39="","",IF(LOWER($L39&amp;"")="yes",0,IF($K39&lt;&gt;"",$K39,IF($O39&lt;&gt;"",$O39,""))))</x:f>
      </x:c>
      <x:c r="Q39" s="254">
        <x:f>IF($A39="","",IF($U39="Profit",$P39-$H39,0))</x:f>
      </x:c>
      <x:c r="R39" s="251">
        <x:f>IF($A39="","",IF($U39="Draw",$H39,0))</x:f>
      </x:c>
      <x:c r="S39" s="251">
        <x:f>IF($A39="","",IF($U39="Disqualified",$H39,0))</x:f>
      </x:c>
      <x:c r="T39" s="255">
        <x:f>IF($A39="","",IF($H39=0,IF($U39="Profit","N/A",0),IF($U39="Profit",$Q39/$H39,IF($U39="Disqualified",-1,0))))</x:f>
      </x:c>
      <x:c r="U39" s="254">
        <x:f>IF($A39="","",IF(LOWER($L39&amp;"")="yes","Disqualified",IF($P39&gt;$H39,"Profit","Draw")))</x:f>
      </x:c>
      <x:c r="V39" s="253">
        <x:f>IF(OR($B39="",$C39=""),"",IFERROR(ROUNDUP((IF(ISNUMBER($C39),$C39,DATEVALUE($C39))-IF(ISNUMBER($B39),$B39,DATEVALUE($B39)))/7,0),""))</x:f>
      </x:c>
      <x:c r="W39" s="254">
        <x:f>$Q39-$S39</x:f>
      </x:c>
      <x:c r="X39" s="256">
        <x:f>IF(OR($J39="",$I39="",$J39=0,$I39=0,$I39&gt;$J39),"",$J39-$I39)</x:f>
      </x:c>
      <x:c r="Y39" s="257">
        <x:f>IF(OR($J39="",$J39=0,$X39=""),"",$X39/$J39)</x:f>
      </x:c>
    </x:row>
    <x:row r="40" s="106" customFormat="1" ht="21" customHeight="1">
      <x:c r="A40" s="54" t="n"/>
      <x:c r="B40" s="250" t="n"/>
      <x:c r="C40" s="250" t="n"/>
      <x:c r="D40" s="54" t="n"/>
      <x:c r="E40" s="251" t="n"/>
      <x:c r="F40" s="251" t="n"/>
      <x:c r="G40" s="251" t="n"/>
      <x:c r="H40" s="251" t="n"/>
      <x:c r="I40" s="252" t="n"/>
      <x:c r="J40" s="253" t="n"/>
      <x:c r="K40" s="254" t="n"/>
      <x:c r="L40" s="50" t="n"/>
      <x:c r="M40" s="251" t="n"/>
      <x:c r="N40" s="251">
        <x:f>IF($A40="","",IF($G40="","",IF(ISNUMBER(SEARCH("non",LOWER($E40&amp;""))),$G40*0.85,$G40)))</x:f>
      </x:c>
      <x:c r="O40" s="251">
        <x:f>IF($A40="","",IF(OR($N40="",$I40="",$I40=0),"",$N40/$I40))</x:f>
      </x:c>
      <x:c r="P40" s="251">
        <x:f>IF($A40="","",IF(LOWER($L40&amp;"")="yes",0,IF($K40&lt;&gt;"",$K40,IF($O40&lt;&gt;"",$O40,""))))</x:f>
      </x:c>
      <x:c r="Q40" s="254">
        <x:f>IF($A40="","",IF($U40="Profit",$P40-$H40,0))</x:f>
      </x:c>
      <x:c r="R40" s="251">
        <x:f>IF($A40="","",IF($U40="Draw",$H40,0))</x:f>
      </x:c>
      <x:c r="S40" s="251">
        <x:f>IF($A40="","",IF($U40="Disqualified",$H40,0))</x:f>
      </x:c>
      <x:c r="T40" s="255">
        <x:f>IF($A40="","",IF($H40=0,IF($U40="Profit","N/A",0),IF($U40="Profit",$Q40/$H40,IF($U40="Disqualified",-1,0))))</x:f>
      </x:c>
      <x:c r="U40" s="254">
        <x:f>IF($A40="","",IF(LOWER($L40&amp;"")="yes","Disqualified",IF($P40&gt;$H40,"Profit","Draw")))</x:f>
      </x:c>
      <x:c r="V40" s="253">
        <x:f>IF(OR($B40="",$C40=""),"",IFERROR(ROUNDUP((IF(ISNUMBER($C40),$C40,DATEVALUE($C40))-IF(ISNUMBER($B40),$B40,DATEVALUE($B40)))/7,0),""))</x:f>
      </x:c>
      <x:c r="W40" s="254">
        <x:f>$Q40-$S40</x:f>
      </x:c>
      <x:c r="X40" s="256">
        <x:f>IF(OR($J40="",$I40="",$J40=0,$I40=0,$I40&gt;$J40),"",$J40-$I40)</x:f>
      </x:c>
      <x:c r="Y40" s="257">
        <x:f>IF(OR($J40="",$J40=0,$X40=""),"",$X40/$J40)</x:f>
      </x:c>
    </x:row>
    <x:row r="41" s="106" customFormat="1" ht="21" customHeight="1">
      <x:c r="A41" s="54" t="n"/>
      <x:c r="B41" s="250" t="n"/>
      <x:c r="C41" s="250" t="n"/>
      <x:c r="D41" s="54" t="n"/>
      <x:c r="E41" s="251" t="n"/>
      <x:c r="F41" s="251" t="n"/>
      <x:c r="G41" s="251" t="n"/>
      <x:c r="H41" s="251" t="n"/>
      <x:c r="I41" s="252" t="n"/>
      <x:c r="J41" s="253" t="n"/>
      <x:c r="K41" s="254" t="n"/>
      <x:c r="L41" s="50" t="n"/>
      <x:c r="M41" s="251" t="n"/>
      <x:c r="N41" s="251">
        <x:f>IF($A41="","",IF($G41="","",IF(ISNUMBER(SEARCH("non",LOWER($E41&amp;""))),$G41*0.85,$G41)))</x:f>
      </x:c>
      <x:c r="O41" s="251">
        <x:f>IF($A41="","",IF(OR($N41="",$I41="",$I41=0),"",$N41/$I41))</x:f>
      </x:c>
      <x:c r="P41" s="251">
        <x:f>IF($A41="","",IF(LOWER($L41&amp;"")="yes",0,IF($K41&lt;&gt;"",$K41,IF($O41&lt;&gt;"",$O41,""))))</x:f>
      </x:c>
      <x:c r="Q41" s="254">
        <x:f>IF($A41="","",IF($U41="Profit",$P41-$H41,0))</x:f>
      </x:c>
      <x:c r="R41" s="251">
        <x:f>IF($A41="","",IF($U41="Draw",$H41,0))</x:f>
      </x:c>
      <x:c r="S41" s="251">
        <x:f>IF($A41="","",IF($U41="Disqualified",$H41,0))</x:f>
      </x:c>
      <x:c r="T41" s="255">
        <x:f>IF($A41="","",IF($H41=0,IF($U41="Profit","N/A",0),IF($U41="Profit",$Q41/$H41,IF($U41="Disqualified",-1,0))))</x:f>
      </x:c>
      <x:c r="U41" s="254">
        <x:f>IF($A41="","",IF(LOWER($L41&amp;"")="yes","Disqualified",IF($P41&gt;$H41,"Profit","Draw")))</x:f>
      </x:c>
      <x:c r="V41" s="253">
        <x:f>IF(OR($B41="",$C41=""),"",IFERROR(ROUNDUP((IF(ISNUMBER($C41),$C41,DATEVALUE($C41))-IF(ISNUMBER($B41),$B41,DATEVALUE($B41)))/7,0),""))</x:f>
      </x:c>
      <x:c r="W41" s="254">
        <x:f>$Q41-$S41</x:f>
      </x:c>
      <x:c r="X41" s="256">
        <x:f>IF(OR($J41="",$I41="",$J41=0,$I41=0,$I41&gt;$J41),"",$J41-$I41)</x:f>
      </x:c>
      <x:c r="Y41" s="257">
        <x:f>IF(OR($J41="",$J41=0,$X41=""),"",$X41/$J41)</x:f>
      </x:c>
    </x:row>
    <x:row r="42" s="106" customFormat="1" ht="21" customHeight="1">
      <x:c r="A42" s="54" t="n"/>
      <x:c r="B42" s="250" t="n"/>
      <x:c r="C42" s="250" t="n"/>
      <x:c r="D42" s="54" t="n"/>
      <x:c r="E42" s="251" t="n"/>
      <x:c r="F42" s="251" t="n"/>
      <x:c r="G42" s="251" t="n"/>
      <x:c r="H42" s="251" t="n"/>
      <x:c r="I42" s="252" t="n"/>
      <x:c r="J42" s="253" t="n"/>
      <x:c r="K42" s="254" t="n"/>
      <x:c r="L42" s="50" t="n"/>
      <x:c r="M42" s="251" t="n"/>
      <x:c r="N42" s="251">
        <x:f>IF($A42="","",IF($G42="","",IF(ISNUMBER(SEARCH("non",LOWER($E42&amp;""))),$G42*0.85,$G42)))</x:f>
      </x:c>
      <x:c r="O42" s="251">
        <x:f>IF($A42="","",IF(OR($N42="",$I42="",$I42=0),"",$N42/$I42))</x:f>
      </x:c>
      <x:c r="P42" s="251">
        <x:f>IF($A42="","",IF(LOWER($L42&amp;"")="yes",0,IF($K42&lt;&gt;"",$K42,IF($O42&lt;&gt;"",$O42,""))))</x:f>
      </x:c>
      <x:c r="Q42" s="254">
        <x:f>IF($A42="","",IF($U42="Profit",$P42-$H42,0))</x:f>
      </x:c>
      <x:c r="R42" s="251">
        <x:f>IF($A42="","",IF($U42="Draw",$H42,0))</x:f>
      </x:c>
      <x:c r="S42" s="251">
        <x:f>IF($A42="","",IF($U42="Disqualified",$H42,0))</x:f>
      </x:c>
      <x:c r="T42" s="255">
        <x:f>IF($A42="","",IF($H42=0,IF($U42="Profit","N/A",0),IF($U42="Profit",$Q42/$H42,IF($U42="Disqualified",-1,0))))</x:f>
      </x:c>
      <x:c r="U42" s="254">
        <x:f>IF($A42="","",IF(LOWER($L42&amp;"")="yes","Disqualified",IF($P42&gt;$H42,"Profit","Draw")))</x:f>
      </x:c>
      <x:c r="V42" s="253">
        <x:f>IF(OR($B42="",$C42=""),"",IFERROR(ROUNDUP((IF(ISNUMBER($C42),$C42,DATEVALUE($C42))-IF(ISNUMBER($B42),$B42,DATEVALUE($B42)))/7,0),""))</x:f>
      </x:c>
      <x:c r="W42" s="254">
        <x:f>$Q42-$S42</x:f>
      </x:c>
      <x:c r="X42" s="256">
        <x:f>IF(OR($J42="",$I42="",$J42=0,$I42=0,$I42&gt;$J42),"",$J42-$I42)</x:f>
      </x:c>
      <x:c r="Y42" s="257">
        <x:f>IF(OR($J42="",$J42=0,$X42=""),"",$X42/$J42)</x:f>
      </x:c>
    </x:row>
    <x:row r="43" s="106" customFormat="1" ht="21" customHeight="1">
      <x:c r="A43" s="54" t="n"/>
      <x:c r="B43" s="250" t="n"/>
      <x:c r="C43" s="250" t="n"/>
      <x:c r="D43" s="54" t="n"/>
      <x:c r="E43" s="251" t="n"/>
      <x:c r="F43" s="251" t="n"/>
      <x:c r="G43" s="251" t="n"/>
      <x:c r="H43" s="251" t="n"/>
      <x:c r="I43" s="252" t="n"/>
      <x:c r="J43" s="253" t="n"/>
      <x:c r="K43" s="254" t="n"/>
      <x:c r="L43" s="50" t="n"/>
      <x:c r="M43" s="251" t="n"/>
      <x:c r="N43" s="251">
        <x:f>IF($A43="","",IF($G43="","",IF(ISNUMBER(SEARCH("non",LOWER($E43&amp;""))),$G43*0.85,$G43)))</x:f>
      </x:c>
      <x:c r="O43" s="251">
        <x:f>IF($A43="","",IF(OR($N43="",$I43="",$I43=0),"",$N43/$I43))</x:f>
      </x:c>
      <x:c r="P43" s="251">
        <x:f>IF($A43="","",IF(LOWER($L43&amp;"")="yes",0,IF($K43&lt;&gt;"",$K43,IF($O43&lt;&gt;"",$O43,""))))</x:f>
      </x:c>
      <x:c r="Q43" s="254">
        <x:f>IF($A43="","",IF($U43="Profit",$P43-$H43,0))</x:f>
      </x:c>
      <x:c r="R43" s="251">
        <x:f>IF($A43="","",IF($U43="Draw",$H43,0))</x:f>
      </x:c>
      <x:c r="S43" s="251">
        <x:f>IF($A43="","",IF($U43="Disqualified",$H43,0))</x:f>
      </x:c>
      <x:c r="T43" s="255">
        <x:f>IF($A43="","",IF($H43=0,IF($U43="Profit","N/A",0),IF($U43="Profit",$Q43/$H43,IF($U43="Disqualified",-1,0))))</x:f>
      </x:c>
      <x:c r="U43" s="254">
        <x:f>IF($A43="","",IF(LOWER($L43&amp;"")="yes","Disqualified",IF($P43&gt;$H43,"Profit","Draw")))</x:f>
      </x:c>
      <x:c r="V43" s="253">
        <x:f>IF(OR($B43="",$C43=""),"",IFERROR(ROUNDUP((IF(ISNUMBER($C43),$C43,DATEVALUE($C43))-IF(ISNUMBER($B43),$B43,DATEVALUE($B43)))/7,0),""))</x:f>
      </x:c>
      <x:c r="W43" s="254">
        <x:f>$Q43-$S43</x:f>
      </x:c>
      <x:c r="X43" s="256">
        <x:f>IF(OR($J43="",$I43="",$J43=0,$I43=0,$I43&gt;$J43),"",$J43-$I43)</x:f>
      </x:c>
      <x:c r="Y43" s="257">
        <x:f>IF(OR($J43="",$J43=0,$X43=""),"",$X43/$J43)</x:f>
      </x:c>
    </x:row>
    <x:row r="44" s="106" customFormat="1" ht="21" customHeight="1">
      <x:c r="A44" s="54" t="n"/>
      <x:c r="B44" s="250" t="n"/>
      <x:c r="C44" s="250" t="n"/>
      <x:c r="D44" s="54" t="n"/>
      <x:c r="E44" s="251" t="n"/>
      <x:c r="F44" s="251" t="n"/>
      <x:c r="G44" s="251" t="n"/>
      <x:c r="H44" s="251" t="n"/>
      <x:c r="I44" s="252" t="n"/>
      <x:c r="J44" s="253" t="n"/>
      <x:c r="K44" s="254" t="n"/>
      <x:c r="L44" s="50" t="n"/>
      <x:c r="M44" s="251" t="n"/>
      <x:c r="N44" s="251">
        <x:f>IF($A44="","",IF($G44="","",IF(ISNUMBER(SEARCH("non",LOWER($E44&amp;""))),$G44*0.85,$G44)))</x:f>
      </x:c>
      <x:c r="O44" s="251">
        <x:f>IF($A44="","",IF(OR($N44="",$I44="",$I44=0),"",$N44/$I44))</x:f>
      </x:c>
      <x:c r="P44" s="251">
        <x:f>IF($A44="","",IF(LOWER($L44&amp;"")="yes",0,IF($K44&lt;&gt;"",$K44,IF($O44&lt;&gt;"",$O44,""))))</x:f>
      </x:c>
      <x:c r="Q44" s="254">
        <x:f>IF($A44="","",IF($U44="Profit",$P44-$H44,0))</x:f>
      </x:c>
      <x:c r="R44" s="251">
        <x:f>IF($A44="","",IF($U44="Draw",$H44,0))</x:f>
      </x:c>
      <x:c r="S44" s="251">
        <x:f>IF($A44="","",IF($U44="Disqualified",$H44,0))</x:f>
      </x:c>
      <x:c r="T44" s="255">
        <x:f>IF($A44="","",IF($H44=0,IF($U44="Profit","N/A",0),IF($U44="Profit",$Q44/$H44,IF($U44="Disqualified",-1,0))))</x:f>
      </x:c>
      <x:c r="U44" s="254">
        <x:f>IF($A44="","",IF(LOWER($L44&amp;"")="yes","Disqualified",IF($P44&gt;$H44,"Profit","Draw")))</x:f>
      </x:c>
      <x:c r="V44" s="253">
        <x:f>IF(OR($B44="",$C44=""),"",IFERROR(ROUNDUP((IF(ISNUMBER($C44),$C44,DATEVALUE($C44))-IF(ISNUMBER($B44),$B44,DATEVALUE($B44)))/7,0),""))</x:f>
      </x:c>
      <x:c r="W44" s="254">
        <x:f>$Q44-$S44</x:f>
      </x:c>
      <x:c r="X44" s="256">
        <x:f>IF(OR($J44="",$I44="",$J44=0,$I44=0,$I44&gt;$J44),"",$J44-$I44)</x:f>
      </x:c>
      <x:c r="Y44" s="257">
        <x:f>IF(OR($J44="",$J44=0,$X44=""),"",$X44/$J44)</x:f>
      </x:c>
    </x:row>
    <x:row r="45" s="106" customFormat="1" ht="21" customHeight="1">
      <x:c r="A45" s="54" t="n"/>
      <x:c r="B45" s="250" t="n"/>
      <x:c r="C45" s="250" t="n"/>
      <x:c r="D45" s="54" t="n"/>
      <x:c r="E45" s="251" t="n"/>
      <x:c r="F45" s="251" t="n"/>
      <x:c r="G45" s="251" t="n"/>
      <x:c r="H45" s="251" t="n"/>
      <x:c r="I45" s="252" t="n"/>
      <x:c r="J45" s="253" t="n"/>
      <x:c r="K45" s="254" t="n"/>
      <x:c r="L45" s="50" t="n"/>
      <x:c r="M45" s="251" t="n"/>
      <x:c r="N45" s="251">
        <x:f>IF($A45="","",IF($G45="","",IF(ISNUMBER(SEARCH("non",LOWER($E45&amp;""))),$G45*0.85,$G45)))</x:f>
      </x:c>
      <x:c r="O45" s="251">
        <x:f>IF($A45="","",IF(OR($N45="",$I45="",$I45=0),"",$N45/$I45))</x:f>
      </x:c>
      <x:c r="P45" s="251">
        <x:f>IF($A45="","",IF(LOWER($L45&amp;"")="yes",0,IF($K45&lt;&gt;"",$K45,IF($O45&lt;&gt;"",$O45,""))))</x:f>
      </x:c>
      <x:c r="Q45" s="254">
        <x:f>IF($A45="","",IF($U45="Profit",$P45-$H45,0))</x:f>
      </x:c>
      <x:c r="R45" s="251">
        <x:f>IF($A45="","",IF($U45="Draw",$H45,0))</x:f>
      </x:c>
      <x:c r="S45" s="251">
        <x:f>IF($A45="","",IF($U45="Disqualified",$H45,0))</x:f>
      </x:c>
      <x:c r="T45" s="255">
        <x:f>IF($A45="","",IF($H45=0,IF($U45="Profit","N/A",0),IF($U45="Profit",$Q45/$H45,IF($U45="Disqualified",-1,0))))</x:f>
      </x:c>
      <x:c r="U45" s="254">
        <x:f>IF($A45="","",IF(LOWER($L45&amp;"")="yes","Disqualified",IF($P45&gt;$H45,"Profit","Draw")))</x:f>
      </x:c>
      <x:c r="V45" s="253">
        <x:f>IF(OR($B45="",$C45=""),"",IFERROR(ROUNDUP((IF(ISNUMBER($C45),$C45,DATEVALUE($C45))-IF(ISNUMBER($B45),$B45,DATEVALUE($B45)))/7,0),""))</x:f>
      </x:c>
      <x:c r="W45" s="254">
        <x:f>$Q45-$S45</x:f>
      </x:c>
      <x:c r="X45" s="256">
        <x:f>IF(OR($J45="",$I45="",$J45=0,$I45=0,$I45&gt;$J45),"",$J45-$I45)</x:f>
      </x:c>
      <x:c r="Y45" s="257">
        <x:f>IF(OR($J45="",$J45=0,$X45=""),"",$X45/$J45)</x:f>
      </x:c>
    </x:row>
    <x:row r="46" s="106" customFormat="1" ht="21" customHeight="1">
      <x:c r="A46" s="54" t="n"/>
      <x:c r="B46" s="250" t="n"/>
      <x:c r="C46" s="250" t="n"/>
      <x:c r="D46" s="54" t="n"/>
      <x:c r="E46" s="251" t="n"/>
      <x:c r="F46" s="251" t="n"/>
      <x:c r="G46" s="251" t="n"/>
      <x:c r="H46" s="251" t="n"/>
      <x:c r="I46" s="252" t="n"/>
      <x:c r="J46" s="253" t="n"/>
      <x:c r="K46" s="254" t="n"/>
      <x:c r="L46" s="50" t="n"/>
      <x:c r="M46" s="251" t="n"/>
      <x:c r="N46" s="251">
        <x:f>IF($A46="","",IF($G46="","",IF(ISNUMBER(SEARCH("non",LOWER($E46&amp;""))),$G46*0.85,$G46)))</x:f>
      </x:c>
      <x:c r="O46" s="251">
        <x:f>IF($A46="","",IF(OR($N46="",$I46="",$I46=0),"",$N46/$I46))</x:f>
      </x:c>
      <x:c r="P46" s="251">
        <x:f>IF($A46="","",IF(LOWER($L46&amp;"")="yes",0,IF($K46&lt;&gt;"",$K46,IF($O46&lt;&gt;"",$O46,""))))</x:f>
      </x:c>
      <x:c r="Q46" s="254">
        <x:f>IF($A46="","",IF($U46="Profit",$P46-$H46,0))</x:f>
      </x:c>
      <x:c r="R46" s="251">
        <x:f>IF($A46="","",IF($U46="Draw",$H46,0))</x:f>
      </x:c>
      <x:c r="S46" s="251">
        <x:f>IF($A46="","",IF($U46="Disqualified",$H46,0))</x:f>
      </x:c>
      <x:c r="T46" s="255">
        <x:f>IF($A46="","",IF($H46=0,IF($U46="Profit","N/A",0),IF($U46="Profit",$Q46/$H46,IF($U46="Disqualified",-1,0))))</x:f>
      </x:c>
      <x:c r="U46" s="254">
        <x:f>IF($A46="","",IF(LOWER($L46&amp;"")="yes","Disqualified",IF($P46&gt;$H46,"Profit","Draw")))</x:f>
      </x:c>
      <x:c r="V46" s="253">
        <x:f>IF(OR($B46="",$C46=""),"",IFERROR(ROUNDUP((IF(ISNUMBER($C46),$C46,DATEVALUE($C46))-IF(ISNUMBER($B46),$B46,DATEVALUE($B46)))/7,0),""))</x:f>
      </x:c>
      <x:c r="W46" s="254">
        <x:f>$Q46-$S46</x:f>
      </x:c>
      <x:c r="X46" s="256">
        <x:f>IF(OR($J46="",$I46="",$J46=0,$I46=0,$I46&gt;$J46),"",$J46-$I46)</x:f>
      </x:c>
      <x:c r="Y46" s="257">
        <x:f>IF(OR($J46="",$J46=0,$X46=""),"",$X46/$J46)</x:f>
      </x:c>
    </x:row>
    <x:row r="47" s="106" customFormat="1" ht="21" customHeight="1">
      <x:c r="A47" s="54" t="n"/>
      <x:c r="B47" s="250" t="n"/>
      <x:c r="C47" s="250" t="n"/>
      <x:c r="D47" s="54" t="n"/>
      <x:c r="E47" s="251" t="n"/>
      <x:c r="F47" s="251" t="n"/>
      <x:c r="G47" s="251" t="n"/>
      <x:c r="H47" s="251" t="n"/>
      <x:c r="I47" s="252" t="n"/>
      <x:c r="J47" s="253" t="n"/>
      <x:c r="K47" s="254" t="n"/>
      <x:c r="L47" s="50" t="n"/>
      <x:c r="M47" s="251" t="n"/>
      <x:c r="N47" s="251">
        <x:f>IF($A47="","",IF($G47="","",IF(ISNUMBER(SEARCH("non",LOWER($E47&amp;""))),$G47*0.85,$G47)))</x:f>
      </x:c>
      <x:c r="O47" s="251">
        <x:f>IF($A47="","",IF(OR($N47="",$I47="",$I47=0),"",$N47/$I47))</x:f>
      </x:c>
      <x:c r="P47" s="251">
        <x:f>IF($A47="","",IF(LOWER($L47&amp;"")="yes",0,IF($K47&lt;&gt;"",$K47,IF($O47&lt;&gt;"",$O47,""))))</x:f>
      </x:c>
      <x:c r="Q47" s="254">
        <x:f>IF($A47="","",IF($U47="Profit",$P47-$H47,0))</x:f>
      </x:c>
      <x:c r="R47" s="251">
        <x:f>IF($A47="","",IF($U47="Draw",$H47,0))</x:f>
      </x:c>
      <x:c r="S47" s="251">
        <x:f>IF($A47="","",IF($U47="Disqualified",$H47,0))</x:f>
      </x:c>
      <x:c r="T47" s="255">
        <x:f>IF($A47="","",IF($H47=0,IF($U47="Profit","N/A",0),IF($U47="Profit",$Q47/$H47,IF($U47="Disqualified",-1,0))))</x:f>
      </x:c>
      <x:c r="U47" s="254">
        <x:f>IF($A47="","",IF(LOWER($L47&amp;"")="yes","Disqualified",IF($P47&gt;$H47,"Profit","Draw")))</x:f>
      </x:c>
      <x:c r="V47" s="253">
        <x:f>IF(OR($B47="",$C47=""),"",IFERROR(ROUNDUP((IF(ISNUMBER($C47),$C47,DATEVALUE($C47))-IF(ISNUMBER($B47),$B47,DATEVALUE($B47)))/7,0),""))</x:f>
      </x:c>
      <x:c r="W47" s="254">
        <x:f>$Q47-$S47</x:f>
      </x:c>
      <x:c r="X47" s="256">
        <x:f>IF(OR($J47="",$I47="",$J47=0,$I47=0,$I47&gt;$J47),"",$J47-$I47)</x:f>
      </x:c>
      <x:c r="Y47" s="257">
        <x:f>IF(OR($J47="",$J47=0,$X47=""),"",$X47/$J47)</x:f>
      </x:c>
    </x:row>
    <x:row r="48" s="106" customFormat="1" ht="21" customHeight="1">
      <x:c r="A48" s="54" t="n"/>
      <x:c r="B48" s="250" t="n"/>
      <x:c r="C48" s="250" t="n"/>
      <x:c r="D48" s="54" t="n"/>
      <x:c r="E48" s="251" t="n"/>
      <x:c r="F48" s="251" t="n"/>
      <x:c r="G48" s="251" t="n"/>
      <x:c r="H48" s="251" t="n"/>
      <x:c r="I48" s="252" t="n"/>
      <x:c r="J48" s="253" t="n"/>
      <x:c r="K48" s="254" t="n"/>
      <x:c r="L48" s="50" t="n"/>
      <x:c r="M48" s="251" t="n"/>
      <x:c r="N48" s="251">
        <x:f>IF($A48="","",IF($G48="","",IF(ISNUMBER(SEARCH("non",LOWER($E48&amp;""))),$G48*0.85,$G48)))</x:f>
      </x:c>
      <x:c r="O48" s="251">
        <x:f>IF($A48="","",IF(OR($N48="",$I48="",$I48=0),"",$N48/$I48))</x:f>
      </x:c>
      <x:c r="P48" s="251">
        <x:f>IF($A48="","",IF(LOWER($L48&amp;"")="yes",0,IF($K48&lt;&gt;"",$K48,IF($O48&lt;&gt;"",$O48,""))))</x:f>
      </x:c>
      <x:c r="Q48" s="254">
        <x:f>IF($A48="","",IF($U48="Profit",$P48-$H48,0))</x:f>
      </x:c>
      <x:c r="R48" s="251">
        <x:f>IF($A48="","",IF($U48="Draw",$H48,0))</x:f>
      </x:c>
      <x:c r="S48" s="251">
        <x:f>IF($A48="","",IF($U48="Disqualified",$H48,0))</x:f>
      </x:c>
      <x:c r="T48" s="255">
        <x:f>IF($A48="","",IF($H48=0,IF($U48="Profit","N/A",0),IF($U48="Profit",$Q48/$H48,IF($U48="Disqualified",-1,0))))</x:f>
      </x:c>
      <x:c r="U48" s="254">
        <x:f>IF($A48="","",IF(LOWER($L48&amp;"")="yes","Disqualified",IF($P48&gt;$H48,"Profit","Draw")))</x:f>
      </x:c>
      <x:c r="V48" s="253">
        <x:f>IF(OR($B48="",$C48=""),"",IFERROR(ROUNDUP((IF(ISNUMBER($C48),$C48,DATEVALUE($C48))-IF(ISNUMBER($B48),$B48,DATEVALUE($B48)))/7,0),""))</x:f>
      </x:c>
      <x:c r="W48" s="254">
        <x:f>$Q48-$S48</x:f>
      </x:c>
      <x:c r="X48" s="256">
        <x:f>IF(OR($J48="",$I48="",$J48=0,$I48=0,$I48&gt;$J48),"",$J48-$I48)</x:f>
      </x:c>
      <x:c r="Y48" s="257">
        <x:f>IF(OR($J48="",$J48=0,$X48=""),"",$X48/$J48)</x:f>
      </x:c>
    </x:row>
    <x:row r="49" s="106" customFormat="1" ht="21" customHeight="1">
      <x:c r="A49" s="54" t="n"/>
      <x:c r="B49" s="250" t="n"/>
      <x:c r="C49" s="250" t="n"/>
      <x:c r="D49" s="54" t="n"/>
      <x:c r="E49" s="251" t="n"/>
      <x:c r="F49" s="251" t="n"/>
      <x:c r="G49" s="251" t="n"/>
      <x:c r="H49" s="251" t="n"/>
      <x:c r="I49" s="252" t="n"/>
      <x:c r="J49" s="253" t="n"/>
      <x:c r="K49" s="254" t="n"/>
      <x:c r="L49" s="50" t="n"/>
      <x:c r="M49" s="251" t="n"/>
      <x:c r="N49" s="251">
        <x:f>IF($A49="","",IF($G49="","",IF(ISNUMBER(SEARCH("non",LOWER($E49&amp;""))),$G49*0.85,$G49)))</x:f>
      </x:c>
      <x:c r="O49" s="251">
        <x:f>IF($A49="","",IF(OR($N49="",$I49="",$I49=0),"",$N49/$I49))</x:f>
      </x:c>
      <x:c r="P49" s="251">
        <x:f>IF($A49="","",IF(LOWER($L49&amp;"")="yes",0,IF($K49&lt;&gt;"",$K49,IF($O49&lt;&gt;"",$O49,""))))</x:f>
      </x:c>
      <x:c r="Q49" s="254">
        <x:f>IF($A49="","",IF($U49="Profit",$P49-$H49,0))</x:f>
      </x:c>
      <x:c r="R49" s="251">
        <x:f>IF($A49="","",IF($U49="Draw",$H49,0))</x:f>
      </x:c>
      <x:c r="S49" s="251">
        <x:f>IF($A49="","",IF($U49="Disqualified",$H49,0))</x:f>
      </x:c>
      <x:c r="T49" s="255">
        <x:f>IF($A49="","",IF($H49=0,IF($U49="Profit","N/A",0),IF($U49="Profit",$Q49/$H49,IF($U49="Disqualified",-1,0))))</x:f>
      </x:c>
      <x:c r="U49" s="254">
        <x:f>IF($A49="","",IF(LOWER($L49&amp;"")="yes","Disqualified",IF($P49&gt;$H49,"Profit","Draw")))</x:f>
      </x:c>
      <x:c r="V49" s="253">
        <x:f>IF(OR($B49="",$C49=""),"",IFERROR(ROUNDUP((IF(ISNUMBER($C49),$C49,DATEVALUE($C49))-IF(ISNUMBER($B49),$B49,DATEVALUE($B49)))/7,0),""))</x:f>
      </x:c>
      <x:c r="W49" s="254">
        <x:f>$Q49-$S49</x:f>
      </x:c>
      <x:c r="X49" s="256">
        <x:f>IF(OR($J49="",$I49="",$J49=0,$I49=0,$I49&gt;$J49),"",$J49-$I49)</x:f>
      </x:c>
      <x:c r="Y49" s="257">
        <x:f>IF(OR($J49="",$J49=0,$X49=""),"",$X49/$J49)</x:f>
      </x:c>
    </x:row>
    <x:row r="50" s="106" customFormat="1" ht="21" customHeight="1">
      <x:c r="A50" s="54" t="n"/>
      <x:c r="B50" s="250" t="n"/>
      <x:c r="C50" s="250" t="n"/>
      <x:c r="D50" s="54" t="n"/>
      <x:c r="E50" s="251" t="n"/>
      <x:c r="F50" s="251" t="n"/>
      <x:c r="G50" s="251" t="n"/>
      <x:c r="H50" s="251" t="n"/>
      <x:c r="I50" s="252" t="n"/>
      <x:c r="J50" s="253" t="n"/>
      <x:c r="K50" s="254" t="n"/>
      <x:c r="L50" s="50" t="n"/>
      <x:c r="M50" s="251" t="n"/>
      <x:c r="N50" s="251">
        <x:f>IF($A50="","",IF($G50="","",IF(ISNUMBER(SEARCH("non",LOWER($E50&amp;""))),$G50*0.85,$G50)))</x:f>
      </x:c>
      <x:c r="O50" s="251">
        <x:f>IF($A50="","",IF(OR($N50="",$I50="",$I50=0),"",$N50/$I50))</x:f>
      </x:c>
      <x:c r="P50" s="251">
        <x:f>IF($A50="","",IF(LOWER($L50&amp;"")="yes",0,IF($K50&lt;&gt;"",$K50,IF($O50&lt;&gt;"",$O50,""))))</x:f>
      </x:c>
      <x:c r="Q50" s="254">
        <x:f>IF($A50="","",IF($U50="Profit",$P50-$H50,0))</x:f>
      </x:c>
      <x:c r="R50" s="251">
        <x:f>IF($A50="","",IF($U50="Draw",$H50,0))</x:f>
      </x:c>
      <x:c r="S50" s="251">
        <x:f>IF($A50="","",IF($U50="Disqualified",$H50,0))</x:f>
      </x:c>
      <x:c r="T50" s="255">
        <x:f>IF($A50="","",IF($H50=0,IF($U50="Profit","N/A",0),IF($U50="Profit",$Q50/$H50,IF($U50="Disqualified",-1,0))))</x:f>
      </x:c>
      <x:c r="U50" s="254">
        <x:f>IF($A50="","",IF(LOWER($L50&amp;"")="yes","Disqualified",IF($P50&gt;$H50,"Profit","Draw")))</x:f>
      </x:c>
      <x:c r="V50" s="253">
        <x:f>IF(OR($B50="",$C50=""),"",IFERROR(ROUNDUP((IF(ISNUMBER($C50),$C50,DATEVALUE($C50))-IF(ISNUMBER($B50),$B50,DATEVALUE($B50)))/7,0),""))</x:f>
      </x:c>
      <x:c r="W50" s="254">
        <x:f>$Q50-$S50</x:f>
      </x:c>
      <x:c r="X50" s="256">
        <x:f>IF(OR($J50="",$I50="",$J50=0,$I50=0,$I50&gt;$J50),"",$J50-$I50)</x:f>
      </x:c>
      <x:c r="Y50" s="257">
        <x:f>IF(OR($J50="",$J50=0,$X50=""),"",$X50/$J50)</x:f>
      </x:c>
    </x:row>
    <x:row r="51" s="106" customFormat="1" ht="21" customHeight="1">
      <x:c r="A51" s="54" t="n"/>
      <x:c r="B51" s="250" t="n"/>
      <x:c r="C51" s="250" t="n"/>
      <x:c r="D51" s="54" t="n"/>
      <x:c r="E51" s="251" t="n"/>
      <x:c r="F51" s="251" t="n"/>
      <x:c r="G51" s="251" t="n"/>
      <x:c r="H51" s="251" t="n"/>
      <x:c r="I51" s="252" t="n"/>
      <x:c r="J51" s="253" t="n"/>
      <x:c r="K51" s="254" t="n"/>
      <x:c r="L51" s="50" t="n"/>
      <x:c r="M51" s="251" t="n"/>
      <x:c r="N51" s="251">
        <x:f>IF($A51="","",IF($G51="","",IF(ISNUMBER(SEARCH("non",LOWER($E51&amp;""))),$G51*0.85,$G51)))</x:f>
      </x:c>
      <x:c r="O51" s="251">
        <x:f>IF($A51="","",IF(OR($N51="",$I51="",$I51=0),"",$N51/$I51))</x:f>
      </x:c>
      <x:c r="P51" s="251">
        <x:f>IF($A51="","",IF(LOWER($L51&amp;"")="yes",0,IF($K51&lt;&gt;"",$K51,IF($O51&lt;&gt;"",$O51,""))))</x:f>
      </x:c>
      <x:c r="Q51" s="254">
        <x:f>IF($A51="","",IF($U51="Profit",$P51-$H51,0))</x:f>
      </x:c>
      <x:c r="R51" s="251">
        <x:f>IF($A51="","",IF($U51="Draw",$H51,0))</x:f>
      </x:c>
      <x:c r="S51" s="251">
        <x:f>IF($A51="","",IF($U51="Disqualified",$H51,0))</x:f>
      </x:c>
      <x:c r="T51" s="255">
        <x:f>IF($A51="","",IF($H51=0,IF($U51="Profit","N/A",0),IF($U51="Profit",$Q51/$H51,IF($U51="Disqualified",-1,0))))</x:f>
      </x:c>
      <x:c r="U51" s="254">
        <x:f>IF($A51="","",IF(LOWER($L51&amp;"")="yes","Disqualified",IF($P51&gt;$H51,"Profit","Draw")))</x:f>
      </x:c>
      <x:c r="V51" s="253">
        <x:f>IF(OR($B51="",$C51=""),"",IFERROR(ROUNDUP((IF(ISNUMBER($C51),$C51,DATEVALUE($C51))-IF(ISNUMBER($B51),$B51,DATEVALUE($B51)))/7,0),""))</x:f>
      </x:c>
      <x:c r="W51" s="254">
        <x:f>$Q51-$S51</x:f>
      </x:c>
      <x:c r="X51" s="256">
        <x:f>IF(OR($J51="",$I51="",$J51=0,$I51=0,$I51&gt;$J51),"",$J51-$I51)</x:f>
      </x:c>
      <x:c r="Y51" s="257">
        <x:f>IF(OR($J51="",$J51=0,$X51=""),"",$X51/$J51)</x:f>
      </x:c>
    </x:row>
    <x:row r="52" s="106" customFormat="1" ht="21" customHeight="1">
      <x:c r="A52" s="54" t="n"/>
      <x:c r="B52" s="250" t="n"/>
      <x:c r="C52" s="250" t="n"/>
      <x:c r="D52" s="54" t="n"/>
      <x:c r="E52" s="251" t="n"/>
      <x:c r="F52" s="251" t="n"/>
      <x:c r="G52" s="251" t="n"/>
      <x:c r="H52" s="251" t="n"/>
      <x:c r="I52" s="252" t="n"/>
      <x:c r="J52" s="253" t="n"/>
      <x:c r="K52" s="254" t="n"/>
      <x:c r="L52" s="50" t="n"/>
      <x:c r="M52" s="251" t="n"/>
      <x:c r="N52" s="251">
        <x:f>IF($A52="","",IF($G52="","",IF(ISNUMBER(SEARCH("non",LOWER($E52&amp;""))),$G52*0.85,$G52)))</x:f>
      </x:c>
      <x:c r="O52" s="251">
        <x:f>IF($A52="","",IF(OR($N52="",$I52="",$I52=0),"",$N52/$I52))</x:f>
      </x:c>
      <x:c r="P52" s="251">
        <x:f>IF($A52="","",IF(LOWER($L52&amp;"")="yes",0,IF($K52&lt;&gt;"",$K52,IF($O52&lt;&gt;"",$O52,""))))</x:f>
      </x:c>
      <x:c r="Q52" s="254">
        <x:f>IF($A52="","",IF($U52="Profit",$P52-$H52,0))</x:f>
      </x:c>
      <x:c r="R52" s="251">
        <x:f>IF($A52="","",IF($U52="Draw",$H52,0))</x:f>
      </x:c>
      <x:c r="S52" s="251">
        <x:f>IF($A52="","",IF($U52="Disqualified",$H52,0))</x:f>
      </x:c>
      <x:c r="T52" s="255">
        <x:f>IF($A52="","",IF($H52=0,IF($U52="Profit","N/A",0),IF($U52="Profit",$Q52/$H52,IF($U52="Disqualified",-1,0))))</x:f>
      </x:c>
      <x:c r="U52" s="254">
        <x:f>IF($A52="","",IF(LOWER($L52&amp;"")="yes","Disqualified",IF($P52&gt;$H52,"Profit","Draw")))</x:f>
      </x:c>
      <x:c r="V52" s="253">
        <x:f>IF(OR($B52="",$C52=""),"",IFERROR(ROUNDUP((IF(ISNUMBER($C52),$C52,DATEVALUE($C52))-IF(ISNUMBER($B52),$B52,DATEVALUE($B52)))/7,0),""))</x:f>
      </x:c>
      <x:c r="W52" s="254">
        <x:f>$Q52-$S52</x:f>
      </x:c>
      <x:c r="X52" s="256">
        <x:f>IF(OR($J52="",$I52="",$J52=0,$I52=0,$I52&gt;$J52),"",$J52-$I52)</x:f>
      </x:c>
      <x:c r="Y52" s="257">
        <x:f>IF(OR($J52="",$J52=0,$X52=""),"",$X52/$J52)</x:f>
      </x:c>
    </x:row>
    <x:row r="53" s="106" customFormat="1" ht="21" customHeight="1">
      <x:c r="A53" s="54" t="n"/>
      <x:c r="B53" s="250" t="n"/>
      <x:c r="C53" s="250" t="n"/>
      <x:c r="D53" s="54" t="n"/>
      <x:c r="E53" s="251" t="n"/>
      <x:c r="F53" s="251" t="n"/>
      <x:c r="G53" s="251" t="n"/>
      <x:c r="H53" s="251" t="n"/>
      <x:c r="I53" s="252" t="n"/>
      <x:c r="J53" s="253" t="n"/>
      <x:c r="K53" s="254" t="n"/>
      <x:c r="L53" s="50" t="n"/>
      <x:c r="M53" s="251" t="n"/>
      <x:c r="N53" s="251">
        <x:f>IF($A53="","",IF($G53="","",IF(ISNUMBER(SEARCH("non",LOWER($E53&amp;""))),$G53*0.85,$G53)))</x:f>
      </x:c>
      <x:c r="O53" s="251">
        <x:f>IF($A53="","",IF(OR($N53="",$I53="",$I53=0),"",$N53/$I53))</x:f>
      </x:c>
      <x:c r="P53" s="251">
        <x:f>IF($A53="","",IF(LOWER($L53&amp;"")="yes",0,IF($K53&lt;&gt;"",$K53,IF($O53&lt;&gt;"",$O53,""))))</x:f>
      </x:c>
      <x:c r="Q53" s="254">
        <x:f>IF($A53="","",IF($U53="Profit",$P53-$H53,0))</x:f>
      </x:c>
      <x:c r="R53" s="251">
        <x:f>IF($A53="","",IF($U53="Draw",$H53,0))</x:f>
      </x:c>
      <x:c r="S53" s="251">
        <x:f>IF($A53="","",IF($U53="Disqualified",$H53,0))</x:f>
      </x:c>
      <x:c r="T53" s="255">
        <x:f>IF($A53="","",IF($H53=0,IF($U53="Profit","N/A",0),IF($U53="Profit",$Q53/$H53,IF($U53="Disqualified",-1,0))))</x:f>
      </x:c>
      <x:c r="U53" s="254">
        <x:f>IF($A53="","",IF(LOWER($L53&amp;"")="yes","Disqualified",IF($P53&gt;$H53,"Profit","Draw")))</x:f>
      </x:c>
      <x:c r="V53" s="253">
        <x:f>IF(OR($B53="",$C53=""),"",IFERROR(ROUNDUP((IF(ISNUMBER($C53),$C53,DATEVALUE($C53))-IF(ISNUMBER($B53),$B53,DATEVALUE($B53)))/7,0),""))</x:f>
      </x:c>
      <x:c r="W53" s="254">
        <x:f>$Q53-$S53</x:f>
      </x:c>
      <x:c r="X53" s="256">
        <x:f>IF(OR($J53="",$I53="",$J53=0,$I53=0,$I53&gt;$J53),"",$J53-$I53)</x:f>
      </x:c>
      <x:c r="Y53" s="257">
        <x:f>IF(OR($J53="",$J53=0,$X53=""),"",$X53/$J53)</x:f>
      </x:c>
    </x:row>
    <x:row r="54" s="106" customFormat="1" ht="21" customHeight="1">
      <x:c r="A54" s="54" t="n"/>
      <x:c r="B54" s="250" t="n"/>
      <x:c r="C54" s="250" t="n"/>
      <x:c r="D54" s="54" t="n"/>
      <x:c r="E54" s="251" t="n"/>
      <x:c r="F54" s="251" t="n"/>
      <x:c r="G54" s="251" t="n"/>
      <x:c r="H54" s="251" t="n"/>
      <x:c r="I54" s="252" t="n"/>
      <x:c r="J54" s="253" t="n"/>
      <x:c r="K54" s="254" t="n"/>
      <x:c r="L54" s="50" t="n"/>
      <x:c r="M54" s="251" t="n"/>
      <x:c r="N54" s="251">
        <x:f>IF($A54="","",IF($G54="","",IF(ISNUMBER(SEARCH("non",LOWER($E54&amp;""))),$G54*0.85,$G54)))</x:f>
      </x:c>
      <x:c r="O54" s="251">
        <x:f>IF($A54="","",IF(OR($N54="",$I54="",$I54=0),"",$N54/$I54))</x:f>
      </x:c>
      <x:c r="P54" s="251">
        <x:f>IF($A54="","",IF(LOWER($L54&amp;"")="yes",0,IF($K54&lt;&gt;"",$K54,IF($O54&lt;&gt;"",$O54,""))))</x:f>
      </x:c>
      <x:c r="Q54" s="254">
        <x:f>IF($A54="","",IF($U54="Profit",$P54-$H54,0))</x:f>
      </x:c>
      <x:c r="R54" s="251">
        <x:f>IF($A54="","",IF($U54="Draw",$H54,0))</x:f>
      </x:c>
      <x:c r="S54" s="251">
        <x:f>IF($A54="","",IF($U54="Disqualified",$H54,0))</x:f>
      </x:c>
      <x:c r="T54" s="255">
        <x:f>IF($A54="","",IF($H54=0,IF($U54="Profit","N/A",0),IF($U54="Profit",$Q54/$H54,IF($U54="Disqualified",-1,0))))</x:f>
      </x:c>
      <x:c r="U54" s="254">
        <x:f>IF($A54="","",IF(LOWER($L54&amp;"")="yes","Disqualified",IF($P54&gt;$H54,"Profit","Draw")))</x:f>
      </x:c>
      <x:c r="V54" s="253">
        <x:f>IF(OR($B54="",$C54=""),"",IFERROR(ROUNDUP((IF(ISNUMBER($C54),$C54,DATEVALUE($C54))-IF(ISNUMBER($B54),$B54,DATEVALUE($B54)))/7,0),""))</x:f>
      </x:c>
      <x:c r="W54" s="254">
        <x:f>$Q54-$S54</x:f>
      </x:c>
      <x:c r="X54" s="256">
        <x:f>IF(OR($J54="",$I54="",$J54=0,$I54=0,$I54&gt;$J54),"",$J54-$I54)</x:f>
      </x:c>
      <x:c r="Y54" s="257">
        <x:f>IF(OR($J54="",$J54=0,$X54=""),"",$X54/$J54)</x:f>
      </x:c>
    </x:row>
    <x:row r="55" s="106" customFormat="1" ht="21" customHeight="1">
      <x:c r="A55" s="54" t="n"/>
      <x:c r="B55" s="250" t="n"/>
      <x:c r="C55" s="250" t="n"/>
      <x:c r="D55" s="54" t="n"/>
      <x:c r="E55" s="251" t="n"/>
      <x:c r="F55" s="251" t="n"/>
      <x:c r="G55" s="251" t="n"/>
      <x:c r="H55" s="251" t="n"/>
      <x:c r="I55" s="252" t="n"/>
      <x:c r="J55" s="253" t="n"/>
      <x:c r="K55" s="254" t="n"/>
      <x:c r="L55" s="50" t="n"/>
      <x:c r="M55" s="251" t="n"/>
      <x:c r="N55" s="251">
        <x:f>IF($A55="","",IF($G55="","",IF(ISNUMBER(SEARCH("non",LOWER($E55&amp;""))),$G55*0.85,$G55)))</x:f>
      </x:c>
      <x:c r="O55" s="251">
        <x:f>IF($A55="","",IF(OR($N55="",$I55="",$I55=0),"",$N55/$I55))</x:f>
      </x:c>
      <x:c r="P55" s="251">
        <x:f>IF($A55="","",IF(LOWER($L55&amp;"")="yes",0,IF($K55&lt;&gt;"",$K55,IF($O55&lt;&gt;"",$O55,""))))</x:f>
      </x:c>
      <x:c r="Q55" s="254">
        <x:f>IF($A55="","",IF($U55="Profit",$P55-$H55,0))</x:f>
      </x:c>
      <x:c r="R55" s="251">
        <x:f>IF($A55="","",IF($U55="Draw",$H55,0))</x:f>
      </x:c>
      <x:c r="S55" s="251">
        <x:f>IF($A55="","",IF($U55="Disqualified",$H55,0))</x:f>
      </x:c>
      <x:c r="T55" s="255">
        <x:f>IF($A55="","",IF($H55=0,IF($U55="Profit","N/A",0),IF($U55="Profit",$Q55/$H55,IF($U55="Disqualified",-1,0))))</x:f>
      </x:c>
      <x:c r="U55" s="254">
        <x:f>IF($A55="","",IF(LOWER($L55&amp;"")="yes","Disqualified",IF($P55&gt;$H55,"Profit","Draw")))</x:f>
      </x:c>
      <x:c r="V55" s="253">
        <x:f>IF(OR($B55="",$C55=""),"",IFERROR(ROUNDUP((IF(ISNUMBER($C55),$C55,DATEVALUE($C55))-IF(ISNUMBER($B55),$B55,DATEVALUE($B55)))/7,0),""))</x:f>
      </x:c>
      <x:c r="W55" s="254">
        <x:f>$Q55-$S55</x:f>
      </x:c>
      <x:c r="X55" s="256">
        <x:f>IF(OR($J55="",$I55="",$J55=0,$I55=0,$I55&gt;$J55),"",$J55-$I55)</x:f>
      </x:c>
      <x:c r="Y55" s="257">
        <x:f>IF(OR($J55="",$J55=0,$X55=""),"",$X55/$J55)</x:f>
      </x:c>
    </x:row>
    <x:row r="56" s="106" customFormat="1" ht="21" customHeight="1">
      <x:c r="A56" s="54" t="n"/>
      <x:c r="B56" s="250" t="n"/>
      <x:c r="C56" s="250" t="n"/>
      <x:c r="D56" s="54" t="n"/>
      <x:c r="E56" s="251" t="n"/>
      <x:c r="F56" s="251" t="n"/>
      <x:c r="G56" s="251" t="n"/>
      <x:c r="H56" s="251" t="n"/>
      <x:c r="I56" s="252" t="n"/>
      <x:c r="J56" s="253" t="n"/>
      <x:c r="K56" s="254" t="n"/>
      <x:c r="L56" s="50" t="n"/>
      <x:c r="M56" s="251" t="n"/>
      <x:c r="N56" s="251">
        <x:f>IF($A56="","",IF($G56="","",IF(ISNUMBER(SEARCH("non",LOWER($E56&amp;""))),$G56*0.85,$G56)))</x:f>
      </x:c>
      <x:c r="O56" s="251">
        <x:f>IF($A56="","",IF(OR($N56="",$I56="",$I56=0),"",$N56/$I56))</x:f>
      </x:c>
      <x:c r="P56" s="251">
        <x:f>IF($A56="","",IF(LOWER($L56&amp;"")="yes",0,IF($K56&lt;&gt;"",$K56,IF($O56&lt;&gt;"",$O56,""))))</x:f>
      </x:c>
      <x:c r="Q56" s="254">
        <x:f>IF($A56="","",IF($U56="Profit",$P56-$H56,0))</x:f>
      </x:c>
      <x:c r="R56" s="251">
        <x:f>IF($A56="","",IF($U56="Draw",$H56,0))</x:f>
      </x:c>
      <x:c r="S56" s="251">
        <x:f>IF($A56="","",IF($U56="Disqualified",$H56,0))</x:f>
      </x:c>
      <x:c r="T56" s="255">
        <x:f>IF($A56="","",IF($H56=0,IF($U56="Profit","N/A",0),IF($U56="Profit",$Q56/$H56,IF($U56="Disqualified",-1,0))))</x:f>
      </x:c>
      <x:c r="U56" s="254">
        <x:f>IF($A56="","",IF(LOWER($L56&amp;"")="yes","Disqualified",IF($P56&gt;$H56,"Profit","Draw")))</x:f>
      </x:c>
      <x:c r="V56" s="253">
        <x:f>IF(OR($B56="",$C56=""),"",IFERROR(ROUNDUP((IF(ISNUMBER($C56),$C56,DATEVALUE($C56))-IF(ISNUMBER($B56),$B56,DATEVALUE($B56)))/7,0),""))</x:f>
      </x:c>
      <x:c r="W56" s="254">
        <x:f>$Q56-$S56</x:f>
      </x:c>
      <x:c r="X56" s="256">
        <x:f>IF(OR($J56="",$I56="",$J56=0,$I56=0,$I56&gt;$J56),"",$J56-$I56)</x:f>
      </x:c>
      <x:c r="Y56" s="257">
        <x:f>IF(OR($J56="",$J56=0,$X56=""),"",$X56/$J56)</x:f>
      </x:c>
    </x:row>
    <x:row r="57" s="106" customFormat="1" ht="21" customHeight="1">
      <x:c r="A57" s="54" t="n"/>
      <x:c r="B57" s="250" t="n"/>
      <x:c r="C57" s="250" t="n"/>
      <x:c r="D57" s="54" t="n"/>
      <x:c r="E57" s="251" t="n"/>
      <x:c r="F57" s="251" t="n"/>
      <x:c r="G57" s="251" t="n"/>
      <x:c r="H57" s="251" t="n"/>
      <x:c r="I57" s="252" t="n"/>
      <x:c r="J57" s="253" t="n"/>
      <x:c r="K57" s="254" t="n"/>
      <x:c r="L57" s="50" t="n"/>
      <x:c r="M57" s="251" t="n"/>
      <x:c r="N57" s="251">
        <x:f>IF($A57="","",IF($G57="","",IF(ISNUMBER(SEARCH("non",LOWER($E57&amp;""))),$G57*0.85,$G57)))</x:f>
      </x:c>
      <x:c r="O57" s="251">
        <x:f>IF($A57="","",IF(OR($N57="",$I57="",$I57=0),"",$N57/$I57))</x:f>
      </x:c>
      <x:c r="P57" s="251">
        <x:f>IF($A57="","",IF(LOWER($L57&amp;"")="yes",0,IF($K57&lt;&gt;"",$K57,IF($O57&lt;&gt;"",$O57,""))))</x:f>
      </x:c>
      <x:c r="Q57" s="254">
        <x:f>IF($A57="","",IF($U57="Profit",$P57-$H57,0))</x:f>
      </x:c>
      <x:c r="R57" s="251">
        <x:f>IF($A57="","",IF($U57="Draw",$H57,0))</x:f>
      </x:c>
      <x:c r="S57" s="251">
        <x:f>IF($A57="","",IF($U57="Disqualified",$H57,0))</x:f>
      </x:c>
      <x:c r="T57" s="255">
        <x:f>IF($A57="","",IF($H57=0,IF($U57="Profit","N/A",0),IF($U57="Profit",$Q57/$H57,IF($U57="Disqualified",-1,0))))</x:f>
      </x:c>
      <x:c r="U57" s="254">
        <x:f>IF($A57="","",IF(LOWER($L57&amp;"")="yes","Disqualified",IF($P57&gt;$H57,"Profit","Draw")))</x:f>
      </x:c>
      <x:c r="V57" s="253">
        <x:f>IF(OR($B57="",$C57=""),"",IFERROR(ROUNDUP((IF(ISNUMBER($C57),$C57,DATEVALUE($C57))-IF(ISNUMBER($B57),$B57,DATEVALUE($B57)))/7,0),""))</x:f>
      </x:c>
      <x:c r="W57" s="254">
        <x:f>$Q57-$S57</x:f>
      </x:c>
      <x:c r="X57" s="256">
        <x:f>IF(OR($J57="",$I57="",$J57=0,$I57=0,$I57&gt;$J57),"",$J57-$I57)</x:f>
      </x:c>
      <x:c r="Y57" s="257">
        <x:f>IF(OR($J57="",$J57=0,$X57=""),"",$X57/$J57)</x:f>
      </x:c>
    </x:row>
    <x:row r="58" s="106" customFormat="1" ht="21" customHeight="1">
      <x:c r="A58" s="54" t="n"/>
      <x:c r="B58" s="250" t="n"/>
      <x:c r="C58" s="250" t="n"/>
      <x:c r="D58" s="54" t="n"/>
      <x:c r="E58" s="251" t="n"/>
      <x:c r="F58" s="251" t="n"/>
      <x:c r="G58" s="251" t="n"/>
      <x:c r="H58" s="251" t="n"/>
      <x:c r="I58" s="252" t="n"/>
      <x:c r="J58" s="253" t="n"/>
      <x:c r="K58" s="254" t="n"/>
      <x:c r="L58" s="50" t="n"/>
      <x:c r="M58" s="251" t="n"/>
      <x:c r="N58" s="251">
        <x:f>IF($A58="","",IF($G58="","",IF(ISNUMBER(SEARCH("non",LOWER($E58&amp;""))),$G58*0.85,$G58)))</x:f>
      </x:c>
      <x:c r="O58" s="251">
        <x:f>IF($A58="","",IF(OR($N58="",$I58="",$I58=0),"",$N58/$I58))</x:f>
      </x:c>
      <x:c r="P58" s="251">
        <x:f>IF($A58="","",IF(LOWER($L58&amp;"")="yes",0,IF($K58&lt;&gt;"",$K58,IF($O58&lt;&gt;"",$O58,""))))</x:f>
      </x:c>
      <x:c r="Q58" s="254">
        <x:f>IF($A58="","",IF($U58="Profit",$P58-$H58,0))</x:f>
      </x:c>
      <x:c r="R58" s="251">
        <x:f>IF($A58="","",IF($U58="Draw",$H58,0))</x:f>
      </x:c>
      <x:c r="S58" s="251">
        <x:f>IF($A58="","",IF($U58="Disqualified",$H58,0))</x:f>
      </x:c>
      <x:c r="T58" s="255">
        <x:f>IF($A58="","",IF($H58=0,IF($U58="Profit","N/A",0),IF($U58="Profit",$Q58/$H58,IF($U58="Disqualified",-1,0))))</x:f>
      </x:c>
      <x:c r="U58" s="254">
        <x:f>IF($A58="","",IF(LOWER($L58&amp;"")="yes","Disqualified",IF($P58&gt;$H58,"Profit","Draw")))</x:f>
      </x:c>
      <x:c r="V58" s="253">
        <x:f>IF(OR($B58="",$C58=""),"",IFERROR(ROUNDUP((IF(ISNUMBER($C58),$C58,DATEVALUE($C58))-IF(ISNUMBER($B58),$B58,DATEVALUE($B58)))/7,0),""))</x:f>
      </x:c>
      <x:c r="W58" s="254">
        <x:f>$Q58-$S58</x:f>
      </x:c>
      <x:c r="X58" s="256">
        <x:f>IF(OR($J58="",$I58="",$J58=0,$I58=0,$I58&gt;$J58),"",$J58-$I58)</x:f>
      </x:c>
      <x:c r="Y58" s="257">
        <x:f>IF(OR($J58="",$J58=0,$X58=""),"",$X58/$J58)</x:f>
      </x:c>
    </x:row>
    <x:row r="59" s="106" customFormat="1" ht="21" customHeight="1">
      <x:c r="A59" s="54" t="n"/>
      <x:c r="B59" s="250" t="n"/>
      <x:c r="C59" s="250" t="n"/>
      <x:c r="D59" s="54" t="n"/>
      <x:c r="E59" s="251" t="n"/>
      <x:c r="F59" s="251" t="n"/>
      <x:c r="G59" s="251" t="n"/>
      <x:c r="H59" s="251" t="n"/>
      <x:c r="I59" s="252" t="n"/>
      <x:c r="J59" s="253" t="n"/>
      <x:c r="K59" s="254" t="n"/>
      <x:c r="L59" s="50" t="n"/>
      <x:c r="M59" s="251" t="n"/>
      <x:c r="N59" s="251">
        <x:f>IF($A59="","",IF($G59="","",IF(ISNUMBER(SEARCH("non",LOWER($E59&amp;""))),$G59*0.85,$G59)))</x:f>
      </x:c>
      <x:c r="O59" s="251">
        <x:f>IF($A59="","",IF(OR($N59="",$I59="",$I59=0),"",$N59/$I59))</x:f>
      </x:c>
      <x:c r="P59" s="251">
        <x:f>IF($A59="","",IF(LOWER($L59&amp;"")="yes",0,IF($K59&lt;&gt;"",$K59,IF($O59&lt;&gt;"",$O59,""))))</x:f>
      </x:c>
      <x:c r="Q59" s="254">
        <x:f>IF($A59="","",IF($U59="Profit",$P59-$H59,0))</x:f>
      </x:c>
      <x:c r="R59" s="251">
        <x:f>IF($A59="","",IF($U59="Draw",$H59,0))</x:f>
      </x:c>
      <x:c r="S59" s="251">
        <x:f>IF($A59="","",IF($U59="Disqualified",$H59,0))</x:f>
      </x:c>
      <x:c r="T59" s="255">
        <x:f>IF($A59="","",IF($H59=0,IF($U59="Profit","N/A",0),IF($U59="Profit",$Q59/$H59,IF($U59="Disqualified",-1,0))))</x:f>
      </x:c>
      <x:c r="U59" s="254">
        <x:f>IF($A59="","",IF(LOWER($L59&amp;"")="yes","Disqualified",IF($P59&gt;$H59,"Profit","Draw")))</x:f>
      </x:c>
      <x:c r="V59" s="253">
        <x:f>IF(OR($B59="",$C59=""),"",IFERROR(ROUNDUP((IF(ISNUMBER($C59),$C59,DATEVALUE($C59))-IF(ISNUMBER($B59),$B59,DATEVALUE($B59)))/7,0),""))</x:f>
      </x:c>
      <x:c r="W59" s="254">
        <x:f>$Q59-$S59</x:f>
      </x:c>
      <x:c r="X59" s="256">
        <x:f>IF(OR($J59="",$I59="",$J59=0,$I59=0,$I59&gt;$J59),"",$J59-$I59)</x:f>
      </x:c>
      <x:c r="Y59" s="257">
        <x:f>IF(OR($J59="",$J59=0,$X59=""),"",$X59/$J59)</x:f>
      </x:c>
    </x:row>
    <x:row r="60" s="106" customFormat="1" ht="21" customHeight="1">
      <x:c r="A60" s="54" t="n"/>
      <x:c r="B60" s="250" t="n"/>
      <x:c r="C60" s="250" t="n"/>
      <x:c r="D60" s="54" t="n"/>
      <x:c r="E60" s="251" t="n"/>
      <x:c r="F60" s="251" t="n"/>
      <x:c r="G60" s="251" t="n"/>
      <x:c r="H60" s="251" t="n"/>
      <x:c r="I60" s="252" t="n"/>
      <x:c r="J60" s="253" t="n"/>
      <x:c r="K60" s="254" t="n"/>
      <x:c r="L60" s="50" t="n"/>
      <x:c r="M60" s="251" t="n"/>
      <x:c r="N60" s="251">
        <x:f>IF($A60="","",IF($G60="","",IF(ISNUMBER(SEARCH("non",LOWER($E60&amp;""))),$G60*0.85,$G60)))</x:f>
      </x:c>
      <x:c r="O60" s="251">
        <x:f>IF($A60="","",IF(OR($N60="",$I60="",$I60=0),"",$N60/$I60))</x:f>
      </x:c>
      <x:c r="P60" s="251">
        <x:f>IF($A60="","",IF(LOWER($L60&amp;"")="yes",0,IF($K60&lt;&gt;"",$K60,IF($O60&lt;&gt;"",$O60,""))))</x:f>
      </x:c>
      <x:c r="Q60" s="254">
        <x:f>IF($A60="","",IF($U60="Profit",$P60-$H60,0))</x:f>
      </x:c>
      <x:c r="R60" s="251">
        <x:f>IF($A60="","",IF($U60="Draw",$H60,0))</x:f>
      </x:c>
      <x:c r="S60" s="251">
        <x:f>IF($A60="","",IF($U60="Disqualified",$H60,0))</x:f>
      </x:c>
      <x:c r="T60" s="255">
        <x:f>IF($A60="","",IF($H60=0,IF($U60="Profit","N/A",0),IF($U60="Profit",$Q60/$H60,IF($U60="Disqualified",-1,0))))</x:f>
      </x:c>
      <x:c r="U60" s="254">
        <x:f>IF($A60="","",IF(LOWER($L60&amp;"")="yes","Disqualified",IF($P60&gt;$H60,"Profit","Draw")))</x:f>
      </x:c>
      <x:c r="V60" s="253">
        <x:f>IF(OR($B60="",$C60=""),"",IFERROR(ROUNDUP((IF(ISNUMBER($C60),$C60,DATEVALUE($C60))-IF(ISNUMBER($B60),$B60,DATEVALUE($B60)))/7,0),""))</x:f>
      </x:c>
      <x:c r="W60" s="254">
        <x:f>$Q60-$S60</x:f>
      </x:c>
      <x:c r="X60" s="256">
        <x:f>IF(OR($J60="",$I60="",$J60=0,$I60=0,$I60&gt;$J60),"",$J60-$I60)</x:f>
      </x:c>
      <x:c r="Y60" s="257">
        <x:f>IF(OR($J60="",$J60=0,$X60=""),"",$X60/$J60)</x:f>
      </x:c>
    </x:row>
    <x:row r="61" s="106" customFormat="1" ht="21" customHeight="1">
      <x:c r="A61" s="54" t="n"/>
      <x:c r="B61" s="250" t="n"/>
      <x:c r="C61" s="250" t="n"/>
      <x:c r="D61" s="54" t="n"/>
      <x:c r="E61" s="251" t="n"/>
      <x:c r="F61" s="251" t="n"/>
      <x:c r="G61" s="251" t="n"/>
      <x:c r="H61" s="251" t="n"/>
      <x:c r="I61" s="252" t="n"/>
      <x:c r="J61" s="253" t="n"/>
      <x:c r="K61" s="254" t="n"/>
      <x:c r="L61" s="50" t="n"/>
      <x:c r="M61" s="251" t="n"/>
      <x:c r="N61" s="251">
        <x:f>IF($A61="","",IF($G61="","",IF(ISNUMBER(SEARCH("non",LOWER($E61&amp;""))),$G61*0.85,$G61)))</x:f>
      </x:c>
      <x:c r="O61" s="251">
        <x:f>IF($A61="","",IF(OR($N61="",$I61="",$I61=0),"",$N61/$I61))</x:f>
      </x:c>
      <x:c r="P61" s="251">
        <x:f>IF($A61="","",IF(LOWER($L61&amp;"")="yes",0,IF($K61&lt;&gt;"",$K61,IF($O61&lt;&gt;"",$O61,""))))</x:f>
      </x:c>
      <x:c r="Q61" s="254">
        <x:f>IF($A61="","",IF($U61="Profit",$P61-$H61,0))</x:f>
      </x:c>
      <x:c r="R61" s="251">
        <x:f>IF($A61="","",IF($U61="Draw",$H61,0))</x:f>
      </x:c>
      <x:c r="S61" s="251">
        <x:f>IF($A61="","",IF($U61="Disqualified",$H61,0))</x:f>
      </x:c>
      <x:c r="T61" s="255">
        <x:f>IF($A61="","",IF($H61=0,IF($U61="Profit","N/A",0),IF($U61="Profit",$Q61/$H61,IF($U61="Disqualified",-1,0))))</x:f>
      </x:c>
      <x:c r="U61" s="254">
        <x:f>IF($A61="","",IF(LOWER($L61&amp;"")="yes","Disqualified",IF($P61&gt;$H61,"Profit","Draw")))</x:f>
      </x:c>
      <x:c r="V61" s="253">
        <x:f>IF(OR($B61="",$C61=""),"",IFERROR(ROUNDUP((IF(ISNUMBER($C61),$C61,DATEVALUE($C61))-IF(ISNUMBER($B61),$B61,DATEVALUE($B61)))/7,0),""))</x:f>
      </x:c>
      <x:c r="W61" s="254">
        <x:f>$Q61-$S61</x:f>
      </x:c>
      <x:c r="X61" s="256">
        <x:f>IF(OR($J61="",$I61="",$J61=0,$I61=0,$I61&gt;$J61),"",$J61-$I61)</x:f>
      </x:c>
      <x:c r="Y61" s="257">
        <x:f>IF(OR($J61="",$J61=0,$X61=""),"",$X61/$J61)</x:f>
      </x:c>
    </x:row>
    <x:row r="62" s="106" customFormat="1" ht="21" customHeight="1">
      <x:c r="A62" s="54" t="n"/>
      <x:c r="B62" s="250" t="n"/>
      <x:c r="C62" s="250" t="n"/>
      <x:c r="D62" s="54" t="n"/>
      <x:c r="E62" s="251" t="n"/>
      <x:c r="F62" s="251" t="n"/>
      <x:c r="G62" s="251" t="n"/>
      <x:c r="H62" s="251" t="n"/>
      <x:c r="I62" s="252" t="n"/>
      <x:c r="J62" s="253" t="n"/>
      <x:c r="K62" s="254" t="n"/>
      <x:c r="L62" s="50" t="n"/>
      <x:c r="M62" s="251" t="n"/>
      <x:c r="N62" s="251">
        <x:f>IF($A62="","",IF($G62="","",IF(ISNUMBER(SEARCH("non",LOWER($E62&amp;""))),$G62*0.85,$G62)))</x:f>
      </x:c>
      <x:c r="O62" s="251">
        <x:f>IF($A62="","",IF(OR($N62="",$I62="",$I62=0),"",$N62/$I62))</x:f>
      </x:c>
      <x:c r="P62" s="251">
        <x:f>IF($A62="","",IF(LOWER($L62&amp;"")="yes",0,IF($K62&lt;&gt;"",$K62,IF($O62&lt;&gt;"",$O62,""))))</x:f>
      </x:c>
      <x:c r="Q62" s="254">
        <x:f>IF($A62="","",IF($U62="Profit",$P62-$H62,0))</x:f>
      </x:c>
      <x:c r="R62" s="251">
        <x:f>IF($A62="","",IF($U62="Draw",$H62,0))</x:f>
      </x:c>
      <x:c r="S62" s="251">
        <x:f>IF($A62="","",IF($U62="Disqualified",$H62,0))</x:f>
      </x:c>
      <x:c r="T62" s="255">
        <x:f>IF($A62="","",IF($H62=0,IF($U62="Profit","N/A",0),IF($U62="Profit",$Q62/$H62,IF($U62="Disqualified",-1,0))))</x:f>
      </x:c>
      <x:c r="U62" s="254">
        <x:f>IF($A62="","",IF(LOWER($L62&amp;"")="yes","Disqualified",IF($P62&gt;$H62,"Profit","Draw")))</x:f>
      </x:c>
      <x:c r="V62" s="253">
        <x:f>IF(OR($B62="",$C62=""),"",IFERROR(ROUNDUP((IF(ISNUMBER($C62),$C62,DATEVALUE($C62))-IF(ISNUMBER($B62),$B62,DATEVALUE($B62)))/7,0),""))</x:f>
      </x:c>
      <x:c r="W62" s="254">
        <x:f>$Q62-$S62</x:f>
      </x:c>
      <x:c r="X62" s="256">
        <x:f>IF(OR($J62="",$I62="",$J62=0,$I62=0,$I62&gt;$J62),"",$J62-$I62)</x:f>
      </x:c>
      <x:c r="Y62" s="257">
        <x:f>IF(OR($J62="",$J62=0,$X62=""),"",$X62/$J62)</x:f>
      </x:c>
    </x:row>
    <x:row r="63" s="106" customFormat="1" ht="21" customHeight="1">
      <x:c r="A63" s="54" t="n"/>
      <x:c r="B63" s="250" t="n"/>
      <x:c r="C63" s="250" t="n"/>
      <x:c r="D63" s="54" t="n"/>
      <x:c r="E63" s="251" t="n"/>
      <x:c r="F63" s="251" t="n"/>
      <x:c r="G63" s="251" t="n"/>
      <x:c r="H63" s="251" t="n"/>
      <x:c r="I63" s="252" t="n"/>
      <x:c r="J63" s="253" t="n"/>
      <x:c r="K63" s="254" t="n"/>
      <x:c r="L63" s="50" t="n"/>
      <x:c r="M63" s="251" t="n"/>
      <x:c r="N63" s="251">
        <x:f>IF($A63="","",IF($G63="","",IF(ISNUMBER(SEARCH("non",LOWER($E63&amp;""))),$G63*0.85,$G63)))</x:f>
      </x:c>
      <x:c r="O63" s="251">
        <x:f>IF($A63="","",IF(OR($N63="",$I63="",$I63=0),"",$N63/$I63))</x:f>
      </x:c>
      <x:c r="P63" s="251">
        <x:f>IF($A63="","",IF(LOWER($L63&amp;"")="yes",0,IF($K63&lt;&gt;"",$K63,IF($O63&lt;&gt;"",$O63,""))))</x:f>
      </x:c>
      <x:c r="Q63" s="254">
        <x:f>IF($A63="","",IF($U63="Profit",$P63-$H63,0))</x:f>
      </x:c>
      <x:c r="R63" s="251">
        <x:f>IF($A63="","",IF($U63="Draw",$H63,0))</x:f>
      </x:c>
      <x:c r="S63" s="251">
        <x:f>IF($A63="","",IF($U63="Disqualified",$H63,0))</x:f>
      </x:c>
      <x:c r="T63" s="255">
        <x:f>IF($A63="","",IF($H63=0,IF($U63="Profit","N/A",0),IF($U63="Profit",$Q63/$H63,IF($U63="Disqualified",-1,0))))</x:f>
      </x:c>
      <x:c r="U63" s="254">
        <x:f>IF($A63="","",IF(LOWER($L63&amp;"")="yes","Disqualified",IF($P63&gt;$H63,"Profit","Draw")))</x:f>
      </x:c>
      <x:c r="V63" s="253">
        <x:f>IF(OR($B63="",$C63=""),"",IFERROR(ROUNDUP((IF(ISNUMBER($C63),$C63,DATEVALUE($C63))-IF(ISNUMBER($B63),$B63,DATEVALUE($B63)))/7,0),""))</x:f>
      </x:c>
      <x:c r="W63" s="254">
        <x:f>$Q63-$S63</x:f>
      </x:c>
      <x:c r="X63" s="256">
        <x:f>IF(OR($J63="",$I63="",$J63=0,$I63=0,$I63&gt;$J63),"",$J63-$I63)</x:f>
      </x:c>
      <x:c r="Y63" s="257">
        <x:f>IF(OR($J63="",$J63=0,$X63=""),"",$X63/$J63)</x:f>
      </x:c>
    </x:row>
    <x:row r="64" s="106" customFormat="1" ht="21" customHeight="1">
      <x:c r="A64" s="54" t="n"/>
      <x:c r="B64" s="250" t="n"/>
      <x:c r="C64" s="250" t="n"/>
      <x:c r="D64" s="54" t="n"/>
      <x:c r="E64" s="251" t="n"/>
      <x:c r="F64" s="251" t="n"/>
      <x:c r="G64" s="251" t="n"/>
      <x:c r="H64" s="251" t="n"/>
      <x:c r="I64" s="252" t="n"/>
      <x:c r="J64" s="253" t="n"/>
      <x:c r="K64" s="254" t="n"/>
      <x:c r="L64" s="50" t="n"/>
      <x:c r="M64" s="251" t="n"/>
      <x:c r="N64" s="251">
        <x:f>IF($A64="","",IF($G64="","",IF(ISNUMBER(SEARCH("non",LOWER($E64&amp;""))),$G64*0.85,$G64)))</x:f>
      </x:c>
      <x:c r="O64" s="251">
        <x:f>IF($A64="","",IF(OR($N64="",$I64="",$I64=0),"",$N64/$I64))</x:f>
      </x:c>
      <x:c r="P64" s="251">
        <x:f>IF($A64="","",IF(LOWER($L64&amp;"")="yes",0,IF($K64&lt;&gt;"",$K64,IF($O64&lt;&gt;"",$O64,""))))</x:f>
      </x:c>
      <x:c r="Q64" s="254">
        <x:f>IF($A64="","",IF($U64="Profit",$P64-$H64,0))</x:f>
      </x:c>
      <x:c r="R64" s="251">
        <x:f>IF($A64="","",IF($U64="Draw",$H64,0))</x:f>
      </x:c>
      <x:c r="S64" s="251">
        <x:f>IF($A64="","",IF($U64="Disqualified",$H64,0))</x:f>
      </x:c>
      <x:c r="T64" s="255">
        <x:f>IF($A64="","",IF($H64=0,IF($U64="Profit","N/A",0),IF($U64="Profit",$Q64/$H64,IF($U64="Disqualified",-1,0))))</x:f>
      </x:c>
      <x:c r="U64" s="254">
        <x:f>IF($A64="","",IF(LOWER($L64&amp;"")="yes","Disqualified",IF($P64&gt;$H64,"Profit","Draw")))</x:f>
      </x:c>
      <x:c r="V64" s="253">
        <x:f>IF(OR($B64="",$C64=""),"",IFERROR(ROUNDUP((IF(ISNUMBER($C64),$C64,DATEVALUE($C64))-IF(ISNUMBER($B64),$B64,DATEVALUE($B64)))/7,0),""))</x:f>
      </x:c>
      <x:c r="W64" s="254">
        <x:f>$Q64-$S64</x:f>
      </x:c>
      <x:c r="X64" s="256">
        <x:f>IF(OR($J64="",$I64="",$J64=0,$I64=0,$I64&gt;$J64),"",$J64-$I64)</x:f>
      </x:c>
      <x:c r="Y64" s="257">
        <x:f>IF(OR($J64="",$J64=0,$X64=""),"",$X64/$J64)</x:f>
      </x:c>
    </x:row>
    <x:row r="65" s="106" customFormat="1" ht="21" customHeight="1">
      <x:c r="A65" s="54" t="n"/>
      <x:c r="B65" s="250" t="n"/>
      <x:c r="C65" s="250" t="n"/>
      <x:c r="D65" s="54" t="n"/>
      <x:c r="E65" s="251" t="n"/>
      <x:c r="F65" s="251" t="n"/>
      <x:c r="G65" s="251" t="n"/>
      <x:c r="H65" s="251" t="n"/>
      <x:c r="I65" s="252" t="n"/>
      <x:c r="J65" s="253" t="n"/>
      <x:c r="K65" s="254" t="n"/>
      <x:c r="L65" s="50" t="n"/>
      <x:c r="M65" s="251" t="n"/>
      <x:c r="N65" s="251">
        <x:f>IF($A65="","",IF($G65="","",IF(ISNUMBER(SEARCH("non",LOWER($E65&amp;""))),$G65*0.85,$G65)))</x:f>
      </x:c>
      <x:c r="O65" s="251">
        <x:f>IF($A65="","",IF(OR($N65="",$I65="",$I65=0),"",$N65/$I65))</x:f>
      </x:c>
      <x:c r="P65" s="251">
        <x:f>IF($A65="","",IF(LOWER($L65&amp;"")="yes",0,IF($K65&lt;&gt;"",$K65,IF($O65&lt;&gt;"",$O65,""))))</x:f>
      </x:c>
      <x:c r="Q65" s="254">
        <x:f>IF($A65="","",IF($U65="Profit",$P65-$H65,0))</x:f>
      </x:c>
      <x:c r="R65" s="251">
        <x:f>IF($A65="","",IF($U65="Draw",$H65,0))</x:f>
      </x:c>
      <x:c r="S65" s="251">
        <x:f>IF($A65="","",IF($U65="Disqualified",$H65,0))</x:f>
      </x:c>
      <x:c r="T65" s="255">
        <x:f>IF($A65="","",IF($H65=0,IF($U65="Profit","N/A",0),IF($U65="Profit",$Q65/$H65,IF($U65="Disqualified",-1,0))))</x:f>
      </x:c>
      <x:c r="U65" s="254">
        <x:f>IF($A65="","",IF(LOWER($L65&amp;"")="yes","Disqualified",IF($P65&gt;$H65,"Profit","Draw")))</x:f>
      </x:c>
      <x:c r="V65" s="253">
        <x:f>IF(OR($B65="",$C65=""),"",IFERROR(ROUNDUP((IF(ISNUMBER($C65),$C65,DATEVALUE($C65))-IF(ISNUMBER($B65),$B65,DATEVALUE($B65)))/7,0),""))</x:f>
      </x:c>
      <x:c r="W65" s="254">
        <x:f>$Q65-$S65</x:f>
      </x:c>
      <x:c r="X65" s="256">
        <x:f>IF(OR($J65="",$I65="",$J65=0,$I65=0,$I65&gt;$J65),"",$J65-$I65)</x:f>
      </x:c>
      <x:c r="Y65" s="257">
        <x:f>IF(OR($J65="",$J65=0,$X65=""),"",$X65/$J65)</x:f>
      </x:c>
    </x:row>
    <x:row r="66" s="106" customFormat="1" ht="21" customHeight="1">
      <x:c r="A66" s="54" t="n"/>
      <x:c r="B66" s="250" t="n"/>
      <x:c r="C66" s="250" t="n"/>
      <x:c r="D66" s="54" t="n"/>
      <x:c r="E66" s="251" t="n"/>
      <x:c r="F66" s="251" t="n"/>
      <x:c r="G66" s="251" t="n"/>
      <x:c r="H66" s="251" t="n"/>
      <x:c r="I66" s="252" t="n"/>
      <x:c r="J66" s="253" t="n"/>
      <x:c r="K66" s="254" t="n"/>
      <x:c r="L66" s="50" t="n"/>
      <x:c r="M66" s="251" t="n"/>
      <x:c r="N66" s="251">
        <x:f>IF($A66="","",IF($G66="","",IF(ISNUMBER(SEARCH("non",LOWER($E66&amp;""))),$G66*0.85,$G66)))</x:f>
      </x:c>
      <x:c r="O66" s="251">
        <x:f>IF($A66="","",IF(OR($N66="",$I66="",$I66=0),"",$N66/$I66))</x:f>
      </x:c>
      <x:c r="P66" s="251">
        <x:f>IF($A66="","",IF(LOWER($L66&amp;"")="yes",0,IF($K66&lt;&gt;"",$K66,IF($O66&lt;&gt;"",$O66,""))))</x:f>
      </x:c>
      <x:c r="Q66" s="254">
        <x:f>IF($A66="","",IF($U66="Profit",$P66-$H66,0))</x:f>
      </x:c>
      <x:c r="R66" s="251">
        <x:f>IF($A66="","",IF($U66="Draw",$H66,0))</x:f>
      </x:c>
      <x:c r="S66" s="251">
        <x:f>IF($A66="","",IF($U66="Disqualified",$H66,0))</x:f>
      </x:c>
      <x:c r="T66" s="255">
        <x:f>IF($A66="","",IF($H66=0,IF($U66="Profit","N/A",0),IF($U66="Profit",$Q66/$H66,IF($U66="Disqualified",-1,0))))</x:f>
      </x:c>
      <x:c r="U66" s="254">
        <x:f>IF($A66="","",IF(LOWER($L66&amp;"")="yes","Disqualified",IF($P66&gt;$H66,"Profit","Draw")))</x:f>
      </x:c>
      <x:c r="V66" s="253">
        <x:f>IF(OR($B66="",$C66=""),"",IFERROR(ROUNDUP((IF(ISNUMBER($C66),$C66,DATEVALUE($C66))-IF(ISNUMBER($B66),$B66,DATEVALUE($B66)))/7,0),""))</x:f>
      </x:c>
      <x:c r="W66" s="254">
        <x:f>$Q66-$S66</x:f>
      </x:c>
      <x:c r="X66" s="256">
        <x:f>IF(OR($J66="",$I66="",$J66=0,$I66=0,$I66&gt;$J66),"",$J66-$I66)</x:f>
      </x:c>
      <x:c r="Y66" s="257">
        <x:f>IF(OR($J66="",$J66=0,$X66=""),"",$X66/$J66)</x:f>
      </x:c>
    </x:row>
    <x:row r="67" s="106" customFormat="1" ht="21" customHeight="1">
      <x:c r="A67" s="54" t="n"/>
      <x:c r="B67" s="250" t="n"/>
      <x:c r="C67" s="250" t="n"/>
      <x:c r="D67" s="54" t="n"/>
      <x:c r="E67" s="251" t="n"/>
      <x:c r="F67" s="251" t="n"/>
      <x:c r="G67" s="251" t="n"/>
      <x:c r="H67" s="251" t="n"/>
      <x:c r="I67" s="252" t="n"/>
      <x:c r="J67" s="253" t="n"/>
      <x:c r="K67" s="254" t="n"/>
      <x:c r="L67" s="50" t="n"/>
      <x:c r="M67" s="251" t="n"/>
      <x:c r="N67" s="251">
        <x:f>IF($A67="","",IF($G67="","",IF(ISNUMBER(SEARCH("non",LOWER($E67&amp;""))),$G67*0.85,$G67)))</x:f>
      </x:c>
      <x:c r="O67" s="251">
        <x:f>IF($A67="","",IF(OR($N67="",$I67="",$I67=0),"",$N67/$I67))</x:f>
      </x:c>
      <x:c r="P67" s="251">
        <x:f>IF($A67="","",IF(LOWER($L67&amp;"")="yes",0,IF($K67&lt;&gt;"",$K67,IF($O67&lt;&gt;"",$O67,""))))</x:f>
      </x:c>
      <x:c r="Q67" s="254">
        <x:f>IF($A67="","",IF($U67="Profit",$P67-$H67,0))</x:f>
      </x:c>
      <x:c r="R67" s="251">
        <x:f>IF($A67="","",IF($U67="Draw",$H67,0))</x:f>
      </x:c>
      <x:c r="S67" s="251">
        <x:f>IF($A67="","",IF($U67="Disqualified",$H67,0))</x:f>
      </x:c>
      <x:c r="T67" s="255">
        <x:f>IF($A67="","",IF($H67=0,IF($U67="Profit","N/A",0),IF($U67="Profit",$Q67/$H67,IF($U67="Disqualified",-1,0))))</x:f>
      </x:c>
      <x:c r="U67" s="254">
        <x:f>IF($A67="","",IF(LOWER($L67&amp;"")="yes","Disqualified",IF($P67&gt;$H67,"Profit","Draw")))</x:f>
      </x:c>
      <x:c r="V67" s="253">
        <x:f>IF(OR($B67="",$C67=""),"",IFERROR(ROUNDUP((IF(ISNUMBER($C67),$C67,DATEVALUE($C67))-IF(ISNUMBER($B67),$B67,DATEVALUE($B67)))/7,0),""))</x:f>
      </x:c>
      <x:c r="W67" s="254">
        <x:f>$Q67-$S67</x:f>
      </x:c>
      <x:c r="X67" s="256">
        <x:f>IF(OR($J67="",$I67="",$J67=0,$I67=0,$I67&gt;$J67),"",$J67-$I67)</x:f>
      </x:c>
      <x:c r="Y67" s="257">
        <x:f>IF(OR($J67="",$J67=0,$X67=""),"",$X67/$J67)</x:f>
      </x:c>
    </x:row>
    <x:row r="68" s="106" customFormat="1" ht="21" customHeight="1">
      <x:c r="A68" s="54" t="n"/>
      <x:c r="B68" s="250" t="n"/>
      <x:c r="C68" s="250" t="n"/>
      <x:c r="D68" s="54" t="n"/>
      <x:c r="E68" s="251" t="n"/>
      <x:c r="F68" s="251" t="n"/>
      <x:c r="G68" s="251" t="n"/>
      <x:c r="H68" s="251" t="n"/>
      <x:c r="I68" s="252" t="n"/>
      <x:c r="J68" s="253" t="n"/>
      <x:c r="K68" s="254" t="n"/>
      <x:c r="L68" s="50" t="n"/>
      <x:c r="M68" s="251" t="n"/>
      <x:c r="N68" s="251">
        <x:f>IF($A68="","",IF($G68="","",IF(ISNUMBER(SEARCH("non",LOWER($E68&amp;""))),$G68*0.85,$G68)))</x:f>
      </x:c>
      <x:c r="O68" s="251">
        <x:f>IF($A68="","",IF(OR($N68="",$I68="",$I68=0),"",$N68/$I68))</x:f>
      </x:c>
      <x:c r="P68" s="251">
        <x:f>IF($A68="","",IF(LOWER($L68&amp;"")="yes",0,IF($K68&lt;&gt;"",$K68,IF($O68&lt;&gt;"",$O68,""))))</x:f>
      </x:c>
      <x:c r="Q68" s="254">
        <x:f>IF($A68="","",IF($U68="Profit",$P68-$H68,0))</x:f>
      </x:c>
      <x:c r="R68" s="251">
        <x:f>IF($A68="","",IF($U68="Draw",$H68,0))</x:f>
      </x:c>
      <x:c r="S68" s="251">
        <x:f>IF($A68="","",IF($U68="Disqualified",$H68,0))</x:f>
      </x:c>
      <x:c r="T68" s="255">
        <x:f>IF($A68="","",IF($H68=0,IF($U68="Profit","N/A",0),IF($U68="Profit",$Q68/$H68,IF($U68="Disqualified",-1,0))))</x:f>
      </x:c>
      <x:c r="U68" s="254">
        <x:f>IF($A68="","",IF(LOWER($L68&amp;"")="yes","Disqualified",IF($P68&gt;$H68,"Profit","Draw")))</x:f>
      </x:c>
      <x:c r="V68" s="253">
        <x:f>IF(OR($B68="",$C68=""),"",IFERROR(ROUNDUP((IF(ISNUMBER($C68),$C68,DATEVALUE($C68))-IF(ISNUMBER($B68),$B68,DATEVALUE($B68)))/7,0),""))</x:f>
      </x:c>
      <x:c r="W68" s="254">
        <x:f>$Q68-$S68</x:f>
      </x:c>
      <x:c r="X68" s="256">
        <x:f>IF(OR($J68="",$I68="",$J68=0,$I68=0,$I68&gt;$J68),"",$J68-$I68)</x:f>
      </x:c>
      <x:c r="Y68" s="257">
        <x:f>IF(OR($J68="",$J68=0,$X68=""),"",$X68/$J68)</x:f>
      </x:c>
    </x:row>
    <x:row r="69" s="106" customFormat="1" ht="21" customHeight="1">
      <x:c r="A69" s="54" t="n"/>
      <x:c r="B69" s="250" t="n"/>
      <x:c r="C69" s="250" t="n"/>
      <x:c r="D69" s="54" t="n"/>
      <x:c r="E69" s="251" t="n"/>
      <x:c r="F69" s="251" t="n"/>
      <x:c r="G69" s="251" t="n"/>
      <x:c r="H69" s="251" t="n"/>
      <x:c r="I69" s="252" t="n"/>
      <x:c r="J69" s="253" t="n"/>
      <x:c r="K69" s="254" t="n"/>
      <x:c r="L69" s="50" t="n"/>
      <x:c r="M69" s="251" t="n"/>
      <x:c r="N69" s="251">
        <x:f>IF($A69="","",IF($G69="","",IF(ISNUMBER(SEARCH("non",LOWER($E69&amp;""))),$G69*0.85,$G69)))</x:f>
      </x:c>
      <x:c r="O69" s="251">
        <x:f>IF($A69="","",IF(OR($N69="",$I69="",$I69=0),"",$N69/$I69))</x:f>
      </x:c>
      <x:c r="P69" s="251">
        <x:f>IF($A69="","",IF(LOWER($L69&amp;"")="yes",0,IF($K69&lt;&gt;"",$K69,IF($O69&lt;&gt;"",$O69,""))))</x:f>
      </x:c>
      <x:c r="Q69" s="254">
        <x:f>IF($A69="","",IF($U69="Profit",$P69-$H69,0))</x:f>
      </x:c>
      <x:c r="R69" s="251">
        <x:f>IF($A69="","",IF($U69="Draw",$H69,0))</x:f>
      </x:c>
      <x:c r="S69" s="251">
        <x:f>IF($A69="","",IF($U69="Disqualified",$H69,0))</x:f>
      </x:c>
      <x:c r="T69" s="255">
        <x:f>IF($A69="","",IF($H69=0,IF($U69="Profit","N/A",0),IF($U69="Profit",$Q69/$H69,IF($U69="Disqualified",-1,0))))</x:f>
      </x:c>
      <x:c r="U69" s="254">
        <x:f>IF($A69="","",IF(LOWER($L69&amp;"")="yes","Disqualified",IF($P69&gt;$H69,"Profit","Draw")))</x:f>
      </x:c>
      <x:c r="V69" s="253">
        <x:f>IF(OR($B69="",$C69=""),"",IFERROR(ROUNDUP((IF(ISNUMBER($C69),$C69,DATEVALUE($C69))-IF(ISNUMBER($B69),$B69,DATEVALUE($B69)))/7,0),""))</x:f>
      </x:c>
      <x:c r="W69" s="254">
        <x:f>$Q69-$S69</x:f>
      </x:c>
      <x:c r="X69" s="256">
        <x:f>IF(OR($J69="",$I69="",$J69=0,$I69=0,$I69&gt;$J69),"",$J69-$I69)</x:f>
      </x:c>
      <x:c r="Y69" s="257">
        <x:f>IF(OR($J69="",$J69=0,$X69=""),"",$X69/$J69)</x:f>
      </x:c>
    </x:row>
    <x:row r="70" s="106" customFormat="1" ht="21" customHeight="1">
      <x:c r="A70" s="54" t="n"/>
      <x:c r="B70" s="250" t="n"/>
      <x:c r="C70" s="250" t="n"/>
      <x:c r="D70" s="54" t="n"/>
      <x:c r="E70" s="251" t="n"/>
      <x:c r="F70" s="251" t="n"/>
      <x:c r="G70" s="251" t="n"/>
      <x:c r="H70" s="251" t="n"/>
      <x:c r="I70" s="252" t="n"/>
      <x:c r="J70" s="253" t="n"/>
      <x:c r="K70" s="254" t="n"/>
      <x:c r="L70" s="50" t="n"/>
      <x:c r="M70" s="251" t="n"/>
      <x:c r="N70" s="251">
        <x:f>IF($A70="","",IF($G70="","",IF(ISNUMBER(SEARCH("non",LOWER($E70&amp;""))),$G70*0.85,$G70)))</x:f>
      </x:c>
      <x:c r="O70" s="251">
        <x:f>IF($A70="","",IF(OR($N70="",$I70="",$I70=0),"",$N70/$I70))</x:f>
      </x:c>
      <x:c r="P70" s="251">
        <x:f>IF($A70="","",IF(LOWER($L70&amp;"")="yes",0,IF($K70&lt;&gt;"",$K70,IF($O70&lt;&gt;"",$O70,""))))</x:f>
      </x:c>
      <x:c r="Q70" s="254">
        <x:f>IF($A70="","",IF($U70="Profit",$P70-$H70,0))</x:f>
      </x:c>
      <x:c r="R70" s="251">
        <x:f>IF($A70="","",IF($U70="Draw",$H70,0))</x:f>
      </x:c>
      <x:c r="S70" s="251">
        <x:f>IF($A70="","",IF($U70="Disqualified",$H70,0))</x:f>
      </x:c>
      <x:c r="T70" s="255">
        <x:f>IF($A70="","",IF($H70=0,IF($U70="Profit","N/A",0),IF($U70="Profit",$Q70/$H70,IF($U70="Disqualified",-1,0))))</x:f>
      </x:c>
      <x:c r="U70" s="254">
        <x:f>IF($A70="","",IF(LOWER($L70&amp;"")="yes","Disqualified",IF($P70&gt;$H70,"Profit","Draw")))</x:f>
      </x:c>
      <x:c r="V70" s="253">
        <x:f>IF(OR($B70="",$C70=""),"",IFERROR(ROUNDUP((IF(ISNUMBER($C70),$C70,DATEVALUE($C70))-IF(ISNUMBER($B70),$B70,DATEVALUE($B70)))/7,0),""))</x:f>
      </x:c>
      <x:c r="W70" s="254">
        <x:f>$Q70-$S70</x:f>
      </x:c>
      <x:c r="X70" s="256">
        <x:f>IF(OR($J70="",$I70="",$J70=0,$I70=0,$I70&gt;$J70),"",$J70-$I70)</x:f>
      </x:c>
      <x:c r="Y70" s="257">
        <x:f>IF(OR($J70="",$J70=0,$X70=""),"",$X70/$J70)</x:f>
      </x:c>
    </x:row>
    <x:row r="71" s="106" customFormat="1" ht="21" customHeight="1">
      <x:c r="A71" s="54" t="n"/>
      <x:c r="B71" s="250" t="n"/>
      <x:c r="C71" s="250" t="n"/>
      <x:c r="D71" s="54" t="n"/>
      <x:c r="E71" s="251" t="n"/>
      <x:c r="F71" s="251" t="n"/>
      <x:c r="G71" s="251" t="n"/>
      <x:c r="H71" s="251" t="n"/>
      <x:c r="I71" s="252" t="n"/>
      <x:c r="J71" s="253" t="n"/>
      <x:c r="K71" s="254" t="n"/>
      <x:c r="L71" s="50" t="n"/>
      <x:c r="M71" s="251" t="n"/>
      <x:c r="N71" s="251">
        <x:f>IF($A71="","",IF($G71="","",IF(ISNUMBER(SEARCH("non",LOWER($E71&amp;""))),$G71*0.85,$G71)))</x:f>
      </x:c>
      <x:c r="O71" s="251">
        <x:f>IF($A71="","",IF(OR($N71="",$I71="",$I71=0),"",$N71/$I71))</x:f>
      </x:c>
      <x:c r="P71" s="251">
        <x:f>IF($A71="","",IF(LOWER($L71&amp;"")="yes",0,IF($K71&lt;&gt;"",$K71,IF($O71&lt;&gt;"",$O71,""))))</x:f>
      </x:c>
      <x:c r="Q71" s="254">
        <x:f>IF($A71="","",IF($U71="Profit",$P71-$H71,0))</x:f>
      </x:c>
      <x:c r="R71" s="251">
        <x:f>IF($A71="","",IF($U71="Draw",$H71,0))</x:f>
      </x:c>
      <x:c r="S71" s="251">
        <x:f>IF($A71="","",IF($U71="Disqualified",$H71,0))</x:f>
      </x:c>
      <x:c r="T71" s="255">
        <x:f>IF($A71="","",IF($H71=0,IF($U71="Profit","N/A",0),IF($U71="Profit",$Q71/$H71,IF($U71="Disqualified",-1,0))))</x:f>
      </x:c>
      <x:c r="U71" s="254">
        <x:f>IF($A71="","",IF(LOWER($L71&amp;"")="yes","Disqualified",IF($P71&gt;$H71,"Profit","Draw")))</x:f>
      </x:c>
      <x:c r="V71" s="253">
        <x:f>IF(OR($B71="",$C71=""),"",IFERROR(ROUNDUP((IF(ISNUMBER($C71),$C71,DATEVALUE($C71))-IF(ISNUMBER($B71),$B71,DATEVALUE($B71)))/7,0),""))</x:f>
      </x:c>
      <x:c r="W71" s="254">
        <x:f>$Q71-$S71</x:f>
      </x:c>
      <x:c r="X71" s="256">
        <x:f>IF(OR($J71="",$I71="",$J71=0,$I71=0,$I71&gt;$J71),"",$J71-$I71)</x:f>
      </x:c>
      <x:c r="Y71" s="257">
        <x:f>IF(OR($J71="",$J71=0,$X71=""),"",$X71/$J71)</x:f>
      </x:c>
    </x:row>
    <x:row r="72" s="106" customFormat="1" ht="21" customHeight="1">
      <x:c r="A72" s="54" t="n"/>
      <x:c r="B72" s="250" t="n"/>
      <x:c r="C72" s="250" t="n"/>
      <x:c r="D72" s="54" t="n"/>
      <x:c r="E72" s="251" t="n"/>
      <x:c r="F72" s="251" t="n"/>
      <x:c r="G72" s="251" t="n"/>
      <x:c r="H72" s="251" t="n"/>
      <x:c r="I72" s="252" t="n"/>
      <x:c r="J72" s="253" t="n"/>
      <x:c r="K72" s="254" t="n"/>
      <x:c r="L72" s="50" t="n"/>
      <x:c r="M72" s="251" t="n"/>
      <x:c r="N72" s="251">
        <x:f>IF($A72="","",IF($G72="","",IF(ISNUMBER(SEARCH("non",LOWER($E72&amp;""))),$G72*0.85,$G72)))</x:f>
      </x:c>
      <x:c r="O72" s="251">
        <x:f>IF($A72="","",IF(OR($N72="",$I72="",$I72=0),"",$N72/$I72))</x:f>
      </x:c>
      <x:c r="P72" s="251">
        <x:f>IF($A72="","",IF(LOWER($L72&amp;"")="yes",0,IF($K72&lt;&gt;"",$K72,IF($O72&lt;&gt;"",$O72,""))))</x:f>
      </x:c>
      <x:c r="Q72" s="254">
        <x:f>IF($A72="","",IF($U72="Profit",$P72-$H72,0))</x:f>
      </x:c>
      <x:c r="R72" s="251">
        <x:f>IF($A72="","",IF($U72="Draw",$H72,0))</x:f>
      </x:c>
      <x:c r="S72" s="251">
        <x:f>IF($A72="","",IF($U72="Disqualified",$H72,0))</x:f>
      </x:c>
      <x:c r="T72" s="255">
        <x:f>IF($A72="","",IF($H72=0,IF($U72="Profit","N/A",0),IF($U72="Profit",$Q72/$H72,IF($U72="Disqualified",-1,0))))</x:f>
      </x:c>
      <x:c r="U72" s="254">
        <x:f>IF($A72="","",IF(LOWER($L72&amp;"")="yes","Disqualified",IF($P72&gt;$H72,"Profit","Draw")))</x:f>
      </x:c>
      <x:c r="V72" s="253">
        <x:f>IF(OR($B72="",$C72=""),"",IFERROR(ROUNDUP((IF(ISNUMBER($C72),$C72,DATEVALUE($C72))-IF(ISNUMBER($B72),$B72,DATEVALUE($B72)))/7,0),""))</x:f>
      </x:c>
      <x:c r="W72" s="254">
        <x:f>$Q72-$S72</x:f>
      </x:c>
      <x:c r="X72" s="256">
        <x:f>IF(OR($J72="",$I72="",$J72=0,$I72=0,$I72&gt;$J72),"",$J72-$I72)</x:f>
      </x:c>
      <x:c r="Y72" s="257">
        <x:f>IF(OR($J72="",$J72=0,$X72=""),"",$X72/$J72)</x:f>
      </x:c>
    </x:row>
    <x:row r="73" s="106" customFormat="1" ht="21" customHeight="1">
      <x:c r="A73" s="54" t="n"/>
      <x:c r="B73" s="250" t="n"/>
      <x:c r="C73" s="250" t="n"/>
      <x:c r="D73" s="54" t="n"/>
      <x:c r="E73" s="251" t="n"/>
      <x:c r="F73" s="251" t="n"/>
      <x:c r="G73" s="251" t="n"/>
      <x:c r="H73" s="251" t="n"/>
      <x:c r="I73" s="252" t="n"/>
      <x:c r="J73" s="253" t="n"/>
      <x:c r="K73" s="254" t="n"/>
      <x:c r="L73" s="50" t="n"/>
      <x:c r="M73" s="251" t="n"/>
      <x:c r="N73" s="251">
        <x:f>IF($A73="","",IF($G73="","",IF(ISNUMBER(SEARCH("non",LOWER($E73&amp;""))),$G73*0.85,$G73)))</x:f>
      </x:c>
      <x:c r="O73" s="251">
        <x:f>IF($A73="","",IF(OR($N73="",$I73="",$I73=0),"",$N73/$I73))</x:f>
      </x:c>
      <x:c r="P73" s="251">
        <x:f>IF($A73="","",IF(LOWER($L73&amp;"")="yes",0,IF($K73&lt;&gt;"",$K73,IF($O73&lt;&gt;"",$O73,""))))</x:f>
      </x:c>
      <x:c r="Q73" s="254">
        <x:f>IF($A73="","",IF($U73="Profit",$P73-$H73,0))</x:f>
      </x:c>
      <x:c r="R73" s="251">
        <x:f>IF($A73="","",IF($U73="Draw",$H73,0))</x:f>
      </x:c>
      <x:c r="S73" s="251">
        <x:f>IF($A73="","",IF($U73="Disqualified",$H73,0))</x:f>
      </x:c>
      <x:c r="T73" s="255">
        <x:f>IF($A73="","",IF($H73=0,IF($U73="Profit","N/A",0),IF($U73="Profit",$Q73/$H73,IF($U73="Disqualified",-1,0))))</x:f>
      </x:c>
      <x:c r="U73" s="254">
        <x:f>IF($A73="","",IF(LOWER($L73&amp;"")="yes","Disqualified",IF($P73&gt;$H73,"Profit","Draw")))</x:f>
      </x:c>
      <x:c r="V73" s="253">
        <x:f>IF(OR($B73="",$C73=""),"",IFERROR(ROUNDUP((IF(ISNUMBER($C73),$C73,DATEVALUE($C73))-IF(ISNUMBER($B73),$B73,DATEVALUE($B73)))/7,0),""))</x:f>
      </x:c>
      <x:c r="W73" s="254">
        <x:f>$Q73-$S73</x:f>
      </x:c>
      <x:c r="X73" s="256">
        <x:f>IF(OR($J73="",$I73="",$J73=0,$I73=0,$I73&gt;$J73),"",$J73-$I73)</x:f>
      </x:c>
      <x:c r="Y73" s="257">
        <x:f>IF(OR($J73="",$J73=0,$X73=""),"",$X73/$J73)</x:f>
      </x:c>
    </x:row>
    <x:row r="74" s="106" customFormat="1" ht="21" customHeight="1">
      <x:c r="A74" s="54" t="n"/>
      <x:c r="B74" s="250" t="n"/>
      <x:c r="C74" s="250" t="n"/>
      <x:c r="D74" s="54" t="n"/>
      <x:c r="E74" s="251" t="n"/>
      <x:c r="F74" s="251" t="n"/>
      <x:c r="G74" s="251" t="n"/>
      <x:c r="H74" s="251" t="n"/>
      <x:c r="I74" s="252" t="n"/>
      <x:c r="J74" s="253" t="n"/>
      <x:c r="K74" s="254" t="n"/>
      <x:c r="L74" s="50" t="n"/>
      <x:c r="M74" s="251" t="n"/>
      <x:c r="N74" s="251">
        <x:f>IF($A74="","",IF($G74="","",IF(ISNUMBER(SEARCH("non",LOWER($E74&amp;""))),$G74*0.85,$G74)))</x:f>
      </x:c>
      <x:c r="O74" s="251">
        <x:f>IF($A74="","",IF(OR($N74="",$I74="",$I74=0),"",$N74/$I74))</x:f>
      </x:c>
      <x:c r="P74" s="251">
        <x:f>IF($A74="","",IF(LOWER($L74&amp;"")="yes",0,IF($K74&lt;&gt;"",$K74,IF($O74&lt;&gt;"",$O74,""))))</x:f>
      </x:c>
      <x:c r="Q74" s="254">
        <x:f>IF($A74="","",IF($U74="Profit",$P74-$H74,0))</x:f>
      </x:c>
      <x:c r="R74" s="251">
        <x:f>IF($A74="","",IF($U74="Draw",$H74,0))</x:f>
      </x:c>
      <x:c r="S74" s="251">
        <x:f>IF($A74="","",IF($U74="Disqualified",$H74,0))</x:f>
      </x:c>
      <x:c r="T74" s="255">
        <x:f>IF($A74="","",IF($H74=0,IF($U74="Profit","N/A",0),IF($U74="Profit",$Q74/$H74,IF($U74="Disqualified",-1,0))))</x:f>
      </x:c>
      <x:c r="U74" s="254">
        <x:f>IF($A74="","",IF(LOWER($L74&amp;"")="yes","Disqualified",IF($P74&gt;$H74,"Profit","Draw")))</x:f>
      </x:c>
      <x:c r="V74" s="253">
        <x:f>IF(OR($B74="",$C74=""),"",IFERROR(ROUNDUP((IF(ISNUMBER($C74),$C74,DATEVALUE($C74))-IF(ISNUMBER($B74),$B74,DATEVALUE($B74)))/7,0),""))</x:f>
      </x:c>
      <x:c r="W74" s="254">
        <x:f>$Q74-$S74</x:f>
      </x:c>
      <x:c r="X74" s="256">
        <x:f>IF(OR($J74="",$I74="",$J74=0,$I74=0,$I74&gt;$J74),"",$J74-$I74)</x:f>
      </x:c>
      <x:c r="Y74" s="257">
        <x:f>IF(OR($J74="",$J74=0,$X74=""),"",$X74/$J74)</x:f>
      </x:c>
    </x:row>
    <x:row r="75" s="106" customFormat="1" ht="21" customHeight="1">
      <x:c r="A75" s="54" t="n"/>
      <x:c r="B75" s="250" t="n"/>
      <x:c r="C75" s="250" t="n"/>
      <x:c r="D75" s="54" t="n"/>
      <x:c r="E75" s="251" t="n"/>
      <x:c r="F75" s="251" t="n"/>
      <x:c r="G75" s="251" t="n"/>
      <x:c r="H75" s="251" t="n"/>
      <x:c r="I75" s="252" t="n"/>
      <x:c r="J75" s="253" t="n"/>
      <x:c r="K75" s="254" t="n"/>
      <x:c r="L75" s="50" t="n"/>
      <x:c r="M75" s="251" t="n"/>
      <x:c r="N75" s="251">
        <x:f>IF($A75="","",IF($G75="","",IF(ISNUMBER(SEARCH("non",LOWER($E75&amp;""))),$G75*0.85,$G75)))</x:f>
      </x:c>
      <x:c r="O75" s="251">
        <x:f>IF($A75="","",IF(OR($N75="",$I75="",$I75=0),"",$N75/$I75))</x:f>
      </x:c>
      <x:c r="P75" s="251">
        <x:f>IF($A75="","",IF(LOWER($L75&amp;"")="yes",0,IF($K75&lt;&gt;"",$K75,IF($O75&lt;&gt;"",$O75,""))))</x:f>
      </x:c>
      <x:c r="Q75" s="254">
        <x:f>IF($A75="","",IF($U75="Profit",$P75-$H75,0))</x:f>
      </x:c>
      <x:c r="R75" s="251">
        <x:f>IF($A75="","",IF($U75="Draw",$H75,0))</x:f>
      </x:c>
      <x:c r="S75" s="251">
        <x:f>IF($A75="","",IF($U75="Disqualified",$H75,0))</x:f>
      </x:c>
      <x:c r="T75" s="255">
        <x:f>IF($A75="","",IF($H75=0,IF($U75="Profit","N/A",0),IF($U75="Profit",$Q75/$H75,IF($U75="Disqualified",-1,0))))</x:f>
      </x:c>
      <x:c r="U75" s="254">
        <x:f>IF($A75="","",IF(LOWER($L75&amp;"")="yes","Disqualified",IF($P75&gt;$H75,"Profit","Draw")))</x:f>
      </x:c>
      <x:c r="V75" s="253">
        <x:f>IF(OR($B75="",$C75=""),"",IFERROR(ROUNDUP((IF(ISNUMBER($C75),$C75,DATEVALUE($C75))-IF(ISNUMBER($B75),$B75,DATEVALUE($B75)))/7,0),""))</x:f>
      </x:c>
      <x:c r="W75" s="254">
        <x:f>$Q75-$S75</x:f>
      </x:c>
      <x:c r="X75" s="256">
        <x:f>IF(OR($J75="",$I75="",$J75=0,$I75=0,$I75&gt;$J75),"",$J75-$I75)</x:f>
      </x:c>
      <x:c r="Y75" s="257">
        <x:f>IF(OR($J75="",$J75=0,$X75=""),"",$X75/$J75)</x:f>
      </x:c>
    </x:row>
    <x:row r="76" s="106" customFormat="1" ht="21" customHeight="1">
      <x:c r="A76" s="54" t="n"/>
      <x:c r="B76" s="250" t="n"/>
      <x:c r="C76" s="250" t="n"/>
      <x:c r="D76" s="54" t="n"/>
      <x:c r="E76" s="251" t="n"/>
      <x:c r="F76" s="251" t="n"/>
      <x:c r="G76" s="251" t="n"/>
      <x:c r="H76" s="251" t="n"/>
      <x:c r="I76" s="252" t="n"/>
      <x:c r="J76" s="253" t="n"/>
      <x:c r="K76" s="254" t="n"/>
      <x:c r="L76" s="50" t="n"/>
      <x:c r="M76" s="251" t="n"/>
      <x:c r="N76" s="251">
        <x:f>IF($A76="","",IF($G76="","",IF(ISNUMBER(SEARCH("non",LOWER($E76&amp;""))),$G76*0.85,$G76)))</x:f>
      </x:c>
      <x:c r="O76" s="251">
        <x:f>IF($A76="","",IF(OR($N76="",$I76="",$I76=0),"",$N76/$I76))</x:f>
      </x:c>
      <x:c r="P76" s="251">
        <x:f>IF($A76="","",IF(LOWER($L76&amp;"")="yes",0,IF($K76&lt;&gt;"",$K76,IF($O76&lt;&gt;"",$O76,""))))</x:f>
      </x:c>
      <x:c r="Q76" s="254">
        <x:f>IF($A76="","",IF($U76="Profit",$P76-$H76,0))</x:f>
      </x:c>
      <x:c r="R76" s="251">
        <x:f>IF($A76="","",IF($U76="Draw",$H76,0))</x:f>
      </x:c>
      <x:c r="S76" s="251">
        <x:f>IF($A76="","",IF($U76="Disqualified",$H76,0))</x:f>
      </x:c>
      <x:c r="T76" s="255">
        <x:f>IF($A76="","",IF($H76=0,IF($U76="Profit","N/A",0),IF($U76="Profit",$Q76/$H76,IF($U76="Disqualified",-1,0))))</x:f>
      </x:c>
      <x:c r="U76" s="254">
        <x:f>IF($A76="","",IF(LOWER($L76&amp;"")="yes","Disqualified",IF($P76&gt;$H76,"Profit","Draw")))</x:f>
      </x:c>
      <x:c r="V76" s="253">
        <x:f>IF(OR($B76="",$C76=""),"",IFERROR(ROUNDUP((IF(ISNUMBER($C76),$C76,DATEVALUE($C76))-IF(ISNUMBER($B76),$B76,DATEVALUE($B76)))/7,0),""))</x:f>
      </x:c>
      <x:c r="W76" s="254">
        <x:f>$Q76-$S76</x:f>
      </x:c>
      <x:c r="X76" s="256">
        <x:f>IF(OR($J76="",$I76="",$J76=0,$I76=0,$I76&gt;$J76),"",$J76-$I76)</x:f>
      </x:c>
      <x:c r="Y76" s="257">
        <x:f>IF(OR($J76="",$J76=0,$X76=""),"",$X76/$J76)</x:f>
      </x:c>
    </x:row>
    <x:row r="77" s="106" customFormat="1" ht="21" customHeight="1">
      <x:c r="A77" s="54" t="n"/>
      <x:c r="B77" s="250" t="n"/>
      <x:c r="C77" s="250" t="n"/>
      <x:c r="D77" s="54" t="n"/>
      <x:c r="E77" s="251" t="n"/>
      <x:c r="F77" s="251" t="n"/>
      <x:c r="G77" s="251" t="n"/>
      <x:c r="H77" s="251" t="n"/>
      <x:c r="I77" s="252" t="n"/>
      <x:c r="J77" s="253" t="n"/>
      <x:c r="K77" s="254" t="n"/>
      <x:c r="L77" s="50" t="n"/>
      <x:c r="M77" s="251" t="n"/>
      <x:c r="N77" s="251">
        <x:f>IF($A77="","",IF($G77="","",IF(ISNUMBER(SEARCH("non",LOWER($E77&amp;""))),$G77*0.85,$G77)))</x:f>
      </x:c>
      <x:c r="O77" s="251">
        <x:f>IF($A77="","",IF(OR($N77="",$I77="",$I77=0),"",$N77/$I77))</x:f>
      </x:c>
      <x:c r="P77" s="251">
        <x:f>IF($A77="","",IF(LOWER($L77&amp;"")="yes",0,IF($K77&lt;&gt;"",$K77,IF($O77&lt;&gt;"",$O77,""))))</x:f>
      </x:c>
      <x:c r="Q77" s="254">
        <x:f>IF($A77="","",IF($U77="Profit",$P77-$H77,0))</x:f>
      </x:c>
      <x:c r="R77" s="251">
        <x:f>IF($A77="","",IF($U77="Draw",$H77,0))</x:f>
      </x:c>
      <x:c r="S77" s="251">
        <x:f>IF($A77="","",IF($U77="Disqualified",$H77,0))</x:f>
      </x:c>
      <x:c r="T77" s="255">
        <x:f>IF($A77="","",IF($H77=0,IF($U77="Profit","N/A",0),IF($U77="Profit",$Q77/$H77,IF($U77="Disqualified",-1,0))))</x:f>
      </x:c>
      <x:c r="U77" s="254">
        <x:f>IF($A77="","",IF(LOWER($L77&amp;"")="yes","Disqualified",IF($P77&gt;$H77,"Profit","Draw")))</x:f>
      </x:c>
      <x:c r="V77" s="253">
        <x:f>IF(OR($B77="",$C77=""),"",IFERROR(ROUNDUP((IF(ISNUMBER($C77),$C77,DATEVALUE($C77))-IF(ISNUMBER($B77),$B77,DATEVALUE($B77)))/7,0),""))</x:f>
      </x:c>
      <x:c r="W77" s="254">
        <x:f>$Q77-$S77</x:f>
      </x:c>
      <x:c r="X77" s="256">
        <x:f>IF(OR($J77="",$I77="",$J77=0,$I77=0,$I77&gt;$J77),"",$J77-$I77)</x:f>
      </x:c>
      <x:c r="Y77" s="257">
        <x:f>IF(OR($J77="",$J77=0,$X77=""),"",$X77/$J77)</x:f>
      </x:c>
    </x:row>
    <x:row r="78" s="106" customFormat="1" ht="21" customHeight="1">
      <x:c r="A78" s="54" t="n"/>
      <x:c r="B78" s="250" t="n"/>
      <x:c r="C78" s="250" t="n"/>
      <x:c r="D78" s="54" t="n"/>
      <x:c r="E78" s="251" t="n"/>
      <x:c r="F78" s="251" t="n"/>
      <x:c r="G78" s="251" t="n"/>
      <x:c r="H78" s="251" t="n"/>
      <x:c r="I78" s="252" t="n"/>
      <x:c r="J78" s="253" t="n"/>
      <x:c r="K78" s="254" t="n"/>
      <x:c r="L78" s="50" t="n"/>
      <x:c r="M78" s="251" t="n"/>
      <x:c r="N78" s="251">
        <x:f>IF($A78="","",IF($G78="","",IF(ISNUMBER(SEARCH("non",LOWER($E78&amp;""))),$G78*0.85,$G78)))</x:f>
      </x:c>
      <x:c r="O78" s="251">
        <x:f>IF($A78="","",IF(OR($N78="",$I78="",$I78=0),"",$N78/$I78))</x:f>
      </x:c>
      <x:c r="P78" s="251">
        <x:f>IF($A78="","",IF(LOWER($L78&amp;"")="yes",0,IF($K78&lt;&gt;"",$K78,IF($O78&lt;&gt;"",$O78,""))))</x:f>
      </x:c>
      <x:c r="Q78" s="254">
        <x:f>IF($A78="","",IF($U78="Profit",$P78-$H78,0))</x:f>
      </x:c>
      <x:c r="R78" s="251">
        <x:f>IF($A78="","",IF($U78="Draw",$H78,0))</x:f>
      </x:c>
      <x:c r="S78" s="251">
        <x:f>IF($A78="","",IF($U78="Disqualified",$H78,0))</x:f>
      </x:c>
      <x:c r="T78" s="255">
        <x:f>IF($A78="","",IF($H78=0,IF($U78="Profit","N/A",0),IF($U78="Profit",$Q78/$H78,IF($U78="Disqualified",-1,0))))</x:f>
      </x:c>
      <x:c r="U78" s="254">
        <x:f>IF($A78="","",IF(LOWER($L78&amp;"")="yes","Disqualified",IF($P78&gt;$H78,"Profit","Draw")))</x:f>
      </x:c>
      <x:c r="V78" s="253">
        <x:f>IF(OR($B78="",$C78=""),"",IFERROR(ROUNDUP((IF(ISNUMBER($C78),$C78,DATEVALUE($C78))-IF(ISNUMBER($B78),$B78,DATEVALUE($B78)))/7,0),""))</x:f>
      </x:c>
      <x:c r="W78" s="254">
        <x:f>$Q78-$S78</x:f>
      </x:c>
      <x:c r="X78" s="256">
        <x:f>IF(OR($J78="",$I78="",$J78=0,$I78=0,$I78&gt;$J78),"",$J78-$I78)</x:f>
      </x:c>
      <x:c r="Y78" s="257">
        <x:f>IF(OR($J78="",$J78=0,$X78=""),"",$X78/$J78)</x:f>
      </x:c>
    </x:row>
    <x:row r="79" s="106" customFormat="1" ht="21" customHeight="1">
      <x:c r="A79" s="54" t="n"/>
      <x:c r="B79" s="250" t="n"/>
      <x:c r="C79" s="250" t="n"/>
      <x:c r="D79" s="54" t="n"/>
      <x:c r="E79" s="251" t="n"/>
      <x:c r="F79" s="251" t="n"/>
      <x:c r="G79" s="251" t="n"/>
      <x:c r="H79" s="251" t="n"/>
      <x:c r="I79" s="252" t="n"/>
      <x:c r="J79" s="253" t="n"/>
      <x:c r="K79" s="254" t="n"/>
      <x:c r="L79" s="50" t="n"/>
      <x:c r="M79" s="251" t="n"/>
      <x:c r="N79" s="251">
        <x:f>IF($A79="","",IF($G79="","",IF(ISNUMBER(SEARCH("non",LOWER($E79&amp;""))),$G79*0.85,$G79)))</x:f>
      </x:c>
      <x:c r="O79" s="251">
        <x:f>IF($A79="","",IF(OR($N79="",$I79="",$I79=0),"",$N79/$I79))</x:f>
      </x:c>
      <x:c r="P79" s="251">
        <x:f>IF($A79="","",IF(LOWER($L79&amp;"")="yes",0,IF($K79&lt;&gt;"",$K79,IF($O79&lt;&gt;"",$O79,""))))</x:f>
      </x:c>
      <x:c r="Q79" s="254">
        <x:f>IF($A79="","",IF($U79="Profit",$P79-$H79,0))</x:f>
      </x:c>
      <x:c r="R79" s="251">
        <x:f>IF($A79="","",IF($U79="Draw",$H79,0))</x:f>
      </x:c>
      <x:c r="S79" s="251">
        <x:f>IF($A79="","",IF($U79="Disqualified",$H79,0))</x:f>
      </x:c>
      <x:c r="T79" s="255">
        <x:f>IF($A79="","",IF($H79=0,IF($U79="Profit","N/A",0),IF($U79="Profit",$Q79/$H79,IF($U79="Disqualified",-1,0))))</x:f>
      </x:c>
      <x:c r="U79" s="254">
        <x:f>IF($A79="","",IF(LOWER($L79&amp;"")="yes","Disqualified",IF($P79&gt;$H79,"Profit","Draw")))</x:f>
      </x:c>
      <x:c r="V79" s="253">
        <x:f>IF(OR($B79="",$C79=""),"",IFERROR(ROUNDUP((IF(ISNUMBER($C79),$C79,DATEVALUE($C79))-IF(ISNUMBER($B79),$B79,DATEVALUE($B79)))/7,0),""))</x:f>
      </x:c>
      <x:c r="W79" s="254">
        <x:f>$Q79-$S79</x:f>
      </x:c>
      <x:c r="X79" s="256">
        <x:f>IF(OR($J79="",$I79="",$J79=0,$I79=0,$I79&gt;$J79),"",$J79-$I79)</x:f>
      </x:c>
      <x:c r="Y79" s="257">
        <x:f>IF(OR($J79="",$J79=0,$X79=""),"",$X79/$J79)</x:f>
      </x:c>
    </x:row>
    <x:row r="80" s="106" customFormat="1" ht="21" customHeight="1">
      <x:c r="A80" s="54" t="n"/>
      <x:c r="B80" s="250" t="n"/>
      <x:c r="C80" s="250" t="n"/>
      <x:c r="D80" s="54" t="n"/>
      <x:c r="E80" s="251" t="n"/>
      <x:c r="F80" s="251" t="n"/>
      <x:c r="G80" s="251" t="n"/>
      <x:c r="H80" s="251" t="n"/>
      <x:c r="I80" s="252" t="n"/>
      <x:c r="J80" s="253" t="n"/>
      <x:c r="K80" s="254" t="n"/>
      <x:c r="L80" s="50" t="n"/>
      <x:c r="M80" s="251" t="n"/>
      <x:c r="N80" s="251">
        <x:f>IF($A80="","",IF($G80="","",IF(ISNUMBER(SEARCH("non",LOWER($E80&amp;""))),$G80*0.85,$G80)))</x:f>
      </x:c>
      <x:c r="O80" s="251">
        <x:f>IF($A80="","",IF(OR($N80="",$I80="",$I80=0),"",$N80/$I80))</x:f>
      </x:c>
      <x:c r="P80" s="251">
        <x:f>IF($A80="","",IF(LOWER($L80&amp;"")="yes",0,IF($K80&lt;&gt;"",$K80,IF($O80&lt;&gt;"",$O80,""))))</x:f>
      </x:c>
      <x:c r="Q80" s="254">
        <x:f>IF($A80="","",IF($U80="Profit",$P80-$H80,0))</x:f>
      </x:c>
      <x:c r="R80" s="251">
        <x:f>IF($A80="","",IF($U80="Draw",$H80,0))</x:f>
      </x:c>
      <x:c r="S80" s="251">
        <x:f>IF($A80="","",IF($U80="Disqualified",$H80,0))</x:f>
      </x:c>
      <x:c r="T80" s="255">
        <x:f>IF($A80="","",IF($H80=0,IF($U80="Profit","N/A",0),IF($U80="Profit",$Q80/$H80,IF($U80="Disqualified",-1,0))))</x:f>
      </x:c>
      <x:c r="U80" s="254">
        <x:f>IF($A80="","",IF(LOWER($L80&amp;"")="yes","Disqualified",IF($P80&gt;$H80,"Profit","Draw")))</x:f>
      </x:c>
      <x:c r="V80" s="253">
        <x:f>IF(OR($B80="",$C80=""),"",IFERROR(ROUNDUP((IF(ISNUMBER($C80),$C80,DATEVALUE($C80))-IF(ISNUMBER($B80),$B80,DATEVALUE($B80)))/7,0),""))</x:f>
      </x:c>
      <x:c r="W80" s="254">
        <x:f>$Q80-$S80</x:f>
      </x:c>
      <x:c r="X80" s="256">
        <x:f>IF(OR($J80="",$I80="",$J80=0,$I80=0,$I80&gt;$J80),"",$J80-$I80)</x:f>
      </x:c>
      <x:c r="Y80" s="257">
        <x:f>IF(OR($J80="",$J80=0,$X80=""),"",$X80/$J80)</x:f>
      </x:c>
    </x:row>
    <x:row r="81" s="106" customFormat="1" ht="21" customHeight="1">
      <x:c r="A81" s="54" t="n"/>
      <x:c r="B81" s="250" t="n"/>
      <x:c r="C81" s="250" t="n"/>
      <x:c r="D81" s="54" t="n"/>
      <x:c r="E81" s="251" t="n"/>
      <x:c r="F81" s="251" t="n"/>
      <x:c r="G81" s="251" t="n"/>
      <x:c r="H81" s="251" t="n"/>
      <x:c r="I81" s="252" t="n"/>
      <x:c r="J81" s="253" t="n"/>
      <x:c r="K81" s="254" t="n"/>
      <x:c r="L81" s="50" t="n"/>
      <x:c r="M81" s="251" t="n"/>
      <x:c r="N81" s="251">
        <x:f>IF($A81="","",IF($G81="","",IF(ISNUMBER(SEARCH("non",LOWER($E81&amp;""))),$G81*0.85,$G81)))</x:f>
      </x:c>
      <x:c r="O81" s="251">
        <x:f>IF($A81="","",IF(OR($N81="",$I81="",$I81=0),"",$N81/$I81))</x:f>
      </x:c>
      <x:c r="P81" s="251">
        <x:f>IF($A81="","",IF(LOWER($L81&amp;"")="yes",0,IF($K81&lt;&gt;"",$K81,IF($O81&lt;&gt;"",$O81,""))))</x:f>
      </x:c>
      <x:c r="Q81" s="254">
        <x:f>IF($A81="","",IF($U81="Profit",$P81-$H81,0))</x:f>
      </x:c>
      <x:c r="R81" s="251">
        <x:f>IF($A81="","",IF($U81="Draw",$H81,0))</x:f>
      </x:c>
      <x:c r="S81" s="251">
        <x:f>IF($A81="","",IF($U81="Disqualified",$H81,0))</x:f>
      </x:c>
      <x:c r="T81" s="255">
        <x:f>IF($A81="","",IF($H81=0,IF($U81="Profit","N/A",0),IF($U81="Profit",$Q81/$H81,IF($U81="Disqualified",-1,0))))</x:f>
      </x:c>
      <x:c r="U81" s="254">
        <x:f>IF($A81="","",IF(LOWER($L81&amp;"")="yes","Disqualified",IF($P81&gt;$H81,"Profit","Draw")))</x:f>
      </x:c>
      <x:c r="V81" s="253">
        <x:f>IF(OR($B81="",$C81=""),"",IFERROR(ROUNDUP((IF(ISNUMBER($C81),$C81,DATEVALUE($C81))-IF(ISNUMBER($B81),$B81,DATEVALUE($B81)))/7,0),""))</x:f>
      </x:c>
      <x:c r="W81" s="254">
        <x:f>$Q81-$S81</x:f>
      </x:c>
      <x:c r="X81" s="256">
        <x:f>IF(OR($J81="",$I81="",$J81=0,$I81=0,$I81&gt;$J81),"",$J81-$I81)</x:f>
      </x:c>
      <x:c r="Y81" s="257">
        <x:f>IF(OR($J81="",$J81=0,$X81=""),"",$X81/$J81)</x:f>
      </x:c>
    </x:row>
    <x:row r="82" s="106" customFormat="1" ht="21" customHeight="1">
      <x:c r="A82" s="54" t="n"/>
      <x:c r="B82" s="250" t="n"/>
      <x:c r="C82" s="250" t="n"/>
      <x:c r="D82" s="54" t="n"/>
      <x:c r="E82" s="251" t="n"/>
      <x:c r="F82" s="251" t="n"/>
      <x:c r="G82" s="251" t="n"/>
      <x:c r="H82" s="251" t="n"/>
      <x:c r="I82" s="252" t="n"/>
      <x:c r="J82" s="253" t="n"/>
      <x:c r="K82" s="254" t="n"/>
      <x:c r="L82" s="50" t="n"/>
      <x:c r="M82" s="251" t="n"/>
      <x:c r="N82" s="251">
        <x:f>IF($A82="","",IF($G82="","",IF(ISNUMBER(SEARCH("non",LOWER($E82&amp;""))),$G82*0.85,$G82)))</x:f>
      </x:c>
      <x:c r="O82" s="251">
        <x:f>IF($A82="","",IF(OR($N82="",$I82="",$I82=0),"",$N82/$I82))</x:f>
      </x:c>
      <x:c r="P82" s="251">
        <x:f>IF($A82="","",IF(LOWER($L82&amp;"")="yes",0,IF($K82&lt;&gt;"",$K82,IF($O82&lt;&gt;"",$O82,""))))</x:f>
      </x:c>
      <x:c r="Q82" s="254">
        <x:f>IF($A82="","",IF($U82="Profit",$P82-$H82,0))</x:f>
      </x:c>
      <x:c r="R82" s="251">
        <x:f>IF($A82="","",IF($U82="Draw",$H82,0))</x:f>
      </x:c>
      <x:c r="S82" s="251">
        <x:f>IF($A82="","",IF($U82="Disqualified",$H82,0))</x:f>
      </x:c>
      <x:c r="T82" s="255">
        <x:f>IF($A82="","",IF($H82=0,IF($U82="Profit","N/A",0),IF($U82="Profit",$Q82/$H82,IF($U82="Disqualified",-1,0))))</x:f>
      </x:c>
      <x:c r="U82" s="254">
        <x:f>IF($A82="","",IF(LOWER($L82&amp;"")="yes","Disqualified",IF($P82&gt;$H82,"Profit","Draw")))</x:f>
      </x:c>
      <x:c r="V82" s="253">
        <x:f>IF(OR($B82="",$C82=""),"",IFERROR(ROUNDUP((IF(ISNUMBER($C82),$C82,DATEVALUE($C82))-IF(ISNUMBER($B82),$B82,DATEVALUE($B82)))/7,0),""))</x:f>
      </x:c>
      <x:c r="W82" s="254">
        <x:f>$Q82-$S82</x:f>
      </x:c>
      <x:c r="X82" s="256">
        <x:f>IF(OR($J82="",$I82="",$J82=0,$I82=0,$I82&gt;$J82),"",$J82-$I82)</x:f>
      </x:c>
      <x:c r="Y82" s="257">
        <x:f>IF(OR($J82="",$J82=0,$X82=""),"",$X82/$J82)</x:f>
      </x:c>
    </x:row>
    <x:row r="83" s="106" customFormat="1" ht="21" customHeight="1">
      <x:c r="A83" s="54" t="n"/>
      <x:c r="B83" s="250" t="n"/>
      <x:c r="C83" s="250" t="n"/>
      <x:c r="D83" s="54" t="n"/>
      <x:c r="E83" s="251" t="n"/>
      <x:c r="F83" s="251" t="n"/>
      <x:c r="G83" s="251" t="n"/>
      <x:c r="H83" s="251" t="n"/>
      <x:c r="I83" s="252" t="n"/>
      <x:c r="J83" s="253" t="n"/>
      <x:c r="K83" s="254" t="n"/>
      <x:c r="L83" s="50" t="n"/>
      <x:c r="M83" s="251" t="n"/>
      <x:c r="N83" s="251">
        <x:f>IF($A83="","",IF($G83="","",IF(ISNUMBER(SEARCH("non",LOWER($E83&amp;""))),$G83*0.85,$G83)))</x:f>
      </x:c>
      <x:c r="O83" s="251">
        <x:f>IF($A83="","",IF(OR($N83="",$I83="",$I83=0),"",$N83/$I83))</x:f>
      </x:c>
      <x:c r="P83" s="251">
        <x:f>IF($A83="","",IF(LOWER($L83&amp;"")="yes",0,IF($K83&lt;&gt;"",$K83,IF($O83&lt;&gt;"",$O83,""))))</x:f>
      </x:c>
      <x:c r="Q83" s="254">
        <x:f>IF($A83="","",IF($U83="Profit",$P83-$H83,0))</x:f>
      </x:c>
      <x:c r="R83" s="251">
        <x:f>IF($A83="","",IF($U83="Draw",$H83,0))</x:f>
      </x:c>
      <x:c r="S83" s="251">
        <x:f>IF($A83="","",IF($U83="Disqualified",$H83,0))</x:f>
      </x:c>
      <x:c r="T83" s="255">
        <x:f>IF($A83="","",IF($H83=0,IF($U83="Profit","N/A",0),IF($U83="Profit",$Q83/$H83,IF($U83="Disqualified",-1,0))))</x:f>
      </x:c>
      <x:c r="U83" s="254">
        <x:f>IF($A83="","",IF(LOWER($L83&amp;"")="yes","Disqualified",IF($P83&gt;$H83,"Profit","Draw")))</x:f>
      </x:c>
      <x:c r="V83" s="253">
        <x:f>IF(OR($B83="",$C83=""),"",IFERROR(ROUNDUP((IF(ISNUMBER($C83),$C83,DATEVALUE($C83))-IF(ISNUMBER($B83),$B83,DATEVALUE($B83)))/7,0),""))</x:f>
      </x:c>
      <x:c r="W83" s="254">
        <x:f>$Q83-$S83</x:f>
      </x:c>
      <x:c r="X83" s="256">
        <x:f>IF(OR($J83="",$I83="",$J83=0,$I83=0,$I83&gt;$J83),"",$J83-$I83)</x:f>
      </x:c>
      <x:c r="Y83" s="257">
        <x:f>IF(OR($J83="",$J83=0,$X83=""),"",$X83/$J83)</x:f>
      </x:c>
    </x:row>
    <x:row r="84" s="106" customFormat="1" ht="21" customHeight="1">
      <x:c r="A84" s="54" t="n"/>
      <x:c r="B84" s="250" t="n"/>
      <x:c r="C84" s="250" t="n"/>
      <x:c r="D84" s="54" t="n"/>
      <x:c r="E84" s="251" t="n"/>
      <x:c r="F84" s="251" t="n"/>
      <x:c r="G84" s="251" t="n"/>
      <x:c r="H84" s="251" t="n"/>
      <x:c r="I84" s="252" t="n"/>
      <x:c r="J84" s="253" t="n"/>
      <x:c r="K84" s="254" t="n"/>
      <x:c r="L84" s="50" t="n"/>
      <x:c r="M84" s="251" t="n"/>
      <x:c r="N84" s="251">
        <x:f>IF($A84="","",IF($G84="","",IF(ISNUMBER(SEARCH("non",LOWER($E84&amp;""))),$G84*0.85,$G84)))</x:f>
      </x:c>
      <x:c r="O84" s="251">
        <x:f>IF($A84="","",IF(OR($N84="",$I84="",$I84=0),"",$N84/$I84))</x:f>
      </x:c>
      <x:c r="P84" s="251">
        <x:f>IF($A84="","",IF(LOWER($L84&amp;"")="yes",0,IF($K84&lt;&gt;"",$K84,IF($O84&lt;&gt;"",$O84,""))))</x:f>
      </x:c>
      <x:c r="Q84" s="254">
        <x:f>IF($A84="","",IF($U84="Profit",$P84-$H84,0))</x:f>
      </x:c>
      <x:c r="R84" s="251">
        <x:f>IF($A84="","",IF($U84="Draw",$H84,0))</x:f>
      </x:c>
      <x:c r="S84" s="251">
        <x:f>IF($A84="","",IF($U84="Disqualified",$H84,0))</x:f>
      </x:c>
      <x:c r="T84" s="255">
        <x:f>IF($A84="","",IF($H84=0,IF($U84="Profit","N/A",0),IF($U84="Profit",$Q84/$H84,IF($U84="Disqualified",-1,0))))</x:f>
      </x:c>
      <x:c r="U84" s="254">
        <x:f>IF($A84="","",IF(LOWER($L84&amp;"")="yes","Disqualified",IF($P84&gt;$H84,"Profit","Draw")))</x:f>
      </x:c>
      <x:c r="V84" s="253">
        <x:f>IF(OR($B84="",$C84=""),"",IFERROR(ROUNDUP((IF(ISNUMBER($C84),$C84,DATEVALUE($C84))-IF(ISNUMBER($B84),$B84,DATEVALUE($B84)))/7,0),""))</x:f>
      </x:c>
      <x:c r="W84" s="254">
        <x:f>$Q84-$S84</x:f>
      </x:c>
      <x:c r="X84" s="256">
        <x:f>IF(OR($J84="",$I84="",$J84=0,$I84=0,$I84&gt;$J84),"",$J84-$I84)</x:f>
      </x:c>
      <x:c r="Y84" s="257">
        <x:f>IF(OR($J84="",$J84=0,$X84=""),"",$X84/$J84)</x:f>
      </x:c>
    </x:row>
    <x:row r="85" s="106" customFormat="1" ht="21" customHeight="1">
      <x:c r="A85" s="54" t="n"/>
      <x:c r="B85" s="250" t="n"/>
      <x:c r="C85" s="250" t="n"/>
      <x:c r="D85" s="54" t="n"/>
      <x:c r="E85" s="251" t="n"/>
      <x:c r="F85" s="251" t="n"/>
      <x:c r="G85" s="251" t="n"/>
      <x:c r="H85" s="251" t="n"/>
      <x:c r="I85" s="252" t="n"/>
      <x:c r="J85" s="253" t="n"/>
      <x:c r="K85" s="254" t="n"/>
      <x:c r="L85" s="50" t="n"/>
      <x:c r="M85" s="251" t="n"/>
      <x:c r="N85" s="251">
        <x:f>IF($A85="","",IF($G85="","",IF(ISNUMBER(SEARCH("non",LOWER($E85&amp;""))),$G85*0.85,$G85)))</x:f>
      </x:c>
      <x:c r="O85" s="251">
        <x:f>IF($A85="","",IF(OR($N85="",$I85="",$I85=0),"",$N85/$I85))</x:f>
      </x:c>
      <x:c r="P85" s="251">
        <x:f>IF($A85="","",IF(LOWER($L85&amp;"")="yes",0,IF($K85&lt;&gt;"",$K85,IF($O85&lt;&gt;"",$O85,""))))</x:f>
      </x:c>
      <x:c r="Q85" s="254">
        <x:f>IF($A85="","",IF($U85="Profit",$P85-$H85,0))</x:f>
      </x:c>
      <x:c r="R85" s="251">
        <x:f>IF($A85="","",IF($U85="Draw",$H85,0))</x:f>
      </x:c>
      <x:c r="S85" s="251">
        <x:f>IF($A85="","",IF($U85="Disqualified",$H85,0))</x:f>
      </x:c>
      <x:c r="T85" s="255">
        <x:f>IF($A85="","",IF($H85=0,IF($U85="Profit","N/A",0),IF($U85="Profit",$Q85/$H85,IF($U85="Disqualified",-1,0))))</x:f>
      </x:c>
      <x:c r="U85" s="254">
        <x:f>IF($A85="","",IF(LOWER($L85&amp;"")="yes","Disqualified",IF($P85&gt;$H85,"Profit","Draw")))</x:f>
      </x:c>
      <x:c r="V85" s="253">
        <x:f>IF(OR($B85="",$C85=""),"",IFERROR(ROUNDUP((IF(ISNUMBER($C85),$C85,DATEVALUE($C85))-IF(ISNUMBER($B85),$B85,DATEVALUE($B85)))/7,0),""))</x:f>
      </x:c>
      <x:c r="W85" s="254">
        <x:f>$Q85-$S85</x:f>
      </x:c>
      <x:c r="X85" s="256">
        <x:f>IF(OR($J85="",$I85="",$J85=0,$I85=0,$I85&gt;$J85),"",$J85-$I85)</x:f>
      </x:c>
      <x:c r="Y85" s="257">
        <x:f>IF(OR($J85="",$J85=0,$X85=""),"",$X85/$J85)</x:f>
      </x:c>
    </x:row>
    <x:row r="86" s="106" customFormat="1" ht="21" customHeight="1">
      <x:c r="A86" s="54" t="n"/>
      <x:c r="B86" s="250" t="n"/>
      <x:c r="C86" s="250" t="n"/>
      <x:c r="D86" s="54" t="n"/>
      <x:c r="E86" s="251" t="n"/>
      <x:c r="F86" s="251" t="n"/>
      <x:c r="G86" s="251" t="n"/>
      <x:c r="H86" s="251" t="n"/>
      <x:c r="I86" s="252" t="n"/>
      <x:c r="J86" s="253" t="n"/>
      <x:c r="K86" s="254" t="n"/>
      <x:c r="L86" s="50" t="n"/>
      <x:c r="M86" s="251" t="n"/>
      <x:c r="N86" s="251">
        <x:f>IF($A86="","",IF($G86="","",IF(ISNUMBER(SEARCH("non",LOWER($E86&amp;""))),$G86*0.85,$G86)))</x:f>
      </x:c>
      <x:c r="O86" s="251">
        <x:f>IF($A86="","",IF(OR($N86="",$I86="",$I86=0),"",$N86/$I86))</x:f>
      </x:c>
      <x:c r="P86" s="251">
        <x:f>IF($A86="","",IF(LOWER($L86&amp;"")="yes",0,IF($K86&lt;&gt;"",$K86,IF($O86&lt;&gt;"",$O86,""))))</x:f>
      </x:c>
      <x:c r="Q86" s="254">
        <x:f>IF($A86="","",IF($U86="Profit",$P86-$H86,0))</x:f>
      </x:c>
      <x:c r="R86" s="251">
        <x:f>IF($A86="","",IF($U86="Draw",$H86,0))</x:f>
      </x:c>
      <x:c r="S86" s="251">
        <x:f>IF($A86="","",IF($U86="Disqualified",$H86,0))</x:f>
      </x:c>
      <x:c r="T86" s="255">
        <x:f>IF($A86="","",IF($H86=0,IF($U86="Profit","N/A",0),IF($U86="Profit",$Q86/$H86,IF($U86="Disqualified",-1,0))))</x:f>
      </x:c>
      <x:c r="U86" s="254">
        <x:f>IF($A86="","",IF(LOWER($L86&amp;"")="yes","Disqualified",IF($P86&gt;$H86,"Profit","Draw")))</x:f>
      </x:c>
      <x:c r="V86" s="253">
        <x:f>IF(OR($B86="",$C86=""),"",IFERROR(ROUNDUP((IF(ISNUMBER($C86),$C86,DATEVALUE($C86))-IF(ISNUMBER($B86),$B86,DATEVALUE($B86)))/7,0),""))</x:f>
      </x:c>
      <x:c r="W86" s="254">
        <x:f>$Q86-$S86</x:f>
      </x:c>
      <x:c r="X86" s="256">
        <x:f>IF(OR($J86="",$I86="",$J86=0,$I86=0,$I86&gt;$J86),"",$J86-$I86)</x:f>
      </x:c>
      <x:c r="Y86" s="257">
        <x:f>IF(OR($J86="",$J86=0,$X86=""),"",$X86/$J86)</x:f>
      </x:c>
    </x:row>
    <x:row r="87" s="106" customFormat="1" ht="21" customHeight="1">
      <x:c r="A87" s="54" t="n"/>
      <x:c r="B87" s="250" t="n"/>
      <x:c r="C87" s="250" t="n"/>
      <x:c r="D87" s="54" t="n"/>
      <x:c r="E87" s="251" t="n"/>
      <x:c r="F87" s="251" t="n"/>
      <x:c r="G87" s="251" t="n"/>
      <x:c r="H87" s="251" t="n"/>
      <x:c r="I87" s="252" t="n"/>
      <x:c r="J87" s="253" t="n"/>
      <x:c r="K87" s="254" t="n"/>
      <x:c r="L87" s="50" t="n"/>
      <x:c r="M87" s="251" t="n"/>
      <x:c r="N87" s="251">
        <x:f>IF($A87="","",IF($G87="","",IF(ISNUMBER(SEARCH("non",LOWER($E87&amp;""))),$G87*0.85,$G87)))</x:f>
      </x:c>
      <x:c r="O87" s="251">
        <x:f>IF($A87="","",IF(OR($N87="",$I87="",$I87=0),"",$N87/$I87))</x:f>
      </x:c>
      <x:c r="P87" s="251">
        <x:f>IF($A87="","",IF(LOWER($L87&amp;"")="yes",0,IF($K87&lt;&gt;"",$K87,IF($O87&lt;&gt;"",$O87,""))))</x:f>
      </x:c>
      <x:c r="Q87" s="254">
        <x:f>IF($A87="","",IF($U87="Profit",$P87-$H87,0))</x:f>
      </x:c>
      <x:c r="R87" s="251">
        <x:f>IF($A87="","",IF($U87="Draw",$H87,0))</x:f>
      </x:c>
      <x:c r="S87" s="251">
        <x:f>IF($A87="","",IF($U87="Disqualified",$H87,0))</x:f>
      </x:c>
      <x:c r="T87" s="255">
        <x:f>IF($A87="","",IF($H87=0,IF($U87="Profit","N/A",0),IF($U87="Profit",$Q87/$H87,IF($U87="Disqualified",-1,0))))</x:f>
      </x:c>
      <x:c r="U87" s="254">
        <x:f>IF($A87="","",IF(LOWER($L87&amp;"")="yes","Disqualified",IF($P87&gt;$H87,"Profit","Draw")))</x:f>
      </x:c>
      <x:c r="V87" s="253">
        <x:f>IF(OR($B87="",$C87=""),"",IFERROR(ROUNDUP((IF(ISNUMBER($C87),$C87,DATEVALUE($C87))-IF(ISNUMBER($B87),$B87,DATEVALUE($B87)))/7,0),""))</x:f>
      </x:c>
      <x:c r="W87" s="254">
        <x:f>$Q87-$S87</x:f>
      </x:c>
      <x:c r="X87" s="256">
        <x:f>IF(OR($J87="",$I87="",$J87=0,$I87=0,$I87&gt;$J87),"",$J87-$I87)</x:f>
      </x:c>
      <x:c r="Y87" s="257">
        <x:f>IF(OR($J87="",$J87=0,$X87=""),"",$X87/$J87)</x:f>
      </x:c>
    </x:row>
    <x:row r="88" s="106" customFormat="1" ht="21" customHeight="1">
      <x:c r="A88" s="54" t="n"/>
      <x:c r="B88" s="250" t="n"/>
      <x:c r="C88" s="250" t="n"/>
      <x:c r="D88" s="54" t="n"/>
      <x:c r="E88" s="251" t="n"/>
      <x:c r="F88" s="251" t="n"/>
      <x:c r="G88" s="251" t="n"/>
      <x:c r="H88" s="251" t="n"/>
      <x:c r="I88" s="252" t="n"/>
      <x:c r="J88" s="253" t="n"/>
      <x:c r="K88" s="254" t="n"/>
      <x:c r="L88" s="50" t="n"/>
      <x:c r="M88" s="251" t="n"/>
      <x:c r="N88" s="251">
        <x:f>IF($A88="","",IF($G88="","",IF(ISNUMBER(SEARCH("non",LOWER($E88&amp;""))),$G88*0.85,$G88)))</x:f>
      </x:c>
      <x:c r="O88" s="251">
        <x:f>IF($A88="","",IF(OR($N88="",$I88="",$I88=0),"",$N88/$I88))</x:f>
      </x:c>
      <x:c r="P88" s="251">
        <x:f>IF($A88="","",IF(LOWER($L88&amp;"")="yes",0,IF($K88&lt;&gt;"",$K88,IF($O88&lt;&gt;"",$O88,""))))</x:f>
      </x:c>
      <x:c r="Q88" s="254">
        <x:f>IF($A88="","",IF($U88="Profit",$P88-$H88,0))</x:f>
      </x:c>
      <x:c r="R88" s="251">
        <x:f>IF($A88="","",IF($U88="Draw",$H88,0))</x:f>
      </x:c>
      <x:c r="S88" s="251">
        <x:f>IF($A88="","",IF($U88="Disqualified",$H88,0))</x:f>
      </x:c>
      <x:c r="T88" s="255">
        <x:f>IF($A88="","",IF($H88=0,IF($U88="Profit","N/A",0),IF($U88="Profit",$Q88/$H88,IF($U88="Disqualified",-1,0))))</x:f>
      </x:c>
      <x:c r="U88" s="254">
        <x:f>IF($A88="","",IF(LOWER($L88&amp;"")="yes","Disqualified",IF($P88&gt;$H88,"Profit","Draw")))</x:f>
      </x:c>
      <x:c r="V88" s="253">
        <x:f>IF(OR($B88="",$C88=""),"",IFERROR(ROUNDUP((IF(ISNUMBER($C88),$C88,DATEVALUE($C88))-IF(ISNUMBER($B88),$B88,DATEVALUE($B88)))/7,0),""))</x:f>
      </x:c>
      <x:c r="W88" s="254">
        <x:f>$Q88-$S88</x:f>
      </x:c>
      <x:c r="X88" s="256">
        <x:f>IF(OR($J88="",$I88="",$J88=0,$I88=0,$I88&gt;$J88),"",$J88-$I88)</x:f>
      </x:c>
      <x:c r="Y88" s="257">
        <x:f>IF(OR($J88="",$J88=0,$X88=""),"",$X88/$J88)</x:f>
      </x:c>
    </x:row>
    <x:row r="89" s="106" customFormat="1" ht="21" customHeight="1">
      <x:c r="A89" s="54" t="n"/>
      <x:c r="B89" s="250" t="n"/>
      <x:c r="C89" s="250" t="n"/>
      <x:c r="D89" s="54" t="n"/>
      <x:c r="E89" s="251" t="n"/>
      <x:c r="F89" s="251" t="n"/>
      <x:c r="G89" s="251" t="n"/>
      <x:c r="H89" s="251" t="n"/>
      <x:c r="I89" s="252" t="n"/>
      <x:c r="J89" s="253" t="n"/>
      <x:c r="K89" s="254" t="n"/>
      <x:c r="L89" s="50" t="n"/>
      <x:c r="M89" s="251" t="n"/>
      <x:c r="N89" s="251">
        <x:f>IF($A89="","",IF($G89="","",IF(ISNUMBER(SEARCH("non",LOWER($E89&amp;""))),$G89*0.85,$G89)))</x:f>
      </x:c>
      <x:c r="O89" s="251">
        <x:f>IF($A89="","",IF(OR($N89="",$I89="",$I89=0),"",$N89/$I89))</x:f>
      </x:c>
      <x:c r="P89" s="251">
        <x:f>IF($A89="","",IF(LOWER($L89&amp;"")="yes",0,IF($K89&lt;&gt;"",$K89,IF($O89&lt;&gt;"",$O89,""))))</x:f>
      </x:c>
      <x:c r="Q89" s="254">
        <x:f>IF($A89="","",IF($U89="Profit",$P89-$H89,0))</x:f>
      </x:c>
      <x:c r="R89" s="251">
        <x:f>IF($A89="","",IF($U89="Draw",$H89,0))</x:f>
      </x:c>
      <x:c r="S89" s="251">
        <x:f>IF($A89="","",IF($U89="Disqualified",$H89,0))</x:f>
      </x:c>
      <x:c r="T89" s="255">
        <x:f>IF($A89="","",IF($H89=0,IF($U89="Profit","N/A",0),IF($U89="Profit",$Q89/$H89,IF($U89="Disqualified",-1,0))))</x:f>
      </x:c>
      <x:c r="U89" s="254">
        <x:f>IF($A89="","",IF(LOWER($L89&amp;"")="yes","Disqualified",IF($P89&gt;$H89,"Profit","Draw")))</x:f>
      </x:c>
      <x:c r="V89" s="253">
        <x:f>IF(OR($B89="",$C89=""),"",IFERROR(ROUNDUP((IF(ISNUMBER($C89),$C89,DATEVALUE($C89))-IF(ISNUMBER($B89),$B89,DATEVALUE($B89)))/7,0),""))</x:f>
      </x:c>
      <x:c r="W89" s="254">
        <x:f>$Q89-$S89</x:f>
      </x:c>
      <x:c r="X89" s="256">
        <x:f>IF(OR($J89="",$I89="",$J89=0,$I89=0,$I89&gt;$J89),"",$J89-$I89)</x:f>
      </x:c>
      <x:c r="Y89" s="257">
        <x:f>IF(OR($J89="",$J89=0,$X89=""),"",$X89/$J89)</x:f>
      </x:c>
    </x:row>
    <x:row r="90" s="106" customFormat="1" ht="21" customHeight="1">
      <x:c r="A90" s="54" t="n"/>
      <x:c r="B90" s="250" t="n"/>
      <x:c r="C90" s="250" t="n"/>
      <x:c r="D90" s="54" t="n"/>
      <x:c r="E90" s="251" t="n"/>
      <x:c r="F90" s="251" t="n"/>
      <x:c r="G90" s="251" t="n"/>
      <x:c r="H90" s="251" t="n"/>
      <x:c r="I90" s="252" t="n"/>
      <x:c r="J90" s="253" t="n"/>
      <x:c r="K90" s="254" t="n"/>
      <x:c r="L90" s="50" t="n"/>
      <x:c r="M90" s="251" t="n"/>
      <x:c r="N90" s="251">
        <x:f>IF($A90="","",IF($G90="","",IF(ISNUMBER(SEARCH("non",LOWER($E90&amp;""))),$G90*0.85,$G90)))</x:f>
      </x:c>
      <x:c r="O90" s="251">
        <x:f>IF($A90="","",IF(OR($N90="",$I90="",$I90=0),"",$N90/$I90))</x:f>
      </x:c>
      <x:c r="P90" s="251">
        <x:f>IF($A90="","",IF(LOWER($L90&amp;"")="yes",0,IF($K90&lt;&gt;"",$K90,IF($O90&lt;&gt;"",$O90,""))))</x:f>
      </x:c>
      <x:c r="Q90" s="254">
        <x:f>IF($A90="","",IF($U90="Profit",$P90-$H90,0))</x:f>
      </x:c>
      <x:c r="R90" s="251">
        <x:f>IF($A90="","",IF($U90="Draw",$H90,0))</x:f>
      </x:c>
      <x:c r="S90" s="251">
        <x:f>IF($A90="","",IF($U90="Disqualified",$H90,0))</x:f>
      </x:c>
      <x:c r="T90" s="255">
        <x:f>IF($A90="","",IF($H90=0,IF($U90="Profit","N/A",0),IF($U90="Profit",$Q90/$H90,IF($U90="Disqualified",-1,0))))</x:f>
      </x:c>
      <x:c r="U90" s="254">
        <x:f>IF($A90="","",IF(LOWER($L90&amp;"")="yes","Disqualified",IF($P90&gt;$H90,"Profit","Draw")))</x:f>
      </x:c>
      <x:c r="V90" s="253">
        <x:f>IF(OR($B90="",$C90=""),"",IFERROR(ROUNDUP((IF(ISNUMBER($C90),$C90,DATEVALUE($C90))-IF(ISNUMBER($B90),$B90,DATEVALUE($B90)))/7,0),""))</x:f>
      </x:c>
      <x:c r="W90" s="254">
        <x:f>$Q90-$S90</x:f>
      </x:c>
      <x:c r="X90" s="256">
        <x:f>IF(OR($J90="",$I90="",$J90=0,$I90=0,$I90&gt;$J90),"",$J90-$I90)</x:f>
      </x:c>
      <x:c r="Y90" s="257">
        <x:f>IF(OR($J90="",$J90=0,$X90=""),"",$X90/$J90)</x:f>
      </x:c>
    </x:row>
    <x:row r="91" s="106" customFormat="1" ht="21" customHeight="1">
      <x:c r="A91" s="54" t="n"/>
      <x:c r="B91" s="250" t="n"/>
      <x:c r="C91" s="250" t="n"/>
      <x:c r="D91" s="54" t="n"/>
      <x:c r="E91" s="251" t="n"/>
      <x:c r="F91" s="251" t="n"/>
      <x:c r="G91" s="251" t="n"/>
      <x:c r="H91" s="251" t="n"/>
      <x:c r="I91" s="252" t="n"/>
      <x:c r="J91" s="253" t="n"/>
      <x:c r="K91" s="254" t="n"/>
      <x:c r="L91" s="50" t="n"/>
      <x:c r="M91" s="251" t="n"/>
      <x:c r="N91" s="251">
        <x:f>IF($A91="","",IF($G91="","",IF(ISNUMBER(SEARCH("non",LOWER($E91&amp;""))),$G91*0.85,$G91)))</x:f>
      </x:c>
      <x:c r="O91" s="251">
        <x:f>IF($A91="","",IF(OR($N91="",$I91="",$I91=0),"",$N91/$I91))</x:f>
      </x:c>
      <x:c r="P91" s="251">
        <x:f>IF($A91="","",IF(LOWER($L91&amp;"")="yes",0,IF($K91&lt;&gt;"",$K91,IF($O91&lt;&gt;"",$O91,""))))</x:f>
      </x:c>
      <x:c r="Q91" s="254">
        <x:f>IF($A91="","",IF($U91="Profit",$P91-$H91,0))</x:f>
      </x:c>
      <x:c r="R91" s="251">
        <x:f>IF($A91="","",IF($U91="Draw",$H91,0))</x:f>
      </x:c>
      <x:c r="S91" s="251">
        <x:f>IF($A91="","",IF($U91="Disqualified",$H91,0))</x:f>
      </x:c>
      <x:c r="T91" s="255">
        <x:f>IF($A91="","",IF($H91=0,IF($U91="Profit","N/A",0),IF($U91="Profit",$Q91/$H91,IF($U91="Disqualified",-1,0))))</x:f>
      </x:c>
      <x:c r="U91" s="254">
        <x:f>IF($A91="","",IF(LOWER($L91&amp;"")="yes","Disqualified",IF($P91&gt;$H91,"Profit","Draw")))</x:f>
      </x:c>
      <x:c r="V91" s="253">
        <x:f>IF(OR($B91="",$C91=""),"",IFERROR(ROUNDUP((IF(ISNUMBER($C91),$C91,DATEVALUE($C91))-IF(ISNUMBER($B91),$B91,DATEVALUE($B91)))/7,0),""))</x:f>
      </x:c>
      <x:c r="W91" s="254">
        <x:f>$Q91-$S91</x:f>
      </x:c>
      <x:c r="X91" s="256">
        <x:f>IF(OR($J91="",$I91="",$J91=0,$I91=0,$I91&gt;$J91),"",$J91-$I91)</x:f>
      </x:c>
      <x:c r="Y91" s="257">
        <x:f>IF(OR($J91="",$J91=0,$X91=""),"",$X91/$J91)</x:f>
      </x:c>
    </x:row>
    <x:row r="92" s="106" customFormat="1" ht="21" customHeight="1">
      <x:c r="A92" s="54" t="n"/>
      <x:c r="B92" s="250" t="n"/>
      <x:c r="C92" s="250" t="n"/>
      <x:c r="D92" s="54" t="n"/>
      <x:c r="E92" s="251" t="n"/>
      <x:c r="F92" s="251" t="n"/>
      <x:c r="G92" s="251" t="n"/>
      <x:c r="H92" s="251" t="n"/>
      <x:c r="I92" s="252" t="n"/>
      <x:c r="J92" s="253" t="n"/>
      <x:c r="K92" s="254" t="n"/>
      <x:c r="L92" s="50" t="n"/>
      <x:c r="M92" s="251" t="n"/>
      <x:c r="N92" s="251">
        <x:f>IF($A92="","",IF($G92="","",IF(ISNUMBER(SEARCH("non",LOWER($E92&amp;""))),$G92*0.85,$G92)))</x:f>
      </x:c>
      <x:c r="O92" s="251">
        <x:f>IF($A92="","",IF(OR($N92="",$I92="",$I92=0),"",$N92/$I92))</x:f>
      </x:c>
      <x:c r="P92" s="251">
        <x:f>IF($A92="","",IF(LOWER($L92&amp;"")="yes",0,IF($K92&lt;&gt;"",$K92,IF($O92&lt;&gt;"",$O92,""))))</x:f>
      </x:c>
      <x:c r="Q92" s="254">
        <x:f>IF($A92="","",IF($U92="Profit",$P92-$H92,0))</x:f>
      </x:c>
      <x:c r="R92" s="251">
        <x:f>IF($A92="","",IF($U92="Draw",$H92,0))</x:f>
      </x:c>
      <x:c r="S92" s="251">
        <x:f>IF($A92="","",IF($U92="Disqualified",$H92,0))</x:f>
      </x:c>
      <x:c r="T92" s="255">
        <x:f>IF($A92="","",IF($H92=0,IF($U92="Profit","N/A",0),IF($U92="Profit",$Q92/$H92,IF($U92="Disqualified",-1,0))))</x:f>
      </x:c>
      <x:c r="U92" s="254">
        <x:f>IF($A92="","",IF(LOWER($L92&amp;"")="yes","Disqualified",IF($P92&gt;$H92,"Profit","Draw")))</x:f>
      </x:c>
      <x:c r="V92" s="253">
        <x:f>IF(OR($B92="",$C92=""),"",IFERROR(ROUNDUP((IF(ISNUMBER($C92),$C92,DATEVALUE($C92))-IF(ISNUMBER($B92),$B92,DATEVALUE($B92)))/7,0),""))</x:f>
      </x:c>
      <x:c r="W92" s="254">
        <x:f>$Q92-$S92</x:f>
      </x:c>
      <x:c r="X92" s="256">
        <x:f>IF(OR($J92="",$I92="",$J92=0,$I92=0,$I92&gt;$J92),"",$J92-$I92)</x:f>
      </x:c>
      <x:c r="Y92" s="257">
        <x:f>IF(OR($J92="",$J92=0,$X92=""),"",$X92/$J92)</x:f>
      </x:c>
    </x:row>
    <x:row r="93" s="106" customFormat="1" ht="21" customHeight="1">
      <x:c r="A93" s="54" t="n"/>
      <x:c r="B93" s="250" t="n"/>
      <x:c r="C93" s="250" t="n"/>
      <x:c r="D93" s="54" t="n"/>
      <x:c r="E93" s="251" t="n"/>
      <x:c r="F93" s="251" t="n"/>
      <x:c r="G93" s="251" t="n"/>
      <x:c r="H93" s="251" t="n"/>
      <x:c r="I93" s="252" t="n"/>
      <x:c r="J93" s="253" t="n"/>
      <x:c r="K93" s="254" t="n"/>
      <x:c r="L93" s="50" t="n"/>
      <x:c r="M93" s="251" t="n"/>
      <x:c r="N93" s="251">
        <x:f>IF($A93="","",IF($G93="","",IF(ISNUMBER(SEARCH("non",LOWER($E93&amp;""))),$G93*0.85,$G93)))</x:f>
      </x:c>
      <x:c r="O93" s="251">
        <x:f>IF($A93="","",IF(OR($N93="",$I93="",$I93=0),"",$N93/$I93))</x:f>
      </x:c>
      <x:c r="P93" s="251">
        <x:f>IF($A93="","",IF(LOWER($L93&amp;"")="yes",0,IF($K93&lt;&gt;"",$K93,IF($O93&lt;&gt;"",$O93,""))))</x:f>
      </x:c>
      <x:c r="Q93" s="254">
        <x:f>IF($A93="","",IF($U93="Profit",$P93-$H93,0))</x:f>
      </x:c>
      <x:c r="R93" s="251">
        <x:f>IF($A93="","",IF($U93="Draw",$H93,0))</x:f>
      </x:c>
      <x:c r="S93" s="251">
        <x:f>IF($A93="","",IF($U93="Disqualified",$H93,0))</x:f>
      </x:c>
      <x:c r="T93" s="255">
        <x:f>IF($A93="","",IF($H93=0,IF($U93="Profit","N/A",0),IF($U93="Profit",$Q93/$H93,IF($U93="Disqualified",-1,0))))</x:f>
      </x:c>
      <x:c r="U93" s="254">
        <x:f>IF($A93="","",IF(LOWER($L93&amp;"")="yes","Disqualified",IF($P93&gt;$H93,"Profit","Draw")))</x:f>
      </x:c>
      <x:c r="V93" s="253">
        <x:f>IF(OR($B93="",$C93=""),"",IFERROR(ROUNDUP((IF(ISNUMBER($C93),$C93,DATEVALUE($C93))-IF(ISNUMBER($B93),$B93,DATEVALUE($B93)))/7,0),""))</x:f>
      </x:c>
      <x:c r="W93" s="254">
        <x:f>$Q93-$S93</x:f>
      </x:c>
      <x:c r="X93" s="256">
        <x:f>IF(OR($J93="",$I93="",$J93=0,$I93=0,$I93&gt;$J93),"",$J93-$I93)</x:f>
      </x:c>
      <x:c r="Y93" s="257">
        <x:f>IF(OR($J93="",$J93=0,$X93=""),"",$X93/$J93)</x:f>
      </x:c>
    </x:row>
    <x:row r="94" s="106" customFormat="1" ht="21" customHeight="1">
      <x:c r="A94" s="54" t="n"/>
      <x:c r="B94" s="250" t="n"/>
      <x:c r="C94" s="250" t="n"/>
      <x:c r="D94" s="54" t="n"/>
      <x:c r="E94" s="251" t="n"/>
      <x:c r="F94" s="251" t="n"/>
      <x:c r="G94" s="251" t="n"/>
      <x:c r="H94" s="251" t="n"/>
      <x:c r="I94" s="252" t="n"/>
      <x:c r="J94" s="253" t="n"/>
      <x:c r="K94" s="254" t="n"/>
      <x:c r="L94" s="50" t="n"/>
      <x:c r="M94" s="251" t="n"/>
      <x:c r="N94" s="251">
        <x:f>IF($A94="","",IF($G94="","",IF(ISNUMBER(SEARCH("non",LOWER($E94&amp;""))),$G94*0.85,$G94)))</x:f>
      </x:c>
      <x:c r="O94" s="251">
        <x:f>IF($A94="","",IF(OR($N94="",$I94="",$I94=0),"",$N94/$I94))</x:f>
      </x:c>
      <x:c r="P94" s="251">
        <x:f>IF($A94="","",IF(LOWER($L94&amp;"")="yes",0,IF($K94&lt;&gt;"",$K94,IF($O94&lt;&gt;"",$O94,""))))</x:f>
      </x:c>
      <x:c r="Q94" s="254">
        <x:f>IF($A94="","",IF($U94="Profit",$P94-$H94,0))</x:f>
      </x:c>
      <x:c r="R94" s="251">
        <x:f>IF($A94="","",IF($U94="Draw",$H94,0))</x:f>
      </x:c>
      <x:c r="S94" s="251">
        <x:f>IF($A94="","",IF($U94="Disqualified",$H94,0))</x:f>
      </x:c>
      <x:c r="T94" s="255">
        <x:f>IF($A94="","",IF($H94=0,IF($U94="Profit","N/A",0),IF($U94="Profit",$Q94/$H94,IF($U94="Disqualified",-1,0))))</x:f>
      </x:c>
      <x:c r="U94" s="254">
        <x:f>IF($A94="","",IF(LOWER($L94&amp;"")="yes","Disqualified",IF($P94&gt;$H94,"Profit","Draw")))</x:f>
      </x:c>
      <x:c r="V94" s="253">
        <x:f>IF(OR($B94="",$C94=""),"",IFERROR(ROUNDUP((IF(ISNUMBER($C94),$C94,DATEVALUE($C94))-IF(ISNUMBER($B94),$B94,DATEVALUE($B94)))/7,0),""))</x:f>
      </x:c>
      <x:c r="W94" s="254">
        <x:f>$Q94-$S94</x:f>
      </x:c>
      <x:c r="X94" s="256">
        <x:f>IF(OR($J94="",$I94="",$J94=0,$I94=0,$I94&gt;$J94),"",$J94-$I94)</x:f>
      </x:c>
      <x:c r="Y94" s="257">
        <x:f>IF(OR($J94="",$J94=0,$X94=""),"",$X94/$J94)</x:f>
      </x:c>
    </x:row>
    <x:row r="95" s="106" customFormat="1" ht="21" customHeight="1">
      <x:c r="A95" s="54" t="n"/>
      <x:c r="B95" s="250" t="n"/>
      <x:c r="C95" s="250" t="n"/>
      <x:c r="D95" s="54" t="n"/>
      <x:c r="E95" s="251" t="n"/>
      <x:c r="F95" s="251" t="n"/>
      <x:c r="G95" s="251" t="n"/>
      <x:c r="H95" s="251" t="n"/>
      <x:c r="I95" s="252" t="n"/>
      <x:c r="J95" s="253" t="n"/>
      <x:c r="K95" s="254" t="n"/>
      <x:c r="L95" s="50" t="n"/>
      <x:c r="M95" s="251" t="n"/>
      <x:c r="N95" s="251">
        <x:f>IF($A95="","",IF($G95="","",IF(ISNUMBER(SEARCH("non",LOWER($E95&amp;""))),$G95*0.85,$G95)))</x:f>
      </x:c>
      <x:c r="O95" s="251">
        <x:f>IF($A95="","",IF(OR($N95="",$I95="",$I95=0),"",$N95/$I95))</x:f>
      </x:c>
      <x:c r="P95" s="251">
        <x:f>IF($A95="","",IF(LOWER($L95&amp;"")="yes",0,IF($K95&lt;&gt;"",$K95,IF($O95&lt;&gt;"",$O95,""))))</x:f>
      </x:c>
      <x:c r="Q95" s="254">
        <x:f>IF($A95="","",IF($U95="Profit",$P95-$H95,0))</x:f>
      </x:c>
      <x:c r="R95" s="251">
        <x:f>IF($A95="","",IF($U95="Draw",$H95,0))</x:f>
      </x:c>
      <x:c r="S95" s="251">
        <x:f>IF($A95="","",IF($U95="Disqualified",$H95,0))</x:f>
      </x:c>
      <x:c r="T95" s="255">
        <x:f>IF($A95="","",IF($H95=0,IF($U95="Profit","N/A",0),IF($U95="Profit",$Q95/$H95,IF($U95="Disqualified",-1,0))))</x:f>
      </x:c>
      <x:c r="U95" s="254">
        <x:f>IF($A95="","",IF(LOWER($L95&amp;"")="yes","Disqualified",IF($P95&gt;$H95,"Profit","Draw")))</x:f>
      </x:c>
      <x:c r="V95" s="253">
        <x:f>IF(OR($B95="",$C95=""),"",IFERROR(ROUNDUP((IF(ISNUMBER($C95),$C95,DATEVALUE($C95))-IF(ISNUMBER($B95),$B95,DATEVALUE($B95)))/7,0),""))</x:f>
      </x:c>
      <x:c r="W95" s="254">
        <x:f>$Q95-$S95</x:f>
      </x:c>
      <x:c r="X95" s="256">
        <x:f>IF(OR($J95="",$I95="",$J95=0,$I95=0,$I95&gt;$J95),"",$J95-$I95)</x:f>
      </x:c>
      <x:c r="Y95" s="257">
        <x:f>IF(OR($J95="",$J95=0,$X95=""),"",$X95/$J95)</x:f>
      </x:c>
    </x:row>
    <x:row r="96" s="106" customFormat="1" ht="21" customHeight="1">
      <x:c r="A96" s="54" t="n"/>
      <x:c r="B96" s="250" t="n"/>
      <x:c r="C96" s="250" t="n"/>
      <x:c r="D96" s="54" t="n"/>
      <x:c r="E96" s="251" t="n"/>
      <x:c r="F96" s="251" t="n"/>
      <x:c r="G96" s="251" t="n"/>
      <x:c r="H96" s="251" t="n"/>
      <x:c r="I96" s="252" t="n"/>
      <x:c r="J96" s="253" t="n"/>
      <x:c r="K96" s="254" t="n"/>
      <x:c r="L96" s="50" t="n"/>
      <x:c r="M96" s="251" t="n"/>
      <x:c r="N96" s="251">
        <x:f>IF($A96="","",IF($G96="","",IF(ISNUMBER(SEARCH("non",LOWER($E96&amp;""))),$G96*0.85,$G96)))</x:f>
      </x:c>
      <x:c r="O96" s="251">
        <x:f>IF($A96="","",IF(OR($N96="",$I96="",$I96=0),"",$N96/$I96))</x:f>
      </x:c>
      <x:c r="P96" s="251">
        <x:f>IF($A96="","",IF(LOWER($L96&amp;"")="yes",0,IF($K96&lt;&gt;"",$K96,IF($O96&lt;&gt;"",$O96,""))))</x:f>
      </x:c>
      <x:c r="Q96" s="254">
        <x:f>IF($A96="","",IF($U96="Profit",$P96-$H96,0))</x:f>
      </x:c>
      <x:c r="R96" s="251">
        <x:f>IF($A96="","",IF($U96="Draw",$H96,0))</x:f>
      </x:c>
      <x:c r="S96" s="251">
        <x:f>IF($A96="","",IF($U96="Disqualified",$H96,0))</x:f>
      </x:c>
      <x:c r="T96" s="255">
        <x:f>IF($A96="","",IF($H96=0,IF($U96="Profit","N/A",0),IF($U96="Profit",$Q96/$H96,IF($U96="Disqualified",-1,0))))</x:f>
      </x:c>
      <x:c r="U96" s="254">
        <x:f>IF($A96="","",IF(LOWER($L96&amp;"")="yes","Disqualified",IF($P96&gt;$H96,"Profit","Draw")))</x:f>
      </x:c>
      <x:c r="V96" s="253">
        <x:f>IF(OR($B96="",$C96=""),"",IFERROR(ROUNDUP((IF(ISNUMBER($C96),$C96,DATEVALUE($C96))-IF(ISNUMBER($B96),$B96,DATEVALUE($B96)))/7,0),""))</x:f>
      </x:c>
      <x:c r="W96" s="254">
        <x:f>$Q96-$S96</x:f>
      </x:c>
      <x:c r="X96" s="256">
        <x:f>IF(OR($J96="",$I96="",$J96=0,$I96=0,$I96&gt;$J96),"",$J96-$I96)</x:f>
      </x:c>
      <x:c r="Y96" s="257">
        <x:f>IF(OR($J96="",$J96=0,$X96=""),"",$X96/$J96)</x:f>
      </x:c>
    </x:row>
    <x:row r="97" s="106" customFormat="1" ht="21" customHeight="1">
      <x:c r="A97" s="54" t="n"/>
      <x:c r="B97" s="250" t="n"/>
      <x:c r="C97" s="250" t="n"/>
      <x:c r="D97" s="54" t="n"/>
      <x:c r="E97" s="251" t="n"/>
      <x:c r="F97" s="251" t="n"/>
      <x:c r="G97" s="251" t="n"/>
      <x:c r="H97" s="251" t="n"/>
      <x:c r="I97" s="252" t="n"/>
      <x:c r="J97" s="253" t="n"/>
      <x:c r="K97" s="254" t="n"/>
      <x:c r="L97" s="50" t="n"/>
      <x:c r="M97" s="251" t="n"/>
      <x:c r="N97" s="251">
        <x:f>IF($A97="","",IF($G97="","",IF(ISNUMBER(SEARCH("non",LOWER($E97&amp;""))),$G97*0.85,$G97)))</x:f>
      </x:c>
      <x:c r="O97" s="251">
        <x:f>IF($A97="","",IF(OR($N97="",$I97="",$I97=0),"",$N97/$I97))</x:f>
      </x:c>
      <x:c r="P97" s="251">
        <x:f>IF($A97="","",IF(LOWER($L97&amp;"")="yes",0,IF($K97&lt;&gt;"",$K97,IF($O97&lt;&gt;"",$O97,""))))</x:f>
      </x:c>
      <x:c r="Q97" s="254">
        <x:f>IF($A97="","",IF($U97="Profit",$P97-$H97,0))</x:f>
      </x:c>
      <x:c r="R97" s="251">
        <x:f>IF($A97="","",IF($U97="Draw",$H97,0))</x:f>
      </x:c>
      <x:c r="S97" s="251">
        <x:f>IF($A97="","",IF($U97="Disqualified",$H97,0))</x:f>
      </x:c>
      <x:c r="T97" s="255">
        <x:f>IF($A97="","",IF($H97=0,IF($U97="Profit","N/A",0),IF($U97="Profit",$Q97/$H97,IF($U97="Disqualified",-1,0))))</x:f>
      </x:c>
      <x:c r="U97" s="254">
        <x:f>IF($A97="","",IF(LOWER($L97&amp;"")="yes","Disqualified",IF($P97&gt;$H97,"Profit","Draw")))</x:f>
      </x:c>
      <x:c r="V97" s="253">
        <x:f>IF(OR($B97="",$C97=""),"",IFERROR(ROUNDUP((IF(ISNUMBER($C97),$C97,DATEVALUE($C97))-IF(ISNUMBER($B97),$B97,DATEVALUE($B97)))/7,0),""))</x:f>
      </x:c>
      <x:c r="W97" s="254">
        <x:f>$Q97-$S97</x:f>
      </x:c>
      <x:c r="X97" s="256">
        <x:f>IF(OR($J97="",$I97="",$J97=0,$I97=0,$I97&gt;$J97),"",$J97-$I97)</x:f>
      </x:c>
      <x:c r="Y97" s="257">
        <x:f>IF(OR($J97="",$J97=0,$X97=""),"",$X97/$J97)</x:f>
      </x:c>
    </x:row>
    <x:row r="98" s="106" customFormat="1" ht="21" customHeight="1">
      <x:c r="A98" s="54" t="n"/>
      <x:c r="B98" s="250" t="n"/>
      <x:c r="C98" s="250" t="n"/>
      <x:c r="D98" s="54" t="n"/>
      <x:c r="E98" s="251" t="n"/>
      <x:c r="F98" s="251" t="n"/>
      <x:c r="G98" s="251" t="n"/>
      <x:c r="H98" s="251" t="n"/>
      <x:c r="I98" s="252" t="n"/>
      <x:c r="J98" s="253" t="n"/>
      <x:c r="K98" s="254" t="n"/>
      <x:c r="L98" s="50" t="n"/>
      <x:c r="M98" s="251" t="n"/>
      <x:c r="N98" s="251">
        <x:f>IF($A98="","",IF($G98="","",IF(ISNUMBER(SEARCH("non",LOWER($E98&amp;""))),$G98*0.85,$G98)))</x:f>
      </x:c>
      <x:c r="O98" s="251">
        <x:f>IF($A98="","",IF(OR($N98="",$I98="",$I98=0),"",$N98/$I98))</x:f>
      </x:c>
      <x:c r="P98" s="251">
        <x:f>IF($A98="","",IF(LOWER($L98&amp;"")="yes",0,IF($K98&lt;&gt;"",$K98,IF($O98&lt;&gt;"",$O98,""))))</x:f>
      </x:c>
      <x:c r="Q98" s="254">
        <x:f>IF($A98="","",IF($U98="Profit",$P98-$H98,0))</x:f>
      </x:c>
      <x:c r="R98" s="251">
        <x:f>IF($A98="","",IF($U98="Draw",$H98,0))</x:f>
      </x:c>
      <x:c r="S98" s="251">
        <x:f>IF($A98="","",IF($U98="Disqualified",$H98,0))</x:f>
      </x:c>
      <x:c r="T98" s="255">
        <x:f>IF($A98="","",IF($H98=0,IF($U98="Profit","N/A",0),IF($U98="Profit",$Q98/$H98,IF($U98="Disqualified",-1,0))))</x:f>
      </x:c>
      <x:c r="U98" s="254">
        <x:f>IF($A98="","",IF(LOWER($L98&amp;"")="yes","Disqualified",IF($P98&gt;$H98,"Profit","Draw")))</x:f>
      </x:c>
      <x:c r="V98" s="253">
        <x:f>IF(OR($B98="",$C98=""),"",IFERROR(ROUNDUP((IF(ISNUMBER($C98),$C98,DATEVALUE($C98))-IF(ISNUMBER($B98),$B98,DATEVALUE($B98)))/7,0),""))</x:f>
      </x:c>
      <x:c r="W98" s="254">
        <x:f>$Q98-$S98</x:f>
      </x:c>
      <x:c r="X98" s="256">
        <x:f>IF(OR($J98="",$I98="",$J98=0,$I98=0,$I98&gt;$J98),"",$J98-$I98)</x:f>
      </x:c>
      <x:c r="Y98" s="257">
        <x:f>IF(OR($J98="",$J98=0,$X98=""),"",$X98/$J98)</x:f>
      </x:c>
    </x:row>
    <x:row r="99" s="106" customFormat="1" ht="21" customHeight="1">
      <x:c r="A99" s="54" t="n"/>
      <x:c r="B99" s="250" t="n"/>
      <x:c r="C99" s="250" t="n"/>
      <x:c r="D99" s="54" t="n"/>
      <x:c r="E99" s="251" t="n"/>
      <x:c r="F99" s="251" t="n"/>
      <x:c r="G99" s="251" t="n"/>
      <x:c r="H99" s="251" t="n"/>
      <x:c r="I99" s="252" t="n"/>
      <x:c r="J99" s="253" t="n"/>
      <x:c r="K99" s="254" t="n"/>
      <x:c r="L99" s="50" t="n"/>
      <x:c r="M99" s="251" t="n"/>
      <x:c r="N99" s="251">
        <x:f>IF($A99="","",IF($G99="","",IF(ISNUMBER(SEARCH("non",LOWER($E99&amp;""))),$G99*0.85,$G99)))</x:f>
      </x:c>
      <x:c r="O99" s="251">
        <x:f>IF($A99="","",IF(OR($N99="",$I99="",$I99=0),"",$N99/$I99))</x:f>
      </x:c>
      <x:c r="P99" s="251">
        <x:f>IF($A99="","",IF(LOWER($L99&amp;"")="yes",0,IF($K99&lt;&gt;"",$K99,IF($O99&lt;&gt;"",$O99,""))))</x:f>
      </x:c>
      <x:c r="Q99" s="254">
        <x:f>IF($A99="","",IF($U99="Profit",$P99-$H99,0))</x:f>
      </x:c>
      <x:c r="R99" s="251">
        <x:f>IF($A99="","",IF($U99="Draw",$H99,0))</x:f>
      </x:c>
      <x:c r="S99" s="251">
        <x:f>IF($A99="","",IF($U99="Disqualified",$H99,0))</x:f>
      </x:c>
      <x:c r="T99" s="255">
        <x:f>IF($A99="","",IF($H99=0,IF($U99="Profit","N/A",0),IF($U99="Profit",$Q99/$H99,IF($U99="Disqualified",-1,0))))</x:f>
      </x:c>
      <x:c r="U99" s="254">
        <x:f>IF($A99="","",IF(LOWER($L99&amp;"")="yes","Disqualified",IF($P99&gt;$H99,"Profit","Draw")))</x:f>
      </x:c>
      <x:c r="V99" s="253">
        <x:f>IF(OR($B99="",$C99=""),"",IFERROR(ROUNDUP((IF(ISNUMBER($C99),$C99,DATEVALUE($C99))-IF(ISNUMBER($B99),$B99,DATEVALUE($B99)))/7,0),""))</x:f>
      </x:c>
      <x:c r="W99" s="254">
        <x:f>$Q99-$S99</x:f>
      </x:c>
      <x:c r="X99" s="256">
        <x:f>IF(OR($J99="",$I99="",$J99=0,$I99=0,$I99&gt;$J99),"",$J99-$I99)</x:f>
      </x:c>
      <x:c r="Y99" s="257">
        <x:f>IF(OR($J99="",$J99=0,$X99=""),"",$X99/$J99)</x:f>
      </x:c>
    </x:row>
    <x:row r="100" s="106" customFormat="1" ht="21" customHeight="1">
      <x:c r="A100" s="54" t="n"/>
      <x:c r="B100" s="250" t="n"/>
      <x:c r="C100" s="250" t="n"/>
      <x:c r="D100" s="54" t="n"/>
      <x:c r="E100" s="251" t="n"/>
      <x:c r="F100" s="251" t="n"/>
      <x:c r="G100" s="251" t="n"/>
      <x:c r="H100" s="251" t="n"/>
      <x:c r="I100" s="252" t="n"/>
      <x:c r="J100" s="253" t="n"/>
      <x:c r="K100" s="254" t="n"/>
      <x:c r="L100" s="50" t="n"/>
      <x:c r="M100" s="251" t="n"/>
      <x:c r="N100" s="251">
        <x:f>IF($A100="","",IF($G100="","",IF(ISNUMBER(SEARCH("non",LOWER($E100&amp;""))),$G100*0.85,$G100)))</x:f>
      </x:c>
      <x:c r="O100" s="251">
        <x:f>IF($A100="","",IF(OR($N100="",$I100="",$I100=0),"",$N100/$I100))</x:f>
      </x:c>
      <x:c r="P100" s="251">
        <x:f>IF($A100="","",IF(LOWER($L100&amp;"")="yes",0,IF($K100&lt;&gt;"",$K100,IF($O100&lt;&gt;"",$O100,""))))</x:f>
      </x:c>
      <x:c r="Q100" s="254">
        <x:f>IF($A100="","",IF($U100="Profit",$P100-$H100,0))</x:f>
      </x:c>
      <x:c r="R100" s="251">
        <x:f>IF($A100="","",IF($U100="Draw",$H100,0))</x:f>
      </x:c>
      <x:c r="S100" s="251">
        <x:f>IF($A100="","",IF($U100="Disqualified",$H100,0))</x:f>
      </x:c>
      <x:c r="T100" s="255">
        <x:f>IF($A100="","",IF($H100=0,IF($U100="Profit","N/A",0),IF($U100="Profit",$Q100/$H100,IF($U100="Disqualified",-1,0))))</x:f>
      </x:c>
      <x:c r="U100" s="254">
        <x:f>IF($A100="","",IF(LOWER($L100&amp;"")="yes","Disqualified",IF($P100&gt;$H100,"Profit","Draw")))</x:f>
      </x:c>
      <x:c r="V100" s="253">
        <x:f>IF(OR($B100="",$C100=""),"",IFERROR(ROUNDUP((IF(ISNUMBER($C100),$C100,DATEVALUE($C100))-IF(ISNUMBER($B100),$B100,DATEVALUE($B100)))/7,0),""))</x:f>
      </x:c>
      <x:c r="W100" s="254">
        <x:f>$Q100-$S100</x:f>
      </x:c>
      <x:c r="X100" s="256">
        <x:f>IF(OR($J100="",$I100="",$J100=0,$I100=0,$I100&gt;$J100),"",$J100-$I100)</x:f>
      </x:c>
      <x:c r="Y100" s="257">
        <x:f>IF(OR($J100="",$J100=0,$X100=""),"",$X100/$J100)</x:f>
      </x:c>
    </x:row>
    <x:row r="101" s="106" customFormat="1" ht="21" customHeight="1">
      <x:c r="A101" s="54" t="n"/>
      <x:c r="B101" s="250" t="n"/>
      <x:c r="C101" s="250" t="n"/>
      <x:c r="D101" s="54" t="n"/>
      <x:c r="E101" s="251" t="n"/>
      <x:c r="F101" s="251" t="n"/>
      <x:c r="G101" s="251" t="n"/>
      <x:c r="H101" s="251" t="n"/>
      <x:c r="I101" s="252" t="n"/>
      <x:c r="J101" s="253" t="n"/>
      <x:c r="K101" s="254" t="n"/>
      <x:c r="L101" s="50" t="n"/>
      <x:c r="M101" s="251" t="n"/>
      <x:c r="N101" s="251">
        <x:f>IF($A101="","",IF($G101="","",IF(ISNUMBER(SEARCH("non",LOWER($E101&amp;""))),$G101*0.85,$G101)))</x:f>
      </x:c>
      <x:c r="O101" s="251">
        <x:f>IF($A101="","",IF(OR($N101="",$I101="",$I101=0),"",$N101/$I101))</x:f>
      </x:c>
      <x:c r="P101" s="251">
        <x:f>IF($A101="","",IF(LOWER($L101&amp;"")="yes",0,IF($K101&lt;&gt;"",$K101,IF($O101&lt;&gt;"",$O101,""))))</x:f>
      </x:c>
      <x:c r="Q101" s="254">
        <x:f>IF($A101="","",IF($U101="Profit",$P101-$H101,0))</x:f>
      </x:c>
      <x:c r="R101" s="251">
        <x:f>IF($A101="","",IF($U101="Draw",$H101,0))</x:f>
      </x:c>
      <x:c r="S101" s="251">
        <x:f>IF($A101="","",IF($U101="Disqualified",$H101,0))</x:f>
      </x:c>
      <x:c r="T101" s="255">
        <x:f>IF($A101="","",IF($H101=0,IF($U101="Profit","N/A",0),IF($U101="Profit",$Q101/$H101,IF($U101="Disqualified",-1,0))))</x:f>
      </x:c>
      <x:c r="U101" s="254">
        <x:f>IF($A101="","",IF(LOWER($L101&amp;"")="yes","Disqualified",IF($P101&gt;$H101,"Profit","Draw")))</x:f>
      </x:c>
      <x:c r="V101" s="253">
        <x:f>IF(OR($B101="",$C101=""),"",IFERROR(ROUNDUP((IF(ISNUMBER($C101),$C101,DATEVALUE($C101))-IF(ISNUMBER($B101),$B101,DATEVALUE($B101)))/7,0),""))</x:f>
      </x:c>
      <x:c r="W101" s="254">
        <x:f>$Q101-$S101</x:f>
      </x:c>
      <x:c r="X101" s="256">
        <x:f>IF(OR($J101="",$I101="",$J101=0,$I101=0,$I101&gt;$J101),"",$J101-$I101)</x:f>
      </x:c>
      <x:c r="Y101" s="257">
        <x:f>IF(OR($J101="",$J101=0,$X101=""),"",$X101/$J101)</x:f>
      </x:c>
    </x:row>
    <x:row r="102" s="106" customFormat="1" ht="21" customHeight="1">
      <x:c r="A102" s="54" t="n"/>
      <x:c r="B102" s="250" t="n"/>
      <x:c r="C102" s="250" t="n"/>
      <x:c r="D102" s="54" t="n"/>
      <x:c r="E102" s="251" t="n"/>
      <x:c r="F102" s="251" t="n"/>
      <x:c r="G102" s="251" t="n"/>
      <x:c r="H102" s="251" t="n"/>
      <x:c r="I102" s="252" t="n"/>
      <x:c r="J102" s="253" t="n"/>
      <x:c r="K102" s="254" t="n"/>
      <x:c r="L102" s="50" t="n"/>
      <x:c r="M102" s="251" t="n"/>
      <x:c r="N102" s="251">
        <x:f>IF($A102="","",IF($G102="","",IF(ISNUMBER(SEARCH("non",LOWER($E102&amp;""))),$G102*0.85,$G102)))</x:f>
      </x:c>
      <x:c r="O102" s="251">
        <x:f>IF($A102="","",IF(OR($N102="",$I102="",$I102=0),"",$N102/$I102))</x:f>
      </x:c>
      <x:c r="P102" s="251">
        <x:f>IF($A102="","",IF(LOWER($L102&amp;"")="yes",0,IF($K102&lt;&gt;"",$K102,IF($O102&lt;&gt;"",$O102,""))))</x:f>
      </x:c>
      <x:c r="Q102" s="254">
        <x:f>IF($A102="","",IF($U102="Profit",$P102-$H102,0))</x:f>
      </x:c>
      <x:c r="R102" s="251">
        <x:f>IF($A102="","",IF($U102="Draw",$H102,0))</x:f>
      </x:c>
      <x:c r="S102" s="251">
        <x:f>IF($A102="","",IF($U102="Disqualified",$H102,0))</x:f>
      </x:c>
      <x:c r="T102" s="255">
        <x:f>IF($A102="","",IF($H102=0,IF($U102="Profit","N/A",0),IF($U102="Profit",$Q102/$H102,IF($U102="Disqualified",-1,0))))</x:f>
      </x:c>
      <x:c r="U102" s="254">
        <x:f>IF($A102="","",IF(LOWER($L102&amp;"")="yes","Disqualified",IF($P102&gt;$H102,"Profit","Draw")))</x:f>
      </x:c>
      <x:c r="V102" s="253">
        <x:f>IF(OR($B102="",$C102=""),"",IFERROR(ROUNDUP((IF(ISNUMBER($C102),$C102,DATEVALUE($C102))-IF(ISNUMBER($B102),$B102,DATEVALUE($B102)))/7,0),""))</x:f>
      </x:c>
      <x:c r="W102" s="254">
        <x:f>$Q102-$S102</x:f>
      </x:c>
      <x:c r="X102" s="256">
        <x:f>IF(OR($J102="",$I102="",$J102=0,$I102=0,$I102&gt;$J102),"",$J102-$I102)</x:f>
      </x:c>
      <x:c r="Y102" s="257">
        <x:f>IF(OR($J102="",$J102=0,$X102=""),"",$X102/$J102)</x:f>
      </x:c>
    </x:row>
    <x:row r="103" s="106" customFormat="1" ht="21" customHeight="1">
      <x:c r="A103" s="54" t="n"/>
      <x:c r="B103" s="250" t="n"/>
      <x:c r="C103" s="250" t="n"/>
      <x:c r="D103" s="54" t="n"/>
      <x:c r="E103" s="251" t="n"/>
      <x:c r="F103" s="251" t="n"/>
      <x:c r="G103" s="251" t="n"/>
      <x:c r="H103" s="251" t="n"/>
      <x:c r="I103" s="252" t="n"/>
      <x:c r="J103" s="253" t="n"/>
      <x:c r="K103" s="254" t="n"/>
      <x:c r="L103" s="50" t="n"/>
      <x:c r="M103" s="251" t="n"/>
      <x:c r="N103" s="251">
        <x:f>IF($A103="","",IF($G103="","",IF(ISNUMBER(SEARCH("non",LOWER($E103&amp;""))),$G103*0.85,$G103)))</x:f>
      </x:c>
      <x:c r="O103" s="251">
        <x:f>IF($A103="","",IF(OR($N103="",$I103="",$I103=0),"",$N103/$I103))</x:f>
      </x:c>
      <x:c r="P103" s="251">
        <x:f>IF($A103="","",IF(LOWER($L103&amp;"")="yes",0,IF($K103&lt;&gt;"",$K103,IF($O103&lt;&gt;"",$O103,""))))</x:f>
      </x:c>
      <x:c r="Q103" s="254">
        <x:f>IF($A103="","",IF($U103="Profit",$P103-$H103,0))</x:f>
      </x:c>
      <x:c r="R103" s="251">
        <x:f>IF($A103="","",IF($U103="Draw",$H103,0))</x:f>
      </x:c>
      <x:c r="S103" s="251">
        <x:f>IF($A103="","",IF($U103="Disqualified",$H103,0))</x:f>
      </x:c>
      <x:c r="T103" s="255">
        <x:f>IF($A103="","",IF($H103=0,IF($U103="Profit","N/A",0),IF($U103="Profit",$Q103/$H103,IF($U103="Disqualified",-1,0))))</x:f>
      </x:c>
      <x:c r="U103" s="254">
        <x:f>IF($A103="","",IF(LOWER($L103&amp;"")="yes","Disqualified",IF($P103&gt;$H103,"Profit","Draw")))</x:f>
      </x:c>
      <x:c r="V103" s="253">
        <x:f>IF(OR($B103="",$C103=""),"",IFERROR(ROUNDUP((IF(ISNUMBER($C103),$C103,DATEVALUE($C103))-IF(ISNUMBER($B103),$B103,DATEVALUE($B103)))/7,0),""))</x:f>
      </x:c>
      <x:c r="W103" s="254">
        <x:f>$Q103-$S103</x:f>
      </x:c>
      <x:c r="X103" s="256">
        <x:f>IF(OR($J103="",$I103="",$J103=0,$I103=0,$I103&gt;$J103),"",$J103-$I103)</x:f>
      </x:c>
      <x:c r="Y103" s="257">
        <x:f>IF(OR($J103="",$J103=0,$X103=""),"",$X103/$J103)</x:f>
      </x:c>
    </x:row>
    <x:row r="104" s="106" customFormat="1" ht="21" customHeight="1">
      <x:c r="A104" s="54" t="n"/>
      <x:c r="B104" s="250" t="n"/>
      <x:c r="C104" s="250" t="n"/>
      <x:c r="D104" s="54" t="n"/>
      <x:c r="E104" s="251" t="n"/>
      <x:c r="F104" s="251" t="n"/>
      <x:c r="G104" s="251" t="n"/>
      <x:c r="H104" s="251" t="n"/>
      <x:c r="I104" s="252" t="n"/>
      <x:c r="J104" s="253" t="n"/>
      <x:c r="K104" s="254" t="n"/>
      <x:c r="L104" s="50" t="n"/>
      <x:c r="M104" s="251" t="n"/>
      <x:c r="N104" s="251">
        <x:f>IF($A104="","",IF($G104="","",IF(ISNUMBER(SEARCH("non",LOWER($E104&amp;""))),$G104*0.85,$G104)))</x:f>
      </x:c>
      <x:c r="O104" s="251">
        <x:f>IF($A104="","",IF(OR($N104="",$I104="",$I104=0),"",$N104/$I104))</x:f>
      </x:c>
      <x:c r="P104" s="251">
        <x:f>IF($A104="","",IF(LOWER($L104&amp;"")="yes",0,IF($K104&lt;&gt;"",$K104,IF($O104&lt;&gt;"",$O104,""))))</x:f>
      </x:c>
      <x:c r="Q104" s="254">
        <x:f>IF($A104="","",IF($U104="Profit",$P104-$H104,0))</x:f>
      </x:c>
      <x:c r="R104" s="251">
        <x:f>IF($A104="","",IF($U104="Draw",$H104,0))</x:f>
      </x:c>
      <x:c r="S104" s="251">
        <x:f>IF($A104="","",IF($U104="Disqualified",$H104,0))</x:f>
      </x:c>
      <x:c r="T104" s="255">
        <x:f>IF($A104="","",IF($H104=0,IF($U104="Profit","N/A",0),IF($U104="Profit",$Q104/$H104,IF($U104="Disqualified",-1,0))))</x:f>
      </x:c>
      <x:c r="U104" s="254">
        <x:f>IF($A104="","",IF(LOWER($L104&amp;"")="yes","Disqualified",IF($P104&gt;$H104,"Profit","Draw")))</x:f>
      </x:c>
      <x:c r="V104" s="253">
        <x:f>IF(OR($B104="",$C104=""),"",IFERROR(ROUNDUP((IF(ISNUMBER($C104),$C104,DATEVALUE($C104))-IF(ISNUMBER($B104),$B104,DATEVALUE($B104)))/7,0),""))</x:f>
      </x:c>
      <x:c r="W104" s="254">
        <x:f>$Q104-$S104</x:f>
      </x:c>
      <x:c r="X104" s="256">
        <x:f>IF(OR($J104="",$I104="",$J104=0,$I104=0,$I104&gt;$J104),"",$J104-$I104)</x:f>
      </x:c>
      <x:c r="Y104" s="257">
        <x:f>IF(OR($J104="",$J104=0,$X104=""),"",$X104/$J104)</x:f>
      </x:c>
    </x:row>
    <x:row r="105" s="106" customFormat="1" ht="21" customHeight="1">
      <x:c r="A105" s="54" t="n"/>
      <x:c r="B105" s="250" t="n"/>
      <x:c r="C105" s="250" t="n"/>
      <x:c r="D105" s="54" t="n"/>
      <x:c r="E105" s="251" t="n"/>
      <x:c r="F105" s="251" t="n"/>
      <x:c r="G105" s="251" t="n"/>
      <x:c r="H105" s="251" t="n"/>
      <x:c r="I105" s="252" t="n"/>
      <x:c r="J105" s="253" t="n"/>
      <x:c r="K105" s="254" t="n"/>
      <x:c r="L105" s="50" t="n"/>
      <x:c r="M105" s="251" t="n"/>
      <x:c r="N105" s="251">
        <x:f>IF($A105="","",IF($G105="","",IF(ISNUMBER(SEARCH("non",LOWER($E105&amp;""))),$G105*0.85,$G105)))</x:f>
      </x:c>
      <x:c r="O105" s="251">
        <x:f>IF($A105="","",IF(OR($N105="",$I105="",$I105=0),"",$N105/$I105))</x:f>
      </x:c>
      <x:c r="P105" s="251">
        <x:f>IF($A105="","",IF(LOWER($L105&amp;"")="yes",0,IF($K105&lt;&gt;"",$K105,IF($O105&lt;&gt;"",$O105,""))))</x:f>
      </x:c>
      <x:c r="Q105" s="254">
        <x:f>IF($A105="","",IF($U105="Profit",$P105-$H105,0))</x:f>
      </x:c>
      <x:c r="R105" s="251">
        <x:f>IF($A105="","",IF($U105="Draw",$H105,0))</x:f>
      </x:c>
      <x:c r="S105" s="251">
        <x:f>IF($A105="","",IF($U105="Disqualified",$H105,0))</x:f>
      </x:c>
      <x:c r="T105" s="255">
        <x:f>IF($A105="","",IF($H105=0,IF($U105="Profit","N/A",0),IF($U105="Profit",$Q105/$H105,IF($U105="Disqualified",-1,0))))</x:f>
      </x:c>
      <x:c r="U105" s="254">
        <x:f>IF($A105="","",IF(LOWER($L105&amp;"")="yes","Disqualified",IF($P105&gt;$H105,"Profit","Draw")))</x:f>
      </x:c>
      <x:c r="V105" s="253">
        <x:f>IF(OR($B105="",$C105=""),"",IFERROR(ROUNDUP((IF(ISNUMBER($C105),$C105,DATEVALUE($C105))-IF(ISNUMBER($B105),$B105,DATEVALUE($B105)))/7,0),""))</x:f>
      </x:c>
      <x:c r="W105" s="254">
        <x:f>$Q105-$S105</x:f>
      </x:c>
      <x:c r="X105" s="256">
        <x:f>IF(OR($J105="",$I105="",$J105=0,$I105=0,$I105&gt;$J105),"",$J105-$I105)</x:f>
      </x:c>
      <x:c r="Y105" s="257">
        <x:f>IF(OR($J105="",$J105=0,$X105=""),"",$X105/$J105)</x:f>
      </x:c>
    </x:row>
    <x:row r="106" s="106" customFormat="1" ht="21" customHeight="1">
      <x:c r="A106" s="54" t="n"/>
      <x:c r="B106" s="250" t="n"/>
      <x:c r="C106" s="250" t="n"/>
      <x:c r="D106" s="54" t="n"/>
      <x:c r="E106" s="251" t="n"/>
      <x:c r="F106" s="251" t="n"/>
      <x:c r="G106" s="251" t="n"/>
      <x:c r="H106" s="251" t="n"/>
      <x:c r="I106" s="252" t="n"/>
      <x:c r="J106" s="253" t="n"/>
      <x:c r="K106" s="254" t="n"/>
      <x:c r="L106" s="50" t="n"/>
      <x:c r="M106" s="251" t="n"/>
      <x:c r="N106" s="251">
        <x:f>IF($A106="","",IF($G106="","",IF(ISNUMBER(SEARCH("non",LOWER($E106&amp;""))),$G106*0.85,$G106)))</x:f>
      </x:c>
      <x:c r="O106" s="251">
        <x:f>IF($A106="","",IF(OR($N106="",$I106="",$I106=0),"",$N106/$I106))</x:f>
      </x:c>
      <x:c r="P106" s="251">
        <x:f>IF($A106="","",IF(LOWER($L106&amp;"")="yes",0,IF($K106&lt;&gt;"",$K106,IF($O106&lt;&gt;"",$O106,""))))</x:f>
      </x:c>
      <x:c r="Q106" s="254">
        <x:f>IF($A106="","",IF($U106="Profit",$P106-$H106,0))</x:f>
      </x:c>
      <x:c r="R106" s="251">
        <x:f>IF($A106="","",IF($U106="Draw",$H106,0))</x:f>
      </x:c>
      <x:c r="S106" s="251">
        <x:f>IF($A106="","",IF($U106="Disqualified",$H106,0))</x:f>
      </x:c>
      <x:c r="T106" s="255">
        <x:f>IF($A106="","",IF($H106=0,IF($U106="Profit","N/A",0),IF($U106="Profit",$Q106/$H106,IF($U106="Disqualified",-1,0))))</x:f>
      </x:c>
      <x:c r="U106" s="254">
        <x:f>IF($A106="","",IF(LOWER($L106&amp;"")="yes","Disqualified",IF($P106&gt;$H106,"Profit","Draw")))</x:f>
      </x:c>
      <x:c r="V106" s="253">
        <x:f>IF(OR($B106="",$C106=""),"",IFERROR(ROUNDUP((IF(ISNUMBER($C106),$C106,DATEVALUE($C106))-IF(ISNUMBER($B106),$B106,DATEVALUE($B106)))/7,0),""))</x:f>
      </x:c>
      <x:c r="W106" s="254">
        <x:f>$Q106-$S106</x:f>
      </x:c>
      <x:c r="X106" s="256">
        <x:f>IF(OR($J106="",$I106="",$J106=0,$I106=0,$I106&gt;$J106),"",$J106-$I106)</x:f>
      </x:c>
      <x:c r="Y106" s="257">
        <x:f>IF(OR($J106="",$J106=0,$X106=""),"",$X106/$J106)</x:f>
      </x:c>
    </x:row>
    <x:row r="107" s="106" customFormat="1" ht="21" customHeight="1">
      <x:c r="A107" s="54" t="n"/>
      <x:c r="B107" s="250" t="n"/>
      <x:c r="C107" s="250" t="n"/>
      <x:c r="D107" s="54" t="n"/>
      <x:c r="E107" s="251" t="n"/>
      <x:c r="F107" s="251" t="n"/>
      <x:c r="G107" s="251" t="n"/>
      <x:c r="H107" s="251" t="n"/>
      <x:c r="I107" s="252" t="n"/>
      <x:c r="J107" s="253" t="n"/>
      <x:c r="K107" s="254" t="n"/>
      <x:c r="L107" s="50" t="n"/>
      <x:c r="M107" s="251" t="n"/>
      <x:c r="N107" s="251">
        <x:f>IF($A107="","",IF($G107="","",IF(ISNUMBER(SEARCH("non",LOWER($E107&amp;""))),$G107*0.85,$G107)))</x:f>
      </x:c>
      <x:c r="O107" s="251">
        <x:f>IF($A107="","",IF(OR($N107="",$I107="",$I107=0),"",$N107/$I107))</x:f>
      </x:c>
      <x:c r="P107" s="251">
        <x:f>IF($A107="","",IF(LOWER($L107&amp;"")="yes",0,IF($K107&lt;&gt;"",$K107,IF($O107&lt;&gt;"",$O107,""))))</x:f>
      </x:c>
      <x:c r="Q107" s="254">
        <x:f>IF($A107="","",IF($U107="Profit",$P107-$H107,0))</x:f>
      </x:c>
      <x:c r="R107" s="251">
        <x:f>IF($A107="","",IF($U107="Draw",$H107,0))</x:f>
      </x:c>
      <x:c r="S107" s="251">
        <x:f>IF($A107="","",IF($U107="Disqualified",$H107,0))</x:f>
      </x:c>
      <x:c r="T107" s="255">
        <x:f>IF($A107="","",IF($H107=0,IF($U107="Profit","N/A",0),IF($U107="Profit",$Q107/$H107,IF($U107="Disqualified",-1,0))))</x:f>
      </x:c>
      <x:c r="U107" s="254">
        <x:f>IF($A107="","",IF(LOWER($L107&amp;"")="yes","Disqualified",IF($P107&gt;$H107,"Profit","Draw")))</x:f>
      </x:c>
      <x:c r="V107" s="253">
        <x:f>IF(OR($B107="",$C107=""),"",IFERROR(ROUNDUP((IF(ISNUMBER($C107),$C107,DATEVALUE($C107))-IF(ISNUMBER($B107),$B107,DATEVALUE($B107)))/7,0),""))</x:f>
      </x:c>
      <x:c r="W107" s="254">
        <x:f>$Q107-$S107</x:f>
      </x:c>
      <x:c r="X107" s="256">
        <x:f>IF(OR($J107="",$I107="",$J107=0,$I107=0,$I107&gt;$J107),"",$J107-$I107)</x:f>
      </x:c>
      <x:c r="Y107" s="257">
        <x:f>IF(OR($J107="",$J107=0,$X107=""),"",$X107/$J107)</x:f>
      </x:c>
    </x:row>
    <x:row r="108" s="106" customFormat="1" ht="21" customHeight="1">
      <x:c r="A108" s="54" t="n"/>
      <x:c r="B108" s="250" t="n"/>
      <x:c r="C108" s="250" t="n"/>
      <x:c r="D108" s="54" t="n"/>
      <x:c r="E108" s="251" t="n"/>
      <x:c r="F108" s="251" t="n"/>
      <x:c r="G108" s="251" t="n"/>
      <x:c r="H108" s="251" t="n"/>
      <x:c r="I108" s="252" t="n"/>
      <x:c r="J108" s="253" t="n"/>
      <x:c r="K108" s="254" t="n"/>
      <x:c r="L108" s="50" t="n"/>
      <x:c r="M108" s="251" t="n"/>
      <x:c r="N108" s="251">
        <x:f>IF($A108="","",IF($G108="","",IF(ISNUMBER(SEARCH("non",LOWER($E108&amp;""))),$G108*0.85,$G108)))</x:f>
      </x:c>
      <x:c r="O108" s="251">
        <x:f>IF($A108="","",IF(OR($N108="",$I108="",$I108=0),"",$N108/$I108))</x:f>
      </x:c>
      <x:c r="P108" s="251">
        <x:f>IF($A108="","",IF(LOWER($L108&amp;"")="yes",0,IF($K108&lt;&gt;"",$K108,IF($O108&lt;&gt;"",$O108,""))))</x:f>
      </x:c>
      <x:c r="Q108" s="254">
        <x:f>IF($A108="","",IF($U108="Profit",$P108-$H108,0))</x:f>
      </x:c>
      <x:c r="R108" s="251">
        <x:f>IF($A108="","",IF($U108="Draw",$H108,0))</x:f>
      </x:c>
      <x:c r="S108" s="251">
        <x:f>IF($A108="","",IF($U108="Disqualified",$H108,0))</x:f>
      </x:c>
      <x:c r="T108" s="255">
        <x:f>IF($A108="","",IF($H108=0,IF($U108="Profit","N/A",0),IF($U108="Profit",$Q108/$H108,IF($U108="Disqualified",-1,0))))</x:f>
      </x:c>
      <x:c r="U108" s="254">
        <x:f>IF($A108="","",IF(LOWER($L108&amp;"")="yes","Disqualified",IF($P108&gt;$H108,"Profit","Draw")))</x:f>
      </x:c>
      <x:c r="V108" s="253">
        <x:f>IF(OR($B108="",$C108=""),"",IFERROR(ROUNDUP((IF(ISNUMBER($C108),$C108,DATEVALUE($C108))-IF(ISNUMBER($B108),$B108,DATEVALUE($B108)))/7,0),""))</x:f>
      </x:c>
      <x:c r="W108" s="254">
        <x:f>$Q108-$S108</x:f>
      </x:c>
      <x:c r="X108" s="256">
        <x:f>IF(OR($J108="",$I108="",$J108=0,$I108=0,$I108&gt;$J108),"",$J108-$I108)</x:f>
      </x:c>
      <x:c r="Y108" s="257">
        <x:f>IF(OR($J108="",$J108=0,$X108=""),"",$X108/$J108)</x:f>
      </x:c>
    </x:row>
    <x:row r="109" s="106" customFormat="1" ht="21" customHeight="1">
      <x:c r="A109" s="54" t="n"/>
      <x:c r="B109" s="250" t="n"/>
      <x:c r="C109" s="250" t="n"/>
      <x:c r="D109" s="54" t="n"/>
      <x:c r="E109" s="251" t="n"/>
      <x:c r="F109" s="251" t="n"/>
      <x:c r="G109" s="251" t="n"/>
      <x:c r="H109" s="251" t="n"/>
      <x:c r="I109" s="252" t="n"/>
      <x:c r="J109" s="253" t="n"/>
      <x:c r="K109" s="254" t="n"/>
      <x:c r="L109" s="50" t="n"/>
      <x:c r="M109" s="251" t="n"/>
      <x:c r="N109" s="251">
        <x:f>IF($A109="","",IF($G109="","",IF(ISNUMBER(SEARCH("non",LOWER($E109&amp;""))),$G109*0.85,$G109)))</x:f>
      </x:c>
      <x:c r="O109" s="251">
        <x:f>IF($A109="","",IF(OR($N109="",$I109="",$I109=0),"",$N109/$I109))</x:f>
      </x:c>
      <x:c r="P109" s="251">
        <x:f>IF($A109="","",IF(LOWER($L109&amp;"")="yes",0,IF($K109&lt;&gt;"",$K109,IF($O109&lt;&gt;"",$O109,""))))</x:f>
      </x:c>
      <x:c r="Q109" s="254">
        <x:f>IF($A109="","",IF($U109="Profit",$P109-$H109,0))</x:f>
      </x:c>
      <x:c r="R109" s="251">
        <x:f>IF($A109="","",IF($U109="Draw",$H109,0))</x:f>
      </x:c>
      <x:c r="S109" s="251">
        <x:f>IF($A109="","",IF($U109="Disqualified",$H109,0))</x:f>
      </x:c>
      <x:c r="T109" s="255">
        <x:f>IF($A109="","",IF($H109=0,IF($U109="Profit","N/A",0),IF($U109="Profit",$Q109/$H109,IF($U109="Disqualified",-1,0))))</x:f>
      </x:c>
      <x:c r="U109" s="254">
        <x:f>IF($A109="","",IF(LOWER($L109&amp;"")="yes","Disqualified",IF($P109&gt;$H109,"Profit","Draw")))</x:f>
      </x:c>
      <x:c r="V109" s="253">
        <x:f>IF(OR($B109="",$C109=""),"",IFERROR(ROUNDUP((IF(ISNUMBER($C109),$C109,DATEVALUE($C109))-IF(ISNUMBER($B109),$B109,DATEVALUE($B109)))/7,0),""))</x:f>
      </x:c>
      <x:c r="W109" s="254">
        <x:f>$Q109-$S109</x:f>
      </x:c>
      <x:c r="X109" s="256">
        <x:f>IF(OR($J109="",$I109="",$J109=0,$I109=0,$I109&gt;$J109),"",$J109-$I109)</x:f>
      </x:c>
      <x:c r="Y109" s="257">
        <x:f>IF(OR($J109="",$J109=0,$X109=""),"",$X109/$J109)</x:f>
      </x:c>
    </x:row>
    <x:row r="110" s="106" customFormat="1" ht="21" customHeight="1">
      <x:c r="A110" s="54" t="n"/>
      <x:c r="B110" s="250" t="n"/>
      <x:c r="C110" s="250" t="n"/>
      <x:c r="D110" s="54" t="n"/>
      <x:c r="E110" s="251" t="n"/>
      <x:c r="F110" s="251" t="n"/>
      <x:c r="G110" s="251" t="n"/>
      <x:c r="H110" s="251" t="n"/>
      <x:c r="I110" s="252" t="n"/>
      <x:c r="J110" s="253" t="n"/>
      <x:c r="K110" s="254" t="n"/>
      <x:c r="L110" s="50" t="n"/>
      <x:c r="M110" s="251" t="n"/>
      <x:c r="N110" s="251">
        <x:f>IF($A110="","",IF($G110="","",IF(ISNUMBER(SEARCH("non",LOWER($E110&amp;""))),$G110*0.85,$G110)))</x:f>
      </x:c>
      <x:c r="O110" s="251">
        <x:f>IF($A110="","",IF(OR($N110="",$I110="",$I110=0),"",$N110/$I110))</x:f>
      </x:c>
      <x:c r="P110" s="251">
        <x:f>IF($A110="","",IF(LOWER($L110&amp;"")="yes",0,IF($K110&lt;&gt;"",$K110,IF($O110&lt;&gt;"",$O110,""))))</x:f>
      </x:c>
      <x:c r="Q110" s="254">
        <x:f>IF($A110="","",IF($U110="Profit",$P110-$H110,0))</x:f>
      </x:c>
      <x:c r="R110" s="251">
        <x:f>IF($A110="","",IF($U110="Draw",$H110,0))</x:f>
      </x:c>
      <x:c r="S110" s="251">
        <x:f>IF($A110="","",IF($U110="Disqualified",$H110,0))</x:f>
      </x:c>
      <x:c r="T110" s="255">
        <x:f>IF($A110="","",IF($H110=0,IF($U110="Profit","N/A",0),IF($U110="Profit",$Q110/$H110,IF($U110="Disqualified",-1,0))))</x:f>
      </x:c>
      <x:c r="U110" s="254">
        <x:f>IF($A110="","",IF(LOWER($L110&amp;"")="yes","Disqualified",IF($P110&gt;$H110,"Profit","Draw")))</x:f>
      </x:c>
      <x:c r="V110" s="253">
        <x:f>IF(OR($B110="",$C110=""),"",IFERROR(ROUNDUP((IF(ISNUMBER($C110),$C110,DATEVALUE($C110))-IF(ISNUMBER($B110),$B110,DATEVALUE($B110)))/7,0),""))</x:f>
      </x:c>
      <x:c r="W110" s="254">
        <x:f>$Q110-$S110</x:f>
      </x:c>
      <x:c r="X110" s="256">
        <x:f>IF(OR($J110="",$I110="",$J110=0,$I110=0,$I110&gt;$J110),"",$J110-$I110)</x:f>
      </x:c>
      <x:c r="Y110" s="257">
        <x:f>IF(OR($J110="",$J110=0,$X110=""),"",$X110/$J110)</x:f>
      </x:c>
    </x:row>
    <x:row r="111" s="106" customFormat="1" ht="21" customHeight="1">
      <x:c r="A111" s="54" t="n"/>
      <x:c r="B111" s="250" t="n"/>
      <x:c r="C111" s="250" t="n"/>
      <x:c r="D111" s="54" t="n"/>
      <x:c r="E111" s="251" t="n"/>
      <x:c r="F111" s="251" t="n"/>
      <x:c r="G111" s="251" t="n"/>
      <x:c r="H111" s="251" t="n"/>
      <x:c r="I111" s="252" t="n"/>
      <x:c r="J111" s="253" t="n"/>
      <x:c r="K111" s="254" t="n"/>
      <x:c r="L111" s="50" t="n"/>
      <x:c r="M111" s="251" t="n"/>
      <x:c r="N111" s="251">
        <x:f>IF($A111="","",IF($G111="","",IF(ISNUMBER(SEARCH("non",LOWER($E111&amp;""))),$G111*0.85,$G111)))</x:f>
      </x:c>
      <x:c r="O111" s="251">
        <x:f>IF($A111="","",IF(OR($N111="",$I111="",$I111=0),"",$N111/$I111))</x:f>
      </x:c>
      <x:c r="P111" s="251">
        <x:f>IF($A111="","",IF(LOWER($L111&amp;"")="yes",0,IF($K111&lt;&gt;"",$K111,IF($O111&lt;&gt;"",$O111,""))))</x:f>
      </x:c>
      <x:c r="Q111" s="254">
        <x:f>IF($A111="","",IF($U111="Profit",$P111-$H111,0))</x:f>
      </x:c>
      <x:c r="R111" s="251">
        <x:f>IF($A111="","",IF($U111="Draw",$H111,0))</x:f>
      </x:c>
      <x:c r="S111" s="251">
        <x:f>IF($A111="","",IF($U111="Disqualified",$H111,0))</x:f>
      </x:c>
      <x:c r="T111" s="255">
        <x:f>IF($A111="","",IF($H111=0,IF($U111="Profit","N/A",0),IF($U111="Profit",$Q111/$H111,IF($U111="Disqualified",-1,0))))</x:f>
      </x:c>
      <x:c r="U111" s="254">
        <x:f>IF($A111="","",IF(LOWER($L111&amp;"")="yes","Disqualified",IF($P111&gt;$H111,"Profit","Draw")))</x:f>
      </x:c>
      <x:c r="V111" s="253">
        <x:f>IF(OR($B111="",$C111=""),"",IFERROR(ROUNDUP((IF(ISNUMBER($C111),$C111,DATEVALUE($C111))-IF(ISNUMBER($B111),$B111,DATEVALUE($B111)))/7,0),""))</x:f>
      </x:c>
      <x:c r="W111" s="254">
        <x:f>$Q111-$S111</x:f>
      </x:c>
      <x:c r="X111" s="256">
        <x:f>IF(OR($J111="",$I111="",$J111=0,$I111=0,$I111&gt;$J111),"",$J111-$I111)</x:f>
      </x:c>
      <x:c r="Y111" s="257">
        <x:f>IF(OR($J111="",$J111=0,$X111=""),"",$X111/$J111)</x:f>
      </x:c>
    </x:row>
    <x:row r="112" s="106" customFormat="1" ht="21" customHeight="1">
      <x:c r="A112" s="54" t="n"/>
      <x:c r="B112" s="250" t="n"/>
      <x:c r="C112" s="250" t="n"/>
      <x:c r="D112" s="54" t="n"/>
      <x:c r="E112" s="251" t="n"/>
      <x:c r="F112" s="251" t="n"/>
      <x:c r="G112" s="251" t="n"/>
      <x:c r="H112" s="251" t="n"/>
      <x:c r="I112" s="252" t="n"/>
      <x:c r="J112" s="253" t="n"/>
      <x:c r="K112" s="254" t="n"/>
      <x:c r="L112" s="50" t="n"/>
      <x:c r="M112" s="251" t="n"/>
      <x:c r="N112" s="251">
        <x:f>IF($A112="","",IF($G112="","",IF(ISNUMBER(SEARCH("non",LOWER($E112&amp;""))),$G112*0.85,$G112)))</x:f>
      </x:c>
      <x:c r="O112" s="251">
        <x:f>IF($A112="","",IF(OR($N112="",$I112="",$I112=0),"",$N112/$I112))</x:f>
      </x:c>
      <x:c r="P112" s="251">
        <x:f>IF($A112="","",IF(LOWER($L112&amp;"")="yes",0,IF($K112&lt;&gt;"",$K112,IF($O112&lt;&gt;"",$O112,""))))</x:f>
      </x:c>
      <x:c r="Q112" s="254">
        <x:f>IF($A112="","",IF($U112="Profit",$P112-$H112,0))</x:f>
      </x:c>
      <x:c r="R112" s="251">
        <x:f>IF($A112="","",IF($U112="Draw",$H112,0))</x:f>
      </x:c>
      <x:c r="S112" s="251">
        <x:f>IF($A112="","",IF($U112="Disqualified",$H112,0))</x:f>
      </x:c>
      <x:c r="T112" s="255">
        <x:f>IF($A112="","",IF($H112=0,IF($U112="Profit","N/A",0),IF($U112="Profit",$Q112/$H112,IF($U112="Disqualified",-1,0))))</x:f>
      </x:c>
      <x:c r="U112" s="254">
        <x:f>IF($A112="","",IF(LOWER($L112&amp;"")="yes","Disqualified",IF($P112&gt;$H112,"Profit","Draw")))</x:f>
      </x:c>
      <x:c r="V112" s="253">
        <x:f>IF(OR($B112="",$C112=""),"",IFERROR(ROUNDUP((IF(ISNUMBER($C112),$C112,DATEVALUE($C112))-IF(ISNUMBER($B112),$B112,DATEVALUE($B112)))/7,0),""))</x:f>
      </x:c>
      <x:c r="W112" s="254">
        <x:f>$Q112-$S112</x:f>
      </x:c>
      <x:c r="X112" s="256">
        <x:f>IF(OR($J112="",$I112="",$J112=0,$I112=0,$I112&gt;$J112),"",$J112-$I112)</x:f>
      </x:c>
      <x:c r="Y112" s="257">
        <x:f>IF(OR($J112="",$J112=0,$X112=""),"",$X112/$J112)</x:f>
      </x:c>
    </x:row>
    <x:row r="113" s="106" customFormat="1" ht="21" customHeight="1">
      <x:c r="A113" s="54" t="n"/>
      <x:c r="B113" s="250" t="n"/>
      <x:c r="C113" s="250" t="n"/>
      <x:c r="D113" s="54" t="n"/>
      <x:c r="E113" s="251" t="n"/>
      <x:c r="F113" s="251" t="n"/>
      <x:c r="G113" s="251" t="n"/>
      <x:c r="H113" s="251" t="n"/>
      <x:c r="I113" s="252" t="n"/>
      <x:c r="J113" s="253" t="n"/>
      <x:c r="K113" s="254" t="n"/>
      <x:c r="L113" s="50" t="n"/>
      <x:c r="M113" s="251" t="n"/>
      <x:c r="N113" s="251">
        <x:f>IF($A113="","",IF($G113="","",IF(ISNUMBER(SEARCH("non",LOWER($E113&amp;""))),$G113*0.85,$G113)))</x:f>
      </x:c>
      <x:c r="O113" s="251">
        <x:f>IF($A113="","",IF(OR($N113="",$I113="",$I113=0),"",$N113/$I113))</x:f>
      </x:c>
      <x:c r="P113" s="251">
        <x:f>IF($A113="","",IF(LOWER($L113&amp;"")="yes",0,IF($K113&lt;&gt;"",$K113,IF($O113&lt;&gt;"",$O113,""))))</x:f>
      </x:c>
      <x:c r="Q113" s="254">
        <x:f>IF($A113="","",IF($U113="Profit",$P113-$H113,0))</x:f>
      </x:c>
      <x:c r="R113" s="251">
        <x:f>IF($A113="","",IF($U113="Draw",$H113,0))</x:f>
      </x:c>
      <x:c r="S113" s="251">
        <x:f>IF($A113="","",IF($U113="Disqualified",$H113,0))</x:f>
      </x:c>
      <x:c r="T113" s="255">
        <x:f>IF($A113="","",IF($H113=0,IF($U113="Profit","N/A",0),IF($U113="Profit",$Q113/$H113,IF($U113="Disqualified",-1,0))))</x:f>
      </x:c>
      <x:c r="U113" s="254">
        <x:f>IF($A113="","",IF(LOWER($L113&amp;"")="yes","Disqualified",IF($P113&gt;$H113,"Profit","Draw")))</x:f>
      </x:c>
      <x:c r="V113" s="253">
        <x:f>IF(OR($B113="",$C113=""),"",IFERROR(ROUNDUP((IF(ISNUMBER($C113),$C113,DATEVALUE($C113))-IF(ISNUMBER($B113),$B113,DATEVALUE($B113)))/7,0),""))</x:f>
      </x:c>
      <x:c r="W113" s="254">
        <x:f>$Q113-$S113</x:f>
      </x:c>
      <x:c r="X113" s="256">
        <x:f>IF(OR($J113="",$I113="",$J113=0,$I113=0,$I113&gt;$J113),"",$J113-$I113)</x:f>
      </x:c>
      <x:c r="Y113" s="257">
        <x:f>IF(OR($J113="",$J113=0,$X113=""),"",$X113/$J113)</x:f>
      </x:c>
    </x:row>
    <x:row r="114" s="106" customFormat="1" ht="21" customHeight="1">
      <x:c r="A114" s="54" t="n"/>
      <x:c r="B114" s="250" t="n"/>
      <x:c r="C114" s="250" t="n"/>
      <x:c r="D114" s="54" t="n"/>
      <x:c r="E114" s="251" t="n"/>
      <x:c r="F114" s="251" t="n"/>
      <x:c r="G114" s="251" t="n"/>
      <x:c r="H114" s="251" t="n"/>
      <x:c r="I114" s="252" t="n"/>
      <x:c r="J114" s="253" t="n"/>
      <x:c r="K114" s="254" t="n"/>
      <x:c r="L114" s="50" t="n"/>
      <x:c r="M114" s="251" t="n"/>
      <x:c r="N114" s="251">
        <x:f>IF($A114="","",IF($G114="","",IF(ISNUMBER(SEARCH("non",LOWER($E114&amp;""))),$G114*0.85,$G114)))</x:f>
      </x:c>
      <x:c r="O114" s="251">
        <x:f>IF($A114="","",IF(OR($N114="",$I114="",$I114=0),"",$N114/$I114))</x:f>
      </x:c>
      <x:c r="P114" s="251">
        <x:f>IF($A114="","",IF(LOWER($L114&amp;"")="yes",0,IF($K114&lt;&gt;"",$K114,IF($O114&lt;&gt;"",$O114,""))))</x:f>
      </x:c>
      <x:c r="Q114" s="254">
        <x:f>IF($A114="","",IF($U114="Profit",$P114-$H114,0))</x:f>
      </x:c>
      <x:c r="R114" s="251">
        <x:f>IF($A114="","",IF($U114="Draw",$H114,0))</x:f>
      </x:c>
      <x:c r="S114" s="251">
        <x:f>IF($A114="","",IF($U114="Disqualified",$H114,0))</x:f>
      </x:c>
      <x:c r="T114" s="255">
        <x:f>IF($A114="","",IF($H114=0,IF($U114="Profit","N/A",0),IF($U114="Profit",$Q114/$H114,IF($U114="Disqualified",-1,0))))</x:f>
      </x:c>
      <x:c r="U114" s="254">
        <x:f>IF($A114="","",IF(LOWER($L114&amp;"")="yes","Disqualified",IF($P114&gt;$H114,"Profit","Draw")))</x:f>
      </x:c>
      <x:c r="V114" s="253">
        <x:f>IF(OR($B114="",$C114=""),"",IFERROR(ROUNDUP((IF(ISNUMBER($C114),$C114,DATEVALUE($C114))-IF(ISNUMBER($B114),$B114,DATEVALUE($B114)))/7,0),""))</x:f>
      </x:c>
      <x:c r="W114" s="254">
        <x:f>$Q114-$S114</x:f>
      </x:c>
      <x:c r="X114" s="256">
        <x:f>IF(OR($J114="",$I114="",$J114=0,$I114=0,$I114&gt;$J114),"",$J114-$I114)</x:f>
      </x:c>
      <x:c r="Y114" s="257">
        <x:f>IF(OR($J114="",$J114=0,$X114=""),"",$X114/$J114)</x:f>
      </x:c>
    </x:row>
    <x:row r="115" s="106" customFormat="1" ht="21" customHeight="1">
      <x:c r="A115" s="54" t="n"/>
      <x:c r="B115" s="250" t="n"/>
      <x:c r="C115" s="250" t="n"/>
      <x:c r="D115" s="54" t="n"/>
      <x:c r="E115" s="251" t="n"/>
      <x:c r="F115" s="251" t="n"/>
      <x:c r="G115" s="251" t="n"/>
      <x:c r="H115" s="251" t="n"/>
      <x:c r="I115" s="252" t="n"/>
      <x:c r="J115" s="253" t="n"/>
      <x:c r="K115" s="254" t="n"/>
      <x:c r="L115" s="50" t="n"/>
      <x:c r="M115" s="251" t="n"/>
      <x:c r="N115" s="251">
        <x:f>IF($A115="","",IF($G115="","",IF(ISNUMBER(SEARCH("non",LOWER($E115&amp;""))),$G115*0.85,$G115)))</x:f>
      </x:c>
      <x:c r="O115" s="251">
        <x:f>IF($A115="","",IF(OR($N115="",$I115="",$I115=0),"",$N115/$I115))</x:f>
      </x:c>
      <x:c r="P115" s="251">
        <x:f>IF($A115="","",IF(LOWER($L115&amp;"")="yes",0,IF($K115&lt;&gt;"",$K115,IF($O115&lt;&gt;"",$O115,""))))</x:f>
      </x:c>
      <x:c r="Q115" s="254">
        <x:f>IF($A115="","",IF($U115="Profit",$P115-$H115,0))</x:f>
      </x:c>
      <x:c r="R115" s="251">
        <x:f>IF($A115="","",IF($U115="Draw",$H115,0))</x:f>
      </x:c>
      <x:c r="S115" s="251">
        <x:f>IF($A115="","",IF($U115="Disqualified",$H115,0))</x:f>
      </x:c>
      <x:c r="T115" s="255">
        <x:f>IF($A115="","",IF($H115=0,IF($U115="Profit","N/A",0),IF($U115="Profit",$Q115/$H115,IF($U115="Disqualified",-1,0))))</x:f>
      </x:c>
      <x:c r="U115" s="254">
        <x:f>IF($A115="","",IF(LOWER($L115&amp;"")="yes","Disqualified",IF($P115&gt;$H115,"Profit","Draw")))</x:f>
      </x:c>
      <x:c r="V115" s="253">
        <x:f>IF(OR($B115="",$C115=""),"",IFERROR(ROUNDUP((IF(ISNUMBER($C115),$C115,DATEVALUE($C115))-IF(ISNUMBER($B115),$B115,DATEVALUE($B115)))/7,0),""))</x:f>
      </x:c>
      <x:c r="W115" s="254">
        <x:f>$Q115-$S115</x:f>
      </x:c>
      <x:c r="X115" s="256">
        <x:f>IF(OR($J115="",$I115="",$J115=0,$I115=0,$I115&gt;$J115),"",$J115-$I115)</x:f>
      </x:c>
      <x:c r="Y115" s="257">
        <x:f>IF(OR($J115="",$J115=0,$X115=""),"",$X115/$J115)</x:f>
      </x:c>
    </x:row>
    <x:row r="116" s="106" customFormat="1" ht="21" customHeight="1">
      <x:c r="A116" s="54" t="n"/>
      <x:c r="B116" s="250" t="n"/>
      <x:c r="C116" s="250" t="n"/>
      <x:c r="D116" s="54" t="n"/>
      <x:c r="E116" s="251" t="n"/>
      <x:c r="F116" s="251" t="n"/>
      <x:c r="G116" s="251" t="n"/>
      <x:c r="H116" s="251" t="n"/>
      <x:c r="I116" s="252" t="n"/>
      <x:c r="J116" s="253" t="n"/>
      <x:c r="K116" s="254" t="n"/>
      <x:c r="L116" s="50" t="n"/>
      <x:c r="M116" s="251" t="n"/>
      <x:c r="N116" s="251">
        <x:f>IF($A116="","",IF($G116="","",IF(ISNUMBER(SEARCH("non",LOWER($E116&amp;""))),$G116*0.85,$G116)))</x:f>
      </x:c>
      <x:c r="O116" s="251">
        <x:f>IF($A116="","",IF(OR($N116="",$I116="",$I116=0),"",$N116/$I116))</x:f>
      </x:c>
      <x:c r="P116" s="251">
        <x:f>IF($A116="","",IF(LOWER($L116&amp;"")="yes",0,IF($K116&lt;&gt;"",$K116,IF($O116&lt;&gt;"",$O116,""))))</x:f>
      </x:c>
      <x:c r="Q116" s="254">
        <x:f>IF($A116="","",IF($U116="Profit",$P116-$H116,0))</x:f>
      </x:c>
      <x:c r="R116" s="251">
        <x:f>IF($A116="","",IF($U116="Draw",$H116,0))</x:f>
      </x:c>
      <x:c r="S116" s="251">
        <x:f>IF($A116="","",IF($U116="Disqualified",$H116,0))</x:f>
      </x:c>
      <x:c r="T116" s="255">
        <x:f>IF($A116="","",IF($H116=0,IF($U116="Profit","N/A",0),IF($U116="Profit",$Q116/$H116,IF($U116="Disqualified",-1,0))))</x:f>
      </x:c>
      <x:c r="U116" s="254">
        <x:f>IF($A116="","",IF(LOWER($L116&amp;"")="yes","Disqualified",IF($P116&gt;$H116,"Profit","Draw")))</x:f>
      </x:c>
      <x:c r="V116" s="253">
        <x:f>IF(OR($B116="",$C116=""),"",IFERROR(ROUNDUP((IF(ISNUMBER($C116),$C116,DATEVALUE($C116))-IF(ISNUMBER($B116),$B116,DATEVALUE($B116)))/7,0),""))</x:f>
      </x:c>
      <x:c r="W116" s="254">
        <x:f>$Q116-$S116</x:f>
      </x:c>
      <x:c r="X116" s="256">
        <x:f>IF(OR($J116="",$I116="",$J116=0,$I116=0,$I116&gt;$J116),"",$J116-$I116)</x:f>
      </x:c>
      <x:c r="Y116" s="257">
        <x:f>IF(OR($J116="",$J116=0,$X116=""),"",$X116/$J116)</x:f>
      </x:c>
    </x:row>
    <x:row r="117" s="106" customFormat="1" ht="21" customHeight="1">
      <x:c r="A117" s="54" t="n"/>
      <x:c r="B117" s="250" t="n"/>
      <x:c r="C117" s="250" t="n"/>
      <x:c r="D117" s="54" t="n"/>
      <x:c r="E117" s="251" t="n"/>
      <x:c r="F117" s="251" t="n"/>
      <x:c r="G117" s="251" t="n"/>
      <x:c r="H117" s="251" t="n"/>
      <x:c r="I117" s="252" t="n"/>
      <x:c r="J117" s="253" t="n"/>
      <x:c r="K117" s="254" t="n"/>
      <x:c r="L117" s="50" t="n"/>
      <x:c r="M117" s="251" t="n"/>
      <x:c r="N117" s="251">
        <x:f>IF($A117="","",IF($G117="","",IF(ISNUMBER(SEARCH("non",LOWER($E117&amp;""))),$G117*0.85,$G117)))</x:f>
      </x:c>
      <x:c r="O117" s="251">
        <x:f>IF($A117="","",IF(OR($N117="",$I117="",$I117=0),"",$N117/$I117))</x:f>
      </x:c>
      <x:c r="P117" s="251">
        <x:f>IF($A117="","",IF(LOWER($L117&amp;"")="yes",0,IF($K117&lt;&gt;"",$K117,IF($O117&lt;&gt;"",$O117,""))))</x:f>
      </x:c>
      <x:c r="Q117" s="254">
        <x:f>IF($A117="","",IF($U117="Profit",$P117-$H117,0))</x:f>
      </x:c>
      <x:c r="R117" s="251">
        <x:f>IF($A117="","",IF($U117="Draw",$H117,0))</x:f>
      </x:c>
      <x:c r="S117" s="251">
        <x:f>IF($A117="","",IF($U117="Disqualified",$H117,0))</x:f>
      </x:c>
      <x:c r="T117" s="255">
        <x:f>IF($A117="","",IF($H117=0,IF($U117="Profit","N/A",0),IF($U117="Profit",$Q117/$H117,IF($U117="Disqualified",-1,0))))</x:f>
      </x:c>
      <x:c r="U117" s="254">
        <x:f>IF($A117="","",IF(LOWER($L117&amp;"")="yes","Disqualified",IF($P117&gt;$H117,"Profit","Draw")))</x:f>
      </x:c>
      <x:c r="V117" s="253">
        <x:f>IF(OR($B117="",$C117=""),"",IFERROR(ROUNDUP((IF(ISNUMBER($C117),$C117,DATEVALUE($C117))-IF(ISNUMBER($B117),$B117,DATEVALUE($B117)))/7,0),""))</x:f>
      </x:c>
      <x:c r="W117" s="254">
        <x:f>$Q117-$S117</x:f>
      </x:c>
      <x:c r="X117" s="256">
        <x:f>IF(OR($J117="",$I117="",$J117=0,$I117=0,$I117&gt;$J117),"",$J117-$I117)</x:f>
      </x:c>
      <x:c r="Y117" s="257">
        <x:f>IF(OR($J117="",$J117=0,$X117=""),"",$X117/$J117)</x:f>
      </x:c>
    </x:row>
    <x:row r="118" s="106" customFormat="1" ht="21" customHeight="1">
      <x:c r="A118" s="54" t="n"/>
      <x:c r="B118" s="250" t="n"/>
      <x:c r="C118" s="250" t="n"/>
      <x:c r="D118" s="54" t="n"/>
      <x:c r="E118" s="251" t="n"/>
      <x:c r="F118" s="251" t="n"/>
      <x:c r="G118" s="251" t="n"/>
      <x:c r="H118" s="251" t="n"/>
      <x:c r="I118" s="252" t="n"/>
      <x:c r="J118" s="253" t="n"/>
      <x:c r="K118" s="254" t="n"/>
      <x:c r="L118" s="50" t="n"/>
      <x:c r="M118" s="251" t="n"/>
      <x:c r="N118" s="251">
        <x:f>IF($A118="","",IF($G118="","",IF(ISNUMBER(SEARCH("non",LOWER($E118&amp;""))),$G118*0.85,$G118)))</x:f>
      </x:c>
      <x:c r="O118" s="251">
        <x:f>IF($A118="","",IF(OR($N118="",$I118="",$I118=0),"",$N118/$I118))</x:f>
      </x:c>
      <x:c r="P118" s="251">
        <x:f>IF($A118="","",IF(LOWER($L118&amp;"")="yes",0,IF($K118&lt;&gt;"",$K118,IF($O118&lt;&gt;"",$O118,""))))</x:f>
      </x:c>
      <x:c r="Q118" s="254">
        <x:f>IF($A118="","",IF($U118="Profit",$P118-$H118,0))</x:f>
      </x:c>
      <x:c r="R118" s="251">
        <x:f>IF($A118="","",IF($U118="Draw",$H118,0))</x:f>
      </x:c>
      <x:c r="S118" s="251">
        <x:f>IF($A118="","",IF($U118="Disqualified",$H118,0))</x:f>
      </x:c>
      <x:c r="T118" s="255">
        <x:f>IF($A118="","",IF($H118=0,IF($U118="Profit","N/A",0),IF($U118="Profit",$Q118/$H118,IF($U118="Disqualified",-1,0))))</x:f>
      </x:c>
      <x:c r="U118" s="254">
        <x:f>IF($A118="","",IF(LOWER($L118&amp;"")="yes","Disqualified",IF($P118&gt;$H118,"Profit","Draw")))</x:f>
      </x:c>
      <x:c r="V118" s="253">
        <x:f>IF(OR($B118="",$C118=""),"",IFERROR(ROUNDUP((IF(ISNUMBER($C118),$C118,DATEVALUE($C118))-IF(ISNUMBER($B118),$B118,DATEVALUE($B118)))/7,0),""))</x:f>
      </x:c>
      <x:c r="W118" s="254">
        <x:f>$Q118-$S118</x:f>
      </x:c>
      <x:c r="X118" s="256">
        <x:f>IF(OR($J118="",$I118="",$J118=0,$I118=0,$I118&gt;$J118),"",$J118-$I118)</x:f>
      </x:c>
      <x:c r="Y118" s="257">
        <x:f>IF(OR($J118="",$J118=0,$X118=""),"",$X118/$J118)</x:f>
      </x:c>
    </x:row>
    <x:row r="119" s="106" customFormat="1" ht="21" customHeight="1">
      <x:c r="A119" s="54" t="n"/>
      <x:c r="B119" s="250" t="n"/>
      <x:c r="C119" s="250" t="n"/>
      <x:c r="D119" s="54" t="n"/>
      <x:c r="E119" s="251" t="n"/>
      <x:c r="F119" s="251" t="n"/>
      <x:c r="G119" s="251" t="n"/>
      <x:c r="H119" s="251" t="n"/>
      <x:c r="I119" s="252" t="n"/>
      <x:c r="J119" s="253" t="n"/>
      <x:c r="K119" s="254" t="n"/>
      <x:c r="L119" s="50" t="n"/>
      <x:c r="M119" s="251" t="n"/>
      <x:c r="N119" s="251">
        <x:f>IF($A119="","",IF($G119="","",IF(ISNUMBER(SEARCH("non",LOWER($E119&amp;""))),$G119*0.85,$G119)))</x:f>
      </x:c>
      <x:c r="O119" s="251">
        <x:f>IF($A119="","",IF(OR($N119="",$I119="",$I119=0),"",$N119/$I119))</x:f>
      </x:c>
      <x:c r="P119" s="251">
        <x:f>IF($A119="","",IF(LOWER($L119&amp;"")="yes",0,IF($K119&lt;&gt;"",$K119,IF($O119&lt;&gt;"",$O119,""))))</x:f>
      </x:c>
      <x:c r="Q119" s="254">
        <x:f>IF($A119="","",IF($U119="Profit",$P119-$H119,0))</x:f>
      </x:c>
      <x:c r="R119" s="251">
        <x:f>IF($A119="","",IF($U119="Draw",$H119,0))</x:f>
      </x:c>
      <x:c r="S119" s="251">
        <x:f>IF($A119="","",IF($U119="Disqualified",$H119,0))</x:f>
      </x:c>
      <x:c r="T119" s="255">
        <x:f>IF($A119="","",IF($H119=0,IF($U119="Profit","N/A",0),IF($U119="Profit",$Q119/$H119,IF($U119="Disqualified",-1,0))))</x:f>
      </x:c>
      <x:c r="U119" s="254">
        <x:f>IF($A119="","",IF(LOWER($L119&amp;"")="yes","Disqualified",IF($P119&gt;$H119,"Profit","Draw")))</x:f>
      </x:c>
      <x:c r="V119" s="253">
        <x:f>IF(OR($B119="",$C119=""),"",IFERROR(ROUNDUP((IF(ISNUMBER($C119),$C119,DATEVALUE($C119))-IF(ISNUMBER($B119),$B119,DATEVALUE($B119)))/7,0),""))</x:f>
      </x:c>
      <x:c r="W119" s="254">
        <x:f>$Q119-$S119</x:f>
      </x:c>
      <x:c r="X119" s="256">
        <x:f>IF(OR($J119="",$I119="",$J119=0,$I119=0,$I119&gt;$J119),"",$J119-$I119)</x:f>
      </x:c>
      <x:c r="Y119" s="257">
        <x:f>IF(OR($J119="",$J119=0,$X119=""),"",$X119/$J119)</x:f>
      </x:c>
    </x:row>
    <x:row r="120" s="106" customFormat="1" ht="21" customHeight="1">
      <x:c r="A120" s="54" t="n"/>
      <x:c r="B120" s="250" t="n"/>
      <x:c r="C120" s="250" t="n"/>
      <x:c r="D120" s="54" t="n"/>
      <x:c r="E120" s="251" t="n"/>
      <x:c r="F120" s="251" t="n"/>
      <x:c r="G120" s="251" t="n"/>
      <x:c r="H120" s="251" t="n"/>
      <x:c r="I120" s="252" t="n"/>
      <x:c r="J120" s="253" t="n"/>
      <x:c r="K120" s="254" t="n"/>
      <x:c r="L120" s="50" t="n"/>
      <x:c r="M120" s="251" t="n"/>
      <x:c r="N120" s="251">
        <x:f>IF($A120="","",IF($G120="","",IF(ISNUMBER(SEARCH("non",LOWER($E120&amp;""))),$G120*0.85,$G120)))</x:f>
      </x:c>
      <x:c r="O120" s="251">
        <x:f>IF($A120="","",IF(OR($N120="",$I120="",$I120=0),"",$N120/$I120))</x:f>
      </x:c>
      <x:c r="P120" s="251">
        <x:f>IF($A120="","",IF(LOWER($L120&amp;"")="yes",0,IF($K120&lt;&gt;"",$K120,IF($O120&lt;&gt;"",$O120,""))))</x:f>
      </x:c>
      <x:c r="Q120" s="254">
        <x:f>IF($A120="","",IF($U120="Profit",$P120-$H120,0))</x:f>
      </x:c>
      <x:c r="R120" s="251">
        <x:f>IF($A120="","",IF($U120="Draw",$H120,0))</x:f>
      </x:c>
      <x:c r="S120" s="251">
        <x:f>IF($A120="","",IF($U120="Disqualified",$H120,0))</x:f>
      </x:c>
      <x:c r="T120" s="255">
        <x:f>IF($A120="","",IF($H120=0,IF($U120="Profit","N/A",0),IF($U120="Profit",$Q120/$H120,IF($U120="Disqualified",-1,0))))</x:f>
      </x:c>
      <x:c r="U120" s="254">
        <x:f>IF($A120="","",IF(LOWER($L120&amp;"")="yes","Disqualified",IF($P120&gt;$H120,"Profit","Draw")))</x:f>
      </x:c>
      <x:c r="V120" s="253">
        <x:f>IF(OR($B120="",$C120=""),"",IFERROR(ROUNDUP((IF(ISNUMBER($C120),$C120,DATEVALUE($C120))-IF(ISNUMBER($B120),$B120,DATEVALUE($B120)))/7,0),""))</x:f>
      </x:c>
      <x:c r="W120" s="254">
        <x:f>$Q120-$S120</x:f>
      </x:c>
      <x:c r="X120" s="256">
        <x:f>IF(OR($J120="",$I120="",$J120=0,$I120=0,$I120&gt;$J120),"",$J120-$I120)</x:f>
      </x:c>
      <x:c r="Y120" s="257">
        <x:f>IF(OR($J120="",$J120=0,$X120=""),"",$X120/$J120)</x:f>
      </x:c>
    </x:row>
    <x:row r="121" s="106" customFormat="1" ht="21" customHeight="1">
      <x:c r="A121" s="54" t="n"/>
      <x:c r="B121" s="250" t="n"/>
      <x:c r="C121" s="250" t="n"/>
      <x:c r="D121" s="54" t="n"/>
      <x:c r="E121" s="251" t="n"/>
      <x:c r="F121" s="251" t="n"/>
      <x:c r="G121" s="251" t="n"/>
      <x:c r="H121" s="251" t="n"/>
      <x:c r="I121" s="252" t="n"/>
      <x:c r="J121" s="253" t="n"/>
      <x:c r="K121" s="254" t="n"/>
      <x:c r="L121" s="50" t="n"/>
      <x:c r="M121" s="251" t="n"/>
      <x:c r="N121" s="251">
        <x:f>IF($A121="","",IF($G121="","",IF(ISNUMBER(SEARCH("non",LOWER($E121&amp;""))),$G121*0.85,$G121)))</x:f>
      </x:c>
      <x:c r="O121" s="251">
        <x:f>IF($A121="","",IF(OR($N121="",$I121="",$I121=0),"",$N121/$I121))</x:f>
      </x:c>
      <x:c r="P121" s="251">
        <x:f>IF($A121="","",IF(LOWER($L121&amp;"")="yes",0,IF($K121&lt;&gt;"",$K121,IF($O121&lt;&gt;"",$O121,""))))</x:f>
      </x:c>
      <x:c r="Q121" s="254">
        <x:f>IF($A121="","",IF($U121="Profit",$P121-$H121,0))</x:f>
      </x:c>
      <x:c r="R121" s="251">
        <x:f>IF($A121="","",IF($U121="Draw",$H121,0))</x:f>
      </x:c>
      <x:c r="S121" s="251">
        <x:f>IF($A121="","",IF($U121="Disqualified",$H121,0))</x:f>
      </x:c>
      <x:c r="T121" s="255">
        <x:f>IF($A121="","",IF($H121=0,IF($U121="Profit","N/A",0),IF($U121="Profit",$Q121/$H121,IF($U121="Disqualified",-1,0))))</x:f>
      </x:c>
      <x:c r="U121" s="254">
        <x:f>IF($A121="","",IF(LOWER($L121&amp;"")="yes","Disqualified",IF($P121&gt;$H121,"Profit","Draw")))</x:f>
      </x:c>
      <x:c r="V121" s="253">
        <x:f>IF(OR($B121="",$C121=""),"",IFERROR(ROUNDUP((IF(ISNUMBER($C121),$C121,DATEVALUE($C121))-IF(ISNUMBER($B121),$B121,DATEVALUE($B121)))/7,0),""))</x:f>
      </x:c>
      <x:c r="W121" s="254">
        <x:f>$Q121-$S121</x:f>
      </x:c>
      <x:c r="X121" s="256">
        <x:f>IF(OR($J121="",$I121="",$J121=0,$I121=0,$I121&gt;$J121),"",$J121-$I121)</x:f>
      </x:c>
      <x:c r="Y121" s="257">
        <x:f>IF(OR($J121="",$J121=0,$X121=""),"",$X121/$J121)</x:f>
      </x:c>
    </x:row>
    <x:row r="122" s="106" customFormat="1" ht="21" customHeight="1">
      <x:c r="A122" s="54" t="n"/>
      <x:c r="B122" s="250" t="n"/>
      <x:c r="C122" s="250" t="n"/>
      <x:c r="D122" s="54" t="n"/>
      <x:c r="E122" s="251" t="n"/>
      <x:c r="F122" s="251" t="n"/>
      <x:c r="G122" s="251" t="n"/>
      <x:c r="H122" s="251" t="n"/>
      <x:c r="I122" s="252" t="n"/>
      <x:c r="J122" s="253" t="n"/>
      <x:c r="K122" s="254" t="n"/>
      <x:c r="L122" s="50" t="n"/>
      <x:c r="M122" s="251" t="n"/>
      <x:c r="N122" s="251">
        <x:f>IF($A122="","",IF($G122="","",IF(ISNUMBER(SEARCH("non",LOWER($E122&amp;""))),$G122*0.85,$G122)))</x:f>
      </x:c>
      <x:c r="O122" s="251">
        <x:f>IF($A122="","",IF(OR($N122="",$I122="",$I122=0),"",$N122/$I122))</x:f>
      </x:c>
      <x:c r="P122" s="251">
        <x:f>IF($A122="","",IF(LOWER($L122&amp;"")="yes",0,IF($K122&lt;&gt;"",$K122,IF($O122&lt;&gt;"",$O122,""))))</x:f>
      </x:c>
      <x:c r="Q122" s="254">
        <x:f>IF($A122="","",IF($U122="Profit",$P122-$H122,0))</x:f>
      </x:c>
      <x:c r="R122" s="251">
        <x:f>IF($A122="","",IF($U122="Draw",$H122,0))</x:f>
      </x:c>
      <x:c r="S122" s="251">
        <x:f>IF($A122="","",IF($U122="Disqualified",$H122,0))</x:f>
      </x:c>
      <x:c r="T122" s="255">
        <x:f>IF($A122="","",IF($H122=0,IF($U122="Profit","N/A",0),IF($U122="Profit",$Q122/$H122,IF($U122="Disqualified",-1,0))))</x:f>
      </x:c>
      <x:c r="U122" s="254">
        <x:f>IF($A122="","",IF(LOWER($L122&amp;"")="yes","Disqualified",IF($P122&gt;$H122,"Profit","Draw")))</x:f>
      </x:c>
      <x:c r="V122" s="253">
        <x:f>IF(OR($B122="",$C122=""),"",IFERROR(ROUNDUP((IF(ISNUMBER($C122),$C122,DATEVALUE($C122))-IF(ISNUMBER($B122),$B122,DATEVALUE($B122)))/7,0),""))</x:f>
      </x:c>
      <x:c r="W122" s="254">
        <x:f>$Q122-$S122</x:f>
      </x:c>
      <x:c r="X122" s="256">
        <x:f>IF(OR($J122="",$I122="",$J122=0,$I122=0,$I122&gt;$J122),"",$J122-$I122)</x:f>
      </x:c>
      <x:c r="Y122" s="257">
        <x:f>IF(OR($J122="",$J122=0,$X122=""),"",$X122/$J122)</x:f>
      </x:c>
    </x:row>
    <x:row r="123" s="106" customFormat="1" ht="21" customHeight="1">
      <x:c r="A123" s="54" t="n"/>
      <x:c r="B123" s="250" t="n"/>
      <x:c r="C123" s="250" t="n"/>
      <x:c r="D123" s="54" t="n"/>
      <x:c r="E123" s="251" t="n"/>
      <x:c r="F123" s="251" t="n"/>
      <x:c r="G123" s="251" t="n"/>
      <x:c r="H123" s="251" t="n"/>
      <x:c r="I123" s="252" t="n"/>
      <x:c r="J123" s="253" t="n"/>
      <x:c r="K123" s="254" t="n"/>
      <x:c r="L123" s="50" t="n"/>
      <x:c r="M123" s="251" t="n"/>
      <x:c r="N123" s="251">
        <x:f>IF($A123="","",IF($G123="","",IF(ISNUMBER(SEARCH("non",LOWER($E123&amp;""))),$G123*0.85,$G123)))</x:f>
      </x:c>
      <x:c r="O123" s="251">
        <x:f>IF($A123="","",IF(OR($N123="",$I123="",$I123=0),"",$N123/$I123))</x:f>
      </x:c>
      <x:c r="P123" s="251">
        <x:f>IF($A123="","",IF(LOWER($L123&amp;"")="yes",0,IF($K123&lt;&gt;"",$K123,IF($O123&lt;&gt;"",$O123,""))))</x:f>
      </x:c>
      <x:c r="Q123" s="254">
        <x:f>IF($A123="","",IF($U123="Profit",$P123-$H123,0))</x:f>
      </x:c>
      <x:c r="R123" s="251">
        <x:f>IF($A123="","",IF($U123="Draw",$H123,0))</x:f>
      </x:c>
      <x:c r="S123" s="251">
        <x:f>IF($A123="","",IF($U123="Disqualified",$H123,0))</x:f>
      </x:c>
      <x:c r="T123" s="255">
        <x:f>IF($A123="","",IF($H123=0,IF($U123="Profit","N/A",0),IF($U123="Profit",$Q123/$H123,IF($U123="Disqualified",-1,0))))</x:f>
      </x:c>
      <x:c r="U123" s="254">
        <x:f>IF($A123="","",IF(LOWER($L123&amp;"")="yes","Disqualified",IF($P123&gt;$H123,"Profit","Draw")))</x:f>
      </x:c>
      <x:c r="V123" s="253">
        <x:f>IF(OR($B123="",$C123=""),"",IFERROR(ROUNDUP((IF(ISNUMBER($C123),$C123,DATEVALUE($C123))-IF(ISNUMBER($B123),$B123,DATEVALUE($B123)))/7,0),""))</x:f>
      </x:c>
      <x:c r="W123" s="254">
        <x:f>$Q123-$S123</x:f>
      </x:c>
      <x:c r="X123" s="256">
        <x:f>IF(OR($J123="",$I123="",$J123=0,$I123=0,$I123&gt;$J123),"",$J123-$I123)</x:f>
      </x:c>
      <x:c r="Y123" s="257">
        <x:f>IF(OR($J123="",$J123=0,$X123=""),"",$X123/$J123)</x:f>
      </x:c>
    </x:row>
    <x:row r="124" s="106" customFormat="1" ht="21" customHeight="1">
      <x:c r="A124" s="54" t="n"/>
      <x:c r="B124" s="250" t="n"/>
      <x:c r="C124" s="250" t="n"/>
      <x:c r="D124" s="54" t="n"/>
      <x:c r="E124" s="251" t="n"/>
      <x:c r="F124" s="251" t="n"/>
      <x:c r="G124" s="251" t="n"/>
      <x:c r="H124" s="251" t="n"/>
      <x:c r="I124" s="252" t="n"/>
      <x:c r="J124" s="253" t="n"/>
      <x:c r="K124" s="254" t="n"/>
      <x:c r="L124" s="50" t="n"/>
      <x:c r="M124" s="251" t="n"/>
      <x:c r="N124" s="251">
        <x:f>IF($A124="","",IF($G124="","",IF(ISNUMBER(SEARCH("non",LOWER($E124&amp;""))),$G124*0.85,$G124)))</x:f>
      </x:c>
      <x:c r="O124" s="251">
        <x:f>IF($A124="","",IF(OR($N124="",$I124="",$I124=0),"",$N124/$I124))</x:f>
      </x:c>
      <x:c r="P124" s="251">
        <x:f>IF($A124="","",IF(LOWER($L124&amp;"")="yes",0,IF($K124&lt;&gt;"",$K124,IF($O124&lt;&gt;"",$O124,""))))</x:f>
      </x:c>
      <x:c r="Q124" s="254">
        <x:f>IF($A124="","",IF($U124="Profit",$P124-$H124,0))</x:f>
      </x:c>
      <x:c r="R124" s="251">
        <x:f>IF($A124="","",IF($U124="Draw",$H124,0))</x:f>
      </x:c>
      <x:c r="S124" s="251">
        <x:f>IF($A124="","",IF($U124="Disqualified",$H124,0))</x:f>
      </x:c>
      <x:c r="T124" s="255">
        <x:f>IF($A124="","",IF($H124=0,IF($U124="Profit","N/A",0),IF($U124="Profit",$Q124/$H124,IF($U124="Disqualified",-1,0))))</x:f>
      </x:c>
      <x:c r="U124" s="254">
        <x:f>IF($A124="","",IF(LOWER($L124&amp;"")="yes","Disqualified",IF($P124&gt;$H124,"Profit","Draw")))</x:f>
      </x:c>
      <x:c r="V124" s="253">
        <x:f>IF(OR($B124="",$C124=""),"",IFERROR(ROUNDUP((IF(ISNUMBER($C124),$C124,DATEVALUE($C124))-IF(ISNUMBER($B124),$B124,DATEVALUE($B124)))/7,0),""))</x:f>
      </x:c>
      <x:c r="W124" s="254">
        <x:f>$Q124-$S124</x:f>
      </x:c>
      <x:c r="X124" s="256">
        <x:f>IF(OR($J124="",$I124="",$J124=0,$I124=0,$I124&gt;$J124),"",$J124-$I124)</x:f>
      </x:c>
      <x:c r="Y124" s="257">
        <x:f>IF(OR($J124="",$J124=0,$X124=""),"",$X124/$J124)</x:f>
      </x:c>
    </x:row>
    <x:row r="125" s="106" customFormat="1" ht="21" customHeight="1">
      <x:c r="A125" s="54" t="n"/>
      <x:c r="B125" s="250" t="n"/>
      <x:c r="C125" s="250" t="n"/>
      <x:c r="D125" s="54" t="n"/>
      <x:c r="E125" s="251" t="n"/>
      <x:c r="F125" s="251" t="n"/>
      <x:c r="G125" s="251" t="n"/>
      <x:c r="H125" s="251" t="n"/>
      <x:c r="I125" s="252" t="n"/>
      <x:c r="J125" s="253" t="n"/>
      <x:c r="K125" s="254" t="n"/>
      <x:c r="L125" s="50" t="n"/>
      <x:c r="M125" s="251" t="n"/>
      <x:c r="N125" s="251">
        <x:f>IF($A125="","",IF($G125="","",IF(ISNUMBER(SEARCH("non",LOWER($E125&amp;""))),$G125*0.85,$G125)))</x:f>
      </x:c>
      <x:c r="O125" s="251">
        <x:f>IF($A125="","",IF(OR($N125="",$I125="",$I125=0),"",$N125/$I125))</x:f>
      </x:c>
      <x:c r="P125" s="251">
        <x:f>IF($A125="","",IF(LOWER($L125&amp;"")="yes",0,IF($K125&lt;&gt;"",$K125,IF($O125&lt;&gt;"",$O125,""))))</x:f>
      </x:c>
      <x:c r="Q125" s="254">
        <x:f>IF($A125="","",IF($U125="Profit",$P125-$H125,0))</x:f>
      </x:c>
      <x:c r="R125" s="251">
        <x:f>IF($A125="","",IF($U125="Draw",$H125,0))</x:f>
      </x:c>
      <x:c r="S125" s="251">
        <x:f>IF($A125="","",IF($U125="Disqualified",$H125,0))</x:f>
      </x:c>
      <x:c r="T125" s="255">
        <x:f>IF($A125="","",IF($H125=0,IF($U125="Profit","N/A",0),IF($U125="Profit",$Q125/$H125,IF($U125="Disqualified",-1,0))))</x:f>
      </x:c>
      <x:c r="U125" s="254">
        <x:f>IF($A125="","",IF(LOWER($L125&amp;"")="yes","Disqualified",IF($P125&gt;$H125,"Profit","Draw")))</x:f>
      </x:c>
      <x:c r="V125" s="253">
        <x:f>IF(OR($B125="",$C125=""),"",IFERROR(ROUNDUP((IF(ISNUMBER($C125),$C125,DATEVALUE($C125))-IF(ISNUMBER($B125),$B125,DATEVALUE($B125)))/7,0),""))</x:f>
      </x:c>
      <x:c r="W125" s="254">
        <x:f>$Q125-$S125</x:f>
      </x:c>
      <x:c r="X125" s="256">
        <x:f>IF(OR($J125="",$I125="",$J125=0,$I125=0,$I125&gt;$J125),"",$J125-$I125)</x:f>
      </x:c>
      <x:c r="Y125" s="257">
        <x:f>IF(OR($J125="",$J125=0,$X125=""),"",$X125/$J125)</x:f>
      </x:c>
    </x:row>
    <x:row r="126" s="106" customFormat="1" ht="21" customHeight="1">
      <x:c r="A126" s="54" t="n"/>
      <x:c r="B126" s="250" t="n"/>
      <x:c r="C126" s="250" t="n"/>
      <x:c r="D126" s="54" t="n"/>
      <x:c r="E126" s="251" t="n"/>
      <x:c r="F126" s="251" t="n"/>
      <x:c r="G126" s="251" t="n"/>
      <x:c r="H126" s="251" t="n"/>
      <x:c r="I126" s="252" t="n"/>
      <x:c r="J126" s="253" t="n"/>
      <x:c r="K126" s="254" t="n"/>
      <x:c r="L126" s="50" t="n"/>
      <x:c r="M126" s="251" t="n"/>
      <x:c r="N126" s="251">
        <x:f>IF($A126="","",IF($G126="","",IF(ISNUMBER(SEARCH("non",LOWER($E126&amp;""))),$G126*0.85,$G126)))</x:f>
      </x:c>
      <x:c r="O126" s="251">
        <x:f>IF($A126="","",IF(OR($N126="",$I126="",$I126=0),"",$N126/$I126))</x:f>
      </x:c>
      <x:c r="P126" s="251">
        <x:f>IF($A126="","",IF(LOWER($L126&amp;"")="yes",0,IF($K126&lt;&gt;"",$K126,IF($O126&lt;&gt;"",$O126,""))))</x:f>
      </x:c>
      <x:c r="Q126" s="254">
        <x:f>IF($A126="","",IF($U126="Profit",$P126-$H126,0))</x:f>
      </x:c>
      <x:c r="R126" s="251">
        <x:f>IF($A126="","",IF($U126="Draw",$H126,0))</x:f>
      </x:c>
      <x:c r="S126" s="251">
        <x:f>IF($A126="","",IF($U126="Disqualified",$H126,0))</x:f>
      </x:c>
      <x:c r="T126" s="255">
        <x:f>IF($A126="","",IF($H126=0,IF($U126="Profit","N/A",0),IF($U126="Profit",$Q126/$H126,IF($U126="Disqualified",-1,0))))</x:f>
      </x:c>
      <x:c r="U126" s="254">
        <x:f>IF($A126="","",IF(LOWER($L126&amp;"")="yes","Disqualified",IF($P126&gt;$H126,"Profit","Draw")))</x:f>
      </x:c>
      <x:c r="V126" s="253">
        <x:f>IF(OR($B126="",$C126=""),"",IFERROR(ROUNDUP((IF(ISNUMBER($C126),$C126,DATEVALUE($C126))-IF(ISNUMBER($B126),$B126,DATEVALUE($B126)))/7,0),""))</x:f>
      </x:c>
      <x:c r="W126" s="254">
        <x:f>$Q126-$S126</x:f>
      </x:c>
      <x:c r="X126" s="256">
        <x:f>IF(OR($J126="",$I126="",$J126=0,$I126=0,$I126&gt;$J126),"",$J126-$I126)</x:f>
      </x:c>
      <x:c r="Y126" s="257">
        <x:f>IF(OR($J126="",$J126=0,$X126=""),"",$X126/$J126)</x:f>
      </x:c>
    </x:row>
    <x:row r="127" s="106" customFormat="1" ht="21" customHeight="1">
      <x:c r="A127" s="54" t="n"/>
      <x:c r="B127" s="250" t="n"/>
      <x:c r="C127" s="250" t="n"/>
      <x:c r="D127" s="54" t="n"/>
      <x:c r="E127" s="251" t="n"/>
      <x:c r="F127" s="251" t="n"/>
      <x:c r="G127" s="251" t="n"/>
      <x:c r="H127" s="251" t="n"/>
      <x:c r="I127" s="252" t="n"/>
      <x:c r="J127" s="253" t="n"/>
      <x:c r="K127" s="254" t="n"/>
      <x:c r="L127" s="50" t="n"/>
      <x:c r="M127" s="251" t="n"/>
      <x:c r="N127" s="251">
        <x:f>IF($A127="","",IF($G127="","",IF(ISNUMBER(SEARCH("non",LOWER($E127&amp;""))),$G127*0.85,$G127)))</x:f>
      </x:c>
      <x:c r="O127" s="251">
        <x:f>IF($A127="","",IF(OR($N127="",$I127="",$I127=0),"",$N127/$I127))</x:f>
      </x:c>
      <x:c r="P127" s="251">
        <x:f>IF($A127="","",IF(LOWER($L127&amp;"")="yes",0,IF($K127&lt;&gt;"",$K127,IF($O127&lt;&gt;"",$O127,""))))</x:f>
      </x:c>
      <x:c r="Q127" s="254">
        <x:f>IF($A127="","",IF($U127="Profit",$P127-$H127,0))</x:f>
      </x:c>
      <x:c r="R127" s="251">
        <x:f>IF($A127="","",IF($U127="Draw",$H127,0))</x:f>
      </x:c>
      <x:c r="S127" s="251">
        <x:f>IF($A127="","",IF($U127="Disqualified",$H127,0))</x:f>
      </x:c>
      <x:c r="T127" s="255">
        <x:f>IF($A127="","",IF($H127=0,IF($U127="Profit","N/A",0),IF($U127="Profit",$Q127/$H127,IF($U127="Disqualified",-1,0))))</x:f>
      </x:c>
      <x:c r="U127" s="254">
        <x:f>IF($A127="","",IF(LOWER($L127&amp;"")="yes","Disqualified",IF($P127&gt;$H127,"Profit","Draw")))</x:f>
      </x:c>
      <x:c r="V127" s="253">
        <x:f>IF(OR($B127="",$C127=""),"",IFERROR(ROUNDUP((IF(ISNUMBER($C127),$C127,DATEVALUE($C127))-IF(ISNUMBER($B127),$B127,DATEVALUE($B127)))/7,0),""))</x:f>
      </x:c>
      <x:c r="W127" s="254">
        <x:f>$Q127-$S127</x:f>
      </x:c>
      <x:c r="X127" s="256">
        <x:f>IF(OR($J127="",$I127="",$J127=0,$I127=0,$I127&gt;$J127),"",$J127-$I127)</x:f>
      </x:c>
      <x:c r="Y127" s="257">
        <x:f>IF(OR($J127="",$J127=0,$X127=""),"",$X127/$J127)</x:f>
      </x:c>
    </x:row>
    <x:row r="128" s="106" customFormat="1" ht="21" customHeight="1">
      <x:c r="A128" s="54" t="n"/>
      <x:c r="B128" s="250" t="n"/>
      <x:c r="C128" s="250" t="n"/>
      <x:c r="D128" s="54" t="n"/>
      <x:c r="E128" s="251" t="n"/>
      <x:c r="F128" s="251" t="n"/>
      <x:c r="G128" s="251" t="n"/>
      <x:c r="H128" s="251" t="n"/>
      <x:c r="I128" s="252" t="n"/>
      <x:c r="J128" s="253" t="n"/>
      <x:c r="K128" s="254" t="n"/>
      <x:c r="L128" s="50" t="n"/>
      <x:c r="M128" s="251" t="n"/>
      <x:c r="N128" s="251">
        <x:f>IF($A128="","",IF($G128="","",IF(ISNUMBER(SEARCH("non",LOWER($E128&amp;""))),$G128*0.85,$G128)))</x:f>
      </x:c>
      <x:c r="O128" s="251">
        <x:f>IF($A128="","",IF(OR($N128="",$I128="",$I128=0),"",$N128/$I128))</x:f>
      </x:c>
      <x:c r="P128" s="251">
        <x:f>IF($A128="","",IF(LOWER($L128&amp;"")="yes",0,IF($K128&lt;&gt;"",$K128,IF($O128&lt;&gt;"",$O128,""))))</x:f>
      </x:c>
      <x:c r="Q128" s="254">
        <x:f>IF($A128="","",IF($U128="Profit",$P128-$H128,0))</x:f>
      </x:c>
      <x:c r="R128" s="251">
        <x:f>IF($A128="","",IF($U128="Draw",$H128,0))</x:f>
      </x:c>
      <x:c r="S128" s="251">
        <x:f>IF($A128="","",IF($U128="Disqualified",$H128,0))</x:f>
      </x:c>
      <x:c r="T128" s="255">
        <x:f>IF($A128="","",IF($H128=0,IF($U128="Profit","N/A",0),IF($U128="Profit",$Q128/$H128,IF($U128="Disqualified",-1,0))))</x:f>
      </x:c>
      <x:c r="U128" s="254">
        <x:f>IF($A128="","",IF(LOWER($L128&amp;"")="yes","Disqualified",IF($P128&gt;$H128,"Profit","Draw")))</x:f>
      </x:c>
      <x:c r="V128" s="253">
        <x:f>IF(OR($B128="",$C128=""),"",IFERROR(ROUNDUP((IF(ISNUMBER($C128),$C128,DATEVALUE($C128))-IF(ISNUMBER($B128),$B128,DATEVALUE($B128)))/7,0),""))</x:f>
      </x:c>
      <x:c r="W128" s="254">
        <x:f>$Q128-$S128</x:f>
      </x:c>
      <x:c r="X128" s="256">
        <x:f>IF(OR($J128="",$I128="",$J128=0,$I128=0,$I128&gt;$J128),"",$J128-$I128)</x:f>
      </x:c>
      <x:c r="Y128" s="257">
        <x:f>IF(OR($J128="",$J128=0,$X128=""),"",$X128/$J128)</x:f>
      </x:c>
    </x:row>
    <x:row r="129" s="106" customFormat="1" ht="21" customHeight="1">
      <x:c r="A129" s="54" t="n"/>
      <x:c r="B129" s="250" t="n"/>
      <x:c r="C129" s="250" t="n"/>
      <x:c r="D129" s="54" t="n"/>
      <x:c r="E129" s="251" t="n"/>
      <x:c r="F129" s="251" t="n"/>
      <x:c r="G129" s="251" t="n"/>
      <x:c r="H129" s="251" t="n"/>
      <x:c r="I129" s="252" t="n"/>
      <x:c r="J129" s="253" t="n"/>
      <x:c r="K129" s="254" t="n"/>
      <x:c r="L129" s="50" t="n"/>
      <x:c r="M129" s="251" t="n"/>
      <x:c r="N129" s="251">
        <x:f>IF($A129="","",IF($G129="","",IF(ISNUMBER(SEARCH("non",LOWER($E129&amp;""))),$G129*0.85,$G129)))</x:f>
      </x:c>
      <x:c r="O129" s="251">
        <x:f>IF($A129="","",IF(OR($N129="",$I129="",$I129=0),"",$N129/$I129))</x:f>
      </x:c>
      <x:c r="P129" s="251">
        <x:f>IF($A129="","",IF(LOWER($L129&amp;"")="yes",0,IF($K129&lt;&gt;"",$K129,IF($O129&lt;&gt;"",$O129,""))))</x:f>
      </x:c>
      <x:c r="Q129" s="254">
        <x:f>IF($A129="","",IF($U129="Profit",$P129-$H129,0))</x:f>
      </x:c>
      <x:c r="R129" s="251">
        <x:f>IF($A129="","",IF($U129="Draw",$H129,0))</x:f>
      </x:c>
      <x:c r="S129" s="251">
        <x:f>IF($A129="","",IF($U129="Disqualified",$H129,0))</x:f>
      </x:c>
      <x:c r="T129" s="255">
        <x:f>IF($A129="","",IF($H129=0,IF($U129="Profit","N/A",0),IF($U129="Profit",$Q129/$H129,IF($U129="Disqualified",-1,0))))</x:f>
      </x:c>
      <x:c r="U129" s="254">
        <x:f>IF($A129="","",IF(LOWER($L129&amp;"")="yes","Disqualified",IF($P129&gt;$H129,"Profit","Draw")))</x:f>
      </x:c>
      <x:c r="V129" s="253">
        <x:f>IF(OR($B129="",$C129=""),"",IFERROR(ROUNDUP((IF(ISNUMBER($C129),$C129,DATEVALUE($C129))-IF(ISNUMBER($B129),$B129,DATEVALUE($B129)))/7,0),""))</x:f>
      </x:c>
      <x:c r="W129" s="254">
        <x:f>$Q129-$S129</x:f>
      </x:c>
      <x:c r="X129" s="256">
        <x:f>IF(OR($J129="",$I129="",$J129=0,$I129=0,$I129&gt;$J129),"",$J129-$I129)</x:f>
      </x:c>
      <x:c r="Y129" s="257">
        <x:f>IF(OR($J129="",$J129=0,$X129=""),"",$X129/$J129)</x:f>
      </x:c>
    </x:row>
    <x:row r="130" s="106" customFormat="1" ht="21" customHeight="1">
      <x:c r="A130" s="54" t="n"/>
      <x:c r="B130" s="250" t="n"/>
      <x:c r="C130" s="250" t="n"/>
      <x:c r="D130" s="54" t="n"/>
      <x:c r="E130" s="251" t="n"/>
      <x:c r="F130" s="251" t="n"/>
      <x:c r="G130" s="251" t="n"/>
      <x:c r="H130" s="251" t="n"/>
      <x:c r="I130" s="252" t="n"/>
      <x:c r="J130" s="253" t="n"/>
      <x:c r="K130" s="254" t="n"/>
      <x:c r="L130" s="50" t="n"/>
      <x:c r="M130" s="251" t="n"/>
      <x:c r="N130" s="251">
        <x:f>IF($A130="","",IF($G130="","",IF(ISNUMBER(SEARCH("non",LOWER($E130&amp;""))),$G130*0.85,$G130)))</x:f>
      </x:c>
      <x:c r="O130" s="251">
        <x:f>IF($A130="","",IF(OR($N130="",$I130="",$I130=0),"",$N130/$I130))</x:f>
      </x:c>
      <x:c r="P130" s="251">
        <x:f>IF($A130="","",IF(LOWER($L130&amp;"")="yes",0,IF($K130&lt;&gt;"",$K130,IF($O130&lt;&gt;"",$O130,""))))</x:f>
      </x:c>
      <x:c r="Q130" s="254">
        <x:f>IF($A130="","",IF($U130="Profit",$P130-$H130,0))</x:f>
      </x:c>
      <x:c r="R130" s="251">
        <x:f>IF($A130="","",IF($U130="Draw",$H130,0))</x:f>
      </x:c>
      <x:c r="S130" s="251">
        <x:f>IF($A130="","",IF($U130="Disqualified",$H130,0))</x:f>
      </x:c>
      <x:c r="T130" s="255">
        <x:f>IF($A130="","",IF($H130=0,IF($U130="Profit","N/A",0),IF($U130="Profit",$Q130/$H130,IF($U130="Disqualified",-1,0))))</x:f>
      </x:c>
      <x:c r="U130" s="254">
        <x:f>IF($A130="","",IF(LOWER($L130&amp;"")="yes","Disqualified",IF($P130&gt;$H130,"Profit","Draw")))</x:f>
      </x:c>
      <x:c r="V130" s="253">
        <x:f>IF(OR($B130="",$C130=""),"",IFERROR(ROUNDUP((IF(ISNUMBER($C130),$C130,DATEVALUE($C130))-IF(ISNUMBER($B130),$B130,DATEVALUE($B130)))/7,0),""))</x:f>
      </x:c>
      <x:c r="W130" s="254">
        <x:f>$Q130-$S130</x:f>
      </x:c>
      <x:c r="X130" s="256">
        <x:f>IF(OR($J130="",$I130="",$J130=0,$I130=0,$I130&gt;$J130),"",$J130-$I130)</x:f>
      </x:c>
      <x:c r="Y130" s="257">
        <x:f>IF(OR($J130="",$J130=0,$X130=""),"",$X130/$J130)</x:f>
      </x:c>
    </x:row>
    <x:row r="131" s="106" customFormat="1" ht="21" customHeight="1">
      <x:c r="A131" s="54" t="n"/>
      <x:c r="B131" s="250" t="n"/>
      <x:c r="C131" s="250" t="n"/>
      <x:c r="D131" s="54" t="n"/>
      <x:c r="E131" s="251" t="n"/>
      <x:c r="F131" s="251" t="n"/>
      <x:c r="G131" s="251" t="n"/>
      <x:c r="H131" s="251" t="n"/>
      <x:c r="I131" s="252" t="n"/>
      <x:c r="J131" s="253" t="n"/>
      <x:c r="K131" s="254" t="n"/>
      <x:c r="L131" s="50" t="n"/>
      <x:c r="M131" s="251" t="n"/>
      <x:c r="N131" s="251">
        <x:f>IF($A131="","",IF($G131="","",IF(ISNUMBER(SEARCH("non",LOWER($E131&amp;""))),$G131*0.85,$G131)))</x:f>
      </x:c>
      <x:c r="O131" s="251">
        <x:f>IF($A131="","",IF(OR($N131="",$I131="",$I131=0),"",$N131/$I131))</x:f>
      </x:c>
      <x:c r="P131" s="251">
        <x:f>IF($A131="","",IF(LOWER($L131&amp;"")="yes",0,IF($K131&lt;&gt;"",$K131,IF($O131&lt;&gt;"",$O131,""))))</x:f>
      </x:c>
      <x:c r="Q131" s="254">
        <x:f>IF($A131="","",IF($U131="Profit",$P131-$H131,0))</x:f>
      </x:c>
      <x:c r="R131" s="251">
        <x:f>IF($A131="","",IF($U131="Draw",$H131,0))</x:f>
      </x:c>
      <x:c r="S131" s="251">
        <x:f>IF($A131="","",IF($U131="Disqualified",$H131,0))</x:f>
      </x:c>
      <x:c r="T131" s="255">
        <x:f>IF($A131="","",IF($H131=0,IF($U131="Profit","N/A",0),IF($U131="Profit",$Q131/$H131,IF($U131="Disqualified",-1,0))))</x:f>
      </x:c>
      <x:c r="U131" s="254">
        <x:f>IF($A131="","",IF(LOWER($L131&amp;"")="yes","Disqualified",IF($P131&gt;$H131,"Profit","Draw")))</x:f>
      </x:c>
      <x:c r="V131" s="253">
        <x:f>IF(OR($B131="",$C131=""),"",IFERROR(ROUNDUP((IF(ISNUMBER($C131),$C131,DATEVALUE($C131))-IF(ISNUMBER($B131),$B131,DATEVALUE($B131)))/7,0),""))</x:f>
      </x:c>
      <x:c r="W131" s="254">
        <x:f>$Q131-$S131</x:f>
      </x:c>
      <x:c r="X131" s="256">
        <x:f>IF(OR($J131="",$I131="",$J131=0,$I131=0,$I131&gt;$J131),"",$J131-$I131)</x:f>
      </x:c>
      <x:c r="Y131" s="257">
        <x:f>IF(OR($J131="",$J131=0,$X131=""),"",$X131/$J131)</x:f>
      </x:c>
    </x:row>
    <x:row r="132" s="106" customFormat="1" ht="21" customHeight="1">
      <x:c r="A132" s="54" t="n"/>
      <x:c r="B132" s="250" t="n"/>
      <x:c r="C132" s="250" t="n"/>
      <x:c r="D132" s="54" t="n"/>
      <x:c r="E132" s="251" t="n"/>
      <x:c r="F132" s="251" t="n"/>
      <x:c r="G132" s="251" t="n"/>
      <x:c r="H132" s="251" t="n"/>
      <x:c r="I132" s="252" t="n"/>
      <x:c r="J132" s="253" t="n"/>
      <x:c r="K132" s="254" t="n"/>
      <x:c r="L132" s="50" t="n"/>
      <x:c r="M132" s="251" t="n"/>
      <x:c r="N132" s="251">
        <x:f>IF($A132="","",IF($G132="","",IF(ISNUMBER(SEARCH("non",LOWER($E132&amp;""))),$G132*0.85,$G132)))</x:f>
      </x:c>
      <x:c r="O132" s="251">
        <x:f>IF($A132="","",IF(OR($N132="",$I132="",$I132=0),"",$N132/$I132))</x:f>
      </x:c>
      <x:c r="P132" s="251">
        <x:f>IF($A132="","",IF(LOWER($L132&amp;"")="yes",0,IF($K132&lt;&gt;"",$K132,IF($O132&lt;&gt;"",$O132,""))))</x:f>
      </x:c>
      <x:c r="Q132" s="254">
        <x:f>IF($A132="","",IF($U132="Profit",$P132-$H132,0))</x:f>
      </x:c>
      <x:c r="R132" s="251">
        <x:f>IF($A132="","",IF($U132="Draw",$H132,0))</x:f>
      </x:c>
      <x:c r="S132" s="251">
        <x:f>IF($A132="","",IF($U132="Disqualified",$H132,0))</x:f>
      </x:c>
      <x:c r="T132" s="255">
        <x:f>IF($A132="","",IF($H132=0,IF($U132="Profit","N/A",0),IF($U132="Profit",$Q132/$H132,IF($U132="Disqualified",-1,0))))</x:f>
      </x:c>
      <x:c r="U132" s="254">
        <x:f>IF($A132="","",IF(LOWER($L132&amp;"")="yes","Disqualified",IF($P132&gt;$H132,"Profit","Draw")))</x:f>
      </x:c>
      <x:c r="V132" s="253">
        <x:f>IF(OR($B132="",$C132=""),"",IFERROR(ROUNDUP((IF(ISNUMBER($C132),$C132,DATEVALUE($C132))-IF(ISNUMBER($B132),$B132,DATEVALUE($B132)))/7,0),""))</x:f>
      </x:c>
      <x:c r="W132" s="254">
        <x:f>$Q132-$S132</x:f>
      </x:c>
      <x:c r="X132" s="256">
        <x:f>IF(OR($J132="",$I132="",$J132=0,$I132=0,$I132&gt;$J132),"",$J132-$I132)</x:f>
      </x:c>
      <x:c r="Y132" s="257">
        <x:f>IF(OR($J132="",$J132=0,$X132=""),"",$X132/$J132)</x:f>
      </x:c>
    </x:row>
    <x:row r="133" s="106" customFormat="1" ht="21" customHeight="1">
      <x:c r="A133" s="54" t="n"/>
      <x:c r="B133" s="250" t="n"/>
      <x:c r="C133" s="250" t="n"/>
      <x:c r="D133" s="54" t="n"/>
      <x:c r="E133" s="251" t="n"/>
      <x:c r="F133" s="251" t="n"/>
      <x:c r="G133" s="251" t="n"/>
      <x:c r="H133" s="251" t="n"/>
      <x:c r="I133" s="252" t="n"/>
      <x:c r="J133" s="253" t="n"/>
      <x:c r="K133" s="254" t="n"/>
      <x:c r="L133" s="50" t="n"/>
      <x:c r="M133" s="251" t="n"/>
      <x:c r="N133" s="251">
        <x:f>IF($A133="","",IF($G133="","",IF(ISNUMBER(SEARCH("non",LOWER($E133&amp;""))),$G133*0.85,$G133)))</x:f>
      </x:c>
      <x:c r="O133" s="251">
        <x:f>IF($A133="","",IF(OR($N133="",$I133="",$I133=0),"",$N133/$I133))</x:f>
      </x:c>
      <x:c r="P133" s="251">
        <x:f>IF($A133="","",IF(LOWER($L133&amp;"")="yes",0,IF($K133&lt;&gt;"",$K133,IF($O133&lt;&gt;"",$O133,""))))</x:f>
      </x:c>
      <x:c r="Q133" s="254">
        <x:f>IF($A133="","",IF($U133="Profit",$P133-$H133,0))</x:f>
      </x:c>
      <x:c r="R133" s="251">
        <x:f>IF($A133="","",IF($U133="Draw",$H133,0))</x:f>
      </x:c>
      <x:c r="S133" s="251">
        <x:f>IF($A133="","",IF($U133="Disqualified",$H133,0))</x:f>
      </x:c>
      <x:c r="T133" s="255">
        <x:f>IF($A133="","",IF($H133=0,IF($U133="Profit","N/A",0),IF($U133="Profit",$Q133/$H133,IF($U133="Disqualified",-1,0))))</x:f>
      </x:c>
      <x:c r="U133" s="254">
        <x:f>IF($A133="","",IF(LOWER($L133&amp;"")="yes","Disqualified",IF($P133&gt;$H133,"Profit","Draw")))</x:f>
      </x:c>
      <x:c r="V133" s="253">
        <x:f>IF(OR($B133="",$C133=""),"",IFERROR(ROUNDUP((IF(ISNUMBER($C133),$C133,DATEVALUE($C133))-IF(ISNUMBER($B133),$B133,DATEVALUE($B133)))/7,0),""))</x:f>
      </x:c>
      <x:c r="W133" s="254">
        <x:f>$Q133-$S133</x:f>
      </x:c>
      <x:c r="X133" s="256">
        <x:f>IF(OR($J133="",$I133="",$J133=0,$I133=0,$I133&gt;$J133),"",$J133-$I133)</x:f>
      </x:c>
      <x:c r="Y133" s="257">
        <x:f>IF(OR($J133="",$J133=0,$X133=""),"",$X133/$J133)</x:f>
      </x:c>
    </x:row>
    <x:row r="134" s="106" customFormat="1" ht="21" customHeight="1">
      <x:c r="A134" s="54" t="n"/>
      <x:c r="B134" s="250" t="n"/>
      <x:c r="C134" s="250" t="n"/>
      <x:c r="D134" s="54" t="n"/>
      <x:c r="E134" s="251" t="n"/>
      <x:c r="F134" s="251" t="n"/>
      <x:c r="G134" s="251" t="n"/>
      <x:c r="H134" s="251" t="n"/>
      <x:c r="I134" s="252" t="n"/>
      <x:c r="J134" s="253" t="n"/>
      <x:c r="K134" s="254" t="n"/>
      <x:c r="L134" s="50" t="n"/>
      <x:c r="M134" s="251" t="n"/>
      <x:c r="N134" s="251">
        <x:f>IF($A134="","",IF($G134="","",IF(ISNUMBER(SEARCH("non",LOWER($E134&amp;""))),$G134*0.85,$G134)))</x:f>
      </x:c>
      <x:c r="O134" s="251">
        <x:f>IF($A134="","",IF(OR($N134="",$I134="",$I134=0),"",$N134/$I134))</x:f>
      </x:c>
      <x:c r="P134" s="251">
        <x:f>IF($A134="","",IF(LOWER($L134&amp;"")="yes",0,IF($K134&lt;&gt;"",$K134,IF($O134&lt;&gt;"",$O134,""))))</x:f>
      </x:c>
      <x:c r="Q134" s="254">
        <x:f>IF($A134="","",IF($U134="Profit",$P134-$H134,0))</x:f>
      </x:c>
      <x:c r="R134" s="251">
        <x:f>IF($A134="","",IF($U134="Draw",$H134,0))</x:f>
      </x:c>
      <x:c r="S134" s="251">
        <x:f>IF($A134="","",IF($U134="Disqualified",$H134,0))</x:f>
      </x:c>
      <x:c r="T134" s="255">
        <x:f>IF($A134="","",IF($H134=0,IF($U134="Profit","N/A",0),IF($U134="Profit",$Q134/$H134,IF($U134="Disqualified",-1,0))))</x:f>
      </x:c>
      <x:c r="U134" s="254">
        <x:f>IF($A134="","",IF(LOWER($L134&amp;"")="yes","Disqualified",IF($P134&gt;$H134,"Profit","Draw")))</x:f>
      </x:c>
      <x:c r="V134" s="253">
        <x:f>IF(OR($B134="",$C134=""),"",IFERROR(ROUNDUP((IF(ISNUMBER($C134),$C134,DATEVALUE($C134))-IF(ISNUMBER($B134),$B134,DATEVALUE($B134)))/7,0),""))</x:f>
      </x:c>
      <x:c r="W134" s="254">
        <x:f>$Q134-$S134</x:f>
      </x:c>
      <x:c r="X134" s="256">
        <x:f>IF(OR($J134="",$I134="",$J134=0,$I134=0,$I134&gt;$J134),"",$J134-$I134)</x:f>
      </x:c>
      <x:c r="Y134" s="257">
        <x:f>IF(OR($J134="",$J134=0,$X134=""),"",$X134/$J134)</x:f>
      </x:c>
    </x:row>
    <x:row r="135" s="106" customFormat="1" ht="21" customHeight="1">
      <x:c r="A135" s="54" t="n"/>
      <x:c r="B135" s="250" t="n"/>
      <x:c r="C135" s="250" t="n"/>
      <x:c r="D135" s="54" t="n"/>
      <x:c r="E135" s="251" t="n"/>
      <x:c r="F135" s="251" t="n"/>
      <x:c r="G135" s="251" t="n"/>
      <x:c r="H135" s="251" t="n"/>
      <x:c r="I135" s="252" t="n"/>
      <x:c r="J135" s="253" t="n"/>
      <x:c r="K135" s="254" t="n"/>
      <x:c r="L135" s="50" t="n"/>
      <x:c r="M135" s="251" t="n"/>
      <x:c r="N135" s="251">
        <x:f>IF($A135="","",IF($G135="","",IF(ISNUMBER(SEARCH("non",LOWER($E135&amp;""))),$G135*0.85,$G135)))</x:f>
      </x:c>
      <x:c r="O135" s="251">
        <x:f>IF($A135="","",IF(OR($N135="",$I135="",$I135=0),"",$N135/$I135))</x:f>
      </x:c>
      <x:c r="P135" s="251">
        <x:f>IF($A135="","",IF(LOWER($L135&amp;"")="yes",0,IF($K135&lt;&gt;"",$K135,IF($O135&lt;&gt;"",$O135,""))))</x:f>
      </x:c>
      <x:c r="Q135" s="254">
        <x:f>IF($A135="","",IF($U135="Profit",$P135-$H135,0))</x:f>
      </x:c>
      <x:c r="R135" s="251">
        <x:f>IF($A135="","",IF($U135="Draw",$H135,0))</x:f>
      </x:c>
      <x:c r="S135" s="251">
        <x:f>IF($A135="","",IF($U135="Disqualified",$H135,0))</x:f>
      </x:c>
      <x:c r="T135" s="255">
        <x:f>IF($A135="","",IF($H135=0,IF($U135="Profit","N/A",0),IF($U135="Profit",$Q135/$H135,IF($U135="Disqualified",-1,0))))</x:f>
      </x:c>
      <x:c r="U135" s="254">
        <x:f>IF($A135="","",IF(LOWER($L135&amp;"")="yes","Disqualified",IF($P135&gt;$H135,"Profit","Draw")))</x:f>
      </x:c>
      <x:c r="V135" s="253">
        <x:f>IF(OR($B135="",$C135=""),"",IFERROR(ROUNDUP((IF(ISNUMBER($C135),$C135,DATEVALUE($C135))-IF(ISNUMBER($B135),$B135,DATEVALUE($B135)))/7,0),""))</x:f>
      </x:c>
      <x:c r="W135" s="254">
        <x:f>$Q135-$S135</x:f>
      </x:c>
      <x:c r="X135" s="256">
        <x:f>IF(OR($J135="",$I135="",$J135=0,$I135=0,$I135&gt;$J135),"",$J135-$I135)</x:f>
      </x:c>
      <x:c r="Y135" s="257">
        <x:f>IF(OR($J135="",$J135=0,$X135=""),"",$X135/$J135)</x:f>
      </x:c>
    </x:row>
    <x:row r="136" s="106" customFormat="1" ht="21" customHeight="1">
      <x:c r="A136" s="54" t="n"/>
      <x:c r="B136" s="250" t="n"/>
      <x:c r="C136" s="250" t="n"/>
      <x:c r="D136" s="54" t="n"/>
      <x:c r="E136" s="251" t="n"/>
      <x:c r="F136" s="251" t="n"/>
      <x:c r="G136" s="251" t="n"/>
      <x:c r="H136" s="251" t="n"/>
      <x:c r="I136" s="252" t="n"/>
      <x:c r="J136" s="253" t="n"/>
      <x:c r="K136" s="254" t="n"/>
      <x:c r="L136" s="50" t="n"/>
      <x:c r="M136" s="251" t="n"/>
      <x:c r="N136" s="251">
        <x:f>IF($A136="","",IF($G136="","",IF(ISNUMBER(SEARCH("non",LOWER($E136&amp;""))),$G136*0.85,$G136)))</x:f>
      </x:c>
      <x:c r="O136" s="251">
        <x:f>IF($A136="","",IF(OR($N136="",$I136="",$I136=0),"",$N136/$I136))</x:f>
      </x:c>
      <x:c r="P136" s="251">
        <x:f>IF($A136="","",IF(LOWER($L136&amp;"")="yes",0,IF($K136&lt;&gt;"",$K136,IF($O136&lt;&gt;"",$O136,""))))</x:f>
      </x:c>
      <x:c r="Q136" s="254">
        <x:f>IF($A136="","",IF($U136="Profit",$P136-$H136,0))</x:f>
      </x:c>
      <x:c r="R136" s="251">
        <x:f>IF($A136="","",IF($U136="Draw",$H136,0))</x:f>
      </x:c>
      <x:c r="S136" s="251">
        <x:f>IF($A136="","",IF($U136="Disqualified",$H136,0))</x:f>
      </x:c>
      <x:c r="T136" s="255">
        <x:f>IF($A136="","",IF($H136=0,IF($U136="Profit","N/A",0),IF($U136="Profit",$Q136/$H136,IF($U136="Disqualified",-1,0))))</x:f>
      </x:c>
      <x:c r="U136" s="254">
        <x:f>IF($A136="","",IF(LOWER($L136&amp;"")="yes","Disqualified",IF($P136&gt;$H136,"Profit","Draw")))</x:f>
      </x:c>
      <x:c r="V136" s="253">
        <x:f>IF(OR($B136="",$C136=""),"",IFERROR(ROUNDUP((IF(ISNUMBER($C136),$C136,DATEVALUE($C136))-IF(ISNUMBER($B136),$B136,DATEVALUE($B136)))/7,0),""))</x:f>
      </x:c>
      <x:c r="W136" s="254">
        <x:f>$Q136-$S136</x:f>
      </x:c>
      <x:c r="X136" s="256">
        <x:f>IF(OR($J136="",$I136="",$J136=0,$I136=0,$I136&gt;$J136),"",$J136-$I136)</x:f>
      </x:c>
      <x:c r="Y136" s="257">
        <x:f>IF(OR($J136="",$J136=0,$X136=""),"",$X136/$J136)</x:f>
      </x:c>
    </x:row>
    <x:row r="137" s="106" customFormat="1" ht="21" customHeight="1">
      <x:c r="A137" s="54" t="n"/>
      <x:c r="B137" s="250" t="n"/>
      <x:c r="C137" s="250" t="n"/>
      <x:c r="D137" s="54" t="n"/>
      <x:c r="E137" s="251" t="n"/>
      <x:c r="F137" s="251" t="n"/>
      <x:c r="G137" s="251" t="n"/>
      <x:c r="H137" s="251" t="n"/>
      <x:c r="I137" s="252" t="n"/>
      <x:c r="J137" s="253" t="n"/>
      <x:c r="K137" s="254" t="n"/>
      <x:c r="L137" s="50" t="n"/>
      <x:c r="M137" s="251" t="n"/>
      <x:c r="N137" s="251">
        <x:f>IF($A137="","",IF($G137="","",IF(ISNUMBER(SEARCH("non",LOWER($E137&amp;""))),$G137*0.85,$G137)))</x:f>
      </x:c>
      <x:c r="O137" s="251">
        <x:f>IF($A137="","",IF(OR($N137="",$I137="",$I137=0),"",$N137/$I137))</x:f>
      </x:c>
      <x:c r="P137" s="251">
        <x:f>IF($A137="","",IF(LOWER($L137&amp;"")="yes",0,IF($K137&lt;&gt;"",$K137,IF($O137&lt;&gt;"",$O137,""))))</x:f>
      </x:c>
      <x:c r="Q137" s="254">
        <x:f>IF($A137="","",IF($U137="Profit",$P137-$H137,0))</x:f>
      </x:c>
      <x:c r="R137" s="251">
        <x:f>IF($A137="","",IF($U137="Draw",$H137,0))</x:f>
      </x:c>
      <x:c r="S137" s="251">
        <x:f>IF($A137="","",IF($U137="Disqualified",$H137,0))</x:f>
      </x:c>
      <x:c r="T137" s="255">
        <x:f>IF($A137="","",IF($H137=0,IF($U137="Profit","N/A",0),IF($U137="Profit",$Q137/$H137,IF($U137="Disqualified",-1,0))))</x:f>
      </x:c>
      <x:c r="U137" s="254">
        <x:f>IF($A137="","",IF(LOWER($L137&amp;"")="yes","Disqualified",IF($P137&gt;$H137,"Profit","Draw")))</x:f>
      </x:c>
      <x:c r="V137" s="253">
        <x:f>IF(OR($B137="",$C137=""),"",IFERROR(ROUNDUP((IF(ISNUMBER($C137),$C137,DATEVALUE($C137))-IF(ISNUMBER($B137),$B137,DATEVALUE($B137)))/7,0),""))</x:f>
      </x:c>
      <x:c r="W137" s="254">
        <x:f>$Q137-$S137</x:f>
      </x:c>
      <x:c r="X137" s="256">
        <x:f>IF(OR($J137="",$I137="",$J137=0,$I137=0,$I137&gt;$J137),"",$J137-$I137)</x:f>
      </x:c>
      <x:c r="Y137" s="257">
        <x:f>IF(OR($J137="",$J137=0,$X137=""),"",$X137/$J137)</x:f>
      </x:c>
    </x:row>
    <x:row r="138" s="106" customFormat="1" ht="21" customHeight="1">
      <x:c r="A138" s="54" t="n"/>
      <x:c r="B138" s="250" t="n"/>
      <x:c r="C138" s="250" t="n"/>
      <x:c r="D138" s="54" t="n"/>
      <x:c r="E138" s="251" t="n"/>
      <x:c r="F138" s="251" t="n"/>
      <x:c r="G138" s="251" t="n"/>
      <x:c r="H138" s="251" t="n"/>
      <x:c r="I138" s="252" t="n"/>
      <x:c r="J138" s="253" t="n"/>
      <x:c r="K138" s="254" t="n"/>
      <x:c r="L138" s="50" t="n"/>
      <x:c r="M138" s="251" t="n"/>
      <x:c r="N138" s="251">
        <x:f>IF($A138="","",IF($G138="","",IF(ISNUMBER(SEARCH("non",LOWER($E138&amp;""))),$G138*0.85,$G138)))</x:f>
      </x:c>
      <x:c r="O138" s="251">
        <x:f>IF($A138="","",IF(OR($N138="",$I138="",$I138=0),"",$N138/$I138))</x:f>
      </x:c>
      <x:c r="P138" s="251">
        <x:f>IF($A138="","",IF(LOWER($L138&amp;"")="yes",0,IF($K138&lt;&gt;"",$K138,IF($O138&lt;&gt;"",$O138,""))))</x:f>
      </x:c>
      <x:c r="Q138" s="254">
        <x:f>IF($A138="","",IF($U138="Profit",$P138-$H138,0))</x:f>
      </x:c>
      <x:c r="R138" s="251">
        <x:f>IF($A138="","",IF($U138="Draw",$H138,0))</x:f>
      </x:c>
      <x:c r="S138" s="251">
        <x:f>IF($A138="","",IF($U138="Disqualified",$H138,0))</x:f>
      </x:c>
      <x:c r="T138" s="255">
        <x:f>IF($A138="","",IF($H138=0,IF($U138="Profit","N/A",0),IF($U138="Profit",$Q138/$H138,IF($U138="Disqualified",-1,0))))</x:f>
      </x:c>
      <x:c r="U138" s="254">
        <x:f>IF($A138="","",IF(LOWER($L138&amp;"")="yes","Disqualified",IF($P138&gt;$H138,"Profit","Draw")))</x:f>
      </x:c>
      <x:c r="V138" s="253">
        <x:f>IF(OR($B138="",$C138=""),"",IFERROR(ROUNDUP((IF(ISNUMBER($C138),$C138,DATEVALUE($C138))-IF(ISNUMBER($B138),$B138,DATEVALUE($B138)))/7,0),""))</x:f>
      </x:c>
      <x:c r="W138" s="254">
        <x:f>$Q138-$S138</x:f>
      </x:c>
      <x:c r="X138" s="256">
        <x:f>IF(OR($J138="",$I138="",$J138=0,$I138=0,$I138&gt;$J138),"",$J138-$I138)</x:f>
      </x:c>
      <x:c r="Y138" s="257">
        <x:f>IF(OR($J138="",$J138=0,$X138=""),"",$X138/$J138)</x:f>
      </x:c>
    </x:row>
    <x:row r="139" s="106" customFormat="1" ht="21" customHeight="1">
      <x:c r="A139" s="54" t="n"/>
      <x:c r="B139" s="250" t="n"/>
      <x:c r="C139" s="250" t="n"/>
      <x:c r="D139" s="54" t="n"/>
      <x:c r="E139" s="251" t="n"/>
      <x:c r="F139" s="251" t="n"/>
      <x:c r="G139" s="251" t="n"/>
      <x:c r="H139" s="251" t="n"/>
      <x:c r="I139" s="252" t="n"/>
      <x:c r="J139" s="253" t="n"/>
      <x:c r="K139" s="254" t="n"/>
      <x:c r="L139" s="50" t="n"/>
      <x:c r="M139" s="251" t="n"/>
      <x:c r="N139" s="251">
        <x:f>IF($A139="","",IF($G139="","",IF(ISNUMBER(SEARCH("non",LOWER($E139&amp;""))),$G139*0.85,$G139)))</x:f>
      </x:c>
      <x:c r="O139" s="251">
        <x:f>IF($A139="","",IF(OR($N139="",$I139="",$I139=0),"",$N139/$I139))</x:f>
      </x:c>
      <x:c r="P139" s="251">
        <x:f>IF($A139="","",IF(LOWER($L139&amp;"")="yes",0,IF($K139&lt;&gt;"",$K139,IF($O139&lt;&gt;"",$O139,""))))</x:f>
      </x:c>
      <x:c r="Q139" s="254">
        <x:f>IF($A139="","",IF($U139="Profit",$P139-$H139,0))</x:f>
      </x:c>
      <x:c r="R139" s="251">
        <x:f>IF($A139="","",IF($U139="Draw",$H139,0))</x:f>
      </x:c>
      <x:c r="S139" s="251">
        <x:f>IF($A139="","",IF($U139="Disqualified",$H139,0))</x:f>
      </x:c>
      <x:c r="T139" s="255">
        <x:f>IF($A139="","",IF($H139=0,IF($U139="Profit","N/A",0),IF($U139="Profit",$Q139/$H139,IF($U139="Disqualified",-1,0))))</x:f>
      </x:c>
      <x:c r="U139" s="254">
        <x:f>IF($A139="","",IF(LOWER($L139&amp;"")="yes","Disqualified",IF($P139&gt;$H139,"Profit","Draw")))</x:f>
      </x:c>
      <x:c r="V139" s="253">
        <x:f>IF(OR($B139="",$C139=""),"",IFERROR(ROUNDUP((IF(ISNUMBER($C139),$C139,DATEVALUE($C139))-IF(ISNUMBER($B139),$B139,DATEVALUE($B139)))/7,0),""))</x:f>
      </x:c>
      <x:c r="W139" s="254">
        <x:f>$Q139-$S139</x:f>
      </x:c>
      <x:c r="X139" s="256">
        <x:f>IF(OR($J139="",$I139="",$J139=0,$I139=0,$I139&gt;$J139),"",$J139-$I139)</x:f>
      </x:c>
      <x:c r="Y139" s="257">
        <x:f>IF(OR($J139="",$J139=0,$X139=""),"",$X139/$J139)</x:f>
      </x:c>
    </x:row>
    <x:row r="140" s="106" customFormat="1" ht="21" customHeight="1">
      <x:c r="A140" s="54" t="n"/>
      <x:c r="B140" s="250" t="n"/>
      <x:c r="C140" s="250" t="n"/>
      <x:c r="D140" s="54" t="n"/>
      <x:c r="E140" s="251" t="n"/>
      <x:c r="F140" s="251" t="n"/>
      <x:c r="G140" s="251" t="n"/>
      <x:c r="H140" s="251" t="n"/>
      <x:c r="I140" s="252" t="n"/>
      <x:c r="J140" s="253" t="n"/>
      <x:c r="K140" s="254" t="n"/>
      <x:c r="L140" s="50" t="n"/>
      <x:c r="M140" s="251" t="n"/>
      <x:c r="N140" s="251">
        <x:f>IF($A140="","",IF($G140="","",IF(ISNUMBER(SEARCH("non",LOWER($E140&amp;""))),$G140*0.85,$G140)))</x:f>
      </x:c>
      <x:c r="O140" s="251">
        <x:f>IF($A140="","",IF(OR($N140="",$I140="",$I140=0),"",$N140/$I140))</x:f>
      </x:c>
      <x:c r="P140" s="251">
        <x:f>IF($A140="","",IF(LOWER($L140&amp;"")="yes",0,IF($K140&lt;&gt;"",$K140,IF($O140&lt;&gt;"",$O140,""))))</x:f>
      </x:c>
      <x:c r="Q140" s="254">
        <x:f>IF($A140="","",IF($U140="Profit",$P140-$H140,0))</x:f>
      </x:c>
      <x:c r="R140" s="251">
        <x:f>IF($A140="","",IF($U140="Draw",$H140,0))</x:f>
      </x:c>
      <x:c r="S140" s="251">
        <x:f>IF($A140="","",IF($U140="Disqualified",$H140,0))</x:f>
      </x:c>
      <x:c r="T140" s="255">
        <x:f>IF($A140="","",IF($H140=0,IF($U140="Profit","N/A",0),IF($U140="Profit",$Q140/$H140,IF($U140="Disqualified",-1,0))))</x:f>
      </x:c>
      <x:c r="U140" s="254">
        <x:f>IF($A140="","",IF(LOWER($L140&amp;"")="yes","Disqualified",IF($P140&gt;$H140,"Profit","Draw")))</x:f>
      </x:c>
      <x:c r="V140" s="253">
        <x:f>IF(OR($B140="",$C140=""),"",IFERROR(ROUNDUP((IF(ISNUMBER($C140),$C140,DATEVALUE($C140))-IF(ISNUMBER($B140),$B140,DATEVALUE($B140)))/7,0),""))</x:f>
      </x:c>
      <x:c r="W140" s="254">
        <x:f>$Q140-$S140</x:f>
      </x:c>
      <x:c r="X140" s="256">
        <x:f>IF(OR($J140="",$I140="",$J140=0,$I140=0,$I140&gt;$J140),"",$J140-$I140)</x:f>
      </x:c>
      <x:c r="Y140" s="257">
        <x:f>IF(OR($J140="",$J140=0,$X140=""),"",$X140/$J140)</x:f>
      </x:c>
    </x:row>
    <x:row r="141" s="106" customFormat="1" ht="21" customHeight="1">
      <x:c r="A141" s="54" t="n"/>
      <x:c r="B141" s="250" t="n"/>
      <x:c r="C141" s="250" t="n"/>
      <x:c r="D141" s="54" t="n"/>
      <x:c r="E141" s="251" t="n"/>
      <x:c r="F141" s="251" t="n"/>
      <x:c r="G141" s="251" t="n"/>
      <x:c r="H141" s="251" t="n"/>
      <x:c r="I141" s="252" t="n"/>
      <x:c r="J141" s="253" t="n"/>
      <x:c r="K141" s="254" t="n"/>
      <x:c r="L141" s="50" t="n"/>
      <x:c r="M141" s="251" t="n"/>
      <x:c r="N141" s="251">
        <x:f>IF($A141="","",IF($G141="","",IF(ISNUMBER(SEARCH("non",LOWER($E141&amp;""))),$G141*0.85,$G141)))</x:f>
      </x:c>
      <x:c r="O141" s="251">
        <x:f>IF($A141="","",IF(OR($N141="",$I141="",$I141=0),"",$N141/$I141))</x:f>
      </x:c>
      <x:c r="P141" s="251">
        <x:f>IF($A141="","",IF(LOWER($L141&amp;"")="yes",0,IF($K141&lt;&gt;"",$K141,IF($O141&lt;&gt;"",$O141,""))))</x:f>
      </x:c>
      <x:c r="Q141" s="254">
        <x:f>IF($A141="","",IF($U141="Profit",$P141-$H141,0))</x:f>
      </x:c>
      <x:c r="R141" s="251">
        <x:f>IF($A141="","",IF($U141="Draw",$H141,0))</x:f>
      </x:c>
      <x:c r="S141" s="251">
        <x:f>IF($A141="","",IF($U141="Disqualified",$H141,0))</x:f>
      </x:c>
      <x:c r="T141" s="255">
        <x:f>IF($A141="","",IF($H141=0,IF($U141="Profit","N/A",0),IF($U141="Profit",$Q141/$H141,IF($U141="Disqualified",-1,0))))</x:f>
      </x:c>
      <x:c r="U141" s="254">
        <x:f>IF($A141="","",IF(LOWER($L141&amp;"")="yes","Disqualified",IF($P141&gt;$H141,"Profit","Draw")))</x:f>
      </x:c>
      <x:c r="V141" s="253">
        <x:f>IF(OR($B141="",$C141=""),"",IFERROR(ROUNDUP((IF(ISNUMBER($C141),$C141,DATEVALUE($C141))-IF(ISNUMBER($B141),$B141,DATEVALUE($B141)))/7,0),""))</x:f>
      </x:c>
      <x:c r="W141" s="254">
        <x:f>$Q141-$S141</x:f>
      </x:c>
      <x:c r="X141" s="256">
        <x:f>IF(OR($J141="",$I141="",$J141=0,$I141=0,$I141&gt;$J141),"",$J141-$I141)</x:f>
      </x:c>
      <x:c r="Y141" s="257">
        <x:f>IF(OR($J141="",$J141=0,$X141=""),"",$X141/$J141)</x:f>
      </x:c>
    </x:row>
    <x:row r="142" s="106" customFormat="1" ht="21" customHeight="1">
      <x:c r="A142" s="54" t="n"/>
      <x:c r="B142" s="250" t="n"/>
      <x:c r="C142" s="250" t="n"/>
      <x:c r="D142" s="54" t="n"/>
      <x:c r="E142" s="251" t="n"/>
      <x:c r="F142" s="251" t="n"/>
      <x:c r="G142" s="251" t="n"/>
      <x:c r="H142" s="251" t="n"/>
      <x:c r="I142" s="252" t="n"/>
      <x:c r="J142" s="253" t="n"/>
      <x:c r="K142" s="254" t="n"/>
      <x:c r="L142" s="50" t="n"/>
      <x:c r="M142" s="251" t="n"/>
      <x:c r="N142" s="251">
        <x:f>IF($A142="","",IF($G142="","",IF(ISNUMBER(SEARCH("non",LOWER($E142&amp;""))),$G142*0.85,$G142)))</x:f>
      </x:c>
      <x:c r="O142" s="251">
        <x:f>IF($A142="","",IF(OR($N142="",$I142="",$I142=0),"",$N142/$I142))</x:f>
      </x:c>
      <x:c r="P142" s="251">
        <x:f>IF($A142="","",IF(LOWER($L142&amp;"")="yes",0,IF($K142&lt;&gt;"",$K142,IF($O142&lt;&gt;"",$O142,""))))</x:f>
      </x:c>
      <x:c r="Q142" s="254">
        <x:f>IF($A142="","",IF($U142="Profit",$P142-$H142,0))</x:f>
      </x:c>
      <x:c r="R142" s="251">
        <x:f>IF($A142="","",IF($U142="Draw",$H142,0))</x:f>
      </x:c>
      <x:c r="S142" s="251">
        <x:f>IF($A142="","",IF($U142="Disqualified",$H142,0))</x:f>
      </x:c>
      <x:c r="T142" s="255">
        <x:f>IF($A142="","",IF($H142=0,IF($U142="Profit","N/A",0),IF($U142="Profit",$Q142/$H142,IF($U142="Disqualified",-1,0))))</x:f>
      </x:c>
      <x:c r="U142" s="254">
        <x:f>IF($A142="","",IF(LOWER($L142&amp;"")="yes","Disqualified",IF($P142&gt;$H142,"Profit","Draw")))</x:f>
      </x:c>
      <x:c r="V142" s="253">
        <x:f>IF(OR($B142="",$C142=""),"",IFERROR(ROUNDUP((IF(ISNUMBER($C142),$C142,DATEVALUE($C142))-IF(ISNUMBER($B142),$B142,DATEVALUE($B142)))/7,0),""))</x:f>
      </x:c>
      <x:c r="W142" s="254">
        <x:f>$Q142-$S142</x:f>
      </x:c>
      <x:c r="X142" s="256">
        <x:f>IF(OR($J142="",$I142="",$J142=0,$I142=0,$I142&gt;$J142),"",$J142-$I142)</x:f>
      </x:c>
      <x:c r="Y142" s="257">
        <x:f>IF(OR($J142="",$J142=0,$X142=""),"",$X142/$J142)</x:f>
      </x:c>
    </x:row>
    <x:row r="143" s="106" customFormat="1" ht="21" customHeight="1">
      <x:c r="A143" s="54" t="n"/>
      <x:c r="B143" s="250" t="n"/>
      <x:c r="C143" s="250" t="n"/>
      <x:c r="D143" s="54" t="n"/>
      <x:c r="E143" s="251" t="n"/>
      <x:c r="F143" s="251" t="n"/>
      <x:c r="G143" s="251" t="n"/>
      <x:c r="H143" s="251" t="n"/>
      <x:c r="I143" s="252" t="n"/>
      <x:c r="J143" s="253" t="n"/>
      <x:c r="K143" s="254" t="n"/>
      <x:c r="L143" s="50" t="n"/>
      <x:c r="M143" s="251" t="n"/>
      <x:c r="N143" s="251">
        <x:f>IF($A143="","",IF($G143="","",IF(ISNUMBER(SEARCH("non",LOWER($E143&amp;""))),$G143*0.85,$G143)))</x:f>
      </x:c>
      <x:c r="O143" s="251">
        <x:f>IF($A143="","",IF(OR($N143="",$I143="",$I143=0),"",$N143/$I143))</x:f>
      </x:c>
      <x:c r="P143" s="251">
        <x:f>IF($A143="","",IF(LOWER($L143&amp;"")="yes",0,IF($K143&lt;&gt;"",$K143,IF($O143&lt;&gt;"",$O143,""))))</x:f>
      </x:c>
      <x:c r="Q143" s="254">
        <x:f>IF($A143="","",IF($U143="Profit",$P143-$H143,0))</x:f>
      </x:c>
      <x:c r="R143" s="251">
        <x:f>IF($A143="","",IF($U143="Draw",$H143,0))</x:f>
      </x:c>
      <x:c r="S143" s="251">
        <x:f>IF($A143="","",IF($U143="Disqualified",$H143,0))</x:f>
      </x:c>
      <x:c r="T143" s="255">
        <x:f>IF($A143="","",IF($H143=0,IF($U143="Profit","N/A",0),IF($U143="Profit",$Q143/$H143,IF($U143="Disqualified",-1,0))))</x:f>
      </x:c>
      <x:c r="U143" s="254">
        <x:f>IF($A143="","",IF(LOWER($L143&amp;"")="yes","Disqualified",IF($P143&gt;$H143,"Profit","Draw")))</x:f>
      </x:c>
      <x:c r="V143" s="253">
        <x:f>IF(OR($B143="",$C143=""),"",IFERROR(ROUNDUP((IF(ISNUMBER($C143),$C143,DATEVALUE($C143))-IF(ISNUMBER($B143),$B143,DATEVALUE($B143)))/7,0),""))</x:f>
      </x:c>
      <x:c r="W143" s="254">
        <x:f>$Q143-$S143</x:f>
      </x:c>
      <x:c r="X143" s="256">
        <x:f>IF(OR($J143="",$I143="",$J143=0,$I143=0,$I143&gt;$J143),"",$J143-$I143)</x:f>
      </x:c>
      <x:c r="Y143" s="257">
        <x:f>IF(OR($J143="",$J143=0,$X143=""),"",$X143/$J143)</x:f>
      </x:c>
    </x:row>
    <x:row r="144" s="106" customFormat="1" ht="21" customHeight="1">
      <x:c r="A144" s="54" t="n"/>
      <x:c r="B144" s="250" t="n"/>
      <x:c r="C144" s="250" t="n"/>
      <x:c r="D144" s="54" t="n"/>
      <x:c r="E144" s="251" t="n"/>
      <x:c r="F144" s="251" t="n"/>
      <x:c r="G144" s="251" t="n"/>
      <x:c r="H144" s="251" t="n"/>
      <x:c r="I144" s="252" t="n"/>
      <x:c r="J144" s="253" t="n"/>
      <x:c r="K144" s="254" t="n"/>
      <x:c r="L144" s="50" t="n"/>
      <x:c r="M144" s="251" t="n"/>
      <x:c r="N144" s="251">
        <x:f>IF($A144="","",IF($G144="","",IF(ISNUMBER(SEARCH("non",LOWER($E144&amp;""))),$G144*0.85,$G144)))</x:f>
      </x:c>
      <x:c r="O144" s="251">
        <x:f>IF($A144="","",IF(OR($N144="",$I144="",$I144=0),"",$N144/$I144))</x:f>
      </x:c>
      <x:c r="P144" s="251">
        <x:f>IF($A144="","",IF(LOWER($L144&amp;"")="yes",0,IF($K144&lt;&gt;"",$K144,IF($O144&lt;&gt;"",$O144,""))))</x:f>
      </x:c>
      <x:c r="Q144" s="254">
        <x:f>IF($A144="","",IF($U144="Profit",$P144-$H144,0))</x:f>
      </x:c>
      <x:c r="R144" s="251">
        <x:f>IF($A144="","",IF($U144="Draw",$H144,0))</x:f>
      </x:c>
      <x:c r="S144" s="251">
        <x:f>IF($A144="","",IF($U144="Disqualified",$H144,0))</x:f>
      </x:c>
      <x:c r="T144" s="255">
        <x:f>IF($A144="","",IF($H144=0,IF($U144="Profit","N/A",0),IF($U144="Profit",$Q144/$H144,IF($U144="Disqualified",-1,0))))</x:f>
      </x:c>
      <x:c r="U144" s="254">
        <x:f>IF($A144="","",IF(LOWER($L144&amp;"")="yes","Disqualified",IF($P144&gt;$H144,"Profit","Draw")))</x:f>
      </x:c>
      <x:c r="V144" s="253">
        <x:f>IF(OR($B144="",$C144=""),"",IFERROR(ROUNDUP((IF(ISNUMBER($C144),$C144,DATEVALUE($C144))-IF(ISNUMBER($B144),$B144,DATEVALUE($B144)))/7,0),""))</x:f>
      </x:c>
      <x:c r="W144" s="254">
        <x:f>$Q144-$S144</x:f>
      </x:c>
      <x:c r="X144" s="256">
        <x:f>IF(OR($J144="",$I144="",$J144=0,$I144=0,$I144&gt;$J144),"",$J144-$I144)</x:f>
      </x:c>
      <x:c r="Y144" s="257">
        <x:f>IF(OR($J144="",$J144=0,$X144=""),"",$X144/$J144)</x:f>
      </x:c>
    </x:row>
    <x:row r="145" s="106" customFormat="1" ht="21" customHeight="1">
      <x:c r="A145" s="54" t="n"/>
      <x:c r="B145" s="250" t="n"/>
      <x:c r="C145" s="250" t="n"/>
      <x:c r="D145" s="54" t="n"/>
      <x:c r="E145" s="251" t="n"/>
      <x:c r="F145" s="251" t="n"/>
      <x:c r="G145" s="251" t="n"/>
      <x:c r="H145" s="251" t="n"/>
      <x:c r="I145" s="252" t="n"/>
      <x:c r="J145" s="253" t="n"/>
      <x:c r="K145" s="254" t="n"/>
      <x:c r="L145" s="50" t="n"/>
      <x:c r="M145" s="251" t="n"/>
      <x:c r="N145" s="251">
        <x:f>IF($A145="","",IF($G145="","",IF(ISNUMBER(SEARCH("non",LOWER($E145&amp;""))),$G145*0.85,$G145)))</x:f>
      </x:c>
      <x:c r="O145" s="251">
        <x:f>IF($A145="","",IF(OR($N145="",$I145="",$I145=0),"",$N145/$I145))</x:f>
      </x:c>
      <x:c r="P145" s="251">
        <x:f>IF($A145="","",IF(LOWER($L145&amp;"")="yes",0,IF($K145&lt;&gt;"",$K145,IF($O145&lt;&gt;"",$O145,""))))</x:f>
      </x:c>
      <x:c r="Q145" s="254">
        <x:f>IF($A145="","",IF($U145="Profit",$P145-$H145,0))</x:f>
      </x:c>
      <x:c r="R145" s="251">
        <x:f>IF($A145="","",IF($U145="Draw",$H145,0))</x:f>
      </x:c>
      <x:c r="S145" s="251">
        <x:f>IF($A145="","",IF($U145="Disqualified",$H145,0))</x:f>
      </x:c>
      <x:c r="T145" s="255">
        <x:f>IF($A145="","",IF($H145=0,IF($U145="Profit","N/A",0),IF($U145="Profit",$Q145/$H145,IF($U145="Disqualified",-1,0))))</x:f>
      </x:c>
      <x:c r="U145" s="254">
        <x:f>IF($A145="","",IF(LOWER($L145&amp;"")="yes","Disqualified",IF($P145&gt;$H145,"Profit","Draw")))</x:f>
      </x:c>
      <x:c r="V145" s="253">
        <x:f>IF(OR($B145="",$C145=""),"",IFERROR(ROUNDUP((IF(ISNUMBER($C145),$C145,DATEVALUE($C145))-IF(ISNUMBER($B145),$B145,DATEVALUE($B145)))/7,0),""))</x:f>
      </x:c>
      <x:c r="W145" s="254">
        <x:f>$Q145-$S145</x:f>
      </x:c>
      <x:c r="X145" s="256">
        <x:f>IF(OR($J145="",$I145="",$J145=0,$I145=0,$I145&gt;$J145),"",$J145-$I145)</x:f>
      </x:c>
      <x:c r="Y145" s="257">
        <x:f>IF(OR($J145="",$J145=0,$X145=""),"",$X145/$J145)</x:f>
      </x:c>
    </x:row>
    <x:row r="146" s="106" customFormat="1" ht="21" customHeight="1">
      <x:c r="A146" s="54" t="n"/>
      <x:c r="B146" s="250" t="n"/>
      <x:c r="C146" s="250" t="n"/>
      <x:c r="D146" s="54" t="n"/>
      <x:c r="E146" s="251" t="n"/>
      <x:c r="F146" s="251" t="n"/>
      <x:c r="G146" s="251" t="n"/>
      <x:c r="H146" s="251" t="n"/>
      <x:c r="I146" s="252" t="n"/>
      <x:c r="J146" s="253" t="n"/>
      <x:c r="K146" s="254" t="n"/>
      <x:c r="L146" s="50" t="n"/>
      <x:c r="M146" s="251" t="n"/>
      <x:c r="N146" s="251">
        <x:f>IF($A146="","",IF($G146="","",IF(ISNUMBER(SEARCH("non",LOWER($E146&amp;""))),$G146*0.85,$G146)))</x:f>
      </x:c>
      <x:c r="O146" s="251">
        <x:f>IF($A146="","",IF(OR($N146="",$I146="",$I146=0),"",$N146/$I146))</x:f>
      </x:c>
      <x:c r="P146" s="251">
        <x:f>IF($A146="","",IF(LOWER($L146&amp;"")="yes",0,IF($K146&lt;&gt;"",$K146,IF($O146&lt;&gt;"",$O146,""))))</x:f>
      </x:c>
      <x:c r="Q146" s="254">
        <x:f>IF($A146="","",IF($U146="Profit",$P146-$H146,0))</x:f>
      </x:c>
      <x:c r="R146" s="251">
        <x:f>IF($A146="","",IF($U146="Draw",$H146,0))</x:f>
      </x:c>
      <x:c r="S146" s="251">
        <x:f>IF($A146="","",IF($U146="Disqualified",$H146,0))</x:f>
      </x:c>
      <x:c r="T146" s="255">
        <x:f>IF($A146="","",IF($H146=0,IF($U146="Profit","N/A",0),IF($U146="Profit",$Q146/$H146,IF($U146="Disqualified",-1,0))))</x:f>
      </x:c>
      <x:c r="U146" s="254">
        <x:f>IF($A146="","",IF(LOWER($L146&amp;"")="yes","Disqualified",IF($P146&gt;$H146,"Profit","Draw")))</x:f>
      </x:c>
      <x:c r="V146" s="253">
        <x:f>IF(OR($B146="",$C146=""),"",IFERROR(ROUNDUP((IF(ISNUMBER($C146),$C146,DATEVALUE($C146))-IF(ISNUMBER($B146),$B146,DATEVALUE($B146)))/7,0),""))</x:f>
      </x:c>
      <x:c r="W146" s="254">
        <x:f>$Q146-$S146</x:f>
      </x:c>
      <x:c r="X146" s="256">
        <x:f>IF(OR($J146="",$I146="",$J146=0,$I146=0,$I146&gt;$J146),"",$J146-$I146)</x:f>
      </x:c>
      <x:c r="Y146" s="257">
        <x:f>IF(OR($J146="",$J146=0,$X146=""),"",$X146/$J146)</x:f>
      </x:c>
    </x:row>
    <x:row r="147" s="106" customFormat="1" ht="21" customHeight="1">
      <x:c r="A147" s="54" t="n"/>
      <x:c r="B147" s="250" t="n"/>
      <x:c r="C147" s="250" t="n"/>
      <x:c r="D147" s="54" t="n"/>
      <x:c r="E147" s="251" t="n"/>
      <x:c r="F147" s="251" t="n"/>
      <x:c r="G147" s="251" t="n"/>
      <x:c r="H147" s="251" t="n"/>
      <x:c r="I147" s="252" t="n"/>
      <x:c r="J147" s="253" t="n"/>
      <x:c r="K147" s="254" t="n"/>
      <x:c r="L147" s="50" t="n"/>
      <x:c r="M147" s="251" t="n"/>
      <x:c r="N147" s="251">
        <x:f>IF($A147="","",IF($G147="","",IF(ISNUMBER(SEARCH("non",LOWER($E147&amp;""))),$G147*0.85,$G147)))</x:f>
      </x:c>
      <x:c r="O147" s="251">
        <x:f>IF($A147="","",IF(OR($N147="",$I147="",$I147=0),"",$N147/$I147))</x:f>
      </x:c>
      <x:c r="P147" s="251">
        <x:f>IF($A147="","",IF(LOWER($L147&amp;"")="yes",0,IF($K147&lt;&gt;"",$K147,IF($O147&lt;&gt;"",$O147,""))))</x:f>
      </x:c>
      <x:c r="Q147" s="254">
        <x:f>IF($A147="","",IF($U147="Profit",$P147-$H147,0))</x:f>
      </x:c>
      <x:c r="R147" s="251">
        <x:f>IF($A147="","",IF($U147="Draw",$H147,0))</x:f>
      </x:c>
      <x:c r="S147" s="251">
        <x:f>IF($A147="","",IF($U147="Disqualified",$H147,0))</x:f>
      </x:c>
      <x:c r="T147" s="255">
        <x:f>IF($A147="","",IF($H147=0,IF($U147="Profit","N/A",0),IF($U147="Profit",$Q147/$H147,IF($U147="Disqualified",-1,0))))</x:f>
      </x:c>
      <x:c r="U147" s="254">
        <x:f>IF($A147="","",IF(LOWER($L147&amp;"")="yes","Disqualified",IF($P147&gt;$H147,"Profit","Draw")))</x:f>
      </x:c>
      <x:c r="V147" s="253">
        <x:f>IF(OR($B147="",$C147=""),"",IFERROR(ROUNDUP((IF(ISNUMBER($C147),$C147,DATEVALUE($C147))-IF(ISNUMBER($B147),$B147,DATEVALUE($B147)))/7,0),""))</x:f>
      </x:c>
      <x:c r="W147" s="254">
        <x:f>$Q147-$S147</x:f>
      </x:c>
      <x:c r="X147" s="256">
        <x:f>IF(OR($J147="",$I147="",$J147=0,$I147=0,$I147&gt;$J147),"",$J147-$I147)</x:f>
      </x:c>
      <x:c r="Y147" s="257">
        <x:f>IF(OR($J147="",$J147=0,$X147=""),"",$X147/$J147)</x:f>
      </x:c>
    </x:row>
    <x:row r="148" s="106" customFormat="1" ht="21" customHeight="1">
      <x:c r="A148" s="54" t="n"/>
      <x:c r="B148" s="250" t="n"/>
      <x:c r="C148" s="250" t="n"/>
      <x:c r="D148" s="54" t="n"/>
      <x:c r="E148" s="251" t="n"/>
      <x:c r="F148" s="251" t="n"/>
      <x:c r="G148" s="251" t="n"/>
      <x:c r="H148" s="251" t="n"/>
      <x:c r="I148" s="252" t="n"/>
      <x:c r="J148" s="253" t="n"/>
      <x:c r="K148" s="254" t="n"/>
      <x:c r="L148" s="50" t="n"/>
      <x:c r="M148" s="251" t="n"/>
      <x:c r="N148" s="251">
        <x:f>IF($A148="","",IF($G148="","",IF(ISNUMBER(SEARCH("non",LOWER($E148&amp;""))),$G148*0.85,$G148)))</x:f>
      </x:c>
      <x:c r="O148" s="251">
        <x:f>IF($A148="","",IF(OR($N148="",$I148="",$I148=0),"",$N148/$I148))</x:f>
      </x:c>
      <x:c r="P148" s="251">
        <x:f>IF($A148="","",IF(LOWER($L148&amp;"")="yes",0,IF($K148&lt;&gt;"",$K148,IF($O148&lt;&gt;"",$O148,""))))</x:f>
      </x:c>
      <x:c r="Q148" s="254">
        <x:f>IF($A148="","",IF($U148="Profit",$P148-$H148,0))</x:f>
      </x:c>
      <x:c r="R148" s="251">
        <x:f>IF($A148="","",IF($U148="Draw",$H148,0))</x:f>
      </x:c>
      <x:c r="S148" s="251">
        <x:f>IF($A148="","",IF($U148="Disqualified",$H148,0))</x:f>
      </x:c>
      <x:c r="T148" s="255">
        <x:f>IF($A148="","",IF($H148=0,IF($U148="Profit","N/A",0),IF($U148="Profit",$Q148/$H148,IF($U148="Disqualified",-1,0))))</x:f>
      </x:c>
      <x:c r="U148" s="254">
        <x:f>IF($A148="","",IF(LOWER($L148&amp;"")="yes","Disqualified",IF($P148&gt;$H148,"Profit","Draw")))</x:f>
      </x:c>
      <x:c r="V148" s="253">
        <x:f>IF(OR($B148="",$C148=""),"",IFERROR(ROUNDUP((IF(ISNUMBER($C148),$C148,DATEVALUE($C148))-IF(ISNUMBER($B148),$B148,DATEVALUE($B148)))/7,0),""))</x:f>
      </x:c>
      <x:c r="W148" s="254">
        <x:f>$Q148-$S148</x:f>
      </x:c>
      <x:c r="X148" s="256">
        <x:f>IF(OR($J148="",$I148="",$J148=0,$I148=0,$I148&gt;$J148),"",$J148-$I148)</x:f>
      </x:c>
      <x:c r="Y148" s="257">
        <x:f>IF(OR($J148="",$J148=0,$X148=""),"",$X148/$J148)</x:f>
      </x:c>
    </x:row>
    <x:row r="149" s="106" customFormat="1" ht="21" customHeight="1">
      <x:c r="A149" s="54" t="n"/>
      <x:c r="B149" s="250" t="n"/>
      <x:c r="C149" s="250" t="n"/>
      <x:c r="D149" s="54" t="n"/>
      <x:c r="E149" s="251" t="n"/>
      <x:c r="F149" s="251" t="n"/>
      <x:c r="G149" s="251" t="n"/>
      <x:c r="H149" s="251" t="n"/>
      <x:c r="I149" s="252" t="n"/>
      <x:c r="J149" s="253" t="n"/>
      <x:c r="K149" s="254" t="n"/>
      <x:c r="L149" s="50" t="n"/>
      <x:c r="M149" s="251" t="n"/>
      <x:c r="N149" s="251">
        <x:f>IF($A149="","",IF($G149="","",IF(ISNUMBER(SEARCH("non",LOWER($E149&amp;""))),$G149*0.85,$G149)))</x:f>
      </x:c>
      <x:c r="O149" s="251">
        <x:f>IF($A149="","",IF(OR($N149="",$I149="",$I149=0),"",$N149/$I149))</x:f>
      </x:c>
      <x:c r="P149" s="251">
        <x:f>IF($A149="","",IF(LOWER($L149&amp;"")="yes",0,IF($K149&lt;&gt;"",$K149,IF($O149&lt;&gt;"",$O149,""))))</x:f>
      </x:c>
      <x:c r="Q149" s="254">
        <x:f>IF($A149="","",IF($U149="Profit",$P149-$H149,0))</x:f>
      </x:c>
      <x:c r="R149" s="251">
        <x:f>IF($A149="","",IF($U149="Draw",$H149,0))</x:f>
      </x:c>
      <x:c r="S149" s="251">
        <x:f>IF($A149="","",IF($U149="Disqualified",$H149,0))</x:f>
      </x:c>
      <x:c r="T149" s="255">
        <x:f>IF($A149="","",IF($H149=0,IF($U149="Profit","N/A",0),IF($U149="Profit",$Q149/$H149,IF($U149="Disqualified",-1,0))))</x:f>
      </x:c>
      <x:c r="U149" s="254">
        <x:f>IF($A149="","",IF(LOWER($L149&amp;"")="yes","Disqualified",IF($P149&gt;$H149,"Profit","Draw")))</x:f>
      </x:c>
      <x:c r="V149" s="253">
        <x:f>IF(OR($B149="",$C149=""),"",IFERROR(ROUNDUP((IF(ISNUMBER($C149),$C149,DATEVALUE($C149))-IF(ISNUMBER($B149),$B149,DATEVALUE($B149)))/7,0),""))</x:f>
      </x:c>
      <x:c r="W149" s="254">
        <x:f>$Q149-$S149</x:f>
      </x:c>
      <x:c r="X149" s="256">
        <x:f>IF(OR($J149="",$I149="",$J149=0,$I149=0,$I149&gt;$J149),"",$J149-$I149)</x:f>
      </x:c>
      <x:c r="Y149" s="257">
        <x:f>IF(OR($J149="",$J149=0,$X149=""),"",$X149/$J149)</x:f>
      </x:c>
    </x:row>
    <x:row r="150" s="106" customFormat="1" ht="21" customHeight="1">
      <x:c r="A150" s="54" t="n"/>
      <x:c r="B150" s="250" t="n"/>
      <x:c r="C150" s="250" t="n"/>
      <x:c r="D150" s="54" t="n"/>
      <x:c r="E150" s="251" t="n"/>
      <x:c r="F150" s="251" t="n"/>
      <x:c r="G150" s="251" t="n"/>
      <x:c r="H150" s="251" t="n"/>
      <x:c r="I150" s="252" t="n"/>
      <x:c r="J150" s="253" t="n"/>
      <x:c r="K150" s="254" t="n"/>
      <x:c r="L150" s="50" t="n"/>
      <x:c r="M150" s="251" t="n"/>
      <x:c r="N150" s="251">
        <x:f>IF($A150="","",IF($G150="","",IF(ISNUMBER(SEARCH("non",LOWER($E150&amp;""))),$G150*0.85,$G150)))</x:f>
      </x:c>
      <x:c r="O150" s="251">
        <x:f>IF($A150="","",IF(OR($N150="",$I150="",$I150=0),"",$N150/$I150))</x:f>
      </x:c>
      <x:c r="P150" s="251">
        <x:f>IF($A150="","",IF(LOWER($L150&amp;"")="yes",0,IF($K150&lt;&gt;"",$K150,IF($O150&lt;&gt;"",$O150,""))))</x:f>
      </x:c>
      <x:c r="Q150" s="254">
        <x:f>IF($A150="","",IF($U150="Profit",$P150-$H150,0))</x:f>
      </x:c>
      <x:c r="R150" s="251">
        <x:f>IF($A150="","",IF($U150="Draw",$H150,0))</x:f>
      </x:c>
      <x:c r="S150" s="251">
        <x:f>IF($A150="","",IF($U150="Disqualified",$H150,0))</x:f>
      </x:c>
      <x:c r="T150" s="255">
        <x:f>IF($A150="","",IF($H150=0,IF($U150="Profit","N/A",0),IF($U150="Profit",$Q150/$H150,IF($U150="Disqualified",-1,0))))</x:f>
      </x:c>
      <x:c r="U150" s="254">
        <x:f>IF($A150="","",IF(LOWER($L150&amp;"")="yes","Disqualified",IF($P150&gt;$H150,"Profit","Draw")))</x:f>
      </x:c>
      <x:c r="V150" s="253">
        <x:f>IF(OR($B150="",$C150=""),"",IFERROR(ROUNDUP((IF(ISNUMBER($C150),$C150,DATEVALUE($C150))-IF(ISNUMBER($B150),$B150,DATEVALUE($B150)))/7,0),""))</x:f>
      </x:c>
      <x:c r="W150" s="254">
        <x:f>$Q150-$S150</x:f>
      </x:c>
      <x:c r="X150" s="256">
        <x:f>IF(OR($J150="",$I150="",$J150=0,$I150=0,$I150&gt;$J150),"",$J150-$I150)</x:f>
      </x:c>
      <x:c r="Y150" s="257">
        <x:f>IF(OR($J150="",$J150=0,$X150=""),"",$X150/$J150)</x:f>
      </x:c>
    </x:row>
    <x:row r="151" s="106" customFormat="1" ht="21" customHeight="1">
      <x:c r="A151" s="54" t="n"/>
      <x:c r="B151" s="250" t="n"/>
      <x:c r="C151" s="250" t="n"/>
      <x:c r="D151" s="54" t="n"/>
      <x:c r="E151" s="251" t="n"/>
      <x:c r="F151" s="251" t="n"/>
      <x:c r="G151" s="251" t="n"/>
      <x:c r="H151" s="251" t="n"/>
      <x:c r="I151" s="252" t="n"/>
      <x:c r="J151" s="253" t="n"/>
      <x:c r="K151" s="254" t="n"/>
      <x:c r="L151" s="50" t="n"/>
      <x:c r="M151" s="251" t="n"/>
      <x:c r="N151" s="251">
        <x:f>IF($A151="","",IF($G151="","",IF(ISNUMBER(SEARCH("non",LOWER($E151&amp;""))),$G151*0.85,$G151)))</x:f>
      </x:c>
      <x:c r="O151" s="251">
        <x:f>IF($A151="","",IF(OR($N151="",$I151="",$I151=0),"",$N151/$I151))</x:f>
      </x:c>
      <x:c r="P151" s="251">
        <x:f>IF($A151="","",IF(LOWER($L151&amp;"")="yes",0,IF($K151&lt;&gt;"",$K151,IF($O151&lt;&gt;"",$O151,""))))</x:f>
      </x:c>
      <x:c r="Q151" s="254">
        <x:f>IF($A151="","",IF($U151="Profit",$P151-$H151,0))</x:f>
      </x:c>
      <x:c r="R151" s="251">
        <x:f>IF($A151="","",IF($U151="Draw",$H151,0))</x:f>
      </x:c>
      <x:c r="S151" s="251">
        <x:f>IF($A151="","",IF($U151="Disqualified",$H151,0))</x:f>
      </x:c>
      <x:c r="T151" s="255">
        <x:f>IF($A151="","",IF($H151=0,IF($U151="Profit","N/A",0),IF($U151="Profit",$Q151/$H151,IF($U151="Disqualified",-1,0))))</x:f>
      </x:c>
      <x:c r="U151" s="254">
        <x:f>IF($A151="","",IF(LOWER($L151&amp;"")="yes","Disqualified",IF($P151&gt;$H151,"Profit","Draw")))</x:f>
      </x:c>
      <x:c r="V151" s="253">
        <x:f>IF(OR($B151="",$C151=""),"",IFERROR(ROUNDUP((IF(ISNUMBER($C151),$C151,DATEVALUE($C151))-IF(ISNUMBER($B151),$B151,DATEVALUE($B151)))/7,0),""))</x:f>
      </x:c>
      <x:c r="W151" s="254">
        <x:f>$Q151-$S151</x:f>
      </x:c>
      <x:c r="X151" s="256">
        <x:f>IF(OR($J151="",$I151="",$J151=0,$I151=0,$I151&gt;$J151),"",$J151-$I151)</x:f>
      </x:c>
      <x:c r="Y151" s="257">
        <x:f>IF(OR($J151="",$J151=0,$X151=""),"",$X151/$J151)</x:f>
      </x:c>
    </x:row>
    <x:row r="152" s="106" customFormat="1" ht="21" customHeight="1">
      <x:c r="A152" s="54" t="n"/>
      <x:c r="B152" s="250" t="n"/>
      <x:c r="C152" s="250" t="n"/>
      <x:c r="D152" s="54" t="n"/>
      <x:c r="E152" s="251" t="n"/>
      <x:c r="F152" s="251" t="n"/>
      <x:c r="G152" s="251" t="n"/>
      <x:c r="H152" s="251" t="n"/>
      <x:c r="I152" s="252" t="n"/>
      <x:c r="J152" s="253" t="n"/>
      <x:c r="K152" s="254" t="n"/>
      <x:c r="L152" s="50" t="n"/>
      <x:c r="M152" s="251" t="n"/>
      <x:c r="N152" s="251">
        <x:f>IF($A152="","",IF($G152="","",IF(ISNUMBER(SEARCH("non",LOWER($E152&amp;""))),$G152*0.85,$G152)))</x:f>
      </x:c>
      <x:c r="O152" s="251">
        <x:f>IF($A152="","",IF(OR($N152="",$I152="",$I152=0),"",$N152/$I152))</x:f>
      </x:c>
      <x:c r="P152" s="251">
        <x:f>IF($A152="","",IF(LOWER($L152&amp;"")="yes",0,IF($K152&lt;&gt;"",$K152,IF($O152&lt;&gt;"",$O152,""))))</x:f>
      </x:c>
      <x:c r="Q152" s="254">
        <x:f>IF($A152="","",IF($U152="Profit",$P152-$H152,0))</x:f>
      </x:c>
      <x:c r="R152" s="251">
        <x:f>IF($A152="","",IF($U152="Draw",$H152,0))</x:f>
      </x:c>
      <x:c r="S152" s="251">
        <x:f>IF($A152="","",IF($U152="Disqualified",$H152,0))</x:f>
      </x:c>
      <x:c r="T152" s="255">
        <x:f>IF($A152="","",IF($H152=0,IF($U152="Profit","N/A",0),IF($U152="Profit",$Q152/$H152,IF($U152="Disqualified",-1,0))))</x:f>
      </x:c>
      <x:c r="U152" s="254">
        <x:f>IF($A152="","",IF(LOWER($L152&amp;"")="yes","Disqualified",IF($P152&gt;$H152,"Profit","Draw")))</x:f>
      </x:c>
      <x:c r="V152" s="253">
        <x:f>IF(OR($B152="",$C152=""),"",IFERROR(ROUNDUP((IF(ISNUMBER($C152),$C152,DATEVALUE($C152))-IF(ISNUMBER($B152),$B152,DATEVALUE($B152)))/7,0),""))</x:f>
      </x:c>
      <x:c r="W152" s="254">
        <x:f>$Q152-$S152</x:f>
      </x:c>
      <x:c r="X152" s="256">
        <x:f>IF(OR($J152="",$I152="",$J152=0,$I152=0,$I152&gt;$J152),"",$J152-$I152)</x:f>
      </x:c>
      <x:c r="Y152" s="257">
        <x:f>IF(OR($J152="",$J152=0,$X152=""),"",$X152/$J152)</x:f>
      </x:c>
    </x:row>
    <x:row r="153" s="106" customFormat="1" ht="21" customHeight="1">
      <x:c r="A153" s="54" t="n"/>
      <x:c r="B153" s="250" t="n"/>
      <x:c r="C153" s="250" t="n"/>
      <x:c r="D153" s="54" t="n"/>
      <x:c r="E153" s="251" t="n"/>
      <x:c r="F153" s="251" t="n"/>
      <x:c r="G153" s="251" t="n"/>
      <x:c r="H153" s="251" t="n"/>
      <x:c r="I153" s="252" t="n"/>
      <x:c r="J153" s="253" t="n"/>
      <x:c r="K153" s="254" t="n"/>
      <x:c r="L153" s="50" t="n"/>
      <x:c r="M153" s="251" t="n"/>
      <x:c r="N153" s="251">
        <x:f>IF($A153="","",IF($G153="","",IF(ISNUMBER(SEARCH("non",LOWER($E153&amp;""))),$G153*0.85,$G153)))</x:f>
      </x:c>
      <x:c r="O153" s="251">
        <x:f>IF($A153="","",IF(OR($N153="",$I153="",$I153=0),"",$N153/$I153))</x:f>
      </x:c>
      <x:c r="P153" s="251">
        <x:f>IF($A153="","",IF(LOWER($L153&amp;"")="yes",0,IF($K153&lt;&gt;"",$K153,IF($O153&lt;&gt;"",$O153,""))))</x:f>
      </x:c>
      <x:c r="Q153" s="254">
        <x:f>IF($A153="","",IF($U153="Profit",$P153-$H153,0))</x:f>
      </x:c>
      <x:c r="R153" s="251">
        <x:f>IF($A153="","",IF($U153="Draw",$H153,0))</x:f>
      </x:c>
      <x:c r="S153" s="251">
        <x:f>IF($A153="","",IF($U153="Disqualified",$H153,0))</x:f>
      </x:c>
      <x:c r="T153" s="255">
        <x:f>IF($A153="","",IF($H153=0,IF($U153="Profit","N/A",0),IF($U153="Profit",$Q153/$H153,IF($U153="Disqualified",-1,0))))</x:f>
      </x:c>
      <x:c r="U153" s="254">
        <x:f>IF($A153="","",IF(LOWER($L153&amp;"")="yes","Disqualified",IF($P153&gt;$H153,"Profit","Draw")))</x:f>
      </x:c>
      <x:c r="V153" s="253">
        <x:f>IF(OR($B153="",$C153=""),"",IFERROR(ROUNDUP((IF(ISNUMBER($C153),$C153,DATEVALUE($C153))-IF(ISNUMBER($B153),$B153,DATEVALUE($B153)))/7,0),""))</x:f>
      </x:c>
      <x:c r="W153" s="254">
        <x:f>$Q153-$S153</x:f>
      </x:c>
      <x:c r="X153" s="256">
        <x:f>IF(OR($J153="",$I153="",$J153=0,$I153=0,$I153&gt;$J153),"",$J153-$I153)</x:f>
      </x:c>
      <x:c r="Y153" s="257">
        <x:f>IF(OR($J153="",$J153=0,$X153=""),"",$X153/$J153)</x:f>
      </x:c>
    </x:row>
    <x:row r="154" s="106" customFormat="1" ht="21" customHeight="1">
      <x:c r="A154" s="54" t="n"/>
      <x:c r="B154" s="250" t="n"/>
      <x:c r="C154" s="250" t="n"/>
      <x:c r="D154" s="54" t="n"/>
      <x:c r="E154" s="251" t="n"/>
      <x:c r="F154" s="251" t="n"/>
      <x:c r="G154" s="251" t="n"/>
      <x:c r="H154" s="251" t="n"/>
      <x:c r="I154" s="252" t="n"/>
      <x:c r="J154" s="253" t="n"/>
      <x:c r="K154" s="254" t="n"/>
      <x:c r="L154" s="50" t="n"/>
      <x:c r="M154" s="251" t="n"/>
      <x:c r="N154" s="251">
        <x:f>IF($A154="","",IF($G154="","",IF(ISNUMBER(SEARCH("non",LOWER($E154&amp;""))),$G154*0.85,$G154)))</x:f>
      </x:c>
      <x:c r="O154" s="251">
        <x:f>IF($A154="","",IF(OR($N154="",$I154="",$I154=0),"",$N154/$I154))</x:f>
      </x:c>
      <x:c r="P154" s="251">
        <x:f>IF($A154="","",IF(LOWER($L154&amp;"")="yes",0,IF($K154&lt;&gt;"",$K154,IF($O154&lt;&gt;"",$O154,""))))</x:f>
      </x:c>
      <x:c r="Q154" s="254">
        <x:f>IF($A154="","",IF($U154="Profit",$P154-$H154,0))</x:f>
      </x:c>
      <x:c r="R154" s="251">
        <x:f>IF($A154="","",IF($U154="Draw",$H154,0))</x:f>
      </x:c>
      <x:c r="S154" s="251">
        <x:f>IF($A154="","",IF($U154="Disqualified",$H154,0))</x:f>
      </x:c>
      <x:c r="T154" s="255">
        <x:f>IF($A154="","",IF($H154=0,IF($U154="Profit","N/A",0),IF($U154="Profit",$Q154/$H154,IF($U154="Disqualified",-1,0))))</x:f>
      </x:c>
      <x:c r="U154" s="254">
        <x:f>IF($A154="","",IF(LOWER($L154&amp;"")="yes","Disqualified",IF($P154&gt;$H154,"Profit","Draw")))</x:f>
      </x:c>
      <x:c r="V154" s="253">
        <x:f>IF(OR($B154="",$C154=""),"",IFERROR(ROUNDUP((IF(ISNUMBER($C154),$C154,DATEVALUE($C154))-IF(ISNUMBER($B154),$B154,DATEVALUE($B154)))/7,0),""))</x:f>
      </x:c>
      <x:c r="W154" s="254">
        <x:f>$Q154-$S154</x:f>
      </x:c>
      <x:c r="X154" s="256">
        <x:f>IF(OR($J154="",$I154="",$J154=0,$I154=0,$I154&gt;$J154),"",$J154-$I154)</x:f>
      </x:c>
      <x:c r="Y154" s="257">
        <x:f>IF(OR($J154="",$J154=0,$X154=""),"",$X154/$J154)</x:f>
      </x:c>
    </x:row>
    <x:row r="155" s="106" customFormat="1" ht="21" customHeight="1">
      <x:c r="A155" s="54" t="n"/>
      <x:c r="B155" s="250" t="n"/>
      <x:c r="C155" s="250" t="n"/>
      <x:c r="D155" s="54" t="n"/>
      <x:c r="E155" s="251" t="n"/>
      <x:c r="F155" s="251" t="n"/>
      <x:c r="G155" s="251" t="n"/>
      <x:c r="H155" s="251" t="n"/>
      <x:c r="I155" s="252" t="n"/>
      <x:c r="J155" s="253" t="n"/>
      <x:c r="K155" s="254" t="n"/>
      <x:c r="L155" s="50" t="n"/>
      <x:c r="M155" s="251" t="n"/>
      <x:c r="N155" s="251">
        <x:f>IF($A155="","",IF($G155="","",IF(ISNUMBER(SEARCH("non",LOWER($E155&amp;""))),$G155*0.85,$G155)))</x:f>
      </x:c>
      <x:c r="O155" s="251">
        <x:f>IF($A155="","",IF(OR($N155="",$I155="",$I155=0),"",$N155/$I155))</x:f>
      </x:c>
      <x:c r="P155" s="251">
        <x:f>IF($A155="","",IF(LOWER($L155&amp;"")="yes",0,IF($K155&lt;&gt;"",$K155,IF($O155&lt;&gt;"",$O155,""))))</x:f>
      </x:c>
      <x:c r="Q155" s="254">
        <x:f>IF($A155="","",IF($U155="Profit",$P155-$H155,0))</x:f>
      </x:c>
      <x:c r="R155" s="251">
        <x:f>IF($A155="","",IF($U155="Draw",$H155,0))</x:f>
      </x:c>
      <x:c r="S155" s="251">
        <x:f>IF($A155="","",IF($U155="Disqualified",$H155,0))</x:f>
      </x:c>
      <x:c r="T155" s="255">
        <x:f>IF($A155="","",IF($H155=0,IF($U155="Profit","N/A",0),IF($U155="Profit",$Q155/$H155,IF($U155="Disqualified",-1,0))))</x:f>
      </x:c>
      <x:c r="U155" s="254">
        <x:f>IF($A155="","",IF(LOWER($L155&amp;"")="yes","Disqualified",IF($P155&gt;$H155,"Profit","Draw")))</x:f>
      </x:c>
      <x:c r="V155" s="253">
        <x:f>IF(OR($B155="",$C155=""),"",IFERROR(ROUNDUP((IF(ISNUMBER($C155),$C155,DATEVALUE($C155))-IF(ISNUMBER($B155),$B155,DATEVALUE($B155)))/7,0),""))</x:f>
      </x:c>
      <x:c r="W155" s="254">
        <x:f>$Q155-$S155</x:f>
      </x:c>
      <x:c r="X155" s="256">
        <x:f>IF(OR($J155="",$I155="",$J155=0,$I155=0,$I155&gt;$J155),"",$J155-$I155)</x:f>
      </x:c>
      <x:c r="Y155" s="257">
        <x:f>IF(OR($J155="",$J155=0,$X155=""),"",$X155/$J155)</x:f>
      </x:c>
    </x:row>
    <x:row r="156" s="106" customFormat="1" ht="21" customHeight="1">
      <x:c r="A156" s="54" t="n"/>
      <x:c r="B156" s="250" t="n"/>
      <x:c r="C156" s="250" t="n"/>
      <x:c r="D156" s="54" t="n"/>
      <x:c r="E156" s="251" t="n"/>
      <x:c r="F156" s="251" t="n"/>
      <x:c r="G156" s="251" t="n"/>
      <x:c r="H156" s="251" t="n"/>
      <x:c r="I156" s="252" t="n"/>
      <x:c r="J156" s="253" t="n"/>
      <x:c r="K156" s="254" t="n"/>
      <x:c r="L156" s="50" t="n"/>
      <x:c r="M156" s="251" t="n"/>
      <x:c r="N156" s="251">
        <x:f>IF($A156="","",IF($G156="","",IF(ISNUMBER(SEARCH("non",LOWER($E156&amp;""))),$G156*0.85,$G156)))</x:f>
      </x:c>
      <x:c r="O156" s="251">
        <x:f>IF($A156="","",IF(OR($N156="",$I156="",$I156=0),"",$N156/$I156))</x:f>
      </x:c>
      <x:c r="P156" s="251">
        <x:f>IF($A156="","",IF(LOWER($L156&amp;"")="yes",0,IF($K156&lt;&gt;"",$K156,IF($O156&lt;&gt;"",$O156,""))))</x:f>
      </x:c>
      <x:c r="Q156" s="254">
        <x:f>IF($A156="","",IF($U156="Profit",$P156-$H156,0))</x:f>
      </x:c>
      <x:c r="R156" s="251">
        <x:f>IF($A156="","",IF($U156="Draw",$H156,0))</x:f>
      </x:c>
      <x:c r="S156" s="251">
        <x:f>IF($A156="","",IF($U156="Disqualified",$H156,0))</x:f>
      </x:c>
      <x:c r="T156" s="255">
        <x:f>IF($A156="","",IF($H156=0,IF($U156="Profit","N/A",0),IF($U156="Profit",$Q156/$H156,IF($U156="Disqualified",-1,0))))</x:f>
      </x:c>
      <x:c r="U156" s="254">
        <x:f>IF($A156="","",IF(LOWER($L156&amp;"")="yes","Disqualified",IF($P156&gt;$H156,"Profit","Draw")))</x:f>
      </x:c>
      <x:c r="V156" s="253">
        <x:f>IF(OR($B156="",$C156=""),"",IFERROR(ROUNDUP((IF(ISNUMBER($C156),$C156,DATEVALUE($C156))-IF(ISNUMBER($B156),$B156,DATEVALUE($B156)))/7,0),""))</x:f>
      </x:c>
      <x:c r="W156" s="254">
        <x:f>$Q156-$S156</x:f>
      </x:c>
      <x:c r="X156" s="256">
        <x:f>IF(OR($J156="",$I156="",$J156=0,$I156=0,$I156&gt;$J156),"",$J156-$I156)</x:f>
      </x:c>
      <x:c r="Y156" s="257">
        <x:f>IF(OR($J156="",$J156=0,$X156=""),"",$X156/$J156)</x:f>
      </x:c>
    </x:row>
    <x:row r="157" s="106" customFormat="1" ht="21" customHeight="1">
      <x:c r="A157" s="54" t="n"/>
      <x:c r="B157" s="250" t="n"/>
      <x:c r="C157" s="250" t="n"/>
      <x:c r="D157" s="54" t="n"/>
      <x:c r="E157" s="251" t="n"/>
      <x:c r="F157" s="251" t="n"/>
      <x:c r="G157" s="251" t="n"/>
      <x:c r="H157" s="251" t="n"/>
      <x:c r="I157" s="252" t="n"/>
      <x:c r="J157" s="253" t="n"/>
      <x:c r="K157" s="254" t="n"/>
      <x:c r="L157" s="50" t="n"/>
      <x:c r="M157" s="251" t="n"/>
      <x:c r="N157" s="251">
        <x:f>IF($A157="","",IF($G157="","",IF(ISNUMBER(SEARCH("non",LOWER($E157&amp;""))),$G157*0.85,$G157)))</x:f>
      </x:c>
      <x:c r="O157" s="251">
        <x:f>IF($A157="","",IF(OR($N157="",$I157="",$I157=0),"",$N157/$I157))</x:f>
      </x:c>
      <x:c r="P157" s="251">
        <x:f>IF($A157="","",IF(LOWER($L157&amp;"")="yes",0,IF($K157&lt;&gt;"",$K157,IF($O157&lt;&gt;"",$O157,""))))</x:f>
      </x:c>
      <x:c r="Q157" s="254">
        <x:f>IF($A157="","",IF($U157="Profit",$P157-$H157,0))</x:f>
      </x:c>
      <x:c r="R157" s="251">
        <x:f>IF($A157="","",IF($U157="Draw",$H157,0))</x:f>
      </x:c>
      <x:c r="S157" s="251">
        <x:f>IF($A157="","",IF($U157="Disqualified",$H157,0))</x:f>
      </x:c>
      <x:c r="T157" s="255">
        <x:f>IF($A157="","",IF($H157=0,IF($U157="Profit","N/A",0),IF($U157="Profit",$Q157/$H157,IF($U157="Disqualified",-1,0))))</x:f>
      </x:c>
      <x:c r="U157" s="254">
        <x:f>IF($A157="","",IF(LOWER($L157&amp;"")="yes","Disqualified",IF($P157&gt;$H157,"Profit","Draw")))</x:f>
      </x:c>
      <x:c r="V157" s="253">
        <x:f>IF(OR($B157="",$C157=""),"",IFERROR(ROUNDUP((IF(ISNUMBER($C157),$C157,DATEVALUE($C157))-IF(ISNUMBER($B157),$B157,DATEVALUE($B157)))/7,0),""))</x:f>
      </x:c>
      <x:c r="W157" s="254">
        <x:f>$Q157-$S157</x:f>
      </x:c>
      <x:c r="X157" s="256">
        <x:f>IF(OR($J157="",$I157="",$J157=0,$I157=0,$I157&gt;$J157),"",$J157-$I157)</x:f>
      </x:c>
      <x:c r="Y157" s="257">
        <x:f>IF(OR($J157="",$J157=0,$X157=""),"",$X157/$J157)</x:f>
      </x:c>
    </x:row>
    <x:row r="158" s="106" customFormat="1" ht="21" customHeight="1">
      <x:c r="A158" s="54" t="n"/>
      <x:c r="B158" s="250" t="n"/>
      <x:c r="C158" s="250" t="n"/>
      <x:c r="D158" s="54" t="n"/>
      <x:c r="E158" s="251" t="n"/>
      <x:c r="F158" s="251" t="n"/>
      <x:c r="G158" s="251" t="n"/>
      <x:c r="H158" s="251" t="n"/>
      <x:c r="I158" s="252" t="n"/>
      <x:c r="J158" s="253" t="n"/>
      <x:c r="K158" s="254" t="n"/>
      <x:c r="L158" s="50" t="n"/>
      <x:c r="M158" s="251" t="n"/>
      <x:c r="N158" s="251">
        <x:f>IF($A158="","",IF($G158="","",IF(ISNUMBER(SEARCH("non",LOWER($E158&amp;""))),$G158*0.85,$G158)))</x:f>
      </x:c>
      <x:c r="O158" s="251">
        <x:f>IF($A158="","",IF(OR($N158="",$I158="",$I158=0),"",$N158/$I158))</x:f>
      </x:c>
      <x:c r="P158" s="251">
        <x:f>IF($A158="","",IF(LOWER($L158&amp;"")="yes",0,IF($K158&lt;&gt;"",$K158,IF($O158&lt;&gt;"",$O158,""))))</x:f>
      </x:c>
      <x:c r="Q158" s="254">
        <x:f>IF($A158="","",IF($U158="Profit",$P158-$H158,0))</x:f>
      </x:c>
      <x:c r="R158" s="251">
        <x:f>IF($A158="","",IF($U158="Draw",$H158,0))</x:f>
      </x:c>
      <x:c r="S158" s="251">
        <x:f>IF($A158="","",IF($U158="Disqualified",$H158,0))</x:f>
      </x:c>
      <x:c r="T158" s="255">
        <x:f>IF($A158="","",IF($H158=0,IF($U158="Profit","N/A",0),IF($U158="Profit",$Q158/$H158,IF($U158="Disqualified",-1,0))))</x:f>
      </x:c>
      <x:c r="U158" s="254">
        <x:f>IF($A158="","",IF(LOWER($L158&amp;"")="yes","Disqualified",IF($P158&gt;$H158,"Profit","Draw")))</x:f>
      </x:c>
      <x:c r="V158" s="253">
        <x:f>IF(OR($B158="",$C158=""),"",IFERROR(ROUNDUP((IF(ISNUMBER($C158),$C158,DATEVALUE($C158))-IF(ISNUMBER($B158),$B158,DATEVALUE($B158)))/7,0),""))</x:f>
      </x:c>
      <x:c r="W158" s="254">
        <x:f>$Q158-$S158</x:f>
      </x:c>
      <x:c r="X158" s="256">
        <x:f>IF(OR($J158="",$I158="",$J158=0,$I158=0,$I158&gt;$J158),"",$J158-$I158)</x:f>
      </x:c>
      <x:c r="Y158" s="257">
        <x:f>IF(OR($J158="",$J158=0,$X158=""),"",$X158/$J158)</x:f>
      </x:c>
    </x:row>
    <x:row r="159" s="106" customFormat="1" ht="21" customHeight="1">
      <x:c r="A159" s="54" t="n"/>
      <x:c r="B159" s="250" t="n"/>
      <x:c r="C159" s="250" t="n"/>
      <x:c r="D159" s="54" t="n"/>
      <x:c r="E159" s="251" t="n"/>
      <x:c r="F159" s="251" t="n"/>
      <x:c r="G159" s="251" t="n"/>
      <x:c r="H159" s="251" t="n"/>
      <x:c r="I159" s="252" t="n"/>
      <x:c r="J159" s="253" t="n"/>
      <x:c r="K159" s="254" t="n"/>
      <x:c r="L159" s="50" t="n"/>
      <x:c r="M159" s="251" t="n"/>
      <x:c r="N159" s="251">
        <x:f>IF($A159="","",IF($G159="","",IF(ISNUMBER(SEARCH("non",LOWER($E159&amp;""))),$G159*0.85,$G159)))</x:f>
      </x:c>
      <x:c r="O159" s="251">
        <x:f>IF($A159="","",IF(OR($N159="",$I159="",$I159=0),"",$N159/$I159))</x:f>
      </x:c>
      <x:c r="P159" s="251">
        <x:f>IF($A159="","",IF(LOWER($L159&amp;"")="yes",0,IF($K159&lt;&gt;"",$K159,IF($O159&lt;&gt;"",$O159,""))))</x:f>
      </x:c>
      <x:c r="Q159" s="254">
        <x:f>IF($A159="","",IF($U159="Profit",$P159-$H159,0))</x:f>
      </x:c>
      <x:c r="R159" s="251">
        <x:f>IF($A159="","",IF($U159="Draw",$H159,0))</x:f>
      </x:c>
      <x:c r="S159" s="251">
        <x:f>IF($A159="","",IF($U159="Disqualified",$H159,0))</x:f>
      </x:c>
      <x:c r="T159" s="255">
        <x:f>IF($A159="","",IF($H159=0,IF($U159="Profit","N/A",0),IF($U159="Profit",$Q159/$H159,IF($U159="Disqualified",-1,0))))</x:f>
      </x:c>
      <x:c r="U159" s="254">
        <x:f>IF($A159="","",IF(LOWER($L159&amp;"")="yes","Disqualified",IF($P159&gt;$H159,"Profit","Draw")))</x:f>
      </x:c>
      <x:c r="V159" s="253">
        <x:f>IF(OR($B159="",$C159=""),"",IFERROR(ROUNDUP((IF(ISNUMBER($C159),$C159,DATEVALUE($C159))-IF(ISNUMBER($B159),$B159,DATEVALUE($B159)))/7,0),""))</x:f>
      </x:c>
      <x:c r="W159" s="254">
        <x:f>$Q159-$S159</x:f>
      </x:c>
      <x:c r="X159" s="256">
        <x:f>IF(OR($J159="",$I159="",$J159=0,$I159=0,$I159&gt;$J159),"",$J159-$I159)</x:f>
      </x:c>
      <x:c r="Y159" s="257">
        <x:f>IF(OR($J159="",$J159=0,$X159=""),"",$X159/$J159)</x:f>
      </x:c>
    </x:row>
    <x:row r="160" s="106" customFormat="1" ht="21" customHeight="1">
      <x:c r="A160" s="54" t="n"/>
      <x:c r="B160" s="250" t="n"/>
      <x:c r="C160" s="250" t="n"/>
      <x:c r="D160" s="54" t="n"/>
      <x:c r="E160" s="251" t="n"/>
      <x:c r="F160" s="251" t="n"/>
      <x:c r="G160" s="251" t="n"/>
      <x:c r="H160" s="251" t="n"/>
      <x:c r="I160" s="252" t="n"/>
      <x:c r="J160" s="253" t="n"/>
      <x:c r="K160" s="254" t="n"/>
      <x:c r="L160" s="50" t="n"/>
      <x:c r="M160" s="251" t="n"/>
      <x:c r="N160" s="251">
        <x:f>IF($A160="","",IF($G160="","",IF(ISNUMBER(SEARCH("non",LOWER($E160&amp;""))),$G160*0.85,$G160)))</x:f>
      </x:c>
      <x:c r="O160" s="251">
        <x:f>IF($A160="","",IF(OR($N160="",$I160="",$I160=0),"",$N160/$I160))</x:f>
      </x:c>
      <x:c r="P160" s="251">
        <x:f>IF($A160="","",IF(LOWER($L160&amp;"")="yes",0,IF($K160&lt;&gt;"",$K160,IF($O160&lt;&gt;"",$O160,""))))</x:f>
      </x:c>
      <x:c r="Q160" s="254">
        <x:f>IF($A160="","",IF($U160="Profit",$P160-$H160,0))</x:f>
      </x:c>
      <x:c r="R160" s="251">
        <x:f>IF($A160="","",IF($U160="Draw",$H160,0))</x:f>
      </x:c>
      <x:c r="S160" s="251">
        <x:f>IF($A160="","",IF($U160="Disqualified",$H160,0))</x:f>
      </x:c>
      <x:c r="T160" s="255">
        <x:f>IF($A160="","",IF($H160=0,IF($U160="Profit","N/A",0),IF($U160="Profit",$Q160/$H160,IF($U160="Disqualified",-1,0))))</x:f>
      </x:c>
      <x:c r="U160" s="254">
        <x:f>IF($A160="","",IF(LOWER($L160&amp;"")="yes","Disqualified",IF($P160&gt;$H160,"Profit","Draw")))</x:f>
      </x:c>
      <x:c r="V160" s="253">
        <x:f>IF(OR($B160="",$C160=""),"",IFERROR(ROUNDUP((IF(ISNUMBER($C160),$C160,DATEVALUE($C160))-IF(ISNUMBER($B160),$B160,DATEVALUE($B160)))/7,0),""))</x:f>
      </x:c>
      <x:c r="W160" s="254">
        <x:f>$Q160-$S160</x:f>
      </x:c>
      <x:c r="X160" s="256">
        <x:f>IF(OR($J160="",$I160="",$J160=0,$I160=0,$I160&gt;$J160),"",$J160-$I160)</x:f>
      </x:c>
      <x:c r="Y160" s="257">
        <x:f>IF(OR($J160="",$J160=0,$X160=""),"",$X160/$J160)</x:f>
      </x:c>
    </x:row>
    <x:row r="161" s="106" customFormat="1" ht="21" customHeight="1">
      <x:c r="A161" s="54" t="n"/>
      <x:c r="B161" s="250" t="n"/>
      <x:c r="C161" s="250" t="n"/>
      <x:c r="D161" s="54" t="n"/>
      <x:c r="E161" s="251" t="n"/>
      <x:c r="F161" s="251" t="n"/>
      <x:c r="G161" s="251" t="n"/>
      <x:c r="H161" s="251" t="n"/>
      <x:c r="I161" s="252" t="n"/>
      <x:c r="J161" s="253" t="n"/>
      <x:c r="K161" s="254" t="n"/>
      <x:c r="L161" s="50" t="n"/>
      <x:c r="M161" s="251" t="n"/>
      <x:c r="N161" s="251">
        <x:f>IF($A161="","",IF($G161="","",IF(ISNUMBER(SEARCH("non",LOWER($E161&amp;""))),$G161*0.85,$G161)))</x:f>
      </x:c>
      <x:c r="O161" s="251">
        <x:f>IF($A161="","",IF(OR($N161="",$I161="",$I161=0),"",$N161/$I161))</x:f>
      </x:c>
      <x:c r="P161" s="251">
        <x:f>IF($A161="","",IF(LOWER($L161&amp;"")="yes",0,IF($K161&lt;&gt;"",$K161,IF($O161&lt;&gt;"",$O161,""))))</x:f>
      </x:c>
      <x:c r="Q161" s="254">
        <x:f>IF($A161="","",IF($U161="Profit",$P161-$H161,0))</x:f>
      </x:c>
      <x:c r="R161" s="251">
        <x:f>IF($A161="","",IF($U161="Draw",$H161,0))</x:f>
      </x:c>
      <x:c r="S161" s="251">
        <x:f>IF($A161="","",IF($U161="Disqualified",$H161,0))</x:f>
      </x:c>
      <x:c r="T161" s="255">
        <x:f>IF($A161="","",IF($H161=0,IF($U161="Profit","N/A",0),IF($U161="Profit",$Q161/$H161,IF($U161="Disqualified",-1,0))))</x:f>
      </x:c>
      <x:c r="U161" s="254">
        <x:f>IF($A161="","",IF(LOWER($L161&amp;"")="yes","Disqualified",IF($P161&gt;$H161,"Profit","Draw")))</x:f>
      </x:c>
      <x:c r="V161" s="253">
        <x:f>IF(OR($B161="",$C161=""),"",IFERROR(ROUNDUP((IF(ISNUMBER($C161),$C161,DATEVALUE($C161))-IF(ISNUMBER($B161),$B161,DATEVALUE($B161)))/7,0),""))</x:f>
      </x:c>
      <x:c r="W161" s="254">
        <x:f>$Q161-$S161</x:f>
      </x:c>
      <x:c r="X161" s="256">
        <x:f>IF(OR($J161="",$I161="",$J161=0,$I161=0,$I161&gt;$J161),"",$J161-$I161)</x:f>
      </x:c>
      <x:c r="Y161" s="257">
        <x:f>IF(OR($J161="",$J161=0,$X161=""),"",$X161/$J161)</x:f>
      </x:c>
    </x:row>
    <x:row r="162" s="106" customFormat="1" ht="21" customHeight="1">
      <x:c r="A162" s="54" t="n"/>
      <x:c r="B162" s="250" t="n"/>
      <x:c r="C162" s="250" t="n"/>
      <x:c r="D162" s="54" t="n"/>
      <x:c r="E162" s="251" t="n"/>
      <x:c r="F162" s="251" t="n"/>
      <x:c r="G162" s="251" t="n"/>
      <x:c r="H162" s="251" t="n"/>
      <x:c r="I162" s="252" t="n"/>
      <x:c r="J162" s="253" t="n"/>
      <x:c r="K162" s="254" t="n"/>
      <x:c r="L162" s="50" t="n"/>
      <x:c r="M162" s="251" t="n"/>
      <x:c r="N162" s="251">
        <x:f>IF($A162="","",IF($G162="","",IF(ISNUMBER(SEARCH("non",LOWER($E162&amp;""))),$G162*0.85,$G162)))</x:f>
      </x:c>
      <x:c r="O162" s="251">
        <x:f>IF($A162="","",IF(OR($N162="",$I162="",$I162=0),"",$N162/$I162))</x:f>
      </x:c>
      <x:c r="P162" s="251">
        <x:f>IF($A162="","",IF(LOWER($L162&amp;"")="yes",0,IF($K162&lt;&gt;"",$K162,IF($O162&lt;&gt;"",$O162,""))))</x:f>
      </x:c>
      <x:c r="Q162" s="254">
        <x:f>IF($A162="","",IF($U162="Profit",$P162-$H162,0))</x:f>
      </x:c>
      <x:c r="R162" s="251">
        <x:f>IF($A162="","",IF($U162="Draw",$H162,0))</x:f>
      </x:c>
      <x:c r="S162" s="251">
        <x:f>IF($A162="","",IF($U162="Disqualified",$H162,0))</x:f>
      </x:c>
      <x:c r="T162" s="255">
        <x:f>IF($A162="","",IF($H162=0,IF($U162="Profit","N/A",0),IF($U162="Profit",$Q162/$H162,IF($U162="Disqualified",-1,0))))</x:f>
      </x:c>
      <x:c r="U162" s="254">
        <x:f>IF($A162="","",IF(LOWER($L162&amp;"")="yes","Disqualified",IF($P162&gt;$H162,"Profit","Draw")))</x:f>
      </x:c>
      <x:c r="V162" s="253">
        <x:f>IF(OR($B162="",$C162=""),"",IFERROR(ROUNDUP((IF(ISNUMBER($C162),$C162,DATEVALUE($C162))-IF(ISNUMBER($B162),$B162,DATEVALUE($B162)))/7,0),""))</x:f>
      </x:c>
      <x:c r="W162" s="254">
        <x:f>$Q162-$S162</x:f>
      </x:c>
      <x:c r="X162" s="256">
        <x:f>IF(OR($J162="",$I162="",$J162=0,$I162=0,$I162&gt;$J162),"",$J162-$I162)</x:f>
      </x:c>
      <x:c r="Y162" s="257">
        <x:f>IF(OR($J162="",$J162=0,$X162=""),"",$X162/$J162)</x:f>
      </x:c>
    </x:row>
    <x:row r="163" s="106" customFormat="1" ht="21" customHeight="1">
      <x:c r="A163" s="54" t="n"/>
      <x:c r="B163" s="250" t="n"/>
      <x:c r="C163" s="250" t="n"/>
      <x:c r="D163" s="54" t="n"/>
      <x:c r="E163" s="251" t="n"/>
      <x:c r="F163" s="251" t="n"/>
      <x:c r="G163" s="251" t="n"/>
      <x:c r="H163" s="251" t="n"/>
      <x:c r="I163" s="252" t="n"/>
      <x:c r="J163" s="253" t="n"/>
      <x:c r="K163" s="254" t="n"/>
      <x:c r="L163" s="50" t="n"/>
      <x:c r="M163" s="251" t="n"/>
      <x:c r="N163" s="251">
        <x:f>IF($A163="","",IF($G163="","",IF(ISNUMBER(SEARCH("non",LOWER($E163&amp;""))),$G163*0.85,$G163)))</x:f>
      </x:c>
      <x:c r="O163" s="251">
        <x:f>IF($A163="","",IF(OR($N163="",$I163="",$I163=0),"",$N163/$I163))</x:f>
      </x:c>
      <x:c r="P163" s="251">
        <x:f>IF($A163="","",IF(LOWER($L163&amp;"")="yes",0,IF($K163&lt;&gt;"",$K163,IF($O163&lt;&gt;"",$O163,""))))</x:f>
      </x:c>
      <x:c r="Q163" s="254">
        <x:f>IF($A163="","",IF($U163="Profit",$P163-$H163,0))</x:f>
      </x:c>
      <x:c r="R163" s="251">
        <x:f>IF($A163="","",IF($U163="Draw",$H163,0))</x:f>
      </x:c>
      <x:c r="S163" s="251">
        <x:f>IF($A163="","",IF($U163="Disqualified",$H163,0))</x:f>
      </x:c>
      <x:c r="T163" s="255">
        <x:f>IF($A163="","",IF($H163=0,IF($U163="Profit","N/A",0),IF($U163="Profit",$Q163/$H163,IF($U163="Disqualified",-1,0))))</x:f>
      </x:c>
      <x:c r="U163" s="254">
        <x:f>IF($A163="","",IF(LOWER($L163&amp;"")="yes","Disqualified",IF($P163&gt;$H163,"Profit","Draw")))</x:f>
      </x:c>
      <x:c r="V163" s="253">
        <x:f>IF(OR($B163="",$C163=""),"",IFERROR(ROUNDUP((IF(ISNUMBER($C163),$C163,DATEVALUE($C163))-IF(ISNUMBER($B163),$B163,DATEVALUE($B163)))/7,0),""))</x:f>
      </x:c>
      <x:c r="W163" s="254">
        <x:f>$Q163-$S163</x:f>
      </x:c>
      <x:c r="X163" s="256">
        <x:f>IF(OR($J163="",$I163="",$J163=0,$I163=0,$I163&gt;$J163),"",$J163-$I163)</x:f>
      </x:c>
      <x:c r="Y163" s="257">
        <x:f>IF(OR($J163="",$J163=0,$X163=""),"",$X163/$J163)</x:f>
      </x:c>
    </x:row>
    <x:row r="164" s="106" customFormat="1" ht="21" customHeight="1">
      <x:c r="A164" s="54" t="n"/>
      <x:c r="B164" s="250" t="n"/>
      <x:c r="C164" s="250" t="n"/>
      <x:c r="D164" s="54" t="n"/>
      <x:c r="E164" s="251" t="n"/>
      <x:c r="F164" s="251" t="n"/>
      <x:c r="G164" s="251" t="n"/>
      <x:c r="H164" s="251" t="n"/>
      <x:c r="I164" s="252" t="n"/>
      <x:c r="J164" s="253" t="n"/>
      <x:c r="K164" s="254" t="n"/>
      <x:c r="L164" s="50" t="n"/>
      <x:c r="M164" s="251" t="n"/>
      <x:c r="N164" s="251">
        <x:f>IF($A164="","",IF($G164="","",IF(ISNUMBER(SEARCH("non",LOWER($E164&amp;""))),$G164*0.85,$G164)))</x:f>
      </x:c>
      <x:c r="O164" s="251">
        <x:f>IF($A164="","",IF(OR($N164="",$I164="",$I164=0),"",$N164/$I164))</x:f>
      </x:c>
      <x:c r="P164" s="251">
        <x:f>IF($A164="","",IF(LOWER($L164&amp;"")="yes",0,IF($K164&lt;&gt;"",$K164,IF($O164&lt;&gt;"",$O164,""))))</x:f>
      </x:c>
      <x:c r="Q164" s="254">
        <x:f>IF($A164="","",IF($U164="Profit",$P164-$H164,0))</x:f>
      </x:c>
      <x:c r="R164" s="251">
        <x:f>IF($A164="","",IF($U164="Draw",$H164,0))</x:f>
      </x:c>
      <x:c r="S164" s="251">
        <x:f>IF($A164="","",IF($U164="Disqualified",$H164,0))</x:f>
      </x:c>
      <x:c r="T164" s="255">
        <x:f>IF($A164="","",IF($H164=0,IF($U164="Profit","N/A",0),IF($U164="Profit",$Q164/$H164,IF($U164="Disqualified",-1,0))))</x:f>
      </x:c>
      <x:c r="U164" s="254">
        <x:f>IF($A164="","",IF(LOWER($L164&amp;"")="yes","Disqualified",IF($P164&gt;$H164,"Profit","Draw")))</x:f>
      </x:c>
      <x:c r="V164" s="253">
        <x:f>IF(OR($B164="",$C164=""),"",IFERROR(ROUNDUP((IF(ISNUMBER($C164),$C164,DATEVALUE($C164))-IF(ISNUMBER($B164),$B164,DATEVALUE($B164)))/7,0),""))</x:f>
      </x:c>
      <x:c r="W164" s="254">
        <x:f>$Q164-$S164</x:f>
      </x:c>
      <x:c r="X164" s="256">
        <x:f>IF(OR($J164="",$I164="",$J164=0,$I164=0,$I164&gt;$J164),"",$J164-$I164)</x:f>
      </x:c>
      <x:c r="Y164" s="257">
        <x:f>IF(OR($J164="",$J164=0,$X164=""),"",$X164/$J164)</x:f>
      </x:c>
    </x:row>
    <x:row r="165" s="106" customFormat="1" ht="21" customHeight="1">
      <x:c r="A165" s="54" t="n"/>
      <x:c r="B165" s="250" t="n"/>
      <x:c r="C165" s="250" t="n"/>
      <x:c r="D165" s="54" t="n"/>
      <x:c r="E165" s="251" t="n"/>
      <x:c r="F165" s="251" t="n"/>
      <x:c r="G165" s="251" t="n"/>
      <x:c r="H165" s="251" t="n"/>
      <x:c r="I165" s="252" t="n"/>
      <x:c r="J165" s="253" t="n"/>
      <x:c r="K165" s="254" t="n"/>
      <x:c r="L165" s="50" t="n"/>
      <x:c r="M165" s="251" t="n"/>
      <x:c r="N165" s="251">
        <x:f>IF($A165="","",IF($G165="","",IF(ISNUMBER(SEARCH("non",LOWER($E165&amp;""))),$G165*0.85,$G165)))</x:f>
      </x:c>
      <x:c r="O165" s="251">
        <x:f>IF($A165="","",IF(OR($N165="",$I165="",$I165=0),"",$N165/$I165))</x:f>
      </x:c>
      <x:c r="P165" s="251">
        <x:f>IF($A165="","",IF(LOWER($L165&amp;"")="yes",0,IF($K165&lt;&gt;"",$K165,IF($O165&lt;&gt;"",$O165,""))))</x:f>
      </x:c>
      <x:c r="Q165" s="254">
        <x:f>IF($A165="","",IF($U165="Profit",$P165-$H165,0))</x:f>
      </x:c>
      <x:c r="R165" s="251">
        <x:f>IF($A165="","",IF($U165="Draw",$H165,0))</x:f>
      </x:c>
      <x:c r="S165" s="251">
        <x:f>IF($A165="","",IF($U165="Disqualified",$H165,0))</x:f>
      </x:c>
      <x:c r="T165" s="255">
        <x:f>IF($A165="","",IF($H165=0,IF($U165="Profit","N/A",0),IF($U165="Profit",$Q165/$H165,IF($U165="Disqualified",-1,0))))</x:f>
      </x:c>
      <x:c r="U165" s="254">
        <x:f>IF($A165="","",IF(LOWER($L165&amp;"")="yes","Disqualified",IF($P165&gt;$H165,"Profit","Draw")))</x:f>
      </x:c>
      <x:c r="V165" s="253">
        <x:f>IF(OR($B165="",$C165=""),"",IFERROR(ROUNDUP((IF(ISNUMBER($C165),$C165,DATEVALUE($C165))-IF(ISNUMBER($B165),$B165,DATEVALUE($B165)))/7,0),""))</x:f>
      </x:c>
      <x:c r="W165" s="254">
        <x:f>$Q165-$S165</x:f>
      </x:c>
      <x:c r="X165" s="256">
        <x:f>IF(OR($J165="",$I165="",$J165=0,$I165=0,$I165&gt;$J165),"",$J165-$I165)</x:f>
      </x:c>
      <x:c r="Y165" s="257">
        <x:f>IF(OR($J165="",$J165=0,$X165=""),"",$X165/$J165)</x:f>
      </x:c>
    </x:row>
    <x:row r="166" s="106" customFormat="1" ht="21" customHeight="1">
      <x:c r="A166" s="54" t="n"/>
      <x:c r="B166" s="250" t="n"/>
      <x:c r="C166" s="250" t="n"/>
      <x:c r="D166" s="54" t="n"/>
      <x:c r="E166" s="251" t="n"/>
      <x:c r="F166" s="251" t="n"/>
      <x:c r="G166" s="251" t="n"/>
      <x:c r="H166" s="251" t="n"/>
      <x:c r="I166" s="252" t="n"/>
      <x:c r="J166" s="253" t="n"/>
      <x:c r="K166" s="254" t="n"/>
      <x:c r="L166" s="50" t="n"/>
      <x:c r="M166" s="251" t="n"/>
      <x:c r="N166" s="251">
        <x:f>IF($A166="","",IF($G166="","",IF(ISNUMBER(SEARCH("non",LOWER($E166&amp;""))),$G166*0.85,$G166)))</x:f>
      </x:c>
      <x:c r="O166" s="251">
        <x:f>IF($A166="","",IF(OR($N166="",$I166="",$I166=0),"",$N166/$I166))</x:f>
      </x:c>
      <x:c r="P166" s="251">
        <x:f>IF($A166="","",IF(LOWER($L166&amp;"")="yes",0,IF($K166&lt;&gt;"",$K166,IF($O166&lt;&gt;"",$O166,""))))</x:f>
      </x:c>
      <x:c r="Q166" s="254">
        <x:f>IF($A166="","",IF($U166="Profit",$P166-$H166,0))</x:f>
      </x:c>
      <x:c r="R166" s="251">
        <x:f>IF($A166="","",IF($U166="Draw",$H166,0))</x:f>
      </x:c>
      <x:c r="S166" s="251">
        <x:f>IF($A166="","",IF($U166="Disqualified",$H166,0))</x:f>
      </x:c>
      <x:c r="T166" s="255">
        <x:f>IF($A166="","",IF($H166=0,IF($U166="Profit","N/A",0),IF($U166="Profit",$Q166/$H166,IF($U166="Disqualified",-1,0))))</x:f>
      </x:c>
      <x:c r="U166" s="254">
        <x:f>IF($A166="","",IF(LOWER($L166&amp;"")="yes","Disqualified",IF($P166&gt;$H166,"Profit","Draw")))</x:f>
      </x:c>
      <x:c r="V166" s="253">
        <x:f>IF(OR($B166="",$C166=""),"",IFERROR(ROUNDUP((IF(ISNUMBER($C166),$C166,DATEVALUE($C166))-IF(ISNUMBER($B166),$B166,DATEVALUE($B166)))/7,0),""))</x:f>
      </x:c>
      <x:c r="W166" s="254">
        <x:f>$Q166-$S166</x:f>
      </x:c>
      <x:c r="X166" s="256">
        <x:f>IF(OR($J166="",$I166="",$J166=0,$I166=0,$I166&gt;$J166),"",$J166-$I166)</x:f>
      </x:c>
      <x:c r="Y166" s="257">
        <x:f>IF(OR($J166="",$J166=0,$X166=""),"",$X166/$J166)</x:f>
      </x:c>
    </x:row>
    <x:row r="167" s="106" customFormat="1" ht="21" customHeight="1">
      <x:c r="A167" s="54" t="n"/>
      <x:c r="B167" s="250" t="n"/>
      <x:c r="C167" s="250" t="n"/>
      <x:c r="D167" s="54" t="n"/>
      <x:c r="E167" s="251" t="n"/>
      <x:c r="F167" s="251" t="n"/>
      <x:c r="G167" s="251" t="n"/>
      <x:c r="H167" s="251" t="n"/>
      <x:c r="I167" s="252" t="n"/>
      <x:c r="J167" s="253" t="n"/>
      <x:c r="K167" s="254" t="n"/>
      <x:c r="L167" s="50" t="n"/>
      <x:c r="M167" s="251" t="n"/>
      <x:c r="N167" s="251">
        <x:f>IF($A167="","",IF($G167="","",IF(ISNUMBER(SEARCH("non",LOWER($E167&amp;""))),$G167*0.85,$G167)))</x:f>
      </x:c>
      <x:c r="O167" s="251">
        <x:f>IF($A167="","",IF(OR($N167="",$I167="",$I167=0),"",$N167/$I167))</x:f>
      </x:c>
      <x:c r="P167" s="251">
        <x:f>IF($A167="","",IF(LOWER($L167&amp;"")="yes",0,IF($K167&lt;&gt;"",$K167,IF($O167&lt;&gt;"",$O167,""))))</x:f>
      </x:c>
      <x:c r="Q167" s="254">
        <x:f>IF($A167="","",IF($U167="Profit",$P167-$H167,0))</x:f>
      </x:c>
      <x:c r="R167" s="251">
        <x:f>IF($A167="","",IF($U167="Draw",$H167,0))</x:f>
      </x:c>
      <x:c r="S167" s="251">
        <x:f>IF($A167="","",IF($U167="Disqualified",$H167,0))</x:f>
      </x:c>
      <x:c r="T167" s="255">
        <x:f>IF($A167="","",IF($H167=0,IF($U167="Profit","N/A",0),IF($U167="Profit",$Q167/$H167,IF($U167="Disqualified",-1,0))))</x:f>
      </x:c>
      <x:c r="U167" s="254">
        <x:f>IF($A167="","",IF(LOWER($L167&amp;"")="yes","Disqualified",IF($P167&gt;$H167,"Profit","Draw")))</x:f>
      </x:c>
      <x:c r="V167" s="253">
        <x:f>IF(OR($B167="",$C167=""),"",IFERROR(ROUNDUP((IF(ISNUMBER($C167),$C167,DATEVALUE($C167))-IF(ISNUMBER($B167),$B167,DATEVALUE($B167)))/7,0),""))</x:f>
      </x:c>
      <x:c r="W167" s="254">
        <x:f>$Q167-$S167</x:f>
      </x:c>
      <x:c r="X167" s="256">
        <x:f>IF(OR($J167="",$I167="",$J167=0,$I167=0,$I167&gt;$J167),"",$J167-$I167)</x:f>
      </x:c>
      <x:c r="Y167" s="257">
        <x:f>IF(OR($J167="",$J167=0,$X167=""),"",$X167/$J167)</x:f>
      </x:c>
    </x:row>
    <x:row r="168" s="106" customFormat="1" ht="21" customHeight="1">
      <x:c r="A168" s="54" t="n"/>
      <x:c r="B168" s="250" t="n"/>
      <x:c r="C168" s="250" t="n"/>
      <x:c r="D168" s="54" t="n"/>
      <x:c r="E168" s="251" t="n"/>
      <x:c r="F168" s="251" t="n"/>
      <x:c r="G168" s="251" t="n"/>
      <x:c r="H168" s="251" t="n"/>
      <x:c r="I168" s="252" t="n"/>
      <x:c r="J168" s="253" t="n"/>
      <x:c r="K168" s="254" t="n"/>
      <x:c r="L168" s="50" t="n"/>
      <x:c r="M168" s="251" t="n"/>
      <x:c r="N168" s="251">
        <x:f>IF($A168="","",IF($G168="","",IF(ISNUMBER(SEARCH("non",LOWER($E168&amp;""))),$G168*0.85,$G168)))</x:f>
      </x:c>
      <x:c r="O168" s="251">
        <x:f>IF($A168="","",IF(OR($N168="",$I168="",$I168=0),"",$N168/$I168))</x:f>
      </x:c>
      <x:c r="P168" s="251">
        <x:f>IF($A168="","",IF(LOWER($L168&amp;"")="yes",0,IF($K168&lt;&gt;"",$K168,IF($O168&lt;&gt;"",$O168,""))))</x:f>
      </x:c>
      <x:c r="Q168" s="254">
        <x:f>IF($A168="","",IF($U168="Profit",$P168-$H168,0))</x:f>
      </x:c>
      <x:c r="R168" s="251">
        <x:f>IF($A168="","",IF($U168="Draw",$H168,0))</x:f>
      </x:c>
      <x:c r="S168" s="251">
        <x:f>IF($A168="","",IF($U168="Disqualified",$H168,0))</x:f>
      </x:c>
      <x:c r="T168" s="255">
        <x:f>IF($A168="","",IF($H168=0,IF($U168="Profit","N/A",0),IF($U168="Profit",$Q168/$H168,IF($U168="Disqualified",-1,0))))</x:f>
      </x:c>
      <x:c r="U168" s="254">
        <x:f>IF($A168="","",IF(LOWER($L168&amp;"")="yes","Disqualified",IF($P168&gt;$H168,"Profit","Draw")))</x:f>
      </x:c>
      <x:c r="V168" s="253">
        <x:f>IF(OR($B168="",$C168=""),"",IFERROR(ROUNDUP((IF(ISNUMBER($C168),$C168,DATEVALUE($C168))-IF(ISNUMBER($B168),$B168,DATEVALUE($B168)))/7,0),""))</x:f>
      </x:c>
      <x:c r="W168" s="254">
        <x:f>$Q168-$S168</x:f>
      </x:c>
      <x:c r="X168" s="256">
        <x:f>IF(OR($J168="",$I168="",$J168=0,$I168=0,$I168&gt;$J168),"",$J168-$I168)</x:f>
      </x:c>
      <x:c r="Y168" s="257">
        <x:f>IF(OR($J168="",$J168=0,$X168=""),"",$X168/$J168)</x:f>
      </x:c>
    </x:row>
    <x:row r="169" s="106" customFormat="1" ht="21" customHeight="1">
      <x:c r="A169" s="54" t="n"/>
      <x:c r="B169" s="250" t="n"/>
      <x:c r="C169" s="250" t="n"/>
      <x:c r="D169" s="54" t="n"/>
      <x:c r="E169" s="251" t="n"/>
      <x:c r="F169" s="251" t="n"/>
      <x:c r="G169" s="251" t="n"/>
      <x:c r="H169" s="251" t="n"/>
      <x:c r="I169" s="252" t="n"/>
      <x:c r="J169" s="253" t="n"/>
      <x:c r="K169" s="254" t="n"/>
      <x:c r="L169" s="50" t="n"/>
      <x:c r="M169" s="251" t="n"/>
      <x:c r="N169" s="251">
        <x:f>IF($A169="","",IF($G169="","",IF(ISNUMBER(SEARCH("non",LOWER($E169&amp;""))),$G169*0.85,$G169)))</x:f>
      </x:c>
      <x:c r="O169" s="251">
        <x:f>IF($A169="","",IF(OR($N169="",$I169="",$I169=0),"",$N169/$I169))</x:f>
      </x:c>
      <x:c r="P169" s="251">
        <x:f>IF($A169="","",IF(LOWER($L169&amp;"")="yes",0,IF($K169&lt;&gt;"",$K169,IF($O169&lt;&gt;"",$O169,""))))</x:f>
      </x:c>
      <x:c r="Q169" s="254">
        <x:f>IF($A169="","",IF($U169="Profit",$P169-$H169,0))</x:f>
      </x:c>
      <x:c r="R169" s="251">
        <x:f>IF($A169="","",IF($U169="Draw",$H169,0))</x:f>
      </x:c>
      <x:c r="S169" s="251">
        <x:f>IF($A169="","",IF($U169="Disqualified",$H169,0))</x:f>
      </x:c>
      <x:c r="T169" s="255">
        <x:f>IF($A169="","",IF($H169=0,IF($U169="Profit","N/A",0),IF($U169="Profit",$Q169/$H169,IF($U169="Disqualified",-1,0))))</x:f>
      </x:c>
      <x:c r="U169" s="254">
        <x:f>IF($A169="","",IF(LOWER($L169&amp;"")="yes","Disqualified",IF($P169&gt;$H169,"Profit","Draw")))</x:f>
      </x:c>
      <x:c r="V169" s="253">
        <x:f>IF(OR($B169="",$C169=""),"",IFERROR(ROUNDUP((IF(ISNUMBER($C169),$C169,DATEVALUE($C169))-IF(ISNUMBER($B169),$B169,DATEVALUE($B169)))/7,0),""))</x:f>
      </x:c>
      <x:c r="W169" s="254">
        <x:f>$Q169-$S169</x:f>
      </x:c>
      <x:c r="X169" s="256">
        <x:f>IF(OR($J169="",$I169="",$J169=0,$I169=0,$I169&gt;$J169),"",$J169-$I169)</x:f>
      </x:c>
      <x:c r="Y169" s="257">
        <x:f>IF(OR($J169="",$J169=0,$X169=""),"",$X169/$J169)</x:f>
      </x:c>
    </x:row>
    <x:row r="170" s="106" customFormat="1" ht="21" customHeight="1">
      <x:c r="A170" s="54" t="n"/>
      <x:c r="B170" s="250" t="n"/>
      <x:c r="C170" s="250" t="n"/>
      <x:c r="D170" s="54" t="n"/>
      <x:c r="E170" s="251" t="n"/>
      <x:c r="F170" s="251" t="n"/>
      <x:c r="G170" s="251" t="n"/>
      <x:c r="H170" s="251" t="n"/>
      <x:c r="I170" s="252" t="n"/>
      <x:c r="J170" s="253" t="n"/>
      <x:c r="K170" s="254" t="n"/>
      <x:c r="L170" s="50" t="n"/>
      <x:c r="M170" s="251" t="n"/>
      <x:c r="N170" s="251">
        <x:f>IF($A170="","",IF($G170="","",IF(ISNUMBER(SEARCH("non",LOWER($E170&amp;""))),$G170*0.85,$G170)))</x:f>
      </x:c>
      <x:c r="O170" s="251">
        <x:f>IF($A170="","",IF(OR($N170="",$I170="",$I170=0),"",$N170/$I170))</x:f>
      </x:c>
      <x:c r="P170" s="251">
        <x:f>IF($A170="","",IF(LOWER($L170&amp;"")="yes",0,IF($K170&lt;&gt;"",$K170,IF($O170&lt;&gt;"",$O170,""))))</x:f>
      </x:c>
      <x:c r="Q170" s="254">
        <x:f>IF($A170="","",IF($U170="Profit",$P170-$H170,0))</x:f>
      </x:c>
      <x:c r="R170" s="251">
        <x:f>IF($A170="","",IF($U170="Draw",$H170,0))</x:f>
      </x:c>
      <x:c r="S170" s="251">
        <x:f>IF($A170="","",IF($U170="Disqualified",$H170,0))</x:f>
      </x:c>
      <x:c r="T170" s="255">
        <x:f>IF($A170="","",IF($H170=0,IF($U170="Profit","N/A",0),IF($U170="Profit",$Q170/$H170,IF($U170="Disqualified",-1,0))))</x:f>
      </x:c>
      <x:c r="U170" s="254">
        <x:f>IF($A170="","",IF(LOWER($L170&amp;"")="yes","Disqualified",IF($P170&gt;$H170,"Profit","Draw")))</x:f>
      </x:c>
      <x:c r="V170" s="253">
        <x:f>IF(OR($B170="",$C170=""),"",IFERROR(ROUNDUP((IF(ISNUMBER($C170),$C170,DATEVALUE($C170))-IF(ISNUMBER($B170),$B170,DATEVALUE($B170)))/7,0),""))</x:f>
      </x:c>
      <x:c r="W170" s="254">
        <x:f>$Q170-$S170</x:f>
      </x:c>
      <x:c r="X170" s="256">
        <x:f>IF(OR($J170="",$I170="",$J170=0,$I170=0,$I170&gt;$J170),"",$J170-$I170)</x:f>
      </x:c>
      <x:c r="Y170" s="257">
        <x:f>IF(OR($J170="",$J170=0,$X170=""),"",$X170/$J170)</x:f>
      </x:c>
    </x:row>
    <x:row r="171" s="106" customFormat="1" ht="21" customHeight="1">
      <x:c r="A171" s="54" t="n"/>
      <x:c r="B171" s="250" t="n"/>
      <x:c r="C171" s="250" t="n"/>
      <x:c r="D171" s="54" t="n"/>
      <x:c r="E171" s="251" t="n"/>
      <x:c r="F171" s="251" t="n"/>
      <x:c r="G171" s="251" t="n"/>
      <x:c r="H171" s="251" t="n"/>
      <x:c r="I171" s="252" t="n"/>
      <x:c r="J171" s="253" t="n"/>
      <x:c r="K171" s="254" t="n"/>
      <x:c r="L171" s="50" t="n"/>
      <x:c r="M171" s="251" t="n"/>
      <x:c r="N171" s="251">
        <x:f>IF($A171="","",IF($G171="","",IF(ISNUMBER(SEARCH("non",LOWER($E171&amp;""))),$G171*0.85,$G171)))</x:f>
      </x:c>
      <x:c r="O171" s="251">
        <x:f>IF($A171="","",IF(OR($N171="",$I171="",$I171=0),"",$N171/$I171))</x:f>
      </x:c>
      <x:c r="P171" s="251">
        <x:f>IF($A171="","",IF(LOWER($L171&amp;"")="yes",0,IF($K171&lt;&gt;"",$K171,IF($O171&lt;&gt;"",$O171,""))))</x:f>
      </x:c>
      <x:c r="Q171" s="254">
        <x:f>IF($A171="","",IF($U171="Profit",$P171-$H171,0))</x:f>
      </x:c>
      <x:c r="R171" s="251">
        <x:f>IF($A171="","",IF($U171="Draw",$H171,0))</x:f>
      </x:c>
      <x:c r="S171" s="251">
        <x:f>IF($A171="","",IF($U171="Disqualified",$H171,0))</x:f>
      </x:c>
      <x:c r="T171" s="255">
        <x:f>IF($A171="","",IF($H171=0,IF($U171="Profit","N/A",0),IF($U171="Profit",$Q171/$H171,IF($U171="Disqualified",-1,0))))</x:f>
      </x:c>
      <x:c r="U171" s="254">
        <x:f>IF($A171="","",IF(LOWER($L171&amp;"")="yes","Disqualified",IF($P171&gt;$H171,"Profit","Draw")))</x:f>
      </x:c>
      <x:c r="V171" s="253">
        <x:f>IF(OR($B171="",$C171=""),"",IFERROR(ROUNDUP((IF(ISNUMBER($C171),$C171,DATEVALUE($C171))-IF(ISNUMBER($B171),$B171,DATEVALUE($B171)))/7,0),""))</x:f>
      </x:c>
      <x:c r="W171" s="254">
        <x:f>$Q171-$S171</x:f>
      </x:c>
      <x:c r="X171" s="256">
        <x:f>IF(OR($J171="",$I171="",$J171=0,$I171=0,$I171&gt;$J171),"",$J171-$I171)</x:f>
      </x:c>
      <x:c r="Y171" s="257">
        <x:f>IF(OR($J171="",$J171=0,$X171=""),"",$X171/$J171)</x:f>
      </x:c>
    </x:row>
    <x:row r="172" s="106" customFormat="1" ht="21" customHeight="1">
      <x:c r="A172" s="54" t="n"/>
      <x:c r="B172" s="250" t="n"/>
      <x:c r="C172" s="250" t="n"/>
      <x:c r="D172" s="54" t="n"/>
      <x:c r="E172" s="251" t="n"/>
      <x:c r="F172" s="251" t="n"/>
      <x:c r="G172" s="251" t="n"/>
      <x:c r="H172" s="251" t="n"/>
      <x:c r="I172" s="252" t="n"/>
      <x:c r="J172" s="253" t="n"/>
      <x:c r="K172" s="254" t="n"/>
      <x:c r="L172" s="50" t="n"/>
      <x:c r="M172" s="251" t="n"/>
      <x:c r="N172" s="251">
        <x:f>IF($A172="","",IF($G172="","",IF(ISNUMBER(SEARCH("non",LOWER($E172&amp;""))),$G172*0.85,$G172)))</x:f>
      </x:c>
      <x:c r="O172" s="251">
        <x:f>IF($A172="","",IF(OR($N172="",$I172="",$I172=0),"",$N172/$I172))</x:f>
      </x:c>
      <x:c r="P172" s="251">
        <x:f>IF($A172="","",IF(LOWER($L172&amp;"")="yes",0,IF($K172&lt;&gt;"",$K172,IF($O172&lt;&gt;"",$O172,""))))</x:f>
      </x:c>
      <x:c r="Q172" s="254">
        <x:f>IF($A172="","",IF($U172="Profit",$P172-$H172,0))</x:f>
      </x:c>
      <x:c r="R172" s="251">
        <x:f>IF($A172="","",IF($U172="Draw",$H172,0))</x:f>
      </x:c>
      <x:c r="S172" s="251">
        <x:f>IF($A172="","",IF($U172="Disqualified",$H172,0))</x:f>
      </x:c>
      <x:c r="T172" s="255">
        <x:f>IF($A172="","",IF($H172=0,IF($U172="Profit","N/A",0),IF($U172="Profit",$Q172/$H172,IF($U172="Disqualified",-1,0))))</x:f>
      </x:c>
      <x:c r="U172" s="254">
        <x:f>IF($A172="","",IF(LOWER($L172&amp;"")="yes","Disqualified",IF($P172&gt;$H172,"Profit","Draw")))</x:f>
      </x:c>
      <x:c r="V172" s="253">
        <x:f>IF(OR($B172="",$C172=""),"",IFERROR(ROUNDUP((IF(ISNUMBER($C172),$C172,DATEVALUE($C172))-IF(ISNUMBER($B172),$B172,DATEVALUE($B172)))/7,0),""))</x:f>
      </x:c>
      <x:c r="W172" s="254">
        <x:f>$Q172-$S172</x:f>
      </x:c>
      <x:c r="X172" s="256">
        <x:f>IF(OR($J172="",$I172="",$J172=0,$I172=0,$I172&gt;$J172),"",$J172-$I172)</x:f>
      </x:c>
      <x:c r="Y172" s="257">
        <x:f>IF(OR($J172="",$J172=0,$X172=""),"",$X172/$J172)</x:f>
      </x:c>
    </x:row>
    <x:row r="173" s="106" customFormat="1" ht="21" customHeight="1">
      <x:c r="A173" s="54" t="n"/>
      <x:c r="B173" s="250" t="n"/>
      <x:c r="C173" s="250" t="n"/>
      <x:c r="D173" s="54" t="n"/>
      <x:c r="E173" s="251" t="n"/>
      <x:c r="F173" s="251" t="n"/>
      <x:c r="G173" s="251" t="n"/>
      <x:c r="H173" s="251" t="n"/>
      <x:c r="I173" s="252" t="n"/>
      <x:c r="J173" s="253" t="n"/>
      <x:c r="K173" s="254" t="n"/>
      <x:c r="L173" s="50" t="n"/>
      <x:c r="M173" s="251" t="n"/>
      <x:c r="N173" s="251">
        <x:f>IF($A173="","",IF($G173="","",IF(ISNUMBER(SEARCH("non",LOWER($E173&amp;""))),$G173*0.85,$G173)))</x:f>
      </x:c>
      <x:c r="O173" s="251">
        <x:f>IF($A173="","",IF(OR($N173="",$I173="",$I173=0),"",$N173/$I173))</x:f>
      </x:c>
      <x:c r="P173" s="251">
        <x:f>IF($A173="","",IF(LOWER($L173&amp;"")="yes",0,IF($K173&lt;&gt;"",$K173,IF($O173&lt;&gt;"",$O173,""))))</x:f>
      </x:c>
      <x:c r="Q173" s="254">
        <x:f>IF($A173="","",IF($U173="Profit",$P173-$H173,0))</x:f>
      </x:c>
      <x:c r="R173" s="251">
        <x:f>IF($A173="","",IF($U173="Draw",$H173,0))</x:f>
      </x:c>
      <x:c r="S173" s="251">
        <x:f>IF($A173="","",IF($U173="Disqualified",$H173,0))</x:f>
      </x:c>
      <x:c r="T173" s="255">
        <x:f>IF($A173="","",IF($H173=0,IF($U173="Profit","N/A",0),IF($U173="Profit",$Q173/$H173,IF($U173="Disqualified",-1,0))))</x:f>
      </x:c>
      <x:c r="U173" s="254">
        <x:f>IF($A173="","",IF(LOWER($L173&amp;"")="yes","Disqualified",IF($P173&gt;$H173,"Profit","Draw")))</x:f>
      </x:c>
      <x:c r="V173" s="253">
        <x:f>IF(OR($B173="",$C173=""),"",IFERROR(ROUNDUP((IF(ISNUMBER($C173),$C173,DATEVALUE($C173))-IF(ISNUMBER($B173),$B173,DATEVALUE($B173)))/7,0),""))</x:f>
      </x:c>
      <x:c r="W173" s="254">
        <x:f>$Q173-$S173</x:f>
      </x:c>
      <x:c r="X173" s="256">
        <x:f>IF(OR($J173="",$I173="",$J173=0,$I173=0,$I173&gt;$J173),"",$J173-$I173)</x:f>
      </x:c>
      <x:c r="Y173" s="257">
        <x:f>IF(OR($J173="",$J173=0,$X173=""),"",$X173/$J173)</x:f>
      </x:c>
    </x:row>
    <x:row r="174" s="106" customFormat="1" ht="21" customHeight="1">
      <x:c r="A174" s="54" t="n"/>
      <x:c r="B174" s="250" t="n"/>
      <x:c r="C174" s="250" t="n"/>
      <x:c r="D174" s="54" t="n"/>
      <x:c r="E174" s="251" t="n"/>
      <x:c r="F174" s="251" t="n"/>
      <x:c r="G174" s="251" t="n"/>
      <x:c r="H174" s="251" t="n"/>
      <x:c r="I174" s="252" t="n"/>
      <x:c r="J174" s="253" t="n"/>
      <x:c r="K174" s="254" t="n"/>
      <x:c r="L174" s="50" t="n"/>
      <x:c r="M174" s="251" t="n"/>
      <x:c r="N174" s="251">
        <x:f>IF($A174="","",IF($G174="","",IF(ISNUMBER(SEARCH("non",LOWER($E174&amp;""))),$G174*0.85,$G174)))</x:f>
      </x:c>
      <x:c r="O174" s="251">
        <x:f>IF($A174="","",IF(OR($N174="",$I174="",$I174=0),"",$N174/$I174))</x:f>
      </x:c>
      <x:c r="P174" s="251">
        <x:f>IF($A174="","",IF(LOWER($L174&amp;"")="yes",0,IF($K174&lt;&gt;"",$K174,IF($O174&lt;&gt;"",$O174,""))))</x:f>
      </x:c>
      <x:c r="Q174" s="254">
        <x:f>IF($A174="","",IF($U174="Profit",$P174-$H174,0))</x:f>
      </x:c>
      <x:c r="R174" s="251">
        <x:f>IF($A174="","",IF($U174="Draw",$H174,0))</x:f>
      </x:c>
      <x:c r="S174" s="251">
        <x:f>IF($A174="","",IF($U174="Disqualified",$H174,0))</x:f>
      </x:c>
      <x:c r="T174" s="255">
        <x:f>IF($A174="","",IF($H174=0,IF($U174="Profit","N/A",0),IF($U174="Profit",$Q174/$H174,IF($U174="Disqualified",-1,0))))</x:f>
      </x:c>
      <x:c r="U174" s="254">
        <x:f>IF($A174="","",IF(LOWER($L174&amp;"")="yes","Disqualified",IF($P174&gt;$H174,"Profit","Draw")))</x:f>
      </x:c>
      <x:c r="V174" s="253">
        <x:f>IF(OR($B174="",$C174=""),"",IFERROR(ROUNDUP((IF(ISNUMBER($C174),$C174,DATEVALUE($C174))-IF(ISNUMBER($B174),$B174,DATEVALUE($B174)))/7,0),""))</x:f>
      </x:c>
      <x:c r="W174" s="254">
        <x:f>$Q174-$S174</x:f>
      </x:c>
      <x:c r="X174" s="256">
        <x:f>IF(OR($J174="",$I174="",$J174=0,$I174=0,$I174&gt;$J174),"",$J174-$I174)</x:f>
      </x:c>
      <x:c r="Y174" s="257">
        <x:f>IF(OR($J174="",$J174=0,$X174=""),"",$X174/$J174)</x:f>
      </x:c>
    </x:row>
    <x:row r="175" s="106" customFormat="1" ht="21" customHeight="1">
      <x:c r="A175" s="54" t="n"/>
      <x:c r="B175" s="250" t="n"/>
      <x:c r="C175" s="250" t="n"/>
      <x:c r="D175" s="54" t="n"/>
      <x:c r="E175" s="251" t="n"/>
      <x:c r="F175" s="251" t="n"/>
      <x:c r="G175" s="251" t="n"/>
      <x:c r="H175" s="251" t="n"/>
      <x:c r="I175" s="252" t="n"/>
      <x:c r="J175" s="253" t="n"/>
      <x:c r="K175" s="254" t="n"/>
      <x:c r="L175" s="50" t="n"/>
      <x:c r="M175" s="251" t="n"/>
      <x:c r="N175" s="251">
        <x:f>IF($A175="","",IF($G175="","",IF(ISNUMBER(SEARCH("non",LOWER($E175&amp;""))),$G175*0.85,$G175)))</x:f>
      </x:c>
      <x:c r="O175" s="251">
        <x:f>IF($A175="","",IF(OR($N175="",$I175="",$I175=0),"",$N175/$I175))</x:f>
      </x:c>
      <x:c r="P175" s="251">
        <x:f>IF($A175="","",IF(LOWER($L175&amp;"")="yes",0,IF($K175&lt;&gt;"",$K175,IF($O175&lt;&gt;"",$O175,""))))</x:f>
      </x:c>
      <x:c r="Q175" s="254">
        <x:f>IF($A175="","",IF($U175="Profit",$P175-$H175,0))</x:f>
      </x:c>
      <x:c r="R175" s="251">
        <x:f>IF($A175="","",IF($U175="Draw",$H175,0))</x:f>
      </x:c>
      <x:c r="S175" s="251">
        <x:f>IF($A175="","",IF($U175="Disqualified",$H175,0))</x:f>
      </x:c>
      <x:c r="T175" s="255">
        <x:f>IF($A175="","",IF($H175=0,IF($U175="Profit","N/A",0),IF($U175="Profit",$Q175/$H175,IF($U175="Disqualified",-1,0))))</x:f>
      </x:c>
      <x:c r="U175" s="254">
        <x:f>IF($A175="","",IF(LOWER($L175&amp;"")="yes","Disqualified",IF($P175&gt;$H175,"Profit","Draw")))</x:f>
      </x:c>
      <x:c r="V175" s="253">
        <x:f>IF(OR($B175="",$C175=""),"",IFERROR(ROUNDUP((IF(ISNUMBER($C175),$C175,DATEVALUE($C175))-IF(ISNUMBER($B175),$B175,DATEVALUE($B175)))/7,0),""))</x:f>
      </x:c>
      <x:c r="W175" s="254">
        <x:f>$Q175-$S175</x:f>
      </x:c>
      <x:c r="X175" s="256">
        <x:f>IF(OR($J175="",$I175="",$J175=0,$I175=0,$I175&gt;$J175),"",$J175-$I175)</x:f>
      </x:c>
      <x:c r="Y175" s="257">
        <x:f>IF(OR($J175="",$J175=0,$X175=""),"",$X175/$J175)</x:f>
      </x:c>
    </x:row>
    <x:row r="176" s="106" customFormat="1" ht="21" customHeight="1">
      <x:c r="A176" s="54" t="n"/>
      <x:c r="B176" s="250" t="n"/>
      <x:c r="C176" s="250" t="n"/>
      <x:c r="D176" s="54" t="n"/>
      <x:c r="E176" s="251" t="n"/>
      <x:c r="F176" s="251" t="n"/>
      <x:c r="G176" s="251" t="n"/>
      <x:c r="H176" s="251" t="n"/>
      <x:c r="I176" s="252" t="n"/>
      <x:c r="J176" s="253" t="n"/>
      <x:c r="K176" s="254" t="n"/>
      <x:c r="L176" s="50" t="n"/>
      <x:c r="M176" s="251" t="n"/>
      <x:c r="N176" s="251">
        <x:f>IF($A176="","",IF($G176="","",IF(ISNUMBER(SEARCH("non",LOWER($E176&amp;""))),$G176*0.85,$G176)))</x:f>
      </x:c>
      <x:c r="O176" s="251">
        <x:f>IF($A176="","",IF(OR($N176="",$I176="",$I176=0),"",$N176/$I176))</x:f>
      </x:c>
      <x:c r="P176" s="251">
        <x:f>IF($A176="","",IF(LOWER($L176&amp;"")="yes",0,IF($K176&lt;&gt;"",$K176,IF($O176&lt;&gt;"",$O176,""))))</x:f>
      </x:c>
      <x:c r="Q176" s="254">
        <x:f>IF($A176="","",IF($U176="Profit",$P176-$H176,0))</x:f>
      </x:c>
      <x:c r="R176" s="251">
        <x:f>IF($A176="","",IF($U176="Draw",$H176,0))</x:f>
      </x:c>
      <x:c r="S176" s="251">
        <x:f>IF($A176="","",IF($U176="Disqualified",$H176,0))</x:f>
      </x:c>
      <x:c r="T176" s="255">
        <x:f>IF($A176="","",IF($H176=0,IF($U176="Profit","N/A",0),IF($U176="Profit",$Q176/$H176,IF($U176="Disqualified",-1,0))))</x:f>
      </x:c>
      <x:c r="U176" s="254">
        <x:f>IF($A176="","",IF(LOWER($L176&amp;"")="yes","Disqualified",IF($P176&gt;$H176,"Profit","Draw")))</x:f>
      </x:c>
      <x:c r="V176" s="253">
        <x:f>IF(OR($B176="",$C176=""),"",IFERROR(ROUNDUP((IF(ISNUMBER($C176),$C176,DATEVALUE($C176))-IF(ISNUMBER($B176),$B176,DATEVALUE($B176)))/7,0),""))</x:f>
      </x:c>
      <x:c r="W176" s="254">
        <x:f>$Q176-$S176</x:f>
      </x:c>
      <x:c r="X176" s="256">
        <x:f>IF(OR($J176="",$I176="",$J176=0,$I176=0,$I176&gt;$J176),"",$J176-$I176)</x:f>
      </x:c>
      <x:c r="Y176" s="257">
        <x:f>IF(OR($J176="",$J176=0,$X176=""),"",$X176/$J176)</x:f>
      </x:c>
    </x:row>
    <x:row r="177" s="106" customFormat="1" ht="21" customHeight="1">
      <x:c r="A177" s="54" t="n"/>
      <x:c r="B177" s="250" t="n"/>
      <x:c r="C177" s="250" t="n"/>
      <x:c r="D177" s="54" t="n"/>
      <x:c r="E177" s="251" t="n"/>
      <x:c r="F177" s="251" t="n"/>
      <x:c r="G177" s="251" t="n"/>
      <x:c r="H177" s="251" t="n"/>
      <x:c r="I177" s="252" t="n"/>
      <x:c r="J177" s="253" t="n"/>
      <x:c r="K177" s="254" t="n"/>
      <x:c r="L177" s="50" t="n"/>
      <x:c r="M177" s="251" t="n"/>
      <x:c r="N177" s="251">
        <x:f>IF($A177="","",IF($G177="","",IF(ISNUMBER(SEARCH("non",LOWER($E177&amp;""))),$G177*0.85,$G177)))</x:f>
      </x:c>
      <x:c r="O177" s="251">
        <x:f>IF($A177="","",IF(OR($N177="",$I177="",$I177=0),"",$N177/$I177))</x:f>
      </x:c>
      <x:c r="P177" s="251">
        <x:f>IF($A177="","",IF(LOWER($L177&amp;"")="yes",0,IF($K177&lt;&gt;"",$K177,IF($O177&lt;&gt;"",$O177,""))))</x:f>
      </x:c>
      <x:c r="Q177" s="254">
        <x:f>IF($A177="","",IF($U177="Profit",$P177-$H177,0))</x:f>
      </x:c>
      <x:c r="R177" s="251">
        <x:f>IF($A177="","",IF($U177="Draw",$H177,0))</x:f>
      </x:c>
      <x:c r="S177" s="251">
        <x:f>IF($A177="","",IF($U177="Disqualified",$H177,0))</x:f>
      </x:c>
      <x:c r="T177" s="255">
        <x:f>IF($A177="","",IF($H177=0,IF($U177="Profit","N/A",0),IF($U177="Profit",$Q177/$H177,IF($U177="Disqualified",-1,0))))</x:f>
      </x:c>
      <x:c r="U177" s="254">
        <x:f>IF($A177="","",IF(LOWER($L177&amp;"")="yes","Disqualified",IF($P177&gt;$H177,"Profit","Draw")))</x:f>
      </x:c>
      <x:c r="V177" s="253">
        <x:f>IF(OR($B177="",$C177=""),"",IFERROR(ROUNDUP((IF(ISNUMBER($C177),$C177,DATEVALUE($C177))-IF(ISNUMBER($B177),$B177,DATEVALUE($B177)))/7,0),""))</x:f>
      </x:c>
      <x:c r="W177" s="254">
        <x:f>$Q177-$S177</x:f>
      </x:c>
      <x:c r="X177" s="256">
        <x:f>IF(OR($J177="",$I177="",$J177=0,$I177=0,$I177&gt;$J177),"",$J177-$I177)</x:f>
      </x:c>
      <x:c r="Y177" s="257">
        <x:f>IF(OR($J177="",$J177=0,$X177=""),"",$X177/$J177)</x:f>
      </x:c>
    </x:row>
    <x:row r="178" s="106" customFormat="1" ht="21" customHeight="1">
      <x:c r="A178" s="54" t="n"/>
      <x:c r="B178" s="250" t="n"/>
      <x:c r="C178" s="250" t="n"/>
      <x:c r="D178" s="54" t="n"/>
      <x:c r="E178" s="251" t="n"/>
      <x:c r="F178" s="251" t="n"/>
      <x:c r="G178" s="251" t="n"/>
      <x:c r="H178" s="251" t="n"/>
      <x:c r="I178" s="252" t="n"/>
      <x:c r="J178" s="253" t="n"/>
      <x:c r="K178" s="254" t="n"/>
      <x:c r="L178" s="50" t="n"/>
      <x:c r="M178" s="251" t="n"/>
      <x:c r="N178" s="251">
        <x:f>IF($A178="","",IF($G178="","",IF(ISNUMBER(SEARCH("non",LOWER($E178&amp;""))),$G178*0.85,$G178)))</x:f>
      </x:c>
      <x:c r="O178" s="251">
        <x:f>IF($A178="","",IF(OR($N178="",$I178="",$I178=0),"",$N178/$I178))</x:f>
      </x:c>
      <x:c r="P178" s="251">
        <x:f>IF($A178="","",IF(LOWER($L178&amp;"")="yes",0,IF($K178&lt;&gt;"",$K178,IF($O178&lt;&gt;"",$O178,""))))</x:f>
      </x:c>
      <x:c r="Q178" s="254">
        <x:f>IF($A178="","",IF($U178="Profit",$P178-$H178,0))</x:f>
      </x:c>
      <x:c r="R178" s="251">
        <x:f>IF($A178="","",IF($U178="Draw",$H178,0))</x:f>
      </x:c>
      <x:c r="S178" s="251">
        <x:f>IF($A178="","",IF($U178="Disqualified",$H178,0))</x:f>
      </x:c>
      <x:c r="T178" s="255">
        <x:f>IF($A178="","",IF($H178=0,IF($U178="Profit","N/A",0),IF($U178="Profit",$Q178/$H178,IF($U178="Disqualified",-1,0))))</x:f>
      </x:c>
      <x:c r="U178" s="254">
        <x:f>IF($A178="","",IF(LOWER($L178&amp;"")="yes","Disqualified",IF($P178&gt;$H178,"Profit","Draw")))</x:f>
      </x:c>
      <x:c r="V178" s="253">
        <x:f>IF(OR($B178="",$C178=""),"",IFERROR(ROUNDUP((IF(ISNUMBER($C178),$C178,DATEVALUE($C178))-IF(ISNUMBER($B178),$B178,DATEVALUE($B178)))/7,0),""))</x:f>
      </x:c>
      <x:c r="W178" s="254">
        <x:f>$Q178-$S178</x:f>
      </x:c>
      <x:c r="X178" s="256">
        <x:f>IF(OR($J178="",$I178="",$J178=0,$I178=0,$I178&gt;$J178),"",$J178-$I178)</x:f>
      </x:c>
      <x:c r="Y178" s="257">
        <x:f>IF(OR($J178="",$J178=0,$X178=""),"",$X178/$J178)</x:f>
      </x:c>
    </x:row>
    <x:row r="179" s="106" customFormat="1" ht="21" customHeight="1">
      <x:c r="A179" s="54" t="n"/>
      <x:c r="B179" s="250" t="n"/>
      <x:c r="C179" s="250" t="n"/>
      <x:c r="D179" s="54" t="n"/>
      <x:c r="E179" s="251" t="n"/>
      <x:c r="F179" s="251" t="n"/>
      <x:c r="G179" s="251" t="n"/>
      <x:c r="H179" s="251" t="n"/>
      <x:c r="I179" s="252" t="n"/>
      <x:c r="J179" s="253" t="n"/>
      <x:c r="K179" s="254" t="n"/>
      <x:c r="L179" s="50" t="n"/>
      <x:c r="M179" s="251" t="n"/>
      <x:c r="N179" s="251">
        <x:f>IF($A179="","",IF($G179="","",IF(ISNUMBER(SEARCH("non",LOWER($E179&amp;""))),$G179*0.85,$G179)))</x:f>
      </x:c>
      <x:c r="O179" s="251">
        <x:f>IF($A179="","",IF(OR($N179="",$I179="",$I179=0),"",$N179/$I179))</x:f>
      </x:c>
      <x:c r="P179" s="251">
        <x:f>IF($A179="","",IF(LOWER($L179&amp;"")="yes",0,IF($K179&lt;&gt;"",$K179,IF($O179&lt;&gt;"",$O179,""))))</x:f>
      </x:c>
      <x:c r="Q179" s="254">
        <x:f>IF($A179="","",IF($U179="Profit",$P179-$H179,0))</x:f>
      </x:c>
      <x:c r="R179" s="251">
        <x:f>IF($A179="","",IF($U179="Draw",$H179,0))</x:f>
      </x:c>
      <x:c r="S179" s="251">
        <x:f>IF($A179="","",IF($U179="Disqualified",$H179,0))</x:f>
      </x:c>
      <x:c r="T179" s="255">
        <x:f>IF($A179="","",IF($H179=0,IF($U179="Profit","N/A",0),IF($U179="Profit",$Q179/$H179,IF($U179="Disqualified",-1,0))))</x:f>
      </x:c>
      <x:c r="U179" s="254">
        <x:f>IF($A179="","",IF(LOWER($L179&amp;"")="yes","Disqualified",IF($P179&gt;$H179,"Profit","Draw")))</x:f>
      </x:c>
      <x:c r="V179" s="253">
        <x:f>IF(OR($B179="",$C179=""),"",IFERROR(ROUNDUP((IF(ISNUMBER($C179),$C179,DATEVALUE($C179))-IF(ISNUMBER($B179),$B179,DATEVALUE($B179)))/7,0),""))</x:f>
      </x:c>
      <x:c r="W179" s="254">
        <x:f>$Q179-$S179</x:f>
      </x:c>
      <x:c r="X179" s="256">
        <x:f>IF(OR($J179="",$I179="",$J179=0,$I179=0,$I179&gt;$J179),"",$J179-$I179)</x:f>
      </x:c>
      <x:c r="Y179" s="257">
        <x:f>IF(OR($J179="",$J179=0,$X179=""),"",$X179/$J179)</x:f>
      </x:c>
    </x:row>
    <x:row r="180" s="106" customFormat="1" ht="21" customHeight="1">
      <x:c r="A180" s="54" t="n"/>
      <x:c r="B180" s="250" t="n"/>
      <x:c r="C180" s="250" t="n"/>
      <x:c r="D180" s="54" t="n"/>
      <x:c r="E180" s="251" t="n"/>
      <x:c r="F180" s="251" t="n"/>
      <x:c r="G180" s="251" t="n"/>
      <x:c r="H180" s="251" t="n"/>
      <x:c r="I180" s="252" t="n"/>
      <x:c r="J180" s="253" t="n"/>
      <x:c r="K180" s="254" t="n"/>
      <x:c r="L180" s="50" t="n"/>
      <x:c r="M180" s="251" t="n"/>
      <x:c r="N180" s="251">
        <x:f>IF($A180="","",IF($G180="","",IF(ISNUMBER(SEARCH("non",LOWER($E180&amp;""))),$G180*0.85,$G180)))</x:f>
      </x:c>
      <x:c r="O180" s="251">
        <x:f>IF($A180="","",IF(OR($N180="",$I180="",$I180=0),"",$N180/$I180))</x:f>
      </x:c>
      <x:c r="P180" s="251">
        <x:f>IF($A180="","",IF(LOWER($L180&amp;"")="yes",0,IF($K180&lt;&gt;"",$K180,IF($O180&lt;&gt;"",$O180,""))))</x:f>
      </x:c>
      <x:c r="Q180" s="254">
        <x:f>IF($A180="","",IF($U180="Profit",$P180-$H180,0))</x:f>
      </x:c>
      <x:c r="R180" s="251">
        <x:f>IF($A180="","",IF($U180="Draw",$H180,0))</x:f>
      </x:c>
      <x:c r="S180" s="251">
        <x:f>IF($A180="","",IF($U180="Disqualified",$H180,0))</x:f>
      </x:c>
      <x:c r="T180" s="255">
        <x:f>IF($A180="","",IF($H180=0,IF($U180="Profit","N/A",0),IF($U180="Profit",$Q180/$H180,IF($U180="Disqualified",-1,0))))</x:f>
      </x:c>
      <x:c r="U180" s="254">
        <x:f>IF($A180="","",IF(LOWER($L180&amp;"")="yes","Disqualified",IF($P180&gt;$H180,"Profit","Draw")))</x:f>
      </x:c>
      <x:c r="V180" s="253">
        <x:f>IF(OR($B180="",$C180=""),"",IFERROR(ROUNDUP((IF(ISNUMBER($C180),$C180,DATEVALUE($C180))-IF(ISNUMBER($B180),$B180,DATEVALUE($B180)))/7,0),""))</x:f>
      </x:c>
      <x:c r="W180" s="254">
        <x:f>$Q180-$S180</x:f>
      </x:c>
      <x:c r="X180" s="256">
        <x:f>IF(OR($J180="",$I180="",$J180=0,$I180=0,$I180&gt;$J180),"",$J180-$I180)</x:f>
      </x:c>
      <x:c r="Y180" s="257">
        <x:f>IF(OR($J180="",$J180=0,$X180=""),"",$X180/$J180)</x:f>
      </x:c>
    </x:row>
    <x:row r="181" s="106" customFormat="1" ht="21" customHeight="1">
      <x:c r="A181" s="54" t="n"/>
      <x:c r="B181" s="250" t="n"/>
      <x:c r="C181" s="250" t="n"/>
      <x:c r="D181" s="54" t="n"/>
      <x:c r="E181" s="251" t="n"/>
      <x:c r="F181" s="251" t="n"/>
      <x:c r="G181" s="251" t="n"/>
      <x:c r="H181" s="251" t="n"/>
      <x:c r="I181" s="252" t="n"/>
      <x:c r="J181" s="253" t="n"/>
      <x:c r="K181" s="254" t="n"/>
      <x:c r="L181" s="50" t="n"/>
      <x:c r="M181" s="251" t="n"/>
      <x:c r="N181" s="251">
        <x:f>IF($A181="","",IF($G181="","",IF(ISNUMBER(SEARCH("non",LOWER($E181&amp;""))),$G181*0.85,$G181)))</x:f>
      </x:c>
      <x:c r="O181" s="251">
        <x:f>IF($A181="","",IF(OR($N181="",$I181="",$I181=0),"",$N181/$I181))</x:f>
      </x:c>
      <x:c r="P181" s="251">
        <x:f>IF($A181="","",IF(LOWER($L181&amp;"")="yes",0,IF($K181&lt;&gt;"",$K181,IF($O181&lt;&gt;"",$O181,""))))</x:f>
      </x:c>
      <x:c r="Q181" s="254">
        <x:f>IF($A181="","",IF($U181="Profit",$P181-$H181,0))</x:f>
      </x:c>
      <x:c r="R181" s="251">
        <x:f>IF($A181="","",IF($U181="Draw",$H181,0))</x:f>
      </x:c>
      <x:c r="S181" s="251">
        <x:f>IF($A181="","",IF($U181="Disqualified",$H181,0))</x:f>
      </x:c>
      <x:c r="T181" s="255">
        <x:f>IF($A181="","",IF($H181=0,IF($U181="Profit","N/A",0),IF($U181="Profit",$Q181/$H181,IF($U181="Disqualified",-1,0))))</x:f>
      </x:c>
      <x:c r="U181" s="254">
        <x:f>IF($A181="","",IF(LOWER($L181&amp;"")="yes","Disqualified",IF($P181&gt;$H181,"Profit","Draw")))</x:f>
      </x:c>
      <x:c r="V181" s="253">
        <x:f>IF(OR($B181="",$C181=""),"",IFERROR(ROUNDUP((IF(ISNUMBER($C181),$C181,DATEVALUE($C181))-IF(ISNUMBER($B181),$B181,DATEVALUE($B181)))/7,0),""))</x:f>
      </x:c>
      <x:c r="W181" s="254">
        <x:f>$Q181-$S181</x:f>
      </x:c>
      <x:c r="X181" s="256">
        <x:f>IF(OR($J181="",$I181="",$J181=0,$I181=0,$I181&gt;$J181),"",$J181-$I181)</x:f>
      </x:c>
      <x:c r="Y181" s="257">
        <x:f>IF(OR($J181="",$J181=0,$X181=""),"",$X181/$J181)</x:f>
      </x:c>
    </x:row>
    <x:row r="182" s="106" customFormat="1" ht="21" customHeight="1">
      <x:c r="A182" s="54" t="n"/>
      <x:c r="B182" s="250" t="n"/>
      <x:c r="C182" s="250" t="n"/>
      <x:c r="D182" s="54" t="n"/>
      <x:c r="E182" s="251" t="n"/>
      <x:c r="F182" s="251" t="n"/>
      <x:c r="G182" s="251" t="n"/>
      <x:c r="H182" s="251" t="n"/>
      <x:c r="I182" s="252" t="n"/>
      <x:c r="J182" s="253" t="n"/>
      <x:c r="K182" s="254" t="n"/>
      <x:c r="L182" s="50" t="n"/>
      <x:c r="M182" s="251" t="n"/>
      <x:c r="N182" s="251">
        <x:f>IF($A182="","",IF($G182="","",IF(ISNUMBER(SEARCH("non",LOWER($E182&amp;""))),$G182*0.85,$G182)))</x:f>
      </x:c>
      <x:c r="O182" s="251">
        <x:f>IF($A182="","",IF(OR($N182="",$I182="",$I182=0),"",$N182/$I182))</x:f>
      </x:c>
      <x:c r="P182" s="251">
        <x:f>IF($A182="","",IF(LOWER($L182&amp;"")="yes",0,IF($K182&lt;&gt;"",$K182,IF($O182&lt;&gt;"",$O182,""))))</x:f>
      </x:c>
      <x:c r="Q182" s="254">
        <x:f>IF($A182="","",IF($U182="Profit",$P182-$H182,0))</x:f>
      </x:c>
      <x:c r="R182" s="251">
        <x:f>IF($A182="","",IF($U182="Draw",$H182,0))</x:f>
      </x:c>
      <x:c r="S182" s="251">
        <x:f>IF($A182="","",IF($U182="Disqualified",$H182,0))</x:f>
      </x:c>
      <x:c r="T182" s="255">
        <x:f>IF($A182="","",IF($H182=0,IF($U182="Profit","N/A",0),IF($U182="Profit",$Q182/$H182,IF($U182="Disqualified",-1,0))))</x:f>
      </x:c>
      <x:c r="U182" s="254">
        <x:f>IF($A182="","",IF(LOWER($L182&amp;"")="yes","Disqualified",IF($P182&gt;$H182,"Profit","Draw")))</x:f>
      </x:c>
      <x:c r="V182" s="253">
        <x:f>IF(OR($B182="",$C182=""),"",IFERROR(ROUNDUP((IF(ISNUMBER($C182),$C182,DATEVALUE($C182))-IF(ISNUMBER($B182),$B182,DATEVALUE($B182)))/7,0),""))</x:f>
      </x:c>
      <x:c r="W182" s="254">
        <x:f>$Q182-$S182</x:f>
      </x:c>
      <x:c r="X182" s="256">
        <x:f>IF(OR($J182="",$I182="",$J182=0,$I182=0,$I182&gt;$J182),"",$J182-$I182)</x:f>
      </x:c>
      <x:c r="Y182" s="257">
        <x:f>IF(OR($J182="",$J182=0,$X182=""),"",$X182/$J182)</x:f>
      </x:c>
    </x:row>
    <x:row r="183" s="106" customFormat="1" ht="21" customHeight="1">
      <x:c r="A183" s="54" t="n"/>
      <x:c r="B183" s="250" t="n"/>
      <x:c r="C183" s="250" t="n"/>
      <x:c r="D183" s="54" t="n"/>
      <x:c r="E183" s="251" t="n"/>
      <x:c r="F183" s="251" t="n"/>
      <x:c r="G183" s="251" t="n"/>
      <x:c r="H183" s="251" t="n"/>
      <x:c r="I183" s="252" t="n"/>
      <x:c r="J183" s="253" t="n"/>
      <x:c r="K183" s="254" t="n"/>
      <x:c r="L183" s="50" t="n"/>
      <x:c r="M183" s="251" t="n"/>
      <x:c r="N183" s="251">
        <x:f>IF($A183="","",IF($G183="","",IF(ISNUMBER(SEARCH("non",LOWER($E183&amp;""))),$G183*0.85,$G183)))</x:f>
      </x:c>
      <x:c r="O183" s="251">
        <x:f>IF($A183="","",IF(OR($N183="",$I183="",$I183=0),"",$N183/$I183))</x:f>
      </x:c>
      <x:c r="P183" s="251">
        <x:f>IF($A183="","",IF(LOWER($L183&amp;"")="yes",0,IF($K183&lt;&gt;"",$K183,IF($O183&lt;&gt;"",$O183,""))))</x:f>
      </x:c>
      <x:c r="Q183" s="254">
        <x:f>IF($A183="","",IF($U183="Profit",$P183-$H183,0))</x:f>
      </x:c>
      <x:c r="R183" s="251">
        <x:f>IF($A183="","",IF($U183="Draw",$H183,0))</x:f>
      </x:c>
      <x:c r="S183" s="251">
        <x:f>IF($A183="","",IF($U183="Disqualified",$H183,0))</x:f>
      </x:c>
      <x:c r="T183" s="255">
        <x:f>IF($A183="","",IF($H183=0,IF($U183="Profit","N/A",0),IF($U183="Profit",$Q183/$H183,IF($U183="Disqualified",-1,0))))</x:f>
      </x:c>
      <x:c r="U183" s="254">
        <x:f>IF($A183="","",IF(LOWER($L183&amp;"")="yes","Disqualified",IF($P183&gt;$H183,"Profit","Draw")))</x:f>
      </x:c>
      <x:c r="V183" s="253">
        <x:f>IF(OR($B183="",$C183=""),"",IFERROR(ROUNDUP((IF(ISNUMBER($C183),$C183,DATEVALUE($C183))-IF(ISNUMBER($B183),$B183,DATEVALUE($B183)))/7,0),""))</x:f>
      </x:c>
      <x:c r="W183" s="254">
        <x:f>$Q183-$S183</x:f>
      </x:c>
      <x:c r="X183" s="256">
        <x:f>IF(OR($J183="",$I183="",$J183=0,$I183=0,$I183&gt;$J183),"",$J183-$I183)</x:f>
      </x:c>
      <x:c r="Y183" s="257">
        <x:f>IF(OR($J183="",$J183=0,$X183=""),"",$X183/$J183)</x:f>
      </x:c>
    </x:row>
    <x:row r="184" s="106" customFormat="1" ht="21" customHeight="1">
      <x:c r="A184" s="54" t="n"/>
      <x:c r="B184" s="250" t="n"/>
      <x:c r="C184" s="250" t="n"/>
      <x:c r="D184" s="54" t="n"/>
      <x:c r="E184" s="251" t="n"/>
      <x:c r="F184" s="251" t="n"/>
      <x:c r="G184" s="251" t="n"/>
      <x:c r="H184" s="251" t="n"/>
      <x:c r="I184" s="252" t="n"/>
      <x:c r="J184" s="253" t="n"/>
      <x:c r="K184" s="254" t="n"/>
      <x:c r="L184" s="50" t="n"/>
      <x:c r="M184" s="251" t="n"/>
      <x:c r="N184" s="251">
        <x:f>IF($A184="","",IF($G184="","",IF(ISNUMBER(SEARCH("non",LOWER($E184&amp;""))),$G184*0.85,$G184)))</x:f>
      </x:c>
      <x:c r="O184" s="251">
        <x:f>IF($A184="","",IF(OR($N184="",$I184="",$I184=0),"",$N184/$I184))</x:f>
      </x:c>
      <x:c r="P184" s="251">
        <x:f>IF($A184="","",IF(LOWER($L184&amp;"")="yes",0,IF($K184&lt;&gt;"",$K184,IF($O184&lt;&gt;"",$O184,""))))</x:f>
      </x:c>
      <x:c r="Q184" s="254">
        <x:f>IF($A184="","",IF($U184="Profit",$P184-$H184,0))</x:f>
      </x:c>
      <x:c r="R184" s="251">
        <x:f>IF($A184="","",IF($U184="Draw",$H184,0))</x:f>
      </x:c>
      <x:c r="S184" s="251">
        <x:f>IF($A184="","",IF($U184="Disqualified",$H184,0))</x:f>
      </x:c>
      <x:c r="T184" s="255">
        <x:f>IF($A184="","",IF($H184=0,IF($U184="Profit","N/A",0),IF($U184="Profit",$Q184/$H184,IF($U184="Disqualified",-1,0))))</x:f>
      </x:c>
      <x:c r="U184" s="254">
        <x:f>IF($A184="","",IF(LOWER($L184&amp;"")="yes","Disqualified",IF($P184&gt;$H184,"Profit","Draw")))</x:f>
      </x:c>
      <x:c r="V184" s="253">
        <x:f>IF(OR($B184="",$C184=""),"",IFERROR(ROUNDUP((IF(ISNUMBER($C184),$C184,DATEVALUE($C184))-IF(ISNUMBER($B184),$B184,DATEVALUE($B184)))/7,0),""))</x:f>
      </x:c>
      <x:c r="W184" s="254">
        <x:f>$Q184-$S184</x:f>
      </x:c>
      <x:c r="X184" s="256">
        <x:f>IF(OR($J184="",$I184="",$J184=0,$I184=0,$I184&gt;$J184),"",$J184-$I184)</x:f>
      </x:c>
      <x:c r="Y184" s="257">
        <x:f>IF(OR($J184="",$J184=0,$X184=""),"",$X184/$J184)</x:f>
      </x:c>
    </x:row>
    <x:row r="185" s="106" customFormat="1" ht="21" customHeight="1">
      <x:c r="A185" s="54" t="n"/>
      <x:c r="B185" s="250" t="n"/>
      <x:c r="C185" s="250" t="n"/>
      <x:c r="D185" s="54" t="n"/>
      <x:c r="E185" s="251" t="n"/>
      <x:c r="F185" s="251" t="n"/>
      <x:c r="G185" s="251" t="n"/>
      <x:c r="H185" s="251" t="n"/>
      <x:c r="I185" s="252" t="n"/>
      <x:c r="J185" s="253" t="n"/>
      <x:c r="K185" s="254" t="n"/>
      <x:c r="L185" s="50" t="n"/>
      <x:c r="M185" s="251" t="n"/>
      <x:c r="N185" s="251">
        <x:f>IF($A185="","",IF($G185="","",IF(ISNUMBER(SEARCH("non",LOWER($E185&amp;""))),$G185*0.85,$G185)))</x:f>
      </x:c>
      <x:c r="O185" s="251">
        <x:f>IF($A185="","",IF(OR($N185="",$I185="",$I185=0),"",$N185/$I185))</x:f>
      </x:c>
      <x:c r="P185" s="251">
        <x:f>IF($A185="","",IF(LOWER($L185&amp;"")="yes",0,IF($K185&lt;&gt;"",$K185,IF($O185&lt;&gt;"",$O185,""))))</x:f>
      </x:c>
      <x:c r="Q185" s="254">
        <x:f>IF($A185="","",IF($U185="Profit",$P185-$H185,0))</x:f>
      </x:c>
      <x:c r="R185" s="251">
        <x:f>IF($A185="","",IF($U185="Draw",$H185,0))</x:f>
      </x:c>
      <x:c r="S185" s="251">
        <x:f>IF($A185="","",IF($U185="Disqualified",$H185,0))</x:f>
      </x:c>
      <x:c r="T185" s="255">
        <x:f>IF($A185="","",IF($H185=0,IF($U185="Profit","N/A",0),IF($U185="Profit",$Q185/$H185,IF($U185="Disqualified",-1,0))))</x:f>
      </x:c>
      <x:c r="U185" s="254">
        <x:f>IF($A185="","",IF(LOWER($L185&amp;"")="yes","Disqualified",IF($P185&gt;$H185,"Profit","Draw")))</x:f>
      </x:c>
      <x:c r="V185" s="253">
        <x:f>IF(OR($B185="",$C185=""),"",IFERROR(ROUNDUP((IF(ISNUMBER($C185),$C185,DATEVALUE($C185))-IF(ISNUMBER($B185),$B185,DATEVALUE($B185)))/7,0),""))</x:f>
      </x:c>
      <x:c r="W185" s="254">
        <x:f>$Q185-$S185</x:f>
      </x:c>
      <x:c r="X185" s="256">
        <x:f>IF(OR($J185="",$I185="",$J185=0,$I185=0,$I185&gt;$J185),"",$J185-$I185)</x:f>
      </x:c>
      <x:c r="Y185" s="257">
        <x:f>IF(OR($J185="",$J185=0,$X185=""),"",$X185/$J185)</x:f>
      </x:c>
    </x:row>
    <x:row r="186" s="106" customFormat="1" ht="21" customHeight="1">
      <x:c r="A186" s="54" t="n"/>
      <x:c r="B186" s="250" t="n"/>
      <x:c r="C186" s="250" t="n"/>
      <x:c r="D186" s="54" t="n"/>
      <x:c r="E186" s="251" t="n"/>
      <x:c r="F186" s="251" t="n"/>
      <x:c r="G186" s="251" t="n"/>
      <x:c r="H186" s="251" t="n"/>
      <x:c r="I186" s="252" t="n"/>
      <x:c r="J186" s="253" t="n"/>
      <x:c r="K186" s="254" t="n"/>
      <x:c r="L186" s="50" t="n"/>
      <x:c r="M186" s="251" t="n"/>
      <x:c r="N186" s="251">
        <x:f>IF($A186="","",IF($G186="","",IF(ISNUMBER(SEARCH("non",LOWER($E186&amp;""))),$G186*0.85,$G186)))</x:f>
      </x:c>
      <x:c r="O186" s="251">
        <x:f>IF($A186="","",IF(OR($N186="",$I186="",$I186=0),"",$N186/$I186))</x:f>
      </x:c>
      <x:c r="P186" s="251">
        <x:f>IF($A186="","",IF(LOWER($L186&amp;"")="yes",0,IF($K186&lt;&gt;"",$K186,IF($O186&lt;&gt;"",$O186,""))))</x:f>
      </x:c>
      <x:c r="Q186" s="254">
        <x:f>IF($A186="","",IF($U186="Profit",$P186-$H186,0))</x:f>
      </x:c>
      <x:c r="R186" s="251">
        <x:f>IF($A186="","",IF($U186="Draw",$H186,0))</x:f>
      </x:c>
      <x:c r="S186" s="251">
        <x:f>IF($A186="","",IF($U186="Disqualified",$H186,0))</x:f>
      </x:c>
      <x:c r="T186" s="255">
        <x:f>IF($A186="","",IF($H186=0,IF($U186="Profit","N/A",0),IF($U186="Profit",$Q186/$H186,IF($U186="Disqualified",-1,0))))</x:f>
      </x:c>
      <x:c r="U186" s="254">
        <x:f>IF($A186="","",IF(LOWER($L186&amp;"")="yes","Disqualified",IF($P186&gt;$H186,"Profit","Draw")))</x:f>
      </x:c>
      <x:c r="V186" s="253">
        <x:f>IF(OR($B186="",$C186=""),"",IFERROR(ROUNDUP((IF(ISNUMBER($C186),$C186,DATEVALUE($C186))-IF(ISNUMBER($B186),$B186,DATEVALUE($B186)))/7,0),""))</x:f>
      </x:c>
      <x:c r="W186" s="254">
        <x:f>$Q186-$S186</x:f>
      </x:c>
      <x:c r="X186" s="256">
        <x:f>IF(OR($J186="",$I186="",$J186=0,$I186=0,$I186&gt;$J186),"",$J186-$I186)</x:f>
      </x:c>
      <x:c r="Y186" s="257">
        <x:f>IF(OR($J186="",$J186=0,$X186=""),"",$X186/$J186)</x:f>
      </x:c>
    </x:row>
    <x:row r="187" s="106" customFormat="1" ht="21" customHeight="1">
      <x:c r="A187" s="54" t="n"/>
      <x:c r="B187" s="250" t="n"/>
      <x:c r="C187" s="250" t="n"/>
      <x:c r="D187" s="54" t="n"/>
      <x:c r="E187" s="251" t="n"/>
      <x:c r="F187" s="251" t="n"/>
      <x:c r="G187" s="251" t="n"/>
      <x:c r="H187" s="251" t="n"/>
      <x:c r="I187" s="252" t="n"/>
      <x:c r="J187" s="253" t="n"/>
      <x:c r="K187" s="254" t="n"/>
      <x:c r="L187" s="50" t="n"/>
      <x:c r="M187" s="251" t="n"/>
      <x:c r="N187" s="251">
        <x:f>IF($A187="","",IF($G187="","",IF(ISNUMBER(SEARCH("non",LOWER($E187&amp;""))),$G187*0.85,$G187)))</x:f>
      </x:c>
      <x:c r="O187" s="251">
        <x:f>IF($A187="","",IF(OR($N187="",$I187="",$I187=0),"",$N187/$I187))</x:f>
      </x:c>
      <x:c r="P187" s="251">
        <x:f>IF($A187="","",IF(LOWER($L187&amp;"")="yes",0,IF($K187&lt;&gt;"",$K187,IF($O187&lt;&gt;"",$O187,""))))</x:f>
      </x:c>
      <x:c r="Q187" s="254">
        <x:f>IF($A187="","",IF($U187="Profit",$P187-$H187,0))</x:f>
      </x:c>
      <x:c r="R187" s="251">
        <x:f>IF($A187="","",IF($U187="Draw",$H187,0))</x:f>
      </x:c>
      <x:c r="S187" s="251">
        <x:f>IF($A187="","",IF($U187="Disqualified",$H187,0))</x:f>
      </x:c>
      <x:c r="T187" s="255">
        <x:f>IF($A187="","",IF($H187=0,IF($U187="Profit","N/A",0),IF($U187="Profit",$Q187/$H187,IF($U187="Disqualified",-1,0))))</x:f>
      </x:c>
      <x:c r="U187" s="254">
        <x:f>IF($A187="","",IF(LOWER($L187&amp;"")="yes","Disqualified",IF($P187&gt;$H187,"Profit","Draw")))</x:f>
      </x:c>
      <x:c r="V187" s="253">
        <x:f>IF(OR($B187="",$C187=""),"",IFERROR(ROUNDUP((IF(ISNUMBER($C187),$C187,DATEVALUE($C187))-IF(ISNUMBER($B187),$B187,DATEVALUE($B187)))/7,0),""))</x:f>
      </x:c>
      <x:c r="W187" s="254">
        <x:f>$Q187-$S187</x:f>
      </x:c>
      <x:c r="X187" s="256">
        <x:f>IF(OR($J187="",$I187="",$J187=0,$I187=0,$I187&gt;$J187),"",$J187-$I187)</x:f>
      </x:c>
      <x:c r="Y187" s="257">
        <x:f>IF(OR($J187="",$J187=0,$X187=""),"",$X187/$J187)</x:f>
      </x:c>
    </x:row>
    <x:row r="188" s="106" customFormat="1" ht="21" customHeight="1">
      <x:c r="A188" s="54" t="n"/>
      <x:c r="B188" s="250" t="n"/>
      <x:c r="C188" s="250" t="n"/>
      <x:c r="D188" s="54" t="n"/>
      <x:c r="E188" s="251" t="n"/>
      <x:c r="F188" s="251" t="n"/>
      <x:c r="G188" s="251" t="n"/>
      <x:c r="H188" s="251" t="n"/>
      <x:c r="I188" s="252" t="n"/>
      <x:c r="J188" s="253" t="n"/>
      <x:c r="K188" s="254" t="n"/>
      <x:c r="L188" s="50" t="n"/>
      <x:c r="M188" s="251" t="n"/>
      <x:c r="N188" s="251">
        <x:f>IF($A188="","",IF($G188="","",IF(ISNUMBER(SEARCH("non",LOWER($E188&amp;""))),$G188*0.85,$G188)))</x:f>
      </x:c>
      <x:c r="O188" s="251">
        <x:f>IF($A188="","",IF(OR($N188="",$I188="",$I188=0),"",$N188/$I188))</x:f>
      </x:c>
      <x:c r="P188" s="251">
        <x:f>IF($A188="","",IF(LOWER($L188&amp;"")="yes",0,IF($K188&lt;&gt;"",$K188,IF($O188&lt;&gt;"",$O188,""))))</x:f>
      </x:c>
      <x:c r="Q188" s="254">
        <x:f>IF($A188="","",IF($U188="Profit",$P188-$H188,0))</x:f>
      </x:c>
      <x:c r="R188" s="251">
        <x:f>IF($A188="","",IF($U188="Draw",$H188,0))</x:f>
      </x:c>
      <x:c r="S188" s="251">
        <x:f>IF($A188="","",IF($U188="Disqualified",$H188,0))</x:f>
      </x:c>
      <x:c r="T188" s="255">
        <x:f>IF($A188="","",IF($H188=0,IF($U188="Profit","N/A",0),IF($U188="Profit",$Q188/$H188,IF($U188="Disqualified",-1,0))))</x:f>
      </x:c>
      <x:c r="U188" s="254">
        <x:f>IF($A188="","",IF(LOWER($L188&amp;"")="yes","Disqualified",IF($P188&gt;$H188,"Profit","Draw")))</x:f>
      </x:c>
      <x:c r="V188" s="253">
        <x:f>IF(OR($B188="",$C188=""),"",IFERROR(ROUNDUP((IF(ISNUMBER($C188),$C188,DATEVALUE($C188))-IF(ISNUMBER($B188),$B188,DATEVALUE($B188)))/7,0),""))</x:f>
      </x:c>
      <x:c r="W188" s="254">
        <x:f>$Q188-$S188</x:f>
      </x:c>
      <x:c r="X188" s="256">
        <x:f>IF(OR($J188="",$I188="",$J188=0,$I188=0,$I188&gt;$J188),"",$J188-$I188)</x:f>
      </x:c>
      <x:c r="Y188" s="257">
        <x:f>IF(OR($J188="",$J188=0,$X188=""),"",$X188/$J188)</x:f>
      </x:c>
    </x:row>
    <x:row r="189" s="106" customFormat="1" ht="21" customHeight="1">
      <x:c r="A189" s="54" t="n"/>
      <x:c r="B189" s="250" t="n"/>
      <x:c r="C189" s="250" t="n"/>
      <x:c r="D189" s="54" t="n"/>
      <x:c r="E189" s="251" t="n"/>
      <x:c r="F189" s="251" t="n"/>
      <x:c r="G189" s="251" t="n"/>
      <x:c r="H189" s="251" t="n"/>
      <x:c r="I189" s="252" t="n"/>
      <x:c r="J189" s="253" t="n"/>
      <x:c r="K189" s="254" t="n"/>
      <x:c r="L189" s="50" t="n"/>
      <x:c r="M189" s="251" t="n"/>
      <x:c r="N189" s="251">
        <x:f>IF($A189="","",IF($G189="","",IF(ISNUMBER(SEARCH("non",LOWER($E189&amp;""))),$G189*0.85,$G189)))</x:f>
      </x:c>
      <x:c r="O189" s="251">
        <x:f>IF($A189="","",IF(OR($N189="",$I189="",$I189=0),"",$N189/$I189))</x:f>
      </x:c>
      <x:c r="P189" s="251">
        <x:f>IF($A189="","",IF(LOWER($L189&amp;"")="yes",0,IF($K189&lt;&gt;"",$K189,IF($O189&lt;&gt;"",$O189,""))))</x:f>
      </x:c>
      <x:c r="Q189" s="254">
        <x:f>IF($A189="","",IF($U189="Profit",$P189-$H189,0))</x:f>
      </x:c>
      <x:c r="R189" s="251">
        <x:f>IF($A189="","",IF($U189="Draw",$H189,0))</x:f>
      </x:c>
      <x:c r="S189" s="251">
        <x:f>IF($A189="","",IF($U189="Disqualified",$H189,0))</x:f>
      </x:c>
      <x:c r="T189" s="255">
        <x:f>IF($A189="","",IF($H189=0,IF($U189="Profit","N/A",0),IF($U189="Profit",$Q189/$H189,IF($U189="Disqualified",-1,0))))</x:f>
      </x:c>
      <x:c r="U189" s="254">
        <x:f>IF($A189="","",IF(LOWER($L189&amp;"")="yes","Disqualified",IF($P189&gt;$H189,"Profit","Draw")))</x:f>
      </x:c>
      <x:c r="V189" s="253">
        <x:f>IF(OR($B189="",$C189=""),"",IFERROR(ROUNDUP((IF(ISNUMBER($C189),$C189,DATEVALUE($C189))-IF(ISNUMBER($B189),$B189,DATEVALUE($B189)))/7,0),""))</x:f>
      </x:c>
      <x:c r="W189" s="254">
        <x:f>$Q189-$S189</x:f>
      </x:c>
      <x:c r="X189" s="256">
        <x:f>IF(OR($J189="",$I189="",$J189=0,$I189=0,$I189&gt;$J189),"",$J189-$I189)</x:f>
      </x:c>
      <x:c r="Y189" s="257">
        <x:f>IF(OR($J189="",$J189=0,$X189=""),"",$X189/$J189)</x:f>
      </x:c>
    </x:row>
    <x:row r="190" s="106" customFormat="1" ht="21" customHeight="1">
      <x:c r="A190" s="54" t="n"/>
      <x:c r="B190" s="250" t="n"/>
      <x:c r="C190" s="250" t="n"/>
      <x:c r="D190" s="54" t="n"/>
      <x:c r="E190" s="251" t="n"/>
      <x:c r="F190" s="251" t="n"/>
      <x:c r="G190" s="251" t="n"/>
      <x:c r="H190" s="251" t="n"/>
      <x:c r="I190" s="252" t="n"/>
      <x:c r="J190" s="253" t="n"/>
      <x:c r="K190" s="254" t="n"/>
      <x:c r="L190" s="50" t="n"/>
      <x:c r="M190" s="251" t="n"/>
      <x:c r="N190" s="251">
        <x:f>IF($A190="","",IF($G190="","",IF(ISNUMBER(SEARCH("non",LOWER($E190&amp;""))),$G190*0.85,$G190)))</x:f>
      </x:c>
      <x:c r="O190" s="251">
        <x:f>IF($A190="","",IF(OR($N190="",$I190="",$I190=0),"",$N190/$I190))</x:f>
      </x:c>
      <x:c r="P190" s="251">
        <x:f>IF($A190="","",IF(LOWER($L190&amp;"")="yes",0,IF($K190&lt;&gt;"",$K190,IF($O190&lt;&gt;"",$O190,""))))</x:f>
      </x:c>
      <x:c r="Q190" s="254">
        <x:f>IF($A190="","",IF($U190="Profit",$P190-$H190,0))</x:f>
      </x:c>
      <x:c r="R190" s="251">
        <x:f>IF($A190="","",IF($U190="Draw",$H190,0))</x:f>
      </x:c>
      <x:c r="S190" s="251">
        <x:f>IF($A190="","",IF($U190="Disqualified",$H190,0))</x:f>
      </x:c>
      <x:c r="T190" s="255">
        <x:f>IF($A190="","",IF($H190=0,IF($U190="Profit","N/A",0),IF($U190="Profit",$Q190/$H190,IF($U190="Disqualified",-1,0))))</x:f>
      </x:c>
      <x:c r="U190" s="254">
        <x:f>IF($A190="","",IF(LOWER($L190&amp;"")="yes","Disqualified",IF($P190&gt;$H190,"Profit","Draw")))</x:f>
      </x:c>
      <x:c r="V190" s="253">
        <x:f>IF(OR($B190="",$C190=""),"",IFERROR(ROUNDUP((IF(ISNUMBER($C190),$C190,DATEVALUE($C190))-IF(ISNUMBER($B190),$B190,DATEVALUE($B190)))/7,0),""))</x:f>
      </x:c>
      <x:c r="W190" s="254">
        <x:f>$Q190-$S190</x:f>
      </x:c>
      <x:c r="X190" s="256">
        <x:f>IF(OR($J190="",$I190="",$J190=0,$I190=0,$I190&gt;$J190),"",$J190-$I190)</x:f>
      </x:c>
      <x:c r="Y190" s="257">
        <x:f>IF(OR($J190="",$J190=0,$X190=""),"",$X190/$J190)</x:f>
      </x:c>
    </x:row>
    <x:row r="191" s="106" customFormat="1" ht="21" customHeight="1">
      <x:c r="A191" s="54" t="n"/>
      <x:c r="B191" s="250" t="n"/>
      <x:c r="C191" s="250" t="n"/>
      <x:c r="D191" s="54" t="n"/>
      <x:c r="E191" s="251" t="n"/>
      <x:c r="F191" s="251" t="n"/>
      <x:c r="G191" s="251" t="n"/>
      <x:c r="H191" s="251" t="n"/>
      <x:c r="I191" s="252" t="n"/>
      <x:c r="J191" s="253" t="n"/>
      <x:c r="K191" s="254" t="n"/>
      <x:c r="L191" s="50" t="n"/>
      <x:c r="M191" s="251" t="n"/>
      <x:c r="N191" s="251">
        <x:f>IF($A191="","",IF($G191="","",IF(ISNUMBER(SEARCH("non",LOWER($E191&amp;""))),$G191*0.85,$G191)))</x:f>
      </x:c>
      <x:c r="O191" s="251">
        <x:f>IF($A191="","",IF(OR($N191="",$I191="",$I191=0),"",$N191/$I191))</x:f>
      </x:c>
      <x:c r="P191" s="251">
        <x:f>IF($A191="","",IF(LOWER($L191&amp;"")="yes",0,IF($K191&lt;&gt;"",$K191,IF($O191&lt;&gt;"",$O191,""))))</x:f>
      </x:c>
      <x:c r="Q191" s="254">
        <x:f>IF($A191="","",IF($U191="Profit",$P191-$H191,0))</x:f>
      </x:c>
      <x:c r="R191" s="251">
        <x:f>IF($A191="","",IF($U191="Draw",$H191,0))</x:f>
      </x:c>
      <x:c r="S191" s="251">
        <x:f>IF($A191="","",IF($U191="Disqualified",$H191,0))</x:f>
      </x:c>
      <x:c r="T191" s="255">
        <x:f>IF($A191="","",IF($H191=0,IF($U191="Profit","N/A",0),IF($U191="Profit",$Q191/$H191,IF($U191="Disqualified",-1,0))))</x:f>
      </x:c>
      <x:c r="U191" s="254">
        <x:f>IF($A191="","",IF(LOWER($L191&amp;"")="yes","Disqualified",IF($P191&gt;$H191,"Profit","Draw")))</x:f>
      </x:c>
      <x:c r="V191" s="253">
        <x:f>IF(OR($B191="",$C191=""),"",IFERROR(ROUNDUP((IF(ISNUMBER($C191),$C191,DATEVALUE($C191))-IF(ISNUMBER($B191),$B191,DATEVALUE($B191)))/7,0),""))</x:f>
      </x:c>
      <x:c r="W191" s="254">
        <x:f>$Q191-$S191</x:f>
      </x:c>
      <x:c r="X191" s="256">
        <x:f>IF(OR($J191="",$I191="",$J191=0,$I191=0,$I191&gt;$J191),"",$J191-$I191)</x:f>
      </x:c>
      <x:c r="Y191" s="257">
        <x:f>IF(OR($J191="",$J191=0,$X191=""),"",$X191/$J191)</x:f>
      </x:c>
    </x:row>
    <x:row r="192" s="106" customFormat="1" ht="21" customHeight="1">
      <x:c r="A192" s="54" t="n"/>
      <x:c r="B192" s="250" t="n"/>
      <x:c r="C192" s="250" t="n"/>
      <x:c r="D192" s="54" t="n"/>
      <x:c r="E192" s="251" t="n"/>
      <x:c r="F192" s="251" t="n"/>
      <x:c r="G192" s="251" t="n"/>
      <x:c r="H192" s="251" t="n"/>
      <x:c r="I192" s="252" t="n"/>
      <x:c r="J192" s="253" t="n"/>
      <x:c r="K192" s="254" t="n"/>
      <x:c r="L192" s="50" t="n"/>
      <x:c r="M192" s="251" t="n"/>
      <x:c r="N192" s="251">
        <x:f>IF($A192="","",IF($G192="","",IF(ISNUMBER(SEARCH("non",LOWER($E192&amp;""))),$G192*0.85,$G192)))</x:f>
      </x:c>
      <x:c r="O192" s="251">
        <x:f>IF($A192="","",IF(OR($N192="",$I192="",$I192=0),"",$N192/$I192))</x:f>
      </x:c>
      <x:c r="P192" s="251">
        <x:f>IF($A192="","",IF(LOWER($L192&amp;"")="yes",0,IF($K192&lt;&gt;"",$K192,IF($O192&lt;&gt;"",$O192,""))))</x:f>
      </x:c>
      <x:c r="Q192" s="254">
        <x:f>IF($A192="","",IF($U192="Profit",$P192-$H192,0))</x:f>
      </x:c>
      <x:c r="R192" s="251">
        <x:f>IF($A192="","",IF($U192="Draw",$H192,0))</x:f>
      </x:c>
      <x:c r="S192" s="251">
        <x:f>IF($A192="","",IF($U192="Disqualified",$H192,0))</x:f>
      </x:c>
      <x:c r="T192" s="255">
        <x:f>IF($A192="","",IF($H192=0,IF($U192="Profit","N/A",0),IF($U192="Profit",$Q192/$H192,IF($U192="Disqualified",-1,0))))</x:f>
      </x:c>
      <x:c r="U192" s="254">
        <x:f>IF($A192="","",IF(LOWER($L192&amp;"")="yes","Disqualified",IF($P192&gt;$H192,"Profit","Draw")))</x:f>
      </x:c>
      <x:c r="V192" s="253">
        <x:f>IF(OR($B192="",$C192=""),"",IFERROR(ROUNDUP((IF(ISNUMBER($C192),$C192,DATEVALUE($C192))-IF(ISNUMBER($B192),$B192,DATEVALUE($B192)))/7,0),""))</x:f>
      </x:c>
      <x:c r="W192" s="254">
        <x:f>$Q192-$S192</x:f>
      </x:c>
      <x:c r="X192" s="256">
        <x:f>IF(OR($J192="",$I192="",$J192=0,$I192=0,$I192&gt;$J192),"",$J192-$I192)</x:f>
      </x:c>
      <x:c r="Y192" s="257">
        <x:f>IF(OR($J192="",$J192=0,$X192=""),"",$X192/$J192)</x:f>
      </x:c>
    </x:row>
    <x:row r="193" s="106" customFormat="1" ht="21" customHeight="1">
      <x:c r="A193" s="54" t="n"/>
      <x:c r="B193" s="250" t="n"/>
      <x:c r="C193" s="250" t="n"/>
      <x:c r="D193" s="54" t="n"/>
      <x:c r="E193" s="251" t="n"/>
      <x:c r="F193" s="251" t="n"/>
      <x:c r="G193" s="251" t="n"/>
      <x:c r="H193" s="251" t="n"/>
      <x:c r="I193" s="252" t="n"/>
      <x:c r="J193" s="253" t="n"/>
      <x:c r="K193" s="254" t="n"/>
      <x:c r="L193" s="50" t="n"/>
      <x:c r="M193" s="251" t="n"/>
      <x:c r="N193" s="251">
        <x:f>IF($A193="","",IF($G193="","",IF(ISNUMBER(SEARCH("non",LOWER($E193&amp;""))),$G193*0.85,$G193)))</x:f>
      </x:c>
      <x:c r="O193" s="251">
        <x:f>IF($A193="","",IF(OR($N193="",$I193="",$I193=0),"",$N193/$I193))</x:f>
      </x:c>
      <x:c r="P193" s="251">
        <x:f>IF($A193="","",IF(LOWER($L193&amp;"")="yes",0,IF($K193&lt;&gt;"",$K193,IF($O193&lt;&gt;"",$O193,""))))</x:f>
      </x:c>
      <x:c r="Q193" s="254">
        <x:f>IF($A193="","",IF($U193="Profit",$P193-$H193,0))</x:f>
      </x:c>
      <x:c r="R193" s="251">
        <x:f>IF($A193="","",IF($U193="Draw",$H193,0))</x:f>
      </x:c>
      <x:c r="S193" s="251">
        <x:f>IF($A193="","",IF($U193="Disqualified",$H193,0))</x:f>
      </x:c>
      <x:c r="T193" s="255">
        <x:f>IF($A193="","",IF($H193=0,IF($U193="Profit","N/A",0),IF($U193="Profit",$Q193/$H193,IF($U193="Disqualified",-1,0))))</x:f>
      </x:c>
      <x:c r="U193" s="254">
        <x:f>IF($A193="","",IF(LOWER($L193&amp;"")="yes","Disqualified",IF($P193&gt;$H193,"Profit","Draw")))</x:f>
      </x:c>
      <x:c r="V193" s="253">
        <x:f>IF(OR($B193="",$C193=""),"",IFERROR(ROUNDUP((IF(ISNUMBER($C193),$C193,DATEVALUE($C193))-IF(ISNUMBER($B193),$B193,DATEVALUE($B193)))/7,0),""))</x:f>
      </x:c>
      <x:c r="W193" s="254">
        <x:f>$Q193-$S193</x:f>
      </x:c>
      <x:c r="X193" s="256">
        <x:f>IF(OR($J193="",$I193="",$J193=0,$I193=0,$I193&gt;$J193),"",$J193-$I193)</x:f>
      </x:c>
      <x:c r="Y193" s="257">
        <x:f>IF(OR($J193="",$J193=0,$X193=""),"",$X193/$J193)</x:f>
      </x:c>
    </x:row>
    <x:row r="194" s="106" customFormat="1" ht="21" customHeight="1">
      <x:c r="A194" s="54" t="n"/>
      <x:c r="B194" s="250" t="n"/>
      <x:c r="C194" s="250" t="n"/>
      <x:c r="D194" s="54" t="n"/>
      <x:c r="E194" s="251" t="n"/>
      <x:c r="F194" s="251" t="n"/>
      <x:c r="G194" s="251" t="n"/>
      <x:c r="H194" s="251" t="n"/>
      <x:c r="I194" s="252" t="n"/>
      <x:c r="J194" s="253" t="n"/>
      <x:c r="K194" s="254" t="n"/>
      <x:c r="L194" s="50" t="n"/>
      <x:c r="M194" s="251" t="n"/>
      <x:c r="N194" s="251">
        <x:f>IF($A194="","",IF($G194="","",IF(ISNUMBER(SEARCH("non",LOWER($E194&amp;""))),$G194*0.85,$G194)))</x:f>
      </x:c>
      <x:c r="O194" s="251">
        <x:f>IF($A194="","",IF(OR($N194="",$I194="",$I194=0),"",$N194/$I194))</x:f>
      </x:c>
      <x:c r="P194" s="251">
        <x:f>IF($A194="","",IF(LOWER($L194&amp;"")="yes",0,IF($K194&lt;&gt;"",$K194,IF($O194&lt;&gt;"",$O194,""))))</x:f>
      </x:c>
      <x:c r="Q194" s="254">
        <x:f>IF($A194="","",IF($U194="Profit",$P194-$H194,0))</x:f>
      </x:c>
      <x:c r="R194" s="251">
        <x:f>IF($A194="","",IF($U194="Draw",$H194,0))</x:f>
      </x:c>
      <x:c r="S194" s="251">
        <x:f>IF($A194="","",IF($U194="Disqualified",$H194,0))</x:f>
      </x:c>
      <x:c r="T194" s="255">
        <x:f>IF($A194="","",IF($H194=0,IF($U194="Profit","N/A",0),IF($U194="Profit",$Q194/$H194,IF($U194="Disqualified",-1,0))))</x:f>
      </x:c>
      <x:c r="U194" s="254">
        <x:f>IF($A194="","",IF(LOWER($L194&amp;"")="yes","Disqualified",IF($P194&gt;$H194,"Profit","Draw")))</x:f>
      </x:c>
      <x:c r="V194" s="253">
        <x:f>IF(OR($B194="",$C194=""),"",IFERROR(ROUNDUP((IF(ISNUMBER($C194),$C194,DATEVALUE($C194))-IF(ISNUMBER($B194),$B194,DATEVALUE($B194)))/7,0),""))</x:f>
      </x:c>
      <x:c r="W194" s="254">
        <x:f>$Q194-$S194</x:f>
      </x:c>
      <x:c r="X194" s="256">
        <x:f>IF(OR($J194="",$I194="",$J194=0,$I194=0,$I194&gt;$J194),"",$J194-$I194)</x:f>
      </x:c>
      <x:c r="Y194" s="257">
        <x:f>IF(OR($J194="",$J194=0,$X194=""),"",$X194/$J194)</x:f>
      </x:c>
    </x:row>
    <x:row r="195" s="106" customFormat="1" ht="21" customHeight="1">
      <x:c r="A195" s="54" t="n"/>
      <x:c r="B195" s="250" t="n"/>
      <x:c r="C195" s="250" t="n"/>
      <x:c r="D195" s="54" t="n"/>
      <x:c r="E195" s="251" t="n"/>
      <x:c r="F195" s="251" t="n"/>
      <x:c r="G195" s="251" t="n"/>
      <x:c r="H195" s="251" t="n"/>
      <x:c r="I195" s="252" t="n"/>
      <x:c r="J195" s="253" t="n"/>
      <x:c r="K195" s="254" t="n"/>
      <x:c r="L195" s="50" t="n"/>
      <x:c r="M195" s="251" t="n"/>
      <x:c r="N195" s="251">
        <x:f>IF($A195="","",IF($G195="","",IF(ISNUMBER(SEARCH("non",LOWER($E195&amp;""))),$G195*0.85,$G195)))</x:f>
      </x:c>
      <x:c r="O195" s="251">
        <x:f>IF($A195="","",IF(OR($N195="",$I195="",$I195=0),"",$N195/$I195))</x:f>
      </x:c>
      <x:c r="P195" s="251">
        <x:f>IF($A195="","",IF(LOWER($L195&amp;"")="yes",0,IF($K195&lt;&gt;"",$K195,IF($O195&lt;&gt;"",$O195,""))))</x:f>
      </x:c>
      <x:c r="Q195" s="254">
        <x:f>IF($A195="","",IF($U195="Profit",$P195-$H195,0))</x:f>
      </x:c>
      <x:c r="R195" s="251">
        <x:f>IF($A195="","",IF($U195="Draw",$H195,0))</x:f>
      </x:c>
      <x:c r="S195" s="251">
        <x:f>IF($A195="","",IF($U195="Disqualified",$H195,0))</x:f>
      </x:c>
      <x:c r="T195" s="255">
        <x:f>IF($A195="","",IF($H195=0,IF($U195="Profit","N/A",0),IF($U195="Profit",$Q195/$H195,IF($U195="Disqualified",-1,0))))</x:f>
      </x:c>
      <x:c r="U195" s="254">
        <x:f>IF($A195="","",IF(LOWER($L195&amp;"")="yes","Disqualified",IF($P195&gt;$H195,"Profit","Draw")))</x:f>
      </x:c>
      <x:c r="V195" s="253">
        <x:f>IF(OR($B195="",$C195=""),"",IFERROR(ROUNDUP((IF(ISNUMBER($C195),$C195,DATEVALUE($C195))-IF(ISNUMBER($B195),$B195,DATEVALUE($B195)))/7,0),""))</x:f>
      </x:c>
      <x:c r="W195" s="254">
        <x:f>$Q195-$S195</x:f>
      </x:c>
      <x:c r="X195" s="256">
        <x:f>IF(OR($J195="",$I195="",$J195=0,$I195=0,$I195&gt;$J195),"",$J195-$I195)</x:f>
      </x:c>
      <x:c r="Y195" s="257">
        <x:f>IF(OR($J195="",$J195=0,$X195=""),"",$X195/$J195)</x:f>
      </x:c>
    </x:row>
    <x:row r="196" s="106" customFormat="1" ht="21" customHeight="1">
      <x:c r="A196" s="54" t="n"/>
      <x:c r="B196" s="250" t="n"/>
      <x:c r="C196" s="250" t="n"/>
      <x:c r="D196" s="54" t="n"/>
      <x:c r="E196" s="251" t="n"/>
      <x:c r="F196" s="251" t="n"/>
      <x:c r="G196" s="251" t="n"/>
      <x:c r="H196" s="251" t="n"/>
      <x:c r="I196" s="252" t="n"/>
      <x:c r="J196" s="253" t="n"/>
      <x:c r="K196" s="254" t="n"/>
      <x:c r="L196" s="50" t="n"/>
      <x:c r="M196" s="251" t="n"/>
      <x:c r="N196" s="251">
        <x:f>IF($A196="","",IF($G196="","",IF(ISNUMBER(SEARCH("non",LOWER($E196&amp;""))),$G196*0.85,$G196)))</x:f>
      </x:c>
      <x:c r="O196" s="251">
        <x:f>IF($A196="","",IF(OR($N196="",$I196="",$I196=0),"",$N196/$I196))</x:f>
      </x:c>
      <x:c r="P196" s="251">
        <x:f>IF($A196="","",IF(LOWER($L196&amp;"")="yes",0,IF($K196&lt;&gt;"",$K196,IF($O196&lt;&gt;"",$O196,""))))</x:f>
      </x:c>
      <x:c r="Q196" s="254">
        <x:f>IF($A196="","",IF($U196="Profit",$P196-$H196,0))</x:f>
      </x:c>
      <x:c r="R196" s="251">
        <x:f>IF($A196="","",IF($U196="Draw",$H196,0))</x:f>
      </x:c>
      <x:c r="S196" s="251">
        <x:f>IF($A196="","",IF($U196="Disqualified",$H196,0))</x:f>
      </x:c>
      <x:c r="T196" s="255">
        <x:f>IF($A196="","",IF($H196=0,IF($U196="Profit","N/A",0),IF($U196="Profit",$Q196/$H196,IF($U196="Disqualified",-1,0))))</x:f>
      </x:c>
      <x:c r="U196" s="254">
        <x:f>IF($A196="","",IF(LOWER($L196&amp;"")="yes","Disqualified",IF($P196&gt;$H196,"Profit","Draw")))</x:f>
      </x:c>
      <x:c r="V196" s="253">
        <x:f>IF(OR($B196="",$C196=""),"",IFERROR(ROUNDUP((IF(ISNUMBER($C196),$C196,DATEVALUE($C196))-IF(ISNUMBER($B196),$B196,DATEVALUE($B196)))/7,0),""))</x:f>
      </x:c>
      <x:c r="W196" s="254">
        <x:f>$Q196-$S196</x:f>
      </x:c>
      <x:c r="X196" s="256">
        <x:f>IF(OR($J196="",$I196="",$J196=0,$I196=0,$I196&gt;$J196),"",$J196-$I196)</x:f>
      </x:c>
      <x:c r="Y196" s="257">
        <x:f>IF(OR($J196="",$J196=0,$X196=""),"",$X196/$J196)</x:f>
      </x:c>
    </x:row>
    <x:row r="197" s="106" customFormat="1" ht="21" customHeight="1">
      <x:c r="A197" s="54" t="n"/>
      <x:c r="B197" s="250" t="n"/>
      <x:c r="C197" s="250" t="n"/>
      <x:c r="D197" s="54" t="n"/>
      <x:c r="E197" s="251" t="n"/>
      <x:c r="F197" s="251" t="n"/>
      <x:c r="G197" s="251" t="n"/>
      <x:c r="H197" s="251" t="n"/>
      <x:c r="I197" s="252" t="n"/>
      <x:c r="J197" s="253" t="n"/>
      <x:c r="K197" s="254" t="n"/>
      <x:c r="L197" s="50" t="n"/>
      <x:c r="M197" s="251" t="n"/>
      <x:c r="N197" s="251">
        <x:f>IF($A197="","",IF($G197="","",IF(ISNUMBER(SEARCH("non",LOWER($E197&amp;""))),$G197*0.85,$G197)))</x:f>
      </x:c>
      <x:c r="O197" s="251">
        <x:f>IF($A197="","",IF(OR($N197="",$I197="",$I197=0),"",$N197/$I197))</x:f>
      </x:c>
      <x:c r="P197" s="251">
        <x:f>IF($A197="","",IF(LOWER($L197&amp;"")="yes",0,IF($K197&lt;&gt;"",$K197,IF($O197&lt;&gt;"",$O197,""))))</x:f>
      </x:c>
      <x:c r="Q197" s="254">
        <x:f>IF($A197="","",IF($U197="Profit",$P197-$H197,0))</x:f>
      </x:c>
      <x:c r="R197" s="251">
        <x:f>IF($A197="","",IF($U197="Draw",$H197,0))</x:f>
      </x:c>
      <x:c r="S197" s="251">
        <x:f>IF($A197="","",IF($U197="Disqualified",$H197,0))</x:f>
      </x:c>
      <x:c r="T197" s="255">
        <x:f>IF($A197="","",IF($H197=0,IF($U197="Profit","N/A",0),IF($U197="Profit",$Q197/$H197,IF($U197="Disqualified",-1,0))))</x:f>
      </x:c>
      <x:c r="U197" s="254">
        <x:f>IF($A197="","",IF(LOWER($L197&amp;"")="yes","Disqualified",IF($P197&gt;$H197,"Profit","Draw")))</x:f>
      </x:c>
      <x:c r="V197" s="253">
        <x:f>IF(OR($B197="",$C197=""),"",IFERROR(ROUNDUP((IF(ISNUMBER($C197),$C197,DATEVALUE($C197))-IF(ISNUMBER($B197),$B197,DATEVALUE($B197)))/7,0),""))</x:f>
      </x:c>
      <x:c r="W197" s="254">
        <x:f>$Q197-$S197</x:f>
      </x:c>
      <x:c r="X197" s="256">
        <x:f>IF(OR($J197="",$I197="",$J197=0,$I197=0,$I197&gt;$J197),"",$J197-$I197)</x:f>
      </x:c>
      <x:c r="Y197" s="257">
        <x:f>IF(OR($J197="",$J197=0,$X197=""),"",$X197/$J197)</x:f>
      </x:c>
    </x:row>
    <x:row r="198" s="106" customFormat="1" ht="21" customHeight="1">
      <x:c r="A198" s="54" t="n"/>
      <x:c r="B198" s="250" t="n"/>
      <x:c r="C198" s="250" t="n"/>
      <x:c r="D198" s="54" t="n"/>
      <x:c r="E198" s="251" t="n"/>
      <x:c r="F198" s="251" t="n"/>
      <x:c r="G198" s="251" t="n"/>
      <x:c r="H198" s="251" t="n"/>
      <x:c r="I198" s="252" t="n"/>
      <x:c r="J198" s="253" t="n"/>
      <x:c r="K198" s="254" t="n"/>
      <x:c r="L198" s="50" t="n"/>
      <x:c r="M198" s="251" t="n"/>
      <x:c r="N198" s="251">
        <x:f>IF($A198="","",IF($G198="","",IF(ISNUMBER(SEARCH("non",LOWER($E198&amp;""))),$G198*0.85,$G198)))</x:f>
      </x:c>
      <x:c r="O198" s="251">
        <x:f>IF($A198="","",IF(OR($N198="",$I198="",$I198=0),"",$N198/$I198))</x:f>
      </x:c>
      <x:c r="P198" s="251">
        <x:f>IF($A198="","",IF(LOWER($L198&amp;"")="yes",0,IF($K198&lt;&gt;"",$K198,IF($O198&lt;&gt;"",$O198,""))))</x:f>
      </x:c>
      <x:c r="Q198" s="254">
        <x:f>IF($A198="","",IF($U198="Profit",$P198-$H198,0))</x:f>
      </x:c>
      <x:c r="R198" s="251">
        <x:f>IF($A198="","",IF($U198="Draw",$H198,0))</x:f>
      </x:c>
      <x:c r="S198" s="251">
        <x:f>IF($A198="","",IF($U198="Disqualified",$H198,0))</x:f>
      </x:c>
      <x:c r="T198" s="255">
        <x:f>IF($A198="","",IF($H198=0,IF($U198="Profit","N/A",0),IF($U198="Profit",$Q198/$H198,IF($U198="Disqualified",-1,0))))</x:f>
      </x:c>
      <x:c r="U198" s="254">
        <x:f>IF($A198="","",IF(LOWER($L198&amp;"")="yes","Disqualified",IF($P198&gt;$H198,"Profit","Draw")))</x:f>
      </x:c>
      <x:c r="V198" s="253">
        <x:f>IF(OR($B198="",$C198=""),"",IFERROR(ROUNDUP((IF(ISNUMBER($C198),$C198,DATEVALUE($C198))-IF(ISNUMBER($B198),$B198,DATEVALUE($B198)))/7,0),""))</x:f>
      </x:c>
      <x:c r="W198" s="254">
        <x:f>$Q198-$S198</x:f>
      </x:c>
      <x:c r="X198" s="256">
        <x:f>IF(OR($J198="",$I198="",$J198=0,$I198=0,$I198&gt;$J198),"",$J198-$I198)</x:f>
      </x:c>
      <x:c r="Y198" s="257">
        <x:f>IF(OR($J198="",$J198=0,$X198=""),"",$X198/$J198)</x:f>
      </x:c>
    </x:row>
    <x:row r="199" s="106" customFormat="1" ht="21" customHeight="1">
      <x:c r="A199" s="54" t="n"/>
      <x:c r="B199" s="250" t="n"/>
      <x:c r="C199" s="250" t="n"/>
      <x:c r="D199" s="54" t="n"/>
      <x:c r="E199" s="251" t="n"/>
      <x:c r="F199" s="251" t="n"/>
      <x:c r="G199" s="251" t="n"/>
      <x:c r="H199" s="251" t="n"/>
      <x:c r="I199" s="252" t="n"/>
      <x:c r="J199" s="253" t="n"/>
      <x:c r="K199" s="254" t="n"/>
      <x:c r="L199" s="50" t="n"/>
      <x:c r="M199" s="251" t="n"/>
      <x:c r="N199" s="251">
        <x:f>IF($A199="","",IF($G199="","",IF(ISNUMBER(SEARCH("non",LOWER($E199&amp;""))),$G199*0.85,$G199)))</x:f>
      </x:c>
      <x:c r="O199" s="251">
        <x:f>IF($A199="","",IF(OR($N199="",$I199="",$I199=0),"",$N199/$I199))</x:f>
      </x:c>
      <x:c r="P199" s="251">
        <x:f>IF($A199="","",IF(LOWER($L199&amp;"")="yes",0,IF($K199&lt;&gt;"",$K199,IF($O199&lt;&gt;"",$O199,""))))</x:f>
      </x:c>
      <x:c r="Q199" s="254">
        <x:f>IF($A199="","",IF($U199="Profit",$P199-$H199,0))</x:f>
      </x:c>
      <x:c r="R199" s="251">
        <x:f>IF($A199="","",IF($U199="Draw",$H199,0))</x:f>
      </x:c>
      <x:c r="S199" s="251">
        <x:f>IF($A199="","",IF($U199="Disqualified",$H199,0))</x:f>
      </x:c>
      <x:c r="T199" s="255">
        <x:f>IF($A199="","",IF($H199=0,IF($U199="Profit","N/A",0),IF($U199="Profit",$Q199/$H199,IF($U199="Disqualified",-1,0))))</x:f>
      </x:c>
      <x:c r="U199" s="254">
        <x:f>IF($A199="","",IF(LOWER($L199&amp;"")="yes","Disqualified",IF($P199&gt;$H199,"Profit","Draw")))</x:f>
      </x:c>
      <x:c r="V199" s="253">
        <x:f>IF(OR($B199="",$C199=""),"",IFERROR(ROUNDUP((IF(ISNUMBER($C199),$C199,DATEVALUE($C199))-IF(ISNUMBER($B199),$B199,DATEVALUE($B199)))/7,0),""))</x:f>
      </x:c>
      <x:c r="W199" s="254">
        <x:f>$Q199-$S199</x:f>
      </x:c>
      <x:c r="X199" s="256">
        <x:f>IF(OR($J199="",$I199="",$J199=0,$I199=0,$I199&gt;$J199),"",$J199-$I199)</x:f>
      </x:c>
      <x:c r="Y199" s="257">
        <x:f>IF(OR($J199="",$J199=0,$X199=""),"",$X199/$J199)</x:f>
      </x:c>
    </x:row>
    <x:row r="200" s="106" customFormat="1" ht="21" customHeight="1">
      <x:c r="A200" s="54" t="n"/>
      <x:c r="B200" s="250" t="n"/>
      <x:c r="C200" s="250" t="n"/>
      <x:c r="D200" s="54" t="n"/>
      <x:c r="E200" s="251" t="n"/>
      <x:c r="F200" s="251" t="n"/>
      <x:c r="G200" s="251" t="n"/>
      <x:c r="H200" s="251" t="n"/>
      <x:c r="I200" s="252" t="n"/>
      <x:c r="J200" s="253" t="n"/>
      <x:c r="K200" s="254" t="n"/>
      <x:c r="L200" s="50" t="n"/>
      <x:c r="M200" s="251" t="n"/>
      <x:c r="N200" s="251">
        <x:f>IF($A200="","",IF($G200="","",IF(ISNUMBER(SEARCH("non",LOWER($E200&amp;""))),$G200*0.85,$G200)))</x:f>
      </x:c>
      <x:c r="O200" s="251">
        <x:f>IF($A200="","",IF(OR($N200="",$I200="",$I200=0),"",$N200/$I200))</x:f>
      </x:c>
      <x:c r="P200" s="251">
        <x:f>IF($A200="","",IF(LOWER($L200&amp;"")="yes",0,IF($K200&lt;&gt;"",$K200,IF($O200&lt;&gt;"",$O200,""))))</x:f>
      </x:c>
      <x:c r="Q200" s="254">
        <x:f>IF($A200="","",IF($U200="Profit",$P200-$H200,0))</x:f>
      </x:c>
      <x:c r="R200" s="251">
        <x:f>IF($A200="","",IF($U200="Draw",$H200,0))</x:f>
      </x:c>
      <x:c r="S200" s="251">
        <x:f>IF($A200="","",IF($U200="Disqualified",$H200,0))</x:f>
      </x:c>
      <x:c r="T200" s="255">
        <x:f>IF($A200="","",IF($H200=0,IF($U200="Profit","N/A",0),IF($U200="Profit",$Q200/$H200,IF($U200="Disqualified",-1,0))))</x:f>
      </x:c>
      <x:c r="U200" s="254">
        <x:f>IF($A200="","",IF(LOWER($L200&amp;"")="yes","Disqualified",IF($P200&gt;$H200,"Profit","Draw")))</x:f>
      </x:c>
      <x:c r="V200" s="253">
        <x:f>IF(OR($B200="",$C200=""),"",IFERROR(ROUNDUP((IF(ISNUMBER($C200),$C200,DATEVALUE($C200))-IF(ISNUMBER($B200),$B200,DATEVALUE($B200)))/7,0),""))</x:f>
      </x:c>
      <x:c r="W200" s="254">
        <x:f>$Q200-$S200</x:f>
      </x:c>
      <x:c r="X200" s="256">
        <x:f>IF(OR($J200="",$I200="",$J200=0,$I200=0,$I200&gt;$J200),"",$J200-$I200)</x:f>
      </x:c>
      <x:c r="Y200" s="257">
        <x:f>IF(OR($J200="",$J200=0,$X200=""),"",$X200/$J200)</x:f>
      </x:c>
    </x:row>
    <x:row r="201" s="106" customFormat="1" ht="21" customHeight="1">
      <x:c r="A201" s="54" t="n"/>
      <x:c r="B201" s="250" t="n"/>
      <x:c r="C201" s="250" t="n"/>
      <x:c r="D201" s="54" t="n"/>
      <x:c r="E201" s="251" t="n"/>
      <x:c r="F201" s="251" t="n"/>
      <x:c r="G201" s="251" t="n"/>
      <x:c r="H201" s="251" t="n"/>
      <x:c r="I201" s="252" t="n"/>
      <x:c r="J201" s="253" t="n"/>
      <x:c r="K201" s="254" t="n"/>
      <x:c r="L201" s="50" t="n"/>
      <x:c r="M201" s="251" t="n"/>
      <x:c r="N201" s="251">
        <x:f>IF($A201="","",IF($G201="","",IF(ISNUMBER(SEARCH("non",LOWER($E201&amp;""))),$G201*0.85,$G201)))</x:f>
      </x:c>
      <x:c r="O201" s="251">
        <x:f>IF($A201="","",IF(OR($N201="",$I201="",$I201=0),"",$N201/$I201))</x:f>
      </x:c>
      <x:c r="P201" s="251">
        <x:f>IF($A201="","",IF(LOWER($L201&amp;"")="yes",0,IF($K201&lt;&gt;"",$K201,IF($O201&lt;&gt;"",$O201,""))))</x:f>
      </x:c>
      <x:c r="Q201" s="254">
        <x:f>IF($A201="","",IF($U201="Profit",$P201-$H201,0))</x:f>
      </x:c>
      <x:c r="R201" s="251">
        <x:f>IF($A201="","",IF($U201="Draw",$H201,0))</x:f>
      </x:c>
      <x:c r="S201" s="251">
        <x:f>IF($A201="","",IF($U201="Disqualified",$H201,0))</x:f>
      </x:c>
      <x:c r="T201" s="255">
        <x:f>IF($A201="","",IF($H201=0,IF($U201="Profit","N/A",0),IF($U201="Profit",$Q201/$H201,IF($U201="Disqualified",-1,0))))</x:f>
      </x:c>
      <x:c r="U201" s="254">
        <x:f>IF($A201="","",IF(LOWER($L201&amp;"")="yes","Disqualified",IF($P201&gt;$H201,"Profit","Draw")))</x:f>
      </x:c>
      <x:c r="V201" s="253">
        <x:f>IF(OR($B201="",$C201=""),"",IFERROR(ROUNDUP((IF(ISNUMBER($C201),$C201,DATEVALUE($C201))-IF(ISNUMBER($B201),$B201,DATEVALUE($B201)))/7,0),""))</x:f>
      </x:c>
      <x:c r="W201" s="254">
        <x:f>$Q201-$S201</x:f>
      </x:c>
      <x:c r="X201" s="256">
        <x:f>IF(OR($J201="",$I201="",$J201=0,$I201=0,$I201&gt;$J201),"",$J201-$I201)</x:f>
      </x:c>
      <x:c r="Y201" s="257">
        <x:f>IF(OR($J201="",$J201=0,$X201=""),"",$X201/$J201)</x:f>
      </x:c>
    </x:row>
    <x:row r="202" s="106" customFormat="1" ht="21" customHeight="1">
      <x:c r="A202" s="54" t="n"/>
      <x:c r="B202" s="250" t="n"/>
      <x:c r="C202" s="250" t="n"/>
      <x:c r="D202" s="54" t="n"/>
      <x:c r="E202" s="251" t="n"/>
      <x:c r="F202" s="251" t="n"/>
      <x:c r="G202" s="251" t="n"/>
      <x:c r="H202" s="251" t="n"/>
      <x:c r="I202" s="252" t="n"/>
      <x:c r="J202" s="253" t="n"/>
      <x:c r="K202" s="254" t="n"/>
      <x:c r="L202" s="50" t="n"/>
      <x:c r="M202" s="251" t="n"/>
      <x:c r="N202" s="251">
        <x:f>IF($A202="","",IF($G202="","",IF(ISNUMBER(SEARCH("non",LOWER($E202&amp;""))),$G202*0.85,$G202)))</x:f>
      </x:c>
      <x:c r="O202" s="251">
        <x:f>IF($A202="","",IF(OR($N202="",$I202="",$I202=0),"",$N202/$I202))</x:f>
      </x:c>
      <x:c r="P202" s="251">
        <x:f>IF($A202="","",IF(LOWER($L202&amp;"")="yes",0,IF($K202&lt;&gt;"",$K202,IF($O202&lt;&gt;"",$O202,""))))</x:f>
      </x:c>
      <x:c r="Q202" s="254">
        <x:f>IF($A202="","",IF($U202="Profit",$P202-$H202,0))</x:f>
      </x:c>
      <x:c r="R202" s="251">
        <x:f>IF($A202="","",IF($U202="Draw",$H202,0))</x:f>
      </x:c>
      <x:c r="S202" s="251">
        <x:f>IF($A202="","",IF($U202="Disqualified",$H202,0))</x:f>
      </x:c>
      <x:c r="T202" s="255">
        <x:f>IF($A202="","",IF($H202=0,IF($U202="Profit","N/A",0),IF($U202="Profit",$Q202/$H202,IF($U202="Disqualified",-1,0))))</x:f>
      </x:c>
      <x:c r="U202" s="254">
        <x:f>IF($A202="","",IF(LOWER($L202&amp;"")="yes","Disqualified",IF($P202&gt;$H202,"Profit","Draw")))</x:f>
      </x:c>
      <x:c r="V202" s="253">
        <x:f>IF(OR($B202="",$C202=""),"",IFERROR(ROUNDUP((IF(ISNUMBER($C202),$C202,DATEVALUE($C202))-IF(ISNUMBER($B202),$B202,DATEVALUE($B202)))/7,0),""))</x:f>
      </x:c>
      <x:c r="W202" s="254">
        <x:f>$Q202-$S202</x:f>
      </x:c>
      <x:c r="X202" s="256">
        <x:f>IF(OR($J202="",$I202="",$J202=0,$I202=0,$I202&gt;$J202),"",$J202-$I202)</x:f>
      </x:c>
      <x:c r="Y202" s="257">
        <x:f>IF(OR($J202="",$J202=0,$X202=""),"",$X202/$J202)</x:f>
      </x:c>
    </x:row>
    <x:row r="203" s="106" customFormat="1" ht="21" customHeight="1">
      <x:c r="A203" s="54" t="n"/>
      <x:c r="B203" s="250" t="n"/>
      <x:c r="C203" s="250" t="n"/>
      <x:c r="D203" s="54" t="n"/>
      <x:c r="E203" s="251" t="n"/>
      <x:c r="F203" s="251" t="n"/>
      <x:c r="G203" s="251" t="n"/>
      <x:c r="H203" s="251" t="n"/>
      <x:c r="I203" s="252" t="n"/>
      <x:c r="J203" s="253" t="n"/>
      <x:c r="K203" s="254" t="n"/>
      <x:c r="L203" s="50" t="n"/>
      <x:c r="M203" s="251" t="n"/>
      <x:c r="N203" s="251">
        <x:f>IF($A203="","",IF($G203="","",IF(ISNUMBER(SEARCH("non",LOWER($E203&amp;""))),$G203*0.85,$G203)))</x:f>
      </x:c>
      <x:c r="O203" s="251">
        <x:f>IF($A203="","",IF(OR($N203="",$I203="",$I203=0),"",$N203/$I203))</x:f>
      </x:c>
      <x:c r="P203" s="251">
        <x:f>IF($A203="","",IF(LOWER($L203&amp;"")="yes",0,IF($K203&lt;&gt;"",$K203,IF($O203&lt;&gt;"",$O203,""))))</x:f>
      </x:c>
      <x:c r="Q203" s="254">
        <x:f>IF($A203="","",IF($U203="Profit",$P203-$H203,0))</x:f>
      </x:c>
      <x:c r="R203" s="251">
        <x:f>IF($A203="","",IF($U203="Draw",$H203,0))</x:f>
      </x:c>
      <x:c r="S203" s="251">
        <x:f>IF($A203="","",IF($U203="Disqualified",$H203,0))</x:f>
      </x:c>
      <x:c r="T203" s="255">
        <x:f>IF($A203="","",IF($H203=0,IF($U203="Profit","N/A",0),IF($U203="Profit",$Q203/$H203,IF($U203="Disqualified",-1,0))))</x:f>
      </x:c>
      <x:c r="U203" s="254">
        <x:f>IF($A203="","",IF(LOWER($L203&amp;"")="yes","Disqualified",IF($P203&gt;$H203,"Profit","Draw")))</x:f>
      </x:c>
      <x:c r="V203" s="253">
        <x:f>IF(OR($B203="",$C203=""),"",IFERROR(ROUNDUP((IF(ISNUMBER($C203),$C203,DATEVALUE($C203))-IF(ISNUMBER($B203),$B203,DATEVALUE($B203)))/7,0),""))</x:f>
      </x:c>
      <x:c r="W203" s="254">
        <x:f>$Q203-$S203</x:f>
      </x:c>
      <x:c r="X203" s="256">
        <x:f>IF(OR($J203="",$I203="",$J203=0,$I203=0,$I203&gt;$J203),"",$J203-$I203)</x:f>
      </x:c>
      <x:c r="Y203" s="257">
        <x:f>IF(OR($J203="",$J203=0,$X203=""),"",$X203/$J203)</x:f>
      </x:c>
    </x:row>
    <x:row r="204" s="106" customFormat="1" ht="21" customHeight="1">
      <x:c r="A204" s="54" t="n"/>
      <x:c r="B204" s="250" t="n"/>
      <x:c r="C204" s="250" t="n"/>
      <x:c r="D204" s="54" t="n"/>
      <x:c r="E204" s="251" t="n"/>
      <x:c r="F204" s="251" t="n"/>
      <x:c r="G204" s="251" t="n"/>
      <x:c r="H204" s="251" t="n"/>
      <x:c r="I204" s="252" t="n"/>
      <x:c r="J204" s="253" t="n"/>
      <x:c r="K204" s="254" t="n"/>
      <x:c r="L204" s="50" t="n"/>
      <x:c r="M204" s="251" t="n"/>
      <x:c r="N204" s="251">
        <x:f>IF($A204="","",IF($G204="","",IF(ISNUMBER(SEARCH("non",LOWER($E204&amp;""))),$G204*0.85,$G204)))</x:f>
      </x:c>
      <x:c r="O204" s="251">
        <x:f>IF($A204="","",IF(OR($N204="",$I204="",$I204=0),"",$N204/$I204))</x:f>
      </x:c>
      <x:c r="P204" s="251">
        <x:f>IF($A204="","",IF(LOWER($L204&amp;"")="yes",0,IF($K204&lt;&gt;"",$K204,IF($O204&lt;&gt;"",$O204,""))))</x:f>
      </x:c>
      <x:c r="Q204" s="254">
        <x:f>IF($A204="","",IF($U204="Profit",$P204-$H204,0))</x:f>
      </x:c>
      <x:c r="R204" s="251">
        <x:f>IF($A204="","",IF($U204="Draw",$H204,0))</x:f>
      </x:c>
      <x:c r="S204" s="251">
        <x:f>IF($A204="","",IF($U204="Disqualified",$H204,0))</x:f>
      </x:c>
      <x:c r="T204" s="255">
        <x:f>IF($A204="","",IF($H204=0,IF($U204="Profit","N/A",0),IF($U204="Profit",$Q204/$H204,IF($U204="Disqualified",-1,0))))</x:f>
      </x:c>
      <x:c r="U204" s="254">
        <x:f>IF($A204="","",IF(LOWER($L204&amp;"")="yes","Disqualified",IF($P204&gt;$H204,"Profit","Draw")))</x:f>
      </x:c>
      <x:c r="V204" s="253">
        <x:f>IF(OR($B204="",$C204=""),"",IFERROR(ROUNDUP((IF(ISNUMBER($C204),$C204,DATEVALUE($C204))-IF(ISNUMBER($B204),$B204,DATEVALUE($B204)))/7,0),""))</x:f>
      </x:c>
      <x:c r="W204" s="254">
        <x:f>$Q204-$S204</x:f>
      </x:c>
      <x:c r="X204" s="256">
        <x:f>IF(OR($J204="",$I204="",$J204=0,$I204=0,$I204&gt;$J204),"",$J204-$I204)</x:f>
      </x:c>
      <x:c r="Y204" s="257">
        <x:f>IF(OR($J204="",$J204=0,$X204=""),"",$X204/$J204)</x:f>
      </x:c>
    </x:row>
    <x:row r="205" s="106" customFormat="1" ht="21" customHeight="1">
      <x:c r="A205" s="54" t="n"/>
      <x:c r="B205" s="250" t="n"/>
      <x:c r="C205" s="250" t="n"/>
      <x:c r="D205" s="54" t="n"/>
      <x:c r="E205" s="251" t="n"/>
      <x:c r="F205" s="251" t="n"/>
      <x:c r="G205" s="251" t="n"/>
      <x:c r="H205" s="251" t="n"/>
      <x:c r="I205" s="252" t="n"/>
      <x:c r="J205" s="253" t="n"/>
      <x:c r="K205" s="254" t="n"/>
      <x:c r="L205" s="50" t="n"/>
      <x:c r="M205" s="251" t="n"/>
      <x:c r="N205" s="251">
        <x:f>IF($A205="","",IF($G205="","",IF(ISNUMBER(SEARCH("non",LOWER($E205&amp;""))),$G205*0.85,$G205)))</x:f>
      </x:c>
      <x:c r="O205" s="251">
        <x:f>IF($A205="","",IF(OR($N205="",$I205="",$I205=0),"",$N205/$I205))</x:f>
      </x:c>
      <x:c r="P205" s="251">
        <x:f>IF($A205="","",IF(LOWER($L205&amp;"")="yes",0,IF($K205&lt;&gt;"",$K205,IF($O205&lt;&gt;"",$O205,""))))</x:f>
      </x:c>
      <x:c r="Q205" s="254">
        <x:f>IF($A205="","",IF($U205="Profit",$P205-$H205,0))</x:f>
      </x:c>
      <x:c r="R205" s="251">
        <x:f>IF($A205="","",IF($U205="Draw",$H205,0))</x:f>
      </x:c>
      <x:c r="S205" s="251">
        <x:f>IF($A205="","",IF($U205="Disqualified",$H205,0))</x:f>
      </x:c>
      <x:c r="T205" s="255">
        <x:f>IF($A205="","",IF($H205=0,IF($U205="Profit","N/A",0),IF($U205="Profit",$Q205/$H205,IF($U205="Disqualified",-1,0))))</x:f>
      </x:c>
      <x:c r="U205" s="254">
        <x:f>IF($A205="","",IF(LOWER($L205&amp;"")="yes","Disqualified",IF($P205&gt;$H205,"Profit","Draw")))</x:f>
      </x:c>
      <x:c r="V205" s="253">
        <x:f>IF(OR($B205="",$C205=""),"",IFERROR(ROUNDUP((IF(ISNUMBER($C205),$C205,DATEVALUE($C205))-IF(ISNUMBER($B205),$B205,DATEVALUE($B205)))/7,0),""))</x:f>
      </x:c>
      <x:c r="W205" s="254">
        <x:f>$Q205-$S205</x:f>
      </x:c>
      <x:c r="X205" s="256">
        <x:f>IF(OR($J205="",$I205="",$J205=0,$I205=0,$I205&gt;$J205),"",$J205-$I205)</x:f>
      </x:c>
      <x:c r="Y205" s="257">
        <x:f>IF(OR($J205="",$J205=0,$X205=""),"",$X205/$J205)</x:f>
      </x:c>
    </x:row>
    <x:row r="206" s="106" customFormat="1" ht="21" customHeight="1">
      <x:c r="A206" s="54" t="n"/>
      <x:c r="B206" s="250" t="n"/>
      <x:c r="C206" s="250" t="n"/>
      <x:c r="D206" s="54" t="n"/>
      <x:c r="E206" s="251" t="n"/>
      <x:c r="F206" s="251" t="n"/>
      <x:c r="G206" s="251" t="n"/>
      <x:c r="H206" s="251" t="n"/>
      <x:c r="I206" s="252" t="n"/>
      <x:c r="J206" s="253" t="n"/>
      <x:c r="K206" s="254" t="n"/>
      <x:c r="L206" s="50" t="n"/>
      <x:c r="M206" s="251" t="n"/>
      <x:c r="N206" s="251">
        <x:f>IF($A206="","",IF($G206="","",IF(ISNUMBER(SEARCH("non",LOWER($E206&amp;""))),$G206*0.85,$G206)))</x:f>
      </x:c>
      <x:c r="O206" s="251">
        <x:f>IF($A206="","",IF(OR($N206="",$I206="",$I206=0),"",$N206/$I206))</x:f>
      </x:c>
      <x:c r="P206" s="251">
        <x:f>IF($A206="","",IF(LOWER($L206&amp;"")="yes",0,IF($K206&lt;&gt;"",$K206,IF($O206&lt;&gt;"",$O206,""))))</x:f>
      </x:c>
      <x:c r="Q206" s="254">
        <x:f>IF($A206="","",IF($U206="Profit",$P206-$H206,0))</x:f>
      </x:c>
      <x:c r="R206" s="251">
        <x:f>IF($A206="","",IF($U206="Draw",$H206,0))</x:f>
      </x:c>
      <x:c r="S206" s="251">
        <x:f>IF($A206="","",IF($U206="Disqualified",$H206,0))</x:f>
      </x:c>
      <x:c r="T206" s="255">
        <x:f>IF($A206="","",IF($H206=0,IF($U206="Profit","N/A",0),IF($U206="Profit",$Q206/$H206,IF($U206="Disqualified",-1,0))))</x:f>
      </x:c>
      <x:c r="U206" s="254">
        <x:f>IF($A206="","",IF(LOWER($L206&amp;"")="yes","Disqualified",IF($P206&gt;$H206,"Profit","Draw")))</x:f>
      </x:c>
      <x:c r="V206" s="253">
        <x:f>IF(OR($B206="",$C206=""),"",IFERROR(ROUNDUP((IF(ISNUMBER($C206),$C206,DATEVALUE($C206))-IF(ISNUMBER($B206),$B206,DATEVALUE($B206)))/7,0),""))</x:f>
      </x:c>
      <x:c r="W206" s="254">
        <x:f>$Q206-$S206</x:f>
      </x:c>
      <x:c r="X206" s="256">
        <x:f>IF(OR($J206="",$I206="",$J206=0,$I206=0,$I206&gt;$J206),"",$J206-$I206)</x:f>
      </x:c>
      <x:c r="Y206" s="257">
        <x:f>IF(OR($J206="",$J206=0,$X206=""),"",$X206/$J206)</x:f>
      </x:c>
    </x:row>
    <x:row r="207" s="106" customFormat="1" ht="21" customHeight="1">
      <x:c r="A207" s="54" t="n"/>
      <x:c r="B207" s="250" t="n"/>
      <x:c r="C207" s="250" t="n"/>
      <x:c r="D207" s="54" t="n"/>
      <x:c r="E207" s="251" t="n"/>
      <x:c r="F207" s="251" t="n"/>
      <x:c r="G207" s="251" t="n"/>
      <x:c r="H207" s="251" t="n"/>
      <x:c r="I207" s="252" t="n"/>
      <x:c r="J207" s="253" t="n"/>
      <x:c r="K207" s="254" t="n"/>
      <x:c r="L207" s="50" t="n"/>
      <x:c r="M207" s="251" t="n"/>
      <x:c r="N207" s="251">
        <x:f>IF($A207="","",IF($G207="","",IF(ISNUMBER(SEARCH("non",LOWER($E207&amp;""))),$G207*0.85,$G207)))</x:f>
      </x:c>
      <x:c r="O207" s="251">
        <x:f>IF($A207="","",IF(OR($N207="",$I207="",$I207=0),"",$N207/$I207))</x:f>
      </x:c>
      <x:c r="P207" s="251">
        <x:f>IF($A207="","",IF(LOWER($L207&amp;"")="yes",0,IF($K207&lt;&gt;"",$K207,IF($O207&lt;&gt;"",$O207,""))))</x:f>
      </x:c>
      <x:c r="Q207" s="254">
        <x:f>IF($A207="","",IF($U207="Profit",$P207-$H207,0))</x:f>
      </x:c>
      <x:c r="R207" s="251">
        <x:f>IF($A207="","",IF($U207="Draw",$H207,0))</x:f>
      </x:c>
      <x:c r="S207" s="251">
        <x:f>IF($A207="","",IF($U207="Disqualified",$H207,0))</x:f>
      </x:c>
      <x:c r="T207" s="255">
        <x:f>IF($A207="","",IF($H207=0,IF($U207="Profit","N/A",0),IF($U207="Profit",$Q207/$H207,IF($U207="Disqualified",-1,0))))</x:f>
      </x:c>
      <x:c r="U207" s="254">
        <x:f>IF($A207="","",IF(LOWER($L207&amp;"")="yes","Disqualified",IF($P207&gt;$H207,"Profit","Draw")))</x:f>
      </x:c>
      <x:c r="V207" s="253">
        <x:f>IF(OR($B207="",$C207=""),"",IFERROR(ROUNDUP((IF(ISNUMBER($C207),$C207,DATEVALUE($C207))-IF(ISNUMBER($B207),$B207,DATEVALUE($B207)))/7,0),""))</x:f>
      </x:c>
      <x:c r="W207" s="254">
        <x:f>$Q207-$S207</x:f>
      </x:c>
      <x:c r="X207" s="256">
        <x:f>IF(OR($J207="",$I207="",$J207=0,$I207=0,$I207&gt;$J207),"",$J207-$I207)</x:f>
      </x:c>
      <x:c r="Y207" s="257">
        <x:f>IF(OR($J207="",$J207=0,$X207=""),"",$X207/$J207)</x:f>
      </x:c>
    </x:row>
    <x:row r="208" s="106" customFormat="1" ht="21" customHeight="1">
      <x:c r="A208" s="54" t="n"/>
      <x:c r="B208" s="250" t="n"/>
      <x:c r="C208" s="250" t="n"/>
      <x:c r="D208" s="54" t="n"/>
      <x:c r="E208" s="251" t="n"/>
      <x:c r="F208" s="251" t="n"/>
      <x:c r="G208" s="251" t="n"/>
      <x:c r="H208" s="251" t="n"/>
      <x:c r="I208" s="252" t="n"/>
      <x:c r="J208" s="253" t="n"/>
      <x:c r="K208" s="254" t="n"/>
      <x:c r="L208" s="50" t="n"/>
      <x:c r="M208" s="251" t="n"/>
      <x:c r="N208" s="251">
        <x:f>IF($A208="","",IF($G208="","",IF(ISNUMBER(SEARCH("non",LOWER($E208&amp;""))),$G208*0.85,$G208)))</x:f>
      </x:c>
      <x:c r="O208" s="251">
        <x:f>IF($A208="","",IF(OR($N208="",$I208="",$I208=0),"",$N208/$I208))</x:f>
      </x:c>
      <x:c r="P208" s="251">
        <x:f>IF($A208="","",IF(LOWER($L208&amp;"")="yes",0,IF($K208&lt;&gt;"",$K208,IF($O208&lt;&gt;"",$O208,""))))</x:f>
      </x:c>
      <x:c r="Q208" s="254">
        <x:f>IF($A208="","",IF($U208="Profit",$P208-$H208,0))</x:f>
      </x:c>
      <x:c r="R208" s="251">
        <x:f>IF($A208="","",IF($U208="Draw",$H208,0))</x:f>
      </x:c>
      <x:c r="S208" s="251">
        <x:f>IF($A208="","",IF($U208="Disqualified",$H208,0))</x:f>
      </x:c>
      <x:c r="T208" s="255">
        <x:f>IF($A208="","",IF($H208=0,IF($U208="Profit","N/A",0),IF($U208="Profit",$Q208/$H208,IF($U208="Disqualified",-1,0))))</x:f>
      </x:c>
      <x:c r="U208" s="254">
        <x:f>IF($A208="","",IF(LOWER($L208&amp;"")="yes","Disqualified",IF($P208&gt;$H208,"Profit","Draw")))</x:f>
      </x:c>
      <x:c r="V208" s="253">
        <x:f>IF(OR($B208="",$C208=""),"",IFERROR(ROUNDUP((IF(ISNUMBER($C208),$C208,DATEVALUE($C208))-IF(ISNUMBER($B208),$B208,DATEVALUE($B208)))/7,0),""))</x:f>
      </x:c>
      <x:c r="W208" s="254">
        <x:f>$Q208-$S208</x:f>
      </x:c>
      <x:c r="X208" s="256">
        <x:f>IF(OR($J208="",$I208="",$J208=0,$I208=0,$I208&gt;$J208),"",$J208-$I208)</x:f>
      </x:c>
      <x:c r="Y208" s="257">
        <x:f>IF(OR($J208="",$J208=0,$X208=""),"",$X208/$J208)</x:f>
      </x:c>
    </x:row>
    <x:row r="209" s="106" customFormat="1" ht="21" customHeight="1">
      <x:c r="A209" s="54" t="n"/>
      <x:c r="B209" s="250" t="n"/>
      <x:c r="C209" s="250" t="n"/>
      <x:c r="D209" s="54" t="n"/>
      <x:c r="E209" s="251" t="n"/>
      <x:c r="F209" s="251" t="n"/>
      <x:c r="G209" s="251" t="n"/>
      <x:c r="H209" s="251" t="n"/>
      <x:c r="I209" s="252" t="n"/>
      <x:c r="J209" s="253" t="n"/>
      <x:c r="K209" s="254" t="n"/>
      <x:c r="L209" s="50" t="n"/>
      <x:c r="M209" s="251" t="n"/>
      <x:c r="N209" s="251">
        <x:f>IF($A209="","",IF($G209="","",IF(ISNUMBER(SEARCH("non",LOWER($E209&amp;""))),$G209*0.85,$G209)))</x:f>
      </x:c>
      <x:c r="O209" s="251">
        <x:f>IF($A209="","",IF(OR($N209="",$I209="",$I209=0),"",$N209/$I209))</x:f>
      </x:c>
      <x:c r="P209" s="251">
        <x:f>IF($A209="","",IF(LOWER($L209&amp;"")="yes",0,IF($K209&lt;&gt;"",$K209,IF($O209&lt;&gt;"",$O209,""))))</x:f>
      </x:c>
      <x:c r="Q209" s="254">
        <x:f>IF($A209="","",IF($U209="Profit",$P209-$H209,0))</x:f>
      </x:c>
      <x:c r="R209" s="251">
        <x:f>IF($A209="","",IF($U209="Draw",$H209,0))</x:f>
      </x:c>
      <x:c r="S209" s="251">
        <x:f>IF($A209="","",IF($U209="Disqualified",$H209,0))</x:f>
      </x:c>
      <x:c r="T209" s="255">
        <x:f>IF($A209="","",IF($H209=0,IF($U209="Profit","N/A",0),IF($U209="Profit",$Q209/$H209,IF($U209="Disqualified",-1,0))))</x:f>
      </x:c>
      <x:c r="U209" s="254">
        <x:f>IF($A209="","",IF(LOWER($L209&amp;"")="yes","Disqualified",IF($P209&gt;$H209,"Profit","Draw")))</x:f>
      </x:c>
      <x:c r="V209" s="253">
        <x:f>IF(OR($B209="",$C209=""),"",IFERROR(ROUNDUP((IF(ISNUMBER($C209),$C209,DATEVALUE($C209))-IF(ISNUMBER($B209),$B209,DATEVALUE($B209)))/7,0),""))</x:f>
      </x:c>
      <x:c r="W209" s="254">
        <x:f>$Q209-$S209</x:f>
      </x:c>
      <x:c r="X209" s="256">
        <x:f>IF(OR($J209="",$I209="",$J209=0,$I209=0,$I209&gt;$J209),"",$J209-$I209)</x:f>
      </x:c>
      <x:c r="Y209" s="257">
        <x:f>IF(OR($J209="",$J209=0,$X209=""),"",$X209/$J209)</x:f>
      </x:c>
    </x:row>
    <x:row r="210" s="106" customFormat="1" ht="21" customHeight="1">
      <x:c r="A210" s="54" t="n"/>
      <x:c r="B210" s="250" t="n"/>
      <x:c r="C210" s="250" t="n"/>
      <x:c r="D210" s="54" t="n"/>
      <x:c r="E210" s="251" t="n"/>
      <x:c r="F210" s="251" t="n"/>
      <x:c r="G210" s="251" t="n"/>
      <x:c r="H210" s="251" t="n"/>
      <x:c r="I210" s="252" t="n"/>
      <x:c r="J210" s="253" t="n"/>
      <x:c r="K210" s="254" t="n"/>
      <x:c r="L210" s="50" t="n"/>
      <x:c r="M210" s="251" t="n"/>
      <x:c r="N210" s="251">
        <x:f>IF($A210="","",IF($G210="","",IF(ISNUMBER(SEARCH("non",LOWER($E210&amp;""))),$G210*0.85,$G210)))</x:f>
      </x:c>
      <x:c r="O210" s="251">
        <x:f>IF($A210="","",IF(OR($N210="",$I210="",$I210=0),"",$N210/$I210))</x:f>
      </x:c>
      <x:c r="P210" s="251">
        <x:f>IF($A210="","",IF(LOWER($L210&amp;"")="yes",0,IF($K210&lt;&gt;"",$K210,IF($O210&lt;&gt;"",$O210,""))))</x:f>
      </x:c>
      <x:c r="Q210" s="254">
        <x:f>IF($A210="","",IF($U210="Profit",$P210-$H210,0))</x:f>
      </x:c>
      <x:c r="R210" s="251">
        <x:f>IF($A210="","",IF($U210="Draw",$H210,0))</x:f>
      </x:c>
      <x:c r="S210" s="251">
        <x:f>IF($A210="","",IF($U210="Disqualified",$H210,0))</x:f>
      </x:c>
      <x:c r="T210" s="255">
        <x:f>IF($A210="","",IF($H210=0,IF($U210="Profit","N/A",0),IF($U210="Profit",$Q210/$H210,IF($U210="Disqualified",-1,0))))</x:f>
      </x:c>
      <x:c r="U210" s="254">
        <x:f>IF($A210="","",IF(LOWER($L210&amp;"")="yes","Disqualified",IF($P210&gt;$H210,"Profit","Draw")))</x:f>
      </x:c>
      <x:c r="V210" s="253">
        <x:f>IF(OR($B210="",$C210=""),"",IFERROR(ROUNDUP((IF(ISNUMBER($C210),$C210,DATEVALUE($C210))-IF(ISNUMBER($B210),$B210,DATEVALUE($B210)))/7,0),""))</x:f>
      </x:c>
      <x:c r="W210" s="254">
        <x:f>$Q210-$S210</x:f>
      </x:c>
      <x:c r="X210" s="256">
        <x:f>IF(OR($J210="",$I210="",$J210=0,$I210=0,$I210&gt;$J210),"",$J210-$I210)</x:f>
      </x:c>
      <x:c r="Y210" s="257">
        <x:f>IF(OR($J210="",$J210=0,$X210=""),"",$X210/$J210)</x:f>
      </x:c>
    </x:row>
    <x:row r="211" s="106" customFormat="1" ht="21" customHeight="1">
      <x:c r="A211" s="54" t="n"/>
      <x:c r="B211" s="250" t="n"/>
      <x:c r="C211" s="250" t="n"/>
      <x:c r="D211" s="54" t="n"/>
      <x:c r="E211" s="251" t="n"/>
      <x:c r="F211" s="251" t="n"/>
      <x:c r="G211" s="251" t="n"/>
      <x:c r="H211" s="251" t="n"/>
      <x:c r="I211" s="252" t="n"/>
      <x:c r="J211" s="253" t="n"/>
      <x:c r="K211" s="254" t="n"/>
      <x:c r="L211" s="50" t="n"/>
      <x:c r="M211" s="251" t="n"/>
      <x:c r="N211" s="251">
        <x:f>IF($A211="","",IF($G211="","",IF(ISNUMBER(SEARCH("non",LOWER($E211&amp;""))),$G211*0.85,$G211)))</x:f>
      </x:c>
      <x:c r="O211" s="251">
        <x:f>IF($A211="","",IF(OR($N211="",$I211="",$I211=0),"",$N211/$I211))</x:f>
      </x:c>
      <x:c r="P211" s="251">
        <x:f>IF($A211="","",IF(LOWER($L211&amp;"")="yes",0,IF($K211&lt;&gt;"",$K211,IF($O211&lt;&gt;"",$O211,""))))</x:f>
      </x:c>
      <x:c r="Q211" s="254">
        <x:f>IF($A211="","",IF($U211="Profit",$P211-$H211,0))</x:f>
      </x:c>
      <x:c r="R211" s="251">
        <x:f>IF($A211="","",IF($U211="Draw",$H211,0))</x:f>
      </x:c>
      <x:c r="S211" s="251">
        <x:f>IF($A211="","",IF($U211="Disqualified",$H211,0))</x:f>
      </x:c>
      <x:c r="T211" s="255">
        <x:f>IF($A211="","",IF($H211=0,IF($U211="Profit","N/A",0),IF($U211="Profit",$Q211/$H211,IF($U211="Disqualified",-1,0))))</x:f>
      </x:c>
      <x:c r="U211" s="254">
        <x:f>IF($A211="","",IF(LOWER($L211&amp;"")="yes","Disqualified",IF($P211&gt;$H211,"Profit","Draw")))</x:f>
      </x:c>
      <x:c r="V211" s="253">
        <x:f>IF(OR($B211="",$C211=""),"",IFERROR(ROUNDUP((IF(ISNUMBER($C211),$C211,DATEVALUE($C211))-IF(ISNUMBER($B211),$B211,DATEVALUE($B211)))/7,0),""))</x:f>
      </x:c>
      <x:c r="W211" s="254">
        <x:f>$Q211-$S211</x:f>
      </x:c>
      <x:c r="X211" s="256">
        <x:f>IF(OR($J211="",$I211="",$J211=0,$I211=0,$I211&gt;$J211),"",$J211-$I211)</x:f>
      </x:c>
      <x:c r="Y211" s="257">
        <x:f>IF(OR($J211="",$J211=0,$X211=""),"",$X211/$J211)</x:f>
      </x:c>
    </x:row>
    <x:row r="212" s="106" customFormat="1" ht="21" customHeight="1">
      <x:c r="A212" s="54" t="n"/>
      <x:c r="B212" s="250" t="n"/>
      <x:c r="C212" s="250" t="n"/>
      <x:c r="D212" s="54" t="n"/>
      <x:c r="E212" s="251" t="n"/>
      <x:c r="F212" s="251" t="n"/>
      <x:c r="G212" s="251" t="n"/>
      <x:c r="H212" s="251" t="n"/>
      <x:c r="I212" s="252" t="n"/>
      <x:c r="J212" s="253" t="n"/>
      <x:c r="K212" s="254" t="n"/>
      <x:c r="L212" s="50" t="n"/>
      <x:c r="M212" s="251" t="n"/>
      <x:c r="N212" s="251">
        <x:f>IF($A212="","",IF($G212="","",IF(ISNUMBER(SEARCH("non",LOWER($E212&amp;""))),$G212*0.85,$G212)))</x:f>
      </x:c>
      <x:c r="O212" s="251">
        <x:f>IF($A212="","",IF(OR($N212="",$I212="",$I212=0),"",$N212/$I212))</x:f>
      </x:c>
      <x:c r="P212" s="251">
        <x:f>IF($A212="","",IF(LOWER($L212&amp;"")="yes",0,IF($K212&lt;&gt;"",$K212,IF($O212&lt;&gt;"",$O212,""))))</x:f>
      </x:c>
      <x:c r="Q212" s="254">
        <x:f>IF($A212="","",IF($U212="Profit",$P212-$H212,0))</x:f>
      </x:c>
      <x:c r="R212" s="251">
        <x:f>IF($A212="","",IF($U212="Draw",$H212,0))</x:f>
      </x:c>
      <x:c r="S212" s="251">
        <x:f>IF($A212="","",IF($U212="Disqualified",$H212,0))</x:f>
      </x:c>
      <x:c r="T212" s="255">
        <x:f>IF($A212="","",IF($H212=0,IF($U212="Profit","N/A",0),IF($U212="Profit",$Q212/$H212,IF($U212="Disqualified",-1,0))))</x:f>
      </x:c>
      <x:c r="U212" s="254">
        <x:f>IF($A212="","",IF(LOWER($L212&amp;"")="yes","Disqualified",IF($P212&gt;$H212,"Profit","Draw")))</x:f>
      </x:c>
      <x:c r="V212" s="253">
        <x:f>IF(OR($B212="",$C212=""),"",IFERROR(ROUNDUP((IF(ISNUMBER($C212),$C212,DATEVALUE($C212))-IF(ISNUMBER($B212),$B212,DATEVALUE($B212)))/7,0),""))</x:f>
      </x:c>
      <x:c r="W212" s="254">
        <x:f>$Q212-$S212</x:f>
      </x:c>
      <x:c r="X212" s="256">
        <x:f>IF(OR($J212="",$I212="",$J212=0,$I212=0,$I212&gt;$J212),"",$J212-$I212)</x:f>
      </x:c>
      <x:c r="Y212" s="257">
        <x:f>IF(OR($J212="",$J212=0,$X212=""),"",$X212/$J212)</x:f>
      </x:c>
    </x:row>
    <x:row r="213" s="106" customFormat="1" ht="21" customHeight="1">
      <x:c r="A213" s="54" t="n"/>
      <x:c r="B213" s="250" t="n"/>
      <x:c r="C213" s="250" t="n"/>
      <x:c r="D213" s="54" t="n"/>
      <x:c r="E213" s="251" t="n"/>
      <x:c r="F213" s="251" t="n"/>
      <x:c r="G213" s="251" t="n"/>
      <x:c r="H213" s="251" t="n"/>
      <x:c r="I213" s="252" t="n"/>
      <x:c r="J213" s="253" t="n"/>
      <x:c r="K213" s="254" t="n"/>
      <x:c r="L213" s="50" t="n"/>
      <x:c r="M213" s="251" t="n"/>
      <x:c r="N213" s="251">
        <x:f>IF($A213="","",IF($G213="","",IF(ISNUMBER(SEARCH("non",LOWER($E213&amp;""))),$G213*0.85,$G213)))</x:f>
      </x:c>
      <x:c r="O213" s="251">
        <x:f>IF($A213="","",IF(OR($N213="",$I213="",$I213=0),"",$N213/$I213))</x:f>
      </x:c>
      <x:c r="P213" s="251">
        <x:f>IF($A213="","",IF(LOWER($L213&amp;"")="yes",0,IF($K213&lt;&gt;"",$K213,IF($O213&lt;&gt;"",$O213,""))))</x:f>
      </x:c>
      <x:c r="Q213" s="254">
        <x:f>IF($A213="","",IF($U213="Profit",$P213-$H213,0))</x:f>
      </x:c>
      <x:c r="R213" s="251">
        <x:f>IF($A213="","",IF($U213="Draw",$H213,0))</x:f>
      </x:c>
      <x:c r="S213" s="251">
        <x:f>IF($A213="","",IF($U213="Disqualified",$H213,0))</x:f>
      </x:c>
      <x:c r="T213" s="255">
        <x:f>IF($A213="","",IF($H213=0,IF($U213="Profit","N/A",0),IF($U213="Profit",$Q213/$H213,IF($U213="Disqualified",-1,0))))</x:f>
      </x:c>
      <x:c r="U213" s="254">
        <x:f>IF($A213="","",IF(LOWER($L213&amp;"")="yes","Disqualified",IF($P213&gt;$H213,"Profit","Draw")))</x:f>
      </x:c>
      <x:c r="V213" s="253">
        <x:f>IF(OR($B213="",$C213=""),"",IFERROR(ROUNDUP((IF(ISNUMBER($C213),$C213,DATEVALUE($C213))-IF(ISNUMBER($B213),$B213,DATEVALUE($B213)))/7,0),""))</x:f>
      </x:c>
      <x:c r="W213" s="254">
        <x:f>$Q213-$S213</x:f>
      </x:c>
      <x:c r="X213" s="256">
        <x:f>IF(OR($J213="",$I213="",$J213=0,$I213=0,$I213&gt;$J213),"",$J213-$I213)</x:f>
      </x:c>
      <x:c r="Y213" s="257">
        <x:f>IF(OR($J213="",$J213=0,$X213=""),"",$X213/$J213)</x:f>
      </x:c>
    </x:row>
    <x:row r="214" s="106" customFormat="1" ht="21" customHeight="1">
      <x:c r="A214" s="54" t="n"/>
      <x:c r="B214" s="250" t="n"/>
      <x:c r="C214" s="250" t="n"/>
      <x:c r="D214" s="54" t="n"/>
      <x:c r="E214" s="251" t="n"/>
      <x:c r="F214" s="251" t="n"/>
      <x:c r="G214" s="251" t="n"/>
      <x:c r="H214" s="251" t="n"/>
      <x:c r="I214" s="252" t="n"/>
      <x:c r="J214" s="253" t="n"/>
      <x:c r="K214" s="254" t="n"/>
      <x:c r="L214" s="50" t="n"/>
      <x:c r="M214" s="251" t="n"/>
      <x:c r="N214" s="251">
        <x:f>IF($A214="","",IF($G214="","",IF(ISNUMBER(SEARCH("non",LOWER($E214&amp;""))),$G214*0.85,$G214)))</x:f>
      </x:c>
      <x:c r="O214" s="251">
        <x:f>IF($A214="","",IF(OR($N214="",$I214="",$I214=0),"",$N214/$I214))</x:f>
      </x:c>
      <x:c r="P214" s="251">
        <x:f>IF($A214="","",IF(LOWER($L214&amp;"")="yes",0,IF($K214&lt;&gt;"",$K214,IF($O214&lt;&gt;"",$O214,""))))</x:f>
      </x:c>
      <x:c r="Q214" s="254">
        <x:f>IF($A214="","",IF($U214="Profit",$P214-$H214,0))</x:f>
      </x:c>
      <x:c r="R214" s="251">
        <x:f>IF($A214="","",IF($U214="Draw",$H214,0))</x:f>
      </x:c>
      <x:c r="S214" s="251">
        <x:f>IF($A214="","",IF($U214="Disqualified",$H214,0))</x:f>
      </x:c>
      <x:c r="T214" s="255">
        <x:f>IF($A214="","",IF($H214=0,IF($U214="Profit","N/A",0),IF($U214="Profit",$Q214/$H214,IF($U214="Disqualified",-1,0))))</x:f>
      </x:c>
      <x:c r="U214" s="254">
        <x:f>IF($A214="","",IF(LOWER($L214&amp;"")="yes","Disqualified",IF($P214&gt;$H214,"Profit","Draw")))</x:f>
      </x:c>
      <x:c r="V214" s="253">
        <x:f>IF(OR($B214="",$C214=""),"",IFERROR(ROUNDUP((IF(ISNUMBER($C214),$C214,DATEVALUE($C214))-IF(ISNUMBER($B214),$B214,DATEVALUE($B214)))/7,0),""))</x:f>
      </x:c>
      <x:c r="W214" s="254">
        <x:f>$Q214-$S214</x:f>
      </x:c>
      <x:c r="X214" s="256">
        <x:f>IF(OR($J214="",$I214="",$J214=0,$I214=0,$I214&gt;$J214),"",$J214-$I214)</x:f>
      </x:c>
      <x:c r="Y214" s="257">
        <x:f>IF(OR($J214="",$J214=0,$X214=""),"",$X214/$J214)</x:f>
      </x:c>
    </x:row>
    <x:row r="215" s="106" customFormat="1" ht="21" customHeight="1">
      <x:c r="A215" s="54" t="n"/>
      <x:c r="B215" s="250" t="n"/>
      <x:c r="C215" s="250" t="n"/>
      <x:c r="D215" s="54" t="n"/>
      <x:c r="E215" s="251" t="n"/>
      <x:c r="F215" s="251" t="n"/>
      <x:c r="G215" s="251" t="n"/>
      <x:c r="H215" s="251" t="n"/>
      <x:c r="I215" s="252" t="n"/>
      <x:c r="J215" s="253" t="n"/>
      <x:c r="K215" s="254" t="n"/>
      <x:c r="L215" s="50" t="n"/>
      <x:c r="M215" s="251" t="n"/>
      <x:c r="N215" s="251">
        <x:f>IF($A215="","",IF($G215="","",IF(ISNUMBER(SEARCH("non",LOWER($E215&amp;""))),$G215*0.85,$G215)))</x:f>
      </x:c>
      <x:c r="O215" s="251">
        <x:f>IF($A215="","",IF(OR($N215="",$I215="",$I215=0),"",$N215/$I215))</x:f>
      </x:c>
      <x:c r="P215" s="251">
        <x:f>IF($A215="","",IF(LOWER($L215&amp;"")="yes",0,IF($K215&lt;&gt;"",$K215,IF($O215&lt;&gt;"",$O215,""))))</x:f>
      </x:c>
      <x:c r="Q215" s="254">
        <x:f>IF($A215="","",IF($U215="Profit",$P215-$H215,0))</x:f>
      </x:c>
      <x:c r="R215" s="251">
        <x:f>IF($A215="","",IF($U215="Draw",$H215,0))</x:f>
      </x:c>
      <x:c r="S215" s="251">
        <x:f>IF($A215="","",IF($U215="Disqualified",$H215,0))</x:f>
      </x:c>
      <x:c r="T215" s="255">
        <x:f>IF($A215="","",IF($H215=0,IF($U215="Profit","N/A",0),IF($U215="Profit",$Q215/$H215,IF($U215="Disqualified",-1,0))))</x:f>
      </x:c>
      <x:c r="U215" s="254">
        <x:f>IF($A215="","",IF(LOWER($L215&amp;"")="yes","Disqualified",IF($P215&gt;$H215,"Profit","Draw")))</x:f>
      </x:c>
      <x:c r="V215" s="253">
        <x:f>IF(OR($B215="",$C215=""),"",IFERROR(ROUNDUP((IF(ISNUMBER($C215),$C215,DATEVALUE($C215))-IF(ISNUMBER($B215),$B215,DATEVALUE($B215)))/7,0),""))</x:f>
      </x:c>
      <x:c r="W215" s="254">
        <x:f>$Q215-$S215</x:f>
      </x:c>
      <x:c r="X215" s="256">
        <x:f>IF(OR($J215="",$I215="",$J215=0,$I215=0,$I215&gt;$J215),"",$J215-$I215)</x:f>
      </x:c>
      <x:c r="Y215" s="257">
        <x:f>IF(OR($J215="",$J215=0,$X215=""),"",$X215/$J215)</x:f>
      </x:c>
    </x:row>
    <x:row r="216" s="106" customFormat="1" ht="21" customHeight="1">
      <x:c r="A216" s="54" t="n"/>
      <x:c r="B216" s="250" t="n"/>
      <x:c r="C216" s="250" t="n"/>
      <x:c r="D216" s="54" t="n"/>
      <x:c r="E216" s="251" t="n"/>
      <x:c r="F216" s="251" t="n"/>
      <x:c r="G216" s="251" t="n"/>
      <x:c r="H216" s="251" t="n"/>
      <x:c r="I216" s="252" t="n"/>
      <x:c r="J216" s="253" t="n"/>
      <x:c r="K216" s="254" t="n"/>
      <x:c r="L216" s="50" t="n"/>
      <x:c r="M216" s="251" t="n"/>
      <x:c r="N216" s="251">
        <x:f>IF($A216="","",IF($G216="","",IF(ISNUMBER(SEARCH("non",LOWER($E216&amp;""))),$G216*0.85,$G216)))</x:f>
      </x:c>
      <x:c r="O216" s="251">
        <x:f>IF($A216="","",IF(OR($N216="",$I216="",$I216=0),"",$N216/$I216))</x:f>
      </x:c>
      <x:c r="P216" s="251">
        <x:f>IF($A216="","",IF(LOWER($L216&amp;"")="yes",0,IF($K216&lt;&gt;"",$K216,IF($O216&lt;&gt;"",$O216,""))))</x:f>
      </x:c>
      <x:c r="Q216" s="254">
        <x:f>IF($A216="","",IF($U216="Profit",$P216-$H216,0))</x:f>
      </x:c>
      <x:c r="R216" s="251">
        <x:f>IF($A216="","",IF($U216="Draw",$H216,0))</x:f>
      </x:c>
      <x:c r="S216" s="251">
        <x:f>IF($A216="","",IF($U216="Disqualified",$H216,0))</x:f>
      </x:c>
      <x:c r="T216" s="255">
        <x:f>IF($A216="","",IF($H216=0,IF($U216="Profit","N/A",0),IF($U216="Profit",$Q216/$H216,IF($U216="Disqualified",-1,0))))</x:f>
      </x:c>
      <x:c r="U216" s="254">
        <x:f>IF($A216="","",IF(LOWER($L216&amp;"")="yes","Disqualified",IF($P216&gt;$H216,"Profit","Draw")))</x:f>
      </x:c>
      <x:c r="V216" s="253">
        <x:f>IF(OR($B216="",$C216=""),"",IFERROR(ROUNDUP((IF(ISNUMBER($C216),$C216,DATEVALUE($C216))-IF(ISNUMBER($B216),$B216,DATEVALUE($B216)))/7,0),""))</x:f>
      </x:c>
      <x:c r="W216" s="254">
        <x:f>$Q216-$S216</x:f>
      </x:c>
      <x:c r="X216" s="256">
        <x:f>IF(OR($J216="",$I216="",$J216=0,$I216=0,$I216&gt;$J216),"",$J216-$I216)</x:f>
      </x:c>
      <x:c r="Y216" s="257">
        <x:f>IF(OR($J216="",$J216=0,$X216=""),"",$X216/$J216)</x:f>
      </x:c>
    </x:row>
    <x:row r="217" s="106" customFormat="1" ht="21" customHeight="1">
      <x:c r="A217" s="54" t="n"/>
      <x:c r="B217" s="250" t="n"/>
      <x:c r="C217" s="250" t="n"/>
      <x:c r="D217" s="54" t="n"/>
      <x:c r="E217" s="251" t="n"/>
      <x:c r="F217" s="251" t="n"/>
      <x:c r="G217" s="251" t="n"/>
      <x:c r="H217" s="251" t="n"/>
      <x:c r="I217" s="252" t="n"/>
      <x:c r="J217" s="253" t="n"/>
      <x:c r="K217" s="254" t="n"/>
      <x:c r="L217" s="50" t="n"/>
      <x:c r="M217" s="251" t="n"/>
      <x:c r="N217" s="251">
        <x:f>IF($A217="","",IF($G217="","",IF(ISNUMBER(SEARCH("non",LOWER($E217&amp;""))),$G217*0.85,$G217)))</x:f>
      </x:c>
      <x:c r="O217" s="251">
        <x:f>IF($A217="","",IF(OR($N217="",$I217="",$I217=0),"",$N217/$I217))</x:f>
      </x:c>
      <x:c r="P217" s="251">
        <x:f>IF($A217="","",IF(LOWER($L217&amp;"")="yes",0,IF($K217&lt;&gt;"",$K217,IF($O217&lt;&gt;"",$O217,""))))</x:f>
      </x:c>
      <x:c r="Q217" s="254">
        <x:f>IF($A217="","",IF($U217="Profit",$P217-$H217,0))</x:f>
      </x:c>
      <x:c r="R217" s="251">
        <x:f>IF($A217="","",IF($U217="Draw",$H217,0))</x:f>
      </x:c>
      <x:c r="S217" s="251">
        <x:f>IF($A217="","",IF($U217="Disqualified",$H217,0))</x:f>
      </x:c>
      <x:c r="T217" s="255">
        <x:f>IF($A217="","",IF($H217=0,IF($U217="Profit","N/A",0),IF($U217="Profit",$Q217/$H217,IF($U217="Disqualified",-1,0))))</x:f>
      </x:c>
      <x:c r="U217" s="254">
        <x:f>IF($A217="","",IF(LOWER($L217&amp;"")="yes","Disqualified",IF($P217&gt;$H217,"Profit","Draw")))</x:f>
      </x:c>
      <x:c r="V217" s="253">
        <x:f>IF(OR($B217="",$C217=""),"",IFERROR(ROUNDUP((IF(ISNUMBER($C217),$C217,DATEVALUE($C217))-IF(ISNUMBER($B217),$B217,DATEVALUE($B217)))/7,0),""))</x:f>
      </x:c>
      <x:c r="W217" s="254">
        <x:f>$Q217-$S217</x:f>
      </x:c>
      <x:c r="X217" s="256">
        <x:f>IF(OR($J217="",$I217="",$J217=0,$I217=0,$I217&gt;$J217),"",$J217-$I217)</x:f>
      </x:c>
      <x:c r="Y217" s="257">
        <x:f>IF(OR($J217="",$J217=0,$X217=""),"",$X217/$J217)</x:f>
      </x:c>
    </x:row>
    <x:row r="218" s="106" customFormat="1" ht="21" customHeight="1">
      <x:c r="A218" s="54" t="n"/>
      <x:c r="B218" s="250" t="n"/>
      <x:c r="C218" s="250" t="n"/>
      <x:c r="D218" s="54" t="n"/>
      <x:c r="E218" s="251" t="n"/>
      <x:c r="F218" s="251" t="n"/>
      <x:c r="G218" s="251" t="n"/>
      <x:c r="H218" s="251" t="n"/>
      <x:c r="I218" s="252" t="n"/>
      <x:c r="J218" s="253" t="n"/>
      <x:c r="K218" s="254" t="n"/>
      <x:c r="L218" s="50" t="n"/>
      <x:c r="M218" s="251" t="n"/>
      <x:c r="N218" s="251">
        <x:f>IF($A218="","",IF($G218="","",IF(ISNUMBER(SEARCH("non",LOWER($E218&amp;""))),$G218*0.85,$G218)))</x:f>
      </x:c>
      <x:c r="O218" s="251">
        <x:f>IF($A218="","",IF(OR($N218="",$I218="",$I218=0),"",$N218/$I218))</x:f>
      </x:c>
      <x:c r="P218" s="251">
        <x:f>IF($A218="","",IF(LOWER($L218&amp;"")="yes",0,IF($K218&lt;&gt;"",$K218,IF($O218&lt;&gt;"",$O218,""))))</x:f>
      </x:c>
      <x:c r="Q218" s="254">
        <x:f>IF($A218="","",IF($U218="Profit",$P218-$H218,0))</x:f>
      </x:c>
      <x:c r="R218" s="251">
        <x:f>IF($A218="","",IF($U218="Draw",$H218,0))</x:f>
      </x:c>
      <x:c r="S218" s="251">
        <x:f>IF($A218="","",IF($U218="Disqualified",$H218,0))</x:f>
      </x:c>
      <x:c r="T218" s="255">
        <x:f>IF($A218="","",IF($H218=0,IF($U218="Profit","N/A",0),IF($U218="Profit",$Q218/$H218,IF($U218="Disqualified",-1,0))))</x:f>
      </x:c>
      <x:c r="U218" s="254">
        <x:f>IF($A218="","",IF(LOWER($L218&amp;"")="yes","Disqualified",IF($P218&gt;$H218,"Profit","Draw")))</x:f>
      </x:c>
      <x:c r="V218" s="253">
        <x:f>IF(OR($B218="",$C218=""),"",IFERROR(ROUNDUP((IF(ISNUMBER($C218),$C218,DATEVALUE($C218))-IF(ISNUMBER($B218),$B218,DATEVALUE($B218)))/7,0),""))</x:f>
      </x:c>
      <x:c r="W218" s="254">
        <x:f>$Q218-$S218</x:f>
      </x:c>
      <x:c r="X218" s="256">
        <x:f>IF(OR($J218="",$I218="",$J218=0,$I218=0,$I218&gt;$J218),"",$J218-$I218)</x:f>
      </x:c>
      <x:c r="Y218" s="257">
        <x:f>IF(OR($J218="",$J218=0,$X218=""),"",$X218/$J218)</x:f>
      </x:c>
    </x:row>
    <x:row r="219" s="106" customFormat="1" ht="21" customHeight="1">
      <x:c r="A219" s="54" t="n"/>
      <x:c r="B219" s="250" t="n"/>
      <x:c r="C219" s="250" t="n"/>
      <x:c r="D219" s="54" t="n"/>
      <x:c r="E219" s="251" t="n"/>
      <x:c r="F219" s="251" t="n"/>
      <x:c r="G219" s="251" t="n"/>
      <x:c r="H219" s="251" t="n"/>
      <x:c r="I219" s="252" t="n"/>
      <x:c r="J219" s="253" t="n"/>
      <x:c r="K219" s="254" t="n"/>
      <x:c r="L219" s="50" t="n"/>
      <x:c r="M219" s="251" t="n"/>
      <x:c r="N219" s="251">
        <x:f>IF($A219="","",IF($G219="","",IF(ISNUMBER(SEARCH("non",LOWER($E219&amp;""))),$G219*0.85,$G219)))</x:f>
      </x:c>
      <x:c r="O219" s="251">
        <x:f>IF($A219="","",IF(OR($N219="",$I219="",$I219=0),"",$N219/$I219))</x:f>
      </x:c>
      <x:c r="P219" s="251">
        <x:f>IF($A219="","",IF(LOWER($L219&amp;"")="yes",0,IF($K219&lt;&gt;"",$K219,IF($O219&lt;&gt;"",$O219,""))))</x:f>
      </x:c>
      <x:c r="Q219" s="254">
        <x:f>IF($A219="","",IF($U219="Profit",$P219-$H219,0))</x:f>
      </x:c>
      <x:c r="R219" s="251">
        <x:f>IF($A219="","",IF($U219="Draw",$H219,0))</x:f>
      </x:c>
      <x:c r="S219" s="251">
        <x:f>IF($A219="","",IF($U219="Disqualified",$H219,0))</x:f>
      </x:c>
      <x:c r="T219" s="255">
        <x:f>IF($A219="","",IF($H219=0,IF($U219="Profit","N/A",0),IF($U219="Profit",$Q219/$H219,IF($U219="Disqualified",-1,0))))</x:f>
      </x:c>
      <x:c r="U219" s="254">
        <x:f>IF($A219="","",IF(LOWER($L219&amp;"")="yes","Disqualified",IF($P219&gt;$H219,"Profit","Draw")))</x:f>
      </x:c>
      <x:c r="V219" s="253">
        <x:f>IF(OR($B219="",$C219=""),"",IFERROR(ROUNDUP((IF(ISNUMBER($C219),$C219,DATEVALUE($C219))-IF(ISNUMBER($B219),$B219,DATEVALUE($B219)))/7,0),""))</x:f>
      </x:c>
      <x:c r="W219" s="254">
        <x:f>$Q219-$S219</x:f>
      </x:c>
      <x:c r="X219" s="256">
        <x:f>IF(OR($J219="",$I219="",$J219=0,$I219=0,$I219&gt;$J219),"",$J219-$I219)</x:f>
      </x:c>
      <x:c r="Y219" s="257">
        <x:f>IF(OR($J219="",$J219=0,$X219=""),"",$X219/$J219)</x:f>
      </x:c>
    </x:row>
    <x:row r="220" s="106" customFormat="1" ht="21" customHeight="1">
      <x:c r="A220" s="54" t="n"/>
      <x:c r="B220" s="250" t="n"/>
      <x:c r="C220" s="250" t="n"/>
      <x:c r="D220" s="54" t="n"/>
      <x:c r="E220" s="251" t="n"/>
      <x:c r="F220" s="251" t="n"/>
      <x:c r="G220" s="251" t="n"/>
      <x:c r="H220" s="251" t="n"/>
      <x:c r="I220" s="252" t="n"/>
      <x:c r="J220" s="253" t="n"/>
      <x:c r="K220" s="254" t="n"/>
      <x:c r="L220" s="50" t="n"/>
      <x:c r="M220" s="251" t="n"/>
      <x:c r="N220" s="251">
        <x:f>IF($A220="","",IF($G220="","",IF(ISNUMBER(SEARCH("non",LOWER($E220&amp;""))),$G220*0.85,$G220)))</x:f>
      </x:c>
      <x:c r="O220" s="251">
        <x:f>IF($A220="","",IF(OR($N220="",$I220="",$I220=0),"",$N220/$I220))</x:f>
      </x:c>
      <x:c r="P220" s="251">
        <x:f>IF($A220="","",IF(LOWER($L220&amp;"")="yes",0,IF($K220&lt;&gt;"",$K220,IF($O220&lt;&gt;"",$O220,""))))</x:f>
      </x:c>
      <x:c r="Q220" s="254">
        <x:f>IF($A220="","",IF($U220="Profit",$P220-$H220,0))</x:f>
      </x:c>
      <x:c r="R220" s="251">
        <x:f>IF($A220="","",IF($U220="Draw",$H220,0))</x:f>
      </x:c>
      <x:c r="S220" s="251">
        <x:f>IF($A220="","",IF($U220="Disqualified",$H220,0))</x:f>
      </x:c>
      <x:c r="T220" s="255">
        <x:f>IF($A220="","",IF($H220=0,IF($U220="Profit","N/A",0),IF($U220="Profit",$Q220/$H220,IF($U220="Disqualified",-1,0))))</x:f>
      </x:c>
      <x:c r="U220" s="254">
        <x:f>IF($A220="","",IF(LOWER($L220&amp;"")="yes","Disqualified",IF($P220&gt;$H220,"Profit","Draw")))</x:f>
      </x:c>
      <x:c r="V220" s="253">
        <x:f>IF(OR($B220="",$C220=""),"",IFERROR(ROUNDUP((IF(ISNUMBER($C220),$C220,DATEVALUE($C220))-IF(ISNUMBER($B220),$B220,DATEVALUE($B220)))/7,0),""))</x:f>
      </x:c>
      <x:c r="W220" s="254">
        <x:f>$Q220-$S220</x:f>
      </x:c>
      <x:c r="X220" s="256">
        <x:f>IF(OR($J220="",$I220="",$J220=0,$I220=0,$I220&gt;$J220),"",$J220-$I220)</x:f>
      </x:c>
      <x:c r="Y220" s="257">
        <x:f>IF(OR($J220="",$J220=0,$X220=""),"",$X220/$J220)</x:f>
      </x:c>
    </x:row>
    <x:row r="221" s="106" customFormat="1" ht="21" customHeight="1">
      <x:c r="A221" s="54" t="n"/>
      <x:c r="B221" s="250" t="n"/>
      <x:c r="C221" s="250" t="n"/>
      <x:c r="D221" s="54" t="n"/>
      <x:c r="E221" s="251" t="n"/>
      <x:c r="F221" s="251" t="n"/>
      <x:c r="G221" s="251" t="n"/>
      <x:c r="H221" s="251" t="n"/>
      <x:c r="I221" s="252" t="n"/>
      <x:c r="J221" s="253" t="n"/>
      <x:c r="K221" s="254" t="n"/>
      <x:c r="L221" s="50" t="n"/>
      <x:c r="M221" s="251" t="n"/>
      <x:c r="N221" s="251">
        <x:f>IF($A221="","",IF($G221="","",IF(ISNUMBER(SEARCH("non",LOWER($E221&amp;""))),$G221*0.85,$G221)))</x:f>
      </x:c>
      <x:c r="O221" s="251">
        <x:f>IF($A221="","",IF(OR($N221="",$I221="",$I221=0),"",$N221/$I221))</x:f>
      </x:c>
      <x:c r="P221" s="251">
        <x:f>IF($A221="","",IF(LOWER($L221&amp;"")="yes",0,IF($K221&lt;&gt;"",$K221,IF($O221&lt;&gt;"",$O221,""))))</x:f>
      </x:c>
      <x:c r="Q221" s="254">
        <x:f>IF($A221="","",IF($U221="Profit",$P221-$H221,0))</x:f>
      </x:c>
      <x:c r="R221" s="251">
        <x:f>IF($A221="","",IF($U221="Draw",$H221,0))</x:f>
      </x:c>
      <x:c r="S221" s="251">
        <x:f>IF($A221="","",IF($U221="Disqualified",$H221,0))</x:f>
      </x:c>
      <x:c r="T221" s="255">
        <x:f>IF($A221="","",IF($H221=0,IF($U221="Profit","N/A",0),IF($U221="Profit",$Q221/$H221,IF($U221="Disqualified",-1,0))))</x:f>
      </x:c>
      <x:c r="U221" s="254">
        <x:f>IF($A221="","",IF(LOWER($L221&amp;"")="yes","Disqualified",IF($P221&gt;$H221,"Profit","Draw")))</x:f>
      </x:c>
      <x:c r="V221" s="253">
        <x:f>IF(OR($B221="",$C221=""),"",IFERROR(ROUNDUP((IF(ISNUMBER($C221),$C221,DATEVALUE($C221))-IF(ISNUMBER($B221),$B221,DATEVALUE($B221)))/7,0),""))</x:f>
      </x:c>
      <x:c r="W221" s="254">
        <x:f>$Q221-$S221</x:f>
      </x:c>
      <x:c r="X221" s="256">
        <x:f>IF(OR($J221="",$I221="",$J221=0,$I221=0,$I221&gt;$J221),"",$J221-$I221)</x:f>
      </x:c>
      <x:c r="Y221" s="257">
        <x:f>IF(OR($J221="",$J221=0,$X221=""),"",$X221/$J221)</x:f>
      </x:c>
    </x:row>
    <x:row r="222" s="106" customFormat="1" ht="21" customHeight="1">
      <x:c r="A222" s="54" t="n"/>
      <x:c r="B222" s="250" t="n"/>
      <x:c r="C222" s="250" t="n"/>
      <x:c r="D222" s="54" t="n"/>
      <x:c r="E222" s="251" t="n"/>
      <x:c r="F222" s="251" t="n"/>
      <x:c r="G222" s="251" t="n"/>
      <x:c r="H222" s="251" t="n"/>
      <x:c r="I222" s="252" t="n"/>
      <x:c r="J222" s="253" t="n"/>
      <x:c r="K222" s="254" t="n"/>
      <x:c r="L222" s="50" t="n"/>
      <x:c r="M222" s="251" t="n"/>
      <x:c r="N222" s="251">
        <x:f>IF($A222="","",IF($G222="","",IF(ISNUMBER(SEARCH("non",LOWER($E222&amp;""))),$G222*0.85,$G222)))</x:f>
      </x:c>
      <x:c r="O222" s="251">
        <x:f>IF($A222="","",IF(OR($N222="",$I222="",$I222=0),"",$N222/$I222))</x:f>
      </x:c>
      <x:c r="P222" s="251">
        <x:f>IF($A222="","",IF(LOWER($L222&amp;"")="yes",0,IF($K222&lt;&gt;"",$K222,IF($O222&lt;&gt;"",$O222,""))))</x:f>
      </x:c>
      <x:c r="Q222" s="254">
        <x:f>IF($A222="","",IF($U222="Profit",$P222-$H222,0))</x:f>
      </x:c>
      <x:c r="R222" s="251">
        <x:f>IF($A222="","",IF($U222="Draw",$H222,0))</x:f>
      </x:c>
      <x:c r="S222" s="251">
        <x:f>IF($A222="","",IF($U222="Disqualified",$H222,0))</x:f>
      </x:c>
      <x:c r="T222" s="255">
        <x:f>IF($A222="","",IF($H222=0,IF($U222="Profit","N/A",0),IF($U222="Profit",$Q222/$H222,IF($U222="Disqualified",-1,0))))</x:f>
      </x:c>
      <x:c r="U222" s="254">
        <x:f>IF($A222="","",IF(LOWER($L222&amp;"")="yes","Disqualified",IF($P222&gt;$H222,"Profit","Draw")))</x:f>
      </x:c>
      <x:c r="V222" s="253">
        <x:f>IF(OR($B222="",$C222=""),"",IFERROR(ROUNDUP((IF(ISNUMBER($C222),$C222,DATEVALUE($C222))-IF(ISNUMBER($B222),$B222,DATEVALUE($B222)))/7,0),""))</x:f>
      </x:c>
      <x:c r="W222" s="254">
        <x:f>$Q222-$S222</x:f>
      </x:c>
      <x:c r="X222" s="256">
        <x:f>IF(OR($J222="",$I222="",$J222=0,$I222=0,$I222&gt;$J222),"",$J222-$I222)</x:f>
      </x:c>
      <x:c r="Y222" s="257">
        <x:f>IF(OR($J222="",$J222=0,$X222=""),"",$X222/$J222)</x:f>
      </x:c>
    </x:row>
    <x:row r="223" s="106" customFormat="1" ht="21" customHeight="1">
      <x:c r="A223" s="54" t="n"/>
      <x:c r="B223" s="250" t="n"/>
      <x:c r="C223" s="250" t="n"/>
      <x:c r="D223" s="54" t="n"/>
      <x:c r="E223" s="251" t="n"/>
      <x:c r="F223" s="251" t="n"/>
      <x:c r="G223" s="251" t="n"/>
      <x:c r="H223" s="251" t="n"/>
      <x:c r="I223" s="252" t="n"/>
      <x:c r="J223" s="253" t="n"/>
      <x:c r="K223" s="254" t="n"/>
      <x:c r="L223" s="50" t="n"/>
      <x:c r="M223" s="251" t="n"/>
      <x:c r="N223" s="251">
        <x:f>IF($A223="","",IF($G223="","",IF(ISNUMBER(SEARCH("non",LOWER($E223&amp;""))),$G223*0.85,$G223)))</x:f>
      </x:c>
      <x:c r="O223" s="251">
        <x:f>IF($A223="","",IF(OR($N223="",$I223="",$I223=0),"",$N223/$I223))</x:f>
      </x:c>
      <x:c r="P223" s="251">
        <x:f>IF($A223="","",IF(LOWER($L223&amp;"")="yes",0,IF($K223&lt;&gt;"",$K223,IF($O223&lt;&gt;"",$O223,""))))</x:f>
      </x:c>
      <x:c r="Q223" s="254">
        <x:f>IF($A223="","",IF($U223="Profit",$P223-$H223,0))</x:f>
      </x:c>
      <x:c r="R223" s="251">
        <x:f>IF($A223="","",IF($U223="Draw",$H223,0))</x:f>
      </x:c>
      <x:c r="S223" s="251">
        <x:f>IF($A223="","",IF($U223="Disqualified",$H223,0))</x:f>
      </x:c>
      <x:c r="T223" s="255">
        <x:f>IF($A223="","",IF($H223=0,IF($U223="Profit","N/A",0),IF($U223="Profit",$Q223/$H223,IF($U223="Disqualified",-1,0))))</x:f>
      </x:c>
      <x:c r="U223" s="254">
        <x:f>IF($A223="","",IF(LOWER($L223&amp;"")="yes","Disqualified",IF($P223&gt;$H223,"Profit","Draw")))</x:f>
      </x:c>
      <x:c r="V223" s="253">
        <x:f>IF(OR($B223="",$C223=""),"",IFERROR(ROUNDUP((IF(ISNUMBER($C223),$C223,DATEVALUE($C223))-IF(ISNUMBER($B223),$B223,DATEVALUE($B223)))/7,0),""))</x:f>
      </x:c>
      <x:c r="W223" s="254">
        <x:f>$Q223-$S223</x:f>
      </x:c>
      <x:c r="X223" s="256">
        <x:f>IF(OR($J223="",$I223="",$J223=0,$I223=0,$I223&gt;$J223),"",$J223-$I223)</x:f>
      </x:c>
      <x:c r="Y223" s="257">
        <x:f>IF(OR($J223="",$J223=0,$X223=""),"",$X223/$J223)</x:f>
      </x:c>
    </x:row>
    <x:row r="224" s="106" customFormat="1" ht="21" customHeight="1">
      <x:c r="A224" s="54" t="n"/>
      <x:c r="B224" s="250" t="n"/>
      <x:c r="C224" s="250" t="n"/>
      <x:c r="D224" s="54" t="n"/>
      <x:c r="E224" s="251" t="n"/>
      <x:c r="F224" s="251" t="n"/>
      <x:c r="G224" s="251" t="n"/>
      <x:c r="H224" s="251" t="n"/>
      <x:c r="I224" s="252" t="n"/>
      <x:c r="J224" s="253" t="n"/>
      <x:c r="K224" s="254" t="n"/>
      <x:c r="L224" s="50" t="n"/>
      <x:c r="M224" s="251" t="n"/>
      <x:c r="N224" s="251">
        <x:f>IF($A224="","",IF($G224="","",IF(ISNUMBER(SEARCH("non",LOWER($E224&amp;""))),$G224*0.85,$G224)))</x:f>
      </x:c>
      <x:c r="O224" s="251">
        <x:f>IF($A224="","",IF(OR($N224="",$I224="",$I224=0),"",$N224/$I224))</x:f>
      </x:c>
      <x:c r="P224" s="251">
        <x:f>IF($A224="","",IF(LOWER($L224&amp;"")="yes",0,IF($K224&lt;&gt;"",$K224,IF($O224&lt;&gt;"",$O224,""))))</x:f>
      </x:c>
      <x:c r="Q224" s="254">
        <x:f>IF($A224="","",IF($U224="Profit",$P224-$H224,0))</x:f>
      </x:c>
      <x:c r="R224" s="251">
        <x:f>IF($A224="","",IF($U224="Draw",$H224,0))</x:f>
      </x:c>
      <x:c r="S224" s="251">
        <x:f>IF($A224="","",IF($U224="Disqualified",$H224,0))</x:f>
      </x:c>
      <x:c r="T224" s="255">
        <x:f>IF($A224="","",IF($H224=0,IF($U224="Profit","N/A",0),IF($U224="Profit",$Q224/$H224,IF($U224="Disqualified",-1,0))))</x:f>
      </x:c>
      <x:c r="U224" s="254">
        <x:f>IF($A224="","",IF(LOWER($L224&amp;"")="yes","Disqualified",IF($P224&gt;$H224,"Profit","Draw")))</x:f>
      </x:c>
      <x:c r="V224" s="253">
        <x:f>IF(OR($B224="",$C224=""),"",IFERROR(ROUNDUP((IF(ISNUMBER($C224),$C224,DATEVALUE($C224))-IF(ISNUMBER($B224),$B224,DATEVALUE($B224)))/7,0),""))</x:f>
      </x:c>
      <x:c r="W224" s="254">
        <x:f>$Q224-$S224</x:f>
      </x:c>
      <x:c r="X224" s="256">
        <x:f>IF(OR($J224="",$I224="",$J224=0,$I224=0,$I224&gt;$J224),"",$J224-$I224)</x:f>
      </x:c>
      <x:c r="Y224" s="257">
        <x:f>IF(OR($J224="",$J224=0,$X224=""),"",$X224/$J224)</x:f>
      </x:c>
    </x:row>
    <x:row r="225" s="106" customFormat="1" ht="21" customHeight="1">
      <x:c r="A225" s="54" t="n"/>
      <x:c r="B225" s="250" t="n"/>
      <x:c r="C225" s="250" t="n"/>
      <x:c r="D225" s="54" t="n"/>
      <x:c r="E225" s="251" t="n"/>
      <x:c r="F225" s="251" t="n"/>
      <x:c r="G225" s="251" t="n"/>
      <x:c r="H225" s="251" t="n"/>
      <x:c r="I225" s="252" t="n"/>
      <x:c r="J225" s="253" t="n"/>
      <x:c r="K225" s="254" t="n"/>
      <x:c r="L225" s="50" t="n"/>
      <x:c r="M225" s="251" t="n"/>
      <x:c r="N225" s="251">
        <x:f>IF($A225="","",IF($G225="","",IF(ISNUMBER(SEARCH("non",LOWER($E225&amp;""))),$G225*0.85,$G225)))</x:f>
      </x:c>
      <x:c r="O225" s="251">
        <x:f>IF($A225="","",IF(OR($N225="",$I225="",$I225=0),"",$N225/$I225))</x:f>
      </x:c>
      <x:c r="P225" s="251">
        <x:f>IF($A225="","",IF(LOWER($L225&amp;"")="yes",0,IF($K225&lt;&gt;"",$K225,IF($O225&lt;&gt;"",$O225,""))))</x:f>
      </x:c>
      <x:c r="Q225" s="254">
        <x:f>IF($A225="","",IF($U225="Profit",$P225-$H225,0))</x:f>
      </x:c>
      <x:c r="R225" s="251">
        <x:f>IF($A225="","",IF($U225="Draw",$H225,0))</x:f>
      </x:c>
      <x:c r="S225" s="251">
        <x:f>IF($A225="","",IF($U225="Disqualified",$H225,0))</x:f>
      </x:c>
      <x:c r="T225" s="255">
        <x:f>IF($A225="","",IF($H225=0,IF($U225="Profit","N/A",0),IF($U225="Profit",$Q225/$H225,IF($U225="Disqualified",-1,0))))</x:f>
      </x:c>
      <x:c r="U225" s="254">
        <x:f>IF($A225="","",IF(LOWER($L225&amp;"")="yes","Disqualified",IF($P225&gt;$H225,"Profit","Draw")))</x:f>
      </x:c>
      <x:c r="V225" s="253">
        <x:f>IF(OR($B225="",$C225=""),"",IFERROR(ROUNDUP((IF(ISNUMBER($C225),$C225,DATEVALUE($C225))-IF(ISNUMBER($B225),$B225,DATEVALUE($B225)))/7,0),""))</x:f>
      </x:c>
      <x:c r="W225" s="254">
        <x:f>$Q225-$S225</x:f>
      </x:c>
      <x:c r="X225" s="256">
        <x:f>IF(OR($J225="",$I225="",$J225=0,$I225=0,$I225&gt;$J225),"",$J225-$I225)</x:f>
      </x:c>
      <x:c r="Y225" s="257">
        <x:f>IF(OR($J225="",$J225=0,$X225=""),"",$X225/$J225)</x:f>
      </x:c>
    </x:row>
    <x:row r="226" s="106" customFormat="1" ht="21" customHeight="1">
      <x:c r="A226" s="54" t="n"/>
      <x:c r="B226" s="250" t="n"/>
      <x:c r="C226" s="250" t="n"/>
      <x:c r="D226" s="54" t="n"/>
      <x:c r="E226" s="251" t="n"/>
      <x:c r="F226" s="251" t="n"/>
      <x:c r="G226" s="251" t="n"/>
      <x:c r="H226" s="251" t="n"/>
      <x:c r="I226" s="252" t="n"/>
      <x:c r="J226" s="253" t="n"/>
      <x:c r="K226" s="254" t="n"/>
      <x:c r="L226" s="50" t="n"/>
      <x:c r="M226" s="251" t="n"/>
      <x:c r="N226" s="251">
        <x:f>IF($A226="","",IF($G226="","",IF(ISNUMBER(SEARCH("non",LOWER($E226&amp;""))),$G226*0.85,$G226)))</x:f>
      </x:c>
      <x:c r="O226" s="251">
        <x:f>IF($A226="","",IF(OR($N226="",$I226="",$I226=0),"",$N226/$I226))</x:f>
      </x:c>
      <x:c r="P226" s="251">
        <x:f>IF($A226="","",IF(LOWER($L226&amp;"")="yes",0,IF($K226&lt;&gt;"",$K226,IF($O226&lt;&gt;"",$O226,""))))</x:f>
      </x:c>
      <x:c r="Q226" s="254">
        <x:f>IF($A226="","",IF($U226="Profit",$P226-$H226,0))</x:f>
      </x:c>
      <x:c r="R226" s="251">
        <x:f>IF($A226="","",IF($U226="Draw",$H226,0))</x:f>
      </x:c>
      <x:c r="S226" s="251">
        <x:f>IF($A226="","",IF($U226="Disqualified",$H226,0))</x:f>
      </x:c>
      <x:c r="T226" s="255">
        <x:f>IF($A226="","",IF($H226=0,IF($U226="Profit","N/A",0),IF($U226="Profit",$Q226/$H226,IF($U226="Disqualified",-1,0))))</x:f>
      </x:c>
      <x:c r="U226" s="254">
        <x:f>IF($A226="","",IF(LOWER($L226&amp;"")="yes","Disqualified",IF($P226&gt;$H226,"Profit","Draw")))</x:f>
      </x:c>
      <x:c r="V226" s="253">
        <x:f>IF(OR($B226="",$C226=""),"",IFERROR(ROUNDUP((IF(ISNUMBER($C226),$C226,DATEVALUE($C226))-IF(ISNUMBER($B226),$B226,DATEVALUE($B226)))/7,0),""))</x:f>
      </x:c>
      <x:c r="W226" s="254">
        <x:f>$Q226-$S226</x:f>
      </x:c>
      <x:c r="X226" s="256">
        <x:f>IF(OR($J226="",$I226="",$J226=0,$I226=0,$I226&gt;$J226),"",$J226-$I226)</x:f>
      </x:c>
      <x:c r="Y226" s="257">
        <x:f>IF(OR($J226="",$J226=0,$X226=""),"",$X226/$J226)</x:f>
      </x:c>
    </x:row>
    <x:row r="227" s="106" customFormat="1" ht="21" customHeight="1">
      <x:c r="A227" s="54" t="n"/>
      <x:c r="B227" s="250" t="n"/>
      <x:c r="C227" s="250" t="n"/>
      <x:c r="D227" s="54" t="n"/>
      <x:c r="E227" s="251" t="n"/>
      <x:c r="F227" s="251" t="n"/>
      <x:c r="G227" s="251" t="n"/>
      <x:c r="H227" s="251" t="n"/>
      <x:c r="I227" s="252" t="n"/>
      <x:c r="J227" s="253" t="n"/>
      <x:c r="K227" s="254" t="n"/>
      <x:c r="L227" s="50" t="n"/>
      <x:c r="M227" s="251" t="n"/>
      <x:c r="N227" s="251">
        <x:f>IF($A227="","",IF($G227="","",IF(ISNUMBER(SEARCH("non",LOWER($E227&amp;""))),$G227*0.85,$G227)))</x:f>
      </x:c>
      <x:c r="O227" s="251">
        <x:f>IF($A227="","",IF(OR($N227="",$I227="",$I227=0),"",$N227/$I227))</x:f>
      </x:c>
      <x:c r="P227" s="251">
        <x:f>IF($A227="","",IF(LOWER($L227&amp;"")="yes",0,IF($K227&lt;&gt;"",$K227,IF($O227&lt;&gt;"",$O227,""))))</x:f>
      </x:c>
      <x:c r="Q227" s="254">
        <x:f>IF($A227="","",IF($U227="Profit",$P227-$H227,0))</x:f>
      </x:c>
      <x:c r="R227" s="251">
        <x:f>IF($A227="","",IF($U227="Draw",$H227,0))</x:f>
      </x:c>
      <x:c r="S227" s="251">
        <x:f>IF($A227="","",IF($U227="Disqualified",$H227,0))</x:f>
      </x:c>
      <x:c r="T227" s="255">
        <x:f>IF($A227="","",IF($H227=0,IF($U227="Profit","N/A",0),IF($U227="Profit",$Q227/$H227,IF($U227="Disqualified",-1,0))))</x:f>
      </x:c>
      <x:c r="U227" s="254">
        <x:f>IF($A227="","",IF(LOWER($L227&amp;"")="yes","Disqualified",IF($P227&gt;$H227,"Profit","Draw")))</x:f>
      </x:c>
      <x:c r="V227" s="253">
        <x:f>IF(OR($B227="",$C227=""),"",IFERROR(ROUNDUP((IF(ISNUMBER($C227),$C227,DATEVALUE($C227))-IF(ISNUMBER($B227),$B227,DATEVALUE($B227)))/7,0),""))</x:f>
      </x:c>
      <x:c r="W227" s="254">
        <x:f>$Q227-$S227</x:f>
      </x:c>
      <x:c r="X227" s="256">
        <x:f>IF(OR($J227="",$I227="",$J227=0,$I227=0,$I227&gt;$J227),"",$J227-$I227)</x:f>
      </x:c>
      <x:c r="Y227" s="257">
        <x:f>IF(OR($J227="",$J227=0,$X227=""),"",$X227/$J227)</x:f>
      </x:c>
    </x:row>
    <x:row r="228" s="106" customFormat="1" ht="21" customHeight="1">
      <x:c r="A228" s="54" t="n"/>
      <x:c r="B228" s="250" t="n"/>
      <x:c r="C228" s="250" t="n"/>
      <x:c r="D228" s="54" t="n"/>
      <x:c r="E228" s="251" t="n"/>
      <x:c r="F228" s="251" t="n"/>
      <x:c r="G228" s="251" t="n"/>
      <x:c r="H228" s="251" t="n"/>
      <x:c r="I228" s="252" t="n"/>
      <x:c r="J228" s="253" t="n"/>
      <x:c r="K228" s="254" t="n"/>
      <x:c r="L228" s="50" t="n"/>
      <x:c r="M228" s="251" t="n"/>
      <x:c r="N228" s="251">
        <x:f>IF($A228="","",IF($G228="","",IF(ISNUMBER(SEARCH("non",LOWER($E228&amp;""))),$G228*0.85,$G228)))</x:f>
      </x:c>
      <x:c r="O228" s="251">
        <x:f>IF($A228="","",IF(OR($N228="",$I228="",$I228=0),"",$N228/$I228))</x:f>
      </x:c>
      <x:c r="P228" s="251">
        <x:f>IF($A228="","",IF(LOWER($L228&amp;"")="yes",0,IF($K228&lt;&gt;"",$K228,IF($O228&lt;&gt;"",$O228,""))))</x:f>
      </x:c>
      <x:c r="Q228" s="254">
        <x:f>IF($A228="","",IF($U228="Profit",$P228-$H228,0))</x:f>
      </x:c>
      <x:c r="R228" s="251">
        <x:f>IF($A228="","",IF($U228="Draw",$H228,0))</x:f>
      </x:c>
      <x:c r="S228" s="251">
        <x:f>IF($A228="","",IF($U228="Disqualified",$H228,0))</x:f>
      </x:c>
      <x:c r="T228" s="255">
        <x:f>IF($A228="","",IF($H228=0,IF($U228="Profit","N/A",0),IF($U228="Profit",$Q228/$H228,IF($U228="Disqualified",-1,0))))</x:f>
      </x:c>
      <x:c r="U228" s="254">
        <x:f>IF($A228="","",IF(LOWER($L228&amp;"")="yes","Disqualified",IF($P228&gt;$H228,"Profit","Draw")))</x:f>
      </x:c>
      <x:c r="V228" s="253">
        <x:f>IF(OR($B228="",$C228=""),"",IFERROR(ROUNDUP((IF(ISNUMBER($C228),$C228,DATEVALUE($C228))-IF(ISNUMBER($B228),$B228,DATEVALUE($B228)))/7,0),""))</x:f>
      </x:c>
      <x:c r="W228" s="254">
        <x:f>$Q228-$S228</x:f>
      </x:c>
      <x:c r="X228" s="256">
        <x:f>IF(OR($J228="",$I228="",$J228=0,$I228=0,$I228&gt;$J228),"",$J228-$I228)</x:f>
      </x:c>
      <x:c r="Y228" s="257">
        <x:f>IF(OR($J228="",$J228=0,$X228=""),"",$X228/$J228)</x:f>
      </x:c>
    </x:row>
    <x:row r="229" s="106" customFormat="1" ht="21" customHeight="1">
      <x:c r="A229" s="54" t="n"/>
      <x:c r="B229" s="250" t="n"/>
      <x:c r="C229" s="250" t="n"/>
      <x:c r="D229" s="54" t="n"/>
      <x:c r="E229" s="251" t="n"/>
      <x:c r="F229" s="251" t="n"/>
      <x:c r="G229" s="251" t="n"/>
      <x:c r="H229" s="251" t="n"/>
      <x:c r="I229" s="252" t="n"/>
      <x:c r="J229" s="253" t="n"/>
      <x:c r="K229" s="254" t="n"/>
      <x:c r="L229" s="50" t="n"/>
      <x:c r="M229" s="251" t="n"/>
      <x:c r="N229" s="251">
        <x:f>IF($A229="","",IF($G229="","",IF(ISNUMBER(SEARCH("non",LOWER($E229&amp;""))),$G229*0.85,$G229)))</x:f>
      </x:c>
      <x:c r="O229" s="251">
        <x:f>IF($A229="","",IF(OR($N229="",$I229="",$I229=0),"",$N229/$I229))</x:f>
      </x:c>
      <x:c r="P229" s="251">
        <x:f>IF($A229="","",IF(LOWER($L229&amp;"")="yes",0,IF($K229&lt;&gt;"",$K229,IF($O229&lt;&gt;"",$O229,""))))</x:f>
      </x:c>
      <x:c r="Q229" s="254">
        <x:f>IF($A229="","",IF($U229="Profit",$P229-$H229,0))</x:f>
      </x:c>
      <x:c r="R229" s="251">
        <x:f>IF($A229="","",IF($U229="Draw",$H229,0))</x:f>
      </x:c>
      <x:c r="S229" s="251">
        <x:f>IF($A229="","",IF($U229="Disqualified",$H229,0))</x:f>
      </x:c>
      <x:c r="T229" s="255">
        <x:f>IF($A229="","",IF($H229=0,IF($U229="Profit","N/A",0),IF($U229="Profit",$Q229/$H229,IF($U229="Disqualified",-1,0))))</x:f>
      </x:c>
      <x:c r="U229" s="254">
        <x:f>IF($A229="","",IF(LOWER($L229&amp;"")="yes","Disqualified",IF($P229&gt;$H229,"Profit","Draw")))</x:f>
      </x:c>
      <x:c r="V229" s="253">
        <x:f>IF(OR($B229="",$C229=""),"",IFERROR(ROUNDUP((IF(ISNUMBER($C229),$C229,DATEVALUE($C229))-IF(ISNUMBER($B229),$B229,DATEVALUE($B229)))/7,0),""))</x:f>
      </x:c>
      <x:c r="W229" s="254">
        <x:f>$Q229-$S229</x:f>
      </x:c>
      <x:c r="X229" s="256">
        <x:f>IF(OR($J229="",$I229="",$J229=0,$I229=0,$I229&gt;$J229),"",$J229-$I229)</x:f>
      </x:c>
      <x:c r="Y229" s="257">
        <x:f>IF(OR($J229="",$J229=0,$X229=""),"",$X229/$J229)</x:f>
      </x:c>
    </x:row>
    <x:row r="230" s="106" customFormat="1" ht="21" customHeight="1">
      <x:c r="A230" s="54" t="n"/>
      <x:c r="B230" s="250" t="n"/>
      <x:c r="C230" s="250" t="n"/>
      <x:c r="D230" s="54" t="n"/>
      <x:c r="E230" s="251" t="n"/>
      <x:c r="F230" s="251" t="n"/>
      <x:c r="G230" s="251" t="n"/>
      <x:c r="H230" s="251" t="n"/>
      <x:c r="I230" s="252" t="n"/>
      <x:c r="J230" s="253" t="n"/>
      <x:c r="K230" s="254" t="n"/>
      <x:c r="L230" s="50" t="n"/>
      <x:c r="M230" s="251" t="n"/>
      <x:c r="N230" s="251">
        <x:f>IF($A230="","",IF($G230="","",IF(ISNUMBER(SEARCH("non",LOWER($E230&amp;""))),$G230*0.85,$G230)))</x:f>
      </x:c>
      <x:c r="O230" s="251">
        <x:f>IF($A230="","",IF(OR($N230="",$I230="",$I230=0),"",$N230/$I230))</x:f>
      </x:c>
      <x:c r="P230" s="251">
        <x:f>IF($A230="","",IF(LOWER($L230&amp;"")="yes",0,IF($K230&lt;&gt;"",$K230,IF($O230&lt;&gt;"",$O230,""))))</x:f>
      </x:c>
      <x:c r="Q230" s="254">
        <x:f>IF($A230="","",IF($U230="Profit",$P230-$H230,0))</x:f>
      </x:c>
      <x:c r="R230" s="251">
        <x:f>IF($A230="","",IF($U230="Draw",$H230,0))</x:f>
      </x:c>
      <x:c r="S230" s="251">
        <x:f>IF($A230="","",IF($U230="Disqualified",$H230,0))</x:f>
      </x:c>
      <x:c r="T230" s="255">
        <x:f>IF($A230="","",IF($H230=0,IF($U230="Profit","N/A",0),IF($U230="Profit",$Q230/$H230,IF($U230="Disqualified",-1,0))))</x:f>
      </x:c>
      <x:c r="U230" s="254">
        <x:f>IF($A230="","",IF(LOWER($L230&amp;"")="yes","Disqualified",IF($P230&gt;$H230,"Profit","Draw")))</x:f>
      </x:c>
      <x:c r="V230" s="253">
        <x:f>IF(OR($B230="",$C230=""),"",IFERROR(ROUNDUP((IF(ISNUMBER($C230),$C230,DATEVALUE($C230))-IF(ISNUMBER($B230),$B230,DATEVALUE($B230)))/7,0),""))</x:f>
      </x:c>
      <x:c r="W230" s="254">
        <x:f>$Q230-$S230</x:f>
      </x:c>
      <x:c r="X230" s="256">
        <x:f>IF(OR($J230="",$I230="",$J230=0,$I230=0,$I230&gt;$J230),"",$J230-$I230)</x:f>
      </x:c>
      <x:c r="Y230" s="257">
        <x:f>IF(OR($J230="",$J230=0,$X230=""),"",$X230/$J230)</x:f>
      </x:c>
    </x:row>
    <x:row r="231" s="106" customFormat="1" ht="21" customHeight="1">
      <x:c r="A231" s="54" t="n"/>
      <x:c r="B231" s="250" t="n"/>
      <x:c r="C231" s="250" t="n"/>
      <x:c r="D231" s="54" t="n"/>
      <x:c r="E231" s="251" t="n"/>
      <x:c r="F231" s="251" t="n"/>
      <x:c r="G231" s="251" t="n"/>
      <x:c r="H231" s="251" t="n"/>
      <x:c r="I231" s="252" t="n"/>
      <x:c r="J231" s="253" t="n"/>
      <x:c r="K231" s="254" t="n"/>
      <x:c r="L231" s="50" t="n"/>
      <x:c r="M231" s="251" t="n"/>
      <x:c r="N231" s="251">
        <x:f>IF($A231="","",IF($G231="","",IF(ISNUMBER(SEARCH("non",LOWER($E231&amp;""))),$G231*0.85,$G231)))</x:f>
      </x:c>
      <x:c r="O231" s="251">
        <x:f>IF($A231="","",IF(OR($N231="",$I231="",$I231=0),"",$N231/$I231))</x:f>
      </x:c>
      <x:c r="P231" s="251">
        <x:f>IF($A231="","",IF(LOWER($L231&amp;"")="yes",0,IF($K231&lt;&gt;"",$K231,IF($O231&lt;&gt;"",$O231,""))))</x:f>
      </x:c>
      <x:c r="Q231" s="254">
        <x:f>IF($A231="","",IF($U231="Profit",$P231-$H231,0))</x:f>
      </x:c>
      <x:c r="R231" s="251">
        <x:f>IF($A231="","",IF($U231="Draw",$H231,0))</x:f>
      </x:c>
      <x:c r="S231" s="251">
        <x:f>IF($A231="","",IF($U231="Disqualified",$H231,0))</x:f>
      </x:c>
      <x:c r="T231" s="255">
        <x:f>IF($A231="","",IF($H231=0,IF($U231="Profit","N/A",0),IF($U231="Profit",$Q231/$H231,IF($U231="Disqualified",-1,0))))</x:f>
      </x:c>
      <x:c r="U231" s="254">
        <x:f>IF($A231="","",IF(LOWER($L231&amp;"")="yes","Disqualified",IF($P231&gt;$H231,"Profit","Draw")))</x:f>
      </x:c>
      <x:c r="V231" s="253">
        <x:f>IF(OR($B231="",$C231=""),"",IFERROR(ROUNDUP((IF(ISNUMBER($C231),$C231,DATEVALUE($C231))-IF(ISNUMBER($B231),$B231,DATEVALUE($B231)))/7,0),""))</x:f>
      </x:c>
      <x:c r="W231" s="254">
        <x:f>$Q231-$S231</x:f>
      </x:c>
      <x:c r="X231" s="256">
        <x:f>IF(OR($J231="",$I231="",$J231=0,$I231=0,$I231&gt;$J231),"",$J231-$I231)</x:f>
      </x:c>
      <x:c r="Y231" s="257">
        <x:f>IF(OR($J231="",$J231=0,$X231=""),"",$X231/$J231)</x:f>
      </x:c>
    </x:row>
    <x:row r="232" s="106" customFormat="1" ht="21" customHeight="1">
      <x:c r="A232" s="54" t="n"/>
      <x:c r="B232" s="250" t="n"/>
      <x:c r="C232" s="250" t="n"/>
      <x:c r="D232" s="54" t="n"/>
      <x:c r="E232" s="251" t="n"/>
      <x:c r="F232" s="251" t="n"/>
      <x:c r="G232" s="251" t="n"/>
      <x:c r="H232" s="251" t="n"/>
      <x:c r="I232" s="252" t="n"/>
      <x:c r="J232" s="253" t="n"/>
      <x:c r="K232" s="254" t="n"/>
      <x:c r="L232" s="50" t="n"/>
      <x:c r="M232" s="251" t="n"/>
      <x:c r="N232" s="251">
        <x:f>IF($A232="","",IF($G232="","",IF(ISNUMBER(SEARCH("non",LOWER($E232&amp;""))),$G232*0.85,$G232)))</x:f>
      </x:c>
      <x:c r="O232" s="251">
        <x:f>IF($A232="","",IF(OR($N232="",$I232="",$I232=0),"",$N232/$I232))</x:f>
      </x:c>
      <x:c r="P232" s="251">
        <x:f>IF($A232="","",IF(LOWER($L232&amp;"")="yes",0,IF($K232&lt;&gt;"",$K232,IF($O232&lt;&gt;"",$O232,""))))</x:f>
      </x:c>
      <x:c r="Q232" s="254">
        <x:f>IF($A232="","",IF($U232="Profit",$P232-$H232,0))</x:f>
      </x:c>
      <x:c r="R232" s="251">
        <x:f>IF($A232="","",IF($U232="Draw",$H232,0))</x:f>
      </x:c>
      <x:c r="S232" s="251">
        <x:f>IF($A232="","",IF($U232="Disqualified",$H232,0))</x:f>
      </x:c>
      <x:c r="T232" s="255">
        <x:f>IF($A232="","",IF($H232=0,IF($U232="Profit","N/A",0),IF($U232="Profit",$Q232/$H232,IF($U232="Disqualified",-1,0))))</x:f>
      </x:c>
      <x:c r="U232" s="254">
        <x:f>IF($A232="","",IF(LOWER($L232&amp;"")="yes","Disqualified",IF($P232&gt;$H232,"Profit","Draw")))</x:f>
      </x:c>
      <x:c r="V232" s="253">
        <x:f>IF(OR($B232="",$C232=""),"",IFERROR(ROUNDUP((IF(ISNUMBER($C232),$C232,DATEVALUE($C232))-IF(ISNUMBER($B232),$B232,DATEVALUE($B232)))/7,0),""))</x:f>
      </x:c>
      <x:c r="W232" s="254">
        <x:f>$Q232-$S232</x:f>
      </x:c>
      <x:c r="X232" s="256">
        <x:f>IF(OR($J232="",$I232="",$J232=0,$I232=0,$I232&gt;$J232),"",$J232-$I232)</x:f>
      </x:c>
      <x:c r="Y232" s="257">
        <x:f>IF(OR($J232="",$J232=0,$X232=""),"",$X232/$J232)</x:f>
      </x:c>
    </x:row>
    <x:row r="233" s="106" customFormat="1" ht="21" customHeight="1">
      <x:c r="A233" s="54" t="n"/>
      <x:c r="B233" s="250" t="n"/>
      <x:c r="C233" s="250" t="n"/>
      <x:c r="D233" s="54" t="n"/>
      <x:c r="E233" s="251" t="n"/>
      <x:c r="F233" s="251" t="n"/>
      <x:c r="G233" s="251" t="n"/>
      <x:c r="H233" s="251" t="n"/>
      <x:c r="I233" s="252" t="n"/>
      <x:c r="J233" s="253" t="n"/>
      <x:c r="K233" s="254" t="n"/>
      <x:c r="L233" s="50" t="n"/>
      <x:c r="M233" s="251" t="n"/>
      <x:c r="N233" s="251">
        <x:f>IF($A233="","",IF($G233="","",IF(ISNUMBER(SEARCH("non",LOWER($E233&amp;""))),$G233*0.85,$G233)))</x:f>
      </x:c>
      <x:c r="O233" s="251">
        <x:f>IF($A233="","",IF(OR($N233="",$I233="",$I233=0),"",$N233/$I233))</x:f>
      </x:c>
      <x:c r="P233" s="251">
        <x:f>IF($A233="","",IF(LOWER($L233&amp;"")="yes",0,IF($K233&lt;&gt;"",$K233,IF($O233&lt;&gt;"",$O233,""))))</x:f>
      </x:c>
      <x:c r="Q233" s="254">
        <x:f>IF($A233="","",IF($U233="Profit",$P233-$H233,0))</x:f>
      </x:c>
      <x:c r="R233" s="251">
        <x:f>IF($A233="","",IF($U233="Draw",$H233,0))</x:f>
      </x:c>
      <x:c r="S233" s="251">
        <x:f>IF($A233="","",IF($U233="Disqualified",$H233,0))</x:f>
      </x:c>
      <x:c r="T233" s="255">
        <x:f>IF($A233="","",IF($H233=0,IF($U233="Profit","N/A",0),IF($U233="Profit",$Q233/$H233,IF($U233="Disqualified",-1,0))))</x:f>
      </x:c>
      <x:c r="U233" s="254">
        <x:f>IF($A233="","",IF(LOWER($L233&amp;"")="yes","Disqualified",IF($P233&gt;$H233,"Profit","Draw")))</x:f>
      </x:c>
      <x:c r="V233" s="253">
        <x:f>IF(OR($B233="",$C233=""),"",IFERROR(ROUNDUP((IF(ISNUMBER($C233),$C233,DATEVALUE($C233))-IF(ISNUMBER($B233),$B233,DATEVALUE($B233)))/7,0),""))</x:f>
      </x:c>
      <x:c r="W233" s="254">
        <x:f>$Q233-$S233</x:f>
      </x:c>
      <x:c r="X233" s="256">
        <x:f>IF(OR($J233="",$I233="",$J233=0,$I233=0,$I233&gt;$J233),"",$J233-$I233)</x:f>
      </x:c>
      <x:c r="Y233" s="257">
        <x:f>IF(OR($J233="",$J233=0,$X233=""),"",$X233/$J233)</x:f>
      </x:c>
    </x:row>
    <x:row r="234" s="106" customFormat="1" ht="21" customHeight="1">
      <x:c r="A234" s="54" t="n"/>
      <x:c r="B234" s="250" t="n"/>
      <x:c r="C234" s="250" t="n"/>
      <x:c r="D234" s="54" t="n"/>
      <x:c r="E234" s="251" t="n"/>
      <x:c r="F234" s="251" t="n"/>
      <x:c r="G234" s="251" t="n"/>
      <x:c r="H234" s="251" t="n"/>
      <x:c r="I234" s="252" t="n"/>
      <x:c r="J234" s="253" t="n"/>
      <x:c r="K234" s="254" t="n"/>
      <x:c r="L234" s="50" t="n"/>
      <x:c r="M234" s="251" t="n"/>
      <x:c r="N234" s="251">
        <x:f>IF($A234="","",IF($G234="","",IF(ISNUMBER(SEARCH("non",LOWER($E234&amp;""))),$G234*0.85,$G234)))</x:f>
      </x:c>
      <x:c r="O234" s="251">
        <x:f>IF($A234="","",IF(OR($N234="",$I234="",$I234=0),"",$N234/$I234))</x:f>
      </x:c>
      <x:c r="P234" s="251">
        <x:f>IF($A234="","",IF(LOWER($L234&amp;"")="yes",0,IF($K234&lt;&gt;"",$K234,IF($O234&lt;&gt;"",$O234,""))))</x:f>
      </x:c>
      <x:c r="Q234" s="254">
        <x:f>IF($A234="","",IF($U234="Profit",$P234-$H234,0))</x:f>
      </x:c>
      <x:c r="R234" s="251">
        <x:f>IF($A234="","",IF($U234="Draw",$H234,0))</x:f>
      </x:c>
      <x:c r="S234" s="251">
        <x:f>IF($A234="","",IF($U234="Disqualified",$H234,0))</x:f>
      </x:c>
      <x:c r="T234" s="255">
        <x:f>IF($A234="","",IF($H234=0,IF($U234="Profit","N/A",0),IF($U234="Profit",$Q234/$H234,IF($U234="Disqualified",-1,0))))</x:f>
      </x:c>
      <x:c r="U234" s="254">
        <x:f>IF($A234="","",IF(LOWER($L234&amp;"")="yes","Disqualified",IF($P234&gt;$H234,"Profit","Draw")))</x:f>
      </x:c>
      <x:c r="V234" s="253">
        <x:f>IF(OR($B234="",$C234=""),"",IFERROR(ROUNDUP((IF(ISNUMBER($C234),$C234,DATEVALUE($C234))-IF(ISNUMBER($B234),$B234,DATEVALUE($B234)))/7,0),""))</x:f>
      </x:c>
      <x:c r="W234" s="254">
        <x:f>$Q234-$S234</x:f>
      </x:c>
      <x:c r="X234" s="256">
        <x:f>IF(OR($J234="",$I234="",$J234=0,$I234=0,$I234&gt;$J234),"",$J234-$I234)</x:f>
      </x:c>
      <x:c r="Y234" s="257">
        <x:f>IF(OR($J234="",$J234=0,$X234=""),"",$X234/$J234)</x:f>
      </x:c>
    </x:row>
    <x:row r="235" s="106" customFormat="1" ht="21" customHeight="1">
      <x:c r="A235" s="54" t="n"/>
      <x:c r="B235" s="250" t="n"/>
      <x:c r="C235" s="250" t="n"/>
      <x:c r="D235" s="54" t="n"/>
      <x:c r="E235" s="251" t="n"/>
      <x:c r="F235" s="251" t="n"/>
      <x:c r="G235" s="251" t="n"/>
      <x:c r="H235" s="251" t="n"/>
      <x:c r="I235" s="252" t="n"/>
      <x:c r="J235" s="253" t="n"/>
      <x:c r="K235" s="254" t="n"/>
      <x:c r="L235" s="50" t="n"/>
      <x:c r="M235" s="251" t="n"/>
      <x:c r="N235" s="251">
        <x:f>IF($A235="","",IF($G235="","",IF(ISNUMBER(SEARCH("non",LOWER($E235&amp;""))),$G235*0.85,$G235)))</x:f>
      </x:c>
      <x:c r="O235" s="251">
        <x:f>IF($A235="","",IF(OR($N235="",$I235="",$I235=0),"",$N235/$I235))</x:f>
      </x:c>
      <x:c r="P235" s="251">
        <x:f>IF($A235="","",IF(LOWER($L235&amp;"")="yes",0,IF($K235&lt;&gt;"",$K235,IF($O235&lt;&gt;"",$O235,""))))</x:f>
      </x:c>
      <x:c r="Q235" s="254">
        <x:f>IF($A235="","",IF($U235="Profit",$P235-$H235,0))</x:f>
      </x:c>
      <x:c r="R235" s="251">
        <x:f>IF($A235="","",IF($U235="Draw",$H235,0))</x:f>
      </x:c>
      <x:c r="S235" s="251">
        <x:f>IF($A235="","",IF($U235="Disqualified",$H235,0))</x:f>
      </x:c>
      <x:c r="T235" s="255">
        <x:f>IF($A235="","",IF($H235=0,IF($U235="Profit","N/A",0),IF($U235="Profit",$Q235/$H235,IF($U235="Disqualified",-1,0))))</x:f>
      </x:c>
      <x:c r="U235" s="254">
        <x:f>IF($A235="","",IF(LOWER($L235&amp;"")="yes","Disqualified",IF($P235&gt;$H235,"Profit","Draw")))</x:f>
      </x:c>
      <x:c r="V235" s="253">
        <x:f>IF(OR($B235="",$C235=""),"",IFERROR(ROUNDUP((IF(ISNUMBER($C235),$C235,DATEVALUE($C235))-IF(ISNUMBER($B235),$B235,DATEVALUE($B235)))/7,0),""))</x:f>
      </x:c>
      <x:c r="W235" s="254">
        <x:f>$Q235-$S235</x:f>
      </x:c>
      <x:c r="X235" s="256">
        <x:f>IF(OR($J235="",$I235="",$J235=0,$I235=0,$I235&gt;$J235),"",$J235-$I235)</x:f>
      </x:c>
      <x:c r="Y235" s="257">
        <x:f>IF(OR($J235="",$J235=0,$X235=""),"",$X235/$J235)</x:f>
      </x:c>
    </x:row>
    <x:row r="236" s="106" customFormat="1" ht="21" customHeight="1">
      <x:c r="A236" s="54" t="n"/>
      <x:c r="B236" s="250" t="n"/>
      <x:c r="C236" s="250" t="n"/>
      <x:c r="D236" s="54" t="n"/>
      <x:c r="E236" s="251" t="n"/>
      <x:c r="F236" s="251" t="n"/>
      <x:c r="G236" s="251" t="n"/>
      <x:c r="H236" s="251" t="n"/>
      <x:c r="I236" s="252" t="n"/>
      <x:c r="J236" s="253" t="n"/>
      <x:c r="K236" s="254" t="n"/>
      <x:c r="L236" s="50" t="n"/>
      <x:c r="M236" s="251" t="n"/>
      <x:c r="N236" s="251">
        <x:f>IF($A236="","",IF($G236="","",IF(ISNUMBER(SEARCH("non",LOWER($E236&amp;""))),$G236*0.85,$G236)))</x:f>
      </x:c>
      <x:c r="O236" s="251">
        <x:f>IF($A236="","",IF(OR($N236="",$I236="",$I236=0),"",$N236/$I236))</x:f>
      </x:c>
      <x:c r="P236" s="251">
        <x:f>IF($A236="","",IF(LOWER($L236&amp;"")="yes",0,IF($K236&lt;&gt;"",$K236,IF($O236&lt;&gt;"",$O236,""))))</x:f>
      </x:c>
      <x:c r="Q236" s="254">
        <x:f>IF($A236="","",IF($U236="Profit",$P236-$H236,0))</x:f>
      </x:c>
      <x:c r="R236" s="251">
        <x:f>IF($A236="","",IF($U236="Draw",$H236,0))</x:f>
      </x:c>
      <x:c r="S236" s="251">
        <x:f>IF($A236="","",IF($U236="Disqualified",$H236,0))</x:f>
      </x:c>
      <x:c r="T236" s="255">
        <x:f>IF($A236="","",IF($H236=0,IF($U236="Profit","N/A",0),IF($U236="Profit",$Q236/$H236,IF($U236="Disqualified",-1,0))))</x:f>
      </x:c>
      <x:c r="U236" s="254">
        <x:f>IF($A236="","",IF(LOWER($L236&amp;"")="yes","Disqualified",IF($P236&gt;$H236,"Profit","Draw")))</x:f>
      </x:c>
      <x:c r="V236" s="253">
        <x:f>IF(OR($B236="",$C236=""),"",IFERROR(ROUNDUP((IF(ISNUMBER($C236),$C236,DATEVALUE($C236))-IF(ISNUMBER($B236),$B236,DATEVALUE($B236)))/7,0),""))</x:f>
      </x:c>
      <x:c r="W236" s="254">
        <x:f>$Q236-$S236</x:f>
      </x:c>
      <x:c r="X236" s="256">
        <x:f>IF(OR($J236="",$I236="",$J236=0,$I236=0,$I236&gt;$J236),"",$J236-$I236)</x:f>
      </x:c>
      <x:c r="Y236" s="257">
        <x:f>IF(OR($J236="",$J236=0,$X236=""),"",$X236/$J236)</x:f>
      </x:c>
    </x:row>
    <x:row r="237" s="106" customFormat="1" ht="21" customHeight="1">
      <x:c r="A237" s="54" t="n"/>
      <x:c r="B237" s="250" t="n"/>
      <x:c r="C237" s="250" t="n"/>
      <x:c r="D237" s="54" t="n"/>
      <x:c r="E237" s="251" t="n"/>
      <x:c r="F237" s="251" t="n"/>
      <x:c r="G237" s="251" t="n"/>
      <x:c r="H237" s="251" t="n"/>
      <x:c r="I237" s="252" t="n"/>
      <x:c r="J237" s="253" t="n"/>
      <x:c r="K237" s="254" t="n"/>
      <x:c r="L237" s="50" t="n"/>
      <x:c r="M237" s="251" t="n"/>
      <x:c r="N237" s="251">
        <x:f>IF($A237="","",IF($G237="","",IF(ISNUMBER(SEARCH("non",LOWER($E237&amp;""))),$G237*0.85,$G237)))</x:f>
      </x:c>
      <x:c r="O237" s="251">
        <x:f>IF($A237="","",IF(OR($N237="",$I237="",$I237=0),"",$N237/$I237))</x:f>
      </x:c>
      <x:c r="P237" s="251">
        <x:f>IF($A237="","",IF(LOWER($L237&amp;"")="yes",0,IF($K237&lt;&gt;"",$K237,IF($O237&lt;&gt;"",$O237,""))))</x:f>
      </x:c>
      <x:c r="Q237" s="254">
        <x:f>IF($A237="","",IF($U237="Profit",$P237-$H237,0))</x:f>
      </x:c>
      <x:c r="R237" s="251">
        <x:f>IF($A237="","",IF($U237="Draw",$H237,0))</x:f>
      </x:c>
      <x:c r="S237" s="251">
        <x:f>IF($A237="","",IF($U237="Disqualified",$H237,0))</x:f>
      </x:c>
      <x:c r="T237" s="255">
        <x:f>IF($A237="","",IF($H237=0,IF($U237="Profit","N/A",0),IF($U237="Profit",$Q237/$H237,IF($U237="Disqualified",-1,0))))</x:f>
      </x:c>
      <x:c r="U237" s="254">
        <x:f>IF($A237="","",IF(LOWER($L237&amp;"")="yes","Disqualified",IF($P237&gt;$H237,"Profit","Draw")))</x:f>
      </x:c>
      <x:c r="V237" s="253">
        <x:f>IF(OR($B237="",$C237=""),"",IFERROR(ROUNDUP((IF(ISNUMBER($C237),$C237,DATEVALUE($C237))-IF(ISNUMBER($B237),$B237,DATEVALUE($B237)))/7,0),""))</x:f>
      </x:c>
      <x:c r="W237" s="254">
        <x:f>$Q237-$S237</x:f>
      </x:c>
      <x:c r="X237" s="256">
        <x:f>IF(OR($J237="",$I237="",$J237=0,$I237=0,$I237&gt;$J237),"",$J237-$I237)</x:f>
      </x:c>
      <x:c r="Y237" s="257">
        <x:f>IF(OR($J237="",$J237=0,$X237=""),"",$X237/$J237)</x:f>
      </x:c>
    </x:row>
    <x:row r="238" s="106" customFormat="1" ht="21" customHeight="1">
      <x:c r="A238" s="54" t="n"/>
      <x:c r="B238" s="250" t="n"/>
      <x:c r="C238" s="250" t="n"/>
      <x:c r="D238" s="54" t="n"/>
      <x:c r="E238" s="251" t="n"/>
      <x:c r="F238" s="251" t="n"/>
      <x:c r="G238" s="251" t="n"/>
      <x:c r="H238" s="251" t="n"/>
      <x:c r="I238" s="252" t="n"/>
      <x:c r="J238" s="253" t="n"/>
      <x:c r="K238" s="254" t="n"/>
      <x:c r="L238" s="50" t="n"/>
      <x:c r="M238" s="251" t="n"/>
      <x:c r="N238" s="251">
        <x:f>IF($A238="","",IF($G238="","",IF(ISNUMBER(SEARCH("non",LOWER($E238&amp;""))),$G238*0.85,$G238)))</x:f>
      </x:c>
      <x:c r="O238" s="251">
        <x:f>IF($A238="","",IF(OR($N238="",$I238="",$I238=0),"",$N238/$I238))</x:f>
      </x:c>
      <x:c r="P238" s="251">
        <x:f>IF($A238="","",IF(LOWER($L238&amp;"")="yes",0,IF($K238&lt;&gt;"",$K238,IF($O238&lt;&gt;"",$O238,""))))</x:f>
      </x:c>
      <x:c r="Q238" s="254">
        <x:f>IF($A238="","",IF($U238="Profit",$P238-$H238,0))</x:f>
      </x:c>
      <x:c r="R238" s="251">
        <x:f>IF($A238="","",IF($U238="Draw",$H238,0))</x:f>
      </x:c>
      <x:c r="S238" s="251">
        <x:f>IF($A238="","",IF($U238="Disqualified",$H238,0))</x:f>
      </x:c>
      <x:c r="T238" s="255">
        <x:f>IF($A238="","",IF($H238=0,IF($U238="Profit","N/A",0),IF($U238="Profit",$Q238/$H238,IF($U238="Disqualified",-1,0))))</x:f>
      </x:c>
      <x:c r="U238" s="254">
        <x:f>IF($A238="","",IF(LOWER($L238&amp;"")="yes","Disqualified",IF($P238&gt;$H238,"Profit","Draw")))</x:f>
      </x:c>
      <x:c r="V238" s="253">
        <x:f>IF(OR($B238="",$C238=""),"",IFERROR(ROUNDUP((IF(ISNUMBER($C238),$C238,DATEVALUE($C238))-IF(ISNUMBER($B238),$B238,DATEVALUE($B238)))/7,0),""))</x:f>
      </x:c>
      <x:c r="W238" s="254">
        <x:f>$Q238-$S238</x:f>
      </x:c>
      <x:c r="X238" s="256">
        <x:f>IF(OR($J238="",$I238="",$J238=0,$I238=0,$I238&gt;$J238),"",$J238-$I238)</x:f>
      </x:c>
      <x:c r="Y238" s="257">
        <x:f>IF(OR($J238="",$J238=0,$X238=""),"",$X238/$J238)</x:f>
      </x:c>
    </x:row>
    <x:row r="239" s="106" customFormat="1" ht="21" customHeight="1">
      <x:c r="A239" s="54" t="n"/>
      <x:c r="B239" s="250" t="n"/>
      <x:c r="C239" s="250" t="n"/>
      <x:c r="D239" s="54" t="n"/>
      <x:c r="E239" s="251" t="n"/>
      <x:c r="F239" s="251" t="n"/>
      <x:c r="G239" s="251" t="n"/>
      <x:c r="H239" s="251" t="n"/>
      <x:c r="I239" s="252" t="n"/>
      <x:c r="J239" s="253" t="n"/>
      <x:c r="K239" s="254" t="n"/>
      <x:c r="L239" s="50" t="n"/>
      <x:c r="M239" s="251" t="n"/>
      <x:c r="N239" s="251">
        <x:f>IF($A239="","",IF($G239="","",IF(ISNUMBER(SEARCH("non",LOWER($E239&amp;""))),$G239*0.85,$G239)))</x:f>
      </x:c>
      <x:c r="O239" s="251">
        <x:f>IF($A239="","",IF(OR($N239="",$I239="",$I239=0),"",$N239/$I239))</x:f>
      </x:c>
      <x:c r="P239" s="251">
        <x:f>IF($A239="","",IF(LOWER($L239&amp;"")="yes",0,IF($K239&lt;&gt;"",$K239,IF($O239&lt;&gt;"",$O239,""))))</x:f>
      </x:c>
      <x:c r="Q239" s="254">
        <x:f>IF($A239="","",IF($U239="Profit",$P239-$H239,0))</x:f>
      </x:c>
      <x:c r="R239" s="251">
        <x:f>IF($A239="","",IF($U239="Draw",$H239,0))</x:f>
      </x:c>
      <x:c r="S239" s="251">
        <x:f>IF($A239="","",IF($U239="Disqualified",$H239,0))</x:f>
      </x:c>
      <x:c r="T239" s="255">
        <x:f>IF($A239="","",IF($H239=0,IF($U239="Profit","N/A",0),IF($U239="Profit",$Q239/$H239,IF($U239="Disqualified",-1,0))))</x:f>
      </x:c>
      <x:c r="U239" s="254">
        <x:f>IF($A239="","",IF(LOWER($L239&amp;"")="yes","Disqualified",IF($P239&gt;$H239,"Profit","Draw")))</x:f>
      </x:c>
      <x:c r="V239" s="253">
        <x:f>IF(OR($B239="",$C239=""),"",IFERROR(ROUNDUP((IF(ISNUMBER($C239),$C239,DATEVALUE($C239))-IF(ISNUMBER($B239),$B239,DATEVALUE($B239)))/7,0),""))</x:f>
      </x:c>
      <x:c r="W239" s="254">
        <x:f>$Q239-$S239</x:f>
      </x:c>
      <x:c r="X239" s="256">
        <x:f>IF(OR($J239="",$I239="",$J239=0,$I239=0,$I239&gt;$J239),"",$J239-$I239)</x:f>
      </x:c>
      <x:c r="Y239" s="257">
        <x:f>IF(OR($J239="",$J239=0,$X239=""),"",$X239/$J239)</x:f>
      </x:c>
    </x:row>
    <x:row r="240" s="106" customFormat="1" ht="21" customHeight="1">
      <x:c r="A240" s="54" t="n"/>
      <x:c r="B240" s="250" t="n"/>
      <x:c r="C240" s="250" t="n"/>
      <x:c r="D240" s="54" t="n"/>
      <x:c r="E240" s="251" t="n"/>
      <x:c r="F240" s="251" t="n"/>
      <x:c r="G240" s="251" t="n"/>
      <x:c r="H240" s="251" t="n"/>
      <x:c r="I240" s="252" t="n"/>
      <x:c r="J240" s="253" t="n"/>
      <x:c r="K240" s="254" t="n"/>
      <x:c r="L240" s="50" t="n"/>
      <x:c r="M240" s="251" t="n"/>
      <x:c r="N240" s="251">
        <x:f>IF($A240="","",IF($G240="","",IF(ISNUMBER(SEARCH("non",LOWER($E240&amp;""))),$G240*0.85,$G240)))</x:f>
      </x:c>
      <x:c r="O240" s="251">
        <x:f>IF($A240="","",IF(OR($N240="",$I240="",$I240=0),"",$N240/$I240))</x:f>
      </x:c>
      <x:c r="P240" s="251">
        <x:f>IF($A240="","",IF(LOWER($L240&amp;"")="yes",0,IF($K240&lt;&gt;"",$K240,IF($O240&lt;&gt;"",$O240,""))))</x:f>
      </x:c>
      <x:c r="Q240" s="254">
        <x:f>IF($A240="","",IF($U240="Profit",$P240-$H240,0))</x:f>
      </x:c>
      <x:c r="R240" s="251">
        <x:f>IF($A240="","",IF($U240="Draw",$H240,0))</x:f>
      </x:c>
      <x:c r="S240" s="251">
        <x:f>IF($A240="","",IF($U240="Disqualified",$H240,0))</x:f>
      </x:c>
      <x:c r="T240" s="255">
        <x:f>IF($A240="","",IF($H240=0,IF($U240="Profit","N/A",0),IF($U240="Profit",$Q240/$H240,IF($U240="Disqualified",-1,0))))</x:f>
      </x:c>
      <x:c r="U240" s="254">
        <x:f>IF($A240="","",IF(LOWER($L240&amp;"")="yes","Disqualified",IF($P240&gt;$H240,"Profit","Draw")))</x:f>
      </x:c>
      <x:c r="V240" s="253">
        <x:f>IF(OR($B240="",$C240=""),"",IFERROR(ROUNDUP((IF(ISNUMBER($C240),$C240,DATEVALUE($C240))-IF(ISNUMBER($B240),$B240,DATEVALUE($B240)))/7,0),""))</x:f>
      </x:c>
      <x:c r="W240" s="254">
        <x:f>$Q240-$S240</x:f>
      </x:c>
      <x:c r="X240" s="256">
        <x:f>IF(OR($J240="",$I240="",$J240=0,$I240=0,$I240&gt;$J240),"",$J240-$I240)</x:f>
      </x:c>
      <x:c r="Y240" s="257">
        <x:f>IF(OR($J240="",$J240=0,$X240=""),"",$X240/$J240)</x:f>
      </x:c>
    </x:row>
    <x:row r="241" s="106" customFormat="1" ht="21" customHeight="1">
      <x:c r="A241" s="54" t="n"/>
      <x:c r="B241" s="250" t="n"/>
      <x:c r="C241" s="250" t="n"/>
      <x:c r="D241" s="54" t="n"/>
      <x:c r="E241" s="251" t="n"/>
      <x:c r="F241" s="251" t="n"/>
      <x:c r="G241" s="251" t="n"/>
      <x:c r="H241" s="251" t="n"/>
      <x:c r="I241" s="252" t="n"/>
      <x:c r="J241" s="253" t="n"/>
      <x:c r="K241" s="254" t="n"/>
      <x:c r="L241" s="50" t="n"/>
      <x:c r="M241" s="251" t="n"/>
      <x:c r="N241" s="251">
        <x:f>IF($A241="","",IF($G241="","",IF(ISNUMBER(SEARCH("non",LOWER($E241&amp;""))),$G241*0.85,$G241)))</x:f>
      </x:c>
      <x:c r="O241" s="251">
        <x:f>IF($A241="","",IF(OR($N241="",$I241="",$I241=0),"",$N241/$I241))</x:f>
      </x:c>
      <x:c r="P241" s="251">
        <x:f>IF($A241="","",IF(LOWER($L241&amp;"")="yes",0,IF($K241&lt;&gt;"",$K241,IF($O241&lt;&gt;"",$O241,""))))</x:f>
      </x:c>
      <x:c r="Q241" s="254">
        <x:f>IF($A241="","",IF($U241="Profit",$P241-$H241,0))</x:f>
      </x:c>
      <x:c r="R241" s="251">
        <x:f>IF($A241="","",IF($U241="Draw",$H241,0))</x:f>
      </x:c>
      <x:c r="S241" s="251">
        <x:f>IF($A241="","",IF($U241="Disqualified",$H241,0))</x:f>
      </x:c>
      <x:c r="T241" s="255">
        <x:f>IF($A241="","",IF($H241=0,IF($U241="Profit","N/A",0),IF($U241="Profit",$Q241/$H241,IF($U241="Disqualified",-1,0))))</x:f>
      </x:c>
      <x:c r="U241" s="254">
        <x:f>IF($A241="","",IF(LOWER($L241&amp;"")="yes","Disqualified",IF($P241&gt;$H241,"Profit","Draw")))</x:f>
      </x:c>
      <x:c r="V241" s="253">
        <x:f>IF(OR($B241="",$C241=""),"",IFERROR(ROUNDUP((IF(ISNUMBER($C241),$C241,DATEVALUE($C241))-IF(ISNUMBER($B241),$B241,DATEVALUE($B241)))/7,0),""))</x:f>
      </x:c>
      <x:c r="W241" s="254">
        <x:f>$Q241-$S241</x:f>
      </x:c>
      <x:c r="X241" s="256">
        <x:f>IF(OR($J241="",$I241="",$J241=0,$I241=0,$I241&gt;$J241),"",$J241-$I241)</x:f>
      </x:c>
      <x:c r="Y241" s="257">
        <x:f>IF(OR($J241="",$J241=0,$X241=""),"",$X241/$J241)</x:f>
      </x:c>
    </x:row>
    <x:row r="242" s="106" customFormat="1" ht="21" customHeight="1">
      <x:c r="A242" s="54" t="n"/>
      <x:c r="B242" s="250" t="n"/>
      <x:c r="C242" s="250" t="n"/>
      <x:c r="D242" s="54" t="n"/>
      <x:c r="E242" s="251" t="n"/>
      <x:c r="F242" s="251" t="n"/>
      <x:c r="G242" s="251" t="n"/>
      <x:c r="H242" s="251" t="n"/>
      <x:c r="I242" s="252" t="n"/>
      <x:c r="J242" s="253" t="n"/>
      <x:c r="K242" s="254" t="n"/>
      <x:c r="L242" s="50" t="n"/>
      <x:c r="M242" s="251" t="n"/>
      <x:c r="N242" s="251">
        <x:f>IF($A242="","",IF($G242="","",IF(ISNUMBER(SEARCH("non",LOWER($E242&amp;""))),$G242*0.85,$G242)))</x:f>
      </x:c>
      <x:c r="O242" s="251">
        <x:f>IF($A242="","",IF(OR($N242="",$I242="",$I242=0),"",$N242/$I242))</x:f>
      </x:c>
      <x:c r="P242" s="251">
        <x:f>IF($A242="","",IF(LOWER($L242&amp;"")="yes",0,IF($K242&lt;&gt;"",$K242,IF($O242&lt;&gt;"",$O242,""))))</x:f>
      </x:c>
      <x:c r="Q242" s="254">
        <x:f>IF($A242="","",IF($U242="Profit",$P242-$H242,0))</x:f>
      </x:c>
      <x:c r="R242" s="251">
        <x:f>IF($A242="","",IF($U242="Draw",$H242,0))</x:f>
      </x:c>
      <x:c r="S242" s="251">
        <x:f>IF($A242="","",IF($U242="Disqualified",$H242,0))</x:f>
      </x:c>
      <x:c r="T242" s="255">
        <x:f>IF($A242="","",IF($H242=0,IF($U242="Profit","N/A",0),IF($U242="Profit",$Q242/$H242,IF($U242="Disqualified",-1,0))))</x:f>
      </x:c>
      <x:c r="U242" s="254">
        <x:f>IF($A242="","",IF(LOWER($L242&amp;"")="yes","Disqualified",IF($P242&gt;$H242,"Profit","Draw")))</x:f>
      </x:c>
      <x:c r="V242" s="253">
        <x:f>IF(OR($B242="",$C242=""),"",IFERROR(ROUNDUP((IF(ISNUMBER($C242),$C242,DATEVALUE($C242))-IF(ISNUMBER($B242),$B242,DATEVALUE($B242)))/7,0),""))</x:f>
      </x:c>
      <x:c r="W242" s="254">
        <x:f>$Q242-$S242</x:f>
      </x:c>
      <x:c r="X242" s="256">
        <x:f>IF(OR($J242="",$I242="",$J242=0,$I242=0,$I242&gt;$J242),"",$J242-$I242)</x:f>
      </x:c>
      <x:c r="Y242" s="257">
        <x:f>IF(OR($J242="",$J242=0,$X242=""),"",$X242/$J242)</x:f>
      </x:c>
    </x:row>
    <x:row r="243" s="106" customFormat="1" ht="21" customHeight="1">
      <x:c r="A243" s="54" t="n"/>
      <x:c r="B243" s="250" t="n"/>
      <x:c r="C243" s="250" t="n"/>
      <x:c r="D243" s="54" t="n"/>
      <x:c r="E243" s="251" t="n"/>
      <x:c r="F243" s="251" t="n"/>
      <x:c r="G243" s="251" t="n"/>
      <x:c r="H243" s="251" t="n"/>
      <x:c r="I243" s="252" t="n"/>
      <x:c r="J243" s="253" t="n"/>
      <x:c r="K243" s="254" t="n"/>
      <x:c r="L243" s="50" t="n"/>
      <x:c r="M243" s="251" t="n"/>
      <x:c r="N243" s="251">
        <x:f>IF($A243="","",IF($G243="","",IF(ISNUMBER(SEARCH("non",LOWER($E243&amp;""))),$G243*0.85,$G243)))</x:f>
      </x:c>
      <x:c r="O243" s="251">
        <x:f>IF($A243="","",IF(OR($N243="",$I243="",$I243=0),"",$N243/$I243))</x:f>
      </x:c>
      <x:c r="P243" s="251">
        <x:f>IF($A243="","",IF(LOWER($L243&amp;"")="yes",0,IF($K243&lt;&gt;"",$K243,IF($O243&lt;&gt;"",$O243,""))))</x:f>
      </x:c>
      <x:c r="Q243" s="254">
        <x:f>IF($A243="","",IF($U243="Profit",$P243-$H243,0))</x:f>
      </x:c>
      <x:c r="R243" s="251">
        <x:f>IF($A243="","",IF($U243="Draw",$H243,0))</x:f>
      </x:c>
      <x:c r="S243" s="251">
        <x:f>IF($A243="","",IF($U243="Disqualified",$H243,0))</x:f>
      </x:c>
      <x:c r="T243" s="255">
        <x:f>IF($A243="","",IF($H243=0,IF($U243="Profit","N/A",0),IF($U243="Profit",$Q243/$H243,IF($U243="Disqualified",-1,0))))</x:f>
      </x:c>
      <x:c r="U243" s="254">
        <x:f>IF($A243="","",IF(LOWER($L243&amp;"")="yes","Disqualified",IF($P243&gt;$H243,"Profit","Draw")))</x:f>
      </x:c>
      <x:c r="V243" s="253">
        <x:f>IF(OR($B243="",$C243=""),"",IFERROR(ROUNDUP((IF(ISNUMBER($C243),$C243,DATEVALUE($C243))-IF(ISNUMBER($B243),$B243,DATEVALUE($B243)))/7,0),""))</x:f>
      </x:c>
      <x:c r="W243" s="254">
        <x:f>$Q243-$S243</x:f>
      </x:c>
      <x:c r="X243" s="256">
        <x:f>IF(OR($J243="",$I243="",$J243=0,$I243=0,$I243&gt;$J243),"",$J243-$I243)</x:f>
      </x:c>
      <x:c r="Y243" s="257">
        <x:f>IF(OR($J243="",$J243=0,$X243=""),"",$X243/$J243)</x:f>
      </x:c>
    </x:row>
    <x:row r="244" s="106" customFormat="1" ht="21" customHeight="1">
      <x:c r="A244" s="54" t="n"/>
      <x:c r="B244" s="250" t="n"/>
      <x:c r="C244" s="250" t="n"/>
      <x:c r="D244" s="54" t="n"/>
      <x:c r="E244" s="251" t="n"/>
      <x:c r="F244" s="251" t="n"/>
      <x:c r="G244" s="251" t="n"/>
      <x:c r="H244" s="251" t="n"/>
      <x:c r="I244" s="252" t="n"/>
      <x:c r="J244" s="253" t="n"/>
      <x:c r="K244" s="254" t="n"/>
      <x:c r="L244" s="50" t="n"/>
      <x:c r="M244" s="251" t="n"/>
      <x:c r="N244" s="251">
        <x:f>IF($A244="","",IF($G244="","",IF(ISNUMBER(SEARCH("non",LOWER($E244&amp;""))),$G244*0.85,$G244)))</x:f>
      </x:c>
      <x:c r="O244" s="251">
        <x:f>IF($A244="","",IF(OR($N244="",$I244="",$I244=0),"",$N244/$I244))</x:f>
      </x:c>
      <x:c r="P244" s="251">
        <x:f>IF($A244="","",IF(LOWER($L244&amp;"")="yes",0,IF($K244&lt;&gt;"",$K244,IF($O244&lt;&gt;"",$O244,""))))</x:f>
      </x:c>
      <x:c r="Q244" s="254">
        <x:f>IF($A244="","",IF($U244="Profit",$P244-$H244,0))</x:f>
      </x:c>
      <x:c r="R244" s="251">
        <x:f>IF($A244="","",IF($U244="Draw",$H244,0))</x:f>
      </x:c>
      <x:c r="S244" s="251">
        <x:f>IF($A244="","",IF($U244="Disqualified",$H244,0))</x:f>
      </x:c>
      <x:c r="T244" s="255">
        <x:f>IF($A244="","",IF($H244=0,IF($U244="Profit","N/A",0),IF($U244="Profit",$Q244/$H244,IF($U244="Disqualified",-1,0))))</x:f>
      </x:c>
      <x:c r="U244" s="254">
        <x:f>IF($A244="","",IF(LOWER($L244&amp;"")="yes","Disqualified",IF($P244&gt;$H244,"Profit","Draw")))</x:f>
      </x:c>
      <x:c r="V244" s="253">
        <x:f>IF(OR($B244="",$C244=""),"",IFERROR(ROUNDUP((IF(ISNUMBER($C244),$C244,DATEVALUE($C244))-IF(ISNUMBER($B244),$B244,DATEVALUE($B244)))/7,0),""))</x:f>
      </x:c>
      <x:c r="W244" s="254">
        <x:f>$Q244-$S244</x:f>
      </x:c>
      <x:c r="X244" s="256">
        <x:f>IF(OR($J244="",$I244="",$J244=0,$I244=0,$I244&gt;$J244),"",$J244-$I244)</x:f>
      </x:c>
      <x:c r="Y244" s="257">
        <x:f>IF(OR($J244="",$J244=0,$X244=""),"",$X244/$J244)</x:f>
      </x:c>
    </x:row>
    <x:row r="245" s="106" customFormat="1" ht="21" customHeight="1">
      <x:c r="A245" s="54" t="n"/>
      <x:c r="B245" s="250" t="n"/>
      <x:c r="C245" s="250" t="n"/>
      <x:c r="D245" s="54" t="n"/>
      <x:c r="E245" s="251" t="n"/>
      <x:c r="F245" s="251" t="n"/>
      <x:c r="G245" s="251" t="n"/>
      <x:c r="H245" s="251" t="n"/>
      <x:c r="I245" s="252" t="n"/>
      <x:c r="J245" s="253" t="n"/>
      <x:c r="K245" s="254" t="n"/>
      <x:c r="L245" s="50" t="n"/>
      <x:c r="M245" s="251" t="n"/>
      <x:c r="N245" s="251">
        <x:f>IF($A245="","",IF($G245="","",IF(ISNUMBER(SEARCH("non",LOWER($E245&amp;""))),$G245*0.85,$G245)))</x:f>
      </x:c>
      <x:c r="O245" s="251">
        <x:f>IF($A245="","",IF(OR($N245="",$I245="",$I245=0),"",$N245/$I245))</x:f>
      </x:c>
      <x:c r="P245" s="251">
        <x:f>IF($A245="","",IF(LOWER($L245&amp;"")="yes",0,IF($K245&lt;&gt;"",$K245,IF($O245&lt;&gt;"",$O245,""))))</x:f>
      </x:c>
      <x:c r="Q245" s="254">
        <x:f>IF($A245="","",IF($U245="Profit",$P245-$H245,0))</x:f>
      </x:c>
      <x:c r="R245" s="251">
        <x:f>IF($A245="","",IF($U245="Draw",$H245,0))</x:f>
      </x:c>
      <x:c r="S245" s="251">
        <x:f>IF($A245="","",IF($U245="Disqualified",$H245,0))</x:f>
      </x:c>
      <x:c r="T245" s="255">
        <x:f>IF($A245="","",IF($H245=0,IF($U245="Profit","N/A",0),IF($U245="Profit",$Q245/$H245,IF($U245="Disqualified",-1,0))))</x:f>
      </x:c>
      <x:c r="U245" s="254">
        <x:f>IF($A245="","",IF(LOWER($L245&amp;"")="yes","Disqualified",IF($P245&gt;$H245,"Profit","Draw")))</x:f>
      </x:c>
      <x:c r="V245" s="253">
        <x:f>IF(OR($B245="",$C245=""),"",IFERROR(ROUNDUP((IF(ISNUMBER($C245),$C245,DATEVALUE($C245))-IF(ISNUMBER($B245),$B245,DATEVALUE($B245)))/7,0),""))</x:f>
      </x:c>
      <x:c r="W245" s="254">
        <x:f>$Q245-$S245</x:f>
      </x:c>
      <x:c r="X245" s="256">
        <x:f>IF(OR($J245="",$I245="",$J245=0,$I245=0,$I245&gt;$J245),"",$J245-$I245)</x:f>
      </x:c>
      <x:c r="Y245" s="257">
        <x:f>IF(OR($J245="",$J245=0,$X245=""),"",$X245/$J245)</x:f>
      </x:c>
    </x:row>
    <x:row r="246" s="106" customFormat="1" ht="21" customHeight="1">
      <x:c r="A246" s="54" t="n"/>
      <x:c r="B246" s="250" t="n"/>
      <x:c r="C246" s="250" t="n"/>
      <x:c r="D246" s="54" t="n"/>
      <x:c r="E246" s="251" t="n"/>
      <x:c r="F246" s="251" t="n"/>
      <x:c r="G246" s="251" t="n"/>
      <x:c r="H246" s="251" t="n"/>
      <x:c r="I246" s="252" t="n"/>
      <x:c r="J246" s="253" t="n"/>
      <x:c r="K246" s="254" t="n"/>
      <x:c r="L246" s="50" t="n"/>
      <x:c r="M246" s="251" t="n"/>
      <x:c r="N246" s="251">
        <x:f>IF($A246="","",IF($G246="","",IF(ISNUMBER(SEARCH("non",LOWER($E246&amp;""))),$G246*0.85,$G246)))</x:f>
      </x:c>
      <x:c r="O246" s="251">
        <x:f>IF($A246="","",IF(OR($N246="",$I246="",$I246=0),"",$N246/$I246))</x:f>
      </x:c>
      <x:c r="P246" s="251">
        <x:f>IF($A246="","",IF(LOWER($L246&amp;"")="yes",0,IF($K246&lt;&gt;"",$K246,IF($O246&lt;&gt;"",$O246,""))))</x:f>
      </x:c>
      <x:c r="Q246" s="254">
        <x:f>IF($A246="","",IF($U246="Profit",$P246-$H246,0))</x:f>
      </x:c>
      <x:c r="R246" s="251">
        <x:f>IF($A246="","",IF($U246="Draw",$H246,0))</x:f>
      </x:c>
      <x:c r="S246" s="251">
        <x:f>IF($A246="","",IF($U246="Disqualified",$H246,0))</x:f>
      </x:c>
      <x:c r="T246" s="255">
        <x:f>IF($A246="","",IF($H246=0,IF($U246="Profit","N/A",0),IF($U246="Profit",$Q246/$H246,IF($U246="Disqualified",-1,0))))</x:f>
      </x:c>
      <x:c r="U246" s="254">
        <x:f>IF($A246="","",IF(LOWER($L246&amp;"")="yes","Disqualified",IF($P246&gt;$H246,"Profit","Draw")))</x:f>
      </x:c>
      <x:c r="V246" s="253">
        <x:f>IF(OR($B246="",$C246=""),"",IFERROR(ROUNDUP((IF(ISNUMBER($C246),$C246,DATEVALUE($C246))-IF(ISNUMBER($B246),$B246,DATEVALUE($B246)))/7,0),""))</x:f>
      </x:c>
      <x:c r="W246" s="254">
        <x:f>$Q246-$S246</x:f>
      </x:c>
      <x:c r="X246" s="256">
        <x:f>IF(OR($J246="",$I246="",$J246=0,$I246=0,$I246&gt;$J246),"",$J246-$I246)</x:f>
      </x:c>
      <x:c r="Y246" s="257">
        <x:f>IF(OR($J246="",$J246=0,$X246=""),"",$X246/$J246)</x:f>
      </x:c>
    </x:row>
    <x:row r="247" s="106" customFormat="1" ht="21" customHeight="1">
      <x:c r="A247" s="54" t="n"/>
      <x:c r="B247" s="250" t="n"/>
      <x:c r="C247" s="250" t="n"/>
      <x:c r="D247" s="54" t="n"/>
      <x:c r="E247" s="251" t="n"/>
      <x:c r="F247" s="251" t="n"/>
      <x:c r="G247" s="251" t="n"/>
      <x:c r="H247" s="251" t="n"/>
      <x:c r="I247" s="252" t="n"/>
      <x:c r="J247" s="253" t="n"/>
      <x:c r="K247" s="254" t="n"/>
      <x:c r="L247" s="50" t="n"/>
      <x:c r="M247" s="251" t="n"/>
      <x:c r="N247" s="251">
        <x:f>IF($A247="","",IF($G247="","",IF(ISNUMBER(SEARCH("non",LOWER($E247&amp;""))),$G247*0.85,$G247)))</x:f>
      </x:c>
      <x:c r="O247" s="251">
        <x:f>IF($A247="","",IF(OR($N247="",$I247="",$I247=0),"",$N247/$I247))</x:f>
      </x:c>
      <x:c r="P247" s="251">
        <x:f>IF($A247="","",IF(LOWER($L247&amp;"")="yes",0,IF($K247&lt;&gt;"",$K247,IF($O247&lt;&gt;"",$O247,""))))</x:f>
      </x:c>
      <x:c r="Q247" s="254">
        <x:f>IF($A247="","",IF($U247="Profit",$P247-$H247,0))</x:f>
      </x:c>
      <x:c r="R247" s="251">
        <x:f>IF($A247="","",IF($U247="Draw",$H247,0))</x:f>
      </x:c>
      <x:c r="S247" s="251">
        <x:f>IF($A247="","",IF($U247="Disqualified",$H247,0))</x:f>
      </x:c>
      <x:c r="T247" s="255">
        <x:f>IF($A247="","",IF($H247=0,IF($U247="Profit","N/A",0),IF($U247="Profit",$Q247/$H247,IF($U247="Disqualified",-1,0))))</x:f>
      </x:c>
      <x:c r="U247" s="254">
        <x:f>IF($A247="","",IF(LOWER($L247&amp;"")="yes","Disqualified",IF($P247&gt;$H247,"Profit","Draw")))</x:f>
      </x:c>
      <x:c r="V247" s="253">
        <x:f>IF(OR($B247="",$C247=""),"",IFERROR(ROUNDUP((IF(ISNUMBER($C247),$C247,DATEVALUE($C247))-IF(ISNUMBER($B247),$B247,DATEVALUE($B247)))/7,0),""))</x:f>
      </x:c>
      <x:c r="W247" s="254">
        <x:f>$Q247-$S247</x:f>
      </x:c>
      <x:c r="X247" s="256">
        <x:f>IF(OR($J247="",$I247="",$J247=0,$I247=0,$I247&gt;$J247),"",$J247-$I247)</x:f>
      </x:c>
      <x:c r="Y247" s="257">
        <x:f>IF(OR($J247="",$J247=0,$X247=""),"",$X247/$J247)</x:f>
      </x:c>
    </x:row>
    <x:row r="248" s="106" customFormat="1" ht="21" customHeight="1">
      <x:c r="A248" s="54" t="n"/>
      <x:c r="B248" s="250" t="n"/>
      <x:c r="C248" s="250" t="n"/>
      <x:c r="D248" s="54" t="n"/>
      <x:c r="E248" s="251" t="n"/>
      <x:c r="F248" s="251" t="n"/>
      <x:c r="G248" s="251" t="n"/>
      <x:c r="H248" s="251" t="n"/>
      <x:c r="I248" s="252" t="n"/>
      <x:c r="J248" s="253" t="n"/>
      <x:c r="K248" s="254" t="n"/>
      <x:c r="L248" s="50" t="n"/>
      <x:c r="M248" s="251" t="n"/>
      <x:c r="N248" s="251">
        <x:f>IF($A248="","",IF($G248="","",IF(ISNUMBER(SEARCH("non",LOWER($E248&amp;""))),$G248*0.85,$G248)))</x:f>
      </x:c>
      <x:c r="O248" s="251">
        <x:f>IF($A248="","",IF(OR($N248="",$I248="",$I248=0),"",$N248/$I248))</x:f>
      </x:c>
      <x:c r="P248" s="251">
        <x:f>IF($A248="","",IF(LOWER($L248&amp;"")="yes",0,IF($K248&lt;&gt;"",$K248,IF($O248&lt;&gt;"",$O248,""))))</x:f>
      </x:c>
      <x:c r="Q248" s="254">
        <x:f>IF($A248="","",IF($U248="Profit",$P248-$H248,0))</x:f>
      </x:c>
      <x:c r="R248" s="251">
        <x:f>IF($A248="","",IF($U248="Draw",$H248,0))</x:f>
      </x:c>
      <x:c r="S248" s="251">
        <x:f>IF($A248="","",IF($U248="Disqualified",$H248,0))</x:f>
      </x:c>
      <x:c r="T248" s="255">
        <x:f>IF($A248="","",IF($H248=0,IF($U248="Profit","N/A",0),IF($U248="Profit",$Q248/$H248,IF($U248="Disqualified",-1,0))))</x:f>
      </x:c>
      <x:c r="U248" s="254">
        <x:f>IF($A248="","",IF(LOWER($L248&amp;"")="yes","Disqualified",IF($P248&gt;$H248,"Profit","Draw")))</x:f>
      </x:c>
      <x:c r="V248" s="253">
        <x:f>IF(OR($B248="",$C248=""),"",IFERROR(ROUNDUP((IF(ISNUMBER($C248),$C248,DATEVALUE($C248))-IF(ISNUMBER($B248),$B248,DATEVALUE($B248)))/7,0),""))</x:f>
      </x:c>
      <x:c r="W248" s="254">
        <x:f>$Q248-$S248</x:f>
      </x:c>
      <x:c r="X248" s="256">
        <x:f>IF(OR($J248="",$I248="",$J248=0,$I248=0,$I248&gt;$J248),"",$J248-$I248)</x:f>
      </x:c>
      <x:c r="Y248" s="257">
        <x:f>IF(OR($J248="",$J248=0,$X248=""),"",$X248/$J248)</x:f>
      </x:c>
    </x:row>
    <x:row r="249" s="106" customFormat="1" ht="21" customHeight="1">
      <x:c r="A249" s="54" t="n"/>
      <x:c r="B249" s="250" t="n"/>
      <x:c r="C249" s="250" t="n"/>
      <x:c r="D249" s="54" t="n"/>
      <x:c r="E249" s="251" t="n"/>
      <x:c r="F249" s="251" t="n"/>
      <x:c r="G249" s="251" t="n"/>
      <x:c r="H249" s="251" t="n"/>
      <x:c r="I249" s="252" t="n"/>
      <x:c r="J249" s="253" t="n"/>
      <x:c r="K249" s="254" t="n"/>
      <x:c r="L249" s="50" t="n"/>
      <x:c r="M249" s="251" t="n"/>
      <x:c r="N249" s="251">
        <x:f>IF($A249="","",IF($G249="","",IF(ISNUMBER(SEARCH("non",LOWER($E249&amp;""))),$G249*0.85,$G249)))</x:f>
      </x:c>
      <x:c r="O249" s="251">
        <x:f>IF($A249="","",IF(OR($N249="",$I249="",$I249=0),"",$N249/$I249))</x:f>
      </x:c>
      <x:c r="P249" s="251">
        <x:f>IF($A249="","",IF(LOWER($L249&amp;"")="yes",0,IF($K249&lt;&gt;"",$K249,IF($O249&lt;&gt;"",$O249,""))))</x:f>
      </x:c>
      <x:c r="Q249" s="254">
        <x:f>IF($A249="","",IF($U249="Profit",$P249-$H249,0))</x:f>
      </x:c>
      <x:c r="R249" s="251">
        <x:f>IF($A249="","",IF($U249="Draw",$H249,0))</x:f>
      </x:c>
      <x:c r="S249" s="251">
        <x:f>IF($A249="","",IF($U249="Disqualified",$H249,0))</x:f>
      </x:c>
      <x:c r="T249" s="255">
        <x:f>IF($A249="","",IF($H249=0,IF($U249="Profit","N/A",0),IF($U249="Profit",$Q249/$H249,IF($U249="Disqualified",-1,0))))</x:f>
      </x:c>
      <x:c r="U249" s="254">
        <x:f>IF($A249="","",IF(LOWER($L249&amp;"")="yes","Disqualified",IF($P249&gt;$H249,"Profit","Draw")))</x:f>
      </x:c>
      <x:c r="V249" s="253">
        <x:f>IF(OR($B249="",$C249=""),"",IFERROR(ROUNDUP((IF(ISNUMBER($C249),$C249,DATEVALUE($C249))-IF(ISNUMBER($B249),$B249,DATEVALUE($B249)))/7,0),""))</x:f>
      </x:c>
      <x:c r="W249" s="254">
        <x:f>$Q249-$S249</x:f>
      </x:c>
      <x:c r="X249" s="256">
        <x:f>IF(OR($J249="",$I249="",$J249=0,$I249=0,$I249&gt;$J249),"",$J249-$I249)</x:f>
      </x:c>
      <x:c r="Y249" s="257">
        <x:f>IF(OR($J249="",$J249=0,$X249=""),"",$X249/$J249)</x:f>
      </x:c>
    </x:row>
    <x:row r="250" s="106" customFormat="1" ht="21" customHeight="1">
      <x:c r="A250" s="54" t="n"/>
      <x:c r="B250" s="250" t="n"/>
      <x:c r="C250" s="250" t="n"/>
      <x:c r="D250" s="54" t="n"/>
      <x:c r="E250" s="251" t="n"/>
      <x:c r="F250" s="251" t="n"/>
      <x:c r="G250" s="251" t="n"/>
      <x:c r="H250" s="251" t="n"/>
      <x:c r="I250" s="252" t="n"/>
      <x:c r="J250" s="253" t="n"/>
      <x:c r="K250" s="254" t="n"/>
      <x:c r="L250" s="50" t="n"/>
      <x:c r="M250" s="251" t="n"/>
      <x:c r="N250" s="251">
        <x:f>IF($A250="","",IF($G250="","",IF(ISNUMBER(SEARCH("non",LOWER($E250&amp;""))),$G250*0.85,$G250)))</x:f>
      </x:c>
      <x:c r="O250" s="251">
        <x:f>IF($A250="","",IF(OR($N250="",$I250="",$I250=0),"",$N250/$I250))</x:f>
      </x:c>
      <x:c r="P250" s="251">
        <x:f>IF($A250="","",IF(LOWER($L250&amp;"")="yes",0,IF($K250&lt;&gt;"",$K250,IF($O250&lt;&gt;"",$O250,""))))</x:f>
      </x:c>
      <x:c r="Q250" s="254">
        <x:f>IF($A250="","",IF($U250="Profit",$P250-$H250,0))</x:f>
      </x:c>
      <x:c r="R250" s="251">
        <x:f>IF($A250="","",IF($U250="Draw",$H250,0))</x:f>
      </x:c>
      <x:c r="S250" s="251">
        <x:f>IF($A250="","",IF($U250="Disqualified",$H250,0))</x:f>
      </x:c>
      <x:c r="T250" s="255">
        <x:f>IF($A250="","",IF($H250=0,IF($U250="Profit","N/A",0),IF($U250="Profit",$Q250/$H250,IF($U250="Disqualified",-1,0))))</x:f>
      </x:c>
      <x:c r="U250" s="254">
        <x:f>IF($A250="","",IF(LOWER($L250&amp;"")="yes","Disqualified",IF($P250&gt;$H250,"Profit","Draw")))</x:f>
      </x:c>
      <x:c r="V250" s="253">
        <x:f>IF(OR($B250="",$C250=""),"",IFERROR(ROUNDUP((IF(ISNUMBER($C250),$C250,DATEVALUE($C250))-IF(ISNUMBER($B250),$B250,DATEVALUE($B250)))/7,0),""))</x:f>
      </x:c>
      <x:c r="W250" s="254">
        <x:f>$Q250-$S250</x:f>
      </x:c>
      <x:c r="X250" s="256">
        <x:f>IF(OR($J250="",$I250="",$J250=0,$I250=0,$I250&gt;$J250),"",$J250-$I250)</x:f>
      </x:c>
      <x:c r="Y250" s="257">
        <x:f>IF(OR($J250="",$J250=0,$X250=""),"",$X250/$J250)</x:f>
      </x:c>
    </x:row>
    <x:row r="251" s="106" customFormat="1" ht="21" customHeight="1">
      <x:c r="A251" s="54" t="n"/>
      <x:c r="B251" s="250" t="n"/>
      <x:c r="C251" s="250" t="n"/>
      <x:c r="D251" s="54" t="n"/>
      <x:c r="E251" s="251" t="n"/>
      <x:c r="F251" s="251" t="n"/>
      <x:c r="G251" s="251" t="n"/>
      <x:c r="H251" s="251" t="n"/>
      <x:c r="I251" s="252" t="n"/>
      <x:c r="J251" s="253" t="n"/>
      <x:c r="K251" s="254" t="n"/>
      <x:c r="L251" s="50" t="n"/>
      <x:c r="M251" s="251" t="n"/>
      <x:c r="N251" s="251">
        <x:f>IF($A251="","",IF($G251="","",IF(ISNUMBER(SEARCH("non",LOWER($E251&amp;""))),$G251*0.85,$G251)))</x:f>
      </x:c>
      <x:c r="O251" s="251">
        <x:f>IF($A251="","",IF(OR($N251="",$I251="",$I251=0),"",$N251/$I251))</x:f>
      </x:c>
      <x:c r="P251" s="251">
        <x:f>IF($A251="","",IF(LOWER($L251&amp;"")="yes",0,IF($K251&lt;&gt;"",$K251,IF($O251&lt;&gt;"",$O251,""))))</x:f>
      </x:c>
      <x:c r="Q251" s="254">
        <x:f>IF($A251="","",IF($U251="Profit",$P251-$H251,0))</x:f>
      </x:c>
      <x:c r="R251" s="251">
        <x:f>IF($A251="","",IF($U251="Draw",$H251,0))</x:f>
      </x:c>
      <x:c r="S251" s="251">
        <x:f>IF($A251="","",IF($U251="Disqualified",$H251,0))</x:f>
      </x:c>
      <x:c r="T251" s="255">
        <x:f>IF($A251="","",IF($H251=0,IF($U251="Profit","N/A",0),IF($U251="Profit",$Q251/$H251,IF($U251="Disqualified",-1,0))))</x:f>
      </x:c>
      <x:c r="U251" s="254">
        <x:f>IF($A251="","",IF(LOWER($L251&amp;"")="yes","Disqualified",IF($P251&gt;$H251,"Profit","Draw")))</x:f>
      </x:c>
      <x:c r="V251" s="253">
        <x:f>IF(OR($B251="",$C251=""),"",IFERROR(ROUNDUP((IF(ISNUMBER($C251),$C251,DATEVALUE($C251))-IF(ISNUMBER($B251),$B251,DATEVALUE($B251)))/7,0),""))</x:f>
      </x:c>
      <x:c r="W251" s="254">
        <x:f>$Q251-$S251</x:f>
      </x:c>
      <x:c r="X251" s="256">
        <x:f>IF(OR($J251="",$I251="",$J251=0,$I251=0,$I251&gt;$J251),"",$J251-$I251)</x:f>
      </x:c>
      <x:c r="Y251" s="257">
        <x:f>IF(OR($J251="",$J251=0,$X251=""),"",$X251/$J251)</x:f>
      </x:c>
    </x:row>
    <x:row r="252" s="106" customFormat="1" ht="21" customHeight="1">
      <x:c r="A252" s="54" t="n"/>
      <x:c r="B252" s="250" t="n"/>
      <x:c r="C252" s="250" t="n"/>
      <x:c r="D252" s="54" t="n"/>
      <x:c r="E252" s="251" t="n"/>
      <x:c r="F252" s="251" t="n"/>
      <x:c r="G252" s="251" t="n"/>
      <x:c r="H252" s="251" t="n"/>
      <x:c r="I252" s="252" t="n"/>
      <x:c r="J252" s="253" t="n"/>
      <x:c r="K252" s="254" t="n"/>
      <x:c r="L252" s="50" t="n"/>
      <x:c r="M252" s="251" t="n"/>
      <x:c r="N252" s="251">
        <x:f>IF($A252="","",IF($G252="","",IF(ISNUMBER(SEARCH("non",LOWER($E252&amp;""))),$G252*0.85,$G252)))</x:f>
      </x:c>
      <x:c r="O252" s="251">
        <x:f>IF($A252="","",IF(OR($N252="",$I252="",$I252=0),"",$N252/$I252))</x:f>
      </x:c>
      <x:c r="P252" s="251">
        <x:f>IF($A252="","",IF(LOWER($L252&amp;"")="yes",0,IF($K252&lt;&gt;"",$K252,IF($O252&lt;&gt;"",$O252,""))))</x:f>
      </x:c>
      <x:c r="Q252" s="254">
        <x:f>IF($A252="","",IF($U252="Profit",$P252-$H252,0))</x:f>
      </x:c>
      <x:c r="R252" s="251">
        <x:f>IF($A252="","",IF($U252="Draw",$H252,0))</x:f>
      </x:c>
      <x:c r="S252" s="251">
        <x:f>IF($A252="","",IF($U252="Disqualified",$H252,0))</x:f>
      </x:c>
      <x:c r="T252" s="255">
        <x:f>IF($A252="","",IF($H252=0,IF($U252="Profit","N/A",0),IF($U252="Profit",$Q252/$H252,IF($U252="Disqualified",-1,0))))</x:f>
      </x:c>
      <x:c r="U252" s="254">
        <x:f>IF($A252="","",IF(LOWER($L252&amp;"")="yes","Disqualified",IF($P252&gt;$H252,"Profit","Draw")))</x:f>
      </x:c>
      <x:c r="V252" s="253">
        <x:f>IF(OR($B252="",$C252=""),"",IFERROR(ROUNDUP((IF(ISNUMBER($C252),$C252,DATEVALUE($C252))-IF(ISNUMBER($B252),$B252,DATEVALUE($B252)))/7,0),""))</x:f>
      </x:c>
      <x:c r="W252" s="254">
        <x:f>$Q252-$S252</x:f>
      </x:c>
      <x:c r="X252" s="256">
        <x:f>IF(OR($J252="",$I252="",$J252=0,$I252=0,$I252&gt;$J252),"",$J252-$I252)</x:f>
      </x:c>
      <x:c r="Y252" s="257">
        <x:f>IF(OR($J252="",$J252=0,$X252=""),"",$X252/$J252)</x:f>
      </x:c>
    </x:row>
    <x:row r="253" s="106" customFormat="1" ht="21" customHeight="1">
      <x:c r="A253" s="54" t="n"/>
      <x:c r="B253" s="250" t="n"/>
      <x:c r="C253" s="250" t="n"/>
      <x:c r="D253" s="54" t="n"/>
      <x:c r="E253" s="251" t="n"/>
      <x:c r="F253" s="251" t="n"/>
      <x:c r="G253" s="251" t="n"/>
      <x:c r="H253" s="251" t="n"/>
      <x:c r="I253" s="252" t="n"/>
      <x:c r="J253" s="253" t="n"/>
      <x:c r="K253" s="254" t="n"/>
      <x:c r="L253" s="50" t="n"/>
      <x:c r="M253" s="251" t="n"/>
      <x:c r="N253" s="251">
        <x:f>IF($A253="","",IF($G253="","",IF(ISNUMBER(SEARCH("non",LOWER($E253&amp;""))),$G253*0.85,$G253)))</x:f>
      </x:c>
      <x:c r="O253" s="251">
        <x:f>IF($A253="","",IF(OR($N253="",$I253="",$I253=0),"",$N253/$I253))</x:f>
      </x:c>
      <x:c r="P253" s="251">
        <x:f>IF($A253="","",IF(LOWER($L253&amp;"")="yes",0,IF($K253&lt;&gt;"",$K253,IF($O253&lt;&gt;"",$O253,""))))</x:f>
      </x:c>
      <x:c r="Q253" s="254">
        <x:f>IF($A253="","",IF($U253="Profit",$P253-$H253,0))</x:f>
      </x:c>
      <x:c r="R253" s="251">
        <x:f>IF($A253="","",IF($U253="Draw",$H253,0))</x:f>
      </x:c>
      <x:c r="S253" s="251">
        <x:f>IF($A253="","",IF($U253="Disqualified",$H253,0))</x:f>
      </x:c>
      <x:c r="T253" s="255">
        <x:f>IF($A253="","",IF($H253=0,IF($U253="Profit","N/A",0),IF($U253="Profit",$Q253/$H253,IF($U253="Disqualified",-1,0))))</x:f>
      </x:c>
      <x:c r="U253" s="254">
        <x:f>IF($A253="","",IF(LOWER($L253&amp;"")="yes","Disqualified",IF($P253&gt;$H253,"Profit","Draw")))</x:f>
      </x:c>
      <x:c r="V253" s="253">
        <x:f>IF(OR($B253="",$C253=""),"",IFERROR(ROUNDUP((IF(ISNUMBER($C253),$C253,DATEVALUE($C253))-IF(ISNUMBER($B253),$B253,DATEVALUE($B253)))/7,0),""))</x:f>
      </x:c>
      <x:c r="W253" s="254">
        <x:f>$Q253-$S253</x:f>
      </x:c>
      <x:c r="X253" s="256">
        <x:f>IF(OR($J253="",$I253="",$J253=0,$I253=0,$I253&gt;$J253),"",$J253-$I253)</x:f>
      </x:c>
      <x:c r="Y253" s="257">
        <x:f>IF(OR($J253="",$J253=0,$X253=""),"",$X253/$J253)</x:f>
      </x:c>
    </x:row>
    <x:row r="254" s="106" customFormat="1" ht="21" customHeight="1">
      <x:c r="A254" s="54" t="n"/>
      <x:c r="B254" s="250" t="n"/>
      <x:c r="C254" s="250" t="n"/>
      <x:c r="D254" s="54" t="n"/>
      <x:c r="E254" s="251" t="n"/>
      <x:c r="F254" s="251" t="n"/>
      <x:c r="G254" s="251" t="n"/>
      <x:c r="H254" s="251" t="n"/>
      <x:c r="I254" s="252" t="n"/>
      <x:c r="J254" s="253" t="n"/>
      <x:c r="K254" s="254" t="n"/>
      <x:c r="L254" s="50" t="n"/>
      <x:c r="M254" s="251" t="n"/>
      <x:c r="N254" s="251">
        <x:f>IF($A254="","",IF($G254="","",IF(ISNUMBER(SEARCH("non",LOWER($E254&amp;""))),$G254*0.85,$G254)))</x:f>
      </x:c>
      <x:c r="O254" s="251">
        <x:f>IF($A254="","",IF(OR($N254="",$I254="",$I254=0),"",$N254/$I254))</x:f>
      </x:c>
      <x:c r="P254" s="251">
        <x:f>IF($A254="","",IF(LOWER($L254&amp;"")="yes",0,IF($K254&lt;&gt;"",$K254,IF($O254&lt;&gt;"",$O254,""))))</x:f>
      </x:c>
      <x:c r="Q254" s="254">
        <x:f>IF($A254="","",IF($U254="Profit",$P254-$H254,0))</x:f>
      </x:c>
      <x:c r="R254" s="251">
        <x:f>IF($A254="","",IF($U254="Draw",$H254,0))</x:f>
      </x:c>
      <x:c r="S254" s="251">
        <x:f>IF($A254="","",IF($U254="Disqualified",$H254,0))</x:f>
      </x:c>
      <x:c r="T254" s="255">
        <x:f>IF($A254="","",IF($H254=0,IF($U254="Profit","N/A",0),IF($U254="Profit",$Q254/$H254,IF($U254="Disqualified",-1,0))))</x:f>
      </x:c>
      <x:c r="U254" s="254">
        <x:f>IF($A254="","",IF(LOWER($L254&amp;"")="yes","Disqualified",IF($P254&gt;$H254,"Profit","Draw")))</x:f>
      </x:c>
      <x:c r="V254" s="253">
        <x:f>IF(OR($B254="",$C254=""),"",IFERROR(ROUNDUP((IF(ISNUMBER($C254),$C254,DATEVALUE($C254))-IF(ISNUMBER($B254),$B254,DATEVALUE($B254)))/7,0),""))</x:f>
      </x:c>
      <x:c r="W254" s="254">
        <x:f>$Q254-$S254</x:f>
      </x:c>
      <x:c r="X254" s="256">
        <x:f>IF(OR($J254="",$I254="",$J254=0,$I254=0,$I254&gt;$J254),"",$J254-$I254)</x:f>
      </x:c>
      <x:c r="Y254" s="257">
        <x:f>IF(OR($J254="",$J254=0,$X254=""),"",$X254/$J254)</x:f>
      </x:c>
    </x:row>
    <x:row r="255" s="106" customFormat="1" ht="21" customHeight="1">
      <x:c r="A255" s="54" t="n"/>
      <x:c r="B255" s="250" t="n"/>
      <x:c r="C255" s="250" t="n"/>
      <x:c r="D255" s="54" t="n"/>
      <x:c r="E255" s="251" t="n"/>
      <x:c r="F255" s="251" t="n"/>
      <x:c r="G255" s="251" t="n"/>
      <x:c r="H255" s="251" t="n"/>
      <x:c r="I255" s="252" t="n"/>
      <x:c r="J255" s="253" t="n"/>
      <x:c r="K255" s="254" t="n"/>
      <x:c r="L255" s="50" t="n"/>
      <x:c r="M255" s="251" t="n"/>
      <x:c r="N255" s="251">
        <x:f>IF($A255="","",IF($G255="","",IF(ISNUMBER(SEARCH("non",LOWER($E255&amp;""))),$G255*0.85,$G255)))</x:f>
      </x:c>
      <x:c r="O255" s="251">
        <x:f>IF($A255="","",IF(OR($N255="",$I255="",$I255=0),"",$N255/$I255))</x:f>
      </x:c>
      <x:c r="P255" s="251">
        <x:f>IF($A255="","",IF(LOWER($L255&amp;"")="yes",0,IF($K255&lt;&gt;"",$K255,IF($O255&lt;&gt;"",$O255,""))))</x:f>
      </x:c>
      <x:c r="Q255" s="254">
        <x:f>IF($A255="","",IF($U255="Profit",$P255-$H255,0))</x:f>
      </x:c>
      <x:c r="R255" s="251">
        <x:f>IF($A255="","",IF($U255="Draw",$H255,0))</x:f>
      </x:c>
      <x:c r="S255" s="251">
        <x:f>IF($A255="","",IF($U255="Disqualified",$H255,0))</x:f>
      </x:c>
      <x:c r="T255" s="255">
        <x:f>IF($A255="","",IF($H255=0,IF($U255="Profit","N/A",0),IF($U255="Profit",$Q255/$H255,IF($U255="Disqualified",-1,0))))</x:f>
      </x:c>
      <x:c r="U255" s="254">
        <x:f>IF($A255="","",IF(LOWER($L255&amp;"")="yes","Disqualified",IF($P255&gt;$H255,"Profit","Draw")))</x:f>
      </x:c>
      <x:c r="V255" s="253">
        <x:f>IF(OR($B255="",$C255=""),"",IFERROR(ROUNDUP((IF(ISNUMBER($C255),$C255,DATEVALUE($C255))-IF(ISNUMBER($B255),$B255,DATEVALUE($B255)))/7,0),""))</x:f>
      </x:c>
      <x:c r="W255" s="254">
        <x:f>$Q255-$S255</x:f>
      </x:c>
      <x:c r="X255" s="256">
        <x:f>IF(OR($J255="",$I255="",$J255=0,$I255=0,$I255&gt;$J255),"",$J255-$I255)</x:f>
      </x:c>
      <x:c r="Y255" s="257">
        <x:f>IF(OR($J255="",$J255=0,$X255=""),"",$X255/$J255)</x:f>
      </x:c>
    </x:row>
    <x:row r="256" s="106" customFormat="1" ht="21" customHeight="1">
      <x:c r="A256" s="54" t="n"/>
      <x:c r="B256" s="250" t="n"/>
      <x:c r="C256" s="250" t="n"/>
      <x:c r="D256" s="54" t="n"/>
      <x:c r="E256" s="251" t="n"/>
      <x:c r="F256" s="251" t="n"/>
      <x:c r="G256" s="251" t="n"/>
      <x:c r="H256" s="251" t="n"/>
      <x:c r="I256" s="252" t="n"/>
      <x:c r="J256" s="253" t="n"/>
      <x:c r="K256" s="254" t="n"/>
      <x:c r="L256" s="50" t="n"/>
      <x:c r="M256" s="251" t="n"/>
      <x:c r="N256" s="251">
        <x:f>IF($A256="","",IF($G256="","",IF(ISNUMBER(SEARCH("non",LOWER($E256&amp;""))),$G256*0.85,$G256)))</x:f>
      </x:c>
      <x:c r="O256" s="251">
        <x:f>IF($A256="","",IF(OR($N256="",$I256="",$I256=0),"",$N256/$I256))</x:f>
      </x:c>
      <x:c r="P256" s="251">
        <x:f>IF($A256="","",IF(LOWER($L256&amp;"")="yes",0,IF($K256&lt;&gt;"",$K256,IF($O256&lt;&gt;"",$O256,""))))</x:f>
      </x:c>
      <x:c r="Q256" s="254">
        <x:f>IF($A256="","",IF($U256="Profit",$P256-$H256,0))</x:f>
      </x:c>
      <x:c r="R256" s="251">
        <x:f>IF($A256="","",IF($U256="Draw",$H256,0))</x:f>
      </x:c>
      <x:c r="S256" s="251">
        <x:f>IF($A256="","",IF($U256="Disqualified",$H256,0))</x:f>
      </x:c>
      <x:c r="T256" s="255">
        <x:f>IF($A256="","",IF($H256=0,IF($U256="Profit","N/A",0),IF($U256="Profit",$Q256/$H256,IF($U256="Disqualified",-1,0))))</x:f>
      </x:c>
      <x:c r="U256" s="254">
        <x:f>IF($A256="","",IF(LOWER($L256&amp;"")="yes","Disqualified",IF($P256&gt;$H256,"Profit","Draw")))</x:f>
      </x:c>
      <x:c r="V256" s="253">
        <x:f>IF(OR($B256="",$C256=""),"",IFERROR(ROUNDUP((IF(ISNUMBER($C256),$C256,DATEVALUE($C256))-IF(ISNUMBER($B256),$B256,DATEVALUE($B256)))/7,0),""))</x:f>
      </x:c>
      <x:c r="W256" s="254">
        <x:f>$Q256-$S256</x:f>
      </x:c>
      <x:c r="X256" s="256">
        <x:f>IF(OR($J256="",$I256="",$J256=0,$I256=0,$I256&gt;$J256),"",$J256-$I256)</x:f>
      </x:c>
      <x:c r="Y256" s="257">
        <x:f>IF(OR($J256="",$J256=0,$X256=""),"",$X256/$J256)</x:f>
      </x:c>
    </x:row>
    <x:row r="257" s="106" customFormat="1" ht="21" customHeight="1">
      <x:c r="A257" s="54" t="n"/>
      <x:c r="B257" s="250" t="n"/>
      <x:c r="C257" s="250" t="n"/>
      <x:c r="D257" s="54" t="n"/>
      <x:c r="E257" s="251" t="n"/>
      <x:c r="F257" s="251" t="n"/>
      <x:c r="G257" s="251" t="n"/>
      <x:c r="H257" s="251" t="n"/>
      <x:c r="I257" s="252" t="n"/>
      <x:c r="J257" s="253" t="n"/>
      <x:c r="K257" s="254" t="n"/>
      <x:c r="L257" s="50" t="n"/>
      <x:c r="M257" s="251" t="n"/>
      <x:c r="N257" s="251">
        <x:f>IF($A257="","",IF($G257="","",IF(ISNUMBER(SEARCH("non",LOWER($E257&amp;""))),$G257*0.85,$G257)))</x:f>
      </x:c>
      <x:c r="O257" s="251">
        <x:f>IF($A257="","",IF(OR($N257="",$I257="",$I257=0),"",$N257/$I257))</x:f>
      </x:c>
      <x:c r="P257" s="251">
        <x:f>IF($A257="","",IF(LOWER($L257&amp;"")="yes",0,IF($K257&lt;&gt;"",$K257,IF($O257&lt;&gt;"",$O257,""))))</x:f>
      </x:c>
      <x:c r="Q257" s="254">
        <x:f>IF($A257="","",IF($U257="Profit",$P257-$H257,0))</x:f>
      </x:c>
      <x:c r="R257" s="251">
        <x:f>IF($A257="","",IF($U257="Draw",$H257,0))</x:f>
      </x:c>
      <x:c r="S257" s="251">
        <x:f>IF($A257="","",IF($U257="Disqualified",$H257,0))</x:f>
      </x:c>
      <x:c r="T257" s="255">
        <x:f>IF($A257="","",IF($H257=0,IF($U257="Profit","N/A",0),IF($U257="Profit",$Q257/$H257,IF($U257="Disqualified",-1,0))))</x:f>
      </x:c>
      <x:c r="U257" s="254">
        <x:f>IF($A257="","",IF(LOWER($L257&amp;"")="yes","Disqualified",IF($P257&gt;$H257,"Profit","Draw")))</x:f>
      </x:c>
      <x:c r="V257" s="253">
        <x:f>IF(OR($B257="",$C257=""),"",IFERROR(ROUNDUP((IF(ISNUMBER($C257),$C257,DATEVALUE($C257))-IF(ISNUMBER($B257),$B257,DATEVALUE($B257)))/7,0),""))</x:f>
      </x:c>
      <x:c r="W257" s="254">
        <x:f>$Q257-$S257</x:f>
      </x:c>
      <x:c r="X257" s="256">
        <x:f>IF(OR($J257="",$I257="",$J257=0,$I257=0,$I257&gt;$J257),"",$J257-$I257)</x:f>
      </x:c>
      <x:c r="Y257" s="257">
        <x:f>IF(OR($J257="",$J257=0,$X257=""),"",$X257/$J257)</x:f>
      </x:c>
    </x:row>
    <x:row r="258" s="106" customFormat="1" ht="21" customHeight="1">
      <x:c r="A258" s="54" t="n"/>
      <x:c r="B258" s="250" t="n"/>
      <x:c r="C258" s="250" t="n"/>
      <x:c r="D258" s="54" t="n"/>
      <x:c r="E258" s="251" t="n"/>
      <x:c r="F258" s="251" t="n"/>
      <x:c r="G258" s="251" t="n"/>
      <x:c r="H258" s="251" t="n"/>
      <x:c r="I258" s="252" t="n"/>
      <x:c r="J258" s="253" t="n"/>
      <x:c r="K258" s="254" t="n"/>
      <x:c r="L258" s="50" t="n"/>
      <x:c r="M258" s="251" t="n"/>
      <x:c r="N258" s="251">
        <x:f>IF($A258="","",IF($G258="","",IF(ISNUMBER(SEARCH("non",LOWER($E258&amp;""))),$G258*0.85,$G258)))</x:f>
      </x:c>
      <x:c r="O258" s="251">
        <x:f>IF($A258="","",IF(OR($N258="",$I258="",$I258=0),"",$N258/$I258))</x:f>
      </x:c>
      <x:c r="P258" s="251">
        <x:f>IF($A258="","",IF(LOWER($L258&amp;"")="yes",0,IF($K258&lt;&gt;"",$K258,IF($O258&lt;&gt;"",$O258,""))))</x:f>
      </x:c>
      <x:c r="Q258" s="254">
        <x:f>IF($A258="","",IF($U258="Profit",$P258-$H258,0))</x:f>
      </x:c>
      <x:c r="R258" s="251">
        <x:f>IF($A258="","",IF($U258="Draw",$H258,0))</x:f>
      </x:c>
      <x:c r="S258" s="251">
        <x:f>IF($A258="","",IF($U258="Disqualified",$H258,0))</x:f>
      </x:c>
      <x:c r="T258" s="255">
        <x:f>IF($A258="","",IF($H258=0,IF($U258="Profit","N/A",0),IF($U258="Profit",$Q258/$H258,IF($U258="Disqualified",-1,0))))</x:f>
      </x:c>
      <x:c r="U258" s="254">
        <x:f>IF($A258="","",IF(LOWER($L258&amp;"")="yes","Disqualified",IF($P258&gt;$H258,"Profit","Draw")))</x:f>
      </x:c>
      <x:c r="V258" s="253">
        <x:f>IF(OR($B258="",$C258=""),"",IFERROR(ROUNDUP((IF(ISNUMBER($C258),$C258,DATEVALUE($C258))-IF(ISNUMBER($B258),$B258,DATEVALUE($B258)))/7,0),""))</x:f>
      </x:c>
      <x:c r="W258" s="254">
        <x:f>$Q258-$S258</x:f>
      </x:c>
      <x:c r="X258" s="256">
        <x:f>IF(OR($J258="",$I258="",$J258=0,$I258=0,$I258&gt;$J258),"",$J258-$I258)</x:f>
      </x:c>
      <x:c r="Y258" s="257">
        <x:f>IF(OR($J258="",$J258=0,$X258=""),"",$X258/$J258)</x:f>
      </x:c>
    </x:row>
    <x:row r="259" s="106" customFormat="1" ht="21" customHeight="1">
      <x:c r="A259" s="54" t="n"/>
      <x:c r="B259" s="250" t="n"/>
      <x:c r="C259" s="250" t="n"/>
      <x:c r="D259" s="54" t="n"/>
      <x:c r="E259" s="251" t="n"/>
      <x:c r="F259" s="251" t="n"/>
      <x:c r="G259" s="251" t="n"/>
      <x:c r="H259" s="251" t="n"/>
      <x:c r="I259" s="252" t="n"/>
      <x:c r="J259" s="253" t="n"/>
      <x:c r="K259" s="254" t="n"/>
      <x:c r="L259" s="50" t="n"/>
      <x:c r="M259" s="251" t="n"/>
      <x:c r="N259" s="251">
        <x:f>IF($A259="","",IF($G259="","",IF(ISNUMBER(SEARCH("non",LOWER($E259&amp;""))),$G259*0.85,$G259)))</x:f>
      </x:c>
      <x:c r="O259" s="251">
        <x:f>IF($A259="","",IF(OR($N259="",$I259="",$I259=0),"",$N259/$I259))</x:f>
      </x:c>
      <x:c r="P259" s="251">
        <x:f>IF($A259="","",IF(LOWER($L259&amp;"")="yes",0,IF($K259&lt;&gt;"",$K259,IF($O259&lt;&gt;"",$O259,""))))</x:f>
      </x:c>
      <x:c r="Q259" s="254">
        <x:f>IF($A259="","",IF($U259="Profit",$P259-$H259,0))</x:f>
      </x:c>
      <x:c r="R259" s="251">
        <x:f>IF($A259="","",IF($U259="Draw",$H259,0))</x:f>
      </x:c>
      <x:c r="S259" s="251">
        <x:f>IF($A259="","",IF($U259="Disqualified",$H259,0))</x:f>
      </x:c>
      <x:c r="T259" s="255">
        <x:f>IF($A259="","",IF($H259=0,IF($U259="Profit","N/A",0),IF($U259="Profit",$Q259/$H259,IF($U259="Disqualified",-1,0))))</x:f>
      </x:c>
      <x:c r="U259" s="254">
        <x:f>IF($A259="","",IF(LOWER($L259&amp;"")="yes","Disqualified",IF($P259&gt;$H259,"Profit","Draw")))</x:f>
      </x:c>
      <x:c r="V259" s="253">
        <x:f>IF(OR($B259="",$C259=""),"",IFERROR(ROUNDUP((IF(ISNUMBER($C259),$C259,DATEVALUE($C259))-IF(ISNUMBER($B259),$B259,DATEVALUE($B259)))/7,0),""))</x:f>
      </x:c>
      <x:c r="W259" s="254">
        <x:f>$Q259-$S259</x:f>
      </x:c>
      <x:c r="X259" s="256">
        <x:f>IF(OR($J259="",$I259="",$J259=0,$I259=0,$I259&gt;$J259),"",$J259-$I259)</x:f>
      </x:c>
      <x:c r="Y259" s="257">
        <x:f>IF(OR($J259="",$J259=0,$X259=""),"",$X259/$J259)</x:f>
      </x:c>
    </x:row>
    <x:row r="260" s="106" customFormat="1" ht="21" customHeight="1">
      <x:c r="A260" s="54" t="n"/>
      <x:c r="B260" s="250" t="n"/>
      <x:c r="C260" s="250" t="n"/>
      <x:c r="D260" s="54" t="n"/>
      <x:c r="E260" s="251" t="n"/>
      <x:c r="F260" s="251" t="n"/>
      <x:c r="G260" s="251" t="n"/>
      <x:c r="H260" s="251" t="n"/>
      <x:c r="I260" s="252" t="n"/>
      <x:c r="J260" s="253" t="n"/>
      <x:c r="K260" s="254" t="n"/>
      <x:c r="L260" s="50" t="n"/>
      <x:c r="M260" s="251" t="n"/>
      <x:c r="N260" s="251">
        <x:f>IF($A260="","",IF($G260="","",IF(ISNUMBER(SEARCH("non",LOWER($E260&amp;""))),$G260*0.85,$G260)))</x:f>
      </x:c>
      <x:c r="O260" s="251">
        <x:f>IF($A260="","",IF(OR($N260="",$I260="",$I260=0),"",$N260/$I260))</x:f>
      </x:c>
      <x:c r="P260" s="251">
        <x:f>IF($A260="","",IF(LOWER($L260&amp;"")="yes",0,IF($K260&lt;&gt;"",$K260,IF($O260&lt;&gt;"",$O260,""))))</x:f>
      </x:c>
      <x:c r="Q260" s="254">
        <x:f>IF($A260="","",IF($U260="Profit",$P260-$H260,0))</x:f>
      </x:c>
      <x:c r="R260" s="251">
        <x:f>IF($A260="","",IF($U260="Draw",$H260,0))</x:f>
      </x:c>
      <x:c r="S260" s="251">
        <x:f>IF($A260="","",IF($U260="Disqualified",$H260,0))</x:f>
      </x:c>
      <x:c r="T260" s="255">
        <x:f>IF($A260="","",IF($H260=0,IF($U260="Profit","N/A",0),IF($U260="Profit",$Q260/$H260,IF($U260="Disqualified",-1,0))))</x:f>
      </x:c>
      <x:c r="U260" s="254">
        <x:f>IF($A260="","",IF(LOWER($L260&amp;"")="yes","Disqualified",IF($P260&gt;$H260,"Profit","Draw")))</x:f>
      </x:c>
      <x:c r="V260" s="253">
        <x:f>IF(OR($B260="",$C260=""),"",IFERROR(ROUNDUP((IF(ISNUMBER($C260),$C260,DATEVALUE($C260))-IF(ISNUMBER($B260),$B260,DATEVALUE($B260)))/7,0),""))</x:f>
      </x:c>
      <x:c r="W260" s="254">
        <x:f>$Q260-$S260</x:f>
      </x:c>
      <x:c r="X260" s="256">
        <x:f>IF(OR($J260="",$I260="",$J260=0,$I260=0,$I260&gt;$J260),"",$J260-$I260)</x:f>
      </x:c>
      <x:c r="Y260" s="257">
        <x:f>IF(OR($J260="",$J260=0,$X260=""),"",$X260/$J260)</x:f>
      </x:c>
    </x:row>
    <x:row r="261" s="106" customFormat="1" ht="21" customHeight="1">
      <x:c r="A261" s="54" t="n"/>
      <x:c r="B261" s="250" t="n"/>
      <x:c r="C261" s="250" t="n"/>
      <x:c r="D261" s="54" t="n"/>
      <x:c r="E261" s="251" t="n"/>
      <x:c r="F261" s="251" t="n"/>
      <x:c r="G261" s="251" t="n"/>
      <x:c r="H261" s="251" t="n"/>
      <x:c r="I261" s="252" t="n"/>
      <x:c r="J261" s="253" t="n"/>
      <x:c r="K261" s="254" t="n"/>
      <x:c r="L261" s="50" t="n"/>
      <x:c r="M261" s="251" t="n"/>
      <x:c r="N261" s="251">
        <x:f>IF($A261="","",IF($G261="","",IF(ISNUMBER(SEARCH("non",LOWER($E261&amp;""))),$G261*0.85,$G261)))</x:f>
      </x:c>
      <x:c r="O261" s="251">
        <x:f>IF($A261="","",IF(OR($N261="",$I261="",$I261=0),"",$N261/$I261))</x:f>
      </x:c>
      <x:c r="P261" s="251">
        <x:f>IF($A261="","",IF(LOWER($L261&amp;"")="yes",0,IF($K261&lt;&gt;"",$K261,IF($O261&lt;&gt;"",$O261,""))))</x:f>
      </x:c>
      <x:c r="Q261" s="254">
        <x:f>IF($A261="","",IF($U261="Profit",$P261-$H261,0))</x:f>
      </x:c>
      <x:c r="R261" s="251">
        <x:f>IF($A261="","",IF($U261="Draw",$H261,0))</x:f>
      </x:c>
      <x:c r="S261" s="251">
        <x:f>IF($A261="","",IF($U261="Disqualified",$H261,0))</x:f>
      </x:c>
      <x:c r="T261" s="255">
        <x:f>IF($A261="","",IF($H261=0,IF($U261="Profit","N/A",0),IF($U261="Profit",$Q261/$H261,IF($U261="Disqualified",-1,0))))</x:f>
      </x:c>
      <x:c r="U261" s="254">
        <x:f>IF($A261="","",IF(LOWER($L261&amp;"")="yes","Disqualified",IF($P261&gt;$H261,"Profit","Draw")))</x:f>
      </x:c>
      <x:c r="V261" s="253">
        <x:f>IF(OR($B261="",$C261=""),"",IFERROR(ROUNDUP((IF(ISNUMBER($C261),$C261,DATEVALUE($C261))-IF(ISNUMBER($B261),$B261,DATEVALUE($B261)))/7,0),""))</x:f>
      </x:c>
      <x:c r="W261" s="254">
        <x:f>$Q261-$S261</x:f>
      </x:c>
      <x:c r="X261" s="256">
        <x:f>IF(OR($J261="",$I261="",$J261=0,$I261=0,$I261&gt;$J261),"",$J261-$I261)</x:f>
      </x:c>
      <x:c r="Y261" s="257">
        <x:f>IF(OR($J261="",$J261=0,$X261=""),"",$X261/$J261)</x:f>
      </x:c>
    </x:row>
    <x:row r="262" s="106" customFormat="1" ht="21" customHeight="1">
      <x:c r="A262" s="54" t="n"/>
      <x:c r="B262" s="250" t="n"/>
      <x:c r="C262" s="250" t="n"/>
      <x:c r="D262" s="54" t="n"/>
      <x:c r="E262" s="251" t="n"/>
      <x:c r="F262" s="251" t="n"/>
      <x:c r="G262" s="251" t="n"/>
      <x:c r="H262" s="251" t="n"/>
      <x:c r="I262" s="252" t="n"/>
      <x:c r="J262" s="253" t="n"/>
      <x:c r="K262" s="254" t="n"/>
      <x:c r="L262" s="50" t="n"/>
      <x:c r="M262" s="251" t="n"/>
      <x:c r="N262" s="251">
        <x:f>IF($A262="","",IF($G262="","",IF(ISNUMBER(SEARCH("non",LOWER($E262&amp;""))),$G262*0.85,$G262)))</x:f>
      </x:c>
      <x:c r="O262" s="251">
        <x:f>IF($A262="","",IF(OR($N262="",$I262="",$I262=0),"",$N262/$I262))</x:f>
      </x:c>
      <x:c r="P262" s="251">
        <x:f>IF($A262="","",IF(LOWER($L262&amp;"")="yes",0,IF($K262&lt;&gt;"",$K262,IF($O262&lt;&gt;"",$O262,""))))</x:f>
      </x:c>
      <x:c r="Q262" s="254">
        <x:f>IF($A262="","",IF($U262="Profit",$P262-$H262,0))</x:f>
      </x:c>
      <x:c r="R262" s="251">
        <x:f>IF($A262="","",IF($U262="Draw",$H262,0))</x:f>
      </x:c>
      <x:c r="S262" s="251">
        <x:f>IF($A262="","",IF($U262="Disqualified",$H262,0))</x:f>
      </x:c>
      <x:c r="T262" s="255">
        <x:f>IF($A262="","",IF($H262=0,IF($U262="Profit","N/A",0),IF($U262="Profit",$Q262/$H262,IF($U262="Disqualified",-1,0))))</x:f>
      </x:c>
      <x:c r="U262" s="254">
        <x:f>IF($A262="","",IF(LOWER($L262&amp;"")="yes","Disqualified",IF($P262&gt;$H262,"Profit","Draw")))</x:f>
      </x:c>
      <x:c r="V262" s="253">
        <x:f>IF(OR($B262="",$C262=""),"",IFERROR(ROUNDUP((IF(ISNUMBER($C262),$C262,DATEVALUE($C262))-IF(ISNUMBER($B262),$B262,DATEVALUE($B262)))/7,0),""))</x:f>
      </x:c>
      <x:c r="W262" s="254">
        <x:f>$Q262-$S262</x:f>
      </x:c>
      <x:c r="X262" s="256">
        <x:f>IF(OR($J262="",$I262="",$J262=0,$I262=0,$I262&gt;$J262),"",$J262-$I262)</x:f>
      </x:c>
      <x:c r="Y262" s="257">
        <x:f>IF(OR($J262="",$J262=0,$X262=""),"",$X262/$J262)</x:f>
      </x:c>
    </x:row>
    <x:row r="263" s="106" customFormat="1" ht="21" customHeight="1">
      <x:c r="A263" s="54" t="n"/>
      <x:c r="B263" s="250" t="n"/>
      <x:c r="C263" s="250" t="n"/>
      <x:c r="D263" s="54" t="n"/>
      <x:c r="E263" s="251" t="n"/>
      <x:c r="F263" s="251" t="n"/>
      <x:c r="G263" s="251" t="n"/>
      <x:c r="H263" s="251" t="n"/>
      <x:c r="I263" s="252" t="n"/>
      <x:c r="J263" s="253" t="n"/>
      <x:c r="K263" s="254" t="n"/>
      <x:c r="L263" s="50" t="n"/>
      <x:c r="M263" s="251" t="n"/>
      <x:c r="N263" s="251">
        <x:f>IF($A263="","",IF($G263="","",IF(ISNUMBER(SEARCH("non",LOWER($E263&amp;""))),$G263*0.85,$G263)))</x:f>
      </x:c>
      <x:c r="O263" s="251">
        <x:f>IF($A263="","",IF(OR($N263="",$I263="",$I263=0),"",$N263/$I263))</x:f>
      </x:c>
      <x:c r="P263" s="251">
        <x:f>IF($A263="","",IF(LOWER($L263&amp;"")="yes",0,IF($K263&lt;&gt;"",$K263,IF($O263&lt;&gt;"",$O263,""))))</x:f>
      </x:c>
      <x:c r="Q263" s="254">
        <x:f>IF($A263="","",IF($U263="Profit",$P263-$H263,0))</x:f>
      </x:c>
      <x:c r="R263" s="251">
        <x:f>IF($A263="","",IF($U263="Draw",$H263,0))</x:f>
      </x:c>
      <x:c r="S263" s="251">
        <x:f>IF($A263="","",IF($U263="Disqualified",$H263,0))</x:f>
      </x:c>
      <x:c r="T263" s="255">
        <x:f>IF($A263="","",IF($H263=0,IF($U263="Profit","N/A",0),IF($U263="Profit",$Q263/$H263,IF($U263="Disqualified",-1,0))))</x:f>
      </x:c>
      <x:c r="U263" s="254">
        <x:f>IF($A263="","",IF(LOWER($L263&amp;"")="yes","Disqualified",IF($P263&gt;$H263,"Profit","Draw")))</x:f>
      </x:c>
      <x:c r="V263" s="253">
        <x:f>IF(OR($B263="",$C263=""),"",IFERROR(ROUNDUP((IF(ISNUMBER($C263),$C263,DATEVALUE($C263))-IF(ISNUMBER($B263),$B263,DATEVALUE($B263)))/7,0),""))</x:f>
      </x:c>
      <x:c r="W263" s="254">
        <x:f>$Q263-$S263</x:f>
      </x:c>
      <x:c r="X263" s="256">
        <x:f>IF(OR($J263="",$I263="",$J263=0,$I263=0,$I263&gt;$J263),"",$J263-$I263)</x:f>
      </x:c>
      <x:c r="Y263" s="257">
        <x:f>IF(OR($J263="",$J263=0,$X263=""),"",$X263/$J263)</x:f>
      </x:c>
    </x:row>
    <x:row r="264" s="106" customFormat="1" ht="21" customHeight="1">
      <x:c r="A264" s="54" t="n"/>
      <x:c r="B264" s="250" t="n"/>
      <x:c r="C264" s="250" t="n"/>
      <x:c r="D264" s="54" t="n"/>
      <x:c r="E264" s="251" t="n"/>
      <x:c r="F264" s="251" t="n"/>
      <x:c r="G264" s="251" t="n"/>
      <x:c r="H264" s="251" t="n"/>
      <x:c r="I264" s="252" t="n"/>
      <x:c r="J264" s="253" t="n"/>
      <x:c r="K264" s="254" t="n"/>
      <x:c r="L264" s="50" t="n"/>
      <x:c r="M264" s="251" t="n"/>
      <x:c r="N264" s="251">
        <x:f>IF($A264="","",IF($G264="","",IF(ISNUMBER(SEARCH("non",LOWER($E264&amp;""))),$G264*0.85,$G264)))</x:f>
      </x:c>
      <x:c r="O264" s="251">
        <x:f>IF($A264="","",IF(OR($N264="",$I264="",$I264=0),"",$N264/$I264))</x:f>
      </x:c>
      <x:c r="P264" s="251">
        <x:f>IF($A264="","",IF(LOWER($L264&amp;"")="yes",0,IF($K264&lt;&gt;"",$K264,IF($O264&lt;&gt;"",$O264,""))))</x:f>
      </x:c>
      <x:c r="Q264" s="254">
        <x:f>IF($A264="","",IF($U264="Profit",$P264-$H264,0))</x:f>
      </x:c>
      <x:c r="R264" s="251">
        <x:f>IF($A264="","",IF($U264="Draw",$H264,0))</x:f>
      </x:c>
      <x:c r="S264" s="251">
        <x:f>IF($A264="","",IF($U264="Disqualified",$H264,0))</x:f>
      </x:c>
      <x:c r="T264" s="255">
        <x:f>IF($A264="","",IF($H264=0,IF($U264="Profit","N/A",0),IF($U264="Profit",$Q264/$H264,IF($U264="Disqualified",-1,0))))</x:f>
      </x:c>
      <x:c r="U264" s="254">
        <x:f>IF($A264="","",IF(LOWER($L264&amp;"")="yes","Disqualified",IF($P264&gt;$H264,"Profit","Draw")))</x:f>
      </x:c>
      <x:c r="V264" s="253">
        <x:f>IF(OR($B264="",$C264=""),"",IFERROR(ROUNDUP((IF(ISNUMBER($C264),$C264,DATEVALUE($C264))-IF(ISNUMBER($B264),$B264,DATEVALUE($B264)))/7,0),""))</x:f>
      </x:c>
      <x:c r="W264" s="254">
        <x:f>$Q264-$S264</x:f>
      </x:c>
      <x:c r="X264" s="256">
        <x:f>IF(OR($J264="",$I264="",$J264=0,$I264=0,$I264&gt;$J264),"",$J264-$I264)</x:f>
      </x:c>
      <x:c r="Y264" s="257">
        <x:f>IF(OR($J264="",$J264=0,$X264=""),"",$X264/$J264)</x:f>
      </x:c>
    </x:row>
    <x:row r="265" s="106" customFormat="1" ht="21" customHeight="1">
      <x:c r="A265" s="54" t="n"/>
      <x:c r="B265" s="250" t="n"/>
      <x:c r="C265" s="250" t="n"/>
      <x:c r="D265" s="54" t="n"/>
      <x:c r="E265" s="251" t="n"/>
      <x:c r="F265" s="251" t="n"/>
      <x:c r="G265" s="251" t="n"/>
      <x:c r="H265" s="251" t="n"/>
      <x:c r="I265" s="252" t="n"/>
      <x:c r="J265" s="253" t="n"/>
      <x:c r="K265" s="254" t="n"/>
      <x:c r="L265" s="50" t="n"/>
      <x:c r="M265" s="251" t="n"/>
      <x:c r="N265" s="251">
        <x:f>IF($A265="","",IF($G265="","",IF(ISNUMBER(SEARCH("non",LOWER($E265&amp;""))),$G265*0.85,$G265)))</x:f>
      </x:c>
      <x:c r="O265" s="251">
        <x:f>IF($A265="","",IF(OR($N265="",$I265="",$I265=0),"",$N265/$I265))</x:f>
      </x:c>
      <x:c r="P265" s="251">
        <x:f>IF($A265="","",IF(LOWER($L265&amp;"")="yes",0,IF($K265&lt;&gt;"",$K265,IF($O265&lt;&gt;"",$O265,""))))</x:f>
      </x:c>
      <x:c r="Q265" s="254">
        <x:f>IF($A265="","",IF($U265="Profit",$P265-$H265,0))</x:f>
      </x:c>
      <x:c r="R265" s="251">
        <x:f>IF($A265="","",IF($U265="Draw",$H265,0))</x:f>
      </x:c>
      <x:c r="S265" s="251">
        <x:f>IF($A265="","",IF($U265="Disqualified",$H265,0))</x:f>
      </x:c>
      <x:c r="T265" s="255">
        <x:f>IF($A265="","",IF($H265=0,IF($U265="Profit","N/A",0),IF($U265="Profit",$Q265/$H265,IF($U265="Disqualified",-1,0))))</x:f>
      </x:c>
      <x:c r="U265" s="254">
        <x:f>IF($A265="","",IF(LOWER($L265&amp;"")="yes","Disqualified",IF($P265&gt;$H265,"Profit","Draw")))</x:f>
      </x:c>
      <x:c r="V265" s="253">
        <x:f>IF(OR($B265="",$C265=""),"",IFERROR(ROUNDUP((IF(ISNUMBER($C265),$C265,DATEVALUE($C265))-IF(ISNUMBER($B265),$B265,DATEVALUE($B265)))/7,0),""))</x:f>
      </x:c>
      <x:c r="W265" s="254">
        <x:f>$Q265-$S265</x:f>
      </x:c>
      <x:c r="X265" s="256">
        <x:f>IF(OR($J265="",$I265="",$J265=0,$I265=0,$I265&gt;$J265),"",$J265-$I265)</x:f>
      </x:c>
      <x:c r="Y265" s="257">
        <x:f>IF(OR($J265="",$J265=0,$X265=""),"",$X265/$J265)</x:f>
      </x:c>
    </x:row>
    <x:row r="266" s="106" customFormat="1" ht="21" customHeight="1">
      <x:c r="A266" s="54" t="n"/>
      <x:c r="B266" s="250" t="n"/>
      <x:c r="C266" s="250" t="n"/>
      <x:c r="D266" s="54" t="n"/>
      <x:c r="E266" s="251" t="n"/>
      <x:c r="F266" s="251" t="n"/>
      <x:c r="G266" s="251" t="n"/>
      <x:c r="H266" s="251" t="n"/>
      <x:c r="I266" s="252" t="n"/>
      <x:c r="J266" s="253" t="n"/>
      <x:c r="K266" s="254" t="n"/>
      <x:c r="L266" s="50" t="n"/>
      <x:c r="M266" s="251" t="n"/>
      <x:c r="N266" s="251">
        <x:f>IF($A266="","",IF($G266="","",IF(ISNUMBER(SEARCH("non",LOWER($E266&amp;""))),$G266*0.85,$G266)))</x:f>
      </x:c>
      <x:c r="O266" s="251">
        <x:f>IF($A266="","",IF(OR($N266="",$I266="",$I266=0),"",$N266/$I266))</x:f>
      </x:c>
      <x:c r="P266" s="251">
        <x:f>IF($A266="","",IF(LOWER($L266&amp;"")="yes",0,IF($K266&lt;&gt;"",$K266,IF($O266&lt;&gt;"",$O266,""))))</x:f>
      </x:c>
      <x:c r="Q266" s="254">
        <x:f>IF($A266="","",IF($U266="Profit",$P266-$H266,0))</x:f>
      </x:c>
      <x:c r="R266" s="251">
        <x:f>IF($A266="","",IF($U266="Draw",$H266,0))</x:f>
      </x:c>
      <x:c r="S266" s="251">
        <x:f>IF($A266="","",IF($U266="Disqualified",$H266,0))</x:f>
      </x:c>
      <x:c r="T266" s="255">
        <x:f>IF($A266="","",IF($H266=0,IF($U266="Profit","N/A",0),IF($U266="Profit",$Q266/$H266,IF($U266="Disqualified",-1,0))))</x:f>
      </x:c>
      <x:c r="U266" s="254">
        <x:f>IF($A266="","",IF(LOWER($L266&amp;"")="yes","Disqualified",IF($P266&gt;$H266,"Profit","Draw")))</x:f>
      </x:c>
      <x:c r="V266" s="253">
        <x:f>IF(OR($B266="",$C266=""),"",IFERROR(ROUNDUP((IF(ISNUMBER($C266),$C266,DATEVALUE($C266))-IF(ISNUMBER($B266),$B266,DATEVALUE($B266)))/7,0),""))</x:f>
      </x:c>
      <x:c r="W266" s="254">
        <x:f>$Q266-$S266</x:f>
      </x:c>
      <x:c r="X266" s="256">
        <x:f>IF(OR($J266="",$I266="",$J266=0,$I266=0,$I266&gt;$J266),"",$J266-$I266)</x:f>
      </x:c>
      <x:c r="Y266" s="257">
        <x:f>IF(OR($J266="",$J266=0,$X266=""),"",$X266/$J266)</x:f>
      </x:c>
    </x:row>
    <x:row r="267" s="106" customFormat="1" ht="21" customHeight="1">
      <x:c r="A267" s="54" t="n"/>
      <x:c r="B267" s="250" t="n"/>
      <x:c r="C267" s="250" t="n"/>
      <x:c r="D267" s="54" t="n"/>
      <x:c r="E267" s="251" t="n"/>
      <x:c r="F267" s="251" t="n"/>
      <x:c r="G267" s="251" t="n"/>
      <x:c r="H267" s="251" t="n"/>
      <x:c r="I267" s="252" t="n"/>
      <x:c r="J267" s="253" t="n"/>
      <x:c r="K267" s="254" t="n"/>
      <x:c r="L267" s="50" t="n"/>
      <x:c r="M267" s="251" t="n"/>
      <x:c r="N267" s="251">
        <x:f>IF($A267="","",IF($G267="","",IF(ISNUMBER(SEARCH("non",LOWER($E267&amp;""))),$G267*0.85,$G267)))</x:f>
      </x:c>
      <x:c r="O267" s="251">
        <x:f>IF($A267="","",IF(OR($N267="",$I267="",$I267=0),"",$N267/$I267))</x:f>
      </x:c>
      <x:c r="P267" s="251">
        <x:f>IF($A267="","",IF(LOWER($L267&amp;"")="yes",0,IF($K267&lt;&gt;"",$K267,IF($O267&lt;&gt;"",$O267,""))))</x:f>
      </x:c>
      <x:c r="Q267" s="254">
        <x:f>IF($A267="","",IF($U267="Profit",$P267-$H267,0))</x:f>
      </x:c>
      <x:c r="R267" s="251">
        <x:f>IF($A267="","",IF($U267="Draw",$H267,0))</x:f>
      </x:c>
      <x:c r="S267" s="251">
        <x:f>IF($A267="","",IF($U267="Disqualified",$H267,0))</x:f>
      </x:c>
      <x:c r="T267" s="255">
        <x:f>IF($A267="","",IF($H267=0,IF($U267="Profit","N/A",0),IF($U267="Profit",$Q267/$H267,IF($U267="Disqualified",-1,0))))</x:f>
      </x:c>
      <x:c r="U267" s="254">
        <x:f>IF($A267="","",IF(LOWER($L267&amp;"")="yes","Disqualified",IF($P267&gt;$H267,"Profit","Draw")))</x:f>
      </x:c>
      <x:c r="V267" s="253">
        <x:f>IF(OR($B267="",$C267=""),"",IFERROR(ROUNDUP((IF(ISNUMBER($C267),$C267,DATEVALUE($C267))-IF(ISNUMBER($B267),$B267,DATEVALUE($B267)))/7,0),""))</x:f>
      </x:c>
      <x:c r="W267" s="254">
        <x:f>$Q267-$S267</x:f>
      </x:c>
      <x:c r="X267" s="256">
        <x:f>IF(OR($J267="",$I267="",$J267=0,$I267=0,$I267&gt;$J267),"",$J267-$I267)</x:f>
      </x:c>
      <x:c r="Y267" s="257">
        <x:f>IF(OR($J267="",$J267=0,$X267=""),"",$X267/$J267)</x:f>
      </x:c>
    </x:row>
    <x:row r="268" s="106" customFormat="1" ht="21" customHeight="1">
      <x:c r="A268" s="54" t="n"/>
      <x:c r="B268" s="250" t="n"/>
      <x:c r="C268" s="250" t="n"/>
      <x:c r="D268" s="54" t="n"/>
      <x:c r="E268" s="251" t="n"/>
      <x:c r="F268" s="251" t="n"/>
      <x:c r="G268" s="251" t="n"/>
      <x:c r="H268" s="251" t="n"/>
      <x:c r="I268" s="252" t="n"/>
      <x:c r="J268" s="253" t="n"/>
      <x:c r="K268" s="254" t="n"/>
      <x:c r="L268" s="50" t="n"/>
      <x:c r="M268" s="251" t="n"/>
      <x:c r="N268" s="251">
        <x:f>IF($A268="","",IF($G268="","",IF(ISNUMBER(SEARCH("non",LOWER($E268&amp;""))),$G268*0.85,$G268)))</x:f>
      </x:c>
      <x:c r="O268" s="251">
        <x:f>IF($A268="","",IF(OR($N268="",$I268="",$I268=0),"",$N268/$I268))</x:f>
      </x:c>
      <x:c r="P268" s="251">
        <x:f>IF($A268="","",IF(LOWER($L268&amp;"")="yes",0,IF($K268&lt;&gt;"",$K268,IF($O268&lt;&gt;"",$O268,""))))</x:f>
      </x:c>
      <x:c r="Q268" s="254">
        <x:f>IF($A268="","",IF($U268="Profit",$P268-$H268,0))</x:f>
      </x:c>
      <x:c r="R268" s="251">
        <x:f>IF($A268="","",IF($U268="Draw",$H268,0))</x:f>
      </x:c>
      <x:c r="S268" s="251">
        <x:f>IF($A268="","",IF($U268="Disqualified",$H268,0))</x:f>
      </x:c>
      <x:c r="T268" s="255">
        <x:f>IF($A268="","",IF($H268=0,IF($U268="Profit","N/A",0),IF($U268="Profit",$Q268/$H268,IF($U268="Disqualified",-1,0))))</x:f>
      </x:c>
      <x:c r="U268" s="254">
        <x:f>IF($A268="","",IF(LOWER($L268&amp;"")="yes","Disqualified",IF($P268&gt;$H268,"Profit","Draw")))</x:f>
      </x:c>
      <x:c r="V268" s="253">
        <x:f>IF(OR($B268="",$C268=""),"",IFERROR(ROUNDUP((IF(ISNUMBER($C268),$C268,DATEVALUE($C268))-IF(ISNUMBER($B268),$B268,DATEVALUE($B268)))/7,0),""))</x:f>
      </x:c>
      <x:c r="W268" s="254">
        <x:f>$Q268-$S268</x:f>
      </x:c>
      <x:c r="X268" s="256">
        <x:f>IF(OR($J268="",$I268="",$J268=0,$I268=0,$I268&gt;$J268),"",$J268-$I268)</x:f>
      </x:c>
      <x:c r="Y268" s="257">
        <x:f>IF(OR($J268="",$J268=0,$X268=""),"",$X268/$J268)</x:f>
      </x:c>
    </x:row>
    <x:row r="269" s="106" customFormat="1" ht="21" customHeight="1">
      <x:c r="A269" s="54" t="n"/>
      <x:c r="B269" s="250" t="n"/>
      <x:c r="C269" s="250" t="n"/>
      <x:c r="D269" s="54" t="n"/>
      <x:c r="E269" s="251" t="n"/>
      <x:c r="F269" s="251" t="n"/>
      <x:c r="G269" s="251" t="n"/>
      <x:c r="H269" s="251" t="n"/>
      <x:c r="I269" s="252" t="n"/>
      <x:c r="J269" s="253" t="n"/>
      <x:c r="K269" s="254" t="n"/>
      <x:c r="L269" s="50" t="n"/>
      <x:c r="M269" s="251" t="n"/>
      <x:c r="N269" s="251">
        <x:f>IF($A269="","",IF($G269="","",IF(ISNUMBER(SEARCH("non",LOWER($E269&amp;""))),$G269*0.85,$G269)))</x:f>
      </x:c>
      <x:c r="O269" s="251">
        <x:f>IF($A269="","",IF(OR($N269="",$I269="",$I269=0),"",$N269/$I269))</x:f>
      </x:c>
      <x:c r="P269" s="251">
        <x:f>IF($A269="","",IF(LOWER($L269&amp;"")="yes",0,IF($K269&lt;&gt;"",$K269,IF($O269&lt;&gt;"",$O269,""))))</x:f>
      </x:c>
      <x:c r="Q269" s="254">
        <x:f>IF($A269="","",IF($U269="Profit",$P269-$H269,0))</x:f>
      </x:c>
      <x:c r="R269" s="251">
        <x:f>IF($A269="","",IF($U269="Draw",$H269,0))</x:f>
      </x:c>
      <x:c r="S269" s="251">
        <x:f>IF($A269="","",IF($U269="Disqualified",$H269,0))</x:f>
      </x:c>
      <x:c r="T269" s="255">
        <x:f>IF($A269="","",IF($H269=0,IF($U269="Profit","N/A",0),IF($U269="Profit",$Q269/$H269,IF($U269="Disqualified",-1,0))))</x:f>
      </x:c>
      <x:c r="U269" s="254">
        <x:f>IF($A269="","",IF(LOWER($L269&amp;"")="yes","Disqualified",IF($P269&gt;$H269,"Profit","Draw")))</x:f>
      </x:c>
      <x:c r="V269" s="253">
        <x:f>IF(OR($B269="",$C269=""),"",IFERROR(ROUNDUP((IF(ISNUMBER($C269),$C269,DATEVALUE($C269))-IF(ISNUMBER($B269),$B269,DATEVALUE($B269)))/7,0),""))</x:f>
      </x:c>
      <x:c r="W269" s="254">
        <x:f>$Q269-$S269</x:f>
      </x:c>
      <x:c r="X269" s="256">
        <x:f>IF(OR($J269="",$I269="",$J269=0,$I269=0,$I269&gt;$J269),"",$J269-$I269)</x:f>
      </x:c>
      <x:c r="Y269" s="257">
        <x:f>IF(OR($J269="",$J269=0,$X269=""),"",$X269/$J269)</x:f>
      </x:c>
    </x:row>
    <x:row r="270" s="106" customFormat="1" ht="21" customHeight="1">
      <x:c r="A270" s="54" t="n"/>
      <x:c r="B270" s="250" t="n"/>
      <x:c r="C270" s="250" t="n"/>
      <x:c r="D270" s="54" t="n"/>
      <x:c r="E270" s="251" t="n"/>
      <x:c r="F270" s="251" t="n"/>
      <x:c r="G270" s="251" t="n"/>
      <x:c r="H270" s="251" t="n"/>
      <x:c r="I270" s="252" t="n"/>
      <x:c r="J270" s="253" t="n"/>
      <x:c r="K270" s="254" t="n"/>
      <x:c r="L270" s="50" t="n"/>
      <x:c r="M270" s="251" t="n"/>
      <x:c r="N270" s="251">
        <x:f>IF($A270="","",IF($G270="","",IF(ISNUMBER(SEARCH("non",LOWER($E270&amp;""))),$G270*0.85,$G270)))</x:f>
      </x:c>
      <x:c r="O270" s="251">
        <x:f>IF($A270="","",IF(OR($N270="",$I270="",$I270=0),"",$N270/$I270))</x:f>
      </x:c>
      <x:c r="P270" s="251">
        <x:f>IF($A270="","",IF(LOWER($L270&amp;"")="yes",0,IF($K270&lt;&gt;"",$K270,IF($O270&lt;&gt;"",$O270,""))))</x:f>
      </x:c>
      <x:c r="Q270" s="254">
        <x:f>IF($A270="","",IF($U270="Profit",$P270-$H270,0))</x:f>
      </x:c>
      <x:c r="R270" s="251">
        <x:f>IF($A270="","",IF($U270="Draw",$H270,0))</x:f>
      </x:c>
      <x:c r="S270" s="251">
        <x:f>IF($A270="","",IF($U270="Disqualified",$H270,0))</x:f>
      </x:c>
      <x:c r="T270" s="255">
        <x:f>IF($A270="","",IF($H270=0,IF($U270="Profit","N/A",0),IF($U270="Profit",$Q270/$H270,IF($U270="Disqualified",-1,0))))</x:f>
      </x:c>
      <x:c r="U270" s="254">
        <x:f>IF($A270="","",IF(LOWER($L270&amp;"")="yes","Disqualified",IF($P270&gt;$H270,"Profit","Draw")))</x:f>
      </x:c>
      <x:c r="V270" s="253">
        <x:f>IF(OR($B270="",$C270=""),"",IFERROR(ROUNDUP((IF(ISNUMBER($C270),$C270,DATEVALUE($C270))-IF(ISNUMBER($B270),$B270,DATEVALUE($B270)))/7,0),""))</x:f>
      </x:c>
      <x:c r="W270" s="254">
        <x:f>$Q270-$S270</x:f>
      </x:c>
      <x:c r="X270" s="256">
        <x:f>IF(OR($J270="",$I270="",$J270=0,$I270=0,$I270&gt;$J270),"",$J270-$I270)</x:f>
      </x:c>
      <x:c r="Y270" s="257">
        <x:f>IF(OR($J270="",$J270=0,$X270=""),"",$X270/$J270)</x:f>
      </x:c>
    </x:row>
    <x:row r="271" s="106" customFormat="1" ht="21" customHeight="1">
      <x:c r="A271" s="54" t="n"/>
      <x:c r="B271" s="250" t="n"/>
      <x:c r="C271" s="250" t="n"/>
      <x:c r="D271" s="54" t="n"/>
      <x:c r="E271" s="251" t="n"/>
      <x:c r="F271" s="251" t="n"/>
      <x:c r="G271" s="251" t="n"/>
      <x:c r="H271" s="251" t="n"/>
      <x:c r="I271" s="252" t="n"/>
      <x:c r="J271" s="253" t="n"/>
      <x:c r="K271" s="254" t="n"/>
      <x:c r="L271" s="50" t="n"/>
      <x:c r="M271" s="251" t="n"/>
      <x:c r="N271" s="251">
        <x:f>IF($A271="","",IF($G271="","",IF(ISNUMBER(SEARCH("non",LOWER($E271&amp;""))),$G271*0.85,$G271)))</x:f>
      </x:c>
      <x:c r="O271" s="251">
        <x:f>IF($A271="","",IF(OR($N271="",$I271="",$I271=0),"",$N271/$I271))</x:f>
      </x:c>
      <x:c r="P271" s="251">
        <x:f>IF($A271="","",IF(LOWER($L271&amp;"")="yes",0,IF($K271&lt;&gt;"",$K271,IF($O271&lt;&gt;"",$O271,""))))</x:f>
      </x:c>
      <x:c r="Q271" s="254">
        <x:f>IF($A271="","",IF($U271="Profit",$P271-$H271,0))</x:f>
      </x:c>
      <x:c r="R271" s="251">
        <x:f>IF($A271="","",IF($U271="Draw",$H271,0))</x:f>
      </x:c>
      <x:c r="S271" s="251">
        <x:f>IF($A271="","",IF($U271="Disqualified",$H271,0))</x:f>
      </x:c>
      <x:c r="T271" s="255">
        <x:f>IF($A271="","",IF($H271=0,IF($U271="Profit","N/A",0),IF($U271="Profit",$Q271/$H271,IF($U271="Disqualified",-1,0))))</x:f>
      </x:c>
      <x:c r="U271" s="254">
        <x:f>IF($A271="","",IF(LOWER($L271&amp;"")="yes","Disqualified",IF($P271&gt;$H271,"Profit","Draw")))</x:f>
      </x:c>
      <x:c r="V271" s="253">
        <x:f>IF(OR($B271="",$C271=""),"",IFERROR(ROUNDUP((IF(ISNUMBER($C271),$C271,DATEVALUE($C271))-IF(ISNUMBER($B271),$B271,DATEVALUE($B271)))/7,0),""))</x:f>
      </x:c>
      <x:c r="W271" s="254">
        <x:f>$Q271-$S271</x:f>
      </x:c>
      <x:c r="X271" s="256">
        <x:f>IF(OR($J271="",$I271="",$J271=0,$I271=0,$I271&gt;$J271),"",$J271-$I271)</x:f>
      </x:c>
      <x:c r="Y271" s="257">
        <x:f>IF(OR($J271="",$J271=0,$X271=""),"",$X271/$J271)</x:f>
      </x:c>
    </x:row>
    <x:row r="272" s="106" customFormat="1" ht="21" customHeight="1">
      <x:c r="A272" s="54" t="n"/>
      <x:c r="B272" s="250" t="n"/>
      <x:c r="C272" s="250" t="n"/>
      <x:c r="D272" s="54" t="n"/>
      <x:c r="E272" s="251" t="n"/>
      <x:c r="F272" s="251" t="n"/>
      <x:c r="G272" s="251" t="n"/>
      <x:c r="H272" s="251" t="n"/>
      <x:c r="I272" s="252" t="n"/>
      <x:c r="J272" s="253" t="n"/>
      <x:c r="K272" s="254" t="n"/>
      <x:c r="L272" s="50" t="n"/>
      <x:c r="M272" s="251" t="n"/>
      <x:c r="N272" s="251">
        <x:f>IF($A272="","",IF($G272="","",IF(ISNUMBER(SEARCH("non",LOWER($E272&amp;""))),$G272*0.85,$G272)))</x:f>
      </x:c>
      <x:c r="O272" s="251">
        <x:f>IF($A272="","",IF(OR($N272="",$I272="",$I272=0),"",$N272/$I272))</x:f>
      </x:c>
      <x:c r="P272" s="251">
        <x:f>IF($A272="","",IF(LOWER($L272&amp;"")="yes",0,IF($K272&lt;&gt;"",$K272,IF($O272&lt;&gt;"",$O272,""))))</x:f>
      </x:c>
      <x:c r="Q272" s="254">
        <x:f>IF($A272="","",IF($U272="Profit",$P272-$H272,0))</x:f>
      </x:c>
      <x:c r="R272" s="251">
        <x:f>IF($A272="","",IF($U272="Draw",$H272,0))</x:f>
      </x:c>
      <x:c r="S272" s="251">
        <x:f>IF($A272="","",IF($U272="Disqualified",$H272,0))</x:f>
      </x:c>
      <x:c r="T272" s="255">
        <x:f>IF($A272="","",IF($H272=0,IF($U272="Profit","N/A",0),IF($U272="Profit",$Q272/$H272,IF($U272="Disqualified",-1,0))))</x:f>
      </x:c>
      <x:c r="U272" s="254">
        <x:f>IF($A272="","",IF(LOWER($L272&amp;"")="yes","Disqualified",IF($P272&gt;$H272,"Profit","Draw")))</x:f>
      </x:c>
      <x:c r="V272" s="253">
        <x:f>IF(OR($B272="",$C272=""),"",IFERROR(ROUNDUP((IF(ISNUMBER($C272),$C272,DATEVALUE($C272))-IF(ISNUMBER($B272),$B272,DATEVALUE($B272)))/7,0),""))</x:f>
      </x:c>
      <x:c r="W272" s="254">
        <x:f>$Q272-$S272</x:f>
      </x:c>
      <x:c r="X272" s="256">
        <x:f>IF(OR($J272="",$I272="",$J272=0,$I272=0,$I272&gt;$J272),"",$J272-$I272)</x:f>
      </x:c>
      <x:c r="Y272" s="257">
        <x:f>IF(OR($J272="",$J272=0,$X272=""),"",$X272/$J272)</x:f>
      </x:c>
    </x:row>
    <x:row r="273" s="106" customFormat="1" ht="21" customHeight="1">
      <x:c r="A273" s="54" t="n"/>
      <x:c r="B273" s="250" t="n"/>
      <x:c r="C273" s="250" t="n"/>
      <x:c r="D273" s="54" t="n"/>
      <x:c r="E273" s="251" t="n"/>
      <x:c r="F273" s="251" t="n"/>
      <x:c r="G273" s="251" t="n"/>
      <x:c r="H273" s="251" t="n"/>
      <x:c r="I273" s="252" t="n"/>
      <x:c r="J273" s="253" t="n"/>
      <x:c r="K273" s="254" t="n"/>
      <x:c r="L273" s="50" t="n"/>
      <x:c r="M273" s="251" t="n"/>
      <x:c r="N273" s="251">
        <x:f>IF($A273="","",IF($G273="","",IF(ISNUMBER(SEARCH("non",LOWER($E273&amp;""))),$G273*0.85,$G273)))</x:f>
      </x:c>
      <x:c r="O273" s="251">
        <x:f>IF($A273="","",IF(OR($N273="",$I273="",$I273=0),"",$N273/$I273))</x:f>
      </x:c>
      <x:c r="P273" s="251">
        <x:f>IF($A273="","",IF(LOWER($L273&amp;"")="yes",0,IF($K273&lt;&gt;"",$K273,IF($O273&lt;&gt;"",$O273,""))))</x:f>
      </x:c>
      <x:c r="Q273" s="254">
        <x:f>IF($A273="","",IF($U273="Profit",$P273-$H273,0))</x:f>
      </x:c>
      <x:c r="R273" s="251">
        <x:f>IF($A273="","",IF($U273="Draw",$H273,0))</x:f>
      </x:c>
      <x:c r="S273" s="251">
        <x:f>IF($A273="","",IF($U273="Disqualified",$H273,0))</x:f>
      </x:c>
      <x:c r="T273" s="255">
        <x:f>IF($A273="","",IF($H273=0,IF($U273="Profit","N/A",0),IF($U273="Profit",$Q273/$H273,IF($U273="Disqualified",-1,0))))</x:f>
      </x:c>
      <x:c r="U273" s="254">
        <x:f>IF($A273="","",IF(LOWER($L273&amp;"")="yes","Disqualified",IF($P273&gt;$H273,"Profit","Draw")))</x:f>
      </x:c>
      <x:c r="V273" s="253">
        <x:f>IF(OR($B273="",$C273=""),"",IFERROR(ROUNDUP((IF(ISNUMBER($C273),$C273,DATEVALUE($C273))-IF(ISNUMBER($B273),$B273,DATEVALUE($B273)))/7,0),""))</x:f>
      </x:c>
      <x:c r="W273" s="254">
        <x:f>$Q273-$S273</x:f>
      </x:c>
      <x:c r="X273" s="256">
        <x:f>IF(OR($J273="",$I273="",$J273=0,$I273=0,$I273&gt;$J273),"",$J273-$I273)</x:f>
      </x:c>
      <x:c r="Y273" s="257">
        <x:f>IF(OR($J273="",$J273=0,$X273=""),"",$X273/$J273)</x:f>
      </x:c>
    </x:row>
    <x:row r="274" s="106" customFormat="1" ht="21" customHeight="1">
      <x:c r="A274" s="54" t="n"/>
      <x:c r="B274" s="250" t="n"/>
      <x:c r="C274" s="250" t="n"/>
      <x:c r="D274" s="54" t="n"/>
      <x:c r="E274" s="251" t="n"/>
      <x:c r="F274" s="251" t="n"/>
      <x:c r="G274" s="251" t="n"/>
      <x:c r="H274" s="251" t="n"/>
      <x:c r="I274" s="252" t="n"/>
      <x:c r="J274" s="253" t="n"/>
      <x:c r="K274" s="254" t="n"/>
      <x:c r="L274" s="50" t="n"/>
      <x:c r="M274" s="251" t="n"/>
      <x:c r="N274" s="251">
        <x:f>IF($A274="","",IF($G274="","",IF(ISNUMBER(SEARCH("non",LOWER($E274&amp;""))),$G274*0.85,$G274)))</x:f>
      </x:c>
      <x:c r="O274" s="251">
        <x:f>IF($A274="","",IF(OR($N274="",$I274="",$I274=0),"",$N274/$I274))</x:f>
      </x:c>
      <x:c r="P274" s="251">
        <x:f>IF($A274="","",IF(LOWER($L274&amp;"")="yes",0,IF($K274&lt;&gt;"",$K274,IF($O274&lt;&gt;"",$O274,""))))</x:f>
      </x:c>
      <x:c r="Q274" s="254">
        <x:f>IF($A274="","",IF($U274="Profit",$P274-$H274,0))</x:f>
      </x:c>
      <x:c r="R274" s="251">
        <x:f>IF($A274="","",IF($U274="Draw",$H274,0))</x:f>
      </x:c>
      <x:c r="S274" s="251">
        <x:f>IF($A274="","",IF($U274="Disqualified",$H274,0))</x:f>
      </x:c>
      <x:c r="T274" s="255">
        <x:f>IF($A274="","",IF($H274=0,IF($U274="Profit","N/A",0),IF($U274="Profit",$Q274/$H274,IF($U274="Disqualified",-1,0))))</x:f>
      </x:c>
      <x:c r="U274" s="254">
        <x:f>IF($A274="","",IF(LOWER($L274&amp;"")="yes","Disqualified",IF($P274&gt;$H274,"Profit","Draw")))</x:f>
      </x:c>
      <x:c r="V274" s="253">
        <x:f>IF(OR($B274="",$C274=""),"",IFERROR(ROUNDUP((IF(ISNUMBER($C274),$C274,DATEVALUE($C274))-IF(ISNUMBER($B274),$B274,DATEVALUE($B274)))/7,0),""))</x:f>
      </x:c>
      <x:c r="W274" s="254">
        <x:f>$Q274-$S274</x:f>
      </x:c>
      <x:c r="X274" s="256">
        <x:f>IF(OR($J274="",$I274="",$J274=0,$I274=0,$I274&gt;$J274),"",$J274-$I274)</x:f>
      </x:c>
      <x:c r="Y274" s="257">
        <x:f>IF(OR($J274="",$J274=0,$X274=""),"",$X274/$J274)</x:f>
      </x:c>
    </x:row>
    <x:row r="275" s="106" customFormat="1" ht="21" customHeight="1">
      <x:c r="A275" s="54" t="n"/>
      <x:c r="B275" s="250" t="n"/>
      <x:c r="C275" s="250" t="n"/>
      <x:c r="D275" s="54" t="n"/>
      <x:c r="E275" s="251" t="n"/>
      <x:c r="F275" s="251" t="n"/>
      <x:c r="G275" s="251" t="n"/>
      <x:c r="H275" s="251" t="n"/>
      <x:c r="I275" s="252" t="n"/>
      <x:c r="J275" s="253" t="n"/>
      <x:c r="K275" s="254" t="n"/>
      <x:c r="L275" s="50" t="n"/>
      <x:c r="M275" s="251" t="n"/>
      <x:c r="N275" s="251">
        <x:f>IF($A275="","",IF($G275="","",IF(ISNUMBER(SEARCH("non",LOWER($E275&amp;""))),$G275*0.85,$G275)))</x:f>
      </x:c>
      <x:c r="O275" s="251">
        <x:f>IF($A275="","",IF(OR($N275="",$I275="",$I275=0),"",$N275/$I275))</x:f>
      </x:c>
      <x:c r="P275" s="251">
        <x:f>IF($A275="","",IF(LOWER($L275&amp;"")="yes",0,IF($K275&lt;&gt;"",$K275,IF($O275&lt;&gt;"",$O275,""))))</x:f>
      </x:c>
      <x:c r="Q275" s="254">
        <x:f>IF($A275="","",IF($U275="Profit",$P275-$H275,0))</x:f>
      </x:c>
      <x:c r="R275" s="251">
        <x:f>IF($A275="","",IF($U275="Draw",$H275,0))</x:f>
      </x:c>
      <x:c r="S275" s="251">
        <x:f>IF($A275="","",IF($U275="Disqualified",$H275,0))</x:f>
      </x:c>
      <x:c r="T275" s="255">
        <x:f>IF($A275="","",IF($H275=0,IF($U275="Profit","N/A",0),IF($U275="Profit",$Q275/$H275,IF($U275="Disqualified",-1,0))))</x:f>
      </x:c>
      <x:c r="U275" s="254">
        <x:f>IF($A275="","",IF(LOWER($L275&amp;"")="yes","Disqualified",IF($P275&gt;$H275,"Profit","Draw")))</x:f>
      </x:c>
      <x:c r="V275" s="253">
        <x:f>IF(OR($B275="",$C275=""),"",IFERROR(ROUNDUP((IF(ISNUMBER($C275),$C275,DATEVALUE($C275))-IF(ISNUMBER($B275),$B275,DATEVALUE($B275)))/7,0),""))</x:f>
      </x:c>
      <x:c r="W275" s="254">
        <x:f>$Q275-$S275</x:f>
      </x:c>
      <x:c r="X275" s="256">
        <x:f>IF(OR($J275="",$I275="",$J275=0,$I275=0,$I275&gt;$J275),"",$J275-$I275)</x:f>
      </x:c>
      <x:c r="Y275" s="257">
        <x:f>IF(OR($J275="",$J275=0,$X275=""),"",$X275/$J275)</x:f>
      </x:c>
    </x:row>
    <x:row r="276" s="106" customFormat="1" ht="21" customHeight="1">
      <x:c r="A276" s="54" t="n"/>
      <x:c r="B276" s="250" t="n"/>
      <x:c r="C276" s="250" t="n"/>
      <x:c r="D276" s="54" t="n"/>
      <x:c r="E276" s="251" t="n"/>
      <x:c r="F276" s="251" t="n"/>
      <x:c r="G276" s="251" t="n"/>
      <x:c r="H276" s="251" t="n"/>
      <x:c r="I276" s="252" t="n"/>
      <x:c r="J276" s="253" t="n"/>
      <x:c r="K276" s="254" t="n"/>
      <x:c r="L276" s="50" t="n"/>
      <x:c r="M276" s="251" t="n"/>
      <x:c r="N276" s="251">
        <x:f>IF($A276="","",IF($G276="","",IF(ISNUMBER(SEARCH("non",LOWER($E276&amp;""))),$G276*0.85,$G276)))</x:f>
      </x:c>
      <x:c r="O276" s="251">
        <x:f>IF($A276="","",IF(OR($N276="",$I276="",$I276=0),"",$N276/$I276))</x:f>
      </x:c>
      <x:c r="P276" s="251">
        <x:f>IF($A276="","",IF(LOWER($L276&amp;"")="yes",0,IF($K276&lt;&gt;"",$K276,IF($O276&lt;&gt;"",$O276,""))))</x:f>
      </x:c>
      <x:c r="Q276" s="254">
        <x:f>IF($A276="","",IF($U276="Profit",$P276-$H276,0))</x:f>
      </x:c>
      <x:c r="R276" s="251">
        <x:f>IF($A276="","",IF($U276="Draw",$H276,0))</x:f>
      </x:c>
      <x:c r="S276" s="251">
        <x:f>IF($A276="","",IF($U276="Disqualified",$H276,0))</x:f>
      </x:c>
      <x:c r="T276" s="255">
        <x:f>IF($A276="","",IF($H276=0,IF($U276="Profit","N/A",0),IF($U276="Profit",$Q276/$H276,IF($U276="Disqualified",-1,0))))</x:f>
      </x:c>
      <x:c r="U276" s="254">
        <x:f>IF($A276="","",IF(LOWER($L276&amp;"")="yes","Disqualified",IF($P276&gt;$H276,"Profit","Draw")))</x:f>
      </x:c>
      <x:c r="V276" s="253">
        <x:f>IF(OR($B276="",$C276=""),"",IFERROR(ROUNDUP((IF(ISNUMBER($C276),$C276,DATEVALUE($C276))-IF(ISNUMBER($B276),$B276,DATEVALUE($B276)))/7,0),""))</x:f>
      </x:c>
      <x:c r="W276" s="254">
        <x:f>$Q276-$S276</x:f>
      </x:c>
      <x:c r="X276" s="256">
        <x:f>IF(OR($J276="",$I276="",$J276=0,$I276=0,$I276&gt;$J276),"",$J276-$I276)</x:f>
      </x:c>
      <x:c r="Y276" s="257">
        <x:f>IF(OR($J276="",$J276=0,$X276=""),"",$X276/$J276)</x:f>
      </x:c>
    </x:row>
    <x:row r="277" s="106" customFormat="1" ht="21" customHeight="1">
      <x:c r="A277" s="54" t="n"/>
      <x:c r="B277" s="250" t="n"/>
      <x:c r="C277" s="250" t="n"/>
      <x:c r="D277" s="54" t="n"/>
      <x:c r="E277" s="251" t="n"/>
      <x:c r="F277" s="251" t="n"/>
      <x:c r="G277" s="251" t="n"/>
      <x:c r="H277" s="251" t="n"/>
      <x:c r="I277" s="252" t="n"/>
      <x:c r="J277" s="253" t="n"/>
      <x:c r="K277" s="254" t="n"/>
      <x:c r="L277" s="50" t="n"/>
      <x:c r="M277" s="251" t="n"/>
      <x:c r="N277" s="251">
        <x:f>IF($A277="","",IF($G277="","",IF(ISNUMBER(SEARCH("non",LOWER($E277&amp;""))),$G277*0.85,$G277)))</x:f>
      </x:c>
      <x:c r="O277" s="251">
        <x:f>IF($A277="","",IF(OR($N277="",$I277="",$I277=0),"",$N277/$I277))</x:f>
      </x:c>
      <x:c r="P277" s="251">
        <x:f>IF($A277="","",IF(LOWER($L277&amp;"")="yes",0,IF($K277&lt;&gt;"",$K277,IF($O277&lt;&gt;"",$O277,""))))</x:f>
      </x:c>
      <x:c r="Q277" s="254">
        <x:f>IF($A277="","",IF($U277="Profit",$P277-$H277,0))</x:f>
      </x:c>
      <x:c r="R277" s="251">
        <x:f>IF($A277="","",IF($U277="Draw",$H277,0))</x:f>
      </x:c>
      <x:c r="S277" s="251">
        <x:f>IF($A277="","",IF($U277="Disqualified",$H277,0))</x:f>
      </x:c>
      <x:c r="T277" s="255">
        <x:f>IF($A277="","",IF($H277=0,IF($U277="Profit","N/A",0),IF($U277="Profit",$Q277/$H277,IF($U277="Disqualified",-1,0))))</x:f>
      </x:c>
      <x:c r="U277" s="254">
        <x:f>IF($A277="","",IF(LOWER($L277&amp;"")="yes","Disqualified",IF($P277&gt;$H277,"Profit","Draw")))</x:f>
      </x:c>
      <x:c r="V277" s="253">
        <x:f>IF(OR($B277="",$C277=""),"",IFERROR(ROUNDUP((IF(ISNUMBER($C277),$C277,DATEVALUE($C277))-IF(ISNUMBER($B277),$B277,DATEVALUE($B277)))/7,0),""))</x:f>
      </x:c>
      <x:c r="W277" s="254">
        <x:f>$Q277-$S277</x:f>
      </x:c>
      <x:c r="X277" s="256">
        <x:f>IF(OR($J277="",$I277="",$J277=0,$I277=0,$I277&gt;$J277),"",$J277-$I277)</x:f>
      </x:c>
      <x:c r="Y277" s="257">
        <x:f>IF(OR($J277="",$J277=0,$X277=""),"",$X277/$J277)</x:f>
      </x:c>
    </x:row>
    <x:row r="278" s="106" customFormat="1" ht="21" customHeight="1">
      <x:c r="A278" s="54" t="n"/>
      <x:c r="B278" s="250" t="n"/>
      <x:c r="C278" s="250" t="n"/>
      <x:c r="D278" s="54" t="n"/>
      <x:c r="E278" s="251" t="n"/>
      <x:c r="F278" s="251" t="n"/>
      <x:c r="G278" s="251" t="n"/>
      <x:c r="H278" s="251" t="n"/>
      <x:c r="I278" s="252" t="n"/>
      <x:c r="J278" s="253" t="n"/>
      <x:c r="K278" s="254" t="n"/>
      <x:c r="L278" s="50" t="n"/>
      <x:c r="M278" s="251" t="n"/>
      <x:c r="N278" s="251">
        <x:f>IF($A278="","",IF($G278="","",IF(ISNUMBER(SEARCH("non",LOWER($E278&amp;""))),$G278*0.85,$G278)))</x:f>
      </x:c>
      <x:c r="O278" s="251">
        <x:f>IF($A278="","",IF(OR($N278="",$I278="",$I278=0),"",$N278/$I278))</x:f>
      </x:c>
      <x:c r="P278" s="251">
        <x:f>IF($A278="","",IF(LOWER($L278&amp;"")="yes",0,IF($K278&lt;&gt;"",$K278,IF($O278&lt;&gt;"",$O278,""))))</x:f>
      </x:c>
      <x:c r="Q278" s="254">
        <x:f>IF($A278="","",IF($U278="Profit",$P278-$H278,0))</x:f>
      </x:c>
      <x:c r="R278" s="251">
        <x:f>IF($A278="","",IF($U278="Draw",$H278,0))</x:f>
      </x:c>
      <x:c r="S278" s="251">
        <x:f>IF($A278="","",IF($U278="Disqualified",$H278,0))</x:f>
      </x:c>
      <x:c r="T278" s="255">
        <x:f>IF($A278="","",IF($H278=0,IF($U278="Profit","N/A",0),IF($U278="Profit",$Q278/$H278,IF($U278="Disqualified",-1,0))))</x:f>
      </x:c>
      <x:c r="U278" s="254">
        <x:f>IF($A278="","",IF(LOWER($L278&amp;"")="yes","Disqualified",IF($P278&gt;$H278,"Profit","Draw")))</x:f>
      </x:c>
      <x:c r="V278" s="253">
        <x:f>IF(OR($B278="",$C278=""),"",IFERROR(ROUNDUP((IF(ISNUMBER($C278),$C278,DATEVALUE($C278))-IF(ISNUMBER($B278),$B278,DATEVALUE($B278)))/7,0),""))</x:f>
      </x:c>
      <x:c r="W278" s="254">
        <x:f>$Q278-$S278</x:f>
      </x:c>
      <x:c r="X278" s="256">
        <x:f>IF(OR($J278="",$I278="",$J278=0,$I278=0,$I278&gt;$J278),"",$J278-$I278)</x:f>
      </x:c>
      <x:c r="Y278" s="257">
        <x:f>IF(OR($J278="",$J278=0,$X278=""),"",$X278/$J278)</x:f>
      </x:c>
    </x:row>
    <x:row r="279" s="106" customFormat="1" ht="21" customHeight="1">
      <x:c r="A279" s="54" t="n"/>
      <x:c r="B279" s="250" t="n"/>
      <x:c r="C279" s="250" t="n"/>
      <x:c r="D279" s="54" t="n"/>
      <x:c r="E279" s="251" t="n"/>
      <x:c r="F279" s="251" t="n"/>
      <x:c r="G279" s="251" t="n"/>
      <x:c r="H279" s="251" t="n"/>
      <x:c r="I279" s="252" t="n"/>
      <x:c r="J279" s="253" t="n"/>
      <x:c r="K279" s="254" t="n"/>
      <x:c r="L279" s="50" t="n"/>
      <x:c r="M279" s="251" t="n"/>
      <x:c r="N279" s="251">
        <x:f>IF($A279="","",IF($G279="","",IF(ISNUMBER(SEARCH("non",LOWER($E279&amp;""))),$G279*0.85,$G279)))</x:f>
      </x:c>
      <x:c r="O279" s="251">
        <x:f>IF($A279="","",IF(OR($N279="",$I279="",$I279=0),"",$N279/$I279))</x:f>
      </x:c>
      <x:c r="P279" s="251">
        <x:f>IF($A279="","",IF(LOWER($L279&amp;"")="yes",0,IF($K279&lt;&gt;"",$K279,IF($O279&lt;&gt;"",$O279,""))))</x:f>
      </x:c>
      <x:c r="Q279" s="254">
        <x:f>IF($A279="","",IF($U279="Profit",$P279-$H279,0))</x:f>
      </x:c>
      <x:c r="R279" s="251">
        <x:f>IF($A279="","",IF($U279="Draw",$H279,0))</x:f>
      </x:c>
      <x:c r="S279" s="251">
        <x:f>IF($A279="","",IF($U279="Disqualified",$H279,0))</x:f>
      </x:c>
      <x:c r="T279" s="255">
        <x:f>IF($A279="","",IF($H279=0,IF($U279="Profit","N/A",0),IF($U279="Profit",$Q279/$H279,IF($U279="Disqualified",-1,0))))</x:f>
      </x:c>
      <x:c r="U279" s="254">
        <x:f>IF($A279="","",IF(LOWER($L279&amp;"")="yes","Disqualified",IF($P279&gt;$H279,"Profit","Draw")))</x:f>
      </x:c>
      <x:c r="V279" s="253">
        <x:f>IF(OR($B279="",$C279=""),"",IFERROR(ROUNDUP((IF(ISNUMBER($C279),$C279,DATEVALUE($C279))-IF(ISNUMBER($B279),$B279,DATEVALUE($B279)))/7,0),""))</x:f>
      </x:c>
      <x:c r="W279" s="254">
        <x:f>$Q279-$S279</x:f>
      </x:c>
      <x:c r="X279" s="256">
        <x:f>IF(OR($J279="",$I279="",$J279=0,$I279=0,$I279&gt;$J279),"",$J279-$I279)</x:f>
      </x:c>
      <x:c r="Y279" s="257">
        <x:f>IF(OR($J279="",$J279=0,$X279=""),"",$X279/$J279)</x:f>
      </x:c>
    </x:row>
    <x:row r="280" s="106" customFormat="1" ht="21" customHeight="1">
      <x:c r="A280" s="54" t="n"/>
      <x:c r="B280" s="250" t="n"/>
      <x:c r="C280" s="250" t="n"/>
      <x:c r="D280" s="54" t="n"/>
      <x:c r="E280" s="251" t="n"/>
      <x:c r="F280" s="251" t="n"/>
      <x:c r="G280" s="251" t="n"/>
      <x:c r="H280" s="251" t="n"/>
      <x:c r="I280" s="252" t="n"/>
      <x:c r="J280" s="253" t="n"/>
      <x:c r="K280" s="254" t="n"/>
      <x:c r="L280" s="50" t="n"/>
      <x:c r="M280" s="251" t="n"/>
      <x:c r="N280" s="251">
        <x:f>IF($A280="","",IF($G280="","",IF(ISNUMBER(SEARCH("non",LOWER($E280&amp;""))),$G280*0.85,$G280)))</x:f>
      </x:c>
      <x:c r="O280" s="251">
        <x:f>IF($A280="","",IF(OR($N280="",$I280="",$I280=0),"",$N280/$I280))</x:f>
      </x:c>
      <x:c r="P280" s="251">
        <x:f>IF($A280="","",IF(LOWER($L280&amp;"")="yes",0,IF($K280&lt;&gt;"",$K280,IF($O280&lt;&gt;"",$O280,""))))</x:f>
      </x:c>
      <x:c r="Q280" s="254">
        <x:f>IF($A280="","",IF($U280="Profit",$P280-$H280,0))</x:f>
      </x:c>
      <x:c r="R280" s="251">
        <x:f>IF($A280="","",IF($U280="Draw",$H280,0))</x:f>
      </x:c>
      <x:c r="S280" s="251">
        <x:f>IF($A280="","",IF($U280="Disqualified",$H280,0))</x:f>
      </x:c>
      <x:c r="T280" s="255">
        <x:f>IF($A280="","",IF($H280=0,IF($U280="Profit","N/A",0),IF($U280="Profit",$Q280/$H280,IF($U280="Disqualified",-1,0))))</x:f>
      </x:c>
      <x:c r="U280" s="254">
        <x:f>IF($A280="","",IF(LOWER($L280&amp;"")="yes","Disqualified",IF($P280&gt;$H280,"Profit","Draw")))</x:f>
      </x:c>
      <x:c r="V280" s="253">
        <x:f>IF(OR($B280="",$C280=""),"",IFERROR(ROUNDUP((IF(ISNUMBER($C280),$C280,DATEVALUE($C280))-IF(ISNUMBER($B280),$B280,DATEVALUE($B280)))/7,0),""))</x:f>
      </x:c>
      <x:c r="W280" s="254">
        <x:f>$Q280-$S280</x:f>
      </x:c>
      <x:c r="X280" s="256">
        <x:f>IF(OR($J280="",$I280="",$J280=0,$I280=0,$I280&gt;$J280),"",$J280-$I280)</x:f>
      </x:c>
      <x:c r="Y280" s="257">
        <x:f>IF(OR($J280="",$J280=0,$X280=""),"",$X280/$J280)</x:f>
      </x:c>
    </x:row>
    <x:row r="281" s="106" customFormat="1" ht="21" customHeight="1">
      <x:c r="A281" s="54" t="n"/>
      <x:c r="B281" s="250" t="n"/>
      <x:c r="C281" s="250" t="n"/>
      <x:c r="D281" s="54" t="n"/>
      <x:c r="E281" s="251" t="n"/>
      <x:c r="F281" s="251" t="n"/>
      <x:c r="G281" s="251" t="n"/>
      <x:c r="H281" s="251" t="n"/>
      <x:c r="I281" s="252" t="n"/>
      <x:c r="J281" s="253" t="n"/>
      <x:c r="K281" s="254" t="n"/>
      <x:c r="L281" s="50" t="n"/>
      <x:c r="M281" s="251" t="n"/>
      <x:c r="N281" s="251">
        <x:f>IF($A281="","",IF($G281="","",IF(ISNUMBER(SEARCH("non",LOWER($E281&amp;""))),$G281*0.85,$G281)))</x:f>
      </x:c>
      <x:c r="O281" s="251">
        <x:f>IF($A281="","",IF(OR($N281="",$I281="",$I281=0),"",$N281/$I281))</x:f>
      </x:c>
      <x:c r="P281" s="251">
        <x:f>IF($A281="","",IF(LOWER($L281&amp;"")="yes",0,IF($K281&lt;&gt;"",$K281,IF($O281&lt;&gt;"",$O281,""))))</x:f>
      </x:c>
      <x:c r="Q281" s="254">
        <x:f>IF($A281="","",IF($U281="Profit",$P281-$H281,0))</x:f>
      </x:c>
      <x:c r="R281" s="251">
        <x:f>IF($A281="","",IF($U281="Draw",$H281,0))</x:f>
      </x:c>
      <x:c r="S281" s="251">
        <x:f>IF($A281="","",IF($U281="Disqualified",$H281,0))</x:f>
      </x:c>
      <x:c r="T281" s="255">
        <x:f>IF($A281="","",IF($H281=0,IF($U281="Profit","N/A",0),IF($U281="Profit",$Q281/$H281,IF($U281="Disqualified",-1,0))))</x:f>
      </x:c>
      <x:c r="U281" s="254">
        <x:f>IF($A281="","",IF(LOWER($L281&amp;"")="yes","Disqualified",IF($P281&gt;$H281,"Profit","Draw")))</x:f>
      </x:c>
      <x:c r="V281" s="253">
        <x:f>IF(OR($B281="",$C281=""),"",IFERROR(ROUNDUP((IF(ISNUMBER($C281),$C281,DATEVALUE($C281))-IF(ISNUMBER($B281),$B281,DATEVALUE($B281)))/7,0),""))</x:f>
      </x:c>
      <x:c r="W281" s="254">
        <x:f>$Q281-$S281</x:f>
      </x:c>
      <x:c r="X281" s="256">
        <x:f>IF(OR($J281="",$I281="",$J281=0,$I281=0,$I281&gt;$J281),"",$J281-$I281)</x:f>
      </x:c>
      <x:c r="Y281" s="257">
        <x:f>IF(OR($J281="",$J281=0,$X281=""),"",$X281/$J281)</x:f>
      </x:c>
    </x:row>
    <x:row r="282" s="106" customFormat="1" ht="21" customHeight="1">
      <x:c r="A282" s="54" t="n"/>
      <x:c r="B282" s="250" t="n"/>
      <x:c r="C282" s="250" t="n"/>
      <x:c r="D282" s="54" t="n"/>
      <x:c r="E282" s="251" t="n"/>
      <x:c r="F282" s="251" t="n"/>
      <x:c r="G282" s="251" t="n"/>
      <x:c r="H282" s="251" t="n"/>
      <x:c r="I282" s="252" t="n"/>
      <x:c r="J282" s="253" t="n"/>
      <x:c r="K282" s="254" t="n"/>
      <x:c r="L282" s="50" t="n"/>
      <x:c r="M282" s="251" t="n"/>
      <x:c r="N282" s="251">
        <x:f>IF($A282="","",IF($G282="","",IF(ISNUMBER(SEARCH("non",LOWER($E282&amp;""))),$G282*0.85,$G282)))</x:f>
      </x:c>
      <x:c r="O282" s="251">
        <x:f>IF($A282="","",IF(OR($N282="",$I282="",$I282=0),"",$N282/$I282))</x:f>
      </x:c>
      <x:c r="P282" s="251">
        <x:f>IF($A282="","",IF(LOWER($L282&amp;"")="yes",0,IF($K282&lt;&gt;"",$K282,IF($O282&lt;&gt;"",$O282,""))))</x:f>
      </x:c>
      <x:c r="Q282" s="254">
        <x:f>IF($A282="","",IF($U282="Profit",$P282-$H282,0))</x:f>
      </x:c>
      <x:c r="R282" s="251">
        <x:f>IF($A282="","",IF($U282="Draw",$H282,0))</x:f>
      </x:c>
      <x:c r="S282" s="251">
        <x:f>IF($A282="","",IF($U282="Disqualified",$H282,0))</x:f>
      </x:c>
      <x:c r="T282" s="255">
        <x:f>IF($A282="","",IF($H282=0,IF($U282="Profit","N/A",0),IF($U282="Profit",$Q282/$H282,IF($U282="Disqualified",-1,0))))</x:f>
      </x:c>
      <x:c r="U282" s="254">
        <x:f>IF($A282="","",IF(LOWER($L282&amp;"")="yes","Disqualified",IF($P282&gt;$H282,"Profit","Draw")))</x:f>
      </x:c>
      <x:c r="V282" s="253">
        <x:f>IF(OR($B282="",$C282=""),"",IFERROR(ROUNDUP((IF(ISNUMBER($C282),$C282,DATEVALUE($C282))-IF(ISNUMBER($B282),$B282,DATEVALUE($B282)))/7,0),""))</x:f>
      </x:c>
      <x:c r="W282" s="254">
        <x:f>$Q282-$S282</x:f>
      </x:c>
      <x:c r="X282" s="256">
        <x:f>IF(OR($J282="",$I282="",$J282=0,$I282=0,$I282&gt;$J282),"",$J282-$I282)</x:f>
      </x:c>
      <x:c r="Y282" s="257">
        <x:f>IF(OR($J282="",$J282=0,$X282=""),"",$X282/$J282)</x:f>
      </x:c>
    </x:row>
    <x:row r="283" s="106" customFormat="1" ht="21" customHeight="1">
      <x:c r="A283" s="54" t="n"/>
      <x:c r="B283" s="250" t="n"/>
      <x:c r="C283" s="250" t="n"/>
      <x:c r="D283" s="54" t="n"/>
      <x:c r="E283" s="251" t="n"/>
      <x:c r="F283" s="251" t="n"/>
      <x:c r="G283" s="251" t="n"/>
      <x:c r="H283" s="251" t="n"/>
      <x:c r="I283" s="252" t="n"/>
      <x:c r="J283" s="253" t="n"/>
      <x:c r="K283" s="254" t="n"/>
      <x:c r="L283" s="50" t="n"/>
      <x:c r="M283" s="251" t="n"/>
      <x:c r="N283" s="251">
        <x:f>IF($A283="","",IF($G283="","",IF(ISNUMBER(SEARCH("non",LOWER($E283&amp;""))),$G283*0.85,$G283)))</x:f>
      </x:c>
      <x:c r="O283" s="251">
        <x:f>IF($A283="","",IF(OR($N283="",$I283="",$I283=0),"",$N283/$I283))</x:f>
      </x:c>
      <x:c r="P283" s="251">
        <x:f>IF($A283="","",IF(LOWER($L283&amp;"")="yes",0,IF($K283&lt;&gt;"",$K283,IF($O283&lt;&gt;"",$O283,""))))</x:f>
      </x:c>
      <x:c r="Q283" s="254">
        <x:f>IF($A283="","",IF($U283="Profit",$P283-$H283,0))</x:f>
      </x:c>
      <x:c r="R283" s="251">
        <x:f>IF($A283="","",IF($U283="Draw",$H283,0))</x:f>
      </x:c>
      <x:c r="S283" s="251">
        <x:f>IF($A283="","",IF($U283="Disqualified",$H283,0))</x:f>
      </x:c>
      <x:c r="T283" s="255">
        <x:f>IF($A283="","",IF($H283=0,IF($U283="Profit","N/A",0),IF($U283="Profit",$Q283/$H283,IF($U283="Disqualified",-1,0))))</x:f>
      </x:c>
      <x:c r="U283" s="254">
        <x:f>IF($A283="","",IF(LOWER($L283&amp;"")="yes","Disqualified",IF($P283&gt;$H283,"Profit","Draw")))</x:f>
      </x:c>
      <x:c r="V283" s="253">
        <x:f>IF(OR($B283="",$C283=""),"",IFERROR(ROUNDUP((IF(ISNUMBER($C283),$C283,DATEVALUE($C283))-IF(ISNUMBER($B283),$B283,DATEVALUE($B283)))/7,0),""))</x:f>
      </x:c>
      <x:c r="W283" s="254">
        <x:f>$Q283-$S283</x:f>
      </x:c>
      <x:c r="X283" s="256">
        <x:f>IF(OR($J283="",$I283="",$J283=0,$I283=0,$I283&gt;$J283),"",$J283-$I283)</x:f>
      </x:c>
      <x:c r="Y283" s="257">
        <x:f>IF(OR($J283="",$J283=0,$X283=""),"",$X283/$J283)</x:f>
      </x:c>
    </x:row>
    <x:row r="284" s="106" customFormat="1" ht="21" customHeight="1">
      <x:c r="A284" s="54" t="n"/>
      <x:c r="B284" s="250" t="n"/>
      <x:c r="C284" s="250" t="n"/>
      <x:c r="D284" s="54" t="n"/>
      <x:c r="E284" s="251" t="n"/>
      <x:c r="F284" s="251" t="n"/>
      <x:c r="G284" s="251" t="n"/>
      <x:c r="H284" s="251" t="n"/>
      <x:c r="I284" s="252" t="n"/>
      <x:c r="J284" s="253" t="n"/>
      <x:c r="K284" s="254" t="n"/>
      <x:c r="L284" s="50" t="n"/>
      <x:c r="M284" s="251" t="n"/>
      <x:c r="N284" s="251">
        <x:f>IF($A284="","",IF($G284="","",IF(ISNUMBER(SEARCH("non",LOWER($E284&amp;""))),$G284*0.85,$G284)))</x:f>
      </x:c>
      <x:c r="O284" s="251">
        <x:f>IF($A284="","",IF(OR($N284="",$I284="",$I284=0),"",$N284/$I284))</x:f>
      </x:c>
      <x:c r="P284" s="251">
        <x:f>IF($A284="","",IF(LOWER($L284&amp;"")="yes",0,IF($K284&lt;&gt;"",$K284,IF($O284&lt;&gt;"",$O284,""))))</x:f>
      </x:c>
      <x:c r="Q284" s="254">
        <x:f>IF($A284="","",IF($U284="Profit",$P284-$H284,0))</x:f>
      </x:c>
      <x:c r="R284" s="251">
        <x:f>IF($A284="","",IF($U284="Draw",$H284,0))</x:f>
      </x:c>
      <x:c r="S284" s="251">
        <x:f>IF($A284="","",IF($U284="Disqualified",$H284,0))</x:f>
      </x:c>
      <x:c r="T284" s="255">
        <x:f>IF($A284="","",IF($H284=0,IF($U284="Profit","N/A",0),IF($U284="Profit",$Q284/$H284,IF($U284="Disqualified",-1,0))))</x:f>
      </x:c>
      <x:c r="U284" s="254">
        <x:f>IF($A284="","",IF(LOWER($L284&amp;"")="yes","Disqualified",IF($P284&gt;$H284,"Profit","Draw")))</x:f>
      </x:c>
      <x:c r="V284" s="253">
        <x:f>IF(OR($B284="",$C284=""),"",IFERROR(ROUNDUP((IF(ISNUMBER($C284),$C284,DATEVALUE($C284))-IF(ISNUMBER($B284),$B284,DATEVALUE($B284)))/7,0),""))</x:f>
      </x:c>
      <x:c r="W284" s="254">
        <x:f>$Q284-$S284</x:f>
      </x:c>
      <x:c r="X284" s="256">
        <x:f>IF(OR($J284="",$I284="",$J284=0,$I284=0,$I284&gt;$J284),"",$J284-$I284)</x:f>
      </x:c>
      <x:c r="Y284" s="257">
        <x:f>IF(OR($J284="",$J284=0,$X284=""),"",$X284/$J284)</x:f>
      </x:c>
    </x:row>
    <x:row r="285" s="106" customFormat="1" ht="21" customHeight="1">
      <x:c r="A285" s="54" t="n"/>
      <x:c r="B285" s="250" t="n"/>
      <x:c r="C285" s="250" t="n"/>
      <x:c r="D285" s="54" t="n"/>
      <x:c r="E285" s="251" t="n"/>
      <x:c r="F285" s="251" t="n"/>
      <x:c r="G285" s="251" t="n"/>
      <x:c r="H285" s="251" t="n"/>
      <x:c r="I285" s="252" t="n"/>
      <x:c r="J285" s="253" t="n"/>
      <x:c r="K285" s="254" t="n"/>
      <x:c r="L285" s="50" t="n"/>
      <x:c r="M285" s="251" t="n"/>
      <x:c r="N285" s="251">
        <x:f>IF($A285="","",IF($G285="","",IF(ISNUMBER(SEARCH("non",LOWER($E285&amp;""))),$G285*0.85,$G285)))</x:f>
      </x:c>
      <x:c r="O285" s="251">
        <x:f>IF($A285="","",IF(OR($N285="",$I285="",$I285=0),"",$N285/$I285))</x:f>
      </x:c>
      <x:c r="P285" s="251">
        <x:f>IF($A285="","",IF(LOWER($L285&amp;"")="yes",0,IF($K285&lt;&gt;"",$K285,IF($O285&lt;&gt;"",$O285,""))))</x:f>
      </x:c>
      <x:c r="Q285" s="254">
        <x:f>IF($A285="","",IF($U285="Profit",$P285-$H285,0))</x:f>
      </x:c>
      <x:c r="R285" s="251">
        <x:f>IF($A285="","",IF($U285="Draw",$H285,0))</x:f>
      </x:c>
      <x:c r="S285" s="251">
        <x:f>IF($A285="","",IF($U285="Disqualified",$H285,0))</x:f>
      </x:c>
      <x:c r="T285" s="255">
        <x:f>IF($A285="","",IF($H285=0,IF($U285="Profit","N/A",0),IF($U285="Profit",$Q285/$H285,IF($U285="Disqualified",-1,0))))</x:f>
      </x:c>
      <x:c r="U285" s="254">
        <x:f>IF($A285="","",IF(LOWER($L285&amp;"")="yes","Disqualified",IF($P285&gt;$H285,"Profit","Draw")))</x:f>
      </x:c>
      <x:c r="V285" s="253">
        <x:f>IF(OR($B285="",$C285=""),"",IFERROR(ROUNDUP((IF(ISNUMBER($C285),$C285,DATEVALUE($C285))-IF(ISNUMBER($B285),$B285,DATEVALUE($B285)))/7,0),""))</x:f>
      </x:c>
      <x:c r="W285" s="254">
        <x:f>$Q285-$S285</x:f>
      </x:c>
      <x:c r="X285" s="256">
        <x:f>IF(OR($J285="",$I285="",$J285=0,$I285=0,$I285&gt;$J285),"",$J285-$I285)</x:f>
      </x:c>
      <x:c r="Y285" s="257">
        <x:f>IF(OR($J285="",$J285=0,$X285=""),"",$X285/$J285)</x:f>
      </x:c>
    </x:row>
    <x:row r="286" s="106" customFormat="1" ht="21" customHeight="1">
      <x:c r="A286" s="54" t="n"/>
      <x:c r="B286" s="250" t="n"/>
      <x:c r="C286" s="250" t="n"/>
      <x:c r="D286" s="54" t="n"/>
      <x:c r="E286" s="251" t="n"/>
      <x:c r="F286" s="251" t="n"/>
      <x:c r="G286" s="251" t="n"/>
      <x:c r="H286" s="251" t="n"/>
      <x:c r="I286" s="252" t="n"/>
      <x:c r="J286" s="253" t="n"/>
      <x:c r="K286" s="254" t="n"/>
      <x:c r="L286" s="50" t="n"/>
      <x:c r="M286" s="251" t="n"/>
      <x:c r="N286" s="251">
        <x:f>IF($A286="","",IF($G286="","",IF(ISNUMBER(SEARCH("non",LOWER($E286&amp;""))),$G286*0.85,$G286)))</x:f>
      </x:c>
      <x:c r="O286" s="251">
        <x:f>IF($A286="","",IF(OR($N286="",$I286="",$I286=0),"",$N286/$I286))</x:f>
      </x:c>
      <x:c r="P286" s="251">
        <x:f>IF($A286="","",IF(LOWER($L286&amp;"")="yes",0,IF($K286&lt;&gt;"",$K286,IF($O286&lt;&gt;"",$O286,""))))</x:f>
      </x:c>
      <x:c r="Q286" s="254">
        <x:f>IF($A286="","",IF($U286="Profit",$P286-$H286,0))</x:f>
      </x:c>
      <x:c r="R286" s="251">
        <x:f>IF($A286="","",IF($U286="Draw",$H286,0))</x:f>
      </x:c>
      <x:c r="S286" s="251">
        <x:f>IF($A286="","",IF($U286="Disqualified",$H286,0))</x:f>
      </x:c>
      <x:c r="T286" s="255">
        <x:f>IF($A286="","",IF($H286=0,IF($U286="Profit","N/A",0),IF($U286="Profit",$Q286/$H286,IF($U286="Disqualified",-1,0))))</x:f>
      </x:c>
      <x:c r="U286" s="254">
        <x:f>IF($A286="","",IF(LOWER($L286&amp;"")="yes","Disqualified",IF($P286&gt;$H286,"Profit","Draw")))</x:f>
      </x:c>
      <x:c r="V286" s="253">
        <x:f>IF(OR($B286="",$C286=""),"",IFERROR(ROUNDUP((IF(ISNUMBER($C286),$C286,DATEVALUE($C286))-IF(ISNUMBER($B286),$B286,DATEVALUE($B286)))/7,0),""))</x:f>
      </x:c>
      <x:c r="W286" s="254">
        <x:f>$Q286-$S286</x:f>
      </x:c>
      <x:c r="X286" s="256">
        <x:f>IF(OR($J286="",$I286="",$J286=0,$I286=0,$I286&gt;$J286),"",$J286-$I286)</x:f>
      </x:c>
      <x:c r="Y286" s="257">
        <x:f>IF(OR($J286="",$J286=0,$X286=""),"",$X286/$J286)</x:f>
      </x:c>
    </x:row>
    <x:row r="287" s="106" customFormat="1" ht="21" customHeight="1">
      <x:c r="A287" s="54" t="n"/>
      <x:c r="B287" s="250" t="n"/>
      <x:c r="C287" s="250" t="n"/>
      <x:c r="D287" s="54" t="n"/>
      <x:c r="E287" s="251" t="n"/>
      <x:c r="F287" s="251" t="n"/>
      <x:c r="G287" s="251" t="n"/>
      <x:c r="H287" s="251" t="n"/>
      <x:c r="I287" s="252" t="n"/>
      <x:c r="J287" s="253" t="n"/>
      <x:c r="K287" s="254" t="n"/>
      <x:c r="L287" s="50" t="n"/>
      <x:c r="M287" s="251" t="n"/>
      <x:c r="N287" s="251">
        <x:f>IF($A287="","",IF($G287="","",IF(ISNUMBER(SEARCH("non",LOWER($E287&amp;""))),$G287*0.85,$G287)))</x:f>
      </x:c>
      <x:c r="O287" s="251">
        <x:f>IF($A287="","",IF(OR($N287="",$I287="",$I287=0),"",$N287/$I287))</x:f>
      </x:c>
      <x:c r="P287" s="251">
        <x:f>IF($A287="","",IF(LOWER($L287&amp;"")="yes",0,IF($K287&lt;&gt;"",$K287,IF($O287&lt;&gt;"",$O287,""))))</x:f>
      </x:c>
      <x:c r="Q287" s="254">
        <x:f>IF($A287="","",IF($U287="Profit",$P287-$H287,0))</x:f>
      </x:c>
      <x:c r="R287" s="251">
        <x:f>IF($A287="","",IF($U287="Draw",$H287,0))</x:f>
      </x:c>
      <x:c r="S287" s="251">
        <x:f>IF($A287="","",IF($U287="Disqualified",$H287,0))</x:f>
      </x:c>
      <x:c r="T287" s="255">
        <x:f>IF($A287="","",IF($H287=0,IF($U287="Profit","N/A",0),IF($U287="Profit",$Q287/$H287,IF($U287="Disqualified",-1,0))))</x:f>
      </x:c>
      <x:c r="U287" s="254">
        <x:f>IF($A287="","",IF(LOWER($L287&amp;"")="yes","Disqualified",IF($P287&gt;$H287,"Profit","Draw")))</x:f>
      </x:c>
      <x:c r="V287" s="253">
        <x:f>IF(OR($B287="",$C287=""),"",IFERROR(ROUNDUP((IF(ISNUMBER($C287),$C287,DATEVALUE($C287))-IF(ISNUMBER($B287),$B287,DATEVALUE($B287)))/7,0),""))</x:f>
      </x:c>
      <x:c r="W287" s="254">
        <x:f>$Q287-$S287</x:f>
      </x:c>
      <x:c r="X287" s="256">
        <x:f>IF(OR($J287="",$I287="",$J287=0,$I287=0,$I287&gt;$J287),"",$J287-$I287)</x:f>
      </x:c>
      <x:c r="Y287" s="257">
        <x:f>IF(OR($J287="",$J287=0,$X287=""),"",$X287/$J287)</x:f>
      </x:c>
    </x:row>
    <x:row r="288" s="106" customFormat="1" ht="21" customHeight="1">
      <x:c r="A288" s="54" t="n"/>
      <x:c r="B288" s="250" t="n"/>
      <x:c r="C288" s="250" t="n"/>
      <x:c r="D288" s="54" t="n"/>
      <x:c r="E288" s="251" t="n"/>
      <x:c r="F288" s="251" t="n"/>
      <x:c r="G288" s="251" t="n"/>
      <x:c r="H288" s="251" t="n"/>
      <x:c r="I288" s="252" t="n"/>
      <x:c r="J288" s="253" t="n"/>
      <x:c r="K288" s="254" t="n"/>
      <x:c r="L288" s="50" t="n"/>
      <x:c r="M288" s="251" t="n"/>
      <x:c r="N288" s="251">
        <x:f>IF($A288="","",IF($G288="","",IF(ISNUMBER(SEARCH("non",LOWER($E288&amp;""))),$G288*0.85,$G288)))</x:f>
      </x:c>
      <x:c r="O288" s="251">
        <x:f>IF($A288="","",IF(OR($N288="",$I288="",$I288=0),"",$N288/$I288))</x:f>
      </x:c>
      <x:c r="P288" s="251">
        <x:f>IF($A288="","",IF(LOWER($L288&amp;"")="yes",0,IF($K288&lt;&gt;"",$K288,IF($O288&lt;&gt;"",$O288,""))))</x:f>
      </x:c>
      <x:c r="Q288" s="254">
        <x:f>IF($A288="","",IF($U288="Profit",$P288-$H288,0))</x:f>
      </x:c>
      <x:c r="R288" s="251">
        <x:f>IF($A288="","",IF($U288="Draw",$H288,0))</x:f>
      </x:c>
      <x:c r="S288" s="251">
        <x:f>IF($A288="","",IF($U288="Disqualified",$H288,0))</x:f>
      </x:c>
      <x:c r="T288" s="255">
        <x:f>IF($A288="","",IF($H288=0,IF($U288="Profit","N/A",0),IF($U288="Profit",$Q288/$H288,IF($U288="Disqualified",-1,0))))</x:f>
      </x:c>
      <x:c r="U288" s="254">
        <x:f>IF($A288="","",IF(LOWER($L288&amp;"")="yes","Disqualified",IF($P288&gt;$H288,"Profit","Draw")))</x:f>
      </x:c>
      <x:c r="V288" s="253">
        <x:f>IF(OR($B288="",$C288=""),"",IFERROR(ROUNDUP((IF(ISNUMBER($C288),$C288,DATEVALUE($C288))-IF(ISNUMBER($B288),$B288,DATEVALUE($B288)))/7,0),""))</x:f>
      </x:c>
      <x:c r="W288" s="254">
        <x:f>$Q288-$S288</x:f>
      </x:c>
      <x:c r="X288" s="256">
        <x:f>IF(OR($J288="",$I288="",$J288=0,$I288=0,$I288&gt;$J288),"",$J288-$I288)</x:f>
      </x:c>
      <x:c r="Y288" s="257">
        <x:f>IF(OR($J288="",$J288=0,$X288=""),"",$X288/$J288)</x:f>
      </x:c>
    </x:row>
    <x:row r="289" s="106" customFormat="1" ht="21" customHeight="1">
      <x:c r="A289" s="54" t="n"/>
      <x:c r="B289" s="250" t="n"/>
      <x:c r="C289" s="250" t="n"/>
      <x:c r="D289" s="54" t="n"/>
      <x:c r="E289" s="251" t="n"/>
      <x:c r="F289" s="251" t="n"/>
      <x:c r="G289" s="251" t="n"/>
      <x:c r="H289" s="251" t="n"/>
      <x:c r="I289" s="252" t="n"/>
      <x:c r="J289" s="253" t="n"/>
      <x:c r="K289" s="254" t="n"/>
      <x:c r="L289" s="50" t="n"/>
      <x:c r="M289" s="251" t="n"/>
      <x:c r="N289" s="251">
        <x:f>IF($A289="","",IF($G289="","",IF(ISNUMBER(SEARCH("non",LOWER($E289&amp;""))),$G289*0.85,$G289)))</x:f>
      </x:c>
      <x:c r="O289" s="251">
        <x:f>IF($A289="","",IF(OR($N289="",$I289="",$I289=0),"",$N289/$I289))</x:f>
      </x:c>
      <x:c r="P289" s="251">
        <x:f>IF($A289="","",IF(LOWER($L289&amp;"")="yes",0,IF($K289&lt;&gt;"",$K289,IF($O289&lt;&gt;"",$O289,""))))</x:f>
      </x:c>
      <x:c r="Q289" s="254">
        <x:f>IF($A289="","",IF($U289="Profit",$P289-$H289,0))</x:f>
      </x:c>
      <x:c r="R289" s="251">
        <x:f>IF($A289="","",IF($U289="Draw",$H289,0))</x:f>
      </x:c>
      <x:c r="S289" s="251">
        <x:f>IF($A289="","",IF($U289="Disqualified",$H289,0))</x:f>
      </x:c>
      <x:c r="T289" s="255">
        <x:f>IF($A289="","",IF($H289=0,IF($U289="Profit","N/A",0),IF($U289="Profit",$Q289/$H289,IF($U289="Disqualified",-1,0))))</x:f>
      </x:c>
      <x:c r="U289" s="254">
        <x:f>IF($A289="","",IF(LOWER($L289&amp;"")="yes","Disqualified",IF($P289&gt;$H289,"Profit","Draw")))</x:f>
      </x:c>
      <x:c r="V289" s="253">
        <x:f>IF(OR($B289="",$C289=""),"",IFERROR(ROUNDUP((IF(ISNUMBER($C289),$C289,DATEVALUE($C289))-IF(ISNUMBER($B289),$B289,DATEVALUE($B289)))/7,0),""))</x:f>
      </x:c>
      <x:c r="W289" s="254">
        <x:f>$Q289-$S289</x:f>
      </x:c>
      <x:c r="X289" s="256">
        <x:f>IF(OR($J289="",$I289="",$J289=0,$I289=0,$I289&gt;$J289),"",$J289-$I289)</x:f>
      </x:c>
      <x:c r="Y289" s="257">
        <x:f>IF(OR($J289="",$J289=0,$X289=""),"",$X289/$J289)</x:f>
      </x:c>
    </x:row>
    <x:row r="290" s="106" customFormat="1" ht="21" customHeight="1">
      <x:c r="A290" s="54" t="n"/>
      <x:c r="B290" s="250" t="n"/>
      <x:c r="C290" s="250" t="n"/>
      <x:c r="D290" s="54" t="n"/>
      <x:c r="E290" s="251" t="n"/>
      <x:c r="F290" s="251" t="n"/>
      <x:c r="G290" s="251" t="n"/>
      <x:c r="H290" s="251" t="n"/>
      <x:c r="I290" s="252" t="n"/>
      <x:c r="J290" s="253" t="n"/>
      <x:c r="K290" s="254" t="n"/>
      <x:c r="L290" s="50" t="n"/>
      <x:c r="M290" s="251" t="n"/>
      <x:c r="N290" s="251">
        <x:f>IF($A290="","",IF($G290="","",IF(ISNUMBER(SEARCH("non",LOWER($E290&amp;""))),$G290*0.85,$G290)))</x:f>
      </x:c>
      <x:c r="O290" s="251">
        <x:f>IF($A290="","",IF(OR($N290="",$I290="",$I290=0),"",$N290/$I290))</x:f>
      </x:c>
      <x:c r="P290" s="251">
        <x:f>IF($A290="","",IF(LOWER($L290&amp;"")="yes",0,IF($K290&lt;&gt;"",$K290,IF($O290&lt;&gt;"",$O290,""))))</x:f>
      </x:c>
      <x:c r="Q290" s="254">
        <x:f>IF($A290="","",IF($U290="Profit",$P290-$H290,0))</x:f>
      </x:c>
      <x:c r="R290" s="251">
        <x:f>IF($A290="","",IF($U290="Draw",$H290,0))</x:f>
      </x:c>
      <x:c r="S290" s="251">
        <x:f>IF($A290="","",IF($U290="Disqualified",$H290,0))</x:f>
      </x:c>
      <x:c r="T290" s="255">
        <x:f>IF($A290="","",IF($H290=0,IF($U290="Profit","N/A",0),IF($U290="Profit",$Q290/$H290,IF($U290="Disqualified",-1,0))))</x:f>
      </x:c>
      <x:c r="U290" s="254">
        <x:f>IF($A290="","",IF(LOWER($L290&amp;"")="yes","Disqualified",IF($P290&gt;$H290,"Profit","Draw")))</x:f>
      </x:c>
      <x:c r="V290" s="253">
        <x:f>IF(OR($B290="",$C290=""),"",IFERROR(ROUNDUP((IF(ISNUMBER($C290),$C290,DATEVALUE($C290))-IF(ISNUMBER($B290),$B290,DATEVALUE($B290)))/7,0),""))</x:f>
      </x:c>
      <x:c r="W290" s="254">
        <x:f>$Q290-$S290</x:f>
      </x:c>
      <x:c r="X290" s="256">
        <x:f>IF(OR($J290="",$I290="",$J290=0,$I290=0,$I290&gt;$J290),"",$J290-$I290)</x:f>
      </x:c>
      <x:c r="Y290" s="257">
        <x:f>IF(OR($J290="",$J290=0,$X290=""),"",$X290/$J290)</x:f>
      </x:c>
    </x:row>
    <x:row r="291" s="106" customFormat="1" ht="21" customHeight="1">
      <x:c r="A291" s="54" t="n"/>
      <x:c r="B291" s="250" t="n"/>
      <x:c r="C291" s="250" t="n"/>
      <x:c r="D291" s="54" t="n"/>
      <x:c r="E291" s="251" t="n"/>
      <x:c r="F291" s="251" t="n"/>
      <x:c r="G291" s="251" t="n"/>
      <x:c r="H291" s="251" t="n"/>
      <x:c r="I291" s="252" t="n"/>
      <x:c r="J291" s="253" t="n"/>
      <x:c r="K291" s="254" t="n"/>
      <x:c r="L291" s="50" t="n"/>
      <x:c r="M291" s="251" t="n"/>
      <x:c r="N291" s="251">
        <x:f>IF($A291="","",IF($G291="","",IF(ISNUMBER(SEARCH("non",LOWER($E291&amp;""))),$G291*0.85,$G291)))</x:f>
      </x:c>
      <x:c r="O291" s="251">
        <x:f>IF($A291="","",IF(OR($N291="",$I291="",$I291=0),"",$N291/$I291))</x:f>
      </x:c>
      <x:c r="P291" s="251">
        <x:f>IF($A291="","",IF(LOWER($L291&amp;"")="yes",0,IF($K291&lt;&gt;"",$K291,IF($O291&lt;&gt;"",$O291,""))))</x:f>
      </x:c>
      <x:c r="Q291" s="254">
        <x:f>IF($A291="","",IF($U291="Profit",$P291-$H291,0))</x:f>
      </x:c>
      <x:c r="R291" s="251">
        <x:f>IF($A291="","",IF($U291="Draw",$H291,0))</x:f>
      </x:c>
      <x:c r="S291" s="251">
        <x:f>IF($A291="","",IF($U291="Disqualified",$H291,0))</x:f>
      </x:c>
      <x:c r="T291" s="255">
        <x:f>IF($A291="","",IF($H291=0,IF($U291="Profit","N/A",0),IF($U291="Profit",$Q291/$H291,IF($U291="Disqualified",-1,0))))</x:f>
      </x:c>
      <x:c r="U291" s="254">
        <x:f>IF($A291="","",IF(LOWER($L291&amp;"")="yes","Disqualified",IF($P291&gt;$H291,"Profit","Draw")))</x:f>
      </x:c>
      <x:c r="V291" s="253">
        <x:f>IF(OR($B291="",$C291=""),"",IFERROR(ROUNDUP((IF(ISNUMBER($C291),$C291,DATEVALUE($C291))-IF(ISNUMBER($B291),$B291,DATEVALUE($B291)))/7,0),""))</x:f>
      </x:c>
      <x:c r="W291" s="254">
        <x:f>$Q291-$S291</x:f>
      </x:c>
      <x:c r="X291" s="256">
        <x:f>IF(OR($J291="",$I291="",$J291=0,$I291=0,$I291&gt;$J291),"",$J291-$I291)</x:f>
      </x:c>
      <x:c r="Y291" s="257">
        <x:f>IF(OR($J291="",$J291=0,$X291=""),"",$X291/$J291)</x:f>
      </x:c>
    </x:row>
    <x:row r="292" s="106" customFormat="1" ht="21" customHeight="1">
      <x:c r="A292" s="54" t="n"/>
      <x:c r="B292" s="250" t="n"/>
      <x:c r="C292" s="250" t="n"/>
      <x:c r="D292" s="54" t="n"/>
      <x:c r="E292" s="251" t="n"/>
      <x:c r="F292" s="251" t="n"/>
      <x:c r="G292" s="251" t="n"/>
      <x:c r="H292" s="251" t="n"/>
      <x:c r="I292" s="252" t="n"/>
      <x:c r="J292" s="253" t="n"/>
      <x:c r="K292" s="254" t="n"/>
      <x:c r="L292" s="50" t="n"/>
      <x:c r="M292" s="251" t="n"/>
      <x:c r="N292" s="251">
        <x:f>IF($A292="","",IF($G292="","",IF(ISNUMBER(SEARCH("non",LOWER($E292&amp;""))),$G292*0.85,$G292)))</x:f>
      </x:c>
      <x:c r="O292" s="251">
        <x:f>IF($A292="","",IF(OR($N292="",$I292="",$I292=0),"",$N292/$I292))</x:f>
      </x:c>
      <x:c r="P292" s="251">
        <x:f>IF($A292="","",IF(LOWER($L292&amp;"")="yes",0,IF($K292&lt;&gt;"",$K292,IF($O292&lt;&gt;"",$O292,""))))</x:f>
      </x:c>
      <x:c r="Q292" s="254">
        <x:f>IF($A292="","",IF($U292="Profit",$P292-$H292,0))</x:f>
      </x:c>
      <x:c r="R292" s="251">
        <x:f>IF($A292="","",IF($U292="Draw",$H292,0))</x:f>
      </x:c>
      <x:c r="S292" s="251">
        <x:f>IF($A292="","",IF($U292="Disqualified",$H292,0))</x:f>
      </x:c>
      <x:c r="T292" s="255">
        <x:f>IF($A292="","",IF($H292=0,IF($U292="Profit","N/A",0),IF($U292="Profit",$Q292/$H292,IF($U292="Disqualified",-1,0))))</x:f>
      </x:c>
      <x:c r="U292" s="254">
        <x:f>IF($A292="","",IF(LOWER($L292&amp;"")="yes","Disqualified",IF($P292&gt;$H292,"Profit","Draw")))</x:f>
      </x:c>
      <x:c r="V292" s="253">
        <x:f>IF(OR($B292="",$C292=""),"",IFERROR(ROUNDUP((IF(ISNUMBER($C292),$C292,DATEVALUE($C292))-IF(ISNUMBER($B292),$B292,DATEVALUE($B292)))/7,0),""))</x:f>
      </x:c>
      <x:c r="W292" s="254">
        <x:f>$Q292-$S292</x:f>
      </x:c>
      <x:c r="X292" s="256">
        <x:f>IF(OR($J292="",$I292="",$J292=0,$I292=0,$I292&gt;$J292),"",$J292-$I292)</x:f>
      </x:c>
      <x:c r="Y292" s="257">
        <x:f>IF(OR($J292="",$J292=0,$X292=""),"",$X292/$J292)</x:f>
      </x:c>
    </x:row>
    <x:row r="293" s="106" customFormat="1" ht="21" customHeight="1">
      <x:c r="A293" s="54" t="n"/>
      <x:c r="B293" s="250" t="n"/>
      <x:c r="C293" s="250" t="n"/>
      <x:c r="D293" s="54" t="n"/>
      <x:c r="E293" s="251" t="n"/>
      <x:c r="F293" s="251" t="n"/>
      <x:c r="G293" s="251" t="n"/>
      <x:c r="H293" s="251" t="n"/>
      <x:c r="I293" s="252" t="n"/>
      <x:c r="J293" s="253" t="n"/>
      <x:c r="K293" s="254" t="n"/>
      <x:c r="L293" s="50" t="n"/>
      <x:c r="M293" s="251" t="n"/>
      <x:c r="N293" s="251">
        <x:f>IF($A293="","",IF($G293="","",IF(ISNUMBER(SEARCH("non",LOWER($E293&amp;""))),$G293*0.85,$G293)))</x:f>
      </x:c>
      <x:c r="O293" s="251">
        <x:f>IF($A293="","",IF(OR($N293="",$I293="",$I293=0),"",$N293/$I293))</x:f>
      </x:c>
      <x:c r="P293" s="251">
        <x:f>IF($A293="","",IF(LOWER($L293&amp;"")="yes",0,IF($K293&lt;&gt;"",$K293,IF($O293&lt;&gt;"",$O293,""))))</x:f>
      </x:c>
      <x:c r="Q293" s="254">
        <x:f>IF($A293="","",IF($U293="Profit",$P293-$H293,0))</x:f>
      </x:c>
      <x:c r="R293" s="251">
        <x:f>IF($A293="","",IF($U293="Draw",$H293,0))</x:f>
      </x:c>
      <x:c r="S293" s="251">
        <x:f>IF($A293="","",IF($U293="Disqualified",$H293,0))</x:f>
      </x:c>
      <x:c r="T293" s="255">
        <x:f>IF($A293="","",IF($H293=0,IF($U293="Profit","N/A",0),IF($U293="Profit",$Q293/$H293,IF($U293="Disqualified",-1,0))))</x:f>
      </x:c>
      <x:c r="U293" s="254">
        <x:f>IF($A293="","",IF(LOWER($L293&amp;"")="yes","Disqualified",IF($P293&gt;$H293,"Profit","Draw")))</x:f>
      </x:c>
      <x:c r="V293" s="253">
        <x:f>IF(OR($B293="",$C293=""),"",IFERROR(ROUNDUP((IF(ISNUMBER($C293),$C293,DATEVALUE($C293))-IF(ISNUMBER($B293),$B293,DATEVALUE($B293)))/7,0),""))</x:f>
      </x:c>
      <x:c r="W293" s="254">
        <x:f>$Q293-$S293</x:f>
      </x:c>
      <x:c r="X293" s="256">
        <x:f>IF(OR($J293="",$I293="",$J293=0,$I293=0,$I293&gt;$J293),"",$J293-$I293)</x:f>
      </x:c>
      <x:c r="Y293" s="257">
        <x:f>IF(OR($J293="",$J293=0,$X293=""),"",$X293/$J293)</x:f>
      </x:c>
    </x:row>
    <x:row r="294" s="106" customFormat="1" ht="21" customHeight="1">
      <x:c r="A294" s="54" t="n"/>
      <x:c r="B294" s="250" t="n"/>
      <x:c r="C294" s="250" t="n"/>
      <x:c r="D294" s="54" t="n"/>
      <x:c r="E294" s="251" t="n"/>
      <x:c r="F294" s="251" t="n"/>
      <x:c r="G294" s="251" t="n"/>
      <x:c r="H294" s="251" t="n"/>
      <x:c r="I294" s="252" t="n"/>
      <x:c r="J294" s="253" t="n"/>
      <x:c r="K294" s="254" t="n"/>
      <x:c r="L294" s="50" t="n"/>
      <x:c r="M294" s="251" t="n"/>
      <x:c r="N294" s="251">
        <x:f>IF($A294="","",IF($G294="","",IF(ISNUMBER(SEARCH("non",LOWER($E294&amp;""))),$G294*0.85,$G294)))</x:f>
      </x:c>
      <x:c r="O294" s="251">
        <x:f>IF($A294="","",IF(OR($N294="",$I294="",$I294=0),"",$N294/$I294))</x:f>
      </x:c>
      <x:c r="P294" s="251">
        <x:f>IF($A294="","",IF(LOWER($L294&amp;"")="yes",0,IF($K294&lt;&gt;"",$K294,IF($O294&lt;&gt;"",$O294,""))))</x:f>
      </x:c>
      <x:c r="Q294" s="254">
        <x:f>IF($A294="","",IF($U294="Profit",$P294-$H294,0))</x:f>
      </x:c>
      <x:c r="R294" s="251">
        <x:f>IF($A294="","",IF($U294="Draw",$H294,0))</x:f>
      </x:c>
      <x:c r="S294" s="251">
        <x:f>IF($A294="","",IF($U294="Disqualified",$H294,0))</x:f>
      </x:c>
      <x:c r="T294" s="255">
        <x:f>IF($A294="","",IF($H294=0,IF($U294="Profit","N/A",0),IF($U294="Profit",$Q294/$H294,IF($U294="Disqualified",-1,0))))</x:f>
      </x:c>
      <x:c r="U294" s="254">
        <x:f>IF($A294="","",IF(LOWER($L294&amp;"")="yes","Disqualified",IF($P294&gt;$H294,"Profit","Draw")))</x:f>
      </x:c>
      <x:c r="V294" s="253">
        <x:f>IF(OR($B294="",$C294=""),"",IFERROR(ROUNDUP((IF(ISNUMBER($C294),$C294,DATEVALUE($C294))-IF(ISNUMBER($B294),$B294,DATEVALUE($B294)))/7,0),""))</x:f>
      </x:c>
      <x:c r="W294" s="254">
        <x:f>$Q294-$S294</x:f>
      </x:c>
      <x:c r="X294" s="256">
        <x:f>IF(OR($J294="",$I294="",$J294=0,$I294=0,$I294&gt;$J294),"",$J294-$I294)</x:f>
      </x:c>
      <x:c r="Y294" s="257">
        <x:f>IF(OR($J294="",$J294=0,$X294=""),"",$X294/$J294)</x:f>
      </x:c>
    </x:row>
    <x:row r="295" s="106" customFormat="1" ht="21" customHeight="1">
      <x:c r="A295" s="54" t="n"/>
      <x:c r="B295" s="250" t="n"/>
      <x:c r="C295" s="250" t="n"/>
      <x:c r="D295" s="54" t="n"/>
      <x:c r="E295" s="251" t="n"/>
      <x:c r="F295" s="251" t="n"/>
      <x:c r="G295" s="251" t="n"/>
      <x:c r="H295" s="251" t="n"/>
      <x:c r="I295" s="252" t="n"/>
      <x:c r="J295" s="253" t="n"/>
      <x:c r="K295" s="254" t="n"/>
      <x:c r="L295" s="50" t="n"/>
      <x:c r="M295" s="251" t="n"/>
      <x:c r="N295" s="251">
        <x:f>IF($A295="","",IF($G295="","",IF(ISNUMBER(SEARCH("non",LOWER($E295&amp;""))),$G295*0.85,$G295)))</x:f>
      </x:c>
      <x:c r="O295" s="251">
        <x:f>IF($A295="","",IF(OR($N295="",$I295="",$I295=0),"",$N295/$I295))</x:f>
      </x:c>
      <x:c r="P295" s="251">
        <x:f>IF($A295="","",IF(LOWER($L295&amp;"")="yes",0,IF($K295&lt;&gt;"",$K295,IF($O295&lt;&gt;"",$O295,""))))</x:f>
      </x:c>
      <x:c r="Q295" s="254">
        <x:f>IF($A295="","",IF($U295="Profit",$P295-$H295,0))</x:f>
      </x:c>
      <x:c r="R295" s="251">
        <x:f>IF($A295="","",IF($U295="Draw",$H295,0))</x:f>
      </x:c>
      <x:c r="S295" s="251">
        <x:f>IF($A295="","",IF($U295="Disqualified",$H295,0))</x:f>
      </x:c>
      <x:c r="T295" s="255">
        <x:f>IF($A295="","",IF($H295=0,IF($U295="Profit","N/A",0),IF($U295="Profit",$Q295/$H295,IF($U295="Disqualified",-1,0))))</x:f>
      </x:c>
      <x:c r="U295" s="254">
        <x:f>IF($A295="","",IF(LOWER($L295&amp;"")="yes","Disqualified",IF($P295&gt;$H295,"Profit","Draw")))</x:f>
      </x:c>
      <x:c r="V295" s="253">
        <x:f>IF(OR($B295="",$C295=""),"",IFERROR(ROUNDUP((IF(ISNUMBER($C295),$C295,DATEVALUE($C295))-IF(ISNUMBER($B295),$B295,DATEVALUE($B295)))/7,0),""))</x:f>
      </x:c>
      <x:c r="W295" s="254">
        <x:f>$Q295-$S295</x:f>
      </x:c>
      <x:c r="X295" s="256">
        <x:f>IF(OR($J295="",$I295="",$J295=0,$I295=0,$I295&gt;$J295),"",$J295-$I295)</x:f>
      </x:c>
      <x:c r="Y295" s="257">
        <x:f>IF(OR($J295="",$J295=0,$X295=""),"",$X295/$J295)</x:f>
      </x:c>
    </x:row>
    <x:row r="296" s="106" customFormat="1" ht="21" customHeight="1">
      <x:c r="A296" s="54" t="n"/>
      <x:c r="B296" s="250" t="n"/>
      <x:c r="C296" s="250" t="n"/>
      <x:c r="D296" s="54" t="n"/>
      <x:c r="E296" s="251" t="n"/>
      <x:c r="F296" s="251" t="n"/>
      <x:c r="G296" s="251" t="n"/>
      <x:c r="H296" s="251" t="n"/>
      <x:c r="I296" s="252" t="n"/>
      <x:c r="J296" s="253" t="n"/>
      <x:c r="K296" s="254" t="n"/>
      <x:c r="L296" s="50" t="n"/>
      <x:c r="M296" s="251" t="n"/>
      <x:c r="N296" s="251">
        <x:f>IF($A296="","",IF($G296="","",IF(ISNUMBER(SEARCH("non",LOWER($E296&amp;""))),$G296*0.85,$G296)))</x:f>
      </x:c>
      <x:c r="O296" s="251">
        <x:f>IF($A296="","",IF(OR($N296="",$I296="",$I296=0),"",$N296/$I296))</x:f>
      </x:c>
      <x:c r="P296" s="251">
        <x:f>IF($A296="","",IF(LOWER($L296&amp;"")="yes",0,IF($K296&lt;&gt;"",$K296,IF($O296&lt;&gt;"",$O296,""))))</x:f>
      </x:c>
      <x:c r="Q296" s="254">
        <x:f>IF($A296="","",IF($U296="Profit",$P296-$H296,0))</x:f>
      </x:c>
      <x:c r="R296" s="251">
        <x:f>IF($A296="","",IF($U296="Draw",$H296,0))</x:f>
      </x:c>
      <x:c r="S296" s="251">
        <x:f>IF($A296="","",IF($U296="Disqualified",$H296,0))</x:f>
      </x:c>
      <x:c r="T296" s="255">
        <x:f>IF($A296="","",IF($H296=0,IF($U296="Profit","N/A",0),IF($U296="Profit",$Q296/$H296,IF($U296="Disqualified",-1,0))))</x:f>
      </x:c>
      <x:c r="U296" s="254">
        <x:f>IF($A296="","",IF(LOWER($L296&amp;"")="yes","Disqualified",IF($P296&gt;$H296,"Profit","Draw")))</x:f>
      </x:c>
      <x:c r="V296" s="253">
        <x:f>IF(OR($B296="",$C296=""),"",IFERROR(ROUNDUP((IF(ISNUMBER($C296),$C296,DATEVALUE($C296))-IF(ISNUMBER($B296),$B296,DATEVALUE($B296)))/7,0),""))</x:f>
      </x:c>
      <x:c r="W296" s="254">
        <x:f>$Q296-$S296</x:f>
      </x:c>
      <x:c r="X296" s="256">
        <x:f>IF(OR($J296="",$I296="",$J296=0,$I296=0,$I296&gt;$J296),"",$J296-$I296)</x:f>
      </x:c>
      <x:c r="Y296" s="257">
        <x:f>IF(OR($J296="",$J296=0,$X296=""),"",$X296/$J296)</x:f>
      </x:c>
    </x:row>
    <x:row r="297" s="106" customFormat="1" ht="21" customHeight="1">
      <x:c r="A297" s="54" t="n"/>
      <x:c r="B297" s="250" t="n"/>
      <x:c r="C297" s="250" t="n"/>
      <x:c r="D297" s="54" t="n"/>
      <x:c r="E297" s="251" t="n"/>
      <x:c r="F297" s="251" t="n"/>
      <x:c r="G297" s="251" t="n"/>
      <x:c r="H297" s="251" t="n"/>
      <x:c r="I297" s="252" t="n"/>
      <x:c r="J297" s="253" t="n"/>
      <x:c r="K297" s="254" t="n"/>
      <x:c r="L297" s="50" t="n"/>
      <x:c r="M297" s="251" t="n"/>
      <x:c r="N297" s="251">
        <x:f>IF($A297="","",IF($G297="","",IF(ISNUMBER(SEARCH("non",LOWER($E297&amp;""))),$G297*0.85,$G297)))</x:f>
      </x:c>
      <x:c r="O297" s="251">
        <x:f>IF($A297="","",IF(OR($N297="",$I297="",$I297=0),"",$N297/$I297))</x:f>
      </x:c>
      <x:c r="P297" s="251">
        <x:f>IF($A297="","",IF(LOWER($L297&amp;"")="yes",0,IF($K297&lt;&gt;"",$K297,IF($O297&lt;&gt;"",$O297,""))))</x:f>
      </x:c>
      <x:c r="Q297" s="254">
        <x:f>IF($A297="","",IF($U297="Profit",$P297-$H297,0))</x:f>
      </x:c>
      <x:c r="R297" s="251">
        <x:f>IF($A297="","",IF($U297="Draw",$H297,0))</x:f>
      </x:c>
      <x:c r="S297" s="251">
        <x:f>IF($A297="","",IF($U297="Disqualified",$H297,0))</x:f>
      </x:c>
      <x:c r="T297" s="255">
        <x:f>IF($A297="","",IF($H297=0,IF($U297="Profit","N/A",0),IF($U297="Profit",$Q297/$H297,IF($U297="Disqualified",-1,0))))</x:f>
      </x:c>
      <x:c r="U297" s="254">
        <x:f>IF($A297="","",IF(LOWER($L297&amp;"")="yes","Disqualified",IF($P297&gt;$H297,"Profit","Draw")))</x:f>
      </x:c>
      <x:c r="V297" s="253">
        <x:f>IF(OR($B297="",$C297=""),"",IFERROR(ROUNDUP((IF(ISNUMBER($C297),$C297,DATEVALUE($C297))-IF(ISNUMBER($B297),$B297,DATEVALUE($B297)))/7,0),""))</x:f>
      </x:c>
      <x:c r="W297" s="254">
        <x:f>$Q297-$S297</x:f>
      </x:c>
      <x:c r="X297" s="256">
        <x:f>IF(OR($J297="",$I297="",$J297=0,$I297=0,$I297&gt;$J297),"",$J297-$I297)</x:f>
      </x:c>
      <x:c r="Y297" s="257">
        <x:f>IF(OR($J297="",$J297=0,$X297=""),"",$X297/$J297)</x:f>
      </x:c>
    </x:row>
    <x:row r="298" s="106" customFormat="1" ht="21" customHeight="1">
      <x:c r="A298" s="54" t="n"/>
      <x:c r="B298" s="250" t="n"/>
      <x:c r="C298" s="250" t="n"/>
      <x:c r="D298" s="54" t="n"/>
      <x:c r="E298" s="251" t="n"/>
      <x:c r="F298" s="251" t="n"/>
      <x:c r="G298" s="251" t="n"/>
      <x:c r="H298" s="251" t="n"/>
      <x:c r="I298" s="252" t="n"/>
      <x:c r="J298" s="253" t="n"/>
      <x:c r="K298" s="254" t="n"/>
      <x:c r="L298" s="50" t="n"/>
      <x:c r="M298" s="251" t="n"/>
      <x:c r="N298" s="251">
        <x:f>IF($A298="","",IF($G298="","",IF(ISNUMBER(SEARCH("non",LOWER($E298&amp;""))),$G298*0.85,$G298)))</x:f>
      </x:c>
      <x:c r="O298" s="251">
        <x:f>IF($A298="","",IF(OR($N298="",$I298="",$I298=0),"",$N298/$I298))</x:f>
      </x:c>
      <x:c r="P298" s="251">
        <x:f>IF($A298="","",IF(LOWER($L298&amp;"")="yes",0,IF($K298&lt;&gt;"",$K298,IF($O298&lt;&gt;"",$O298,""))))</x:f>
      </x:c>
      <x:c r="Q298" s="254">
        <x:f>IF($A298="","",IF($U298="Profit",$P298-$H298,0))</x:f>
      </x:c>
      <x:c r="R298" s="251">
        <x:f>IF($A298="","",IF($U298="Draw",$H298,0))</x:f>
      </x:c>
      <x:c r="S298" s="251">
        <x:f>IF($A298="","",IF($U298="Disqualified",$H298,0))</x:f>
      </x:c>
      <x:c r="T298" s="255">
        <x:f>IF($A298="","",IF($H298=0,IF($U298="Profit","N/A",0),IF($U298="Profit",$Q298/$H298,IF($U298="Disqualified",-1,0))))</x:f>
      </x:c>
      <x:c r="U298" s="254">
        <x:f>IF($A298="","",IF(LOWER($L298&amp;"")="yes","Disqualified",IF($P298&gt;$H298,"Profit","Draw")))</x:f>
      </x:c>
      <x:c r="V298" s="253">
        <x:f>IF(OR($B298="",$C298=""),"",IFERROR(ROUNDUP((IF(ISNUMBER($C298),$C298,DATEVALUE($C298))-IF(ISNUMBER($B298),$B298,DATEVALUE($B298)))/7,0),""))</x:f>
      </x:c>
      <x:c r="W298" s="254">
        <x:f>$Q298-$S298</x:f>
      </x:c>
      <x:c r="X298" s="256">
        <x:f>IF(OR($J298="",$I298="",$J298=0,$I298=0,$I298&gt;$J298),"",$J298-$I298)</x:f>
      </x:c>
      <x:c r="Y298" s="257">
        <x:f>IF(OR($J298="",$J298=0,$X298=""),"",$X298/$J298)</x:f>
      </x:c>
    </x:row>
    <x:row r="299" s="106" customFormat="1" ht="21" customHeight="1">
      <x:c r="A299" s="54" t="n"/>
      <x:c r="B299" s="250" t="n"/>
      <x:c r="C299" s="250" t="n"/>
      <x:c r="D299" s="54" t="n"/>
      <x:c r="E299" s="251" t="n"/>
      <x:c r="F299" s="251" t="n"/>
      <x:c r="G299" s="251" t="n"/>
      <x:c r="H299" s="251" t="n"/>
      <x:c r="I299" s="252" t="n"/>
      <x:c r="J299" s="253" t="n"/>
      <x:c r="K299" s="254" t="n"/>
      <x:c r="L299" s="50" t="n"/>
      <x:c r="M299" s="251" t="n"/>
      <x:c r="N299" s="251">
        <x:f>IF($A299="","",IF($G299="","",IF(ISNUMBER(SEARCH("non",LOWER($E299&amp;""))),$G299*0.85,$G299)))</x:f>
      </x:c>
      <x:c r="O299" s="251">
        <x:f>IF($A299="","",IF(OR($N299="",$I299="",$I299=0),"",$N299/$I299))</x:f>
      </x:c>
      <x:c r="P299" s="251">
        <x:f>IF($A299="","",IF(LOWER($L299&amp;"")="yes",0,IF($K299&lt;&gt;"",$K299,IF($O299&lt;&gt;"",$O299,""))))</x:f>
      </x:c>
      <x:c r="Q299" s="254">
        <x:f>IF($A299="","",IF($U299="Profit",$P299-$H299,0))</x:f>
      </x:c>
      <x:c r="R299" s="251">
        <x:f>IF($A299="","",IF($U299="Draw",$H299,0))</x:f>
      </x:c>
      <x:c r="S299" s="251">
        <x:f>IF($A299="","",IF($U299="Disqualified",$H299,0))</x:f>
      </x:c>
      <x:c r="T299" s="255">
        <x:f>IF($A299="","",IF($H299=0,IF($U299="Profit","N/A",0),IF($U299="Profit",$Q299/$H299,IF($U299="Disqualified",-1,0))))</x:f>
      </x:c>
      <x:c r="U299" s="254">
        <x:f>IF($A299="","",IF(LOWER($L299&amp;"")="yes","Disqualified",IF($P299&gt;$H299,"Profit","Draw")))</x:f>
      </x:c>
      <x:c r="V299" s="253">
        <x:f>IF(OR($B299="",$C299=""),"",IFERROR(ROUNDUP((IF(ISNUMBER($C299),$C299,DATEVALUE($C299))-IF(ISNUMBER($B299),$B299,DATEVALUE($B299)))/7,0),""))</x:f>
      </x:c>
      <x:c r="W299" s="254">
        <x:f>$Q299-$S299</x:f>
      </x:c>
      <x:c r="X299" s="256">
        <x:f>IF(OR($J299="",$I299="",$J299=0,$I299=0,$I299&gt;$J299),"",$J299-$I299)</x:f>
      </x:c>
      <x:c r="Y299" s="257">
        <x:f>IF(OR($J299="",$J299=0,$X299=""),"",$X299/$J299)</x:f>
      </x:c>
    </x:row>
    <x:row r="300" s="106" customFormat="1" ht="21" customHeight="1">
      <x:c r="A300" s="54" t="n"/>
      <x:c r="B300" s="250" t="n"/>
      <x:c r="C300" s="250" t="n"/>
      <x:c r="D300" s="54" t="n"/>
      <x:c r="E300" s="251" t="n"/>
      <x:c r="F300" s="251" t="n"/>
      <x:c r="G300" s="251" t="n"/>
      <x:c r="H300" s="251" t="n"/>
      <x:c r="I300" s="252" t="n"/>
      <x:c r="J300" s="253" t="n"/>
      <x:c r="K300" s="254" t="n"/>
      <x:c r="L300" s="50" t="n"/>
      <x:c r="M300" s="251" t="n"/>
      <x:c r="N300" s="251">
        <x:f>IF($A300="","",IF($G300="","",IF(ISNUMBER(SEARCH("non",LOWER($E300&amp;""))),$G300*0.85,$G300)))</x:f>
      </x:c>
      <x:c r="O300" s="251">
        <x:f>IF($A300="","",IF(OR($N300="",$I300="",$I300=0),"",$N300/$I300))</x:f>
      </x:c>
      <x:c r="P300" s="251">
        <x:f>IF($A300="","",IF(LOWER($L300&amp;"")="yes",0,IF($K300&lt;&gt;"",$K300,IF($O300&lt;&gt;"",$O300,""))))</x:f>
      </x:c>
      <x:c r="Q300" s="254">
        <x:f>IF($A300="","",IF($U300="Profit",$P300-$H300,0))</x:f>
      </x:c>
      <x:c r="R300" s="251">
        <x:f>IF($A300="","",IF($U300="Draw",$H300,0))</x:f>
      </x:c>
      <x:c r="S300" s="251">
        <x:f>IF($A300="","",IF($U300="Disqualified",$H300,0))</x:f>
      </x:c>
      <x:c r="T300" s="255">
        <x:f>IF($A300="","",IF($H300=0,IF($U300="Profit","N/A",0),IF($U300="Profit",$Q300/$H300,IF($U300="Disqualified",-1,0))))</x:f>
      </x:c>
      <x:c r="U300" s="254">
        <x:f>IF($A300="","",IF(LOWER($L300&amp;"")="yes","Disqualified",IF($P300&gt;$H300,"Profit","Draw")))</x:f>
      </x:c>
      <x:c r="V300" s="253">
        <x:f>IF(OR($B300="",$C300=""),"",IFERROR(ROUNDUP((IF(ISNUMBER($C300),$C300,DATEVALUE($C300))-IF(ISNUMBER($B300),$B300,DATEVALUE($B300)))/7,0),""))</x:f>
      </x:c>
      <x:c r="W300" s="254">
        <x:f>$Q300-$S300</x:f>
      </x:c>
      <x:c r="X300" s="256">
        <x:f>IF(OR($J300="",$I300="",$J300=0,$I300=0,$I300&gt;$J300),"",$J300-$I300)</x:f>
      </x:c>
      <x:c r="Y300" s="257">
        <x:f>IF(OR($J300="",$J300=0,$X300=""),"",$X300/$J300)</x:f>
      </x:c>
    </x:row>
    <x:row r="301" s="106" customFormat="1" ht="21" customHeight="1">
      <x:c r="A301" s="54" t="n"/>
      <x:c r="B301" s="250" t="n"/>
      <x:c r="C301" s="250" t="n"/>
      <x:c r="D301" s="54" t="n"/>
      <x:c r="E301" s="251" t="n"/>
      <x:c r="F301" s="251" t="n"/>
      <x:c r="G301" s="251" t="n"/>
      <x:c r="H301" s="251" t="n"/>
      <x:c r="I301" s="252" t="n"/>
      <x:c r="J301" s="253" t="n"/>
      <x:c r="K301" s="254" t="n"/>
      <x:c r="L301" s="50" t="n"/>
      <x:c r="M301" s="251" t="n"/>
      <x:c r="N301" s="251">
        <x:f>IF($A301="","",IF($G301="","",IF(ISNUMBER(SEARCH("non",LOWER($E301&amp;""))),$G301*0.85,$G301)))</x:f>
      </x:c>
      <x:c r="O301" s="251">
        <x:f>IF($A301="","",IF(OR($N301="",$I301="",$I301=0),"",$N301/$I301))</x:f>
      </x:c>
      <x:c r="P301" s="251">
        <x:f>IF($A301="","",IF(LOWER($L301&amp;"")="yes",0,IF($K301&lt;&gt;"",$K301,IF($O301&lt;&gt;"",$O301,""))))</x:f>
      </x:c>
      <x:c r="Q301" s="254">
        <x:f>IF($A301="","",IF($U301="Profit",$P301-$H301,0))</x:f>
      </x:c>
      <x:c r="R301" s="251">
        <x:f>IF($A301="","",IF($U301="Draw",$H301,0))</x:f>
      </x:c>
      <x:c r="S301" s="251">
        <x:f>IF($A301="","",IF($U301="Disqualified",$H301,0))</x:f>
      </x:c>
      <x:c r="T301" s="255">
        <x:f>IF($A301="","",IF($H301=0,IF($U301="Profit","N/A",0),IF($U301="Profit",$Q301/$H301,IF($U301="Disqualified",-1,0))))</x:f>
      </x:c>
      <x:c r="U301" s="254">
        <x:f>IF($A301="","",IF(LOWER($L301&amp;"")="yes","Disqualified",IF($P301&gt;$H301,"Profit","Draw")))</x:f>
      </x:c>
      <x:c r="V301" s="253">
        <x:f>IF(OR($B301="",$C301=""),"",IFERROR(ROUNDUP((IF(ISNUMBER($C301),$C301,DATEVALUE($C301))-IF(ISNUMBER($B301),$B301,DATEVALUE($B301)))/7,0),""))</x:f>
      </x:c>
      <x:c r="W301" s="254">
        <x:f>$Q301-$S301</x:f>
      </x:c>
      <x:c r="X301" s="256">
        <x:f>IF(OR($J301="",$I301="",$J301=0,$I301=0,$I301&gt;$J301),"",$J301-$I301)</x:f>
      </x:c>
      <x:c r="Y301" s="257">
        <x:f>IF(OR($J301="",$J301=0,$X301=""),"",$X301/$J301)</x:f>
      </x:c>
    </x:row>
    <x:row r="302" s="106" customFormat="1" ht="21" customHeight="1">
      <x:c r="A302" s="54" t="n"/>
      <x:c r="B302" s="250" t="n"/>
      <x:c r="C302" s="250" t="n"/>
      <x:c r="D302" s="54" t="n"/>
      <x:c r="E302" s="251" t="n"/>
      <x:c r="F302" s="251" t="n"/>
      <x:c r="G302" s="251" t="n"/>
      <x:c r="H302" s="251" t="n"/>
      <x:c r="I302" s="252" t="n"/>
      <x:c r="J302" s="253" t="n"/>
      <x:c r="K302" s="254" t="n"/>
      <x:c r="L302" s="50" t="n"/>
      <x:c r="M302" s="251" t="n"/>
      <x:c r="N302" s="251">
        <x:f>IF($A302="","",IF($G302="","",IF(ISNUMBER(SEARCH("non",LOWER($E302&amp;""))),$G302*0.85,$G302)))</x:f>
      </x:c>
      <x:c r="O302" s="251">
        <x:f>IF($A302="","",IF(OR($N302="",$I302="",$I302=0),"",$N302/$I302))</x:f>
      </x:c>
      <x:c r="P302" s="251">
        <x:f>IF($A302="","",IF(LOWER($L302&amp;"")="yes",0,IF($K302&lt;&gt;"",$K302,IF($O302&lt;&gt;"",$O302,""))))</x:f>
      </x:c>
      <x:c r="Q302" s="254">
        <x:f>IF($A302="","",IF($U302="Profit",$P302-$H302,0))</x:f>
      </x:c>
      <x:c r="R302" s="251">
        <x:f>IF($A302="","",IF($U302="Draw",$H302,0))</x:f>
      </x:c>
      <x:c r="S302" s="251">
        <x:f>IF($A302="","",IF($U302="Disqualified",$H302,0))</x:f>
      </x:c>
      <x:c r="T302" s="255">
        <x:f>IF($A302="","",IF($H302=0,IF($U302="Profit","N/A",0),IF($U302="Profit",$Q302/$H302,IF($U302="Disqualified",-1,0))))</x:f>
      </x:c>
      <x:c r="U302" s="254">
        <x:f>IF($A302="","",IF(LOWER($L302&amp;"")="yes","Disqualified",IF($P302&gt;$H302,"Profit","Draw")))</x:f>
      </x:c>
      <x:c r="V302" s="253">
        <x:f>IF(OR($B302="",$C302=""),"",IFERROR(ROUNDUP((IF(ISNUMBER($C302),$C302,DATEVALUE($C302))-IF(ISNUMBER($B302),$B302,DATEVALUE($B302)))/7,0),""))</x:f>
      </x:c>
      <x:c r="W302" s="254">
        <x:f>$Q302-$S302</x:f>
      </x:c>
      <x:c r="X302" s="256">
        <x:f>IF(OR($J302="",$I302="",$J302=0,$I302=0,$I302&gt;$J302),"",$J302-$I302)</x:f>
      </x:c>
      <x:c r="Y302" s="257">
        <x:f>IF(OR($J302="",$J302=0,$X302=""),"",$X302/$J302)</x:f>
      </x:c>
    </x:row>
    <x:row r="303" s="106" customFormat="1" ht="21" customHeight="1">
      <x:c r="A303" s="54" t="n"/>
      <x:c r="B303" s="250" t="n"/>
      <x:c r="C303" s="250" t="n"/>
      <x:c r="D303" s="54" t="n"/>
      <x:c r="E303" s="251" t="n"/>
      <x:c r="F303" s="251" t="n"/>
      <x:c r="G303" s="251" t="n"/>
      <x:c r="H303" s="251" t="n"/>
      <x:c r="I303" s="252" t="n"/>
      <x:c r="J303" s="253" t="n"/>
      <x:c r="K303" s="254" t="n"/>
      <x:c r="L303" s="50" t="n"/>
      <x:c r="M303" s="251" t="n"/>
      <x:c r="N303" s="251">
        <x:f>IF($A303="","",IF($G303="","",IF(ISNUMBER(SEARCH("non",LOWER($E303&amp;""))),$G303*0.85,$G303)))</x:f>
      </x:c>
      <x:c r="O303" s="251">
        <x:f>IF($A303="","",IF(OR($N303="",$I303="",$I303=0),"",$N303/$I303))</x:f>
      </x:c>
      <x:c r="P303" s="251">
        <x:f>IF($A303="","",IF(LOWER($L303&amp;"")="yes",0,IF($K303&lt;&gt;"",$K303,IF($O303&lt;&gt;"",$O303,""))))</x:f>
      </x:c>
      <x:c r="Q303" s="254">
        <x:f>IF($A303="","",IF($U303="Profit",$P303-$H303,0))</x:f>
      </x:c>
      <x:c r="R303" s="251">
        <x:f>IF($A303="","",IF($U303="Draw",$H303,0))</x:f>
      </x:c>
      <x:c r="S303" s="251">
        <x:f>IF($A303="","",IF($U303="Disqualified",$H303,0))</x:f>
      </x:c>
      <x:c r="T303" s="255">
        <x:f>IF($A303="","",IF($H303=0,IF($U303="Profit","N/A",0),IF($U303="Profit",$Q303/$H303,IF($U303="Disqualified",-1,0))))</x:f>
      </x:c>
      <x:c r="U303" s="254">
        <x:f>IF($A303="","",IF(LOWER($L303&amp;"")="yes","Disqualified",IF($P303&gt;$H303,"Profit","Draw")))</x:f>
      </x:c>
      <x:c r="V303" s="253">
        <x:f>IF(OR($B303="",$C303=""),"",IFERROR(ROUNDUP((IF(ISNUMBER($C303),$C303,DATEVALUE($C303))-IF(ISNUMBER($B303),$B303,DATEVALUE($B303)))/7,0),""))</x:f>
      </x:c>
      <x:c r="W303" s="254">
        <x:f>$Q303-$S303</x:f>
      </x:c>
      <x:c r="X303" s="256">
        <x:f>IF(OR($J303="",$I303="",$J303=0,$I303=0,$I303&gt;$J303),"",$J303-$I303)</x:f>
      </x:c>
      <x:c r="Y303" s="257">
        <x:f>IF(OR($J303="",$J303=0,$X303=""),"",$X303/$J303)</x:f>
      </x:c>
    </x:row>
    <x:row r="304" s="106" customFormat="1" ht="21" customHeight="1">
      <x:c r="A304" s="54" t="n"/>
      <x:c r="B304" s="250" t="n"/>
      <x:c r="C304" s="250" t="n"/>
      <x:c r="D304" s="54" t="n"/>
      <x:c r="E304" s="251" t="n"/>
      <x:c r="F304" s="251" t="n"/>
      <x:c r="G304" s="251" t="n"/>
      <x:c r="H304" s="251" t="n"/>
      <x:c r="I304" s="252" t="n"/>
      <x:c r="J304" s="253" t="n"/>
      <x:c r="K304" s="254" t="n"/>
      <x:c r="L304" s="50" t="n"/>
      <x:c r="M304" s="251" t="n"/>
      <x:c r="N304" s="251">
        <x:f>IF($A304="","",IF($G304="","",IF(ISNUMBER(SEARCH("non",LOWER($E304&amp;""))),$G304*0.85,$G304)))</x:f>
      </x:c>
      <x:c r="O304" s="251">
        <x:f>IF($A304="","",IF(OR($N304="",$I304="",$I304=0),"",$N304/$I304))</x:f>
      </x:c>
      <x:c r="P304" s="251">
        <x:f>IF($A304="","",IF(LOWER($L304&amp;"")="yes",0,IF($K304&lt;&gt;"",$K304,IF($O304&lt;&gt;"",$O304,""))))</x:f>
      </x:c>
      <x:c r="Q304" s="254">
        <x:f>IF($A304="","",IF($U304="Profit",$P304-$H304,0))</x:f>
      </x:c>
      <x:c r="R304" s="251">
        <x:f>IF($A304="","",IF($U304="Draw",$H304,0))</x:f>
      </x:c>
      <x:c r="S304" s="251">
        <x:f>IF($A304="","",IF($U304="Disqualified",$H304,0))</x:f>
      </x:c>
      <x:c r="T304" s="255">
        <x:f>IF($A304="","",IF($H304=0,IF($U304="Profit","N/A",0),IF($U304="Profit",$Q304/$H304,IF($U304="Disqualified",-1,0))))</x:f>
      </x:c>
      <x:c r="U304" s="254">
        <x:f>IF($A304="","",IF(LOWER($L304&amp;"")="yes","Disqualified",IF($P304&gt;$H304,"Profit","Draw")))</x:f>
      </x:c>
      <x:c r="V304" s="253">
        <x:f>IF(OR($B304="",$C304=""),"",IFERROR(ROUNDUP((IF(ISNUMBER($C304),$C304,DATEVALUE($C304))-IF(ISNUMBER($B304),$B304,DATEVALUE($B304)))/7,0),""))</x:f>
      </x:c>
      <x:c r="W304" s="254">
        <x:f>$Q304-$S304</x:f>
      </x:c>
      <x:c r="X304" s="256">
        <x:f>IF(OR($J304="",$I304="",$J304=0,$I304=0,$I304&gt;$J304),"",$J304-$I304)</x:f>
      </x:c>
      <x:c r="Y304" s="257">
        <x:f>IF(OR($J304="",$J304=0,$X304=""),"",$X304/$J304)</x:f>
      </x:c>
    </x:row>
    <x:row r="305" s="106" customFormat="1" ht="21" customHeight="1">
      <x:c r="A305" s="54" t="n"/>
      <x:c r="B305" s="250" t="n"/>
      <x:c r="C305" s="250" t="n"/>
      <x:c r="D305" s="54" t="n"/>
      <x:c r="E305" s="251" t="n"/>
      <x:c r="F305" s="251" t="n"/>
      <x:c r="G305" s="251" t="n"/>
      <x:c r="H305" s="251" t="n"/>
      <x:c r="I305" s="252" t="n"/>
      <x:c r="J305" s="253" t="n"/>
      <x:c r="K305" s="254" t="n"/>
      <x:c r="L305" s="50" t="n"/>
      <x:c r="M305" s="251" t="n"/>
      <x:c r="N305" s="251">
        <x:f>IF($A305="","",IF($G305="","",IF(ISNUMBER(SEARCH("non",LOWER($E305&amp;""))),$G305*0.85,$G305)))</x:f>
      </x:c>
      <x:c r="O305" s="251">
        <x:f>IF($A305="","",IF(OR($N305="",$I305="",$I305=0),"",$N305/$I305))</x:f>
      </x:c>
      <x:c r="P305" s="251">
        <x:f>IF($A305="","",IF(LOWER($L305&amp;"")="yes",0,IF($K305&lt;&gt;"",$K305,IF($O305&lt;&gt;"",$O305,""))))</x:f>
      </x:c>
      <x:c r="Q305" s="254">
        <x:f>IF($A305="","",IF($U305="Profit",$P305-$H305,0))</x:f>
      </x:c>
      <x:c r="R305" s="251">
        <x:f>IF($A305="","",IF($U305="Draw",$H305,0))</x:f>
      </x:c>
      <x:c r="S305" s="251">
        <x:f>IF($A305="","",IF($U305="Disqualified",$H305,0))</x:f>
      </x:c>
      <x:c r="T305" s="255">
        <x:f>IF($A305="","",IF($H305=0,IF($U305="Profit","N/A",0),IF($U305="Profit",$Q305/$H305,IF($U305="Disqualified",-1,0))))</x:f>
      </x:c>
      <x:c r="U305" s="254">
        <x:f>IF($A305="","",IF(LOWER($L305&amp;"")="yes","Disqualified",IF($P305&gt;$H305,"Profit","Draw")))</x:f>
      </x:c>
      <x:c r="V305" s="253">
        <x:f>IF(OR($B305="",$C305=""),"",IFERROR(ROUNDUP((IF(ISNUMBER($C305),$C305,DATEVALUE($C305))-IF(ISNUMBER($B305),$B305,DATEVALUE($B305)))/7,0),""))</x:f>
      </x:c>
      <x:c r="W305" s="254">
        <x:f>$Q305-$S305</x:f>
      </x:c>
      <x:c r="X305" s="256">
        <x:f>IF(OR($J305="",$I305="",$J305=0,$I305=0,$I305&gt;$J305),"",$J305-$I305)</x:f>
      </x:c>
      <x:c r="Y305" s="257">
        <x:f>IF(OR($J305="",$J305=0,$X305=""),"",$X305/$J305)</x:f>
      </x:c>
    </x:row>
    <x:row r="306" s="106" customFormat="1" ht="21" customHeight="1">
      <x:c r="A306" s="54" t="n"/>
      <x:c r="B306" s="250" t="n"/>
      <x:c r="C306" s="250" t="n"/>
      <x:c r="D306" s="54" t="n"/>
      <x:c r="E306" s="251" t="n"/>
      <x:c r="F306" s="251" t="n"/>
      <x:c r="G306" s="251" t="n"/>
      <x:c r="H306" s="251" t="n"/>
      <x:c r="I306" s="252" t="n"/>
      <x:c r="J306" s="253" t="n"/>
      <x:c r="K306" s="254" t="n"/>
      <x:c r="L306" s="50" t="n"/>
      <x:c r="M306" s="251" t="n"/>
      <x:c r="N306" s="251">
        <x:f>IF($A306="","",IF($G306="","",IF(ISNUMBER(SEARCH("non",LOWER($E306&amp;""))),$G306*0.85,$G306)))</x:f>
      </x:c>
      <x:c r="O306" s="251">
        <x:f>IF($A306="","",IF(OR($N306="",$I306="",$I306=0),"",$N306/$I306))</x:f>
      </x:c>
      <x:c r="P306" s="251">
        <x:f>IF($A306="","",IF(LOWER($L306&amp;"")="yes",0,IF($K306&lt;&gt;"",$K306,IF($O306&lt;&gt;"",$O306,""))))</x:f>
      </x:c>
      <x:c r="Q306" s="254">
        <x:f>IF($A306="","",IF($U306="Profit",$P306-$H306,0))</x:f>
      </x:c>
      <x:c r="R306" s="251">
        <x:f>IF($A306="","",IF($U306="Draw",$H306,0))</x:f>
      </x:c>
      <x:c r="S306" s="251">
        <x:f>IF($A306="","",IF($U306="Disqualified",$H306,0))</x:f>
      </x:c>
      <x:c r="T306" s="255">
        <x:f>IF($A306="","",IF($H306=0,IF($U306="Profit","N/A",0),IF($U306="Profit",$Q306/$H306,IF($U306="Disqualified",-1,0))))</x:f>
      </x:c>
      <x:c r="U306" s="254">
        <x:f>IF($A306="","",IF(LOWER($L306&amp;"")="yes","Disqualified",IF($P306&gt;$H306,"Profit","Draw")))</x:f>
      </x:c>
      <x:c r="V306" s="253">
        <x:f>IF(OR($B306="",$C306=""),"",IFERROR(ROUNDUP((IF(ISNUMBER($C306),$C306,DATEVALUE($C306))-IF(ISNUMBER($B306),$B306,DATEVALUE($B306)))/7,0),""))</x:f>
      </x:c>
      <x:c r="W306" s="254">
        <x:f>$Q306-$S306</x:f>
      </x:c>
      <x:c r="X306" s="256">
        <x:f>IF(OR($J306="",$I306="",$J306=0,$I306=0,$I306&gt;$J306),"",$J306-$I306)</x:f>
      </x:c>
      <x:c r="Y306" s="257">
        <x:f>IF(OR($J306="",$J306=0,$X306=""),"",$X306/$J306)</x:f>
      </x:c>
    </x:row>
    <x:row r="307" s="106" customFormat="1" ht="21" customHeight="1">
      <x:c r="A307" s="54" t="n"/>
      <x:c r="B307" s="250" t="n"/>
      <x:c r="C307" s="250" t="n"/>
      <x:c r="D307" s="54" t="n"/>
      <x:c r="E307" s="251" t="n"/>
      <x:c r="F307" s="251" t="n"/>
      <x:c r="G307" s="251" t="n"/>
      <x:c r="H307" s="251" t="n"/>
      <x:c r="I307" s="252" t="n"/>
      <x:c r="J307" s="253" t="n"/>
      <x:c r="K307" s="254" t="n"/>
      <x:c r="L307" s="50" t="n"/>
      <x:c r="M307" s="251" t="n"/>
      <x:c r="N307" s="251">
        <x:f>IF($A307="","",IF($G307="","",IF(ISNUMBER(SEARCH("non",LOWER($E307&amp;""))),$G307*0.85,$G307)))</x:f>
      </x:c>
      <x:c r="O307" s="251">
        <x:f>IF($A307="","",IF(OR($N307="",$I307="",$I307=0),"",$N307/$I307))</x:f>
      </x:c>
      <x:c r="P307" s="251">
        <x:f>IF($A307="","",IF(LOWER($L307&amp;"")="yes",0,IF($K307&lt;&gt;"",$K307,IF($O307&lt;&gt;"",$O307,""))))</x:f>
      </x:c>
      <x:c r="Q307" s="254">
        <x:f>IF($A307="","",IF($U307="Profit",$P307-$H307,0))</x:f>
      </x:c>
      <x:c r="R307" s="251">
        <x:f>IF($A307="","",IF($U307="Draw",$H307,0))</x:f>
      </x:c>
      <x:c r="S307" s="251">
        <x:f>IF($A307="","",IF($U307="Disqualified",$H307,0))</x:f>
      </x:c>
      <x:c r="T307" s="255">
        <x:f>IF($A307="","",IF($H307=0,IF($U307="Profit","N/A",0),IF($U307="Profit",$Q307/$H307,IF($U307="Disqualified",-1,0))))</x:f>
      </x:c>
      <x:c r="U307" s="254">
        <x:f>IF($A307="","",IF(LOWER($L307&amp;"")="yes","Disqualified",IF($P307&gt;$H307,"Profit","Draw")))</x:f>
      </x:c>
      <x:c r="V307" s="253">
        <x:f>IF(OR($B307="",$C307=""),"",IFERROR(ROUNDUP((IF(ISNUMBER($C307),$C307,DATEVALUE($C307))-IF(ISNUMBER($B307),$B307,DATEVALUE($B307)))/7,0),""))</x:f>
      </x:c>
      <x:c r="W307" s="254">
        <x:f>$Q307-$S307</x:f>
      </x:c>
      <x:c r="X307" s="256">
        <x:f>IF(OR($J307="",$I307="",$J307=0,$I307=0,$I307&gt;$J307),"",$J307-$I307)</x:f>
      </x:c>
      <x:c r="Y307" s="257">
        <x:f>IF(OR($J307="",$J307=0,$X307=""),"",$X307/$J307)</x:f>
      </x:c>
    </x:row>
    <x:row r="308" s="106" customFormat="1" ht="21" customHeight="1">
      <x:c r="A308" s="54" t="n"/>
      <x:c r="B308" s="250" t="n"/>
      <x:c r="C308" s="250" t="n"/>
      <x:c r="D308" s="54" t="n"/>
      <x:c r="E308" s="251" t="n"/>
      <x:c r="F308" s="251" t="n"/>
      <x:c r="G308" s="251" t="n"/>
      <x:c r="H308" s="251" t="n"/>
      <x:c r="I308" s="252" t="n"/>
      <x:c r="J308" s="253" t="n"/>
      <x:c r="K308" s="254" t="n"/>
      <x:c r="L308" s="50" t="n"/>
      <x:c r="M308" s="251" t="n"/>
      <x:c r="N308" s="251">
        <x:f>IF($A308="","",IF($G308="","",IF(ISNUMBER(SEARCH("non",LOWER($E308&amp;""))),$G308*0.85,$G308)))</x:f>
      </x:c>
      <x:c r="O308" s="251">
        <x:f>IF($A308="","",IF(OR($N308="",$I308="",$I308=0),"",$N308/$I308))</x:f>
      </x:c>
      <x:c r="P308" s="251">
        <x:f>IF($A308="","",IF(LOWER($L308&amp;"")="yes",0,IF($K308&lt;&gt;"",$K308,IF($O308&lt;&gt;"",$O308,""))))</x:f>
      </x:c>
      <x:c r="Q308" s="254">
        <x:f>IF($A308="","",IF($U308="Profit",$P308-$H308,0))</x:f>
      </x:c>
      <x:c r="R308" s="251">
        <x:f>IF($A308="","",IF($U308="Draw",$H308,0))</x:f>
      </x:c>
      <x:c r="S308" s="251">
        <x:f>IF($A308="","",IF($U308="Disqualified",$H308,0))</x:f>
      </x:c>
      <x:c r="T308" s="255">
        <x:f>IF($A308="","",IF($H308=0,IF($U308="Profit","N/A",0),IF($U308="Profit",$Q308/$H308,IF($U308="Disqualified",-1,0))))</x:f>
      </x:c>
      <x:c r="U308" s="254">
        <x:f>IF($A308="","",IF(LOWER($L308&amp;"")="yes","Disqualified",IF($P308&gt;$H308,"Profit","Draw")))</x:f>
      </x:c>
      <x:c r="V308" s="253">
        <x:f>IF(OR($B308="",$C308=""),"",IFERROR(ROUNDUP((IF(ISNUMBER($C308),$C308,DATEVALUE($C308))-IF(ISNUMBER($B308),$B308,DATEVALUE($B308)))/7,0),""))</x:f>
      </x:c>
      <x:c r="W308" s="254">
        <x:f>$Q308-$S308</x:f>
      </x:c>
      <x:c r="X308" s="256">
        <x:f>IF(OR($J308="",$I308="",$J308=0,$I308=0,$I308&gt;$J308),"",$J308-$I308)</x:f>
      </x:c>
      <x:c r="Y308" s="257">
        <x:f>IF(OR($J308="",$J308=0,$X308=""),"",$X308/$J308)</x:f>
      </x:c>
    </x:row>
    <x:row r="309" s="106" customFormat="1" ht="21" customHeight="1">
      <x:c r="A309" s="54" t="n"/>
      <x:c r="B309" s="250" t="n"/>
      <x:c r="C309" s="250" t="n"/>
      <x:c r="D309" s="54" t="n"/>
      <x:c r="E309" s="251" t="n"/>
      <x:c r="F309" s="251" t="n"/>
      <x:c r="G309" s="251" t="n"/>
      <x:c r="H309" s="251" t="n"/>
      <x:c r="I309" s="252" t="n"/>
      <x:c r="J309" s="253" t="n"/>
      <x:c r="K309" s="254" t="n"/>
      <x:c r="L309" s="50" t="n"/>
      <x:c r="M309" s="251" t="n"/>
      <x:c r="N309" s="251">
        <x:f>IF($A309="","",IF($G309="","",IF(ISNUMBER(SEARCH("non",LOWER($E309&amp;""))),$G309*0.85,$G309)))</x:f>
      </x:c>
      <x:c r="O309" s="251">
        <x:f>IF($A309="","",IF(OR($N309="",$I309="",$I309=0),"",$N309/$I309))</x:f>
      </x:c>
      <x:c r="P309" s="251">
        <x:f>IF($A309="","",IF(LOWER($L309&amp;"")="yes",0,IF($K309&lt;&gt;"",$K309,IF($O309&lt;&gt;"",$O309,""))))</x:f>
      </x:c>
      <x:c r="Q309" s="254">
        <x:f>IF($A309="","",IF($U309="Profit",$P309-$H309,0))</x:f>
      </x:c>
      <x:c r="R309" s="251">
        <x:f>IF($A309="","",IF($U309="Draw",$H309,0))</x:f>
      </x:c>
      <x:c r="S309" s="251">
        <x:f>IF($A309="","",IF($U309="Disqualified",$H309,0))</x:f>
      </x:c>
      <x:c r="T309" s="255">
        <x:f>IF($A309="","",IF($H309=0,IF($U309="Profit","N/A",0),IF($U309="Profit",$Q309/$H309,IF($U309="Disqualified",-1,0))))</x:f>
      </x:c>
      <x:c r="U309" s="254">
        <x:f>IF($A309="","",IF(LOWER($L309&amp;"")="yes","Disqualified",IF($P309&gt;$H309,"Profit","Draw")))</x:f>
      </x:c>
      <x:c r="V309" s="253">
        <x:f>IF(OR($B309="",$C309=""),"",IFERROR(ROUNDUP((IF(ISNUMBER($C309),$C309,DATEVALUE($C309))-IF(ISNUMBER($B309),$B309,DATEVALUE($B309)))/7,0),""))</x:f>
      </x:c>
      <x:c r="W309" s="254">
        <x:f>$Q309-$S309</x:f>
      </x:c>
      <x:c r="X309" s="256">
        <x:f>IF(OR($J309="",$I309="",$J309=0,$I309=0,$I309&gt;$J309),"",$J309-$I309)</x:f>
      </x:c>
      <x:c r="Y309" s="257">
        <x:f>IF(OR($J309="",$J309=0,$X309=""),"",$X309/$J309)</x:f>
      </x:c>
    </x:row>
    <x:row r="310" s="106" customFormat="1" ht="21" customHeight="1">
      <x:c r="A310" s="54" t="n"/>
      <x:c r="B310" s="250" t="n"/>
      <x:c r="C310" s="250" t="n"/>
      <x:c r="D310" s="54" t="n"/>
      <x:c r="E310" s="251" t="n"/>
      <x:c r="F310" s="251" t="n"/>
      <x:c r="G310" s="251" t="n"/>
      <x:c r="H310" s="251" t="n"/>
      <x:c r="I310" s="252" t="n"/>
      <x:c r="J310" s="253" t="n"/>
      <x:c r="K310" s="254" t="n"/>
      <x:c r="L310" s="50" t="n"/>
      <x:c r="M310" s="251" t="n"/>
      <x:c r="N310" s="251">
        <x:f>IF($A310="","",IF($G310="","",IF(ISNUMBER(SEARCH("non",LOWER($E310&amp;""))),$G310*0.85,$G310)))</x:f>
      </x:c>
      <x:c r="O310" s="251">
        <x:f>IF($A310="","",IF(OR($N310="",$I310="",$I310=0),"",$N310/$I310))</x:f>
      </x:c>
      <x:c r="P310" s="251">
        <x:f>IF($A310="","",IF(LOWER($L310&amp;"")="yes",0,IF($K310&lt;&gt;"",$K310,IF($O310&lt;&gt;"",$O310,""))))</x:f>
      </x:c>
      <x:c r="Q310" s="254">
        <x:f>IF($A310="","",IF($U310="Profit",$P310-$H310,0))</x:f>
      </x:c>
      <x:c r="R310" s="251">
        <x:f>IF($A310="","",IF($U310="Draw",$H310,0))</x:f>
      </x:c>
      <x:c r="S310" s="251">
        <x:f>IF($A310="","",IF($U310="Disqualified",$H310,0))</x:f>
      </x:c>
      <x:c r="T310" s="255">
        <x:f>IF($A310="","",IF($H310=0,IF($U310="Profit","N/A",0),IF($U310="Profit",$Q310/$H310,IF($U310="Disqualified",-1,0))))</x:f>
      </x:c>
      <x:c r="U310" s="254">
        <x:f>IF($A310="","",IF(LOWER($L310&amp;"")="yes","Disqualified",IF($P310&gt;$H310,"Profit","Draw")))</x:f>
      </x:c>
      <x:c r="V310" s="253">
        <x:f>IF(OR($B310="",$C310=""),"",IFERROR(ROUNDUP((IF(ISNUMBER($C310),$C310,DATEVALUE($C310))-IF(ISNUMBER($B310),$B310,DATEVALUE($B310)))/7,0),""))</x:f>
      </x:c>
      <x:c r="W310" s="254">
        <x:f>$Q310-$S310</x:f>
      </x:c>
      <x:c r="X310" s="256">
        <x:f>IF(OR($J310="",$I310="",$J310=0,$I310=0,$I310&gt;$J310),"",$J310-$I310)</x:f>
      </x:c>
      <x:c r="Y310" s="257">
        <x:f>IF(OR($J310="",$J310=0,$X310=""),"",$X310/$J310)</x:f>
      </x:c>
    </x:row>
    <x:row r="311" s="106" customFormat="1" ht="21" customHeight="1">
      <x:c r="A311" s="54" t="n"/>
      <x:c r="B311" s="250" t="n"/>
      <x:c r="C311" s="250" t="n"/>
      <x:c r="D311" s="54" t="n"/>
      <x:c r="E311" s="251" t="n"/>
      <x:c r="F311" s="251" t="n"/>
      <x:c r="G311" s="251" t="n"/>
      <x:c r="H311" s="251" t="n"/>
      <x:c r="I311" s="252" t="n"/>
      <x:c r="J311" s="253" t="n"/>
      <x:c r="K311" s="254" t="n"/>
      <x:c r="L311" s="50" t="n"/>
      <x:c r="M311" s="251" t="n"/>
      <x:c r="N311" s="251">
        <x:f>IF($A311="","",IF($G311="","",IF(ISNUMBER(SEARCH("non",LOWER($E311&amp;""))),$G311*0.85,$G311)))</x:f>
      </x:c>
      <x:c r="O311" s="251">
        <x:f>IF($A311="","",IF(OR($N311="",$I311="",$I311=0),"",$N311/$I311))</x:f>
      </x:c>
      <x:c r="P311" s="251">
        <x:f>IF($A311="","",IF(LOWER($L311&amp;"")="yes",0,IF($K311&lt;&gt;"",$K311,IF($O311&lt;&gt;"",$O311,""))))</x:f>
      </x:c>
      <x:c r="Q311" s="254">
        <x:f>IF($A311="","",IF($U311="Profit",$P311-$H311,0))</x:f>
      </x:c>
      <x:c r="R311" s="251">
        <x:f>IF($A311="","",IF($U311="Draw",$H311,0))</x:f>
      </x:c>
      <x:c r="S311" s="251">
        <x:f>IF($A311="","",IF($U311="Disqualified",$H311,0))</x:f>
      </x:c>
      <x:c r="T311" s="255">
        <x:f>IF($A311="","",IF($H311=0,IF($U311="Profit","N/A",0),IF($U311="Profit",$Q311/$H311,IF($U311="Disqualified",-1,0))))</x:f>
      </x:c>
      <x:c r="U311" s="254">
        <x:f>IF($A311="","",IF(LOWER($L311&amp;"")="yes","Disqualified",IF($P311&gt;$H311,"Profit","Draw")))</x:f>
      </x:c>
      <x:c r="V311" s="253">
        <x:f>IF(OR($B311="",$C311=""),"",IFERROR(ROUNDUP((IF(ISNUMBER($C311),$C311,DATEVALUE($C311))-IF(ISNUMBER($B311),$B311,DATEVALUE($B311)))/7,0),""))</x:f>
      </x:c>
      <x:c r="W311" s="254">
        <x:f>$Q311-$S311</x:f>
      </x:c>
      <x:c r="X311" s="256">
        <x:f>IF(OR($J311="",$I311="",$J311=0,$I311=0,$I311&gt;$J311),"",$J311-$I311)</x:f>
      </x:c>
      <x:c r="Y311" s="257">
        <x:f>IF(OR($J311="",$J311=0,$X311=""),"",$X311/$J311)</x:f>
      </x:c>
    </x:row>
    <x:row r="312" s="106" customFormat="1" ht="21" customHeight="1">
      <x:c r="A312" s="54" t="n"/>
      <x:c r="B312" s="250" t="n"/>
      <x:c r="C312" s="250" t="n"/>
      <x:c r="D312" s="54" t="n"/>
      <x:c r="E312" s="251" t="n"/>
      <x:c r="F312" s="251" t="n"/>
      <x:c r="G312" s="251" t="n"/>
      <x:c r="H312" s="251" t="n"/>
      <x:c r="I312" s="252" t="n"/>
      <x:c r="J312" s="253" t="n"/>
      <x:c r="K312" s="254" t="n"/>
      <x:c r="L312" s="50" t="n"/>
      <x:c r="M312" s="251" t="n"/>
      <x:c r="N312" s="251">
        <x:f>IF($A312="","",IF($G312="","",IF(ISNUMBER(SEARCH("non",LOWER($E312&amp;""))),$G312*0.85,$G312)))</x:f>
      </x:c>
      <x:c r="O312" s="251">
        <x:f>IF($A312="","",IF(OR($N312="",$I312="",$I312=0),"",$N312/$I312))</x:f>
      </x:c>
      <x:c r="P312" s="251">
        <x:f>IF($A312="","",IF(LOWER($L312&amp;"")="yes",0,IF($K312&lt;&gt;"",$K312,IF($O312&lt;&gt;"",$O312,""))))</x:f>
      </x:c>
      <x:c r="Q312" s="254">
        <x:f>IF($A312="","",IF($U312="Profit",$P312-$H312,0))</x:f>
      </x:c>
      <x:c r="R312" s="251">
        <x:f>IF($A312="","",IF($U312="Draw",$H312,0))</x:f>
      </x:c>
      <x:c r="S312" s="251">
        <x:f>IF($A312="","",IF($U312="Disqualified",$H312,0))</x:f>
      </x:c>
      <x:c r="T312" s="255">
        <x:f>IF($A312="","",IF($H312=0,IF($U312="Profit","N/A",0),IF($U312="Profit",$Q312/$H312,IF($U312="Disqualified",-1,0))))</x:f>
      </x:c>
      <x:c r="U312" s="254">
        <x:f>IF($A312="","",IF(LOWER($L312&amp;"")="yes","Disqualified",IF($P312&gt;$H312,"Profit","Draw")))</x:f>
      </x:c>
      <x:c r="V312" s="253">
        <x:f>IF(OR($B312="",$C312=""),"",IFERROR(ROUNDUP((IF(ISNUMBER($C312),$C312,DATEVALUE($C312))-IF(ISNUMBER($B312),$B312,DATEVALUE($B312)))/7,0),""))</x:f>
      </x:c>
      <x:c r="W312" s="254">
        <x:f>$Q312-$S312</x:f>
      </x:c>
      <x:c r="X312" s="256">
        <x:f>IF(OR($J312="",$I312="",$J312=0,$I312=0,$I312&gt;$J312),"",$J312-$I312)</x:f>
      </x:c>
      <x:c r="Y312" s="257">
        <x:f>IF(OR($J312="",$J312=0,$X312=""),"",$X312/$J312)</x:f>
      </x:c>
    </x:row>
    <x:row r="313" s="106" customFormat="1" ht="21" customHeight="1">
      <x:c r="A313" s="54" t="n"/>
      <x:c r="B313" s="250" t="n"/>
      <x:c r="C313" s="250" t="n"/>
      <x:c r="D313" s="54" t="n"/>
      <x:c r="E313" s="251" t="n"/>
      <x:c r="F313" s="251" t="n"/>
      <x:c r="G313" s="251" t="n"/>
      <x:c r="H313" s="251" t="n"/>
      <x:c r="I313" s="252" t="n"/>
      <x:c r="J313" s="253" t="n"/>
      <x:c r="K313" s="254" t="n"/>
      <x:c r="L313" s="50" t="n"/>
      <x:c r="M313" s="251" t="n"/>
      <x:c r="N313" s="251">
        <x:f>IF($A313="","",IF($G313="","",IF(ISNUMBER(SEARCH("non",LOWER($E313&amp;""))),$G313*0.85,$G313)))</x:f>
      </x:c>
      <x:c r="O313" s="251">
        <x:f>IF($A313="","",IF(OR($N313="",$I313="",$I313=0),"",$N313/$I313))</x:f>
      </x:c>
      <x:c r="P313" s="251">
        <x:f>IF($A313="","",IF(LOWER($L313&amp;"")="yes",0,IF($K313&lt;&gt;"",$K313,IF($O313&lt;&gt;"",$O313,""))))</x:f>
      </x:c>
      <x:c r="Q313" s="254">
        <x:f>IF($A313="","",IF($U313="Profit",$P313-$H313,0))</x:f>
      </x:c>
      <x:c r="R313" s="251">
        <x:f>IF($A313="","",IF($U313="Draw",$H313,0))</x:f>
      </x:c>
      <x:c r="S313" s="251">
        <x:f>IF($A313="","",IF($U313="Disqualified",$H313,0))</x:f>
      </x:c>
      <x:c r="T313" s="255">
        <x:f>IF($A313="","",IF($H313=0,IF($U313="Profit","N/A",0),IF($U313="Profit",$Q313/$H313,IF($U313="Disqualified",-1,0))))</x:f>
      </x:c>
      <x:c r="U313" s="254">
        <x:f>IF($A313="","",IF(LOWER($L313&amp;"")="yes","Disqualified",IF($P313&gt;$H313,"Profit","Draw")))</x:f>
      </x:c>
      <x:c r="V313" s="253">
        <x:f>IF(OR($B313="",$C313=""),"",IFERROR(ROUNDUP((IF(ISNUMBER($C313),$C313,DATEVALUE($C313))-IF(ISNUMBER($B313),$B313,DATEVALUE($B313)))/7,0),""))</x:f>
      </x:c>
      <x:c r="W313" s="254">
        <x:f>$Q313-$S313</x:f>
      </x:c>
      <x:c r="X313" s="256">
        <x:f>IF(OR($J313="",$I313="",$J313=0,$I313=0,$I313&gt;$J313),"",$J313-$I313)</x:f>
      </x:c>
      <x:c r="Y313" s="257">
        <x:f>IF(OR($J313="",$J313=0,$X313=""),"",$X313/$J313)</x:f>
      </x:c>
    </x:row>
    <x:row r="314" s="106" customFormat="1" ht="21" customHeight="1">
      <x:c r="A314" s="54" t="n"/>
      <x:c r="B314" s="250" t="n"/>
      <x:c r="C314" s="250" t="n"/>
      <x:c r="D314" s="54" t="n"/>
      <x:c r="E314" s="251" t="n"/>
      <x:c r="F314" s="251" t="n"/>
      <x:c r="G314" s="251" t="n"/>
      <x:c r="H314" s="251" t="n"/>
      <x:c r="I314" s="252" t="n"/>
      <x:c r="J314" s="253" t="n"/>
      <x:c r="K314" s="254" t="n"/>
      <x:c r="L314" s="50" t="n"/>
      <x:c r="M314" s="251" t="n"/>
      <x:c r="N314" s="251">
        <x:f>IF($A314="","",IF($G314="","",IF(ISNUMBER(SEARCH("non",LOWER($E314&amp;""))),$G314*0.85,$G314)))</x:f>
      </x:c>
      <x:c r="O314" s="251">
        <x:f>IF($A314="","",IF(OR($N314="",$I314="",$I314=0),"",$N314/$I314))</x:f>
      </x:c>
      <x:c r="P314" s="251">
        <x:f>IF($A314="","",IF(LOWER($L314&amp;"")="yes",0,IF($K314&lt;&gt;"",$K314,IF($O314&lt;&gt;"",$O314,""))))</x:f>
      </x:c>
      <x:c r="Q314" s="254">
        <x:f>IF($A314="","",IF($U314="Profit",$P314-$H314,0))</x:f>
      </x:c>
      <x:c r="R314" s="251">
        <x:f>IF($A314="","",IF($U314="Draw",$H314,0))</x:f>
      </x:c>
      <x:c r="S314" s="251">
        <x:f>IF($A314="","",IF($U314="Disqualified",$H314,0))</x:f>
      </x:c>
      <x:c r="T314" s="255">
        <x:f>IF($A314="","",IF($H314=0,IF($U314="Profit","N/A",0),IF($U314="Profit",$Q314/$H314,IF($U314="Disqualified",-1,0))))</x:f>
      </x:c>
      <x:c r="U314" s="254">
        <x:f>IF($A314="","",IF(LOWER($L314&amp;"")="yes","Disqualified",IF($P314&gt;$H314,"Profit","Draw")))</x:f>
      </x:c>
      <x:c r="V314" s="253">
        <x:f>IF(OR($B314="",$C314=""),"",IFERROR(ROUNDUP((IF(ISNUMBER($C314),$C314,DATEVALUE($C314))-IF(ISNUMBER($B314),$B314,DATEVALUE($B314)))/7,0),""))</x:f>
      </x:c>
      <x:c r="W314" s="254">
        <x:f>$Q314-$S314</x:f>
      </x:c>
      <x:c r="X314" s="256">
        <x:f>IF(OR($J314="",$I314="",$J314=0,$I314=0,$I314&gt;$J314),"",$J314-$I314)</x:f>
      </x:c>
      <x:c r="Y314" s="257">
        <x:f>IF(OR($J314="",$J314=0,$X314=""),"",$X314/$J314)</x:f>
      </x:c>
    </x:row>
    <x:row r="315" s="106" customFormat="1" ht="21" customHeight="1">
      <x:c r="A315" s="54" t="n"/>
      <x:c r="B315" s="250" t="n"/>
      <x:c r="C315" s="250" t="n"/>
      <x:c r="D315" s="54" t="n"/>
      <x:c r="E315" s="251" t="n"/>
      <x:c r="F315" s="251" t="n"/>
      <x:c r="G315" s="251" t="n"/>
      <x:c r="H315" s="251" t="n"/>
      <x:c r="I315" s="252" t="n"/>
      <x:c r="J315" s="253" t="n"/>
      <x:c r="K315" s="254" t="n"/>
      <x:c r="L315" s="50" t="n"/>
      <x:c r="M315" s="251" t="n"/>
      <x:c r="N315" s="251">
        <x:f>IF($A315="","",IF($G315="","",IF(ISNUMBER(SEARCH("non",LOWER($E315&amp;""))),$G315*0.85,$G315)))</x:f>
      </x:c>
      <x:c r="O315" s="251">
        <x:f>IF($A315="","",IF(OR($N315="",$I315="",$I315=0),"",$N315/$I315))</x:f>
      </x:c>
      <x:c r="P315" s="251">
        <x:f>IF($A315="","",IF(LOWER($L315&amp;"")="yes",0,IF($K315&lt;&gt;"",$K315,IF($O315&lt;&gt;"",$O315,""))))</x:f>
      </x:c>
      <x:c r="Q315" s="254">
        <x:f>IF($A315="","",IF($U315="Profit",$P315-$H315,0))</x:f>
      </x:c>
      <x:c r="R315" s="251">
        <x:f>IF($A315="","",IF($U315="Draw",$H315,0))</x:f>
      </x:c>
      <x:c r="S315" s="251">
        <x:f>IF($A315="","",IF($U315="Disqualified",$H315,0))</x:f>
      </x:c>
      <x:c r="T315" s="255">
        <x:f>IF($A315="","",IF($H315=0,IF($U315="Profit","N/A",0),IF($U315="Profit",$Q315/$H315,IF($U315="Disqualified",-1,0))))</x:f>
      </x:c>
      <x:c r="U315" s="254">
        <x:f>IF($A315="","",IF(LOWER($L315&amp;"")="yes","Disqualified",IF($P315&gt;$H315,"Profit","Draw")))</x:f>
      </x:c>
      <x:c r="V315" s="253">
        <x:f>IF(OR($B315="",$C315=""),"",IFERROR(ROUNDUP((IF(ISNUMBER($C315),$C315,DATEVALUE($C315))-IF(ISNUMBER($B315),$B315,DATEVALUE($B315)))/7,0),""))</x:f>
      </x:c>
      <x:c r="W315" s="254">
        <x:f>$Q315-$S315</x:f>
      </x:c>
      <x:c r="X315" s="256">
        <x:f>IF(OR($J315="",$I315="",$J315=0,$I315=0,$I315&gt;$J315),"",$J315-$I315)</x:f>
      </x:c>
      <x:c r="Y315" s="257">
        <x:f>IF(OR($J315="",$J315=0,$X315=""),"",$X315/$J315)</x:f>
      </x:c>
    </x:row>
    <x:row r="316" s="106" customFormat="1" ht="21" customHeight="1">
      <x:c r="A316" s="54" t="n"/>
      <x:c r="B316" s="250" t="n"/>
      <x:c r="C316" s="250" t="n"/>
      <x:c r="D316" s="54" t="n"/>
      <x:c r="E316" s="251" t="n"/>
      <x:c r="F316" s="251" t="n"/>
      <x:c r="G316" s="251" t="n"/>
      <x:c r="H316" s="251" t="n"/>
      <x:c r="I316" s="252" t="n"/>
      <x:c r="J316" s="253" t="n"/>
      <x:c r="K316" s="254" t="n"/>
      <x:c r="L316" s="50" t="n"/>
      <x:c r="M316" s="251" t="n"/>
      <x:c r="N316" s="251">
        <x:f>IF($A316="","",IF($G316="","",IF(ISNUMBER(SEARCH("non",LOWER($E316&amp;""))),$G316*0.85,$G316)))</x:f>
      </x:c>
      <x:c r="O316" s="251">
        <x:f>IF($A316="","",IF(OR($N316="",$I316="",$I316=0),"",$N316/$I316))</x:f>
      </x:c>
      <x:c r="P316" s="251">
        <x:f>IF($A316="","",IF(LOWER($L316&amp;"")="yes",0,IF($K316&lt;&gt;"",$K316,IF($O316&lt;&gt;"",$O316,""))))</x:f>
      </x:c>
      <x:c r="Q316" s="254">
        <x:f>IF($A316="","",IF($U316="Profit",$P316-$H316,0))</x:f>
      </x:c>
      <x:c r="R316" s="251">
        <x:f>IF($A316="","",IF($U316="Draw",$H316,0))</x:f>
      </x:c>
      <x:c r="S316" s="251">
        <x:f>IF($A316="","",IF($U316="Disqualified",$H316,0))</x:f>
      </x:c>
      <x:c r="T316" s="255">
        <x:f>IF($A316="","",IF($H316=0,IF($U316="Profit","N/A",0),IF($U316="Profit",$Q316/$H316,IF($U316="Disqualified",-1,0))))</x:f>
      </x:c>
      <x:c r="U316" s="254">
        <x:f>IF($A316="","",IF(LOWER($L316&amp;"")="yes","Disqualified",IF($P316&gt;$H316,"Profit","Draw")))</x:f>
      </x:c>
      <x:c r="V316" s="253">
        <x:f>IF(OR($B316="",$C316=""),"",IFERROR(ROUNDUP((IF(ISNUMBER($C316),$C316,DATEVALUE($C316))-IF(ISNUMBER($B316),$B316,DATEVALUE($B316)))/7,0),""))</x:f>
      </x:c>
      <x:c r="W316" s="254">
        <x:f>$Q316-$S316</x:f>
      </x:c>
      <x:c r="X316" s="256">
        <x:f>IF(OR($J316="",$I316="",$J316=0,$I316=0,$I316&gt;$J316),"",$J316-$I316)</x:f>
      </x:c>
      <x:c r="Y316" s="257">
        <x:f>IF(OR($J316="",$J316=0,$X316=""),"",$X316/$J316)</x:f>
      </x:c>
    </x:row>
    <x:row r="317" s="106" customFormat="1" ht="21" customHeight="1">
      <x:c r="A317" s="54" t="n"/>
      <x:c r="B317" s="250" t="n"/>
      <x:c r="C317" s="250" t="n"/>
      <x:c r="D317" s="54" t="n"/>
      <x:c r="E317" s="251" t="n"/>
      <x:c r="F317" s="251" t="n"/>
      <x:c r="G317" s="251" t="n"/>
      <x:c r="H317" s="251" t="n"/>
      <x:c r="I317" s="252" t="n"/>
      <x:c r="J317" s="253" t="n"/>
      <x:c r="K317" s="254" t="n"/>
      <x:c r="L317" s="50" t="n"/>
      <x:c r="M317" s="251" t="n"/>
      <x:c r="N317" s="251">
        <x:f>IF($A317="","",IF($G317="","",IF(ISNUMBER(SEARCH("non",LOWER($E317&amp;""))),$G317*0.85,$G317)))</x:f>
      </x:c>
      <x:c r="O317" s="251">
        <x:f>IF($A317="","",IF(OR($N317="",$I317="",$I317=0),"",$N317/$I317))</x:f>
      </x:c>
      <x:c r="P317" s="251">
        <x:f>IF($A317="","",IF(LOWER($L317&amp;"")="yes",0,IF($K317&lt;&gt;"",$K317,IF($O317&lt;&gt;"",$O317,""))))</x:f>
      </x:c>
      <x:c r="Q317" s="254">
        <x:f>IF($A317="","",IF($U317="Profit",$P317-$H317,0))</x:f>
      </x:c>
      <x:c r="R317" s="251">
        <x:f>IF($A317="","",IF($U317="Draw",$H317,0))</x:f>
      </x:c>
      <x:c r="S317" s="251">
        <x:f>IF($A317="","",IF($U317="Disqualified",$H317,0))</x:f>
      </x:c>
      <x:c r="T317" s="255">
        <x:f>IF($A317="","",IF($H317=0,IF($U317="Profit","N/A",0),IF($U317="Profit",$Q317/$H317,IF($U317="Disqualified",-1,0))))</x:f>
      </x:c>
      <x:c r="U317" s="254">
        <x:f>IF($A317="","",IF(LOWER($L317&amp;"")="yes","Disqualified",IF($P317&gt;$H317,"Profit","Draw")))</x:f>
      </x:c>
      <x:c r="V317" s="253">
        <x:f>IF(OR($B317="",$C317=""),"",IFERROR(ROUNDUP((IF(ISNUMBER($C317),$C317,DATEVALUE($C317))-IF(ISNUMBER($B317),$B317,DATEVALUE($B317)))/7,0),""))</x:f>
      </x:c>
      <x:c r="W317" s="254">
        <x:f>$Q317-$S317</x:f>
      </x:c>
      <x:c r="X317" s="256">
        <x:f>IF(OR($J317="",$I317="",$J317=0,$I317=0,$I317&gt;$J317),"",$J317-$I317)</x:f>
      </x:c>
      <x:c r="Y317" s="257">
        <x:f>IF(OR($J317="",$J317=0,$X317=""),"",$X317/$J317)</x:f>
      </x:c>
    </x:row>
    <x:row r="318" s="106" customFormat="1" ht="21" customHeight="1">
      <x:c r="A318" s="54" t="n"/>
      <x:c r="B318" s="250" t="n"/>
      <x:c r="C318" s="250" t="n"/>
      <x:c r="D318" s="54" t="n"/>
      <x:c r="E318" s="251" t="n"/>
      <x:c r="F318" s="251" t="n"/>
      <x:c r="G318" s="251" t="n"/>
      <x:c r="H318" s="251" t="n"/>
      <x:c r="I318" s="252" t="n"/>
      <x:c r="J318" s="253" t="n"/>
      <x:c r="K318" s="254" t="n"/>
      <x:c r="L318" s="50" t="n"/>
      <x:c r="M318" s="251" t="n"/>
      <x:c r="N318" s="251">
        <x:f>IF($A318="","",IF($G318="","",IF(ISNUMBER(SEARCH("non",LOWER($E318&amp;""))),$G318*0.85,$G318)))</x:f>
      </x:c>
      <x:c r="O318" s="251">
        <x:f>IF($A318="","",IF(OR($N318="",$I318="",$I318=0),"",$N318/$I318))</x:f>
      </x:c>
      <x:c r="P318" s="251">
        <x:f>IF($A318="","",IF(LOWER($L318&amp;"")="yes",0,IF($K318&lt;&gt;"",$K318,IF($O318&lt;&gt;"",$O318,""))))</x:f>
      </x:c>
      <x:c r="Q318" s="254">
        <x:f>IF($A318="","",IF($U318="Profit",$P318-$H318,0))</x:f>
      </x:c>
      <x:c r="R318" s="251">
        <x:f>IF($A318="","",IF($U318="Draw",$H318,0))</x:f>
      </x:c>
      <x:c r="S318" s="251">
        <x:f>IF($A318="","",IF($U318="Disqualified",$H318,0))</x:f>
      </x:c>
      <x:c r="T318" s="255">
        <x:f>IF($A318="","",IF($H318=0,IF($U318="Profit","N/A",0),IF($U318="Profit",$Q318/$H318,IF($U318="Disqualified",-1,0))))</x:f>
      </x:c>
      <x:c r="U318" s="254">
        <x:f>IF($A318="","",IF(LOWER($L318&amp;"")="yes","Disqualified",IF($P318&gt;$H318,"Profit","Draw")))</x:f>
      </x:c>
      <x:c r="V318" s="253">
        <x:f>IF(OR($B318="",$C318=""),"",IFERROR(ROUNDUP((IF(ISNUMBER($C318),$C318,DATEVALUE($C318))-IF(ISNUMBER($B318),$B318,DATEVALUE($B318)))/7,0),""))</x:f>
      </x:c>
      <x:c r="W318" s="254">
        <x:f>$Q318-$S318</x:f>
      </x:c>
      <x:c r="X318" s="256">
        <x:f>IF(OR($J318="",$I318="",$J318=0,$I318=0,$I318&gt;$J318),"",$J318-$I318)</x:f>
      </x:c>
      <x:c r="Y318" s="257">
        <x:f>IF(OR($J318="",$J318=0,$X318=""),"",$X318/$J318)</x:f>
      </x:c>
    </x:row>
    <x:row r="319" s="106" customFormat="1" ht="21" customHeight="1">
      <x:c r="A319" s="54" t="n"/>
      <x:c r="B319" s="250" t="n"/>
      <x:c r="C319" s="250" t="n"/>
      <x:c r="D319" s="54" t="n"/>
      <x:c r="E319" s="251" t="n"/>
      <x:c r="F319" s="251" t="n"/>
      <x:c r="G319" s="251" t="n"/>
      <x:c r="H319" s="251" t="n"/>
      <x:c r="I319" s="252" t="n"/>
      <x:c r="J319" s="253" t="n"/>
      <x:c r="K319" s="254" t="n"/>
      <x:c r="L319" s="50" t="n"/>
      <x:c r="M319" s="251" t="n"/>
      <x:c r="N319" s="251">
        <x:f>IF($A319="","",IF($G319="","",IF(ISNUMBER(SEARCH("non",LOWER($E319&amp;""))),$G319*0.85,$G319)))</x:f>
      </x:c>
      <x:c r="O319" s="251">
        <x:f>IF($A319="","",IF(OR($N319="",$I319="",$I319=0),"",$N319/$I319))</x:f>
      </x:c>
      <x:c r="P319" s="251">
        <x:f>IF($A319="","",IF(LOWER($L319&amp;"")="yes",0,IF($K319&lt;&gt;"",$K319,IF($O319&lt;&gt;"",$O319,""))))</x:f>
      </x:c>
      <x:c r="Q319" s="254">
        <x:f>IF($A319="","",IF($U319="Profit",$P319-$H319,0))</x:f>
      </x:c>
      <x:c r="R319" s="251">
        <x:f>IF($A319="","",IF($U319="Draw",$H319,0))</x:f>
      </x:c>
      <x:c r="S319" s="251">
        <x:f>IF($A319="","",IF($U319="Disqualified",$H319,0))</x:f>
      </x:c>
      <x:c r="T319" s="255">
        <x:f>IF($A319="","",IF($H319=0,IF($U319="Profit","N/A",0),IF($U319="Profit",$Q319/$H319,IF($U319="Disqualified",-1,0))))</x:f>
      </x:c>
      <x:c r="U319" s="254">
        <x:f>IF($A319="","",IF(LOWER($L319&amp;"")="yes","Disqualified",IF($P319&gt;$H319,"Profit","Draw")))</x:f>
      </x:c>
      <x:c r="V319" s="253">
        <x:f>IF(OR($B319="",$C319=""),"",IFERROR(ROUNDUP((IF(ISNUMBER($C319),$C319,DATEVALUE($C319))-IF(ISNUMBER($B319),$B319,DATEVALUE($B319)))/7,0),""))</x:f>
      </x:c>
      <x:c r="W319" s="254">
        <x:f>$Q319-$S319</x:f>
      </x:c>
      <x:c r="X319" s="256">
        <x:f>IF(OR($J319="",$I319="",$J319=0,$I319=0,$I319&gt;$J319),"",$J319-$I319)</x:f>
      </x:c>
      <x:c r="Y319" s="257">
        <x:f>IF(OR($J319="",$J319=0,$X319=""),"",$X319/$J319)</x:f>
      </x:c>
    </x:row>
    <x:row r="320" s="106" customFormat="1" ht="21" customHeight="1">
      <x:c r="A320" s="54" t="n"/>
      <x:c r="B320" s="250" t="n"/>
      <x:c r="C320" s="250" t="n"/>
      <x:c r="D320" s="54" t="n"/>
      <x:c r="E320" s="251" t="n"/>
      <x:c r="F320" s="251" t="n"/>
      <x:c r="G320" s="251" t="n"/>
      <x:c r="H320" s="251" t="n"/>
      <x:c r="I320" s="252" t="n"/>
      <x:c r="J320" s="253" t="n"/>
      <x:c r="K320" s="254" t="n"/>
      <x:c r="L320" s="50" t="n"/>
      <x:c r="M320" s="251" t="n"/>
      <x:c r="N320" s="251">
        <x:f>IF($A320="","",IF($G320="","",IF(ISNUMBER(SEARCH("non",LOWER($E320&amp;""))),$G320*0.85,$G320)))</x:f>
      </x:c>
      <x:c r="O320" s="251">
        <x:f>IF($A320="","",IF(OR($N320="",$I320="",$I320=0),"",$N320/$I320))</x:f>
      </x:c>
      <x:c r="P320" s="251">
        <x:f>IF($A320="","",IF(LOWER($L320&amp;"")="yes",0,IF($K320&lt;&gt;"",$K320,IF($O320&lt;&gt;"",$O320,""))))</x:f>
      </x:c>
      <x:c r="Q320" s="254">
        <x:f>IF($A320="","",IF($U320="Profit",$P320-$H320,0))</x:f>
      </x:c>
      <x:c r="R320" s="251">
        <x:f>IF($A320="","",IF($U320="Draw",$H320,0))</x:f>
      </x:c>
      <x:c r="S320" s="251">
        <x:f>IF($A320="","",IF($U320="Disqualified",$H320,0))</x:f>
      </x:c>
      <x:c r="T320" s="255">
        <x:f>IF($A320="","",IF($H320=0,IF($U320="Profit","N/A",0),IF($U320="Profit",$Q320/$H320,IF($U320="Disqualified",-1,0))))</x:f>
      </x:c>
      <x:c r="U320" s="254">
        <x:f>IF($A320="","",IF(LOWER($L320&amp;"")="yes","Disqualified",IF($P320&gt;$H320,"Profit","Draw")))</x:f>
      </x:c>
      <x:c r="V320" s="253">
        <x:f>IF(OR($B320="",$C320=""),"",IFERROR(ROUNDUP((IF(ISNUMBER($C320),$C320,DATEVALUE($C320))-IF(ISNUMBER($B320),$B320,DATEVALUE($B320)))/7,0),""))</x:f>
      </x:c>
      <x:c r="W320" s="254">
        <x:f>$Q320-$S320</x:f>
      </x:c>
      <x:c r="X320" s="256">
        <x:f>IF(OR($J320="",$I320="",$J320=0,$I320=0,$I320&gt;$J320),"",$J320-$I320)</x:f>
      </x:c>
      <x:c r="Y320" s="257">
        <x:f>IF(OR($J320="",$J320=0,$X320=""),"",$X320/$J320)</x:f>
      </x:c>
    </x:row>
    <x:row r="321" s="106" customFormat="1" ht="21" customHeight="1">
      <x:c r="A321" s="54" t="n"/>
      <x:c r="B321" s="250" t="n"/>
      <x:c r="C321" s="250" t="n"/>
      <x:c r="D321" s="54" t="n"/>
      <x:c r="E321" s="251" t="n"/>
      <x:c r="F321" s="251" t="n"/>
      <x:c r="G321" s="251" t="n"/>
      <x:c r="H321" s="251" t="n"/>
      <x:c r="I321" s="252" t="n"/>
      <x:c r="J321" s="253" t="n"/>
      <x:c r="K321" s="254" t="n"/>
      <x:c r="L321" s="50" t="n"/>
      <x:c r="M321" s="251" t="n"/>
      <x:c r="N321" s="251">
        <x:f>IF($A321="","",IF($G321="","",IF(ISNUMBER(SEARCH("non",LOWER($E321&amp;""))),$G321*0.85,$G321)))</x:f>
      </x:c>
      <x:c r="O321" s="251">
        <x:f>IF($A321="","",IF(OR($N321="",$I321="",$I321=0),"",$N321/$I321))</x:f>
      </x:c>
      <x:c r="P321" s="251">
        <x:f>IF($A321="","",IF(LOWER($L321&amp;"")="yes",0,IF($K321&lt;&gt;"",$K321,IF($O321&lt;&gt;"",$O321,""))))</x:f>
      </x:c>
      <x:c r="Q321" s="254">
        <x:f>IF($A321="","",IF($U321="Profit",$P321-$H321,0))</x:f>
      </x:c>
      <x:c r="R321" s="251">
        <x:f>IF($A321="","",IF($U321="Draw",$H321,0))</x:f>
      </x:c>
      <x:c r="S321" s="251">
        <x:f>IF($A321="","",IF($U321="Disqualified",$H321,0))</x:f>
      </x:c>
      <x:c r="T321" s="255">
        <x:f>IF($A321="","",IF($H321=0,IF($U321="Profit","N/A",0),IF($U321="Profit",$Q321/$H321,IF($U321="Disqualified",-1,0))))</x:f>
      </x:c>
      <x:c r="U321" s="254">
        <x:f>IF($A321="","",IF(LOWER($L321&amp;"")="yes","Disqualified",IF($P321&gt;$H321,"Profit","Draw")))</x:f>
      </x:c>
      <x:c r="V321" s="253">
        <x:f>IF(OR($B321="",$C321=""),"",IFERROR(ROUNDUP((IF(ISNUMBER($C321),$C321,DATEVALUE($C321))-IF(ISNUMBER($B321),$B321,DATEVALUE($B321)))/7,0),""))</x:f>
      </x:c>
      <x:c r="W321" s="254">
        <x:f>$Q321-$S321</x:f>
      </x:c>
      <x:c r="X321" s="256">
        <x:f>IF(OR($J321="",$I321="",$J321=0,$I321=0,$I321&gt;$J321),"",$J321-$I321)</x:f>
      </x:c>
      <x:c r="Y321" s="257">
        <x:f>IF(OR($J321="",$J321=0,$X321=""),"",$X321/$J321)</x:f>
      </x:c>
    </x:row>
    <x:row r="322" s="106" customFormat="1" ht="21" customHeight="1">
      <x:c r="A322" s="54" t="n"/>
      <x:c r="B322" s="250" t="n"/>
      <x:c r="C322" s="250" t="n"/>
      <x:c r="D322" s="54" t="n"/>
      <x:c r="E322" s="251" t="n"/>
      <x:c r="F322" s="251" t="n"/>
      <x:c r="G322" s="251" t="n"/>
      <x:c r="H322" s="251" t="n"/>
      <x:c r="I322" s="252" t="n"/>
      <x:c r="J322" s="253" t="n"/>
      <x:c r="K322" s="254" t="n"/>
      <x:c r="L322" s="50" t="n"/>
      <x:c r="M322" s="251" t="n"/>
      <x:c r="N322" s="251">
        <x:f>IF($A322="","",IF($G322="","",IF(ISNUMBER(SEARCH("non",LOWER($E322&amp;""))),$G322*0.85,$G322)))</x:f>
      </x:c>
      <x:c r="O322" s="251">
        <x:f>IF($A322="","",IF(OR($N322="",$I322="",$I322=0),"",$N322/$I322))</x:f>
      </x:c>
      <x:c r="P322" s="251">
        <x:f>IF($A322="","",IF(LOWER($L322&amp;"")="yes",0,IF($K322&lt;&gt;"",$K322,IF($O322&lt;&gt;"",$O322,""))))</x:f>
      </x:c>
      <x:c r="Q322" s="254">
        <x:f>IF($A322="","",IF($U322="Profit",$P322-$H322,0))</x:f>
      </x:c>
      <x:c r="R322" s="251">
        <x:f>IF($A322="","",IF($U322="Draw",$H322,0))</x:f>
      </x:c>
      <x:c r="S322" s="251">
        <x:f>IF($A322="","",IF($U322="Disqualified",$H322,0))</x:f>
      </x:c>
      <x:c r="T322" s="255">
        <x:f>IF($A322="","",IF($H322=0,IF($U322="Profit","N/A",0),IF($U322="Profit",$Q322/$H322,IF($U322="Disqualified",-1,0))))</x:f>
      </x:c>
      <x:c r="U322" s="254">
        <x:f>IF($A322="","",IF(LOWER($L322&amp;"")="yes","Disqualified",IF($P322&gt;$H322,"Profit","Draw")))</x:f>
      </x:c>
      <x:c r="V322" s="253">
        <x:f>IF(OR($B322="",$C322=""),"",IFERROR(ROUNDUP((IF(ISNUMBER($C322),$C322,DATEVALUE($C322))-IF(ISNUMBER($B322),$B322,DATEVALUE($B322)))/7,0),""))</x:f>
      </x:c>
      <x:c r="W322" s="254">
        <x:f>$Q322-$S322</x:f>
      </x:c>
      <x:c r="X322" s="256">
        <x:f>IF(OR($J322="",$I322="",$J322=0,$I322=0,$I322&gt;$J322),"",$J322-$I322)</x:f>
      </x:c>
      <x:c r="Y322" s="257">
        <x:f>IF(OR($J322="",$J322=0,$X322=""),"",$X322/$J322)</x:f>
      </x:c>
    </x:row>
    <x:row r="323" s="106" customFormat="1" ht="21" customHeight="1">
      <x:c r="A323" s="54" t="n"/>
      <x:c r="B323" s="250" t="n"/>
      <x:c r="C323" s="250" t="n"/>
      <x:c r="D323" s="54" t="n"/>
      <x:c r="E323" s="251" t="n"/>
      <x:c r="F323" s="251" t="n"/>
      <x:c r="G323" s="251" t="n"/>
      <x:c r="H323" s="251" t="n"/>
      <x:c r="I323" s="252" t="n"/>
      <x:c r="J323" s="253" t="n"/>
      <x:c r="K323" s="254" t="n"/>
      <x:c r="L323" s="50" t="n"/>
      <x:c r="M323" s="251" t="n"/>
      <x:c r="N323" s="251">
        <x:f>IF($A323="","",IF($G323="","",IF(ISNUMBER(SEARCH("non",LOWER($E323&amp;""))),$G323*0.85,$G323)))</x:f>
      </x:c>
      <x:c r="O323" s="251">
        <x:f>IF($A323="","",IF(OR($N323="",$I323="",$I323=0),"",$N323/$I323))</x:f>
      </x:c>
      <x:c r="P323" s="251">
        <x:f>IF($A323="","",IF(LOWER($L323&amp;"")="yes",0,IF($K323&lt;&gt;"",$K323,IF($O323&lt;&gt;"",$O323,""))))</x:f>
      </x:c>
      <x:c r="Q323" s="254">
        <x:f>IF($A323="","",IF($U323="Profit",$P323-$H323,0))</x:f>
      </x:c>
      <x:c r="R323" s="251">
        <x:f>IF($A323="","",IF($U323="Draw",$H323,0))</x:f>
      </x:c>
      <x:c r="S323" s="251">
        <x:f>IF($A323="","",IF($U323="Disqualified",$H323,0))</x:f>
      </x:c>
      <x:c r="T323" s="255">
        <x:f>IF($A323="","",IF($H323=0,IF($U323="Profit","N/A",0),IF($U323="Profit",$Q323/$H323,IF($U323="Disqualified",-1,0))))</x:f>
      </x:c>
      <x:c r="U323" s="254">
        <x:f>IF($A323="","",IF(LOWER($L323&amp;"")="yes","Disqualified",IF($P323&gt;$H323,"Profit","Draw")))</x:f>
      </x:c>
      <x:c r="V323" s="253">
        <x:f>IF(OR($B323="",$C323=""),"",IFERROR(ROUNDUP((IF(ISNUMBER($C323),$C323,DATEVALUE($C323))-IF(ISNUMBER($B323),$B323,DATEVALUE($B323)))/7,0),""))</x:f>
      </x:c>
      <x:c r="W323" s="254">
        <x:f>$Q323-$S323</x:f>
      </x:c>
      <x:c r="X323" s="256">
        <x:f>IF(OR($J323="",$I323="",$J323=0,$I323=0,$I323&gt;$J323),"",$J323-$I323)</x:f>
      </x:c>
      <x:c r="Y323" s="257">
        <x:f>IF(OR($J323="",$J323=0,$X323=""),"",$X323/$J323)</x:f>
      </x:c>
    </x:row>
    <x:row r="324" s="106" customFormat="1" ht="21" customHeight="1">
      <x:c r="A324" s="54" t="n"/>
      <x:c r="B324" s="250" t="n"/>
      <x:c r="C324" s="250" t="n"/>
      <x:c r="D324" s="54" t="n"/>
      <x:c r="E324" s="251" t="n"/>
      <x:c r="F324" s="251" t="n"/>
      <x:c r="G324" s="251" t="n"/>
      <x:c r="H324" s="251" t="n"/>
      <x:c r="I324" s="252" t="n"/>
      <x:c r="J324" s="253" t="n"/>
      <x:c r="K324" s="254" t="n"/>
      <x:c r="L324" s="50" t="n"/>
      <x:c r="M324" s="251" t="n"/>
      <x:c r="N324" s="251">
        <x:f>IF($A324="","",IF($G324="","",IF(ISNUMBER(SEARCH("non",LOWER($E324&amp;""))),$G324*0.85,$G324)))</x:f>
      </x:c>
      <x:c r="O324" s="251">
        <x:f>IF($A324="","",IF(OR($N324="",$I324="",$I324=0),"",$N324/$I324))</x:f>
      </x:c>
      <x:c r="P324" s="251">
        <x:f>IF($A324="","",IF(LOWER($L324&amp;"")="yes",0,IF($K324&lt;&gt;"",$K324,IF($O324&lt;&gt;"",$O324,""))))</x:f>
      </x:c>
      <x:c r="Q324" s="254">
        <x:f>IF($A324="","",IF($U324="Profit",$P324-$H324,0))</x:f>
      </x:c>
      <x:c r="R324" s="251">
        <x:f>IF($A324="","",IF($U324="Draw",$H324,0))</x:f>
      </x:c>
      <x:c r="S324" s="251">
        <x:f>IF($A324="","",IF($U324="Disqualified",$H324,0))</x:f>
      </x:c>
      <x:c r="T324" s="255">
        <x:f>IF($A324="","",IF($H324=0,IF($U324="Profit","N/A",0),IF($U324="Profit",$Q324/$H324,IF($U324="Disqualified",-1,0))))</x:f>
      </x:c>
      <x:c r="U324" s="254">
        <x:f>IF($A324="","",IF(LOWER($L324&amp;"")="yes","Disqualified",IF($P324&gt;$H324,"Profit","Draw")))</x:f>
      </x:c>
      <x:c r="V324" s="253">
        <x:f>IF(OR($B324="",$C324=""),"",IFERROR(ROUNDUP((IF(ISNUMBER($C324),$C324,DATEVALUE($C324))-IF(ISNUMBER($B324),$B324,DATEVALUE($B324)))/7,0),""))</x:f>
      </x:c>
      <x:c r="W324" s="254">
        <x:f>$Q324-$S324</x:f>
      </x:c>
      <x:c r="X324" s="256">
        <x:f>IF(OR($J324="",$I324="",$J324=0,$I324=0,$I324&gt;$J324),"",$J324-$I324)</x:f>
      </x:c>
      <x:c r="Y324" s="257">
        <x:f>IF(OR($J324="",$J324=0,$X324=""),"",$X324/$J324)</x:f>
      </x:c>
    </x:row>
    <x:row r="325" s="106" customFormat="1" ht="21" customHeight="1">
      <x:c r="A325" s="54" t="n"/>
      <x:c r="B325" s="250" t="n"/>
      <x:c r="C325" s="250" t="n"/>
      <x:c r="D325" s="54" t="n"/>
      <x:c r="E325" s="251" t="n"/>
      <x:c r="F325" s="251" t="n"/>
      <x:c r="G325" s="251" t="n"/>
      <x:c r="H325" s="251" t="n"/>
      <x:c r="I325" s="252" t="n"/>
      <x:c r="J325" s="253" t="n"/>
      <x:c r="K325" s="254" t="n"/>
      <x:c r="L325" s="50" t="n"/>
      <x:c r="M325" s="251" t="n"/>
      <x:c r="N325" s="251">
        <x:f>IF($A325="","",IF($G325="","",IF(ISNUMBER(SEARCH("non",LOWER($E325&amp;""))),$G325*0.85,$G325)))</x:f>
      </x:c>
      <x:c r="O325" s="251">
        <x:f>IF($A325="","",IF(OR($N325="",$I325="",$I325=0),"",$N325/$I325))</x:f>
      </x:c>
      <x:c r="P325" s="251">
        <x:f>IF($A325="","",IF(LOWER($L325&amp;"")="yes",0,IF($K325&lt;&gt;"",$K325,IF($O325&lt;&gt;"",$O325,""))))</x:f>
      </x:c>
      <x:c r="Q325" s="254">
        <x:f>IF($A325="","",IF($U325="Profit",$P325-$H325,0))</x:f>
      </x:c>
      <x:c r="R325" s="251">
        <x:f>IF($A325="","",IF($U325="Draw",$H325,0))</x:f>
      </x:c>
      <x:c r="S325" s="251">
        <x:f>IF($A325="","",IF($U325="Disqualified",$H325,0))</x:f>
      </x:c>
      <x:c r="T325" s="255">
        <x:f>IF($A325="","",IF($H325=0,IF($U325="Profit","N/A",0),IF($U325="Profit",$Q325/$H325,IF($U325="Disqualified",-1,0))))</x:f>
      </x:c>
      <x:c r="U325" s="254">
        <x:f>IF($A325="","",IF(LOWER($L325&amp;"")="yes","Disqualified",IF($P325&gt;$H325,"Profit","Draw")))</x:f>
      </x:c>
      <x:c r="V325" s="253">
        <x:f>IF(OR($B325="",$C325=""),"",IFERROR(ROUNDUP((IF(ISNUMBER($C325),$C325,DATEVALUE($C325))-IF(ISNUMBER($B325),$B325,DATEVALUE($B325)))/7,0),""))</x:f>
      </x:c>
      <x:c r="W325" s="254">
        <x:f>$Q325-$S325</x:f>
      </x:c>
      <x:c r="X325" s="256">
        <x:f>IF(OR($J325="",$I325="",$J325=0,$I325=0,$I325&gt;$J325),"",$J325-$I325)</x:f>
      </x:c>
      <x:c r="Y325" s="257">
        <x:f>IF(OR($J325="",$J325=0,$X325=""),"",$X325/$J325)</x:f>
      </x:c>
    </x:row>
    <x:row r="326" s="106" customFormat="1" ht="21" customHeight="1">
      <x:c r="A326" s="54" t="n"/>
      <x:c r="B326" s="250" t="n"/>
      <x:c r="C326" s="250" t="n"/>
      <x:c r="D326" s="54" t="n"/>
      <x:c r="E326" s="251" t="n"/>
      <x:c r="F326" s="251" t="n"/>
      <x:c r="G326" s="251" t="n"/>
      <x:c r="H326" s="251" t="n"/>
      <x:c r="I326" s="252" t="n"/>
      <x:c r="J326" s="253" t="n"/>
      <x:c r="K326" s="254" t="n"/>
      <x:c r="L326" s="50" t="n"/>
      <x:c r="M326" s="251" t="n"/>
      <x:c r="N326" s="251">
        <x:f>IF($A326="","",IF($G326="","",IF(ISNUMBER(SEARCH("non",LOWER($E326&amp;""))),$G326*0.85,$G326)))</x:f>
      </x:c>
      <x:c r="O326" s="251">
        <x:f>IF($A326="","",IF(OR($N326="",$I326="",$I326=0),"",$N326/$I326))</x:f>
      </x:c>
      <x:c r="P326" s="251">
        <x:f>IF($A326="","",IF(LOWER($L326&amp;"")="yes",0,IF($K326&lt;&gt;"",$K326,IF($O326&lt;&gt;"",$O326,""))))</x:f>
      </x:c>
      <x:c r="Q326" s="254">
        <x:f>IF($A326="","",IF($U326="Profit",$P326-$H326,0))</x:f>
      </x:c>
      <x:c r="R326" s="251">
        <x:f>IF($A326="","",IF($U326="Draw",$H326,0))</x:f>
      </x:c>
      <x:c r="S326" s="251">
        <x:f>IF($A326="","",IF($U326="Disqualified",$H326,0))</x:f>
      </x:c>
      <x:c r="T326" s="255">
        <x:f>IF($A326="","",IF($H326=0,IF($U326="Profit","N/A",0),IF($U326="Profit",$Q326/$H326,IF($U326="Disqualified",-1,0))))</x:f>
      </x:c>
      <x:c r="U326" s="254">
        <x:f>IF($A326="","",IF(LOWER($L326&amp;"")="yes","Disqualified",IF($P326&gt;$H326,"Profit","Draw")))</x:f>
      </x:c>
      <x:c r="V326" s="253">
        <x:f>IF(OR($B326="",$C326=""),"",IFERROR(ROUNDUP((IF(ISNUMBER($C326),$C326,DATEVALUE($C326))-IF(ISNUMBER($B326),$B326,DATEVALUE($B326)))/7,0),""))</x:f>
      </x:c>
      <x:c r="W326" s="254">
        <x:f>$Q326-$S326</x:f>
      </x:c>
      <x:c r="X326" s="256">
        <x:f>IF(OR($J326="",$I326="",$J326=0,$I326=0,$I326&gt;$J326),"",$J326-$I326)</x:f>
      </x:c>
      <x:c r="Y326" s="257">
        <x:f>IF(OR($J326="",$J326=0,$X326=""),"",$X326/$J326)</x:f>
      </x:c>
    </x:row>
    <x:row r="327" s="106" customFormat="1" ht="21" customHeight="1">
      <x:c r="A327" s="54" t="n"/>
      <x:c r="B327" s="250" t="n"/>
      <x:c r="C327" s="250" t="n"/>
      <x:c r="D327" s="54" t="n"/>
      <x:c r="E327" s="251" t="n"/>
      <x:c r="F327" s="251" t="n"/>
      <x:c r="G327" s="251" t="n"/>
      <x:c r="H327" s="251" t="n"/>
      <x:c r="I327" s="252" t="n"/>
      <x:c r="J327" s="253" t="n"/>
      <x:c r="K327" s="254" t="n"/>
      <x:c r="L327" s="50" t="n"/>
      <x:c r="M327" s="251" t="n"/>
      <x:c r="N327" s="251">
        <x:f>IF($A327="","",IF($G327="","",IF(ISNUMBER(SEARCH("non",LOWER($E327&amp;""))),$G327*0.85,$G327)))</x:f>
      </x:c>
      <x:c r="O327" s="251">
        <x:f>IF($A327="","",IF(OR($N327="",$I327="",$I327=0),"",$N327/$I327))</x:f>
      </x:c>
      <x:c r="P327" s="251">
        <x:f>IF($A327="","",IF(LOWER($L327&amp;"")="yes",0,IF($K327&lt;&gt;"",$K327,IF($O327&lt;&gt;"",$O327,""))))</x:f>
      </x:c>
      <x:c r="Q327" s="254">
        <x:f>IF($A327="","",IF($U327="Profit",$P327-$H327,0))</x:f>
      </x:c>
      <x:c r="R327" s="251">
        <x:f>IF($A327="","",IF($U327="Draw",$H327,0))</x:f>
      </x:c>
      <x:c r="S327" s="251">
        <x:f>IF($A327="","",IF($U327="Disqualified",$H327,0))</x:f>
      </x:c>
      <x:c r="T327" s="255">
        <x:f>IF($A327="","",IF($H327=0,IF($U327="Profit","N/A",0),IF($U327="Profit",$Q327/$H327,IF($U327="Disqualified",-1,0))))</x:f>
      </x:c>
      <x:c r="U327" s="254">
        <x:f>IF($A327="","",IF(LOWER($L327&amp;"")="yes","Disqualified",IF($P327&gt;$H327,"Profit","Draw")))</x:f>
      </x:c>
      <x:c r="V327" s="253">
        <x:f>IF(OR($B327="",$C327=""),"",IFERROR(ROUNDUP((IF(ISNUMBER($C327),$C327,DATEVALUE($C327))-IF(ISNUMBER($B327),$B327,DATEVALUE($B327)))/7,0),""))</x:f>
      </x:c>
      <x:c r="W327" s="254">
        <x:f>$Q327-$S327</x:f>
      </x:c>
      <x:c r="X327" s="256">
        <x:f>IF(OR($J327="",$I327="",$J327=0,$I327=0,$I327&gt;$J327),"",$J327-$I327)</x:f>
      </x:c>
      <x:c r="Y327" s="257">
        <x:f>IF(OR($J327="",$J327=0,$X327=""),"",$X327/$J327)</x:f>
      </x:c>
    </x:row>
    <x:row r="328" s="106" customFormat="1" ht="21" customHeight="1">
      <x:c r="A328" s="54" t="n"/>
      <x:c r="B328" s="250" t="n"/>
      <x:c r="C328" s="250" t="n"/>
      <x:c r="D328" s="54" t="n"/>
      <x:c r="E328" s="251" t="n"/>
      <x:c r="F328" s="251" t="n"/>
      <x:c r="G328" s="251" t="n"/>
      <x:c r="H328" s="251" t="n"/>
      <x:c r="I328" s="252" t="n"/>
      <x:c r="J328" s="253" t="n"/>
      <x:c r="K328" s="254" t="n"/>
      <x:c r="L328" s="50" t="n"/>
      <x:c r="M328" s="251" t="n"/>
      <x:c r="N328" s="251">
        <x:f>IF($A328="","",IF($G328="","",IF(ISNUMBER(SEARCH("non",LOWER($E328&amp;""))),$G328*0.85,$G328)))</x:f>
      </x:c>
      <x:c r="O328" s="251">
        <x:f>IF($A328="","",IF(OR($N328="",$I328="",$I328=0),"",$N328/$I328))</x:f>
      </x:c>
      <x:c r="P328" s="251">
        <x:f>IF($A328="","",IF(LOWER($L328&amp;"")="yes",0,IF($K328&lt;&gt;"",$K328,IF($O328&lt;&gt;"",$O328,""))))</x:f>
      </x:c>
      <x:c r="Q328" s="254">
        <x:f>IF($A328="","",IF($U328="Profit",$P328-$H328,0))</x:f>
      </x:c>
      <x:c r="R328" s="251">
        <x:f>IF($A328="","",IF($U328="Draw",$H328,0))</x:f>
      </x:c>
      <x:c r="S328" s="251">
        <x:f>IF($A328="","",IF($U328="Disqualified",$H328,0))</x:f>
      </x:c>
      <x:c r="T328" s="255">
        <x:f>IF($A328="","",IF($H328=0,IF($U328="Profit","N/A",0),IF($U328="Profit",$Q328/$H328,IF($U328="Disqualified",-1,0))))</x:f>
      </x:c>
      <x:c r="U328" s="254">
        <x:f>IF($A328="","",IF(LOWER($L328&amp;"")="yes","Disqualified",IF($P328&gt;$H328,"Profit","Draw")))</x:f>
      </x:c>
      <x:c r="V328" s="253">
        <x:f>IF(OR($B328="",$C328=""),"",IFERROR(ROUNDUP((IF(ISNUMBER($C328),$C328,DATEVALUE($C328))-IF(ISNUMBER($B328),$B328,DATEVALUE($B328)))/7,0),""))</x:f>
      </x:c>
      <x:c r="W328" s="254">
        <x:f>$Q328-$S328</x:f>
      </x:c>
      <x:c r="X328" s="256">
        <x:f>IF(OR($J328="",$I328="",$J328=0,$I328=0,$I328&gt;$J328),"",$J328-$I328)</x:f>
      </x:c>
      <x:c r="Y328" s="257">
        <x:f>IF(OR($J328="",$J328=0,$X328=""),"",$X328/$J328)</x:f>
      </x:c>
    </x:row>
    <x:row r="329" s="106" customFormat="1" ht="21" customHeight="1">
      <x:c r="A329" s="54" t="n"/>
      <x:c r="B329" s="250" t="n"/>
      <x:c r="C329" s="250" t="n"/>
      <x:c r="D329" s="54" t="n"/>
      <x:c r="E329" s="251" t="n"/>
      <x:c r="F329" s="251" t="n"/>
      <x:c r="G329" s="251" t="n"/>
      <x:c r="H329" s="251" t="n"/>
      <x:c r="I329" s="252" t="n"/>
      <x:c r="J329" s="253" t="n"/>
      <x:c r="K329" s="254" t="n"/>
      <x:c r="L329" s="50" t="n"/>
      <x:c r="M329" s="251" t="n"/>
      <x:c r="N329" s="251">
        <x:f>IF($A329="","",IF($G329="","",IF(ISNUMBER(SEARCH("non",LOWER($E329&amp;""))),$G329*0.85,$G329)))</x:f>
      </x:c>
      <x:c r="O329" s="251">
        <x:f>IF($A329="","",IF(OR($N329="",$I329="",$I329=0),"",$N329/$I329))</x:f>
      </x:c>
      <x:c r="P329" s="251">
        <x:f>IF($A329="","",IF(LOWER($L329&amp;"")="yes",0,IF($K329&lt;&gt;"",$K329,IF($O329&lt;&gt;"",$O329,""))))</x:f>
      </x:c>
      <x:c r="Q329" s="254">
        <x:f>IF($A329="","",IF($U329="Profit",$P329-$H329,0))</x:f>
      </x:c>
      <x:c r="R329" s="251">
        <x:f>IF($A329="","",IF($U329="Draw",$H329,0))</x:f>
      </x:c>
      <x:c r="S329" s="251">
        <x:f>IF($A329="","",IF($U329="Disqualified",$H329,0))</x:f>
      </x:c>
      <x:c r="T329" s="255">
        <x:f>IF($A329="","",IF($H329=0,IF($U329="Profit","N/A",0),IF($U329="Profit",$Q329/$H329,IF($U329="Disqualified",-1,0))))</x:f>
      </x:c>
      <x:c r="U329" s="254">
        <x:f>IF($A329="","",IF(LOWER($L329&amp;"")="yes","Disqualified",IF($P329&gt;$H329,"Profit","Draw")))</x:f>
      </x:c>
      <x:c r="V329" s="253">
        <x:f>IF(OR($B329="",$C329=""),"",IFERROR(ROUNDUP((IF(ISNUMBER($C329),$C329,DATEVALUE($C329))-IF(ISNUMBER($B329),$B329,DATEVALUE($B329)))/7,0),""))</x:f>
      </x:c>
      <x:c r="W329" s="254">
        <x:f>$Q329-$S329</x:f>
      </x:c>
      <x:c r="X329" s="256">
        <x:f>IF(OR($J329="",$I329="",$J329=0,$I329=0,$I329&gt;$J329),"",$J329-$I329)</x:f>
      </x:c>
      <x:c r="Y329" s="257">
        <x:f>IF(OR($J329="",$J329=0,$X329=""),"",$X329/$J329)</x:f>
      </x:c>
    </x:row>
    <x:row r="330" s="106" customFormat="1" ht="21" customHeight="1">
      <x:c r="A330" s="54" t="n"/>
      <x:c r="B330" s="250" t="n"/>
      <x:c r="C330" s="250" t="n"/>
      <x:c r="D330" s="54" t="n"/>
      <x:c r="E330" s="251" t="n"/>
      <x:c r="F330" s="251" t="n"/>
      <x:c r="G330" s="251" t="n"/>
      <x:c r="H330" s="251" t="n"/>
      <x:c r="I330" s="252" t="n"/>
      <x:c r="J330" s="253" t="n"/>
      <x:c r="K330" s="254" t="n"/>
      <x:c r="L330" s="50" t="n"/>
      <x:c r="M330" s="251" t="n"/>
      <x:c r="N330" s="251">
        <x:f>IF($A330="","",IF($G330="","",IF(ISNUMBER(SEARCH("non",LOWER($E330&amp;""))),$G330*0.85,$G330)))</x:f>
      </x:c>
      <x:c r="O330" s="251">
        <x:f>IF($A330="","",IF(OR($N330="",$I330="",$I330=0),"",$N330/$I330))</x:f>
      </x:c>
      <x:c r="P330" s="251">
        <x:f>IF($A330="","",IF(LOWER($L330&amp;"")="yes",0,IF($K330&lt;&gt;"",$K330,IF($O330&lt;&gt;"",$O330,""))))</x:f>
      </x:c>
      <x:c r="Q330" s="254">
        <x:f>IF($A330="","",IF($U330="Profit",$P330-$H330,0))</x:f>
      </x:c>
      <x:c r="R330" s="251">
        <x:f>IF($A330="","",IF($U330="Draw",$H330,0))</x:f>
      </x:c>
      <x:c r="S330" s="251">
        <x:f>IF($A330="","",IF($U330="Disqualified",$H330,0))</x:f>
      </x:c>
      <x:c r="T330" s="255">
        <x:f>IF($A330="","",IF($H330=0,IF($U330="Profit","N/A",0),IF($U330="Profit",$Q330/$H330,IF($U330="Disqualified",-1,0))))</x:f>
      </x:c>
      <x:c r="U330" s="254">
        <x:f>IF($A330="","",IF(LOWER($L330&amp;"")="yes","Disqualified",IF($P330&gt;$H330,"Profit","Draw")))</x:f>
      </x:c>
      <x:c r="V330" s="253">
        <x:f>IF(OR($B330="",$C330=""),"",IFERROR(ROUNDUP((IF(ISNUMBER($C330),$C330,DATEVALUE($C330))-IF(ISNUMBER($B330),$B330,DATEVALUE($B330)))/7,0),""))</x:f>
      </x:c>
      <x:c r="W330" s="254">
        <x:f>$Q330-$S330</x:f>
      </x:c>
      <x:c r="X330" s="256">
        <x:f>IF(OR($J330="",$I330="",$J330=0,$I330=0,$I330&gt;$J330),"",$J330-$I330)</x:f>
      </x:c>
      <x:c r="Y330" s="257">
        <x:f>IF(OR($J330="",$J330=0,$X330=""),"",$X330/$J330)</x:f>
      </x:c>
    </x:row>
    <x:row r="331" s="106" customFormat="1" ht="21" customHeight="1">
      <x:c r="A331" s="54" t="n"/>
      <x:c r="B331" s="250" t="n"/>
      <x:c r="C331" s="250" t="n"/>
      <x:c r="D331" s="54" t="n"/>
      <x:c r="E331" s="251" t="n"/>
      <x:c r="F331" s="251" t="n"/>
      <x:c r="G331" s="251" t="n"/>
      <x:c r="H331" s="251" t="n"/>
      <x:c r="I331" s="252" t="n"/>
      <x:c r="J331" s="253" t="n"/>
      <x:c r="K331" s="254" t="n"/>
      <x:c r="L331" s="50" t="n"/>
      <x:c r="M331" s="251" t="n"/>
      <x:c r="N331" s="251">
        <x:f>IF($A331="","",IF($G331="","",IF(ISNUMBER(SEARCH("non",LOWER($E331&amp;""))),$G331*0.85,$G331)))</x:f>
      </x:c>
      <x:c r="O331" s="251">
        <x:f>IF($A331="","",IF(OR($N331="",$I331="",$I331=0),"",$N331/$I331))</x:f>
      </x:c>
      <x:c r="P331" s="251">
        <x:f>IF($A331="","",IF(LOWER($L331&amp;"")="yes",0,IF($K331&lt;&gt;"",$K331,IF($O331&lt;&gt;"",$O331,""))))</x:f>
      </x:c>
      <x:c r="Q331" s="254">
        <x:f>IF($A331="","",IF($U331="Profit",$P331-$H331,0))</x:f>
      </x:c>
      <x:c r="R331" s="251">
        <x:f>IF($A331="","",IF($U331="Draw",$H331,0))</x:f>
      </x:c>
      <x:c r="S331" s="251">
        <x:f>IF($A331="","",IF($U331="Disqualified",$H331,0))</x:f>
      </x:c>
      <x:c r="T331" s="255">
        <x:f>IF($A331="","",IF($H331=0,IF($U331="Profit","N/A",0),IF($U331="Profit",$Q331/$H331,IF($U331="Disqualified",-1,0))))</x:f>
      </x:c>
      <x:c r="U331" s="254">
        <x:f>IF($A331="","",IF(LOWER($L331&amp;"")="yes","Disqualified",IF($P331&gt;$H331,"Profit","Draw")))</x:f>
      </x:c>
      <x:c r="V331" s="253">
        <x:f>IF(OR($B331="",$C331=""),"",IFERROR(ROUNDUP((IF(ISNUMBER($C331),$C331,DATEVALUE($C331))-IF(ISNUMBER($B331),$B331,DATEVALUE($B331)))/7,0),""))</x:f>
      </x:c>
      <x:c r="W331" s="254">
        <x:f>$Q331-$S331</x:f>
      </x:c>
      <x:c r="X331" s="256">
        <x:f>IF(OR($J331="",$I331="",$J331=0,$I331=0,$I331&gt;$J331),"",$J331-$I331)</x:f>
      </x:c>
      <x:c r="Y331" s="257">
        <x:f>IF(OR($J331="",$J331=0,$X331=""),"",$X331/$J331)</x:f>
      </x:c>
    </x:row>
    <x:row r="332" s="106" customFormat="1" ht="21" customHeight="1">
      <x:c r="A332" s="54" t="n"/>
      <x:c r="B332" s="250" t="n"/>
      <x:c r="C332" s="250" t="n"/>
      <x:c r="D332" s="54" t="n"/>
      <x:c r="E332" s="251" t="n"/>
      <x:c r="F332" s="251" t="n"/>
      <x:c r="G332" s="251" t="n"/>
      <x:c r="H332" s="251" t="n"/>
      <x:c r="I332" s="252" t="n"/>
      <x:c r="J332" s="253" t="n"/>
      <x:c r="K332" s="254" t="n"/>
      <x:c r="L332" s="50" t="n"/>
      <x:c r="M332" s="251" t="n"/>
      <x:c r="N332" s="251">
        <x:f>IF($A332="","",IF($G332="","",IF(ISNUMBER(SEARCH("non",LOWER($E332&amp;""))),$G332*0.85,$G332)))</x:f>
      </x:c>
      <x:c r="O332" s="251">
        <x:f>IF($A332="","",IF(OR($N332="",$I332="",$I332=0),"",$N332/$I332))</x:f>
      </x:c>
      <x:c r="P332" s="251">
        <x:f>IF($A332="","",IF(LOWER($L332&amp;"")="yes",0,IF($K332&lt;&gt;"",$K332,IF($O332&lt;&gt;"",$O332,""))))</x:f>
      </x:c>
      <x:c r="Q332" s="254">
        <x:f>IF($A332="","",IF($U332="Profit",$P332-$H332,0))</x:f>
      </x:c>
      <x:c r="R332" s="251">
        <x:f>IF($A332="","",IF($U332="Draw",$H332,0))</x:f>
      </x:c>
      <x:c r="S332" s="251">
        <x:f>IF($A332="","",IF($U332="Disqualified",$H332,0))</x:f>
      </x:c>
      <x:c r="T332" s="255">
        <x:f>IF($A332="","",IF($H332=0,IF($U332="Profit","N/A",0),IF($U332="Profit",$Q332/$H332,IF($U332="Disqualified",-1,0))))</x:f>
      </x:c>
      <x:c r="U332" s="254">
        <x:f>IF($A332="","",IF(LOWER($L332&amp;"")="yes","Disqualified",IF($P332&gt;$H332,"Profit","Draw")))</x:f>
      </x:c>
      <x:c r="V332" s="253">
        <x:f>IF(OR($B332="",$C332=""),"",IFERROR(ROUNDUP((IF(ISNUMBER($C332),$C332,DATEVALUE($C332))-IF(ISNUMBER($B332),$B332,DATEVALUE($B332)))/7,0),""))</x:f>
      </x:c>
      <x:c r="W332" s="254">
        <x:f>$Q332-$S332</x:f>
      </x:c>
      <x:c r="X332" s="256">
        <x:f>IF(OR($J332="",$I332="",$J332=0,$I332=0,$I332&gt;$J332),"",$J332-$I332)</x:f>
      </x:c>
      <x:c r="Y332" s="257">
        <x:f>IF(OR($J332="",$J332=0,$X332=""),"",$X332/$J332)</x:f>
      </x:c>
    </x:row>
    <x:row r="333" s="106" customFormat="1" ht="21" customHeight="1">
      <x:c r="A333" s="54" t="n"/>
      <x:c r="B333" s="250" t="n"/>
      <x:c r="C333" s="250" t="n"/>
      <x:c r="D333" s="54" t="n"/>
      <x:c r="E333" s="251" t="n"/>
      <x:c r="F333" s="251" t="n"/>
      <x:c r="G333" s="251" t="n"/>
      <x:c r="H333" s="251" t="n"/>
      <x:c r="I333" s="252" t="n"/>
      <x:c r="J333" s="253" t="n"/>
      <x:c r="K333" s="254" t="n"/>
      <x:c r="L333" s="50" t="n"/>
      <x:c r="M333" s="251" t="n"/>
      <x:c r="N333" s="251">
        <x:f>IF($A333="","",IF($G333="","",IF(ISNUMBER(SEARCH("non",LOWER($E333&amp;""))),$G333*0.85,$G333)))</x:f>
      </x:c>
      <x:c r="O333" s="251">
        <x:f>IF($A333="","",IF(OR($N333="",$I333="",$I333=0),"",$N333/$I333))</x:f>
      </x:c>
      <x:c r="P333" s="251">
        <x:f>IF($A333="","",IF(LOWER($L333&amp;"")="yes",0,IF($K333&lt;&gt;"",$K333,IF($O333&lt;&gt;"",$O333,""))))</x:f>
      </x:c>
      <x:c r="Q333" s="254">
        <x:f>IF($A333="","",IF($U333="Profit",$P333-$H333,0))</x:f>
      </x:c>
      <x:c r="R333" s="251">
        <x:f>IF($A333="","",IF($U333="Draw",$H333,0))</x:f>
      </x:c>
      <x:c r="S333" s="251">
        <x:f>IF($A333="","",IF($U333="Disqualified",$H333,0))</x:f>
      </x:c>
      <x:c r="T333" s="255">
        <x:f>IF($A333="","",IF($H333=0,IF($U333="Profit","N/A",0),IF($U333="Profit",$Q333/$H333,IF($U333="Disqualified",-1,0))))</x:f>
      </x:c>
      <x:c r="U333" s="254">
        <x:f>IF($A333="","",IF(LOWER($L333&amp;"")="yes","Disqualified",IF($P333&gt;$H333,"Profit","Draw")))</x:f>
      </x:c>
      <x:c r="V333" s="253">
        <x:f>IF(OR($B333="",$C333=""),"",IFERROR(ROUNDUP((IF(ISNUMBER($C333),$C333,DATEVALUE($C333))-IF(ISNUMBER($B333),$B333,DATEVALUE($B333)))/7,0),""))</x:f>
      </x:c>
      <x:c r="W333" s="254">
        <x:f>$Q333-$S333</x:f>
      </x:c>
      <x:c r="X333" s="256">
        <x:f>IF(OR($J333="",$I333="",$J333=0,$I333=0,$I333&gt;$J333),"",$J333-$I333)</x:f>
      </x:c>
      <x:c r="Y333" s="257">
        <x:f>IF(OR($J333="",$J333=0,$X333=""),"",$X333/$J333)</x:f>
      </x:c>
    </x:row>
    <x:row r="334" s="106" customFormat="1" ht="21" customHeight="1">
      <x:c r="A334" s="54" t="n"/>
      <x:c r="B334" s="250" t="n"/>
      <x:c r="C334" s="250" t="n"/>
      <x:c r="D334" s="54" t="n"/>
      <x:c r="E334" s="251" t="n"/>
      <x:c r="F334" s="251" t="n"/>
      <x:c r="G334" s="251" t="n"/>
      <x:c r="H334" s="251" t="n"/>
      <x:c r="I334" s="252" t="n"/>
      <x:c r="J334" s="253" t="n"/>
      <x:c r="K334" s="254" t="n"/>
      <x:c r="L334" s="50" t="n"/>
      <x:c r="M334" s="251" t="n"/>
      <x:c r="N334" s="251">
        <x:f>IF($A334="","",IF($G334="","",IF(ISNUMBER(SEARCH("non",LOWER($E334&amp;""))),$G334*0.85,$G334)))</x:f>
      </x:c>
      <x:c r="O334" s="251">
        <x:f>IF($A334="","",IF(OR($N334="",$I334="",$I334=0),"",$N334/$I334))</x:f>
      </x:c>
      <x:c r="P334" s="251">
        <x:f>IF($A334="","",IF(LOWER($L334&amp;"")="yes",0,IF($K334&lt;&gt;"",$K334,IF($O334&lt;&gt;"",$O334,""))))</x:f>
      </x:c>
      <x:c r="Q334" s="254">
        <x:f>IF($A334="","",IF($U334="Profit",$P334-$H334,0))</x:f>
      </x:c>
      <x:c r="R334" s="251">
        <x:f>IF($A334="","",IF($U334="Draw",$H334,0))</x:f>
      </x:c>
      <x:c r="S334" s="251">
        <x:f>IF($A334="","",IF($U334="Disqualified",$H334,0))</x:f>
      </x:c>
      <x:c r="T334" s="255">
        <x:f>IF($A334="","",IF($H334=0,IF($U334="Profit","N/A",0),IF($U334="Profit",$Q334/$H334,IF($U334="Disqualified",-1,0))))</x:f>
      </x:c>
      <x:c r="U334" s="254">
        <x:f>IF($A334="","",IF(LOWER($L334&amp;"")="yes","Disqualified",IF($P334&gt;$H334,"Profit","Draw")))</x:f>
      </x:c>
      <x:c r="V334" s="253">
        <x:f>IF(OR($B334="",$C334=""),"",IFERROR(ROUNDUP((IF(ISNUMBER($C334),$C334,DATEVALUE($C334))-IF(ISNUMBER($B334),$B334,DATEVALUE($B334)))/7,0),""))</x:f>
      </x:c>
      <x:c r="W334" s="254">
        <x:f>$Q334-$S334</x:f>
      </x:c>
      <x:c r="X334" s="256">
        <x:f>IF(OR($J334="",$I334="",$J334=0,$I334=0,$I334&gt;$J334),"",$J334-$I334)</x:f>
      </x:c>
      <x:c r="Y334" s="257">
        <x:f>IF(OR($J334="",$J334=0,$X334=""),"",$X334/$J334)</x:f>
      </x:c>
    </x:row>
    <x:row r="335" s="106" customFormat="1" ht="21" customHeight="1">
      <x:c r="A335" s="54" t="n"/>
      <x:c r="B335" s="250" t="n"/>
      <x:c r="C335" s="250" t="n"/>
      <x:c r="D335" s="54" t="n"/>
      <x:c r="E335" s="251" t="n"/>
      <x:c r="F335" s="251" t="n"/>
      <x:c r="G335" s="251" t="n"/>
      <x:c r="H335" s="251" t="n"/>
      <x:c r="I335" s="252" t="n"/>
      <x:c r="J335" s="253" t="n"/>
      <x:c r="K335" s="254" t="n"/>
      <x:c r="L335" s="50" t="n"/>
      <x:c r="M335" s="251" t="n"/>
      <x:c r="N335" s="251">
        <x:f>IF($A335="","",IF($G335="","",IF(ISNUMBER(SEARCH("non",LOWER($E335&amp;""))),$G335*0.85,$G335)))</x:f>
      </x:c>
      <x:c r="O335" s="251">
        <x:f>IF($A335="","",IF(OR($N335="",$I335="",$I335=0),"",$N335/$I335))</x:f>
      </x:c>
      <x:c r="P335" s="251">
        <x:f>IF($A335="","",IF(LOWER($L335&amp;"")="yes",0,IF($K335&lt;&gt;"",$K335,IF($O335&lt;&gt;"",$O335,""))))</x:f>
      </x:c>
      <x:c r="Q335" s="254">
        <x:f>IF($A335="","",IF($U335="Profit",$P335-$H335,0))</x:f>
      </x:c>
      <x:c r="R335" s="251">
        <x:f>IF($A335="","",IF($U335="Draw",$H335,0))</x:f>
      </x:c>
      <x:c r="S335" s="251">
        <x:f>IF($A335="","",IF($U335="Disqualified",$H335,0))</x:f>
      </x:c>
      <x:c r="T335" s="255">
        <x:f>IF($A335="","",IF($H335=0,IF($U335="Profit","N/A",0),IF($U335="Profit",$Q335/$H335,IF($U335="Disqualified",-1,0))))</x:f>
      </x:c>
      <x:c r="U335" s="254">
        <x:f>IF($A335="","",IF(LOWER($L335&amp;"")="yes","Disqualified",IF($P335&gt;$H335,"Profit","Draw")))</x:f>
      </x:c>
      <x:c r="V335" s="253">
        <x:f>IF(OR($B335="",$C335=""),"",IFERROR(ROUNDUP((IF(ISNUMBER($C335),$C335,DATEVALUE($C335))-IF(ISNUMBER($B335),$B335,DATEVALUE($B335)))/7,0),""))</x:f>
      </x:c>
      <x:c r="W335" s="254">
        <x:f>$Q335-$S335</x:f>
      </x:c>
      <x:c r="X335" s="256">
        <x:f>IF(OR($J335="",$I335="",$J335=0,$I335=0,$I335&gt;$J335),"",$J335-$I335)</x:f>
      </x:c>
      <x:c r="Y335" s="257">
        <x:f>IF(OR($J335="",$J335=0,$X335=""),"",$X335/$J335)</x:f>
      </x:c>
    </x:row>
    <x:row r="336" s="106" customFormat="1" ht="21" customHeight="1">
      <x:c r="A336" s="54" t="n"/>
      <x:c r="B336" s="250" t="n"/>
      <x:c r="C336" s="250" t="n"/>
      <x:c r="D336" s="54" t="n"/>
      <x:c r="E336" s="251" t="n"/>
      <x:c r="F336" s="251" t="n"/>
      <x:c r="G336" s="251" t="n"/>
      <x:c r="H336" s="251" t="n"/>
      <x:c r="I336" s="252" t="n"/>
      <x:c r="J336" s="253" t="n"/>
      <x:c r="K336" s="254" t="n"/>
      <x:c r="L336" s="50" t="n"/>
      <x:c r="M336" s="251" t="n"/>
      <x:c r="N336" s="251">
        <x:f>IF($A336="","",IF($G336="","",IF(ISNUMBER(SEARCH("non",LOWER($E336&amp;""))),$G336*0.85,$G336)))</x:f>
      </x:c>
      <x:c r="O336" s="251">
        <x:f>IF($A336="","",IF(OR($N336="",$I336="",$I336=0),"",$N336/$I336))</x:f>
      </x:c>
      <x:c r="P336" s="251">
        <x:f>IF($A336="","",IF(LOWER($L336&amp;"")="yes",0,IF($K336&lt;&gt;"",$K336,IF($O336&lt;&gt;"",$O336,""))))</x:f>
      </x:c>
      <x:c r="Q336" s="254">
        <x:f>IF($A336="","",IF($U336="Profit",$P336-$H336,0))</x:f>
      </x:c>
      <x:c r="R336" s="251">
        <x:f>IF($A336="","",IF($U336="Draw",$H336,0))</x:f>
      </x:c>
      <x:c r="S336" s="251">
        <x:f>IF($A336="","",IF($U336="Disqualified",$H336,0))</x:f>
      </x:c>
      <x:c r="T336" s="255">
        <x:f>IF($A336="","",IF($H336=0,IF($U336="Profit","N/A",0),IF($U336="Profit",$Q336/$H336,IF($U336="Disqualified",-1,0))))</x:f>
      </x:c>
      <x:c r="U336" s="254">
        <x:f>IF($A336="","",IF(LOWER($L336&amp;"")="yes","Disqualified",IF($P336&gt;$H336,"Profit","Draw")))</x:f>
      </x:c>
      <x:c r="V336" s="253">
        <x:f>IF(OR($B336="",$C336=""),"",IFERROR(ROUNDUP((IF(ISNUMBER($C336),$C336,DATEVALUE($C336))-IF(ISNUMBER($B336),$B336,DATEVALUE($B336)))/7,0),""))</x:f>
      </x:c>
      <x:c r="W336" s="254">
        <x:f>$Q336-$S336</x:f>
      </x:c>
      <x:c r="X336" s="256">
        <x:f>IF(OR($J336="",$I336="",$J336=0,$I336=0,$I336&gt;$J336),"",$J336-$I336)</x:f>
      </x:c>
      <x:c r="Y336" s="257">
        <x:f>IF(OR($J336="",$J336=0,$X336=""),"",$X336/$J336)</x:f>
      </x:c>
    </x:row>
    <x:row r="337" s="106" customFormat="1" ht="21" customHeight="1">
      <x:c r="A337" s="54" t="n"/>
      <x:c r="B337" s="250" t="n"/>
      <x:c r="C337" s="250" t="n"/>
      <x:c r="D337" s="54" t="n"/>
      <x:c r="E337" s="251" t="n"/>
      <x:c r="F337" s="251" t="n"/>
      <x:c r="G337" s="251" t="n"/>
      <x:c r="H337" s="251" t="n"/>
      <x:c r="I337" s="252" t="n"/>
      <x:c r="J337" s="253" t="n"/>
      <x:c r="K337" s="254" t="n"/>
      <x:c r="L337" s="50" t="n"/>
      <x:c r="M337" s="251" t="n"/>
      <x:c r="N337" s="251">
        <x:f>IF($A337="","",IF($G337="","",IF(ISNUMBER(SEARCH("non",LOWER($E337&amp;""))),$G337*0.85,$G337)))</x:f>
      </x:c>
      <x:c r="O337" s="251">
        <x:f>IF($A337="","",IF(OR($N337="",$I337="",$I337=0),"",$N337/$I337))</x:f>
      </x:c>
      <x:c r="P337" s="251">
        <x:f>IF($A337="","",IF(LOWER($L337&amp;"")="yes",0,IF($K337&lt;&gt;"",$K337,IF($O337&lt;&gt;"",$O337,""))))</x:f>
      </x:c>
      <x:c r="Q337" s="254">
        <x:f>IF($A337="","",IF($U337="Profit",$P337-$H337,0))</x:f>
      </x:c>
      <x:c r="R337" s="251">
        <x:f>IF($A337="","",IF($U337="Draw",$H337,0))</x:f>
      </x:c>
      <x:c r="S337" s="251">
        <x:f>IF($A337="","",IF($U337="Disqualified",$H337,0))</x:f>
      </x:c>
      <x:c r="T337" s="255">
        <x:f>IF($A337="","",IF($H337=0,IF($U337="Profit","N/A",0),IF($U337="Profit",$Q337/$H337,IF($U337="Disqualified",-1,0))))</x:f>
      </x:c>
      <x:c r="U337" s="254">
        <x:f>IF($A337="","",IF(LOWER($L337&amp;"")="yes","Disqualified",IF($P337&gt;$H337,"Profit","Draw")))</x:f>
      </x:c>
      <x:c r="V337" s="253">
        <x:f>IF(OR($B337="",$C337=""),"",IFERROR(ROUNDUP((IF(ISNUMBER($C337),$C337,DATEVALUE($C337))-IF(ISNUMBER($B337),$B337,DATEVALUE($B337)))/7,0),""))</x:f>
      </x:c>
      <x:c r="W337" s="254">
        <x:f>$Q337-$S337</x:f>
      </x:c>
      <x:c r="X337" s="256">
        <x:f>IF(OR($J337="",$I337="",$J337=0,$I337=0,$I337&gt;$J337),"",$J337-$I337)</x:f>
      </x:c>
      <x:c r="Y337" s="257">
        <x:f>IF(OR($J337="",$J337=0,$X337=""),"",$X337/$J337)</x:f>
      </x:c>
    </x:row>
    <x:row r="338" s="106" customFormat="1" ht="21" customHeight="1">
      <x:c r="A338" s="54" t="n"/>
      <x:c r="B338" s="250" t="n"/>
      <x:c r="C338" s="250" t="n"/>
      <x:c r="D338" s="54" t="n"/>
      <x:c r="E338" s="251" t="n"/>
      <x:c r="F338" s="251" t="n"/>
      <x:c r="G338" s="251" t="n"/>
      <x:c r="H338" s="251" t="n"/>
      <x:c r="I338" s="252" t="n"/>
      <x:c r="J338" s="253" t="n"/>
      <x:c r="K338" s="254" t="n"/>
      <x:c r="L338" s="50" t="n"/>
      <x:c r="M338" s="251" t="n"/>
      <x:c r="N338" s="251">
        <x:f>IF($A338="","",IF($G338="","",IF(ISNUMBER(SEARCH("non",LOWER($E338&amp;""))),$G338*0.85,$G338)))</x:f>
      </x:c>
      <x:c r="O338" s="251">
        <x:f>IF($A338="","",IF(OR($N338="",$I338="",$I338=0),"",$N338/$I338))</x:f>
      </x:c>
      <x:c r="P338" s="251">
        <x:f>IF($A338="","",IF(LOWER($L338&amp;"")="yes",0,IF($K338&lt;&gt;"",$K338,IF($O338&lt;&gt;"",$O338,""))))</x:f>
      </x:c>
      <x:c r="Q338" s="254">
        <x:f>IF($A338="","",IF($U338="Profit",$P338-$H338,0))</x:f>
      </x:c>
      <x:c r="R338" s="251">
        <x:f>IF($A338="","",IF($U338="Draw",$H338,0))</x:f>
      </x:c>
      <x:c r="S338" s="251">
        <x:f>IF($A338="","",IF($U338="Disqualified",$H338,0))</x:f>
      </x:c>
      <x:c r="T338" s="255">
        <x:f>IF($A338="","",IF($H338=0,IF($U338="Profit","N/A",0),IF($U338="Profit",$Q338/$H338,IF($U338="Disqualified",-1,0))))</x:f>
      </x:c>
      <x:c r="U338" s="254">
        <x:f>IF($A338="","",IF(LOWER($L338&amp;"")="yes","Disqualified",IF($P338&gt;$H338,"Profit","Draw")))</x:f>
      </x:c>
      <x:c r="V338" s="253">
        <x:f>IF(OR($B338="",$C338=""),"",IFERROR(ROUNDUP((IF(ISNUMBER($C338),$C338,DATEVALUE($C338))-IF(ISNUMBER($B338),$B338,DATEVALUE($B338)))/7,0),""))</x:f>
      </x:c>
      <x:c r="W338" s="254">
        <x:f>$Q338-$S338</x:f>
      </x:c>
      <x:c r="X338" s="256">
        <x:f>IF(OR($J338="",$I338="",$J338=0,$I338=0,$I338&gt;$J338),"",$J338-$I338)</x:f>
      </x:c>
      <x:c r="Y338" s="257">
        <x:f>IF(OR($J338="",$J338=0,$X338=""),"",$X338/$J338)</x:f>
      </x:c>
    </x:row>
    <x:row r="339" s="106" customFormat="1" ht="21" customHeight="1">
      <x:c r="A339" s="54" t="n"/>
      <x:c r="B339" s="250" t="n"/>
      <x:c r="C339" s="250" t="n"/>
      <x:c r="D339" s="54" t="n"/>
      <x:c r="E339" s="251" t="n"/>
      <x:c r="F339" s="251" t="n"/>
      <x:c r="G339" s="251" t="n"/>
      <x:c r="H339" s="251" t="n"/>
      <x:c r="I339" s="252" t="n"/>
      <x:c r="J339" s="253" t="n"/>
      <x:c r="K339" s="254" t="n"/>
      <x:c r="L339" s="50" t="n"/>
      <x:c r="M339" s="251" t="n"/>
      <x:c r="N339" s="251">
        <x:f>IF($A339="","",IF($G339="","",IF(ISNUMBER(SEARCH("non",LOWER($E339&amp;""))),$G339*0.85,$G339)))</x:f>
      </x:c>
      <x:c r="O339" s="251">
        <x:f>IF($A339="","",IF(OR($N339="",$I339="",$I339=0),"",$N339/$I339))</x:f>
      </x:c>
      <x:c r="P339" s="251">
        <x:f>IF($A339="","",IF(LOWER($L339&amp;"")="yes",0,IF($K339&lt;&gt;"",$K339,IF($O339&lt;&gt;"",$O339,""))))</x:f>
      </x:c>
      <x:c r="Q339" s="254">
        <x:f>IF($A339="","",IF($U339="Profit",$P339-$H339,0))</x:f>
      </x:c>
      <x:c r="R339" s="251">
        <x:f>IF($A339="","",IF($U339="Draw",$H339,0))</x:f>
      </x:c>
      <x:c r="S339" s="251">
        <x:f>IF($A339="","",IF($U339="Disqualified",$H339,0))</x:f>
      </x:c>
      <x:c r="T339" s="255">
        <x:f>IF($A339="","",IF($H339=0,IF($U339="Profit","N/A",0),IF($U339="Profit",$Q339/$H339,IF($U339="Disqualified",-1,0))))</x:f>
      </x:c>
      <x:c r="U339" s="254">
        <x:f>IF($A339="","",IF(LOWER($L339&amp;"")="yes","Disqualified",IF($P339&gt;$H339,"Profit","Draw")))</x:f>
      </x:c>
      <x:c r="V339" s="253">
        <x:f>IF(OR($B339="",$C339=""),"",IFERROR(ROUNDUP((IF(ISNUMBER($C339),$C339,DATEVALUE($C339))-IF(ISNUMBER($B339),$B339,DATEVALUE($B339)))/7,0),""))</x:f>
      </x:c>
      <x:c r="W339" s="254">
        <x:f>$Q339-$S339</x:f>
      </x:c>
      <x:c r="X339" s="256">
        <x:f>IF(OR($J339="",$I339="",$J339=0,$I339=0,$I339&gt;$J339),"",$J339-$I339)</x:f>
      </x:c>
      <x:c r="Y339" s="257">
        <x:f>IF(OR($J339="",$J339=0,$X339=""),"",$X339/$J339)</x:f>
      </x:c>
    </x:row>
    <x:row r="340" s="106" customFormat="1" ht="21" customHeight="1">
      <x:c r="A340" s="54" t="n"/>
      <x:c r="B340" s="250" t="n"/>
      <x:c r="C340" s="250" t="n"/>
      <x:c r="D340" s="54" t="n"/>
      <x:c r="E340" s="251" t="n"/>
      <x:c r="F340" s="251" t="n"/>
      <x:c r="G340" s="251" t="n"/>
      <x:c r="H340" s="251" t="n"/>
      <x:c r="I340" s="252" t="n"/>
      <x:c r="J340" s="253" t="n"/>
      <x:c r="K340" s="254" t="n"/>
      <x:c r="L340" s="50" t="n"/>
      <x:c r="M340" s="251" t="n"/>
      <x:c r="N340" s="251">
        <x:f>IF($A340="","",IF($G340="","",IF(ISNUMBER(SEARCH("non",LOWER($E340&amp;""))),$G340*0.85,$G340)))</x:f>
      </x:c>
      <x:c r="O340" s="251">
        <x:f>IF($A340="","",IF(OR($N340="",$I340="",$I340=0),"",$N340/$I340))</x:f>
      </x:c>
      <x:c r="P340" s="251">
        <x:f>IF($A340="","",IF(LOWER($L340&amp;"")="yes",0,IF($K340&lt;&gt;"",$K340,IF($O340&lt;&gt;"",$O340,""))))</x:f>
      </x:c>
      <x:c r="Q340" s="254">
        <x:f>IF($A340="","",IF($U340="Profit",$P340-$H340,0))</x:f>
      </x:c>
      <x:c r="R340" s="251">
        <x:f>IF($A340="","",IF($U340="Draw",$H340,0))</x:f>
      </x:c>
      <x:c r="S340" s="251">
        <x:f>IF($A340="","",IF($U340="Disqualified",$H340,0))</x:f>
      </x:c>
      <x:c r="T340" s="255">
        <x:f>IF($A340="","",IF($H340=0,IF($U340="Profit","N/A",0),IF($U340="Profit",$Q340/$H340,IF($U340="Disqualified",-1,0))))</x:f>
      </x:c>
      <x:c r="U340" s="254">
        <x:f>IF($A340="","",IF(LOWER($L340&amp;"")="yes","Disqualified",IF($P340&gt;$H340,"Profit","Draw")))</x:f>
      </x:c>
      <x:c r="V340" s="253">
        <x:f>IF(OR($B340="",$C340=""),"",IFERROR(ROUNDUP((IF(ISNUMBER($C340),$C340,DATEVALUE($C340))-IF(ISNUMBER($B340),$B340,DATEVALUE($B340)))/7,0),""))</x:f>
      </x:c>
      <x:c r="W340" s="254">
        <x:f>$Q340-$S340</x:f>
      </x:c>
      <x:c r="X340" s="256">
        <x:f>IF(OR($J340="",$I340="",$J340=0,$I340=0,$I340&gt;$J340),"",$J340-$I340)</x:f>
      </x:c>
      <x:c r="Y340" s="257">
        <x:f>IF(OR($J340="",$J340=0,$X340=""),"",$X340/$J340)</x:f>
      </x:c>
    </x:row>
    <x:row r="341" s="106" customFormat="1" ht="21" customHeight="1">
      <x:c r="A341" s="54" t="n"/>
      <x:c r="B341" s="250" t="n"/>
      <x:c r="C341" s="250" t="n"/>
      <x:c r="D341" s="54" t="n"/>
      <x:c r="E341" s="251" t="n"/>
      <x:c r="F341" s="251" t="n"/>
      <x:c r="G341" s="251" t="n"/>
      <x:c r="H341" s="251" t="n"/>
      <x:c r="I341" s="252" t="n"/>
      <x:c r="J341" s="253" t="n"/>
      <x:c r="K341" s="254" t="n"/>
      <x:c r="L341" s="50" t="n"/>
      <x:c r="M341" s="251" t="n"/>
      <x:c r="N341" s="251">
        <x:f>IF($A341="","",IF($G341="","",IF(ISNUMBER(SEARCH("non",LOWER($E341&amp;""))),$G341*0.85,$G341)))</x:f>
      </x:c>
      <x:c r="O341" s="251">
        <x:f>IF($A341="","",IF(OR($N341="",$I341="",$I341=0),"",$N341/$I341))</x:f>
      </x:c>
      <x:c r="P341" s="251">
        <x:f>IF($A341="","",IF(LOWER($L341&amp;"")="yes",0,IF($K341&lt;&gt;"",$K341,IF($O341&lt;&gt;"",$O341,""))))</x:f>
      </x:c>
      <x:c r="Q341" s="254">
        <x:f>IF($A341="","",IF($U341="Profit",$P341-$H341,0))</x:f>
      </x:c>
      <x:c r="R341" s="251">
        <x:f>IF($A341="","",IF($U341="Draw",$H341,0))</x:f>
      </x:c>
      <x:c r="S341" s="251">
        <x:f>IF($A341="","",IF($U341="Disqualified",$H341,0))</x:f>
      </x:c>
      <x:c r="T341" s="255">
        <x:f>IF($A341="","",IF($H341=0,IF($U341="Profit","N/A",0),IF($U341="Profit",$Q341/$H341,IF($U341="Disqualified",-1,0))))</x:f>
      </x:c>
      <x:c r="U341" s="254">
        <x:f>IF($A341="","",IF(LOWER($L341&amp;"")="yes","Disqualified",IF($P341&gt;$H341,"Profit","Draw")))</x:f>
      </x:c>
      <x:c r="V341" s="253">
        <x:f>IF(OR($B341="",$C341=""),"",IFERROR(ROUNDUP((IF(ISNUMBER($C341),$C341,DATEVALUE($C341))-IF(ISNUMBER($B341),$B341,DATEVALUE($B341)))/7,0),""))</x:f>
      </x:c>
      <x:c r="W341" s="254">
        <x:f>$Q341-$S341</x:f>
      </x:c>
      <x:c r="X341" s="256">
        <x:f>IF(OR($J341="",$I341="",$J341=0,$I341=0,$I341&gt;$J341),"",$J341-$I341)</x:f>
      </x:c>
      <x:c r="Y341" s="257">
        <x:f>IF(OR($J341="",$J341=0,$X341=""),"",$X341/$J341)</x:f>
      </x:c>
    </x:row>
    <x:row r="342" s="106" customFormat="1" ht="21" customHeight="1">
      <x:c r="A342" s="54" t="n"/>
      <x:c r="B342" s="250" t="n"/>
      <x:c r="C342" s="250" t="n"/>
      <x:c r="D342" s="54" t="n"/>
      <x:c r="E342" s="251" t="n"/>
      <x:c r="F342" s="251" t="n"/>
      <x:c r="G342" s="251" t="n"/>
      <x:c r="H342" s="251" t="n"/>
      <x:c r="I342" s="252" t="n"/>
      <x:c r="J342" s="253" t="n"/>
      <x:c r="K342" s="254" t="n"/>
      <x:c r="L342" s="50" t="n"/>
      <x:c r="M342" s="251" t="n"/>
      <x:c r="N342" s="251">
        <x:f>IF($A342="","",IF($G342="","",IF(ISNUMBER(SEARCH("non",LOWER($E342&amp;""))),$G342*0.85,$G342)))</x:f>
      </x:c>
      <x:c r="O342" s="251">
        <x:f>IF($A342="","",IF(OR($N342="",$I342="",$I342=0),"",$N342/$I342))</x:f>
      </x:c>
      <x:c r="P342" s="251">
        <x:f>IF($A342="","",IF(LOWER($L342&amp;"")="yes",0,IF($K342&lt;&gt;"",$K342,IF($O342&lt;&gt;"",$O342,""))))</x:f>
      </x:c>
      <x:c r="Q342" s="254">
        <x:f>IF($A342="","",IF($U342="Profit",$P342-$H342,0))</x:f>
      </x:c>
      <x:c r="R342" s="251">
        <x:f>IF($A342="","",IF($U342="Draw",$H342,0))</x:f>
      </x:c>
      <x:c r="S342" s="251">
        <x:f>IF($A342="","",IF($U342="Disqualified",$H342,0))</x:f>
      </x:c>
      <x:c r="T342" s="255">
        <x:f>IF($A342="","",IF($H342=0,IF($U342="Profit","N/A",0),IF($U342="Profit",$Q342/$H342,IF($U342="Disqualified",-1,0))))</x:f>
      </x:c>
      <x:c r="U342" s="254">
        <x:f>IF($A342="","",IF(LOWER($L342&amp;"")="yes","Disqualified",IF($P342&gt;$H342,"Profit","Draw")))</x:f>
      </x:c>
      <x:c r="V342" s="253">
        <x:f>IF(OR($B342="",$C342=""),"",IFERROR(ROUNDUP((IF(ISNUMBER($C342),$C342,DATEVALUE($C342))-IF(ISNUMBER($B342),$B342,DATEVALUE($B342)))/7,0),""))</x:f>
      </x:c>
      <x:c r="W342" s="254">
        <x:f>$Q342-$S342</x:f>
      </x:c>
      <x:c r="X342" s="256">
        <x:f>IF(OR($J342="",$I342="",$J342=0,$I342=0,$I342&gt;$J342),"",$J342-$I342)</x:f>
      </x:c>
      <x:c r="Y342" s="257">
        <x:f>IF(OR($J342="",$J342=0,$X342=""),"",$X342/$J342)</x:f>
      </x:c>
    </x:row>
    <x:row r="343" s="106" customFormat="1" ht="21" customHeight="1">
      <x:c r="A343" s="54" t="n"/>
      <x:c r="B343" s="250" t="n"/>
      <x:c r="C343" s="250" t="n"/>
      <x:c r="D343" s="54" t="n"/>
      <x:c r="E343" s="251" t="n"/>
      <x:c r="F343" s="251" t="n"/>
      <x:c r="G343" s="251" t="n"/>
      <x:c r="H343" s="251" t="n"/>
      <x:c r="I343" s="252" t="n"/>
      <x:c r="J343" s="253" t="n"/>
      <x:c r="K343" s="254" t="n"/>
      <x:c r="L343" s="50" t="n"/>
      <x:c r="M343" s="251" t="n"/>
      <x:c r="N343" s="251">
        <x:f>IF($A343="","",IF($G343="","",IF(ISNUMBER(SEARCH("non",LOWER($E343&amp;""))),$G343*0.85,$G343)))</x:f>
      </x:c>
      <x:c r="O343" s="251">
        <x:f>IF($A343="","",IF(OR($N343="",$I343="",$I343=0),"",$N343/$I343))</x:f>
      </x:c>
      <x:c r="P343" s="251">
        <x:f>IF($A343="","",IF(LOWER($L343&amp;"")="yes",0,IF($K343&lt;&gt;"",$K343,IF($O343&lt;&gt;"",$O343,""))))</x:f>
      </x:c>
      <x:c r="Q343" s="254">
        <x:f>IF($A343="","",IF($U343="Profit",$P343-$H343,0))</x:f>
      </x:c>
      <x:c r="R343" s="251">
        <x:f>IF($A343="","",IF($U343="Draw",$H343,0))</x:f>
      </x:c>
      <x:c r="S343" s="251">
        <x:f>IF($A343="","",IF($U343="Disqualified",$H343,0))</x:f>
      </x:c>
      <x:c r="T343" s="255">
        <x:f>IF($A343="","",IF($H343=0,IF($U343="Profit","N/A",0),IF($U343="Profit",$Q343/$H343,IF($U343="Disqualified",-1,0))))</x:f>
      </x:c>
      <x:c r="U343" s="254">
        <x:f>IF($A343="","",IF(LOWER($L343&amp;"")="yes","Disqualified",IF($P343&gt;$H343,"Profit","Draw")))</x:f>
      </x:c>
      <x:c r="V343" s="253">
        <x:f>IF(OR($B343="",$C343=""),"",IFERROR(ROUNDUP((IF(ISNUMBER($C343),$C343,DATEVALUE($C343))-IF(ISNUMBER($B343),$B343,DATEVALUE($B343)))/7,0),""))</x:f>
      </x:c>
      <x:c r="W343" s="254">
        <x:f>$Q343-$S343</x:f>
      </x:c>
      <x:c r="X343" s="256">
        <x:f>IF(OR($J343="",$I343="",$J343=0,$I343=0,$I343&gt;$J343),"",$J343-$I343)</x:f>
      </x:c>
      <x:c r="Y343" s="257">
        <x:f>IF(OR($J343="",$J343=0,$X343=""),"",$X343/$J343)</x:f>
      </x:c>
    </x:row>
    <x:row r="344" s="106" customFormat="1" ht="21" customHeight="1">
      <x:c r="A344" s="54" t="n"/>
      <x:c r="B344" s="250" t="n"/>
      <x:c r="C344" s="250" t="n"/>
      <x:c r="D344" s="54" t="n"/>
      <x:c r="E344" s="251" t="n"/>
      <x:c r="F344" s="251" t="n"/>
      <x:c r="G344" s="251" t="n"/>
      <x:c r="H344" s="251" t="n"/>
      <x:c r="I344" s="252" t="n"/>
      <x:c r="J344" s="253" t="n"/>
      <x:c r="K344" s="254" t="n"/>
      <x:c r="L344" s="50" t="n"/>
      <x:c r="M344" s="251" t="n"/>
      <x:c r="N344" s="251">
        <x:f>IF($A344="","",IF($G344="","",IF(ISNUMBER(SEARCH("non",LOWER($E344&amp;""))),$G344*0.85,$G344)))</x:f>
      </x:c>
      <x:c r="O344" s="251">
        <x:f>IF($A344="","",IF(OR($N344="",$I344="",$I344=0),"",$N344/$I344))</x:f>
      </x:c>
      <x:c r="P344" s="251">
        <x:f>IF($A344="","",IF(LOWER($L344&amp;"")="yes",0,IF($K344&lt;&gt;"",$K344,IF($O344&lt;&gt;"",$O344,""))))</x:f>
      </x:c>
      <x:c r="Q344" s="254">
        <x:f>IF($A344="","",IF($U344="Profit",$P344-$H344,0))</x:f>
      </x:c>
      <x:c r="R344" s="251">
        <x:f>IF($A344="","",IF($U344="Draw",$H344,0))</x:f>
      </x:c>
      <x:c r="S344" s="251">
        <x:f>IF($A344="","",IF($U344="Disqualified",$H344,0))</x:f>
      </x:c>
      <x:c r="T344" s="255">
        <x:f>IF($A344="","",IF($H344=0,IF($U344="Profit","N/A",0),IF($U344="Profit",$Q344/$H344,IF($U344="Disqualified",-1,0))))</x:f>
      </x:c>
      <x:c r="U344" s="254">
        <x:f>IF($A344="","",IF(LOWER($L344&amp;"")="yes","Disqualified",IF($P344&gt;$H344,"Profit","Draw")))</x:f>
      </x:c>
      <x:c r="V344" s="253">
        <x:f>IF(OR($B344="",$C344=""),"",IFERROR(ROUNDUP((IF(ISNUMBER($C344),$C344,DATEVALUE($C344))-IF(ISNUMBER($B344),$B344,DATEVALUE($B344)))/7,0),""))</x:f>
      </x:c>
      <x:c r="W344" s="254">
        <x:f>$Q344-$S344</x:f>
      </x:c>
      <x:c r="X344" s="256">
        <x:f>IF(OR($J344="",$I344="",$J344=0,$I344=0,$I344&gt;$J344),"",$J344-$I344)</x:f>
      </x:c>
      <x:c r="Y344" s="257">
        <x:f>IF(OR($J344="",$J344=0,$X344=""),"",$X344/$J344)</x:f>
      </x:c>
    </x:row>
    <x:row r="345" s="106" customFormat="1" ht="21" customHeight="1">
      <x:c r="A345" s="54" t="n"/>
      <x:c r="B345" s="250" t="n"/>
      <x:c r="C345" s="250" t="n"/>
      <x:c r="D345" s="54" t="n"/>
      <x:c r="E345" s="251" t="n"/>
      <x:c r="F345" s="251" t="n"/>
      <x:c r="G345" s="251" t="n"/>
      <x:c r="H345" s="251" t="n"/>
      <x:c r="I345" s="252" t="n"/>
      <x:c r="J345" s="253" t="n"/>
      <x:c r="K345" s="254" t="n"/>
      <x:c r="L345" s="50" t="n"/>
      <x:c r="M345" s="251" t="n"/>
      <x:c r="N345" s="251">
        <x:f>IF($A345="","",IF($G345="","",IF(ISNUMBER(SEARCH("non",LOWER($E345&amp;""))),$G345*0.85,$G345)))</x:f>
      </x:c>
      <x:c r="O345" s="251">
        <x:f>IF($A345="","",IF(OR($N345="",$I345="",$I345=0),"",$N345/$I345))</x:f>
      </x:c>
      <x:c r="P345" s="251">
        <x:f>IF($A345="","",IF(LOWER($L345&amp;"")="yes",0,IF($K345&lt;&gt;"",$K345,IF($O345&lt;&gt;"",$O345,""))))</x:f>
      </x:c>
      <x:c r="Q345" s="254">
        <x:f>IF($A345="","",IF($U345="Profit",$P345-$H345,0))</x:f>
      </x:c>
      <x:c r="R345" s="251">
        <x:f>IF($A345="","",IF($U345="Draw",$H345,0))</x:f>
      </x:c>
      <x:c r="S345" s="251">
        <x:f>IF($A345="","",IF($U345="Disqualified",$H345,0))</x:f>
      </x:c>
      <x:c r="T345" s="255">
        <x:f>IF($A345="","",IF($H345=0,IF($U345="Profit","N/A",0),IF($U345="Profit",$Q345/$H345,IF($U345="Disqualified",-1,0))))</x:f>
      </x:c>
      <x:c r="U345" s="254">
        <x:f>IF($A345="","",IF(LOWER($L345&amp;"")="yes","Disqualified",IF($P345&gt;$H345,"Profit","Draw")))</x:f>
      </x:c>
      <x:c r="V345" s="253">
        <x:f>IF(OR($B345="",$C345=""),"",IFERROR(ROUNDUP((IF(ISNUMBER($C345),$C345,DATEVALUE($C345))-IF(ISNUMBER($B345),$B345,DATEVALUE($B345)))/7,0),""))</x:f>
      </x:c>
      <x:c r="W345" s="254">
        <x:f>$Q345-$S345</x:f>
      </x:c>
      <x:c r="X345" s="256">
        <x:f>IF(OR($J345="",$I345="",$J345=0,$I345=0,$I345&gt;$J345),"",$J345-$I345)</x:f>
      </x:c>
      <x:c r="Y345" s="257">
        <x:f>IF(OR($J345="",$J345=0,$X345=""),"",$X345/$J345)</x:f>
      </x:c>
    </x:row>
    <x:row r="346" s="106" customFormat="1" ht="21" customHeight="1">
      <x:c r="A346" s="54" t="n"/>
      <x:c r="B346" s="250" t="n"/>
      <x:c r="C346" s="250" t="n"/>
      <x:c r="D346" s="54" t="n"/>
      <x:c r="E346" s="251" t="n"/>
      <x:c r="F346" s="251" t="n"/>
      <x:c r="G346" s="251" t="n"/>
      <x:c r="H346" s="251" t="n"/>
      <x:c r="I346" s="252" t="n"/>
      <x:c r="J346" s="253" t="n"/>
      <x:c r="K346" s="254" t="n"/>
      <x:c r="L346" s="50" t="n"/>
      <x:c r="M346" s="251" t="n"/>
      <x:c r="N346" s="251">
        <x:f>IF($A346="","",IF($G346="","",IF(ISNUMBER(SEARCH("non",LOWER($E346&amp;""))),$G346*0.85,$G346)))</x:f>
      </x:c>
      <x:c r="O346" s="251">
        <x:f>IF($A346="","",IF(OR($N346="",$I346="",$I346=0),"",$N346/$I346))</x:f>
      </x:c>
      <x:c r="P346" s="251">
        <x:f>IF($A346="","",IF(LOWER($L346&amp;"")="yes",0,IF($K346&lt;&gt;"",$K346,IF($O346&lt;&gt;"",$O346,""))))</x:f>
      </x:c>
      <x:c r="Q346" s="254">
        <x:f>IF($A346="","",IF($U346="Profit",$P346-$H346,0))</x:f>
      </x:c>
      <x:c r="R346" s="251">
        <x:f>IF($A346="","",IF($U346="Draw",$H346,0))</x:f>
      </x:c>
      <x:c r="S346" s="251">
        <x:f>IF($A346="","",IF($U346="Disqualified",$H346,0))</x:f>
      </x:c>
      <x:c r="T346" s="255">
        <x:f>IF($A346="","",IF($H346=0,IF($U346="Profit","N/A",0),IF($U346="Profit",$Q346/$H346,IF($U346="Disqualified",-1,0))))</x:f>
      </x:c>
      <x:c r="U346" s="254">
        <x:f>IF($A346="","",IF(LOWER($L346&amp;"")="yes","Disqualified",IF($P346&gt;$H346,"Profit","Draw")))</x:f>
      </x:c>
      <x:c r="V346" s="253">
        <x:f>IF(OR($B346="",$C346=""),"",IFERROR(ROUNDUP((IF(ISNUMBER($C346),$C346,DATEVALUE($C346))-IF(ISNUMBER($B346),$B346,DATEVALUE($B346)))/7,0),""))</x:f>
      </x:c>
      <x:c r="W346" s="254">
        <x:f>$Q346-$S346</x:f>
      </x:c>
      <x:c r="X346" s="256">
        <x:f>IF(OR($J346="",$I346="",$J346=0,$I346=0,$I346&gt;$J346),"",$J346-$I346)</x:f>
      </x:c>
      <x:c r="Y346" s="257">
        <x:f>IF(OR($J346="",$J346=0,$X346=""),"",$X346/$J346)</x:f>
      </x:c>
    </x:row>
    <x:row r="347" s="106" customFormat="1" ht="21" customHeight="1">
      <x:c r="A347" s="54" t="n"/>
      <x:c r="B347" s="250" t="n"/>
      <x:c r="C347" s="250" t="n"/>
      <x:c r="D347" s="54" t="n"/>
      <x:c r="E347" s="251" t="n"/>
      <x:c r="F347" s="251" t="n"/>
      <x:c r="G347" s="251" t="n"/>
      <x:c r="H347" s="251" t="n"/>
      <x:c r="I347" s="252" t="n"/>
      <x:c r="J347" s="253" t="n"/>
      <x:c r="K347" s="254" t="n"/>
      <x:c r="L347" s="50" t="n"/>
      <x:c r="M347" s="251" t="n"/>
      <x:c r="N347" s="251">
        <x:f>IF($A347="","",IF($G347="","",IF(ISNUMBER(SEARCH("non",LOWER($E347&amp;""))),$G347*0.85,$G347)))</x:f>
      </x:c>
      <x:c r="O347" s="251">
        <x:f>IF($A347="","",IF(OR($N347="",$I347="",$I347=0),"",$N347/$I347))</x:f>
      </x:c>
      <x:c r="P347" s="251">
        <x:f>IF($A347="","",IF(LOWER($L347&amp;"")="yes",0,IF($K347&lt;&gt;"",$K347,IF($O347&lt;&gt;"",$O347,""))))</x:f>
      </x:c>
      <x:c r="Q347" s="254">
        <x:f>IF($A347="","",IF($U347="Profit",$P347-$H347,0))</x:f>
      </x:c>
      <x:c r="R347" s="251">
        <x:f>IF($A347="","",IF($U347="Draw",$H347,0))</x:f>
      </x:c>
      <x:c r="S347" s="251">
        <x:f>IF($A347="","",IF($U347="Disqualified",$H347,0))</x:f>
      </x:c>
      <x:c r="T347" s="255">
        <x:f>IF($A347="","",IF($H347=0,IF($U347="Profit","N/A",0),IF($U347="Profit",$Q347/$H347,IF($U347="Disqualified",-1,0))))</x:f>
      </x:c>
      <x:c r="U347" s="254">
        <x:f>IF($A347="","",IF(LOWER($L347&amp;"")="yes","Disqualified",IF($P347&gt;$H347,"Profit","Draw")))</x:f>
      </x:c>
      <x:c r="V347" s="253">
        <x:f>IF(OR($B347="",$C347=""),"",IFERROR(ROUNDUP((IF(ISNUMBER($C347),$C347,DATEVALUE($C347))-IF(ISNUMBER($B347),$B347,DATEVALUE($B347)))/7,0),""))</x:f>
      </x:c>
      <x:c r="W347" s="254">
        <x:f>$Q347-$S347</x:f>
      </x:c>
      <x:c r="X347" s="256">
        <x:f>IF(OR($J347="",$I347="",$J347=0,$I347=0,$I347&gt;$J347),"",$J347-$I347)</x:f>
      </x:c>
      <x:c r="Y347" s="257">
        <x:f>IF(OR($J347="",$J347=0,$X347=""),"",$X347/$J347)</x:f>
      </x:c>
    </x:row>
    <x:row r="348" s="106" customFormat="1" ht="21" customHeight="1">
      <x:c r="A348" s="54" t="n"/>
      <x:c r="B348" s="250" t="n"/>
      <x:c r="C348" s="250" t="n"/>
      <x:c r="D348" s="54" t="n"/>
      <x:c r="E348" s="251" t="n"/>
      <x:c r="F348" s="251" t="n"/>
      <x:c r="G348" s="251" t="n"/>
      <x:c r="H348" s="251" t="n"/>
      <x:c r="I348" s="252" t="n"/>
      <x:c r="J348" s="253" t="n"/>
      <x:c r="K348" s="254" t="n"/>
      <x:c r="L348" s="50" t="n"/>
      <x:c r="M348" s="251" t="n"/>
      <x:c r="N348" s="251">
        <x:f>IF($A348="","",IF($G348="","",IF(ISNUMBER(SEARCH("non",LOWER($E348&amp;""))),$G348*0.85,$G348)))</x:f>
      </x:c>
      <x:c r="O348" s="251">
        <x:f>IF($A348="","",IF(OR($N348="",$I348="",$I348=0),"",$N348/$I348))</x:f>
      </x:c>
      <x:c r="P348" s="251">
        <x:f>IF($A348="","",IF(LOWER($L348&amp;"")="yes",0,IF($K348&lt;&gt;"",$K348,IF($O348&lt;&gt;"",$O348,""))))</x:f>
      </x:c>
      <x:c r="Q348" s="254">
        <x:f>IF($A348="","",IF($U348="Profit",$P348-$H348,0))</x:f>
      </x:c>
      <x:c r="R348" s="251">
        <x:f>IF($A348="","",IF($U348="Draw",$H348,0))</x:f>
      </x:c>
      <x:c r="S348" s="251">
        <x:f>IF($A348="","",IF($U348="Disqualified",$H348,0))</x:f>
      </x:c>
      <x:c r="T348" s="255">
        <x:f>IF($A348="","",IF($H348=0,IF($U348="Profit","N/A",0),IF($U348="Profit",$Q348/$H348,IF($U348="Disqualified",-1,0))))</x:f>
      </x:c>
      <x:c r="U348" s="254">
        <x:f>IF($A348="","",IF(LOWER($L348&amp;"")="yes","Disqualified",IF($P348&gt;$H348,"Profit","Draw")))</x:f>
      </x:c>
      <x:c r="V348" s="253">
        <x:f>IF(OR($B348="",$C348=""),"",IFERROR(ROUNDUP((IF(ISNUMBER($C348),$C348,DATEVALUE($C348))-IF(ISNUMBER($B348),$B348,DATEVALUE($B348)))/7,0),""))</x:f>
      </x:c>
      <x:c r="W348" s="254">
        <x:f>$Q348-$S348</x:f>
      </x:c>
      <x:c r="X348" s="256">
        <x:f>IF(OR($J348="",$I348="",$J348=0,$I348=0,$I348&gt;$J348),"",$J348-$I348)</x:f>
      </x:c>
      <x:c r="Y348" s="257">
        <x:f>IF(OR($J348="",$J348=0,$X348=""),"",$X348/$J348)</x:f>
      </x:c>
    </x:row>
    <x:row r="349" s="106" customFormat="1" ht="21" customHeight="1">
      <x:c r="A349" s="54" t="n"/>
      <x:c r="B349" s="250" t="n"/>
      <x:c r="C349" s="250" t="n"/>
      <x:c r="D349" s="54" t="n"/>
      <x:c r="E349" s="251" t="n"/>
      <x:c r="F349" s="251" t="n"/>
      <x:c r="G349" s="251" t="n"/>
      <x:c r="H349" s="251" t="n"/>
      <x:c r="I349" s="252" t="n"/>
      <x:c r="J349" s="253" t="n"/>
      <x:c r="K349" s="254" t="n"/>
      <x:c r="L349" s="50" t="n"/>
      <x:c r="M349" s="251" t="n"/>
      <x:c r="N349" s="251">
        <x:f>IF($A349="","",IF($G349="","",IF(ISNUMBER(SEARCH("non",LOWER($E349&amp;""))),$G349*0.85,$G349)))</x:f>
      </x:c>
      <x:c r="O349" s="251">
        <x:f>IF($A349="","",IF(OR($N349="",$I349="",$I349=0),"",$N349/$I349))</x:f>
      </x:c>
      <x:c r="P349" s="251">
        <x:f>IF($A349="","",IF(LOWER($L349&amp;"")="yes",0,IF($K349&lt;&gt;"",$K349,IF($O349&lt;&gt;"",$O349,""))))</x:f>
      </x:c>
      <x:c r="Q349" s="254">
        <x:f>IF($A349="","",IF($U349="Profit",$P349-$H349,0))</x:f>
      </x:c>
      <x:c r="R349" s="251">
        <x:f>IF($A349="","",IF($U349="Draw",$H349,0))</x:f>
      </x:c>
      <x:c r="S349" s="251">
        <x:f>IF($A349="","",IF($U349="Disqualified",$H349,0))</x:f>
      </x:c>
      <x:c r="T349" s="255">
        <x:f>IF($A349="","",IF($H349=0,IF($U349="Profit","N/A",0),IF($U349="Profit",$Q349/$H349,IF($U349="Disqualified",-1,0))))</x:f>
      </x:c>
      <x:c r="U349" s="254">
        <x:f>IF($A349="","",IF(LOWER($L349&amp;"")="yes","Disqualified",IF($P349&gt;$H349,"Profit","Draw")))</x:f>
      </x:c>
      <x:c r="V349" s="253">
        <x:f>IF(OR($B349="",$C349=""),"",IFERROR(ROUNDUP((IF(ISNUMBER($C349),$C349,DATEVALUE($C349))-IF(ISNUMBER($B349),$B349,DATEVALUE($B349)))/7,0),""))</x:f>
      </x:c>
      <x:c r="W349" s="254">
        <x:f>$Q349-$S349</x:f>
      </x:c>
      <x:c r="X349" s="256">
        <x:f>IF(OR($J349="",$I349="",$J349=0,$I349=0,$I349&gt;$J349),"",$J349-$I349)</x:f>
      </x:c>
      <x:c r="Y349" s="257">
        <x:f>IF(OR($J349="",$J349=0,$X349=""),"",$X349/$J349)</x:f>
      </x:c>
    </x:row>
    <x:row r="350" s="106" customFormat="1" ht="21" customHeight="1">
      <x:c r="A350" s="54" t="n"/>
      <x:c r="B350" s="250" t="n"/>
      <x:c r="C350" s="250" t="n"/>
      <x:c r="D350" s="54" t="n"/>
      <x:c r="E350" s="251" t="n"/>
      <x:c r="F350" s="251" t="n"/>
      <x:c r="G350" s="251" t="n"/>
      <x:c r="H350" s="251" t="n"/>
      <x:c r="I350" s="252" t="n"/>
      <x:c r="J350" s="253" t="n"/>
      <x:c r="K350" s="254" t="n"/>
      <x:c r="L350" s="50" t="n"/>
      <x:c r="M350" s="251" t="n"/>
      <x:c r="N350" s="251">
        <x:f>IF($A350="","",IF($G350="","",IF(ISNUMBER(SEARCH("non",LOWER($E350&amp;""))),$G350*0.85,$G350)))</x:f>
      </x:c>
      <x:c r="O350" s="251">
        <x:f>IF($A350="","",IF(OR($N350="",$I350="",$I350=0),"",$N350/$I350))</x:f>
      </x:c>
      <x:c r="P350" s="251">
        <x:f>IF($A350="","",IF(LOWER($L350&amp;"")="yes",0,IF($K350&lt;&gt;"",$K350,IF($O350&lt;&gt;"",$O350,""))))</x:f>
      </x:c>
      <x:c r="Q350" s="254">
        <x:f>IF($A350="","",IF($U350="Profit",$P350-$H350,0))</x:f>
      </x:c>
      <x:c r="R350" s="251">
        <x:f>IF($A350="","",IF($U350="Draw",$H350,0))</x:f>
      </x:c>
      <x:c r="S350" s="251">
        <x:f>IF($A350="","",IF($U350="Disqualified",$H350,0))</x:f>
      </x:c>
      <x:c r="T350" s="255">
        <x:f>IF($A350="","",IF($H350=0,IF($U350="Profit","N/A",0),IF($U350="Profit",$Q350/$H350,IF($U350="Disqualified",-1,0))))</x:f>
      </x:c>
      <x:c r="U350" s="254">
        <x:f>IF($A350="","",IF(LOWER($L350&amp;"")="yes","Disqualified",IF($P350&gt;$H350,"Profit","Draw")))</x:f>
      </x:c>
      <x:c r="V350" s="253">
        <x:f>IF(OR($B350="",$C350=""),"",IFERROR(ROUNDUP((IF(ISNUMBER($C350),$C350,DATEVALUE($C350))-IF(ISNUMBER($B350),$B350,DATEVALUE($B350)))/7,0),""))</x:f>
      </x:c>
      <x:c r="W350" s="254">
        <x:f>$Q350-$S350</x:f>
      </x:c>
      <x:c r="X350" s="256">
        <x:f>IF(OR($J350="",$I350="",$J350=0,$I350=0,$I350&gt;$J350),"",$J350-$I350)</x:f>
      </x:c>
      <x:c r="Y350" s="257">
        <x:f>IF(OR($J350="",$J350=0,$X350=""),"",$X350/$J350)</x:f>
      </x:c>
    </x:row>
    <x:row r="351" s="106" customFormat="1" ht="21" customHeight="1">
      <x:c r="A351" s="54" t="n"/>
      <x:c r="B351" s="250" t="n"/>
      <x:c r="C351" s="250" t="n"/>
      <x:c r="D351" s="54" t="n"/>
      <x:c r="E351" s="251" t="n"/>
      <x:c r="F351" s="251" t="n"/>
      <x:c r="G351" s="251" t="n"/>
      <x:c r="H351" s="251" t="n"/>
      <x:c r="I351" s="252" t="n"/>
      <x:c r="J351" s="253" t="n"/>
      <x:c r="K351" s="254" t="n"/>
      <x:c r="L351" s="50" t="n"/>
      <x:c r="M351" s="251" t="n"/>
      <x:c r="N351" s="251">
        <x:f>IF($A351="","",IF($G351="","",IF(ISNUMBER(SEARCH("non",LOWER($E351&amp;""))),$G351*0.85,$G351)))</x:f>
      </x:c>
      <x:c r="O351" s="251">
        <x:f>IF($A351="","",IF(OR($N351="",$I351="",$I351=0),"",$N351/$I351))</x:f>
      </x:c>
      <x:c r="P351" s="251">
        <x:f>IF($A351="","",IF(LOWER($L351&amp;"")="yes",0,IF($K351&lt;&gt;"",$K351,IF($O351&lt;&gt;"",$O351,""))))</x:f>
      </x:c>
      <x:c r="Q351" s="254">
        <x:f>IF($A351="","",IF($U351="Profit",$P351-$H351,0))</x:f>
      </x:c>
      <x:c r="R351" s="251">
        <x:f>IF($A351="","",IF($U351="Draw",$H351,0))</x:f>
      </x:c>
      <x:c r="S351" s="251">
        <x:f>IF($A351="","",IF($U351="Disqualified",$H351,0))</x:f>
      </x:c>
      <x:c r="T351" s="255">
        <x:f>IF($A351="","",IF($H351=0,IF($U351="Profit","N/A",0),IF($U351="Profit",$Q351/$H351,IF($U351="Disqualified",-1,0))))</x:f>
      </x:c>
      <x:c r="U351" s="254">
        <x:f>IF($A351="","",IF(LOWER($L351&amp;"")="yes","Disqualified",IF($P351&gt;$H351,"Profit","Draw")))</x:f>
      </x:c>
      <x:c r="V351" s="253">
        <x:f>IF(OR($B351="",$C351=""),"",IFERROR(ROUNDUP((IF(ISNUMBER($C351),$C351,DATEVALUE($C351))-IF(ISNUMBER($B351),$B351,DATEVALUE($B351)))/7,0),""))</x:f>
      </x:c>
      <x:c r="W351" s="254">
        <x:f>$Q351-$S351</x:f>
      </x:c>
      <x:c r="X351" s="256">
        <x:f>IF(OR($J351="",$I351="",$J351=0,$I351=0,$I351&gt;$J351),"",$J351-$I351)</x:f>
      </x:c>
      <x:c r="Y351" s="257">
        <x:f>IF(OR($J351="",$J351=0,$X351=""),"",$X351/$J351)</x:f>
      </x:c>
    </x:row>
    <x:row r="352" s="106" customFormat="1" ht="21" customHeight="1">
      <x:c r="A352" s="54" t="n"/>
      <x:c r="B352" s="250" t="n"/>
      <x:c r="C352" s="250" t="n"/>
      <x:c r="D352" s="54" t="n"/>
      <x:c r="E352" s="251" t="n"/>
      <x:c r="F352" s="251" t="n"/>
      <x:c r="G352" s="251" t="n"/>
      <x:c r="H352" s="251" t="n"/>
      <x:c r="I352" s="252" t="n"/>
      <x:c r="J352" s="253" t="n"/>
      <x:c r="K352" s="254" t="n"/>
      <x:c r="L352" s="50" t="n"/>
      <x:c r="M352" s="251" t="n"/>
      <x:c r="N352" s="251">
        <x:f>IF($A352="","",IF($G352="","",IF(ISNUMBER(SEARCH("non",LOWER($E352&amp;""))),$G352*0.85,$G352)))</x:f>
      </x:c>
      <x:c r="O352" s="251">
        <x:f>IF($A352="","",IF(OR($N352="",$I352="",$I352=0),"",$N352/$I352))</x:f>
      </x:c>
      <x:c r="P352" s="251">
        <x:f>IF($A352="","",IF(LOWER($L352&amp;"")="yes",0,IF($K352&lt;&gt;"",$K352,IF($O352&lt;&gt;"",$O352,""))))</x:f>
      </x:c>
      <x:c r="Q352" s="254">
        <x:f>IF($A352="","",IF($U352="Profit",$P352-$H352,0))</x:f>
      </x:c>
      <x:c r="R352" s="251">
        <x:f>IF($A352="","",IF($U352="Draw",$H352,0))</x:f>
      </x:c>
      <x:c r="S352" s="251">
        <x:f>IF($A352="","",IF($U352="Disqualified",$H352,0))</x:f>
      </x:c>
      <x:c r="T352" s="255">
        <x:f>IF($A352="","",IF($H352=0,IF($U352="Profit","N/A",0),IF($U352="Profit",$Q352/$H352,IF($U352="Disqualified",-1,0))))</x:f>
      </x:c>
      <x:c r="U352" s="254">
        <x:f>IF($A352="","",IF(LOWER($L352&amp;"")="yes","Disqualified",IF($P352&gt;$H352,"Profit","Draw")))</x:f>
      </x:c>
      <x:c r="V352" s="253">
        <x:f>IF(OR($B352="",$C352=""),"",IFERROR(ROUNDUP((IF(ISNUMBER($C352),$C352,DATEVALUE($C352))-IF(ISNUMBER($B352),$B352,DATEVALUE($B352)))/7,0),""))</x:f>
      </x:c>
      <x:c r="W352" s="254">
        <x:f>$Q352-$S352</x:f>
      </x:c>
      <x:c r="X352" s="256">
        <x:f>IF(OR($J352="",$I352="",$J352=0,$I352=0,$I352&gt;$J352),"",$J352-$I352)</x:f>
      </x:c>
      <x:c r="Y352" s="257">
        <x:f>IF(OR($J352="",$J352=0,$X352=""),"",$X352/$J352)</x:f>
      </x:c>
    </x:row>
    <x:row r="353" s="106" customFormat="1" ht="21" customHeight="1">
      <x:c r="A353" s="54" t="n"/>
      <x:c r="B353" s="250" t="n"/>
      <x:c r="C353" s="250" t="n"/>
      <x:c r="D353" s="54" t="n"/>
      <x:c r="E353" s="251" t="n"/>
      <x:c r="F353" s="251" t="n"/>
      <x:c r="G353" s="251" t="n"/>
      <x:c r="H353" s="251" t="n"/>
      <x:c r="I353" s="252" t="n"/>
      <x:c r="J353" s="253" t="n"/>
      <x:c r="K353" s="254" t="n"/>
      <x:c r="L353" s="50" t="n"/>
      <x:c r="M353" s="251" t="n"/>
      <x:c r="N353" s="251">
        <x:f>IF($A353="","",IF($G353="","",IF(ISNUMBER(SEARCH("non",LOWER($E353&amp;""))),$G353*0.85,$G353)))</x:f>
      </x:c>
      <x:c r="O353" s="251">
        <x:f>IF($A353="","",IF(OR($N353="",$I353="",$I353=0),"",$N353/$I353))</x:f>
      </x:c>
      <x:c r="P353" s="251">
        <x:f>IF($A353="","",IF(LOWER($L353&amp;"")="yes",0,IF($K353&lt;&gt;"",$K353,IF($O353&lt;&gt;"",$O353,""))))</x:f>
      </x:c>
      <x:c r="Q353" s="254">
        <x:f>IF($A353="","",IF($U353="Profit",$P353-$H353,0))</x:f>
      </x:c>
      <x:c r="R353" s="251">
        <x:f>IF($A353="","",IF($U353="Draw",$H353,0))</x:f>
      </x:c>
      <x:c r="S353" s="251">
        <x:f>IF($A353="","",IF($U353="Disqualified",$H353,0))</x:f>
      </x:c>
      <x:c r="T353" s="255">
        <x:f>IF($A353="","",IF($H353=0,IF($U353="Profit","N/A",0),IF($U353="Profit",$Q353/$H353,IF($U353="Disqualified",-1,0))))</x:f>
      </x:c>
      <x:c r="U353" s="254">
        <x:f>IF($A353="","",IF(LOWER($L353&amp;"")="yes","Disqualified",IF($P353&gt;$H353,"Profit","Draw")))</x:f>
      </x:c>
      <x:c r="V353" s="253">
        <x:f>IF(OR($B353="",$C353=""),"",IFERROR(ROUNDUP((IF(ISNUMBER($C353),$C353,DATEVALUE($C353))-IF(ISNUMBER($B353),$B353,DATEVALUE($B353)))/7,0),""))</x:f>
      </x:c>
      <x:c r="W353" s="254">
        <x:f>$Q353-$S353</x:f>
      </x:c>
      <x:c r="X353" s="256">
        <x:f>IF(OR($J353="",$I353="",$J353=0,$I353=0,$I353&gt;$J353),"",$J353-$I353)</x:f>
      </x:c>
      <x:c r="Y353" s="257">
        <x:f>IF(OR($J353="",$J353=0,$X353=""),"",$X353/$J353)</x:f>
      </x:c>
    </x:row>
    <x:row r="354" s="106" customFormat="1" ht="21" customHeight="1">
      <x:c r="A354" s="54" t="n"/>
      <x:c r="B354" s="250" t="n"/>
      <x:c r="C354" s="250" t="n"/>
      <x:c r="D354" s="54" t="n"/>
      <x:c r="E354" s="251" t="n"/>
      <x:c r="F354" s="251" t="n"/>
      <x:c r="G354" s="251" t="n"/>
      <x:c r="H354" s="251" t="n"/>
      <x:c r="I354" s="252" t="n"/>
      <x:c r="J354" s="253" t="n"/>
      <x:c r="K354" s="254" t="n"/>
      <x:c r="L354" s="50" t="n"/>
      <x:c r="M354" s="251" t="n"/>
      <x:c r="N354" s="251">
        <x:f>IF($A354="","",IF($G354="","",IF(ISNUMBER(SEARCH("non",LOWER($E354&amp;""))),$G354*0.85,$G354)))</x:f>
      </x:c>
      <x:c r="O354" s="251">
        <x:f>IF($A354="","",IF(OR($N354="",$I354="",$I354=0),"",$N354/$I354))</x:f>
      </x:c>
      <x:c r="P354" s="251">
        <x:f>IF($A354="","",IF(LOWER($L354&amp;"")="yes",0,IF($K354&lt;&gt;"",$K354,IF($O354&lt;&gt;"",$O354,""))))</x:f>
      </x:c>
      <x:c r="Q354" s="254">
        <x:f>IF($A354="","",IF($U354="Profit",$P354-$H354,0))</x:f>
      </x:c>
      <x:c r="R354" s="251">
        <x:f>IF($A354="","",IF($U354="Draw",$H354,0))</x:f>
      </x:c>
      <x:c r="S354" s="251">
        <x:f>IF($A354="","",IF($U354="Disqualified",$H354,0))</x:f>
      </x:c>
      <x:c r="T354" s="255">
        <x:f>IF($A354="","",IF($H354=0,IF($U354="Profit","N/A",0),IF($U354="Profit",$Q354/$H354,IF($U354="Disqualified",-1,0))))</x:f>
      </x:c>
      <x:c r="U354" s="254">
        <x:f>IF($A354="","",IF(LOWER($L354&amp;"")="yes","Disqualified",IF($P354&gt;$H354,"Profit","Draw")))</x:f>
      </x:c>
      <x:c r="V354" s="253">
        <x:f>IF(OR($B354="",$C354=""),"",IFERROR(ROUNDUP((IF(ISNUMBER($C354),$C354,DATEVALUE($C354))-IF(ISNUMBER($B354),$B354,DATEVALUE($B354)))/7,0),""))</x:f>
      </x:c>
      <x:c r="W354" s="254">
        <x:f>$Q354-$S354</x:f>
      </x:c>
      <x:c r="X354" s="256">
        <x:f>IF(OR($J354="",$I354="",$J354=0,$I354=0,$I354&gt;$J354),"",$J354-$I354)</x:f>
      </x:c>
      <x:c r="Y354" s="257">
        <x:f>IF(OR($J354="",$J354=0,$X354=""),"",$X354/$J354)</x:f>
      </x:c>
    </x:row>
    <x:row r="355" s="106" customFormat="1" ht="21" customHeight="1">
      <x:c r="A355" s="54" t="n"/>
      <x:c r="B355" s="250" t="n"/>
      <x:c r="C355" s="250" t="n"/>
      <x:c r="D355" s="54" t="n"/>
      <x:c r="E355" s="251" t="n"/>
      <x:c r="F355" s="251" t="n"/>
      <x:c r="G355" s="251" t="n"/>
      <x:c r="H355" s="251" t="n"/>
      <x:c r="I355" s="252" t="n"/>
      <x:c r="J355" s="253" t="n"/>
      <x:c r="K355" s="254" t="n"/>
      <x:c r="L355" s="50" t="n"/>
      <x:c r="M355" s="251" t="n"/>
      <x:c r="N355" s="251">
        <x:f>IF($A355="","",IF($G355="","",IF(ISNUMBER(SEARCH("non",LOWER($E355&amp;""))),$G355*0.85,$G355)))</x:f>
      </x:c>
      <x:c r="O355" s="251">
        <x:f>IF($A355="","",IF(OR($N355="",$I355="",$I355=0),"",$N355/$I355))</x:f>
      </x:c>
      <x:c r="P355" s="251">
        <x:f>IF($A355="","",IF(LOWER($L355&amp;"")="yes",0,IF($K355&lt;&gt;"",$K355,IF($O355&lt;&gt;"",$O355,""))))</x:f>
      </x:c>
      <x:c r="Q355" s="254">
        <x:f>IF($A355="","",IF($U355="Profit",$P355-$H355,0))</x:f>
      </x:c>
      <x:c r="R355" s="251">
        <x:f>IF($A355="","",IF($U355="Draw",$H355,0))</x:f>
      </x:c>
      <x:c r="S355" s="251">
        <x:f>IF($A355="","",IF($U355="Disqualified",$H355,0))</x:f>
      </x:c>
      <x:c r="T355" s="255">
        <x:f>IF($A355="","",IF($H355=0,IF($U355="Profit","N/A",0),IF($U355="Profit",$Q355/$H355,IF($U355="Disqualified",-1,0))))</x:f>
      </x:c>
      <x:c r="U355" s="254">
        <x:f>IF($A355="","",IF(LOWER($L355&amp;"")="yes","Disqualified",IF($P355&gt;$H355,"Profit","Draw")))</x:f>
      </x:c>
      <x:c r="V355" s="253">
        <x:f>IF(OR($B355="",$C355=""),"",IFERROR(ROUNDUP((IF(ISNUMBER($C355),$C355,DATEVALUE($C355))-IF(ISNUMBER($B355),$B355,DATEVALUE($B355)))/7,0),""))</x:f>
      </x:c>
      <x:c r="W355" s="254">
        <x:f>$Q355-$S355</x:f>
      </x:c>
      <x:c r="X355" s="256">
        <x:f>IF(OR($J355="",$I355="",$J355=0,$I355=0,$I355&gt;$J355),"",$J355-$I355)</x:f>
      </x:c>
      <x:c r="Y355" s="257">
        <x:f>IF(OR($J355="",$J355=0,$X355=""),"",$X355/$J355)</x:f>
      </x:c>
    </x:row>
    <x:row r="356" s="106" customFormat="1" ht="21" customHeight="1">
      <x:c r="A356" s="54" t="n"/>
      <x:c r="B356" s="250" t="n"/>
      <x:c r="C356" s="250" t="n"/>
      <x:c r="D356" s="54" t="n"/>
      <x:c r="E356" s="251" t="n"/>
      <x:c r="F356" s="251" t="n"/>
      <x:c r="G356" s="251" t="n"/>
      <x:c r="H356" s="251" t="n"/>
      <x:c r="I356" s="252" t="n"/>
      <x:c r="J356" s="253" t="n"/>
      <x:c r="K356" s="254" t="n"/>
      <x:c r="L356" s="50" t="n"/>
      <x:c r="M356" s="251" t="n"/>
      <x:c r="N356" s="251">
        <x:f>IF($A356="","",IF($G356="","",IF(ISNUMBER(SEARCH("non",LOWER($E356&amp;""))),$G356*0.85,$G356)))</x:f>
      </x:c>
      <x:c r="O356" s="251">
        <x:f>IF($A356="","",IF(OR($N356="",$I356="",$I356=0),"",$N356/$I356))</x:f>
      </x:c>
      <x:c r="P356" s="251">
        <x:f>IF($A356="","",IF(LOWER($L356&amp;"")="yes",0,IF($K356&lt;&gt;"",$K356,IF($O356&lt;&gt;"",$O356,""))))</x:f>
      </x:c>
      <x:c r="Q356" s="254">
        <x:f>IF($A356="","",IF($U356="Profit",$P356-$H356,0))</x:f>
      </x:c>
      <x:c r="R356" s="251">
        <x:f>IF($A356="","",IF($U356="Draw",$H356,0))</x:f>
      </x:c>
      <x:c r="S356" s="251">
        <x:f>IF($A356="","",IF($U356="Disqualified",$H356,0))</x:f>
      </x:c>
      <x:c r="T356" s="255">
        <x:f>IF($A356="","",IF($H356=0,IF($U356="Profit","N/A",0),IF($U356="Profit",$Q356/$H356,IF($U356="Disqualified",-1,0))))</x:f>
      </x:c>
      <x:c r="U356" s="254">
        <x:f>IF($A356="","",IF(LOWER($L356&amp;"")="yes","Disqualified",IF($P356&gt;$H356,"Profit","Draw")))</x:f>
      </x:c>
      <x:c r="V356" s="253">
        <x:f>IF(OR($B356="",$C356=""),"",IFERROR(ROUNDUP((IF(ISNUMBER($C356),$C356,DATEVALUE($C356))-IF(ISNUMBER($B356),$B356,DATEVALUE($B356)))/7,0),""))</x:f>
      </x:c>
      <x:c r="W356" s="254">
        <x:f>$Q356-$S356</x:f>
      </x:c>
      <x:c r="X356" s="256">
        <x:f>IF(OR($J356="",$I356="",$J356=0,$I356=0,$I356&gt;$J356),"",$J356-$I356)</x:f>
      </x:c>
      <x:c r="Y356" s="257">
        <x:f>IF(OR($J356="",$J356=0,$X356=""),"",$X356/$J356)</x:f>
      </x:c>
    </x:row>
    <x:row r="357" s="106" customFormat="1" ht="21" customHeight="1">
      <x:c r="A357" s="54" t="n"/>
      <x:c r="B357" s="250" t="n"/>
      <x:c r="C357" s="250" t="n"/>
      <x:c r="D357" s="54" t="n"/>
      <x:c r="E357" s="251" t="n"/>
      <x:c r="F357" s="251" t="n"/>
      <x:c r="G357" s="251" t="n"/>
      <x:c r="H357" s="251" t="n"/>
      <x:c r="I357" s="252" t="n"/>
      <x:c r="J357" s="253" t="n"/>
      <x:c r="K357" s="254" t="n"/>
      <x:c r="L357" s="50" t="n"/>
      <x:c r="M357" s="251" t="n"/>
      <x:c r="N357" s="251">
        <x:f>IF($A357="","",IF($G357="","",IF(ISNUMBER(SEARCH("non",LOWER($E357&amp;""))),$G357*0.85,$G357)))</x:f>
      </x:c>
      <x:c r="O357" s="251">
        <x:f>IF($A357="","",IF(OR($N357="",$I357="",$I357=0),"",$N357/$I357))</x:f>
      </x:c>
      <x:c r="P357" s="251">
        <x:f>IF($A357="","",IF(LOWER($L357&amp;"")="yes",0,IF($K357&lt;&gt;"",$K357,IF($O357&lt;&gt;"",$O357,""))))</x:f>
      </x:c>
      <x:c r="Q357" s="254">
        <x:f>IF($A357="","",IF($U357="Profit",$P357-$H357,0))</x:f>
      </x:c>
      <x:c r="R357" s="251">
        <x:f>IF($A357="","",IF($U357="Draw",$H357,0))</x:f>
      </x:c>
      <x:c r="S357" s="251">
        <x:f>IF($A357="","",IF($U357="Disqualified",$H357,0))</x:f>
      </x:c>
      <x:c r="T357" s="255">
        <x:f>IF($A357="","",IF($H357=0,IF($U357="Profit","N/A",0),IF($U357="Profit",$Q357/$H357,IF($U357="Disqualified",-1,0))))</x:f>
      </x:c>
      <x:c r="U357" s="254">
        <x:f>IF($A357="","",IF(LOWER($L357&amp;"")="yes","Disqualified",IF($P357&gt;$H357,"Profit","Draw")))</x:f>
      </x:c>
      <x:c r="V357" s="253">
        <x:f>IF(OR($B357="",$C357=""),"",IFERROR(ROUNDUP((IF(ISNUMBER($C357),$C357,DATEVALUE($C357))-IF(ISNUMBER($B357),$B357,DATEVALUE($B357)))/7,0),""))</x:f>
      </x:c>
      <x:c r="W357" s="254">
        <x:f>$Q357-$S357</x:f>
      </x:c>
      <x:c r="X357" s="256">
        <x:f>IF(OR($J357="",$I357="",$J357=0,$I357=0,$I357&gt;$J357),"",$J357-$I357)</x:f>
      </x:c>
      <x:c r="Y357" s="257">
        <x:f>IF(OR($J357="",$J357=0,$X357=""),"",$X357/$J357)</x:f>
      </x:c>
    </x:row>
    <x:row r="358" s="106" customFormat="1" ht="21" customHeight="1">
      <x:c r="A358" s="54" t="n"/>
      <x:c r="B358" s="250" t="n"/>
      <x:c r="C358" s="250" t="n"/>
      <x:c r="D358" s="54" t="n"/>
      <x:c r="E358" s="251" t="n"/>
      <x:c r="F358" s="251" t="n"/>
      <x:c r="G358" s="251" t="n"/>
      <x:c r="H358" s="251" t="n"/>
      <x:c r="I358" s="252" t="n"/>
      <x:c r="J358" s="253" t="n"/>
      <x:c r="K358" s="254" t="n"/>
      <x:c r="L358" s="50" t="n"/>
      <x:c r="M358" s="251" t="n"/>
      <x:c r="N358" s="251">
        <x:f>IF($A358="","",IF($G358="","",IF(ISNUMBER(SEARCH("non",LOWER($E358&amp;""))),$G358*0.85,$G358)))</x:f>
      </x:c>
      <x:c r="O358" s="251">
        <x:f>IF($A358="","",IF(OR($N358="",$I358="",$I358=0),"",$N358/$I358))</x:f>
      </x:c>
      <x:c r="P358" s="251">
        <x:f>IF($A358="","",IF(LOWER($L358&amp;"")="yes",0,IF($K358&lt;&gt;"",$K358,IF($O358&lt;&gt;"",$O358,""))))</x:f>
      </x:c>
      <x:c r="Q358" s="254">
        <x:f>IF($A358="","",IF($U358="Profit",$P358-$H358,0))</x:f>
      </x:c>
      <x:c r="R358" s="251">
        <x:f>IF($A358="","",IF($U358="Draw",$H358,0))</x:f>
      </x:c>
      <x:c r="S358" s="251">
        <x:f>IF($A358="","",IF($U358="Disqualified",$H358,0))</x:f>
      </x:c>
      <x:c r="T358" s="255">
        <x:f>IF($A358="","",IF($H358=0,IF($U358="Profit","N/A",0),IF($U358="Profit",$Q358/$H358,IF($U358="Disqualified",-1,0))))</x:f>
      </x:c>
      <x:c r="U358" s="254">
        <x:f>IF($A358="","",IF(LOWER($L358&amp;"")="yes","Disqualified",IF($P358&gt;$H358,"Profit","Draw")))</x:f>
      </x:c>
      <x:c r="V358" s="253">
        <x:f>IF(OR($B358="",$C358=""),"",IFERROR(ROUNDUP((IF(ISNUMBER($C358),$C358,DATEVALUE($C358))-IF(ISNUMBER($B358),$B358,DATEVALUE($B358)))/7,0),""))</x:f>
      </x:c>
      <x:c r="W358" s="254">
        <x:f>$Q358-$S358</x:f>
      </x:c>
      <x:c r="X358" s="256">
        <x:f>IF(OR($J358="",$I358="",$J358=0,$I358=0,$I358&gt;$J358),"",$J358-$I358)</x:f>
      </x:c>
      <x:c r="Y358" s="257">
        <x:f>IF(OR($J358="",$J358=0,$X358=""),"",$X358/$J358)</x:f>
      </x:c>
    </x:row>
    <x:row r="359" s="106" customFormat="1" ht="21" customHeight="1">
      <x:c r="A359" s="54" t="n"/>
      <x:c r="B359" s="250" t="n"/>
      <x:c r="C359" s="250" t="n"/>
      <x:c r="D359" s="54" t="n"/>
      <x:c r="E359" s="251" t="n"/>
      <x:c r="F359" s="251" t="n"/>
      <x:c r="G359" s="251" t="n"/>
      <x:c r="H359" s="251" t="n"/>
      <x:c r="I359" s="252" t="n"/>
      <x:c r="J359" s="253" t="n"/>
      <x:c r="K359" s="254" t="n"/>
      <x:c r="L359" s="50" t="n"/>
      <x:c r="M359" s="251" t="n"/>
      <x:c r="N359" s="251">
        <x:f>IF($A359="","",IF($G359="","",IF(ISNUMBER(SEARCH("non",LOWER($E359&amp;""))),$G359*0.85,$G359)))</x:f>
      </x:c>
      <x:c r="O359" s="251">
        <x:f>IF($A359="","",IF(OR($N359="",$I359="",$I359=0),"",$N359/$I359))</x:f>
      </x:c>
      <x:c r="P359" s="251">
        <x:f>IF($A359="","",IF(LOWER($L359&amp;"")="yes",0,IF($K359&lt;&gt;"",$K359,IF($O359&lt;&gt;"",$O359,""))))</x:f>
      </x:c>
      <x:c r="Q359" s="254">
        <x:f>IF($A359="","",IF($U359="Profit",$P359-$H359,0))</x:f>
      </x:c>
      <x:c r="R359" s="251">
        <x:f>IF($A359="","",IF($U359="Draw",$H359,0))</x:f>
      </x:c>
      <x:c r="S359" s="251">
        <x:f>IF($A359="","",IF($U359="Disqualified",$H359,0))</x:f>
      </x:c>
      <x:c r="T359" s="255">
        <x:f>IF($A359="","",IF($H359=0,IF($U359="Profit","N/A",0),IF($U359="Profit",$Q359/$H359,IF($U359="Disqualified",-1,0))))</x:f>
      </x:c>
      <x:c r="U359" s="254">
        <x:f>IF($A359="","",IF(LOWER($L359&amp;"")="yes","Disqualified",IF($P359&gt;$H359,"Profit","Draw")))</x:f>
      </x:c>
      <x:c r="V359" s="253">
        <x:f>IF(OR($B359="",$C359=""),"",IFERROR(ROUNDUP((IF(ISNUMBER($C359),$C359,DATEVALUE($C359))-IF(ISNUMBER($B359),$B359,DATEVALUE($B359)))/7,0),""))</x:f>
      </x:c>
      <x:c r="W359" s="254">
        <x:f>$Q359-$S359</x:f>
      </x:c>
      <x:c r="X359" s="256">
        <x:f>IF(OR($J359="",$I359="",$J359=0,$I359=0,$I359&gt;$J359),"",$J359-$I359)</x:f>
      </x:c>
      <x:c r="Y359" s="257">
        <x:f>IF(OR($J359="",$J359=0,$X359=""),"",$X359/$J359)</x:f>
      </x:c>
    </x:row>
    <x:row r="360" s="106" customFormat="1" ht="21" customHeight="1">
      <x:c r="A360" s="54" t="n"/>
      <x:c r="B360" s="250" t="n"/>
      <x:c r="C360" s="250" t="n"/>
      <x:c r="D360" s="54" t="n"/>
      <x:c r="E360" s="251" t="n"/>
      <x:c r="F360" s="251" t="n"/>
      <x:c r="G360" s="251" t="n"/>
      <x:c r="H360" s="251" t="n"/>
      <x:c r="I360" s="252" t="n"/>
      <x:c r="J360" s="253" t="n"/>
      <x:c r="K360" s="254" t="n"/>
      <x:c r="L360" s="50" t="n"/>
      <x:c r="M360" s="251" t="n"/>
      <x:c r="N360" s="251">
        <x:f>IF($A360="","",IF($G360="","",IF(ISNUMBER(SEARCH("non",LOWER($E360&amp;""))),$G360*0.85,$G360)))</x:f>
      </x:c>
      <x:c r="O360" s="251">
        <x:f>IF($A360="","",IF(OR($N360="",$I360="",$I360=0),"",$N360/$I360))</x:f>
      </x:c>
      <x:c r="P360" s="251">
        <x:f>IF($A360="","",IF(LOWER($L360&amp;"")="yes",0,IF($K360&lt;&gt;"",$K360,IF($O360&lt;&gt;"",$O360,""))))</x:f>
      </x:c>
      <x:c r="Q360" s="254">
        <x:f>IF($A360="","",IF($U360="Profit",$P360-$H360,0))</x:f>
      </x:c>
      <x:c r="R360" s="251">
        <x:f>IF($A360="","",IF($U360="Draw",$H360,0))</x:f>
      </x:c>
      <x:c r="S360" s="251">
        <x:f>IF($A360="","",IF($U360="Disqualified",$H360,0))</x:f>
      </x:c>
      <x:c r="T360" s="255">
        <x:f>IF($A360="","",IF($H360=0,IF($U360="Profit","N/A",0),IF($U360="Profit",$Q360/$H360,IF($U360="Disqualified",-1,0))))</x:f>
      </x:c>
      <x:c r="U360" s="254">
        <x:f>IF($A360="","",IF(LOWER($L360&amp;"")="yes","Disqualified",IF($P360&gt;$H360,"Profit","Draw")))</x:f>
      </x:c>
      <x:c r="V360" s="253">
        <x:f>IF(OR($B360="",$C360=""),"",IFERROR(ROUNDUP((IF(ISNUMBER($C360),$C360,DATEVALUE($C360))-IF(ISNUMBER($B360),$B360,DATEVALUE($B360)))/7,0),""))</x:f>
      </x:c>
      <x:c r="W360" s="254">
        <x:f>$Q360-$S360</x:f>
      </x:c>
      <x:c r="X360" s="256">
        <x:f>IF(OR($J360="",$I360="",$J360=0,$I360=0,$I360&gt;$J360),"",$J360-$I360)</x:f>
      </x:c>
      <x:c r="Y360" s="257">
        <x:f>IF(OR($J360="",$J360=0,$X360=""),"",$X360/$J360)</x:f>
      </x:c>
    </x:row>
    <x:row r="361" s="106" customFormat="1" ht="21" customHeight="1">
      <x:c r="A361" s="54" t="n"/>
      <x:c r="B361" s="250" t="n"/>
      <x:c r="C361" s="250" t="n"/>
      <x:c r="D361" s="54" t="n"/>
      <x:c r="E361" s="251" t="n"/>
      <x:c r="F361" s="251" t="n"/>
      <x:c r="G361" s="251" t="n"/>
      <x:c r="H361" s="251" t="n"/>
      <x:c r="I361" s="252" t="n"/>
      <x:c r="J361" s="253" t="n"/>
      <x:c r="K361" s="254" t="n"/>
      <x:c r="L361" s="50" t="n"/>
      <x:c r="M361" s="251" t="n"/>
      <x:c r="N361" s="251">
        <x:f>IF($A361="","",IF($G361="","",IF(ISNUMBER(SEARCH("non",LOWER($E361&amp;""))),$G361*0.85,$G361)))</x:f>
      </x:c>
      <x:c r="O361" s="251">
        <x:f>IF($A361="","",IF(OR($N361="",$I361="",$I361=0),"",$N361/$I361))</x:f>
      </x:c>
      <x:c r="P361" s="251">
        <x:f>IF($A361="","",IF(LOWER($L361&amp;"")="yes",0,IF($K361&lt;&gt;"",$K361,IF($O361&lt;&gt;"",$O361,""))))</x:f>
      </x:c>
      <x:c r="Q361" s="254">
        <x:f>IF($A361="","",IF($U361="Profit",$P361-$H361,0))</x:f>
      </x:c>
      <x:c r="R361" s="251">
        <x:f>IF($A361="","",IF($U361="Draw",$H361,0))</x:f>
      </x:c>
      <x:c r="S361" s="251">
        <x:f>IF($A361="","",IF($U361="Disqualified",$H361,0))</x:f>
      </x:c>
      <x:c r="T361" s="255">
        <x:f>IF($A361="","",IF($H361=0,IF($U361="Profit","N/A",0),IF($U361="Profit",$Q361/$H361,IF($U361="Disqualified",-1,0))))</x:f>
      </x:c>
      <x:c r="U361" s="254">
        <x:f>IF($A361="","",IF(LOWER($L361&amp;"")="yes","Disqualified",IF($P361&gt;$H361,"Profit","Draw")))</x:f>
      </x:c>
      <x:c r="V361" s="253">
        <x:f>IF(OR($B361="",$C361=""),"",IFERROR(ROUNDUP((IF(ISNUMBER($C361),$C361,DATEVALUE($C361))-IF(ISNUMBER($B361),$B361,DATEVALUE($B361)))/7,0),""))</x:f>
      </x:c>
      <x:c r="W361" s="254">
        <x:f>$Q361-$S361</x:f>
      </x:c>
      <x:c r="X361" s="256">
        <x:f>IF(OR($J361="",$I361="",$J361=0,$I361=0,$I361&gt;$J361),"",$J361-$I361)</x:f>
      </x:c>
      <x:c r="Y361" s="257">
        <x:f>IF(OR($J361="",$J361=0,$X361=""),"",$X361/$J361)</x:f>
      </x:c>
    </x:row>
    <x:row r="362" s="106" customFormat="1" ht="21" customHeight="1">
      <x:c r="A362" s="54" t="n"/>
      <x:c r="B362" s="250" t="n"/>
      <x:c r="C362" s="250" t="n"/>
      <x:c r="D362" s="54" t="n"/>
      <x:c r="E362" s="251" t="n"/>
      <x:c r="F362" s="251" t="n"/>
      <x:c r="G362" s="251" t="n"/>
      <x:c r="H362" s="251" t="n"/>
      <x:c r="I362" s="252" t="n"/>
      <x:c r="J362" s="253" t="n"/>
      <x:c r="K362" s="254" t="n"/>
      <x:c r="L362" s="50" t="n"/>
      <x:c r="M362" s="251" t="n"/>
      <x:c r="N362" s="251">
        <x:f>IF($A362="","",IF($G362="","",IF(ISNUMBER(SEARCH("non",LOWER($E362&amp;""))),$G362*0.85,$G362)))</x:f>
      </x:c>
      <x:c r="O362" s="251">
        <x:f>IF($A362="","",IF(OR($N362="",$I362="",$I362=0),"",$N362/$I362))</x:f>
      </x:c>
      <x:c r="P362" s="251">
        <x:f>IF($A362="","",IF(LOWER($L362&amp;"")="yes",0,IF($K362&lt;&gt;"",$K362,IF($O362&lt;&gt;"",$O362,""))))</x:f>
      </x:c>
      <x:c r="Q362" s="254">
        <x:f>IF($A362="","",IF($U362="Profit",$P362-$H362,0))</x:f>
      </x:c>
      <x:c r="R362" s="251">
        <x:f>IF($A362="","",IF($U362="Draw",$H362,0))</x:f>
      </x:c>
      <x:c r="S362" s="251">
        <x:f>IF($A362="","",IF($U362="Disqualified",$H362,0))</x:f>
      </x:c>
      <x:c r="T362" s="255">
        <x:f>IF($A362="","",IF($H362=0,IF($U362="Profit","N/A",0),IF($U362="Profit",$Q362/$H362,IF($U362="Disqualified",-1,0))))</x:f>
      </x:c>
      <x:c r="U362" s="254">
        <x:f>IF($A362="","",IF(LOWER($L362&amp;"")="yes","Disqualified",IF($P362&gt;$H362,"Profit","Draw")))</x:f>
      </x:c>
      <x:c r="V362" s="253">
        <x:f>IF(OR($B362="",$C362=""),"",IFERROR(ROUNDUP((IF(ISNUMBER($C362),$C362,DATEVALUE($C362))-IF(ISNUMBER($B362),$B362,DATEVALUE($B362)))/7,0),""))</x:f>
      </x:c>
      <x:c r="W362" s="254">
        <x:f>$Q362-$S362</x:f>
      </x:c>
      <x:c r="X362" s="256">
        <x:f>IF(OR($J362="",$I362="",$J362=0,$I362=0,$I362&gt;$J362),"",$J362-$I362)</x:f>
      </x:c>
      <x:c r="Y362" s="257">
        <x:f>IF(OR($J362="",$J362=0,$X362=""),"",$X362/$J362)</x:f>
      </x:c>
    </x:row>
    <x:row r="363" s="106" customFormat="1" ht="21" customHeight="1">
      <x:c r="A363" s="54" t="n"/>
      <x:c r="B363" s="250" t="n"/>
      <x:c r="C363" s="250" t="n"/>
      <x:c r="D363" s="54" t="n"/>
      <x:c r="E363" s="251" t="n"/>
      <x:c r="F363" s="251" t="n"/>
      <x:c r="G363" s="251" t="n"/>
      <x:c r="H363" s="251" t="n"/>
      <x:c r="I363" s="252" t="n"/>
      <x:c r="J363" s="253" t="n"/>
      <x:c r="K363" s="254" t="n"/>
      <x:c r="L363" s="50" t="n"/>
      <x:c r="M363" s="251" t="n"/>
      <x:c r="N363" s="251">
        <x:f>IF($A363="","",IF($G363="","",IF(ISNUMBER(SEARCH("non",LOWER($E363&amp;""))),$G363*0.85,$G363)))</x:f>
      </x:c>
      <x:c r="O363" s="251">
        <x:f>IF($A363="","",IF(OR($N363="",$I363="",$I363=0),"",$N363/$I363))</x:f>
      </x:c>
      <x:c r="P363" s="251">
        <x:f>IF($A363="","",IF(LOWER($L363&amp;"")="yes",0,IF($K363&lt;&gt;"",$K363,IF($O363&lt;&gt;"",$O363,""))))</x:f>
      </x:c>
      <x:c r="Q363" s="254">
        <x:f>IF($A363="","",IF($U363="Profit",$P363-$H363,0))</x:f>
      </x:c>
      <x:c r="R363" s="251">
        <x:f>IF($A363="","",IF($U363="Draw",$H363,0))</x:f>
      </x:c>
      <x:c r="S363" s="251">
        <x:f>IF($A363="","",IF($U363="Disqualified",$H363,0))</x:f>
      </x:c>
      <x:c r="T363" s="255">
        <x:f>IF($A363="","",IF($H363=0,IF($U363="Profit","N/A",0),IF($U363="Profit",$Q363/$H363,IF($U363="Disqualified",-1,0))))</x:f>
      </x:c>
      <x:c r="U363" s="254">
        <x:f>IF($A363="","",IF(LOWER($L363&amp;"")="yes","Disqualified",IF($P363&gt;$H363,"Profit","Draw")))</x:f>
      </x:c>
      <x:c r="V363" s="253">
        <x:f>IF(OR($B363="",$C363=""),"",IFERROR(ROUNDUP((IF(ISNUMBER($C363),$C363,DATEVALUE($C363))-IF(ISNUMBER($B363),$B363,DATEVALUE($B363)))/7,0),""))</x:f>
      </x:c>
      <x:c r="W363" s="254">
        <x:f>$Q363-$S363</x:f>
      </x:c>
      <x:c r="X363" s="256">
        <x:f>IF(OR($J363="",$I363="",$J363=0,$I363=0,$I363&gt;$J363),"",$J363-$I363)</x:f>
      </x:c>
      <x:c r="Y363" s="257">
        <x:f>IF(OR($J363="",$J363=0,$X363=""),"",$X363/$J363)</x:f>
      </x:c>
    </x:row>
    <x:row r="364" s="106" customFormat="1" ht="21" customHeight="1">
      <x:c r="A364" s="54" t="n"/>
      <x:c r="B364" s="250" t="n"/>
      <x:c r="C364" s="250" t="n"/>
      <x:c r="D364" s="54" t="n"/>
      <x:c r="E364" s="251" t="n"/>
      <x:c r="F364" s="251" t="n"/>
      <x:c r="G364" s="251" t="n"/>
      <x:c r="H364" s="251" t="n"/>
      <x:c r="I364" s="252" t="n"/>
      <x:c r="J364" s="253" t="n"/>
      <x:c r="K364" s="254" t="n"/>
      <x:c r="L364" s="50" t="n"/>
      <x:c r="M364" s="251" t="n"/>
      <x:c r="N364" s="251">
        <x:f>IF($A364="","",IF($G364="","",IF(ISNUMBER(SEARCH("non",LOWER($E364&amp;""))),$G364*0.85,$G364)))</x:f>
      </x:c>
      <x:c r="O364" s="251">
        <x:f>IF($A364="","",IF(OR($N364="",$I364="",$I364=0),"",$N364/$I364))</x:f>
      </x:c>
      <x:c r="P364" s="251">
        <x:f>IF($A364="","",IF(LOWER($L364&amp;"")="yes",0,IF($K364&lt;&gt;"",$K364,IF($O364&lt;&gt;"",$O364,""))))</x:f>
      </x:c>
      <x:c r="Q364" s="254">
        <x:f>IF($A364="","",IF($U364="Profit",$P364-$H364,0))</x:f>
      </x:c>
      <x:c r="R364" s="251">
        <x:f>IF($A364="","",IF($U364="Draw",$H364,0))</x:f>
      </x:c>
      <x:c r="S364" s="251">
        <x:f>IF($A364="","",IF($U364="Disqualified",$H364,0))</x:f>
      </x:c>
      <x:c r="T364" s="255">
        <x:f>IF($A364="","",IF($H364=0,IF($U364="Profit","N/A",0),IF($U364="Profit",$Q364/$H364,IF($U364="Disqualified",-1,0))))</x:f>
      </x:c>
      <x:c r="U364" s="254">
        <x:f>IF($A364="","",IF(LOWER($L364&amp;"")="yes","Disqualified",IF($P364&gt;$H364,"Profit","Draw")))</x:f>
      </x:c>
      <x:c r="V364" s="253">
        <x:f>IF(OR($B364="",$C364=""),"",IFERROR(ROUNDUP((IF(ISNUMBER($C364),$C364,DATEVALUE($C364))-IF(ISNUMBER($B364),$B364,DATEVALUE($B364)))/7,0),""))</x:f>
      </x:c>
      <x:c r="W364" s="254">
        <x:f>$Q364-$S364</x:f>
      </x:c>
      <x:c r="X364" s="256">
        <x:f>IF(OR($J364="",$I364="",$J364=0,$I364=0,$I364&gt;$J364),"",$J364-$I364)</x:f>
      </x:c>
      <x:c r="Y364" s="257">
        <x:f>IF(OR($J364="",$J364=0,$X364=""),"",$X364/$J364)</x:f>
      </x:c>
    </x:row>
    <x:row r="365" s="106" customFormat="1" ht="21" customHeight="1">
      <x:c r="A365" s="54" t="n"/>
      <x:c r="B365" s="250" t="n"/>
      <x:c r="C365" s="250" t="n"/>
      <x:c r="D365" s="54" t="n"/>
      <x:c r="E365" s="251" t="n"/>
      <x:c r="F365" s="251" t="n"/>
      <x:c r="G365" s="251" t="n"/>
      <x:c r="H365" s="251" t="n"/>
      <x:c r="I365" s="252" t="n"/>
      <x:c r="J365" s="253" t="n"/>
      <x:c r="K365" s="254" t="n"/>
      <x:c r="L365" s="50" t="n"/>
      <x:c r="M365" s="251" t="n"/>
      <x:c r="N365" s="251">
        <x:f>IF($A365="","",IF($G365="","",IF(ISNUMBER(SEARCH("non",LOWER($E365&amp;""))),$G365*0.85,$G365)))</x:f>
      </x:c>
      <x:c r="O365" s="251">
        <x:f>IF($A365="","",IF(OR($N365="",$I365="",$I365=0),"",$N365/$I365))</x:f>
      </x:c>
      <x:c r="P365" s="251">
        <x:f>IF($A365="","",IF(LOWER($L365&amp;"")="yes",0,IF($K365&lt;&gt;"",$K365,IF($O365&lt;&gt;"",$O365,""))))</x:f>
      </x:c>
      <x:c r="Q365" s="254">
        <x:f>IF($A365="","",IF($U365="Profit",$P365-$H365,0))</x:f>
      </x:c>
      <x:c r="R365" s="251">
        <x:f>IF($A365="","",IF($U365="Draw",$H365,0))</x:f>
      </x:c>
      <x:c r="S365" s="251">
        <x:f>IF($A365="","",IF($U365="Disqualified",$H365,0))</x:f>
      </x:c>
      <x:c r="T365" s="255">
        <x:f>IF($A365="","",IF($H365=0,IF($U365="Profit","N/A",0),IF($U365="Profit",$Q365/$H365,IF($U365="Disqualified",-1,0))))</x:f>
      </x:c>
      <x:c r="U365" s="254">
        <x:f>IF($A365="","",IF(LOWER($L365&amp;"")="yes","Disqualified",IF($P365&gt;$H365,"Profit","Draw")))</x:f>
      </x:c>
      <x:c r="V365" s="253">
        <x:f>IF(OR($B365="",$C365=""),"",IFERROR(ROUNDUP((IF(ISNUMBER($C365),$C365,DATEVALUE($C365))-IF(ISNUMBER($B365),$B365,DATEVALUE($B365)))/7,0),""))</x:f>
      </x:c>
      <x:c r="W365" s="254">
        <x:f>$Q365-$S365</x:f>
      </x:c>
      <x:c r="X365" s="256">
        <x:f>IF(OR($J365="",$I365="",$J365=0,$I365=0,$I365&gt;$J365),"",$J365-$I365)</x:f>
      </x:c>
      <x:c r="Y365" s="257">
        <x:f>IF(OR($J365="",$J365=0,$X365=""),"",$X365/$J365)</x:f>
      </x:c>
    </x:row>
    <x:row r="366" s="106" customFormat="1" ht="21" customHeight="1">
      <x:c r="A366" s="54" t="n"/>
      <x:c r="B366" s="250" t="n"/>
      <x:c r="C366" s="250" t="n"/>
      <x:c r="D366" s="54" t="n"/>
      <x:c r="E366" s="251" t="n"/>
      <x:c r="F366" s="251" t="n"/>
      <x:c r="G366" s="251" t="n"/>
      <x:c r="H366" s="251" t="n"/>
      <x:c r="I366" s="252" t="n"/>
      <x:c r="J366" s="253" t="n"/>
      <x:c r="K366" s="254" t="n"/>
      <x:c r="L366" s="50" t="n"/>
      <x:c r="M366" s="251" t="n"/>
      <x:c r="N366" s="251">
        <x:f>IF($A366="","",IF($G366="","",IF(ISNUMBER(SEARCH("non",LOWER($E366&amp;""))),$G366*0.85,$G366)))</x:f>
      </x:c>
      <x:c r="O366" s="251">
        <x:f>IF($A366="","",IF(OR($N366="",$I366="",$I366=0),"",$N366/$I366))</x:f>
      </x:c>
      <x:c r="P366" s="251">
        <x:f>IF($A366="","",IF(LOWER($L366&amp;"")="yes",0,IF($K366&lt;&gt;"",$K366,IF($O366&lt;&gt;"",$O366,""))))</x:f>
      </x:c>
      <x:c r="Q366" s="254">
        <x:f>IF($A366="","",IF($U366="Profit",$P366-$H366,0))</x:f>
      </x:c>
      <x:c r="R366" s="251">
        <x:f>IF($A366="","",IF($U366="Draw",$H366,0))</x:f>
      </x:c>
      <x:c r="S366" s="251">
        <x:f>IF($A366="","",IF($U366="Disqualified",$H366,0))</x:f>
      </x:c>
      <x:c r="T366" s="255">
        <x:f>IF($A366="","",IF($H366=0,IF($U366="Profit","N/A",0),IF($U366="Profit",$Q366/$H366,IF($U366="Disqualified",-1,0))))</x:f>
      </x:c>
      <x:c r="U366" s="254">
        <x:f>IF($A366="","",IF(LOWER($L366&amp;"")="yes","Disqualified",IF($P366&gt;$H366,"Profit","Draw")))</x:f>
      </x:c>
      <x:c r="V366" s="253">
        <x:f>IF(OR($B366="",$C366=""),"",IFERROR(ROUNDUP((IF(ISNUMBER($C366),$C366,DATEVALUE($C366))-IF(ISNUMBER($B366),$B366,DATEVALUE($B366)))/7,0),""))</x:f>
      </x:c>
      <x:c r="W366" s="254">
        <x:f>$Q366-$S366</x:f>
      </x:c>
      <x:c r="X366" s="256">
        <x:f>IF(OR($J366="",$I366="",$J366=0,$I366=0,$I366&gt;$J366),"",$J366-$I366)</x:f>
      </x:c>
      <x:c r="Y366" s="257">
        <x:f>IF(OR($J366="",$J366=0,$X366=""),"",$X366/$J366)</x:f>
      </x:c>
    </x:row>
    <x:row r="367" s="106" customFormat="1" ht="21" customHeight="1">
      <x:c r="A367" s="54" t="n"/>
      <x:c r="B367" s="250" t="n"/>
      <x:c r="C367" s="250" t="n"/>
      <x:c r="D367" s="54" t="n"/>
      <x:c r="E367" s="251" t="n"/>
      <x:c r="F367" s="251" t="n"/>
      <x:c r="G367" s="251" t="n"/>
      <x:c r="H367" s="251" t="n"/>
      <x:c r="I367" s="252" t="n"/>
      <x:c r="J367" s="253" t="n"/>
      <x:c r="K367" s="254" t="n"/>
      <x:c r="L367" s="50" t="n"/>
      <x:c r="M367" s="251" t="n"/>
      <x:c r="N367" s="251">
        <x:f>IF($A367="","",IF($G367="","",IF(ISNUMBER(SEARCH("non",LOWER($E367&amp;""))),$G367*0.85,$G367)))</x:f>
      </x:c>
      <x:c r="O367" s="251">
        <x:f>IF($A367="","",IF(OR($N367="",$I367="",$I367=0),"",$N367/$I367))</x:f>
      </x:c>
      <x:c r="P367" s="251">
        <x:f>IF($A367="","",IF(LOWER($L367&amp;"")="yes",0,IF($K367&lt;&gt;"",$K367,IF($O367&lt;&gt;"",$O367,""))))</x:f>
      </x:c>
      <x:c r="Q367" s="254">
        <x:f>IF($A367="","",IF($U367="Profit",$P367-$H367,0))</x:f>
      </x:c>
      <x:c r="R367" s="251">
        <x:f>IF($A367="","",IF($U367="Draw",$H367,0))</x:f>
      </x:c>
      <x:c r="S367" s="251">
        <x:f>IF($A367="","",IF($U367="Disqualified",$H367,0))</x:f>
      </x:c>
      <x:c r="T367" s="255">
        <x:f>IF($A367="","",IF($H367=0,IF($U367="Profit","N/A",0),IF($U367="Profit",$Q367/$H367,IF($U367="Disqualified",-1,0))))</x:f>
      </x:c>
      <x:c r="U367" s="254">
        <x:f>IF($A367="","",IF(LOWER($L367&amp;"")="yes","Disqualified",IF($P367&gt;$H367,"Profit","Draw")))</x:f>
      </x:c>
      <x:c r="V367" s="253">
        <x:f>IF(OR($B367="",$C367=""),"",IFERROR(ROUNDUP((IF(ISNUMBER($C367),$C367,DATEVALUE($C367))-IF(ISNUMBER($B367),$B367,DATEVALUE($B367)))/7,0),""))</x:f>
      </x:c>
      <x:c r="W367" s="254">
        <x:f>$Q367-$S367</x:f>
      </x:c>
      <x:c r="X367" s="256">
        <x:f>IF(OR($J367="",$I367="",$J367=0,$I367=0,$I367&gt;$J367),"",$J367-$I367)</x:f>
      </x:c>
      <x:c r="Y367" s="257">
        <x:f>IF(OR($J367="",$J367=0,$X367=""),"",$X367/$J367)</x:f>
      </x:c>
    </x:row>
    <x:row r="368" s="106" customFormat="1" ht="21" customHeight="1">
      <x:c r="A368" s="54" t="n"/>
      <x:c r="B368" s="250" t="n"/>
      <x:c r="C368" s="250" t="n"/>
      <x:c r="D368" s="54" t="n"/>
      <x:c r="E368" s="251" t="n"/>
      <x:c r="F368" s="251" t="n"/>
      <x:c r="G368" s="251" t="n"/>
      <x:c r="H368" s="251" t="n"/>
      <x:c r="I368" s="252" t="n"/>
      <x:c r="J368" s="253" t="n"/>
      <x:c r="K368" s="254" t="n"/>
      <x:c r="L368" s="50" t="n"/>
      <x:c r="M368" s="251" t="n"/>
      <x:c r="N368" s="251">
        <x:f>IF($A368="","",IF($G368="","",IF(ISNUMBER(SEARCH("non",LOWER($E368&amp;""))),$G368*0.85,$G368)))</x:f>
      </x:c>
      <x:c r="O368" s="251">
        <x:f>IF($A368="","",IF(OR($N368="",$I368="",$I368=0),"",$N368/$I368))</x:f>
      </x:c>
      <x:c r="P368" s="251">
        <x:f>IF($A368="","",IF(LOWER($L368&amp;"")="yes",0,IF($K368&lt;&gt;"",$K368,IF($O368&lt;&gt;"",$O368,""))))</x:f>
      </x:c>
      <x:c r="Q368" s="254">
        <x:f>IF($A368="","",IF($U368="Profit",$P368-$H368,0))</x:f>
      </x:c>
      <x:c r="R368" s="251">
        <x:f>IF($A368="","",IF($U368="Draw",$H368,0))</x:f>
      </x:c>
      <x:c r="S368" s="251">
        <x:f>IF($A368="","",IF($U368="Disqualified",$H368,0))</x:f>
      </x:c>
      <x:c r="T368" s="255">
        <x:f>IF($A368="","",IF($H368=0,IF($U368="Profit","N/A",0),IF($U368="Profit",$Q368/$H368,IF($U368="Disqualified",-1,0))))</x:f>
      </x:c>
      <x:c r="U368" s="254">
        <x:f>IF($A368="","",IF(LOWER($L368&amp;"")="yes","Disqualified",IF($P368&gt;$H368,"Profit","Draw")))</x:f>
      </x:c>
      <x:c r="V368" s="253">
        <x:f>IF(OR($B368="",$C368=""),"",IFERROR(ROUNDUP((IF(ISNUMBER($C368),$C368,DATEVALUE($C368))-IF(ISNUMBER($B368),$B368,DATEVALUE($B368)))/7,0),""))</x:f>
      </x:c>
      <x:c r="W368" s="254">
        <x:f>$Q368-$S368</x:f>
      </x:c>
      <x:c r="X368" s="256">
        <x:f>IF(OR($J368="",$I368="",$J368=0,$I368=0,$I368&gt;$J368),"",$J368-$I368)</x:f>
      </x:c>
      <x:c r="Y368" s="257">
        <x:f>IF(OR($J368="",$J368=0,$X368=""),"",$X368/$J368)</x:f>
      </x:c>
    </x:row>
    <x:row r="369" s="106" customFormat="1" ht="21" customHeight="1">
      <x:c r="A369" s="54" t="n"/>
      <x:c r="B369" s="250" t="n"/>
      <x:c r="C369" s="250" t="n"/>
      <x:c r="D369" s="54" t="n"/>
      <x:c r="E369" s="251" t="n"/>
      <x:c r="F369" s="251" t="n"/>
      <x:c r="G369" s="251" t="n"/>
      <x:c r="H369" s="251" t="n"/>
      <x:c r="I369" s="252" t="n"/>
      <x:c r="J369" s="253" t="n"/>
      <x:c r="K369" s="254" t="n"/>
      <x:c r="L369" s="50" t="n"/>
      <x:c r="M369" s="251" t="n"/>
      <x:c r="N369" s="251">
        <x:f>IF($A369="","",IF($G369="","",IF(ISNUMBER(SEARCH("non",LOWER($E369&amp;""))),$G369*0.85,$G369)))</x:f>
      </x:c>
      <x:c r="O369" s="251">
        <x:f>IF($A369="","",IF(OR($N369="",$I369="",$I369=0),"",$N369/$I369))</x:f>
      </x:c>
      <x:c r="P369" s="251">
        <x:f>IF($A369="","",IF(LOWER($L369&amp;"")="yes",0,IF($K369&lt;&gt;"",$K369,IF($O369&lt;&gt;"",$O369,""))))</x:f>
      </x:c>
      <x:c r="Q369" s="254">
        <x:f>IF($A369="","",IF($U369="Profit",$P369-$H369,0))</x:f>
      </x:c>
      <x:c r="R369" s="251">
        <x:f>IF($A369="","",IF($U369="Draw",$H369,0))</x:f>
      </x:c>
      <x:c r="S369" s="251">
        <x:f>IF($A369="","",IF($U369="Disqualified",$H369,0))</x:f>
      </x:c>
      <x:c r="T369" s="255">
        <x:f>IF($A369="","",IF($H369=0,IF($U369="Profit","N/A",0),IF($U369="Profit",$Q369/$H369,IF($U369="Disqualified",-1,0))))</x:f>
      </x:c>
      <x:c r="U369" s="254">
        <x:f>IF($A369="","",IF(LOWER($L369&amp;"")="yes","Disqualified",IF($P369&gt;$H369,"Profit","Draw")))</x:f>
      </x:c>
      <x:c r="V369" s="253">
        <x:f>IF(OR($B369="",$C369=""),"",IFERROR(ROUNDUP((IF(ISNUMBER($C369),$C369,DATEVALUE($C369))-IF(ISNUMBER($B369),$B369,DATEVALUE($B369)))/7,0),""))</x:f>
      </x:c>
      <x:c r="W369" s="254">
        <x:f>$Q369-$S369</x:f>
      </x:c>
      <x:c r="X369" s="256">
        <x:f>IF(OR($J369="",$I369="",$J369=0,$I369=0,$I369&gt;$J369),"",$J369-$I369)</x:f>
      </x:c>
      <x:c r="Y369" s="257">
        <x:f>IF(OR($J369="",$J369=0,$X369=""),"",$X369/$J369)</x:f>
      </x:c>
    </x:row>
    <x:row r="370" s="106" customFormat="1" ht="21" customHeight="1">
      <x:c r="A370" s="54" t="n"/>
      <x:c r="B370" s="250" t="n"/>
      <x:c r="C370" s="250" t="n"/>
      <x:c r="D370" s="54" t="n"/>
      <x:c r="E370" s="251" t="n"/>
      <x:c r="F370" s="251" t="n"/>
      <x:c r="G370" s="251" t="n"/>
      <x:c r="H370" s="251" t="n"/>
      <x:c r="I370" s="252" t="n"/>
      <x:c r="J370" s="253" t="n"/>
      <x:c r="K370" s="254" t="n"/>
      <x:c r="L370" s="50" t="n"/>
      <x:c r="M370" s="251" t="n"/>
      <x:c r="N370" s="251">
        <x:f>IF($A370="","",IF($G370="","",IF(ISNUMBER(SEARCH("non",LOWER($E370&amp;""))),$G370*0.85,$G370)))</x:f>
      </x:c>
      <x:c r="O370" s="251">
        <x:f>IF($A370="","",IF(OR($N370="",$I370="",$I370=0),"",$N370/$I370))</x:f>
      </x:c>
      <x:c r="P370" s="251">
        <x:f>IF($A370="","",IF(LOWER($L370&amp;"")="yes",0,IF($K370&lt;&gt;"",$K370,IF($O370&lt;&gt;"",$O370,""))))</x:f>
      </x:c>
      <x:c r="Q370" s="254">
        <x:f>IF($A370="","",IF($U370="Profit",$P370-$H370,0))</x:f>
      </x:c>
      <x:c r="R370" s="251">
        <x:f>IF($A370="","",IF($U370="Draw",$H370,0))</x:f>
      </x:c>
      <x:c r="S370" s="251">
        <x:f>IF($A370="","",IF($U370="Disqualified",$H370,0))</x:f>
      </x:c>
      <x:c r="T370" s="255">
        <x:f>IF($A370="","",IF($H370=0,IF($U370="Profit","N/A",0),IF($U370="Profit",$Q370/$H370,IF($U370="Disqualified",-1,0))))</x:f>
      </x:c>
      <x:c r="U370" s="254">
        <x:f>IF($A370="","",IF(LOWER($L370&amp;"")="yes","Disqualified",IF($P370&gt;$H370,"Profit","Draw")))</x:f>
      </x:c>
      <x:c r="V370" s="253">
        <x:f>IF(OR($B370="",$C370=""),"",IFERROR(ROUNDUP((IF(ISNUMBER($C370),$C370,DATEVALUE($C370))-IF(ISNUMBER($B370),$B370,DATEVALUE($B370)))/7,0),""))</x:f>
      </x:c>
      <x:c r="W370" s="254">
        <x:f>$Q370-$S370</x:f>
      </x:c>
      <x:c r="X370" s="256">
        <x:f>IF(OR($J370="",$I370="",$J370=0,$I370=0,$I370&gt;$J370),"",$J370-$I370)</x:f>
      </x:c>
      <x:c r="Y370" s="257">
        <x:f>IF(OR($J370="",$J370=0,$X370=""),"",$X370/$J370)</x:f>
      </x:c>
    </x:row>
    <x:row r="371" s="106" customFormat="1" ht="21" customHeight="1">
      <x:c r="A371" s="54" t="n"/>
      <x:c r="B371" s="250" t="n"/>
      <x:c r="C371" s="250" t="n"/>
      <x:c r="D371" s="54" t="n"/>
      <x:c r="E371" s="251" t="n"/>
      <x:c r="F371" s="251" t="n"/>
      <x:c r="G371" s="251" t="n"/>
      <x:c r="H371" s="251" t="n"/>
      <x:c r="I371" s="252" t="n"/>
      <x:c r="J371" s="253" t="n"/>
      <x:c r="K371" s="254" t="n"/>
      <x:c r="L371" s="50" t="n"/>
      <x:c r="M371" s="251" t="n"/>
      <x:c r="N371" s="251">
        <x:f>IF($A371="","",IF($G371="","",IF(ISNUMBER(SEARCH("non",LOWER($E371&amp;""))),$G371*0.85,$G371)))</x:f>
      </x:c>
      <x:c r="O371" s="251">
        <x:f>IF($A371="","",IF(OR($N371="",$I371="",$I371=0),"",$N371/$I371))</x:f>
      </x:c>
      <x:c r="P371" s="251">
        <x:f>IF($A371="","",IF(LOWER($L371&amp;"")="yes",0,IF($K371&lt;&gt;"",$K371,IF($O371&lt;&gt;"",$O371,""))))</x:f>
      </x:c>
      <x:c r="Q371" s="254">
        <x:f>IF($A371="","",IF($U371="Profit",$P371-$H371,0))</x:f>
      </x:c>
      <x:c r="R371" s="251">
        <x:f>IF($A371="","",IF($U371="Draw",$H371,0))</x:f>
      </x:c>
      <x:c r="S371" s="251">
        <x:f>IF($A371="","",IF($U371="Disqualified",$H371,0))</x:f>
      </x:c>
      <x:c r="T371" s="255">
        <x:f>IF($A371="","",IF($H371=0,IF($U371="Profit","N/A",0),IF($U371="Profit",$Q371/$H371,IF($U371="Disqualified",-1,0))))</x:f>
      </x:c>
      <x:c r="U371" s="254">
        <x:f>IF($A371="","",IF(LOWER($L371&amp;"")="yes","Disqualified",IF($P371&gt;$H371,"Profit","Draw")))</x:f>
      </x:c>
      <x:c r="V371" s="253">
        <x:f>IF(OR($B371="",$C371=""),"",IFERROR(ROUNDUP((IF(ISNUMBER($C371),$C371,DATEVALUE($C371))-IF(ISNUMBER($B371),$B371,DATEVALUE($B371)))/7,0),""))</x:f>
      </x:c>
      <x:c r="W371" s="254">
        <x:f>$Q371-$S371</x:f>
      </x:c>
      <x:c r="X371" s="256">
        <x:f>IF(OR($J371="",$I371="",$J371=0,$I371=0,$I371&gt;$J371),"",$J371-$I371)</x:f>
      </x:c>
      <x:c r="Y371" s="257">
        <x:f>IF(OR($J371="",$J371=0,$X371=""),"",$X371/$J371)</x:f>
      </x:c>
    </x:row>
    <x:row r="372" s="106" customFormat="1" ht="21" customHeight="1">
      <x:c r="A372" s="54" t="n"/>
      <x:c r="B372" s="250" t="n"/>
      <x:c r="C372" s="250" t="n"/>
      <x:c r="D372" s="54" t="n"/>
      <x:c r="E372" s="251" t="n"/>
      <x:c r="F372" s="251" t="n"/>
      <x:c r="G372" s="251" t="n"/>
      <x:c r="H372" s="251" t="n"/>
      <x:c r="I372" s="252" t="n"/>
      <x:c r="J372" s="253" t="n"/>
      <x:c r="K372" s="254" t="n"/>
      <x:c r="L372" s="50" t="n"/>
      <x:c r="M372" s="251" t="n"/>
      <x:c r="N372" s="251">
        <x:f>IF($A372="","",IF($G372="","",IF(ISNUMBER(SEARCH("non",LOWER($E372&amp;""))),$G372*0.85,$G372)))</x:f>
      </x:c>
      <x:c r="O372" s="251">
        <x:f>IF($A372="","",IF(OR($N372="",$I372="",$I372=0),"",$N372/$I372))</x:f>
      </x:c>
      <x:c r="P372" s="251">
        <x:f>IF($A372="","",IF(LOWER($L372&amp;"")="yes",0,IF($K372&lt;&gt;"",$K372,IF($O372&lt;&gt;"",$O372,""))))</x:f>
      </x:c>
      <x:c r="Q372" s="254">
        <x:f>IF($A372="","",IF($U372="Profit",$P372-$H372,0))</x:f>
      </x:c>
      <x:c r="R372" s="251">
        <x:f>IF($A372="","",IF($U372="Draw",$H372,0))</x:f>
      </x:c>
      <x:c r="S372" s="251">
        <x:f>IF($A372="","",IF($U372="Disqualified",$H372,0))</x:f>
      </x:c>
      <x:c r="T372" s="255">
        <x:f>IF($A372="","",IF($H372=0,IF($U372="Profit","N/A",0),IF($U372="Profit",$Q372/$H372,IF($U372="Disqualified",-1,0))))</x:f>
      </x:c>
      <x:c r="U372" s="254">
        <x:f>IF($A372="","",IF(LOWER($L372&amp;"")="yes","Disqualified",IF($P372&gt;$H372,"Profit","Draw")))</x:f>
      </x:c>
      <x:c r="V372" s="253">
        <x:f>IF(OR($B372="",$C372=""),"",IFERROR(ROUNDUP((IF(ISNUMBER($C372),$C372,DATEVALUE($C372))-IF(ISNUMBER($B372),$B372,DATEVALUE($B372)))/7,0),""))</x:f>
      </x:c>
      <x:c r="W372" s="254">
        <x:f>$Q372-$S372</x:f>
      </x:c>
      <x:c r="X372" s="256">
        <x:f>IF(OR($J372="",$I372="",$J372=0,$I372=0,$I372&gt;$J372),"",$J372-$I372)</x:f>
      </x:c>
      <x:c r="Y372" s="257">
        <x:f>IF(OR($J372="",$J372=0,$X372=""),"",$X372/$J372)</x:f>
      </x:c>
    </x:row>
    <x:row r="373" s="106" customFormat="1" ht="21" customHeight="1">
      <x:c r="A373" s="54" t="n"/>
      <x:c r="B373" s="250" t="n"/>
      <x:c r="C373" s="250" t="n"/>
      <x:c r="D373" s="54" t="n"/>
      <x:c r="E373" s="251" t="n"/>
      <x:c r="F373" s="251" t="n"/>
      <x:c r="G373" s="251" t="n"/>
      <x:c r="H373" s="251" t="n"/>
      <x:c r="I373" s="252" t="n"/>
      <x:c r="J373" s="253" t="n"/>
      <x:c r="K373" s="254" t="n"/>
      <x:c r="L373" s="50" t="n"/>
      <x:c r="M373" s="251" t="n"/>
      <x:c r="N373" s="251">
        <x:f>IF($A373="","",IF($G373="","",IF(ISNUMBER(SEARCH("non",LOWER($E373&amp;""))),$G373*0.85,$G373)))</x:f>
      </x:c>
      <x:c r="O373" s="251">
        <x:f>IF($A373="","",IF(OR($N373="",$I373="",$I373=0),"",$N373/$I373))</x:f>
      </x:c>
      <x:c r="P373" s="251">
        <x:f>IF($A373="","",IF(LOWER($L373&amp;"")="yes",0,IF($K373&lt;&gt;"",$K373,IF($O373&lt;&gt;"",$O373,""))))</x:f>
      </x:c>
      <x:c r="Q373" s="254">
        <x:f>IF($A373="","",IF($U373="Profit",$P373-$H373,0))</x:f>
      </x:c>
      <x:c r="R373" s="251">
        <x:f>IF($A373="","",IF($U373="Draw",$H373,0))</x:f>
      </x:c>
      <x:c r="S373" s="251">
        <x:f>IF($A373="","",IF($U373="Disqualified",$H373,0))</x:f>
      </x:c>
      <x:c r="T373" s="255">
        <x:f>IF($A373="","",IF($H373=0,IF($U373="Profit","N/A",0),IF($U373="Profit",$Q373/$H373,IF($U373="Disqualified",-1,0))))</x:f>
      </x:c>
      <x:c r="U373" s="254">
        <x:f>IF($A373="","",IF(LOWER($L373&amp;"")="yes","Disqualified",IF($P373&gt;$H373,"Profit","Draw")))</x:f>
      </x:c>
      <x:c r="V373" s="253">
        <x:f>IF(OR($B373="",$C373=""),"",IFERROR(ROUNDUP((IF(ISNUMBER($C373),$C373,DATEVALUE($C373))-IF(ISNUMBER($B373),$B373,DATEVALUE($B373)))/7,0),""))</x:f>
      </x:c>
      <x:c r="W373" s="254">
        <x:f>$Q373-$S373</x:f>
      </x:c>
      <x:c r="X373" s="256">
        <x:f>IF(OR($J373="",$I373="",$J373=0,$I373=0,$I373&gt;$J373),"",$J373-$I373)</x:f>
      </x:c>
      <x:c r="Y373" s="257">
        <x:f>IF(OR($J373="",$J373=0,$X373=""),"",$X373/$J373)</x:f>
      </x:c>
    </x:row>
    <x:row r="374" s="106" customFormat="1" ht="21" customHeight="1">
      <x:c r="A374" s="54" t="n"/>
      <x:c r="B374" s="250" t="n"/>
      <x:c r="C374" s="250" t="n"/>
      <x:c r="D374" s="54" t="n"/>
      <x:c r="E374" s="251" t="n"/>
      <x:c r="F374" s="251" t="n"/>
      <x:c r="G374" s="251" t="n"/>
      <x:c r="H374" s="251" t="n"/>
      <x:c r="I374" s="252" t="n"/>
      <x:c r="J374" s="253" t="n"/>
      <x:c r="K374" s="254" t="n"/>
      <x:c r="L374" s="50" t="n"/>
      <x:c r="M374" s="251" t="n"/>
      <x:c r="N374" s="251">
        <x:f>IF($A374="","",IF($G374="","",IF(ISNUMBER(SEARCH("non",LOWER($E374&amp;""))),$G374*0.85,$G374)))</x:f>
      </x:c>
      <x:c r="O374" s="251">
        <x:f>IF($A374="","",IF(OR($N374="",$I374="",$I374=0),"",$N374/$I374))</x:f>
      </x:c>
      <x:c r="P374" s="251">
        <x:f>IF($A374="","",IF(LOWER($L374&amp;"")="yes",0,IF($K374&lt;&gt;"",$K374,IF($O374&lt;&gt;"",$O374,""))))</x:f>
      </x:c>
      <x:c r="Q374" s="254">
        <x:f>IF($A374="","",IF($U374="Profit",$P374-$H374,0))</x:f>
      </x:c>
      <x:c r="R374" s="251">
        <x:f>IF($A374="","",IF($U374="Draw",$H374,0))</x:f>
      </x:c>
      <x:c r="S374" s="251">
        <x:f>IF($A374="","",IF($U374="Disqualified",$H374,0))</x:f>
      </x:c>
      <x:c r="T374" s="255">
        <x:f>IF($A374="","",IF($H374=0,IF($U374="Profit","N/A",0),IF($U374="Profit",$Q374/$H374,IF($U374="Disqualified",-1,0))))</x:f>
      </x:c>
      <x:c r="U374" s="254">
        <x:f>IF($A374="","",IF(LOWER($L374&amp;"")="yes","Disqualified",IF($P374&gt;$H374,"Profit","Draw")))</x:f>
      </x:c>
      <x:c r="V374" s="253">
        <x:f>IF(OR($B374="",$C374=""),"",IFERROR(ROUNDUP((IF(ISNUMBER($C374),$C374,DATEVALUE($C374))-IF(ISNUMBER($B374),$B374,DATEVALUE($B374)))/7,0),""))</x:f>
      </x:c>
      <x:c r="W374" s="254">
        <x:f>$Q374-$S374</x:f>
      </x:c>
      <x:c r="X374" s="256">
        <x:f>IF(OR($J374="",$I374="",$J374=0,$I374=0,$I374&gt;$J374),"",$J374-$I374)</x:f>
      </x:c>
      <x:c r="Y374" s="257">
        <x:f>IF(OR($J374="",$J374=0,$X374=""),"",$X374/$J374)</x:f>
      </x:c>
    </x:row>
    <x:row r="375" s="106" customFormat="1" ht="21" customHeight="1">
      <x:c r="A375" s="54" t="n"/>
      <x:c r="B375" s="250" t="n"/>
      <x:c r="C375" s="250" t="n"/>
      <x:c r="D375" s="54" t="n"/>
      <x:c r="E375" s="251" t="n"/>
      <x:c r="F375" s="251" t="n"/>
      <x:c r="G375" s="251" t="n"/>
      <x:c r="H375" s="251" t="n"/>
      <x:c r="I375" s="252" t="n"/>
      <x:c r="J375" s="253" t="n"/>
      <x:c r="K375" s="254" t="n"/>
      <x:c r="L375" s="50" t="n"/>
      <x:c r="M375" s="251" t="n"/>
      <x:c r="N375" s="251">
        <x:f>IF($A375="","",IF($G375="","",IF(ISNUMBER(SEARCH("non",LOWER($E375&amp;""))),$G375*0.85,$G375)))</x:f>
      </x:c>
      <x:c r="O375" s="251">
        <x:f>IF($A375="","",IF(OR($N375="",$I375="",$I375=0),"",$N375/$I375))</x:f>
      </x:c>
      <x:c r="P375" s="251">
        <x:f>IF($A375="","",IF(LOWER($L375&amp;"")="yes",0,IF($K375&lt;&gt;"",$K375,IF($O375&lt;&gt;"",$O375,""))))</x:f>
      </x:c>
      <x:c r="Q375" s="254">
        <x:f>IF($A375="","",IF($U375="Profit",$P375-$H375,0))</x:f>
      </x:c>
      <x:c r="R375" s="251">
        <x:f>IF($A375="","",IF($U375="Draw",$H375,0))</x:f>
      </x:c>
      <x:c r="S375" s="251">
        <x:f>IF($A375="","",IF($U375="Disqualified",$H375,0))</x:f>
      </x:c>
      <x:c r="T375" s="255">
        <x:f>IF($A375="","",IF($H375=0,IF($U375="Profit","N/A",0),IF($U375="Profit",$Q375/$H375,IF($U375="Disqualified",-1,0))))</x:f>
      </x:c>
      <x:c r="U375" s="254">
        <x:f>IF($A375="","",IF(LOWER($L375&amp;"")="yes","Disqualified",IF($P375&gt;$H375,"Profit","Draw")))</x:f>
      </x:c>
      <x:c r="V375" s="253">
        <x:f>IF(OR($B375="",$C375=""),"",IFERROR(ROUNDUP((IF(ISNUMBER($C375),$C375,DATEVALUE($C375))-IF(ISNUMBER($B375),$B375,DATEVALUE($B375)))/7,0),""))</x:f>
      </x:c>
      <x:c r="W375" s="254">
        <x:f>$Q375-$S375</x:f>
      </x:c>
      <x:c r="X375" s="256">
        <x:f>IF(OR($J375="",$I375="",$J375=0,$I375=0,$I375&gt;$J375),"",$J375-$I375)</x:f>
      </x:c>
      <x:c r="Y375" s="257">
        <x:f>IF(OR($J375="",$J375=0,$X375=""),"",$X375/$J375)</x:f>
      </x:c>
    </x:row>
    <x:row r="376" s="106" customFormat="1" ht="21" customHeight="1">
      <x:c r="A376" s="54" t="n"/>
      <x:c r="B376" s="250" t="n"/>
      <x:c r="C376" s="250" t="n"/>
      <x:c r="D376" s="54" t="n"/>
      <x:c r="E376" s="251" t="n"/>
      <x:c r="F376" s="251" t="n"/>
      <x:c r="G376" s="251" t="n"/>
      <x:c r="H376" s="251" t="n"/>
      <x:c r="I376" s="252" t="n"/>
      <x:c r="J376" s="253" t="n"/>
      <x:c r="K376" s="254" t="n"/>
      <x:c r="L376" s="50" t="n"/>
      <x:c r="M376" s="251" t="n"/>
      <x:c r="N376" s="251">
        <x:f>IF($A376="","",IF($G376="","",IF(ISNUMBER(SEARCH("non",LOWER($E376&amp;""))),$G376*0.85,$G376)))</x:f>
      </x:c>
      <x:c r="O376" s="251">
        <x:f>IF($A376="","",IF(OR($N376="",$I376="",$I376=0),"",$N376/$I376))</x:f>
      </x:c>
      <x:c r="P376" s="251">
        <x:f>IF($A376="","",IF(LOWER($L376&amp;"")="yes",0,IF($K376&lt;&gt;"",$K376,IF($O376&lt;&gt;"",$O376,""))))</x:f>
      </x:c>
      <x:c r="Q376" s="254">
        <x:f>IF($A376="","",IF($U376="Profit",$P376-$H376,0))</x:f>
      </x:c>
      <x:c r="R376" s="251">
        <x:f>IF($A376="","",IF($U376="Draw",$H376,0))</x:f>
      </x:c>
      <x:c r="S376" s="251">
        <x:f>IF($A376="","",IF($U376="Disqualified",$H376,0))</x:f>
      </x:c>
      <x:c r="T376" s="255">
        <x:f>IF($A376="","",IF($H376=0,IF($U376="Profit","N/A",0),IF($U376="Profit",$Q376/$H376,IF($U376="Disqualified",-1,0))))</x:f>
      </x:c>
      <x:c r="U376" s="254">
        <x:f>IF($A376="","",IF(LOWER($L376&amp;"")="yes","Disqualified",IF($P376&gt;$H376,"Profit","Draw")))</x:f>
      </x:c>
      <x:c r="V376" s="253">
        <x:f>IF(OR($B376="",$C376=""),"",IFERROR(ROUNDUP((IF(ISNUMBER($C376),$C376,DATEVALUE($C376))-IF(ISNUMBER($B376),$B376,DATEVALUE($B376)))/7,0),""))</x:f>
      </x:c>
      <x:c r="W376" s="254">
        <x:f>$Q376-$S376</x:f>
      </x:c>
      <x:c r="X376" s="256">
        <x:f>IF(OR($J376="",$I376="",$J376=0,$I376=0,$I376&gt;$J376),"",$J376-$I376)</x:f>
      </x:c>
      <x:c r="Y376" s="257">
        <x:f>IF(OR($J376="",$J376=0,$X376=""),"",$X376/$J376)</x:f>
      </x:c>
    </x:row>
    <x:row r="377" s="106" customFormat="1" ht="21" customHeight="1">
      <x:c r="A377" s="54" t="n"/>
      <x:c r="B377" s="250" t="n"/>
      <x:c r="C377" s="250" t="n"/>
      <x:c r="D377" s="54" t="n"/>
      <x:c r="E377" s="251" t="n"/>
      <x:c r="F377" s="251" t="n"/>
      <x:c r="G377" s="251" t="n"/>
      <x:c r="H377" s="251" t="n"/>
      <x:c r="I377" s="252" t="n"/>
      <x:c r="J377" s="253" t="n"/>
      <x:c r="K377" s="254" t="n"/>
      <x:c r="L377" s="50" t="n"/>
      <x:c r="M377" s="251" t="n"/>
      <x:c r="N377" s="251">
        <x:f>IF($A377="","",IF($G377="","",IF(ISNUMBER(SEARCH("non",LOWER($E377&amp;""))),$G377*0.85,$G377)))</x:f>
      </x:c>
      <x:c r="O377" s="251">
        <x:f>IF($A377="","",IF(OR($N377="",$I377="",$I377=0),"",$N377/$I377))</x:f>
      </x:c>
      <x:c r="P377" s="251">
        <x:f>IF($A377="","",IF(LOWER($L377&amp;"")="yes",0,IF($K377&lt;&gt;"",$K377,IF($O377&lt;&gt;"",$O377,""))))</x:f>
      </x:c>
      <x:c r="Q377" s="254">
        <x:f>IF($A377="","",IF($U377="Profit",$P377-$H377,0))</x:f>
      </x:c>
      <x:c r="R377" s="251">
        <x:f>IF($A377="","",IF($U377="Draw",$H377,0))</x:f>
      </x:c>
      <x:c r="S377" s="251">
        <x:f>IF($A377="","",IF($U377="Disqualified",$H377,0))</x:f>
      </x:c>
      <x:c r="T377" s="255">
        <x:f>IF($A377="","",IF($H377=0,IF($U377="Profit","N/A",0),IF($U377="Profit",$Q377/$H377,IF($U377="Disqualified",-1,0))))</x:f>
      </x:c>
      <x:c r="U377" s="254">
        <x:f>IF($A377="","",IF(LOWER($L377&amp;"")="yes","Disqualified",IF($P377&gt;$H377,"Profit","Draw")))</x:f>
      </x:c>
      <x:c r="V377" s="253">
        <x:f>IF(OR($B377="",$C377=""),"",IFERROR(ROUNDUP((IF(ISNUMBER($C377),$C377,DATEVALUE($C377))-IF(ISNUMBER($B377),$B377,DATEVALUE($B377)))/7,0),""))</x:f>
      </x:c>
      <x:c r="W377" s="254">
        <x:f>$Q377-$S377</x:f>
      </x:c>
      <x:c r="X377" s="256">
        <x:f>IF(OR($J377="",$I377="",$J377=0,$I377=0,$I377&gt;$J377),"",$J377-$I377)</x:f>
      </x:c>
      <x:c r="Y377" s="257">
        <x:f>IF(OR($J377="",$J377=0,$X377=""),"",$X377/$J377)</x:f>
      </x:c>
    </x:row>
    <x:row r="378" s="106" customFormat="1" ht="21" customHeight="1">
      <x:c r="A378" s="54" t="n"/>
      <x:c r="B378" s="250" t="n"/>
      <x:c r="C378" s="250" t="n"/>
      <x:c r="D378" s="54" t="n"/>
      <x:c r="E378" s="251" t="n"/>
      <x:c r="F378" s="251" t="n"/>
      <x:c r="G378" s="251" t="n"/>
      <x:c r="H378" s="251" t="n"/>
      <x:c r="I378" s="252" t="n"/>
      <x:c r="J378" s="253" t="n"/>
      <x:c r="K378" s="254" t="n"/>
      <x:c r="L378" s="50" t="n"/>
      <x:c r="M378" s="251" t="n"/>
      <x:c r="N378" s="251">
        <x:f>IF($A378="","",IF($G378="","",IF(ISNUMBER(SEARCH("non",LOWER($E378&amp;""))),$G378*0.85,$G378)))</x:f>
      </x:c>
      <x:c r="O378" s="251">
        <x:f>IF($A378="","",IF(OR($N378="",$I378="",$I378=0),"",$N378/$I378))</x:f>
      </x:c>
      <x:c r="P378" s="251">
        <x:f>IF($A378="","",IF(LOWER($L378&amp;"")="yes",0,IF($K378&lt;&gt;"",$K378,IF($O378&lt;&gt;"",$O378,""))))</x:f>
      </x:c>
      <x:c r="Q378" s="254">
        <x:f>IF($A378="","",IF($U378="Profit",$P378-$H378,0))</x:f>
      </x:c>
      <x:c r="R378" s="251">
        <x:f>IF($A378="","",IF($U378="Draw",$H378,0))</x:f>
      </x:c>
      <x:c r="S378" s="251">
        <x:f>IF($A378="","",IF($U378="Disqualified",$H378,0))</x:f>
      </x:c>
      <x:c r="T378" s="255">
        <x:f>IF($A378="","",IF($H378=0,IF($U378="Profit","N/A",0),IF($U378="Profit",$Q378/$H378,IF($U378="Disqualified",-1,0))))</x:f>
      </x:c>
      <x:c r="U378" s="254">
        <x:f>IF($A378="","",IF(LOWER($L378&amp;"")="yes","Disqualified",IF($P378&gt;$H378,"Profit","Draw")))</x:f>
      </x:c>
      <x:c r="V378" s="253">
        <x:f>IF(OR($B378="",$C378=""),"",IFERROR(ROUNDUP((IF(ISNUMBER($C378),$C378,DATEVALUE($C378))-IF(ISNUMBER($B378),$B378,DATEVALUE($B378)))/7,0),""))</x:f>
      </x:c>
      <x:c r="W378" s="254">
        <x:f>$Q378-$S378</x:f>
      </x:c>
      <x:c r="X378" s="256">
        <x:f>IF(OR($J378="",$I378="",$J378=0,$I378=0,$I378&gt;$J378),"",$J378-$I378)</x:f>
      </x:c>
      <x:c r="Y378" s="257">
        <x:f>IF(OR($J378="",$J378=0,$X378=""),"",$X378/$J378)</x:f>
      </x:c>
    </x:row>
    <x:row r="379" s="106" customFormat="1" ht="21" customHeight="1">
      <x:c r="A379" s="54" t="n"/>
      <x:c r="B379" s="250" t="n"/>
      <x:c r="C379" s="250" t="n"/>
      <x:c r="D379" s="54" t="n"/>
      <x:c r="E379" s="251" t="n"/>
      <x:c r="F379" s="251" t="n"/>
      <x:c r="G379" s="251" t="n"/>
      <x:c r="H379" s="251" t="n"/>
      <x:c r="I379" s="252" t="n"/>
      <x:c r="J379" s="253" t="n"/>
      <x:c r="K379" s="254" t="n"/>
      <x:c r="L379" s="50" t="n"/>
      <x:c r="M379" s="251" t="n"/>
      <x:c r="N379" s="251">
        <x:f>IF($A379="","",IF($G379="","",IF(ISNUMBER(SEARCH("non",LOWER($E379&amp;""))),$G379*0.85,$G379)))</x:f>
      </x:c>
      <x:c r="O379" s="251">
        <x:f>IF($A379="","",IF(OR($N379="",$I379="",$I379=0),"",$N379/$I379))</x:f>
      </x:c>
      <x:c r="P379" s="251">
        <x:f>IF($A379="","",IF(LOWER($L379&amp;"")="yes",0,IF($K379&lt;&gt;"",$K379,IF($O379&lt;&gt;"",$O379,""))))</x:f>
      </x:c>
      <x:c r="Q379" s="254">
        <x:f>IF($A379="","",IF($U379="Profit",$P379-$H379,0))</x:f>
      </x:c>
      <x:c r="R379" s="251">
        <x:f>IF($A379="","",IF($U379="Draw",$H379,0))</x:f>
      </x:c>
      <x:c r="S379" s="251">
        <x:f>IF($A379="","",IF($U379="Disqualified",$H379,0))</x:f>
      </x:c>
      <x:c r="T379" s="255">
        <x:f>IF($A379="","",IF($H379=0,IF($U379="Profit","N/A",0),IF($U379="Profit",$Q379/$H379,IF($U379="Disqualified",-1,0))))</x:f>
      </x:c>
      <x:c r="U379" s="254">
        <x:f>IF($A379="","",IF(LOWER($L379&amp;"")="yes","Disqualified",IF($P379&gt;$H379,"Profit","Draw")))</x:f>
      </x:c>
      <x:c r="V379" s="253">
        <x:f>IF(OR($B379="",$C379=""),"",IFERROR(ROUNDUP((IF(ISNUMBER($C379),$C379,DATEVALUE($C379))-IF(ISNUMBER($B379),$B379,DATEVALUE($B379)))/7,0),""))</x:f>
      </x:c>
      <x:c r="W379" s="254">
        <x:f>$Q379-$S379</x:f>
      </x:c>
      <x:c r="X379" s="256">
        <x:f>IF(OR($J379="",$I379="",$J379=0,$I379=0,$I379&gt;$J379),"",$J379-$I379)</x:f>
      </x:c>
      <x:c r="Y379" s="257">
        <x:f>IF(OR($J379="",$J379=0,$X379=""),"",$X379/$J379)</x:f>
      </x:c>
    </x:row>
    <x:row r="380" s="106" customFormat="1" ht="21" customHeight="1">
      <x:c r="A380" s="54" t="n"/>
      <x:c r="B380" s="250" t="n"/>
      <x:c r="C380" s="250" t="n"/>
      <x:c r="D380" s="54" t="n"/>
      <x:c r="E380" s="251" t="n"/>
      <x:c r="F380" s="251" t="n"/>
      <x:c r="G380" s="251" t="n"/>
      <x:c r="H380" s="251" t="n"/>
      <x:c r="I380" s="252" t="n"/>
      <x:c r="J380" s="253" t="n"/>
      <x:c r="K380" s="254" t="n"/>
      <x:c r="L380" s="50" t="n"/>
      <x:c r="M380" s="251" t="n"/>
      <x:c r="N380" s="251">
        <x:f>IF($A380="","",IF($G380="","",IF(ISNUMBER(SEARCH("non",LOWER($E380&amp;""))),$G380*0.85,$G380)))</x:f>
      </x:c>
      <x:c r="O380" s="251">
        <x:f>IF($A380="","",IF(OR($N380="",$I380="",$I380=0),"",$N380/$I380))</x:f>
      </x:c>
      <x:c r="P380" s="251">
        <x:f>IF($A380="","",IF(LOWER($L380&amp;"")="yes",0,IF($K380&lt;&gt;"",$K380,IF($O380&lt;&gt;"",$O380,""))))</x:f>
      </x:c>
      <x:c r="Q380" s="254">
        <x:f>IF($A380="","",IF($U380="Profit",$P380-$H380,0))</x:f>
      </x:c>
      <x:c r="R380" s="251">
        <x:f>IF($A380="","",IF($U380="Draw",$H380,0))</x:f>
      </x:c>
      <x:c r="S380" s="251">
        <x:f>IF($A380="","",IF($U380="Disqualified",$H380,0))</x:f>
      </x:c>
      <x:c r="T380" s="255">
        <x:f>IF($A380="","",IF($H380=0,IF($U380="Profit","N/A",0),IF($U380="Profit",$Q380/$H380,IF($U380="Disqualified",-1,0))))</x:f>
      </x:c>
      <x:c r="U380" s="254">
        <x:f>IF($A380="","",IF(LOWER($L380&amp;"")="yes","Disqualified",IF($P380&gt;$H380,"Profit","Draw")))</x:f>
      </x:c>
      <x:c r="V380" s="253">
        <x:f>IF(OR($B380="",$C380=""),"",IFERROR(ROUNDUP((IF(ISNUMBER($C380),$C380,DATEVALUE($C380))-IF(ISNUMBER($B380),$B380,DATEVALUE($B380)))/7,0),""))</x:f>
      </x:c>
      <x:c r="W380" s="254">
        <x:f>$Q380-$S380</x:f>
      </x:c>
      <x:c r="X380" s="256">
        <x:f>IF(OR($J380="",$I380="",$J380=0,$I380=0,$I380&gt;$J380),"",$J380-$I380)</x:f>
      </x:c>
      <x:c r="Y380" s="257">
        <x:f>IF(OR($J380="",$J380=0,$X380=""),"",$X380/$J380)</x:f>
      </x:c>
    </x:row>
    <x:row r="381" s="106" customFormat="1" ht="21" customHeight="1">
      <x:c r="A381" s="54" t="n"/>
      <x:c r="B381" s="250" t="n"/>
      <x:c r="C381" s="250" t="n"/>
      <x:c r="D381" s="54" t="n"/>
      <x:c r="E381" s="251" t="n"/>
      <x:c r="F381" s="251" t="n"/>
      <x:c r="G381" s="251" t="n"/>
      <x:c r="H381" s="251" t="n"/>
      <x:c r="I381" s="252" t="n"/>
      <x:c r="J381" s="253" t="n"/>
      <x:c r="K381" s="254" t="n"/>
      <x:c r="L381" s="50" t="n"/>
      <x:c r="M381" s="251" t="n"/>
      <x:c r="N381" s="251">
        <x:f>IF($A381="","",IF($G381="","",IF(ISNUMBER(SEARCH("non",LOWER($E381&amp;""))),$G381*0.85,$G381)))</x:f>
      </x:c>
      <x:c r="O381" s="251">
        <x:f>IF($A381="","",IF(OR($N381="",$I381="",$I381=0),"",$N381/$I381))</x:f>
      </x:c>
      <x:c r="P381" s="251">
        <x:f>IF($A381="","",IF(LOWER($L381&amp;"")="yes",0,IF($K381&lt;&gt;"",$K381,IF($O381&lt;&gt;"",$O381,""))))</x:f>
      </x:c>
      <x:c r="Q381" s="254">
        <x:f>IF($A381="","",IF($U381="Profit",$P381-$H381,0))</x:f>
      </x:c>
      <x:c r="R381" s="251">
        <x:f>IF($A381="","",IF($U381="Draw",$H381,0))</x:f>
      </x:c>
      <x:c r="S381" s="251">
        <x:f>IF($A381="","",IF($U381="Disqualified",$H381,0))</x:f>
      </x:c>
      <x:c r="T381" s="255">
        <x:f>IF($A381="","",IF($H381=0,IF($U381="Profit","N/A",0),IF($U381="Profit",$Q381/$H381,IF($U381="Disqualified",-1,0))))</x:f>
      </x:c>
      <x:c r="U381" s="254">
        <x:f>IF($A381="","",IF(LOWER($L381&amp;"")="yes","Disqualified",IF($P381&gt;$H381,"Profit","Draw")))</x:f>
      </x:c>
      <x:c r="V381" s="253">
        <x:f>IF(OR($B381="",$C381=""),"",IFERROR(ROUNDUP((IF(ISNUMBER($C381),$C381,DATEVALUE($C381))-IF(ISNUMBER($B381),$B381,DATEVALUE($B381)))/7,0),""))</x:f>
      </x:c>
      <x:c r="W381" s="254">
        <x:f>$Q381-$S381</x:f>
      </x:c>
      <x:c r="X381" s="256">
        <x:f>IF(OR($J381="",$I381="",$J381=0,$I381=0,$I381&gt;$J381),"",$J381-$I381)</x:f>
      </x:c>
      <x:c r="Y381" s="257">
        <x:f>IF(OR($J381="",$J381=0,$X381=""),"",$X381/$J381)</x:f>
      </x:c>
    </x:row>
    <x:row r="382" s="106" customFormat="1" ht="21" customHeight="1">
      <x:c r="A382" s="54" t="n"/>
      <x:c r="B382" s="250" t="n"/>
      <x:c r="C382" s="250" t="n"/>
      <x:c r="D382" s="54" t="n"/>
      <x:c r="E382" s="251" t="n"/>
      <x:c r="F382" s="251" t="n"/>
      <x:c r="G382" s="251" t="n"/>
      <x:c r="H382" s="251" t="n"/>
      <x:c r="I382" s="252" t="n"/>
      <x:c r="J382" s="253" t="n"/>
      <x:c r="K382" s="254" t="n"/>
      <x:c r="L382" s="50" t="n"/>
      <x:c r="M382" s="251" t="n"/>
      <x:c r="N382" s="251">
        <x:f>IF($A382="","",IF($G382="","",IF(ISNUMBER(SEARCH("non",LOWER($E382&amp;""))),$G382*0.85,$G382)))</x:f>
      </x:c>
      <x:c r="O382" s="251">
        <x:f>IF($A382="","",IF(OR($N382="",$I382="",$I382=0),"",$N382/$I382))</x:f>
      </x:c>
      <x:c r="P382" s="251">
        <x:f>IF($A382="","",IF(LOWER($L382&amp;"")="yes",0,IF($K382&lt;&gt;"",$K382,IF($O382&lt;&gt;"",$O382,""))))</x:f>
      </x:c>
      <x:c r="Q382" s="254">
        <x:f>IF($A382="","",IF($U382="Profit",$P382-$H382,0))</x:f>
      </x:c>
      <x:c r="R382" s="251">
        <x:f>IF($A382="","",IF($U382="Draw",$H382,0))</x:f>
      </x:c>
      <x:c r="S382" s="251">
        <x:f>IF($A382="","",IF($U382="Disqualified",$H382,0))</x:f>
      </x:c>
      <x:c r="T382" s="255">
        <x:f>IF($A382="","",IF($H382=0,IF($U382="Profit","N/A",0),IF($U382="Profit",$Q382/$H382,IF($U382="Disqualified",-1,0))))</x:f>
      </x:c>
      <x:c r="U382" s="254">
        <x:f>IF($A382="","",IF(LOWER($L382&amp;"")="yes","Disqualified",IF($P382&gt;$H382,"Profit","Draw")))</x:f>
      </x:c>
      <x:c r="V382" s="253">
        <x:f>IF(OR($B382="",$C382=""),"",IFERROR(ROUNDUP((IF(ISNUMBER($C382),$C382,DATEVALUE($C382))-IF(ISNUMBER($B382),$B382,DATEVALUE($B382)))/7,0),""))</x:f>
      </x:c>
      <x:c r="W382" s="254">
        <x:f>$Q382-$S382</x:f>
      </x:c>
      <x:c r="X382" s="256">
        <x:f>IF(OR($J382="",$I382="",$J382=0,$I382=0,$I382&gt;$J382),"",$J382-$I382)</x:f>
      </x:c>
      <x:c r="Y382" s="257">
        <x:f>IF(OR($J382="",$J382=0,$X382=""),"",$X382/$J382)</x:f>
      </x:c>
    </x:row>
    <x:row r="383" s="106" customFormat="1" ht="21" customHeight="1">
      <x:c r="A383" s="54" t="n"/>
      <x:c r="B383" s="250" t="n"/>
      <x:c r="C383" s="250" t="n"/>
      <x:c r="D383" s="54" t="n"/>
      <x:c r="E383" s="251" t="n"/>
      <x:c r="F383" s="251" t="n"/>
      <x:c r="G383" s="251" t="n"/>
      <x:c r="H383" s="251" t="n"/>
      <x:c r="I383" s="252" t="n"/>
      <x:c r="J383" s="253" t="n"/>
      <x:c r="K383" s="254" t="n"/>
      <x:c r="L383" s="50" t="n"/>
      <x:c r="M383" s="251" t="n"/>
      <x:c r="N383" s="251">
        <x:f>IF($A383="","",IF($G383="","",IF(ISNUMBER(SEARCH("non",LOWER($E383&amp;""))),$G383*0.85,$G383)))</x:f>
      </x:c>
      <x:c r="O383" s="251">
        <x:f>IF($A383="","",IF(OR($N383="",$I383="",$I383=0),"",$N383/$I383))</x:f>
      </x:c>
      <x:c r="P383" s="251">
        <x:f>IF($A383="","",IF(LOWER($L383&amp;"")="yes",0,IF($K383&lt;&gt;"",$K383,IF($O383&lt;&gt;"",$O383,""))))</x:f>
      </x:c>
      <x:c r="Q383" s="254">
        <x:f>IF($A383="","",IF($U383="Profit",$P383-$H383,0))</x:f>
      </x:c>
      <x:c r="R383" s="251">
        <x:f>IF($A383="","",IF($U383="Draw",$H383,0))</x:f>
      </x:c>
      <x:c r="S383" s="251">
        <x:f>IF($A383="","",IF($U383="Disqualified",$H383,0))</x:f>
      </x:c>
      <x:c r="T383" s="255">
        <x:f>IF($A383="","",IF($H383=0,IF($U383="Profit","N/A",0),IF($U383="Profit",$Q383/$H383,IF($U383="Disqualified",-1,0))))</x:f>
      </x:c>
      <x:c r="U383" s="254">
        <x:f>IF($A383="","",IF(LOWER($L383&amp;"")="yes","Disqualified",IF($P383&gt;$H383,"Profit","Draw")))</x:f>
      </x:c>
      <x:c r="V383" s="253">
        <x:f>IF(OR($B383="",$C383=""),"",IFERROR(ROUNDUP((IF(ISNUMBER($C383),$C383,DATEVALUE($C383))-IF(ISNUMBER($B383),$B383,DATEVALUE($B383)))/7,0),""))</x:f>
      </x:c>
      <x:c r="W383" s="254">
        <x:f>$Q383-$S383</x:f>
      </x:c>
      <x:c r="X383" s="256">
        <x:f>IF(OR($J383="",$I383="",$J383=0,$I383=0,$I383&gt;$J383),"",$J383-$I383)</x:f>
      </x:c>
      <x:c r="Y383" s="257">
        <x:f>IF(OR($J383="",$J383=0,$X383=""),"",$X383/$J383)</x:f>
      </x:c>
    </x:row>
    <x:row r="384" s="106" customFormat="1" ht="21" customHeight="1">
      <x:c r="A384" s="54" t="n"/>
      <x:c r="B384" s="250" t="n"/>
      <x:c r="C384" s="250" t="n"/>
      <x:c r="D384" s="54" t="n"/>
      <x:c r="E384" s="251" t="n"/>
      <x:c r="F384" s="251" t="n"/>
      <x:c r="G384" s="251" t="n"/>
      <x:c r="H384" s="251" t="n"/>
      <x:c r="I384" s="252" t="n"/>
      <x:c r="J384" s="253" t="n"/>
      <x:c r="K384" s="254" t="n"/>
      <x:c r="L384" s="50" t="n"/>
      <x:c r="M384" s="251" t="n"/>
      <x:c r="N384" s="251">
        <x:f>IF($A384="","",IF($G384="","",IF(ISNUMBER(SEARCH("non",LOWER($E384&amp;""))),$G384*0.85,$G384)))</x:f>
      </x:c>
      <x:c r="O384" s="251">
        <x:f>IF($A384="","",IF(OR($N384="",$I384="",$I384=0),"",$N384/$I384))</x:f>
      </x:c>
      <x:c r="P384" s="251">
        <x:f>IF($A384="","",IF(LOWER($L384&amp;"")="yes",0,IF($K384&lt;&gt;"",$K384,IF($O384&lt;&gt;"",$O384,""))))</x:f>
      </x:c>
      <x:c r="Q384" s="254">
        <x:f>IF($A384="","",IF($U384="Profit",$P384-$H384,0))</x:f>
      </x:c>
      <x:c r="R384" s="251">
        <x:f>IF($A384="","",IF($U384="Draw",$H384,0))</x:f>
      </x:c>
      <x:c r="S384" s="251">
        <x:f>IF($A384="","",IF($U384="Disqualified",$H384,0))</x:f>
      </x:c>
      <x:c r="T384" s="255">
        <x:f>IF($A384="","",IF($H384=0,IF($U384="Profit","N/A",0),IF($U384="Profit",$Q384/$H384,IF($U384="Disqualified",-1,0))))</x:f>
      </x:c>
      <x:c r="U384" s="254">
        <x:f>IF($A384="","",IF(LOWER($L384&amp;"")="yes","Disqualified",IF($P384&gt;$H384,"Profit","Draw")))</x:f>
      </x:c>
      <x:c r="V384" s="253">
        <x:f>IF(OR($B384="",$C384=""),"",IFERROR(ROUNDUP((IF(ISNUMBER($C384),$C384,DATEVALUE($C384))-IF(ISNUMBER($B384),$B384,DATEVALUE($B384)))/7,0),""))</x:f>
      </x:c>
      <x:c r="W384" s="254">
        <x:f>$Q384-$S384</x:f>
      </x:c>
      <x:c r="X384" s="256">
        <x:f>IF(OR($J384="",$I384="",$J384=0,$I384=0,$I384&gt;$J384),"",$J384-$I384)</x:f>
      </x:c>
      <x:c r="Y384" s="257">
        <x:f>IF(OR($J384="",$J384=0,$X384=""),"",$X384/$J384)</x:f>
      </x:c>
    </x:row>
    <x:row r="385" s="106" customFormat="1" ht="21" customHeight="1">
      <x:c r="A385" s="54" t="n"/>
      <x:c r="B385" s="250" t="n"/>
      <x:c r="C385" s="250" t="n"/>
      <x:c r="D385" s="54" t="n"/>
      <x:c r="E385" s="251" t="n"/>
      <x:c r="F385" s="251" t="n"/>
      <x:c r="G385" s="251" t="n"/>
      <x:c r="H385" s="251" t="n"/>
      <x:c r="I385" s="252" t="n"/>
      <x:c r="J385" s="253" t="n"/>
      <x:c r="K385" s="254" t="n"/>
      <x:c r="L385" s="50" t="n"/>
      <x:c r="M385" s="251" t="n"/>
      <x:c r="N385" s="251">
        <x:f>IF($A385="","",IF($G385="","",IF(ISNUMBER(SEARCH("non",LOWER($E385&amp;""))),$G385*0.85,$G385)))</x:f>
      </x:c>
      <x:c r="O385" s="251">
        <x:f>IF($A385="","",IF(OR($N385="",$I385="",$I385=0),"",$N385/$I385))</x:f>
      </x:c>
      <x:c r="P385" s="251">
        <x:f>IF($A385="","",IF(LOWER($L385&amp;"")="yes",0,IF($K385&lt;&gt;"",$K385,IF($O385&lt;&gt;"",$O385,""))))</x:f>
      </x:c>
      <x:c r="Q385" s="254">
        <x:f>IF($A385="","",IF($U385="Profit",$P385-$H385,0))</x:f>
      </x:c>
      <x:c r="R385" s="251">
        <x:f>IF($A385="","",IF($U385="Draw",$H385,0))</x:f>
      </x:c>
      <x:c r="S385" s="251">
        <x:f>IF($A385="","",IF($U385="Disqualified",$H385,0))</x:f>
      </x:c>
      <x:c r="T385" s="255">
        <x:f>IF($A385="","",IF($H385=0,IF($U385="Profit","N/A",0),IF($U385="Profit",$Q385/$H385,IF($U385="Disqualified",-1,0))))</x:f>
      </x:c>
      <x:c r="U385" s="254">
        <x:f>IF($A385="","",IF(LOWER($L385&amp;"")="yes","Disqualified",IF($P385&gt;$H385,"Profit","Draw")))</x:f>
      </x:c>
      <x:c r="V385" s="253">
        <x:f>IF(OR($B385="",$C385=""),"",IFERROR(ROUNDUP((IF(ISNUMBER($C385),$C385,DATEVALUE($C385))-IF(ISNUMBER($B385),$B385,DATEVALUE($B385)))/7,0),""))</x:f>
      </x:c>
      <x:c r="W385" s="254">
        <x:f>$Q385-$S385</x:f>
      </x:c>
      <x:c r="X385" s="256">
        <x:f>IF(OR($J385="",$I385="",$J385=0,$I385=0,$I385&gt;$J385),"",$J385-$I385)</x:f>
      </x:c>
      <x:c r="Y385" s="257">
        <x:f>IF(OR($J385="",$J385=0,$X385=""),"",$X385/$J385)</x:f>
      </x:c>
    </x:row>
    <x:row r="386" s="106" customFormat="1" ht="21" customHeight="1">
      <x:c r="A386" s="54" t="n"/>
      <x:c r="B386" s="250" t="n"/>
      <x:c r="C386" s="250" t="n"/>
      <x:c r="D386" s="54" t="n"/>
      <x:c r="E386" s="251" t="n"/>
      <x:c r="F386" s="251" t="n"/>
      <x:c r="G386" s="251" t="n"/>
      <x:c r="H386" s="251" t="n"/>
      <x:c r="I386" s="252" t="n"/>
      <x:c r="J386" s="253" t="n"/>
      <x:c r="K386" s="254" t="n"/>
      <x:c r="L386" s="50" t="n"/>
      <x:c r="M386" s="251" t="n"/>
      <x:c r="N386" s="251">
        <x:f>IF($A386="","",IF($G386="","",IF(ISNUMBER(SEARCH("non",LOWER($E386&amp;""))),$G386*0.85,$G386)))</x:f>
      </x:c>
      <x:c r="O386" s="251">
        <x:f>IF($A386="","",IF(OR($N386="",$I386="",$I386=0),"",$N386/$I386))</x:f>
      </x:c>
      <x:c r="P386" s="251">
        <x:f>IF($A386="","",IF(LOWER($L386&amp;"")="yes",0,IF($K386&lt;&gt;"",$K386,IF($O386&lt;&gt;"",$O386,""))))</x:f>
      </x:c>
      <x:c r="Q386" s="254">
        <x:f>IF($A386="","",IF($U386="Profit",$P386-$H386,0))</x:f>
      </x:c>
      <x:c r="R386" s="251">
        <x:f>IF($A386="","",IF($U386="Draw",$H386,0))</x:f>
      </x:c>
      <x:c r="S386" s="251">
        <x:f>IF($A386="","",IF($U386="Disqualified",$H386,0))</x:f>
      </x:c>
      <x:c r="T386" s="255">
        <x:f>IF($A386="","",IF($H386=0,IF($U386="Profit","N/A",0),IF($U386="Profit",$Q386/$H386,IF($U386="Disqualified",-1,0))))</x:f>
      </x:c>
      <x:c r="U386" s="254">
        <x:f>IF($A386="","",IF(LOWER($L386&amp;"")="yes","Disqualified",IF($P386&gt;$H386,"Profit","Draw")))</x:f>
      </x:c>
      <x:c r="V386" s="253">
        <x:f>IF(OR($B386="",$C386=""),"",IFERROR(ROUNDUP((IF(ISNUMBER($C386),$C386,DATEVALUE($C386))-IF(ISNUMBER($B386),$B386,DATEVALUE($B386)))/7,0),""))</x:f>
      </x:c>
      <x:c r="W386" s="254">
        <x:f>$Q386-$S386</x:f>
      </x:c>
      <x:c r="X386" s="256">
        <x:f>IF(OR($J386="",$I386="",$J386=0,$I386=0,$I386&gt;$J386),"",$J386-$I386)</x:f>
      </x:c>
      <x:c r="Y386" s="257">
        <x:f>IF(OR($J386="",$J386=0,$X386=""),"",$X386/$J386)</x:f>
      </x:c>
    </x:row>
    <x:row r="387" s="106" customFormat="1" ht="21" customHeight="1">
      <x:c r="A387" s="54" t="n"/>
      <x:c r="B387" s="250" t="n"/>
      <x:c r="C387" s="250" t="n"/>
      <x:c r="D387" s="54" t="n"/>
      <x:c r="E387" s="251" t="n"/>
      <x:c r="F387" s="251" t="n"/>
      <x:c r="G387" s="251" t="n"/>
      <x:c r="H387" s="251" t="n"/>
      <x:c r="I387" s="252" t="n"/>
      <x:c r="J387" s="253" t="n"/>
      <x:c r="K387" s="254" t="n"/>
      <x:c r="L387" s="50" t="n"/>
      <x:c r="M387" s="251" t="n"/>
      <x:c r="N387" s="251">
        <x:f>IF($A387="","",IF($G387="","",IF(ISNUMBER(SEARCH("non",LOWER($E387&amp;""))),$G387*0.85,$G387)))</x:f>
      </x:c>
      <x:c r="O387" s="251">
        <x:f>IF($A387="","",IF(OR($N387="",$I387="",$I387=0),"",$N387/$I387))</x:f>
      </x:c>
      <x:c r="P387" s="251">
        <x:f>IF($A387="","",IF(LOWER($L387&amp;"")="yes",0,IF($K387&lt;&gt;"",$K387,IF($O387&lt;&gt;"",$O387,""))))</x:f>
      </x:c>
      <x:c r="Q387" s="254">
        <x:f>IF($A387="","",IF($U387="Profit",$P387-$H387,0))</x:f>
      </x:c>
      <x:c r="R387" s="251">
        <x:f>IF($A387="","",IF($U387="Draw",$H387,0))</x:f>
      </x:c>
      <x:c r="S387" s="251">
        <x:f>IF($A387="","",IF($U387="Disqualified",$H387,0))</x:f>
      </x:c>
      <x:c r="T387" s="255">
        <x:f>IF($A387="","",IF($H387=0,IF($U387="Profit","N/A",0),IF($U387="Profit",$Q387/$H387,IF($U387="Disqualified",-1,0))))</x:f>
      </x:c>
      <x:c r="U387" s="254">
        <x:f>IF($A387="","",IF(LOWER($L387&amp;"")="yes","Disqualified",IF($P387&gt;$H387,"Profit","Draw")))</x:f>
      </x:c>
      <x:c r="V387" s="253">
        <x:f>IF(OR($B387="",$C387=""),"",IFERROR(ROUNDUP((IF(ISNUMBER($C387),$C387,DATEVALUE($C387))-IF(ISNUMBER($B387),$B387,DATEVALUE($B387)))/7,0),""))</x:f>
      </x:c>
      <x:c r="W387" s="254">
        <x:f>$Q387-$S387</x:f>
      </x:c>
      <x:c r="X387" s="256">
        <x:f>IF(OR($J387="",$I387="",$J387=0,$I387=0,$I387&gt;$J387),"",$J387-$I387)</x:f>
      </x:c>
      <x:c r="Y387" s="257">
        <x:f>IF(OR($J387="",$J387=0,$X387=""),"",$X387/$J387)</x:f>
      </x:c>
    </x:row>
    <x:row r="388" s="106" customFormat="1" ht="21" customHeight="1">
      <x:c r="A388" s="54" t="n"/>
      <x:c r="B388" s="250" t="n"/>
      <x:c r="C388" s="250" t="n"/>
      <x:c r="D388" s="54" t="n"/>
      <x:c r="E388" s="251" t="n"/>
      <x:c r="F388" s="251" t="n"/>
      <x:c r="G388" s="251" t="n"/>
      <x:c r="H388" s="251" t="n"/>
      <x:c r="I388" s="252" t="n"/>
      <x:c r="J388" s="253" t="n"/>
      <x:c r="K388" s="254" t="n"/>
      <x:c r="L388" s="50" t="n"/>
      <x:c r="M388" s="251" t="n"/>
      <x:c r="N388" s="251">
        <x:f>IF($A388="","",IF($G388="","",IF(ISNUMBER(SEARCH("non",LOWER($E388&amp;""))),$G388*0.85,$G388)))</x:f>
      </x:c>
      <x:c r="O388" s="251">
        <x:f>IF($A388="","",IF(OR($N388="",$I388="",$I388=0),"",$N388/$I388))</x:f>
      </x:c>
      <x:c r="P388" s="251">
        <x:f>IF($A388="","",IF(LOWER($L388&amp;"")="yes",0,IF($K388&lt;&gt;"",$K388,IF($O388&lt;&gt;"",$O388,""))))</x:f>
      </x:c>
      <x:c r="Q388" s="254">
        <x:f>IF($A388="","",IF($U388="Profit",$P388-$H388,0))</x:f>
      </x:c>
      <x:c r="R388" s="251">
        <x:f>IF($A388="","",IF($U388="Draw",$H388,0))</x:f>
      </x:c>
      <x:c r="S388" s="251">
        <x:f>IF($A388="","",IF($U388="Disqualified",$H388,0))</x:f>
      </x:c>
      <x:c r="T388" s="255">
        <x:f>IF($A388="","",IF($H388=0,IF($U388="Profit","N/A",0),IF($U388="Profit",$Q388/$H388,IF($U388="Disqualified",-1,0))))</x:f>
      </x:c>
      <x:c r="U388" s="254">
        <x:f>IF($A388="","",IF(LOWER($L388&amp;"")="yes","Disqualified",IF($P388&gt;$H388,"Profit","Draw")))</x:f>
      </x:c>
      <x:c r="V388" s="253">
        <x:f>IF(OR($B388="",$C388=""),"",IFERROR(ROUNDUP((IF(ISNUMBER($C388),$C388,DATEVALUE($C388))-IF(ISNUMBER($B388),$B388,DATEVALUE($B388)))/7,0),""))</x:f>
      </x:c>
      <x:c r="W388" s="254">
        <x:f>$Q388-$S388</x:f>
      </x:c>
      <x:c r="X388" s="256">
        <x:f>IF(OR($J388="",$I388="",$J388=0,$I388=0,$I388&gt;$J388),"",$J388-$I388)</x:f>
      </x:c>
      <x:c r="Y388" s="257">
        <x:f>IF(OR($J388="",$J388=0,$X388=""),"",$X388/$J388)</x:f>
      </x:c>
    </x:row>
    <x:row r="389" s="106" customFormat="1" ht="21" customHeight="1">
      <x:c r="A389" s="54" t="n"/>
      <x:c r="B389" s="250" t="n"/>
      <x:c r="C389" s="250" t="n"/>
      <x:c r="D389" s="54" t="n"/>
      <x:c r="E389" s="251" t="n"/>
      <x:c r="F389" s="251" t="n"/>
      <x:c r="G389" s="251" t="n"/>
      <x:c r="H389" s="251" t="n"/>
      <x:c r="I389" s="252" t="n"/>
      <x:c r="J389" s="253" t="n"/>
      <x:c r="K389" s="254" t="n"/>
      <x:c r="L389" s="50" t="n"/>
      <x:c r="M389" s="251" t="n"/>
      <x:c r="N389" s="251">
        <x:f>IF($A389="","",IF($G389="","",IF(ISNUMBER(SEARCH("non",LOWER($E389&amp;""))),$G389*0.85,$G389)))</x:f>
      </x:c>
      <x:c r="O389" s="251">
        <x:f>IF($A389="","",IF(OR($N389="",$I389="",$I389=0),"",$N389/$I389))</x:f>
      </x:c>
      <x:c r="P389" s="251">
        <x:f>IF($A389="","",IF(LOWER($L389&amp;"")="yes",0,IF($K389&lt;&gt;"",$K389,IF($O389&lt;&gt;"",$O389,""))))</x:f>
      </x:c>
      <x:c r="Q389" s="254">
        <x:f>IF($A389="","",IF($U389="Profit",$P389-$H389,0))</x:f>
      </x:c>
      <x:c r="R389" s="251">
        <x:f>IF($A389="","",IF($U389="Draw",$H389,0))</x:f>
      </x:c>
      <x:c r="S389" s="251">
        <x:f>IF($A389="","",IF($U389="Disqualified",$H389,0))</x:f>
      </x:c>
      <x:c r="T389" s="255">
        <x:f>IF($A389="","",IF($H389=0,IF($U389="Profit","N/A",0),IF($U389="Profit",$Q389/$H389,IF($U389="Disqualified",-1,0))))</x:f>
      </x:c>
      <x:c r="U389" s="254">
        <x:f>IF($A389="","",IF(LOWER($L389&amp;"")="yes","Disqualified",IF($P389&gt;$H389,"Profit","Draw")))</x:f>
      </x:c>
      <x:c r="V389" s="253">
        <x:f>IF(OR($B389="",$C389=""),"",IFERROR(ROUNDUP((IF(ISNUMBER($C389),$C389,DATEVALUE($C389))-IF(ISNUMBER($B389),$B389,DATEVALUE($B389)))/7,0),""))</x:f>
      </x:c>
      <x:c r="W389" s="254">
        <x:f>$Q389-$S389</x:f>
      </x:c>
      <x:c r="X389" s="256">
        <x:f>IF(OR($J389="",$I389="",$J389=0,$I389=0,$I389&gt;$J389),"",$J389-$I389)</x:f>
      </x:c>
      <x:c r="Y389" s="257">
        <x:f>IF(OR($J389="",$J389=0,$X389=""),"",$X389/$J389)</x:f>
      </x:c>
    </x:row>
    <x:row r="390" s="106" customFormat="1" ht="21" customHeight="1">
      <x:c r="A390" s="54" t="n"/>
      <x:c r="B390" s="250" t="n"/>
      <x:c r="C390" s="250" t="n"/>
      <x:c r="D390" s="54" t="n"/>
      <x:c r="E390" s="251" t="n"/>
      <x:c r="F390" s="251" t="n"/>
      <x:c r="G390" s="251" t="n"/>
      <x:c r="H390" s="251" t="n"/>
      <x:c r="I390" s="252" t="n"/>
      <x:c r="J390" s="253" t="n"/>
      <x:c r="K390" s="254" t="n"/>
      <x:c r="L390" s="50" t="n"/>
      <x:c r="M390" s="251" t="n"/>
      <x:c r="N390" s="251">
        <x:f>IF($A390="","",IF($G390="","",IF(ISNUMBER(SEARCH("non",LOWER($E390&amp;""))),$G390*0.85,$G390)))</x:f>
      </x:c>
      <x:c r="O390" s="251">
        <x:f>IF($A390="","",IF(OR($N390="",$I390="",$I390=0),"",$N390/$I390))</x:f>
      </x:c>
      <x:c r="P390" s="251">
        <x:f>IF($A390="","",IF(LOWER($L390&amp;"")="yes",0,IF($K390&lt;&gt;"",$K390,IF($O390&lt;&gt;"",$O390,""))))</x:f>
      </x:c>
      <x:c r="Q390" s="254">
        <x:f>IF($A390="","",IF($U390="Profit",$P390-$H390,0))</x:f>
      </x:c>
      <x:c r="R390" s="251">
        <x:f>IF($A390="","",IF($U390="Draw",$H390,0))</x:f>
      </x:c>
      <x:c r="S390" s="251">
        <x:f>IF($A390="","",IF($U390="Disqualified",$H390,0))</x:f>
      </x:c>
      <x:c r="T390" s="255">
        <x:f>IF($A390="","",IF($H390=0,IF($U390="Profit","N/A",0),IF($U390="Profit",$Q390/$H390,IF($U390="Disqualified",-1,0))))</x:f>
      </x:c>
      <x:c r="U390" s="254">
        <x:f>IF($A390="","",IF(LOWER($L390&amp;"")="yes","Disqualified",IF($P390&gt;$H390,"Profit","Draw")))</x:f>
      </x:c>
      <x:c r="V390" s="253">
        <x:f>IF(OR($B390="",$C390=""),"",IFERROR(ROUNDUP((IF(ISNUMBER($C390),$C390,DATEVALUE($C390))-IF(ISNUMBER($B390),$B390,DATEVALUE($B390)))/7,0),""))</x:f>
      </x:c>
      <x:c r="W390" s="254">
        <x:f>$Q390-$S390</x:f>
      </x:c>
      <x:c r="X390" s="256">
        <x:f>IF(OR($J390="",$I390="",$J390=0,$I390=0,$I390&gt;$J390),"",$J390-$I390)</x:f>
      </x:c>
      <x:c r="Y390" s="257">
        <x:f>IF(OR($J390="",$J390=0,$X390=""),"",$X390/$J390)</x:f>
      </x:c>
    </x:row>
    <x:row r="391" s="106" customFormat="1" ht="21" customHeight="1">
      <x:c r="A391" s="54" t="n"/>
      <x:c r="B391" s="250" t="n"/>
      <x:c r="C391" s="250" t="n"/>
      <x:c r="D391" s="54" t="n"/>
      <x:c r="E391" s="251" t="n"/>
      <x:c r="F391" s="251" t="n"/>
      <x:c r="G391" s="251" t="n"/>
      <x:c r="H391" s="251" t="n"/>
      <x:c r="I391" s="252" t="n"/>
      <x:c r="J391" s="253" t="n"/>
      <x:c r="K391" s="254" t="n"/>
      <x:c r="L391" s="50" t="n"/>
      <x:c r="M391" s="251" t="n"/>
      <x:c r="N391" s="251">
        <x:f>IF($A391="","",IF($G391="","",IF(ISNUMBER(SEARCH("non",LOWER($E391&amp;""))),$G391*0.85,$G391)))</x:f>
      </x:c>
      <x:c r="O391" s="251">
        <x:f>IF($A391="","",IF(OR($N391="",$I391="",$I391=0),"",$N391/$I391))</x:f>
      </x:c>
      <x:c r="P391" s="251">
        <x:f>IF($A391="","",IF(LOWER($L391&amp;"")="yes",0,IF($K391&lt;&gt;"",$K391,IF($O391&lt;&gt;"",$O391,""))))</x:f>
      </x:c>
      <x:c r="Q391" s="254">
        <x:f>IF($A391="","",IF($U391="Profit",$P391-$H391,0))</x:f>
      </x:c>
      <x:c r="R391" s="251">
        <x:f>IF($A391="","",IF($U391="Draw",$H391,0))</x:f>
      </x:c>
      <x:c r="S391" s="251">
        <x:f>IF($A391="","",IF($U391="Disqualified",$H391,0))</x:f>
      </x:c>
      <x:c r="T391" s="255">
        <x:f>IF($A391="","",IF($H391=0,IF($U391="Profit","N/A",0),IF($U391="Profit",$Q391/$H391,IF($U391="Disqualified",-1,0))))</x:f>
      </x:c>
      <x:c r="U391" s="254">
        <x:f>IF($A391="","",IF(LOWER($L391&amp;"")="yes","Disqualified",IF($P391&gt;$H391,"Profit","Draw")))</x:f>
      </x:c>
      <x:c r="V391" s="253">
        <x:f>IF(OR($B391="",$C391=""),"",IFERROR(ROUNDUP((IF(ISNUMBER($C391),$C391,DATEVALUE($C391))-IF(ISNUMBER($B391),$B391,DATEVALUE($B391)))/7,0),""))</x:f>
      </x:c>
      <x:c r="W391" s="254">
        <x:f>$Q391-$S391</x:f>
      </x:c>
      <x:c r="X391" s="256">
        <x:f>IF(OR($J391="",$I391="",$J391=0,$I391=0,$I391&gt;$J391),"",$J391-$I391)</x:f>
      </x:c>
      <x:c r="Y391" s="257">
        <x:f>IF(OR($J391="",$J391=0,$X391=""),"",$X391/$J391)</x:f>
      </x:c>
    </x:row>
    <x:row r="392" s="106" customFormat="1" ht="21" customHeight="1">
      <x:c r="A392" s="54" t="n"/>
      <x:c r="B392" s="250" t="n"/>
      <x:c r="C392" s="250" t="n"/>
      <x:c r="D392" s="54" t="n"/>
      <x:c r="E392" s="251" t="n"/>
      <x:c r="F392" s="251" t="n"/>
      <x:c r="G392" s="251" t="n"/>
      <x:c r="H392" s="251" t="n"/>
      <x:c r="I392" s="252" t="n"/>
      <x:c r="J392" s="253" t="n"/>
      <x:c r="K392" s="254" t="n"/>
      <x:c r="L392" s="50" t="n"/>
      <x:c r="M392" s="251" t="n"/>
      <x:c r="N392" s="251">
        <x:f>IF($A392="","",IF($G392="","",IF(ISNUMBER(SEARCH("non",LOWER($E392&amp;""))),$G392*0.85,$G392)))</x:f>
      </x:c>
      <x:c r="O392" s="251">
        <x:f>IF($A392="","",IF(OR($N392="",$I392="",$I392=0),"",$N392/$I392))</x:f>
      </x:c>
      <x:c r="P392" s="251">
        <x:f>IF($A392="","",IF(LOWER($L392&amp;"")="yes",0,IF($K392&lt;&gt;"",$K392,IF($O392&lt;&gt;"",$O392,""))))</x:f>
      </x:c>
      <x:c r="Q392" s="254">
        <x:f>IF($A392="","",IF($U392="Profit",$P392-$H392,0))</x:f>
      </x:c>
      <x:c r="R392" s="251">
        <x:f>IF($A392="","",IF($U392="Draw",$H392,0))</x:f>
      </x:c>
      <x:c r="S392" s="251">
        <x:f>IF($A392="","",IF($U392="Disqualified",$H392,0))</x:f>
      </x:c>
      <x:c r="T392" s="255">
        <x:f>IF($A392="","",IF($H392=0,IF($U392="Profit","N/A",0),IF($U392="Profit",$Q392/$H392,IF($U392="Disqualified",-1,0))))</x:f>
      </x:c>
      <x:c r="U392" s="254">
        <x:f>IF($A392="","",IF(LOWER($L392&amp;"")="yes","Disqualified",IF($P392&gt;$H392,"Profit","Draw")))</x:f>
      </x:c>
      <x:c r="V392" s="253">
        <x:f>IF(OR($B392="",$C392=""),"",IFERROR(ROUNDUP((IF(ISNUMBER($C392),$C392,DATEVALUE($C392))-IF(ISNUMBER($B392),$B392,DATEVALUE($B392)))/7,0),""))</x:f>
      </x:c>
      <x:c r="W392" s="254">
        <x:f>$Q392-$S392</x:f>
      </x:c>
      <x:c r="X392" s="256">
        <x:f>IF(OR($J392="",$I392="",$J392=0,$I392=0,$I392&gt;$J392),"",$J392-$I392)</x:f>
      </x:c>
      <x:c r="Y392" s="257">
        <x:f>IF(OR($J392="",$J392=0,$X392=""),"",$X392/$J392)</x:f>
      </x:c>
    </x:row>
    <x:row r="393" s="106" customFormat="1" ht="21" customHeight="1">
      <x:c r="A393" s="54" t="n"/>
      <x:c r="B393" s="250" t="n"/>
      <x:c r="C393" s="250" t="n"/>
      <x:c r="D393" s="54" t="n"/>
      <x:c r="E393" s="251" t="n"/>
      <x:c r="F393" s="251" t="n"/>
      <x:c r="G393" s="251" t="n"/>
      <x:c r="H393" s="251" t="n"/>
      <x:c r="I393" s="252" t="n"/>
      <x:c r="J393" s="253" t="n"/>
      <x:c r="K393" s="254" t="n"/>
      <x:c r="L393" s="50" t="n"/>
      <x:c r="M393" s="251" t="n"/>
      <x:c r="N393" s="251">
        <x:f>IF($A393="","",IF($G393="","",IF(ISNUMBER(SEARCH("non",LOWER($E393&amp;""))),$G393*0.85,$G393)))</x:f>
      </x:c>
      <x:c r="O393" s="251">
        <x:f>IF($A393="","",IF(OR($N393="",$I393="",$I393=0),"",$N393/$I393))</x:f>
      </x:c>
      <x:c r="P393" s="251">
        <x:f>IF($A393="","",IF(LOWER($L393&amp;"")="yes",0,IF($K393&lt;&gt;"",$K393,IF($O393&lt;&gt;"",$O393,""))))</x:f>
      </x:c>
      <x:c r="Q393" s="254">
        <x:f>IF($A393="","",IF($U393="Profit",$P393-$H393,0))</x:f>
      </x:c>
      <x:c r="R393" s="251">
        <x:f>IF($A393="","",IF($U393="Draw",$H393,0))</x:f>
      </x:c>
      <x:c r="S393" s="251">
        <x:f>IF($A393="","",IF($U393="Disqualified",$H393,0))</x:f>
      </x:c>
      <x:c r="T393" s="255">
        <x:f>IF($A393="","",IF($H393=0,IF($U393="Profit","N/A",0),IF($U393="Profit",$Q393/$H393,IF($U393="Disqualified",-1,0))))</x:f>
      </x:c>
      <x:c r="U393" s="254">
        <x:f>IF($A393="","",IF(LOWER($L393&amp;"")="yes","Disqualified",IF($P393&gt;$H393,"Profit","Draw")))</x:f>
      </x:c>
      <x:c r="V393" s="253">
        <x:f>IF(OR($B393="",$C393=""),"",IFERROR(ROUNDUP((IF(ISNUMBER($C393),$C393,DATEVALUE($C393))-IF(ISNUMBER($B393),$B393,DATEVALUE($B393)))/7,0),""))</x:f>
      </x:c>
      <x:c r="W393" s="254">
        <x:f>$Q393-$S393</x:f>
      </x:c>
      <x:c r="X393" s="256">
        <x:f>IF(OR($J393="",$I393="",$J393=0,$I393=0,$I393&gt;$J393),"",$J393-$I393)</x:f>
      </x:c>
      <x:c r="Y393" s="257">
        <x:f>IF(OR($J393="",$J393=0,$X393=""),"",$X393/$J393)</x:f>
      </x:c>
    </x:row>
    <x:row r="394" s="106" customFormat="1" ht="21" customHeight="1">
      <x:c r="A394" s="54" t="n"/>
      <x:c r="B394" s="250" t="n"/>
      <x:c r="C394" s="250" t="n"/>
      <x:c r="D394" s="54" t="n"/>
      <x:c r="E394" s="251" t="n"/>
      <x:c r="F394" s="251" t="n"/>
      <x:c r="G394" s="251" t="n"/>
      <x:c r="H394" s="251" t="n"/>
      <x:c r="I394" s="252" t="n"/>
      <x:c r="J394" s="253" t="n"/>
      <x:c r="K394" s="254" t="n"/>
      <x:c r="L394" s="50" t="n"/>
      <x:c r="M394" s="251" t="n"/>
      <x:c r="N394" s="251">
        <x:f>IF($A394="","",IF($G394="","",IF(ISNUMBER(SEARCH("non",LOWER($E394&amp;""))),$G394*0.85,$G394)))</x:f>
      </x:c>
      <x:c r="O394" s="251">
        <x:f>IF($A394="","",IF(OR($N394="",$I394="",$I394=0),"",$N394/$I394))</x:f>
      </x:c>
      <x:c r="P394" s="251">
        <x:f>IF($A394="","",IF(LOWER($L394&amp;"")="yes",0,IF($K394&lt;&gt;"",$K394,IF($O394&lt;&gt;"",$O394,""))))</x:f>
      </x:c>
      <x:c r="Q394" s="254">
        <x:f>IF($A394="","",IF($U394="Profit",$P394-$H394,0))</x:f>
      </x:c>
      <x:c r="R394" s="251">
        <x:f>IF($A394="","",IF($U394="Draw",$H394,0))</x:f>
      </x:c>
      <x:c r="S394" s="251">
        <x:f>IF($A394="","",IF($U394="Disqualified",$H394,0))</x:f>
      </x:c>
      <x:c r="T394" s="255">
        <x:f>IF($A394="","",IF($H394=0,IF($U394="Profit","N/A",0),IF($U394="Profit",$Q394/$H394,IF($U394="Disqualified",-1,0))))</x:f>
      </x:c>
      <x:c r="U394" s="254">
        <x:f>IF($A394="","",IF(LOWER($L394&amp;"")="yes","Disqualified",IF($P394&gt;$H394,"Profit","Draw")))</x:f>
      </x:c>
      <x:c r="V394" s="253">
        <x:f>IF(OR($B394="",$C394=""),"",IFERROR(ROUNDUP((IF(ISNUMBER($C394),$C394,DATEVALUE($C394))-IF(ISNUMBER($B394),$B394,DATEVALUE($B394)))/7,0),""))</x:f>
      </x:c>
      <x:c r="W394" s="254">
        <x:f>$Q394-$S394</x:f>
      </x:c>
      <x:c r="X394" s="256">
        <x:f>IF(OR($J394="",$I394="",$J394=0,$I394=0,$I394&gt;$J394),"",$J394-$I394)</x:f>
      </x:c>
      <x:c r="Y394" s="257">
        <x:f>IF(OR($J394="",$J394=0,$X394=""),"",$X394/$J394)</x:f>
      </x:c>
    </x:row>
    <x:row r="395" s="106" customFormat="1" ht="21" customHeight="1">
      <x:c r="A395" s="54" t="n"/>
      <x:c r="B395" s="250" t="n"/>
      <x:c r="C395" s="250" t="n"/>
      <x:c r="D395" s="54" t="n"/>
      <x:c r="E395" s="251" t="n"/>
      <x:c r="F395" s="251" t="n"/>
      <x:c r="G395" s="251" t="n"/>
      <x:c r="H395" s="251" t="n"/>
      <x:c r="I395" s="252" t="n"/>
      <x:c r="J395" s="253" t="n"/>
      <x:c r="K395" s="254" t="n"/>
      <x:c r="L395" s="50" t="n"/>
      <x:c r="M395" s="251" t="n"/>
      <x:c r="N395" s="251">
        <x:f>IF($A395="","",IF($G395="","",IF(ISNUMBER(SEARCH("non",LOWER($E395&amp;""))),$G395*0.85,$G395)))</x:f>
      </x:c>
      <x:c r="O395" s="251">
        <x:f>IF($A395="","",IF(OR($N395="",$I395="",$I395=0),"",$N395/$I395))</x:f>
      </x:c>
      <x:c r="P395" s="251">
        <x:f>IF($A395="","",IF(LOWER($L395&amp;"")="yes",0,IF($K395&lt;&gt;"",$K395,IF($O395&lt;&gt;"",$O395,""))))</x:f>
      </x:c>
      <x:c r="Q395" s="254">
        <x:f>IF($A395="","",IF($U395="Profit",$P395-$H395,0))</x:f>
      </x:c>
      <x:c r="R395" s="251">
        <x:f>IF($A395="","",IF($U395="Draw",$H395,0))</x:f>
      </x:c>
      <x:c r="S395" s="251">
        <x:f>IF($A395="","",IF($U395="Disqualified",$H395,0))</x:f>
      </x:c>
      <x:c r="T395" s="255">
        <x:f>IF($A395="","",IF($H395=0,IF($U395="Profit","N/A",0),IF($U395="Profit",$Q395/$H395,IF($U395="Disqualified",-1,0))))</x:f>
      </x:c>
      <x:c r="U395" s="254">
        <x:f>IF($A395="","",IF(LOWER($L395&amp;"")="yes","Disqualified",IF($P395&gt;$H395,"Profit","Draw")))</x:f>
      </x:c>
      <x:c r="V395" s="253">
        <x:f>IF(OR($B395="",$C395=""),"",IFERROR(ROUNDUP((IF(ISNUMBER($C395),$C395,DATEVALUE($C395))-IF(ISNUMBER($B395),$B395,DATEVALUE($B395)))/7,0),""))</x:f>
      </x:c>
      <x:c r="W395" s="254">
        <x:f>$Q395-$S395</x:f>
      </x:c>
      <x:c r="X395" s="256">
        <x:f>IF(OR($J395="",$I395="",$J395=0,$I395=0,$I395&gt;$J395),"",$J395-$I395)</x:f>
      </x:c>
      <x:c r="Y395" s="257">
        <x:f>IF(OR($J395="",$J395=0,$X395=""),"",$X395/$J395)</x:f>
      </x:c>
    </x:row>
    <x:row r="396" s="106" customFormat="1" ht="21" customHeight="1">
      <x:c r="A396" s="54" t="n"/>
      <x:c r="B396" s="250" t="n"/>
      <x:c r="C396" s="250" t="n"/>
      <x:c r="D396" s="54" t="n"/>
      <x:c r="E396" s="251" t="n"/>
      <x:c r="F396" s="251" t="n"/>
      <x:c r="G396" s="251" t="n"/>
      <x:c r="H396" s="251" t="n"/>
      <x:c r="I396" s="252" t="n"/>
      <x:c r="J396" s="253" t="n"/>
      <x:c r="K396" s="254" t="n"/>
      <x:c r="L396" s="50" t="n"/>
      <x:c r="M396" s="251" t="n"/>
      <x:c r="N396" s="251">
        <x:f>IF($A396="","",IF($G396="","",IF(ISNUMBER(SEARCH("non",LOWER($E396&amp;""))),$G396*0.85,$G396)))</x:f>
      </x:c>
      <x:c r="O396" s="251">
        <x:f>IF($A396="","",IF(OR($N396="",$I396="",$I396=0),"",$N396/$I396))</x:f>
      </x:c>
      <x:c r="P396" s="251">
        <x:f>IF($A396="","",IF(LOWER($L396&amp;"")="yes",0,IF($K396&lt;&gt;"",$K396,IF($O396&lt;&gt;"",$O396,""))))</x:f>
      </x:c>
      <x:c r="Q396" s="254">
        <x:f>IF($A396="","",IF($U396="Profit",$P396-$H396,0))</x:f>
      </x:c>
      <x:c r="R396" s="251">
        <x:f>IF($A396="","",IF($U396="Draw",$H396,0))</x:f>
      </x:c>
      <x:c r="S396" s="251">
        <x:f>IF($A396="","",IF($U396="Disqualified",$H396,0))</x:f>
      </x:c>
      <x:c r="T396" s="255">
        <x:f>IF($A396="","",IF($H396=0,IF($U396="Profit","N/A",0),IF($U396="Profit",$Q396/$H396,IF($U396="Disqualified",-1,0))))</x:f>
      </x:c>
      <x:c r="U396" s="254">
        <x:f>IF($A396="","",IF(LOWER($L396&amp;"")="yes","Disqualified",IF($P396&gt;$H396,"Profit","Draw")))</x:f>
      </x:c>
      <x:c r="V396" s="253">
        <x:f>IF(OR($B396="",$C396=""),"",IFERROR(ROUNDUP((IF(ISNUMBER($C396),$C396,DATEVALUE($C396))-IF(ISNUMBER($B396),$B396,DATEVALUE($B396)))/7,0),""))</x:f>
      </x:c>
      <x:c r="W396" s="254">
        <x:f>$Q396-$S396</x:f>
      </x:c>
      <x:c r="X396" s="256">
        <x:f>IF(OR($J396="",$I396="",$J396=0,$I396=0,$I396&gt;$J396),"",$J396-$I396)</x:f>
      </x:c>
      <x:c r="Y396" s="257">
        <x:f>IF(OR($J396="",$J396=0,$X396=""),"",$X396/$J396)</x:f>
      </x:c>
    </x:row>
    <x:row r="397" s="106" customFormat="1" ht="21" customHeight="1">
      <x:c r="A397" s="54" t="n"/>
      <x:c r="B397" s="250" t="n"/>
      <x:c r="C397" s="250" t="n"/>
      <x:c r="D397" s="54" t="n"/>
      <x:c r="E397" s="251" t="n"/>
      <x:c r="F397" s="251" t="n"/>
      <x:c r="G397" s="251" t="n"/>
      <x:c r="H397" s="251" t="n"/>
      <x:c r="I397" s="252" t="n"/>
      <x:c r="J397" s="253" t="n"/>
      <x:c r="K397" s="254" t="n"/>
      <x:c r="L397" s="50" t="n"/>
      <x:c r="M397" s="251" t="n"/>
      <x:c r="N397" s="251">
        <x:f>IF($A397="","",IF($G397="","",IF(ISNUMBER(SEARCH("non",LOWER($E397&amp;""))),$G397*0.85,$G397)))</x:f>
      </x:c>
      <x:c r="O397" s="251">
        <x:f>IF($A397="","",IF(OR($N397="",$I397="",$I397=0),"",$N397/$I397))</x:f>
      </x:c>
      <x:c r="P397" s="251">
        <x:f>IF($A397="","",IF(LOWER($L397&amp;"")="yes",0,IF($K397&lt;&gt;"",$K397,IF($O397&lt;&gt;"",$O397,""))))</x:f>
      </x:c>
      <x:c r="Q397" s="254">
        <x:f>IF($A397="","",IF($U397="Profit",$P397-$H397,0))</x:f>
      </x:c>
      <x:c r="R397" s="251">
        <x:f>IF($A397="","",IF($U397="Draw",$H397,0))</x:f>
      </x:c>
      <x:c r="S397" s="251">
        <x:f>IF($A397="","",IF($U397="Disqualified",$H397,0))</x:f>
      </x:c>
      <x:c r="T397" s="255">
        <x:f>IF($A397="","",IF($H397=0,IF($U397="Profit","N/A",0),IF($U397="Profit",$Q397/$H397,IF($U397="Disqualified",-1,0))))</x:f>
      </x:c>
      <x:c r="U397" s="254">
        <x:f>IF($A397="","",IF(LOWER($L397&amp;"")="yes","Disqualified",IF($P397&gt;$H397,"Profit","Draw")))</x:f>
      </x:c>
      <x:c r="V397" s="253">
        <x:f>IF(OR($B397="",$C397=""),"",IFERROR(ROUNDUP((IF(ISNUMBER($C397),$C397,DATEVALUE($C397))-IF(ISNUMBER($B397),$B397,DATEVALUE($B397)))/7,0),""))</x:f>
      </x:c>
      <x:c r="W397" s="254">
        <x:f>$Q397-$S397</x:f>
      </x:c>
      <x:c r="X397" s="256">
        <x:f>IF(OR($J397="",$I397="",$J397=0,$I397=0,$I397&gt;$J397),"",$J397-$I397)</x:f>
      </x:c>
      <x:c r="Y397" s="257">
        <x:f>IF(OR($J397="",$J397=0,$X397=""),"",$X397/$J397)</x:f>
      </x:c>
    </x:row>
    <x:row r="398" s="106" customFormat="1" ht="21" customHeight="1">
      <x:c r="A398" s="54" t="n"/>
      <x:c r="B398" s="250" t="n"/>
      <x:c r="C398" s="250" t="n"/>
      <x:c r="D398" s="54" t="n"/>
      <x:c r="E398" s="251" t="n"/>
      <x:c r="F398" s="251" t="n"/>
      <x:c r="G398" s="251" t="n"/>
      <x:c r="H398" s="251" t="n"/>
      <x:c r="I398" s="252" t="n"/>
      <x:c r="J398" s="253" t="n"/>
      <x:c r="K398" s="254" t="n"/>
      <x:c r="L398" s="50" t="n"/>
      <x:c r="M398" s="251" t="n"/>
      <x:c r="N398" s="251">
        <x:f>IF($A398="","",IF($G398="","",IF(ISNUMBER(SEARCH("non",LOWER($E398&amp;""))),$G398*0.85,$G398)))</x:f>
      </x:c>
      <x:c r="O398" s="251">
        <x:f>IF($A398="","",IF(OR($N398="",$I398="",$I398=0),"",$N398/$I398))</x:f>
      </x:c>
      <x:c r="P398" s="251">
        <x:f>IF($A398="","",IF(LOWER($L398&amp;"")="yes",0,IF($K398&lt;&gt;"",$K398,IF($O398&lt;&gt;"",$O398,""))))</x:f>
      </x:c>
      <x:c r="Q398" s="254">
        <x:f>IF($A398="","",IF($U398="Profit",$P398-$H398,0))</x:f>
      </x:c>
      <x:c r="R398" s="251">
        <x:f>IF($A398="","",IF($U398="Draw",$H398,0))</x:f>
      </x:c>
      <x:c r="S398" s="251">
        <x:f>IF($A398="","",IF($U398="Disqualified",$H398,0))</x:f>
      </x:c>
      <x:c r="T398" s="255">
        <x:f>IF($A398="","",IF($H398=0,IF($U398="Profit","N/A",0),IF($U398="Profit",$Q398/$H398,IF($U398="Disqualified",-1,0))))</x:f>
      </x:c>
      <x:c r="U398" s="254">
        <x:f>IF($A398="","",IF(LOWER($L398&amp;"")="yes","Disqualified",IF($P398&gt;$H398,"Profit","Draw")))</x:f>
      </x:c>
      <x:c r="V398" s="253">
        <x:f>IF(OR($B398="",$C398=""),"",IFERROR(ROUNDUP((IF(ISNUMBER($C398),$C398,DATEVALUE($C398))-IF(ISNUMBER($B398),$B398,DATEVALUE($B398)))/7,0),""))</x:f>
      </x:c>
      <x:c r="W398" s="254">
        <x:f>$Q398-$S398</x:f>
      </x:c>
      <x:c r="X398" s="256">
        <x:f>IF(OR($J398="",$I398="",$J398=0,$I398=0,$I398&gt;$J398),"",$J398-$I398)</x:f>
      </x:c>
      <x:c r="Y398" s="257">
        <x:f>IF(OR($J398="",$J398=0,$X398=""),"",$X398/$J398)</x:f>
      </x:c>
    </x:row>
    <x:row r="399" s="106" customFormat="1" ht="21" customHeight="1">
      <x:c r="A399" s="54" t="n"/>
      <x:c r="B399" s="250" t="n"/>
      <x:c r="C399" s="250" t="n"/>
      <x:c r="D399" s="54" t="n"/>
      <x:c r="E399" s="251" t="n"/>
      <x:c r="F399" s="251" t="n"/>
      <x:c r="G399" s="251" t="n"/>
      <x:c r="H399" s="251" t="n"/>
      <x:c r="I399" s="252" t="n"/>
      <x:c r="J399" s="253" t="n"/>
      <x:c r="K399" s="254" t="n"/>
      <x:c r="L399" s="50" t="n"/>
      <x:c r="M399" s="251" t="n"/>
      <x:c r="N399" s="251">
        <x:f>IF($A399="","",IF($G399="","",IF(ISNUMBER(SEARCH("non",LOWER($E399&amp;""))),$G399*0.85,$G399)))</x:f>
      </x:c>
      <x:c r="O399" s="251">
        <x:f>IF($A399="","",IF(OR($N399="",$I399="",$I399=0),"",$N399/$I399))</x:f>
      </x:c>
      <x:c r="P399" s="251">
        <x:f>IF($A399="","",IF(LOWER($L399&amp;"")="yes",0,IF($K399&lt;&gt;"",$K399,IF($O399&lt;&gt;"",$O399,""))))</x:f>
      </x:c>
      <x:c r="Q399" s="254">
        <x:f>IF($A399="","",IF($U399="Profit",$P399-$H399,0))</x:f>
      </x:c>
      <x:c r="R399" s="251">
        <x:f>IF($A399="","",IF($U399="Draw",$H399,0))</x:f>
      </x:c>
      <x:c r="S399" s="251">
        <x:f>IF($A399="","",IF($U399="Disqualified",$H399,0))</x:f>
      </x:c>
      <x:c r="T399" s="255">
        <x:f>IF($A399="","",IF($H399=0,IF($U399="Profit","N/A",0),IF($U399="Profit",$Q399/$H399,IF($U399="Disqualified",-1,0))))</x:f>
      </x:c>
      <x:c r="U399" s="254">
        <x:f>IF($A399="","",IF(LOWER($L399&amp;"")="yes","Disqualified",IF($P399&gt;$H399,"Profit","Draw")))</x:f>
      </x:c>
      <x:c r="V399" s="253">
        <x:f>IF(OR($B399="",$C399=""),"",IFERROR(ROUNDUP((IF(ISNUMBER($C399),$C399,DATEVALUE($C399))-IF(ISNUMBER($B399),$B399,DATEVALUE($B399)))/7,0),""))</x:f>
      </x:c>
      <x:c r="W399" s="254">
        <x:f>$Q399-$S399</x:f>
      </x:c>
      <x:c r="X399" s="256">
        <x:f>IF(OR($J399="",$I399="",$J399=0,$I399=0,$I399&gt;$J399),"",$J399-$I399)</x:f>
      </x:c>
      <x:c r="Y399" s="257">
        <x:f>IF(OR($J399="",$J399=0,$X399=""),"",$X399/$J399)</x:f>
      </x:c>
    </x:row>
    <x:row r="400" s="106" customFormat="1" ht="21" customHeight="1">
      <x:c r="A400" s="54" t="n"/>
      <x:c r="B400" s="250" t="n"/>
      <x:c r="C400" s="250" t="n"/>
      <x:c r="D400" s="54" t="n"/>
      <x:c r="E400" s="251" t="n"/>
      <x:c r="F400" s="251" t="n"/>
      <x:c r="G400" s="251" t="n"/>
      <x:c r="H400" s="251" t="n"/>
      <x:c r="I400" s="252" t="n"/>
      <x:c r="J400" s="253" t="n"/>
      <x:c r="K400" s="254" t="n"/>
      <x:c r="L400" s="50" t="n"/>
      <x:c r="M400" s="251" t="n"/>
      <x:c r="N400" s="251">
        <x:f>IF($A400="","",IF($G400="","",IF(ISNUMBER(SEARCH("non",LOWER($E400&amp;""))),$G400*0.85,$G400)))</x:f>
      </x:c>
      <x:c r="O400" s="251">
        <x:f>IF($A400="","",IF(OR($N400="",$I400="",$I400=0),"",$N400/$I400))</x:f>
      </x:c>
      <x:c r="P400" s="251">
        <x:f>IF($A400="","",IF(LOWER($L400&amp;"")="yes",0,IF($K400&lt;&gt;"",$K400,IF($O400&lt;&gt;"",$O400,""))))</x:f>
      </x:c>
      <x:c r="Q400" s="254">
        <x:f>IF($A400="","",IF($U400="Profit",$P400-$H400,0))</x:f>
      </x:c>
      <x:c r="R400" s="251">
        <x:f>IF($A400="","",IF($U400="Draw",$H400,0))</x:f>
      </x:c>
      <x:c r="S400" s="251">
        <x:f>IF($A400="","",IF($U400="Disqualified",$H400,0))</x:f>
      </x:c>
      <x:c r="T400" s="255">
        <x:f>IF($A400="","",IF($H400=0,IF($U400="Profit","N/A",0),IF($U400="Profit",$Q400/$H400,IF($U400="Disqualified",-1,0))))</x:f>
      </x:c>
      <x:c r="U400" s="254">
        <x:f>IF($A400="","",IF(LOWER($L400&amp;"")="yes","Disqualified",IF($P400&gt;$H400,"Profit","Draw")))</x:f>
      </x:c>
      <x:c r="V400" s="253">
        <x:f>IF(OR($B400="",$C400=""),"",IFERROR(ROUNDUP((IF(ISNUMBER($C400),$C400,DATEVALUE($C400))-IF(ISNUMBER($B400),$B400,DATEVALUE($B400)))/7,0),""))</x:f>
      </x:c>
      <x:c r="W400" s="254">
        <x:f>$Q400-$S400</x:f>
      </x:c>
      <x:c r="X400" s="256">
        <x:f>IF(OR($J400="",$I400="",$J400=0,$I400=0,$I400&gt;$J400),"",$J400-$I400)</x:f>
      </x:c>
      <x:c r="Y400" s="257">
        <x:f>IF(OR($J400="",$J400=0,$X400=""),"",$X400/$J400)</x:f>
      </x:c>
    </x:row>
    <x:row r="401" s="106" customFormat="1" ht="21" customHeight="1">
      <x:c r="A401" s="54" t="n"/>
      <x:c r="B401" s="250" t="n"/>
      <x:c r="C401" s="250" t="n"/>
      <x:c r="D401" s="54" t="n"/>
      <x:c r="E401" s="251" t="n"/>
      <x:c r="F401" s="251" t="n"/>
      <x:c r="G401" s="251" t="n"/>
      <x:c r="H401" s="251" t="n"/>
      <x:c r="I401" s="252" t="n"/>
      <x:c r="J401" s="253" t="n"/>
      <x:c r="K401" s="254" t="n"/>
      <x:c r="L401" s="50" t="n"/>
      <x:c r="M401" s="251" t="n"/>
      <x:c r="N401" s="251">
        <x:f>IF($A401="","",IF($G401="","",IF(ISNUMBER(SEARCH("non",LOWER($E401&amp;""))),$G401*0.85,$G401)))</x:f>
      </x:c>
      <x:c r="O401" s="251">
        <x:f>IF($A401="","",IF(OR($N401="",$I401="",$I401=0),"",$N401/$I401))</x:f>
      </x:c>
      <x:c r="P401" s="251">
        <x:f>IF($A401="","",IF(LOWER($L401&amp;"")="yes",0,IF($K401&lt;&gt;"",$K401,IF($O401&lt;&gt;"",$O401,""))))</x:f>
      </x:c>
      <x:c r="Q401" s="254">
        <x:f>IF($A401="","",IF($U401="Profit",$P401-$H401,0))</x:f>
      </x:c>
      <x:c r="R401" s="251">
        <x:f>IF($A401="","",IF($U401="Draw",$H401,0))</x:f>
      </x:c>
      <x:c r="S401" s="251">
        <x:f>IF($A401="","",IF($U401="Disqualified",$H401,0))</x:f>
      </x:c>
      <x:c r="T401" s="255">
        <x:f>IF($A401="","",IF($H401=0,IF($U401="Profit","N/A",0),IF($U401="Profit",$Q401/$H401,IF($U401="Disqualified",-1,0))))</x:f>
      </x:c>
      <x:c r="U401" s="254">
        <x:f>IF($A401="","",IF(LOWER($L401&amp;"")="yes","Disqualified",IF($P401&gt;$H401,"Profit","Draw")))</x:f>
      </x:c>
      <x:c r="V401" s="253">
        <x:f>IF(OR($B401="",$C401=""),"",IFERROR(ROUNDUP((IF(ISNUMBER($C401),$C401,DATEVALUE($C401))-IF(ISNUMBER($B401),$B401,DATEVALUE($B401)))/7,0),""))</x:f>
      </x:c>
      <x:c r="W401" s="254">
        <x:f>$Q401-$S401</x:f>
      </x:c>
      <x:c r="X401" s="256">
        <x:f>IF(OR($J401="",$I401="",$J401=0,$I401=0,$I401&gt;$J401),"",$J401-$I401)</x:f>
      </x:c>
      <x:c r="Y401" s="257">
        <x:f>IF(OR($J401="",$J401=0,$X401=""),"",$X401/$J401)</x:f>
      </x:c>
    </x:row>
    <x:row r="402" s="106" customFormat="1" ht="21" customHeight="1">
      <x:c r="A402" s="54" t="n"/>
      <x:c r="B402" s="250" t="n"/>
      <x:c r="C402" s="250" t="n"/>
      <x:c r="D402" s="54" t="n"/>
      <x:c r="E402" s="251" t="n"/>
      <x:c r="F402" s="251" t="n"/>
      <x:c r="G402" s="251" t="n"/>
      <x:c r="H402" s="251" t="n"/>
      <x:c r="I402" s="252" t="n"/>
      <x:c r="J402" s="253" t="n"/>
      <x:c r="K402" s="254" t="n"/>
      <x:c r="L402" s="50" t="n"/>
      <x:c r="M402" s="251" t="n"/>
      <x:c r="N402" s="251">
        <x:f>IF($A402="","",IF($G402="","",IF(ISNUMBER(SEARCH("non",LOWER($E402&amp;""))),$G402*0.85,$G402)))</x:f>
      </x:c>
      <x:c r="O402" s="251">
        <x:f>IF($A402="","",IF(OR($N402="",$I402="",$I402=0),"",$N402/$I402))</x:f>
      </x:c>
      <x:c r="P402" s="251">
        <x:f>IF($A402="","",IF(LOWER($L402&amp;"")="yes",0,IF($K402&lt;&gt;"",$K402,IF($O402&lt;&gt;"",$O402,""))))</x:f>
      </x:c>
      <x:c r="Q402" s="254">
        <x:f>IF($A402="","",IF($U402="Profit",$P402-$H402,0))</x:f>
      </x:c>
      <x:c r="R402" s="251">
        <x:f>IF($A402="","",IF($U402="Draw",$H402,0))</x:f>
      </x:c>
      <x:c r="S402" s="251">
        <x:f>IF($A402="","",IF($U402="Disqualified",$H402,0))</x:f>
      </x:c>
      <x:c r="T402" s="255">
        <x:f>IF($A402="","",IF($H402=0,IF($U402="Profit","N/A",0),IF($U402="Profit",$Q402/$H402,IF($U402="Disqualified",-1,0))))</x:f>
      </x:c>
      <x:c r="U402" s="254">
        <x:f>IF($A402="","",IF(LOWER($L402&amp;"")="yes","Disqualified",IF($P402&gt;$H402,"Profit","Draw")))</x:f>
      </x:c>
      <x:c r="V402" s="253">
        <x:f>IF(OR($B402="",$C402=""),"",IFERROR(ROUNDUP((IF(ISNUMBER($C402),$C402,DATEVALUE($C402))-IF(ISNUMBER($B402),$B402,DATEVALUE($B402)))/7,0),""))</x:f>
      </x:c>
      <x:c r="W402" s="254">
        <x:f>$Q402-$S402</x:f>
      </x:c>
      <x:c r="X402" s="256">
        <x:f>IF(OR($J402="",$I402="",$J402=0,$I402=0,$I402&gt;$J402),"",$J402-$I402)</x:f>
      </x:c>
      <x:c r="Y402" s="257">
        <x:f>IF(OR($J402="",$J402=0,$X402=""),"",$X402/$J402)</x:f>
      </x:c>
    </x:row>
    <x:row r="403" s="106" customFormat="1" ht="21" customHeight="1">
      <x:c r="A403" s="54" t="n"/>
      <x:c r="B403" s="250" t="n"/>
      <x:c r="C403" s="250" t="n"/>
      <x:c r="D403" s="54" t="n"/>
      <x:c r="E403" s="251" t="n"/>
      <x:c r="F403" s="251" t="n"/>
      <x:c r="G403" s="251" t="n"/>
      <x:c r="H403" s="251" t="n"/>
      <x:c r="I403" s="252" t="n"/>
      <x:c r="J403" s="253" t="n"/>
      <x:c r="K403" s="254" t="n"/>
      <x:c r="L403" s="50" t="n"/>
      <x:c r="M403" s="251" t="n"/>
      <x:c r="N403" s="251">
        <x:f>IF($A403="","",IF($G403="","",IF(ISNUMBER(SEARCH("non",LOWER($E403&amp;""))),$G403*0.85,$G403)))</x:f>
      </x:c>
      <x:c r="O403" s="251">
        <x:f>IF($A403="","",IF(OR($N403="",$I403="",$I403=0),"",$N403/$I403))</x:f>
      </x:c>
      <x:c r="P403" s="251">
        <x:f>IF($A403="","",IF(LOWER($L403&amp;"")="yes",0,IF($K403&lt;&gt;"",$K403,IF($O403&lt;&gt;"",$O403,""))))</x:f>
      </x:c>
      <x:c r="Q403" s="254">
        <x:f>IF($A403="","",IF($U403="Profit",$P403-$H403,0))</x:f>
      </x:c>
      <x:c r="R403" s="251">
        <x:f>IF($A403="","",IF($U403="Draw",$H403,0))</x:f>
      </x:c>
      <x:c r="S403" s="251">
        <x:f>IF($A403="","",IF($U403="Disqualified",$H403,0))</x:f>
      </x:c>
      <x:c r="T403" s="255">
        <x:f>IF($A403="","",IF($H403=0,IF($U403="Profit","N/A",0),IF($U403="Profit",$Q403/$H403,IF($U403="Disqualified",-1,0))))</x:f>
      </x:c>
      <x:c r="U403" s="254">
        <x:f>IF($A403="","",IF(LOWER($L403&amp;"")="yes","Disqualified",IF($P403&gt;$H403,"Profit","Draw")))</x:f>
      </x:c>
      <x:c r="V403" s="253">
        <x:f>IF(OR($B403="",$C403=""),"",IFERROR(ROUNDUP((IF(ISNUMBER($C403),$C403,DATEVALUE($C403))-IF(ISNUMBER($B403),$B403,DATEVALUE($B403)))/7,0),""))</x:f>
      </x:c>
      <x:c r="W403" s="254">
        <x:f>$Q403-$S403</x:f>
      </x:c>
      <x:c r="X403" s="256">
        <x:f>IF(OR($J403="",$I403="",$J403=0,$I403=0,$I403&gt;$J403),"",$J403-$I403)</x:f>
      </x:c>
      <x:c r="Y403" s="257">
        <x:f>IF(OR($J403="",$J403=0,$X403=""),"",$X403/$J403)</x:f>
      </x:c>
    </x:row>
    <x:row r="404" s="106" customFormat="1" ht="21" customHeight="1">
      <x:c r="A404" s="54" t="n"/>
      <x:c r="B404" s="250" t="n"/>
      <x:c r="C404" s="250" t="n"/>
      <x:c r="D404" s="54" t="n"/>
      <x:c r="E404" s="251" t="n"/>
      <x:c r="F404" s="251" t="n"/>
      <x:c r="G404" s="251" t="n"/>
      <x:c r="H404" s="251" t="n"/>
      <x:c r="I404" s="252" t="n"/>
      <x:c r="J404" s="253" t="n"/>
      <x:c r="K404" s="254" t="n"/>
      <x:c r="L404" s="50" t="n"/>
      <x:c r="M404" s="251" t="n"/>
      <x:c r="N404" s="251">
        <x:f>IF($A404="","",IF($G404="","",IF(ISNUMBER(SEARCH("non",LOWER($E404&amp;""))),$G404*0.85,$G404)))</x:f>
      </x:c>
      <x:c r="O404" s="251">
        <x:f>IF($A404="","",IF(OR($N404="",$I404="",$I404=0),"",$N404/$I404))</x:f>
      </x:c>
      <x:c r="P404" s="251">
        <x:f>IF($A404="","",IF(LOWER($L404&amp;"")="yes",0,IF($K404&lt;&gt;"",$K404,IF($O404&lt;&gt;"",$O404,""))))</x:f>
      </x:c>
      <x:c r="Q404" s="254">
        <x:f>IF($A404="","",IF($U404="Profit",$P404-$H404,0))</x:f>
      </x:c>
      <x:c r="R404" s="251">
        <x:f>IF($A404="","",IF($U404="Draw",$H404,0))</x:f>
      </x:c>
      <x:c r="S404" s="251">
        <x:f>IF($A404="","",IF($U404="Disqualified",$H404,0))</x:f>
      </x:c>
      <x:c r="T404" s="255">
        <x:f>IF($A404="","",IF($H404=0,IF($U404="Profit","N/A",0),IF($U404="Profit",$Q404/$H404,IF($U404="Disqualified",-1,0))))</x:f>
      </x:c>
      <x:c r="U404" s="254">
        <x:f>IF($A404="","",IF(LOWER($L404&amp;"")="yes","Disqualified",IF($P404&gt;$H404,"Profit","Draw")))</x:f>
      </x:c>
      <x:c r="V404" s="253">
        <x:f>IF(OR($B404="",$C404=""),"",IFERROR(ROUNDUP((IF(ISNUMBER($C404),$C404,DATEVALUE($C404))-IF(ISNUMBER($B404),$B404,DATEVALUE($B404)))/7,0),""))</x:f>
      </x:c>
      <x:c r="W404" s="254">
        <x:f>$Q404-$S404</x:f>
      </x:c>
      <x:c r="X404" s="256">
        <x:f>IF(OR($J404="",$I404="",$J404=0,$I404=0,$I404&gt;$J404),"",$J404-$I404)</x:f>
      </x:c>
      <x:c r="Y404" s="257">
        <x:f>IF(OR($J404="",$J404=0,$X404=""),"",$X404/$J404)</x:f>
      </x:c>
    </x:row>
    <x:row r="405" s="106" customFormat="1" ht="21" customHeight="1">
      <x:c r="A405" s="54" t="n"/>
      <x:c r="B405" s="250" t="n"/>
      <x:c r="C405" s="250" t="n"/>
      <x:c r="D405" s="54" t="n"/>
      <x:c r="E405" s="251" t="n"/>
      <x:c r="F405" s="251" t="n"/>
      <x:c r="G405" s="251" t="n"/>
      <x:c r="H405" s="251" t="n"/>
      <x:c r="I405" s="252" t="n"/>
      <x:c r="J405" s="253" t="n"/>
      <x:c r="K405" s="254" t="n"/>
      <x:c r="L405" s="50" t="n"/>
      <x:c r="M405" s="251" t="n"/>
      <x:c r="N405" s="251">
        <x:f>IF($A405="","",IF($G405="","",IF(ISNUMBER(SEARCH("non",LOWER($E405&amp;""))),$G405*0.85,$G405)))</x:f>
      </x:c>
      <x:c r="O405" s="251">
        <x:f>IF($A405="","",IF(OR($N405="",$I405="",$I405=0),"",$N405/$I405))</x:f>
      </x:c>
      <x:c r="P405" s="251">
        <x:f>IF($A405="","",IF(LOWER($L405&amp;"")="yes",0,IF($K405&lt;&gt;"",$K405,IF($O405&lt;&gt;"",$O405,""))))</x:f>
      </x:c>
      <x:c r="Q405" s="254">
        <x:f>IF($A405="","",IF($U405="Profit",$P405-$H405,0))</x:f>
      </x:c>
      <x:c r="R405" s="251">
        <x:f>IF($A405="","",IF($U405="Draw",$H405,0))</x:f>
      </x:c>
      <x:c r="S405" s="251">
        <x:f>IF($A405="","",IF($U405="Disqualified",$H405,0))</x:f>
      </x:c>
      <x:c r="T405" s="255">
        <x:f>IF($A405="","",IF($H405=0,IF($U405="Profit","N/A",0),IF($U405="Profit",$Q405/$H405,IF($U405="Disqualified",-1,0))))</x:f>
      </x:c>
      <x:c r="U405" s="254">
        <x:f>IF($A405="","",IF(LOWER($L405&amp;"")="yes","Disqualified",IF($P405&gt;$H405,"Profit","Draw")))</x:f>
      </x:c>
      <x:c r="V405" s="253">
        <x:f>IF(OR($B405="",$C405=""),"",IFERROR(ROUNDUP((IF(ISNUMBER($C405),$C405,DATEVALUE($C405))-IF(ISNUMBER($B405),$B405,DATEVALUE($B405)))/7,0),""))</x:f>
      </x:c>
      <x:c r="W405" s="254">
        <x:f>$Q405-$S405</x:f>
      </x:c>
      <x:c r="X405" s="256">
        <x:f>IF(OR($J405="",$I405="",$J405=0,$I405=0,$I405&gt;$J405),"",$J405-$I405)</x:f>
      </x:c>
      <x:c r="Y405" s="257">
        <x:f>IF(OR($J405="",$J405=0,$X405=""),"",$X405/$J405)</x:f>
      </x:c>
    </x:row>
    <x:row r="406" s="106" customFormat="1" ht="21" customHeight="1">
      <x:c r="A406" s="54" t="n"/>
      <x:c r="B406" s="250" t="n"/>
      <x:c r="C406" s="250" t="n"/>
      <x:c r="D406" s="54" t="n"/>
      <x:c r="E406" s="251" t="n"/>
      <x:c r="F406" s="251" t="n"/>
      <x:c r="G406" s="251" t="n"/>
      <x:c r="H406" s="251" t="n"/>
      <x:c r="I406" s="252" t="n"/>
      <x:c r="J406" s="253" t="n"/>
      <x:c r="K406" s="254" t="n"/>
      <x:c r="L406" s="50" t="n"/>
      <x:c r="M406" s="251" t="n"/>
      <x:c r="N406" s="251">
        <x:f>IF($A406="","",IF($G406="","",IF(ISNUMBER(SEARCH("non",LOWER($E406&amp;""))),$G406*0.85,$G406)))</x:f>
      </x:c>
      <x:c r="O406" s="251">
        <x:f>IF($A406="","",IF(OR($N406="",$I406="",$I406=0),"",$N406/$I406))</x:f>
      </x:c>
      <x:c r="P406" s="251">
        <x:f>IF($A406="","",IF(LOWER($L406&amp;"")="yes",0,IF($K406&lt;&gt;"",$K406,IF($O406&lt;&gt;"",$O406,""))))</x:f>
      </x:c>
      <x:c r="Q406" s="254">
        <x:f>IF($A406="","",IF($U406="Profit",$P406-$H406,0))</x:f>
      </x:c>
      <x:c r="R406" s="251">
        <x:f>IF($A406="","",IF($U406="Draw",$H406,0))</x:f>
      </x:c>
      <x:c r="S406" s="251">
        <x:f>IF($A406="","",IF($U406="Disqualified",$H406,0))</x:f>
      </x:c>
      <x:c r="T406" s="255">
        <x:f>IF($A406="","",IF($H406=0,IF($U406="Profit","N/A",0),IF($U406="Profit",$Q406/$H406,IF($U406="Disqualified",-1,0))))</x:f>
      </x:c>
      <x:c r="U406" s="254">
        <x:f>IF($A406="","",IF(LOWER($L406&amp;"")="yes","Disqualified",IF($P406&gt;$H406,"Profit","Draw")))</x:f>
      </x:c>
      <x:c r="V406" s="253">
        <x:f>IF(OR($B406="",$C406=""),"",IFERROR(ROUNDUP((IF(ISNUMBER($C406),$C406,DATEVALUE($C406))-IF(ISNUMBER($B406),$B406,DATEVALUE($B406)))/7,0),""))</x:f>
      </x:c>
      <x:c r="W406" s="254">
        <x:f>$Q406-$S406</x:f>
      </x:c>
      <x:c r="X406" s="256">
        <x:f>IF(OR($J406="",$I406="",$J406=0,$I406=0,$I406&gt;$J406),"",$J406-$I406)</x:f>
      </x:c>
      <x:c r="Y406" s="257">
        <x:f>IF(OR($J406="",$J406=0,$X406=""),"",$X406/$J406)</x:f>
      </x:c>
    </x:row>
    <x:row r="407" s="106" customFormat="1" ht="21" customHeight="1">
      <x:c r="A407" s="54" t="n"/>
      <x:c r="B407" s="250" t="n"/>
      <x:c r="C407" s="250" t="n"/>
      <x:c r="D407" s="54" t="n"/>
      <x:c r="E407" s="251" t="n"/>
      <x:c r="F407" s="251" t="n"/>
      <x:c r="G407" s="251" t="n"/>
      <x:c r="H407" s="251" t="n"/>
      <x:c r="I407" s="252" t="n"/>
      <x:c r="J407" s="253" t="n"/>
      <x:c r="K407" s="254" t="n"/>
      <x:c r="L407" s="50" t="n"/>
      <x:c r="M407" s="251" t="n"/>
      <x:c r="N407" s="251">
        <x:f>IF($A407="","",IF($G407="","",IF(ISNUMBER(SEARCH("non",LOWER($E407&amp;""))),$G407*0.85,$G407)))</x:f>
      </x:c>
      <x:c r="O407" s="251">
        <x:f>IF($A407="","",IF(OR($N407="",$I407="",$I407=0),"",$N407/$I407))</x:f>
      </x:c>
      <x:c r="P407" s="251">
        <x:f>IF($A407="","",IF(LOWER($L407&amp;"")="yes",0,IF($K407&lt;&gt;"",$K407,IF($O407&lt;&gt;"",$O407,""))))</x:f>
      </x:c>
      <x:c r="Q407" s="254">
        <x:f>IF($A407="","",IF($U407="Profit",$P407-$H407,0))</x:f>
      </x:c>
      <x:c r="R407" s="251">
        <x:f>IF($A407="","",IF($U407="Draw",$H407,0))</x:f>
      </x:c>
      <x:c r="S407" s="251">
        <x:f>IF($A407="","",IF($U407="Disqualified",$H407,0))</x:f>
      </x:c>
      <x:c r="T407" s="255">
        <x:f>IF($A407="","",IF($H407=0,IF($U407="Profit","N/A",0),IF($U407="Profit",$Q407/$H407,IF($U407="Disqualified",-1,0))))</x:f>
      </x:c>
      <x:c r="U407" s="254">
        <x:f>IF($A407="","",IF(LOWER($L407&amp;"")="yes","Disqualified",IF($P407&gt;$H407,"Profit","Draw")))</x:f>
      </x:c>
      <x:c r="V407" s="253">
        <x:f>IF(OR($B407="",$C407=""),"",IFERROR(ROUNDUP((IF(ISNUMBER($C407),$C407,DATEVALUE($C407))-IF(ISNUMBER($B407),$B407,DATEVALUE($B407)))/7,0),""))</x:f>
      </x:c>
      <x:c r="W407" s="254">
        <x:f>$Q407-$S407</x:f>
      </x:c>
      <x:c r="X407" s="256">
        <x:f>IF(OR($J407="",$I407="",$J407=0,$I407=0,$I407&gt;$J407),"",$J407-$I407)</x:f>
      </x:c>
      <x:c r="Y407" s="257">
        <x:f>IF(OR($J407="",$J407=0,$X407=""),"",$X407/$J407)</x:f>
      </x:c>
    </x:row>
    <x:row r="408" s="106" customFormat="1" ht="21" customHeight="1">
      <x:c r="A408" s="54" t="n"/>
      <x:c r="B408" s="250" t="n"/>
      <x:c r="C408" s="250" t="n"/>
      <x:c r="D408" s="54" t="n"/>
      <x:c r="E408" s="251" t="n"/>
      <x:c r="F408" s="251" t="n"/>
      <x:c r="G408" s="251" t="n"/>
      <x:c r="H408" s="251" t="n"/>
      <x:c r="I408" s="252" t="n"/>
      <x:c r="J408" s="253" t="n"/>
      <x:c r="K408" s="254" t="n"/>
      <x:c r="L408" s="50" t="n"/>
      <x:c r="M408" s="251" t="n"/>
      <x:c r="N408" s="251">
        <x:f>IF($A408="","",IF($G408="","",IF(ISNUMBER(SEARCH("non",LOWER($E408&amp;""))),$G408*0.85,$G408)))</x:f>
      </x:c>
      <x:c r="O408" s="251">
        <x:f>IF($A408="","",IF(OR($N408="",$I408="",$I408=0),"",$N408/$I408))</x:f>
      </x:c>
      <x:c r="P408" s="251">
        <x:f>IF($A408="","",IF(LOWER($L408&amp;"")="yes",0,IF($K408&lt;&gt;"",$K408,IF($O408&lt;&gt;"",$O408,""))))</x:f>
      </x:c>
      <x:c r="Q408" s="254">
        <x:f>IF($A408="","",IF($U408="Profit",$P408-$H408,0))</x:f>
      </x:c>
      <x:c r="R408" s="251">
        <x:f>IF($A408="","",IF($U408="Draw",$H408,0))</x:f>
      </x:c>
      <x:c r="S408" s="251">
        <x:f>IF($A408="","",IF($U408="Disqualified",$H408,0))</x:f>
      </x:c>
      <x:c r="T408" s="255">
        <x:f>IF($A408="","",IF($H408=0,IF($U408="Profit","N/A",0),IF($U408="Profit",$Q408/$H408,IF($U408="Disqualified",-1,0))))</x:f>
      </x:c>
      <x:c r="U408" s="254">
        <x:f>IF($A408="","",IF(LOWER($L408&amp;"")="yes","Disqualified",IF($P408&gt;$H408,"Profit","Draw")))</x:f>
      </x:c>
      <x:c r="V408" s="253">
        <x:f>IF(OR($B408="",$C408=""),"",IFERROR(ROUNDUP((IF(ISNUMBER($C408),$C408,DATEVALUE($C408))-IF(ISNUMBER($B408),$B408,DATEVALUE($B408)))/7,0),""))</x:f>
      </x:c>
      <x:c r="W408" s="254">
        <x:f>$Q408-$S408</x:f>
      </x:c>
      <x:c r="X408" s="256">
        <x:f>IF(OR($J408="",$I408="",$J408=0,$I408=0,$I408&gt;$J408),"",$J408-$I408)</x:f>
      </x:c>
      <x:c r="Y408" s="257">
        <x:f>IF(OR($J408="",$J408=0,$X408=""),"",$X408/$J408)</x:f>
      </x:c>
    </x:row>
    <x:row r="409" s="106" customFormat="1" ht="21" customHeight="1">
      <x:c r="A409" s="54" t="n"/>
      <x:c r="B409" s="250" t="n"/>
      <x:c r="C409" s="250" t="n"/>
      <x:c r="D409" s="54" t="n"/>
      <x:c r="E409" s="251" t="n"/>
      <x:c r="F409" s="251" t="n"/>
      <x:c r="G409" s="251" t="n"/>
      <x:c r="H409" s="251" t="n"/>
      <x:c r="I409" s="252" t="n"/>
      <x:c r="J409" s="253" t="n"/>
      <x:c r="K409" s="254" t="n"/>
      <x:c r="L409" s="50" t="n"/>
      <x:c r="M409" s="251" t="n"/>
      <x:c r="N409" s="251">
        <x:f>IF($A409="","",IF($G409="","",IF(ISNUMBER(SEARCH("non",LOWER($E409&amp;""))),$G409*0.85,$G409)))</x:f>
      </x:c>
      <x:c r="O409" s="251">
        <x:f>IF($A409="","",IF(OR($N409="",$I409="",$I409=0),"",$N409/$I409))</x:f>
      </x:c>
      <x:c r="P409" s="251">
        <x:f>IF($A409="","",IF(LOWER($L409&amp;"")="yes",0,IF($K409&lt;&gt;"",$K409,IF($O409&lt;&gt;"",$O409,""))))</x:f>
      </x:c>
      <x:c r="Q409" s="254">
        <x:f>IF($A409="","",IF($U409="Profit",$P409-$H409,0))</x:f>
      </x:c>
      <x:c r="R409" s="251">
        <x:f>IF($A409="","",IF($U409="Draw",$H409,0))</x:f>
      </x:c>
      <x:c r="S409" s="251">
        <x:f>IF($A409="","",IF($U409="Disqualified",$H409,0))</x:f>
      </x:c>
      <x:c r="T409" s="255">
        <x:f>IF($A409="","",IF($H409=0,IF($U409="Profit","N/A",0),IF($U409="Profit",$Q409/$H409,IF($U409="Disqualified",-1,0))))</x:f>
      </x:c>
      <x:c r="U409" s="254">
        <x:f>IF($A409="","",IF(LOWER($L409&amp;"")="yes","Disqualified",IF($P409&gt;$H409,"Profit","Draw")))</x:f>
      </x:c>
      <x:c r="V409" s="253">
        <x:f>IF(OR($B409="",$C409=""),"",IFERROR(ROUNDUP((IF(ISNUMBER($C409),$C409,DATEVALUE($C409))-IF(ISNUMBER($B409),$B409,DATEVALUE($B409)))/7,0),""))</x:f>
      </x:c>
      <x:c r="W409" s="254">
        <x:f>$Q409-$S409</x:f>
      </x:c>
      <x:c r="X409" s="256">
        <x:f>IF(OR($J409="",$I409="",$J409=0,$I409=0,$I409&gt;$J409),"",$J409-$I409)</x:f>
      </x:c>
      <x:c r="Y409" s="257">
        <x:f>IF(OR($J409="",$J409=0,$X409=""),"",$X409/$J409)</x:f>
      </x:c>
    </x:row>
    <x:row r="410" s="106" customFormat="1" ht="21" customHeight="1">
      <x:c r="A410" s="54" t="n"/>
      <x:c r="B410" s="250" t="n"/>
      <x:c r="C410" s="250" t="n"/>
      <x:c r="D410" s="54" t="n"/>
      <x:c r="E410" s="251" t="n"/>
      <x:c r="F410" s="251" t="n"/>
      <x:c r="G410" s="251" t="n"/>
      <x:c r="H410" s="251" t="n"/>
      <x:c r="I410" s="252" t="n"/>
      <x:c r="J410" s="253" t="n"/>
      <x:c r="K410" s="254" t="n"/>
      <x:c r="L410" s="50" t="n"/>
      <x:c r="M410" s="251" t="n"/>
      <x:c r="N410" s="251">
        <x:f>IF($A410="","",IF($G410="","",IF(ISNUMBER(SEARCH("non",LOWER($E410&amp;""))),$G410*0.85,$G410)))</x:f>
      </x:c>
      <x:c r="O410" s="251">
        <x:f>IF($A410="","",IF(OR($N410="",$I410="",$I410=0),"",$N410/$I410))</x:f>
      </x:c>
      <x:c r="P410" s="251">
        <x:f>IF($A410="","",IF(LOWER($L410&amp;"")="yes",0,IF($K410&lt;&gt;"",$K410,IF($O410&lt;&gt;"",$O410,""))))</x:f>
      </x:c>
      <x:c r="Q410" s="254">
        <x:f>IF($A410="","",IF($U410="Profit",$P410-$H410,0))</x:f>
      </x:c>
      <x:c r="R410" s="251">
        <x:f>IF($A410="","",IF($U410="Draw",$H410,0))</x:f>
      </x:c>
      <x:c r="S410" s="251">
        <x:f>IF($A410="","",IF($U410="Disqualified",$H410,0))</x:f>
      </x:c>
      <x:c r="T410" s="255">
        <x:f>IF($A410="","",IF($H410=0,IF($U410="Profit","N/A",0),IF($U410="Profit",$Q410/$H410,IF($U410="Disqualified",-1,0))))</x:f>
      </x:c>
      <x:c r="U410" s="254">
        <x:f>IF($A410="","",IF(LOWER($L410&amp;"")="yes","Disqualified",IF($P410&gt;$H410,"Profit","Draw")))</x:f>
      </x:c>
      <x:c r="V410" s="253">
        <x:f>IF(OR($B410="",$C410=""),"",IFERROR(ROUNDUP((IF(ISNUMBER($C410),$C410,DATEVALUE($C410))-IF(ISNUMBER($B410),$B410,DATEVALUE($B410)))/7,0),""))</x:f>
      </x:c>
      <x:c r="W410" s="254">
        <x:f>$Q410-$S410</x:f>
      </x:c>
      <x:c r="X410" s="256">
        <x:f>IF(OR($J410="",$I410="",$J410=0,$I410=0,$I410&gt;$J410),"",$J410-$I410)</x:f>
      </x:c>
      <x:c r="Y410" s="257">
        <x:f>IF(OR($J410="",$J410=0,$X410=""),"",$X410/$J410)</x:f>
      </x:c>
    </x:row>
    <x:row r="411" s="106" customFormat="1" ht="21" customHeight="1">
      <x:c r="A411" s="54" t="n"/>
      <x:c r="B411" s="250" t="n"/>
      <x:c r="C411" s="250" t="n"/>
      <x:c r="D411" s="54" t="n"/>
      <x:c r="E411" s="251" t="n"/>
      <x:c r="F411" s="251" t="n"/>
      <x:c r="G411" s="251" t="n"/>
      <x:c r="H411" s="251" t="n"/>
      <x:c r="I411" s="252" t="n"/>
      <x:c r="J411" s="253" t="n"/>
      <x:c r="K411" s="254" t="n"/>
      <x:c r="L411" s="50" t="n"/>
      <x:c r="M411" s="251" t="n"/>
      <x:c r="N411" s="251">
        <x:f>IF($A411="","",IF($G411="","",IF(ISNUMBER(SEARCH("non",LOWER($E411&amp;""))),$G411*0.85,$G411)))</x:f>
      </x:c>
      <x:c r="O411" s="251">
        <x:f>IF($A411="","",IF(OR($N411="",$I411="",$I411=0),"",$N411/$I411))</x:f>
      </x:c>
      <x:c r="P411" s="251">
        <x:f>IF($A411="","",IF(LOWER($L411&amp;"")="yes",0,IF($K411&lt;&gt;"",$K411,IF($O411&lt;&gt;"",$O411,""))))</x:f>
      </x:c>
      <x:c r="Q411" s="254">
        <x:f>IF($A411="","",IF($U411="Profit",$P411-$H411,0))</x:f>
      </x:c>
      <x:c r="R411" s="251">
        <x:f>IF($A411="","",IF($U411="Draw",$H411,0))</x:f>
      </x:c>
      <x:c r="S411" s="251">
        <x:f>IF($A411="","",IF($U411="Disqualified",$H411,0))</x:f>
      </x:c>
      <x:c r="T411" s="255">
        <x:f>IF($A411="","",IF($H411=0,IF($U411="Profit","N/A",0),IF($U411="Profit",$Q411/$H411,IF($U411="Disqualified",-1,0))))</x:f>
      </x:c>
      <x:c r="U411" s="254">
        <x:f>IF($A411="","",IF(LOWER($L411&amp;"")="yes","Disqualified",IF($P411&gt;$H411,"Profit","Draw")))</x:f>
      </x:c>
      <x:c r="V411" s="253">
        <x:f>IF(OR($B411="",$C411=""),"",IFERROR(ROUNDUP((IF(ISNUMBER($C411),$C411,DATEVALUE($C411))-IF(ISNUMBER($B411),$B411,DATEVALUE($B411)))/7,0),""))</x:f>
      </x:c>
      <x:c r="W411" s="254">
        <x:f>$Q411-$S411</x:f>
      </x:c>
      <x:c r="X411" s="256">
        <x:f>IF(OR($J411="",$I411="",$J411=0,$I411=0,$I411&gt;$J411),"",$J411-$I411)</x:f>
      </x:c>
      <x:c r="Y411" s="257">
        <x:f>IF(OR($J411="",$J411=0,$X411=""),"",$X411/$J411)</x:f>
      </x:c>
    </x:row>
    <x:row r="412" s="106" customFormat="1" ht="21" customHeight="1">
      <x:c r="A412" s="54" t="n"/>
      <x:c r="B412" s="250" t="n"/>
      <x:c r="C412" s="250" t="n"/>
      <x:c r="D412" s="54" t="n"/>
      <x:c r="E412" s="251" t="n"/>
      <x:c r="F412" s="251" t="n"/>
      <x:c r="G412" s="251" t="n"/>
      <x:c r="H412" s="251" t="n"/>
      <x:c r="I412" s="252" t="n"/>
      <x:c r="J412" s="253" t="n"/>
      <x:c r="K412" s="254" t="n"/>
      <x:c r="L412" s="50" t="n"/>
      <x:c r="M412" s="251" t="n"/>
      <x:c r="N412" s="251">
        <x:f>IF($A412="","",IF($G412="","",IF(ISNUMBER(SEARCH("non",LOWER($E412&amp;""))),$G412*0.85,$G412)))</x:f>
      </x:c>
      <x:c r="O412" s="251">
        <x:f>IF($A412="","",IF(OR($N412="",$I412="",$I412=0),"",$N412/$I412))</x:f>
      </x:c>
      <x:c r="P412" s="251">
        <x:f>IF($A412="","",IF(LOWER($L412&amp;"")="yes",0,IF($K412&lt;&gt;"",$K412,IF($O412&lt;&gt;"",$O412,""))))</x:f>
      </x:c>
      <x:c r="Q412" s="254">
        <x:f>IF($A412="","",IF($U412="Profit",$P412-$H412,0))</x:f>
      </x:c>
      <x:c r="R412" s="251">
        <x:f>IF($A412="","",IF($U412="Draw",$H412,0))</x:f>
      </x:c>
      <x:c r="S412" s="251">
        <x:f>IF($A412="","",IF($U412="Disqualified",$H412,0))</x:f>
      </x:c>
      <x:c r="T412" s="255">
        <x:f>IF($A412="","",IF($H412=0,IF($U412="Profit","N/A",0),IF($U412="Profit",$Q412/$H412,IF($U412="Disqualified",-1,0))))</x:f>
      </x:c>
      <x:c r="U412" s="254">
        <x:f>IF($A412="","",IF(LOWER($L412&amp;"")="yes","Disqualified",IF($P412&gt;$H412,"Profit","Draw")))</x:f>
      </x:c>
      <x:c r="V412" s="253">
        <x:f>IF(OR($B412="",$C412=""),"",IFERROR(ROUNDUP((IF(ISNUMBER($C412),$C412,DATEVALUE($C412))-IF(ISNUMBER($B412),$B412,DATEVALUE($B412)))/7,0),""))</x:f>
      </x:c>
      <x:c r="W412" s="254">
        <x:f>$Q412-$S412</x:f>
      </x:c>
      <x:c r="X412" s="256">
        <x:f>IF(OR($J412="",$I412="",$J412=0,$I412=0,$I412&gt;$J412),"",$J412-$I412)</x:f>
      </x:c>
      <x:c r="Y412" s="257">
        <x:f>IF(OR($J412="",$J412=0,$X412=""),"",$X412/$J412)</x:f>
      </x:c>
    </x:row>
    <x:row r="413" s="106" customFormat="1" ht="21" customHeight="1">
      <x:c r="A413" s="54" t="n"/>
      <x:c r="B413" s="250" t="n"/>
      <x:c r="C413" s="250" t="n"/>
      <x:c r="D413" s="54" t="n"/>
      <x:c r="E413" s="251" t="n"/>
      <x:c r="F413" s="251" t="n"/>
      <x:c r="G413" s="251" t="n"/>
      <x:c r="H413" s="251" t="n"/>
      <x:c r="I413" s="252" t="n"/>
      <x:c r="J413" s="253" t="n"/>
      <x:c r="K413" s="254" t="n"/>
      <x:c r="L413" s="50" t="n"/>
      <x:c r="M413" s="251" t="n"/>
      <x:c r="N413" s="251">
        <x:f>IF($A413="","",IF($G413="","",IF(ISNUMBER(SEARCH("non",LOWER($E413&amp;""))),$G413*0.85,$G413)))</x:f>
      </x:c>
      <x:c r="O413" s="251">
        <x:f>IF($A413="","",IF(OR($N413="",$I413="",$I413=0),"",$N413/$I413))</x:f>
      </x:c>
      <x:c r="P413" s="251">
        <x:f>IF($A413="","",IF(LOWER($L413&amp;"")="yes",0,IF($K413&lt;&gt;"",$K413,IF($O413&lt;&gt;"",$O413,""))))</x:f>
      </x:c>
      <x:c r="Q413" s="254">
        <x:f>IF($A413="","",IF($U413="Profit",$P413-$H413,0))</x:f>
      </x:c>
      <x:c r="R413" s="251">
        <x:f>IF($A413="","",IF($U413="Draw",$H413,0))</x:f>
      </x:c>
      <x:c r="S413" s="251">
        <x:f>IF($A413="","",IF($U413="Disqualified",$H413,0))</x:f>
      </x:c>
      <x:c r="T413" s="255">
        <x:f>IF($A413="","",IF($H413=0,IF($U413="Profit","N/A",0),IF($U413="Profit",$Q413/$H413,IF($U413="Disqualified",-1,0))))</x:f>
      </x:c>
      <x:c r="U413" s="254">
        <x:f>IF($A413="","",IF(LOWER($L413&amp;"")="yes","Disqualified",IF($P413&gt;$H413,"Profit","Draw")))</x:f>
      </x:c>
      <x:c r="V413" s="253">
        <x:f>IF(OR($B413="",$C413=""),"",IFERROR(ROUNDUP((IF(ISNUMBER($C413),$C413,DATEVALUE($C413))-IF(ISNUMBER($B413),$B413,DATEVALUE($B413)))/7,0),""))</x:f>
      </x:c>
      <x:c r="W413" s="254">
        <x:f>$Q413-$S413</x:f>
      </x:c>
      <x:c r="X413" s="256">
        <x:f>IF(OR($J413="",$I413="",$J413=0,$I413=0,$I413&gt;$J413),"",$J413-$I413)</x:f>
      </x:c>
      <x:c r="Y413" s="257">
        <x:f>IF(OR($J413="",$J413=0,$X413=""),"",$X413/$J413)</x:f>
      </x:c>
    </x:row>
    <x:row r="414" s="106" customFormat="1" ht="21" customHeight="1">
      <x:c r="A414" s="54" t="n"/>
      <x:c r="B414" s="250" t="n"/>
      <x:c r="C414" s="250" t="n"/>
      <x:c r="D414" s="54" t="n"/>
      <x:c r="E414" s="251" t="n"/>
      <x:c r="F414" s="251" t="n"/>
      <x:c r="G414" s="251" t="n"/>
      <x:c r="H414" s="251" t="n"/>
      <x:c r="I414" s="252" t="n"/>
      <x:c r="J414" s="253" t="n"/>
      <x:c r="K414" s="254" t="n"/>
      <x:c r="L414" s="50" t="n"/>
      <x:c r="M414" s="251" t="n"/>
      <x:c r="N414" s="251">
        <x:f>IF($A414="","",IF($G414="","",IF(ISNUMBER(SEARCH("non",LOWER($E414&amp;""))),$G414*0.85,$G414)))</x:f>
      </x:c>
      <x:c r="O414" s="251">
        <x:f>IF($A414="","",IF(OR($N414="",$I414="",$I414=0),"",$N414/$I414))</x:f>
      </x:c>
      <x:c r="P414" s="251">
        <x:f>IF($A414="","",IF(LOWER($L414&amp;"")="yes",0,IF($K414&lt;&gt;"",$K414,IF($O414&lt;&gt;"",$O414,""))))</x:f>
      </x:c>
      <x:c r="Q414" s="254">
        <x:f>IF($A414="","",IF($U414="Profit",$P414-$H414,0))</x:f>
      </x:c>
      <x:c r="R414" s="251">
        <x:f>IF($A414="","",IF($U414="Draw",$H414,0))</x:f>
      </x:c>
      <x:c r="S414" s="251">
        <x:f>IF($A414="","",IF($U414="Disqualified",$H414,0))</x:f>
      </x:c>
      <x:c r="T414" s="255">
        <x:f>IF($A414="","",IF($H414=0,IF($U414="Profit","N/A",0),IF($U414="Profit",$Q414/$H414,IF($U414="Disqualified",-1,0))))</x:f>
      </x:c>
      <x:c r="U414" s="254">
        <x:f>IF($A414="","",IF(LOWER($L414&amp;"")="yes","Disqualified",IF($P414&gt;$H414,"Profit","Draw")))</x:f>
      </x:c>
      <x:c r="V414" s="253">
        <x:f>IF(OR($B414="",$C414=""),"",IFERROR(ROUNDUP((IF(ISNUMBER($C414),$C414,DATEVALUE($C414))-IF(ISNUMBER($B414),$B414,DATEVALUE($B414)))/7,0),""))</x:f>
      </x:c>
      <x:c r="W414" s="254">
        <x:f>$Q414-$S414</x:f>
      </x:c>
      <x:c r="X414" s="256">
        <x:f>IF(OR($J414="",$I414="",$J414=0,$I414=0,$I414&gt;$J414),"",$J414-$I414)</x:f>
      </x:c>
      <x:c r="Y414" s="257">
        <x:f>IF(OR($J414="",$J414=0,$X414=""),"",$X414/$J414)</x:f>
      </x:c>
    </x:row>
    <x:row r="415" s="106" customFormat="1" ht="21" customHeight="1">
      <x:c r="A415" s="54" t="n"/>
      <x:c r="B415" s="250" t="n"/>
      <x:c r="C415" s="250" t="n"/>
      <x:c r="D415" s="54" t="n"/>
      <x:c r="E415" s="251" t="n"/>
      <x:c r="F415" s="251" t="n"/>
      <x:c r="G415" s="251" t="n"/>
      <x:c r="H415" s="251" t="n"/>
      <x:c r="I415" s="252" t="n"/>
      <x:c r="J415" s="253" t="n"/>
      <x:c r="K415" s="254" t="n"/>
      <x:c r="L415" s="50" t="n"/>
      <x:c r="M415" s="251" t="n"/>
      <x:c r="N415" s="251">
        <x:f>IF($A415="","",IF($G415="","",IF(ISNUMBER(SEARCH("non",LOWER($E415&amp;""))),$G415*0.85,$G415)))</x:f>
      </x:c>
      <x:c r="O415" s="251">
        <x:f>IF($A415="","",IF(OR($N415="",$I415="",$I415=0),"",$N415/$I415))</x:f>
      </x:c>
      <x:c r="P415" s="251">
        <x:f>IF($A415="","",IF(LOWER($L415&amp;"")="yes",0,IF($K415&lt;&gt;"",$K415,IF($O415&lt;&gt;"",$O415,""))))</x:f>
      </x:c>
      <x:c r="Q415" s="254">
        <x:f>IF($A415="","",IF($U415="Profit",$P415-$H415,0))</x:f>
      </x:c>
      <x:c r="R415" s="251">
        <x:f>IF($A415="","",IF($U415="Draw",$H415,0))</x:f>
      </x:c>
      <x:c r="S415" s="251">
        <x:f>IF($A415="","",IF($U415="Disqualified",$H415,0))</x:f>
      </x:c>
      <x:c r="T415" s="255">
        <x:f>IF($A415="","",IF($H415=0,IF($U415="Profit","N/A",0),IF($U415="Profit",$Q415/$H415,IF($U415="Disqualified",-1,0))))</x:f>
      </x:c>
      <x:c r="U415" s="254">
        <x:f>IF($A415="","",IF(LOWER($L415&amp;"")="yes","Disqualified",IF($P415&gt;$H415,"Profit","Draw")))</x:f>
      </x:c>
      <x:c r="V415" s="253">
        <x:f>IF(OR($B415="",$C415=""),"",IFERROR(ROUNDUP((IF(ISNUMBER($C415),$C415,DATEVALUE($C415))-IF(ISNUMBER($B415),$B415,DATEVALUE($B415)))/7,0),""))</x:f>
      </x:c>
      <x:c r="W415" s="254">
        <x:f>$Q415-$S415</x:f>
      </x:c>
      <x:c r="X415" s="256">
        <x:f>IF(OR($J415="",$I415="",$J415=0,$I415=0,$I415&gt;$J415),"",$J415-$I415)</x:f>
      </x:c>
      <x:c r="Y415" s="257">
        <x:f>IF(OR($J415="",$J415=0,$X415=""),"",$X415/$J415)</x:f>
      </x:c>
    </x:row>
    <x:row r="416" s="106" customFormat="1" ht="21" customHeight="1">
      <x:c r="A416" s="54" t="n"/>
      <x:c r="B416" s="250" t="n"/>
      <x:c r="C416" s="250" t="n"/>
      <x:c r="D416" s="54" t="n"/>
      <x:c r="E416" s="251" t="n"/>
      <x:c r="F416" s="251" t="n"/>
      <x:c r="G416" s="251" t="n"/>
      <x:c r="H416" s="251" t="n"/>
      <x:c r="I416" s="252" t="n"/>
      <x:c r="J416" s="253" t="n"/>
      <x:c r="K416" s="254" t="n"/>
      <x:c r="L416" s="50" t="n"/>
      <x:c r="M416" s="251" t="n"/>
      <x:c r="N416" s="251">
        <x:f>IF($A416="","",IF($G416="","",IF(ISNUMBER(SEARCH("non",LOWER($E416&amp;""))),$G416*0.85,$G416)))</x:f>
      </x:c>
      <x:c r="O416" s="251">
        <x:f>IF($A416="","",IF(OR($N416="",$I416="",$I416=0),"",$N416/$I416))</x:f>
      </x:c>
      <x:c r="P416" s="251">
        <x:f>IF($A416="","",IF(LOWER($L416&amp;"")="yes",0,IF($K416&lt;&gt;"",$K416,IF($O416&lt;&gt;"",$O416,""))))</x:f>
      </x:c>
      <x:c r="Q416" s="254">
        <x:f>IF($A416="","",IF($U416="Profit",$P416-$H416,0))</x:f>
      </x:c>
      <x:c r="R416" s="251">
        <x:f>IF($A416="","",IF($U416="Draw",$H416,0))</x:f>
      </x:c>
      <x:c r="S416" s="251">
        <x:f>IF($A416="","",IF($U416="Disqualified",$H416,0))</x:f>
      </x:c>
      <x:c r="T416" s="255">
        <x:f>IF($A416="","",IF($H416=0,IF($U416="Profit","N/A",0),IF($U416="Profit",$Q416/$H416,IF($U416="Disqualified",-1,0))))</x:f>
      </x:c>
      <x:c r="U416" s="254">
        <x:f>IF($A416="","",IF(LOWER($L416&amp;"")="yes","Disqualified",IF($P416&gt;$H416,"Profit","Draw")))</x:f>
      </x:c>
      <x:c r="V416" s="253">
        <x:f>IF(OR($B416="",$C416=""),"",IFERROR(ROUNDUP((IF(ISNUMBER($C416),$C416,DATEVALUE($C416))-IF(ISNUMBER($B416),$B416,DATEVALUE($B416)))/7,0),""))</x:f>
      </x:c>
      <x:c r="W416" s="254">
        <x:f>$Q416-$S416</x:f>
      </x:c>
      <x:c r="X416" s="256">
        <x:f>IF(OR($J416="",$I416="",$J416=0,$I416=0,$I416&gt;$J416),"",$J416-$I416)</x:f>
      </x:c>
      <x:c r="Y416" s="257">
        <x:f>IF(OR($J416="",$J416=0,$X416=""),"",$X416/$J416)</x:f>
      </x:c>
    </x:row>
    <x:row r="417" s="106" customFormat="1" ht="21" customHeight="1">
      <x:c r="A417" s="54" t="n"/>
      <x:c r="B417" s="250" t="n"/>
      <x:c r="C417" s="250" t="n"/>
      <x:c r="D417" s="54" t="n"/>
      <x:c r="E417" s="251" t="n"/>
      <x:c r="F417" s="251" t="n"/>
      <x:c r="G417" s="251" t="n"/>
      <x:c r="H417" s="251" t="n"/>
      <x:c r="I417" s="252" t="n"/>
      <x:c r="J417" s="253" t="n"/>
      <x:c r="K417" s="254" t="n"/>
      <x:c r="L417" s="50" t="n"/>
      <x:c r="M417" s="251" t="n"/>
      <x:c r="N417" s="251">
        <x:f>IF($A417="","",IF($G417="","",IF(ISNUMBER(SEARCH("non",LOWER($E417&amp;""))),$G417*0.85,$G417)))</x:f>
      </x:c>
      <x:c r="O417" s="251">
        <x:f>IF($A417="","",IF(OR($N417="",$I417="",$I417=0),"",$N417/$I417))</x:f>
      </x:c>
      <x:c r="P417" s="251">
        <x:f>IF($A417="","",IF(LOWER($L417&amp;"")="yes",0,IF($K417&lt;&gt;"",$K417,IF($O417&lt;&gt;"",$O417,""))))</x:f>
      </x:c>
      <x:c r="Q417" s="254">
        <x:f>IF($A417="","",IF($U417="Profit",$P417-$H417,0))</x:f>
      </x:c>
      <x:c r="R417" s="251">
        <x:f>IF($A417="","",IF($U417="Draw",$H417,0))</x:f>
      </x:c>
      <x:c r="S417" s="251">
        <x:f>IF($A417="","",IF($U417="Disqualified",$H417,0))</x:f>
      </x:c>
      <x:c r="T417" s="255">
        <x:f>IF($A417="","",IF($H417=0,IF($U417="Profit","N/A",0),IF($U417="Profit",$Q417/$H417,IF($U417="Disqualified",-1,0))))</x:f>
      </x:c>
      <x:c r="U417" s="254">
        <x:f>IF($A417="","",IF(LOWER($L417&amp;"")="yes","Disqualified",IF($P417&gt;$H417,"Profit","Draw")))</x:f>
      </x:c>
      <x:c r="V417" s="253">
        <x:f>IF(OR($B417="",$C417=""),"",IFERROR(ROUNDUP((IF(ISNUMBER($C417),$C417,DATEVALUE($C417))-IF(ISNUMBER($B417),$B417,DATEVALUE($B417)))/7,0),""))</x:f>
      </x:c>
      <x:c r="W417" s="254">
        <x:f>$Q417-$S417</x:f>
      </x:c>
      <x:c r="X417" s="256">
        <x:f>IF(OR($J417="",$I417="",$J417=0,$I417=0,$I417&gt;$J417),"",$J417-$I417)</x:f>
      </x:c>
      <x:c r="Y417" s="257">
        <x:f>IF(OR($J417="",$J417=0,$X417=""),"",$X417/$J417)</x:f>
      </x:c>
    </x:row>
    <x:row r="418" s="106" customFormat="1" ht="21" customHeight="1">
      <x:c r="A418" s="54" t="n"/>
      <x:c r="B418" s="250" t="n"/>
      <x:c r="C418" s="250" t="n"/>
      <x:c r="D418" s="54" t="n"/>
      <x:c r="E418" s="251" t="n"/>
      <x:c r="F418" s="251" t="n"/>
      <x:c r="G418" s="251" t="n"/>
      <x:c r="H418" s="251" t="n"/>
      <x:c r="I418" s="252" t="n"/>
      <x:c r="J418" s="253" t="n"/>
      <x:c r="K418" s="254" t="n"/>
      <x:c r="L418" s="50" t="n"/>
      <x:c r="M418" s="251" t="n"/>
      <x:c r="N418" s="251">
        <x:f>IF($A418="","",IF($G418="","",IF(ISNUMBER(SEARCH("non",LOWER($E418&amp;""))),$G418*0.85,$G418)))</x:f>
      </x:c>
      <x:c r="O418" s="251">
        <x:f>IF($A418="","",IF(OR($N418="",$I418="",$I418=0),"",$N418/$I418))</x:f>
      </x:c>
      <x:c r="P418" s="251">
        <x:f>IF($A418="","",IF(LOWER($L418&amp;"")="yes",0,IF($K418&lt;&gt;"",$K418,IF($O418&lt;&gt;"",$O418,""))))</x:f>
      </x:c>
      <x:c r="Q418" s="254">
        <x:f>IF($A418="","",IF($U418="Profit",$P418-$H418,0))</x:f>
      </x:c>
      <x:c r="R418" s="251">
        <x:f>IF($A418="","",IF($U418="Draw",$H418,0))</x:f>
      </x:c>
      <x:c r="S418" s="251">
        <x:f>IF($A418="","",IF($U418="Disqualified",$H418,0))</x:f>
      </x:c>
      <x:c r="T418" s="255">
        <x:f>IF($A418="","",IF($H418=0,IF($U418="Profit","N/A",0),IF($U418="Profit",$Q418/$H418,IF($U418="Disqualified",-1,0))))</x:f>
      </x:c>
      <x:c r="U418" s="254">
        <x:f>IF($A418="","",IF(LOWER($L418&amp;"")="yes","Disqualified",IF($P418&gt;$H418,"Profit","Draw")))</x:f>
      </x:c>
      <x:c r="V418" s="253">
        <x:f>IF(OR($B418="",$C418=""),"",IFERROR(ROUNDUP((IF(ISNUMBER($C418),$C418,DATEVALUE($C418))-IF(ISNUMBER($B418),$B418,DATEVALUE($B418)))/7,0),""))</x:f>
      </x:c>
      <x:c r="W418" s="254">
        <x:f>$Q418-$S418</x:f>
      </x:c>
      <x:c r="X418" s="256">
        <x:f>IF(OR($J418="",$I418="",$J418=0,$I418=0,$I418&gt;$J418),"",$J418-$I418)</x:f>
      </x:c>
      <x:c r="Y418" s="257">
        <x:f>IF(OR($J418="",$J418=0,$X418=""),"",$X418/$J418)</x:f>
      </x:c>
    </x:row>
    <x:row r="419" s="106" customFormat="1" ht="21" customHeight="1">
      <x:c r="A419" s="54" t="n"/>
      <x:c r="B419" s="250" t="n"/>
      <x:c r="C419" s="250" t="n"/>
      <x:c r="D419" s="54" t="n"/>
      <x:c r="E419" s="251" t="n"/>
      <x:c r="F419" s="251" t="n"/>
      <x:c r="G419" s="251" t="n"/>
      <x:c r="H419" s="251" t="n"/>
      <x:c r="I419" s="252" t="n"/>
      <x:c r="J419" s="253" t="n"/>
      <x:c r="K419" s="254" t="n"/>
      <x:c r="L419" s="50" t="n"/>
      <x:c r="M419" s="251" t="n"/>
      <x:c r="N419" s="251">
        <x:f>IF($A419="","",IF($G419="","",IF(ISNUMBER(SEARCH("non",LOWER($E419&amp;""))),$G419*0.85,$G419)))</x:f>
      </x:c>
      <x:c r="O419" s="251">
        <x:f>IF($A419="","",IF(OR($N419="",$I419="",$I419=0),"",$N419/$I419))</x:f>
      </x:c>
      <x:c r="P419" s="251">
        <x:f>IF($A419="","",IF(LOWER($L419&amp;"")="yes",0,IF($K419&lt;&gt;"",$K419,IF($O419&lt;&gt;"",$O419,""))))</x:f>
      </x:c>
      <x:c r="Q419" s="254">
        <x:f>IF($A419="","",IF($U419="Profit",$P419-$H419,0))</x:f>
      </x:c>
      <x:c r="R419" s="251">
        <x:f>IF($A419="","",IF($U419="Draw",$H419,0))</x:f>
      </x:c>
      <x:c r="S419" s="251">
        <x:f>IF($A419="","",IF($U419="Disqualified",$H419,0))</x:f>
      </x:c>
      <x:c r="T419" s="255">
        <x:f>IF($A419="","",IF($H419=0,IF($U419="Profit","N/A",0),IF($U419="Profit",$Q419/$H419,IF($U419="Disqualified",-1,0))))</x:f>
      </x:c>
      <x:c r="U419" s="254">
        <x:f>IF($A419="","",IF(LOWER($L419&amp;"")="yes","Disqualified",IF($P419&gt;$H419,"Profit","Draw")))</x:f>
      </x:c>
      <x:c r="V419" s="253">
        <x:f>IF(OR($B419="",$C419=""),"",IFERROR(ROUNDUP((IF(ISNUMBER($C419),$C419,DATEVALUE($C419))-IF(ISNUMBER($B419),$B419,DATEVALUE($B419)))/7,0),""))</x:f>
      </x:c>
      <x:c r="W419" s="254">
        <x:f>$Q419-$S419</x:f>
      </x:c>
      <x:c r="X419" s="256">
        <x:f>IF(OR($J419="",$I419="",$J419=0,$I419=0,$I419&gt;$J419),"",$J419-$I419)</x:f>
      </x:c>
      <x:c r="Y419" s="257">
        <x:f>IF(OR($J419="",$J419=0,$X419=""),"",$X419/$J419)</x:f>
      </x:c>
    </x:row>
    <x:row r="420" s="106" customFormat="1" ht="21" customHeight="1">
      <x:c r="A420" s="54" t="n"/>
      <x:c r="B420" s="250" t="n"/>
      <x:c r="C420" s="250" t="n"/>
      <x:c r="D420" s="54" t="n"/>
      <x:c r="E420" s="251" t="n"/>
      <x:c r="F420" s="251" t="n"/>
      <x:c r="G420" s="251" t="n"/>
      <x:c r="H420" s="251" t="n"/>
      <x:c r="I420" s="252" t="n"/>
      <x:c r="J420" s="253" t="n"/>
      <x:c r="K420" s="254" t="n"/>
      <x:c r="L420" s="50" t="n"/>
      <x:c r="M420" s="251" t="n"/>
      <x:c r="N420" s="251">
        <x:f>IF($A420="","",IF($G420="","",IF(ISNUMBER(SEARCH("non",LOWER($E420&amp;""))),$G420*0.85,$G420)))</x:f>
      </x:c>
      <x:c r="O420" s="251">
        <x:f>IF($A420="","",IF(OR($N420="",$I420="",$I420=0),"",$N420/$I420))</x:f>
      </x:c>
      <x:c r="P420" s="251">
        <x:f>IF($A420="","",IF(LOWER($L420&amp;"")="yes",0,IF($K420&lt;&gt;"",$K420,IF($O420&lt;&gt;"",$O420,""))))</x:f>
      </x:c>
      <x:c r="Q420" s="254">
        <x:f>IF($A420="","",IF($U420="Profit",$P420-$H420,0))</x:f>
      </x:c>
      <x:c r="R420" s="251">
        <x:f>IF($A420="","",IF($U420="Draw",$H420,0))</x:f>
      </x:c>
      <x:c r="S420" s="251">
        <x:f>IF($A420="","",IF($U420="Disqualified",$H420,0))</x:f>
      </x:c>
      <x:c r="T420" s="255">
        <x:f>IF($A420="","",IF($H420=0,IF($U420="Profit","N/A",0),IF($U420="Profit",$Q420/$H420,IF($U420="Disqualified",-1,0))))</x:f>
      </x:c>
      <x:c r="U420" s="254">
        <x:f>IF($A420="","",IF(LOWER($L420&amp;"")="yes","Disqualified",IF($P420&gt;$H420,"Profit","Draw")))</x:f>
      </x:c>
      <x:c r="V420" s="253">
        <x:f>IF(OR($B420="",$C420=""),"",IFERROR(ROUNDUP((IF(ISNUMBER($C420),$C420,DATEVALUE($C420))-IF(ISNUMBER($B420),$B420,DATEVALUE($B420)))/7,0),""))</x:f>
      </x:c>
      <x:c r="W420" s="254">
        <x:f>$Q420-$S420</x:f>
      </x:c>
      <x:c r="X420" s="256">
        <x:f>IF(OR($J420="",$I420="",$J420=0,$I420=0,$I420&gt;$J420),"",$J420-$I420)</x:f>
      </x:c>
      <x:c r="Y420" s="257">
        <x:f>IF(OR($J420="",$J420=0,$X420=""),"",$X420/$J420)</x:f>
      </x:c>
    </x:row>
    <x:row r="421" s="106" customFormat="1" ht="21" customHeight="1">
      <x:c r="A421" s="54" t="n"/>
      <x:c r="B421" s="250" t="n"/>
      <x:c r="C421" s="250" t="n"/>
      <x:c r="D421" s="54" t="n"/>
      <x:c r="E421" s="251" t="n"/>
      <x:c r="F421" s="251" t="n"/>
      <x:c r="G421" s="251" t="n"/>
      <x:c r="H421" s="251" t="n"/>
      <x:c r="I421" s="252" t="n"/>
      <x:c r="J421" s="253" t="n"/>
      <x:c r="K421" s="254" t="n"/>
      <x:c r="L421" s="50" t="n"/>
      <x:c r="M421" s="251" t="n"/>
      <x:c r="N421" s="251">
        <x:f>IF($A421="","",IF($G421="","",IF(ISNUMBER(SEARCH("non",LOWER($E421&amp;""))),$G421*0.85,$G421)))</x:f>
      </x:c>
      <x:c r="O421" s="251">
        <x:f>IF($A421="","",IF(OR($N421="",$I421="",$I421=0),"",$N421/$I421))</x:f>
      </x:c>
      <x:c r="P421" s="251">
        <x:f>IF($A421="","",IF(LOWER($L421&amp;"")="yes",0,IF($K421&lt;&gt;"",$K421,IF($O421&lt;&gt;"",$O421,""))))</x:f>
      </x:c>
      <x:c r="Q421" s="254">
        <x:f>IF($A421="","",IF($U421="Profit",$P421-$H421,0))</x:f>
      </x:c>
      <x:c r="R421" s="251">
        <x:f>IF($A421="","",IF($U421="Draw",$H421,0))</x:f>
      </x:c>
      <x:c r="S421" s="251">
        <x:f>IF($A421="","",IF($U421="Disqualified",$H421,0))</x:f>
      </x:c>
      <x:c r="T421" s="255">
        <x:f>IF($A421="","",IF($H421=0,IF($U421="Profit","N/A",0),IF($U421="Profit",$Q421/$H421,IF($U421="Disqualified",-1,0))))</x:f>
      </x:c>
      <x:c r="U421" s="254">
        <x:f>IF($A421="","",IF(LOWER($L421&amp;"")="yes","Disqualified",IF($P421&gt;$H421,"Profit","Draw")))</x:f>
      </x:c>
      <x:c r="V421" s="253">
        <x:f>IF(OR($B421="",$C421=""),"",IFERROR(ROUNDUP((IF(ISNUMBER($C421),$C421,DATEVALUE($C421))-IF(ISNUMBER($B421),$B421,DATEVALUE($B421)))/7,0),""))</x:f>
      </x:c>
      <x:c r="W421" s="254">
        <x:f>$Q421-$S421</x:f>
      </x:c>
      <x:c r="X421" s="256">
        <x:f>IF(OR($J421="",$I421="",$J421=0,$I421=0,$I421&gt;$J421),"",$J421-$I421)</x:f>
      </x:c>
      <x:c r="Y421" s="257">
        <x:f>IF(OR($J421="",$J421=0,$X421=""),"",$X421/$J421)</x:f>
      </x:c>
    </x:row>
    <x:row r="422" s="106" customFormat="1" ht="21" customHeight="1">
      <x:c r="A422" s="54" t="n"/>
      <x:c r="B422" s="250" t="n"/>
      <x:c r="C422" s="250" t="n"/>
      <x:c r="D422" s="54" t="n"/>
      <x:c r="E422" s="251" t="n"/>
      <x:c r="F422" s="251" t="n"/>
      <x:c r="G422" s="251" t="n"/>
      <x:c r="H422" s="251" t="n"/>
      <x:c r="I422" s="252" t="n"/>
      <x:c r="J422" s="253" t="n"/>
      <x:c r="K422" s="254" t="n"/>
      <x:c r="L422" s="50" t="n"/>
      <x:c r="M422" s="251" t="n"/>
      <x:c r="N422" s="251">
        <x:f>IF($A422="","",IF($G422="","",IF(ISNUMBER(SEARCH("non",LOWER($E422&amp;""))),$G422*0.85,$G422)))</x:f>
      </x:c>
      <x:c r="O422" s="251">
        <x:f>IF($A422="","",IF(OR($N422="",$I422="",$I422=0),"",$N422/$I422))</x:f>
      </x:c>
      <x:c r="P422" s="251">
        <x:f>IF($A422="","",IF(LOWER($L422&amp;"")="yes",0,IF($K422&lt;&gt;"",$K422,IF($O422&lt;&gt;"",$O422,""))))</x:f>
      </x:c>
      <x:c r="Q422" s="254">
        <x:f>IF($A422="","",IF($U422="Profit",$P422-$H422,0))</x:f>
      </x:c>
      <x:c r="R422" s="251">
        <x:f>IF($A422="","",IF($U422="Draw",$H422,0))</x:f>
      </x:c>
      <x:c r="S422" s="251">
        <x:f>IF($A422="","",IF($U422="Disqualified",$H422,0))</x:f>
      </x:c>
      <x:c r="T422" s="255">
        <x:f>IF($A422="","",IF($H422=0,IF($U422="Profit","N/A",0),IF($U422="Profit",$Q422/$H422,IF($U422="Disqualified",-1,0))))</x:f>
      </x:c>
      <x:c r="U422" s="254">
        <x:f>IF($A422="","",IF(LOWER($L422&amp;"")="yes","Disqualified",IF($P422&gt;$H422,"Profit","Draw")))</x:f>
      </x:c>
      <x:c r="V422" s="253">
        <x:f>IF(OR($B422="",$C422=""),"",IFERROR(ROUNDUP((IF(ISNUMBER($C422),$C422,DATEVALUE($C422))-IF(ISNUMBER($B422),$B422,DATEVALUE($B422)))/7,0),""))</x:f>
      </x:c>
      <x:c r="W422" s="254">
        <x:f>$Q422-$S422</x:f>
      </x:c>
      <x:c r="X422" s="256">
        <x:f>IF(OR($J422="",$I422="",$J422=0,$I422=0,$I422&gt;$J422),"",$J422-$I422)</x:f>
      </x:c>
      <x:c r="Y422" s="257">
        <x:f>IF(OR($J422="",$J422=0,$X422=""),"",$X422/$J422)</x:f>
      </x:c>
    </x:row>
    <x:row r="423" s="106" customFormat="1" ht="21" customHeight="1">
      <x:c r="A423" s="54" t="n"/>
      <x:c r="B423" s="250" t="n"/>
      <x:c r="C423" s="250" t="n"/>
      <x:c r="D423" s="54" t="n"/>
      <x:c r="E423" s="251" t="n"/>
      <x:c r="F423" s="251" t="n"/>
      <x:c r="G423" s="251" t="n"/>
      <x:c r="H423" s="251" t="n"/>
      <x:c r="I423" s="252" t="n"/>
      <x:c r="J423" s="253" t="n"/>
      <x:c r="K423" s="254" t="n"/>
      <x:c r="L423" s="50" t="n"/>
      <x:c r="M423" s="251" t="n"/>
      <x:c r="N423" s="251">
        <x:f>IF($A423="","",IF($G423="","",IF(ISNUMBER(SEARCH("non",LOWER($E423&amp;""))),$G423*0.85,$G423)))</x:f>
      </x:c>
      <x:c r="O423" s="251">
        <x:f>IF($A423="","",IF(OR($N423="",$I423="",$I423=0),"",$N423/$I423))</x:f>
      </x:c>
      <x:c r="P423" s="251">
        <x:f>IF($A423="","",IF(LOWER($L423&amp;"")="yes",0,IF($K423&lt;&gt;"",$K423,IF($O423&lt;&gt;"",$O423,""))))</x:f>
      </x:c>
      <x:c r="Q423" s="254">
        <x:f>IF($A423="","",IF($U423="Profit",$P423-$H423,0))</x:f>
      </x:c>
      <x:c r="R423" s="251">
        <x:f>IF($A423="","",IF($U423="Draw",$H423,0))</x:f>
      </x:c>
      <x:c r="S423" s="251">
        <x:f>IF($A423="","",IF($U423="Disqualified",$H423,0))</x:f>
      </x:c>
      <x:c r="T423" s="255">
        <x:f>IF($A423="","",IF($H423=0,IF($U423="Profit","N/A",0),IF($U423="Profit",$Q423/$H423,IF($U423="Disqualified",-1,0))))</x:f>
      </x:c>
      <x:c r="U423" s="254">
        <x:f>IF($A423="","",IF(LOWER($L423&amp;"")="yes","Disqualified",IF($P423&gt;$H423,"Profit","Draw")))</x:f>
      </x:c>
      <x:c r="V423" s="253">
        <x:f>IF(OR($B423="",$C423=""),"",IFERROR(ROUNDUP((IF(ISNUMBER($C423),$C423,DATEVALUE($C423))-IF(ISNUMBER($B423),$B423,DATEVALUE($B423)))/7,0),""))</x:f>
      </x:c>
      <x:c r="W423" s="254">
        <x:f>$Q423-$S423</x:f>
      </x:c>
      <x:c r="X423" s="256">
        <x:f>IF(OR($J423="",$I423="",$J423=0,$I423=0,$I423&gt;$J423),"",$J423-$I423)</x:f>
      </x:c>
      <x:c r="Y423" s="257">
        <x:f>IF(OR($J423="",$J423=0,$X423=""),"",$X423/$J423)</x:f>
      </x:c>
    </x:row>
    <x:row r="424" s="106" customFormat="1" ht="21" customHeight="1">
      <x:c r="A424" s="54" t="n"/>
      <x:c r="B424" s="250" t="n"/>
      <x:c r="C424" s="250" t="n"/>
      <x:c r="D424" s="54" t="n"/>
      <x:c r="E424" s="251" t="n"/>
      <x:c r="F424" s="251" t="n"/>
      <x:c r="G424" s="251" t="n"/>
      <x:c r="H424" s="251" t="n"/>
      <x:c r="I424" s="252" t="n"/>
      <x:c r="J424" s="253" t="n"/>
      <x:c r="K424" s="254" t="n"/>
      <x:c r="L424" s="50" t="n"/>
      <x:c r="M424" s="251" t="n"/>
      <x:c r="N424" s="251">
        <x:f>IF($A424="","",IF($G424="","",IF(ISNUMBER(SEARCH("non",LOWER($E424&amp;""))),$G424*0.85,$G424)))</x:f>
      </x:c>
      <x:c r="O424" s="251">
        <x:f>IF($A424="","",IF(OR($N424="",$I424="",$I424=0),"",$N424/$I424))</x:f>
      </x:c>
      <x:c r="P424" s="251">
        <x:f>IF($A424="","",IF(LOWER($L424&amp;"")="yes",0,IF($K424&lt;&gt;"",$K424,IF($O424&lt;&gt;"",$O424,""))))</x:f>
      </x:c>
      <x:c r="Q424" s="254">
        <x:f>IF($A424="","",IF($U424="Profit",$P424-$H424,0))</x:f>
      </x:c>
      <x:c r="R424" s="251">
        <x:f>IF($A424="","",IF($U424="Draw",$H424,0))</x:f>
      </x:c>
      <x:c r="S424" s="251">
        <x:f>IF($A424="","",IF($U424="Disqualified",$H424,0))</x:f>
      </x:c>
      <x:c r="T424" s="255">
        <x:f>IF($A424="","",IF($H424=0,IF($U424="Profit","N/A",0),IF($U424="Profit",$Q424/$H424,IF($U424="Disqualified",-1,0))))</x:f>
      </x:c>
      <x:c r="U424" s="254">
        <x:f>IF($A424="","",IF(LOWER($L424&amp;"")="yes","Disqualified",IF($P424&gt;$H424,"Profit","Draw")))</x:f>
      </x:c>
      <x:c r="V424" s="253">
        <x:f>IF(OR($B424="",$C424=""),"",IFERROR(ROUNDUP((IF(ISNUMBER($C424),$C424,DATEVALUE($C424))-IF(ISNUMBER($B424),$B424,DATEVALUE($B424)))/7,0),""))</x:f>
      </x:c>
      <x:c r="W424" s="254">
        <x:f>$Q424-$S424</x:f>
      </x:c>
      <x:c r="X424" s="256">
        <x:f>IF(OR($J424="",$I424="",$J424=0,$I424=0,$I424&gt;$J424),"",$J424-$I424)</x:f>
      </x:c>
      <x:c r="Y424" s="257">
        <x:f>IF(OR($J424="",$J424=0,$X424=""),"",$X424/$J424)</x:f>
      </x:c>
    </x:row>
    <x:row r="425" s="106" customFormat="1" ht="21" customHeight="1">
      <x:c r="A425" s="54" t="n"/>
      <x:c r="B425" s="250" t="n"/>
      <x:c r="C425" s="250" t="n"/>
      <x:c r="D425" s="54" t="n"/>
      <x:c r="E425" s="251" t="n"/>
      <x:c r="F425" s="251" t="n"/>
      <x:c r="G425" s="251" t="n"/>
      <x:c r="H425" s="251" t="n"/>
      <x:c r="I425" s="252" t="n"/>
      <x:c r="J425" s="253" t="n"/>
      <x:c r="K425" s="254" t="n"/>
      <x:c r="L425" s="50" t="n"/>
      <x:c r="M425" s="251" t="n"/>
      <x:c r="N425" s="251">
        <x:f>IF($A425="","",IF($G425="","",IF(ISNUMBER(SEARCH("non",LOWER($E425&amp;""))),$G425*0.85,$G425)))</x:f>
      </x:c>
      <x:c r="O425" s="251">
        <x:f>IF($A425="","",IF(OR($N425="",$I425="",$I425=0),"",$N425/$I425))</x:f>
      </x:c>
      <x:c r="P425" s="251">
        <x:f>IF($A425="","",IF(LOWER($L425&amp;"")="yes",0,IF($K425&lt;&gt;"",$K425,IF($O425&lt;&gt;"",$O425,""))))</x:f>
      </x:c>
      <x:c r="Q425" s="254">
        <x:f>IF($A425="","",IF($U425="Profit",$P425-$H425,0))</x:f>
      </x:c>
      <x:c r="R425" s="251">
        <x:f>IF($A425="","",IF($U425="Draw",$H425,0))</x:f>
      </x:c>
      <x:c r="S425" s="251">
        <x:f>IF($A425="","",IF($U425="Disqualified",$H425,0))</x:f>
      </x:c>
      <x:c r="T425" s="255">
        <x:f>IF($A425="","",IF($H425=0,IF($U425="Profit","N/A",0),IF($U425="Profit",$Q425/$H425,IF($U425="Disqualified",-1,0))))</x:f>
      </x:c>
      <x:c r="U425" s="254">
        <x:f>IF($A425="","",IF(LOWER($L425&amp;"")="yes","Disqualified",IF($P425&gt;$H425,"Profit","Draw")))</x:f>
      </x:c>
      <x:c r="V425" s="253">
        <x:f>IF(OR($B425="",$C425=""),"",IFERROR(ROUNDUP((IF(ISNUMBER($C425),$C425,DATEVALUE($C425))-IF(ISNUMBER($B425),$B425,DATEVALUE($B425)))/7,0),""))</x:f>
      </x:c>
      <x:c r="W425" s="254">
        <x:f>$Q425-$S425</x:f>
      </x:c>
      <x:c r="X425" s="256">
        <x:f>IF(OR($J425="",$I425="",$J425=0,$I425=0,$I425&gt;$J425),"",$J425-$I425)</x:f>
      </x:c>
      <x:c r="Y425" s="257">
        <x:f>IF(OR($J425="",$J425=0,$X425=""),"",$X425/$J425)</x:f>
      </x:c>
    </x:row>
    <x:row r="426" s="106" customFormat="1" ht="21" customHeight="1">
      <x:c r="A426" s="54" t="n"/>
      <x:c r="B426" s="250" t="n"/>
      <x:c r="C426" s="250" t="n"/>
      <x:c r="D426" s="54" t="n"/>
      <x:c r="E426" s="251" t="n"/>
      <x:c r="F426" s="251" t="n"/>
      <x:c r="G426" s="251" t="n"/>
      <x:c r="H426" s="251" t="n"/>
      <x:c r="I426" s="252" t="n"/>
      <x:c r="J426" s="253" t="n"/>
      <x:c r="K426" s="254" t="n"/>
      <x:c r="L426" s="50" t="n"/>
      <x:c r="M426" s="251" t="n"/>
      <x:c r="N426" s="251">
        <x:f>IF($A426="","",IF($G426="","",IF(ISNUMBER(SEARCH("non",LOWER($E426&amp;""))),$G426*0.85,$G426)))</x:f>
      </x:c>
      <x:c r="O426" s="251">
        <x:f>IF($A426="","",IF(OR($N426="",$I426="",$I426=0),"",$N426/$I426))</x:f>
      </x:c>
      <x:c r="P426" s="251">
        <x:f>IF($A426="","",IF(LOWER($L426&amp;"")="yes",0,IF($K426&lt;&gt;"",$K426,IF($O426&lt;&gt;"",$O426,""))))</x:f>
      </x:c>
      <x:c r="Q426" s="254">
        <x:f>IF($A426="","",IF($U426="Profit",$P426-$H426,0))</x:f>
      </x:c>
      <x:c r="R426" s="251">
        <x:f>IF($A426="","",IF($U426="Draw",$H426,0))</x:f>
      </x:c>
      <x:c r="S426" s="251">
        <x:f>IF($A426="","",IF($U426="Disqualified",$H426,0))</x:f>
      </x:c>
      <x:c r="T426" s="255">
        <x:f>IF($A426="","",IF($H426=0,IF($U426="Profit","N/A",0),IF($U426="Profit",$Q426/$H426,IF($U426="Disqualified",-1,0))))</x:f>
      </x:c>
      <x:c r="U426" s="254">
        <x:f>IF($A426="","",IF(LOWER($L426&amp;"")="yes","Disqualified",IF($P426&gt;$H426,"Profit","Draw")))</x:f>
      </x:c>
      <x:c r="V426" s="253">
        <x:f>IF(OR($B426="",$C426=""),"",IFERROR(ROUNDUP((IF(ISNUMBER($C426),$C426,DATEVALUE($C426))-IF(ISNUMBER($B426),$B426,DATEVALUE($B426)))/7,0),""))</x:f>
      </x:c>
      <x:c r="W426" s="254">
        <x:f>$Q426-$S426</x:f>
      </x:c>
      <x:c r="X426" s="256">
        <x:f>IF(OR($J426="",$I426="",$J426=0,$I426=0,$I426&gt;$J426),"",$J426-$I426)</x:f>
      </x:c>
      <x:c r="Y426" s="257">
        <x:f>IF(OR($J426="",$J426=0,$X426=""),"",$X426/$J426)</x:f>
      </x:c>
    </x:row>
    <x:row r="427" s="106" customFormat="1" ht="21" customHeight="1">
      <x:c r="A427" s="54" t="n"/>
      <x:c r="B427" s="250" t="n"/>
      <x:c r="C427" s="250" t="n"/>
      <x:c r="D427" s="54" t="n"/>
      <x:c r="E427" s="251" t="n"/>
      <x:c r="F427" s="251" t="n"/>
      <x:c r="G427" s="251" t="n"/>
      <x:c r="H427" s="251" t="n"/>
      <x:c r="I427" s="252" t="n"/>
      <x:c r="J427" s="253" t="n"/>
      <x:c r="K427" s="254" t="n"/>
      <x:c r="L427" s="50" t="n"/>
      <x:c r="M427" s="251" t="n"/>
      <x:c r="N427" s="251">
        <x:f>IF($A427="","",IF($G427="","",IF(ISNUMBER(SEARCH("non",LOWER($E427&amp;""))),$G427*0.85,$G427)))</x:f>
      </x:c>
      <x:c r="O427" s="251">
        <x:f>IF($A427="","",IF(OR($N427="",$I427="",$I427=0),"",$N427/$I427))</x:f>
      </x:c>
      <x:c r="P427" s="251">
        <x:f>IF($A427="","",IF(LOWER($L427&amp;"")="yes",0,IF($K427&lt;&gt;"",$K427,IF($O427&lt;&gt;"",$O427,""))))</x:f>
      </x:c>
      <x:c r="Q427" s="254">
        <x:f>IF($A427="","",IF($U427="Profit",$P427-$H427,0))</x:f>
      </x:c>
      <x:c r="R427" s="251">
        <x:f>IF($A427="","",IF($U427="Draw",$H427,0))</x:f>
      </x:c>
      <x:c r="S427" s="251">
        <x:f>IF($A427="","",IF($U427="Disqualified",$H427,0))</x:f>
      </x:c>
      <x:c r="T427" s="255">
        <x:f>IF($A427="","",IF($H427=0,IF($U427="Profit","N/A",0),IF($U427="Profit",$Q427/$H427,IF($U427="Disqualified",-1,0))))</x:f>
      </x:c>
      <x:c r="U427" s="254">
        <x:f>IF($A427="","",IF(LOWER($L427&amp;"")="yes","Disqualified",IF($P427&gt;$H427,"Profit","Draw")))</x:f>
      </x:c>
      <x:c r="V427" s="253">
        <x:f>IF(OR($B427="",$C427=""),"",IFERROR(ROUNDUP((IF(ISNUMBER($C427),$C427,DATEVALUE($C427))-IF(ISNUMBER($B427),$B427,DATEVALUE($B427)))/7,0),""))</x:f>
      </x:c>
      <x:c r="W427" s="254">
        <x:f>$Q427-$S427</x:f>
      </x:c>
      <x:c r="X427" s="256">
        <x:f>IF(OR($J427="",$I427="",$J427=0,$I427=0,$I427&gt;$J427),"",$J427-$I427)</x:f>
      </x:c>
      <x:c r="Y427" s="257">
        <x:f>IF(OR($J427="",$J427=0,$X427=""),"",$X427/$J427)</x:f>
      </x:c>
    </x:row>
    <x:row r="428" s="106" customFormat="1" ht="21" customHeight="1">
      <x:c r="A428" s="54" t="n"/>
      <x:c r="B428" s="250" t="n"/>
      <x:c r="C428" s="250" t="n"/>
      <x:c r="D428" s="54" t="n"/>
      <x:c r="E428" s="251" t="n"/>
      <x:c r="F428" s="251" t="n"/>
      <x:c r="G428" s="251" t="n"/>
      <x:c r="H428" s="251" t="n"/>
      <x:c r="I428" s="252" t="n"/>
      <x:c r="J428" s="253" t="n"/>
      <x:c r="K428" s="254" t="n"/>
      <x:c r="L428" s="50" t="n"/>
      <x:c r="M428" s="251" t="n"/>
      <x:c r="N428" s="251">
        <x:f>IF($A428="","",IF($G428="","",IF(ISNUMBER(SEARCH("non",LOWER($E428&amp;""))),$G428*0.85,$G428)))</x:f>
      </x:c>
      <x:c r="O428" s="251">
        <x:f>IF($A428="","",IF(OR($N428="",$I428="",$I428=0),"",$N428/$I428))</x:f>
      </x:c>
      <x:c r="P428" s="251">
        <x:f>IF($A428="","",IF(LOWER($L428&amp;"")="yes",0,IF($K428&lt;&gt;"",$K428,IF($O428&lt;&gt;"",$O428,""))))</x:f>
      </x:c>
      <x:c r="Q428" s="254">
        <x:f>IF($A428="","",IF($U428="Profit",$P428-$H428,0))</x:f>
      </x:c>
      <x:c r="R428" s="251">
        <x:f>IF($A428="","",IF($U428="Draw",$H428,0))</x:f>
      </x:c>
      <x:c r="S428" s="251">
        <x:f>IF($A428="","",IF($U428="Disqualified",$H428,0))</x:f>
      </x:c>
      <x:c r="T428" s="255">
        <x:f>IF($A428="","",IF($H428=0,IF($U428="Profit","N/A",0),IF($U428="Profit",$Q428/$H428,IF($U428="Disqualified",-1,0))))</x:f>
      </x:c>
      <x:c r="U428" s="254">
        <x:f>IF($A428="","",IF(LOWER($L428&amp;"")="yes","Disqualified",IF($P428&gt;$H428,"Profit","Draw")))</x:f>
      </x:c>
      <x:c r="V428" s="253">
        <x:f>IF(OR($B428="",$C428=""),"",IFERROR(ROUNDUP((IF(ISNUMBER($C428),$C428,DATEVALUE($C428))-IF(ISNUMBER($B428),$B428,DATEVALUE($B428)))/7,0),""))</x:f>
      </x:c>
      <x:c r="W428" s="254">
        <x:f>$Q428-$S428</x:f>
      </x:c>
      <x:c r="X428" s="256">
        <x:f>IF(OR($J428="",$I428="",$J428=0,$I428=0,$I428&gt;$J428),"",$J428-$I428)</x:f>
      </x:c>
      <x:c r="Y428" s="257">
        <x:f>IF(OR($J428="",$J428=0,$X428=""),"",$X428/$J428)</x:f>
      </x:c>
    </x:row>
    <x:row r="429" s="106" customFormat="1" ht="21" customHeight="1">
      <x:c r="A429" s="54" t="n"/>
      <x:c r="B429" s="250" t="n"/>
      <x:c r="C429" s="250" t="n"/>
      <x:c r="D429" s="54" t="n"/>
      <x:c r="E429" s="251" t="n"/>
      <x:c r="F429" s="251" t="n"/>
      <x:c r="G429" s="251" t="n"/>
      <x:c r="H429" s="251" t="n"/>
      <x:c r="I429" s="252" t="n"/>
      <x:c r="J429" s="253" t="n"/>
      <x:c r="K429" s="254" t="n"/>
      <x:c r="L429" s="50" t="n"/>
      <x:c r="M429" s="251" t="n"/>
      <x:c r="N429" s="251">
        <x:f>IF($A429="","",IF($G429="","",IF(ISNUMBER(SEARCH("non",LOWER($E429&amp;""))),$G429*0.85,$G429)))</x:f>
      </x:c>
      <x:c r="O429" s="251">
        <x:f>IF($A429="","",IF(OR($N429="",$I429="",$I429=0),"",$N429/$I429))</x:f>
      </x:c>
      <x:c r="P429" s="251">
        <x:f>IF($A429="","",IF(LOWER($L429&amp;"")="yes",0,IF($K429&lt;&gt;"",$K429,IF($O429&lt;&gt;"",$O429,""))))</x:f>
      </x:c>
      <x:c r="Q429" s="254">
        <x:f>IF($A429="","",IF($U429="Profit",$P429-$H429,0))</x:f>
      </x:c>
      <x:c r="R429" s="251">
        <x:f>IF($A429="","",IF($U429="Draw",$H429,0))</x:f>
      </x:c>
      <x:c r="S429" s="251">
        <x:f>IF($A429="","",IF($U429="Disqualified",$H429,0))</x:f>
      </x:c>
      <x:c r="T429" s="255">
        <x:f>IF($A429="","",IF($H429=0,IF($U429="Profit","N/A",0),IF($U429="Profit",$Q429/$H429,IF($U429="Disqualified",-1,0))))</x:f>
      </x:c>
      <x:c r="U429" s="254">
        <x:f>IF($A429="","",IF(LOWER($L429&amp;"")="yes","Disqualified",IF($P429&gt;$H429,"Profit","Draw")))</x:f>
      </x:c>
      <x:c r="V429" s="253">
        <x:f>IF(OR($B429="",$C429=""),"",IFERROR(ROUNDUP((IF(ISNUMBER($C429),$C429,DATEVALUE($C429))-IF(ISNUMBER($B429),$B429,DATEVALUE($B429)))/7,0),""))</x:f>
      </x:c>
      <x:c r="W429" s="254">
        <x:f>$Q429-$S429</x:f>
      </x:c>
      <x:c r="X429" s="256">
        <x:f>IF(OR($J429="",$I429="",$J429=0,$I429=0,$I429&gt;$J429),"",$J429-$I429)</x:f>
      </x:c>
      <x:c r="Y429" s="257">
        <x:f>IF(OR($J429="",$J429=0,$X429=""),"",$X429/$J429)</x:f>
      </x:c>
    </x:row>
    <x:row r="430" s="106" customFormat="1" ht="21" customHeight="1">
      <x:c r="A430" s="54" t="n"/>
      <x:c r="B430" s="250" t="n"/>
      <x:c r="C430" s="250" t="n"/>
      <x:c r="D430" s="54" t="n"/>
      <x:c r="E430" s="251" t="n"/>
      <x:c r="F430" s="251" t="n"/>
      <x:c r="G430" s="251" t="n"/>
      <x:c r="H430" s="251" t="n"/>
      <x:c r="I430" s="252" t="n"/>
      <x:c r="J430" s="253" t="n"/>
      <x:c r="K430" s="254" t="n"/>
      <x:c r="L430" s="50" t="n"/>
      <x:c r="M430" s="251" t="n"/>
      <x:c r="N430" s="251">
        <x:f>IF($A430="","",IF($G430="","",IF(ISNUMBER(SEARCH("non",LOWER($E430&amp;""))),$G430*0.85,$G430)))</x:f>
      </x:c>
      <x:c r="O430" s="251">
        <x:f>IF($A430="","",IF(OR($N430="",$I430="",$I430=0),"",$N430/$I430))</x:f>
      </x:c>
      <x:c r="P430" s="251">
        <x:f>IF($A430="","",IF(LOWER($L430&amp;"")="yes",0,IF($K430&lt;&gt;"",$K430,IF($O430&lt;&gt;"",$O430,""))))</x:f>
      </x:c>
      <x:c r="Q430" s="254">
        <x:f>IF($A430="","",IF($U430="Profit",$P430-$H430,0))</x:f>
      </x:c>
      <x:c r="R430" s="251">
        <x:f>IF($A430="","",IF($U430="Draw",$H430,0))</x:f>
      </x:c>
      <x:c r="S430" s="251">
        <x:f>IF($A430="","",IF($U430="Disqualified",$H430,0))</x:f>
      </x:c>
      <x:c r="T430" s="255">
        <x:f>IF($A430="","",IF($H430=0,IF($U430="Profit","N/A",0),IF($U430="Profit",$Q430/$H430,IF($U430="Disqualified",-1,0))))</x:f>
      </x:c>
      <x:c r="U430" s="254">
        <x:f>IF($A430="","",IF(LOWER($L430&amp;"")="yes","Disqualified",IF($P430&gt;$H430,"Profit","Draw")))</x:f>
      </x:c>
      <x:c r="V430" s="253">
        <x:f>IF(OR($B430="",$C430=""),"",IFERROR(ROUNDUP((IF(ISNUMBER($C430),$C430,DATEVALUE($C430))-IF(ISNUMBER($B430),$B430,DATEVALUE($B430)))/7,0),""))</x:f>
      </x:c>
      <x:c r="W430" s="254">
        <x:f>$Q430-$S430</x:f>
      </x:c>
      <x:c r="X430" s="256">
        <x:f>IF(OR($J430="",$I430="",$J430=0,$I430=0,$I430&gt;$J430),"",$J430-$I430)</x:f>
      </x:c>
      <x:c r="Y430" s="257">
        <x:f>IF(OR($J430="",$J430=0,$X430=""),"",$X430/$J430)</x:f>
      </x:c>
    </x:row>
    <x:row r="431" s="106" customFormat="1" ht="21" customHeight="1">
      <x:c r="A431" s="54" t="n"/>
      <x:c r="B431" s="250" t="n"/>
      <x:c r="C431" s="250" t="n"/>
      <x:c r="D431" s="54" t="n"/>
      <x:c r="E431" s="251" t="n"/>
      <x:c r="F431" s="251" t="n"/>
      <x:c r="G431" s="251" t="n"/>
      <x:c r="H431" s="251" t="n"/>
      <x:c r="I431" s="252" t="n"/>
      <x:c r="J431" s="253" t="n"/>
      <x:c r="K431" s="254" t="n"/>
      <x:c r="L431" s="50" t="n"/>
      <x:c r="M431" s="251" t="n"/>
      <x:c r="N431" s="251">
        <x:f>IF($A431="","",IF($G431="","",IF(ISNUMBER(SEARCH("non",LOWER($E431&amp;""))),$G431*0.85,$G431)))</x:f>
      </x:c>
      <x:c r="O431" s="251">
        <x:f>IF($A431="","",IF(OR($N431="",$I431="",$I431=0),"",$N431/$I431))</x:f>
      </x:c>
      <x:c r="P431" s="251">
        <x:f>IF($A431="","",IF(LOWER($L431&amp;"")="yes",0,IF($K431&lt;&gt;"",$K431,IF($O431&lt;&gt;"",$O431,""))))</x:f>
      </x:c>
      <x:c r="Q431" s="254">
        <x:f>IF($A431="","",IF($U431="Profit",$P431-$H431,0))</x:f>
      </x:c>
      <x:c r="R431" s="251">
        <x:f>IF($A431="","",IF($U431="Draw",$H431,0))</x:f>
      </x:c>
      <x:c r="S431" s="251">
        <x:f>IF($A431="","",IF($U431="Disqualified",$H431,0))</x:f>
      </x:c>
      <x:c r="T431" s="255">
        <x:f>IF($A431="","",IF($H431=0,IF($U431="Profit","N/A",0),IF($U431="Profit",$Q431/$H431,IF($U431="Disqualified",-1,0))))</x:f>
      </x:c>
      <x:c r="U431" s="254">
        <x:f>IF($A431="","",IF(LOWER($L431&amp;"")="yes","Disqualified",IF($P431&gt;$H431,"Profit","Draw")))</x:f>
      </x:c>
      <x:c r="V431" s="253">
        <x:f>IF(OR($B431="",$C431=""),"",IFERROR(ROUNDUP((IF(ISNUMBER($C431),$C431,DATEVALUE($C431))-IF(ISNUMBER($B431),$B431,DATEVALUE($B431)))/7,0),""))</x:f>
      </x:c>
      <x:c r="W431" s="254">
        <x:f>$Q431-$S431</x:f>
      </x:c>
      <x:c r="X431" s="256">
        <x:f>IF(OR($J431="",$I431="",$J431=0,$I431=0,$I431&gt;$J431),"",$J431-$I431)</x:f>
      </x:c>
      <x:c r="Y431" s="257">
        <x:f>IF(OR($J431="",$J431=0,$X431=""),"",$X431/$J431)</x:f>
      </x:c>
    </x:row>
    <x:row r="432" s="106" customFormat="1" ht="21" customHeight="1">
      <x:c r="A432" s="54" t="n"/>
      <x:c r="B432" s="250" t="n"/>
      <x:c r="C432" s="250" t="n"/>
      <x:c r="D432" s="54" t="n"/>
      <x:c r="E432" s="251" t="n"/>
      <x:c r="F432" s="251" t="n"/>
      <x:c r="G432" s="251" t="n"/>
      <x:c r="H432" s="251" t="n"/>
      <x:c r="I432" s="252" t="n"/>
      <x:c r="J432" s="253" t="n"/>
      <x:c r="K432" s="254" t="n"/>
      <x:c r="L432" s="50" t="n"/>
      <x:c r="M432" s="251" t="n"/>
      <x:c r="N432" s="251">
        <x:f>IF($A432="","",IF($G432="","",IF(ISNUMBER(SEARCH("non",LOWER($E432&amp;""))),$G432*0.85,$G432)))</x:f>
      </x:c>
      <x:c r="O432" s="251">
        <x:f>IF($A432="","",IF(OR($N432="",$I432="",$I432=0),"",$N432/$I432))</x:f>
      </x:c>
      <x:c r="P432" s="251">
        <x:f>IF($A432="","",IF(LOWER($L432&amp;"")="yes",0,IF($K432&lt;&gt;"",$K432,IF($O432&lt;&gt;"",$O432,""))))</x:f>
      </x:c>
      <x:c r="Q432" s="254">
        <x:f>IF($A432="","",IF($U432="Profit",$P432-$H432,0))</x:f>
      </x:c>
      <x:c r="R432" s="251">
        <x:f>IF($A432="","",IF($U432="Draw",$H432,0))</x:f>
      </x:c>
      <x:c r="S432" s="251">
        <x:f>IF($A432="","",IF($U432="Disqualified",$H432,0))</x:f>
      </x:c>
      <x:c r="T432" s="255">
        <x:f>IF($A432="","",IF($H432=0,IF($U432="Profit","N/A",0),IF($U432="Profit",$Q432/$H432,IF($U432="Disqualified",-1,0))))</x:f>
      </x:c>
      <x:c r="U432" s="254">
        <x:f>IF($A432="","",IF(LOWER($L432&amp;"")="yes","Disqualified",IF($P432&gt;$H432,"Profit","Draw")))</x:f>
      </x:c>
      <x:c r="V432" s="253">
        <x:f>IF(OR($B432="",$C432=""),"",IFERROR(ROUNDUP((IF(ISNUMBER($C432),$C432,DATEVALUE($C432))-IF(ISNUMBER($B432),$B432,DATEVALUE($B432)))/7,0),""))</x:f>
      </x:c>
      <x:c r="W432" s="254">
        <x:f>$Q432-$S432</x:f>
      </x:c>
      <x:c r="X432" s="256">
        <x:f>IF(OR($J432="",$I432="",$J432=0,$I432=0,$I432&gt;$J432),"",$J432-$I432)</x:f>
      </x:c>
      <x:c r="Y432" s="257">
        <x:f>IF(OR($J432="",$J432=0,$X432=""),"",$X432/$J432)</x:f>
      </x:c>
    </x:row>
    <x:row r="433" s="106" customFormat="1" ht="21" customHeight="1">
      <x:c r="A433" s="54" t="n"/>
      <x:c r="B433" s="250" t="n"/>
      <x:c r="C433" s="250" t="n"/>
      <x:c r="D433" s="54" t="n"/>
      <x:c r="E433" s="251" t="n"/>
      <x:c r="F433" s="251" t="n"/>
      <x:c r="G433" s="251" t="n"/>
      <x:c r="H433" s="251" t="n"/>
      <x:c r="I433" s="252" t="n"/>
      <x:c r="J433" s="253" t="n"/>
      <x:c r="K433" s="254" t="n"/>
      <x:c r="L433" s="50" t="n"/>
      <x:c r="M433" s="251" t="n"/>
      <x:c r="N433" s="251">
        <x:f>IF($A433="","",IF($G433="","",IF(ISNUMBER(SEARCH("non",LOWER($E433&amp;""))),$G433*0.85,$G433)))</x:f>
      </x:c>
      <x:c r="O433" s="251">
        <x:f>IF($A433="","",IF(OR($N433="",$I433="",$I433=0),"",$N433/$I433))</x:f>
      </x:c>
      <x:c r="P433" s="251">
        <x:f>IF($A433="","",IF(LOWER($L433&amp;"")="yes",0,IF($K433&lt;&gt;"",$K433,IF($O433&lt;&gt;"",$O433,""))))</x:f>
      </x:c>
      <x:c r="Q433" s="254">
        <x:f>IF($A433="","",IF($U433="Profit",$P433-$H433,0))</x:f>
      </x:c>
      <x:c r="R433" s="251">
        <x:f>IF($A433="","",IF($U433="Draw",$H433,0))</x:f>
      </x:c>
      <x:c r="S433" s="251">
        <x:f>IF($A433="","",IF($U433="Disqualified",$H433,0))</x:f>
      </x:c>
      <x:c r="T433" s="255">
        <x:f>IF($A433="","",IF($H433=0,IF($U433="Profit","N/A",0),IF($U433="Profit",$Q433/$H433,IF($U433="Disqualified",-1,0))))</x:f>
      </x:c>
      <x:c r="U433" s="254">
        <x:f>IF($A433="","",IF(LOWER($L433&amp;"")="yes","Disqualified",IF($P433&gt;$H433,"Profit","Draw")))</x:f>
      </x:c>
      <x:c r="V433" s="253">
        <x:f>IF(OR($B433="",$C433=""),"",IFERROR(ROUNDUP((IF(ISNUMBER($C433),$C433,DATEVALUE($C433))-IF(ISNUMBER($B433),$B433,DATEVALUE($B433)))/7,0),""))</x:f>
      </x:c>
      <x:c r="W433" s="254">
        <x:f>$Q433-$S433</x:f>
      </x:c>
      <x:c r="X433" s="256">
        <x:f>IF(OR($J433="",$I433="",$J433=0,$I433=0,$I433&gt;$J433),"",$J433-$I433)</x:f>
      </x:c>
      <x:c r="Y433" s="257">
        <x:f>IF(OR($J433="",$J433=0,$X433=""),"",$X433/$J433)</x:f>
      </x:c>
    </x:row>
    <x:row r="434" s="106" customFormat="1" ht="21" customHeight="1">
      <x:c r="A434" s="54" t="n"/>
      <x:c r="B434" s="250" t="n"/>
      <x:c r="C434" s="250" t="n"/>
      <x:c r="D434" s="54" t="n"/>
      <x:c r="E434" s="251" t="n"/>
      <x:c r="F434" s="251" t="n"/>
      <x:c r="G434" s="251" t="n"/>
      <x:c r="H434" s="251" t="n"/>
      <x:c r="I434" s="252" t="n"/>
      <x:c r="J434" s="253" t="n"/>
      <x:c r="K434" s="254" t="n"/>
      <x:c r="L434" s="50" t="n"/>
      <x:c r="M434" s="251" t="n"/>
      <x:c r="N434" s="251">
        <x:f>IF($A434="","",IF($G434="","",IF(ISNUMBER(SEARCH("non",LOWER($E434&amp;""))),$G434*0.85,$G434)))</x:f>
      </x:c>
      <x:c r="O434" s="251">
        <x:f>IF($A434="","",IF(OR($N434="",$I434="",$I434=0),"",$N434/$I434))</x:f>
      </x:c>
      <x:c r="P434" s="251">
        <x:f>IF($A434="","",IF(LOWER($L434&amp;"")="yes",0,IF($K434&lt;&gt;"",$K434,IF($O434&lt;&gt;"",$O434,""))))</x:f>
      </x:c>
      <x:c r="Q434" s="254">
        <x:f>IF($A434="","",IF($U434="Profit",$P434-$H434,0))</x:f>
      </x:c>
      <x:c r="R434" s="251">
        <x:f>IF($A434="","",IF($U434="Draw",$H434,0))</x:f>
      </x:c>
      <x:c r="S434" s="251">
        <x:f>IF($A434="","",IF($U434="Disqualified",$H434,0))</x:f>
      </x:c>
      <x:c r="T434" s="255">
        <x:f>IF($A434="","",IF($H434=0,IF($U434="Profit","N/A",0),IF($U434="Profit",$Q434/$H434,IF($U434="Disqualified",-1,0))))</x:f>
      </x:c>
      <x:c r="U434" s="254">
        <x:f>IF($A434="","",IF(LOWER($L434&amp;"")="yes","Disqualified",IF($P434&gt;$H434,"Profit","Draw")))</x:f>
      </x:c>
      <x:c r="V434" s="253">
        <x:f>IF(OR($B434="",$C434=""),"",IFERROR(ROUNDUP((IF(ISNUMBER($C434),$C434,DATEVALUE($C434))-IF(ISNUMBER($B434),$B434,DATEVALUE($B434)))/7,0),""))</x:f>
      </x:c>
      <x:c r="W434" s="254">
        <x:f>$Q434-$S434</x:f>
      </x:c>
      <x:c r="X434" s="256">
        <x:f>IF(OR($J434="",$I434="",$J434=0,$I434=0,$I434&gt;$J434),"",$J434-$I434)</x:f>
      </x:c>
      <x:c r="Y434" s="257">
        <x:f>IF(OR($J434="",$J434=0,$X434=""),"",$X434/$J434)</x:f>
      </x:c>
    </x:row>
    <x:row r="435" s="106" customFormat="1" ht="21" customHeight="1">
      <x:c r="A435" s="54" t="n"/>
      <x:c r="B435" s="250" t="n"/>
      <x:c r="C435" s="250" t="n"/>
      <x:c r="D435" s="54" t="n"/>
      <x:c r="E435" s="251" t="n"/>
      <x:c r="F435" s="251" t="n"/>
      <x:c r="G435" s="251" t="n"/>
      <x:c r="H435" s="251" t="n"/>
      <x:c r="I435" s="252" t="n"/>
      <x:c r="J435" s="253" t="n"/>
      <x:c r="K435" s="254" t="n"/>
      <x:c r="L435" s="50" t="n"/>
      <x:c r="M435" s="251" t="n"/>
      <x:c r="N435" s="251">
        <x:f>IF($A435="","",IF($G435="","",IF(ISNUMBER(SEARCH("non",LOWER($E435&amp;""))),$G435*0.85,$G435)))</x:f>
      </x:c>
      <x:c r="O435" s="251">
        <x:f>IF($A435="","",IF(OR($N435="",$I435="",$I435=0),"",$N435/$I435))</x:f>
      </x:c>
      <x:c r="P435" s="251">
        <x:f>IF($A435="","",IF(LOWER($L435&amp;"")="yes",0,IF($K435&lt;&gt;"",$K435,IF($O435&lt;&gt;"",$O435,""))))</x:f>
      </x:c>
      <x:c r="Q435" s="254">
        <x:f>IF($A435="","",IF($U435="Profit",$P435-$H435,0))</x:f>
      </x:c>
      <x:c r="R435" s="251">
        <x:f>IF($A435="","",IF($U435="Draw",$H435,0))</x:f>
      </x:c>
      <x:c r="S435" s="251">
        <x:f>IF($A435="","",IF($U435="Disqualified",$H435,0))</x:f>
      </x:c>
      <x:c r="T435" s="255">
        <x:f>IF($A435="","",IF($H435=0,IF($U435="Profit","N/A",0),IF($U435="Profit",$Q435/$H435,IF($U435="Disqualified",-1,0))))</x:f>
      </x:c>
      <x:c r="U435" s="254">
        <x:f>IF($A435="","",IF(LOWER($L435&amp;"")="yes","Disqualified",IF($P435&gt;$H435,"Profit","Draw")))</x:f>
      </x:c>
      <x:c r="V435" s="253">
        <x:f>IF(OR($B435="",$C435=""),"",IFERROR(ROUNDUP((IF(ISNUMBER($C435),$C435,DATEVALUE($C435))-IF(ISNUMBER($B435),$B435,DATEVALUE($B435)))/7,0),""))</x:f>
      </x:c>
      <x:c r="W435" s="254">
        <x:f>$Q435-$S435</x:f>
      </x:c>
      <x:c r="X435" s="256">
        <x:f>IF(OR($J435="",$I435="",$J435=0,$I435=0,$I435&gt;$J435),"",$J435-$I435)</x:f>
      </x:c>
      <x:c r="Y435" s="257">
        <x:f>IF(OR($J435="",$J435=0,$X435=""),"",$X435/$J435)</x:f>
      </x:c>
    </x:row>
    <x:row r="436" s="106" customFormat="1" ht="21" customHeight="1">
      <x:c r="A436" s="54" t="n"/>
      <x:c r="B436" s="250" t="n"/>
      <x:c r="C436" s="250" t="n"/>
      <x:c r="D436" s="54" t="n"/>
      <x:c r="E436" s="251" t="n"/>
      <x:c r="F436" s="251" t="n"/>
      <x:c r="G436" s="251" t="n"/>
      <x:c r="H436" s="251" t="n"/>
      <x:c r="I436" s="252" t="n"/>
      <x:c r="J436" s="253" t="n"/>
      <x:c r="K436" s="254" t="n"/>
      <x:c r="L436" s="50" t="n"/>
      <x:c r="M436" s="251" t="n"/>
      <x:c r="N436" s="251">
        <x:f>IF($A436="","",IF($G436="","",IF(ISNUMBER(SEARCH("non",LOWER($E436&amp;""))),$G436*0.85,$G436)))</x:f>
      </x:c>
      <x:c r="O436" s="251">
        <x:f>IF($A436="","",IF(OR($N436="",$I436="",$I436=0),"",$N436/$I436))</x:f>
      </x:c>
      <x:c r="P436" s="251">
        <x:f>IF($A436="","",IF(LOWER($L436&amp;"")="yes",0,IF($K436&lt;&gt;"",$K436,IF($O436&lt;&gt;"",$O436,""))))</x:f>
      </x:c>
      <x:c r="Q436" s="254">
        <x:f>IF($A436="","",IF($U436="Profit",$P436-$H436,0))</x:f>
      </x:c>
      <x:c r="R436" s="251">
        <x:f>IF($A436="","",IF($U436="Draw",$H436,0))</x:f>
      </x:c>
      <x:c r="S436" s="251">
        <x:f>IF($A436="","",IF($U436="Disqualified",$H436,0))</x:f>
      </x:c>
      <x:c r="T436" s="255">
        <x:f>IF($A436="","",IF($H436=0,IF($U436="Profit","N/A",0),IF($U436="Profit",$Q436/$H436,IF($U436="Disqualified",-1,0))))</x:f>
      </x:c>
      <x:c r="U436" s="254">
        <x:f>IF($A436="","",IF(LOWER($L436&amp;"")="yes","Disqualified",IF($P436&gt;$H436,"Profit","Draw")))</x:f>
      </x:c>
      <x:c r="V436" s="253">
        <x:f>IF(OR($B436="",$C436=""),"",IFERROR(ROUNDUP((IF(ISNUMBER($C436),$C436,DATEVALUE($C436))-IF(ISNUMBER($B436),$B436,DATEVALUE($B436)))/7,0),""))</x:f>
      </x:c>
      <x:c r="W436" s="254">
        <x:f>$Q436-$S436</x:f>
      </x:c>
      <x:c r="X436" s="256">
        <x:f>IF(OR($J436="",$I436="",$J436=0,$I436=0,$I436&gt;$J436),"",$J436-$I436)</x:f>
      </x:c>
      <x:c r="Y436" s="257">
        <x:f>IF(OR($J436="",$J436=0,$X436=""),"",$X436/$J436)</x:f>
      </x:c>
    </x:row>
    <x:row r="437" s="106" customFormat="1" ht="21" customHeight="1">
      <x:c r="A437" s="54" t="n"/>
      <x:c r="B437" s="250" t="n"/>
      <x:c r="C437" s="250" t="n"/>
      <x:c r="D437" s="54" t="n"/>
      <x:c r="E437" s="251" t="n"/>
      <x:c r="F437" s="251" t="n"/>
      <x:c r="G437" s="251" t="n"/>
      <x:c r="H437" s="251" t="n"/>
      <x:c r="I437" s="252" t="n"/>
      <x:c r="J437" s="253" t="n"/>
      <x:c r="K437" s="254" t="n"/>
      <x:c r="L437" s="50" t="n"/>
      <x:c r="M437" s="251" t="n"/>
      <x:c r="N437" s="251">
        <x:f>IF($A437="","",IF($G437="","",IF(ISNUMBER(SEARCH("non",LOWER($E437&amp;""))),$G437*0.85,$G437)))</x:f>
      </x:c>
      <x:c r="O437" s="251">
        <x:f>IF($A437="","",IF(OR($N437="",$I437="",$I437=0),"",$N437/$I437))</x:f>
      </x:c>
      <x:c r="P437" s="251">
        <x:f>IF($A437="","",IF(LOWER($L437&amp;"")="yes",0,IF($K437&lt;&gt;"",$K437,IF($O437&lt;&gt;"",$O437,""))))</x:f>
      </x:c>
      <x:c r="Q437" s="254">
        <x:f>IF($A437="","",IF($U437="Profit",$P437-$H437,0))</x:f>
      </x:c>
      <x:c r="R437" s="251">
        <x:f>IF($A437="","",IF($U437="Draw",$H437,0))</x:f>
      </x:c>
      <x:c r="S437" s="251">
        <x:f>IF($A437="","",IF($U437="Disqualified",$H437,0))</x:f>
      </x:c>
      <x:c r="T437" s="255">
        <x:f>IF($A437="","",IF($H437=0,IF($U437="Profit","N/A",0),IF($U437="Profit",$Q437/$H437,IF($U437="Disqualified",-1,0))))</x:f>
      </x:c>
      <x:c r="U437" s="254">
        <x:f>IF($A437="","",IF(LOWER($L437&amp;"")="yes","Disqualified",IF($P437&gt;$H437,"Profit","Draw")))</x:f>
      </x:c>
      <x:c r="V437" s="253">
        <x:f>IF(OR($B437="",$C437=""),"",IFERROR(ROUNDUP((IF(ISNUMBER($C437),$C437,DATEVALUE($C437))-IF(ISNUMBER($B437),$B437,DATEVALUE($B437)))/7,0),""))</x:f>
      </x:c>
      <x:c r="W437" s="254">
        <x:f>$Q437-$S437</x:f>
      </x:c>
      <x:c r="X437" s="256">
        <x:f>IF(OR($J437="",$I437="",$J437=0,$I437=0,$I437&gt;$J437),"",$J437-$I437)</x:f>
      </x:c>
      <x:c r="Y437" s="257">
        <x:f>IF(OR($J437="",$J437=0,$X437=""),"",$X437/$J437)</x:f>
      </x:c>
    </x:row>
    <x:row r="438" s="106" customFormat="1" ht="21" customHeight="1">
      <x:c r="A438" s="54" t="n"/>
      <x:c r="B438" s="250" t="n"/>
      <x:c r="C438" s="250" t="n"/>
      <x:c r="D438" s="54" t="n"/>
      <x:c r="E438" s="251" t="n"/>
      <x:c r="F438" s="251" t="n"/>
      <x:c r="G438" s="251" t="n"/>
      <x:c r="H438" s="251" t="n"/>
      <x:c r="I438" s="252" t="n"/>
      <x:c r="J438" s="253" t="n"/>
      <x:c r="K438" s="254" t="n"/>
      <x:c r="L438" s="50" t="n"/>
      <x:c r="M438" s="251" t="n"/>
      <x:c r="N438" s="251">
        <x:f>IF($A438="","",IF($G438="","",IF(ISNUMBER(SEARCH("non",LOWER($E438&amp;""))),$G438*0.85,$G438)))</x:f>
      </x:c>
      <x:c r="O438" s="251">
        <x:f>IF($A438="","",IF(OR($N438="",$I438="",$I438=0),"",$N438/$I438))</x:f>
      </x:c>
      <x:c r="P438" s="251">
        <x:f>IF($A438="","",IF(LOWER($L438&amp;"")="yes",0,IF($K438&lt;&gt;"",$K438,IF($O438&lt;&gt;"",$O438,""))))</x:f>
      </x:c>
      <x:c r="Q438" s="254">
        <x:f>IF($A438="","",IF($U438="Profit",$P438-$H438,0))</x:f>
      </x:c>
      <x:c r="R438" s="251">
        <x:f>IF($A438="","",IF($U438="Draw",$H438,0))</x:f>
      </x:c>
      <x:c r="S438" s="251">
        <x:f>IF($A438="","",IF($U438="Disqualified",$H438,0))</x:f>
      </x:c>
      <x:c r="T438" s="255">
        <x:f>IF($A438="","",IF($H438=0,IF($U438="Profit","N/A",0),IF($U438="Profit",$Q438/$H438,IF($U438="Disqualified",-1,0))))</x:f>
      </x:c>
      <x:c r="U438" s="254">
        <x:f>IF($A438="","",IF(LOWER($L438&amp;"")="yes","Disqualified",IF($P438&gt;$H438,"Profit","Draw")))</x:f>
      </x:c>
      <x:c r="V438" s="253">
        <x:f>IF(OR($B438="",$C438=""),"",IFERROR(ROUNDUP((IF(ISNUMBER($C438),$C438,DATEVALUE($C438))-IF(ISNUMBER($B438),$B438,DATEVALUE($B438)))/7,0),""))</x:f>
      </x:c>
      <x:c r="W438" s="254">
        <x:f>$Q438-$S438</x:f>
      </x:c>
      <x:c r="X438" s="256">
        <x:f>IF(OR($J438="",$I438="",$J438=0,$I438=0,$I438&gt;$J438),"",$J438-$I438)</x:f>
      </x:c>
      <x:c r="Y438" s="257">
        <x:f>IF(OR($J438="",$J438=0,$X438=""),"",$X438/$J438)</x:f>
      </x:c>
    </x:row>
    <x:row r="439" s="106" customFormat="1" ht="21" customHeight="1">
      <x:c r="A439" s="54" t="n"/>
      <x:c r="B439" s="250" t="n"/>
      <x:c r="C439" s="250" t="n"/>
      <x:c r="D439" s="54" t="n"/>
      <x:c r="E439" s="251" t="n"/>
      <x:c r="F439" s="251" t="n"/>
      <x:c r="G439" s="251" t="n"/>
      <x:c r="H439" s="251" t="n"/>
      <x:c r="I439" s="252" t="n"/>
      <x:c r="J439" s="253" t="n"/>
      <x:c r="K439" s="254" t="n"/>
      <x:c r="L439" s="50" t="n"/>
      <x:c r="M439" s="251" t="n"/>
      <x:c r="N439" s="251">
        <x:f>IF($A439="","",IF($G439="","",IF(ISNUMBER(SEARCH("non",LOWER($E439&amp;""))),$G439*0.85,$G439)))</x:f>
      </x:c>
      <x:c r="O439" s="251">
        <x:f>IF($A439="","",IF(OR($N439="",$I439="",$I439=0),"",$N439/$I439))</x:f>
      </x:c>
      <x:c r="P439" s="251">
        <x:f>IF($A439="","",IF(LOWER($L439&amp;"")="yes",0,IF($K439&lt;&gt;"",$K439,IF($O439&lt;&gt;"",$O439,""))))</x:f>
      </x:c>
      <x:c r="Q439" s="254">
        <x:f>IF($A439="","",IF($U439="Profit",$P439-$H439,0))</x:f>
      </x:c>
      <x:c r="R439" s="251">
        <x:f>IF($A439="","",IF($U439="Draw",$H439,0))</x:f>
      </x:c>
      <x:c r="S439" s="251">
        <x:f>IF($A439="","",IF($U439="Disqualified",$H439,0))</x:f>
      </x:c>
      <x:c r="T439" s="255">
        <x:f>IF($A439="","",IF($H439=0,IF($U439="Profit","N/A",0),IF($U439="Profit",$Q439/$H439,IF($U439="Disqualified",-1,0))))</x:f>
      </x:c>
      <x:c r="U439" s="254">
        <x:f>IF($A439="","",IF(LOWER($L439&amp;"")="yes","Disqualified",IF($P439&gt;$H439,"Profit","Draw")))</x:f>
      </x:c>
      <x:c r="V439" s="253">
        <x:f>IF(OR($B439="",$C439=""),"",IFERROR(ROUNDUP((IF(ISNUMBER($C439),$C439,DATEVALUE($C439))-IF(ISNUMBER($B439),$B439,DATEVALUE($B439)))/7,0),""))</x:f>
      </x:c>
      <x:c r="W439" s="254">
        <x:f>$Q439-$S439</x:f>
      </x:c>
      <x:c r="X439" s="256">
        <x:f>IF(OR($J439="",$I439="",$J439=0,$I439=0,$I439&gt;$J439),"",$J439-$I439)</x:f>
      </x:c>
      <x:c r="Y439" s="257">
        <x:f>IF(OR($J439="",$J439=0,$X439=""),"",$X439/$J439)</x:f>
      </x:c>
    </x:row>
    <x:row r="440" s="106" customFormat="1" ht="21" customHeight="1">
      <x:c r="A440" s="54" t="n"/>
      <x:c r="B440" s="250" t="n"/>
      <x:c r="C440" s="250" t="n"/>
      <x:c r="D440" s="54" t="n"/>
      <x:c r="E440" s="251" t="n"/>
      <x:c r="F440" s="251" t="n"/>
      <x:c r="G440" s="251" t="n"/>
      <x:c r="H440" s="251" t="n"/>
      <x:c r="I440" s="252" t="n"/>
      <x:c r="J440" s="253" t="n"/>
      <x:c r="K440" s="254" t="n"/>
      <x:c r="L440" s="50" t="n"/>
      <x:c r="M440" s="251" t="n"/>
      <x:c r="N440" s="251">
        <x:f>IF($A440="","",IF($G440="","",IF(ISNUMBER(SEARCH("non",LOWER($E440&amp;""))),$G440*0.85,$G440)))</x:f>
      </x:c>
      <x:c r="O440" s="251">
        <x:f>IF($A440="","",IF(OR($N440="",$I440="",$I440=0),"",$N440/$I440))</x:f>
      </x:c>
      <x:c r="P440" s="251">
        <x:f>IF($A440="","",IF(LOWER($L440&amp;"")="yes",0,IF($K440&lt;&gt;"",$K440,IF($O440&lt;&gt;"",$O440,""))))</x:f>
      </x:c>
      <x:c r="Q440" s="254">
        <x:f>IF($A440="","",IF($U440="Profit",$P440-$H440,0))</x:f>
      </x:c>
      <x:c r="R440" s="251">
        <x:f>IF($A440="","",IF($U440="Draw",$H440,0))</x:f>
      </x:c>
      <x:c r="S440" s="251">
        <x:f>IF($A440="","",IF($U440="Disqualified",$H440,0))</x:f>
      </x:c>
      <x:c r="T440" s="255">
        <x:f>IF($A440="","",IF($H440=0,IF($U440="Profit","N/A",0),IF($U440="Profit",$Q440/$H440,IF($U440="Disqualified",-1,0))))</x:f>
      </x:c>
      <x:c r="U440" s="254">
        <x:f>IF($A440="","",IF(LOWER($L440&amp;"")="yes","Disqualified",IF($P440&gt;$H440,"Profit","Draw")))</x:f>
      </x:c>
      <x:c r="V440" s="253">
        <x:f>IF(OR($B440="",$C440=""),"",IFERROR(ROUNDUP((IF(ISNUMBER($C440),$C440,DATEVALUE($C440))-IF(ISNUMBER($B440),$B440,DATEVALUE($B440)))/7,0),""))</x:f>
      </x:c>
      <x:c r="W440" s="254">
        <x:f>$Q440-$S440</x:f>
      </x:c>
      <x:c r="X440" s="256">
        <x:f>IF(OR($J440="",$I440="",$J440=0,$I440=0,$I440&gt;$J440),"",$J440-$I440)</x:f>
      </x:c>
      <x:c r="Y440" s="257">
        <x:f>IF(OR($J440="",$J440=0,$X440=""),"",$X440/$J440)</x:f>
      </x:c>
    </x:row>
    <x:row r="441" s="106" customFormat="1" ht="21" customHeight="1">
      <x:c r="A441" s="54" t="n"/>
      <x:c r="B441" s="250" t="n"/>
      <x:c r="C441" s="250" t="n"/>
      <x:c r="D441" s="54" t="n"/>
      <x:c r="E441" s="251" t="n"/>
      <x:c r="F441" s="251" t="n"/>
      <x:c r="G441" s="251" t="n"/>
      <x:c r="H441" s="251" t="n"/>
      <x:c r="I441" s="252" t="n"/>
      <x:c r="J441" s="253" t="n"/>
      <x:c r="K441" s="254" t="n"/>
      <x:c r="L441" s="50" t="n"/>
      <x:c r="M441" s="251" t="n"/>
      <x:c r="N441" s="251">
        <x:f>IF($A441="","",IF($G441="","",IF(ISNUMBER(SEARCH("non",LOWER($E441&amp;""))),$G441*0.85,$G441)))</x:f>
      </x:c>
      <x:c r="O441" s="251">
        <x:f>IF($A441="","",IF(OR($N441="",$I441="",$I441=0),"",$N441/$I441))</x:f>
      </x:c>
      <x:c r="P441" s="251">
        <x:f>IF($A441="","",IF(LOWER($L441&amp;"")="yes",0,IF($K441&lt;&gt;"",$K441,IF($O441&lt;&gt;"",$O441,""))))</x:f>
      </x:c>
      <x:c r="Q441" s="254">
        <x:f>IF($A441="","",IF($U441="Profit",$P441-$H441,0))</x:f>
      </x:c>
      <x:c r="R441" s="251">
        <x:f>IF($A441="","",IF($U441="Draw",$H441,0))</x:f>
      </x:c>
      <x:c r="S441" s="251">
        <x:f>IF($A441="","",IF($U441="Disqualified",$H441,0))</x:f>
      </x:c>
      <x:c r="T441" s="255">
        <x:f>IF($A441="","",IF($H441=0,IF($U441="Profit","N/A",0),IF($U441="Profit",$Q441/$H441,IF($U441="Disqualified",-1,0))))</x:f>
      </x:c>
      <x:c r="U441" s="254">
        <x:f>IF($A441="","",IF(LOWER($L441&amp;"")="yes","Disqualified",IF($P441&gt;$H441,"Profit","Draw")))</x:f>
      </x:c>
      <x:c r="V441" s="253">
        <x:f>IF(OR($B441="",$C441=""),"",IFERROR(ROUNDUP((IF(ISNUMBER($C441),$C441,DATEVALUE($C441))-IF(ISNUMBER($B441),$B441,DATEVALUE($B441)))/7,0),""))</x:f>
      </x:c>
      <x:c r="W441" s="254">
        <x:f>$Q441-$S441</x:f>
      </x:c>
      <x:c r="X441" s="256">
        <x:f>IF(OR($J441="",$I441="",$J441=0,$I441=0,$I441&gt;$J441),"",$J441-$I441)</x:f>
      </x:c>
      <x:c r="Y441" s="257">
        <x:f>IF(OR($J441="",$J441=0,$X441=""),"",$X441/$J441)</x:f>
      </x:c>
    </x:row>
    <x:row r="442" s="106" customFormat="1" ht="21" customHeight="1">
      <x:c r="A442" s="54" t="n"/>
      <x:c r="B442" s="250" t="n"/>
      <x:c r="C442" s="250" t="n"/>
      <x:c r="D442" s="54" t="n"/>
      <x:c r="E442" s="251" t="n"/>
      <x:c r="F442" s="251" t="n"/>
      <x:c r="G442" s="251" t="n"/>
      <x:c r="H442" s="251" t="n"/>
      <x:c r="I442" s="252" t="n"/>
      <x:c r="J442" s="253" t="n"/>
      <x:c r="K442" s="254" t="n"/>
      <x:c r="L442" s="50" t="n"/>
      <x:c r="M442" s="251" t="n"/>
      <x:c r="N442" s="251">
        <x:f>IF($A442="","",IF($G442="","",IF(ISNUMBER(SEARCH("non",LOWER($E442&amp;""))),$G442*0.85,$G442)))</x:f>
      </x:c>
      <x:c r="O442" s="251">
        <x:f>IF($A442="","",IF(OR($N442="",$I442="",$I442=0),"",$N442/$I442))</x:f>
      </x:c>
      <x:c r="P442" s="251">
        <x:f>IF($A442="","",IF(LOWER($L442&amp;"")="yes",0,IF($K442&lt;&gt;"",$K442,IF($O442&lt;&gt;"",$O442,""))))</x:f>
      </x:c>
      <x:c r="Q442" s="254">
        <x:f>IF($A442="","",IF($U442="Profit",$P442-$H442,0))</x:f>
      </x:c>
      <x:c r="R442" s="251">
        <x:f>IF($A442="","",IF($U442="Draw",$H442,0))</x:f>
      </x:c>
      <x:c r="S442" s="251">
        <x:f>IF($A442="","",IF($U442="Disqualified",$H442,0))</x:f>
      </x:c>
      <x:c r="T442" s="255">
        <x:f>IF($A442="","",IF($H442=0,IF($U442="Profit","N/A",0),IF($U442="Profit",$Q442/$H442,IF($U442="Disqualified",-1,0))))</x:f>
      </x:c>
      <x:c r="U442" s="254">
        <x:f>IF($A442="","",IF(LOWER($L442&amp;"")="yes","Disqualified",IF($P442&gt;$H442,"Profit","Draw")))</x:f>
      </x:c>
      <x:c r="V442" s="253">
        <x:f>IF(OR($B442="",$C442=""),"",IFERROR(ROUNDUP((IF(ISNUMBER($C442),$C442,DATEVALUE($C442))-IF(ISNUMBER($B442),$B442,DATEVALUE($B442)))/7,0),""))</x:f>
      </x:c>
      <x:c r="W442" s="254">
        <x:f>$Q442-$S442</x:f>
      </x:c>
      <x:c r="X442" s="256">
        <x:f>IF(OR($J442="",$I442="",$J442=0,$I442=0,$I442&gt;$J442),"",$J442-$I442)</x:f>
      </x:c>
      <x:c r="Y442" s="257">
        <x:f>IF(OR($J442="",$J442=0,$X442=""),"",$X442/$J442)</x:f>
      </x:c>
    </x:row>
    <x:row r="443" s="106" customFormat="1" ht="21" customHeight="1">
      <x:c r="A443" s="54" t="n"/>
      <x:c r="B443" s="250" t="n"/>
      <x:c r="C443" s="250" t="n"/>
      <x:c r="D443" s="54" t="n"/>
      <x:c r="E443" s="251" t="n"/>
      <x:c r="F443" s="251" t="n"/>
      <x:c r="G443" s="251" t="n"/>
      <x:c r="H443" s="251" t="n"/>
      <x:c r="I443" s="252" t="n"/>
      <x:c r="J443" s="253" t="n"/>
      <x:c r="K443" s="254" t="n"/>
      <x:c r="L443" s="50" t="n"/>
      <x:c r="M443" s="251" t="n"/>
      <x:c r="N443" s="251">
        <x:f>IF($A443="","",IF($G443="","",IF(ISNUMBER(SEARCH("non",LOWER($E443&amp;""))),$G443*0.85,$G443)))</x:f>
      </x:c>
      <x:c r="O443" s="251">
        <x:f>IF($A443="","",IF(OR($N443="",$I443="",$I443=0),"",$N443/$I443))</x:f>
      </x:c>
      <x:c r="P443" s="251">
        <x:f>IF($A443="","",IF(LOWER($L443&amp;"")="yes",0,IF($K443&lt;&gt;"",$K443,IF($O443&lt;&gt;"",$O443,""))))</x:f>
      </x:c>
      <x:c r="Q443" s="254">
        <x:f>IF($A443="","",IF($U443="Profit",$P443-$H443,0))</x:f>
      </x:c>
      <x:c r="R443" s="251">
        <x:f>IF($A443="","",IF($U443="Draw",$H443,0))</x:f>
      </x:c>
      <x:c r="S443" s="251">
        <x:f>IF($A443="","",IF($U443="Disqualified",$H443,0))</x:f>
      </x:c>
      <x:c r="T443" s="255">
        <x:f>IF($A443="","",IF($H443=0,IF($U443="Profit","N/A",0),IF($U443="Profit",$Q443/$H443,IF($U443="Disqualified",-1,0))))</x:f>
      </x:c>
      <x:c r="U443" s="254">
        <x:f>IF($A443="","",IF(LOWER($L443&amp;"")="yes","Disqualified",IF($P443&gt;$H443,"Profit","Draw")))</x:f>
      </x:c>
      <x:c r="V443" s="253">
        <x:f>IF(OR($B443="",$C443=""),"",IFERROR(ROUNDUP((IF(ISNUMBER($C443),$C443,DATEVALUE($C443))-IF(ISNUMBER($B443),$B443,DATEVALUE($B443)))/7,0),""))</x:f>
      </x:c>
      <x:c r="W443" s="254">
        <x:f>$Q443-$S443</x:f>
      </x:c>
      <x:c r="X443" s="256">
        <x:f>IF(OR($J443="",$I443="",$J443=0,$I443=0,$I443&gt;$J443),"",$J443-$I443)</x:f>
      </x:c>
      <x:c r="Y443" s="257">
        <x:f>IF(OR($J443="",$J443=0,$X443=""),"",$X443/$J443)</x:f>
      </x:c>
    </x:row>
    <x:row r="444" s="106" customFormat="1" ht="21" customHeight="1">
      <x:c r="A444" s="54" t="n"/>
      <x:c r="B444" s="250" t="n"/>
      <x:c r="C444" s="250" t="n"/>
      <x:c r="D444" s="54" t="n"/>
      <x:c r="E444" s="251" t="n"/>
      <x:c r="F444" s="251" t="n"/>
      <x:c r="G444" s="251" t="n"/>
      <x:c r="H444" s="251" t="n"/>
      <x:c r="I444" s="252" t="n"/>
      <x:c r="J444" s="253" t="n"/>
      <x:c r="K444" s="254" t="n"/>
      <x:c r="L444" s="50" t="n"/>
      <x:c r="M444" s="251" t="n"/>
      <x:c r="N444" s="251">
        <x:f>IF($A444="","",IF($G444="","",IF(ISNUMBER(SEARCH("non",LOWER($E444&amp;""))),$G444*0.85,$G444)))</x:f>
      </x:c>
      <x:c r="O444" s="251">
        <x:f>IF($A444="","",IF(OR($N444="",$I444="",$I444=0),"",$N444/$I444))</x:f>
      </x:c>
      <x:c r="P444" s="251">
        <x:f>IF($A444="","",IF(LOWER($L444&amp;"")="yes",0,IF($K444&lt;&gt;"",$K444,IF($O444&lt;&gt;"",$O444,""))))</x:f>
      </x:c>
      <x:c r="Q444" s="254">
        <x:f>IF($A444="","",IF($U444="Profit",$P444-$H444,0))</x:f>
      </x:c>
      <x:c r="R444" s="251">
        <x:f>IF($A444="","",IF($U444="Draw",$H444,0))</x:f>
      </x:c>
      <x:c r="S444" s="251">
        <x:f>IF($A444="","",IF($U444="Disqualified",$H444,0))</x:f>
      </x:c>
      <x:c r="T444" s="255">
        <x:f>IF($A444="","",IF($H444=0,IF($U444="Profit","N/A",0),IF($U444="Profit",$Q444/$H444,IF($U444="Disqualified",-1,0))))</x:f>
      </x:c>
      <x:c r="U444" s="254">
        <x:f>IF($A444="","",IF(LOWER($L444&amp;"")="yes","Disqualified",IF($P444&gt;$H444,"Profit","Draw")))</x:f>
      </x:c>
      <x:c r="V444" s="253">
        <x:f>IF(OR($B444="",$C444=""),"",IFERROR(ROUNDUP((IF(ISNUMBER($C444),$C444,DATEVALUE($C444))-IF(ISNUMBER($B444),$B444,DATEVALUE($B444)))/7,0),""))</x:f>
      </x:c>
      <x:c r="W444" s="254">
        <x:f>$Q444-$S444</x:f>
      </x:c>
      <x:c r="X444" s="256">
        <x:f>IF(OR($J444="",$I444="",$J444=0,$I444=0,$I444&gt;$J444),"",$J444-$I444)</x:f>
      </x:c>
      <x:c r="Y444" s="257">
        <x:f>IF(OR($J444="",$J444=0,$X444=""),"",$X444/$J444)</x:f>
      </x:c>
    </x:row>
    <x:row r="445" s="106" customFormat="1" ht="21" customHeight="1">
      <x:c r="A445" s="54" t="n"/>
      <x:c r="B445" s="250" t="n"/>
      <x:c r="C445" s="250" t="n"/>
      <x:c r="D445" s="54" t="n"/>
      <x:c r="E445" s="251" t="n"/>
      <x:c r="F445" s="251" t="n"/>
      <x:c r="G445" s="251" t="n"/>
      <x:c r="H445" s="251" t="n"/>
      <x:c r="I445" s="252" t="n"/>
      <x:c r="J445" s="253" t="n"/>
      <x:c r="K445" s="254" t="n"/>
      <x:c r="L445" s="50" t="n"/>
      <x:c r="M445" s="251" t="n"/>
      <x:c r="N445" s="251">
        <x:f>IF($A445="","",IF($G445="","",IF(ISNUMBER(SEARCH("non",LOWER($E445&amp;""))),$G445*0.85,$G445)))</x:f>
      </x:c>
      <x:c r="O445" s="251">
        <x:f>IF($A445="","",IF(OR($N445="",$I445="",$I445=0),"",$N445/$I445))</x:f>
      </x:c>
      <x:c r="P445" s="251">
        <x:f>IF($A445="","",IF(LOWER($L445&amp;"")="yes",0,IF($K445&lt;&gt;"",$K445,IF($O445&lt;&gt;"",$O445,""))))</x:f>
      </x:c>
      <x:c r="Q445" s="254">
        <x:f>IF($A445="","",IF($U445="Profit",$P445-$H445,0))</x:f>
      </x:c>
      <x:c r="R445" s="251">
        <x:f>IF($A445="","",IF($U445="Draw",$H445,0))</x:f>
      </x:c>
      <x:c r="S445" s="251">
        <x:f>IF($A445="","",IF($U445="Disqualified",$H445,0))</x:f>
      </x:c>
      <x:c r="T445" s="255">
        <x:f>IF($A445="","",IF($H445=0,IF($U445="Profit","N/A",0),IF($U445="Profit",$Q445/$H445,IF($U445="Disqualified",-1,0))))</x:f>
      </x:c>
      <x:c r="U445" s="254">
        <x:f>IF($A445="","",IF(LOWER($L445&amp;"")="yes","Disqualified",IF($P445&gt;$H445,"Profit","Draw")))</x:f>
      </x:c>
      <x:c r="V445" s="253">
        <x:f>IF(OR($B445="",$C445=""),"",IFERROR(ROUNDUP((IF(ISNUMBER($C445),$C445,DATEVALUE($C445))-IF(ISNUMBER($B445),$B445,DATEVALUE($B445)))/7,0),""))</x:f>
      </x:c>
      <x:c r="W445" s="254">
        <x:f>$Q445-$S445</x:f>
      </x:c>
      <x:c r="X445" s="256">
        <x:f>IF(OR($J445="",$I445="",$J445=0,$I445=0,$I445&gt;$J445),"",$J445-$I445)</x:f>
      </x:c>
      <x:c r="Y445" s="257">
        <x:f>IF(OR($J445="",$J445=0,$X445=""),"",$X445/$J445)</x:f>
      </x:c>
    </x:row>
    <x:row r="446" s="106" customFormat="1" ht="21" customHeight="1">
      <x:c r="A446" s="54" t="n"/>
      <x:c r="B446" s="250" t="n"/>
      <x:c r="C446" s="250" t="n"/>
      <x:c r="D446" s="54" t="n"/>
      <x:c r="E446" s="251" t="n"/>
      <x:c r="F446" s="251" t="n"/>
      <x:c r="G446" s="251" t="n"/>
      <x:c r="H446" s="251" t="n"/>
      <x:c r="I446" s="252" t="n"/>
      <x:c r="J446" s="253" t="n"/>
      <x:c r="K446" s="254" t="n"/>
      <x:c r="L446" s="50" t="n"/>
      <x:c r="M446" s="251" t="n"/>
      <x:c r="N446" s="251">
        <x:f>IF($A446="","",IF($G446="","",IF(ISNUMBER(SEARCH("non",LOWER($E446&amp;""))),$G446*0.85,$G446)))</x:f>
      </x:c>
      <x:c r="O446" s="251">
        <x:f>IF($A446="","",IF(OR($N446="",$I446="",$I446=0),"",$N446/$I446))</x:f>
      </x:c>
      <x:c r="P446" s="251">
        <x:f>IF($A446="","",IF(LOWER($L446&amp;"")="yes",0,IF($K446&lt;&gt;"",$K446,IF($O446&lt;&gt;"",$O446,""))))</x:f>
      </x:c>
      <x:c r="Q446" s="254">
        <x:f>IF($A446="","",IF($U446="Profit",$P446-$H446,0))</x:f>
      </x:c>
      <x:c r="R446" s="251">
        <x:f>IF($A446="","",IF($U446="Draw",$H446,0))</x:f>
      </x:c>
      <x:c r="S446" s="251">
        <x:f>IF($A446="","",IF($U446="Disqualified",$H446,0))</x:f>
      </x:c>
      <x:c r="T446" s="255">
        <x:f>IF($A446="","",IF($H446=0,IF($U446="Profit","N/A",0),IF($U446="Profit",$Q446/$H446,IF($U446="Disqualified",-1,0))))</x:f>
      </x:c>
      <x:c r="U446" s="254">
        <x:f>IF($A446="","",IF(LOWER($L446&amp;"")="yes","Disqualified",IF($P446&gt;$H446,"Profit","Draw")))</x:f>
      </x:c>
      <x:c r="V446" s="253">
        <x:f>IF(OR($B446="",$C446=""),"",IFERROR(ROUNDUP((IF(ISNUMBER($C446),$C446,DATEVALUE($C446))-IF(ISNUMBER($B446),$B446,DATEVALUE($B446)))/7,0),""))</x:f>
      </x:c>
      <x:c r="W446" s="254">
        <x:f>$Q446-$S446</x:f>
      </x:c>
      <x:c r="X446" s="256">
        <x:f>IF(OR($J446="",$I446="",$J446=0,$I446=0,$I446&gt;$J446),"",$J446-$I446)</x:f>
      </x:c>
      <x:c r="Y446" s="257">
        <x:f>IF(OR($J446="",$J446=0,$X446=""),"",$X446/$J446)</x:f>
      </x:c>
    </x:row>
    <x:row r="447" s="106" customFormat="1" ht="21" customHeight="1">
      <x:c r="A447" s="54" t="n"/>
      <x:c r="B447" s="250" t="n"/>
      <x:c r="C447" s="250" t="n"/>
      <x:c r="D447" s="54" t="n"/>
      <x:c r="E447" s="251" t="n"/>
      <x:c r="F447" s="251" t="n"/>
      <x:c r="G447" s="251" t="n"/>
      <x:c r="H447" s="251" t="n"/>
      <x:c r="I447" s="252" t="n"/>
      <x:c r="J447" s="253" t="n"/>
      <x:c r="K447" s="254" t="n"/>
      <x:c r="L447" s="50" t="n"/>
      <x:c r="M447" s="251" t="n"/>
      <x:c r="N447" s="251">
        <x:f>IF($A447="","",IF($G447="","",IF(ISNUMBER(SEARCH("non",LOWER($E447&amp;""))),$G447*0.85,$G447)))</x:f>
      </x:c>
      <x:c r="O447" s="251">
        <x:f>IF($A447="","",IF(OR($N447="",$I447="",$I447=0),"",$N447/$I447))</x:f>
      </x:c>
      <x:c r="P447" s="251">
        <x:f>IF($A447="","",IF(LOWER($L447&amp;"")="yes",0,IF($K447&lt;&gt;"",$K447,IF($O447&lt;&gt;"",$O447,""))))</x:f>
      </x:c>
      <x:c r="Q447" s="254">
        <x:f>IF($A447="","",IF($U447="Profit",$P447-$H447,0))</x:f>
      </x:c>
      <x:c r="R447" s="251">
        <x:f>IF($A447="","",IF($U447="Draw",$H447,0))</x:f>
      </x:c>
      <x:c r="S447" s="251">
        <x:f>IF($A447="","",IF($U447="Disqualified",$H447,0))</x:f>
      </x:c>
      <x:c r="T447" s="255">
        <x:f>IF($A447="","",IF($H447=0,IF($U447="Profit","N/A",0),IF($U447="Profit",$Q447/$H447,IF($U447="Disqualified",-1,0))))</x:f>
      </x:c>
      <x:c r="U447" s="254">
        <x:f>IF($A447="","",IF(LOWER($L447&amp;"")="yes","Disqualified",IF($P447&gt;$H447,"Profit","Draw")))</x:f>
      </x:c>
      <x:c r="V447" s="253">
        <x:f>IF(OR($B447="",$C447=""),"",IFERROR(ROUNDUP((IF(ISNUMBER($C447),$C447,DATEVALUE($C447))-IF(ISNUMBER($B447),$B447,DATEVALUE($B447)))/7,0),""))</x:f>
      </x:c>
      <x:c r="W447" s="254">
        <x:f>$Q447-$S447</x:f>
      </x:c>
      <x:c r="X447" s="256">
        <x:f>IF(OR($J447="",$I447="",$J447=0,$I447=0,$I447&gt;$J447),"",$J447-$I447)</x:f>
      </x:c>
      <x:c r="Y447" s="257">
        <x:f>IF(OR($J447="",$J447=0,$X447=""),"",$X447/$J447)</x:f>
      </x:c>
    </x:row>
    <x:row r="448" s="106" customFormat="1" ht="21" customHeight="1">
      <x:c r="A448" s="54" t="n"/>
      <x:c r="B448" s="250" t="n"/>
      <x:c r="C448" s="250" t="n"/>
      <x:c r="D448" s="54" t="n"/>
      <x:c r="E448" s="251" t="n"/>
      <x:c r="F448" s="251" t="n"/>
      <x:c r="G448" s="251" t="n"/>
      <x:c r="H448" s="251" t="n"/>
      <x:c r="I448" s="252" t="n"/>
      <x:c r="J448" s="253" t="n"/>
      <x:c r="K448" s="254" t="n"/>
      <x:c r="L448" s="50" t="n"/>
      <x:c r="M448" s="251" t="n"/>
      <x:c r="N448" s="251">
        <x:f>IF($A448="","",IF($G448="","",IF(ISNUMBER(SEARCH("non",LOWER($E448&amp;""))),$G448*0.85,$G448)))</x:f>
      </x:c>
      <x:c r="O448" s="251">
        <x:f>IF($A448="","",IF(OR($N448="",$I448="",$I448=0),"",$N448/$I448))</x:f>
      </x:c>
      <x:c r="P448" s="251">
        <x:f>IF($A448="","",IF(LOWER($L448&amp;"")="yes",0,IF($K448&lt;&gt;"",$K448,IF($O448&lt;&gt;"",$O448,""))))</x:f>
      </x:c>
      <x:c r="Q448" s="254">
        <x:f>IF($A448="","",IF($U448="Profit",$P448-$H448,0))</x:f>
      </x:c>
      <x:c r="R448" s="251">
        <x:f>IF($A448="","",IF($U448="Draw",$H448,0))</x:f>
      </x:c>
      <x:c r="S448" s="251">
        <x:f>IF($A448="","",IF($U448="Disqualified",$H448,0))</x:f>
      </x:c>
      <x:c r="T448" s="255">
        <x:f>IF($A448="","",IF($H448=0,IF($U448="Profit","N/A",0),IF($U448="Profit",$Q448/$H448,IF($U448="Disqualified",-1,0))))</x:f>
      </x:c>
      <x:c r="U448" s="254">
        <x:f>IF($A448="","",IF(LOWER($L448&amp;"")="yes","Disqualified",IF($P448&gt;$H448,"Profit","Draw")))</x:f>
      </x:c>
      <x:c r="V448" s="253">
        <x:f>IF(OR($B448="",$C448=""),"",IFERROR(ROUNDUP((IF(ISNUMBER($C448),$C448,DATEVALUE($C448))-IF(ISNUMBER($B448),$B448,DATEVALUE($B448)))/7,0),""))</x:f>
      </x:c>
      <x:c r="W448" s="254">
        <x:f>$Q448-$S448</x:f>
      </x:c>
      <x:c r="X448" s="256">
        <x:f>IF(OR($J448="",$I448="",$J448=0,$I448=0,$I448&gt;$J448),"",$J448-$I448)</x:f>
      </x:c>
      <x:c r="Y448" s="257">
        <x:f>IF(OR($J448="",$J448=0,$X448=""),"",$X448/$J448)</x:f>
      </x:c>
    </x:row>
    <x:row r="449" s="106" customFormat="1" ht="21" customHeight="1">
      <x:c r="A449" s="54" t="n"/>
      <x:c r="B449" s="250" t="n"/>
      <x:c r="C449" s="250" t="n"/>
      <x:c r="D449" s="54" t="n"/>
      <x:c r="E449" s="251" t="n"/>
      <x:c r="F449" s="251" t="n"/>
      <x:c r="G449" s="251" t="n"/>
      <x:c r="H449" s="251" t="n"/>
      <x:c r="I449" s="252" t="n"/>
      <x:c r="J449" s="253" t="n"/>
      <x:c r="K449" s="254" t="n"/>
      <x:c r="L449" s="50" t="n"/>
      <x:c r="M449" s="251" t="n"/>
      <x:c r="N449" s="251">
        <x:f>IF($A449="","",IF($G449="","",IF(ISNUMBER(SEARCH("non",LOWER($E449&amp;""))),$G449*0.85,$G449)))</x:f>
      </x:c>
      <x:c r="O449" s="251">
        <x:f>IF($A449="","",IF(OR($N449="",$I449="",$I449=0),"",$N449/$I449))</x:f>
      </x:c>
      <x:c r="P449" s="251">
        <x:f>IF($A449="","",IF(LOWER($L449&amp;"")="yes",0,IF($K449&lt;&gt;"",$K449,IF($O449&lt;&gt;"",$O449,""))))</x:f>
      </x:c>
      <x:c r="Q449" s="254">
        <x:f>IF($A449="","",IF($U449="Profit",$P449-$H449,0))</x:f>
      </x:c>
      <x:c r="R449" s="251">
        <x:f>IF($A449="","",IF($U449="Draw",$H449,0))</x:f>
      </x:c>
      <x:c r="S449" s="251">
        <x:f>IF($A449="","",IF($U449="Disqualified",$H449,0))</x:f>
      </x:c>
      <x:c r="T449" s="255">
        <x:f>IF($A449="","",IF($H449=0,IF($U449="Profit","N/A",0),IF($U449="Profit",$Q449/$H449,IF($U449="Disqualified",-1,0))))</x:f>
      </x:c>
      <x:c r="U449" s="254">
        <x:f>IF($A449="","",IF(LOWER($L449&amp;"")="yes","Disqualified",IF($P449&gt;$H449,"Profit","Draw")))</x:f>
      </x:c>
      <x:c r="V449" s="253">
        <x:f>IF(OR($B449="",$C449=""),"",IFERROR(ROUNDUP((IF(ISNUMBER($C449),$C449,DATEVALUE($C449))-IF(ISNUMBER($B449),$B449,DATEVALUE($B449)))/7,0),""))</x:f>
      </x:c>
      <x:c r="W449" s="254">
        <x:f>$Q449-$S449</x:f>
      </x:c>
      <x:c r="X449" s="256">
        <x:f>IF(OR($J449="",$I449="",$J449=0,$I449=0,$I449&gt;$J449),"",$J449-$I449)</x:f>
      </x:c>
      <x:c r="Y449" s="257">
        <x:f>IF(OR($J449="",$J449=0,$X449=""),"",$X449/$J449)</x:f>
      </x:c>
    </x:row>
    <x:row r="450" s="106" customFormat="1" ht="21" customHeight="1">
      <x:c r="A450" s="54" t="n"/>
      <x:c r="B450" s="250" t="n"/>
      <x:c r="C450" s="250" t="n"/>
      <x:c r="D450" s="54" t="n"/>
      <x:c r="E450" s="251" t="n"/>
      <x:c r="F450" s="251" t="n"/>
      <x:c r="G450" s="251" t="n"/>
      <x:c r="H450" s="251" t="n"/>
      <x:c r="I450" s="252" t="n"/>
      <x:c r="J450" s="253" t="n"/>
      <x:c r="K450" s="254" t="n"/>
      <x:c r="L450" s="50" t="n"/>
      <x:c r="M450" s="251" t="n"/>
      <x:c r="N450" s="251">
        <x:f>IF($A450="","",IF($G450="","",IF(ISNUMBER(SEARCH("non",LOWER($E450&amp;""))),$G450*0.85,$G450)))</x:f>
      </x:c>
      <x:c r="O450" s="251">
        <x:f>IF($A450="","",IF(OR($N450="",$I450="",$I450=0),"",$N450/$I450))</x:f>
      </x:c>
      <x:c r="P450" s="251">
        <x:f>IF($A450="","",IF(LOWER($L450&amp;"")="yes",0,IF($K450&lt;&gt;"",$K450,IF($O450&lt;&gt;"",$O450,""))))</x:f>
      </x:c>
      <x:c r="Q450" s="254">
        <x:f>IF($A450="","",IF($U450="Profit",$P450-$H450,0))</x:f>
      </x:c>
      <x:c r="R450" s="251">
        <x:f>IF($A450="","",IF($U450="Draw",$H450,0))</x:f>
      </x:c>
      <x:c r="S450" s="251">
        <x:f>IF($A450="","",IF($U450="Disqualified",$H450,0))</x:f>
      </x:c>
      <x:c r="T450" s="255">
        <x:f>IF($A450="","",IF($H450=0,IF($U450="Profit","N/A",0),IF($U450="Profit",$Q450/$H450,IF($U450="Disqualified",-1,0))))</x:f>
      </x:c>
      <x:c r="U450" s="254">
        <x:f>IF($A450="","",IF(LOWER($L450&amp;"")="yes","Disqualified",IF($P450&gt;$H450,"Profit","Draw")))</x:f>
      </x:c>
      <x:c r="V450" s="253">
        <x:f>IF(OR($B450="",$C450=""),"",IFERROR(ROUNDUP((IF(ISNUMBER($C450),$C450,DATEVALUE($C450))-IF(ISNUMBER($B450),$B450,DATEVALUE($B450)))/7,0),""))</x:f>
      </x:c>
      <x:c r="W450" s="254">
        <x:f>$Q450-$S450</x:f>
      </x:c>
      <x:c r="X450" s="256">
        <x:f>IF(OR($J450="",$I450="",$J450=0,$I450=0,$I450&gt;$J450),"",$J450-$I450)</x:f>
      </x:c>
      <x:c r="Y450" s="257">
        <x:f>IF(OR($J450="",$J450=0,$X450=""),"",$X450/$J450)</x:f>
      </x:c>
    </x:row>
    <x:row r="451" s="106" customFormat="1" ht="21" customHeight="1">
      <x:c r="A451" s="54" t="n"/>
      <x:c r="B451" s="250" t="n"/>
      <x:c r="C451" s="250" t="n"/>
      <x:c r="D451" s="54" t="n"/>
      <x:c r="E451" s="251" t="n"/>
      <x:c r="F451" s="251" t="n"/>
      <x:c r="G451" s="251" t="n"/>
      <x:c r="H451" s="251" t="n"/>
      <x:c r="I451" s="252" t="n"/>
      <x:c r="J451" s="253" t="n"/>
      <x:c r="K451" s="254" t="n"/>
      <x:c r="L451" s="50" t="n"/>
      <x:c r="M451" s="251" t="n"/>
      <x:c r="N451" s="251">
        <x:f>IF($A451="","",IF($G451="","",IF(ISNUMBER(SEARCH("non",LOWER($E451&amp;""))),$G451*0.85,$G451)))</x:f>
      </x:c>
      <x:c r="O451" s="251">
        <x:f>IF($A451="","",IF(OR($N451="",$I451="",$I451=0),"",$N451/$I451))</x:f>
      </x:c>
      <x:c r="P451" s="251">
        <x:f>IF($A451="","",IF(LOWER($L451&amp;"")="yes",0,IF($K451&lt;&gt;"",$K451,IF($O451&lt;&gt;"",$O451,""))))</x:f>
      </x:c>
      <x:c r="Q451" s="254">
        <x:f>IF($A451="","",IF($U451="Profit",$P451-$H451,0))</x:f>
      </x:c>
      <x:c r="R451" s="251">
        <x:f>IF($A451="","",IF($U451="Draw",$H451,0))</x:f>
      </x:c>
      <x:c r="S451" s="251">
        <x:f>IF($A451="","",IF($U451="Disqualified",$H451,0))</x:f>
      </x:c>
      <x:c r="T451" s="255">
        <x:f>IF($A451="","",IF($H451=0,IF($U451="Profit","N/A",0),IF($U451="Profit",$Q451/$H451,IF($U451="Disqualified",-1,0))))</x:f>
      </x:c>
      <x:c r="U451" s="254">
        <x:f>IF($A451="","",IF(LOWER($L451&amp;"")="yes","Disqualified",IF($P451&gt;$H451,"Profit","Draw")))</x:f>
      </x:c>
      <x:c r="V451" s="253">
        <x:f>IF(OR($B451="",$C451=""),"",IFERROR(ROUNDUP((IF(ISNUMBER($C451),$C451,DATEVALUE($C451))-IF(ISNUMBER($B451),$B451,DATEVALUE($B451)))/7,0),""))</x:f>
      </x:c>
      <x:c r="W451" s="254">
        <x:f>$Q451-$S451</x:f>
      </x:c>
      <x:c r="X451" s="256">
        <x:f>IF(OR($J451="",$I451="",$J451=0,$I451=0,$I451&gt;$J451),"",$J451-$I451)</x:f>
      </x:c>
      <x:c r="Y451" s="257">
        <x:f>IF(OR($J451="",$J451=0,$X451=""),"",$X451/$J451)</x:f>
      </x:c>
    </x:row>
    <x:row r="452" s="106" customFormat="1" ht="21" customHeight="1">
      <x:c r="A452" s="54" t="n"/>
      <x:c r="B452" s="250" t="n"/>
      <x:c r="C452" s="250" t="n"/>
      <x:c r="D452" s="54" t="n"/>
      <x:c r="E452" s="251" t="n"/>
      <x:c r="F452" s="251" t="n"/>
      <x:c r="G452" s="251" t="n"/>
      <x:c r="H452" s="251" t="n"/>
      <x:c r="I452" s="252" t="n"/>
      <x:c r="J452" s="253" t="n"/>
      <x:c r="K452" s="254" t="n"/>
      <x:c r="L452" s="50" t="n"/>
      <x:c r="M452" s="251" t="n"/>
      <x:c r="N452" s="251">
        <x:f>IF($A452="","",IF($G452="","",IF(ISNUMBER(SEARCH("non",LOWER($E452&amp;""))),$G452*0.85,$G452)))</x:f>
      </x:c>
      <x:c r="O452" s="251">
        <x:f>IF($A452="","",IF(OR($N452="",$I452="",$I452=0),"",$N452/$I452))</x:f>
      </x:c>
      <x:c r="P452" s="251">
        <x:f>IF($A452="","",IF(LOWER($L452&amp;"")="yes",0,IF($K452&lt;&gt;"",$K452,IF($O452&lt;&gt;"",$O452,""))))</x:f>
      </x:c>
      <x:c r="Q452" s="254">
        <x:f>IF($A452="","",IF($U452="Profit",$P452-$H452,0))</x:f>
      </x:c>
      <x:c r="R452" s="251">
        <x:f>IF($A452="","",IF($U452="Draw",$H452,0))</x:f>
      </x:c>
      <x:c r="S452" s="251">
        <x:f>IF($A452="","",IF($U452="Disqualified",$H452,0))</x:f>
      </x:c>
      <x:c r="T452" s="255">
        <x:f>IF($A452="","",IF($H452=0,IF($U452="Profit","N/A",0),IF($U452="Profit",$Q452/$H452,IF($U452="Disqualified",-1,0))))</x:f>
      </x:c>
      <x:c r="U452" s="254">
        <x:f>IF($A452="","",IF(LOWER($L452&amp;"")="yes","Disqualified",IF($P452&gt;$H452,"Profit","Draw")))</x:f>
      </x:c>
      <x:c r="V452" s="253">
        <x:f>IF(OR($B452="",$C452=""),"",IFERROR(ROUNDUP((IF(ISNUMBER($C452),$C452,DATEVALUE($C452))-IF(ISNUMBER($B452),$B452,DATEVALUE($B452)))/7,0),""))</x:f>
      </x:c>
      <x:c r="W452" s="254">
        <x:f>$Q452-$S452</x:f>
      </x:c>
      <x:c r="X452" s="256">
        <x:f>IF(OR($J452="",$I452="",$J452=0,$I452=0,$I452&gt;$J452),"",$J452-$I452)</x:f>
      </x:c>
      <x:c r="Y452" s="257">
        <x:f>IF(OR($J452="",$J452=0,$X452=""),"",$X452/$J452)</x:f>
      </x:c>
    </x:row>
    <x:row r="453" s="106" customFormat="1" ht="21" customHeight="1">
      <x:c r="A453" s="54" t="n"/>
      <x:c r="B453" s="250" t="n"/>
      <x:c r="C453" s="250" t="n"/>
      <x:c r="D453" s="54" t="n"/>
      <x:c r="E453" s="251" t="n"/>
      <x:c r="F453" s="251" t="n"/>
      <x:c r="G453" s="251" t="n"/>
      <x:c r="H453" s="251" t="n"/>
      <x:c r="I453" s="252" t="n"/>
      <x:c r="J453" s="253" t="n"/>
      <x:c r="K453" s="254" t="n"/>
      <x:c r="L453" s="50" t="n"/>
      <x:c r="M453" s="251" t="n"/>
      <x:c r="N453" s="251">
        <x:f>IF($A453="","",IF($G453="","",IF(ISNUMBER(SEARCH("non",LOWER($E453&amp;""))),$G453*0.85,$G453)))</x:f>
      </x:c>
      <x:c r="O453" s="251">
        <x:f>IF($A453="","",IF(OR($N453="",$I453="",$I453=0),"",$N453/$I453))</x:f>
      </x:c>
      <x:c r="P453" s="251">
        <x:f>IF($A453="","",IF(LOWER($L453&amp;"")="yes",0,IF($K453&lt;&gt;"",$K453,IF($O453&lt;&gt;"",$O453,""))))</x:f>
      </x:c>
      <x:c r="Q453" s="254">
        <x:f>IF($A453="","",IF($U453="Profit",$P453-$H453,0))</x:f>
      </x:c>
      <x:c r="R453" s="251">
        <x:f>IF($A453="","",IF($U453="Draw",$H453,0))</x:f>
      </x:c>
      <x:c r="S453" s="251">
        <x:f>IF($A453="","",IF($U453="Disqualified",$H453,0))</x:f>
      </x:c>
      <x:c r="T453" s="255">
        <x:f>IF($A453="","",IF($H453=0,IF($U453="Profit","N/A",0),IF($U453="Profit",$Q453/$H453,IF($U453="Disqualified",-1,0))))</x:f>
      </x:c>
      <x:c r="U453" s="254">
        <x:f>IF($A453="","",IF(LOWER($L453&amp;"")="yes","Disqualified",IF($P453&gt;$H453,"Profit","Draw")))</x:f>
      </x:c>
      <x:c r="V453" s="253">
        <x:f>IF(OR($B453="",$C453=""),"",IFERROR(ROUNDUP((IF(ISNUMBER($C453),$C453,DATEVALUE($C453))-IF(ISNUMBER($B453),$B453,DATEVALUE($B453)))/7,0),""))</x:f>
      </x:c>
      <x:c r="W453" s="254">
        <x:f>$Q453-$S453</x:f>
      </x:c>
      <x:c r="X453" s="256">
        <x:f>IF(OR($J453="",$I453="",$J453=0,$I453=0,$I453&gt;$J453),"",$J453-$I453)</x:f>
      </x:c>
      <x:c r="Y453" s="257">
        <x:f>IF(OR($J453="",$J453=0,$X453=""),"",$X453/$J453)</x:f>
      </x:c>
    </x:row>
    <x:row r="454" s="106" customFormat="1" ht="21" customHeight="1">
      <x:c r="A454" s="54" t="n"/>
      <x:c r="B454" s="250" t="n"/>
      <x:c r="C454" s="250" t="n"/>
      <x:c r="D454" s="54" t="n"/>
      <x:c r="E454" s="251" t="n"/>
      <x:c r="F454" s="251" t="n"/>
      <x:c r="G454" s="251" t="n"/>
      <x:c r="H454" s="251" t="n"/>
      <x:c r="I454" s="252" t="n"/>
      <x:c r="J454" s="253" t="n"/>
      <x:c r="K454" s="254" t="n"/>
      <x:c r="L454" s="50" t="n"/>
      <x:c r="M454" s="251" t="n"/>
      <x:c r="N454" s="251">
        <x:f>IF($A454="","",IF($G454="","",IF(ISNUMBER(SEARCH("non",LOWER($E454&amp;""))),$G454*0.85,$G454)))</x:f>
      </x:c>
      <x:c r="O454" s="251">
        <x:f>IF($A454="","",IF(OR($N454="",$I454="",$I454=0),"",$N454/$I454))</x:f>
      </x:c>
      <x:c r="P454" s="251">
        <x:f>IF($A454="","",IF(LOWER($L454&amp;"")="yes",0,IF($K454&lt;&gt;"",$K454,IF($O454&lt;&gt;"",$O454,""))))</x:f>
      </x:c>
      <x:c r="Q454" s="254">
        <x:f>IF($A454="","",IF($U454="Profit",$P454-$H454,0))</x:f>
      </x:c>
      <x:c r="R454" s="251">
        <x:f>IF($A454="","",IF($U454="Draw",$H454,0))</x:f>
      </x:c>
      <x:c r="S454" s="251">
        <x:f>IF($A454="","",IF($U454="Disqualified",$H454,0))</x:f>
      </x:c>
      <x:c r="T454" s="255">
        <x:f>IF($A454="","",IF($H454=0,IF($U454="Profit","N/A",0),IF($U454="Profit",$Q454/$H454,IF($U454="Disqualified",-1,0))))</x:f>
      </x:c>
      <x:c r="U454" s="254">
        <x:f>IF($A454="","",IF(LOWER($L454&amp;"")="yes","Disqualified",IF($P454&gt;$H454,"Profit","Draw")))</x:f>
      </x:c>
      <x:c r="V454" s="253">
        <x:f>IF(OR($B454="",$C454=""),"",IFERROR(ROUNDUP((IF(ISNUMBER($C454),$C454,DATEVALUE($C454))-IF(ISNUMBER($B454),$B454,DATEVALUE($B454)))/7,0),""))</x:f>
      </x:c>
      <x:c r="W454" s="254">
        <x:f>$Q454-$S454</x:f>
      </x:c>
      <x:c r="X454" s="256">
        <x:f>IF(OR($J454="",$I454="",$J454=0,$I454=0,$I454&gt;$J454),"",$J454-$I454)</x:f>
      </x:c>
      <x:c r="Y454" s="257">
        <x:f>IF(OR($J454="",$J454=0,$X454=""),"",$X454/$J454)</x:f>
      </x:c>
    </x:row>
    <x:row r="455" s="106" customFormat="1" ht="21" customHeight="1">
      <x:c r="A455" s="54" t="n"/>
      <x:c r="B455" s="250" t="n"/>
      <x:c r="C455" s="250" t="n"/>
      <x:c r="D455" s="54" t="n"/>
      <x:c r="E455" s="251" t="n"/>
      <x:c r="F455" s="251" t="n"/>
      <x:c r="G455" s="251" t="n"/>
      <x:c r="H455" s="251" t="n"/>
      <x:c r="I455" s="252" t="n"/>
      <x:c r="J455" s="253" t="n"/>
      <x:c r="K455" s="254" t="n"/>
      <x:c r="L455" s="50" t="n"/>
      <x:c r="M455" s="251" t="n"/>
      <x:c r="N455" s="251">
        <x:f>IF($A455="","",IF($G455="","",IF(ISNUMBER(SEARCH("non",LOWER($E455&amp;""))),$G455*0.85,$G455)))</x:f>
      </x:c>
      <x:c r="O455" s="251">
        <x:f>IF($A455="","",IF(OR($N455="",$I455="",$I455=0),"",$N455/$I455))</x:f>
      </x:c>
      <x:c r="P455" s="251">
        <x:f>IF($A455="","",IF(LOWER($L455&amp;"")="yes",0,IF($K455&lt;&gt;"",$K455,IF($O455&lt;&gt;"",$O455,""))))</x:f>
      </x:c>
      <x:c r="Q455" s="254">
        <x:f>IF($A455="","",IF($U455="Profit",$P455-$H455,0))</x:f>
      </x:c>
      <x:c r="R455" s="251">
        <x:f>IF($A455="","",IF($U455="Draw",$H455,0))</x:f>
      </x:c>
      <x:c r="S455" s="251">
        <x:f>IF($A455="","",IF($U455="Disqualified",$H455,0))</x:f>
      </x:c>
      <x:c r="T455" s="255">
        <x:f>IF($A455="","",IF($H455=0,IF($U455="Profit","N/A",0),IF($U455="Profit",$Q455/$H455,IF($U455="Disqualified",-1,0))))</x:f>
      </x:c>
      <x:c r="U455" s="254">
        <x:f>IF($A455="","",IF(LOWER($L455&amp;"")="yes","Disqualified",IF($P455&gt;$H455,"Profit","Draw")))</x:f>
      </x:c>
      <x:c r="V455" s="253">
        <x:f>IF(OR($B455="",$C455=""),"",IFERROR(ROUNDUP((IF(ISNUMBER($C455),$C455,DATEVALUE($C455))-IF(ISNUMBER($B455),$B455,DATEVALUE($B455)))/7,0),""))</x:f>
      </x:c>
      <x:c r="W455" s="254">
        <x:f>$Q455-$S455</x:f>
      </x:c>
      <x:c r="X455" s="256">
        <x:f>IF(OR($J455="",$I455="",$J455=0,$I455=0,$I455&gt;$J455),"",$J455-$I455)</x:f>
      </x:c>
      <x:c r="Y455" s="257">
        <x:f>IF(OR($J455="",$J455=0,$X455=""),"",$X455/$J455)</x:f>
      </x:c>
    </x:row>
    <x:row r="456" s="106" customFormat="1" ht="21" customHeight="1">
      <x:c r="A456" s="54" t="n"/>
      <x:c r="B456" s="250" t="n"/>
      <x:c r="C456" s="250" t="n"/>
      <x:c r="D456" s="54" t="n"/>
      <x:c r="E456" s="251" t="n"/>
      <x:c r="F456" s="251" t="n"/>
      <x:c r="G456" s="251" t="n"/>
      <x:c r="H456" s="251" t="n"/>
      <x:c r="I456" s="252" t="n"/>
      <x:c r="J456" s="253" t="n"/>
      <x:c r="K456" s="254" t="n"/>
      <x:c r="L456" s="50" t="n"/>
      <x:c r="M456" s="251" t="n"/>
      <x:c r="N456" s="251">
        <x:f>IF($A456="","",IF($G456="","",IF(ISNUMBER(SEARCH("non",LOWER($E456&amp;""))),$G456*0.85,$G456)))</x:f>
      </x:c>
      <x:c r="O456" s="251">
        <x:f>IF($A456="","",IF(OR($N456="",$I456="",$I456=0),"",$N456/$I456))</x:f>
      </x:c>
      <x:c r="P456" s="251">
        <x:f>IF($A456="","",IF(LOWER($L456&amp;"")="yes",0,IF($K456&lt;&gt;"",$K456,IF($O456&lt;&gt;"",$O456,""))))</x:f>
      </x:c>
      <x:c r="Q456" s="254">
        <x:f>IF($A456="","",IF($U456="Profit",$P456-$H456,0))</x:f>
      </x:c>
      <x:c r="R456" s="251">
        <x:f>IF($A456="","",IF($U456="Draw",$H456,0))</x:f>
      </x:c>
      <x:c r="S456" s="251">
        <x:f>IF($A456="","",IF($U456="Disqualified",$H456,0))</x:f>
      </x:c>
      <x:c r="T456" s="255">
        <x:f>IF($A456="","",IF($H456=0,IF($U456="Profit","N/A",0),IF($U456="Profit",$Q456/$H456,IF($U456="Disqualified",-1,0))))</x:f>
      </x:c>
      <x:c r="U456" s="254">
        <x:f>IF($A456="","",IF(LOWER($L456&amp;"")="yes","Disqualified",IF($P456&gt;$H456,"Profit","Draw")))</x:f>
      </x:c>
      <x:c r="V456" s="253">
        <x:f>IF(OR($B456="",$C456=""),"",IFERROR(ROUNDUP((IF(ISNUMBER($C456),$C456,DATEVALUE($C456))-IF(ISNUMBER($B456),$B456,DATEVALUE($B456)))/7,0),""))</x:f>
      </x:c>
      <x:c r="W456" s="254">
        <x:f>$Q456-$S456</x:f>
      </x:c>
      <x:c r="X456" s="256">
        <x:f>IF(OR($J456="",$I456="",$J456=0,$I456=0,$I456&gt;$J456),"",$J456-$I456)</x:f>
      </x:c>
      <x:c r="Y456" s="257">
        <x:f>IF(OR($J456="",$J456=0,$X456=""),"",$X456/$J456)</x:f>
      </x:c>
    </x:row>
    <x:row r="457" s="106" customFormat="1" ht="21" customHeight="1">
      <x:c r="A457" s="54" t="n"/>
      <x:c r="B457" s="250" t="n"/>
      <x:c r="C457" s="250" t="n"/>
      <x:c r="D457" s="54" t="n"/>
      <x:c r="E457" s="251" t="n"/>
      <x:c r="F457" s="251" t="n"/>
      <x:c r="G457" s="251" t="n"/>
      <x:c r="H457" s="251" t="n"/>
      <x:c r="I457" s="252" t="n"/>
      <x:c r="J457" s="253" t="n"/>
      <x:c r="K457" s="254" t="n"/>
      <x:c r="L457" s="50" t="n"/>
      <x:c r="M457" s="251" t="n"/>
      <x:c r="N457" s="251">
        <x:f>IF($A457="","",IF($G457="","",IF(ISNUMBER(SEARCH("non",LOWER($E457&amp;""))),$G457*0.85,$G457)))</x:f>
      </x:c>
      <x:c r="O457" s="251">
        <x:f>IF($A457="","",IF(OR($N457="",$I457="",$I457=0),"",$N457/$I457))</x:f>
      </x:c>
      <x:c r="P457" s="251">
        <x:f>IF($A457="","",IF(LOWER($L457&amp;"")="yes",0,IF($K457&lt;&gt;"",$K457,IF($O457&lt;&gt;"",$O457,""))))</x:f>
      </x:c>
      <x:c r="Q457" s="254">
        <x:f>IF($A457="","",IF($U457="Profit",$P457-$H457,0))</x:f>
      </x:c>
      <x:c r="R457" s="251">
        <x:f>IF($A457="","",IF($U457="Draw",$H457,0))</x:f>
      </x:c>
      <x:c r="S457" s="251">
        <x:f>IF($A457="","",IF($U457="Disqualified",$H457,0))</x:f>
      </x:c>
      <x:c r="T457" s="255">
        <x:f>IF($A457="","",IF($H457=0,IF($U457="Profit","N/A",0),IF($U457="Profit",$Q457/$H457,IF($U457="Disqualified",-1,0))))</x:f>
      </x:c>
      <x:c r="U457" s="254">
        <x:f>IF($A457="","",IF(LOWER($L457&amp;"")="yes","Disqualified",IF($P457&gt;$H457,"Profit","Draw")))</x:f>
      </x:c>
      <x:c r="V457" s="253">
        <x:f>IF(OR($B457="",$C457=""),"",IFERROR(ROUNDUP((IF(ISNUMBER($C457),$C457,DATEVALUE($C457))-IF(ISNUMBER($B457),$B457,DATEVALUE($B457)))/7,0),""))</x:f>
      </x:c>
      <x:c r="W457" s="254">
        <x:f>$Q457-$S457</x:f>
      </x:c>
      <x:c r="X457" s="256">
        <x:f>IF(OR($J457="",$I457="",$J457=0,$I457=0,$I457&gt;$J457),"",$J457-$I457)</x:f>
      </x:c>
      <x:c r="Y457" s="257">
        <x:f>IF(OR($J457="",$J457=0,$X457=""),"",$X457/$J457)</x:f>
      </x:c>
    </x:row>
    <x:row r="458" s="106" customFormat="1" ht="21" customHeight="1">
      <x:c r="A458" s="54" t="n"/>
      <x:c r="B458" s="250" t="n"/>
      <x:c r="C458" s="250" t="n"/>
      <x:c r="D458" s="54" t="n"/>
      <x:c r="E458" s="251" t="n"/>
      <x:c r="F458" s="251" t="n"/>
      <x:c r="G458" s="251" t="n"/>
      <x:c r="H458" s="251" t="n"/>
      <x:c r="I458" s="252" t="n"/>
      <x:c r="J458" s="253" t="n"/>
      <x:c r="K458" s="254" t="n"/>
      <x:c r="L458" s="50" t="n"/>
      <x:c r="M458" s="251" t="n"/>
      <x:c r="N458" s="251">
        <x:f>IF($A458="","",IF($G458="","",IF(ISNUMBER(SEARCH("non",LOWER($E458&amp;""))),$G458*0.85,$G458)))</x:f>
      </x:c>
      <x:c r="O458" s="251">
        <x:f>IF($A458="","",IF(OR($N458="",$I458="",$I458=0),"",$N458/$I458))</x:f>
      </x:c>
      <x:c r="P458" s="251">
        <x:f>IF($A458="","",IF(LOWER($L458&amp;"")="yes",0,IF($K458&lt;&gt;"",$K458,IF($O458&lt;&gt;"",$O458,""))))</x:f>
      </x:c>
      <x:c r="Q458" s="254">
        <x:f>IF($A458="","",IF($U458="Profit",$P458-$H458,0))</x:f>
      </x:c>
      <x:c r="R458" s="251">
        <x:f>IF($A458="","",IF($U458="Draw",$H458,0))</x:f>
      </x:c>
      <x:c r="S458" s="251">
        <x:f>IF($A458="","",IF($U458="Disqualified",$H458,0))</x:f>
      </x:c>
      <x:c r="T458" s="255">
        <x:f>IF($A458="","",IF($H458=0,IF($U458="Profit","N/A",0),IF($U458="Profit",$Q458/$H458,IF($U458="Disqualified",-1,0))))</x:f>
      </x:c>
      <x:c r="U458" s="254">
        <x:f>IF($A458="","",IF(LOWER($L458&amp;"")="yes","Disqualified",IF($P458&gt;$H458,"Profit","Draw")))</x:f>
      </x:c>
      <x:c r="V458" s="253">
        <x:f>IF(OR($B458="",$C458=""),"",IFERROR(ROUNDUP((IF(ISNUMBER($C458),$C458,DATEVALUE($C458))-IF(ISNUMBER($B458),$B458,DATEVALUE($B458)))/7,0),""))</x:f>
      </x:c>
      <x:c r="W458" s="254">
        <x:f>$Q458-$S458</x:f>
      </x:c>
      <x:c r="X458" s="256">
        <x:f>IF(OR($J458="",$I458="",$J458=0,$I458=0,$I458&gt;$J458),"",$J458-$I458)</x:f>
      </x:c>
      <x:c r="Y458" s="257">
        <x:f>IF(OR($J458="",$J458=0,$X458=""),"",$X458/$J458)</x:f>
      </x:c>
    </x:row>
    <x:row r="459" s="106" customFormat="1" ht="21" customHeight="1">
      <x:c r="A459" s="54" t="n"/>
      <x:c r="B459" s="250" t="n"/>
      <x:c r="C459" s="250" t="n"/>
      <x:c r="D459" s="54" t="n"/>
      <x:c r="E459" s="251" t="n"/>
      <x:c r="F459" s="251" t="n"/>
      <x:c r="G459" s="251" t="n"/>
      <x:c r="H459" s="251" t="n"/>
      <x:c r="I459" s="252" t="n"/>
      <x:c r="J459" s="253" t="n"/>
      <x:c r="K459" s="254" t="n"/>
      <x:c r="L459" s="50" t="n"/>
      <x:c r="M459" s="251" t="n"/>
      <x:c r="N459" s="251">
        <x:f>IF($A459="","",IF($G459="","",IF(ISNUMBER(SEARCH("non",LOWER($E459&amp;""))),$G459*0.85,$G459)))</x:f>
      </x:c>
      <x:c r="O459" s="251">
        <x:f>IF($A459="","",IF(OR($N459="",$I459="",$I459=0),"",$N459/$I459))</x:f>
      </x:c>
      <x:c r="P459" s="251">
        <x:f>IF($A459="","",IF(LOWER($L459&amp;"")="yes",0,IF($K459&lt;&gt;"",$K459,IF($O459&lt;&gt;"",$O459,""))))</x:f>
      </x:c>
      <x:c r="Q459" s="254">
        <x:f>IF($A459="","",IF($U459="Profit",$P459-$H459,0))</x:f>
      </x:c>
      <x:c r="R459" s="251">
        <x:f>IF($A459="","",IF($U459="Draw",$H459,0))</x:f>
      </x:c>
      <x:c r="S459" s="251">
        <x:f>IF($A459="","",IF($U459="Disqualified",$H459,0))</x:f>
      </x:c>
      <x:c r="T459" s="255">
        <x:f>IF($A459="","",IF($H459=0,IF($U459="Profit","N/A",0),IF($U459="Profit",$Q459/$H459,IF($U459="Disqualified",-1,0))))</x:f>
      </x:c>
      <x:c r="U459" s="254">
        <x:f>IF($A459="","",IF(LOWER($L459&amp;"")="yes","Disqualified",IF($P459&gt;$H459,"Profit","Draw")))</x:f>
      </x:c>
      <x:c r="V459" s="253">
        <x:f>IF(OR($B459="",$C459=""),"",IFERROR(ROUNDUP((IF(ISNUMBER($C459),$C459,DATEVALUE($C459))-IF(ISNUMBER($B459),$B459,DATEVALUE($B459)))/7,0),""))</x:f>
      </x:c>
      <x:c r="W459" s="254">
        <x:f>$Q459-$S459</x:f>
      </x:c>
      <x:c r="X459" s="256">
        <x:f>IF(OR($J459="",$I459="",$J459=0,$I459=0,$I459&gt;$J459),"",$J459-$I459)</x:f>
      </x:c>
      <x:c r="Y459" s="257">
        <x:f>IF(OR($J459="",$J459=0,$X459=""),"",$X459/$J459)</x:f>
      </x:c>
    </x:row>
    <x:row r="460" s="106" customFormat="1" ht="21" customHeight="1">
      <x:c r="A460" s="54" t="n"/>
      <x:c r="B460" s="250" t="n"/>
      <x:c r="C460" s="250" t="n"/>
      <x:c r="D460" s="54" t="n"/>
      <x:c r="E460" s="251" t="n"/>
      <x:c r="F460" s="251" t="n"/>
      <x:c r="G460" s="251" t="n"/>
      <x:c r="H460" s="251" t="n"/>
      <x:c r="I460" s="252" t="n"/>
      <x:c r="J460" s="253" t="n"/>
      <x:c r="K460" s="254" t="n"/>
      <x:c r="L460" s="50" t="n"/>
      <x:c r="M460" s="251" t="n"/>
      <x:c r="N460" s="251">
        <x:f>IF($A460="","",IF($G460="","",IF(ISNUMBER(SEARCH("non",LOWER($E460&amp;""))),$G460*0.85,$G460)))</x:f>
      </x:c>
      <x:c r="O460" s="251">
        <x:f>IF($A460="","",IF(OR($N460="",$I460="",$I460=0),"",$N460/$I460))</x:f>
      </x:c>
      <x:c r="P460" s="251">
        <x:f>IF($A460="","",IF(LOWER($L460&amp;"")="yes",0,IF($K460&lt;&gt;"",$K460,IF($O460&lt;&gt;"",$O460,""))))</x:f>
      </x:c>
      <x:c r="Q460" s="254">
        <x:f>IF($A460="","",IF($U460="Profit",$P460-$H460,0))</x:f>
      </x:c>
      <x:c r="R460" s="251">
        <x:f>IF($A460="","",IF($U460="Draw",$H460,0))</x:f>
      </x:c>
      <x:c r="S460" s="251">
        <x:f>IF($A460="","",IF($U460="Disqualified",$H460,0))</x:f>
      </x:c>
      <x:c r="T460" s="255">
        <x:f>IF($A460="","",IF($H460=0,IF($U460="Profit","N/A",0),IF($U460="Profit",$Q460/$H460,IF($U460="Disqualified",-1,0))))</x:f>
      </x:c>
      <x:c r="U460" s="254">
        <x:f>IF($A460="","",IF(LOWER($L460&amp;"")="yes","Disqualified",IF($P460&gt;$H460,"Profit","Draw")))</x:f>
      </x:c>
      <x:c r="V460" s="253">
        <x:f>IF(OR($B460="",$C460=""),"",IFERROR(ROUNDUP((IF(ISNUMBER($C460),$C460,DATEVALUE($C460))-IF(ISNUMBER($B460),$B460,DATEVALUE($B460)))/7,0),""))</x:f>
      </x:c>
      <x:c r="W460" s="254">
        <x:f>$Q460-$S460</x:f>
      </x:c>
      <x:c r="X460" s="256">
        <x:f>IF(OR($J460="",$I460="",$J460=0,$I460=0,$I460&gt;$J460),"",$J460-$I460)</x:f>
      </x:c>
      <x:c r="Y460" s="257">
        <x:f>IF(OR($J460="",$J460=0,$X460=""),"",$X460/$J460)</x:f>
      </x:c>
    </x:row>
    <x:row r="461" s="106" customFormat="1" ht="21" customHeight="1">
      <x:c r="A461" s="54" t="n"/>
      <x:c r="B461" s="250" t="n"/>
      <x:c r="C461" s="250" t="n"/>
      <x:c r="D461" s="54" t="n"/>
      <x:c r="E461" s="251" t="n"/>
      <x:c r="F461" s="251" t="n"/>
      <x:c r="G461" s="251" t="n"/>
      <x:c r="H461" s="251" t="n"/>
      <x:c r="I461" s="252" t="n"/>
      <x:c r="J461" s="253" t="n"/>
      <x:c r="K461" s="254" t="n"/>
      <x:c r="L461" s="50" t="n"/>
      <x:c r="M461" s="251" t="n"/>
      <x:c r="N461" s="251">
        <x:f>IF($A461="","",IF($G461="","",IF(ISNUMBER(SEARCH("non",LOWER($E461&amp;""))),$G461*0.85,$G461)))</x:f>
      </x:c>
      <x:c r="O461" s="251">
        <x:f>IF($A461="","",IF(OR($N461="",$I461="",$I461=0),"",$N461/$I461))</x:f>
      </x:c>
      <x:c r="P461" s="251">
        <x:f>IF($A461="","",IF(LOWER($L461&amp;"")="yes",0,IF($K461&lt;&gt;"",$K461,IF($O461&lt;&gt;"",$O461,""))))</x:f>
      </x:c>
      <x:c r="Q461" s="254">
        <x:f>IF($A461="","",IF($U461="Profit",$P461-$H461,0))</x:f>
      </x:c>
      <x:c r="R461" s="251">
        <x:f>IF($A461="","",IF($U461="Draw",$H461,0))</x:f>
      </x:c>
      <x:c r="S461" s="251">
        <x:f>IF($A461="","",IF($U461="Disqualified",$H461,0))</x:f>
      </x:c>
      <x:c r="T461" s="255">
        <x:f>IF($A461="","",IF($H461=0,IF($U461="Profit","N/A",0),IF($U461="Profit",$Q461/$H461,IF($U461="Disqualified",-1,0))))</x:f>
      </x:c>
      <x:c r="U461" s="254">
        <x:f>IF($A461="","",IF(LOWER($L461&amp;"")="yes","Disqualified",IF($P461&gt;$H461,"Profit","Draw")))</x:f>
      </x:c>
      <x:c r="V461" s="253">
        <x:f>IF(OR($B461="",$C461=""),"",IFERROR(ROUNDUP((IF(ISNUMBER($C461),$C461,DATEVALUE($C461))-IF(ISNUMBER($B461),$B461,DATEVALUE($B461)))/7,0),""))</x:f>
      </x:c>
      <x:c r="W461" s="254">
        <x:f>$Q461-$S461</x:f>
      </x:c>
      <x:c r="X461" s="256">
        <x:f>IF(OR($J461="",$I461="",$J461=0,$I461=0,$I461&gt;$J461),"",$J461-$I461)</x:f>
      </x:c>
      <x:c r="Y461" s="257">
        <x:f>IF(OR($J461="",$J461=0,$X461=""),"",$X461/$J461)</x:f>
      </x:c>
    </x:row>
    <x:row r="462" s="106" customFormat="1" ht="21" customHeight="1">
      <x:c r="A462" s="54" t="n"/>
      <x:c r="B462" s="250" t="n"/>
      <x:c r="C462" s="250" t="n"/>
      <x:c r="D462" s="54" t="n"/>
      <x:c r="E462" s="251" t="n"/>
      <x:c r="F462" s="251" t="n"/>
      <x:c r="G462" s="251" t="n"/>
      <x:c r="H462" s="251" t="n"/>
      <x:c r="I462" s="252" t="n"/>
      <x:c r="J462" s="253" t="n"/>
      <x:c r="K462" s="254" t="n"/>
      <x:c r="L462" s="50" t="n"/>
      <x:c r="M462" s="251" t="n"/>
      <x:c r="N462" s="251">
        <x:f>IF($A462="","",IF($G462="","",IF(ISNUMBER(SEARCH("non",LOWER($E462&amp;""))),$G462*0.85,$G462)))</x:f>
      </x:c>
      <x:c r="O462" s="251">
        <x:f>IF($A462="","",IF(OR($N462="",$I462="",$I462=0),"",$N462/$I462))</x:f>
      </x:c>
      <x:c r="P462" s="251">
        <x:f>IF($A462="","",IF(LOWER($L462&amp;"")="yes",0,IF($K462&lt;&gt;"",$K462,IF($O462&lt;&gt;"",$O462,""))))</x:f>
      </x:c>
      <x:c r="Q462" s="254">
        <x:f>IF($A462="","",IF($U462="Profit",$P462-$H462,0))</x:f>
      </x:c>
      <x:c r="R462" s="251">
        <x:f>IF($A462="","",IF($U462="Draw",$H462,0))</x:f>
      </x:c>
      <x:c r="S462" s="251">
        <x:f>IF($A462="","",IF($U462="Disqualified",$H462,0))</x:f>
      </x:c>
      <x:c r="T462" s="255">
        <x:f>IF($A462="","",IF($H462=0,IF($U462="Profit","N/A",0),IF($U462="Profit",$Q462/$H462,IF($U462="Disqualified",-1,0))))</x:f>
      </x:c>
      <x:c r="U462" s="254">
        <x:f>IF($A462="","",IF(LOWER($L462&amp;"")="yes","Disqualified",IF($P462&gt;$H462,"Profit","Draw")))</x:f>
      </x:c>
      <x:c r="V462" s="253">
        <x:f>IF(OR($B462="",$C462=""),"",IFERROR(ROUNDUP((IF(ISNUMBER($C462),$C462,DATEVALUE($C462))-IF(ISNUMBER($B462),$B462,DATEVALUE($B462)))/7,0),""))</x:f>
      </x:c>
      <x:c r="W462" s="254">
        <x:f>$Q462-$S462</x:f>
      </x:c>
      <x:c r="X462" s="256">
        <x:f>IF(OR($J462="",$I462="",$J462=0,$I462=0,$I462&gt;$J462),"",$J462-$I462)</x:f>
      </x:c>
      <x:c r="Y462" s="257">
        <x:f>IF(OR($J462="",$J462=0,$X462=""),"",$X462/$J462)</x:f>
      </x:c>
    </x:row>
    <x:row r="463" s="106" customFormat="1" ht="21" customHeight="1">
      <x:c r="A463" s="54" t="n"/>
      <x:c r="B463" s="250" t="n"/>
      <x:c r="C463" s="250" t="n"/>
      <x:c r="D463" s="54" t="n"/>
      <x:c r="E463" s="251" t="n"/>
      <x:c r="F463" s="251" t="n"/>
      <x:c r="G463" s="251" t="n"/>
      <x:c r="H463" s="251" t="n"/>
      <x:c r="I463" s="252" t="n"/>
      <x:c r="J463" s="253" t="n"/>
      <x:c r="K463" s="254" t="n"/>
      <x:c r="L463" s="50" t="n"/>
      <x:c r="M463" s="251" t="n"/>
      <x:c r="N463" s="251">
        <x:f>IF($A463="","",IF($G463="","",IF(ISNUMBER(SEARCH("non",LOWER($E463&amp;""))),$G463*0.85,$G463)))</x:f>
      </x:c>
      <x:c r="O463" s="251">
        <x:f>IF($A463="","",IF(OR($N463="",$I463="",$I463=0),"",$N463/$I463))</x:f>
      </x:c>
      <x:c r="P463" s="251">
        <x:f>IF($A463="","",IF(LOWER($L463&amp;"")="yes",0,IF($K463&lt;&gt;"",$K463,IF($O463&lt;&gt;"",$O463,""))))</x:f>
      </x:c>
      <x:c r="Q463" s="254">
        <x:f>IF($A463="","",IF($U463="Profit",$P463-$H463,0))</x:f>
      </x:c>
      <x:c r="R463" s="251">
        <x:f>IF($A463="","",IF($U463="Draw",$H463,0))</x:f>
      </x:c>
      <x:c r="S463" s="251">
        <x:f>IF($A463="","",IF($U463="Disqualified",$H463,0))</x:f>
      </x:c>
      <x:c r="T463" s="255">
        <x:f>IF($A463="","",IF($H463=0,IF($U463="Profit","N/A",0),IF($U463="Profit",$Q463/$H463,IF($U463="Disqualified",-1,0))))</x:f>
      </x:c>
      <x:c r="U463" s="254">
        <x:f>IF($A463="","",IF(LOWER($L463&amp;"")="yes","Disqualified",IF($P463&gt;$H463,"Profit","Draw")))</x:f>
      </x:c>
      <x:c r="V463" s="253">
        <x:f>IF(OR($B463="",$C463=""),"",IFERROR(ROUNDUP((IF(ISNUMBER($C463),$C463,DATEVALUE($C463))-IF(ISNUMBER($B463),$B463,DATEVALUE($B463)))/7,0),""))</x:f>
      </x:c>
      <x:c r="W463" s="254">
        <x:f>$Q463-$S463</x:f>
      </x:c>
      <x:c r="X463" s="256">
        <x:f>IF(OR($J463="",$I463="",$J463=0,$I463=0,$I463&gt;$J463),"",$J463-$I463)</x:f>
      </x:c>
      <x:c r="Y463" s="257">
        <x:f>IF(OR($J463="",$J463=0,$X463=""),"",$X463/$J463)</x:f>
      </x:c>
    </x:row>
    <x:row r="464" s="106" customFormat="1" ht="21" customHeight="1">
      <x:c r="A464" s="54" t="n"/>
      <x:c r="B464" s="250" t="n"/>
      <x:c r="C464" s="250" t="n"/>
      <x:c r="D464" s="54" t="n"/>
      <x:c r="E464" s="251" t="n"/>
      <x:c r="F464" s="251" t="n"/>
      <x:c r="G464" s="251" t="n"/>
      <x:c r="H464" s="251" t="n"/>
      <x:c r="I464" s="252" t="n"/>
      <x:c r="J464" s="253" t="n"/>
      <x:c r="K464" s="254" t="n"/>
      <x:c r="L464" s="50" t="n"/>
      <x:c r="M464" s="251" t="n"/>
      <x:c r="N464" s="251">
        <x:f>IF($A464="","",IF($G464="","",IF(ISNUMBER(SEARCH("non",LOWER($E464&amp;""))),$G464*0.85,$G464)))</x:f>
      </x:c>
      <x:c r="O464" s="251">
        <x:f>IF($A464="","",IF(OR($N464="",$I464="",$I464=0),"",$N464/$I464))</x:f>
      </x:c>
      <x:c r="P464" s="251">
        <x:f>IF($A464="","",IF(LOWER($L464&amp;"")="yes",0,IF($K464&lt;&gt;"",$K464,IF($O464&lt;&gt;"",$O464,""))))</x:f>
      </x:c>
      <x:c r="Q464" s="254">
        <x:f>IF($A464="","",IF($U464="Profit",$P464-$H464,0))</x:f>
      </x:c>
      <x:c r="R464" s="251">
        <x:f>IF($A464="","",IF($U464="Draw",$H464,0))</x:f>
      </x:c>
      <x:c r="S464" s="251">
        <x:f>IF($A464="","",IF($U464="Disqualified",$H464,0))</x:f>
      </x:c>
      <x:c r="T464" s="255">
        <x:f>IF($A464="","",IF($H464=0,IF($U464="Profit","N/A",0),IF($U464="Profit",$Q464/$H464,IF($U464="Disqualified",-1,0))))</x:f>
      </x:c>
      <x:c r="U464" s="254">
        <x:f>IF($A464="","",IF(LOWER($L464&amp;"")="yes","Disqualified",IF($P464&gt;$H464,"Profit","Draw")))</x:f>
      </x:c>
      <x:c r="V464" s="253">
        <x:f>IF(OR($B464="",$C464=""),"",IFERROR(ROUNDUP((IF(ISNUMBER($C464),$C464,DATEVALUE($C464))-IF(ISNUMBER($B464),$B464,DATEVALUE($B464)))/7,0),""))</x:f>
      </x:c>
      <x:c r="W464" s="254">
        <x:f>$Q464-$S464</x:f>
      </x:c>
      <x:c r="X464" s="256">
        <x:f>IF(OR($J464="",$I464="",$J464=0,$I464=0,$I464&gt;$J464),"",$J464-$I464)</x:f>
      </x:c>
      <x:c r="Y464" s="257">
        <x:f>IF(OR($J464="",$J464=0,$X464=""),"",$X464/$J464)</x:f>
      </x:c>
    </x:row>
    <x:row r="465" s="106" customFormat="1" ht="21" customHeight="1">
      <x:c r="A465" s="54" t="n"/>
      <x:c r="B465" s="250" t="n"/>
      <x:c r="C465" s="250" t="n"/>
      <x:c r="D465" s="54" t="n"/>
      <x:c r="E465" s="251" t="n"/>
      <x:c r="F465" s="251" t="n"/>
      <x:c r="G465" s="251" t="n"/>
      <x:c r="H465" s="251" t="n"/>
      <x:c r="I465" s="252" t="n"/>
      <x:c r="J465" s="253" t="n"/>
      <x:c r="K465" s="254" t="n"/>
      <x:c r="L465" s="50" t="n"/>
      <x:c r="M465" s="251" t="n"/>
      <x:c r="N465" s="251">
        <x:f>IF($A465="","",IF($G465="","",IF(ISNUMBER(SEARCH("non",LOWER($E465&amp;""))),$G465*0.85,$G465)))</x:f>
      </x:c>
      <x:c r="O465" s="251">
        <x:f>IF($A465="","",IF(OR($N465="",$I465="",$I465=0),"",$N465/$I465))</x:f>
      </x:c>
      <x:c r="P465" s="251">
        <x:f>IF($A465="","",IF(LOWER($L465&amp;"")="yes",0,IF($K465&lt;&gt;"",$K465,IF($O465&lt;&gt;"",$O465,""))))</x:f>
      </x:c>
      <x:c r="Q465" s="254">
        <x:f>IF($A465="","",IF($U465="Profit",$P465-$H465,0))</x:f>
      </x:c>
      <x:c r="R465" s="251">
        <x:f>IF($A465="","",IF($U465="Draw",$H465,0))</x:f>
      </x:c>
      <x:c r="S465" s="251">
        <x:f>IF($A465="","",IF($U465="Disqualified",$H465,0))</x:f>
      </x:c>
      <x:c r="T465" s="255">
        <x:f>IF($A465="","",IF($H465=0,IF($U465="Profit","N/A",0),IF($U465="Profit",$Q465/$H465,IF($U465="Disqualified",-1,0))))</x:f>
      </x:c>
      <x:c r="U465" s="254">
        <x:f>IF($A465="","",IF(LOWER($L465&amp;"")="yes","Disqualified",IF($P465&gt;$H465,"Profit","Draw")))</x:f>
      </x:c>
      <x:c r="V465" s="253">
        <x:f>IF(OR($B465="",$C465=""),"",IFERROR(ROUNDUP((IF(ISNUMBER($C465),$C465,DATEVALUE($C465))-IF(ISNUMBER($B465),$B465,DATEVALUE($B465)))/7,0),""))</x:f>
      </x:c>
      <x:c r="W465" s="254">
        <x:f>$Q465-$S465</x:f>
      </x:c>
      <x:c r="X465" s="256">
        <x:f>IF(OR($J465="",$I465="",$J465=0,$I465=0,$I465&gt;$J465),"",$J465-$I465)</x:f>
      </x:c>
      <x:c r="Y465" s="257">
        <x:f>IF(OR($J465="",$J465=0,$X465=""),"",$X465/$J465)</x:f>
      </x:c>
    </x:row>
    <x:row r="466" s="106" customFormat="1" ht="21" customHeight="1">
      <x:c r="A466" s="54" t="n"/>
      <x:c r="B466" s="250" t="n"/>
      <x:c r="C466" s="250" t="n"/>
      <x:c r="D466" s="54" t="n"/>
      <x:c r="E466" s="251" t="n"/>
      <x:c r="F466" s="251" t="n"/>
      <x:c r="G466" s="251" t="n"/>
      <x:c r="H466" s="251" t="n"/>
      <x:c r="I466" s="252" t="n"/>
      <x:c r="J466" s="253" t="n"/>
      <x:c r="K466" s="254" t="n"/>
      <x:c r="L466" s="50" t="n"/>
      <x:c r="M466" s="251" t="n"/>
      <x:c r="N466" s="251">
        <x:f>IF($A466="","",IF($G466="","",IF(ISNUMBER(SEARCH("non",LOWER($E466&amp;""))),$G466*0.85,$G466)))</x:f>
      </x:c>
      <x:c r="O466" s="251">
        <x:f>IF($A466="","",IF(OR($N466="",$I466="",$I466=0),"",$N466/$I466))</x:f>
      </x:c>
      <x:c r="P466" s="251">
        <x:f>IF($A466="","",IF(LOWER($L466&amp;"")="yes",0,IF($K466&lt;&gt;"",$K466,IF($O466&lt;&gt;"",$O466,""))))</x:f>
      </x:c>
      <x:c r="Q466" s="254">
        <x:f>IF($A466="","",IF($U466="Profit",$P466-$H466,0))</x:f>
      </x:c>
      <x:c r="R466" s="251">
        <x:f>IF($A466="","",IF($U466="Draw",$H466,0))</x:f>
      </x:c>
      <x:c r="S466" s="251">
        <x:f>IF($A466="","",IF($U466="Disqualified",$H466,0))</x:f>
      </x:c>
      <x:c r="T466" s="255">
        <x:f>IF($A466="","",IF($H466=0,IF($U466="Profit","N/A",0),IF($U466="Profit",$Q466/$H466,IF($U466="Disqualified",-1,0))))</x:f>
      </x:c>
      <x:c r="U466" s="254">
        <x:f>IF($A466="","",IF(LOWER($L466&amp;"")="yes","Disqualified",IF($P466&gt;$H466,"Profit","Draw")))</x:f>
      </x:c>
      <x:c r="V466" s="253">
        <x:f>IF(OR($B466="",$C466=""),"",IFERROR(ROUNDUP((IF(ISNUMBER($C466),$C466,DATEVALUE($C466))-IF(ISNUMBER($B466),$B466,DATEVALUE($B466)))/7,0),""))</x:f>
      </x:c>
      <x:c r="W466" s="254">
        <x:f>$Q466-$S466</x:f>
      </x:c>
      <x:c r="X466" s="256">
        <x:f>IF(OR($J466="",$I466="",$J466=0,$I466=0,$I466&gt;$J466),"",$J466-$I466)</x:f>
      </x:c>
      <x:c r="Y466" s="257">
        <x:f>IF(OR($J466="",$J466=0,$X466=""),"",$X466/$J466)</x:f>
      </x:c>
    </x:row>
    <x:row r="467" s="106" customFormat="1" ht="21" customHeight="1">
      <x:c r="A467" s="54" t="n"/>
      <x:c r="B467" s="250" t="n"/>
      <x:c r="C467" s="250" t="n"/>
      <x:c r="D467" s="54" t="n"/>
      <x:c r="E467" s="251" t="n"/>
      <x:c r="F467" s="251" t="n"/>
      <x:c r="G467" s="251" t="n"/>
      <x:c r="H467" s="251" t="n"/>
      <x:c r="I467" s="252" t="n"/>
      <x:c r="J467" s="253" t="n"/>
      <x:c r="K467" s="254" t="n"/>
      <x:c r="L467" s="50" t="n"/>
      <x:c r="M467" s="251" t="n"/>
      <x:c r="N467" s="251">
        <x:f>IF($A467="","",IF($G467="","",IF(ISNUMBER(SEARCH("non",LOWER($E467&amp;""))),$G467*0.85,$G467)))</x:f>
      </x:c>
      <x:c r="O467" s="251">
        <x:f>IF($A467="","",IF(OR($N467="",$I467="",$I467=0),"",$N467/$I467))</x:f>
      </x:c>
      <x:c r="P467" s="251">
        <x:f>IF($A467="","",IF(LOWER($L467&amp;"")="yes",0,IF($K467&lt;&gt;"",$K467,IF($O467&lt;&gt;"",$O467,""))))</x:f>
      </x:c>
      <x:c r="Q467" s="254">
        <x:f>IF($A467="","",IF($U467="Profit",$P467-$H467,0))</x:f>
      </x:c>
      <x:c r="R467" s="251">
        <x:f>IF($A467="","",IF($U467="Draw",$H467,0))</x:f>
      </x:c>
      <x:c r="S467" s="251">
        <x:f>IF($A467="","",IF($U467="Disqualified",$H467,0))</x:f>
      </x:c>
      <x:c r="T467" s="255">
        <x:f>IF($A467="","",IF($H467=0,IF($U467="Profit","N/A",0),IF($U467="Profit",$Q467/$H467,IF($U467="Disqualified",-1,0))))</x:f>
      </x:c>
      <x:c r="U467" s="254">
        <x:f>IF($A467="","",IF(LOWER($L467&amp;"")="yes","Disqualified",IF($P467&gt;$H467,"Profit","Draw")))</x:f>
      </x:c>
      <x:c r="V467" s="253">
        <x:f>IF(OR($B467="",$C467=""),"",IFERROR(ROUNDUP((IF(ISNUMBER($C467),$C467,DATEVALUE($C467))-IF(ISNUMBER($B467),$B467,DATEVALUE($B467)))/7,0),""))</x:f>
      </x:c>
      <x:c r="W467" s="254">
        <x:f>$Q467-$S467</x:f>
      </x:c>
      <x:c r="X467" s="256">
        <x:f>IF(OR($J467="",$I467="",$J467=0,$I467=0,$I467&gt;$J467),"",$J467-$I467)</x:f>
      </x:c>
      <x:c r="Y467" s="257">
        <x:f>IF(OR($J467="",$J467=0,$X467=""),"",$X467/$J467)</x:f>
      </x:c>
    </x:row>
    <x:row r="468" s="106" customFormat="1" ht="21" customHeight="1">
      <x:c r="A468" s="54" t="n"/>
      <x:c r="B468" s="250" t="n"/>
      <x:c r="C468" s="250" t="n"/>
      <x:c r="D468" s="54" t="n"/>
      <x:c r="E468" s="251" t="n"/>
      <x:c r="F468" s="251" t="n"/>
      <x:c r="G468" s="251" t="n"/>
      <x:c r="H468" s="251" t="n"/>
      <x:c r="I468" s="252" t="n"/>
      <x:c r="J468" s="253" t="n"/>
      <x:c r="K468" s="254" t="n"/>
      <x:c r="L468" s="50" t="n"/>
      <x:c r="M468" s="251" t="n"/>
      <x:c r="N468" s="251">
        <x:f>IF($A468="","",IF($G468="","",IF(ISNUMBER(SEARCH("non",LOWER($E468&amp;""))),$G468*0.85,$G468)))</x:f>
      </x:c>
      <x:c r="O468" s="251">
        <x:f>IF($A468="","",IF(OR($N468="",$I468="",$I468=0),"",$N468/$I468))</x:f>
      </x:c>
      <x:c r="P468" s="251">
        <x:f>IF($A468="","",IF(LOWER($L468&amp;"")="yes",0,IF($K468&lt;&gt;"",$K468,IF($O468&lt;&gt;"",$O468,""))))</x:f>
      </x:c>
      <x:c r="Q468" s="254">
        <x:f>IF($A468="","",IF($U468="Profit",$P468-$H468,0))</x:f>
      </x:c>
      <x:c r="R468" s="251">
        <x:f>IF($A468="","",IF($U468="Draw",$H468,0))</x:f>
      </x:c>
      <x:c r="S468" s="251">
        <x:f>IF($A468="","",IF($U468="Disqualified",$H468,0))</x:f>
      </x:c>
      <x:c r="T468" s="255">
        <x:f>IF($A468="","",IF($H468=0,IF($U468="Profit","N/A",0),IF($U468="Profit",$Q468/$H468,IF($U468="Disqualified",-1,0))))</x:f>
      </x:c>
      <x:c r="U468" s="254">
        <x:f>IF($A468="","",IF(LOWER($L468&amp;"")="yes","Disqualified",IF($P468&gt;$H468,"Profit","Draw")))</x:f>
      </x:c>
      <x:c r="V468" s="253">
        <x:f>IF(OR($B468="",$C468=""),"",IFERROR(ROUNDUP((IF(ISNUMBER($C468),$C468,DATEVALUE($C468))-IF(ISNUMBER($B468),$B468,DATEVALUE($B468)))/7,0),""))</x:f>
      </x:c>
      <x:c r="W468" s="254">
        <x:f>$Q468-$S468</x:f>
      </x:c>
      <x:c r="X468" s="256">
        <x:f>IF(OR($J468="",$I468="",$J468=0,$I468=0,$I468&gt;$J468),"",$J468-$I468)</x:f>
      </x:c>
      <x:c r="Y468" s="257">
        <x:f>IF(OR($J468="",$J468=0,$X468=""),"",$X468/$J468)</x:f>
      </x:c>
    </x:row>
    <x:row r="469" s="106" customFormat="1" ht="21" customHeight="1">
      <x:c r="A469" s="54" t="n"/>
      <x:c r="B469" s="250" t="n"/>
      <x:c r="C469" s="250" t="n"/>
      <x:c r="D469" s="54" t="n"/>
      <x:c r="E469" s="251" t="n"/>
      <x:c r="F469" s="251" t="n"/>
      <x:c r="G469" s="251" t="n"/>
      <x:c r="H469" s="251" t="n"/>
      <x:c r="I469" s="252" t="n"/>
      <x:c r="J469" s="253" t="n"/>
      <x:c r="K469" s="254" t="n"/>
      <x:c r="L469" s="50" t="n"/>
      <x:c r="M469" s="251" t="n"/>
      <x:c r="N469" s="251">
        <x:f>IF($A469="","",IF($G469="","",IF(ISNUMBER(SEARCH("non",LOWER($E469&amp;""))),$G469*0.85,$G469)))</x:f>
      </x:c>
      <x:c r="O469" s="251">
        <x:f>IF($A469="","",IF(OR($N469="",$I469="",$I469=0),"",$N469/$I469))</x:f>
      </x:c>
      <x:c r="P469" s="251">
        <x:f>IF($A469="","",IF(LOWER($L469&amp;"")="yes",0,IF($K469&lt;&gt;"",$K469,IF($O469&lt;&gt;"",$O469,""))))</x:f>
      </x:c>
      <x:c r="Q469" s="254">
        <x:f>IF($A469="","",IF($U469="Profit",$P469-$H469,0))</x:f>
      </x:c>
      <x:c r="R469" s="251">
        <x:f>IF($A469="","",IF($U469="Draw",$H469,0))</x:f>
      </x:c>
      <x:c r="S469" s="251">
        <x:f>IF($A469="","",IF($U469="Disqualified",$H469,0))</x:f>
      </x:c>
      <x:c r="T469" s="255">
        <x:f>IF($A469="","",IF($H469=0,IF($U469="Profit","N/A",0),IF($U469="Profit",$Q469/$H469,IF($U469="Disqualified",-1,0))))</x:f>
      </x:c>
      <x:c r="U469" s="254">
        <x:f>IF($A469="","",IF(LOWER($L469&amp;"")="yes","Disqualified",IF($P469&gt;$H469,"Profit","Draw")))</x:f>
      </x:c>
      <x:c r="V469" s="253">
        <x:f>IF(OR($B469="",$C469=""),"",IFERROR(ROUNDUP((IF(ISNUMBER($C469),$C469,DATEVALUE($C469))-IF(ISNUMBER($B469),$B469,DATEVALUE($B469)))/7,0),""))</x:f>
      </x:c>
      <x:c r="W469" s="254">
        <x:f>$Q469-$S469</x:f>
      </x:c>
      <x:c r="X469" s="256">
        <x:f>IF(OR($J469="",$I469="",$J469=0,$I469=0,$I469&gt;$J469),"",$J469-$I469)</x:f>
      </x:c>
      <x:c r="Y469" s="257">
        <x:f>IF(OR($J469="",$J469=0,$X469=""),"",$X469/$J469)</x:f>
      </x:c>
    </x:row>
    <x:row r="470" s="106" customFormat="1" ht="21" customHeight="1">
      <x:c r="A470" s="54" t="n"/>
      <x:c r="B470" s="250" t="n"/>
      <x:c r="C470" s="250" t="n"/>
      <x:c r="D470" s="54" t="n"/>
      <x:c r="E470" s="251" t="n"/>
      <x:c r="F470" s="251" t="n"/>
      <x:c r="G470" s="251" t="n"/>
      <x:c r="H470" s="251" t="n"/>
      <x:c r="I470" s="252" t="n"/>
      <x:c r="J470" s="253" t="n"/>
      <x:c r="K470" s="254" t="n"/>
      <x:c r="L470" s="50" t="n"/>
      <x:c r="M470" s="251" t="n"/>
      <x:c r="N470" s="251">
        <x:f>IF($A470="","",IF($G470="","",IF(ISNUMBER(SEARCH("non",LOWER($E470&amp;""))),$G470*0.85,$G470)))</x:f>
      </x:c>
      <x:c r="O470" s="251">
        <x:f>IF($A470="","",IF(OR($N470="",$I470="",$I470=0),"",$N470/$I470))</x:f>
      </x:c>
      <x:c r="P470" s="251">
        <x:f>IF($A470="","",IF(LOWER($L470&amp;"")="yes",0,IF($K470&lt;&gt;"",$K470,IF($O470&lt;&gt;"",$O470,""))))</x:f>
      </x:c>
      <x:c r="Q470" s="254">
        <x:f>IF($A470="","",IF($U470="Profit",$P470-$H470,0))</x:f>
      </x:c>
      <x:c r="R470" s="251">
        <x:f>IF($A470="","",IF($U470="Draw",$H470,0))</x:f>
      </x:c>
      <x:c r="S470" s="251">
        <x:f>IF($A470="","",IF($U470="Disqualified",$H470,0))</x:f>
      </x:c>
      <x:c r="T470" s="255">
        <x:f>IF($A470="","",IF($H470=0,IF($U470="Profit","N/A",0),IF($U470="Profit",$Q470/$H470,IF($U470="Disqualified",-1,0))))</x:f>
      </x:c>
      <x:c r="U470" s="254">
        <x:f>IF($A470="","",IF(LOWER($L470&amp;"")="yes","Disqualified",IF($P470&gt;$H470,"Profit","Draw")))</x:f>
      </x:c>
      <x:c r="V470" s="253">
        <x:f>IF(OR($B470="",$C470=""),"",IFERROR(ROUNDUP((IF(ISNUMBER($C470),$C470,DATEVALUE($C470))-IF(ISNUMBER($B470),$B470,DATEVALUE($B470)))/7,0),""))</x:f>
      </x:c>
      <x:c r="W470" s="254">
        <x:f>$Q470-$S470</x:f>
      </x:c>
      <x:c r="X470" s="256">
        <x:f>IF(OR($J470="",$I470="",$J470=0,$I470=0,$I470&gt;$J470),"",$J470-$I470)</x:f>
      </x:c>
      <x:c r="Y470" s="257">
        <x:f>IF(OR($J470="",$J470=0,$X470=""),"",$X470/$J470)</x:f>
      </x:c>
    </x:row>
    <x:row r="471" s="106" customFormat="1" ht="21" customHeight="1">
      <x:c r="A471" s="54" t="n"/>
      <x:c r="B471" s="250" t="n"/>
      <x:c r="C471" s="250" t="n"/>
      <x:c r="D471" s="54" t="n"/>
      <x:c r="E471" s="251" t="n"/>
      <x:c r="F471" s="251" t="n"/>
      <x:c r="G471" s="251" t="n"/>
      <x:c r="H471" s="251" t="n"/>
      <x:c r="I471" s="252" t="n"/>
      <x:c r="J471" s="253" t="n"/>
      <x:c r="K471" s="254" t="n"/>
      <x:c r="L471" s="50" t="n"/>
      <x:c r="M471" s="251" t="n"/>
      <x:c r="N471" s="251">
        <x:f>IF($A471="","",IF($G471="","",IF(ISNUMBER(SEARCH("non",LOWER($E471&amp;""))),$G471*0.85,$G471)))</x:f>
      </x:c>
      <x:c r="O471" s="251">
        <x:f>IF($A471="","",IF(OR($N471="",$I471="",$I471=0),"",$N471/$I471))</x:f>
      </x:c>
      <x:c r="P471" s="251">
        <x:f>IF($A471="","",IF(LOWER($L471&amp;"")="yes",0,IF($K471&lt;&gt;"",$K471,IF($O471&lt;&gt;"",$O471,""))))</x:f>
      </x:c>
      <x:c r="Q471" s="254">
        <x:f>IF($A471="","",IF($U471="Profit",$P471-$H471,0))</x:f>
      </x:c>
      <x:c r="R471" s="251">
        <x:f>IF($A471="","",IF($U471="Draw",$H471,0))</x:f>
      </x:c>
      <x:c r="S471" s="251">
        <x:f>IF($A471="","",IF($U471="Disqualified",$H471,0))</x:f>
      </x:c>
      <x:c r="T471" s="255">
        <x:f>IF($A471="","",IF($H471=0,IF($U471="Profit","N/A",0),IF($U471="Profit",$Q471/$H471,IF($U471="Disqualified",-1,0))))</x:f>
      </x:c>
      <x:c r="U471" s="254">
        <x:f>IF($A471="","",IF(LOWER($L471&amp;"")="yes","Disqualified",IF($P471&gt;$H471,"Profit","Draw")))</x:f>
      </x:c>
      <x:c r="V471" s="253">
        <x:f>IF(OR($B471="",$C471=""),"",IFERROR(ROUNDUP((IF(ISNUMBER($C471),$C471,DATEVALUE($C471))-IF(ISNUMBER($B471),$B471,DATEVALUE($B471)))/7,0),""))</x:f>
      </x:c>
      <x:c r="W471" s="254">
        <x:f>$Q471-$S471</x:f>
      </x:c>
      <x:c r="X471" s="256">
        <x:f>IF(OR($J471="",$I471="",$J471=0,$I471=0,$I471&gt;$J471),"",$J471-$I471)</x:f>
      </x:c>
      <x:c r="Y471" s="257">
        <x:f>IF(OR($J471="",$J471=0,$X471=""),"",$X471/$J471)</x:f>
      </x:c>
    </x:row>
    <x:row r="472" s="106" customFormat="1" ht="21" customHeight="1">
      <x:c r="A472" s="54" t="n"/>
      <x:c r="B472" s="250" t="n"/>
      <x:c r="C472" s="250" t="n"/>
      <x:c r="D472" s="54" t="n"/>
      <x:c r="E472" s="251" t="n"/>
      <x:c r="F472" s="251" t="n"/>
      <x:c r="G472" s="251" t="n"/>
      <x:c r="H472" s="251" t="n"/>
      <x:c r="I472" s="252" t="n"/>
      <x:c r="J472" s="253" t="n"/>
      <x:c r="K472" s="254" t="n"/>
      <x:c r="L472" s="50" t="n"/>
      <x:c r="M472" s="251" t="n"/>
      <x:c r="N472" s="251">
        <x:f>IF($A472="","",IF($G472="","",IF(ISNUMBER(SEARCH("non",LOWER($E472&amp;""))),$G472*0.85,$G472)))</x:f>
      </x:c>
      <x:c r="O472" s="251">
        <x:f>IF($A472="","",IF(OR($N472="",$I472="",$I472=0),"",$N472/$I472))</x:f>
      </x:c>
      <x:c r="P472" s="251">
        <x:f>IF($A472="","",IF(LOWER($L472&amp;"")="yes",0,IF($K472&lt;&gt;"",$K472,IF($O472&lt;&gt;"",$O472,""))))</x:f>
      </x:c>
      <x:c r="Q472" s="254">
        <x:f>IF($A472="","",IF($U472="Profit",$P472-$H472,0))</x:f>
      </x:c>
      <x:c r="R472" s="251">
        <x:f>IF($A472="","",IF($U472="Draw",$H472,0))</x:f>
      </x:c>
      <x:c r="S472" s="251">
        <x:f>IF($A472="","",IF($U472="Disqualified",$H472,0))</x:f>
      </x:c>
      <x:c r="T472" s="255">
        <x:f>IF($A472="","",IF($H472=0,IF($U472="Profit","N/A",0),IF($U472="Profit",$Q472/$H472,IF($U472="Disqualified",-1,0))))</x:f>
      </x:c>
      <x:c r="U472" s="254">
        <x:f>IF($A472="","",IF(LOWER($L472&amp;"")="yes","Disqualified",IF($P472&gt;$H472,"Profit","Draw")))</x:f>
      </x:c>
      <x:c r="V472" s="253">
        <x:f>IF(OR($B472="",$C472=""),"",IFERROR(ROUNDUP((IF(ISNUMBER($C472),$C472,DATEVALUE($C472))-IF(ISNUMBER($B472),$B472,DATEVALUE($B472)))/7,0),""))</x:f>
      </x:c>
      <x:c r="W472" s="254">
        <x:f>$Q472-$S472</x:f>
      </x:c>
      <x:c r="X472" s="256">
        <x:f>IF(OR($J472="",$I472="",$J472=0,$I472=0,$I472&gt;$J472),"",$J472-$I472)</x:f>
      </x:c>
      <x:c r="Y472" s="257">
        <x:f>IF(OR($J472="",$J472=0,$X472=""),"",$X472/$J472)</x:f>
      </x:c>
    </x:row>
    <x:row r="473" s="106" customFormat="1" ht="21" customHeight="1">
      <x:c r="A473" s="54" t="n"/>
      <x:c r="B473" s="250" t="n"/>
      <x:c r="C473" s="250" t="n"/>
      <x:c r="D473" s="54" t="n"/>
      <x:c r="E473" s="251" t="n"/>
      <x:c r="F473" s="251" t="n"/>
      <x:c r="G473" s="251" t="n"/>
      <x:c r="H473" s="251" t="n"/>
      <x:c r="I473" s="252" t="n"/>
      <x:c r="J473" s="253" t="n"/>
      <x:c r="K473" s="254" t="n"/>
      <x:c r="L473" s="50" t="n"/>
      <x:c r="M473" s="251" t="n"/>
      <x:c r="N473" s="251">
        <x:f>IF($A473="","",IF($G473="","",IF(ISNUMBER(SEARCH("non",LOWER($E473&amp;""))),$G473*0.85,$G473)))</x:f>
      </x:c>
      <x:c r="O473" s="251">
        <x:f>IF($A473="","",IF(OR($N473="",$I473="",$I473=0),"",$N473/$I473))</x:f>
      </x:c>
      <x:c r="P473" s="251">
        <x:f>IF($A473="","",IF(LOWER($L473&amp;"")="yes",0,IF($K473&lt;&gt;"",$K473,IF($O473&lt;&gt;"",$O473,""))))</x:f>
      </x:c>
      <x:c r="Q473" s="254">
        <x:f>IF($A473="","",IF($U473="Profit",$P473-$H473,0))</x:f>
      </x:c>
      <x:c r="R473" s="251">
        <x:f>IF($A473="","",IF($U473="Draw",$H473,0))</x:f>
      </x:c>
      <x:c r="S473" s="251">
        <x:f>IF($A473="","",IF($U473="Disqualified",$H473,0))</x:f>
      </x:c>
      <x:c r="T473" s="255">
        <x:f>IF($A473="","",IF($H473=0,IF($U473="Profit","N/A",0),IF($U473="Profit",$Q473/$H473,IF($U473="Disqualified",-1,0))))</x:f>
      </x:c>
      <x:c r="U473" s="254">
        <x:f>IF($A473="","",IF(LOWER($L473&amp;"")="yes","Disqualified",IF($P473&gt;$H473,"Profit","Draw")))</x:f>
      </x:c>
      <x:c r="V473" s="253">
        <x:f>IF(OR($B473="",$C473=""),"",IFERROR(ROUNDUP((IF(ISNUMBER($C473),$C473,DATEVALUE($C473))-IF(ISNUMBER($B473),$B473,DATEVALUE($B473)))/7,0),""))</x:f>
      </x:c>
      <x:c r="W473" s="254">
        <x:f>$Q473-$S473</x:f>
      </x:c>
      <x:c r="X473" s="256">
        <x:f>IF(OR($J473="",$I473="",$J473=0,$I473=0,$I473&gt;$J473),"",$J473-$I473)</x:f>
      </x:c>
      <x:c r="Y473" s="257">
        <x:f>IF(OR($J473="",$J473=0,$X473=""),"",$X473/$J473)</x:f>
      </x:c>
    </x:row>
    <x:row r="474" s="106" customFormat="1" ht="21" customHeight="1">
      <x:c r="A474" s="54" t="n"/>
      <x:c r="B474" s="250" t="n"/>
      <x:c r="C474" s="250" t="n"/>
      <x:c r="D474" s="54" t="n"/>
      <x:c r="E474" s="251" t="n"/>
      <x:c r="F474" s="251" t="n"/>
      <x:c r="G474" s="251" t="n"/>
      <x:c r="H474" s="251" t="n"/>
      <x:c r="I474" s="252" t="n"/>
      <x:c r="J474" s="253" t="n"/>
      <x:c r="K474" s="254" t="n"/>
      <x:c r="L474" s="50" t="n"/>
      <x:c r="M474" s="251" t="n"/>
      <x:c r="N474" s="251">
        <x:f>IF($A474="","",IF($G474="","",IF(ISNUMBER(SEARCH("non",LOWER($E474&amp;""))),$G474*0.85,$G474)))</x:f>
      </x:c>
      <x:c r="O474" s="251">
        <x:f>IF($A474="","",IF(OR($N474="",$I474="",$I474=0),"",$N474/$I474))</x:f>
      </x:c>
      <x:c r="P474" s="251">
        <x:f>IF($A474="","",IF(LOWER($L474&amp;"")="yes",0,IF($K474&lt;&gt;"",$K474,IF($O474&lt;&gt;"",$O474,""))))</x:f>
      </x:c>
      <x:c r="Q474" s="254">
        <x:f>IF($A474="","",IF($U474="Profit",$P474-$H474,0))</x:f>
      </x:c>
      <x:c r="R474" s="251">
        <x:f>IF($A474="","",IF($U474="Draw",$H474,0))</x:f>
      </x:c>
      <x:c r="S474" s="251">
        <x:f>IF($A474="","",IF($U474="Disqualified",$H474,0))</x:f>
      </x:c>
      <x:c r="T474" s="255">
        <x:f>IF($A474="","",IF($H474=0,IF($U474="Profit","N/A",0),IF($U474="Profit",$Q474/$H474,IF($U474="Disqualified",-1,0))))</x:f>
      </x:c>
      <x:c r="U474" s="254">
        <x:f>IF($A474="","",IF(LOWER($L474&amp;"")="yes","Disqualified",IF($P474&gt;$H474,"Profit","Draw")))</x:f>
      </x:c>
      <x:c r="V474" s="253">
        <x:f>IF(OR($B474="",$C474=""),"",IFERROR(ROUNDUP((IF(ISNUMBER($C474),$C474,DATEVALUE($C474))-IF(ISNUMBER($B474),$B474,DATEVALUE($B474)))/7,0),""))</x:f>
      </x:c>
      <x:c r="W474" s="254">
        <x:f>$Q474-$S474</x:f>
      </x:c>
      <x:c r="X474" s="256">
        <x:f>IF(OR($J474="",$I474="",$J474=0,$I474=0,$I474&gt;$J474),"",$J474-$I474)</x:f>
      </x:c>
      <x:c r="Y474" s="257">
        <x:f>IF(OR($J474="",$J474=0,$X474=""),"",$X474/$J474)</x:f>
      </x:c>
    </x:row>
    <x:row r="475" s="106" customFormat="1" ht="21" customHeight="1">
      <x:c r="A475" s="54" t="n"/>
      <x:c r="B475" s="250" t="n"/>
      <x:c r="C475" s="250" t="n"/>
      <x:c r="D475" s="54" t="n"/>
      <x:c r="E475" s="251" t="n"/>
      <x:c r="F475" s="251" t="n"/>
      <x:c r="G475" s="251" t="n"/>
      <x:c r="H475" s="251" t="n"/>
      <x:c r="I475" s="252" t="n"/>
      <x:c r="J475" s="253" t="n"/>
      <x:c r="K475" s="254" t="n"/>
      <x:c r="L475" s="50" t="n"/>
      <x:c r="M475" s="251" t="n"/>
      <x:c r="N475" s="251">
        <x:f>IF($A475="","",IF($G475="","",IF(ISNUMBER(SEARCH("non",LOWER($E475&amp;""))),$G475*0.85,$G475)))</x:f>
      </x:c>
      <x:c r="O475" s="251">
        <x:f>IF($A475="","",IF(OR($N475="",$I475="",$I475=0),"",$N475/$I475))</x:f>
      </x:c>
      <x:c r="P475" s="251">
        <x:f>IF($A475="","",IF(LOWER($L475&amp;"")="yes",0,IF($K475&lt;&gt;"",$K475,IF($O475&lt;&gt;"",$O475,""))))</x:f>
      </x:c>
      <x:c r="Q475" s="254">
        <x:f>IF($A475="","",IF($U475="Profit",$P475-$H475,0))</x:f>
      </x:c>
      <x:c r="R475" s="251">
        <x:f>IF($A475="","",IF($U475="Draw",$H475,0))</x:f>
      </x:c>
      <x:c r="S475" s="251">
        <x:f>IF($A475="","",IF($U475="Disqualified",$H475,0))</x:f>
      </x:c>
      <x:c r="T475" s="255">
        <x:f>IF($A475="","",IF($H475=0,IF($U475="Profit","N/A",0),IF($U475="Profit",$Q475/$H475,IF($U475="Disqualified",-1,0))))</x:f>
      </x:c>
      <x:c r="U475" s="254">
        <x:f>IF($A475="","",IF(LOWER($L475&amp;"")="yes","Disqualified",IF($P475&gt;$H475,"Profit","Draw")))</x:f>
      </x:c>
      <x:c r="V475" s="253">
        <x:f>IF(OR($B475="",$C475=""),"",IFERROR(ROUNDUP((IF(ISNUMBER($C475),$C475,DATEVALUE($C475))-IF(ISNUMBER($B475),$B475,DATEVALUE($B475)))/7,0),""))</x:f>
      </x:c>
      <x:c r="W475" s="254">
        <x:f>$Q475-$S475</x:f>
      </x:c>
      <x:c r="X475" s="256">
        <x:f>IF(OR($J475="",$I475="",$J475=0,$I475=0,$I475&gt;$J475),"",$J475-$I475)</x:f>
      </x:c>
      <x:c r="Y475" s="257">
        <x:f>IF(OR($J475="",$J475=0,$X475=""),"",$X475/$J475)</x:f>
      </x:c>
    </x:row>
    <x:row r="476" s="106" customFormat="1" ht="21" customHeight="1">
      <x:c r="A476" s="54" t="n"/>
      <x:c r="B476" s="250" t="n"/>
      <x:c r="C476" s="250" t="n"/>
      <x:c r="D476" s="54" t="n"/>
      <x:c r="E476" s="251" t="n"/>
      <x:c r="F476" s="251" t="n"/>
      <x:c r="G476" s="251" t="n"/>
      <x:c r="H476" s="251" t="n"/>
      <x:c r="I476" s="252" t="n"/>
      <x:c r="J476" s="253" t="n"/>
      <x:c r="K476" s="254" t="n"/>
      <x:c r="L476" s="50" t="n"/>
      <x:c r="M476" s="251" t="n"/>
      <x:c r="N476" s="251">
        <x:f>IF($A476="","",IF($G476="","",IF(ISNUMBER(SEARCH("non",LOWER($E476&amp;""))),$G476*0.85,$G476)))</x:f>
      </x:c>
      <x:c r="O476" s="251">
        <x:f>IF($A476="","",IF(OR($N476="",$I476="",$I476=0),"",$N476/$I476))</x:f>
      </x:c>
      <x:c r="P476" s="251">
        <x:f>IF($A476="","",IF(LOWER($L476&amp;"")="yes",0,IF($K476&lt;&gt;"",$K476,IF($O476&lt;&gt;"",$O476,""))))</x:f>
      </x:c>
      <x:c r="Q476" s="254">
        <x:f>IF($A476="","",IF($U476="Profit",$P476-$H476,0))</x:f>
      </x:c>
      <x:c r="R476" s="251">
        <x:f>IF($A476="","",IF($U476="Draw",$H476,0))</x:f>
      </x:c>
      <x:c r="S476" s="251">
        <x:f>IF($A476="","",IF($U476="Disqualified",$H476,0))</x:f>
      </x:c>
      <x:c r="T476" s="255">
        <x:f>IF($A476="","",IF($H476=0,IF($U476="Profit","N/A",0),IF($U476="Profit",$Q476/$H476,IF($U476="Disqualified",-1,0))))</x:f>
      </x:c>
      <x:c r="U476" s="254">
        <x:f>IF($A476="","",IF(LOWER($L476&amp;"")="yes","Disqualified",IF($P476&gt;$H476,"Profit","Draw")))</x:f>
      </x:c>
      <x:c r="V476" s="253">
        <x:f>IF(OR($B476="",$C476=""),"",IFERROR(ROUNDUP((IF(ISNUMBER($C476),$C476,DATEVALUE($C476))-IF(ISNUMBER($B476),$B476,DATEVALUE($B476)))/7,0),""))</x:f>
      </x:c>
      <x:c r="W476" s="254">
        <x:f>$Q476-$S476</x:f>
      </x:c>
      <x:c r="X476" s="256">
        <x:f>IF(OR($J476="",$I476="",$J476=0,$I476=0,$I476&gt;$J476),"",$J476-$I476)</x:f>
      </x:c>
      <x:c r="Y476" s="257">
        <x:f>IF(OR($J476="",$J476=0,$X476=""),"",$X476/$J476)</x:f>
      </x:c>
    </x:row>
    <x:row r="477" s="106" customFormat="1" ht="21" customHeight="1">
      <x:c r="A477" s="54" t="n"/>
      <x:c r="B477" s="250" t="n"/>
      <x:c r="C477" s="250" t="n"/>
      <x:c r="D477" s="54" t="n"/>
      <x:c r="E477" s="251" t="n"/>
      <x:c r="F477" s="251" t="n"/>
      <x:c r="G477" s="251" t="n"/>
      <x:c r="H477" s="251" t="n"/>
      <x:c r="I477" s="252" t="n"/>
      <x:c r="J477" s="253" t="n"/>
      <x:c r="K477" s="254" t="n"/>
      <x:c r="L477" s="50" t="n"/>
      <x:c r="M477" s="251" t="n"/>
      <x:c r="N477" s="251">
        <x:f>IF($A477="","",IF($G477="","",IF(ISNUMBER(SEARCH("non",LOWER($E477&amp;""))),$G477*0.85,$G477)))</x:f>
      </x:c>
      <x:c r="O477" s="251">
        <x:f>IF($A477="","",IF(OR($N477="",$I477="",$I477=0),"",$N477/$I477))</x:f>
      </x:c>
      <x:c r="P477" s="251">
        <x:f>IF($A477="","",IF(LOWER($L477&amp;"")="yes",0,IF($K477&lt;&gt;"",$K477,IF($O477&lt;&gt;"",$O477,""))))</x:f>
      </x:c>
      <x:c r="Q477" s="254">
        <x:f>IF($A477="","",IF($U477="Profit",$P477-$H477,0))</x:f>
      </x:c>
      <x:c r="R477" s="251">
        <x:f>IF($A477="","",IF($U477="Draw",$H477,0))</x:f>
      </x:c>
      <x:c r="S477" s="251">
        <x:f>IF($A477="","",IF($U477="Disqualified",$H477,0))</x:f>
      </x:c>
      <x:c r="T477" s="255">
        <x:f>IF($A477="","",IF($H477=0,IF($U477="Profit","N/A",0),IF($U477="Profit",$Q477/$H477,IF($U477="Disqualified",-1,0))))</x:f>
      </x:c>
      <x:c r="U477" s="254">
        <x:f>IF($A477="","",IF(LOWER($L477&amp;"")="yes","Disqualified",IF($P477&gt;$H477,"Profit","Draw")))</x:f>
      </x:c>
      <x:c r="V477" s="253">
        <x:f>IF(OR($B477="",$C477=""),"",IFERROR(ROUNDUP((IF(ISNUMBER($C477),$C477,DATEVALUE($C477))-IF(ISNUMBER($B477),$B477,DATEVALUE($B477)))/7,0),""))</x:f>
      </x:c>
      <x:c r="W477" s="254">
        <x:f>$Q477-$S477</x:f>
      </x:c>
      <x:c r="X477" s="256">
        <x:f>IF(OR($J477="",$I477="",$J477=0,$I477=0,$I477&gt;$J477),"",$J477-$I477)</x:f>
      </x:c>
      <x:c r="Y477" s="257">
        <x:f>IF(OR($J477="",$J477=0,$X477=""),"",$X477/$J477)</x:f>
      </x:c>
    </x:row>
    <x:row r="478" s="106" customFormat="1" ht="21" customHeight="1">
      <x:c r="A478" s="54" t="n"/>
      <x:c r="B478" s="250" t="n"/>
      <x:c r="C478" s="250" t="n"/>
      <x:c r="D478" s="54" t="n"/>
      <x:c r="E478" s="251" t="n"/>
      <x:c r="F478" s="251" t="n"/>
      <x:c r="G478" s="251" t="n"/>
      <x:c r="H478" s="251" t="n"/>
      <x:c r="I478" s="252" t="n"/>
      <x:c r="J478" s="253" t="n"/>
      <x:c r="K478" s="254" t="n"/>
      <x:c r="L478" s="50" t="n"/>
      <x:c r="M478" s="251" t="n"/>
      <x:c r="N478" s="251">
        <x:f>IF($A478="","",IF($G478="","",IF(ISNUMBER(SEARCH("non",LOWER($E478&amp;""))),$G478*0.85,$G478)))</x:f>
      </x:c>
      <x:c r="O478" s="251">
        <x:f>IF($A478="","",IF(OR($N478="",$I478="",$I478=0),"",$N478/$I478))</x:f>
      </x:c>
      <x:c r="P478" s="251">
        <x:f>IF($A478="","",IF(LOWER($L478&amp;"")="yes",0,IF($K478&lt;&gt;"",$K478,IF($O478&lt;&gt;"",$O478,""))))</x:f>
      </x:c>
      <x:c r="Q478" s="254">
        <x:f>IF($A478="","",IF($U478="Profit",$P478-$H478,0))</x:f>
      </x:c>
      <x:c r="R478" s="251">
        <x:f>IF($A478="","",IF($U478="Draw",$H478,0))</x:f>
      </x:c>
      <x:c r="S478" s="251">
        <x:f>IF($A478="","",IF($U478="Disqualified",$H478,0))</x:f>
      </x:c>
      <x:c r="T478" s="255">
        <x:f>IF($A478="","",IF($H478=0,IF($U478="Profit","N/A",0),IF($U478="Profit",$Q478/$H478,IF($U478="Disqualified",-1,0))))</x:f>
      </x:c>
      <x:c r="U478" s="254">
        <x:f>IF($A478="","",IF(LOWER($L478&amp;"")="yes","Disqualified",IF($P478&gt;$H478,"Profit","Draw")))</x:f>
      </x:c>
      <x:c r="V478" s="253">
        <x:f>IF(OR($B478="",$C478=""),"",IFERROR(ROUNDUP((IF(ISNUMBER($C478),$C478,DATEVALUE($C478))-IF(ISNUMBER($B478),$B478,DATEVALUE($B478)))/7,0),""))</x:f>
      </x:c>
      <x:c r="W478" s="254">
        <x:f>$Q478-$S478</x:f>
      </x:c>
      <x:c r="X478" s="256">
        <x:f>IF(OR($J478="",$I478="",$J478=0,$I478=0,$I478&gt;$J478),"",$J478-$I478)</x:f>
      </x:c>
      <x:c r="Y478" s="257">
        <x:f>IF(OR($J478="",$J478=0,$X478=""),"",$X478/$J478)</x:f>
      </x:c>
    </x:row>
    <x:row r="479" s="106" customFormat="1" ht="21" customHeight="1">
      <x:c r="A479" s="54" t="n"/>
      <x:c r="B479" s="250" t="n"/>
      <x:c r="C479" s="250" t="n"/>
      <x:c r="D479" s="54" t="n"/>
      <x:c r="E479" s="251" t="n"/>
      <x:c r="F479" s="251" t="n"/>
      <x:c r="G479" s="251" t="n"/>
      <x:c r="H479" s="251" t="n"/>
      <x:c r="I479" s="252" t="n"/>
      <x:c r="J479" s="253" t="n"/>
      <x:c r="K479" s="254" t="n"/>
      <x:c r="L479" s="50" t="n"/>
      <x:c r="M479" s="251" t="n"/>
      <x:c r="N479" s="251">
        <x:f>IF($A479="","",IF($G479="","",IF(ISNUMBER(SEARCH("non",LOWER($E479&amp;""))),$G479*0.85,$G479)))</x:f>
      </x:c>
      <x:c r="O479" s="251">
        <x:f>IF($A479="","",IF(OR($N479="",$I479="",$I479=0),"",$N479/$I479))</x:f>
      </x:c>
      <x:c r="P479" s="251">
        <x:f>IF($A479="","",IF(LOWER($L479&amp;"")="yes",0,IF($K479&lt;&gt;"",$K479,IF($O479&lt;&gt;"",$O479,""))))</x:f>
      </x:c>
      <x:c r="Q479" s="254">
        <x:f>IF($A479="","",IF($U479="Profit",$P479-$H479,0))</x:f>
      </x:c>
      <x:c r="R479" s="251">
        <x:f>IF($A479="","",IF($U479="Draw",$H479,0))</x:f>
      </x:c>
      <x:c r="S479" s="251">
        <x:f>IF($A479="","",IF($U479="Disqualified",$H479,0))</x:f>
      </x:c>
      <x:c r="T479" s="255">
        <x:f>IF($A479="","",IF($H479=0,IF($U479="Profit","N/A",0),IF($U479="Profit",$Q479/$H479,IF($U479="Disqualified",-1,0))))</x:f>
      </x:c>
      <x:c r="U479" s="254">
        <x:f>IF($A479="","",IF(LOWER($L479&amp;"")="yes","Disqualified",IF($P479&gt;$H479,"Profit","Draw")))</x:f>
      </x:c>
      <x:c r="V479" s="253">
        <x:f>IF(OR($B479="",$C479=""),"",IFERROR(ROUNDUP((IF(ISNUMBER($C479),$C479,DATEVALUE($C479))-IF(ISNUMBER($B479),$B479,DATEVALUE($B479)))/7,0),""))</x:f>
      </x:c>
      <x:c r="W479" s="254">
        <x:f>$Q479-$S479</x:f>
      </x:c>
      <x:c r="X479" s="256">
        <x:f>IF(OR($J479="",$I479="",$J479=0,$I479=0,$I479&gt;$J479),"",$J479-$I479)</x:f>
      </x:c>
      <x:c r="Y479" s="257">
        <x:f>IF(OR($J479="",$J479=0,$X479=""),"",$X479/$J479)</x:f>
      </x:c>
    </x:row>
    <x:row r="480" s="106" customFormat="1" ht="21" customHeight="1">
      <x:c r="A480" s="54" t="n"/>
      <x:c r="B480" s="250" t="n"/>
      <x:c r="C480" s="250" t="n"/>
      <x:c r="D480" s="54" t="n"/>
      <x:c r="E480" s="251" t="n"/>
      <x:c r="F480" s="251" t="n"/>
      <x:c r="G480" s="251" t="n"/>
      <x:c r="H480" s="251" t="n"/>
      <x:c r="I480" s="252" t="n"/>
      <x:c r="J480" s="253" t="n"/>
      <x:c r="K480" s="254" t="n"/>
      <x:c r="L480" s="50" t="n"/>
      <x:c r="M480" s="251" t="n"/>
      <x:c r="N480" s="251">
        <x:f>IF($A480="","",IF($G480="","",IF(ISNUMBER(SEARCH("non",LOWER($E480&amp;""))),$G480*0.85,$G480)))</x:f>
      </x:c>
      <x:c r="O480" s="251">
        <x:f>IF($A480="","",IF(OR($N480="",$I480="",$I480=0),"",$N480/$I480))</x:f>
      </x:c>
      <x:c r="P480" s="251">
        <x:f>IF($A480="","",IF(LOWER($L480&amp;"")="yes",0,IF($K480&lt;&gt;"",$K480,IF($O480&lt;&gt;"",$O480,""))))</x:f>
      </x:c>
      <x:c r="Q480" s="254">
        <x:f>IF($A480="","",IF($U480="Profit",$P480-$H480,0))</x:f>
      </x:c>
      <x:c r="R480" s="251">
        <x:f>IF($A480="","",IF($U480="Draw",$H480,0))</x:f>
      </x:c>
      <x:c r="S480" s="251">
        <x:f>IF($A480="","",IF($U480="Disqualified",$H480,0))</x:f>
      </x:c>
      <x:c r="T480" s="255">
        <x:f>IF($A480="","",IF($H480=0,IF($U480="Profit","N/A",0),IF($U480="Profit",$Q480/$H480,IF($U480="Disqualified",-1,0))))</x:f>
      </x:c>
      <x:c r="U480" s="254">
        <x:f>IF($A480="","",IF(LOWER($L480&amp;"")="yes","Disqualified",IF($P480&gt;$H480,"Profit","Draw")))</x:f>
      </x:c>
      <x:c r="V480" s="253">
        <x:f>IF(OR($B480="",$C480=""),"",IFERROR(ROUNDUP((IF(ISNUMBER($C480),$C480,DATEVALUE($C480))-IF(ISNUMBER($B480),$B480,DATEVALUE($B480)))/7,0),""))</x:f>
      </x:c>
      <x:c r="W480" s="254">
        <x:f>$Q480-$S480</x:f>
      </x:c>
      <x:c r="X480" s="256">
        <x:f>IF(OR($J480="",$I480="",$J480=0,$I480=0,$I480&gt;$J480),"",$J480-$I480)</x:f>
      </x:c>
      <x:c r="Y480" s="257">
        <x:f>IF(OR($J480="",$J480=0,$X480=""),"",$X480/$J480)</x:f>
      </x:c>
    </x:row>
    <x:row r="481" s="106" customFormat="1" ht="21" customHeight="1">
      <x:c r="A481" s="54" t="n"/>
      <x:c r="B481" s="250" t="n"/>
      <x:c r="C481" s="250" t="n"/>
      <x:c r="D481" s="54" t="n"/>
      <x:c r="E481" s="251" t="n"/>
      <x:c r="F481" s="251" t="n"/>
      <x:c r="G481" s="251" t="n"/>
      <x:c r="H481" s="251" t="n"/>
      <x:c r="I481" s="252" t="n"/>
      <x:c r="J481" s="253" t="n"/>
      <x:c r="K481" s="254" t="n"/>
      <x:c r="L481" s="50" t="n"/>
      <x:c r="M481" s="251" t="n"/>
      <x:c r="N481" s="251">
        <x:f>IF($A481="","",IF($G481="","",IF(ISNUMBER(SEARCH("non",LOWER($E481&amp;""))),$G481*0.85,$G481)))</x:f>
      </x:c>
      <x:c r="O481" s="251">
        <x:f>IF($A481="","",IF(OR($N481="",$I481="",$I481=0),"",$N481/$I481))</x:f>
      </x:c>
      <x:c r="P481" s="251">
        <x:f>IF($A481="","",IF(LOWER($L481&amp;"")="yes",0,IF($K481&lt;&gt;"",$K481,IF($O481&lt;&gt;"",$O481,""))))</x:f>
      </x:c>
      <x:c r="Q481" s="254">
        <x:f>IF($A481="","",IF($U481="Profit",$P481-$H481,0))</x:f>
      </x:c>
      <x:c r="R481" s="251">
        <x:f>IF($A481="","",IF($U481="Draw",$H481,0))</x:f>
      </x:c>
      <x:c r="S481" s="251">
        <x:f>IF($A481="","",IF($U481="Disqualified",$H481,0))</x:f>
      </x:c>
      <x:c r="T481" s="255">
        <x:f>IF($A481="","",IF($H481=0,IF($U481="Profit","N/A",0),IF($U481="Profit",$Q481/$H481,IF($U481="Disqualified",-1,0))))</x:f>
      </x:c>
      <x:c r="U481" s="254">
        <x:f>IF($A481="","",IF(LOWER($L481&amp;"")="yes","Disqualified",IF($P481&gt;$H481,"Profit","Draw")))</x:f>
      </x:c>
      <x:c r="V481" s="253">
        <x:f>IF(OR($B481="",$C481=""),"",IFERROR(ROUNDUP((IF(ISNUMBER($C481),$C481,DATEVALUE($C481))-IF(ISNUMBER($B481),$B481,DATEVALUE($B481)))/7,0),""))</x:f>
      </x:c>
      <x:c r="W481" s="254">
        <x:f>$Q481-$S481</x:f>
      </x:c>
      <x:c r="X481" s="256">
        <x:f>IF(OR($J481="",$I481="",$J481=0,$I481=0,$I481&gt;$J481),"",$J481-$I481)</x:f>
      </x:c>
      <x:c r="Y481" s="257">
        <x:f>IF(OR($J481="",$J481=0,$X481=""),"",$X481/$J481)</x:f>
      </x:c>
    </x:row>
    <x:row r="482" s="106" customFormat="1" ht="21" customHeight="1">
      <x:c r="A482" s="54" t="n"/>
      <x:c r="B482" s="250" t="n"/>
      <x:c r="C482" s="250" t="n"/>
      <x:c r="D482" s="54" t="n"/>
      <x:c r="E482" s="251" t="n"/>
      <x:c r="F482" s="251" t="n"/>
      <x:c r="G482" s="251" t="n"/>
      <x:c r="H482" s="251" t="n"/>
      <x:c r="I482" s="252" t="n"/>
      <x:c r="J482" s="253" t="n"/>
      <x:c r="K482" s="254" t="n"/>
      <x:c r="L482" s="50" t="n"/>
      <x:c r="M482" s="251" t="n"/>
      <x:c r="N482" s="251">
        <x:f>IF($A482="","",IF($G482="","",IF(ISNUMBER(SEARCH("non",LOWER($E482&amp;""))),$G482*0.85,$G482)))</x:f>
      </x:c>
      <x:c r="O482" s="251">
        <x:f>IF($A482="","",IF(OR($N482="",$I482="",$I482=0),"",$N482/$I482))</x:f>
      </x:c>
      <x:c r="P482" s="251">
        <x:f>IF($A482="","",IF(LOWER($L482&amp;"")="yes",0,IF($K482&lt;&gt;"",$K482,IF($O482&lt;&gt;"",$O482,""))))</x:f>
      </x:c>
      <x:c r="Q482" s="254">
        <x:f>IF($A482="","",IF($U482="Profit",$P482-$H482,0))</x:f>
      </x:c>
      <x:c r="R482" s="251">
        <x:f>IF($A482="","",IF($U482="Draw",$H482,0))</x:f>
      </x:c>
      <x:c r="S482" s="251">
        <x:f>IF($A482="","",IF($U482="Disqualified",$H482,0))</x:f>
      </x:c>
      <x:c r="T482" s="255">
        <x:f>IF($A482="","",IF($H482=0,IF($U482="Profit","N/A",0),IF($U482="Profit",$Q482/$H482,IF($U482="Disqualified",-1,0))))</x:f>
      </x:c>
      <x:c r="U482" s="254">
        <x:f>IF($A482="","",IF(LOWER($L482&amp;"")="yes","Disqualified",IF($P482&gt;$H482,"Profit","Draw")))</x:f>
      </x:c>
      <x:c r="V482" s="253">
        <x:f>IF(OR($B482="",$C482=""),"",IFERROR(ROUNDUP((IF(ISNUMBER($C482),$C482,DATEVALUE($C482))-IF(ISNUMBER($B482),$B482,DATEVALUE($B482)))/7,0),""))</x:f>
      </x:c>
      <x:c r="W482" s="254">
        <x:f>$Q482-$S482</x:f>
      </x:c>
      <x:c r="X482" s="256">
        <x:f>IF(OR($J482="",$I482="",$J482=0,$I482=0,$I482&gt;$J482),"",$J482-$I482)</x:f>
      </x:c>
      <x:c r="Y482" s="257">
        <x:f>IF(OR($J482="",$J482=0,$X482=""),"",$X482/$J482)</x:f>
      </x:c>
    </x:row>
    <x:row r="483" s="106" customFormat="1" ht="21" customHeight="1">
      <x:c r="A483" s="54" t="n"/>
      <x:c r="B483" s="250" t="n"/>
      <x:c r="C483" s="250" t="n"/>
      <x:c r="D483" s="54" t="n"/>
      <x:c r="E483" s="251" t="n"/>
      <x:c r="F483" s="251" t="n"/>
      <x:c r="G483" s="251" t="n"/>
      <x:c r="H483" s="251" t="n"/>
      <x:c r="I483" s="252" t="n"/>
      <x:c r="J483" s="253" t="n"/>
      <x:c r="K483" s="254" t="n"/>
      <x:c r="L483" s="50" t="n"/>
      <x:c r="M483" s="251" t="n"/>
      <x:c r="N483" s="251">
        <x:f>IF($A483="","",IF($G483="","",IF(ISNUMBER(SEARCH("non",LOWER($E483&amp;""))),$G483*0.85,$G483)))</x:f>
      </x:c>
      <x:c r="O483" s="251">
        <x:f>IF($A483="","",IF(OR($N483="",$I483="",$I483=0),"",$N483/$I483))</x:f>
      </x:c>
      <x:c r="P483" s="251">
        <x:f>IF($A483="","",IF(LOWER($L483&amp;"")="yes",0,IF($K483&lt;&gt;"",$K483,IF($O483&lt;&gt;"",$O483,""))))</x:f>
      </x:c>
      <x:c r="Q483" s="254">
        <x:f>IF($A483="","",IF($U483="Profit",$P483-$H483,0))</x:f>
      </x:c>
      <x:c r="R483" s="251">
        <x:f>IF($A483="","",IF($U483="Draw",$H483,0))</x:f>
      </x:c>
      <x:c r="S483" s="251">
        <x:f>IF($A483="","",IF($U483="Disqualified",$H483,0))</x:f>
      </x:c>
      <x:c r="T483" s="255">
        <x:f>IF($A483="","",IF($H483=0,IF($U483="Profit","N/A",0),IF($U483="Profit",$Q483/$H483,IF($U483="Disqualified",-1,0))))</x:f>
      </x:c>
      <x:c r="U483" s="254">
        <x:f>IF($A483="","",IF(LOWER($L483&amp;"")="yes","Disqualified",IF($P483&gt;$H483,"Profit","Draw")))</x:f>
      </x:c>
      <x:c r="V483" s="253">
        <x:f>IF(OR($B483="",$C483=""),"",IFERROR(ROUNDUP((IF(ISNUMBER($C483),$C483,DATEVALUE($C483))-IF(ISNUMBER($B483),$B483,DATEVALUE($B483)))/7,0),""))</x:f>
      </x:c>
      <x:c r="W483" s="254">
        <x:f>$Q483-$S483</x:f>
      </x:c>
      <x:c r="X483" s="256">
        <x:f>IF(OR($J483="",$I483="",$J483=0,$I483=0,$I483&gt;$J483),"",$J483-$I483)</x:f>
      </x:c>
      <x:c r="Y483" s="257">
        <x:f>IF(OR($J483="",$J483=0,$X483=""),"",$X483/$J483)</x:f>
      </x:c>
    </x:row>
    <x:row r="484" s="106" customFormat="1" ht="21" customHeight="1">
      <x:c r="A484" s="54" t="n"/>
      <x:c r="B484" s="250" t="n"/>
      <x:c r="C484" s="250" t="n"/>
      <x:c r="D484" s="54" t="n"/>
      <x:c r="E484" s="251" t="n"/>
      <x:c r="F484" s="251" t="n"/>
      <x:c r="G484" s="251" t="n"/>
      <x:c r="H484" s="251" t="n"/>
      <x:c r="I484" s="252" t="n"/>
      <x:c r="J484" s="253" t="n"/>
      <x:c r="K484" s="254" t="n"/>
      <x:c r="L484" s="50" t="n"/>
      <x:c r="M484" s="251" t="n"/>
      <x:c r="N484" s="251">
        <x:f>IF($A484="","",IF($G484="","",IF(ISNUMBER(SEARCH("non",LOWER($E484&amp;""))),$G484*0.85,$G484)))</x:f>
      </x:c>
      <x:c r="O484" s="251">
        <x:f>IF($A484="","",IF(OR($N484="",$I484="",$I484=0),"",$N484/$I484))</x:f>
      </x:c>
      <x:c r="P484" s="251">
        <x:f>IF($A484="","",IF(LOWER($L484&amp;"")="yes",0,IF($K484&lt;&gt;"",$K484,IF($O484&lt;&gt;"",$O484,""))))</x:f>
      </x:c>
      <x:c r="Q484" s="254">
        <x:f>IF($A484="","",IF($U484="Profit",$P484-$H484,0))</x:f>
      </x:c>
      <x:c r="R484" s="251">
        <x:f>IF($A484="","",IF($U484="Draw",$H484,0))</x:f>
      </x:c>
      <x:c r="S484" s="251">
        <x:f>IF($A484="","",IF($U484="Disqualified",$H484,0))</x:f>
      </x:c>
      <x:c r="T484" s="255">
        <x:f>IF($A484="","",IF($H484=0,IF($U484="Profit","N/A",0),IF($U484="Profit",$Q484/$H484,IF($U484="Disqualified",-1,0))))</x:f>
      </x:c>
      <x:c r="U484" s="254">
        <x:f>IF($A484="","",IF(LOWER($L484&amp;"")="yes","Disqualified",IF($P484&gt;$H484,"Profit","Draw")))</x:f>
      </x:c>
      <x:c r="V484" s="253">
        <x:f>IF(OR($B484="",$C484=""),"",IFERROR(ROUNDUP((IF(ISNUMBER($C484),$C484,DATEVALUE($C484))-IF(ISNUMBER($B484),$B484,DATEVALUE($B484)))/7,0),""))</x:f>
      </x:c>
      <x:c r="W484" s="254">
        <x:f>$Q484-$S484</x:f>
      </x:c>
      <x:c r="X484" s="256">
        <x:f>IF(OR($J484="",$I484="",$J484=0,$I484=0,$I484&gt;$J484),"",$J484-$I484)</x:f>
      </x:c>
      <x:c r="Y484" s="257">
        <x:f>IF(OR($J484="",$J484=0,$X484=""),"",$X484/$J484)</x:f>
      </x:c>
    </x:row>
    <x:row r="485" s="106" customFormat="1" ht="21" customHeight="1">
      <x:c r="A485" s="54" t="n"/>
      <x:c r="B485" s="250" t="n"/>
      <x:c r="C485" s="250" t="n"/>
      <x:c r="D485" s="54" t="n"/>
      <x:c r="E485" s="251" t="n"/>
      <x:c r="F485" s="251" t="n"/>
      <x:c r="G485" s="251" t="n"/>
      <x:c r="H485" s="251" t="n"/>
      <x:c r="I485" s="252" t="n"/>
      <x:c r="J485" s="253" t="n"/>
      <x:c r="K485" s="254" t="n"/>
      <x:c r="L485" s="50" t="n"/>
      <x:c r="M485" s="251" t="n"/>
      <x:c r="N485" s="251">
        <x:f>IF($A485="","",IF($G485="","",IF(ISNUMBER(SEARCH("non",LOWER($E485&amp;""))),$G485*0.85,$G485)))</x:f>
      </x:c>
      <x:c r="O485" s="251">
        <x:f>IF($A485="","",IF(OR($N485="",$I485="",$I485=0),"",$N485/$I485))</x:f>
      </x:c>
      <x:c r="P485" s="251">
        <x:f>IF($A485="","",IF(LOWER($L485&amp;"")="yes",0,IF($K485&lt;&gt;"",$K485,IF($O485&lt;&gt;"",$O485,""))))</x:f>
      </x:c>
      <x:c r="Q485" s="254">
        <x:f>IF($A485="","",IF($U485="Profit",$P485-$H485,0))</x:f>
      </x:c>
      <x:c r="R485" s="251">
        <x:f>IF($A485="","",IF($U485="Draw",$H485,0))</x:f>
      </x:c>
      <x:c r="S485" s="251">
        <x:f>IF($A485="","",IF($U485="Disqualified",$H485,0))</x:f>
      </x:c>
      <x:c r="T485" s="255">
        <x:f>IF($A485="","",IF($H485=0,IF($U485="Profit","N/A",0),IF($U485="Profit",$Q485/$H485,IF($U485="Disqualified",-1,0))))</x:f>
      </x:c>
      <x:c r="U485" s="254">
        <x:f>IF($A485="","",IF(LOWER($L485&amp;"")="yes","Disqualified",IF($P485&gt;$H485,"Profit","Draw")))</x:f>
      </x:c>
      <x:c r="V485" s="253">
        <x:f>IF(OR($B485="",$C485=""),"",IFERROR(ROUNDUP((IF(ISNUMBER($C485),$C485,DATEVALUE($C485))-IF(ISNUMBER($B485),$B485,DATEVALUE($B485)))/7,0),""))</x:f>
      </x:c>
      <x:c r="W485" s="254">
        <x:f>$Q485-$S485</x:f>
      </x:c>
      <x:c r="X485" s="256">
        <x:f>IF(OR($J485="",$I485="",$J485=0,$I485=0,$I485&gt;$J485),"",$J485-$I485)</x:f>
      </x:c>
      <x:c r="Y485" s="257">
        <x:f>IF(OR($J485="",$J485=0,$X485=""),"",$X485/$J485)</x:f>
      </x:c>
    </x:row>
    <x:row r="486" s="106" customFormat="1" ht="21" customHeight="1">
      <x:c r="A486" s="54" t="n"/>
      <x:c r="B486" s="250" t="n"/>
      <x:c r="C486" s="250" t="n"/>
      <x:c r="D486" s="54" t="n"/>
      <x:c r="E486" s="251" t="n"/>
      <x:c r="F486" s="251" t="n"/>
      <x:c r="G486" s="251" t="n"/>
      <x:c r="H486" s="251" t="n"/>
      <x:c r="I486" s="252" t="n"/>
      <x:c r="J486" s="253" t="n"/>
      <x:c r="K486" s="254" t="n"/>
      <x:c r="L486" s="50" t="n"/>
      <x:c r="M486" s="251" t="n"/>
      <x:c r="N486" s="251">
        <x:f>IF($A486="","",IF($G486="","",IF(ISNUMBER(SEARCH("non",LOWER($E486&amp;""))),$G486*0.85,$G486)))</x:f>
      </x:c>
      <x:c r="O486" s="251">
        <x:f>IF($A486="","",IF(OR($N486="",$I486="",$I486=0),"",$N486/$I486))</x:f>
      </x:c>
      <x:c r="P486" s="251">
        <x:f>IF($A486="","",IF(LOWER($L486&amp;"")="yes",0,IF($K486&lt;&gt;"",$K486,IF($O486&lt;&gt;"",$O486,""))))</x:f>
      </x:c>
      <x:c r="Q486" s="254">
        <x:f>IF($A486="","",IF($U486="Profit",$P486-$H486,0))</x:f>
      </x:c>
      <x:c r="R486" s="251">
        <x:f>IF($A486="","",IF($U486="Draw",$H486,0))</x:f>
      </x:c>
      <x:c r="S486" s="251">
        <x:f>IF($A486="","",IF($U486="Disqualified",$H486,0))</x:f>
      </x:c>
      <x:c r="T486" s="255">
        <x:f>IF($A486="","",IF($H486=0,IF($U486="Profit","N/A",0),IF($U486="Profit",$Q486/$H486,IF($U486="Disqualified",-1,0))))</x:f>
      </x:c>
      <x:c r="U486" s="254">
        <x:f>IF($A486="","",IF(LOWER($L486&amp;"")="yes","Disqualified",IF($P486&gt;$H486,"Profit","Draw")))</x:f>
      </x:c>
      <x:c r="V486" s="253">
        <x:f>IF(OR($B486="",$C486=""),"",IFERROR(ROUNDUP((IF(ISNUMBER($C486),$C486,DATEVALUE($C486))-IF(ISNUMBER($B486),$B486,DATEVALUE($B486)))/7,0),""))</x:f>
      </x:c>
      <x:c r="W486" s="254">
        <x:f>$Q486-$S486</x:f>
      </x:c>
      <x:c r="X486" s="256">
        <x:f>IF(OR($J486="",$I486="",$J486=0,$I486=0,$I486&gt;$J486),"",$J486-$I486)</x:f>
      </x:c>
      <x:c r="Y486" s="257">
        <x:f>IF(OR($J486="",$J486=0,$X486=""),"",$X486/$J486)</x:f>
      </x:c>
    </x:row>
    <x:row r="487" s="106" customFormat="1" ht="21" customHeight="1">
      <x:c r="A487" s="54" t="n"/>
      <x:c r="B487" s="250" t="n"/>
      <x:c r="C487" s="250" t="n"/>
      <x:c r="D487" s="54" t="n"/>
      <x:c r="E487" s="251" t="n"/>
      <x:c r="F487" s="251" t="n"/>
      <x:c r="G487" s="251" t="n"/>
      <x:c r="H487" s="251" t="n"/>
      <x:c r="I487" s="252" t="n"/>
      <x:c r="J487" s="253" t="n"/>
      <x:c r="K487" s="254" t="n"/>
      <x:c r="L487" s="50" t="n"/>
      <x:c r="M487" s="251" t="n"/>
      <x:c r="N487" s="251">
        <x:f>IF($A487="","",IF($G487="","",IF(ISNUMBER(SEARCH("non",LOWER($E487&amp;""))),$G487*0.85,$G487)))</x:f>
      </x:c>
      <x:c r="O487" s="251">
        <x:f>IF($A487="","",IF(OR($N487="",$I487="",$I487=0),"",$N487/$I487))</x:f>
      </x:c>
      <x:c r="P487" s="251">
        <x:f>IF($A487="","",IF(LOWER($L487&amp;"")="yes",0,IF($K487&lt;&gt;"",$K487,IF($O487&lt;&gt;"",$O487,""))))</x:f>
      </x:c>
      <x:c r="Q487" s="254">
        <x:f>IF($A487="","",IF($U487="Profit",$P487-$H487,0))</x:f>
      </x:c>
      <x:c r="R487" s="251">
        <x:f>IF($A487="","",IF($U487="Draw",$H487,0))</x:f>
      </x:c>
      <x:c r="S487" s="251">
        <x:f>IF($A487="","",IF($U487="Disqualified",$H487,0))</x:f>
      </x:c>
      <x:c r="T487" s="255">
        <x:f>IF($A487="","",IF($H487=0,IF($U487="Profit","N/A",0),IF($U487="Profit",$Q487/$H487,IF($U487="Disqualified",-1,0))))</x:f>
      </x:c>
      <x:c r="U487" s="254">
        <x:f>IF($A487="","",IF(LOWER($L487&amp;"")="yes","Disqualified",IF($P487&gt;$H487,"Profit","Draw")))</x:f>
      </x:c>
      <x:c r="V487" s="253">
        <x:f>IF(OR($B487="",$C487=""),"",IFERROR(ROUNDUP((IF(ISNUMBER($C487),$C487,DATEVALUE($C487))-IF(ISNUMBER($B487),$B487,DATEVALUE($B487)))/7,0),""))</x:f>
      </x:c>
      <x:c r="W487" s="254">
        <x:f>$Q487-$S487</x:f>
      </x:c>
      <x:c r="X487" s="256">
        <x:f>IF(OR($J487="",$I487="",$J487=0,$I487=0,$I487&gt;$J487),"",$J487-$I487)</x:f>
      </x:c>
      <x:c r="Y487" s="257">
        <x:f>IF(OR($J487="",$J487=0,$X487=""),"",$X487/$J487)</x:f>
      </x:c>
    </x:row>
    <x:row r="488" s="106" customFormat="1" ht="21" customHeight="1">
      <x:c r="A488" s="54" t="n"/>
      <x:c r="B488" s="250" t="n"/>
      <x:c r="C488" s="250" t="n"/>
      <x:c r="D488" s="54" t="n"/>
      <x:c r="E488" s="251" t="n"/>
      <x:c r="F488" s="251" t="n"/>
      <x:c r="G488" s="251" t="n"/>
      <x:c r="H488" s="251" t="n"/>
      <x:c r="I488" s="252" t="n"/>
      <x:c r="J488" s="253" t="n"/>
      <x:c r="K488" s="254" t="n"/>
      <x:c r="L488" s="50" t="n"/>
      <x:c r="M488" s="251" t="n"/>
      <x:c r="N488" s="251">
        <x:f>IF($A488="","",IF($G488="","",IF(ISNUMBER(SEARCH("non",LOWER($E488&amp;""))),$G488*0.85,$G488)))</x:f>
      </x:c>
      <x:c r="O488" s="251">
        <x:f>IF($A488="","",IF(OR($N488="",$I488="",$I488=0),"",$N488/$I488))</x:f>
      </x:c>
      <x:c r="P488" s="251">
        <x:f>IF($A488="","",IF(LOWER($L488&amp;"")="yes",0,IF($K488&lt;&gt;"",$K488,IF($O488&lt;&gt;"",$O488,""))))</x:f>
      </x:c>
      <x:c r="Q488" s="254">
        <x:f>IF($A488="","",IF($U488="Profit",$P488-$H488,0))</x:f>
      </x:c>
      <x:c r="R488" s="251">
        <x:f>IF($A488="","",IF($U488="Draw",$H488,0))</x:f>
      </x:c>
      <x:c r="S488" s="251">
        <x:f>IF($A488="","",IF($U488="Disqualified",$H488,0))</x:f>
      </x:c>
      <x:c r="T488" s="255">
        <x:f>IF($A488="","",IF($H488=0,IF($U488="Profit","N/A",0),IF($U488="Profit",$Q488/$H488,IF($U488="Disqualified",-1,0))))</x:f>
      </x:c>
      <x:c r="U488" s="254">
        <x:f>IF($A488="","",IF(LOWER($L488&amp;"")="yes","Disqualified",IF($P488&gt;$H488,"Profit","Draw")))</x:f>
      </x:c>
      <x:c r="V488" s="253">
        <x:f>IF(OR($B488="",$C488=""),"",IFERROR(ROUNDUP((IF(ISNUMBER($C488),$C488,DATEVALUE($C488))-IF(ISNUMBER($B488),$B488,DATEVALUE($B488)))/7,0),""))</x:f>
      </x:c>
      <x:c r="W488" s="254">
        <x:f>$Q488-$S488</x:f>
      </x:c>
      <x:c r="X488" s="256">
        <x:f>IF(OR($J488="",$I488="",$J488=0,$I488=0,$I488&gt;$J488),"",$J488-$I488)</x:f>
      </x:c>
      <x:c r="Y488" s="257">
        <x:f>IF(OR($J488="",$J488=0,$X488=""),"",$X488/$J488)</x:f>
      </x:c>
    </x:row>
    <x:row r="489" s="106" customFormat="1" ht="21" customHeight="1">
      <x:c r="A489" s="54" t="n"/>
      <x:c r="B489" s="250" t="n"/>
      <x:c r="C489" s="250" t="n"/>
      <x:c r="D489" s="54" t="n"/>
      <x:c r="E489" s="251" t="n"/>
      <x:c r="F489" s="251" t="n"/>
      <x:c r="G489" s="251" t="n"/>
      <x:c r="H489" s="251" t="n"/>
      <x:c r="I489" s="252" t="n"/>
      <x:c r="J489" s="253" t="n"/>
      <x:c r="K489" s="254" t="n"/>
      <x:c r="L489" s="50" t="n"/>
      <x:c r="M489" s="251" t="n"/>
      <x:c r="N489" s="251">
        <x:f>IF($A489="","",IF($G489="","",IF(ISNUMBER(SEARCH("non",LOWER($E489&amp;""))),$G489*0.85,$G489)))</x:f>
      </x:c>
      <x:c r="O489" s="251">
        <x:f>IF($A489="","",IF(OR($N489="",$I489="",$I489=0),"",$N489/$I489))</x:f>
      </x:c>
      <x:c r="P489" s="251">
        <x:f>IF($A489="","",IF(LOWER($L489&amp;"")="yes",0,IF($K489&lt;&gt;"",$K489,IF($O489&lt;&gt;"",$O489,""))))</x:f>
      </x:c>
      <x:c r="Q489" s="254">
        <x:f>IF($A489="","",IF($U489="Profit",$P489-$H489,0))</x:f>
      </x:c>
      <x:c r="R489" s="251">
        <x:f>IF($A489="","",IF($U489="Draw",$H489,0))</x:f>
      </x:c>
      <x:c r="S489" s="251">
        <x:f>IF($A489="","",IF($U489="Disqualified",$H489,0))</x:f>
      </x:c>
      <x:c r="T489" s="255">
        <x:f>IF($A489="","",IF($H489=0,IF($U489="Profit","N/A",0),IF($U489="Profit",$Q489/$H489,IF($U489="Disqualified",-1,0))))</x:f>
      </x:c>
      <x:c r="U489" s="254">
        <x:f>IF($A489="","",IF(LOWER($L489&amp;"")="yes","Disqualified",IF($P489&gt;$H489,"Profit","Draw")))</x:f>
      </x:c>
      <x:c r="V489" s="253">
        <x:f>IF(OR($B489="",$C489=""),"",IFERROR(ROUNDUP((IF(ISNUMBER($C489),$C489,DATEVALUE($C489))-IF(ISNUMBER($B489),$B489,DATEVALUE($B489)))/7,0),""))</x:f>
      </x:c>
      <x:c r="W489" s="254">
        <x:f>$Q489-$S489</x:f>
      </x:c>
      <x:c r="X489" s="256">
        <x:f>IF(OR($J489="",$I489="",$J489=0,$I489=0,$I489&gt;$J489),"",$J489-$I489)</x:f>
      </x:c>
      <x:c r="Y489" s="257">
        <x:f>IF(OR($J489="",$J489=0,$X489=""),"",$X489/$J489)</x:f>
      </x:c>
    </x:row>
    <x:row r="490" s="106" customFormat="1" ht="21" customHeight="1">
      <x:c r="A490" s="54" t="n"/>
      <x:c r="B490" s="250" t="n"/>
      <x:c r="C490" s="250" t="n"/>
      <x:c r="D490" s="54" t="n"/>
      <x:c r="E490" s="251" t="n"/>
      <x:c r="F490" s="251" t="n"/>
      <x:c r="G490" s="251" t="n"/>
      <x:c r="H490" s="251" t="n"/>
      <x:c r="I490" s="252" t="n"/>
      <x:c r="J490" s="253" t="n"/>
      <x:c r="K490" s="254" t="n"/>
      <x:c r="L490" s="50" t="n"/>
      <x:c r="M490" s="251" t="n"/>
      <x:c r="N490" s="251">
        <x:f>IF($A490="","",IF($G490="","",IF(ISNUMBER(SEARCH("non",LOWER($E490&amp;""))),$G490*0.85,$G490)))</x:f>
      </x:c>
      <x:c r="O490" s="251">
        <x:f>IF($A490="","",IF(OR($N490="",$I490="",$I490=0),"",$N490/$I490))</x:f>
      </x:c>
      <x:c r="P490" s="251">
        <x:f>IF($A490="","",IF(LOWER($L490&amp;"")="yes",0,IF($K490&lt;&gt;"",$K490,IF($O490&lt;&gt;"",$O490,""))))</x:f>
      </x:c>
      <x:c r="Q490" s="254">
        <x:f>IF($A490="","",IF($U490="Profit",$P490-$H490,0))</x:f>
      </x:c>
      <x:c r="R490" s="251">
        <x:f>IF($A490="","",IF($U490="Draw",$H490,0))</x:f>
      </x:c>
      <x:c r="S490" s="251">
        <x:f>IF($A490="","",IF($U490="Disqualified",$H490,0))</x:f>
      </x:c>
      <x:c r="T490" s="255">
        <x:f>IF($A490="","",IF($H490=0,IF($U490="Profit","N/A",0),IF($U490="Profit",$Q490/$H490,IF($U490="Disqualified",-1,0))))</x:f>
      </x:c>
      <x:c r="U490" s="254">
        <x:f>IF($A490="","",IF(LOWER($L490&amp;"")="yes","Disqualified",IF($P490&gt;$H490,"Profit","Draw")))</x:f>
      </x:c>
      <x:c r="V490" s="253">
        <x:f>IF(OR($B490="",$C490=""),"",IFERROR(ROUNDUP((IF(ISNUMBER($C490),$C490,DATEVALUE($C490))-IF(ISNUMBER($B490),$B490,DATEVALUE($B490)))/7,0),""))</x:f>
      </x:c>
      <x:c r="W490" s="254">
        <x:f>$Q490-$S490</x:f>
      </x:c>
      <x:c r="X490" s="256">
        <x:f>IF(OR($J490="",$I490="",$J490=0,$I490=0,$I490&gt;$J490),"",$J490-$I490)</x:f>
      </x:c>
      <x:c r="Y490" s="257">
        <x:f>IF(OR($J490="",$J490=0,$X490=""),"",$X490/$J490)</x:f>
      </x:c>
    </x:row>
    <x:row r="491" s="106" customFormat="1" ht="21" customHeight="1">
      <x:c r="A491" s="54" t="n"/>
      <x:c r="B491" s="250" t="n"/>
      <x:c r="C491" s="250" t="n"/>
      <x:c r="D491" s="54" t="n"/>
      <x:c r="E491" s="251" t="n"/>
      <x:c r="F491" s="251" t="n"/>
      <x:c r="G491" s="251" t="n"/>
      <x:c r="H491" s="251" t="n"/>
      <x:c r="I491" s="252" t="n"/>
      <x:c r="J491" s="253" t="n"/>
      <x:c r="K491" s="254" t="n"/>
      <x:c r="L491" s="50" t="n"/>
      <x:c r="M491" s="251" t="n"/>
      <x:c r="N491" s="251">
        <x:f>IF($A491="","",IF($G491="","",IF(ISNUMBER(SEARCH("non",LOWER($E491&amp;""))),$G491*0.85,$G491)))</x:f>
      </x:c>
      <x:c r="O491" s="251">
        <x:f>IF($A491="","",IF(OR($N491="",$I491="",$I491=0),"",$N491/$I491))</x:f>
      </x:c>
      <x:c r="P491" s="251">
        <x:f>IF($A491="","",IF(LOWER($L491&amp;"")="yes",0,IF($K491&lt;&gt;"",$K491,IF($O491&lt;&gt;"",$O491,""))))</x:f>
      </x:c>
      <x:c r="Q491" s="254">
        <x:f>IF($A491="","",IF($U491="Profit",$P491-$H491,0))</x:f>
      </x:c>
      <x:c r="R491" s="251">
        <x:f>IF($A491="","",IF($U491="Draw",$H491,0))</x:f>
      </x:c>
      <x:c r="S491" s="251">
        <x:f>IF($A491="","",IF($U491="Disqualified",$H491,0))</x:f>
      </x:c>
      <x:c r="T491" s="255">
        <x:f>IF($A491="","",IF($H491=0,IF($U491="Profit","N/A",0),IF($U491="Profit",$Q491/$H491,IF($U491="Disqualified",-1,0))))</x:f>
      </x:c>
      <x:c r="U491" s="254">
        <x:f>IF($A491="","",IF(LOWER($L491&amp;"")="yes","Disqualified",IF($P491&gt;$H491,"Profit","Draw")))</x:f>
      </x:c>
      <x:c r="V491" s="253">
        <x:f>IF(OR($B491="",$C491=""),"",IFERROR(ROUNDUP((IF(ISNUMBER($C491),$C491,DATEVALUE($C491))-IF(ISNUMBER($B491),$B491,DATEVALUE($B491)))/7,0),""))</x:f>
      </x:c>
      <x:c r="W491" s="254">
        <x:f>$Q491-$S491</x:f>
      </x:c>
      <x:c r="X491" s="256">
        <x:f>IF(OR($J491="",$I491="",$J491=0,$I491=0,$I491&gt;$J491),"",$J491-$I491)</x:f>
      </x:c>
      <x:c r="Y491" s="257">
        <x:f>IF(OR($J491="",$J491=0,$X491=""),"",$X491/$J491)</x:f>
      </x:c>
    </x:row>
    <x:row r="492" s="106" customFormat="1" ht="21" customHeight="1">
      <x:c r="A492" s="54" t="n"/>
      <x:c r="B492" s="250" t="n"/>
      <x:c r="C492" s="250" t="n"/>
      <x:c r="D492" s="54" t="n"/>
      <x:c r="E492" s="251" t="n"/>
      <x:c r="F492" s="251" t="n"/>
      <x:c r="G492" s="251" t="n"/>
      <x:c r="H492" s="251" t="n"/>
      <x:c r="I492" s="252" t="n"/>
      <x:c r="J492" s="253" t="n"/>
      <x:c r="K492" s="254" t="n"/>
      <x:c r="L492" s="50" t="n"/>
      <x:c r="M492" s="251" t="n"/>
      <x:c r="N492" s="251">
        <x:f>IF($A492="","",IF($G492="","",IF(ISNUMBER(SEARCH("non",LOWER($E492&amp;""))),$G492*0.85,$G492)))</x:f>
      </x:c>
      <x:c r="O492" s="251">
        <x:f>IF($A492="","",IF(OR($N492="",$I492="",$I492=0),"",$N492/$I492))</x:f>
      </x:c>
      <x:c r="P492" s="251">
        <x:f>IF($A492="","",IF(LOWER($L492&amp;"")="yes",0,IF($K492&lt;&gt;"",$K492,IF($O492&lt;&gt;"",$O492,""))))</x:f>
      </x:c>
      <x:c r="Q492" s="254">
        <x:f>IF($A492="","",IF($U492="Profit",$P492-$H492,0))</x:f>
      </x:c>
      <x:c r="R492" s="251">
        <x:f>IF($A492="","",IF($U492="Draw",$H492,0))</x:f>
      </x:c>
      <x:c r="S492" s="251">
        <x:f>IF($A492="","",IF($U492="Disqualified",$H492,0))</x:f>
      </x:c>
      <x:c r="T492" s="255">
        <x:f>IF($A492="","",IF($H492=0,IF($U492="Profit","N/A",0),IF($U492="Profit",$Q492/$H492,IF($U492="Disqualified",-1,0))))</x:f>
      </x:c>
      <x:c r="U492" s="254">
        <x:f>IF($A492="","",IF(LOWER($L492&amp;"")="yes","Disqualified",IF($P492&gt;$H492,"Profit","Draw")))</x:f>
      </x:c>
      <x:c r="V492" s="253">
        <x:f>IF(OR($B492="",$C492=""),"",IFERROR(ROUNDUP((IF(ISNUMBER($C492),$C492,DATEVALUE($C492))-IF(ISNUMBER($B492),$B492,DATEVALUE($B492)))/7,0),""))</x:f>
      </x:c>
      <x:c r="W492" s="254">
        <x:f>$Q492-$S492</x:f>
      </x:c>
      <x:c r="X492" s="256">
        <x:f>IF(OR($J492="",$I492="",$J492=0,$I492=0,$I492&gt;$J492),"",$J492-$I492)</x:f>
      </x:c>
      <x:c r="Y492" s="257">
        <x:f>IF(OR($J492="",$J492=0,$X492=""),"",$X492/$J492)</x:f>
      </x:c>
    </x:row>
    <x:row r="493" s="106" customFormat="1" ht="21" customHeight="1">
      <x:c r="A493" s="54" t="n"/>
      <x:c r="B493" s="250" t="n"/>
      <x:c r="C493" s="250" t="n"/>
      <x:c r="D493" s="54" t="n"/>
      <x:c r="E493" s="251" t="n"/>
      <x:c r="F493" s="251" t="n"/>
      <x:c r="G493" s="251" t="n"/>
      <x:c r="H493" s="251" t="n"/>
      <x:c r="I493" s="252" t="n"/>
      <x:c r="J493" s="253" t="n"/>
      <x:c r="K493" s="254" t="n"/>
      <x:c r="L493" s="50" t="n"/>
      <x:c r="M493" s="251" t="n"/>
      <x:c r="N493" s="251">
        <x:f>IF($A493="","",IF($G493="","",IF(ISNUMBER(SEARCH("non",LOWER($E493&amp;""))),$G493*0.85,$G493)))</x:f>
      </x:c>
      <x:c r="O493" s="251">
        <x:f>IF($A493="","",IF(OR($N493="",$I493="",$I493=0),"",$N493/$I493))</x:f>
      </x:c>
      <x:c r="P493" s="251">
        <x:f>IF($A493="","",IF(LOWER($L493&amp;"")="yes",0,IF($K493&lt;&gt;"",$K493,IF($O493&lt;&gt;"",$O493,""))))</x:f>
      </x:c>
      <x:c r="Q493" s="254">
        <x:f>IF($A493="","",IF($U493="Profit",$P493-$H493,0))</x:f>
      </x:c>
      <x:c r="R493" s="251">
        <x:f>IF($A493="","",IF($U493="Draw",$H493,0))</x:f>
      </x:c>
      <x:c r="S493" s="251">
        <x:f>IF($A493="","",IF($U493="Disqualified",$H493,0))</x:f>
      </x:c>
      <x:c r="T493" s="255">
        <x:f>IF($A493="","",IF($H493=0,IF($U493="Profit","N/A",0),IF($U493="Profit",$Q493/$H493,IF($U493="Disqualified",-1,0))))</x:f>
      </x:c>
      <x:c r="U493" s="254">
        <x:f>IF($A493="","",IF(LOWER($L493&amp;"")="yes","Disqualified",IF($P493&gt;$H493,"Profit","Draw")))</x:f>
      </x:c>
      <x:c r="V493" s="253">
        <x:f>IF(OR($B493="",$C493=""),"",IFERROR(ROUNDUP((IF(ISNUMBER($C493),$C493,DATEVALUE($C493))-IF(ISNUMBER($B493),$B493,DATEVALUE($B493)))/7,0),""))</x:f>
      </x:c>
      <x:c r="W493" s="254">
        <x:f>$Q493-$S493</x:f>
      </x:c>
      <x:c r="X493" s="256">
        <x:f>IF(OR($J493="",$I493="",$J493=0,$I493=0,$I493&gt;$J493),"",$J493-$I493)</x:f>
      </x:c>
      <x:c r="Y493" s="257">
        <x:f>IF(OR($J493="",$J493=0,$X493=""),"",$X493/$J493)</x:f>
      </x:c>
    </x:row>
    <x:row r="494" s="106" customFormat="1" ht="21" customHeight="1">
      <x:c r="A494" s="54" t="n"/>
      <x:c r="B494" s="250" t="n"/>
      <x:c r="C494" s="250" t="n"/>
      <x:c r="D494" s="54" t="n"/>
      <x:c r="E494" s="251" t="n"/>
      <x:c r="F494" s="251" t="n"/>
      <x:c r="G494" s="251" t="n"/>
      <x:c r="H494" s="251" t="n"/>
      <x:c r="I494" s="252" t="n"/>
      <x:c r="J494" s="253" t="n"/>
      <x:c r="K494" s="254" t="n"/>
      <x:c r="L494" s="50" t="n"/>
      <x:c r="M494" s="251" t="n"/>
      <x:c r="N494" s="251">
        <x:f>IF($A494="","",IF($G494="","",IF(ISNUMBER(SEARCH("non",LOWER($E494&amp;""))),$G494*0.85,$G494)))</x:f>
      </x:c>
      <x:c r="O494" s="251">
        <x:f>IF($A494="","",IF(OR($N494="",$I494="",$I494=0),"",$N494/$I494))</x:f>
      </x:c>
      <x:c r="P494" s="251">
        <x:f>IF($A494="","",IF(LOWER($L494&amp;"")="yes",0,IF($K494&lt;&gt;"",$K494,IF($O494&lt;&gt;"",$O494,""))))</x:f>
      </x:c>
      <x:c r="Q494" s="254">
        <x:f>IF($A494="","",IF($U494="Profit",$P494-$H494,0))</x:f>
      </x:c>
      <x:c r="R494" s="251">
        <x:f>IF($A494="","",IF($U494="Draw",$H494,0))</x:f>
      </x:c>
      <x:c r="S494" s="251">
        <x:f>IF($A494="","",IF($U494="Disqualified",$H494,0))</x:f>
      </x:c>
      <x:c r="T494" s="255">
        <x:f>IF($A494="","",IF($H494=0,IF($U494="Profit","N/A",0),IF($U494="Profit",$Q494/$H494,IF($U494="Disqualified",-1,0))))</x:f>
      </x:c>
      <x:c r="U494" s="254">
        <x:f>IF($A494="","",IF(LOWER($L494&amp;"")="yes","Disqualified",IF($P494&gt;$H494,"Profit","Draw")))</x:f>
      </x:c>
      <x:c r="V494" s="253">
        <x:f>IF(OR($B494="",$C494=""),"",IFERROR(ROUNDUP((IF(ISNUMBER($C494),$C494,DATEVALUE($C494))-IF(ISNUMBER($B494),$B494,DATEVALUE($B494)))/7,0),""))</x:f>
      </x:c>
      <x:c r="W494" s="254">
        <x:f>$Q494-$S494</x:f>
      </x:c>
      <x:c r="X494" s="256">
        <x:f>IF(OR($J494="",$I494="",$J494=0,$I494=0,$I494&gt;$J494),"",$J494-$I494)</x:f>
      </x:c>
      <x:c r="Y494" s="257">
        <x:f>IF(OR($J494="",$J494=0,$X494=""),"",$X494/$J494)</x:f>
      </x:c>
    </x:row>
    <x:row r="495" s="106" customFormat="1" ht="21" customHeight="1">
      <x:c r="A495" s="54" t="n"/>
      <x:c r="B495" s="250" t="n"/>
      <x:c r="C495" s="250" t="n"/>
      <x:c r="D495" s="54" t="n"/>
      <x:c r="E495" s="251" t="n"/>
      <x:c r="F495" s="251" t="n"/>
      <x:c r="G495" s="251" t="n"/>
      <x:c r="H495" s="251" t="n"/>
      <x:c r="I495" s="252" t="n"/>
      <x:c r="J495" s="253" t="n"/>
      <x:c r="K495" s="254" t="n"/>
      <x:c r="L495" s="50" t="n"/>
      <x:c r="M495" s="251" t="n"/>
      <x:c r="N495" s="251">
        <x:f>IF($A495="","",IF($G495="","",IF(ISNUMBER(SEARCH("non",LOWER($E495&amp;""))),$G495*0.85,$G495)))</x:f>
      </x:c>
      <x:c r="O495" s="251">
        <x:f>IF($A495="","",IF(OR($N495="",$I495="",$I495=0),"",$N495/$I495))</x:f>
      </x:c>
      <x:c r="P495" s="251">
        <x:f>IF($A495="","",IF(LOWER($L495&amp;"")="yes",0,IF($K495&lt;&gt;"",$K495,IF($O495&lt;&gt;"",$O495,""))))</x:f>
      </x:c>
      <x:c r="Q495" s="254">
        <x:f>IF($A495="","",IF($U495="Profit",$P495-$H495,0))</x:f>
      </x:c>
      <x:c r="R495" s="251">
        <x:f>IF($A495="","",IF($U495="Draw",$H495,0))</x:f>
      </x:c>
      <x:c r="S495" s="251">
        <x:f>IF($A495="","",IF($U495="Disqualified",$H495,0))</x:f>
      </x:c>
      <x:c r="T495" s="255">
        <x:f>IF($A495="","",IF($H495=0,IF($U495="Profit","N/A",0),IF($U495="Profit",$Q495/$H495,IF($U495="Disqualified",-1,0))))</x:f>
      </x:c>
      <x:c r="U495" s="254">
        <x:f>IF($A495="","",IF(LOWER($L495&amp;"")="yes","Disqualified",IF($P495&gt;$H495,"Profit","Draw")))</x:f>
      </x:c>
      <x:c r="V495" s="253">
        <x:f>IF(OR($B495="",$C495=""),"",IFERROR(ROUNDUP((IF(ISNUMBER($C495),$C495,DATEVALUE($C495))-IF(ISNUMBER($B495),$B495,DATEVALUE($B495)))/7,0),""))</x:f>
      </x:c>
      <x:c r="W495" s="254">
        <x:f>$Q495-$S495</x:f>
      </x:c>
      <x:c r="X495" s="256">
        <x:f>IF(OR($J495="",$I495="",$J495=0,$I495=0,$I495&gt;$J495),"",$J495-$I495)</x:f>
      </x:c>
      <x:c r="Y495" s="257">
        <x:f>IF(OR($J495="",$J495=0,$X495=""),"",$X495/$J495)</x:f>
      </x:c>
    </x:row>
    <x:row r="496" s="106" customFormat="1" ht="21" customHeight="1">
      <x:c r="A496" s="54" t="n"/>
      <x:c r="B496" s="250" t="n"/>
      <x:c r="C496" s="250" t="n"/>
      <x:c r="D496" s="54" t="n"/>
      <x:c r="E496" s="251" t="n"/>
      <x:c r="F496" s="251" t="n"/>
      <x:c r="G496" s="251" t="n"/>
      <x:c r="H496" s="251" t="n"/>
      <x:c r="I496" s="252" t="n"/>
      <x:c r="J496" s="253" t="n"/>
      <x:c r="K496" s="254" t="n"/>
      <x:c r="L496" s="50" t="n"/>
      <x:c r="M496" s="251" t="n"/>
      <x:c r="N496" s="251">
        <x:f>IF($A496="","",IF($G496="","",IF(ISNUMBER(SEARCH("non",LOWER($E496&amp;""))),$G496*0.85,$G496)))</x:f>
      </x:c>
      <x:c r="O496" s="251">
        <x:f>IF($A496="","",IF(OR($N496="",$I496="",$I496=0),"",$N496/$I496))</x:f>
      </x:c>
      <x:c r="P496" s="251">
        <x:f>IF($A496="","",IF(LOWER($L496&amp;"")="yes",0,IF($K496&lt;&gt;"",$K496,IF($O496&lt;&gt;"",$O496,""))))</x:f>
      </x:c>
      <x:c r="Q496" s="254">
        <x:f>IF($A496="","",IF($U496="Profit",$P496-$H496,0))</x:f>
      </x:c>
      <x:c r="R496" s="251">
        <x:f>IF($A496="","",IF($U496="Draw",$H496,0))</x:f>
      </x:c>
      <x:c r="S496" s="251">
        <x:f>IF($A496="","",IF($U496="Disqualified",$H496,0))</x:f>
      </x:c>
      <x:c r="T496" s="255">
        <x:f>IF($A496="","",IF($H496=0,IF($U496="Profit","N/A",0),IF($U496="Profit",$Q496/$H496,IF($U496="Disqualified",-1,0))))</x:f>
      </x:c>
      <x:c r="U496" s="254">
        <x:f>IF($A496="","",IF(LOWER($L496&amp;"")="yes","Disqualified",IF($P496&gt;$H496,"Profit","Draw")))</x:f>
      </x:c>
      <x:c r="V496" s="253">
        <x:f>IF(OR($B496="",$C496=""),"",IFERROR(ROUNDUP((IF(ISNUMBER($C496),$C496,DATEVALUE($C496))-IF(ISNUMBER($B496),$B496,DATEVALUE($B496)))/7,0),""))</x:f>
      </x:c>
      <x:c r="W496" s="254">
        <x:f>$Q496-$S496</x:f>
      </x:c>
      <x:c r="X496" s="256">
        <x:f>IF(OR($J496="",$I496="",$J496=0,$I496=0,$I496&gt;$J496),"",$J496-$I496)</x:f>
      </x:c>
      <x:c r="Y496" s="257">
        <x:f>IF(OR($J496="",$J496=0,$X496=""),"",$X496/$J496)</x:f>
      </x:c>
    </x:row>
    <x:row r="497" s="106" customFormat="1" ht="21" customHeight="1">
      <x:c r="A497" s="54" t="n"/>
      <x:c r="B497" s="250" t="n"/>
      <x:c r="C497" s="250" t="n"/>
      <x:c r="D497" s="54" t="n"/>
      <x:c r="E497" s="251" t="n"/>
      <x:c r="F497" s="251" t="n"/>
      <x:c r="G497" s="251" t="n"/>
      <x:c r="H497" s="251" t="n"/>
      <x:c r="I497" s="252" t="n"/>
      <x:c r="J497" s="253" t="n"/>
      <x:c r="K497" s="254" t="n"/>
      <x:c r="L497" s="50" t="n"/>
      <x:c r="M497" s="251" t="n"/>
      <x:c r="N497" s="251">
        <x:f>IF($A497="","",IF($G497="","",IF(ISNUMBER(SEARCH("non",LOWER($E497&amp;""))),$G497*0.85,$G497)))</x:f>
      </x:c>
      <x:c r="O497" s="251">
        <x:f>IF($A497="","",IF(OR($N497="",$I497="",$I497=0),"",$N497/$I497))</x:f>
      </x:c>
      <x:c r="P497" s="251">
        <x:f>IF($A497="","",IF(LOWER($L497&amp;"")="yes",0,IF($K497&lt;&gt;"",$K497,IF($O497&lt;&gt;"",$O497,""))))</x:f>
      </x:c>
      <x:c r="Q497" s="254">
        <x:f>IF($A497="","",IF($U497="Profit",$P497-$H497,0))</x:f>
      </x:c>
      <x:c r="R497" s="251">
        <x:f>IF($A497="","",IF($U497="Draw",$H497,0))</x:f>
      </x:c>
      <x:c r="S497" s="251">
        <x:f>IF($A497="","",IF($U497="Disqualified",$H497,0))</x:f>
      </x:c>
      <x:c r="T497" s="255">
        <x:f>IF($A497="","",IF($H497=0,IF($U497="Profit","N/A",0),IF($U497="Profit",$Q497/$H497,IF($U497="Disqualified",-1,0))))</x:f>
      </x:c>
      <x:c r="U497" s="254">
        <x:f>IF($A497="","",IF(LOWER($L497&amp;"")="yes","Disqualified",IF($P497&gt;$H497,"Profit","Draw")))</x:f>
      </x:c>
      <x:c r="V497" s="253">
        <x:f>IF(OR($B497="",$C497=""),"",IFERROR(ROUNDUP((IF(ISNUMBER($C497),$C497,DATEVALUE($C497))-IF(ISNUMBER($B497),$B497,DATEVALUE($B497)))/7,0),""))</x:f>
      </x:c>
      <x:c r="W497" s="254">
        <x:f>$Q497-$S497</x:f>
      </x:c>
      <x:c r="X497" s="256">
        <x:f>IF(OR($J497="",$I497="",$J497=0,$I497=0,$I497&gt;$J497),"",$J497-$I497)</x:f>
      </x:c>
      <x:c r="Y497" s="257">
        <x:f>IF(OR($J497="",$J497=0,$X497=""),"",$X497/$J497)</x:f>
      </x:c>
    </x:row>
    <x:row r="498" s="106" customFormat="1" ht="21" customHeight="1">
      <x:c r="A498" s="54" t="n"/>
      <x:c r="B498" s="250" t="n"/>
      <x:c r="C498" s="250" t="n"/>
      <x:c r="D498" s="54" t="n"/>
      <x:c r="E498" s="251" t="n"/>
      <x:c r="F498" s="251" t="n"/>
      <x:c r="G498" s="251" t="n"/>
      <x:c r="H498" s="251" t="n"/>
      <x:c r="I498" s="252" t="n"/>
      <x:c r="J498" s="253" t="n"/>
      <x:c r="K498" s="254" t="n"/>
      <x:c r="L498" s="50" t="n"/>
      <x:c r="M498" s="251" t="n"/>
      <x:c r="N498" s="251">
        <x:f>IF($A498="","",IF($G498="","",IF(ISNUMBER(SEARCH("non",LOWER($E498&amp;""))),$G498*0.85,$G498)))</x:f>
      </x:c>
      <x:c r="O498" s="251">
        <x:f>IF($A498="","",IF(OR($N498="",$I498="",$I498=0),"",$N498/$I498))</x:f>
      </x:c>
      <x:c r="P498" s="251">
        <x:f>IF($A498="","",IF(LOWER($L498&amp;"")="yes",0,IF($K498&lt;&gt;"",$K498,IF($O498&lt;&gt;"",$O498,""))))</x:f>
      </x:c>
      <x:c r="Q498" s="254">
        <x:f>IF($A498="","",IF($U498="Profit",$P498-$H498,0))</x:f>
      </x:c>
      <x:c r="R498" s="251">
        <x:f>IF($A498="","",IF($U498="Draw",$H498,0))</x:f>
      </x:c>
      <x:c r="S498" s="251">
        <x:f>IF($A498="","",IF($U498="Disqualified",$H498,0))</x:f>
      </x:c>
      <x:c r="T498" s="255">
        <x:f>IF($A498="","",IF($H498=0,IF($U498="Profit","N/A",0),IF($U498="Profit",$Q498/$H498,IF($U498="Disqualified",-1,0))))</x:f>
      </x:c>
      <x:c r="U498" s="254">
        <x:f>IF($A498="","",IF(LOWER($L498&amp;"")="yes","Disqualified",IF($P498&gt;$H498,"Profit","Draw")))</x:f>
      </x:c>
      <x:c r="V498" s="253">
        <x:f>IF(OR($B498="",$C498=""),"",IFERROR(ROUNDUP((IF(ISNUMBER($C498),$C498,DATEVALUE($C498))-IF(ISNUMBER($B498),$B498,DATEVALUE($B498)))/7,0),""))</x:f>
      </x:c>
      <x:c r="W498" s="254">
        <x:f>$Q498-$S498</x:f>
      </x:c>
      <x:c r="X498" s="256">
        <x:f>IF(OR($J498="",$I498="",$J498=0,$I498=0,$I498&gt;$J498),"",$J498-$I498)</x:f>
      </x:c>
      <x:c r="Y498" s="257">
        <x:f>IF(OR($J498="",$J498=0,$X498=""),"",$X498/$J498)</x:f>
      </x:c>
    </x:row>
    <x:row r="499" s="106" customFormat="1" ht="21" customHeight="1">
      <x:c r="A499" s="54" t="n"/>
      <x:c r="B499" s="250" t="n"/>
      <x:c r="C499" s="250" t="n"/>
      <x:c r="D499" s="54" t="n"/>
      <x:c r="E499" s="251" t="n"/>
      <x:c r="F499" s="251" t="n"/>
      <x:c r="G499" s="251" t="n"/>
      <x:c r="H499" s="251" t="n"/>
      <x:c r="I499" s="252" t="n"/>
      <x:c r="J499" s="253" t="n"/>
      <x:c r="K499" s="254" t="n"/>
      <x:c r="L499" s="50" t="n"/>
      <x:c r="M499" s="251" t="n"/>
      <x:c r="N499" s="251">
        <x:f>IF($A499="","",IF($G499="","",IF(ISNUMBER(SEARCH("non",LOWER($E499&amp;""))),$G499*0.85,$G499)))</x:f>
      </x:c>
      <x:c r="O499" s="251">
        <x:f>IF($A499="","",IF(OR($N499="",$I499="",$I499=0),"",$N499/$I499))</x:f>
      </x:c>
      <x:c r="P499" s="251">
        <x:f>IF($A499="","",IF(LOWER($L499&amp;"")="yes",0,IF($K499&lt;&gt;"",$K499,IF($O499&lt;&gt;"",$O499,""))))</x:f>
      </x:c>
      <x:c r="Q499" s="254">
        <x:f>IF($A499="","",IF($U499="Profit",$P499-$H499,0))</x:f>
      </x:c>
      <x:c r="R499" s="251">
        <x:f>IF($A499="","",IF($U499="Draw",$H499,0))</x:f>
      </x:c>
      <x:c r="S499" s="251">
        <x:f>IF($A499="","",IF($U499="Disqualified",$H499,0))</x:f>
      </x:c>
      <x:c r="T499" s="255">
        <x:f>IF($A499="","",IF($H499=0,IF($U499="Profit","N/A",0),IF($U499="Profit",$Q499/$H499,IF($U499="Disqualified",-1,0))))</x:f>
      </x:c>
      <x:c r="U499" s="254">
        <x:f>IF($A499="","",IF(LOWER($L499&amp;"")="yes","Disqualified",IF($P499&gt;$H499,"Profit","Draw")))</x:f>
      </x:c>
      <x:c r="V499" s="253">
        <x:f>IF(OR($B499="",$C499=""),"",IFERROR(ROUNDUP((IF(ISNUMBER($C499),$C499,DATEVALUE($C499))-IF(ISNUMBER($B499),$B499,DATEVALUE($B499)))/7,0),""))</x:f>
      </x:c>
      <x:c r="W499" s="254">
        <x:f>$Q499-$S499</x:f>
      </x:c>
      <x:c r="X499" s="256">
        <x:f>IF(OR($J499="",$I499="",$J499=0,$I499=0,$I499&gt;$J499),"",$J499-$I499)</x:f>
      </x:c>
      <x:c r="Y499" s="257">
        <x:f>IF(OR($J499="",$J499=0,$X499=""),"",$X499/$J499)</x:f>
      </x:c>
    </x:row>
    <x:row r="500" s="106" customFormat="1" ht="21" customHeight="1">
      <x:c r="A500" s="54" t="n"/>
      <x:c r="B500" s="250" t="n"/>
      <x:c r="C500" s="250" t="n"/>
      <x:c r="D500" s="54" t="n"/>
      <x:c r="E500" s="251" t="n"/>
      <x:c r="F500" s="251" t="n"/>
      <x:c r="G500" s="251" t="n"/>
      <x:c r="H500" s="251" t="n"/>
      <x:c r="I500" s="252" t="n"/>
      <x:c r="J500" s="253" t="n"/>
      <x:c r="K500" s="254" t="n"/>
      <x:c r="L500" s="50" t="n"/>
      <x:c r="M500" s="251" t="n"/>
      <x:c r="N500" s="251">
        <x:f>IF($A500="","",IF($G500="","",IF(ISNUMBER(SEARCH("non",LOWER($E500&amp;""))),$G500*0.85,$G500)))</x:f>
      </x:c>
      <x:c r="O500" s="251">
        <x:f>IF($A500="","",IF(OR($N500="",$I500="",$I500=0),"",$N500/$I500))</x:f>
      </x:c>
      <x:c r="P500" s="251">
        <x:f>IF($A500="","",IF(LOWER($L500&amp;"")="yes",0,IF($K500&lt;&gt;"",$K500,IF($O500&lt;&gt;"",$O500,""))))</x:f>
      </x:c>
      <x:c r="Q500" s="254">
        <x:f>IF($A500="","",IF($U500="Profit",$P500-$H500,0))</x:f>
      </x:c>
      <x:c r="R500" s="251">
        <x:f>IF($A500="","",IF($U500="Draw",$H500,0))</x:f>
      </x:c>
      <x:c r="S500" s="251">
        <x:f>IF($A500="","",IF($U500="Disqualified",$H500,0))</x:f>
      </x:c>
      <x:c r="T500" s="255">
        <x:f>IF($A500="","",IF($H500=0,IF($U500="Profit","N/A",0),IF($U500="Profit",$Q500/$H500,IF($U500="Disqualified",-1,0))))</x:f>
      </x:c>
      <x:c r="U500" s="254">
        <x:f>IF($A500="","",IF(LOWER($L500&amp;"")="yes","Disqualified",IF($P500&gt;$H500,"Profit","Draw")))</x:f>
      </x:c>
      <x:c r="V500" s="253">
        <x:f>IF(OR($B500="",$C500=""),"",IFERROR(ROUNDUP((IF(ISNUMBER($C500),$C500,DATEVALUE($C500))-IF(ISNUMBER($B500),$B500,DATEVALUE($B500)))/7,0),""))</x:f>
      </x:c>
      <x:c r="W500" s="254">
        <x:f>$Q500-$S500</x:f>
      </x:c>
      <x:c r="X500" s="256">
        <x:f>IF(OR($J500="",$I500="",$J500=0,$I500=0,$I500&gt;$J500),"",$J500-$I500)</x:f>
      </x:c>
      <x:c r="Y500" s="257">
        <x:f>IF(OR($J500="",$J500=0,$X500=""),"",$X500/$J500)</x:f>
      </x:c>
    </x:row>
    <x:row r="501" s="106" customFormat="1" ht="21" customHeight="1">
      <x:c r="A501" s="54" t="n"/>
      <x:c r="B501" s="250" t="n"/>
      <x:c r="C501" s="250" t="n"/>
      <x:c r="D501" s="54" t="n"/>
      <x:c r="E501" s="251" t="n"/>
      <x:c r="F501" s="251" t="n"/>
      <x:c r="G501" s="251" t="n"/>
      <x:c r="H501" s="251" t="n"/>
      <x:c r="I501" s="252" t="n"/>
      <x:c r="J501" s="253" t="n"/>
      <x:c r="K501" s="254" t="n"/>
      <x:c r="L501" s="50" t="n"/>
      <x:c r="M501" s="251" t="n"/>
      <x:c r="N501" s="251">
        <x:f>IF(A501="","",IF(OR(G501="",E501=""),"",IF(ISNUMBER(SEARCH("Non",E501&amp;"")),G501*0.85,G501)))</x:f>
      </x:c>
      <x:c r="O501" s="251">
        <x:f>IF(A501="","",IF(OR(N501="",I501="",I501=0),"",N501/I501))</x:f>
      </x:c>
      <x:c r="P501" s="251">
        <x:f>IF(A501="","",IF(LOWER(L501&amp;"")="yes",0,IF(K501&lt;&gt;"",K501,IF(O501&lt;&gt;"",O501,""))))</x:f>
      </x:c>
      <x:c r="Q501" s="254">
        <x:f>IF(A501="","",IF(U501="Profit",P501-H501,0))</x:f>
      </x:c>
      <x:c r="R501" s="251">
        <x:f>IF(A501="","",IF(U501="Draw",H501,0))</x:f>
      </x:c>
      <x:c r="S501" s="251">
        <x:f>IF(A501="","",IF(U501="Disqualified",H501,0))</x:f>
      </x:c>
      <x:c r="T501" s="255">
        <x:f>IF(A501="","",IF(H501=0,"",IF(U501="Profit",Q501/H501,IF(U501="Disqualified",-1,0))))</x:f>
      </x:c>
      <x:c r="U501" s="254">
        <x:f>IF(A501="","",IF(LOWER(L501&amp;"")="yes","Disqualified",IF(H501=0,"Subscription",IF(P501&gt;H501,"Profit","Draw"))))</x:f>
      </x:c>
      <x:c r="V501" s="253">
        <x:f>IF(OR(B501="",C501="",C501&lt;B501),"",ROUNDUP((C501-B501)/7,0))</x:f>
      </x:c>
      <x:c r="W501" s="253">
        <x:f>IF(A501="","",IF(U501="Profit",Q501,0)-IF(U501="Disqualified",S501,0))</x:f>
      </x:c>
      <x:c r="X501" s="256">
        <x:f>IF(OR(J501="",I501="",NOT(ISNUMBER(J501)),NOT(ISNUMBER(I501)),I501&gt;J501),"",J501-I501)</x:f>
      </x:c>
      <x:c r="Y501" s="257">
        <x:f>IF(OR(J501="",J501=0,X501=""),"",X501/J501)</x:f>
      </x:c>
    </x:row>
    <x:row r="502" s="106" customFormat="1" ht="21" customHeight="1">
      <x:c r="A502" s="54" t="n"/>
      <x:c r="B502" s="250" t="n"/>
      <x:c r="C502" s="250" t="n"/>
      <x:c r="D502" s="54" t="n"/>
      <x:c r="E502" s="251" t="n"/>
      <x:c r="F502" s="251" t="n"/>
      <x:c r="G502" s="251" t="n"/>
      <x:c r="H502" s="251" t="n"/>
      <x:c r="I502" s="252" t="n"/>
      <x:c r="J502" s="253" t="n"/>
      <x:c r="K502" s="254" t="n"/>
      <x:c r="L502" s="50" t="n"/>
      <x:c r="M502" s="251" t="n"/>
      <x:c r="N502" s="251">
        <x:f>IF(A502="","",IF(OR(G502="",E502=""),"",IF(ISNUMBER(SEARCH("Non",E502&amp;"")),G502*0.85,G502)))</x:f>
      </x:c>
      <x:c r="O502" s="251">
        <x:f>IF(A502="","",IF(OR(N502="",I502="",I502=0),"",N502/I502))</x:f>
      </x:c>
      <x:c r="P502" s="251">
        <x:f>IF(A502="","",IF(LOWER(L502&amp;"")="yes",0,IF(K502&lt;&gt;"",K502,IF(O502&lt;&gt;"",O502,""))))</x:f>
      </x:c>
      <x:c r="Q502" s="254">
        <x:f>IF(A502="","",IF(U502="Profit",P502-H502,0))</x:f>
      </x:c>
      <x:c r="R502" s="251">
        <x:f>IF(A502="","",IF(U502="Draw",H502,0))</x:f>
      </x:c>
      <x:c r="S502" s="251">
        <x:f>IF(A502="","",IF(U502="Disqualified",H502,0))</x:f>
      </x:c>
      <x:c r="T502" s="255">
        <x:f>IF(A502="","",IF(H502=0,"",IF(U502="Profit",Q502/H502,IF(U502="Disqualified",-1,0))))</x:f>
      </x:c>
      <x:c r="U502" s="254">
        <x:f>IF(A502="","",IF(LOWER(L502&amp;"")="yes","Disqualified",IF(H502=0,"Subscription",IF(P502&gt;H502,"Profit","Draw"))))</x:f>
      </x:c>
      <x:c r="V502" s="253">
        <x:f>IF(OR(B502="",C502="",C502&lt;B502),"",ROUNDUP((C502-B502)/7,0))</x:f>
      </x:c>
      <x:c r="W502" s="253">
        <x:f>IF(A502="","",IF(U502="Profit",Q502,0)-IF(U502="Disqualified",S502,0))</x:f>
      </x:c>
      <x:c r="X502" s="256">
        <x:f>IF(OR(J502="",I502="",NOT(ISNUMBER(J502)),NOT(ISNUMBER(I502)),I502&gt;J502),"",J502-I502)</x:f>
      </x:c>
      <x:c r="Y502" s="257">
        <x:f>IF(OR(J502="",J502=0,X502=""),"",X502/J502)</x:f>
      </x:c>
    </x:row>
    <x:row r="503" s="106" customFormat="1" ht="21" customHeight="1">
      <x:c r="A503" s="54" t="n"/>
      <x:c r="B503" s="250" t="n"/>
      <x:c r="C503" s="250" t="n"/>
      <x:c r="D503" s="54" t="n"/>
      <x:c r="E503" s="251" t="n"/>
      <x:c r="F503" s="251" t="n"/>
      <x:c r="G503" s="251" t="n"/>
      <x:c r="H503" s="251" t="n"/>
      <x:c r="I503" s="252" t="n"/>
      <x:c r="J503" s="253" t="n"/>
      <x:c r="K503" s="254" t="n"/>
      <x:c r="L503" s="50" t="n"/>
      <x:c r="M503" s="251" t="n"/>
      <x:c r="N503" s="251">
        <x:f>IF(A503="","",IF(OR(G503="",E503=""),"",IF(ISNUMBER(SEARCH("Non",E503&amp;"")),G503*0.85,G503)))</x:f>
      </x:c>
      <x:c r="O503" s="251">
        <x:f>IF(A503="","",IF(OR(N503="",I503="",I503=0),"",N503/I503))</x:f>
      </x:c>
      <x:c r="P503" s="251">
        <x:f>IF(A503="","",IF(LOWER(L503&amp;"")="yes",0,IF(K503&lt;&gt;"",K503,IF(O503&lt;&gt;"",O503,""))))</x:f>
      </x:c>
      <x:c r="Q503" s="254">
        <x:f>IF(A503="","",IF(U503="Profit",P503-H503,0))</x:f>
      </x:c>
      <x:c r="R503" s="251">
        <x:f>IF(A503="","",IF(U503="Draw",H503,0))</x:f>
      </x:c>
      <x:c r="S503" s="251">
        <x:f>IF(A503="","",IF(U503="Disqualified",H503,0))</x:f>
      </x:c>
      <x:c r="T503" s="255">
        <x:f>IF(A503="","",IF(H503=0,"",IF(U503="Profit",Q503/H503,IF(U503="Disqualified",-1,0))))</x:f>
      </x:c>
      <x:c r="U503" s="254">
        <x:f>IF(A503="","",IF(LOWER(L503&amp;"")="yes","Disqualified",IF(H503=0,"Subscription",IF(P503&gt;H503,"Profit","Draw"))))</x:f>
      </x:c>
      <x:c r="V503" s="253">
        <x:f>IF(OR(B503="",C503="",C503&lt;B503),"",ROUNDUP((C503-B503)/7,0))</x:f>
      </x:c>
      <x:c r="W503" s="253">
        <x:f>IF(A503="","",IF(U503="Profit",Q503,0)-IF(U503="Disqualified",S503,0))</x:f>
      </x:c>
      <x:c r="X503" s="256">
        <x:f>IF(OR(J503="",I503="",NOT(ISNUMBER(J503)),NOT(ISNUMBER(I503)),I503&gt;J503),"",J503-I503)</x:f>
      </x:c>
      <x:c r="Y503" s="257">
        <x:f>IF(OR(J503="",J503=0,X503=""),"",X503/J503)</x:f>
      </x:c>
    </x:row>
    <x:row r="504" s="106" customFormat="1" ht="21" customHeight="1">
      <x:c r="A504" s="54" t="n"/>
      <x:c r="B504" s="250" t="n"/>
      <x:c r="C504" s="250" t="n"/>
      <x:c r="D504" s="54" t="n"/>
      <x:c r="E504" s="251" t="n"/>
      <x:c r="F504" s="251" t="n"/>
      <x:c r="G504" s="251" t="n"/>
      <x:c r="H504" s="251" t="n"/>
      <x:c r="I504" s="252" t="n"/>
      <x:c r="J504" s="253" t="n"/>
      <x:c r="K504" s="254" t="n"/>
      <x:c r="L504" s="50" t="n"/>
      <x:c r="M504" s="251" t="n"/>
      <x:c r="N504" s="251">
        <x:f>IF(A504="","",IF(OR(G504="",E504=""),"",IF(ISNUMBER(SEARCH("Non",E504&amp;"")),G504*0.85,G504)))</x:f>
      </x:c>
      <x:c r="O504" s="251">
        <x:f>IF(A504="","",IF(OR(N504="",I504="",I504=0),"",N504/I504))</x:f>
      </x:c>
      <x:c r="P504" s="251">
        <x:f>IF(A504="","",IF(LOWER(L504&amp;"")="yes",0,IF(K504&lt;&gt;"",K504,IF(O504&lt;&gt;"",O504,""))))</x:f>
      </x:c>
      <x:c r="Q504" s="254">
        <x:f>IF(A504="","",IF(U504="Profit",P504-H504,0))</x:f>
      </x:c>
      <x:c r="R504" s="251">
        <x:f>IF(A504="","",IF(U504="Draw",H504,0))</x:f>
      </x:c>
      <x:c r="S504" s="251">
        <x:f>IF(A504="","",IF(U504="Disqualified",H504,0))</x:f>
      </x:c>
      <x:c r="T504" s="255">
        <x:f>IF(A504="","",IF(H504=0,"",IF(U504="Profit",Q504/H504,IF(U504="Disqualified",-1,0))))</x:f>
      </x:c>
      <x:c r="U504" s="254">
        <x:f>IF(A504="","",IF(LOWER(L504&amp;"")="yes","Disqualified",IF(H504=0,"Subscription",IF(P504&gt;H504,"Profit","Draw"))))</x:f>
      </x:c>
      <x:c r="V504" s="253">
        <x:f>IF(OR(B504="",C504="",C504&lt;B504),"",ROUNDUP((C504-B504)/7,0))</x:f>
      </x:c>
      <x:c r="W504" s="253">
        <x:f>IF(A504="","",IF(U504="Profit",Q504,0)-IF(U504="Disqualified",S504,0))</x:f>
      </x:c>
      <x:c r="X504" s="256">
        <x:f>IF(OR(J504="",I504="",NOT(ISNUMBER(J504)),NOT(ISNUMBER(I504)),I504&gt;J504),"",J504-I504)</x:f>
      </x:c>
      <x:c r="Y504" s="257">
        <x:f>IF(OR(J504="",J504=0,X504=""),"",X504/J504)</x:f>
      </x:c>
    </x:row>
    <x:row r="505">
      <x:c r="B505" s="258" t="n"/>
      <x:c r="C505" s="258" t="n"/>
      <x:c r="E505" s="259" t="n"/>
      <x:c r="F505" s="259" t="n"/>
      <x:c r="G505" s="259" t="n"/>
      <x:c r="H505" s="259" t="n"/>
      <x:c r="I505" s="259" t="n"/>
      <x:c r="J505" s="260" t="n"/>
      <x:c r="M505" s="259" t="n"/>
      <x:c r="N505" s="259" t="n"/>
      <x:c r="U505" s="259" t="n"/>
      <x:c r="W505" s="260" t="n"/>
    </x:row>
    <x:row r="506">
      <x:c r="B506" s="258" t="n"/>
      <x:c r="C506" s="258" t="n"/>
      <x:c r="E506" s="259" t="n"/>
      <x:c r="F506" s="259" t="n"/>
      <x:c r="G506" s="259" t="n"/>
      <x:c r="H506" s="259" t="n"/>
      <x:c r="I506" s="259" t="n"/>
      <x:c r="J506" s="260" t="n"/>
      <x:c r="M506" s="259" t="n"/>
      <x:c r="N506" s="259" t="n"/>
      <x:c r="U506" s="259" t="n"/>
      <x:c r="W506" s="260" t="n"/>
    </x:row>
    <x:row r="507">
      <x:c r="B507" s="258" t="n"/>
      <x:c r="C507" s="258" t="n"/>
      <x:c r="E507" s="259" t="n"/>
      <x:c r="F507" s="259" t="n"/>
      <x:c r="G507" s="259" t="n"/>
      <x:c r="H507" s="259" t="n"/>
      <x:c r="I507" s="259" t="n"/>
      <x:c r="J507" s="260" t="n"/>
      <x:c r="M507" s="259" t="n"/>
      <x:c r="N507" s="259" t="n"/>
      <x:c r="U507" s="259" t="n"/>
      <x:c r="W507" s="260" t="n"/>
    </x:row>
    <x:row r="508">
      <x:c r="B508" s="258" t="n"/>
      <x:c r="C508" s="258" t="n"/>
      <x:c r="E508" s="259" t="n"/>
      <x:c r="F508" s="259" t="n"/>
      <x:c r="G508" s="259" t="n"/>
      <x:c r="H508" s="259" t="n"/>
      <x:c r="I508" s="259" t="n"/>
      <x:c r="J508" s="260" t="n"/>
      <x:c r="M508" s="259" t="n"/>
      <x:c r="N508" s="259" t="n"/>
      <x:c r="U508" s="259" t="n"/>
      <x:c r="W508" s="260" t="n"/>
    </x:row>
    <x:row r="509">
      <x:c r="B509" s="258" t="n"/>
      <x:c r="C509" s="258" t="n"/>
      <x:c r="E509" s="259" t="n"/>
      <x:c r="F509" s="259" t="n"/>
      <x:c r="G509" s="259" t="n"/>
      <x:c r="H509" s="259" t="n"/>
      <x:c r="I509" s="259" t="n"/>
      <x:c r="J509" s="260" t="n"/>
      <x:c r="M509" s="259" t="n"/>
      <x:c r="N509" s="259" t="n"/>
      <x:c r="U509" s="259" t="n"/>
      <x:c r="W509" s="260" t="n"/>
    </x:row>
    <x:row r="510">
      <x:c r="B510" s="258" t="n"/>
      <x:c r="C510" s="258" t="n"/>
      <x:c r="E510" s="259" t="n"/>
      <x:c r="F510" s="259" t="n"/>
      <x:c r="G510" s="259" t="n"/>
      <x:c r="H510" s="259" t="n"/>
      <x:c r="I510" s="259" t="n"/>
      <x:c r="J510" s="260" t="n"/>
      <x:c r="M510" s="259" t="n"/>
      <x:c r="N510" s="259" t="n"/>
      <x:c r="U510" s="259" t="n"/>
      <x:c r="W510" s="260" t="n"/>
    </x:row>
    <x:row r="511">
      <x:c r="B511" s="258" t="n"/>
      <x:c r="C511" s="258" t="n"/>
      <x:c r="E511" s="259" t="n"/>
      <x:c r="F511" s="259" t="n"/>
      <x:c r="G511" s="259" t="n"/>
      <x:c r="H511" s="259" t="n"/>
      <x:c r="I511" s="259" t="n"/>
      <x:c r="J511" s="260" t="n"/>
      <x:c r="M511" s="259" t="n"/>
      <x:c r="N511" s="259" t="n"/>
      <x:c r="U511" s="259" t="n"/>
      <x:c r="W511" s="260" t="n"/>
    </x:row>
    <x:row r="512">
      <x:c r="B512" s="258" t="n"/>
      <x:c r="C512" s="258" t="n"/>
      <x:c r="E512" s="259" t="n"/>
      <x:c r="F512" s="259" t="n"/>
      <x:c r="G512" s="259" t="n"/>
      <x:c r="H512" s="259" t="n"/>
      <x:c r="I512" s="259" t="n"/>
      <x:c r="J512" s="260" t="n"/>
      <x:c r="M512" s="259" t="n"/>
      <x:c r="N512" s="259" t="n"/>
      <x:c r="U512" s="259" t="n"/>
      <x:c r="W512" s="260" t="n"/>
    </x:row>
    <x:row r="513">
      <x:c r="B513" s="258" t="n"/>
      <x:c r="C513" s="258" t="n"/>
      <x:c r="E513" s="259" t="n"/>
      <x:c r="F513" s="259" t="n"/>
      <x:c r="G513" s="259" t="n"/>
      <x:c r="H513" s="259" t="n"/>
      <x:c r="I513" s="259" t="n"/>
      <x:c r="J513" s="260" t="n"/>
      <x:c r="M513" s="259" t="n"/>
      <x:c r="N513" s="259" t="n"/>
      <x:c r="U513" s="259" t="n"/>
      <x:c r="W513" s="260" t="n"/>
    </x:row>
    <x:row r="514">
      <x:c r="B514" s="258" t="n"/>
      <x:c r="C514" s="258" t="n"/>
      <x:c r="E514" s="259" t="n"/>
      <x:c r="F514" s="259" t="n"/>
      <x:c r="G514" s="259" t="n"/>
      <x:c r="H514" s="259" t="n"/>
      <x:c r="I514" s="259" t="n"/>
      <x:c r="J514" s="260" t="n"/>
      <x:c r="M514" s="259" t="n"/>
      <x:c r="N514" s="259" t="n"/>
      <x:c r="U514" s="259" t="n"/>
      <x:c r="W514" s="260" t="n"/>
    </x:row>
    <x:row r="515">
      <x:c r="B515" s="258" t="n"/>
      <x:c r="C515" s="258" t="n"/>
      <x:c r="E515" s="259" t="n"/>
      <x:c r="F515" s="259" t="n"/>
      <x:c r="G515" s="259" t="n"/>
      <x:c r="H515" s="259" t="n"/>
      <x:c r="I515" s="259" t="n"/>
      <x:c r="J515" s="260" t="n"/>
      <x:c r="M515" s="259" t="n"/>
      <x:c r="N515" s="259" t="n"/>
      <x:c r="U515" s="259" t="n"/>
      <x:c r="W515" s="260" t="n"/>
    </x:row>
    <x:row r="516">
      <x:c r="B516" s="258" t="n"/>
      <x:c r="C516" s="258" t="n"/>
      <x:c r="E516" s="259" t="n"/>
      <x:c r="F516" s="259" t="n"/>
      <x:c r="G516" s="259" t="n"/>
      <x:c r="H516" s="259" t="n"/>
      <x:c r="I516" s="259" t="n"/>
      <x:c r="J516" s="260" t="n"/>
      <x:c r="M516" s="259" t="n"/>
      <x:c r="N516" s="259" t="n"/>
      <x:c r="U516" s="259" t="n"/>
      <x:c r="W516" s="260" t="n"/>
    </x:row>
    <x:row r="517">
      <x:c r="B517" s="258" t="n"/>
      <x:c r="C517" s="258" t="n"/>
      <x:c r="E517" s="259" t="n"/>
      <x:c r="F517" s="259" t="n"/>
      <x:c r="G517" s="259" t="n"/>
      <x:c r="H517" s="259" t="n"/>
      <x:c r="I517" s="259" t="n"/>
      <x:c r="J517" s="260" t="n"/>
      <x:c r="M517" s="259" t="n"/>
      <x:c r="N517" s="259" t="n"/>
      <x:c r="U517" s="259" t="n"/>
      <x:c r="W517" s="260" t="n"/>
    </x:row>
    <x:row r="518">
      <x:c r="B518" s="258" t="n"/>
      <x:c r="C518" s="258" t="n"/>
      <x:c r="E518" s="259" t="n"/>
      <x:c r="F518" s="259" t="n"/>
      <x:c r="G518" s="259" t="n"/>
      <x:c r="H518" s="259" t="n"/>
      <x:c r="I518" s="259" t="n"/>
      <x:c r="J518" s="260" t="n"/>
      <x:c r="M518" s="259" t="n"/>
      <x:c r="N518" s="259" t="n"/>
      <x:c r="U518" s="259" t="n"/>
      <x:c r="W518" s="260" t="n"/>
    </x:row>
    <x:row r="519">
      <x:c r="B519" s="258" t="n"/>
      <x:c r="C519" s="258" t="n"/>
      <x:c r="E519" s="259" t="n"/>
      <x:c r="F519" s="259" t="n"/>
      <x:c r="G519" s="259" t="n"/>
      <x:c r="H519" s="259" t="n"/>
      <x:c r="I519" s="259" t="n"/>
      <x:c r="J519" s="260" t="n"/>
      <x:c r="M519" s="259" t="n"/>
      <x:c r="N519" s="259" t="n"/>
      <x:c r="U519" s="259" t="n"/>
      <x:c r="W519" s="260" t="n"/>
    </x:row>
    <x:row r="520">
      <x:c r="B520" s="258" t="n"/>
      <x:c r="C520" s="258" t="n"/>
      <x:c r="E520" s="259" t="n"/>
      <x:c r="F520" s="259" t="n"/>
      <x:c r="G520" s="259" t="n"/>
      <x:c r="H520" s="259" t="n"/>
      <x:c r="I520" s="259" t="n"/>
      <x:c r="J520" s="260" t="n"/>
      <x:c r="M520" s="259" t="n"/>
      <x:c r="N520" s="259" t="n"/>
      <x:c r="U520" s="259" t="n"/>
      <x:c r="W520" s="260" t="n"/>
    </x:row>
    <x:row r="521">
      <x:c r="B521" s="258" t="n"/>
      <x:c r="C521" s="258" t="n"/>
      <x:c r="E521" s="259" t="n"/>
      <x:c r="F521" s="259" t="n"/>
      <x:c r="G521" s="259" t="n"/>
      <x:c r="H521" s="259" t="n"/>
      <x:c r="I521" s="259" t="n"/>
      <x:c r="J521" s="260" t="n"/>
      <x:c r="M521" s="259" t="n"/>
      <x:c r="N521" s="259" t="n"/>
      <x:c r="U521" s="259" t="n"/>
      <x:c r="W521" s="260" t="n"/>
    </x:row>
    <x:row r="522">
      <x:c r="B522" s="258" t="n"/>
      <x:c r="C522" s="258" t="n"/>
      <x:c r="E522" s="259" t="n"/>
      <x:c r="F522" s="259" t="n"/>
      <x:c r="G522" s="259" t="n"/>
      <x:c r="H522" s="259" t="n"/>
      <x:c r="I522" s="259" t="n"/>
      <x:c r="J522" s="260" t="n"/>
      <x:c r="M522" s="259" t="n"/>
      <x:c r="N522" s="259" t="n"/>
      <x:c r="U522" s="259" t="n"/>
      <x:c r="W522" s="260" t="n"/>
    </x:row>
    <x:row r="523">
      <x:c r="B523" s="258" t="n"/>
      <x:c r="C523" s="258" t="n"/>
      <x:c r="E523" s="259" t="n"/>
      <x:c r="F523" s="259" t="n"/>
      <x:c r="G523" s="259" t="n"/>
      <x:c r="H523" s="259" t="n"/>
      <x:c r="I523" s="259" t="n"/>
      <x:c r="J523" s="260" t="n"/>
      <x:c r="M523" s="259" t="n"/>
      <x:c r="N523" s="259" t="n"/>
      <x:c r="U523" s="259" t="n"/>
      <x:c r="W523" s="260" t="n"/>
    </x:row>
    <x:row r="524">
      <x:c r="B524" s="258" t="n"/>
      <x:c r="C524" s="258" t="n"/>
      <x:c r="E524" s="259" t="n"/>
      <x:c r="F524" s="259" t="n"/>
      <x:c r="G524" s="259" t="n"/>
      <x:c r="H524" s="259" t="n"/>
      <x:c r="I524" s="259" t="n"/>
      <x:c r="J524" s="260" t="n"/>
      <x:c r="M524" s="259" t="n"/>
      <x:c r="N524" s="259" t="n"/>
      <x:c r="U524" s="259" t="n"/>
      <x:c r="W524" s="260" t="n"/>
    </x:row>
    <x:row r="525">
      <x:c r="B525" s="258" t="n"/>
      <x:c r="C525" s="258" t="n"/>
      <x:c r="E525" s="259" t="n"/>
      <x:c r="F525" s="259" t="n"/>
      <x:c r="G525" s="259" t="n"/>
      <x:c r="H525" s="259" t="n"/>
      <x:c r="I525" s="259" t="n"/>
      <x:c r="J525" s="260" t="n"/>
      <x:c r="M525" s="259" t="n"/>
      <x:c r="N525" s="259" t="n"/>
      <x:c r="U525" s="259" t="n"/>
      <x:c r="W525" s="260" t="n"/>
    </x:row>
    <x:row r="526">
      <x:c r="B526" s="258" t="n"/>
      <x:c r="C526" s="258" t="n"/>
      <x:c r="E526" s="259" t="n"/>
      <x:c r="F526" s="259" t="n"/>
      <x:c r="G526" s="259" t="n"/>
      <x:c r="H526" s="259" t="n"/>
      <x:c r="I526" s="259" t="n"/>
      <x:c r="J526" s="260" t="n"/>
      <x:c r="M526" s="259" t="n"/>
      <x:c r="N526" s="259" t="n"/>
      <x:c r="U526" s="259" t="n"/>
      <x:c r="W526" s="260" t="n"/>
    </x:row>
    <x:row r="527">
      <x:c r="B527" s="258" t="n"/>
      <x:c r="C527" s="258" t="n"/>
      <x:c r="E527" s="259" t="n"/>
      <x:c r="F527" s="259" t="n"/>
      <x:c r="G527" s="259" t="n"/>
      <x:c r="H527" s="259" t="n"/>
      <x:c r="I527" s="259" t="n"/>
      <x:c r="J527" s="260" t="n"/>
      <x:c r="M527" s="259" t="n"/>
      <x:c r="N527" s="259" t="n"/>
      <x:c r="U527" s="259" t="n"/>
      <x:c r="W527" s="260" t="n"/>
    </x:row>
    <x:row r="528">
      <x:c r="B528" s="258" t="n"/>
      <x:c r="C528" s="258" t="n"/>
      <x:c r="E528" s="259" t="n"/>
      <x:c r="F528" s="259" t="n"/>
      <x:c r="G528" s="259" t="n"/>
      <x:c r="H528" s="259" t="n"/>
      <x:c r="I528" s="259" t="n"/>
      <x:c r="J528" s="260" t="n"/>
      <x:c r="M528" s="259" t="n"/>
      <x:c r="N528" s="259" t="n"/>
      <x:c r="U528" s="259" t="n"/>
      <x:c r="W528" s="260" t="n"/>
    </x:row>
    <x:row r="529">
      <x:c r="B529" s="258" t="n"/>
      <x:c r="C529" s="258" t="n"/>
      <x:c r="E529" s="259" t="n"/>
      <x:c r="F529" s="259" t="n"/>
      <x:c r="G529" s="259" t="n"/>
      <x:c r="H529" s="259" t="n"/>
      <x:c r="I529" s="259" t="n"/>
      <x:c r="J529" s="260" t="n"/>
      <x:c r="M529" s="259" t="n"/>
      <x:c r="N529" s="259" t="n"/>
      <x:c r="U529" s="259" t="n"/>
      <x:c r="W529" s="260" t="n"/>
    </x:row>
    <x:row r="530">
      <x:c r="B530" s="258" t="n"/>
      <x:c r="C530" s="258" t="n"/>
      <x:c r="E530" s="259" t="n"/>
      <x:c r="F530" s="259" t="n"/>
      <x:c r="G530" s="259" t="n"/>
      <x:c r="H530" s="259" t="n"/>
      <x:c r="I530" s="259" t="n"/>
      <x:c r="J530" s="260" t="n"/>
      <x:c r="M530" s="259" t="n"/>
      <x:c r="N530" s="259" t="n"/>
      <x:c r="U530" s="259" t="n"/>
      <x:c r="W530" s="260" t="n"/>
    </x:row>
    <x:row r="531">
      <x:c r="B531" s="258" t="n"/>
      <x:c r="C531" s="258" t="n"/>
      <x:c r="E531" s="259" t="n"/>
      <x:c r="F531" s="259" t="n"/>
      <x:c r="G531" s="259" t="n"/>
      <x:c r="H531" s="259" t="n"/>
      <x:c r="I531" s="259" t="n"/>
      <x:c r="J531" s="260" t="n"/>
      <x:c r="M531" s="259" t="n"/>
      <x:c r="N531" s="259" t="n"/>
      <x:c r="U531" s="259" t="n"/>
      <x:c r="W531" s="260" t="n"/>
    </x:row>
    <x:row r="532">
      <x:c r="B532" s="258" t="n"/>
      <x:c r="C532" s="258" t="n"/>
      <x:c r="E532" s="259" t="n"/>
      <x:c r="F532" s="259" t="n"/>
      <x:c r="G532" s="259" t="n"/>
      <x:c r="H532" s="259" t="n"/>
      <x:c r="I532" s="259" t="n"/>
      <x:c r="J532" s="260" t="n"/>
      <x:c r="M532" s="259" t="n"/>
      <x:c r="N532" s="259" t="n"/>
      <x:c r="U532" s="259" t="n"/>
      <x:c r="W532" s="260" t="n"/>
    </x:row>
    <x:row r="533">
      <x:c r="B533" s="258" t="n"/>
      <x:c r="C533" s="258" t="n"/>
      <x:c r="E533" s="259" t="n"/>
      <x:c r="F533" s="259" t="n"/>
      <x:c r="G533" s="259" t="n"/>
      <x:c r="H533" s="259" t="n"/>
      <x:c r="I533" s="259" t="n"/>
      <x:c r="J533" s="260" t="n"/>
      <x:c r="M533" s="259" t="n"/>
      <x:c r="N533" s="259" t="n"/>
      <x:c r="U533" s="259" t="n"/>
      <x:c r="W533" s="260" t="n"/>
    </x:row>
    <x:row r="534">
      <x:c r="B534" s="258" t="n"/>
      <x:c r="C534" s="258" t="n"/>
      <x:c r="E534" s="259" t="n"/>
      <x:c r="F534" s="259" t="n"/>
      <x:c r="G534" s="259" t="n"/>
      <x:c r="H534" s="259" t="n"/>
      <x:c r="I534" s="259" t="n"/>
      <x:c r="J534" s="260" t="n"/>
      <x:c r="M534" s="259" t="n"/>
      <x:c r="N534" s="259" t="n"/>
      <x:c r="U534" s="259" t="n"/>
      <x:c r="W534" s="260" t="n"/>
    </x:row>
    <x:row r="535">
      <x:c r="B535" s="258" t="n"/>
      <x:c r="C535" s="258" t="n"/>
      <x:c r="E535" s="259" t="n"/>
      <x:c r="F535" s="259" t="n"/>
      <x:c r="G535" s="259" t="n"/>
      <x:c r="H535" s="259" t="n"/>
      <x:c r="I535" s="259" t="n"/>
      <x:c r="J535" s="260" t="n"/>
      <x:c r="M535" s="259" t="n"/>
      <x:c r="N535" s="259" t="n"/>
      <x:c r="U535" s="259" t="n"/>
      <x:c r="W535" s="260" t="n"/>
    </x:row>
    <x:row r="536">
      <x:c r="B536" s="258" t="n"/>
      <x:c r="C536" s="258" t="n"/>
      <x:c r="E536" s="259" t="n"/>
      <x:c r="F536" s="259" t="n"/>
      <x:c r="G536" s="259" t="n"/>
      <x:c r="H536" s="259" t="n"/>
      <x:c r="I536" s="259" t="n"/>
      <x:c r="J536" s="260" t="n"/>
      <x:c r="M536" s="259" t="n"/>
      <x:c r="N536" s="259" t="n"/>
      <x:c r="U536" s="259" t="n"/>
      <x:c r="W536" s="260" t="n"/>
    </x:row>
    <x:row r="537">
      <x:c r="B537" s="258" t="n"/>
      <x:c r="C537" s="258" t="n"/>
      <x:c r="E537" s="259" t="n"/>
      <x:c r="F537" s="259" t="n"/>
      <x:c r="G537" s="259" t="n"/>
      <x:c r="H537" s="259" t="n"/>
      <x:c r="I537" s="259" t="n"/>
      <x:c r="J537" s="260" t="n"/>
      <x:c r="M537" s="259" t="n"/>
      <x:c r="N537" s="259" t="n"/>
      <x:c r="U537" s="259" t="n"/>
      <x:c r="W537" s="260" t="n"/>
    </x:row>
    <x:row r="538">
      <x:c r="B538" s="258" t="n"/>
      <x:c r="C538" s="258" t="n"/>
      <x:c r="E538" s="259" t="n"/>
      <x:c r="F538" s="259" t="n"/>
      <x:c r="G538" s="259" t="n"/>
      <x:c r="H538" s="259" t="n"/>
      <x:c r="I538" s="259" t="n"/>
      <x:c r="J538" s="260" t="n"/>
      <x:c r="M538" s="259" t="n"/>
      <x:c r="N538" s="259" t="n"/>
      <x:c r="U538" s="259" t="n"/>
      <x:c r="W538" s="260" t="n"/>
    </x:row>
    <x:row r="539">
      <x:c r="B539" s="258" t="n"/>
      <x:c r="C539" s="258" t="n"/>
      <x:c r="E539" s="259" t="n"/>
      <x:c r="F539" s="259" t="n"/>
      <x:c r="G539" s="259" t="n"/>
      <x:c r="H539" s="259" t="n"/>
      <x:c r="I539" s="259" t="n"/>
      <x:c r="J539" s="260" t="n"/>
      <x:c r="M539" s="259" t="n"/>
      <x:c r="N539" s="259" t="n"/>
      <x:c r="U539" s="259" t="n"/>
      <x:c r="W539" s="260" t="n"/>
    </x:row>
    <x:row r="540">
      <x:c r="B540" s="258" t="n"/>
      <x:c r="C540" s="258" t="n"/>
      <x:c r="E540" s="259" t="n"/>
      <x:c r="F540" s="259" t="n"/>
      <x:c r="G540" s="259" t="n"/>
      <x:c r="H540" s="259" t="n"/>
      <x:c r="I540" s="259" t="n"/>
      <x:c r="J540" s="260" t="n"/>
      <x:c r="M540" s="259" t="n"/>
      <x:c r="N540" s="259" t="n"/>
      <x:c r="U540" s="259" t="n"/>
      <x:c r="W540" s="260" t="n"/>
    </x:row>
    <x:row r="541">
      <x:c r="B541" s="258" t="n"/>
      <x:c r="C541" s="258" t="n"/>
      <x:c r="E541" s="259" t="n"/>
      <x:c r="F541" s="259" t="n"/>
      <x:c r="G541" s="259" t="n"/>
      <x:c r="H541" s="259" t="n"/>
      <x:c r="I541" s="259" t="n"/>
      <x:c r="J541" s="260" t="n"/>
      <x:c r="M541" s="259" t="n"/>
      <x:c r="N541" s="259" t="n"/>
      <x:c r="U541" s="259" t="n"/>
      <x:c r="W541" s="260" t="n"/>
    </x:row>
    <x:row r="542">
      <x:c r="B542" s="258" t="n"/>
      <x:c r="C542" s="258" t="n"/>
      <x:c r="E542" s="259" t="n"/>
      <x:c r="F542" s="259" t="n"/>
      <x:c r="G542" s="259" t="n"/>
      <x:c r="H542" s="259" t="n"/>
      <x:c r="I542" s="259" t="n"/>
      <x:c r="J542" s="260" t="n"/>
      <x:c r="M542" s="259" t="n"/>
      <x:c r="N542" s="259" t="n"/>
      <x:c r="U542" s="259" t="n"/>
      <x:c r="W542" s="260" t="n"/>
    </x:row>
    <x:row r="543">
      <x:c r="B543" s="258" t="n"/>
      <x:c r="C543" s="258" t="n"/>
      <x:c r="E543" s="259" t="n"/>
      <x:c r="F543" s="259" t="n"/>
      <x:c r="G543" s="259" t="n"/>
      <x:c r="H543" s="259" t="n"/>
      <x:c r="I543" s="259" t="n"/>
      <x:c r="J543" s="260" t="n"/>
      <x:c r="M543" s="259" t="n"/>
      <x:c r="N543" s="259" t="n"/>
      <x:c r="U543" s="259" t="n"/>
      <x:c r="W543" s="260" t="n"/>
    </x:row>
    <x:row r="544">
      <x:c r="B544" s="258" t="n"/>
      <x:c r="C544" s="258" t="n"/>
      <x:c r="E544" s="259" t="n"/>
      <x:c r="F544" s="259" t="n"/>
      <x:c r="G544" s="259" t="n"/>
      <x:c r="H544" s="259" t="n"/>
      <x:c r="I544" s="259" t="n"/>
      <x:c r="J544" s="260" t="n"/>
      <x:c r="M544" s="259" t="n"/>
      <x:c r="N544" s="259" t="n"/>
      <x:c r="U544" s="259" t="n"/>
      <x:c r="W544" s="260" t="n"/>
    </x:row>
    <x:row r="545">
      <x:c r="B545" s="258" t="n"/>
      <x:c r="C545" s="258" t="n"/>
      <x:c r="E545" s="259" t="n"/>
      <x:c r="F545" s="259" t="n"/>
      <x:c r="G545" s="259" t="n"/>
      <x:c r="H545" s="259" t="n"/>
      <x:c r="I545" s="259" t="n"/>
      <x:c r="J545" s="260" t="n"/>
      <x:c r="M545" s="259" t="n"/>
      <x:c r="N545" s="259" t="n"/>
      <x:c r="U545" s="259" t="n"/>
      <x:c r="W545" s="260" t="n"/>
    </x:row>
    <x:row r="546">
      <x:c r="B546" s="258" t="n"/>
      <x:c r="C546" s="258" t="n"/>
      <x:c r="E546" s="259" t="n"/>
      <x:c r="F546" s="259" t="n"/>
      <x:c r="G546" s="259" t="n"/>
      <x:c r="H546" s="259" t="n"/>
      <x:c r="I546" s="259" t="n"/>
      <x:c r="J546" s="260" t="n"/>
      <x:c r="M546" s="259" t="n"/>
      <x:c r="N546" s="259" t="n"/>
      <x:c r="U546" s="259" t="n"/>
      <x:c r="W546" s="260" t="n"/>
    </x:row>
    <x:row r="547">
      <x:c r="B547" s="258" t="n"/>
      <x:c r="C547" s="258" t="n"/>
      <x:c r="E547" s="259" t="n"/>
      <x:c r="F547" s="259" t="n"/>
      <x:c r="G547" s="259" t="n"/>
      <x:c r="H547" s="259" t="n"/>
      <x:c r="I547" s="259" t="n"/>
      <x:c r="J547" s="260" t="n"/>
      <x:c r="M547" s="259" t="n"/>
      <x:c r="N547" s="259" t="n"/>
      <x:c r="U547" s="259" t="n"/>
      <x:c r="W547" s="260" t="n"/>
    </x:row>
    <x:row r="548">
      <x:c r="B548" s="258" t="n"/>
      <x:c r="C548" s="258" t="n"/>
      <x:c r="E548" s="259" t="n"/>
      <x:c r="F548" s="259" t="n"/>
      <x:c r="G548" s="259" t="n"/>
      <x:c r="H548" s="259" t="n"/>
      <x:c r="I548" s="259" t="n"/>
      <x:c r="J548" s="260" t="n"/>
      <x:c r="M548" s="259" t="n"/>
      <x:c r="N548" s="259" t="n"/>
      <x:c r="U548" s="259" t="n"/>
      <x:c r="W548" s="260" t="n"/>
    </x:row>
    <x:row r="549">
      <x:c r="B549" s="258" t="n"/>
      <x:c r="C549" s="258" t="n"/>
      <x:c r="E549" s="259" t="n"/>
      <x:c r="F549" s="259" t="n"/>
      <x:c r="G549" s="259" t="n"/>
      <x:c r="H549" s="259" t="n"/>
      <x:c r="I549" s="259" t="n"/>
      <x:c r="J549" s="260" t="n"/>
      <x:c r="M549" s="259" t="n"/>
      <x:c r="N549" s="259" t="n"/>
      <x:c r="U549" s="259" t="n"/>
      <x:c r="W549" s="260" t="n"/>
    </x:row>
    <x:row r="550">
      <x:c r="B550" s="258" t="n"/>
      <x:c r="C550" s="258" t="n"/>
      <x:c r="E550" s="259" t="n"/>
      <x:c r="F550" s="259" t="n"/>
      <x:c r="G550" s="259" t="n"/>
      <x:c r="H550" s="259" t="n"/>
      <x:c r="I550" s="259" t="n"/>
      <x:c r="J550" s="260" t="n"/>
      <x:c r="M550" s="259" t="n"/>
      <x:c r="N550" s="259" t="n"/>
      <x:c r="U550" s="259" t="n"/>
      <x:c r="W550" s="260" t="n"/>
    </x:row>
    <x:row r="551">
      <x:c r="B551" s="258" t="n"/>
      <x:c r="C551" s="258" t="n"/>
      <x:c r="E551" s="259" t="n"/>
      <x:c r="F551" s="259" t="n"/>
      <x:c r="G551" s="259" t="n"/>
      <x:c r="H551" s="259" t="n"/>
      <x:c r="I551" s="259" t="n"/>
      <x:c r="J551" s="260" t="n"/>
      <x:c r="M551" s="259" t="n"/>
      <x:c r="N551" s="259" t="n"/>
      <x:c r="U551" s="259" t="n"/>
      <x:c r="W551" s="260" t="n"/>
    </x:row>
    <x:row r="552">
      <x:c r="B552" s="258" t="n"/>
      <x:c r="C552" s="258" t="n"/>
      <x:c r="E552" s="259" t="n"/>
      <x:c r="F552" s="259" t="n"/>
      <x:c r="G552" s="259" t="n"/>
      <x:c r="H552" s="259" t="n"/>
      <x:c r="I552" s="259" t="n"/>
      <x:c r="J552" s="260" t="n"/>
      <x:c r="M552" s="259" t="n"/>
      <x:c r="N552" s="259" t="n"/>
      <x:c r="U552" s="259" t="n"/>
      <x:c r="W552" s="260" t="n"/>
    </x:row>
    <x:row r="553">
      <x:c r="B553" s="258" t="n"/>
      <x:c r="C553" s="258" t="n"/>
      <x:c r="E553" s="259" t="n"/>
      <x:c r="F553" s="259" t="n"/>
      <x:c r="G553" s="259" t="n"/>
      <x:c r="H553" s="259" t="n"/>
      <x:c r="I553" s="259" t="n"/>
      <x:c r="J553" s="260" t="n"/>
      <x:c r="M553" s="259" t="n"/>
      <x:c r="N553" s="259" t="n"/>
      <x:c r="U553" s="259" t="n"/>
      <x:c r="W553" s="260" t="n"/>
    </x:row>
    <x:row r="554">
      <x:c r="B554" s="258" t="n"/>
      <x:c r="C554" s="258" t="n"/>
      <x:c r="E554" s="259" t="n"/>
      <x:c r="F554" s="259" t="n"/>
      <x:c r="G554" s="259" t="n"/>
      <x:c r="H554" s="259" t="n"/>
      <x:c r="I554" s="259" t="n"/>
      <x:c r="J554" s="260" t="n"/>
      <x:c r="M554" s="259" t="n"/>
      <x:c r="N554" s="259" t="n"/>
      <x:c r="U554" s="259" t="n"/>
      <x:c r="W554" s="260" t="n"/>
    </x:row>
    <x:row r="555">
      <x:c r="B555" s="258" t="n"/>
      <x:c r="C555" s="258" t="n"/>
      <x:c r="E555" s="259" t="n"/>
      <x:c r="F555" s="259" t="n"/>
      <x:c r="G555" s="259" t="n"/>
      <x:c r="H555" s="259" t="n"/>
      <x:c r="I555" s="259" t="n"/>
      <x:c r="J555" s="260" t="n"/>
      <x:c r="M555" s="259" t="n"/>
      <x:c r="N555" s="259" t="n"/>
      <x:c r="U555" s="259" t="n"/>
      <x:c r="W555" s="260" t="n"/>
    </x:row>
    <x:row r="556">
      <x:c r="B556" s="258" t="n"/>
      <x:c r="C556" s="258" t="n"/>
      <x:c r="E556" s="259" t="n"/>
      <x:c r="F556" s="259" t="n"/>
      <x:c r="G556" s="259" t="n"/>
      <x:c r="H556" s="259" t="n"/>
      <x:c r="I556" s="259" t="n"/>
      <x:c r="J556" s="260" t="n"/>
      <x:c r="M556" s="259" t="n"/>
      <x:c r="N556" s="259" t="n"/>
      <x:c r="U556" s="259" t="n"/>
      <x:c r="W556" s="260" t="n"/>
    </x:row>
    <x:row r="557">
      <x:c r="B557" s="258" t="n"/>
      <x:c r="C557" s="258" t="n"/>
      <x:c r="E557" s="259" t="n"/>
      <x:c r="F557" s="259" t="n"/>
      <x:c r="G557" s="259" t="n"/>
      <x:c r="H557" s="259" t="n"/>
      <x:c r="I557" s="259" t="n"/>
      <x:c r="J557" s="260" t="n"/>
      <x:c r="M557" s="259" t="n"/>
      <x:c r="N557" s="259" t="n"/>
      <x:c r="U557" s="259" t="n"/>
      <x:c r="W557" s="260" t="n"/>
    </x:row>
    <x:row r="558">
      <x:c r="B558" s="258" t="n"/>
      <x:c r="C558" s="258" t="n"/>
      <x:c r="E558" s="259" t="n"/>
      <x:c r="F558" s="259" t="n"/>
      <x:c r="G558" s="259" t="n"/>
      <x:c r="H558" s="259" t="n"/>
      <x:c r="I558" s="259" t="n"/>
      <x:c r="J558" s="260" t="n"/>
      <x:c r="M558" s="259" t="n"/>
      <x:c r="N558" s="259" t="n"/>
      <x:c r="U558" s="259" t="n"/>
      <x:c r="W558" s="260" t="n"/>
    </x:row>
    <x:row r="559">
      <x:c r="B559" s="258" t="n"/>
      <x:c r="C559" s="258" t="n"/>
      <x:c r="E559" s="259" t="n"/>
      <x:c r="F559" s="259" t="n"/>
      <x:c r="G559" s="259" t="n"/>
      <x:c r="H559" s="259" t="n"/>
      <x:c r="I559" s="259" t="n"/>
      <x:c r="J559" s="260" t="n"/>
      <x:c r="M559" s="259" t="n"/>
      <x:c r="N559" s="259" t="n"/>
      <x:c r="U559" s="259" t="n"/>
      <x:c r="W559" s="260" t="n"/>
    </x:row>
    <x:row r="560">
      <x:c r="B560" s="258" t="n"/>
      <x:c r="C560" s="258" t="n"/>
      <x:c r="E560" s="259" t="n"/>
      <x:c r="F560" s="259" t="n"/>
      <x:c r="G560" s="259" t="n"/>
      <x:c r="H560" s="259" t="n"/>
      <x:c r="I560" s="259" t="n"/>
      <x:c r="J560" s="260" t="n"/>
      <x:c r="M560" s="259" t="n"/>
      <x:c r="N560" s="259" t="n"/>
      <x:c r="U560" s="259" t="n"/>
      <x:c r="W560" s="260" t="n"/>
    </x:row>
    <x:row r="561">
      <x:c r="B561" s="258" t="n"/>
      <x:c r="C561" s="258" t="n"/>
      <x:c r="E561" s="259" t="n"/>
      <x:c r="F561" s="259" t="n"/>
      <x:c r="G561" s="259" t="n"/>
      <x:c r="H561" s="259" t="n"/>
      <x:c r="I561" s="259" t="n"/>
      <x:c r="J561" s="260" t="n"/>
      <x:c r="M561" s="259" t="n"/>
      <x:c r="N561" s="259" t="n"/>
      <x:c r="U561" s="259" t="n"/>
      <x:c r="W561" s="260" t="n"/>
    </x:row>
    <x:row r="562">
      <x:c r="B562" s="258" t="n"/>
      <x:c r="C562" s="258" t="n"/>
      <x:c r="E562" s="259" t="n"/>
      <x:c r="F562" s="259" t="n"/>
      <x:c r="G562" s="259" t="n"/>
      <x:c r="H562" s="259" t="n"/>
      <x:c r="I562" s="259" t="n"/>
      <x:c r="J562" s="260" t="n"/>
      <x:c r="M562" s="259" t="n"/>
      <x:c r="N562" s="259" t="n"/>
      <x:c r="U562" s="259" t="n"/>
      <x:c r="W562" s="260" t="n"/>
    </x:row>
    <x:row r="563">
      <x:c r="B563" s="258" t="n"/>
      <x:c r="C563" s="258" t="n"/>
      <x:c r="E563" s="259" t="n"/>
      <x:c r="F563" s="259" t="n"/>
      <x:c r="G563" s="259" t="n"/>
      <x:c r="H563" s="259" t="n"/>
      <x:c r="I563" s="259" t="n"/>
      <x:c r="J563" s="260" t="n"/>
      <x:c r="M563" s="259" t="n"/>
      <x:c r="N563" s="259" t="n"/>
      <x:c r="U563" s="259" t="n"/>
      <x:c r="W563" s="260" t="n"/>
    </x:row>
    <x:row r="564">
      <x:c r="B564" s="258" t="n"/>
      <x:c r="C564" s="258" t="n"/>
      <x:c r="E564" s="259" t="n"/>
      <x:c r="F564" s="259" t="n"/>
      <x:c r="G564" s="259" t="n"/>
      <x:c r="H564" s="259" t="n"/>
      <x:c r="I564" s="259" t="n"/>
      <x:c r="J564" s="260" t="n"/>
      <x:c r="M564" s="259" t="n"/>
      <x:c r="N564" s="259" t="n"/>
      <x:c r="U564" s="259" t="n"/>
      <x:c r="W564" s="260" t="n"/>
    </x:row>
    <x:row r="565">
      <x:c r="B565" s="258" t="n"/>
      <x:c r="C565" s="258" t="n"/>
      <x:c r="E565" s="259" t="n"/>
      <x:c r="F565" s="259" t="n"/>
      <x:c r="G565" s="259" t="n"/>
      <x:c r="H565" s="259" t="n"/>
      <x:c r="I565" s="259" t="n"/>
      <x:c r="J565" s="260" t="n"/>
      <x:c r="M565" s="259" t="n"/>
      <x:c r="N565" s="259" t="n"/>
      <x:c r="U565" s="259" t="n"/>
      <x:c r="W565" s="260" t="n"/>
    </x:row>
    <x:row r="566">
      <x:c r="B566" s="258" t="n"/>
      <x:c r="C566" s="258" t="n"/>
      <x:c r="E566" s="259" t="n"/>
      <x:c r="F566" s="259" t="n"/>
      <x:c r="G566" s="259" t="n"/>
      <x:c r="H566" s="259" t="n"/>
      <x:c r="I566" s="259" t="n"/>
      <x:c r="J566" s="260" t="n"/>
      <x:c r="M566" s="259" t="n"/>
      <x:c r="N566" s="259" t="n"/>
      <x:c r="U566" s="259" t="n"/>
      <x:c r="W566" s="260" t="n"/>
    </x:row>
    <x:row r="567">
      <x:c r="B567" s="258" t="n"/>
      <x:c r="C567" s="258" t="n"/>
      <x:c r="E567" s="259" t="n"/>
      <x:c r="F567" s="259" t="n"/>
      <x:c r="G567" s="259" t="n"/>
      <x:c r="H567" s="259" t="n"/>
      <x:c r="I567" s="259" t="n"/>
      <x:c r="J567" s="260" t="n"/>
      <x:c r="M567" s="259" t="n"/>
      <x:c r="N567" s="259" t="n"/>
      <x:c r="U567" s="259" t="n"/>
      <x:c r="W567" s="260" t="n"/>
    </x:row>
    <x:row r="568">
      <x:c r="B568" s="258" t="n"/>
      <x:c r="C568" s="258" t="n"/>
      <x:c r="E568" s="259" t="n"/>
      <x:c r="F568" s="259" t="n"/>
      <x:c r="G568" s="259" t="n"/>
      <x:c r="H568" s="259" t="n"/>
      <x:c r="I568" s="259" t="n"/>
      <x:c r="J568" s="260" t="n"/>
      <x:c r="M568" s="259" t="n"/>
      <x:c r="N568" s="259" t="n"/>
      <x:c r="U568" s="259" t="n"/>
      <x:c r="W568" s="260" t="n"/>
    </x:row>
    <x:row r="569">
      <x:c r="B569" s="258" t="n"/>
      <x:c r="C569" s="258" t="n"/>
      <x:c r="E569" s="259" t="n"/>
      <x:c r="F569" s="259" t="n"/>
      <x:c r="G569" s="259" t="n"/>
      <x:c r="H569" s="259" t="n"/>
      <x:c r="I569" s="259" t="n"/>
      <x:c r="J569" s="260" t="n"/>
      <x:c r="M569" s="259" t="n"/>
      <x:c r="N569" s="259" t="n"/>
      <x:c r="U569" s="259" t="n"/>
      <x:c r="W569" s="260" t="n"/>
    </x:row>
    <x:row r="570">
      <x:c r="B570" s="258" t="n"/>
      <x:c r="C570" s="258" t="n"/>
      <x:c r="E570" s="259" t="n"/>
      <x:c r="F570" s="259" t="n"/>
      <x:c r="G570" s="259" t="n"/>
      <x:c r="H570" s="259" t="n"/>
      <x:c r="I570" s="259" t="n"/>
      <x:c r="J570" s="260" t="n"/>
      <x:c r="M570" s="259" t="n"/>
      <x:c r="N570" s="259" t="n"/>
      <x:c r="U570" s="259" t="n"/>
      <x:c r="W570" s="260" t="n"/>
    </x:row>
    <x:row r="571">
      <x:c r="B571" s="258" t="n"/>
      <x:c r="C571" s="258" t="n"/>
      <x:c r="E571" s="259" t="n"/>
      <x:c r="F571" s="259" t="n"/>
      <x:c r="G571" s="259" t="n"/>
      <x:c r="H571" s="259" t="n"/>
      <x:c r="I571" s="259" t="n"/>
      <x:c r="J571" s="260" t="n"/>
      <x:c r="M571" s="259" t="n"/>
      <x:c r="N571" s="259" t="n"/>
      <x:c r="U571" s="259" t="n"/>
      <x:c r="W571" s="260" t="n"/>
    </x:row>
    <x:row r="572">
      <x:c r="B572" s="258" t="n"/>
      <x:c r="C572" s="258" t="n"/>
      <x:c r="E572" s="259" t="n"/>
      <x:c r="F572" s="259" t="n"/>
      <x:c r="G572" s="259" t="n"/>
      <x:c r="H572" s="259" t="n"/>
      <x:c r="I572" s="259" t="n"/>
      <x:c r="J572" s="260" t="n"/>
      <x:c r="M572" s="259" t="n"/>
      <x:c r="N572" s="259" t="n"/>
      <x:c r="U572" s="259" t="n"/>
      <x:c r="W572" s="260" t="n"/>
    </x:row>
    <x:row r="573">
      <x:c r="B573" s="258" t="n"/>
      <x:c r="C573" s="258" t="n"/>
      <x:c r="E573" s="259" t="n"/>
      <x:c r="F573" s="259" t="n"/>
      <x:c r="G573" s="259" t="n"/>
      <x:c r="H573" s="259" t="n"/>
      <x:c r="I573" s="259" t="n"/>
      <x:c r="J573" s="260" t="n"/>
      <x:c r="M573" s="259" t="n"/>
      <x:c r="N573" s="259" t="n"/>
      <x:c r="U573" s="259" t="n"/>
      <x:c r="W573" s="260" t="n"/>
    </x:row>
    <x:row r="574">
      <x:c r="B574" s="258" t="n"/>
      <x:c r="C574" s="258" t="n"/>
      <x:c r="E574" s="259" t="n"/>
      <x:c r="F574" s="259" t="n"/>
      <x:c r="G574" s="259" t="n"/>
      <x:c r="H574" s="259" t="n"/>
      <x:c r="I574" s="259" t="n"/>
      <x:c r="J574" s="260" t="n"/>
      <x:c r="M574" s="259" t="n"/>
      <x:c r="N574" s="259" t="n"/>
      <x:c r="U574" s="259" t="n"/>
      <x:c r="W574" s="260" t="n"/>
    </x:row>
    <x:row r="575">
      <x:c r="B575" s="258" t="n"/>
      <x:c r="C575" s="258" t="n"/>
      <x:c r="E575" s="259" t="n"/>
      <x:c r="F575" s="259" t="n"/>
      <x:c r="G575" s="259" t="n"/>
      <x:c r="H575" s="259" t="n"/>
      <x:c r="I575" s="259" t="n"/>
      <x:c r="J575" s="260" t="n"/>
      <x:c r="M575" s="259" t="n"/>
      <x:c r="N575" s="259" t="n"/>
      <x:c r="U575" s="259" t="n"/>
      <x:c r="W575" s="260" t="n"/>
    </x:row>
    <x:row r="576">
      <x:c r="B576" s="258" t="n"/>
      <x:c r="C576" s="258" t="n"/>
      <x:c r="E576" s="259" t="n"/>
      <x:c r="F576" s="259" t="n"/>
      <x:c r="G576" s="259" t="n"/>
      <x:c r="H576" s="259" t="n"/>
      <x:c r="I576" s="259" t="n"/>
      <x:c r="J576" s="260" t="n"/>
      <x:c r="M576" s="259" t="n"/>
      <x:c r="N576" s="259" t="n"/>
      <x:c r="U576" s="259" t="n"/>
      <x:c r="W576" s="260" t="n"/>
    </x:row>
    <x:row r="577">
      <x:c r="B577" s="258" t="n"/>
      <x:c r="C577" s="258" t="n"/>
      <x:c r="E577" s="259" t="n"/>
      <x:c r="F577" s="259" t="n"/>
      <x:c r="G577" s="259" t="n"/>
      <x:c r="H577" s="259" t="n"/>
      <x:c r="I577" s="259" t="n"/>
      <x:c r="J577" s="260" t="n"/>
      <x:c r="M577" s="259" t="n"/>
      <x:c r="N577" s="259" t="n"/>
      <x:c r="U577" s="259" t="n"/>
      <x:c r="W577" s="260" t="n"/>
    </x:row>
    <x:row r="578">
      <x:c r="B578" s="258" t="n"/>
      <x:c r="C578" s="258" t="n"/>
      <x:c r="E578" s="259" t="n"/>
      <x:c r="F578" s="259" t="n"/>
      <x:c r="G578" s="259" t="n"/>
      <x:c r="H578" s="259" t="n"/>
      <x:c r="I578" s="259" t="n"/>
      <x:c r="J578" s="260" t="n"/>
      <x:c r="M578" s="259" t="n"/>
      <x:c r="N578" s="259" t="n"/>
      <x:c r="U578" s="259" t="n"/>
      <x:c r="W578" s="260" t="n"/>
    </x:row>
    <x:row r="579">
      <x:c r="B579" s="258" t="n"/>
      <x:c r="C579" s="258" t="n"/>
      <x:c r="E579" s="259" t="n"/>
      <x:c r="F579" s="259" t="n"/>
      <x:c r="G579" s="259" t="n"/>
      <x:c r="H579" s="259" t="n"/>
      <x:c r="I579" s="259" t="n"/>
      <x:c r="J579" s="260" t="n"/>
      <x:c r="M579" s="259" t="n"/>
      <x:c r="N579" s="259" t="n"/>
      <x:c r="U579" s="259" t="n"/>
      <x:c r="W579" s="260" t="n"/>
    </x:row>
    <x:row r="580">
      <x:c r="B580" s="258" t="n"/>
      <x:c r="C580" s="258" t="n"/>
      <x:c r="E580" s="259" t="n"/>
      <x:c r="F580" s="259" t="n"/>
      <x:c r="G580" s="259" t="n"/>
      <x:c r="H580" s="259" t="n"/>
      <x:c r="I580" s="259" t="n"/>
      <x:c r="J580" s="260" t="n"/>
      <x:c r="M580" s="259" t="n"/>
      <x:c r="N580" s="259" t="n"/>
      <x:c r="U580" s="259" t="n"/>
      <x:c r="W580" s="260" t="n"/>
    </x:row>
    <x:row r="581">
      <x:c r="B581" s="258" t="n"/>
      <x:c r="C581" s="258" t="n"/>
      <x:c r="E581" s="259" t="n"/>
      <x:c r="F581" s="259" t="n"/>
      <x:c r="G581" s="259" t="n"/>
      <x:c r="H581" s="259" t="n"/>
      <x:c r="I581" s="259" t="n"/>
      <x:c r="J581" s="260" t="n"/>
      <x:c r="M581" s="259" t="n"/>
      <x:c r="N581" s="259" t="n"/>
      <x:c r="U581" s="259" t="n"/>
      <x:c r="W581" s="260" t="n"/>
    </x:row>
    <x:row r="582">
      <x:c r="B582" s="258" t="n"/>
      <x:c r="C582" s="258" t="n"/>
      <x:c r="E582" s="259" t="n"/>
      <x:c r="F582" s="259" t="n"/>
      <x:c r="G582" s="259" t="n"/>
      <x:c r="H582" s="259" t="n"/>
      <x:c r="I582" s="259" t="n"/>
      <x:c r="J582" s="260" t="n"/>
      <x:c r="M582" s="259" t="n"/>
      <x:c r="N582" s="259" t="n"/>
      <x:c r="U582" s="259" t="n"/>
      <x:c r="W582" s="260" t="n"/>
    </x:row>
    <x:row r="583">
      <x:c r="B583" s="258" t="n"/>
      <x:c r="C583" s="258" t="n"/>
      <x:c r="E583" s="259" t="n"/>
      <x:c r="F583" s="259" t="n"/>
      <x:c r="G583" s="259" t="n"/>
      <x:c r="H583" s="259" t="n"/>
      <x:c r="I583" s="259" t="n"/>
      <x:c r="J583" s="260" t="n"/>
      <x:c r="M583" s="259" t="n"/>
      <x:c r="N583" s="259" t="n"/>
      <x:c r="U583" s="259" t="n"/>
      <x:c r="W583" s="260" t="n"/>
    </x:row>
    <x:row r="584">
      <x:c r="B584" s="258" t="n"/>
      <x:c r="C584" s="258" t="n"/>
      <x:c r="E584" s="259" t="n"/>
      <x:c r="F584" s="259" t="n"/>
      <x:c r="G584" s="259" t="n"/>
      <x:c r="H584" s="259" t="n"/>
      <x:c r="I584" s="259" t="n"/>
      <x:c r="J584" s="260" t="n"/>
      <x:c r="M584" s="259" t="n"/>
      <x:c r="N584" s="259" t="n"/>
      <x:c r="U584" s="259" t="n"/>
      <x:c r="W584" s="260" t="n"/>
    </x:row>
    <x:row r="585">
      <x:c r="B585" s="258" t="n"/>
      <x:c r="C585" s="258" t="n"/>
      <x:c r="E585" s="259" t="n"/>
      <x:c r="F585" s="259" t="n"/>
      <x:c r="G585" s="259" t="n"/>
      <x:c r="H585" s="259" t="n"/>
      <x:c r="I585" s="259" t="n"/>
      <x:c r="J585" s="260" t="n"/>
      <x:c r="M585" s="259" t="n"/>
      <x:c r="N585" s="259" t="n"/>
      <x:c r="U585" s="259" t="n"/>
      <x:c r="W585" s="260" t="n"/>
    </x:row>
    <x:row r="586">
      <x:c r="B586" s="258" t="n"/>
      <x:c r="C586" s="258" t="n"/>
      <x:c r="E586" s="259" t="n"/>
      <x:c r="F586" s="259" t="n"/>
      <x:c r="G586" s="259" t="n"/>
      <x:c r="H586" s="259" t="n"/>
      <x:c r="I586" s="259" t="n"/>
      <x:c r="J586" s="260" t="n"/>
      <x:c r="M586" s="259" t="n"/>
      <x:c r="N586" s="259" t="n"/>
      <x:c r="U586" s="259" t="n"/>
      <x:c r="W586" s="260" t="n"/>
    </x:row>
    <x:row r="587">
      <x:c r="B587" s="258" t="n"/>
      <x:c r="C587" s="258" t="n"/>
      <x:c r="E587" s="259" t="n"/>
      <x:c r="F587" s="259" t="n"/>
      <x:c r="G587" s="259" t="n"/>
      <x:c r="H587" s="259" t="n"/>
      <x:c r="I587" s="259" t="n"/>
      <x:c r="J587" s="260" t="n"/>
      <x:c r="M587" s="259" t="n"/>
      <x:c r="N587" s="259" t="n"/>
      <x:c r="U587" s="259" t="n"/>
      <x:c r="W587" s="260" t="n"/>
    </x:row>
    <x:row r="588">
      <x:c r="B588" s="258" t="n"/>
      <x:c r="C588" s="258" t="n"/>
      <x:c r="E588" s="259" t="n"/>
      <x:c r="F588" s="259" t="n"/>
      <x:c r="G588" s="259" t="n"/>
      <x:c r="H588" s="259" t="n"/>
      <x:c r="I588" s="259" t="n"/>
      <x:c r="J588" s="260" t="n"/>
      <x:c r="M588" s="259" t="n"/>
      <x:c r="N588" s="259" t="n"/>
      <x:c r="U588" s="259" t="n"/>
      <x:c r="W588" s="260" t="n"/>
    </x:row>
    <x:row r="589">
      <x:c r="B589" s="258" t="n"/>
      <x:c r="C589" s="258" t="n"/>
      <x:c r="E589" s="259" t="n"/>
      <x:c r="F589" s="259" t="n"/>
      <x:c r="G589" s="259" t="n"/>
      <x:c r="H589" s="259" t="n"/>
      <x:c r="I589" s="259" t="n"/>
      <x:c r="J589" s="260" t="n"/>
      <x:c r="M589" s="259" t="n"/>
      <x:c r="N589" s="259" t="n"/>
      <x:c r="U589" s="259" t="n"/>
      <x:c r="W589" s="260" t="n"/>
    </x:row>
    <x:row r="590">
      <x:c r="B590" s="258" t="n"/>
      <x:c r="C590" s="258" t="n"/>
      <x:c r="E590" s="259" t="n"/>
      <x:c r="F590" s="259" t="n"/>
      <x:c r="G590" s="259" t="n"/>
      <x:c r="H590" s="259" t="n"/>
      <x:c r="I590" s="259" t="n"/>
      <x:c r="J590" s="260" t="n"/>
      <x:c r="M590" s="259" t="n"/>
      <x:c r="N590" s="259" t="n"/>
      <x:c r="U590" s="259" t="n"/>
      <x:c r="W590" s="260" t="n"/>
    </x:row>
    <x:row r="591">
      <x:c r="B591" s="258" t="n"/>
      <x:c r="C591" s="258" t="n"/>
      <x:c r="E591" s="259" t="n"/>
      <x:c r="F591" s="259" t="n"/>
      <x:c r="G591" s="259" t="n"/>
      <x:c r="H591" s="259" t="n"/>
      <x:c r="I591" s="259" t="n"/>
      <x:c r="J591" s="260" t="n"/>
      <x:c r="M591" s="259" t="n"/>
      <x:c r="N591" s="259" t="n"/>
      <x:c r="U591" s="259" t="n"/>
      <x:c r="W591" s="260" t="n"/>
    </x:row>
    <x:row r="592">
      <x:c r="B592" s="258" t="n"/>
      <x:c r="C592" s="258" t="n"/>
      <x:c r="E592" s="259" t="n"/>
      <x:c r="F592" s="259" t="n"/>
      <x:c r="G592" s="259" t="n"/>
      <x:c r="H592" s="259" t="n"/>
      <x:c r="I592" s="259" t="n"/>
      <x:c r="J592" s="260" t="n"/>
      <x:c r="M592" s="259" t="n"/>
      <x:c r="N592" s="259" t="n"/>
      <x:c r="U592" s="259" t="n"/>
      <x:c r="W592" s="260" t="n"/>
    </x:row>
    <x:row r="593">
      <x:c r="B593" s="258" t="n"/>
      <x:c r="C593" s="258" t="n"/>
      <x:c r="E593" s="259" t="n"/>
      <x:c r="F593" s="259" t="n"/>
      <x:c r="G593" s="259" t="n"/>
      <x:c r="H593" s="259" t="n"/>
      <x:c r="I593" s="259" t="n"/>
      <x:c r="J593" s="260" t="n"/>
      <x:c r="M593" s="259" t="n"/>
      <x:c r="N593" s="259" t="n"/>
      <x:c r="U593" s="259" t="n"/>
      <x:c r="W593" s="260" t="n"/>
    </x:row>
    <x:row r="594">
      <x:c r="B594" s="258" t="n"/>
      <x:c r="C594" s="258" t="n"/>
      <x:c r="E594" s="259" t="n"/>
      <x:c r="F594" s="259" t="n"/>
      <x:c r="G594" s="259" t="n"/>
      <x:c r="H594" s="259" t="n"/>
      <x:c r="I594" s="259" t="n"/>
      <x:c r="J594" s="260" t="n"/>
      <x:c r="M594" s="259" t="n"/>
      <x:c r="N594" s="259" t="n"/>
      <x:c r="U594" s="259" t="n"/>
      <x:c r="W594" s="260" t="n"/>
    </x:row>
    <x:row r="595">
      <x:c r="B595" s="258" t="n"/>
      <x:c r="C595" s="258" t="n"/>
      <x:c r="E595" s="259" t="n"/>
      <x:c r="F595" s="259" t="n"/>
      <x:c r="G595" s="259" t="n"/>
      <x:c r="H595" s="259" t="n"/>
      <x:c r="I595" s="259" t="n"/>
      <x:c r="J595" s="260" t="n"/>
      <x:c r="M595" s="259" t="n"/>
      <x:c r="N595" s="259" t="n"/>
      <x:c r="U595" s="259" t="n"/>
      <x:c r="W595" s="260" t="n"/>
    </x:row>
    <x:row r="596">
      <x:c r="B596" s="258" t="n"/>
      <x:c r="C596" s="258" t="n"/>
      <x:c r="E596" s="259" t="n"/>
      <x:c r="F596" s="259" t="n"/>
      <x:c r="G596" s="259" t="n"/>
      <x:c r="H596" s="259" t="n"/>
      <x:c r="I596" s="259" t="n"/>
      <x:c r="J596" s="260" t="n"/>
      <x:c r="M596" s="259" t="n"/>
      <x:c r="N596" s="259" t="n"/>
      <x:c r="U596" s="259" t="n"/>
      <x:c r="W596" s="260" t="n"/>
    </x:row>
    <x:row r="597">
      <x:c r="B597" s="258" t="n"/>
      <x:c r="C597" s="258" t="n"/>
      <x:c r="E597" s="259" t="n"/>
      <x:c r="F597" s="259" t="n"/>
      <x:c r="G597" s="259" t="n"/>
      <x:c r="H597" s="259" t="n"/>
      <x:c r="I597" s="259" t="n"/>
      <x:c r="J597" s="260" t="n"/>
      <x:c r="M597" s="259" t="n"/>
      <x:c r="N597" s="259" t="n"/>
      <x:c r="U597" s="259" t="n"/>
      <x:c r="W597" s="260" t="n"/>
    </x:row>
    <x:row r="598">
      <x:c r="B598" s="258" t="n"/>
      <x:c r="C598" s="258" t="n"/>
      <x:c r="E598" s="259" t="n"/>
      <x:c r="F598" s="259" t="n"/>
      <x:c r="G598" s="259" t="n"/>
      <x:c r="H598" s="259" t="n"/>
      <x:c r="I598" s="259" t="n"/>
      <x:c r="J598" s="260" t="n"/>
      <x:c r="M598" s="259" t="n"/>
      <x:c r="N598" s="259" t="n"/>
      <x:c r="U598" s="259" t="n"/>
      <x:c r="W598" s="260" t="n"/>
    </x:row>
    <x:row r="599">
      <x:c r="B599" s="258" t="n"/>
      <x:c r="C599" s="258" t="n"/>
      <x:c r="E599" s="259" t="n"/>
      <x:c r="F599" s="259" t="n"/>
      <x:c r="G599" s="259" t="n"/>
      <x:c r="H599" s="259" t="n"/>
      <x:c r="I599" s="259" t="n"/>
      <x:c r="J599" s="260" t="n"/>
      <x:c r="M599" s="259" t="n"/>
      <x:c r="N599" s="259" t="n"/>
      <x:c r="U599" s="259" t="n"/>
      <x:c r="W599" s="260" t="n"/>
    </x:row>
    <x:row r="600">
      <x:c r="B600" s="258" t="n"/>
      <x:c r="C600" s="258" t="n"/>
      <x:c r="E600" s="259" t="n"/>
      <x:c r="F600" s="259" t="n"/>
      <x:c r="G600" s="259" t="n"/>
      <x:c r="H600" s="259" t="n"/>
      <x:c r="I600" s="259" t="n"/>
      <x:c r="J600" s="260" t="n"/>
      <x:c r="M600" s="259" t="n"/>
      <x:c r="N600" s="259" t="n"/>
      <x:c r="U600" s="259" t="n"/>
      <x:c r="W600" s="260" t="n"/>
    </x:row>
    <x:row r="601">
      <x:c r="B601" s="258" t="n"/>
      <x:c r="C601" s="258" t="n"/>
      <x:c r="E601" s="259" t="n"/>
      <x:c r="F601" s="259" t="n"/>
      <x:c r="G601" s="259" t="n"/>
      <x:c r="H601" s="259" t="n"/>
      <x:c r="I601" s="259" t="n"/>
      <x:c r="J601" s="260" t="n"/>
      <x:c r="M601" s="259" t="n"/>
      <x:c r="N601" s="259" t="n"/>
      <x:c r="U601" s="259" t="n"/>
      <x:c r="W601" s="260" t="n"/>
    </x:row>
    <x:row r="602">
      <x:c r="B602" s="258" t="n"/>
      <x:c r="C602" s="258" t="n"/>
      <x:c r="E602" s="259" t="n"/>
      <x:c r="F602" s="259" t="n"/>
      <x:c r="G602" s="259" t="n"/>
      <x:c r="H602" s="259" t="n"/>
      <x:c r="I602" s="259" t="n"/>
      <x:c r="J602" s="260" t="n"/>
      <x:c r="M602" s="259" t="n"/>
      <x:c r="N602" s="259" t="n"/>
      <x:c r="U602" s="259" t="n"/>
      <x:c r="W602" s="260" t="n"/>
    </x:row>
    <x:row r="603">
      <x:c r="B603" s="258" t="n"/>
      <x:c r="C603" s="258" t="n"/>
      <x:c r="E603" s="259" t="n"/>
      <x:c r="F603" s="259" t="n"/>
      <x:c r="G603" s="259" t="n"/>
      <x:c r="H603" s="259" t="n"/>
      <x:c r="I603" s="259" t="n"/>
      <x:c r="J603" s="260" t="n"/>
      <x:c r="M603" s="259" t="n"/>
      <x:c r="N603" s="259" t="n"/>
      <x:c r="U603" s="259" t="n"/>
      <x:c r="W603" s="260" t="n"/>
    </x:row>
    <x:row r="604">
      <x:c r="B604" s="258" t="n"/>
      <x:c r="C604" s="258" t="n"/>
      <x:c r="E604" s="259" t="n"/>
      <x:c r="F604" s="259" t="n"/>
      <x:c r="G604" s="259" t="n"/>
      <x:c r="H604" s="259" t="n"/>
      <x:c r="I604" s="259" t="n"/>
      <x:c r="J604" s="260" t="n"/>
      <x:c r="M604" s="259" t="n"/>
      <x:c r="N604" s="259" t="n"/>
      <x:c r="U604" s="259" t="n"/>
      <x:c r="W604" s="260" t="n"/>
    </x:row>
    <x:row r="605">
      <x:c r="B605" s="258" t="n"/>
      <x:c r="C605" s="258" t="n"/>
      <x:c r="E605" s="259" t="n"/>
      <x:c r="F605" s="259" t="n"/>
      <x:c r="G605" s="259" t="n"/>
      <x:c r="H605" s="259" t="n"/>
      <x:c r="I605" s="259" t="n"/>
      <x:c r="J605" s="260" t="n"/>
      <x:c r="M605" s="259" t="n"/>
      <x:c r="N605" s="259" t="n"/>
      <x:c r="U605" s="259" t="n"/>
      <x:c r="W605" s="260" t="n"/>
    </x:row>
    <x:row r="606">
      <x:c r="B606" s="258" t="n"/>
      <x:c r="C606" s="258" t="n"/>
      <x:c r="E606" s="259" t="n"/>
      <x:c r="F606" s="259" t="n"/>
      <x:c r="G606" s="259" t="n"/>
      <x:c r="H606" s="259" t="n"/>
      <x:c r="I606" s="259" t="n"/>
      <x:c r="J606" s="260" t="n"/>
      <x:c r="M606" s="259" t="n"/>
      <x:c r="N606" s="259" t="n"/>
      <x:c r="U606" s="259" t="n"/>
      <x:c r="W606" s="260" t="n"/>
    </x:row>
    <x:row r="607">
      <x:c r="B607" s="258" t="n"/>
      <x:c r="C607" s="258" t="n"/>
      <x:c r="E607" s="259" t="n"/>
      <x:c r="F607" s="259" t="n"/>
      <x:c r="G607" s="259" t="n"/>
      <x:c r="H607" s="259" t="n"/>
      <x:c r="I607" s="259" t="n"/>
      <x:c r="J607" s="260" t="n"/>
      <x:c r="M607" s="259" t="n"/>
      <x:c r="N607" s="259" t="n"/>
      <x:c r="U607" s="259" t="n"/>
      <x:c r="W607" s="260" t="n"/>
    </x:row>
    <x:row r="608">
      <x:c r="B608" s="258" t="n"/>
      <x:c r="C608" s="258" t="n"/>
      <x:c r="E608" s="259" t="n"/>
      <x:c r="F608" s="259" t="n"/>
      <x:c r="G608" s="259" t="n"/>
      <x:c r="H608" s="259" t="n"/>
      <x:c r="I608" s="259" t="n"/>
      <x:c r="J608" s="260" t="n"/>
      <x:c r="M608" s="259" t="n"/>
      <x:c r="N608" s="259" t="n"/>
      <x:c r="U608" s="259" t="n"/>
      <x:c r="W608" s="260" t="n"/>
    </x:row>
    <x:row r="609">
      <x:c r="B609" s="258" t="n"/>
      <x:c r="C609" s="258" t="n"/>
      <x:c r="E609" s="259" t="n"/>
      <x:c r="F609" s="259" t="n"/>
      <x:c r="G609" s="259" t="n"/>
      <x:c r="H609" s="259" t="n"/>
      <x:c r="I609" s="259" t="n"/>
      <x:c r="J609" s="260" t="n"/>
      <x:c r="M609" s="259" t="n"/>
      <x:c r="N609" s="259" t="n"/>
      <x:c r="U609" s="259" t="n"/>
      <x:c r="W609" s="260" t="n"/>
    </x:row>
    <x:row r="610">
      <x:c r="B610" s="258" t="n"/>
      <x:c r="C610" s="258" t="n"/>
      <x:c r="E610" s="259" t="n"/>
      <x:c r="F610" s="259" t="n"/>
      <x:c r="G610" s="259" t="n"/>
      <x:c r="H610" s="259" t="n"/>
      <x:c r="I610" s="259" t="n"/>
      <x:c r="J610" s="260" t="n"/>
      <x:c r="M610" s="259" t="n"/>
      <x:c r="N610" s="259" t="n"/>
      <x:c r="U610" s="259" t="n"/>
      <x:c r="W610" s="260" t="n"/>
    </x:row>
    <x:row r="611">
      <x:c r="B611" s="258" t="n"/>
      <x:c r="C611" s="258" t="n"/>
      <x:c r="E611" s="259" t="n"/>
      <x:c r="F611" s="259" t="n"/>
      <x:c r="G611" s="259" t="n"/>
      <x:c r="H611" s="259" t="n"/>
      <x:c r="I611" s="259" t="n"/>
      <x:c r="J611" s="260" t="n"/>
      <x:c r="M611" s="259" t="n"/>
      <x:c r="N611" s="259" t="n"/>
      <x:c r="U611" s="259" t="n"/>
      <x:c r="W611" s="260" t="n"/>
    </x:row>
    <x:row r="612">
      <x:c r="B612" s="258" t="n"/>
      <x:c r="C612" s="258" t="n"/>
      <x:c r="E612" s="259" t="n"/>
      <x:c r="F612" s="259" t="n"/>
      <x:c r="G612" s="259" t="n"/>
      <x:c r="H612" s="259" t="n"/>
      <x:c r="I612" s="259" t="n"/>
      <x:c r="J612" s="260" t="n"/>
      <x:c r="M612" s="259" t="n"/>
      <x:c r="N612" s="259" t="n"/>
      <x:c r="U612" s="259" t="n"/>
      <x:c r="W612" s="260" t="n"/>
    </x:row>
    <x:row r="613">
      <x:c r="B613" s="258" t="n"/>
      <x:c r="C613" s="258" t="n"/>
      <x:c r="E613" s="259" t="n"/>
      <x:c r="F613" s="259" t="n"/>
      <x:c r="G613" s="259" t="n"/>
      <x:c r="H613" s="259" t="n"/>
      <x:c r="I613" s="259" t="n"/>
      <x:c r="J613" s="260" t="n"/>
      <x:c r="M613" s="259" t="n"/>
      <x:c r="N613" s="259" t="n"/>
      <x:c r="U613" s="259" t="n"/>
      <x:c r="W613" s="260" t="n"/>
    </x:row>
    <x:row r="614">
      <x:c r="B614" s="258" t="n"/>
      <x:c r="C614" s="258" t="n"/>
      <x:c r="E614" s="259" t="n"/>
      <x:c r="F614" s="259" t="n"/>
      <x:c r="G614" s="259" t="n"/>
      <x:c r="H614" s="259" t="n"/>
      <x:c r="I614" s="259" t="n"/>
      <x:c r="J614" s="260" t="n"/>
      <x:c r="M614" s="259" t="n"/>
      <x:c r="N614" s="259" t="n"/>
      <x:c r="U614" s="259" t="n"/>
      <x:c r="W614" s="260" t="n"/>
    </x:row>
    <x:row r="615">
      <x:c r="B615" s="258" t="n"/>
      <x:c r="C615" s="258" t="n"/>
      <x:c r="E615" s="259" t="n"/>
      <x:c r="F615" s="259" t="n"/>
      <x:c r="G615" s="259" t="n"/>
      <x:c r="H615" s="259" t="n"/>
      <x:c r="I615" s="259" t="n"/>
      <x:c r="J615" s="260" t="n"/>
      <x:c r="M615" s="259" t="n"/>
      <x:c r="N615" s="259" t="n"/>
      <x:c r="U615" s="259" t="n"/>
      <x:c r="W615" s="260" t="n"/>
    </x:row>
    <x:row r="616">
      <x:c r="B616" s="258" t="n"/>
      <x:c r="C616" s="258" t="n"/>
      <x:c r="E616" s="259" t="n"/>
      <x:c r="F616" s="259" t="n"/>
      <x:c r="G616" s="259" t="n"/>
      <x:c r="H616" s="259" t="n"/>
      <x:c r="I616" s="259" t="n"/>
      <x:c r="J616" s="260" t="n"/>
      <x:c r="M616" s="259" t="n"/>
      <x:c r="N616" s="259" t="n"/>
      <x:c r="U616" s="259" t="n"/>
      <x:c r="W616" s="260" t="n"/>
    </x:row>
    <x:row r="617">
      <x:c r="B617" s="258" t="n"/>
      <x:c r="C617" s="258" t="n"/>
      <x:c r="E617" s="259" t="n"/>
      <x:c r="F617" s="259" t="n"/>
      <x:c r="G617" s="259" t="n"/>
      <x:c r="H617" s="259" t="n"/>
      <x:c r="I617" s="259" t="n"/>
      <x:c r="J617" s="260" t="n"/>
      <x:c r="M617" s="259" t="n"/>
      <x:c r="N617" s="259" t="n"/>
      <x:c r="U617" s="259" t="n"/>
      <x:c r="W617" s="260" t="n"/>
    </x:row>
    <x:row r="618">
      <x:c r="B618" s="258" t="n"/>
      <x:c r="C618" s="258" t="n"/>
      <x:c r="E618" s="259" t="n"/>
      <x:c r="F618" s="259" t="n"/>
      <x:c r="G618" s="259" t="n"/>
      <x:c r="H618" s="259" t="n"/>
      <x:c r="I618" s="259" t="n"/>
      <x:c r="J618" s="260" t="n"/>
      <x:c r="M618" s="259" t="n"/>
      <x:c r="N618" s="259" t="n"/>
      <x:c r="U618" s="259" t="n"/>
      <x:c r="W618" s="260" t="n"/>
    </x:row>
    <x:row r="619">
      <x:c r="B619" s="258" t="n"/>
      <x:c r="C619" s="258" t="n"/>
      <x:c r="E619" s="259" t="n"/>
      <x:c r="F619" s="259" t="n"/>
      <x:c r="G619" s="259" t="n"/>
      <x:c r="H619" s="259" t="n"/>
      <x:c r="I619" s="259" t="n"/>
      <x:c r="J619" s="260" t="n"/>
      <x:c r="M619" s="259" t="n"/>
      <x:c r="N619" s="259" t="n"/>
      <x:c r="U619" s="259" t="n"/>
      <x:c r="W619" s="260" t="n"/>
    </x:row>
    <x:row r="620">
      <x:c r="B620" s="258" t="n"/>
      <x:c r="C620" s="258" t="n"/>
      <x:c r="E620" s="259" t="n"/>
      <x:c r="F620" s="259" t="n"/>
      <x:c r="G620" s="259" t="n"/>
      <x:c r="H620" s="259" t="n"/>
      <x:c r="I620" s="259" t="n"/>
      <x:c r="J620" s="260" t="n"/>
      <x:c r="M620" s="259" t="n"/>
      <x:c r="N620" s="259" t="n"/>
      <x:c r="U620" s="259" t="n"/>
      <x:c r="W620" s="260" t="n"/>
    </x:row>
    <x:row r="621">
      <x:c r="B621" s="258" t="n"/>
      <x:c r="C621" s="258" t="n"/>
      <x:c r="E621" s="259" t="n"/>
      <x:c r="F621" s="259" t="n"/>
      <x:c r="G621" s="259" t="n"/>
      <x:c r="H621" s="259" t="n"/>
      <x:c r="I621" s="259" t="n"/>
      <x:c r="J621" s="260" t="n"/>
      <x:c r="M621" s="259" t="n"/>
      <x:c r="N621" s="259" t="n"/>
      <x:c r="U621" s="259" t="n"/>
      <x:c r="W621" s="260" t="n"/>
    </x:row>
    <x:row r="622">
      <x:c r="B622" s="258" t="n"/>
      <x:c r="C622" s="258" t="n"/>
      <x:c r="E622" s="259" t="n"/>
      <x:c r="F622" s="259" t="n"/>
      <x:c r="G622" s="259" t="n"/>
      <x:c r="H622" s="259" t="n"/>
      <x:c r="I622" s="259" t="n"/>
      <x:c r="J622" s="260" t="n"/>
      <x:c r="M622" s="259" t="n"/>
      <x:c r="N622" s="259" t="n"/>
      <x:c r="U622" s="259" t="n"/>
      <x:c r="W622" s="260" t="n"/>
    </x:row>
    <x:row r="623">
      <x:c r="B623" s="258" t="n"/>
      <x:c r="C623" s="258" t="n"/>
      <x:c r="E623" s="259" t="n"/>
      <x:c r="F623" s="259" t="n"/>
      <x:c r="G623" s="259" t="n"/>
      <x:c r="H623" s="259" t="n"/>
      <x:c r="I623" s="259" t="n"/>
      <x:c r="J623" s="260" t="n"/>
      <x:c r="M623" s="259" t="n"/>
      <x:c r="N623" s="259" t="n"/>
      <x:c r="U623" s="259" t="n"/>
      <x:c r="W623" s="260" t="n"/>
    </x:row>
    <x:row r="624">
      <x:c r="B624" s="258" t="n"/>
      <x:c r="C624" s="258" t="n"/>
      <x:c r="E624" s="259" t="n"/>
      <x:c r="F624" s="259" t="n"/>
      <x:c r="G624" s="259" t="n"/>
      <x:c r="H624" s="259" t="n"/>
      <x:c r="I624" s="259" t="n"/>
      <x:c r="J624" s="260" t="n"/>
      <x:c r="M624" s="259" t="n"/>
      <x:c r="N624" s="259" t="n"/>
      <x:c r="U624" s="259" t="n"/>
      <x:c r="W624" s="260" t="n"/>
    </x:row>
    <x:row r="625">
      <x:c r="B625" s="258" t="n"/>
      <x:c r="C625" s="258" t="n"/>
      <x:c r="E625" s="259" t="n"/>
      <x:c r="F625" s="259" t="n"/>
      <x:c r="G625" s="259" t="n"/>
      <x:c r="H625" s="259" t="n"/>
      <x:c r="I625" s="259" t="n"/>
      <x:c r="J625" s="260" t="n"/>
      <x:c r="M625" s="259" t="n"/>
      <x:c r="N625" s="259" t="n"/>
      <x:c r="U625" s="259" t="n"/>
      <x:c r="W625" s="260" t="n"/>
    </x:row>
    <x:row r="626">
      <x:c r="B626" s="258" t="n"/>
      <x:c r="C626" s="258" t="n"/>
      <x:c r="E626" s="259" t="n"/>
      <x:c r="F626" s="259" t="n"/>
      <x:c r="G626" s="259" t="n"/>
      <x:c r="H626" s="259" t="n"/>
      <x:c r="I626" s="259" t="n"/>
      <x:c r="J626" s="260" t="n"/>
      <x:c r="M626" s="259" t="n"/>
      <x:c r="N626" s="259" t="n"/>
      <x:c r="U626" s="259" t="n"/>
      <x:c r="W626" s="260" t="n"/>
    </x:row>
    <x:row r="627">
      <x:c r="B627" s="258" t="n"/>
      <x:c r="C627" s="258" t="n"/>
      <x:c r="E627" s="259" t="n"/>
      <x:c r="F627" s="259" t="n"/>
      <x:c r="G627" s="259" t="n"/>
      <x:c r="H627" s="259" t="n"/>
      <x:c r="I627" s="259" t="n"/>
      <x:c r="J627" s="260" t="n"/>
      <x:c r="M627" s="259" t="n"/>
      <x:c r="N627" s="259" t="n"/>
      <x:c r="U627" s="259" t="n"/>
      <x:c r="W627" s="260" t="n"/>
    </x:row>
    <x:row r="628">
      <x:c r="B628" s="258" t="n"/>
      <x:c r="C628" s="258" t="n"/>
      <x:c r="E628" s="259" t="n"/>
      <x:c r="F628" s="259" t="n"/>
      <x:c r="G628" s="259" t="n"/>
      <x:c r="H628" s="259" t="n"/>
      <x:c r="I628" s="259" t="n"/>
      <x:c r="J628" s="260" t="n"/>
      <x:c r="M628" s="259" t="n"/>
      <x:c r="N628" s="259" t="n"/>
      <x:c r="U628" s="259" t="n"/>
      <x:c r="W628" s="260" t="n"/>
    </x:row>
    <x:row r="629">
      <x:c r="B629" s="258" t="n"/>
      <x:c r="C629" s="258" t="n"/>
      <x:c r="E629" s="259" t="n"/>
      <x:c r="F629" s="259" t="n"/>
      <x:c r="G629" s="259" t="n"/>
      <x:c r="H629" s="259" t="n"/>
      <x:c r="I629" s="259" t="n"/>
      <x:c r="J629" s="260" t="n"/>
      <x:c r="M629" s="259" t="n"/>
      <x:c r="N629" s="259" t="n"/>
      <x:c r="U629" s="259" t="n"/>
      <x:c r="W629" s="260" t="n"/>
    </x:row>
    <x:row r="630">
      <x:c r="B630" s="258" t="n"/>
      <x:c r="C630" s="258" t="n"/>
      <x:c r="E630" s="259" t="n"/>
      <x:c r="F630" s="259" t="n"/>
      <x:c r="G630" s="259" t="n"/>
      <x:c r="H630" s="259" t="n"/>
      <x:c r="I630" s="259" t="n"/>
      <x:c r="J630" s="260" t="n"/>
      <x:c r="M630" s="259" t="n"/>
      <x:c r="N630" s="259" t="n"/>
      <x:c r="U630" s="259" t="n"/>
      <x:c r="W630" s="260" t="n"/>
    </x:row>
    <x:row r="631">
      <x:c r="B631" s="258" t="n"/>
      <x:c r="C631" s="258" t="n"/>
      <x:c r="E631" s="259" t="n"/>
      <x:c r="F631" s="259" t="n"/>
      <x:c r="G631" s="259" t="n"/>
      <x:c r="H631" s="259" t="n"/>
      <x:c r="I631" s="259" t="n"/>
      <x:c r="J631" s="260" t="n"/>
      <x:c r="M631" s="259" t="n"/>
      <x:c r="N631" s="259" t="n"/>
      <x:c r="U631" s="259" t="n"/>
      <x:c r="W631" s="260" t="n"/>
    </x:row>
    <x:row r="632">
      <x:c r="B632" s="258" t="n"/>
      <x:c r="C632" s="258" t="n"/>
      <x:c r="E632" s="259" t="n"/>
      <x:c r="F632" s="259" t="n"/>
      <x:c r="G632" s="259" t="n"/>
      <x:c r="H632" s="259" t="n"/>
      <x:c r="I632" s="259" t="n"/>
      <x:c r="J632" s="260" t="n"/>
      <x:c r="M632" s="259" t="n"/>
      <x:c r="N632" s="259" t="n"/>
      <x:c r="U632" s="259" t="n"/>
      <x:c r="W632" s="260" t="n"/>
    </x:row>
    <x:row r="633">
      <x:c r="B633" s="258" t="n"/>
      <x:c r="C633" s="258" t="n"/>
      <x:c r="E633" s="259" t="n"/>
      <x:c r="F633" s="259" t="n"/>
      <x:c r="G633" s="259" t="n"/>
      <x:c r="H633" s="259" t="n"/>
      <x:c r="I633" s="259" t="n"/>
      <x:c r="J633" s="260" t="n"/>
      <x:c r="M633" s="259" t="n"/>
      <x:c r="N633" s="259" t="n"/>
      <x:c r="U633" s="259" t="n"/>
      <x:c r="W633" s="260" t="n"/>
    </x:row>
    <x:row r="634">
      <x:c r="B634" s="258" t="n"/>
      <x:c r="C634" s="258" t="n"/>
      <x:c r="E634" s="259" t="n"/>
      <x:c r="F634" s="259" t="n"/>
      <x:c r="G634" s="259" t="n"/>
      <x:c r="H634" s="259" t="n"/>
      <x:c r="I634" s="259" t="n"/>
      <x:c r="J634" s="260" t="n"/>
      <x:c r="M634" s="259" t="n"/>
      <x:c r="N634" s="259" t="n"/>
      <x:c r="U634" s="259" t="n"/>
      <x:c r="W634" s="260" t="n"/>
    </x:row>
    <x:row r="635">
      <x:c r="B635" s="258" t="n"/>
      <x:c r="C635" s="258" t="n"/>
      <x:c r="E635" s="259" t="n"/>
      <x:c r="F635" s="259" t="n"/>
      <x:c r="G635" s="259" t="n"/>
      <x:c r="H635" s="259" t="n"/>
      <x:c r="I635" s="259" t="n"/>
      <x:c r="J635" s="260" t="n"/>
      <x:c r="M635" s="259" t="n"/>
      <x:c r="N635" s="259" t="n"/>
      <x:c r="U635" s="259" t="n"/>
      <x:c r="W635" s="260" t="n"/>
    </x:row>
    <x:row r="636">
      <x:c r="B636" s="258" t="n"/>
      <x:c r="C636" s="258" t="n"/>
      <x:c r="E636" s="259" t="n"/>
      <x:c r="F636" s="259" t="n"/>
      <x:c r="G636" s="259" t="n"/>
      <x:c r="H636" s="259" t="n"/>
      <x:c r="I636" s="259" t="n"/>
      <x:c r="J636" s="260" t="n"/>
      <x:c r="M636" s="259" t="n"/>
      <x:c r="N636" s="259" t="n"/>
      <x:c r="U636" s="259" t="n"/>
      <x:c r="W636" s="260" t="n"/>
    </x:row>
    <x:row r="637">
      <x:c r="B637" s="258" t="n"/>
      <x:c r="C637" s="258" t="n"/>
      <x:c r="E637" s="259" t="n"/>
      <x:c r="F637" s="259" t="n"/>
      <x:c r="G637" s="259" t="n"/>
      <x:c r="H637" s="259" t="n"/>
      <x:c r="I637" s="259" t="n"/>
      <x:c r="J637" s="260" t="n"/>
      <x:c r="M637" s="259" t="n"/>
      <x:c r="N637" s="259" t="n"/>
      <x:c r="U637" s="259" t="n"/>
      <x:c r="W637" s="260" t="n"/>
    </x:row>
    <x:row r="638">
      <x:c r="B638" s="258" t="n"/>
      <x:c r="C638" s="258" t="n"/>
      <x:c r="E638" s="259" t="n"/>
      <x:c r="F638" s="259" t="n"/>
      <x:c r="G638" s="259" t="n"/>
      <x:c r="H638" s="259" t="n"/>
      <x:c r="I638" s="259" t="n"/>
      <x:c r="J638" s="260" t="n"/>
      <x:c r="M638" s="259" t="n"/>
      <x:c r="N638" s="259" t="n"/>
      <x:c r="U638" s="259" t="n"/>
      <x:c r="W638" s="260" t="n"/>
    </x:row>
    <x:row r="639">
      <x:c r="B639" s="258" t="n"/>
      <x:c r="C639" s="258" t="n"/>
      <x:c r="E639" s="259" t="n"/>
      <x:c r="F639" s="259" t="n"/>
      <x:c r="G639" s="259" t="n"/>
      <x:c r="H639" s="259" t="n"/>
      <x:c r="I639" s="259" t="n"/>
      <x:c r="J639" s="260" t="n"/>
      <x:c r="M639" s="259" t="n"/>
      <x:c r="N639" s="259" t="n"/>
      <x:c r="U639" s="259" t="n"/>
      <x:c r="W639" s="260" t="n"/>
    </x:row>
    <x:row r="640">
      <x:c r="B640" s="258" t="n"/>
      <x:c r="C640" s="258" t="n"/>
      <x:c r="E640" s="259" t="n"/>
      <x:c r="F640" s="259" t="n"/>
      <x:c r="G640" s="259" t="n"/>
      <x:c r="H640" s="259" t="n"/>
      <x:c r="I640" s="259" t="n"/>
      <x:c r="J640" s="260" t="n"/>
      <x:c r="M640" s="259" t="n"/>
      <x:c r="N640" s="259" t="n"/>
      <x:c r="U640" s="259" t="n"/>
      <x:c r="W640" s="260" t="n"/>
    </x:row>
    <x:row r="641">
      <x:c r="B641" s="258" t="n"/>
      <x:c r="C641" s="258" t="n"/>
      <x:c r="E641" s="259" t="n"/>
      <x:c r="F641" s="259" t="n"/>
      <x:c r="G641" s="259" t="n"/>
      <x:c r="H641" s="259" t="n"/>
      <x:c r="I641" s="259" t="n"/>
      <x:c r="J641" s="260" t="n"/>
      <x:c r="M641" s="259" t="n"/>
      <x:c r="N641" s="259" t="n"/>
      <x:c r="U641" s="259" t="n"/>
      <x:c r="W641" s="260" t="n"/>
    </x:row>
    <x:row r="642">
      <x:c r="B642" s="258" t="n"/>
      <x:c r="C642" s="258" t="n"/>
      <x:c r="E642" s="259" t="n"/>
      <x:c r="F642" s="259" t="n"/>
      <x:c r="G642" s="259" t="n"/>
      <x:c r="H642" s="259" t="n"/>
      <x:c r="I642" s="259" t="n"/>
      <x:c r="J642" s="260" t="n"/>
      <x:c r="M642" s="259" t="n"/>
      <x:c r="N642" s="259" t="n"/>
      <x:c r="U642" s="259" t="n"/>
      <x:c r="W642" s="260" t="n"/>
    </x:row>
    <x:row r="643">
      <x:c r="B643" s="258" t="n"/>
      <x:c r="C643" s="258" t="n"/>
      <x:c r="E643" s="259" t="n"/>
      <x:c r="F643" s="259" t="n"/>
      <x:c r="G643" s="259" t="n"/>
      <x:c r="H643" s="259" t="n"/>
      <x:c r="I643" s="259" t="n"/>
      <x:c r="J643" s="260" t="n"/>
      <x:c r="M643" s="259" t="n"/>
      <x:c r="N643" s="259" t="n"/>
      <x:c r="U643" s="259" t="n"/>
      <x:c r="W643" s="260" t="n"/>
    </x:row>
    <x:row r="644">
      <x:c r="B644" s="258" t="n"/>
      <x:c r="C644" s="258" t="n"/>
      <x:c r="E644" s="259" t="n"/>
      <x:c r="F644" s="259" t="n"/>
      <x:c r="G644" s="259" t="n"/>
      <x:c r="H644" s="259" t="n"/>
      <x:c r="I644" s="259" t="n"/>
      <x:c r="J644" s="260" t="n"/>
      <x:c r="M644" s="259" t="n"/>
      <x:c r="N644" s="259" t="n"/>
      <x:c r="U644" s="259" t="n"/>
      <x:c r="W644" s="260" t="n"/>
    </x:row>
    <x:row r="645">
      <x:c r="B645" s="258" t="n"/>
      <x:c r="C645" s="258" t="n"/>
      <x:c r="E645" s="259" t="n"/>
      <x:c r="F645" s="259" t="n"/>
      <x:c r="G645" s="259" t="n"/>
      <x:c r="H645" s="259" t="n"/>
      <x:c r="I645" s="259" t="n"/>
      <x:c r="J645" s="260" t="n"/>
      <x:c r="M645" s="259" t="n"/>
      <x:c r="N645" s="259" t="n"/>
      <x:c r="U645" s="259" t="n"/>
      <x:c r="W645" s="260" t="n"/>
    </x:row>
    <x:row r="646">
      <x:c r="B646" s="258" t="n"/>
      <x:c r="C646" s="258" t="n"/>
      <x:c r="E646" s="259" t="n"/>
      <x:c r="F646" s="259" t="n"/>
      <x:c r="G646" s="259" t="n"/>
      <x:c r="H646" s="259" t="n"/>
      <x:c r="I646" s="259" t="n"/>
      <x:c r="J646" s="260" t="n"/>
      <x:c r="M646" s="259" t="n"/>
      <x:c r="N646" s="259" t="n"/>
      <x:c r="U646" s="259" t="n"/>
      <x:c r="W646" s="260" t="n"/>
    </x:row>
    <x:row r="647">
      <x:c r="B647" s="258" t="n"/>
      <x:c r="C647" s="258" t="n"/>
      <x:c r="E647" s="259" t="n"/>
      <x:c r="F647" s="259" t="n"/>
      <x:c r="G647" s="259" t="n"/>
      <x:c r="H647" s="259" t="n"/>
      <x:c r="I647" s="259" t="n"/>
      <x:c r="J647" s="260" t="n"/>
      <x:c r="M647" s="259" t="n"/>
      <x:c r="N647" s="259" t="n"/>
      <x:c r="U647" s="259" t="n"/>
      <x:c r="W647" s="260" t="n"/>
    </x:row>
    <x:row r="648">
      <x:c r="B648" s="258" t="n"/>
      <x:c r="C648" s="258" t="n"/>
      <x:c r="E648" s="259" t="n"/>
      <x:c r="F648" s="259" t="n"/>
      <x:c r="G648" s="259" t="n"/>
      <x:c r="H648" s="259" t="n"/>
      <x:c r="I648" s="259" t="n"/>
      <x:c r="J648" s="260" t="n"/>
      <x:c r="M648" s="259" t="n"/>
      <x:c r="N648" s="259" t="n"/>
      <x:c r="U648" s="259" t="n"/>
      <x:c r="W648" s="260" t="n"/>
    </x:row>
    <x:row r="649">
      <x:c r="B649" s="258" t="n"/>
      <x:c r="C649" s="258" t="n"/>
      <x:c r="E649" s="259" t="n"/>
      <x:c r="F649" s="259" t="n"/>
      <x:c r="G649" s="259" t="n"/>
      <x:c r="H649" s="259" t="n"/>
      <x:c r="I649" s="259" t="n"/>
      <x:c r="J649" s="260" t="n"/>
      <x:c r="M649" s="259" t="n"/>
      <x:c r="N649" s="259" t="n"/>
      <x:c r="U649" s="259" t="n"/>
      <x:c r="W649" s="260" t="n"/>
    </x:row>
    <x:row r="650">
      <x:c r="B650" s="258" t="n"/>
      <x:c r="C650" s="258" t="n"/>
      <x:c r="E650" s="259" t="n"/>
      <x:c r="F650" s="259" t="n"/>
      <x:c r="G650" s="259" t="n"/>
      <x:c r="H650" s="259" t="n"/>
      <x:c r="I650" s="259" t="n"/>
      <x:c r="J650" s="260" t="n"/>
      <x:c r="M650" s="259" t="n"/>
      <x:c r="N650" s="259" t="n"/>
      <x:c r="U650" s="259" t="n"/>
      <x:c r="W650" s="260" t="n"/>
    </x:row>
    <x:row r="651">
      <x:c r="B651" s="258" t="n"/>
      <x:c r="C651" s="258" t="n"/>
      <x:c r="E651" s="259" t="n"/>
      <x:c r="F651" s="259" t="n"/>
      <x:c r="G651" s="259" t="n"/>
      <x:c r="H651" s="259" t="n"/>
      <x:c r="I651" s="259" t="n"/>
      <x:c r="J651" s="260" t="n"/>
      <x:c r="M651" s="259" t="n"/>
      <x:c r="N651" s="259" t="n"/>
      <x:c r="U651" s="259" t="n"/>
      <x:c r="W651" s="260" t="n"/>
    </x:row>
    <x:row r="652">
      <x:c r="B652" s="258" t="n"/>
      <x:c r="C652" s="258" t="n"/>
      <x:c r="E652" s="259" t="n"/>
      <x:c r="F652" s="259" t="n"/>
      <x:c r="G652" s="259" t="n"/>
      <x:c r="H652" s="259" t="n"/>
      <x:c r="I652" s="259" t="n"/>
      <x:c r="J652" s="260" t="n"/>
      <x:c r="M652" s="259" t="n"/>
      <x:c r="N652" s="259" t="n"/>
      <x:c r="U652" s="259" t="n"/>
      <x:c r="W652" s="260" t="n"/>
    </x:row>
    <x:row r="653">
      <x:c r="B653" s="258" t="n"/>
      <x:c r="C653" s="258" t="n"/>
      <x:c r="E653" s="259" t="n"/>
      <x:c r="F653" s="259" t="n"/>
      <x:c r="G653" s="259" t="n"/>
      <x:c r="H653" s="259" t="n"/>
      <x:c r="I653" s="259" t="n"/>
      <x:c r="J653" s="260" t="n"/>
      <x:c r="M653" s="259" t="n"/>
      <x:c r="N653" s="259" t="n"/>
      <x:c r="U653" s="259" t="n"/>
      <x:c r="W653" s="260" t="n"/>
    </x:row>
    <x:row r="654">
      <x:c r="B654" s="258" t="n"/>
      <x:c r="C654" s="258" t="n"/>
      <x:c r="E654" s="259" t="n"/>
      <x:c r="F654" s="259" t="n"/>
      <x:c r="G654" s="259" t="n"/>
      <x:c r="H654" s="259" t="n"/>
      <x:c r="I654" s="259" t="n"/>
      <x:c r="J654" s="260" t="n"/>
      <x:c r="M654" s="259" t="n"/>
      <x:c r="N654" s="259" t="n"/>
      <x:c r="U654" s="259" t="n"/>
      <x:c r="W654" s="260" t="n"/>
    </x:row>
    <x:row r="655">
      <x:c r="B655" s="258" t="n"/>
      <x:c r="C655" s="258" t="n"/>
      <x:c r="E655" s="259" t="n"/>
      <x:c r="F655" s="259" t="n"/>
      <x:c r="G655" s="259" t="n"/>
      <x:c r="H655" s="259" t="n"/>
      <x:c r="I655" s="259" t="n"/>
      <x:c r="J655" s="260" t="n"/>
      <x:c r="M655" s="259" t="n"/>
      <x:c r="N655" s="259" t="n"/>
      <x:c r="U655" s="259" t="n"/>
      <x:c r="W655" s="260" t="n"/>
    </x:row>
    <x:row r="656">
      <x:c r="B656" s="258" t="n"/>
      <x:c r="C656" s="258" t="n"/>
      <x:c r="E656" s="259" t="n"/>
      <x:c r="F656" s="259" t="n"/>
      <x:c r="G656" s="259" t="n"/>
      <x:c r="H656" s="259" t="n"/>
      <x:c r="I656" s="259" t="n"/>
      <x:c r="J656" s="260" t="n"/>
      <x:c r="M656" s="259" t="n"/>
      <x:c r="N656" s="259" t="n"/>
      <x:c r="U656" s="259" t="n"/>
      <x:c r="W656" s="260" t="n"/>
    </x:row>
    <x:row r="657">
      <x:c r="B657" s="258" t="n"/>
      <x:c r="C657" s="258" t="n"/>
      <x:c r="E657" s="259" t="n"/>
      <x:c r="F657" s="259" t="n"/>
      <x:c r="G657" s="259" t="n"/>
      <x:c r="H657" s="259" t="n"/>
      <x:c r="I657" s="259" t="n"/>
      <x:c r="J657" s="260" t="n"/>
      <x:c r="M657" s="259" t="n"/>
      <x:c r="N657" s="259" t="n"/>
      <x:c r="U657" s="259" t="n"/>
      <x:c r="W657" s="260" t="n"/>
    </x:row>
    <x:row r="658">
      <x:c r="B658" s="258" t="n"/>
      <x:c r="C658" s="258" t="n"/>
      <x:c r="E658" s="259" t="n"/>
      <x:c r="F658" s="259" t="n"/>
      <x:c r="G658" s="259" t="n"/>
      <x:c r="H658" s="259" t="n"/>
      <x:c r="I658" s="259" t="n"/>
      <x:c r="J658" s="260" t="n"/>
      <x:c r="M658" s="259" t="n"/>
      <x:c r="N658" s="259" t="n"/>
      <x:c r="U658" s="259" t="n"/>
      <x:c r="W658" s="260" t="n"/>
    </x:row>
    <x:row r="659">
      <x:c r="B659" s="258" t="n"/>
      <x:c r="C659" s="258" t="n"/>
      <x:c r="E659" s="259" t="n"/>
      <x:c r="F659" s="259" t="n"/>
      <x:c r="G659" s="259" t="n"/>
      <x:c r="H659" s="259" t="n"/>
      <x:c r="I659" s="259" t="n"/>
      <x:c r="J659" s="260" t="n"/>
      <x:c r="M659" s="259" t="n"/>
      <x:c r="N659" s="259" t="n"/>
      <x:c r="U659" s="259" t="n"/>
      <x:c r="W659" s="260" t="n"/>
    </x:row>
    <x:row r="660">
      <x:c r="B660" s="258" t="n"/>
      <x:c r="C660" s="258" t="n"/>
      <x:c r="E660" s="259" t="n"/>
      <x:c r="F660" s="259" t="n"/>
      <x:c r="G660" s="259" t="n"/>
      <x:c r="H660" s="259" t="n"/>
      <x:c r="I660" s="259" t="n"/>
      <x:c r="J660" s="260" t="n"/>
      <x:c r="M660" s="259" t="n"/>
      <x:c r="N660" s="259" t="n"/>
      <x:c r="U660" s="259" t="n"/>
      <x:c r="W660" s="260" t="n"/>
    </x:row>
    <x:row r="661">
      <x:c r="B661" s="258" t="n"/>
      <x:c r="C661" s="258" t="n"/>
      <x:c r="E661" s="259" t="n"/>
      <x:c r="F661" s="259" t="n"/>
      <x:c r="G661" s="259" t="n"/>
      <x:c r="H661" s="259" t="n"/>
      <x:c r="I661" s="259" t="n"/>
      <x:c r="J661" s="260" t="n"/>
      <x:c r="M661" s="259" t="n"/>
      <x:c r="N661" s="259" t="n"/>
      <x:c r="U661" s="259" t="n"/>
      <x:c r="W661" s="260" t="n"/>
    </x:row>
    <x:row r="662">
      <x:c r="B662" s="258" t="n"/>
      <x:c r="C662" s="258" t="n"/>
      <x:c r="E662" s="259" t="n"/>
      <x:c r="F662" s="259" t="n"/>
      <x:c r="G662" s="259" t="n"/>
      <x:c r="H662" s="259" t="n"/>
      <x:c r="I662" s="259" t="n"/>
      <x:c r="J662" s="260" t="n"/>
      <x:c r="M662" s="259" t="n"/>
      <x:c r="N662" s="259" t="n"/>
      <x:c r="U662" s="259" t="n"/>
      <x:c r="W662" s="260" t="n"/>
    </x:row>
    <x:row r="663">
      <x:c r="B663" s="258" t="n"/>
      <x:c r="C663" s="258" t="n"/>
      <x:c r="E663" s="259" t="n"/>
      <x:c r="F663" s="259" t="n"/>
      <x:c r="G663" s="259" t="n"/>
      <x:c r="H663" s="259" t="n"/>
      <x:c r="I663" s="259" t="n"/>
      <x:c r="J663" s="260" t="n"/>
      <x:c r="M663" s="259" t="n"/>
      <x:c r="N663" s="259" t="n"/>
      <x:c r="U663" s="259" t="n"/>
      <x:c r="W663" s="260" t="n"/>
    </x:row>
    <x:row r="664">
      <x:c r="B664" s="258" t="n"/>
      <x:c r="C664" s="258" t="n"/>
      <x:c r="E664" s="259" t="n"/>
      <x:c r="F664" s="259" t="n"/>
      <x:c r="G664" s="259" t="n"/>
      <x:c r="H664" s="259" t="n"/>
      <x:c r="I664" s="259" t="n"/>
      <x:c r="J664" s="260" t="n"/>
      <x:c r="M664" s="259" t="n"/>
      <x:c r="N664" s="259" t="n"/>
      <x:c r="U664" s="259" t="n"/>
      <x:c r="W664" s="260" t="n"/>
    </x:row>
    <x:row r="665">
      <x:c r="B665" s="258" t="n"/>
      <x:c r="C665" s="258" t="n"/>
      <x:c r="E665" s="259" t="n"/>
      <x:c r="F665" s="259" t="n"/>
      <x:c r="G665" s="259" t="n"/>
      <x:c r="H665" s="259" t="n"/>
      <x:c r="I665" s="259" t="n"/>
      <x:c r="J665" s="260" t="n"/>
      <x:c r="M665" s="259" t="n"/>
      <x:c r="N665" s="259" t="n"/>
      <x:c r="U665" s="259" t="n"/>
      <x:c r="W665" s="260" t="n"/>
    </x:row>
    <x:row r="666">
      <x:c r="B666" s="258" t="n"/>
      <x:c r="C666" s="258" t="n"/>
      <x:c r="E666" s="259" t="n"/>
      <x:c r="F666" s="259" t="n"/>
      <x:c r="G666" s="259" t="n"/>
      <x:c r="H666" s="259" t="n"/>
      <x:c r="I666" s="259" t="n"/>
      <x:c r="J666" s="260" t="n"/>
      <x:c r="M666" s="259" t="n"/>
      <x:c r="N666" s="259" t="n"/>
      <x:c r="U666" s="259" t="n"/>
      <x:c r="W666" s="260" t="n"/>
    </x:row>
    <x:row r="667">
      <x:c r="B667" s="258" t="n"/>
      <x:c r="C667" s="258" t="n"/>
      <x:c r="E667" s="259" t="n"/>
      <x:c r="F667" s="259" t="n"/>
      <x:c r="G667" s="259" t="n"/>
      <x:c r="H667" s="259" t="n"/>
      <x:c r="I667" s="259" t="n"/>
      <x:c r="J667" s="260" t="n"/>
      <x:c r="M667" s="259" t="n"/>
      <x:c r="N667" s="259" t="n"/>
      <x:c r="U667" s="259" t="n"/>
      <x:c r="W667" s="260" t="n"/>
    </x:row>
    <x:row r="668">
      <x:c r="B668" s="258" t="n"/>
      <x:c r="C668" s="258" t="n"/>
      <x:c r="E668" s="259" t="n"/>
      <x:c r="F668" s="259" t="n"/>
      <x:c r="G668" s="259" t="n"/>
      <x:c r="H668" s="259" t="n"/>
      <x:c r="I668" s="259" t="n"/>
      <x:c r="J668" s="260" t="n"/>
      <x:c r="M668" s="259" t="n"/>
      <x:c r="N668" s="259" t="n"/>
      <x:c r="U668" s="259" t="n"/>
      <x:c r="W668" s="260" t="n"/>
    </x:row>
    <x:row r="669">
      <x:c r="B669" s="258" t="n"/>
      <x:c r="C669" s="258" t="n"/>
      <x:c r="E669" s="259" t="n"/>
      <x:c r="F669" s="259" t="n"/>
      <x:c r="G669" s="259" t="n"/>
      <x:c r="H669" s="259" t="n"/>
      <x:c r="I669" s="259" t="n"/>
      <x:c r="J669" s="260" t="n"/>
      <x:c r="M669" s="259" t="n"/>
      <x:c r="N669" s="259" t="n"/>
      <x:c r="U669" s="259" t="n"/>
      <x:c r="W669" s="260" t="n"/>
    </x:row>
    <x:row r="670">
      <x:c r="B670" s="258" t="n"/>
      <x:c r="C670" s="258" t="n"/>
      <x:c r="E670" s="259" t="n"/>
      <x:c r="F670" s="259" t="n"/>
      <x:c r="G670" s="259" t="n"/>
      <x:c r="H670" s="259" t="n"/>
      <x:c r="I670" s="259" t="n"/>
      <x:c r="J670" s="260" t="n"/>
      <x:c r="M670" s="259" t="n"/>
      <x:c r="N670" s="259" t="n"/>
      <x:c r="U670" s="259" t="n"/>
      <x:c r="W670" s="260" t="n"/>
    </x:row>
    <x:row r="671">
      <x:c r="B671" s="258" t="n"/>
      <x:c r="C671" s="258" t="n"/>
      <x:c r="E671" s="259" t="n"/>
      <x:c r="F671" s="259" t="n"/>
      <x:c r="G671" s="259" t="n"/>
      <x:c r="H671" s="259" t="n"/>
      <x:c r="I671" s="259" t="n"/>
      <x:c r="J671" s="260" t="n"/>
      <x:c r="M671" s="259" t="n"/>
      <x:c r="N671" s="259" t="n"/>
      <x:c r="U671" s="259" t="n"/>
      <x:c r="W671" s="260" t="n"/>
    </x:row>
    <x:row r="672">
      <x:c r="B672" s="258" t="n"/>
      <x:c r="C672" s="258" t="n"/>
      <x:c r="E672" s="259" t="n"/>
      <x:c r="F672" s="259" t="n"/>
      <x:c r="G672" s="259" t="n"/>
      <x:c r="H672" s="259" t="n"/>
      <x:c r="I672" s="259" t="n"/>
      <x:c r="J672" s="260" t="n"/>
      <x:c r="M672" s="259" t="n"/>
      <x:c r="N672" s="259" t="n"/>
      <x:c r="U672" s="259" t="n"/>
      <x:c r="W672" s="260" t="n"/>
    </x:row>
    <x:row r="673">
      <x:c r="B673" s="258" t="n"/>
      <x:c r="C673" s="258" t="n"/>
      <x:c r="E673" s="259" t="n"/>
      <x:c r="F673" s="259" t="n"/>
      <x:c r="G673" s="259" t="n"/>
      <x:c r="H673" s="259" t="n"/>
      <x:c r="I673" s="259" t="n"/>
      <x:c r="J673" s="260" t="n"/>
      <x:c r="M673" s="259" t="n"/>
      <x:c r="N673" s="259" t="n"/>
      <x:c r="U673" s="259" t="n"/>
      <x:c r="W673" s="260" t="n"/>
    </x:row>
    <x:row r="674">
      <x:c r="B674" s="258" t="n"/>
      <x:c r="C674" s="258" t="n"/>
      <x:c r="E674" s="259" t="n"/>
      <x:c r="F674" s="259" t="n"/>
      <x:c r="G674" s="259" t="n"/>
      <x:c r="H674" s="259" t="n"/>
      <x:c r="I674" s="259" t="n"/>
      <x:c r="J674" s="260" t="n"/>
      <x:c r="M674" s="259" t="n"/>
      <x:c r="N674" s="259" t="n"/>
      <x:c r="U674" s="259" t="n"/>
      <x:c r="W674" s="260" t="n"/>
    </x:row>
    <x:row r="675">
      <x:c r="B675" s="258" t="n"/>
      <x:c r="C675" s="258" t="n"/>
      <x:c r="E675" s="259" t="n"/>
      <x:c r="F675" s="259" t="n"/>
      <x:c r="G675" s="259" t="n"/>
      <x:c r="H675" s="259" t="n"/>
      <x:c r="I675" s="259" t="n"/>
      <x:c r="J675" s="260" t="n"/>
      <x:c r="M675" s="259" t="n"/>
      <x:c r="N675" s="259" t="n"/>
      <x:c r="U675" s="259" t="n"/>
      <x:c r="W675" s="260" t="n"/>
    </x:row>
    <x:row r="676">
      <x:c r="B676" s="258" t="n"/>
      <x:c r="C676" s="258" t="n"/>
      <x:c r="E676" s="259" t="n"/>
      <x:c r="F676" s="259" t="n"/>
      <x:c r="G676" s="259" t="n"/>
      <x:c r="H676" s="259" t="n"/>
      <x:c r="I676" s="259" t="n"/>
      <x:c r="J676" s="260" t="n"/>
      <x:c r="M676" s="259" t="n"/>
      <x:c r="N676" s="259" t="n"/>
      <x:c r="U676" s="259" t="n"/>
      <x:c r="W676" s="260" t="n"/>
    </x:row>
    <x:row r="677">
      <x:c r="B677" s="258" t="n"/>
      <x:c r="C677" s="258" t="n"/>
      <x:c r="E677" s="259" t="n"/>
      <x:c r="F677" s="259" t="n"/>
      <x:c r="G677" s="259" t="n"/>
      <x:c r="H677" s="259" t="n"/>
      <x:c r="I677" s="259" t="n"/>
      <x:c r="J677" s="260" t="n"/>
      <x:c r="M677" s="259" t="n"/>
      <x:c r="N677" s="259" t="n"/>
      <x:c r="U677" s="259" t="n"/>
      <x:c r="W677" s="260" t="n"/>
    </x:row>
    <x:row r="678">
      <x:c r="B678" s="258" t="n"/>
      <x:c r="C678" s="258" t="n"/>
      <x:c r="E678" s="259" t="n"/>
      <x:c r="F678" s="259" t="n"/>
      <x:c r="G678" s="259" t="n"/>
      <x:c r="H678" s="259" t="n"/>
      <x:c r="I678" s="259" t="n"/>
      <x:c r="J678" s="260" t="n"/>
      <x:c r="M678" s="259" t="n"/>
      <x:c r="N678" s="259" t="n"/>
      <x:c r="U678" s="259" t="n"/>
      <x:c r="W678" s="260" t="n"/>
    </x:row>
    <x:row r="679">
      <x:c r="B679" s="258" t="n"/>
      <x:c r="C679" s="258" t="n"/>
      <x:c r="E679" s="259" t="n"/>
      <x:c r="F679" s="259" t="n"/>
      <x:c r="G679" s="259" t="n"/>
      <x:c r="H679" s="259" t="n"/>
      <x:c r="I679" s="259" t="n"/>
      <x:c r="J679" s="260" t="n"/>
      <x:c r="M679" s="259" t="n"/>
      <x:c r="N679" s="259" t="n"/>
      <x:c r="U679" s="259" t="n"/>
      <x:c r="W679" s="260" t="n"/>
    </x:row>
    <x:row r="680">
      <x:c r="B680" s="258" t="n"/>
      <x:c r="C680" s="258" t="n"/>
      <x:c r="E680" s="259" t="n"/>
      <x:c r="F680" s="259" t="n"/>
      <x:c r="G680" s="259" t="n"/>
      <x:c r="H680" s="259" t="n"/>
      <x:c r="I680" s="259" t="n"/>
      <x:c r="J680" s="260" t="n"/>
      <x:c r="M680" s="259" t="n"/>
      <x:c r="N680" s="259" t="n"/>
      <x:c r="U680" s="259" t="n"/>
      <x:c r="W680" s="260" t="n"/>
    </x:row>
    <x:row r="681">
      <x:c r="B681" s="258" t="n"/>
      <x:c r="C681" s="258" t="n"/>
      <x:c r="E681" s="259" t="n"/>
      <x:c r="F681" s="259" t="n"/>
      <x:c r="G681" s="259" t="n"/>
      <x:c r="H681" s="259" t="n"/>
      <x:c r="I681" s="259" t="n"/>
      <x:c r="J681" s="260" t="n"/>
      <x:c r="M681" s="259" t="n"/>
      <x:c r="N681" s="259" t="n"/>
      <x:c r="U681" s="259" t="n"/>
      <x:c r="W681" s="260" t="n"/>
    </x:row>
    <x:row r="682">
      <x:c r="B682" s="258" t="n"/>
      <x:c r="C682" s="258" t="n"/>
      <x:c r="E682" s="259" t="n"/>
      <x:c r="F682" s="259" t="n"/>
      <x:c r="G682" s="259" t="n"/>
      <x:c r="H682" s="259" t="n"/>
      <x:c r="I682" s="259" t="n"/>
      <x:c r="J682" s="260" t="n"/>
      <x:c r="M682" s="259" t="n"/>
      <x:c r="N682" s="259" t="n"/>
      <x:c r="U682" s="259" t="n"/>
      <x:c r="W682" s="260" t="n"/>
    </x:row>
    <x:row r="683">
      <x:c r="B683" s="258" t="n"/>
      <x:c r="C683" s="258" t="n"/>
      <x:c r="E683" s="259" t="n"/>
      <x:c r="F683" s="259" t="n"/>
      <x:c r="G683" s="259" t="n"/>
      <x:c r="H683" s="259" t="n"/>
      <x:c r="I683" s="259" t="n"/>
      <x:c r="J683" s="260" t="n"/>
      <x:c r="M683" s="259" t="n"/>
      <x:c r="N683" s="259" t="n"/>
      <x:c r="U683" s="259" t="n"/>
      <x:c r="W683" s="260" t="n"/>
    </x:row>
    <x:row r="684">
      <x:c r="B684" s="258" t="n"/>
      <x:c r="C684" s="258" t="n"/>
      <x:c r="E684" s="259" t="n"/>
      <x:c r="F684" s="259" t="n"/>
      <x:c r="G684" s="259" t="n"/>
      <x:c r="H684" s="259" t="n"/>
      <x:c r="I684" s="259" t="n"/>
      <x:c r="J684" s="260" t="n"/>
      <x:c r="M684" s="259" t="n"/>
      <x:c r="N684" s="259" t="n"/>
      <x:c r="U684" s="259" t="n"/>
      <x:c r="W684" s="260" t="n"/>
    </x:row>
    <x:row r="685">
      <x:c r="B685" s="258" t="n"/>
      <x:c r="C685" s="258" t="n"/>
      <x:c r="E685" s="259" t="n"/>
      <x:c r="F685" s="259" t="n"/>
      <x:c r="G685" s="259" t="n"/>
      <x:c r="H685" s="259" t="n"/>
      <x:c r="I685" s="259" t="n"/>
      <x:c r="J685" s="260" t="n"/>
      <x:c r="M685" s="259" t="n"/>
      <x:c r="N685" s="259" t="n"/>
      <x:c r="U685" s="259" t="n"/>
      <x:c r="W685" s="260" t="n"/>
    </x:row>
    <x:row r="686">
      <x:c r="B686" s="258" t="n"/>
      <x:c r="C686" s="258" t="n"/>
      <x:c r="E686" s="259" t="n"/>
      <x:c r="F686" s="259" t="n"/>
      <x:c r="G686" s="259" t="n"/>
      <x:c r="H686" s="259" t="n"/>
      <x:c r="I686" s="259" t="n"/>
      <x:c r="J686" s="260" t="n"/>
      <x:c r="M686" s="259" t="n"/>
      <x:c r="N686" s="259" t="n"/>
      <x:c r="U686" s="259" t="n"/>
      <x:c r="W686" s="260" t="n"/>
    </x:row>
    <x:row r="687">
      <x:c r="B687" s="258" t="n"/>
      <x:c r="C687" s="258" t="n"/>
      <x:c r="E687" s="259" t="n"/>
      <x:c r="F687" s="259" t="n"/>
      <x:c r="G687" s="259" t="n"/>
      <x:c r="H687" s="259" t="n"/>
      <x:c r="I687" s="259" t="n"/>
      <x:c r="J687" s="260" t="n"/>
      <x:c r="M687" s="259" t="n"/>
      <x:c r="N687" s="259" t="n"/>
      <x:c r="U687" s="259" t="n"/>
      <x:c r="W687" s="260" t="n"/>
    </x:row>
    <x:row r="688">
      <x:c r="B688" s="258" t="n"/>
      <x:c r="C688" s="258" t="n"/>
      <x:c r="E688" s="259" t="n"/>
      <x:c r="F688" s="259" t="n"/>
      <x:c r="G688" s="259" t="n"/>
      <x:c r="H688" s="259" t="n"/>
      <x:c r="I688" s="259" t="n"/>
      <x:c r="J688" s="260" t="n"/>
      <x:c r="M688" s="259" t="n"/>
      <x:c r="N688" s="259" t="n"/>
      <x:c r="U688" s="259" t="n"/>
      <x:c r="W688" s="260" t="n"/>
    </x:row>
    <x:row r="689">
      <x:c r="B689" s="258" t="n"/>
      <x:c r="C689" s="258" t="n"/>
      <x:c r="E689" s="259" t="n"/>
      <x:c r="F689" s="259" t="n"/>
      <x:c r="G689" s="259" t="n"/>
      <x:c r="H689" s="259" t="n"/>
      <x:c r="I689" s="259" t="n"/>
      <x:c r="J689" s="260" t="n"/>
      <x:c r="M689" s="259" t="n"/>
      <x:c r="N689" s="259" t="n"/>
      <x:c r="U689" s="259" t="n"/>
      <x:c r="W689" s="260" t="n"/>
    </x:row>
    <x:row r="690">
      <x:c r="B690" s="258" t="n"/>
      <x:c r="C690" s="258" t="n"/>
      <x:c r="E690" s="259" t="n"/>
      <x:c r="F690" s="259" t="n"/>
      <x:c r="G690" s="259" t="n"/>
      <x:c r="H690" s="259" t="n"/>
      <x:c r="I690" s="259" t="n"/>
      <x:c r="J690" s="260" t="n"/>
      <x:c r="M690" s="259" t="n"/>
      <x:c r="N690" s="259" t="n"/>
      <x:c r="U690" s="259" t="n"/>
      <x:c r="W690" s="260" t="n"/>
    </x:row>
    <x:row r="691">
      <x:c r="B691" s="258" t="n"/>
      <x:c r="C691" s="258" t="n"/>
      <x:c r="E691" s="259" t="n"/>
      <x:c r="F691" s="259" t="n"/>
      <x:c r="G691" s="259" t="n"/>
      <x:c r="H691" s="259" t="n"/>
      <x:c r="I691" s="259" t="n"/>
      <x:c r="J691" s="260" t="n"/>
      <x:c r="M691" s="259" t="n"/>
      <x:c r="N691" s="259" t="n"/>
      <x:c r="U691" s="259" t="n"/>
      <x:c r="W691" s="260" t="n"/>
    </x:row>
    <x:row r="692">
      <x:c r="B692" s="258" t="n"/>
      <x:c r="C692" s="258" t="n"/>
      <x:c r="E692" s="259" t="n"/>
      <x:c r="F692" s="259" t="n"/>
      <x:c r="G692" s="259" t="n"/>
      <x:c r="H692" s="259" t="n"/>
      <x:c r="I692" s="259" t="n"/>
      <x:c r="J692" s="260" t="n"/>
      <x:c r="M692" s="259" t="n"/>
      <x:c r="N692" s="259" t="n"/>
      <x:c r="U692" s="259" t="n"/>
      <x:c r="W692" s="260" t="n"/>
    </x:row>
    <x:row r="693">
      <x:c r="B693" s="258" t="n"/>
      <x:c r="C693" s="258" t="n"/>
      <x:c r="E693" s="259" t="n"/>
      <x:c r="F693" s="259" t="n"/>
      <x:c r="G693" s="259" t="n"/>
      <x:c r="H693" s="259" t="n"/>
      <x:c r="I693" s="259" t="n"/>
      <x:c r="J693" s="260" t="n"/>
      <x:c r="M693" s="259" t="n"/>
      <x:c r="N693" s="259" t="n"/>
      <x:c r="U693" s="259" t="n"/>
      <x:c r="W693" s="260" t="n"/>
    </x:row>
    <x:row r="694">
      <x:c r="B694" s="258" t="n"/>
      <x:c r="C694" s="258" t="n"/>
      <x:c r="E694" s="259" t="n"/>
      <x:c r="F694" s="259" t="n"/>
      <x:c r="G694" s="259" t="n"/>
      <x:c r="H694" s="259" t="n"/>
      <x:c r="I694" s="259" t="n"/>
      <x:c r="J694" s="260" t="n"/>
      <x:c r="M694" s="259" t="n"/>
      <x:c r="N694" s="259" t="n"/>
      <x:c r="U694" s="259" t="n"/>
      <x:c r="W694" s="260" t="n"/>
    </x:row>
    <x:row r="695">
      <x:c r="B695" s="258" t="n"/>
      <x:c r="C695" s="258" t="n"/>
      <x:c r="E695" s="259" t="n"/>
      <x:c r="F695" s="259" t="n"/>
      <x:c r="G695" s="259" t="n"/>
      <x:c r="H695" s="259" t="n"/>
      <x:c r="I695" s="259" t="n"/>
      <x:c r="J695" s="260" t="n"/>
      <x:c r="M695" s="259" t="n"/>
      <x:c r="N695" s="259" t="n"/>
      <x:c r="U695" s="259" t="n"/>
      <x:c r="W695" s="260" t="n"/>
    </x:row>
    <x:row r="696">
      <x:c r="B696" s="258" t="n"/>
      <x:c r="C696" s="258" t="n"/>
      <x:c r="E696" s="259" t="n"/>
      <x:c r="F696" s="259" t="n"/>
      <x:c r="G696" s="259" t="n"/>
      <x:c r="H696" s="259" t="n"/>
      <x:c r="I696" s="259" t="n"/>
      <x:c r="J696" s="260" t="n"/>
      <x:c r="M696" s="259" t="n"/>
      <x:c r="N696" s="259" t="n"/>
      <x:c r="U696" s="259" t="n"/>
      <x:c r="W696" s="260" t="n"/>
    </x:row>
    <x:row r="697">
      <x:c r="B697" s="258" t="n"/>
      <x:c r="C697" s="258" t="n"/>
      <x:c r="E697" s="259" t="n"/>
      <x:c r="F697" s="259" t="n"/>
      <x:c r="G697" s="259" t="n"/>
      <x:c r="H697" s="259" t="n"/>
      <x:c r="I697" s="259" t="n"/>
      <x:c r="J697" s="260" t="n"/>
      <x:c r="M697" s="259" t="n"/>
      <x:c r="N697" s="259" t="n"/>
      <x:c r="U697" s="259" t="n"/>
      <x:c r="W697" s="260" t="n"/>
    </x:row>
    <x:row r="698">
      <x:c r="B698" s="258" t="n"/>
      <x:c r="C698" s="258" t="n"/>
      <x:c r="E698" s="259" t="n"/>
      <x:c r="F698" s="259" t="n"/>
      <x:c r="G698" s="259" t="n"/>
      <x:c r="H698" s="259" t="n"/>
      <x:c r="I698" s="259" t="n"/>
      <x:c r="J698" s="260" t="n"/>
      <x:c r="M698" s="259" t="n"/>
      <x:c r="N698" s="259" t="n"/>
      <x:c r="U698" s="259" t="n"/>
      <x:c r="W698" s="260" t="n"/>
    </x:row>
    <x:row r="699">
      <x:c r="B699" s="258" t="n"/>
      <x:c r="C699" s="258" t="n"/>
      <x:c r="E699" s="259" t="n"/>
      <x:c r="F699" s="259" t="n"/>
      <x:c r="G699" s="259" t="n"/>
      <x:c r="H699" s="259" t="n"/>
      <x:c r="I699" s="259" t="n"/>
      <x:c r="J699" s="260" t="n"/>
      <x:c r="M699" s="259" t="n"/>
      <x:c r="N699" s="259" t="n"/>
      <x:c r="U699" s="259" t="n"/>
      <x:c r="W699" s="260" t="n"/>
    </x:row>
    <x:row r="700">
      <x:c r="B700" s="258" t="n"/>
      <x:c r="C700" s="258" t="n"/>
      <x:c r="E700" s="259" t="n"/>
      <x:c r="F700" s="259" t="n"/>
      <x:c r="G700" s="259" t="n"/>
      <x:c r="H700" s="259" t="n"/>
      <x:c r="I700" s="259" t="n"/>
      <x:c r="J700" s="260" t="n"/>
      <x:c r="M700" s="259" t="n"/>
      <x:c r="N700" s="259" t="n"/>
      <x:c r="U700" s="259" t="n"/>
      <x:c r="W700" s="260" t="n"/>
    </x:row>
    <x:row r="701">
      <x:c r="B701" s="258" t="n"/>
      <x:c r="C701" s="258" t="n"/>
      <x:c r="E701" s="259" t="n"/>
      <x:c r="F701" s="259" t="n"/>
      <x:c r="G701" s="259" t="n"/>
      <x:c r="H701" s="259" t="n"/>
      <x:c r="I701" s="259" t="n"/>
      <x:c r="J701" s="260" t="n"/>
      <x:c r="M701" s="259" t="n"/>
      <x:c r="N701" s="259" t="n"/>
      <x:c r="U701" s="259" t="n"/>
      <x:c r="W701" s="260" t="n"/>
    </x:row>
    <x:row r="702">
      <x:c r="B702" s="258" t="n"/>
      <x:c r="C702" s="258" t="n"/>
      <x:c r="E702" s="259" t="n"/>
      <x:c r="F702" s="259" t="n"/>
      <x:c r="G702" s="259" t="n"/>
      <x:c r="H702" s="259" t="n"/>
      <x:c r="I702" s="259" t="n"/>
      <x:c r="J702" s="260" t="n"/>
      <x:c r="M702" s="259" t="n"/>
      <x:c r="N702" s="259" t="n"/>
      <x:c r="U702" s="259" t="n"/>
      <x:c r="W702" s="260" t="n"/>
    </x:row>
    <x:row r="703">
      <x:c r="B703" s="258" t="n"/>
      <x:c r="C703" s="258" t="n"/>
      <x:c r="E703" s="259" t="n"/>
      <x:c r="F703" s="259" t="n"/>
      <x:c r="G703" s="259" t="n"/>
      <x:c r="H703" s="259" t="n"/>
      <x:c r="I703" s="259" t="n"/>
      <x:c r="J703" s="260" t="n"/>
      <x:c r="M703" s="259" t="n"/>
      <x:c r="N703" s="259" t="n"/>
      <x:c r="U703" s="259" t="n"/>
      <x:c r="W703" s="260" t="n"/>
    </x:row>
    <x:row r="704">
      <x:c r="B704" s="258" t="n"/>
      <x:c r="C704" s="258" t="n"/>
      <x:c r="E704" s="259" t="n"/>
      <x:c r="F704" s="259" t="n"/>
      <x:c r="G704" s="259" t="n"/>
      <x:c r="H704" s="259" t="n"/>
      <x:c r="I704" s="259" t="n"/>
      <x:c r="J704" s="260" t="n"/>
      <x:c r="M704" s="259" t="n"/>
      <x:c r="N704" s="259" t="n"/>
      <x:c r="U704" s="259" t="n"/>
      <x:c r="W704" s="260" t="n"/>
    </x:row>
    <x:row r="705">
      <x:c r="B705" s="258" t="n"/>
      <x:c r="C705" s="258" t="n"/>
      <x:c r="E705" s="259" t="n"/>
      <x:c r="F705" s="259" t="n"/>
      <x:c r="G705" s="259" t="n"/>
      <x:c r="H705" s="259" t="n"/>
      <x:c r="I705" s="259" t="n"/>
      <x:c r="J705" s="260" t="n"/>
      <x:c r="M705" s="259" t="n"/>
      <x:c r="N705" s="259" t="n"/>
      <x:c r="U705" s="259" t="n"/>
      <x:c r="W705" s="260" t="n"/>
    </x:row>
    <x:row r="706">
      <x:c r="B706" s="258" t="n"/>
      <x:c r="C706" s="258" t="n"/>
      <x:c r="E706" s="259" t="n"/>
      <x:c r="F706" s="259" t="n"/>
      <x:c r="G706" s="259" t="n"/>
      <x:c r="H706" s="259" t="n"/>
      <x:c r="I706" s="259" t="n"/>
      <x:c r="J706" s="260" t="n"/>
      <x:c r="M706" s="259" t="n"/>
      <x:c r="N706" s="259" t="n"/>
      <x:c r="U706" s="259" t="n"/>
      <x:c r="W706" s="260" t="n"/>
    </x:row>
    <x:row r="707">
      <x:c r="B707" s="258" t="n"/>
      <x:c r="C707" s="258" t="n"/>
      <x:c r="E707" s="259" t="n"/>
      <x:c r="F707" s="259" t="n"/>
      <x:c r="G707" s="259" t="n"/>
      <x:c r="H707" s="259" t="n"/>
      <x:c r="I707" s="259" t="n"/>
      <x:c r="J707" s="260" t="n"/>
      <x:c r="M707" s="259" t="n"/>
      <x:c r="N707" s="259" t="n"/>
      <x:c r="U707" s="259" t="n"/>
      <x:c r="W707" s="260" t="n"/>
    </x:row>
    <x:row r="708">
      <x:c r="B708" s="258" t="n"/>
      <x:c r="C708" s="258" t="n"/>
      <x:c r="E708" s="259" t="n"/>
      <x:c r="F708" s="259" t="n"/>
      <x:c r="G708" s="259" t="n"/>
      <x:c r="H708" s="259" t="n"/>
      <x:c r="I708" s="259" t="n"/>
      <x:c r="J708" s="260" t="n"/>
      <x:c r="M708" s="259" t="n"/>
      <x:c r="N708" s="259" t="n"/>
      <x:c r="U708" s="259" t="n"/>
      <x:c r="W708" s="260" t="n"/>
    </x:row>
    <x:row r="709">
      <x:c r="B709" s="258" t="n"/>
      <x:c r="C709" s="258" t="n"/>
      <x:c r="E709" s="259" t="n"/>
      <x:c r="F709" s="259" t="n"/>
      <x:c r="G709" s="259" t="n"/>
      <x:c r="H709" s="259" t="n"/>
      <x:c r="I709" s="259" t="n"/>
      <x:c r="J709" s="260" t="n"/>
      <x:c r="M709" s="259" t="n"/>
      <x:c r="N709" s="259" t="n"/>
      <x:c r="U709" s="259" t="n"/>
      <x:c r="W709" s="260" t="n"/>
    </x:row>
    <x:row r="710">
      <x:c r="B710" s="258" t="n"/>
      <x:c r="C710" s="258" t="n"/>
      <x:c r="E710" s="259" t="n"/>
      <x:c r="F710" s="259" t="n"/>
      <x:c r="G710" s="259" t="n"/>
      <x:c r="H710" s="259" t="n"/>
      <x:c r="I710" s="259" t="n"/>
      <x:c r="J710" s="260" t="n"/>
      <x:c r="M710" s="259" t="n"/>
      <x:c r="N710" s="259" t="n"/>
      <x:c r="U710" s="259" t="n"/>
      <x:c r="W710" s="260" t="n"/>
    </x:row>
    <x:row r="711">
      <x:c r="B711" s="258" t="n"/>
      <x:c r="C711" s="258" t="n"/>
      <x:c r="E711" s="259" t="n"/>
      <x:c r="F711" s="259" t="n"/>
      <x:c r="G711" s="259" t="n"/>
      <x:c r="H711" s="259" t="n"/>
      <x:c r="I711" s="259" t="n"/>
      <x:c r="J711" s="260" t="n"/>
      <x:c r="M711" s="259" t="n"/>
      <x:c r="N711" s="259" t="n"/>
      <x:c r="U711" s="259" t="n"/>
      <x:c r="W711" s="260" t="n"/>
    </x:row>
    <x:row r="712">
      <x:c r="B712" s="258" t="n"/>
      <x:c r="C712" s="258" t="n"/>
      <x:c r="E712" s="259" t="n"/>
      <x:c r="F712" s="259" t="n"/>
      <x:c r="G712" s="259" t="n"/>
      <x:c r="H712" s="259" t="n"/>
      <x:c r="I712" s="259" t="n"/>
      <x:c r="J712" s="260" t="n"/>
      <x:c r="M712" s="259" t="n"/>
      <x:c r="N712" s="259" t="n"/>
      <x:c r="U712" s="259" t="n"/>
      <x:c r="W712" s="260" t="n"/>
    </x:row>
    <x:row r="713">
      <x:c r="B713" s="258" t="n"/>
      <x:c r="C713" s="258" t="n"/>
      <x:c r="E713" s="259" t="n"/>
      <x:c r="F713" s="259" t="n"/>
      <x:c r="G713" s="259" t="n"/>
      <x:c r="H713" s="259" t="n"/>
      <x:c r="I713" s="259" t="n"/>
      <x:c r="J713" s="260" t="n"/>
      <x:c r="M713" s="259" t="n"/>
      <x:c r="N713" s="259" t="n"/>
      <x:c r="U713" s="259" t="n"/>
      <x:c r="W713" s="260" t="n"/>
    </x:row>
    <x:row r="714">
      <x:c r="B714" s="258" t="n"/>
      <x:c r="C714" s="258" t="n"/>
      <x:c r="E714" s="259" t="n"/>
      <x:c r="F714" s="259" t="n"/>
      <x:c r="G714" s="259" t="n"/>
      <x:c r="H714" s="259" t="n"/>
      <x:c r="I714" s="259" t="n"/>
      <x:c r="J714" s="260" t="n"/>
      <x:c r="M714" s="259" t="n"/>
      <x:c r="N714" s="259" t="n"/>
      <x:c r="U714" s="259" t="n"/>
      <x:c r="W714" s="260" t="n"/>
    </x:row>
    <x:row r="715">
      <x:c r="B715" s="258" t="n"/>
      <x:c r="C715" s="258" t="n"/>
      <x:c r="E715" s="259" t="n"/>
      <x:c r="F715" s="259" t="n"/>
      <x:c r="G715" s="259" t="n"/>
      <x:c r="H715" s="259" t="n"/>
      <x:c r="I715" s="259" t="n"/>
      <x:c r="J715" s="260" t="n"/>
      <x:c r="M715" s="259" t="n"/>
      <x:c r="N715" s="259" t="n"/>
      <x:c r="U715" s="259" t="n"/>
      <x:c r="W715" s="260" t="n"/>
    </x:row>
    <x:row r="716">
      <x:c r="B716" s="258" t="n"/>
      <x:c r="C716" s="258" t="n"/>
      <x:c r="E716" s="259" t="n"/>
      <x:c r="F716" s="259" t="n"/>
      <x:c r="G716" s="259" t="n"/>
      <x:c r="H716" s="259" t="n"/>
      <x:c r="I716" s="259" t="n"/>
      <x:c r="J716" s="260" t="n"/>
      <x:c r="M716" s="259" t="n"/>
      <x:c r="N716" s="259" t="n"/>
      <x:c r="U716" s="259" t="n"/>
      <x:c r="W716" s="260" t="n"/>
    </x:row>
    <x:row r="717">
      <x:c r="B717" s="258" t="n"/>
      <x:c r="C717" s="258" t="n"/>
      <x:c r="E717" s="259" t="n"/>
      <x:c r="F717" s="259" t="n"/>
      <x:c r="G717" s="259" t="n"/>
      <x:c r="H717" s="259" t="n"/>
      <x:c r="I717" s="259" t="n"/>
      <x:c r="J717" s="260" t="n"/>
      <x:c r="M717" s="259" t="n"/>
      <x:c r="N717" s="259" t="n"/>
      <x:c r="U717" s="259" t="n"/>
      <x:c r="W717" s="260" t="n"/>
    </x:row>
    <x:row r="718">
      <x:c r="B718" s="258" t="n"/>
      <x:c r="C718" s="258" t="n"/>
      <x:c r="E718" s="259" t="n"/>
      <x:c r="F718" s="259" t="n"/>
      <x:c r="G718" s="259" t="n"/>
      <x:c r="H718" s="259" t="n"/>
      <x:c r="I718" s="259" t="n"/>
      <x:c r="J718" s="260" t="n"/>
      <x:c r="M718" s="259" t="n"/>
      <x:c r="N718" s="259" t="n"/>
      <x:c r="U718" s="259" t="n"/>
      <x:c r="W718" s="260" t="n"/>
    </x:row>
    <x:row r="719">
      <x:c r="B719" s="258" t="n"/>
      <x:c r="C719" s="258" t="n"/>
      <x:c r="E719" s="259" t="n"/>
      <x:c r="F719" s="259" t="n"/>
      <x:c r="G719" s="259" t="n"/>
      <x:c r="H719" s="259" t="n"/>
      <x:c r="I719" s="259" t="n"/>
      <x:c r="J719" s="260" t="n"/>
      <x:c r="M719" s="259" t="n"/>
      <x:c r="N719" s="259" t="n"/>
      <x:c r="U719" s="259" t="n"/>
      <x:c r="W719" s="260" t="n"/>
    </x:row>
    <x:row r="720">
      <x:c r="B720" s="258" t="n"/>
      <x:c r="C720" s="258" t="n"/>
      <x:c r="E720" s="259" t="n"/>
      <x:c r="F720" s="259" t="n"/>
      <x:c r="G720" s="259" t="n"/>
      <x:c r="H720" s="259" t="n"/>
      <x:c r="I720" s="259" t="n"/>
      <x:c r="J720" s="260" t="n"/>
      <x:c r="M720" s="259" t="n"/>
      <x:c r="N720" s="259" t="n"/>
      <x:c r="U720" s="259" t="n"/>
      <x:c r="W720" s="260" t="n"/>
    </x:row>
    <x:row r="721">
      <x:c r="B721" s="258" t="n"/>
      <x:c r="C721" s="258" t="n"/>
      <x:c r="E721" s="259" t="n"/>
      <x:c r="F721" s="259" t="n"/>
      <x:c r="G721" s="259" t="n"/>
      <x:c r="H721" s="259" t="n"/>
      <x:c r="I721" s="259" t="n"/>
      <x:c r="J721" s="260" t="n"/>
      <x:c r="M721" s="259" t="n"/>
      <x:c r="N721" s="259" t="n"/>
      <x:c r="U721" s="259" t="n"/>
      <x:c r="W721" s="260" t="n"/>
    </x:row>
    <x:row r="722">
      <x:c r="B722" s="258" t="n"/>
      <x:c r="C722" s="258" t="n"/>
      <x:c r="E722" s="259" t="n"/>
      <x:c r="F722" s="259" t="n"/>
      <x:c r="G722" s="259" t="n"/>
      <x:c r="H722" s="259" t="n"/>
      <x:c r="I722" s="259" t="n"/>
      <x:c r="J722" s="260" t="n"/>
      <x:c r="M722" s="259" t="n"/>
      <x:c r="N722" s="259" t="n"/>
      <x:c r="U722" s="259" t="n"/>
      <x:c r="W722" s="260" t="n"/>
    </x:row>
    <x:row r="723">
      <x:c r="B723" s="258" t="n"/>
      <x:c r="C723" s="258" t="n"/>
      <x:c r="E723" s="259" t="n"/>
      <x:c r="F723" s="259" t="n"/>
      <x:c r="G723" s="259" t="n"/>
      <x:c r="H723" s="259" t="n"/>
      <x:c r="I723" s="259" t="n"/>
      <x:c r="J723" s="260" t="n"/>
      <x:c r="M723" s="259" t="n"/>
      <x:c r="N723" s="259" t="n"/>
      <x:c r="U723" s="259" t="n"/>
      <x:c r="W723" s="260" t="n"/>
    </x:row>
    <x:row r="724">
      <x:c r="B724" s="258" t="n"/>
      <x:c r="C724" s="258" t="n"/>
      <x:c r="E724" s="259" t="n"/>
      <x:c r="F724" s="259" t="n"/>
      <x:c r="G724" s="259" t="n"/>
      <x:c r="H724" s="259" t="n"/>
      <x:c r="I724" s="259" t="n"/>
      <x:c r="J724" s="260" t="n"/>
      <x:c r="M724" s="259" t="n"/>
      <x:c r="N724" s="259" t="n"/>
      <x:c r="U724" s="259" t="n"/>
      <x:c r="W724" s="260" t="n"/>
    </x:row>
    <x:row r="725">
      <x:c r="B725" s="258" t="n"/>
      <x:c r="C725" s="258" t="n"/>
      <x:c r="E725" s="259" t="n"/>
      <x:c r="F725" s="259" t="n"/>
      <x:c r="G725" s="259" t="n"/>
      <x:c r="H725" s="259" t="n"/>
      <x:c r="I725" s="259" t="n"/>
      <x:c r="J725" s="260" t="n"/>
      <x:c r="M725" s="259" t="n"/>
      <x:c r="N725" s="259" t="n"/>
      <x:c r="U725" s="259" t="n"/>
      <x:c r="W725" s="260" t="n"/>
    </x:row>
    <x:row r="726">
      <x:c r="B726" s="258" t="n"/>
      <x:c r="C726" s="258" t="n"/>
      <x:c r="E726" s="259" t="n"/>
      <x:c r="F726" s="259" t="n"/>
      <x:c r="G726" s="259" t="n"/>
      <x:c r="H726" s="259" t="n"/>
      <x:c r="I726" s="259" t="n"/>
      <x:c r="J726" s="260" t="n"/>
      <x:c r="M726" s="259" t="n"/>
      <x:c r="N726" s="259" t="n"/>
      <x:c r="U726" s="259" t="n"/>
      <x:c r="W726" s="260" t="n"/>
    </x:row>
    <x:row r="727">
      <x:c r="B727" s="258" t="n"/>
      <x:c r="C727" s="258" t="n"/>
      <x:c r="E727" s="259" t="n"/>
      <x:c r="F727" s="259" t="n"/>
      <x:c r="G727" s="259" t="n"/>
      <x:c r="H727" s="259" t="n"/>
      <x:c r="I727" s="259" t="n"/>
      <x:c r="J727" s="260" t="n"/>
      <x:c r="M727" s="259" t="n"/>
      <x:c r="N727" s="259" t="n"/>
      <x:c r="U727" s="259" t="n"/>
      <x:c r="W727" s="260" t="n"/>
    </x:row>
    <x:row r="728">
      <x:c r="B728" s="258" t="n"/>
      <x:c r="C728" s="258" t="n"/>
      <x:c r="E728" s="259" t="n"/>
      <x:c r="F728" s="259" t="n"/>
      <x:c r="G728" s="259" t="n"/>
      <x:c r="H728" s="259" t="n"/>
      <x:c r="I728" s="259" t="n"/>
      <x:c r="J728" s="260" t="n"/>
      <x:c r="M728" s="259" t="n"/>
      <x:c r="N728" s="259" t="n"/>
      <x:c r="U728" s="259" t="n"/>
      <x:c r="W728" s="260" t="n"/>
    </x:row>
    <x:row r="729">
      <x:c r="B729" s="258" t="n"/>
      <x:c r="C729" s="258" t="n"/>
      <x:c r="E729" s="259" t="n"/>
      <x:c r="F729" s="259" t="n"/>
      <x:c r="G729" s="259" t="n"/>
      <x:c r="H729" s="259" t="n"/>
      <x:c r="I729" s="259" t="n"/>
      <x:c r="J729" s="260" t="n"/>
      <x:c r="M729" s="259" t="n"/>
      <x:c r="N729" s="259" t="n"/>
      <x:c r="U729" s="259" t="n"/>
      <x:c r="W729" s="260" t="n"/>
    </x:row>
    <x:row r="730">
      <x:c r="B730" s="258" t="n"/>
      <x:c r="C730" s="258" t="n"/>
      <x:c r="E730" s="259" t="n"/>
      <x:c r="F730" s="259" t="n"/>
      <x:c r="G730" s="259" t="n"/>
      <x:c r="H730" s="259" t="n"/>
      <x:c r="I730" s="259" t="n"/>
      <x:c r="J730" s="260" t="n"/>
      <x:c r="M730" s="259" t="n"/>
      <x:c r="N730" s="259" t="n"/>
      <x:c r="U730" s="259" t="n"/>
      <x:c r="W730" s="260" t="n"/>
    </x:row>
    <x:row r="731">
      <x:c r="B731" s="258" t="n"/>
      <x:c r="C731" s="258" t="n"/>
      <x:c r="E731" s="259" t="n"/>
      <x:c r="F731" s="259" t="n"/>
      <x:c r="G731" s="259" t="n"/>
      <x:c r="H731" s="259" t="n"/>
      <x:c r="I731" s="259" t="n"/>
      <x:c r="J731" s="260" t="n"/>
      <x:c r="M731" s="259" t="n"/>
      <x:c r="N731" s="259" t="n"/>
      <x:c r="U731" s="259" t="n"/>
      <x:c r="W731" s="260" t="n"/>
    </x:row>
    <x:row r="732">
      <x:c r="B732" s="258" t="n"/>
      <x:c r="C732" s="258" t="n"/>
      <x:c r="E732" s="259" t="n"/>
      <x:c r="F732" s="259" t="n"/>
      <x:c r="G732" s="259" t="n"/>
      <x:c r="H732" s="259" t="n"/>
      <x:c r="I732" s="259" t="n"/>
      <x:c r="J732" s="260" t="n"/>
      <x:c r="M732" s="259" t="n"/>
      <x:c r="N732" s="259" t="n"/>
      <x:c r="U732" s="259" t="n"/>
      <x:c r="W732" s="260" t="n"/>
    </x:row>
    <x:row r="733">
      <x:c r="B733" s="258" t="n"/>
      <x:c r="C733" s="258" t="n"/>
      <x:c r="E733" s="259" t="n"/>
      <x:c r="F733" s="259" t="n"/>
      <x:c r="G733" s="259" t="n"/>
      <x:c r="H733" s="259" t="n"/>
      <x:c r="I733" s="259" t="n"/>
      <x:c r="J733" s="260" t="n"/>
      <x:c r="M733" s="259" t="n"/>
      <x:c r="N733" s="259" t="n"/>
      <x:c r="U733" s="259" t="n"/>
      <x:c r="W733" s="260" t="n"/>
    </x:row>
    <x:row r="734">
      <x:c r="B734" s="258" t="n"/>
      <x:c r="C734" s="258" t="n"/>
      <x:c r="E734" s="259" t="n"/>
      <x:c r="F734" s="259" t="n"/>
      <x:c r="G734" s="259" t="n"/>
      <x:c r="H734" s="259" t="n"/>
      <x:c r="I734" s="259" t="n"/>
      <x:c r="J734" s="260" t="n"/>
      <x:c r="M734" s="259" t="n"/>
      <x:c r="N734" s="259" t="n"/>
      <x:c r="U734" s="259" t="n"/>
      <x:c r="W734" s="260" t="n"/>
    </x:row>
    <x:row r="735">
      <x:c r="B735" s="258" t="n"/>
      <x:c r="C735" s="258" t="n"/>
      <x:c r="E735" s="259" t="n"/>
      <x:c r="F735" s="259" t="n"/>
      <x:c r="G735" s="259" t="n"/>
      <x:c r="H735" s="259" t="n"/>
      <x:c r="I735" s="259" t="n"/>
      <x:c r="J735" s="260" t="n"/>
      <x:c r="M735" s="259" t="n"/>
      <x:c r="N735" s="259" t="n"/>
      <x:c r="U735" s="259" t="n"/>
      <x:c r="W735" s="260" t="n"/>
    </x:row>
    <x:row r="736">
      <x:c r="B736" s="258" t="n"/>
      <x:c r="C736" s="258" t="n"/>
      <x:c r="E736" s="259" t="n"/>
      <x:c r="F736" s="259" t="n"/>
      <x:c r="G736" s="259" t="n"/>
      <x:c r="H736" s="259" t="n"/>
      <x:c r="I736" s="259" t="n"/>
      <x:c r="J736" s="260" t="n"/>
      <x:c r="M736" s="259" t="n"/>
      <x:c r="N736" s="259" t="n"/>
      <x:c r="U736" s="259" t="n"/>
      <x:c r="W736" s="260" t="n"/>
    </x:row>
    <x:row r="737">
      <x:c r="B737" s="258" t="n"/>
      <x:c r="C737" s="258" t="n"/>
      <x:c r="E737" s="259" t="n"/>
      <x:c r="F737" s="259" t="n"/>
      <x:c r="G737" s="259" t="n"/>
      <x:c r="H737" s="259" t="n"/>
      <x:c r="I737" s="259" t="n"/>
      <x:c r="J737" s="260" t="n"/>
      <x:c r="M737" s="259" t="n"/>
      <x:c r="N737" s="259" t="n"/>
      <x:c r="U737" s="259" t="n"/>
      <x:c r="W737" s="260" t="n"/>
    </x:row>
    <x:row r="738">
      <x:c r="B738" s="258" t="n"/>
      <x:c r="C738" s="258" t="n"/>
      <x:c r="E738" s="259" t="n"/>
      <x:c r="F738" s="259" t="n"/>
      <x:c r="G738" s="259" t="n"/>
      <x:c r="H738" s="259" t="n"/>
      <x:c r="I738" s="259" t="n"/>
      <x:c r="J738" s="260" t="n"/>
      <x:c r="M738" s="259" t="n"/>
      <x:c r="N738" s="259" t="n"/>
      <x:c r="U738" s="259" t="n"/>
      <x:c r="W738" s="260" t="n"/>
    </x:row>
    <x:row r="739">
      <x:c r="B739" s="258" t="n"/>
      <x:c r="C739" s="258" t="n"/>
      <x:c r="E739" s="259" t="n"/>
      <x:c r="F739" s="259" t="n"/>
      <x:c r="G739" s="259" t="n"/>
      <x:c r="H739" s="259" t="n"/>
      <x:c r="I739" s="259" t="n"/>
      <x:c r="J739" s="260" t="n"/>
      <x:c r="M739" s="259" t="n"/>
      <x:c r="N739" s="259" t="n"/>
      <x:c r="U739" s="259" t="n"/>
      <x:c r="W739" s="260" t="n"/>
    </x:row>
    <x:row r="740">
      <x:c r="B740" s="258" t="n"/>
      <x:c r="C740" s="258" t="n"/>
      <x:c r="E740" s="259" t="n"/>
      <x:c r="F740" s="259" t="n"/>
      <x:c r="G740" s="259" t="n"/>
      <x:c r="H740" s="259" t="n"/>
      <x:c r="I740" s="259" t="n"/>
      <x:c r="J740" s="260" t="n"/>
      <x:c r="M740" s="259" t="n"/>
      <x:c r="N740" s="259" t="n"/>
      <x:c r="U740" s="259" t="n"/>
      <x:c r="W740" s="260" t="n"/>
    </x:row>
    <x:row r="741">
      <x:c r="B741" s="258" t="n"/>
      <x:c r="C741" s="258" t="n"/>
      <x:c r="E741" s="259" t="n"/>
      <x:c r="F741" s="259" t="n"/>
      <x:c r="G741" s="259" t="n"/>
      <x:c r="H741" s="259" t="n"/>
      <x:c r="I741" s="259" t="n"/>
      <x:c r="J741" s="260" t="n"/>
      <x:c r="M741" s="259" t="n"/>
      <x:c r="N741" s="259" t="n"/>
      <x:c r="U741" s="259" t="n"/>
      <x:c r="W741" s="260" t="n"/>
    </x:row>
    <x:row r="742">
      <x:c r="B742" s="258" t="n"/>
      <x:c r="C742" s="258" t="n"/>
      <x:c r="E742" s="259" t="n"/>
      <x:c r="F742" s="259" t="n"/>
      <x:c r="G742" s="259" t="n"/>
      <x:c r="H742" s="259" t="n"/>
      <x:c r="I742" s="259" t="n"/>
      <x:c r="J742" s="260" t="n"/>
      <x:c r="M742" s="259" t="n"/>
      <x:c r="N742" s="259" t="n"/>
      <x:c r="U742" s="259" t="n"/>
      <x:c r="W742" s="260" t="n"/>
    </x:row>
    <x:row r="743">
      <x:c r="B743" s="258" t="n"/>
      <x:c r="C743" s="258" t="n"/>
      <x:c r="E743" s="259" t="n"/>
      <x:c r="F743" s="259" t="n"/>
      <x:c r="G743" s="259" t="n"/>
      <x:c r="H743" s="259" t="n"/>
      <x:c r="I743" s="259" t="n"/>
      <x:c r="J743" s="260" t="n"/>
      <x:c r="M743" s="259" t="n"/>
      <x:c r="N743" s="259" t="n"/>
      <x:c r="U743" s="259" t="n"/>
      <x:c r="W743" s="260" t="n"/>
    </x:row>
    <x:row r="744">
      <x:c r="B744" s="258" t="n"/>
      <x:c r="C744" s="258" t="n"/>
      <x:c r="E744" s="259" t="n"/>
      <x:c r="F744" s="259" t="n"/>
      <x:c r="G744" s="259" t="n"/>
      <x:c r="H744" s="259" t="n"/>
      <x:c r="I744" s="259" t="n"/>
      <x:c r="J744" s="260" t="n"/>
      <x:c r="M744" s="259" t="n"/>
      <x:c r="N744" s="259" t="n"/>
      <x:c r="U744" s="259" t="n"/>
      <x:c r="W744" s="260" t="n"/>
    </x:row>
    <x:row r="745">
      <x:c r="B745" s="258" t="n"/>
      <x:c r="C745" s="258" t="n"/>
      <x:c r="E745" s="259" t="n"/>
      <x:c r="F745" s="259" t="n"/>
      <x:c r="G745" s="259" t="n"/>
      <x:c r="H745" s="259" t="n"/>
      <x:c r="I745" s="259" t="n"/>
      <x:c r="J745" s="260" t="n"/>
      <x:c r="M745" s="259" t="n"/>
      <x:c r="N745" s="259" t="n"/>
      <x:c r="U745" s="259" t="n"/>
      <x:c r="W745" s="260" t="n"/>
    </x:row>
    <x:row r="746">
      <x:c r="B746" s="258" t="n"/>
      <x:c r="C746" s="258" t="n"/>
      <x:c r="E746" s="259" t="n"/>
      <x:c r="F746" s="259" t="n"/>
      <x:c r="G746" s="259" t="n"/>
      <x:c r="H746" s="259" t="n"/>
      <x:c r="I746" s="259" t="n"/>
      <x:c r="J746" s="260" t="n"/>
      <x:c r="M746" s="259" t="n"/>
      <x:c r="N746" s="259" t="n"/>
      <x:c r="U746" s="259" t="n"/>
      <x:c r="W746" s="260" t="n"/>
    </x:row>
    <x:row r="747">
      <x:c r="B747" s="258" t="n"/>
      <x:c r="C747" s="258" t="n"/>
      <x:c r="E747" s="259" t="n"/>
      <x:c r="F747" s="259" t="n"/>
      <x:c r="G747" s="259" t="n"/>
      <x:c r="H747" s="259" t="n"/>
      <x:c r="I747" s="259" t="n"/>
      <x:c r="J747" s="260" t="n"/>
      <x:c r="M747" s="259" t="n"/>
      <x:c r="N747" s="259" t="n"/>
      <x:c r="U747" s="259" t="n"/>
      <x:c r="W747" s="260" t="n"/>
    </x:row>
    <x:row r="748">
      <x:c r="B748" s="258" t="n"/>
      <x:c r="C748" s="258" t="n"/>
      <x:c r="E748" s="259" t="n"/>
      <x:c r="F748" s="259" t="n"/>
      <x:c r="G748" s="259" t="n"/>
      <x:c r="H748" s="259" t="n"/>
      <x:c r="I748" s="259" t="n"/>
      <x:c r="J748" s="260" t="n"/>
      <x:c r="M748" s="259" t="n"/>
      <x:c r="N748" s="259" t="n"/>
      <x:c r="U748" s="259" t="n"/>
      <x:c r="W748" s="260" t="n"/>
    </x:row>
    <x:row r="749">
      <x:c r="B749" s="258" t="n"/>
      <x:c r="C749" s="258" t="n"/>
      <x:c r="E749" s="259" t="n"/>
      <x:c r="F749" s="259" t="n"/>
      <x:c r="G749" s="259" t="n"/>
      <x:c r="H749" s="259" t="n"/>
      <x:c r="I749" s="259" t="n"/>
      <x:c r="J749" s="260" t="n"/>
      <x:c r="M749" s="259" t="n"/>
      <x:c r="N749" s="259" t="n"/>
      <x:c r="U749" s="259" t="n"/>
      <x:c r="W749" s="260" t="n"/>
    </x:row>
    <x:row r="750">
      <x:c r="B750" s="258" t="n"/>
      <x:c r="C750" s="258" t="n"/>
      <x:c r="E750" s="259" t="n"/>
      <x:c r="F750" s="259" t="n"/>
      <x:c r="G750" s="259" t="n"/>
      <x:c r="H750" s="259" t="n"/>
      <x:c r="I750" s="259" t="n"/>
      <x:c r="J750" s="260" t="n"/>
      <x:c r="M750" s="259" t="n"/>
      <x:c r="N750" s="259" t="n"/>
      <x:c r="U750" s="259" t="n"/>
      <x:c r="W750" s="260" t="n"/>
    </x:row>
    <x:row r="751">
      <x:c r="B751" s="258" t="n"/>
      <x:c r="C751" s="258" t="n"/>
      <x:c r="E751" s="259" t="n"/>
      <x:c r="F751" s="259" t="n"/>
      <x:c r="G751" s="259" t="n"/>
      <x:c r="H751" s="259" t="n"/>
      <x:c r="I751" s="259" t="n"/>
      <x:c r="J751" s="260" t="n"/>
      <x:c r="M751" s="259" t="n"/>
      <x:c r="N751" s="259" t="n"/>
      <x:c r="U751" s="259" t="n"/>
      <x:c r="W751" s="260" t="n"/>
    </x:row>
    <x:row r="752">
      <x:c r="B752" s="258" t="n"/>
      <x:c r="C752" s="258" t="n"/>
      <x:c r="E752" s="259" t="n"/>
      <x:c r="F752" s="259" t="n"/>
      <x:c r="G752" s="259" t="n"/>
      <x:c r="H752" s="259" t="n"/>
      <x:c r="I752" s="259" t="n"/>
      <x:c r="J752" s="260" t="n"/>
      <x:c r="M752" s="259" t="n"/>
      <x:c r="N752" s="259" t="n"/>
      <x:c r="U752" s="259" t="n"/>
      <x:c r="W752" s="260" t="n"/>
    </x:row>
    <x:row r="753">
      <x:c r="B753" s="258" t="n"/>
      <x:c r="C753" s="258" t="n"/>
      <x:c r="E753" s="259" t="n"/>
      <x:c r="F753" s="259" t="n"/>
      <x:c r="G753" s="259" t="n"/>
      <x:c r="H753" s="259" t="n"/>
      <x:c r="I753" s="259" t="n"/>
      <x:c r="J753" s="260" t="n"/>
      <x:c r="M753" s="259" t="n"/>
      <x:c r="N753" s="259" t="n"/>
      <x:c r="U753" s="259" t="n"/>
      <x:c r="W753" s="260" t="n"/>
    </x:row>
    <x:row r="754">
      <x:c r="B754" s="258" t="n"/>
      <x:c r="C754" s="258" t="n"/>
      <x:c r="E754" s="259" t="n"/>
      <x:c r="F754" s="259" t="n"/>
      <x:c r="G754" s="259" t="n"/>
      <x:c r="H754" s="259" t="n"/>
      <x:c r="I754" s="259" t="n"/>
      <x:c r="J754" s="260" t="n"/>
      <x:c r="M754" s="259" t="n"/>
      <x:c r="N754" s="259" t="n"/>
      <x:c r="U754" s="259" t="n"/>
      <x:c r="W754" s="260" t="n"/>
    </x:row>
    <x:row r="755">
      <x:c r="B755" s="258" t="n"/>
      <x:c r="C755" s="258" t="n"/>
      <x:c r="E755" s="259" t="n"/>
      <x:c r="F755" s="259" t="n"/>
      <x:c r="G755" s="259" t="n"/>
      <x:c r="H755" s="259" t="n"/>
      <x:c r="I755" s="259" t="n"/>
      <x:c r="J755" s="260" t="n"/>
      <x:c r="M755" s="259" t="n"/>
      <x:c r="N755" s="259" t="n"/>
      <x:c r="U755" s="259" t="n"/>
      <x:c r="W755" s="260" t="n"/>
    </x:row>
    <x:row r="756">
      <x:c r="B756" s="258" t="n"/>
      <x:c r="C756" s="258" t="n"/>
      <x:c r="E756" s="259" t="n"/>
      <x:c r="F756" s="259" t="n"/>
      <x:c r="G756" s="259" t="n"/>
      <x:c r="H756" s="259" t="n"/>
      <x:c r="I756" s="259" t="n"/>
      <x:c r="J756" s="260" t="n"/>
      <x:c r="M756" s="259" t="n"/>
      <x:c r="N756" s="259" t="n"/>
      <x:c r="U756" s="259" t="n"/>
      <x:c r="W756" s="260" t="n"/>
    </x:row>
    <x:row r="757">
      <x:c r="B757" s="258" t="n"/>
      <x:c r="C757" s="258" t="n"/>
      <x:c r="E757" s="259" t="n"/>
      <x:c r="F757" s="259" t="n"/>
      <x:c r="G757" s="259" t="n"/>
      <x:c r="H757" s="259" t="n"/>
      <x:c r="I757" s="259" t="n"/>
      <x:c r="J757" s="260" t="n"/>
      <x:c r="M757" s="259" t="n"/>
      <x:c r="N757" s="259" t="n"/>
      <x:c r="U757" s="259" t="n"/>
      <x:c r="W757" s="260" t="n"/>
    </x:row>
    <x:row r="758">
      <x:c r="B758" s="258" t="n"/>
      <x:c r="C758" s="258" t="n"/>
      <x:c r="E758" s="259" t="n"/>
      <x:c r="F758" s="259" t="n"/>
      <x:c r="G758" s="259" t="n"/>
      <x:c r="H758" s="259" t="n"/>
      <x:c r="I758" s="259" t="n"/>
      <x:c r="J758" s="260" t="n"/>
      <x:c r="M758" s="259" t="n"/>
      <x:c r="N758" s="259" t="n"/>
      <x:c r="U758" s="259" t="n"/>
      <x:c r="W758" s="260" t="n"/>
    </x:row>
    <x:row r="759">
      <x:c r="B759" s="258" t="n"/>
      <x:c r="C759" s="258" t="n"/>
      <x:c r="E759" s="259" t="n"/>
      <x:c r="F759" s="259" t="n"/>
      <x:c r="G759" s="259" t="n"/>
      <x:c r="H759" s="259" t="n"/>
      <x:c r="I759" s="259" t="n"/>
      <x:c r="J759" s="260" t="n"/>
      <x:c r="M759" s="259" t="n"/>
      <x:c r="N759" s="259" t="n"/>
      <x:c r="U759" s="259" t="n"/>
      <x:c r="W759" s="260" t="n"/>
    </x:row>
    <x:row r="760">
      <x:c r="B760" s="258" t="n"/>
      <x:c r="C760" s="258" t="n"/>
      <x:c r="E760" s="259" t="n"/>
      <x:c r="F760" s="259" t="n"/>
      <x:c r="G760" s="259" t="n"/>
      <x:c r="H760" s="259" t="n"/>
      <x:c r="I760" s="259" t="n"/>
      <x:c r="J760" s="260" t="n"/>
      <x:c r="M760" s="259" t="n"/>
      <x:c r="N760" s="259" t="n"/>
      <x:c r="U760" s="259" t="n"/>
      <x:c r="W760" s="260" t="n"/>
    </x:row>
    <x:row r="761">
      <x:c r="B761" s="258" t="n"/>
      <x:c r="C761" s="258" t="n"/>
      <x:c r="E761" s="259" t="n"/>
      <x:c r="F761" s="259" t="n"/>
      <x:c r="G761" s="259" t="n"/>
      <x:c r="H761" s="259" t="n"/>
      <x:c r="I761" s="259" t="n"/>
      <x:c r="J761" s="260" t="n"/>
      <x:c r="M761" s="259" t="n"/>
      <x:c r="N761" s="259" t="n"/>
      <x:c r="U761" s="259" t="n"/>
      <x:c r="W761" s="260" t="n"/>
    </x:row>
    <x:row r="762">
      <x:c r="B762" s="258" t="n"/>
      <x:c r="C762" s="258" t="n"/>
      <x:c r="E762" s="259" t="n"/>
      <x:c r="F762" s="259" t="n"/>
      <x:c r="G762" s="259" t="n"/>
      <x:c r="H762" s="259" t="n"/>
      <x:c r="I762" s="259" t="n"/>
      <x:c r="J762" s="260" t="n"/>
      <x:c r="M762" s="259" t="n"/>
      <x:c r="N762" s="259" t="n"/>
      <x:c r="U762" s="259" t="n"/>
      <x:c r="W762" s="260" t="n"/>
    </x:row>
    <x:row r="763">
      <x:c r="B763" s="258" t="n"/>
      <x:c r="C763" s="258" t="n"/>
      <x:c r="E763" s="259" t="n"/>
      <x:c r="F763" s="259" t="n"/>
      <x:c r="G763" s="259" t="n"/>
      <x:c r="H763" s="259" t="n"/>
      <x:c r="I763" s="259" t="n"/>
      <x:c r="J763" s="260" t="n"/>
      <x:c r="M763" s="259" t="n"/>
      <x:c r="N763" s="259" t="n"/>
      <x:c r="U763" s="259" t="n"/>
      <x:c r="W763" s="260" t="n"/>
    </x:row>
    <x:row r="764">
      <x:c r="B764" s="258" t="n"/>
      <x:c r="C764" s="258" t="n"/>
      <x:c r="E764" s="259" t="n"/>
      <x:c r="F764" s="259" t="n"/>
      <x:c r="G764" s="259" t="n"/>
      <x:c r="H764" s="259" t="n"/>
      <x:c r="I764" s="259" t="n"/>
      <x:c r="J764" s="260" t="n"/>
      <x:c r="M764" s="259" t="n"/>
      <x:c r="N764" s="259" t="n"/>
      <x:c r="U764" s="259" t="n"/>
      <x:c r="W764" s="260" t="n"/>
    </x:row>
    <x:row r="765">
      <x:c r="B765" s="258" t="n"/>
      <x:c r="C765" s="258" t="n"/>
      <x:c r="E765" s="259" t="n"/>
      <x:c r="F765" s="259" t="n"/>
      <x:c r="G765" s="259" t="n"/>
      <x:c r="H765" s="259" t="n"/>
      <x:c r="I765" s="259" t="n"/>
      <x:c r="J765" s="260" t="n"/>
      <x:c r="M765" s="259" t="n"/>
      <x:c r="N765" s="259" t="n"/>
      <x:c r="U765" s="259" t="n"/>
      <x:c r="W765" s="260" t="n"/>
    </x:row>
    <x:row r="766">
      <x:c r="B766" s="258" t="n"/>
      <x:c r="C766" s="258" t="n"/>
      <x:c r="E766" s="259" t="n"/>
      <x:c r="F766" s="259" t="n"/>
      <x:c r="G766" s="259" t="n"/>
      <x:c r="H766" s="259" t="n"/>
      <x:c r="I766" s="259" t="n"/>
      <x:c r="J766" s="260" t="n"/>
      <x:c r="M766" s="259" t="n"/>
      <x:c r="N766" s="259" t="n"/>
      <x:c r="U766" s="259" t="n"/>
      <x:c r="W766" s="260" t="n"/>
    </x:row>
    <x:row r="767">
      <x:c r="B767" s="258" t="n"/>
      <x:c r="C767" s="258" t="n"/>
      <x:c r="E767" s="259" t="n"/>
      <x:c r="F767" s="259" t="n"/>
      <x:c r="G767" s="259" t="n"/>
      <x:c r="H767" s="259" t="n"/>
      <x:c r="I767" s="259" t="n"/>
      <x:c r="J767" s="260" t="n"/>
      <x:c r="M767" s="259" t="n"/>
      <x:c r="N767" s="259" t="n"/>
      <x:c r="U767" s="259" t="n"/>
      <x:c r="W767" s="260" t="n"/>
    </x:row>
    <x:row r="768">
      <x:c r="B768" s="258" t="n"/>
      <x:c r="C768" s="258" t="n"/>
      <x:c r="E768" s="259" t="n"/>
      <x:c r="F768" s="259" t="n"/>
      <x:c r="G768" s="259" t="n"/>
      <x:c r="H768" s="259" t="n"/>
      <x:c r="I768" s="259" t="n"/>
      <x:c r="J768" s="260" t="n"/>
      <x:c r="M768" s="259" t="n"/>
      <x:c r="N768" s="259" t="n"/>
      <x:c r="U768" s="259" t="n"/>
      <x:c r="W768" s="260" t="n"/>
    </x:row>
    <x:row r="769">
      <x:c r="B769" s="258" t="n"/>
      <x:c r="C769" s="258" t="n"/>
      <x:c r="E769" s="259" t="n"/>
      <x:c r="F769" s="259" t="n"/>
      <x:c r="G769" s="259" t="n"/>
      <x:c r="H769" s="259" t="n"/>
      <x:c r="I769" s="259" t="n"/>
      <x:c r="J769" s="260" t="n"/>
      <x:c r="M769" s="259" t="n"/>
      <x:c r="N769" s="259" t="n"/>
      <x:c r="U769" s="259" t="n"/>
      <x:c r="W769" s="260" t="n"/>
    </x:row>
    <x:row r="770">
      <x:c r="B770" s="258" t="n"/>
      <x:c r="C770" s="258" t="n"/>
      <x:c r="E770" s="259" t="n"/>
      <x:c r="F770" s="259" t="n"/>
      <x:c r="G770" s="259" t="n"/>
      <x:c r="H770" s="259" t="n"/>
      <x:c r="I770" s="259" t="n"/>
      <x:c r="J770" s="260" t="n"/>
      <x:c r="M770" s="259" t="n"/>
      <x:c r="N770" s="259" t="n"/>
      <x:c r="U770" s="259" t="n"/>
      <x:c r="W770" s="260" t="n"/>
    </x:row>
    <x:row r="771">
      <x:c r="B771" s="258" t="n"/>
      <x:c r="C771" s="258" t="n"/>
      <x:c r="E771" s="259" t="n"/>
      <x:c r="F771" s="259" t="n"/>
      <x:c r="G771" s="259" t="n"/>
      <x:c r="H771" s="259" t="n"/>
      <x:c r="I771" s="259" t="n"/>
      <x:c r="J771" s="260" t="n"/>
      <x:c r="M771" s="259" t="n"/>
      <x:c r="N771" s="259" t="n"/>
      <x:c r="U771" s="259" t="n"/>
      <x:c r="W771" s="260" t="n"/>
    </x:row>
    <x:row r="772">
      <x:c r="B772" s="258" t="n"/>
      <x:c r="C772" s="258" t="n"/>
      <x:c r="E772" s="259" t="n"/>
      <x:c r="F772" s="259" t="n"/>
      <x:c r="G772" s="259" t="n"/>
      <x:c r="H772" s="259" t="n"/>
      <x:c r="I772" s="259" t="n"/>
      <x:c r="J772" s="260" t="n"/>
      <x:c r="M772" s="259" t="n"/>
      <x:c r="N772" s="259" t="n"/>
      <x:c r="U772" s="259" t="n"/>
      <x:c r="W772" s="260" t="n"/>
    </x:row>
    <x:row r="773">
      <x:c r="B773" s="258" t="n"/>
      <x:c r="C773" s="258" t="n"/>
      <x:c r="E773" s="259" t="n"/>
      <x:c r="F773" s="259" t="n"/>
      <x:c r="G773" s="259" t="n"/>
      <x:c r="H773" s="259" t="n"/>
      <x:c r="I773" s="259" t="n"/>
      <x:c r="J773" s="260" t="n"/>
      <x:c r="M773" s="259" t="n"/>
      <x:c r="N773" s="259" t="n"/>
      <x:c r="U773" s="259" t="n"/>
      <x:c r="W773" s="260" t="n"/>
    </x:row>
    <x:row r="774">
      <x:c r="B774" s="258" t="n"/>
      <x:c r="C774" s="258" t="n"/>
      <x:c r="E774" s="259" t="n"/>
      <x:c r="F774" s="259" t="n"/>
      <x:c r="G774" s="259" t="n"/>
      <x:c r="H774" s="259" t="n"/>
      <x:c r="I774" s="259" t="n"/>
      <x:c r="J774" s="260" t="n"/>
      <x:c r="M774" s="259" t="n"/>
      <x:c r="N774" s="259" t="n"/>
      <x:c r="U774" s="259" t="n"/>
      <x:c r="W774" s="260" t="n"/>
    </x:row>
    <x:row r="775">
      <x:c r="B775" s="258" t="n"/>
      <x:c r="C775" s="258" t="n"/>
      <x:c r="E775" s="259" t="n"/>
      <x:c r="F775" s="259" t="n"/>
      <x:c r="G775" s="259" t="n"/>
      <x:c r="H775" s="259" t="n"/>
      <x:c r="I775" s="259" t="n"/>
      <x:c r="J775" s="260" t="n"/>
      <x:c r="M775" s="259" t="n"/>
      <x:c r="N775" s="259" t="n"/>
      <x:c r="U775" s="259" t="n"/>
      <x:c r="W775" s="260" t="n"/>
    </x:row>
    <x:row r="776">
      <x:c r="B776" s="258" t="n"/>
      <x:c r="C776" s="258" t="n"/>
      <x:c r="E776" s="259" t="n"/>
      <x:c r="F776" s="259" t="n"/>
      <x:c r="G776" s="259" t="n"/>
      <x:c r="H776" s="259" t="n"/>
      <x:c r="I776" s="259" t="n"/>
      <x:c r="J776" s="260" t="n"/>
      <x:c r="M776" s="259" t="n"/>
      <x:c r="N776" s="259" t="n"/>
      <x:c r="U776" s="259" t="n"/>
      <x:c r="W776" s="260" t="n"/>
    </x:row>
    <x:row r="777">
      <x:c r="B777" s="258" t="n"/>
      <x:c r="C777" s="258" t="n"/>
      <x:c r="E777" s="259" t="n"/>
      <x:c r="F777" s="259" t="n"/>
      <x:c r="G777" s="259" t="n"/>
      <x:c r="H777" s="259" t="n"/>
      <x:c r="I777" s="259" t="n"/>
      <x:c r="J777" s="260" t="n"/>
      <x:c r="M777" s="259" t="n"/>
      <x:c r="N777" s="259" t="n"/>
      <x:c r="U777" s="259" t="n"/>
      <x:c r="W777" s="260" t="n"/>
    </x:row>
    <x:row r="778">
      <x:c r="B778" s="258" t="n"/>
      <x:c r="C778" s="258" t="n"/>
      <x:c r="E778" s="259" t="n"/>
      <x:c r="F778" s="259" t="n"/>
      <x:c r="G778" s="259" t="n"/>
      <x:c r="H778" s="259" t="n"/>
      <x:c r="I778" s="259" t="n"/>
      <x:c r="J778" s="260" t="n"/>
      <x:c r="M778" s="259" t="n"/>
      <x:c r="N778" s="259" t="n"/>
      <x:c r="U778" s="259" t="n"/>
      <x:c r="W778" s="260" t="n"/>
    </x:row>
    <x:row r="779">
      <x:c r="B779" s="258" t="n"/>
      <x:c r="C779" s="258" t="n"/>
      <x:c r="E779" s="259" t="n"/>
      <x:c r="F779" s="259" t="n"/>
      <x:c r="G779" s="259" t="n"/>
      <x:c r="H779" s="259" t="n"/>
      <x:c r="I779" s="259" t="n"/>
      <x:c r="J779" s="260" t="n"/>
      <x:c r="M779" s="259" t="n"/>
      <x:c r="N779" s="259" t="n"/>
      <x:c r="U779" s="259" t="n"/>
      <x:c r="W779" s="260" t="n"/>
    </x:row>
    <x:row r="780">
      <x:c r="B780" s="258" t="n"/>
      <x:c r="C780" s="258" t="n"/>
      <x:c r="E780" s="259" t="n"/>
      <x:c r="F780" s="259" t="n"/>
      <x:c r="G780" s="259" t="n"/>
      <x:c r="H780" s="259" t="n"/>
      <x:c r="I780" s="259" t="n"/>
      <x:c r="J780" s="260" t="n"/>
      <x:c r="M780" s="259" t="n"/>
      <x:c r="N780" s="259" t="n"/>
      <x:c r="U780" s="259" t="n"/>
      <x:c r="W780" s="260" t="n"/>
    </x:row>
    <x:row r="781">
      <x:c r="B781" s="258" t="n"/>
      <x:c r="C781" s="258" t="n"/>
      <x:c r="E781" s="259" t="n"/>
      <x:c r="F781" s="259" t="n"/>
      <x:c r="G781" s="259" t="n"/>
      <x:c r="H781" s="259" t="n"/>
      <x:c r="I781" s="259" t="n"/>
      <x:c r="J781" s="260" t="n"/>
      <x:c r="M781" s="259" t="n"/>
      <x:c r="N781" s="259" t="n"/>
      <x:c r="U781" s="259" t="n"/>
      <x:c r="W781" s="260" t="n"/>
    </x:row>
    <x:row r="782">
      <x:c r="B782" s="258" t="n"/>
      <x:c r="C782" s="258" t="n"/>
      <x:c r="E782" s="259" t="n"/>
      <x:c r="F782" s="259" t="n"/>
      <x:c r="G782" s="259" t="n"/>
      <x:c r="H782" s="259" t="n"/>
      <x:c r="I782" s="259" t="n"/>
      <x:c r="J782" s="260" t="n"/>
      <x:c r="M782" s="259" t="n"/>
      <x:c r="N782" s="259" t="n"/>
      <x:c r="U782" s="259" t="n"/>
      <x:c r="W782" s="260" t="n"/>
    </x:row>
    <x:row r="783">
      <x:c r="B783" s="258" t="n"/>
      <x:c r="C783" s="258" t="n"/>
      <x:c r="E783" s="259" t="n"/>
      <x:c r="F783" s="259" t="n"/>
      <x:c r="G783" s="259" t="n"/>
      <x:c r="H783" s="259" t="n"/>
      <x:c r="I783" s="259" t="n"/>
      <x:c r="J783" s="260" t="n"/>
      <x:c r="M783" s="259" t="n"/>
      <x:c r="N783" s="259" t="n"/>
      <x:c r="U783" s="259" t="n"/>
      <x:c r="W783" s="260" t="n"/>
    </x:row>
    <x:row r="784">
      <x:c r="B784" s="258" t="n"/>
      <x:c r="C784" s="258" t="n"/>
      <x:c r="E784" s="259" t="n"/>
      <x:c r="F784" s="259" t="n"/>
      <x:c r="G784" s="259" t="n"/>
      <x:c r="H784" s="259" t="n"/>
      <x:c r="I784" s="259" t="n"/>
      <x:c r="J784" s="260" t="n"/>
      <x:c r="M784" s="259" t="n"/>
      <x:c r="N784" s="259" t="n"/>
      <x:c r="U784" s="259" t="n"/>
      <x:c r="W784" s="260" t="n"/>
    </x:row>
    <x:row r="785">
      <x:c r="B785" s="258" t="n"/>
      <x:c r="C785" s="258" t="n"/>
      <x:c r="E785" s="259" t="n"/>
      <x:c r="F785" s="259" t="n"/>
      <x:c r="G785" s="259" t="n"/>
      <x:c r="H785" s="259" t="n"/>
      <x:c r="I785" s="259" t="n"/>
      <x:c r="J785" s="260" t="n"/>
      <x:c r="M785" s="259" t="n"/>
      <x:c r="N785" s="259" t="n"/>
      <x:c r="U785" s="259" t="n"/>
      <x:c r="W785" s="260" t="n"/>
    </x:row>
    <x:row r="786">
      <x:c r="B786" s="258" t="n"/>
      <x:c r="C786" s="258" t="n"/>
      <x:c r="E786" s="259" t="n"/>
      <x:c r="F786" s="259" t="n"/>
      <x:c r="G786" s="259" t="n"/>
      <x:c r="H786" s="259" t="n"/>
      <x:c r="I786" s="259" t="n"/>
      <x:c r="J786" s="260" t="n"/>
      <x:c r="M786" s="259" t="n"/>
      <x:c r="N786" s="259" t="n"/>
      <x:c r="U786" s="259" t="n"/>
      <x:c r="W786" s="260" t="n"/>
    </x:row>
    <x:row r="787">
      <x:c r="B787" s="258" t="n"/>
      <x:c r="C787" s="258" t="n"/>
      <x:c r="E787" s="259" t="n"/>
      <x:c r="F787" s="259" t="n"/>
      <x:c r="G787" s="259" t="n"/>
      <x:c r="H787" s="259" t="n"/>
      <x:c r="I787" s="259" t="n"/>
      <x:c r="J787" s="260" t="n"/>
      <x:c r="M787" s="259" t="n"/>
      <x:c r="N787" s="259" t="n"/>
      <x:c r="U787" s="259" t="n"/>
      <x:c r="W787" s="260" t="n"/>
    </x:row>
    <x:row r="788">
      <x:c r="B788" s="258" t="n"/>
      <x:c r="C788" s="258" t="n"/>
      <x:c r="E788" s="259" t="n"/>
      <x:c r="F788" s="259" t="n"/>
      <x:c r="G788" s="259" t="n"/>
      <x:c r="H788" s="259" t="n"/>
      <x:c r="I788" s="259" t="n"/>
      <x:c r="J788" s="260" t="n"/>
      <x:c r="M788" s="259" t="n"/>
      <x:c r="N788" s="259" t="n"/>
      <x:c r="U788" s="259" t="n"/>
      <x:c r="W788" s="260" t="n"/>
    </x:row>
    <x:row r="789">
      <x:c r="B789" s="258" t="n"/>
      <x:c r="C789" s="258" t="n"/>
      <x:c r="E789" s="259" t="n"/>
      <x:c r="F789" s="259" t="n"/>
      <x:c r="G789" s="259" t="n"/>
      <x:c r="H789" s="259" t="n"/>
      <x:c r="I789" s="259" t="n"/>
      <x:c r="J789" s="260" t="n"/>
      <x:c r="M789" s="259" t="n"/>
      <x:c r="N789" s="259" t="n"/>
      <x:c r="U789" s="259" t="n"/>
      <x:c r="W789" s="260" t="n"/>
    </x:row>
    <x:row r="790">
      <x:c r="B790" s="258" t="n"/>
      <x:c r="C790" s="258" t="n"/>
      <x:c r="E790" s="259" t="n"/>
      <x:c r="F790" s="259" t="n"/>
      <x:c r="G790" s="259" t="n"/>
      <x:c r="H790" s="259" t="n"/>
      <x:c r="I790" s="259" t="n"/>
      <x:c r="J790" s="260" t="n"/>
      <x:c r="M790" s="259" t="n"/>
      <x:c r="N790" s="259" t="n"/>
      <x:c r="U790" s="259" t="n"/>
      <x:c r="W790" s="260" t="n"/>
    </x:row>
    <x:row r="791">
      <x:c r="B791" s="258" t="n"/>
      <x:c r="C791" s="258" t="n"/>
      <x:c r="E791" s="259" t="n"/>
      <x:c r="F791" s="259" t="n"/>
      <x:c r="G791" s="259" t="n"/>
      <x:c r="H791" s="259" t="n"/>
      <x:c r="I791" s="259" t="n"/>
      <x:c r="J791" s="260" t="n"/>
      <x:c r="M791" s="259" t="n"/>
      <x:c r="N791" s="259" t="n"/>
      <x:c r="U791" s="259" t="n"/>
      <x:c r="W791" s="260" t="n"/>
    </x:row>
    <x:row r="792">
      <x:c r="B792" s="258" t="n"/>
      <x:c r="C792" s="258" t="n"/>
      <x:c r="E792" s="259" t="n"/>
      <x:c r="F792" s="259" t="n"/>
      <x:c r="G792" s="259" t="n"/>
      <x:c r="H792" s="259" t="n"/>
      <x:c r="I792" s="259" t="n"/>
      <x:c r="J792" s="260" t="n"/>
      <x:c r="M792" s="259" t="n"/>
      <x:c r="N792" s="259" t="n"/>
      <x:c r="U792" s="259" t="n"/>
      <x:c r="W792" s="260" t="n"/>
    </x:row>
    <x:row r="793">
      <x:c r="B793" s="258" t="n"/>
      <x:c r="C793" s="258" t="n"/>
      <x:c r="E793" s="259" t="n"/>
      <x:c r="F793" s="259" t="n"/>
      <x:c r="G793" s="259" t="n"/>
      <x:c r="H793" s="259" t="n"/>
      <x:c r="I793" s="259" t="n"/>
      <x:c r="J793" s="260" t="n"/>
      <x:c r="M793" s="259" t="n"/>
      <x:c r="N793" s="259" t="n"/>
      <x:c r="U793" s="259" t="n"/>
      <x:c r="W793" s="260" t="n"/>
    </x:row>
    <x:row r="794">
      <x:c r="B794" s="258" t="n"/>
      <x:c r="C794" s="258" t="n"/>
      <x:c r="E794" s="259" t="n"/>
      <x:c r="F794" s="259" t="n"/>
      <x:c r="G794" s="259" t="n"/>
      <x:c r="H794" s="259" t="n"/>
      <x:c r="I794" s="259" t="n"/>
      <x:c r="J794" s="260" t="n"/>
      <x:c r="M794" s="259" t="n"/>
      <x:c r="N794" s="259" t="n"/>
      <x:c r="U794" s="259" t="n"/>
      <x:c r="W794" s="260" t="n"/>
    </x:row>
    <x:row r="795">
      <x:c r="B795" s="258" t="n"/>
      <x:c r="C795" s="258" t="n"/>
      <x:c r="E795" s="259" t="n"/>
      <x:c r="F795" s="259" t="n"/>
      <x:c r="G795" s="259" t="n"/>
      <x:c r="H795" s="259" t="n"/>
      <x:c r="I795" s="259" t="n"/>
      <x:c r="J795" s="260" t="n"/>
      <x:c r="M795" s="259" t="n"/>
      <x:c r="N795" s="259" t="n"/>
      <x:c r="U795" s="259" t="n"/>
      <x:c r="W795" s="260" t="n"/>
    </x:row>
    <x:row r="796">
      <x:c r="B796" s="258" t="n"/>
      <x:c r="C796" s="258" t="n"/>
      <x:c r="E796" s="259" t="n"/>
      <x:c r="F796" s="259" t="n"/>
      <x:c r="G796" s="259" t="n"/>
      <x:c r="H796" s="259" t="n"/>
      <x:c r="I796" s="259" t="n"/>
      <x:c r="J796" s="260" t="n"/>
      <x:c r="M796" s="259" t="n"/>
      <x:c r="N796" s="259" t="n"/>
      <x:c r="U796" s="259" t="n"/>
      <x:c r="W796" s="260" t="n"/>
    </x:row>
    <x:row r="797">
      <x:c r="B797" s="258" t="n"/>
      <x:c r="C797" s="258" t="n"/>
      <x:c r="E797" s="259" t="n"/>
      <x:c r="F797" s="259" t="n"/>
      <x:c r="G797" s="259" t="n"/>
      <x:c r="H797" s="259" t="n"/>
      <x:c r="I797" s="259" t="n"/>
      <x:c r="J797" s="260" t="n"/>
      <x:c r="M797" s="259" t="n"/>
      <x:c r="N797" s="259" t="n"/>
      <x:c r="U797" s="259" t="n"/>
      <x:c r="W797" s="260" t="n"/>
    </x:row>
    <x:row r="798">
      <x:c r="B798" s="258" t="n"/>
      <x:c r="C798" s="258" t="n"/>
      <x:c r="E798" s="259" t="n"/>
      <x:c r="F798" s="259" t="n"/>
      <x:c r="G798" s="259" t="n"/>
      <x:c r="H798" s="259" t="n"/>
      <x:c r="I798" s="259" t="n"/>
      <x:c r="J798" s="260" t="n"/>
      <x:c r="M798" s="259" t="n"/>
      <x:c r="N798" s="259" t="n"/>
      <x:c r="U798" s="259" t="n"/>
      <x:c r="W798" s="260" t="n"/>
    </x:row>
    <x:row r="799">
      <x:c r="B799" s="258" t="n"/>
      <x:c r="C799" s="258" t="n"/>
      <x:c r="E799" s="259" t="n"/>
      <x:c r="F799" s="259" t="n"/>
      <x:c r="G799" s="259" t="n"/>
      <x:c r="H799" s="259" t="n"/>
      <x:c r="I799" s="259" t="n"/>
      <x:c r="J799" s="260" t="n"/>
      <x:c r="M799" s="259" t="n"/>
      <x:c r="N799" s="259" t="n"/>
      <x:c r="U799" s="259" t="n"/>
      <x:c r="W799" s="260" t="n"/>
    </x:row>
    <x:row r="800">
      <x:c r="B800" s="258" t="n"/>
      <x:c r="C800" s="258" t="n"/>
      <x:c r="E800" s="259" t="n"/>
      <x:c r="F800" s="259" t="n"/>
      <x:c r="G800" s="259" t="n"/>
      <x:c r="H800" s="259" t="n"/>
      <x:c r="I800" s="259" t="n"/>
      <x:c r="J800" s="260" t="n"/>
      <x:c r="M800" s="259" t="n"/>
      <x:c r="N800" s="259" t="n"/>
      <x:c r="U800" s="259" t="n"/>
      <x:c r="W800" s="260" t="n"/>
    </x:row>
    <x:row r="801">
      <x:c r="B801" s="258" t="n"/>
      <x:c r="C801" s="258" t="n"/>
      <x:c r="E801" s="259" t="n"/>
      <x:c r="F801" s="259" t="n"/>
      <x:c r="G801" s="259" t="n"/>
      <x:c r="H801" s="259" t="n"/>
      <x:c r="I801" s="259" t="n"/>
      <x:c r="J801" s="260" t="n"/>
      <x:c r="M801" s="259" t="n"/>
      <x:c r="N801" s="259" t="n"/>
      <x:c r="U801" s="259" t="n"/>
      <x:c r="W801" s="260" t="n"/>
    </x:row>
    <x:row r="802">
      <x:c r="B802" s="258" t="n"/>
      <x:c r="C802" s="258" t="n"/>
      <x:c r="E802" s="259" t="n"/>
      <x:c r="F802" s="259" t="n"/>
      <x:c r="G802" s="259" t="n"/>
      <x:c r="H802" s="259" t="n"/>
      <x:c r="I802" s="259" t="n"/>
      <x:c r="J802" s="260" t="n"/>
      <x:c r="M802" s="259" t="n"/>
      <x:c r="N802" s="259" t="n"/>
      <x:c r="U802" s="259" t="n"/>
      <x:c r="W802" s="260" t="n"/>
    </x:row>
    <x:row r="803">
      <x:c r="B803" s="258" t="n"/>
      <x:c r="C803" s="258" t="n"/>
      <x:c r="E803" s="259" t="n"/>
      <x:c r="F803" s="259" t="n"/>
      <x:c r="G803" s="259" t="n"/>
      <x:c r="H803" s="259" t="n"/>
      <x:c r="I803" s="259" t="n"/>
      <x:c r="J803" s="260" t="n"/>
      <x:c r="M803" s="259" t="n"/>
      <x:c r="N803" s="259" t="n"/>
      <x:c r="U803" s="259" t="n"/>
      <x:c r="W803" s="260" t="n"/>
    </x:row>
    <x:row r="804">
      <x:c r="B804" s="258" t="n"/>
      <x:c r="C804" s="258" t="n"/>
      <x:c r="E804" s="259" t="n"/>
      <x:c r="F804" s="259" t="n"/>
      <x:c r="G804" s="259" t="n"/>
      <x:c r="H804" s="259" t="n"/>
      <x:c r="I804" s="259" t="n"/>
      <x:c r="J804" s="260" t="n"/>
      <x:c r="M804" s="259" t="n"/>
      <x:c r="N804" s="259" t="n"/>
      <x:c r="U804" s="259" t="n"/>
      <x:c r="W804" s="260" t="n"/>
    </x:row>
    <x:row r="805">
      <x:c r="B805" s="258" t="n"/>
      <x:c r="C805" s="258" t="n"/>
      <x:c r="E805" s="259" t="n"/>
      <x:c r="F805" s="259" t="n"/>
      <x:c r="G805" s="259" t="n"/>
      <x:c r="H805" s="259" t="n"/>
      <x:c r="I805" s="259" t="n"/>
      <x:c r="J805" s="260" t="n"/>
      <x:c r="M805" s="259" t="n"/>
      <x:c r="N805" s="259" t="n"/>
      <x:c r="U805" s="259" t="n"/>
      <x:c r="W805" s="260" t="n"/>
    </x:row>
    <x:row r="806">
      <x:c r="B806" s="258" t="n"/>
      <x:c r="C806" s="258" t="n"/>
      <x:c r="E806" s="259" t="n"/>
      <x:c r="F806" s="259" t="n"/>
      <x:c r="G806" s="259" t="n"/>
      <x:c r="H806" s="259" t="n"/>
      <x:c r="I806" s="259" t="n"/>
      <x:c r="J806" s="260" t="n"/>
      <x:c r="M806" s="259" t="n"/>
      <x:c r="N806" s="259" t="n"/>
      <x:c r="U806" s="259" t="n"/>
      <x:c r="W806" s="260" t="n"/>
    </x:row>
    <x:row r="807">
      <x:c r="B807" s="258" t="n"/>
      <x:c r="C807" s="258" t="n"/>
      <x:c r="E807" s="259" t="n"/>
      <x:c r="F807" s="259" t="n"/>
      <x:c r="G807" s="259" t="n"/>
      <x:c r="H807" s="259" t="n"/>
      <x:c r="I807" s="259" t="n"/>
      <x:c r="J807" s="260" t="n"/>
      <x:c r="M807" s="259" t="n"/>
      <x:c r="N807" s="259" t="n"/>
      <x:c r="U807" s="259" t="n"/>
      <x:c r="W807" s="260" t="n"/>
    </x:row>
    <x:row r="808">
      <x:c r="B808" s="258" t="n"/>
      <x:c r="C808" s="258" t="n"/>
      <x:c r="E808" s="259" t="n"/>
      <x:c r="F808" s="259" t="n"/>
      <x:c r="G808" s="259" t="n"/>
      <x:c r="H808" s="259" t="n"/>
      <x:c r="I808" s="259" t="n"/>
      <x:c r="J808" s="260" t="n"/>
      <x:c r="M808" s="259" t="n"/>
      <x:c r="N808" s="259" t="n"/>
      <x:c r="U808" s="259" t="n"/>
      <x:c r="W808" s="260" t="n"/>
    </x:row>
    <x:row r="809">
      <x:c r="B809" s="258" t="n"/>
      <x:c r="C809" s="258" t="n"/>
      <x:c r="E809" s="259" t="n"/>
      <x:c r="F809" s="259" t="n"/>
      <x:c r="G809" s="259" t="n"/>
      <x:c r="H809" s="259" t="n"/>
      <x:c r="I809" s="259" t="n"/>
      <x:c r="J809" s="260" t="n"/>
      <x:c r="M809" s="259" t="n"/>
      <x:c r="N809" s="259" t="n"/>
      <x:c r="U809" s="259" t="n"/>
      <x:c r="W809" s="260" t="n"/>
    </x:row>
    <x:row r="810">
      <x:c r="B810" s="258" t="n"/>
      <x:c r="C810" s="258" t="n"/>
      <x:c r="E810" s="259" t="n"/>
      <x:c r="F810" s="259" t="n"/>
      <x:c r="G810" s="259" t="n"/>
      <x:c r="H810" s="259" t="n"/>
      <x:c r="I810" s="259" t="n"/>
      <x:c r="J810" s="260" t="n"/>
      <x:c r="M810" s="259" t="n"/>
      <x:c r="N810" s="259" t="n"/>
      <x:c r="U810" s="259" t="n"/>
      <x:c r="W810" s="260" t="n"/>
    </x:row>
    <x:row r="811">
      <x:c r="B811" s="258" t="n"/>
      <x:c r="C811" s="258" t="n"/>
      <x:c r="E811" s="259" t="n"/>
      <x:c r="F811" s="259" t="n"/>
      <x:c r="G811" s="259" t="n"/>
      <x:c r="H811" s="259" t="n"/>
      <x:c r="I811" s="259" t="n"/>
      <x:c r="J811" s="260" t="n"/>
      <x:c r="M811" s="259" t="n"/>
      <x:c r="N811" s="259" t="n"/>
      <x:c r="U811" s="259" t="n"/>
      <x:c r="W811" s="260" t="n"/>
    </x:row>
    <x:row r="812">
      <x:c r="B812" s="258" t="n"/>
      <x:c r="C812" s="258" t="n"/>
      <x:c r="E812" s="259" t="n"/>
      <x:c r="F812" s="259" t="n"/>
      <x:c r="G812" s="259" t="n"/>
      <x:c r="H812" s="259" t="n"/>
      <x:c r="I812" s="259" t="n"/>
      <x:c r="J812" s="260" t="n"/>
      <x:c r="M812" s="259" t="n"/>
      <x:c r="N812" s="259" t="n"/>
      <x:c r="U812" s="259" t="n"/>
      <x:c r="W812" s="260" t="n"/>
    </x:row>
    <x:row r="813">
      <x:c r="B813" s="258" t="n"/>
      <x:c r="C813" s="258" t="n"/>
      <x:c r="E813" s="259" t="n"/>
      <x:c r="F813" s="259" t="n"/>
      <x:c r="G813" s="259" t="n"/>
      <x:c r="H813" s="259" t="n"/>
      <x:c r="I813" s="259" t="n"/>
      <x:c r="J813" s="260" t="n"/>
      <x:c r="M813" s="259" t="n"/>
      <x:c r="N813" s="259" t="n"/>
      <x:c r="U813" s="259" t="n"/>
      <x:c r="W813" s="260" t="n"/>
    </x:row>
    <x:row r="814">
      <x:c r="B814" s="258" t="n"/>
      <x:c r="C814" s="258" t="n"/>
      <x:c r="E814" s="259" t="n"/>
      <x:c r="F814" s="259" t="n"/>
      <x:c r="G814" s="259" t="n"/>
      <x:c r="H814" s="259" t="n"/>
      <x:c r="I814" s="259" t="n"/>
      <x:c r="J814" s="260" t="n"/>
      <x:c r="M814" s="259" t="n"/>
      <x:c r="N814" s="259" t="n"/>
      <x:c r="U814" s="259" t="n"/>
      <x:c r="W814" s="260" t="n"/>
    </x:row>
    <x:row r="815">
      <x:c r="B815" s="258" t="n"/>
      <x:c r="C815" s="258" t="n"/>
      <x:c r="E815" s="259" t="n"/>
      <x:c r="F815" s="259" t="n"/>
      <x:c r="G815" s="259" t="n"/>
      <x:c r="H815" s="259" t="n"/>
      <x:c r="I815" s="259" t="n"/>
      <x:c r="J815" s="260" t="n"/>
      <x:c r="M815" s="259" t="n"/>
      <x:c r="N815" s="259" t="n"/>
      <x:c r="U815" s="259" t="n"/>
      <x:c r="W815" s="260" t="n"/>
    </x:row>
    <x:row r="816">
      <x:c r="B816" s="258" t="n"/>
      <x:c r="C816" s="258" t="n"/>
      <x:c r="E816" s="259" t="n"/>
      <x:c r="F816" s="259" t="n"/>
      <x:c r="G816" s="259" t="n"/>
      <x:c r="H816" s="259" t="n"/>
      <x:c r="I816" s="259" t="n"/>
      <x:c r="J816" s="260" t="n"/>
      <x:c r="M816" s="259" t="n"/>
      <x:c r="N816" s="259" t="n"/>
      <x:c r="U816" s="259" t="n"/>
      <x:c r="W816" s="260" t="n"/>
    </x:row>
    <x:row r="817">
      <x:c r="B817" s="258" t="n"/>
      <x:c r="C817" s="258" t="n"/>
      <x:c r="E817" s="259" t="n"/>
      <x:c r="F817" s="259" t="n"/>
      <x:c r="G817" s="259" t="n"/>
      <x:c r="H817" s="259" t="n"/>
      <x:c r="I817" s="259" t="n"/>
      <x:c r="J817" s="260" t="n"/>
      <x:c r="M817" s="259" t="n"/>
      <x:c r="N817" s="259" t="n"/>
      <x:c r="U817" s="259" t="n"/>
      <x:c r="W817" s="260" t="n"/>
    </x:row>
    <x:row r="818">
      <x:c r="B818" s="258" t="n"/>
      <x:c r="C818" s="258" t="n"/>
      <x:c r="E818" s="259" t="n"/>
      <x:c r="F818" s="259" t="n"/>
      <x:c r="G818" s="259" t="n"/>
      <x:c r="H818" s="259" t="n"/>
      <x:c r="I818" s="259" t="n"/>
      <x:c r="J818" s="260" t="n"/>
      <x:c r="M818" s="259" t="n"/>
      <x:c r="N818" s="259" t="n"/>
      <x:c r="U818" s="259" t="n"/>
      <x:c r="W818" s="260" t="n"/>
    </x:row>
    <x:row r="819">
      <x:c r="B819" s="258" t="n"/>
      <x:c r="C819" s="258" t="n"/>
      <x:c r="E819" s="259" t="n"/>
      <x:c r="F819" s="259" t="n"/>
      <x:c r="G819" s="259" t="n"/>
      <x:c r="H819" s="259" t="n"/>
      <x:c r="I819" s="259" t="n"/>
      <x:c r="J819" s="260" t="n"/>
      <x:c r="M819" s="259" t="n"/>
      <x:c r="N819" s="259" t="n"/>
      <x:c r="U819" s="259" t="n"/>
      <x:c r="W819" s="260" t="n"/>
    </x:row>
    <x:row r="820">
      <x:c r="B820" s="258" t="n"/>
      <x:c r="C820" s="258" t="n"/>
      <x:c r="E820" s="259" t="n"/>
      <x:c r="F820" s="259" t="n"/>
      <x:c r="G820" s="259" t="n"/>
      <x:c r="H820" s="259" t="n"/>
      <x:c r="I820" s="259" t="n"/>
      <x:c r="J820" s="260" t="n"/>
      <x:c r="M820" s="259" t="n"/>
      <x:c r="N820" s="259" t="n"/>
      <x:c r="U820" s="259" t="n"/>
      <x:c r="W820" s="260" t="n"/>
    </x:row>
    <x:row r="821">
      <x:c r="B821" s="258" t="n"/>
      <x:c r="C821" s="258" t="n"/>
      <x:c r="E821" s="259" t="n"/>
      <x:c r="F821" s="259" t="n"/>
      <x:c r="G821" s="259" t="n"/>
      <x:c r="H821" s="259" t="n"/>
      <x:c r="I821" s="259" t="n"/>
      <x:c r="J821" s="260" t="n"/>
      <x:c r="M821" s="259" t="n"/>
      <x:c r="N821" s="259" t="n"/>
      <x:c r="U821" s="259" t="n"/>
      <x:c r="W821" s="260" t="n"/>
    </x:row>
    <x:row r="822">
      <x:c r="B822" s="258" t="n"/>
      <x:c r="C822" s="258" t="n"/>
      <x:c r="E822" s="259" t="n"/>
      <x:c r="F822" s="259" t="n"/>
      <x:c r="G822" s="259" t="n"/>
      <x:c r="H822" s="259" t="n"/>
      <x:c r="I822" s="259" t="n"/>
      <x:c r="J822" s="260" t="n"/>
      <x:c r="M822" s="259" t="n"/>
      <x:c r="N822" s="259" t="n"/>
      <x:c r="U822" s="259" t="n"/>
      <x:c r="W822" s="260" t="n"/>
    </x:row>
    <x:row r="823">
      <x:c r="B823" s="258" t="n"/>
      <x:c r="C823" s="258" t="n"/>
      <x:c r="E823" s="259" t="n"/>
      <x:c r="F823" s="259" t="n"/>
      <x:c r="G823" s="259" t="n"/>
      <x:c r="H823" s="259" t="n"/>
      <x:c r="I823" s="259" t="n"/>
      <x:c r="J823" s="260" t="n"/>
      <x:c r="M823" s="259" t="n"/>
      <x:c r="N823" s="259" t="n"/>
      <x:c r="U823" s="259" t="n"/>
      <x:c r="W823" s="260" t="n"/>
    </x:row>
    <x:row r="824">
      <x:c r="B824" s="258" t="n"/>
      <x:c r="C824" s="258" t="n"/>
      <x:c r="E824" s="259" t="n"/>
      <x:c r="F824" s="259" t="n"/>
      <x:c r="G824" s="259" t="n"/>
      <x:c r="H824" s="259" t="n"/>
      <x:c r="I824" s="259" t="n"/>
      <x:c r="J824" s="260" t="n"/>
      <x:c r="M824" s="259" t="n"/>
      <x:c r="N824" s="259" t="n"/>
      <x:c r="U824" s="259" t="n"/>
      <x:c r="W824" s="260" t="n"/>
    </x:row>
    <x:row r="825">
      <x:c r="B825" s="258" t="n"/>
      <x:c r="C825" s="258" t="n"/>
      <x:c r="E825" s="259" t="n"/>
      <x:c r="F825" s="259" t="n"/>
      <x:c r="G825" s="259" t="n"/>
      <x:c r="H825" s="259" t="n"/>
      <x:c r="I825" s="259" t="n"/>
      <x:c r="J825" s="260" t="n"/>
      <x:c r="M825" s="259" t="n"/>
      <x:c r="N825" s="259" t="n"/>
      <x:c r="U825" s="259" t="n"/>
      <x:c r="W825" s="260" t="n"/>
    </x:row>
    <x:row r="826">
      <x:c r="B826" s="258" t="n"/>
      <x:c r="C826" s="258" t="n"/>
      <x:c r="E826" s="259" t="n"/>
      <x:c r="F826" s="259" t="n"/>
      <x:c r="G826" s="259" t="n"/>
      <x:c r="H826" s="259" t="n"/>
      <x:c r="I826" s="259" t="n"/>
      <x:c r="J826" s="260" t="n"/>
      <x:c r="M826" s="259" t="n"/>
      <x:c r="N826" s="259" t="n"/>
      <x:c r="U826" s="259" t="n"/>
      <x:c r="W826" s="260" t="n"/>
    </x:row>
    <x:row r="827">
      <x:c r="B827" s="258" t="n"/>
      <x:c r="C827" s="258" t="n"/>
      <x:c r="E827" s="259" t="n"/>
      <x:c r="F827" s="259" t="n"/>
      <x:c r="G827" s="259" t="n"/>
      <x:c r="H827" s="259" t="n"/>
      <x:c r="I827" s="259" t="n"/>
      <x:c r="J827" s="260" t="n"/>
      <x:c r="M827" s="259" t="n"/>
      <x:c r="N827" s="259" t="n"/>
      <x:c r="U827" s="259" t="n"/>
      <x:c r="W827" s="260" t="n"/>
    </x:row>
    <x:row r="828">
      <x:c r="B828" s="258" t="n"/>
      <x:c r="C828" s="258" t="n"/>
      <x:c r="E828" s="259" t="n"/>
      <x:c r="F828" s="259" t="n"/>
      <x:c r="G828" s="259" t="n"/>
      <x:c r="H828" s="259" t="n"/>
      <x:c r="I828" s="259" t="n"/>
      <x:c r="J828" s="260" t="n"/>
      <x:c r="M828" s="259" t="n"/>
      <x:c r="N828" s="259" t="n"/>
      <x:c r="U828" s="259" t="n"/>
      <x:c r="W828" s="260" t="n"/>
    </x:row>
    <x:row r="829">
      <x:c r="B829" s="258" t="n"/>
      <x:c r="C829" s="258" t="n"/>
      <x:c r="E829" s="259" t="n"/>
      <x:c r="F829" s="259" t="n"/>
      <x:c r="G829" s="259" t="n"/>
      <x:c r="H829" s="259" t="n"/>
      <x:c r="I829" s="259" t="n"/>
      <x:c r="J829" s="260" t="n"/>
      <x:c r="M829" s="259" t="n"/>
      <x:c r="N829" s="259" t="n"/>
      <x:c r="U829" s="259" t="n"/>
      <x:c r="W829" s="260" t="n"/>
    </x:row>
    <x:row r="830">
      <x:c r="B830" s="258" t="n"/>
      <x:c r="C830" s="258" t="n"/>
      <x:c r="E830" s="259" t="n"/>
      <x:c r="F830" s="259" t="n"/>
      <x:c r="G830" s="259" t="n"/>
      <x:c r="H830" s="259" t="n"/>
      <x:c r="I830" s="259" t="n"/>
      <x:c r="J830" s="260" t="n"/>
      <x:c r="M830" s="259" t="n"/>
      <x:c r="N830" s="259" t="n"/>
      <x:c r="U830" s="259" t="n"/>
      <x:c r="W830" s="260" t="n"/>
    </x:row>
    <x:row r="831">
      <x:c r="B831" s="258" t="n"/>
      <x:c r="C831" s="258" t="n"/>
      <x:c r="E831" s="259" t="n"/>
      <x:c r="F831" s="259" t="n"/>
      <x:c r="G831" s="259" t="n"/>
      <x:c r="H831" s="259" t="n"/>
      <x:c r="I831" s="259" t="n"/>
      <x:c r="J831" s="260" t="n"/>
      <x:c r="M831" s="259" t="n"/>
      <x:c r="N831" s="259" t="n"/>
      <x:c r="U831" s="259" t="n"/>
      <x:c r="W831" s="260" t="n"/>
    </x:row>
    <x:row r="832">
      <x:c r="B832" s="258" t="n"/>
      <x:c r="C832" s="258" t="n"/>
      <x:c r="E832" s="259" t="n"/>
      <x:c r="F832" s="259" t="n"/>
      <x:c r="G832" s="259" t="n"/>
      <x:c r="H832" s="259" t="n"/>
      <x:c r="I832" s="259" t="n"/>
      <x:c r="J832" s="260" t="n"/>
      <x:c r="M832" s="259" t="n"/>
      <x:c r="N832" s="259" t="n"/>
      <x:c r="U832" s="259" t="n"/>
      <x:c r="W832" s="260" t="n"/>
    </x:row>
    <x:row r="833">
      <x:c r="B833" s="258" t="n"/>
      <x:c r="C833" s="258" t="n"/>
      <x:c r="E833" s="259" t="n"/>
      <x:c r="F833" s="259" t="n"/>
      <x:c r="G833" s="259" t="n"/>
      <x:c r="H833" s="259" t="n"/>
      <x:c r="I833" s="259" t="n"/>
      <x:c r="J833" s="260" t="n"/>
      <x:c r="M833" s="259" t="n"/>
      <x:c r="N833" s="259" t="n"/>
      <x:c r="U833" s="259" t="n"/>
      <x:c r="W833" s="260" t="n"/>
    </x:row>
    <x:row r="834">
      <x:c r="B834" s="258" t="n"/>
      <x:c r="C834" s="258" t="n"/>
      <x:c r="E834" s="259" t="n"/>
      <x:c r="F834" s="259" t="n"/>
      <x:c r="G834" s="259" t="n"/>
      <x:c r="H834" s="259" t="n"/>
      <x:c r="I834" s="259" t="n"/>
      <x:c r="J834" s="260" t="n"/>
      <x:c r="M834" s="259" t="n"/>
      <x:c r="N834" s="259" t="n"/>
      <x:c r="U834" s="259" t="n"/>
      <x:c r="W834" s="260" t="n"/>
    </x:row>
    <x:row r="835">
      <x:c r="B835" s="258" t="n"/>
      <x:c r="C835" s="258" t="n"/>
      <x:c r="E835" s="259" t="n"/>
      <x:c r="F835" s="259" t="n"/>
      <x:c r="G835" s="259" t="n"/>
      <x:c r="H835" s="259" t="n"/>
      <x:c r="I835" s="259" t="n"/>
      <x:c r="J835" s="260" t="n"/>
      <x:c r="M835" s="259" t="n"/>
      <x:c r="N835" s="259" t="n"/>
      <x:c r="U835" s="259" t="n"/>
      <x:c r="W835" s="260" t="n"/>
    </x:row>
    <x:row r="836">
      <x:c r="B836" s="258" t="n"/>
      <x:c r="C836" s="258" t="n"/>
      <x:c r="E836" s="259" t="n"/>
      <x:c r="F836" s="259" t="n"/>
      <x:c r="G836" s="259" t="n"/>
      <x:c r="H836" s="259" t="n"/>
      <x:c r="I836" s="259" t="n"/>
      <x:c r="J836" s="260" t="n"/>
      <x:c r="M836" s="259" t="n"/>
      <x:c r="N836" s="259" t="n"/>
      <x:c r="U836" s="259" t="n"/>
      <x:c r="W836" s="260" t="n"/>
    </x:row>
    <x:row r="837">
      <x:c r="B837" s="258" t="n"/>
      <x:c r="C837" s="258" t="n"/>
      <x:c r="E837" s="259" t="n"/>
      <x:c r="F837" s="259" t="n"/>
      <x:c r="G837" s="259" t="n"/>
      <x:c r="H837" s="259" t="n"/>
      <x:c r="I837" s="259" t="n"/>
      <x:c r="J837" s="260" t="n"/>
      <x:c r="M837" s="259" t="n"/>
      <x:c r="N837" s="259" t="n"/>
      <x:c r="U837" s="259" t="n"/>
      <x:c r="W837" s="260" t="n"/>
    </x:row>
    <x:row r="838">
      <x:c r="B838" s="258" t="n"/>
      <x:c r="C838" s="258" t="n"/>
      <x:c r="E838" s="259" t="n"/>
      <x:c r="F838" s="259" t="n"/>
      <x:c r="G838" s="259" t="n"/>
      <x:c r="H838" s="259" t="n"/>
      <x:c r="I838" s="259" t="n"/>
      <x:c r="J838" s="260" t="n"/>
      <x:c r="M838" s="259" t="n"/>
      <x:c r="N838" s="259" t="n"/>
      <x:c r="U838" s="259" t="n"/>
      <x:c r="W838" s="260" t="n"/>
    </x:row>
    <x:row r="839">
      <x:c r="B839" s="258" t="n"/>
      <x:c r="C839" s="258" t="n"/>
      <x:c r="E839" s="259" t="n"/>
      <x:c r="F839" s="259" t="n"/>
      <x:c r="G839" s="259" t="n"/>
      <x:c r="H839" s="259" t="n"/>
      <x:c r="I839" s="259" t="n"/>
      <x:c r="J839" s="260" t="n"/>
      <x:c r="M839" s="259" t="n"/>
      <x:c r="N839" s="259" t="n"/>
      <x:c r="U839" s="259" t="n"/>
      <x:c r="W839" s="260" t="n"/>
    </x:row>
    <x:row r="840">
      <x:c r="B840" s="258" t="n"/>
      <x:c r="C840" s="258" t="n"/>
      <x:c r="E840" s="259" t="n"/>
      <x:c r="F840" s="259" t="n"/>
      <x:c r="G840" s="259" t="n"/>
      <x:c r="H840" s="259" t="n"/>
      <x:c r="I840" s="259" t="n"/>
      <x:c r="J840" s="260" t="n"/>
      <x:c r="M840" s="259" t="n"/>
      <x:c r="N840" s="259" t="n"/>
      <x:c r="U840" s="259" t="n"/>
      <x:c r="W840" s="260" t="n"/>
    </x:row>
    <x:row r="841">
      <x:c r="B841" s="258" t="n"/>
      <x:c r="C841" s="258" t="n"/>
      <x:c r="E841" s="259" t="n"/>
      <x:c r="F841" s="259" t="n"/>
      <x:c r="G841" s="259" t="n"/>
      <x:c r="H841" s="259" t="n"/>
      <x:c r="I841" s="259" t="n"/>
      <x:c r="J841" s="260" t="n"/>
      <x:c r="M841" s="259" t="n"/>
      <x:c r="N841" s="259" t="n"/>
      <x:c r="U841" s="259" t="n"/>
      <x:c r="W841" s="260" t="n"/>
    </x:row>
    <x:row r="842">
      <x:c r="B842" s="258" t="n"/>
      <x:c r="C842" s="258" t="n"/>
      <x:c r="E842" s="259" t="n"/>
      <x:c r="F842" s="259" t="n"/>
      <x:c r="G842" s="259" t="n"/>
      <x:c r="H842" s="259" t="n"/>
      <x:c r="I842" s="259" t="n"/>
      <x:c r="J842" s="260" t="n"/>
      <x:c r="M842" s="259" t="n"/>
      <x:c r="N842" s="259" t="n"/>
      <x:c r="U842" s="259" t="n"/>
      <x:c r="W842" s="260" t="n"/>
    </x:row>
    <x:row r="843">
      <x:c r="B843" s="258" t="n"/>
      <x:c r="C843" s="258" t="n"/>
      <x:c r="E843" s="259" t="n"/>
      <x:c r="F843" s="259" t="n"/>
      <x:c r="G843" s="259" t="n"/>
      <x:c r="H843" s="259" t="n"/>
      <x:c r="I843" s="259" t="n"/>
      <x:c r="J843" s="260" t="n"/>
      <x:c r="M843" s="259" t="n"/>
      <x:c r="N843" s="259" t="n"/>
      <x:c r="U843" s="259" t="n"/>
      <x:c r="W843" s="260" t="n"/>
    </x:row>
    <x:row r="844">
      <x:c r="B844" s="258" t="n"/>
      <x:c r="C844" s="258" t="n"/>
      <x:c r="E844" s="259" t="n"/>
      <x:c r="F844" s="259" t="n"/>
      <x:c r="G844" s="259" t="n"/>
      <x:c r="H844" s="259" t="n"/>
      <x:c r="I844" s="259" t="n"/>
      <x:c r="J844" s="260" t="n"/>
      <x:c r="M844" s="259" t="n"/>
      <x:c r="N844" s="259" t="n"/>
      <x:c r="U844" s="259" t="n"/>
      <x:c r="W844" s="260" t="n"/>
    </x:row>
    <x:row r="845">
      <x:c r="B845" s="258" t="n"/>
      <x:c r="C845" s="258" t="n"/>
      <x:c r="E845" s="259" t="n"/>
      <x:c r="F845" s="259" t="n"/>
      <x:c r="G845" s="259" t="n"/>
      <x:c r="H845" s="259" t="n"/>
      <x:c r="I845" s="259" t="n"/>
      <x:c r="J845" s="260" t="n"/>
      <x:c r="M845" s="259" t="n"/>
      <x:c r="N845" s="259" t="n"/>
      <x:c r="U845" s="259" t="n"/>
      <x:c r="W845" s="260" t="n"/>
    </x:row>
    <x:row r="846">
      <x:c r="B846" s="258" t="n"/>
      <x:c r="C846" s="258" t="n"/>
      <x:c r="E846" s="259" t="n"/>
      <x:c r="F846" s="259" t="n"/>
      <x:c r="G846" s="259" t="n"/>
      <x:c r="H846" s="259" t="n"/>
      <x:c r="I846" s="259" t="n"/>
      <x:c r="J846" s="260" t="n"/>
      <x:c r="M846" s="259" t="n"/>
      <x:c r="N846" s="259" t="n"/>
      <x:c r="U846" s="259" t="n"/>
      <x:c r="W846" s="260" t="n"/>
    </x:row>
    <x:row r="847">
      <x:c r="B847" s="258" t="n"/>
      <x:c r="C847" s="258" t="n"/>
      <x:c r="E847" s="259" t="n"/>
      <x:c r="F847" s="259" t="n"/>
      <x:c r="G847" s="259" t="n"/>
      <x:c r="H847" s="259" t="n"/>
      <x:c r="I847" s="259" t="n"/>
      <x:c r="J847" s="260" t="n"/>
      <x:c r="M847" s="259" t="n"/>
      <x:c r="N847" s="259" t="n"/>
      <x:c r="U847" s="259" t="n"/>
      <x:c r="W847" s="260" t="n"/>
    </x:row>
    <x:row r="848">
      <x:c r="B848" s="258" t="n"/>
      <x:c r="C848" s="258" t="n"/>
      <x:c r="E848" s="259" t="n"/>
      <x:c r="F848" s="259" t="n"/>
      <x:c r="G848" s="259" t="n"/>
      <x:c r="H848" s="259" t="n"/>
      <x:c r="I848" s="259" t="n"/>
      <x:c r="J848" s="260" t="n"/>
      <x:c r="M848" s="259" t="n"/>
      <x:c r="N848" s="259" t="n"/>
      <x:c r="U848" s="259" t="n"/>
      <x:c r="W848" s="260" t="n"/>
    </x:row>
    <x:row r="849">
      <x:c r="B849" s="258" t="n"/>
      <x:c r="C849" s="258" t="n"/>
      <x:c r="E849" s="259" t="n"/>
      <x:c r="F849" s="259" t="n"/>
      <x:c r="G849" s="259" t="n"/>
      <x:c r="H849" s="259" t="n"/>
      <x:c r="I849" s="259" t="n"/>
      <x:c r="J849" s="260" t="n"/>
      <x:c r="M849" s="259" t="n"/>
      <x:c r="N849" s="259" t="n"/>
      <x:c r="U849" s="259" t="n"/>
      <x:c r="W849" s="260" t="n"/>
    </x:row>
    <x:row r="850">
      <x:c r="B850" s="258" t="n"/>
      <x:c r="C850" s="258" t="n"/>
      <x:c r="E850" s="259" t="n"/>
      <x:c r="F850" s="259" t="n"/>
      <x:c r="G850" s="259" t="n"/>
      <x:c r="H850" s="259" t="n"/>
      <x:c r="I850" s="259" t="n"/>
      <x:c r="J850" s="260" t="n"/>
      <x:c r="M850" s="259" t="n"/>
      <x:c r="N850" s="259" t="n"/>
      <x:c r="U850" s="259" t="n"/>
      <x:c r="W850" s="260" t="n"/>
    </x:row>
    <x:row r="851">
      <x:c r="B851" s="258" t="n"/>
      <x:c r="C851" s="258" t="n"/>
      <x:c r="E851" s="259" t="n"/>
      <x:c r="F851" s="259" t="n"/>
      <x:c r="G851" s="259" t="n"/>
      <x:c r="H851" s="259" t="n"/>
      <x:c r="I851" s="259" t="n"/>
      <x:c r="J851" s="260" t="n"/>
      <x:c r="M851" s="259" t="n"/>
      <x:c r="N851" s="259" t="n"/>
      <x:c r="U851" s="259" t="n"/>
      <x:c r="W851" s="260" t="n"/>
    </x:row>
    <x:row r="852">
      <x:c r="B852" s="258" t="n"/>
      <x:c r="C852" s="258" t="n"/>
      <x:c r="E852" s="259" t="n"/>
      <x:c r="F852" s="259" t="n"/>
      <x:c r="G852" s="259" t="n"/>
      <x:c r="H852" s="259" t="n"/>
      <x:c r="I852" s="259" t="n"/>
      <x:c r="J852" s="260" t="n"/>
      <x:c r="M852" s="259" t="n"/>
      <x:c r="N852" s="259" t="n"/>
      <x:c r="U852" s="259" t="n"/>
      <x:c r="W852" s="260" t="n"/>
    </x:row>
    <x:row r="853">
      <x:c r="B853" s="258" t="n"/>
      <x:c r="C853" s="258" t="n"/>
      <x:c r="E853" s="259" t="n"/>
      <x:c r="F853" s="259" t="n"/>
      <x:c r="G853" s="259" t="n"/>
      <x:c r="H853" s="259" t="n"/>
      <x:c r="I853" s="259" t="n"/>
      <x:c r="J853" s="260" t="n"/>
      <x:c r="M853" s="259" t="n"/>
      <x:c r="N853" s="259" t="n"/>
      <x:c r="U853" s="259" t="n"/>
      <x:c r="W853" s="260" t="n"/>
    </x:row>
    <x:row r="854">
      <x:c r="B854" s="258" t="n"/>
      <x:c r="C854" s="258" t="n"/>
      <x:c r="E854" s="259" t="n"/>
      <x:c r="F854" s="259" t="n"/>
      <x:c r="G854" s="259" t="n"/>
      <x:c r="H854" s="259" t="n"/>
      <x:c r="I854" s="259" t="n"/>
      <x:c r="J854" s="260" t="n"/>
      <x:c r="M854" s="259" t="n"/>
      <x:c r="N854" s="259" t="n"/>
      <x:c r="U854" s="259" t="n"/>
      <x:c r="W854" s="260" t="n"/>
    </x:row>
    <x:row r="855">
      <x:c r="B855" s="258" t="n"/>
      <x:c r="C855" s="258" t="n"/>
      <x:c r="E855" s="259" t="n"/>
      <x:c r="F855" s="259" t="n"/>
      <x:c r="G855" s="259" t="n"/>
      <x:c r="H855" s="259" t="n"/>
      <x:c r="I855" s="259" t="n"/>
      <x:c r="J855" s="260" t="n"/>
      <x:c r="M855" s="259" t="n"/>
      <x:c r="N855" s="259" t="n"/>
      <x:c r="U855" s="259" t="n"/>
      <x:c r="W855" s="260" t="n"/>
    </x:row>
    <x:row r="856">
      <x:c r="B856" s="258" t="n"/>
      <x:c r="C856" s="258" t="n"/>
      <x:c r="E856" s="259" t="n"/>
      <x:c r="F856" s="259" t="n"/>
      <x:c r="G856" s="259" t="n"/>
      <x:c r="H856" s="259" t="n"/>
      <x:c r="I856" s="259" t="n"/>
      <x:c r="J856" s="260" t="n"/>
      <x:c r="M856" s="259" t="n"/>
      <x:c r="N856" s="259" t="n"/>
      <x:c r="U856" s="259" t="n"/>
      <x:c r="W856" s="260" t="n"/>
    </x:row>
    <x:row r="857">
      <x:c r="B857" s="258" t="n"/>
      <x:c r="C857" s="258" t="n"/>
      <x:c r="E857" s="259" t="n"/>
      <x:c r="F857" s="259" t="n"/>
      <x:c r="G857" s="259" t="n"/>
      <x:c r="H857" s="259" t="n"/>
      <x:c r="I857" s="259" t="n"/>
      <x:c r="J857" s="260" t="n"/>
      <x:c r="M857" s="259" t="n"/>
      <x:c r="N857" s="259" t="n"/>
      <x:c r="U857" s="259" t="n"/>
      <x:c r="W857" s="260" t="n"/>
    </x:row>
    <x:row r="858">
      <x:c r="B858" s="258" t="n"/>
      <x:c r="C858" s="258" t="n"/>
      <x:c r="E858" s="259" t="n"/>
      <x:c r="F858" s="259" t="n"/>
      <x:c r="G858" s="259" t="n"/>
      <x:c r="H858" s="259" t="n"/>
      <x:c r="I858" s="259" t="n"/>
      <x:c r="J858" s="260" t="n"/>
      <x:c r="M858" s="259" t="n"/>
      <x:c r="N858" s="259" t="n"/>
      <x:c r="U858" s="259" t="n"/>
      <x:c r="W858" s="260" t="n"/>
    </x:row>
    <x:row r="859">
      <x:c r="B859" s="258" t="n"/>
      <x:c r="C859" s="258" t="n"/>
      <x:c r="E859" s="259" t="n"/>
      <x:c r="F859" s="259" t="n"/>
      <x:c r="G859" s="259" t="n"/>
      <x:c r="H859" s="259" t="n"/>
      <x:c r="I859" s="259" t="n"/>
      <x:c r="J859" s="260" t="n"/>
      <x:c r="M859" s="259" t="n"/>
      <x:c r="N859" s="259" t="n"/>
      <x:c r="U859" s="259" t="n"/>
      <x:c r="W859" s="260" t="n"/>
    </x:row>
    <x:row r="860">
      <x:c r="B860" s="258" t="n"/>
      <x:c r="C860" s="258" t="n"/>
      <x:c r="E860" s="259" t="n"/>
      <x:c r="F860" s="259" t="n"/>
      <x:c r="G860" s="259" t="n"/>
      <x:c r="H860" s="259" t="n"/>
      <x:c r="I860" s="259" t="n"/>
      <x:c r="J860" s="260" t="n"/>
      <x:c r="M860" s="259" t="n"/>
      <x:c r="N860" s="259" t="n"/>
      <x:c r="U860" s="259" t="n"/>
      <x:c r="W860" s="260" t="n"/>
    </x:row>
    <x:row r="861">
      <x:c r="B861" s="258" t="n"/>
      <x:c r="C861" s="258" t="n"/>
      <x:c r="E861" s="259" t="n"/>
      <x:c r="F861" s="259" t="n"/>
      <x:c r="G861" s="259" t="n"/>
      <x:c r="H861" s="259" t="n"/>
      <x:c r="I861" s="259" t="n"/>
      <x:c r="J861" s="260" t="n"/>
      <x:c r="M861" s="259" t="n"/>
      <x:c r="N861" s="259" t="n"/>
      <x:c r="U861" s="259" t="n"/>
      <x:c r="W861" s="260" t="n"/>
    </x:row>
    <x:row r="862">
      <x:c r="B862" s="258" t="n"/>
      <x:c r="C862" s="258" t="n"/>
      <x:c r="E862" s="259" t="n"/>
      <x:c r="F862" s="259" t="n"/>
      <x:c r="G862" s="259" t="n"/>
      <x:c r="H862" s="259" t="n"/>
      <x:c r="I862" s="259" t="n"/>
      <x:c r="J862" s="260" t="n"/>
      <x:c r="M862" s="259" t="n"/>
      <x:c r="N862" s="259" t="n"/>
      <x:c r="U862" s="259" t="n"/>
      <x:c r="W862" s="260" t="n"/>
    </x:row>
    <x:row r="863">
      <x:c r="B863" s="258" t="n"/>
      <x:c r="C863" s="258" t="n"/>
      <x:c r="E863" s="259" t="n"/>
      <x:c r="F863" s="259" t="n"/>
      <x:c r="G863" s="259" t="n"/>
      <x:c r="H863" s="259" t="n"/>
      <x:c r="I863" s="259" t="n"/>
      <x:c r="J863" s="260" t="n"/>
      <x:c r="M863" s="259" t="n"/>
      <x:c r="N863" s="259" t="n"/>
      <x:c r="U863" s="259" t="n"/>
      <x:c r="W863" s="260" t="n"/>
    </x:row>
    <x:row r="864">
      <x:c r="B864" s="258" t="n"/>
      <x:c r="C864" s="258" t="n"/>
      <x:c r="E864" s="259" t="n"/>
      <x:c r="F864" s="259" t="n"/>
      <x:c r="G864" s="259" t="n"/>
      <x:c r="H864" s="259" t="n"/>
      <x:c r="I864" s="259" t="n"/>
      <x:c r="J864" s="260" t="n"/>
      <x:c r="M864" s="259" t="n"/>
      <x:c r="N864" s="259" t="n"/>
      <x:c r="U864" s="259" t="n"/>
      <x:c r="W864" s="260" t="n"/>
    </x:row>
    <x:row r="865">
      <x:c r="B865" s="258" t="n"/>
      <x:c r="C865" s="258" t="n"/>
      <x:c r="E865" s="259" t="n"/>
      <x:c r="F865" s="259" t="n"/>
      <x:c r="G865" s="259" t="n"/>
      <x:c r="H865" s="259" t="n"/>
      <x:c r="I865" s="259" t="n"/>
      <x:c r="J865" s="260" t="n"/>
      <x:c r="M865" s="259" t="n"/>
      <x:c r="N865" s="259" t="n"/>
      <x:c r="U865" s="259" t="n"/>
      <x:c r="W865" s="260" t="n"/>
    </x:row>
    <x:row r="866">
      <x:c r="B866" s="258" t="n"/>
      <x:c r="C866" s="258" t="n"/>
      <x:c r="E866" s="259" t="n"/>
      <x:c r="F866" s="259" t="n"/>
      <x:c r="G866" s="259" t="n"/>
      <x:c r="H866" s="259" t="n"/>
      <x:c r="I866" s="259" t="n"/>
      <x:c r="J866" s="260" t="n"/>
      <x:c r="M866" s="259" t="n"/>
      <x:c r="N866" s="259" t="n"/>
      <x:c r="U866" s="259" t="n"/>
      <x:c r="W866" s="260" t="n"/>
    </x:row>
    <x:row r="867">
      <x:c r="B867" s="258" t="n"/>
      <x:c r="C867" s="258" t="n"/>
      <x:c r="E867" s="259" t="n"/>
      <x:c r="F867" s="259" t="n"/>
      <x:c r="G867" s="259" t="n"/>
      <x:c r="H867" s="259" t="n"/>
      <x:c r="I867" s="259" t="n"/>
      <x:c r="J867" s="260" t="n"/>
      <x:c r="M867" s="259" t="n"/>
      <x:c r="N867" s="259" t="n"/>
      <x:c r="U867" s="259" t="n"/>
      <x:c r="W867" s="260" t="n"/>
    </x:row>
    <x:row r="868">
      <x:c r="B868" s="258" t="n"/>
      <x:c r="C868" s="258" t="n"/>
      <x:c r="E868" s="259" t="n"/>
      <x:c r="F868" s="259" t="n"/>
      <x:c r="G868" s="259" t="n"/>
      <x:c r="H868" s="259" t="n"/>
      <x:c r="I868" s="259" t="n"/>
      <x:c r="J868" s="260" t="n"/>
      <x:c r="M868" s="259" t="n"/>
      <x:c r="N868" s="259" t="n"/>
      <x:c r="U868" s="259" t="n"/>
      <x:c r="W868" s="260" t="n"/>
    </x:row>
    <x:row r="869">
      <x:c r="B869" s="258" t="n"/>
      <x:c r="C869" s="258" t="n"/>
      <x:c r="E869" s="259" t="n"/>
      <x:c r="F869" s="259" t="n"/>
      <x:c r="G869" s="259" t="n"/>
      <x:c r="H869" s="259" t="n"/>
      <x:c r="I869" s="259" t="n"/>
      <x:c r="J869" s="260" t="n"/>
      <x:c r="M869" s="259" t="n"/>
      <x:c r="N869" s="259" t="n"/>
      <x:c r="U869" s="259" t="n"/>
      <x:c r="W869" s="260" t="n"/>
    </x:row>
    <x:row r="870">
      <x:c r="B870" s="258" t="n"/>
      <x:c r="C870" s="258" t="n"/>
      <x:c r="E870" s="259" t="n"/>
      <x:c r="F870" s="259" t="n"/>
      <x:c r="G870" s="259" t="n"/>
      <x:c r="H870" s="259" t="n"/>
      <x:c r="I870" s="259" t="n"/>
      <x:c r="J870" s="260" t="n"/>
      <x:c r="M870" s="259" t="n"/>
      <x:c r="N870" s="259" t="n"/>
      <x:c r="U870" s="259" t="n"/>
      <x:c r="W870" s="260" t="n"/>
    </x:row>
    <x:row r="871">
      <x:c r="B871" s="258" t="n"/>
      <x:c r="C871" s="258" t="n"/>
      <x:c r="E871" s="259" t="n"/>
      <x:c r="F871" s="259" t="n"/>
      <x:c r="G871" s="259" t="n"/>
      <x:c r="H871" s="259" t="n"/>
      <x:c r="I871" s="259" t="n"/>
      <x:c r="J871" s="260" t="n"/>
      <x:c r="M871" s="259" t="n"/>
      <x:c r="N871" s="259" t="n"/>
      <x:c r="U871" s="259" t="n"/>
      <x:c r="W871" s="260" t="n"/>
    </x:row>
    <x:row r="872">
      <x:c r="B872" s="258" t="n"/>
      <x:c r="C872" s="258" t="n"/>
      <x:c r="E872" s="259" t="n"/>
      <x:c r="F872" s="259" t="n"/>
      <x:c r="G872" s="259" t="n"/>
      <x:c r="H872" s="259" t="n"/>
      <x:c r="I872" s="259" t="n"/>
      <x:c r="J872" s="260" t="n"/>
      <x:c r="M872" s="259" t="n"/>
      <x:c r="N872" s="259" t="n"/>
      <x:c r="U872" s="259" t="n"/>
      <x:c r="W872" s="260" t="n"/>
    </x:row>
    <x:row r="873">
      <x:c r="B873" s="258" t="n"/>
      <x:c r="C873" s="258" t="n"/>
      <x:c r="E873" s="259" t="n"/>
      <x:c r="F873" s="259" t="n"/>
      <x:c r="G873" s="259" t="n"/>
      <x:c r="H873" s="259" t="n"/>
      <x:c r="I873" s="259" t="n"/>
      <x:c r="J873" s="260" t="n"/>
      <x:c r="M873" s="259" t="n"/>
      <x:c r="N873" s="259" t="n"/>
      <x:c r="U873" s="259" t="n"/>
      <x:c r="W873" s="260" t="n"/>
    </x:row>
    <x:row r="874">
      <x:c r="B874" s="258" t="n"/>
      <x:c r="C874" s="258" t="n"/>
      <x:c r="E874" s="259" t="n"/>
      <x:c r="F874" s="259" t="n"/>
      <x:c r="G874" s="259" t="n"/>
      <x:c r="H874" s="259" t="n"/>
      <x:c r="I874" s="259" t="n"/>
      <x:c r="J874" s="260" t="n"/>
      <x:c r="M874" s="259" t="n"/>
      <x:c r="N874" s="259" t="n"/>
      <x:c r="U874" s="259" t="n"/>
      <x:c r="W874" s="260" t="n"/>
    </x:row>
    <x:row r="875">
      <x:c r="B875" s="258" t="n"/>
      <x:c r="C875" s="258" t="n"/>
      <x:c r="E875" s="259" t="n"/>
      <x:c r="F875" s="259" t="n"/>
      <x:c r="G875" s="259" t="n"/>
      <x:c r="H875" s="259" t="n"/>
      <x:c r="I875" s="259" t="n"/>
      <x:c r="J875" s="260" t="n"/>
      <x:c r="M875" s="259" t="n"/>
      <x:c r="N875" s="259" t="n"/>
      <x:c r="U875" s="259" t="n"/>
      <x:c r="W875" s="260" t="n"/>
    </x:row>
    <x:row r="876">
      <x:c r="B876" s="258" t="n"/>
      <x:c r="C876" s="258" t="n"/>
      <x:c r="E876" s="259" t="n"/>
      <x:c r="F876" s="259" t="n"/>
      <x:c r="G876" s="259" t="n"/>
      <x:c r="H876" s="259" t="n"/>
      <x:c r="I876" s="259" t="n"/>
      <x:c r="J876" s="260" t="n"/>
      <x:c r="M876" s="259" t="n"/>
      <x:c r="N876" s="259" t="n"/>
      <x:c r="U876" s="259" t="n"/>
      <x:c r="W876" s="260" t="n"/>
    </x:row>
    <x:row r="877">
      <x:c r="B877" s="258" t="n"/>
      <x:c r="C877" s="258" t="n"/>
      <x:c r="E877" s="259" t="n"/>
      <x:c r="F877" s="259" t="n"/>
      <x:c r="G877" s="259" t="n"/>
      <x:c r="H877" s="259" t="n"/>
      <x:c r="I877" s="259" t="n"/>
      <x:c r="J877" s="260" t="n"/>
      <x:c r="M877" s="259" t="n"/>
      <x:c r="N877" s="259" t="n"/>
      <x:c r="U877" s="259" t="n"/>
      <x:c r="W877" s="260" t="n"/>
    </x:row>
    <x:row r="878">
      <x:c r="B878" s="258" t="n"/>
      <x:c r="C878" s="258" t="n"/>
      <x:c r="E878" s="259" t="n"/>
      <x:c r="F878" s="259" t="n"/>
      <x:c r="G878" s="259" t="n"/>
      <x:c r="H878" s="259" t="n"/>
      <x:c r="I878" s="259" t="n"/>
      <x:c r="J878" s="260" t="n"/>
      <x:c r="M878" s="259" t="n"/>
      <x:c r="N878" s="259" t="n"/>
      <x:c r="U878" s="259" t="n"/>
      <x:c r="W878" s="260" t="n"/>
    </x:row>
    <x:row r="879">
      <x:c r="B879" s="258" t="n"/>
      <x:c r="C879" s="258" t="n"/>
      <x:c r="E879" s="259" t="n"/>
      <x:c r="F879" s="259" t="n"/>
      <x:c r="G879" s="259" t="n"/>
      <x:c r="H879" s="259" t="n"/>
      <x:c r="I879" s="259" t="n"/>
      <x:c r="J879" s="260" t="n"/>
      <x:c r="M879" s="259" t="n"/>
      <x:c r="N879" s="259" t="n"/>
      <x:c r="U879" s="259" t="n"/>
      <x:c r="W879" s="260" t="n"/>
    </x:row>
    <x:row r="880">
      <x:c r="B880" s="258" t="n"/>
      <x:c r="C880" s="258" t="n"/>
      <x:c r="E880" s="259" t="n"/>
      <x:c r="F880" s="259" t="n"/>
      <x:c r="G880" s="259" t="n"/>
      <x:c r="H880" s="259" t="n"/>
      <x:c r="I880" s="259" t="n"/>
      <x:c r="J880" s="260" t="n"/>
      <x:c r="M880" s="259" t="n"/>
      <x:c r="N880" s="259" t="n"/>
      <x:c r="U880" s="259" t="n"/>
      <x:c r="W880" s="260" t="n"/>
    </x:row>
    <x:row r="881">
      <x:c r="B881" s="258" t="n"/>
      <x:c r="C881" s="258" t="n"/>
      <x:c r="E881" s="259" t="n"/>
      <x:c r="F881" s="259" t="n"/>
      <x:c r="G881" s="259" t="n"/>
      <x:c r="H881" s="259" t="n"/>
      <x:c r="I881" s="259" t="n"/>
      <x:c r="J881" s="260" t="n"/>
      <x:c r="M881" s="259" t="n"/>
      <x:c r="N881" s="259" t="n"/>
      <x:c r="U881" s="259" t="n"/>
      <x:c r="W881" s="260" t="n"/>
    </x:row>
    <x:row r="882">
      <x:c r="B882" s="258" t="n"/>
      <x:c r="C882" s="258" t="n"/>
      <x:c r="E882" s="259" t="n"/>
      <x:c r="F882" s="259" t="n"/>
      <x:c r="G882" s="259" t="n"/>
      <x:c r="H882" s="259" t="n"/>
      <x:c r="I882" s="259" t="n"/>
      <x:c r="J882" s="260" t="n"/>
      <x:c r="M882" s="259" t="n"/>
      <x:c r="N882" s="259" t="n"/>
      <x:c r="U882" s="259" t="n"/>
      <x:c r="W882" s="260" t="n"/>
    </x:row>
    <x:row r="883">
      <x:c r="B883" s="258" t="n"/>
      <x:c r="C883" s="258" t="n"/>
      <x:c r="E883" s="259" t="n"/>
      <x:c r="F883" s="259" t="n"/>
      <x:c r="G883" s="259" t="n"/>
      <x:c r="H883" s="259" t="n"/>
      <x:c r="I883" s="259" t="n"/>
      <x:c r="J883" s="260" t="n"/>
      <x:c r="M883" s="259" t="n"/>
      <x:c r="N883" s="259" t="n"/>
      <x:c r="U883" s="259" t="n"/>
      <x:c r="W883" s="260" t="n"/>
    </x:row>
    <x:row r="884">
      <x:c r="B884" s="258" t="n"/>
      <x:c r="C884" s="258" t="n"/>
      <x:c r="E884" s="259" t="n"/>
      <x:c r="F884" s="259" t="n"/>
      <x:c r="G884" s="259" t="n"/>
      <x:c r="H884" s="259" t="n"/>
      <x:c r="I884" s="259" t="n"/>
      <x:c r="J884" s="260" t="n"/>
      <x:c r="M884" s="259" t="n"/>
      <x:c r="N884" s="259" t="n"/>
      <x:c r="U884" s="259" t="n"/>
      <x:c r="W884" s="260" t="n"/>
    </x:row>
    <x:row r="885">
      <x:c r="B885" s="258" t="n"/>
      <x:c r="C885" s="258" t="n"/>
      <x:c r="E885" s="259" t="n"/>
      <x:c r="F885" s="259" t="n"/>
      <x:c r="G885" s="259" t="n"/>
      <x:c r="H885" s="259" t="n"/>
      <x:c r="I885" s="259" t="n"/>
      <x:c r="J885" s="260" t="n"/>
      <x:c r="M885" s="259" t="n"/>
      <x:c r="N885" s="259" t="n"/>
      <x:c r="U885" s="259" t="n"/>
      <x:c r="W885" s="260" t="n"/>
    </x:row>
    <x:row r="886">
      <x:c r="B886" s="258" t="n"/>
      <x:c r="C886" s="258" t="n"/>
      <x:c r="E886" s="259" t="n"/>
      <x:c r="F886" s="259" t="n"/>
      <x:c r="G886" s="259" t="n"/>
      <x:c r="H886" s="259" t="n"/>
      <x:c r="I886" s="259" t="n"/>
      <x:c r="J886" s="260" t="n"/>
      <x:c r="M886" s="259" t="n"/>
      <x:c r="N886" s="259" t="n"/>
      <x:c r="U886" s="259" t="n"/>
      <x:c r="W886" s="260" t="n"/>
    </x:row>
    <x:row r="887">
      <x:c r="B887" s="258" t="n"/>
      <x:c r="C887" s="258" t="n"/>
      <x:c r="E887" s="259" t="n"/>
      <x:c r="F887" s="259" t="n"/>
      <x:c r="G887" s="259" t="n"/>
      <x:c r="H887" s="259" t="n"/>
      <x:c r="I887" s="259" t="n"/>
      <x:c r="J887" s="260" t="n"/>
      <x:c r="M887" s="259" t="n"/>
      <x:c r="N887" s="259" t="n"/>
      <x:c r="U887" s="259" t="n"/>
      <x:c r="W887" s="260" t="n"/>
    </x:row>
    <x:row r="888">
      <x:c r="B888" s="258" t="n"/>
      <x:c r="C888" s="258" t="n"/>
      <x:c r="E888" s="259" t="n"/>
      <x:c r="F888" s="259" t="n"/>
      <x:c r="G888" s="259" t="n"/>
      <x:c r="H888" s="259" t="n"/>
      <x:c r="I888" s="259" t="n"/>
      <x:c r="J888" s="260" t="n"/>
      <x:c r="M888" s="259" t="n"/>
      <x:c r="N888" s="259" t="n"/>
      <x:c r="U888" s="259" t="n"/>
      <x:c r="W888" s="260" t="n"/>
    </x:row>
    <x:row r="889">
      <x:c r="B889" s="258" t="n"/>
      <x:c r="C889" s="258" t="n"/>
      <x:c r="E889" s="259" t="n"/>
      <x:c r="F889" s="259" t="n"/>
      <x:c r="G889" s="259" t="n"/>
      <x:c r="H889" s="259" t="n"/>
      <x:c r="I889" s="259" t="n"/>
      <x:c r="J889" s="260" t="n"/>
      <x:c r="M889" s="259" t="n"/>
      <x:c r="N889" s="259" t="n"/>
      <x:c r="U889" s="259" t="n"/>
      <x:c r="W889" s="260" t="n"/>
    </x:row>
    <x:row r="890">
      <x:c r="B890" s="258" t="n"/>
      <x:c r="C890" s="258" t="n"/>
      <x:c r="E890" s="259" t="n"/>
      <x:c r="F890" s="259" t="n"/>
      <x:c r="G890" s="259" t="n"/>
      <x:c r="H890" s="259" t="n"/>
      <x:c r="I890" s="259" t="n"/>
      <x:c r="J890" s="260" t="n"/>
      <x:c r="M890" s="259" t="n"/>
      <x:c r="N890" s="259" t="n"/>
      <x:c r="U890" s="259" t="n"/>
      <x:c r="W890" s="260" t="n"/>
    </x:row>
    <x:row r="891">
      <x:c r="B891" s="258" t="n"/>
      <x:c r="C891" s="258" t="n"/>
      <x:c r="E891" s="259" t="n"/>
      <x:c r="F891" s="259" t="n"/>
      <x:c r="G891" s="259" t="n"/>
      <x:c r="H891" s="259" t="n"/>
      <x:c r="I891" s="259" t="n"/>
      <x:c r="J891" s="260" t="n"/>
      <x:c r="M891" s="259" t="n"/>
      <x:c r="N891" s="259" t="n"/>
      <x:c r="U891" s="259" t="n"/>
      <x:c r="W891" s="260" t="n"/>
    </x:row>
    <x:row r="892">
      <x:c r="B892" s="258" t="n"/>
      <x:c r="C892" s="258" t="n"/>
      <x:c r="E892" s="259" t="n"/>
      <x:c r="F892" s="259" t="n"/>
      <x:c r="G892" s="259" t="n"/>
      <x:c r="H892" s="259" t="n"/>
      <x:c r="I892" s="259" t="n"/>
      <x:c r="J892" s="260" t="n"/>
      <x:c r="M892" s="259" t="n"/>
      <x:c r="N892" s="259" t="n"/>
      <x:c r="U892" s="259" t="n"/>
      <x:c r="W892" s="260" t="n"/>
    </x:row>
    <x:row r="893">
      <x:c r="B893" s="258" t="n"/>
      <x:c r="C893" s="258" t="n"/>
      <x:c r="E893" s="259" t="n"/>
      <x:c r="F893" s="259" t="n"/>
      <x:c r="G893" s="259" t="n"/>
      <x:c r="H893" s="259" t="n"/>
      <x:c r="I893" s="259" t="n"/>
      <x:c r="J893" s="260" t="n"/>
      <x:c r="M893" s="259" t="n"/>
      <x:c r="N893" s="259" t="n"/>
      <x:c r="U893" s="259" t="n"/>
      <x:c r="W893" s="260" t="n"/>
    </x:row>
    <x:row r="894">
      <x:c r="B894" s="258" t="n"/>
      <x:c r="C894" s="258" t="n"/>
      <x:c r="E894" s="259" t="n"/>
      <x:c r="F894" s="259" t="n"/>
      <x:c r="G894" s="259" t="n"/>
      <x:c r="H894" s="259" t="n"/>
      <x:c r="I894" s="259" t="n"/>
      <x:c r="J894" s="260" t="n"/>
      <x:c r="M894" s="259" t="n"/>
      <x:c r="N894" s="259" t="n"/>
      <x:c r="U894" s="259" t="n"/>
      <x:c r="W894" s="260" t="n"/>
    </x:row>
    <x:row r="895">
      <x:c r="B895" s="258" t="n"/>
      <x:c r="C895" s="258" t="n"/>
      <x:c r="E895" s="259" t="n"/>
      <x:c r="F895" s="259" t="n"/>
      <x:c r="G895" s="259" t="n"/>
      <x:c r="H895" s="259" t="n"/>
      <x:c r="I895" s="259" t="n"/>
      <x:c r="J895" s="260" t="n"/>
      <x:c r="M895" s="259" t="n"/>
      <x:c r="N895" s="259" t="n"/>
      <x:c r="U895" s="259" t="n"/>
      <x:c r="W895" s="260" t="n"/>
    </x:row>
    <x:row r="896">
      <x:c r="B896" s="258" t="n"/>
      <x:c r="C896" s="258" t="n"/>
      <x:c r="E896" s="259" t="n"/>
      <x:c r="F896" s="259" t="n"/>
      <x:c r="G896" s="259" t="n"/>
      <x:c r="H896" s="259" t="n"/>
      <x:c r="I896" s="259" t="n"/>
      <x:c r="J896" s="260" t="n"/>
      <x:c r="M896" s="259" t="n"/>
      <x:c r="N896" s="259" t="n"/>
      <x:c r="U896" s="259" t="n"/>
      <x:c r="W896" s="260" t="n"/>
    </x:row>
    <x:row r="897">
      <x:c r="B897" s="258" t="n"/>
      <x:c r="C897" s="258" t="n"/>
      <x:c r="E897" s="259" t="n"/>
      <x:c r="F897" s="259" t="n"/>
      <x:c r="G897" s="259" t="n"/>
      <x:c r="H897" s="259" t="n"/>
      <x:c r="I897" s="259" t="n"/>
      <x:c r="J897" s="260" t="n"/>
      <x:c r="M897" s="259" t="n"/>
      <x:c r="N897" s="259" t="n"/>
      <x:c r="U897" s="259" t="n"/>
      <x:c r="W897" s="260" t="n"/>
    </x:row>
    <x:row r="898">
      <x:c r="B898" s="258" t="n"/>
      <x:c r="C898" s="258" t="n"/>
      <x:c r="E898" s="259" t="n"/>
      <x:c r="F898" s="259" t="n"/>
      <x:c r="G898" s="259" t="n"/>
      <x:c r="H898" s="259" t="n"/>
      <x:c r="I898" s="259" t="n"/>
      <x:c r="J898" s="260" t="n"/>
      <x:c r="M898" s="259" t="n"/>
      <x:c r="N898" s="259" t="n"/>
      <x:c r="U898" s="259" t="n"/>
      <x:c r="W898" s="260" t="n"/>
    </x:row>
    <x:row r="899">
      <x:c r="B899" s="258" t="n"/>
      <x:c r="C899" s="258" t="n"/>
      <x:c r="E899" s="259" t="n"/>
      <x:c r="F899" s="259" t="n"/>
      <x:c r="G899" s="259" t="n"/>
      <x:c r="H899" s="259" t="n"/>
      <x:c r="I899" s="259" t="n"/>
      <x:c r="J899" s="260" t="n"/>
      <x:c r="M899" s="259" t="n"/>
      <x:c r="N899" s="259" t="n"/>
      <x:c r="U899" s="259" t="n"/>
      <x:c r="W899" s="260" t="n"/>
    </x:row>
    <x:row r="900">
      <x:c r="B900" s="258" t="n"/>
      <x:c r="C900" s="258" t="n"/>
      <x:c r="E900" s="259" t="n"/>
      <x:c r="F900" s="259" t="n"/>
      <x:c r="G900" s="259" t="n"/>
      <x:c r="H900" s="259" t="n"/>
      <x:c r="I900" s="259" t="n"/>
      <x:c r="J900" s="260" t="n"/>
      <x:c r="M900" s="259" t="n"/>
      <x:c r="N900" s="259" t="n"/>
      <x:c r="U900" s="259" t="n"/>
      <x:c r="W900" s="260" t="n"/>
    </x:row>
    <x:row r="901">
      <x:c r="B901" s="258" t="n"/>
      <x:c r="C901" s="258" t="n"/>
      <x:c r="E901" s="259" t="n"/>
      <x:c r="F901" s="259" t="n"/>
      <x:c r="G901" s="259" t="n"/>
      <x:c r="H901" s="259" t="n"/>
      <x:c r="I901" s="259" t="n"/>
      <x:c r="J901" s="260" t="n"/>
      <x:c r="M901" s="259" t="n"/>
      <x:c r="N901" s="259" t="n"/>
      <x:c r="U901" s="259" t="n"/>
      <x:c r="W901" s="260" t="n"/>
    </x:row>
    <x:row r="902">
      <x:c r="B902" s="258" t="n"/>
      <x:c r="C902" s="258" t="n"/>
      <x:c r="E902" s="259" t="n"/>
      <x:c r="F902" s="259" t="n"/>
      <x:c r="G902" s="259" t="n"/>
      <x:c r="H902" s="259" t="n"/>
      <x:c r="I902" s="259" t="n"/>
      <x:c r="J902" s="260" t="n"/>
      <x:c r="M902" s="259" t="n"/>
      <x:c r="N902" s="259" t="n"/>
      <x:c r="U902" s="259" t="n"/>
      <x:c r="W902" s="260" t="n"/>
    </x:row>
    <x:row r="903">
      <x:c r="B903" s="258" t="n"/>
      <x:c r="C903" s="258" t="n"/>
      <x:c r="E903" s="259" t="n"/>
      <x:c r="F903" s="259" t="n"/>
      <x:c r="G903" s="259" t="n"/>
      <x:c r="H903" s="259" t="n"/>
      <x:c r="I903" s="259" t="n"/>
      <x:c r="J903" s="260" t="n"/>
      <x:c r="M903" s="259" t="n"/>
      <x:c r="N903" s="259" t="n"/>
      <x:c r="U903" s="259" t="n"/>
      <x:c r="W903" s="260" t="n"/>
    </x:row>
    <x:row r="904">
      <x:c r="B904" s="258" t="n"/>
      <x:c r="C904" s="258" t="n"/>
      <x:c r="E904" s="259" t="n"/>
      <x:c r="F904" s="259" t="n"/>
      <x:c r="G904" s="259" t="n"/>
      <x:c r="H904" s="259" t="n"/>
      <x:c r="I904" s="259" t="n"/>
      <x:c r="J904" s="260" t="n"/>
      <x:c r="M904" s="259" t="n"/>
      <x:c r="N904" s="259" t="n"/>
      <x:c r="U904" s="259" t="n"/>
      <x:c r="W904" s="260" t="n"/>
    </x:row>
    <x:row r="905">
      <x:c r="B905" s="258" t="n"/>
      <x:c r="C905" s="258" t="n"/>
      <x:c r="E905" s="259" t="n"/>
      <x:c r="F905" s="259" t="n"/>
      <x:c r="G905" s="259" t="n"/>
      <x:c r="H905" s="259" t="n"/>
      <x:c r="I905" s="259" t="n"/>
      <x:c r="J905" s="260" t="n"/>
      <x:c r="M905" s="259" t="n"/>
      <x:c r="N905" s="259" t="n"/>
      <x:c r="U905" s="259" t="n"/>
      <x:c r="W905" s="260" t="n"/>
    </x:row>
    <x:row r="906">
      <x:c r="B906" s="258" t="n"/>
      <x:c r="C906" s="258" t="n"/>
      <x:c r="E906" s="259" t="n"/>
      <x:c r="F906" s="259" t="n"/>
      <x:c r="G906" s="259" t="n"/>
      <x:c r="H906" s="259" t="n"/>
      <x:c r="I906" s="259" t="n"/>
      <x:c r="J906" s="260" t="n"/>
      <x:c r="M906" s="259" t="n"/>
      <x:c r="N906" s="259" t="n"/>
      <x:c r="U906" s="259" t="n"/>
      <x:c r="W906" s="260" t="n"/>
    </x:row>
    <x:row r="907">
      <x:c r="B907" s="258" t="n"/>
      <x:c r="C907" s="258" t="n"/>
      <x:c r="E907" s="259" t="n"/>
      <x:c r="F907" s="259" t="n"/>
      <x:c r="G907" s="259" t="n"/>
      <x:c r="H907" s="259" t="n"/>
      <x:c r="I907" s="259" t="n"/>
      <x:c r="J907" s="260" t="n"/>
      <x:c r="M907" s="259" t="n"/>
      <x:c r="N907" s="259" t="n"/>
      <x:c r="U907" s="259" t="n"/>
      <x:c r="W907" s="260" t="n"/>
    </x:row>
    <x:row r="908">
      <x:c r="B908" s="258" t="n"/>
      <x:c r="C908" s="258" t="n"/>
      <x:c r="E908" s="259" t="n"/>
      <x:c r="F908" s="259" t="n"/>
      <x:c r="G908" s="259" t="n"/>
      <x:c r="H908" s="259" t="n"/>
      <x:c r="I908" s="259" t="n"/>
      <x:c r="J908" s="260" t="n"/>
      <x:c r="M908" s="259" t="n"/>
      <x:c r="N908" s="259" t="n"/>
      <x:c r="U908" s="259" t="n"/>
      <x:c r="W908" s="260" t="n"/>
    </x:row>
    <x:row r="909">
      <x:c r="B909" s="258" t="n"/>
      <x:c r="C909" s="258" t="n"/>
      <x:c r="E909" s="259" t="n"/>
      <x:c r="F909" s="259" t="n"/>
      <x:c r="G909" s="259" t="n"/>
      <x:c r="H909" s="259" t="n"/>
      <x:c r="I909" s="259" t="n"/>
      <x:c r="J909" s="260" t="n"/>
      <x:c r="M909" s="259" t="n"/>
      <x:c r="N909" s="259" t="n"/>
      <x:c r="U909" s="259" t="n"/>
      <x:c r="W909" s="260" t="n"/>
    </x:row>
    <x:row r="910">
      <x:c r="B910" s="258" t="n"/>
      <x:c r="C910" s="258" t="n"/>
      <x:c r="E910" s="259" t="n"/>
      <x:c r="F910" s="259" t="n"/>
      <x:c r="G910" s="259" t="n"/>
      <x:c r="H910" s="259" t="n"/>
      <x:c r="I910" s="259" t="n"/>
      <x:c r="J910" s="260" t="n"/>
      <x:c r="M910" s="259" t="n"/>
      <x:c r="N910" s="259" t="n"/>
      <x:c r="U910" s="259" t="n"/>
      <x:c r="W910" s="260" t="n"/>
    </x:row>
    <x:row r="911">
      <x:c r="B911" s="258" t="n"/>
      <x:c r="C911" s="258" t="n"/>
      <x:c r="E911" s="259" t="n"/>
      <x:c r="F911" s="259" t="n"/>
      <x:c r="G911" s="259" t="n"/>
      <x:c r="H911" s="259" t="n"/>
      <x:c r="I911" s="259" t="n"/>
      <x:c r="J911" s="260" t="n"/>
      <x:c r="M911" s="259" t="n"/>
      <x:c r="N911" s="259" t="n"/>
      <x:c r="U911" s="259" t="n"/>
      <x:c r="W911" s="260" t="n"/>
    </x:row>
    <x:row r="912">
      <x:c r="B912" s="258" t="n"/>
      <x:c r="C912" s="258" t="n"/>
      <x:c r="E912" s="259" t="n"/>
      <x:c r="F912" s="259" t="n"/>
      <x:c r="G912" s="259" t="n"/>
      <x:c r="H912" s="259" t="n"/>
      <x:c r="I912" s="259" t="n"/>
      <x:c r="J912" s="260" t="n"/>
      <x:c r="M912" s="259" t="n"/>
      <x:c r="N912" s="259" t="n"/>
      <x:c r="U912" s="259" t="n"/>
      <x:c r="W912" s="260" t="n"/>
    </x:row>
    <x:row r="913">
      <x:c r="B913" s="258" t="n"/>
      <x:c r="C913" s="258" t="n"/>
      <x:c r="E913" s="259" t="n"/>
      <x:c r="F913" s="259" t="n"/>
      <x:c r="G913" s="259" t="n"/>
      <x:c r="H913" s="259" t="n"/>
      <x:c r="I913" s="259" t="n"/>
      <x:c r="J913" s="260" t="n"/>
      <x:c r="M913" s="259" t="n"/>
      <x:c r="N913" s="259" t="n"/>
      <x:c r="U913" s="259" t="n"/>
      <x:c r="W913" s="260" t="n"/>
    </x:row>
    <x:row r="914">
      <x:c r="B914" s="258" t="n"/>
      <x:c r="C914" s="258" t="n"/>
      <x:c r="E914" s="259" t="n"/>
      <x:c r="F914" s="259" t="n"/>
      <x:c r="G914" s="259" t="n"/>
      <x:c r="H914" s="259" t="n"/>
      <x:c r="I914" s="259" t="n"/>
      <x:c r="J914" s="260" t="n"/>
      <x:c r="M914" s="259" t="n"/>
      <x:c r="N914" s="259" t="n"/>
      <x:c r="U914" s="259" t="n"/>
      <x:c r="W914" s="260" t="n"/>
    </x:row>
    <x:row r="915">
      <x:c r="B915" s="258" t="n"/>
      <x:c r="C915" s="258" t="n"/>
      <x:c r="E915" s="259" t="n"/>
      <x:c r="F915" s="259" t="n"/>
      <x:c r="G915" s="259" t="n"/>
      <x:c r="H915" s="259" t="n"/>
      <x:c r="I915" s="259" t="n"/>
      <x:c r="J915" s="260" t="n"/>
      <x:c r="M915" s="259" t="n"/>
      <x:c r="N915" s="259" t="n"/>
      <x:c r="U915" s="259" t="n"/>
      <x:c r="W915" s="260" t="n"/>
    </x:row>
    <x:row r="916">
      <x:c r="B916" s="258" t="n"/>
      <x:c r="C916" s="258" t="n"/>
      <x:c r="E916" s="259" t="n"/>
      <x:c r="F916" s="259" t="n"/>
      <x:c r="G916" s="259" t="n"/>
      <x:c r="H916" s="259" t="n"/>
      <x:c r="I916" s="259" t="n"/>
      <x:c r="J916" s="260" t="n"/>
      <x:c r="M916" s="259" t="n"/>
      <x:c r="N916" s="259" t="n"/>
      <x:c r="U916" s="259" t="n"/>
      <x:c r="W916" s="260" t="n"/>
    </x:row>
    <x:row r="917">
      <x:c r="B917" s="258" t="n"/>
      <x:c r="C917" s="258" t="n"/>
      <x:c r="E917" s="259" t="n"/>
      <x:c r="F917" s="259" t="n"/>
      <x:c r="G917" s="259" t="n"/>
      <x:c r="H917" s="259" t="n"/>
      <x:c r="I917" s="259" t="n"/>
      <x:c r="J917" s="260" t="n"/>
      <x:c r="M917" s="259" t="n"/>
      <x:c r="N917" s="259" t="n"/>
      <x:c r="U917" s="259" t="n"/>
      <x:c r="W917" s="260" t="n"/>
    </x:row>
    <x:row r="918">
      <x:c r="B918" s="258" t="n"/>
      <x:c r="C918" s="258" t="n"/>
      <x:c r="E918" s="259" t="n"/>
      <x:c r="F918" s="259" t="n"/>
      <x:c r="G918" s="259" t="n"/>
      <x:c r="H918" s="259" t="n"/>
      <x:c r="I918" s="259" t="n"/>
      <x:c r="J918" s="260" t="n"/>
      <x:c r="M918" s="259" t="n"/>
      <x:c r="N918" s="259" t="n"/>
      <x:c r="U918" s="259" t="n"/>
      <x:c r="W918" s="260" t="n"/>
    </x:row>
    <x:row r="919">
      <x:c r="B919" s="258" t="n"/>
      <x:c r="C919" s="258" t="n"/>
      <x:c r="E919" s="259" t="n"/>
      <x:c r="F919" s="259" t="n"/>
      <x:c r="G919" s="259" t="n"/>
      <x:c r="H919" s="259" t="n"/>
      <x:c r="I919" s="259" t="n"/>
      <x:c r="J919" s="260" t="n"/>
      <x:c r="M919" s="259" t="n"/>
      <x:c r="N919" s="259" t="n"/>
      <x:c r="U919" s="259" t="n"/>
      <x:c r="W919" s="260" t="n"/>
    </x:row>
    <x:row r="920">
      <x:c r="B920" s="258" t="n"/>
      <x:c r="C920" s="258" t="n"/>
      <x:c r="E920" s="259" t="n"/>
      <x:c r="F920" s="259" t="n"/>
      <x:c r="G920" s="259" t="n"/>
      <x:c r="H920" s="259" t="n"/>
      <x:c r="I920" s="259" t="n"/>
      <x:c r="J920" s="260" t="n"/>
      <x:c r="M920" s="259" t="n"/>
      <x:c r="N920" s="259" t="n"/>
      <x:c r="U920" s="259" t="n"/>
      <x:c r="W920" s="260" t="n"/>
    </x:row>
    <x:row r="921">
      <x:c r="B921" s="258" t="n"/>
      <x:c r="C921" s="258" t="n"/>
      <x:c r="E921" s="259" t="n"/>
      <x:c r="F921" s="259" t="n"/>
      <x:c r="G921" s="259" t="n"/>
      <x:c r="H921" s="259" t="n"/>
      <x:c r="I921" s="259" t="n"/>
      <x:c r="J921" s="260" t="n"/>
      <x:c r="M921" s="259" t="n"/>
      <x:c r="N921" s="259" t="n"/>
      <x:c r="U921" s="259" t="n"/>
      <x:c r="W921" s="260" t="n"/>
    </x:row>
    <x:row r="922">
      <x:c r="B922" s="258" t="n"/>
      <x:c r="C922" s="258" t="n"/>
      <x:c r="E922" s="259" t="n"/>
      <x:c r="F922" s="259" t="n"/>
      <x:c r="G922" s="259" t="n"/>
      <x:c r="H922" s="259" t="n"/>
      <x:c r="I922" s="259" t="n"/>
      <x:c r="J922" s="260" t="n"/>
      <x:c r="M922" s="259" t="n"/>
      <x:c r="N922" s="259" t="n"/>
      <x:c r="U922" s="259" t="n"/>
      <x:c r="W922" s="260" t="n"/>
    </x:row>
    <x:row r="923">
      <x:c r="B923" s="258" t="n"/>
      <x:c r="C923" s="258" t="n"/>
      <x:c r="E923" s="259" t="n"/>
      <x:c r="F923" s="259" t="n"/>
      <x:c r="G923" s="259" t="n"/>
      <x:c r="H923" s="259" t="n"/>
      <x:c r="I923" s="259" t="n"/>
      <x:c r="J923" s="260" t="n"/>
      <x:c r="M923" s="259" t="n"/>
      <x:c r="N923" s="259" t="n"/>
      <x:c r="U923" s="259" t="n"/>
      <x:c r="W923" s="260" t="n"/>
    </x:row>
    <x:row r="924">
      <x:c r="B924" s="258" t="n"/>
      <x:c r="C924" s="258" t="n"/>
      <x:c r="E924" s="259" t="n"/>
      <x:c r="F924" s="259" t="n"/>
      <x:c r="G924" s="259" t="n"/>
      <x:c r="H924" s="259" t="n"/>
      <x:c r="I924" s="259" t="n"/>
      <x:c r="J924" s="260" t="n"/>
      <x:c r="M924" s="259" t="n"/>
      <x:c r="N924" s="259" t="n"/>
      <x:c r="U924" s="259" t="n"/>
      <x:c r="W924" s="260" t="n"/>
    </x:row>
    <x:row r="925">
      <x:c r="B925" s="258" t="n"/>
      <x:c r="C925" s="258" t="n"/>
      <x:c r="E925" s="259" t="n"/>
      <x:c r="F925" s="259" t="n"/>
      <x:c r="G925" s="259" t="n"/>
      <x:c r="H925" s="259" t="n"/>
      <x:c r="I925" s="259" t="n"/>
      <x:c r="J925" s="260" t="n"/>
      <x:c r="M925" s="259" t="n"/>
      <x:c r="N925" s="259" t="n"/>
      <x:c r="U925" s="259" t="n"/>
      <x:c r="W925" s="260" t="n"/>
    </x:row>
    <x:row r="926">
      <x:c r="B926" s="258" t="n"/>
      <x:c r="C926" s="258" t="n"/>
      <x:c r="E926" s="259" t="n"/>
      <x:c r="F926" s="259" t="n"/>
      <x:c r="G926" s="259" t="n"/>
      <x:c r="H926" s="259" t="n"/>
      <x:c r="I926" s="259" t="n"/>
      <x:c r="J926" s="260" t="n"/>
      <x:c r="M926" s="259" t="n"/>
      <x:c r="N926" s="259" t="n"/>
      <x:c r="U926" s="259" t="n"/>
      <x:c r="W926" s="260" t="n"/>
    </x:row>
    <x:row r="927">
      <x:c r="B927" s="258" t="n"/>
      <x:c r="C927" s="258" t="n"/>
      <x:c r="E927" s="259" t="n"/>
      <x:c r="F927" s="259" t="n"/>
      <x:c r="G927" s="259" t="n"/>
      <x:c r="H927" s="259" t="n"/>
      <x:c r="I927" s="259" t="n"/>
      <x:c r="J927" s="260" t="n"/>
      <x:c r="M927" s="259" t="n"/>
      <x:c r="N927" s="259" t="n"/>
      <x:c r="U927" s="259" t="n"/>
      <x:c r="W927" s="260" t="n"/>
    </x:row>
    <x:row r="928">
      <x:c r="B928" s="258" t="n"/>
      <x:c r="C928" s="258" t="n"/>
      <x:c r="E928" s="259" t="n"/>
      <x:c r="F928" s="259" t="n"/>
      <x:c r="G928" s="259" t="n"/>
      <x:c r="H928" s="259" t="n"/>
      <x:c r="I928" s="259" t="n"/>
      <x:c r="J928" s="260" t="n"/>
      <x:c r="M928" s="259" t="n"/>
      <x:c r="N928" s="259" t="n"/>
      <x:c r="U928" s="259" t="n"/>
      <x:c r="W928" s="260" t="n"/>
    </x:row>
    <x:row r="929">
      <x:c r="B929" s="258" t="n"/>
      <x:c r="C929" s="258" t="n"/>
      <x:c r="E929" s="259" t="n"/>
      <x:c r="F929" s="259" t="n"/>
      <x:c r="G929" s="259" t="n"/>
      <x:c r="H929" s="259" t="n"/>
      <x:c r="I929" s="259" t="n"/>
      <x:c r="J929" s="260" t="n"/>
      <x:c r="M929" s="259" t="n"/>
      <x:c r="N929" s="259" t="n"/>
      <x:c r="U929" s="259" t="n"/>
      <x:c r="W929" s="260" t="n"/>
    </x:row>
    <x:row r="930">
      <x:c r="B930" s="258" t="n"/>
      <x:c r="C930" s="258" t="n"/>
      <x:c r="E930" s="259" t="n"/>
      <x:c r="F930" s="259" t="n"/>
      <x:c r="G930" s="259" t="n"/>
      <x:c r="H930" s="259" t="n"/>
      <x:c r="I930" s="259" t="n"/>
      <x:c r="J930" s="260" t="n"/>
      <x:c r="M930" s="259" t="n"/>
      <x:c r="N930" s="259" t="n"/>
      <x:c r="U930" s="259" t="n"/>
      <x:c r="W930" s="260" t="n"/>
    </x:row>
    <x:row r="931">
      <x:c r="B931" s="258" t="n"/>
      <x:c r="C931" s="258" t="n"/>
      <x:c r="E931" s="259" t="n"/>
      <x:c r="F931" s="259" t="n"/>
      <x:c r="G931" s="259" t="n"/>
      <x:c r="H931" s="259" t="n"/>
      <x:c r="I931" s="259" t="n"/>
      <x:c r="J931" s="260" t="n"/>
      <x:c r="M931" s="259" t="n"/>
      <x:c r="N931" s="259" t="n"/>
      <x:c r="U931" s="259" t="n"/>
      <x:c r="W931" s="260" t="n"/>
    </x:row>
    <x:row r="932">
      <x:c r="B932" s="258" t="n"/>
      <x:c r="C932" s="258" t="n"/>
      <x:c r="E932" s="259" t="n"/>
      <x:c r="F932" s="259" t="n"/>
      <x:c r="G932" s="259" t="n"/>
      <x:c r="H932" s="259" t="n"/>
      <x:c r="I932" s="259" t="n"/>
      <x:c r="J932" s="260" t="n"/>
      <x:c r="M932" s="259" t="n"/>
      <x:c r="N932" s="259" t="n"/>
      <x:c r="U932" s="259" t="n"/>
      <x:c r="W932" s="260" t="n"/>
    </x:row>
    <x:row r="933">
      <x:c r="B933" s="258" t="n"/>
      <x:c r="C933" s="258" t="n"/>
      <x:c r="E933" s="259" t="n"/>
      <x:c r="F933" s="259" t="n"/>
      <x:c r="G933" s="259" t="n"/>
      <x:c r="H933" s="259" t="n"/>
      <x:c r="I933" s="259" t="n"/>
      <x:c r="J933" s="260" t="n"/>
      <x:c r="M933" s="259" t="n"/>
      <x:c r="N933" s="259" t="n"/>
      <x:c r="U933" s="259" t="n"/>
      <x:c r="W933" s="260" t="n"/>
    </x:row>
    <x:row r="934">
      <x:c r="B934" s="258" t="n"/>
      <x:c r="C934" s="258" t="n"/>
      <x:c r="E934" s="259" t="n"/>
      <x:c r="F934" s="259" t="n"/>
      <x:c r="G934" s="259" t="n"/>
      <x:c r="H934" s="259" t="n"/>
      <x:c r="I934" s="259" t="n"/>
      <x:c r="J934" s="260" t="n"/>
      <x:c r="M934" s="259" t="n"/>
      <x:c r="N934" s="259" t="n"/>
      <x:c r="U934" s="259" t="n"/>
      <x:c r="W934" s="260" t="n"/>
    </x:row>
    <x:row r="935">
      <x:c r="B935" s="258" t="n"/>
      <x:c r="C935" s="258" t="n"/>
      <x:c r="E935" s="259" t="n"/>
      <x:c r="F935" s="259" t="n"/>
      <x:c r="G935" s="259" t="n"/>
      <x:c r="H935" s="259" t="n"/>
      <x:c r="I935" s="259" t="n"/>
      <x:c r="J935" s="260" t="n"/>
      <x:c r="M935" s="259" t="n"/>
      <x:c r="N935" s="259" t="n"/>
      <x:c r="U935" s="259" t="n"/>
      <x:c r="W935" s="260" t="n"/>
    </x:row>
    <x:row r="936">
      <x:c r="B936" s="258" t="n"/>
      <x:c r="C936" s="258" t="n"/>
      <x:c r="E936" s="259" t="n"/>
      <x:c r="F936" s="259" t="n"/>
      <x:c r="G936" s="259" t="n"/>
      <x:c r="H936" s="259" t="n"/>
      <x:c r="I936" s="259" t="n"/>
      <x:c r="J936" s="260" t="n"/>
      <x:c r="M936" s="259" t="n"/>
      <x:c r="N936" s="259" t="n"/>
      <x:c r="U936" s="259" t="n"/>
      <x:c r="W936" s="260" t="n"/>
    </x:row>
    <x:row r="937">
      <x:c r="B937" s="258" t="n"/>
      <x:c r="C937" s="258" t="n"/>
      <x:c r="E937" s="259" t="n"/>
      <x:c r="F937" s="259" t="n"/>
      <x:c r="G937" s="259" t="n"/>
      <x:c r="H937" s="259" t="n"/>
      <x:c r="I937" s="259" t="n"/>
      <x:c r="J937" s="260" t="n"/>
      <x:c r="M937" s="259" t="n"/>
      <x:c r="N937" s="259" t="n"/>
      <x:c r="U937" s="259" t="n"/>
      <x:c r="W937" s="260" t="n"/>
    </x:row>
    <x:row r="938">
      <x:c r="B938" s="258" t="n"/>
      <x:c r="C938" s="258" t="n"/>
      <x:c r="E938" s="259" t="n"/>
      <x:c r="F938" s="259" t="n"/>
      <x:c r="G938" s="259" t="n"/>
      <x:c r="H938" s="259" t="n"/>
      <x:c r="I938" s="259" t="n"/>
      <x:c r="J938" s="260" t="n"/>
      <x:c r="M938" s="259" t="n"/>
      <x:c r="N938" s="259" t="n"/>
      <x:c r="U938" s="259" t="n"/>
      <x:c r="W938" s="260" t="n"/>
    </x:row>
    <x:row r="939">
      <x:c r="B939" s="258" t="n"/>
      <x:c r="C939" s="258" t="n"/>
      <x:c r="E939" s="259" t="n"/>
      <x:c r="F939" s="259" t="n"/>
      <x:c r="G939" s="259" t="n"/>
      <x:c r="H939" s="259" t="n"/>
      <x:c r="I939" s="259" t="n"/>
      <x:c r="J939" s="260" t="n"/>
      <x:c r="M939" s="259" t="n"/>
      <x:c r="N939" s="259" t="n"/>
      <x:c r="U939" s="259" t="n"/>
      <x:c r="W939" s="260" t="n"/>
    </x:row>
    <x:row r="940">
      <x:c r="B940" s="258" t="n"/>
      <x:c r="C940" s="258" t="n"/>
      <x:c r="E940" s="259" t="n"/>
      <x:c r="F940" s="259" t="n"/>
      <x:c r="G940" s="259" t="n"/>
      <x:c r="H940" s="259" t="n"/>
      <x:c r="I940" s="259" t="n"/>
      <x:c r="J940" s="260" t="n"/>
      <x:c r="M940" s="259" t="n"/>
      <x:c r="N940" s="259" t="n"/>
      <x:c r="U940" s="259" t="n"/>
      <x:c r="W940" s="260" t="n"/>
    </x:row>
    <x:row r="941">
      <x:c r="B941" s="258" t="n"/>
      <x:c r="C941" s="258" t="n"/>
      <x:c r="E941" s="259" t="n"/>
      <x:c r="F941" s="259" t="n"/>
      <x:c r="G941" s="259" t="n"/>
      <x:c r="H941" s="259" t="n"/>
      <x:c r="I941" s="259" t="n"/>
      <x:c r="J941" s="260" t="n"/>
      <x:c r="M941" s="259" t="n"/>
      <x:c r="N941" s="259" t="n"/>
      <x:c r="U941" s="259" t="n"/>
      <x:c r="W941" s="260" t="n"/>
    </x:row>
    <x:row r="942">
      <x:c r="B942" s="258" t="n"/>
      <x:c r="C942" s="258" t="n"/>
      <x:c r="E942" s="259" t="n"/>
      <x:c r="F942" s="259" t="n"/>
      <x:c r="G942" s="259" t="n"/>
      <x:c r="H942" s="259" t="n"/>
      <x:c r="I942" s="259" t="n"/>
      <x:c r="J942" s="260" t="n"/>
      <x:c r="M942" s="259" t="n"/>
      <x:c r="N942" s="259" t="n"/>
      <x:c r="U942" s="259" t="n"/>
      <x:c r="W942" s="260" t="n"/>
    </x:row>
    <x:row r="943">
      <x:c r="B943" s="258" t="n"/>
      <x:c r="C943" s="258" t="n"/>
      <x:c r="E943" s="259" t="n"/>
      <x:c r="F943" s="259" t="n"/>
      <x:c r="G943" s="259" t="n"/>
      <x:c r="H943" s="259" t="n"/>
      <x:c r="I943" s="259" t="n"/>
      <x:c r="J943" s="260" t="n"/>
      <x:c r="M943" s="259" t="n"/>
      <x:c r="N943" s="259" t="n"/>
      <x:c r="U943" s="259" t="n"/>
      <x:c r="W943" s="260" t="n"/>
    </x:row>
    <x:row r="944">
      <x:c r="B944" s="258" t="n"/>
      <x:c r="C944" s="258" t="n"/>
      <x:c r="E944" s="259" t="n"/>
      <x:c r="F944" s="259" t="n"/>
      <x:c r="G944" s="259" t="n"/>
      <x:c r="H944" s="259" t="n"/>
      <x:c r="I944" s="259" t="n"/>
      <x:c r="J944" s="260" t="n"/>
      <x:c r="M944" s="259" t="n"/>
      <x:c r="N944" s="259" t="n"/>
      <x:c r="U944" s="259" t="n"/>
      <x:c r="W944" s="260" t="n"/>
    </x:row>
    <x:row r="945">
      <x:c r="B945" s="258" t="n"/>
      <x:c r="C945" s="258" t="n"/>
      <x:c r="E945" s="259" t="n"/>
      <x:c r="F945" s="259" t="n"/>
      <x:c r="G945" s="259" t="n"/>
      <x:c r="H945" s="259" t="n"/>
      <x:c r="I945" s="259" t="n"/>
      <x:c r="J945" s="260" t="n"/>
      <x:c r="M945" s="259" t="n"/>
      <x:c r="N945" s="259" t="n"/>
      <x:c r="U945" s="259" t="n"/>
      <x:c r="W945" s="260" t="n"/>
    </x:row>
    <x:row r="946">
      <x:c r="B946" s="258" t="n"/>
      <x:c r="C946" s="258" t="n"/>
      <x:c r="E946" s="259" t="n"/>
      <x:c r="F946" s="259" t="n"/>
      <x:c r="G946" s="259" t="n"/>
      <x:c r="H946" s="259" t="n"/>
      <x:c r="I946" s="259" t="n"/>
      <x:c r="J946" s="260" t="n"/>
      <x:c r="M946" s="259" t="n"/>
      <x:c r="N946" s="259" t="n"/>
      <x:c r="U946" s="259" t="n"/>
      <x:c r="W946" s="260" t="n"/>
    </x:row>
    <x:row r="947">
      <x:c r="B947" s="258" t="n"/>
      <x:c r="C947" s="258" t="n"/>
      <x:c r="E947" s="259" t="n"/>
      <x:c r="F947" s="259" t="n"/>
      <x:c r="G947" s="259" t="n"/>
      <x:c r="H947" s="259" t="n"/>
      <x:c r="I947" s="259" t="n"/>
      <x:c r="J947" s="260" t="n"/>
      <x:c r="M947" s="259" t="n"/>
      <x:c r="N947" s="259" t="n"/>
      <x:c r="U947" s="259" t="n"/>
      <x:c r="W947" s="260" t="n"/>
    </x:row>
    <x:row r="948">
      <x:c r="B948" s="258" t="n"/>
      <x:c r="C948" s="258" t="n"/>
      <x:c r="E948" s="259" t="n"/>
      <x:c r="F948" s="259" t="n"/>
      <x:c r="G948" s="259" t="n"/>
      <x:c r="H948" s="259" t="n"/>
      <x:c r="I948" s="259" t="n"/>
      <x:c r="J948" s="260" t="n"/>
      <x:c r="M948" s="259" t="n"/>
      <x:c r="N948" s="259" t="n"/>
      <x:c r="U948" s="259" t="n"/>
      <x:c r="W948" s="260" t="n"/>
    </x:row>
    <x:row r="949">
      <x:c r="B949" s="258" t="n"/>
      <x:c r="C949" s="258" t="n"/>
      <x:c r="E949" s="259" t="n"/>
      <x:c r="F949" s="259" t="n"/>
      <x:c r="G949" s="259" t="n"/>
      <x:c r="H949" s="259" t="n"/>
      <x:c r="I949" s="259" t="n"/>
      <x:c r="J949" s="260" t="n"/>
      <x:c r="M949" s="259" t="n"/>
      <x:c r="N949" s="259" t="n"/>
      <x:c r="U949" s="259" t="n"/>
      <x:c r="W949" s="260" t="n"/>
    </x:row>
    <x:row r="950">
      <x:c r="B950" s="258" t="n"/>
      <x:c r="C950" s="258" t="n"/>
      <x:c r="E950" s="259" t="n"/>
      <x:c r="F950" s="259" t="n"/>
      <x:c r="G950" s="259" t="n"/>
      <x:c r="H950" s="259" t="n"/>
      <x:c r="I950" s="259" t="n"/>
      <x:c r="J950" s="260" t="n"/>
      <x:c r="M950" s="259" t="n"/>
      <x:c r="N950" s="259" t="n"/>
      <x:c r="U950" s="259" t="n"/>
      <x:c r="W950" s="260" t="n"/>
    </x:row>
    <x:row r="951">
      <x:c r="B951" s="258" t="n"/>
      <x:c r="C951" s="258" t="n"/>
      <x:c r="E951" s="259" t="n"/>
      <x:c r="F951" s="259" t="n"/>
      <x:c r="G951" s="259" t="n"/>
      <x:c r="H951" s="259" t="n"/>
      <x:c r="I951" s="259" t="n"/>
      <x:c r="J951" s="260" t="n"/>
      <x:c r="M951" s="259" t="n"/>
      <x:c r="N951" s="259" t="n"/>
      <x:c r="U951" s="259" t="n"/>
      <x:c r="W951" s="260" t="n"/>
    </x:row>
    <x:row r="952">
      <x:c r="B952" s="258" t="n"/>
      <x:c r="C952" s="258" t="n"/>
      <x:c r="E952" s="259" t="n"/>
      <x:c r="F952" s="259" t="n"/>
      <x:c r="G952" s="259" t="n"/>
      <x:c r="H952" s="259" t="n"/>
      <x:c r="I952" s="259" t="n"/>
      <x:c r="J952" s="260" t="n"/>
      <x:c r="M952" s="259" t="n"/>
      <x:c r="N952" s="259" t="n"/>
      <x:c r="U952" s="259" t="n"/>
      <x:c r="W952" s="260" t="n"/>
    </x:row>
    <x:row r="953">
      <x:c r="B953" s="258" t="n"/>
      <x:c r="C953" s="258" t="n"/>
      <x:c r="E953" s="259" t="n"/>
      <x:c r="F953" s="259" t="n"/>
      <x:c r="G953" s="259" t="n"/>
      <x:c r="H953" s="259" t="n"/>
      <x:c r="I953" s="259" t="n"/>
      <x:c r="J953" s="260" t="n"/>
      <x:c r="M953" s="259" t="n"/>
      <x:c r="N953" s="259" t="n"/>
      <x:c r="U953" s="259" t="n"/>
      <x:c r="W953" s="260" t="n"/>
    </x:row>
    <x:row r="954">
      <x:c r="B954" s="258" t="n"/>
      <x:c r="C954" s="258" t="n"/>
      <x:c r="E954" s="259" t="n"/>
      <x:c r="F954" s="259" t="n"/>
      <x:c r="G954" s="259" t="n"/>
      <x:c r="H954" s="259" t="n"/>
      <x:c r="I954" s="259" t="n"/>
      <x:c r="J954" s="260" t="n"/>
      <x:c r="M954" s="259" t="n"/>
      <x:c r="N954" s="259" t="n"/>
      <x:c r="U954" s="259" t="n"/>
      <x:c r="W954" s="260" t="n"/>
    </x:row>
    <x:row r="955">
      <x:c r="B955" s="258" t="n"/>
      <x:c r="C955" s="258" t="n"/>
      <x:c r="E955" s="259" t="n"/>
      <x:c r="F955" s="259" t="n"/>
      <x:c r="G955" s="259" t="n"/>
      <x:c r="H955" s="259" t="n"/>
      <x:c r="I955" s="259" t="n"/>
      <x:c r="J955" s="260" t="n"/>
      <x:c r="M955" s="259" t="n"/>
      <x:c r="N955" s="259" t="n"/>
      <x:c r="U955" s="259" t="n"/>
      <x:c r="W955" s="260" t="n"/>
    </x:row>
    <x:row r="956">
      <x:c r="B956" s="258" t="n"/>
      <x:c r="C956" s="258" t="n"/>
      <x:c r="E956" s="259" t="n"/>
      <x:c r="F956" s="259" t="n"/>
      <x:c r="G956" s="259" t="n"/>
      <x:c r="H956" s="259" t="n"/>
      <x:c r="I956" s="259" t="n"/>
      <x:c r="J956" s="260" t="n"/>
      <x:c r="M956" s="259" t="n"/>
      <x:c r="N956" s="259" t="n"/>
      <x:c r="U956" s="259" t="n"/>
      <x:c r="W956" s="260" t="n"/>
    </x:row>
    <x:row r="957">
      <x:c r="B957" s="258" t="n"/>
      <x:c r="C957" s="258" t="n"/>
      <x:c r="E957" s="259" t="n"/>
      <x:c r="F957" s="259" t="n"/>
      <x:c r="G957" s="259" t="n"/>
      <x:c r="H957" s="259" t="n"/>
      <x:c r="I957" s="259" t="n"/>
      <x:c r="J957" s="260" t="n"/>
      <x:c r="M957" s="259" t="n"/>
      <x:c r="N957" s="259" t="n"/>
      <x:c r="U957" s="259" t="n"/>
      <x:c r="W957" s="260" t="n"/>
    </x:row>
    <x:row r="958">
      <x:c r="B958" s="258" t="n"/>
      <x:c r="C958" s="258" t="n"/>
      <x:c r="E958" s="259" t="n"/>
      <x:c r="F958" s="259" t="n"/>
      <x:c r="G958" s="259" t="n"/>
      <x:c r="H958" s="259" t="n"/>
      <x:c r="I958" s="259" t="n"/>
      <x:c r="J958" s="260" t="n"/>
      <x:c r="M958" s="259" t="n"/>
      <x:c r="N958" s="259" t="n"/>
      <x:c r="U958" s="259" t="n"/>
      <x:c r="W958" s="260" t="n"/>
    </x:row>
    <x:row r="959">
      <x:c r="B959" s="258" t="n"/>
      <x:c r="C959" s="258" t="n"/>
      <x:c r="E959" s="259" t="n"/>
      <x:c r="F959" s="259" t="n"/>
      <x:c r="G959" s="259" t="n"/>
      <x:c r="H959" s="259" t="n"/>
      <x:c r="I959" s="259" t="n"/>
      <x:c r="J959" s="260" t="n"/>
      <x:c r="M959" s="259" t="n"/>
      <x:c r="N959" s="259" t="n"/>
      <x:c r="U959" s="259" t="n"/>
      <x:c r="W959" s="260" t="n"/>
    </x:row>
    <x:row r="960">
      <x:c r="B960" s="258" t="n"/>
      <x:c r="C960" s="258" t="n"/>
      <x:c r="E960" s="259" t="n"/>
      <x:c r="F960" s="259" t="n"/>
      <x:c r="G960" s="259" t="n"/>
      <x:c r="H960" s="259" t="n"/>
      <x:c r="I960" s="259" t="n"/>
      <x:c r="J960" s="260" t="n"/>
      <x:c r="M960" s="259" t="n"/>
      <x:c r="N960" s="259" t="n"/>
      <x:c r="U960" s="259" t="n"/>
      <x:c r="W960" s="260" t="n"/>
    </x:row>
    <x:row r="961">
      <x:c r="B961" s="258" t="n"/>
      <x:c r="C961" s="258" t="n"/>
      <x:c r="E961" s="259" t="n"/>
      <x:c r="F961" s="259" t="n"/>
      <x:c r="G961" s="259" t="n"/>
      <x:c r="H961" s="259" t="n"/>
      <x:c r="I961" s="259" t="n"/>
      <x:c r="J961" s="260" t="n"/>
      <x:c r="M961" s="259" t="n"/>
      <x:c r="N961" s="259" t="n"/>
      <x:c r="U961" s="259" t="n"/>
      <x:c r="W961" s="260" t="n"/>
    </x:row>
    <x:row r="962">
      <x:c r="B962" s="258" t="n"/>
      <x:c r="C962" s="258" t="n"/>
      <x:c r="E962" s="259" t="n"/>
      <x:c r="F962" s="259" t="n"/>
      <x:c r="G962" s="259" t="n"/>
      <x:c r="H962" s="259" t="n"/>
      <x:c r="I962" s="259" t="n"/>
      <x:c r="J962" s="260" t="n"/>
      <x:c r="M962" s="259" t="n"/>
      <x:c r="N962" s="259" t="n"/>
      <x:c r="U962" s="259" t="n"/>
      <x:c r="W962" s="260" t="n"/>
    </x:row>
    <x:row r="963">
      <x:c r="B963" s="258" t="n"/>
      <x:c r="C963" s="258" t="n"/>
      <x:c r="E963" s="259" t="n"/>
      <x:c r="F963" s="259" t="n"/>
      <x:c r="G963" s="259" t="n"/>
      <x:c r="H963" s="259" t="n"/>
      <x:c r="I963" s="259" t="n"/>
      <x:c r="J963" s="260" t="n"/>
      <x:c r="M963" s="259" t="n"/>
      <x:c r="N963" s="259" t="n"/>
      <x:c r="U963" s="259" t="n"/>
      <x:c r="W963" s="260" t="n"/>
    </x:row>
    <x:row r="964">
      <x:c r="B964" s="258" t="n"/>
      <x:c r="C964" s="258" t="n"/>
      <x:c r="E964" s="259" t="n"/>
      <x:c r="F964" s="259" t="n"/>
      <x:c r="G964" s="259" t="n"/>
      <x:c r="H964" s="259" t="n"/>
      <x:c r="I964" s="259" t="n"/>
      <x:c r="J964" s="260" t="n"/>
      <x:c r="M964" s="259" t="n"/>
      <x:c r="N964" s="259" t="n"/>
      <x:c r="U964" s="259" t="n"/>
      <x:c r="W964" s="260" t="n"/>
    </x:row>
    <x:row r="965">
      <x:c r="B965" s="258" t="n"/>
      <x:c r="C965" s="258" t="n"/>
      <x:c r="E965" s="259" t="n"/>
      <x:c r="F965" s="259" t="n"/>
      <x:c r="G965" s="259" t="n"/>
      <x:c r="H965" s="259" t="n"/>
      <x:c r="I965" s="259" t="n"/>
      <x:c r="J965" s="260" t="n"/>
      <x:c r="M965" s="259" t="n"/>
      <x:c r="N965" s="259" t="n"/>
      <x:c r="U965" s="259" t="n"/>
      <x:c r="W965" s="260" t="n"/>
    </x:row>
    <x:row r="966">
      <x:c r="B966" s="258" t="n"/>
      <x:c r="C966" s="258" t="n"/>
      <x:c r="E966" s="259" t="n"/>
      <x:c r="F966" s="259" t="n"/>
      <x:c r="G966" s="259" t="n"/>
      <x:c r="H966" s="259" t="n"/>
      <x:c r="I966" s="259" t="n"/>
      <x:c r="J966" s="260" t="n"/>
      <x:c r="M966" s="259" t="n"/>
      <x:c r="N966" s="259" t="n"/>
      <x:c r="U966" s="259" t="n"/>
      <x:c r="W966" s="260" t="n"/>
    </x:row>
    <x:row r="967">
      <x:c r="B967" s="258" t="n"/>
      <x:c r="C967" s="258" t="n"/>
      <x:c r="E967" s="259" t="n"/>
      <x:c r="F967" s="259" t="n"/>
      <x:c r="G967" s="259" t="n"/>
      <x:c r="H967" s="259" t="n"/>
      <x:c r="I967" s="259" t="n"/>
      <x:c r="J967" s="260" t="n"/>
      <x:c r="M967" s="259" t="n"/>
      <x:c r="N967" s="259" t="n"/>
      <x:c r="U967" s="259" t="n"/>
      <x:c r="W967" s="260" t="n"/>
    </x:row>
    <x:row r="968">
      <x:c r="B968" s="258" t="n"/>
      <x:c r="C968" s="258" t="n"/>
      <x:c r="E968" s="259" t="n"/>
      <x:c r="F968" s="259" t="n"/>
      <x:c r="G968" s="259" t="n"/>
      <x:c r="H968" s="259" t="n"/>
      <x:c r="I968" s="259" t="n"/>
      <x:c r="J968" s="260" t="n"/>
      <x:c r="M968" s="259" t="n"/>
      <x:c r="N968" s="259" t="n"/>
      <x:c r="U968" s="259" t="n"/>
      <x:c r="W968" s="260" t="n"/>
    </x:row>
    <x:row r="969">
      <x:c r="B969" s="258" t="n"/>
      <x:c r="C969" s="258" t="n"/>
      <x:c r="E969" s="259" t="n"/>
      <x:c r="F969" s="259" t="n"/>
      <x:c r="G969" s="259" t="n"/>
      <x:c r="H969" s="259" t="n"/>
      <x:c r="I969" s="259" t="n"/>
      <x:c r="J969" s="260" t="n"/>
      <x:c r="M969" s="259" t="n"/>
      <x:c r="N969" s="259" t="n"/>
      <x:c r="U969" s="259" t="n"/>
      <x:c r="W969" s="260" t="n"/>
    </x:row>
    <x:row r="970">
      <x:c r="B970" s="258" t="n"/>
      <x:c r="C970" s="258" t="n"/>
      <x:c r="E970" s="259" t="n"/>
      <x:c r="F970" s="259" t="n"/>
      <x:c r="G970" s="259" t="n"/>
      <x:c r="H970" s="259" t="n"/>
      <x:c r="I970" s="259" t="n"/>
      <x:c r="J970" s="260" t="n"/>
      <x:c r="M970" s="259" t="n"/>
      <x:c r="N970" s="259" t="n"/>
      <x:c r="U970" s="259" t="n"/>
      <x:c r="W970" s="260" t="n"/>
    </x:row>
    <x:row r="971">
      <x:c r="B971" s="258" t="n"/>
      <x:c r="C971" s="258" t="n"/>
      <x:c r="E971" s="259" t="n"/>
      <x:c r="F971" s="259" t="n"/>
      <x:c r="G971" s="259" t="n"/>
      <x:c r="H971" s="259" t="n"/>
      <x:c r="I971" s="259" t="n"/>
      <x:c r="J971" s="260" t="n"/>
      <x:c r="M971" s="259" t="n"/>
      <x:c r="N971" s="259" t="n"/>
      <x:c r="U971" s="259" t="n"/>
      <x:c r="W971" s="260" t="n"/>
    </x:row>
    <x:row r="972">
      <x:c r="B972" s="258" t="n"/>
      <x:c r="C972" s="258" t="n"/>
      <x:c r="E972" s="259" t="n"/>
      <x:c r="F972" s="259" t="n"/>
      <x:c r="G972" s="259" t="n"/>
      <x:c r="H972" s="259" t="n"/>
      <x:c r="I972" s="259" t="n"/>
      <x:c r="J972" s="260" t="n"/>
      <x:c r="M972" s="259" t="n"/>
      <x:c r="N972" s="259" t="n"/>
      <x:c r="U972" s="259" t="n"/>
      <x:c r="W972" s="260" t="n"/>
    </x:row>
    <x:row r="973">
      <x:c r="B973" s="258" t="n"/>
      <x:c r="C973" s="258" t="n"/>
      <x:c r="E973" s="259" t="n"/>
      <x:c r="F973" s="259" t="n"/>
      <x:c r="G973" s="259" t="n"/>
      <x:c r="H973" s="259" t="n"/>
      <x:c r="I973" s="259" t="n"/>
      <x:c r="J973" s="260" t="n"/>
      <x:c r="M973" s="259" t="n"/>
      <x:c r="N973" s="259" t="n"/>
      <x:c r="U973" s="259" t="n"/>
      <x:c r="W973" s="260" t="n"/>
    </x:row>
    <x:row r="974">
      <x:c r="B974" s="258" t="n"/>
      <x:c r="C974" s="258" t="n"/>
      <x:c r="E974" s="259" t="n"/>
      <x:c r="F974" s="259" t="n"/>
      <x:c r="G974" s="259" t="n"/>
      <x:c r="H974" s="259" t="n"/>
      <x:c r="I974" s="259" t="n"/>
      <x:c r="J974" s="260" t="n"/>
      <x:c r="M974" s="259" t="n"/>
      <x:c r="N974" s="259" t="n"/>
      <x:c r="U974" s="259" t="n"/>
      <x:c r="W974" s="260" t="n"/>
    </x:row>
    <x:row r="975">
      <x:c r="B975" s="258" t="n"/>
      <x:c r="C975" s="258" t="n"/>
      <x:c r="E975" s="259" t="n"/>
      <x:c r="F975" s="259" t="n"/>
      <x:c r="G975" s="259" t="n"/>
      <x:c r="H975" s="259" t="n"/>
      <x:c r="I975" s="259" t="n"/>
      <x:c r="J975" s="260" t="n"/>
      <x:c r="M975" s="259" t="n"/>
      <x:c r="N975" s="259" t="n"/>
      <x:c r="U975" s="259" t="n"/>
      <x:c r="W975" s="260" t="n"/>
    </x:row>
    <x:row r="976">
      <x:c r="B976" s="258" t="n"/>
      <x:c r="C976" s="258" t="n"/>
      <x:c r="E976" s="259" t="n"/>
      <x:c r="F976" s="259" t="n"/>
      <x:c r="G976" s="259" t="n"/>
      <x:c r="H976" s="259" t="n"/>
      <x:c r="I976" s="259" t="n"/>
      <x:c r="J976" s="260" t="n"/>
      <x:c r="M976" s="259" t="n"/>
      <x:c r="N976" s="259" t="n"/>
      <x:c r="U976" s="259" t="n"/>
      <x:c r="W976" s="260" t="n"/>
    </x:row>
    <x:row r="977">
      <x:c r="B977" s="258" t="n"/>
      <x:c r="C977" s="258" t="n"/>
      <x:c r="E977" s="259" t="n"/>
      <x:c r="F977" s="259" t="n"/>
      <x:c r="G977" s="259" t="n"/>
      <x:c r="H977" s="259" t="n"/>
      <x:c r="I977" s="259" t="n"/>
      <x:c r="J977" s="260" t="n"/>
      <x:c r="M977" s="259" t="n"/>
      <x:c r="N977" s="259" t="n"/>
      <x:c r="U977" s="259" t="n"/>
      <x:c r="W977" s="260" t="n"/>
    </x:row>
    <x:row r="978">
      <x:c r="B978" s="258" t="n"/>
      <x:c r="C978" s="258" t="n"/>
      <x:c r="E978" s="259" t="n"/>
      <x:c r="F978" s="259" t="n"/>
      <x:c r="G978" s="259" t="n"/>
      <x:c r="H978" s="259" t="n"/>
      <x:c r="I978" s="259" t="n"/>
      <x:c r="J978" s="260" t="n"/>
      <x:c r="M978" s="259" t="n"/>
      <x:c r="N978" s="259" t="n"/>
      <x:c r="U978" s="259" t="n"/>
      <x:c r="W978" s="260" t="n"/>
    </x:row>
    <x:row r="979">
      <x:c r="B979" s="258" t="n"/>
      <x:c r="C979" s="258" t="n"/>
      <x:c r="E979" s="259" t="n"/>
      <x:c r="F979" s="259" t="n"/>
      <x:c r="G979" s="259" t="n"/>
      <x:c r="H979" s="259" t="n"/>
      <x:c r="I979" s="259" t="n"/>
      <x:c r="J979" s="260" t="n"/>
      <x:c r="M979" s="259" t="n"/>
      <x:c r="N979" s="259" t="n"/>
      <x:c r="U979" s="259" t="n"/>
      <x:c r="W979" s="260" t="n"/>
    </x:row>
    <x:row r="980">
      <x:c r="B980" s="258" t="n"/>
      <x:c r="C980" s="258" t="n"/>
      <x:c r="E980" s="259" t="n"/>
      <x:c r="F980" s="259" t="n"/>
      <x:c r="G980" s="259" t="n"/>
      <x:c r="H980" s="259" t="n"/>
      <x:c r="I980" s="259" t="n"/>
      <x:c r="J980" s="260" t="n"/>
      <x:c r="M980" s="259" t="n"/>
      <x:c r="N980" s="259" t="n"/>
      <x:c r="U980" s="259" t="n"/>
      <x:c r="W980" s="260" t="n"/>
    </x:row>
    <x:row r="981">
      <x:c r="B981" s="258" t="n"/>
      <x:c r="C981" s="258" t="n"/>
      <x:c r="E981" s="259" t="n"/>
      <x:c r="F981" s="259" t="n"/>
      <x:c r="G981" s="259" t="n"/>
      <x:c r="H981" s="259" t="n"/>
      <x:c r="I981" s="259" t="n"/>
      <x:c r="J981" s="260" t="n"/>
      <x:c r="M981" s="259" t="n"/>
      <x:c r="N981" s="259" t="n"/>
      <x:c r="U981" s="259" t="n"/>
      <x:c r="W981" s="260" t="n"/>
    </x:row>
    <x:row r="982">
      <x:c r="B982" s="258" t="n"/>
      <x:c r="C982" s="258" t="n"/>
      <x:c r="E982" s="259" t="n"/>
      <x:c r="F982" s="259" t="n"/>
      <x:c r="G982" s="259" t="n"/>
      <x:c r="H982" s="259" t="n"/>
      <x:c r="I982" s="259" t="n"/>
      <x:c r="J982" s="260" t="n"/>
      <x:c r="M982" s="259" t="n"/>
      <x:c r="N982" s="259" t="n"/>
      <x:c r="U982" s="259" t="n"/>
      <x:c r="W982" s="260" t="n"/>
    </x:row>
    <x:row r="983">
      <x:c r="B983" s="258" t="n"/>
      <x:c r="C983" s="258" t="n"/>
      <x:c r="E983" s="259" t="n"/>
      <x:c r="F983" s="259" t="n"/>
      <x:c r="G983" s="259" t="n"/>
      <x:c r="H983" s="259" t="n"/>
      <x:c r="I983" s="259" t="n"/>
      <x:c r="J983" s="260" t="n"/>
      <x:c r="M983" s="259" t="n"/>
      <x:c r="N983" s="259" t="n"/>
      <x:c r="U983" s="259" t="n"/>
      <x:c r="W983" s="260" t="n"/>
    </x:row>
    <x:row r="984">
      <x:c r="B984" s="258" t="n"/>
      <x:c r="C984" s="258" t="n"/>
      <x:c r="E984" s="259" t="n"/>
      <x:c r="F984" s="259" t="n"/>
      <x:c r="G984" s="259" t="n"/>
      <x:c r="H984" s="259" t="n"/>
      <x:c r="I984" s="259" t="n"/>
      <x:c r="J984" s="260" t="n"/>
      <x:c r="M984" s="259" t="n"/>
      <x:c r="N984" s="259" t="n"/>
      <x:c r="U984" s="259" t="n"/>
      <x:c r="W984" s="260" t="n"/>
    </x:row>
    <x:row r="985">
      <x:c r="B985" s="258" t="n"/>
      <x:c r="C985" s="258" t="n"/>
      <x:c r="E985" s="259" t="n"/>
      <x:c r="F985" s="259" t="n"/>
      <x:c r="G985" s="259" t="n"/>
      <x:c r="H985" s="259" t="n"/>
      <x:c r="I985" s="259" t="n"/>
      <x:c r="J985" s="260" t="n"/>
      <x:c r="M985" s="259" t="n"/>
      <x:c r="N985" s="259" t="n"/>
      <x:c r="U985" s="259" t="n"/>
      <x:c r="W985" s="260" t="n"/>
    </x:row>
    <x:row r="986">
      <x:c r="B986" s="258" t="n"/>
      <x:c r="C986" s="258" t="n"/>
      <x:c r="E986" s="259" t="n"/>
      <x:c r="F986" s="259" t="n"/>
      <x:c r="G986" s="259" t="n"/>
      <x:c r="H986" s="259" t="n"/>
      <x:c r="I986" s="259" t="n"/>
      <x:c r="J986" s="260" t="n"/>
      <x:c r="M986" s="259" t="n"/>
      <x:c r="N986" s="259" t="n"/>
      <x:c r="U986" s="259" t="n"/>
      <x:c r="W986" s="260" t="n"/>
    </x:row>
    <x:row r="987">
      <x:c r="B987" s="258" t="n"/>
      <x:c r="C987" s="258" t="n"/>
      <x:c r="E987" s="259" t="n"/>
      <x:c r="F987" s="259" t="n"/>
      <x:c r="G987" s="259" t="n"/>
      <x:c r="H987" s="259" t="n"/>
      <x:c r="I987" s="259" t="n"/>
      <x:c r="J987" s="260" t="n"/>
      <x:c r="M987" s="259" t="n"/>
      <x:c r="N987" s="259" t="n"/>
      <x:c r="U987" s="259" t="n"/>
      <x:c r="W987" s="260" t="n"/>
    </x:row>
    <x:row r="988">
      <x:c r="B988" s="258" t="n"/>
      <x:c r="C988" s="258" t="n"/>
      <x:c r="E988" s="259" t="n"/>
      <x:c r="F988" s="259" t="n"/>
      <x:c r="G988" s="259" t="n"/>
      <x:c r="H988" s="259" t="n"/>
      <x:c r="I988" s="259" t="n"/>
      <x:c r="J988" s="260" t="n"/>
      <x:c r="M988" s="259" t="n"/>
      <x:c r="N988" s="259" t="n"/>
      <x:c r="U988" s="259" t="n"/>
      <x:c r="W988" s="260" t="n"/>
    </x:row>
    <x:row r="989">
      <x:c r="B989" s="258" t="n"/>
      <x:c r="C989" s="258" t="n"/>
      <x:c r="E989" s="259" t="n"/>
      <x:c r="F989" s="259" t="n"/>
      <x:c r="G989" s="259" t="n"/>
      <x:c r="H989" s="259" t="n"/>
      <x:c r="I989" s="259" t="n"/>
      <x:c r="J989" s="260" t="n"/>
      <x:c r="M989" s="259" t="n"/>
      <x:c r="N989" s="259" t="n"/>
      <x:c r="U989" s="259" t="n"/>
      <x:c r="W989" s="260" t="n"/>
    </x:row>
    <x:row r="990">
      <x:c r="B990" s="258" t="n"/>
      <x:c r="C990" s="258" t="n"/>
      <x:c r="E990" s="259" t="n"/>
      <x:c r="F990" s="259" t="n"/>
      <x:c r="G990" s="259" t="n"/>
      <x:c r="H990" s="259" t="n"/>
      <x:c r="I990" s="259" t="n"/>
      <x:c r="J990" s="260" t="n"/>
      <x:c r="M990" s="259" t="n"/>
      <x:c r="N990" s="259" t="n"/>
      <x:c r="U990" s="259" t="n"/>
      <x:c r="W990" s="260" t="n"/>
    </x:row>
    <x:row r="991">
      <x:c r="B991" s="258" t="n"/>
      <x:c r="C991" s="258" t="n"/>
      <x:c r="E991" s="259" t="n"/>
      <x:c r="F991" s="259" t="n"/>
      <x:c r="G991" s="259" t="n"/>
      <x:c r="H991" s="259" t="n"/>
      <x:c r="I991" s="259" t="n"/>
      <x:c r="J991" s="260" t="n"/>
      <x:c r="M991" s="259" t="n"/>
      <x:c r="N991" s="259" t="n"/>
      <x:c r="U991" s="259" t="n"/>
      <x:c r="W991" s="260" t="n"/>
    </x:row>
    <x:row r="992">
      <x:c r="B992" s="258" t="n"/>
      <x:c r="C992" s="258" t="n"/>
      <x:c r="E992" s="259" t="n"/>
      <x:c r="F992" s="259" t="n"/>
      <x:c r="G992" s="259" t="n"/>
      <x:c r="H992" s="259" t="n"/>
      <x:c r="I992" s="259" t="n"/>
      <x:c r="J992" s="260" t="n"/>
      <x:c r="M992" s="259" t="n"/>
      <x:c r="N992" s="259" t="n"/>
      <x:c r="U992" s="259" t="n"/>
      <x:c r="W992" s="260" t="n"/>
    </x:row>
    <x:row r="993">
      <x:c r="B993" s="258" t="n"/>
      <x:c r="C993" s="258" t="n"/>
      <x:c r="E993" s="259" t="n"/>
      <x:c r="F993" s="259" t="n"/>
      <x:c r="G993" s="259" t="n"/>
      <x:c r="H993" s="259" t="n"/>
      <x:c r="I993" s="259" t="n"/>
      <x:c r="J993" s="260" t="n"/>
      <x:c r="M993" s="259" t="n"/>
      <x:c r="N993" s="259" t="n"/>
      <x:c r="U993" s="259" t="n"/>
      <x:c r="W993" s="260" t="n"/>
    </x:row>
    <x:row r="994">
      <x:c r="B994" s="258" t="n"/>
      <x:c r="C994" s="258" t="n"/>
      <x:c r="E994" s="259" t="n"/>
      <x:c r="F994" s="259" t="n"/>
      <x:c r="G994" s="259" t="n"/>
      <x:c r="H994" s="259" t="n"/>
      <x:c r="I994" s="259" t="n"/>
      <x:c r="J994" s="260" t="n"/>
      <x:c r="M994" s="259" t="n"/>
      <x:c r="N994" s="259" t="n"/>
      <x:c r="U994" s="259" t="n"/>
      <x:c r="W994" s="260" t="n"/>
    </x:row>
    <x:row r="995">
      <x:c r="B995" s="258" t="n"/>
      <x:c r="C995" s="258" t="n"/>
      <x:c r="E995" s="259" t="n"/>
      <x:c r="F995" s="259" t="n"/>
      <x:c r="G995" s="259" t="n"/>
      <x:c r="H995" s="259" t="n"/>
      <x:c r="I995" s="259" t="n"/>
      <x:c r="J995" s="260" t="n"/>
      <x:c r="M995" s="259" t="n"/>
      <x:c r="N995" s="259" t="n"/>
      <x:c r="U995" s="259" t="n"/>
      <x:c r="W995" s="260" t="n"/>
    </x:row>
    <x:row r="996">
      <x:c r="B996" s="258" t="n"/>
      <x:c r="C996" s="258" t="n"/>
      <x:c r="E996" s="259" t="n"/>
      <x:c r="F996" s="259" t="n"/>
      <x:c r="G996" s="259" t="n"/>
      <x:c r="H996" s="259" t="n"/>
      <x:c r="I996" s="259" t="n"/>
      <x:c r="J996" s="260" t="n"/>
      <x:c r="M996" s="259" t="n"/>
      <x:c r="N996" s="259" t="n"/>
      <x:c r="U996" s="259" t="n"/>
      <x:c r="W996" s="260" t="n"/>
    </x:row>
    <x:row r="997">
      <x:c r="B997" s="258" t="n"/>
      <x:c r="C997" s="258" t="n"/>
      <x:c r="E997" s="259" t="n"/>
      <x:c r="F997" s="259" t="n"/>
      <x:c r="G997" s="259" t="n"/>
      <x:c r="H997" s="259" t="n"/>
      <x:c r="I997" s="259" t="n"/>
      <x:c r="J997" s="260" t="n"/>
      <x:c r="M997" s="259" t="n"/>
      <x:c r="N997" s="259" t="n"/>
      <x:c r="U997" s="259" t="n"/>
      <x:c r="W997" s="260" t="n"/>
    </x:row>
    <x:row r="998">
      <x:c r="B998" s="258" t="n"/>
      <x:c r="C998" s="258" t="n"/>
      <x:c r="E998" s="259" t="n"/>
      <x:c r="F998" s="259" t="n"/>
      <x:c r="G998" s="259" t="n"/>
      <x:c r="H998" s="259" t="n"/>
      <x:c r="I998" s="259" t="n"/>
      <x:c r="J998" s="260" t="n"/>
      <x:c r="M998" s="259" t="n"/>
      <x:c r="N998" s="259" t="n"/>
      <x:c r="U998" s="259" t="n"/>
      <x:c r="W998" s="260" t="n"/>
    </x:row>
    <x:row r="999">
      <x:c r="B999" s="258" t="n"/>
      <x:c r="C999" s="258" t="n"/>
      <x:c r="E999" s="259" t="n"/>
      <x:c r="F999" s="259" t="n"/>
      <x:c r="G999" s="259" t="n"/>
      <x:c r="H999" s="259" t="n"/>
      <x:c r="I999" s="259" t="n"/>
      <x:c r="J999" s="260" t="n"/>
      <x:c r="M999" s="259" t="n"/>
      <x:c r="N999" s="259" t="n"/>
      <x:c r="U999" s="259" t="n"/>
      <x:c r="W999" s="260" t="n"/>
    </x:row>
    <x:row r="1000">
      <x:c r="B1000" s="258" t="n"/>
      <x:c r="C1000" s="258" t="n"/>
      <x:c r="E1000" s="259" t="n"/>
      <x:c r="F1000" s="259" t="n"/>
      <x:c r="G1000" s="259" t="n"/>
      <x:c r="H1000" s="259" t="n"/>
      <x:c r="I1000" s="259" t="n"/>
      <x:c r="J1000" s="260" t="n"/>
      <x:c r="M1000" s="259" t="n"/>
      <x:c r="N1000" s="259" t="n"/>
      <x:c r="U1000" s="259" t="n"/>
      <x:c r="W1000" s="260" t="n"/>
    </x:row>
  </x:sheetData>
  <x:mergeCells>
    <x:mergeCell ref="A2:W2"/>
    <x:mergeCell ref="A3:M3"/>
    <x:mergeCell ref="A1:W1"/>
    <x:mergeCell ref="N3:Y3"/>
  </x:mergeCells>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2" priority="5">
      <x:formula>K5="Loss"</x:formula>
    </x:cfRule>
    <x:cfRule type="expression" dxfId="4" priority="6">
      <x:formula>K5="Subscription"</x:formula>
    </x:cfRule>
  </x:conditionalFormatting>
  <x:conditionalFormatting sqref="U5:U500">
    <x:cfRule type="expression" dxfId="5" priority="7">
      <x:formula>$U5="Profit"</x:formula>
    </x:cfRule>
    <x:cfRule type="expression" dxfId="6" priority="8">
      <x:formula>$U5="Draw"</x:formula>
    </x:cfRule>
    <x:cfRule type="expression" dxfId="7" priority="9">
      <x:formula>$U5="Disqualified"</x:formula>
    </x:cfRule>
  </x:conditionalFormatting>
  <x:conditionalFormatting sqref="U5:U1000">
    <x:cfRule type="expression" dxfId="11" priority="10">
      <x:formula>$U5="Profit"</x:formula>
    </x:cfRule>
    <x:cfRule type="expression" dxfId="12" priority="11">
      <x:formula>$U5="Draw"</x:formula>
    </x:cfRule>
    <x:cfRule type="expression" dxfId="13" priority="12">
      <x:formula>$U5="Disqualified"</x:formula>
    </x:cfRule>
  </x:conditionalFormatting>
  <x:conditionalFormatting sqref="W5:W1000">
    <x:cfRule type="expression" dxfId="14" priority="13">
      <x:formula>$U5="Profit"</x:formula>
    </x:cfRule>
    <x:cfRule type="expression" dxfId="15" priority="14">
      <x:formula>$U5="Draw"</x:formula>
    </x:cfRule>
    <x:cfRule type="expression" dxfId="16" priority="15">
      <x:formula>$U5="Disqualified"</x:formula>
    </x:cfRule>
  </x:conditionalFormatting>
  <x:dataValidations count="11">
    <x:dataValidation type="list" allowBlank="0" showDropDown="0" showInputMessage="0" showErrorMessage="0" sqref="K5:K504">
      <x:formula1>"Profit,Draw,Disqualified,Loss,Subscription"</x:formula1>
    </x:dataValidation>
    <x:dataValidation type="list" allowBlank="0" showDropDown="0" showInputMessage="0" showErrorMessage="0" sqref="L5:L504">
      <x:formula1>"Yes,No,"</x:formula1>
    </x:dataValidation>
    <x:dataValidation type="list" allowBlank="0" showDropDown="0" showInputMessage="0" showErrorMessage="0" sqref="R5:R504">
      <x:formula1>"Reported,Estimated,Partly Estimated"</x:formula1>
    </x:dataValidation>
    <x:dataValidation type="list" allowBlank="0" showDropDown="0" showInputMessage="0" showErrorMessage="0" sqref="S5:S504">
      <x:formula1>"High,Medium,Low"</x:formula1>
    </x:dataValidation>
    <x:dataValidation type="list" allowBlank="0" showDropDown="0" showInputMessage="0" showErrorMessage="0" sqref="D5:D504">
      <x:formula1>"Estimate,Finalized"</x:formula1>
    </x:dataValidation>
    <x:dataValidation type="list" allowBlank="0" showDropDown="0" showInputMessage="0" showErrorMessage="0" sqref="E5:E504">
      <x:formula1>"Member,Non-Member"</x:formula1>
    </x:dataValidation>
    <x:dataValidation type="list" allowBlank="0" showDropDown="0" showInputMessage="0" showErrorMessage="0" sqref="U5:U504">
      <x:formula1>"Profit,Draw,Disqualified,Subscription"</x:formula1>
    </x:dataValidation>
    <x:dataValidation type="decimal" operator="greaterThanOrEqual" allowBlank="1" showDropDown="1" showInputMessage="0" showErrorMessage="0" sqref="K5:K500">
      <x:formula1>0</x:formula1>
    </x:dataValidation>
    <x:dataValidation type="list" allowBlank="1" showDropDown="0" showInputMessage="0" showErrorMessage="0" sqref="D5:D500">
      <x:formula1>"Estimate,Finalized"</x:formula1>
    </x:dataValidation>
    <x:dataValidation type="list" allowBlank="1" showDropDown="0" showInputMessage="0" showErrorMessage="0" sqref="E5:E500">
      <x:formula1>"Member,Non-Member"</x:formula1>
    </x:dataValidation>
    <x:dataValidation type="list" allowBlank="1" showDropDown="0" showInputMessage="0" showErrorMessage="0" sqref="L5:L500">
      <x:formula1>"No,Yes"</x:formula1>
    </x:dataValidation>
  </x:dataValidations>
  <x:pageMargins left="0.7" right="0.7" top="0.75" bottom="0.75" header="0.3" footer="0.3"/>
  <x:tableParts count="1">
    <x:tablePart xmlns:r="http://schemas.openxmlformats.org/officeDocument/2006/relationships" r:id="R56cc0714d62c43bb"/>
  </x:tableParts>
</x:worksheet>
</file>

<file path=xl/worksheets/sheet3.xml><?xml version="1.0" encoding="utf-8"?>
<x:worksheet xmlns:x="http://schemas.openxmlformats.org/spreadsheetml/2006/main">
  <x:sheetFormatPr baseColWidth="8" defaultRowHeight="15"/>
  <x:cols>
    <x:col min="1" max="1" width="14" style="106" customWidth="1"/>
    <x:col min="2" max="2" width="14" style="106" customWidth="1"/>
    <x:col min="3" max="3" width="14" style="106" customWidth="1"/>
    <x:col min="4" max="4" width="14" style="106" customWidth="1"/>
    <x:col min="5" max="5" width="14" style="106" customWidth="1"/>
    <x:col min="6" max="6" width="14" style="106" customWidth="1"/>
    <x:col min="7" max="7" width="14" style="106" customWidth="1"/>
    <x:col min="8" max="8" width="14" style="106" customWidth="1"/>
  </x:cols>
  <x:sheetData>
    <x:row r="1">
      <x:c r="A1" s="246" t="inlineStr">
        <x:is>
          <x:t xml:space="preserve">Summary</x:t>
        </x:is>
      </x:c>
      <x:c r="B1" s="1" t="n"/>
      <x:c r="C1" s="1" t="n"/>
      <x:c r="D1" s="1" t="n"/>
      <x:c r="E1" s="1" t="n"/>
      <x:c r="F1" s="1" t="n"/>
      <x:c r="G1" s="1" t="n"/>
      <x:c r="H1" s="1" t="n"/>
      <x:c r="I1" s="178" t="n"/>
      <x:c r="J1" s="178" t="n"/>
      <x:c r="K1" s="178" t="n"/>
      <x:c r="L1" s="178" t="n"/>
      <x:c r="M1" s="178" t="n"/>
      <x:c r="N1" s="178" t="n"/>
      <x:c r="O1" s="178" t="n"/>
      <x:c r="P1" s="178" t="n"/>
      <x:c r="Q1" s="178" t="n"/>
      <x:c r="R1" s="178" t="n"/>
      <x:c r="S1" s="178" t="n"/>
      <x:c r="T1" s="178" t="n"/>
      <x:c r="U1" s="178" t="n"/>
      <x:c r="V1" s="178" t="n"/>
      <x:c r="W1" s="178" t="n"/>
      <x:c r="X1" s="178" t="n"/>
      <x:c r="Y1" s="178" t="n"/>
      <x:c r="Z1" s="178" t="n"/>
    </x:row>
    <x:row r="2">
      <x:c r="A2" s="37" t="inlineStr">
        <x:is>
          <x:t xml:space="preserve">Updates automatically after rows are pasted or edited in Game Records.</x:t>
        </x:is>
      </x:c>
      <x:c r="B2" s="1" t="n"/>
      <x:c r="C2" s="1" t="n"/>
      <x:c r="D2" s="1" t="n"/>
      <x:c r="E2" s="1" t="n"/>
      <x:c r="F2" s="1" t="n"/>
      <x:c r="G2" s="1" t="n"/>
      <x:c r="H2" s="1" t="n"/>
    </x:row>
    <x:row r="4">
      <x:c r="A4" s="77" t="inlineStr">
        <x:is>
          <x:t xml:space="preserve">Total Games</x:t>
        </x:is>
      </x:c>
      <x:c r="B4" s="1" t="n"/>
      <x:c r="C4" s="77" t="inlineStr">
        <x:is>
          <x:t xml:space="preserve">Total Profit</x:t>
        </x:is>
      </x:c>
      <x:c r="D4" s="1" t="n"/>
      <x:c r="E4" s="77" t="inlineStr">
        <x:is>
          <x:t xml:space="preserve">Net Profit After Losses</x:t>
        </x:is>
      </x:c>
      <x:c r="F4" s="1" t="n"/>
      <x:c r="G4" s="77" t="inlineStr">
        <x:is>
          <x:t xml:space="preserve">Average Profit per Game</x:t>
        </x:is>
      </x:c>
      <x:c r="H4" s="1" t="n"/>
    </x:row>
    <x:row r="5">
      <x:c r="A5" s="261">
        <x:f>COUNTIFS('Game Records'!$A$5:$A$504,"&lt;&gt;",'Game Records'!$U$5:$U$504,"&lt;&gt;Subscription")</x:f>
      </x:c>
      <x:c r="B5" s="1" t="n"/>
      <x:c r="C5" s="262">
        <x:f>SUMIFS('Game Records'!$Q$5:$Q$504,'Game Records'!$A$5:$A$504,"&lt;&gt;")</x:f>
      </x:c>
      <x:c r="D5" s="1" t="n"/>
      <x:c r="E5" s="262">
        <x:f>SUMIFS('Game Records'!$W$5:$W$504,'Game Records'!$A$5:$A$504,"&lt;&gt;")</x:f>
      </x:c>
      <x:c r="F5" s="1" t="n"/>
      <x:c r="G5" s="262">
        <x:f>IF(A5=0,"",E5/A5)</x:f>
      </x:c>
      <x:c r="H5" s="1" t="n"/>
    </x:row>
    <x:row r="6">
      <x:c r="A6" s="1" t="n"/>
      <x:c r="B6" s="1" t="n"/>
      <x:c r="C6" s="1" t="n"/>
      <x:c r="D6" s="1" t="n"/>
      <x:c r="E6" s="1" t="n"/>
      <x:c r="F6" s="1" t="n"/>
      <x:c r="G6" s="1" t="n"/>
      <x:c r="H6" s="1" t="n"/>
    </x:row>
    <x:row r="8">
      <x:c r="A8" s="77" t="inlineStr">
        <x:is>
          <x:t xml:space="preserve">Average ROI</x:t>
        </x:is>
      </x:c>
      <x:c r="B8" s="1" t="n"/>
      <x:c r="C8" s="77" t="inlineStr">
        <x:is>
          <x:t xml:space="preserve">Profit Rate</x:t>
        </x:is>
      </x:c>
      <x:c r="D8" s="1" t="n"/>
      <x:c r="E8" s="77" t="inlineStr">
        <x:is>
          <x:t xml:space="preserve">Draw Rate</x:t>
        </x:is>
      </x:c>
      <x:c r="F8" s="1" t="n"/>
      <x:c r="G8" s="77" t="inlineStr">
        <x:is>
          <x:t xml:space="preserve">Loss Rate</x:t>
        </x:is>
      </x:c>
      <x:c r="H8" s="1" t="n"/>
    </x:row>
    <x:row r="9">
      <x:c r="A9" s="263">
        <x:f>IF(COUNTIFS('Game Records'!$A$5:$A$504,"&lt;&gt;",'Game Records'!$T$5:$T$504,"&lt;&gt;")=0,"",SUMIFS('Game Records'!$T$5:$T$504,'Game Records'!$A$5:$A$504,"&lt;&gt;")/COUNTIFS('Game Records'!$A$5:$A$504,"&lt;&gt;",'Game Records'!$T$5:$T$504,"&lt;&gt;"))</x:f>
      </x:c>
      <x:c r="B9" s="1" t="n"/>
      <x:c r="C9" s="263">
        <x:f>IF(A5=0,"",COUNTIFS('Game Records'!$A$5:$A$504,"&lt;&gt;",'Game Records'!$U$5:$U$504,"Profit")/A5)</x:f>
      </x:c>
      <x:c r="D9" s="1" t="n"/>
      <x:c r="E9" s="263">
        <x:f>IF(A5=0,"",COUNTIFS('Game Records'!$A$5:$A$504,"&lt;&gt;",'Game Records'!$U$5:$U$504,"Draw")/A5)</x:f>
      </x:c>
      <x:c r="F9" s="1" t="n"/>
      <x:c r="G9" s="263">
        <x:f>IF(A5=0,"",COUNTIFS('Game Records'!$A$5:$A$504,"&lt;&gt;",'Game Records'!$U$5:$U$504,"Disqualified")/A5)</x:f>
      </x:c>
      <x:c r="H9" s="1" t="n"/>
    </x:row>
    <x:row r="10">
      <x:c r="A10" s="1" t="n"/>
      <x:c r="B10" s="1" t="n"/>
      <x:c r="C10" s="1" t="n"/>
      <x:c r="D10" s="1" t="n"/>
      <x:c r="E10" s="1" t="n"/>
      <x:c r="F10" s="1" t="n"/>
      <x:c r="G10" s="1" t="n"/>
      <x:c r="H10" s="1" t="n"/>
    </x:row>
    <x:row r="13">
      <x:c r="A13" s="27" t="inlineStr">
        <x:is>
          <x:t xml:space="preserve">Result Breakdown</x:t>
        </x:is>
      </x:c>
      <x:c r="B13" s="1" t="n"/>
    </x:row>
    <x:row r="14">
      <x:c r="A14" s="42" t="inlineStr">
        <x:is>
          <x:t xml:space="preserve">Result</x:t>
        </x:is>
      </x:c>
      <x:c r="B14" s="42" t="inlineStr">
        <x:is>
          <x:t xml:space="preserve">Games</x:t>
        </x:is>
      </x:c>
    </x:row>
    <x:row r="15">
      <x:c r="A15" s="50" t="inlineStr">
        <x:is>
          <x:t xml:space="preserve">Profit</x:t>
        </x:is>
      </x:c>
      <x:c r="B15" s="252">
        <x:f>COUNTIFS('Game Records'!$U$5:$U$504,A15)</x:f>
      </x:c>
    </x:row>
    <x:row r="16">
      <x:c r="A16" s="50" t="inlineStr">
        <x:is>
          <x:t xml:space="preserve">Draw</x:t>
        </x:is>
      </x:c>
      <x:c r="B16" s="252">
        <x:f>COUNTIFS('Game Records'!$U$5:$U$504,A16)</x:f>
      </x:c>
    </x:row>
    <x:row r="17">
      <x:c r="A17" s="50" t="inlineStr">
        <x:is>
          <x:t xml:space="preserve">Disqualified / Loss</x:t>
        </x:is>
      </x:c>
      <x:c r="B17" s="252">
        <x:f>COUNTIFS('Game Records'!$U$5:$U$504,"Disqualified")</x:f>
      </x:c>
    </x:row>
    <x:row r="18">
      <x:c r="A18" s="50" t="inlineStr">
        <x:is>
          <x:t xml:space="preserve">Subscription</x:t>
        </x:is>
      </x:c>
      <x:c r="B18" s="252">
        <x:f>COUNTIFS('Game Records'!$U$5:$U$504,A18)</x:f>
      </x:c>
    </x:row>
    <x:row r="21">
      <x:c r="A21" s="27" t="inlineStr">
        <x:is>
          <x:t xml:space="preserve">How to read this sheet</x:t>
        </x:is>
      </x:c>
      <x:c r="B21" s="1" t="n"/>
      <x:c r="C21" s="1" t="n"/>
      <x:c r="D21" s="1" t="n"/>
      <x:c r="E21" s="1" t="n"/>
      <x:c r="F21" s="1" t="n"/>
      <x:c r="G21" s="1" t="n"/>
      <x:c r="H21" s="1" t="n"/>
    </x:row>
    <x:row r="22" s="106" customFormat="1" ht="26" customHeight="1">
      <x:c r="A22" s="37" t="inlineStr">
        <x:is>
          <x:t xml:space="preserve">Total Profit adds positive Profit amounts. Net Profit subtracts Entry Fees only for Disqualified entries. Draw includes eligible entries at or below Entry Fee. Formula columns in Game Records update from columns A through M.</x:t>
        </x:is>
      </x:c>
      <x:c r="B22" s="1" t="n"/>
      <x:c r="C22" s="1" t="n"/>
      <x:c r="D22" s="1" t="n"/>
      <x:c r="E22" s="1" t="n"/>
      <x:c r="F22" s="1" t="n"/>
      <x:c r="G22" s="1" t="n"/>
      <x:c r="H22" s="1" t="n"/>
    </x:row>
    <x:row r="23" s="106" customFormat="1" ht="26" customHeight="1">
      <x:c r="A23" s="1" t="n"/>
      <x:c r="H23" s="1" t="n"/>
    </x:row>
    <x:row r="24" s="106" customFormat="1" ht="26" customHeight="1">
      <x:c r="A24" s="1" t="n"/>
      <x:c r="H24" s="1" t="n"/>
    </x:row>
    <x:row r="25" s="106" customFormat="1" ht="26" customHeight="1">
      <x:c r="A25" s="1" t="n"/>
      <x:c r="B25" s="1" t="n"/>
      <x:c r="C25" s="1" t="n"/>
      <x:c r="D25" s="1" t="n"/>
      <x:c r="E25" s="1" t="n"/>
      <x:c r="F25" s="1" t="n"/>
      <x:c r="G25" s="1" t="n"/>
      <x:c r="H25" s="1" t="n"/>
    </x:row>
    <x:row r="27" s="106" customFormat="1" ht="12" customHeight="1"/>
  </x:sheetData>
  <x:mergeCells>
    <x:mergeCell ref="A5:B6"/>
    <x:mergeCell ref="G5:H6"/>
    <x:mergeCell ref="A1:H1"/>
    <x:mergeCell ref="G8:H8"/>
    <x:mergeCell ref="E8:F8"/>
    <x:mergeCell ref="C4:D4"/>
    <x:mergeCell ref="E4:F4"/>
    <x:mergeCell ref="A22:H25"/>
    <x:mergeCell ref="A9:B10"/>
    <x:mergeCell ref="G9:H10"/>
    <x:mergeCell ref="A21:H21"/>
    <x:mergeCell ref="A2:H2"/>
    <x:mergeCell ref="C5:D6"/>
    <x:mergeCell ref="E5:F6"/>
    <x:mergeCell ref="A8:B8"/>
    <x:mergeCell ref="C8:D8"/>
    <x:mergeCell ref="A4:B4"/>
    <x:mergeCell ref="G4:H4"/>
    <x:mergeCell ref="A13:B13"/>
    <x:mergeCell ref="C9:D10"/>
    <x:mergeCell ref="E9:F10"/>
  </x:mergeCells>
  <x:pageMargins left="0.7" right="0.7" top="0.75" bottom="0.75" header="0.3" footer="0.3"/>
  <x:drawing xmlns:r="http://schemas.openxmlformats.org/officeDocument/2006/relationships" r:id="R3e3a9505355f49d5"/>
</x:worksheet>
</file>

<file path=xl/worksheets/sheet4.xml><?xml version="1.0" encoding="utf-8"?>
<x:worksheet xmlns:x="http://schemas.openxmlformats.org/spreadsheetml/2006/main">
  <x:sheetFormatPr baseColWidth="8" defaultRowHeight="15"/>
  <x:cols>
    <x:col min="1" max="1" width="22" style="106" customWidth="1"/>
    <x:col min="2" max="2" width="9" style="106" customWidth="1"/>
    <x:col min="3" max="3" width="15" style="106" customWidth="1"/>
    <x:col min="4" max="4" width="17" style="106" customWidth="1"/>
    <x:col min="5" max="5" width="11" style="106" customWidth="1"/>
    <x:col min="6" max="6" width="11" style="106" customWidth="1"/>
    <x:col min="7" max="7" width="11" style="106" customWidth="1"/>
    <x:col min="8" max="8" width="11" style="106" customWidth="1"/>
  </x:cols>
  <x:sheetData>
    <x:row r="1">
      <x:c r="A1" s="246" t="inlineStr">
        <x:is>
          <x:t xml:space="preserve">Game Comparisons</x:t>
        </x:is>
      </x:c>
      <x:c r="B1" s="1" t="n"/>
      <x:c r="C1" s="1" t="n"/>
      <x:c r="D1" s="1" t="n"/>
      <x:c r="E1" s="1" t="n"/>
      <x:c r="F1" s="1" t="n"/>
      <x:c r="G1" s="1" t="n"/>
      <x:c r="H1" s="1" t="n"/>
      <x:c r="I1" s="178" t="n"/>
      <x:c r="J1" s="178" t="n"/>
      <x:c r="K1" s="178" t="n"/>
      <x:c r="L1" s="178" t="n"/>
      <x:c r="M1" s="178" t="n"/>
      <x:c r="N1" s="178" t="n"/>
      <x:c r="O1" s="178" t="n"/>
      <x:c r="P1" s="178" t="n"/>
      <x:c r="Q1" s="178" t="n"/>
      <x:c r="R1" s="178" t="n"/>
      <x:c r="S1" s="178" t="n"/>
      <x:c r="T1" s="178" t="n"/>
      <x:c r="U1" s="178" t="n"/>
      <x:c r="V1" s="178" t="n"/>
      <x:c r="W1" s="178" t="n"/>
      <x:c r="X1" s="178" t="n"/>
      <x:c r="Y1" s="178" t="n"/>
      <x:c r="Z1" s="178" t="n"/>
    </x:row>
    <x:row r="2">
      <x:c r="A2" s="37" t="inlineStr">
        <x:is>
          <x:t xml:space="preserve">Compares completed games by category. Blank categories stay empty until matching records are added.</x:t>
        </x:is>
      </x:c>
      <x:c r="B2" s="1" t="n"/>
      <x:c r="C2" s="1" t="n"/>
      <x:c r="D2" s="1" t="n"/>
      <x:c r="E2" s="1" t="n"/>
      <x:c r="F2" s="1" t="n"/>
      <x:c r="G2" s="1" t="n"/>
      <x:c r="H2" s="1" t="n"/>
    </x:row>
    <x:row r="4">
      <x:c r="A4" s="27" t="inlineStr">
        <x:is>
          <x:t xml:space="preserve">Game Type</x:t>
        </x:is>
      </x:c>
      <x:c r="B4" s="1" t="n"/>
      <x:c r="C4" s="1" t="n"/>
      <x:c r="D4" s="1" t="n"/>
      <x:c r="E4" s="1" t="n"/>
      <x:c r="F4" s="1" t="n"/>
      <x:c r="G4" s="1" t="n"/>
      <x:c r="H4" s="1" t="n"/>
    </x:row>
    <x:row r="5">
      <x:c r="A5" s="96" t="inlineStr">
        <x:is>
          <x:t xml:space="preserve">Category</x:t>
        </x:is>
      </x:c>
      <x:c r="B5" s="42" t="inlineStr">
        <x:is>
          <x:t xml:space="preserve">Games</x:t>
        </x:is>
      </x:c>
      <x:c r="C5" s="264" t="inlineStr">
        <x:is>
          <x:t xml:space="preserve">Total Net Profit</x:t>
        </x:is>
      </x:c>
      <x:c r="D5" s="264" t="inlineStr">
        <x:is>
          <x:t xml:space="preserve">Average Net Profit</x:t>
        </x:is>
      </x:c>
      <x:c r="E5" s="265" t="inlineStr">
        <x:is>
          <x:t xml:space="preserve">Average ROI</x:t>
        </x:is>
      </x:c>
      <x:c r="F5" s="265" t="inlineStr">
        <x:is>
          <x:t xml:space="preserve">Profit Rate</x:t>
        </x:is>
      </x:c>
      <x:c r="G5" s="265" t="inlineStr">
        <x:is>
          <x:t xml:space="preserve">Draw Rate</x:t>
        </x:is>
      </x:c>
      <x:c r="H5" s="265" t="inlineStr">
        <x:is>
          <x:t xml:space="preserve">Loss Rate</x:t>
        </x:is>
      </x:c>
    </x:row>
    <x:row r="6">
      <x:c r="A6" s="54" t="inlineStr">
        <x:is>
          <x:t xml:space="preserve">Member</x:t>
        </x:is>
      </x:c>
      <x:c r="B6" s="252">
        <x:f>COUNTIFS('Game Records'!$A$5:$A$504,"&lt;&gt;",'Game Records'!$U$5:$U$504,"&lt;&gt;Subscription",'Game Records'!$E$5:$E$504,"Member")</x:f>
      </x:c>
      <x:c r="C6" s="251">
        <x:f>SUMIFS('Game Records'!$W$5:$W$504,'Game Records'!$A$5:$A$504,"&lt;&gt;",'Game Records'!$U$5:$U$504,"&lt;&gt;Subscription",'Game Records'!$E$5:$E$504,"Member")</x:f>
      </x:c>
      <x:c r="D6" s="251">
        <x:f>IF(B6=0,"",C6/B6)</x:f>
      </x:c>
      <x:c r="E6" s="266">
        <x:f>IF(COUNTIFS('Game Records'!$A$5:$A$504,"&lt;&gt;",'Game Records'!$U$5:$U$504,"&lt;&gt;Subscription",'Game Records'!$E$5:$E$504,"Member",'Game Records'!$T$5:$T$504,"&lt;&gt;")=0,"",SUMIFS('Game Records'!$T$5:$T$504,'Game Records'!$A$5:$A$504,"&lt;&gt;",'Game Records'!$U$5:$U$504,"&lt;&gt;Subscription",'Game Records'!$E$5:$E$504,"Member",'Game Records'!$T$5:$T$504,"&lt;&gt;")/COUNTIFS('Game Records'!$A$5:$A$504,"&lt;&gt;",'Game Records'!$U$5:$U$504,"&lt;&gt;Subscription",'Game Records'!$E$5:$E$504,"Member",'Game Records'!$T$5:$T$504,"&lt;&gt;"))</x:f>
      </x:c>
      <x:c r="F6" s="266">
        <x:f>IF(B6=0,"",COUNTIFS('Game Records'!$A$5:$A$504,"&lt;&gt;",'Game Records'!$U$5:$U$504,"&lt;&gt;Subscription",'Game Records'!$E$5:$E$504,"Member",'Game Records'!$U$5:$U$504,"Profit")/B6)</x:f>
      </x:c>
      <x:c r="G6" s="266">
        <x:f>IF(B6=0,"",COUNTIFS('Game Records'!$A$5:$A$504,"&lt;&gt;",'Game Records'!$U$5:$U$504,"&lt;&gt;Subscription",'Game Records'!$E$5:$E$504,"Member",'Game Records'!$U$5:$U$504,"Draw")/B6)</x:f>
      </x:c>
      <x:c r="H6" s="266">
        <x:f>IF(B6=0,"",COUNTIFS('Game Records'!$A$5:$A$504,"&lt;&gt;",'Game Records'!$U$5:$U$504,"&lt;&gt;Subscription",'Game Records'!$E$5:$E$504,"Member",'Game Records'!$U$5:$U$504,"Disqualified")/B6)</x:f>
      </x:c>
    </x:row>
    <x:row r="7">
      <x:c r="A7" s="54" t="inlineStr">
        <x:is>
          <x:t xml:space="preserve">Non-Member</x:t>
        </x:is>
      </x:c>
      <x:c r="B7" s="252">
        <x:f>COUNTIFS('Game Records'!$A$5:$A$504,"&lt;&gt;",'Game Records'!$U$5:$U$504,"&lt;&gt;Subscription",'Game Records'!$E$5:$E$504,"Non-Member")</x:f>
      </x:c>
      <x:c r="C7" s="251">
        <x:f>SUMIFS('Game Records'!$W$5:$W$504,'Game Records'!$A$5:$A$504,"&lt;&gt;",'Game Records'!$U$5:$U$504,"&lt;&gt;Subscription",'Game Records'!$E$5:$E$504,"Non-Member")</x:f>
      </x:c>
      <x:c r="D7" s="251">
        <x:f>IF(B7=0,"",C7/B7)</x:f>
      </x:c>
      <x:c r="E7" s="266">
        <x:f>IF(COUNTIFS('Game Records'!$A$5:$A$504,"&lt;&gt;",'Game Records'!$U$5:$U$504,"&lt;&gt;Subscription",'Game Records'!$E$5:$E$504,"Non-Member",'Game Records'!$T$5:$T$504,"&lt;&gt;")=0,"",SUMIFS('Game Records'!$T$5:$T$504,'Game Records'!$A$5:$A$504,"&lt;&gt;",'Game Records'!$U$5:$U$504,"&lt;&gt;Subscription",'Game Records'!$E$5:$E$504,"Non-Member",'Game Records'!$T$5:$T$504,"&lt;&gt;")/COUNTIFS('Game Records'!$A$5:$A$504,"&lt;&gt;",'Game Records'!$U$5:$U$504,"&lt;&gt;Subscription",'Game Records'!$E$5:$E$504,"Non-Member",'Game Records'!$T$5:$T$504,"&lt;&gt;"))</x:f>
      </x:c>
      <x:c r="F7" s="266">
        <x:f>IF(B7=0,"",COUNTIFS('Game Records'!$A$5:$A$504,"&lt;&gt;",'Game Records'!$U$5:$U$504,"&lt;&gt;Subscription",'Game Records'!$E$5:$E$504,"Non-Member",'Game Records'!$U$5:$U$504,"Profit")/B7)</x:f>
      </x:c>
      <x:c r="G7" s="266">
        <x:f>IF(B7=0,"",COUNTIFS('Game Records'!$A$5:$A$504,"&lt;&gt;",'Game Records'!$U$5:$U$504,"&lt;&gt;Subscription",'Game Records'!$E$5:$E$504,"Non-Member",'Game Records'!$U$5:$U$504,"Draw")/B7)</x:f>
      </x:c>
      <x:c r="H7" s="266">
        <x:f>IF(B7=0,"",COUNTIFS('Game Records'!$A$5:$A$504,"&lt;&gt;",'Game Records'!$U$5:$U$504,"&lt;&gt;Subscription",'Game Records'!$E$5:$E$504,"Non-Member",'Game Records'!$U$5:$U$504,"Disqualified")/B7)</x:f>
      </x:c>
    </x:row>
    <x:row r="8">
      <x:c r="A8" s="54" t="n"/>
      <x:c r="B8" s="252" t="n"/>
      <x:c r="C8" s="251" t="n"/>
      <x:c r="D8" s="251" t="n"/>
      <x:c r="E8" s="266" t="n"/>
      <x:c r="F8" s="266" t="n"/>
      <x:c r="G8" s="266" t="n"/>
      <x:c r="H8" s="266" t="n"/>
    </x:row>
    <x:row r="9">
      <x:c r="A9" s="54" t="n"/>
      <x:c r="B9" s="252" t="n"/>
      <x:c r="C9" s="251" t="n"/>
      <x:c r="D9" s="251" t="n"/>
      <x:c r="E9" s="266" t="n"/>
      <x:c r="F9" s="266" t="n"/>
      <x:c r="G9" s="266" t="n"/>
      <x:c r="H9" s="266" t="n"/>
    </x:row>
    <x:row r="10">
      <x:c r="A10" s="94" t="inlineStr">
        <x:is>
          <x:t xml:space="preserve">Challenge Length</x:t>
        </x:is>
      </x:c>
      <x:c r="B10" s="1" t="n"/>
      <x:c r="C10" s="1" t="n"/>
      <x:c r="D10" s="1" t="n"/>
      <x:c r="E10" s="1" t="n"/>
      <x:c r="F10" s="1" t="n"/>
      <x:c r="G10" s="1" t="n"/>
      <x:c r="H10" s="1" t="n"/>
    </x:row>
    <x:row r="11">
      <x:c r="A11" s="96" t="inlineStr">
        <x:is>
          <x:t xml:space="preserve">Category</x:t>
        </x:is>
      </x:c>
      <x:c r="B11" s="267" t="inlineStr">
        <x:is>
          <x:t xml:space="preserve">Games</x:t>
        </x:is>
      </x:c>
      <x:c r="C11" s="268" t="inlineStr">
        <x:is>
          <x:t xml:space="preserve">Total Net Profit</x:t>
        </x:is>
      </x:c>
      <x:c r="D11" s="268" t="inlineStr">
        <x:is>
          <x:t xml:space="preserve">Average Net Profit</x:t>
        </x:is>
      </x:c>
      <x:c r="E11" s="265" t="inlineStr">
        <x:is>
          <x:t xml:space="preserve">Average ROI</x:t>
        </x:is>
      </x:c>
      <x:c r="F11" s="265" t="inlineStr">
        <x:is>
          <x:t xml:space="preserve">Profit Rate</x:t>
        </x:is>
      </x:c>
      <x:c r="G11" s="265" t="inlineStr">
        <x:is>
          <x:t xml:space="preserve">Draw Rate</x:t>
        </x:is>
      </x:c>
      <x:c r="H11" s="265" t="inlineStr">
        <x:is>
          <x:t xml:space="preserve">Loss Rate</x:t>
        </x:is>
      </x:c>
    </x:row>
    <x:row r="12">
      <x:c r="A12" s="54" t="inlineStr">
        <x:is>
          <x:t xml:space="preserve">1 Week</x:t>
        </x:is>
      </x:c>
      <x:c r="B12" s="252">
        <x:f>COUNTIFS('Game Records'!$A$5:$A$504,"&lt;&gt;",'Game Records'!$U$5:$U$504,"&lt;&gt;Subscription",'Game Records'!$V$5:$V$504,1)</x:f>
      </x:c>
      <x:c r="C12" s="251">
        <x:f>SUMIFS('Game Records'!$W$5:$W$504,'Game Records'!$A$5:$A$504,"&lt;&gt;",'Game Records'!$U$5:$U$504,"&lt;&gt;Subscription",'Game Records'!$V$5:$V$504,1)</x:f>
      </x:c>
      <x:c r="D12" s="251">
        <x:f>IF(B12=0,"",C12/B12)</x:f>
      </x:c>
      <x:c r="E12" s="266">
        <x:f>IF(COUNTIFS('Game Records'!$A$5:$A$504,"&lt;&gt;",'Game Records'!$U$5:$U$504,"&lt;&gt;Subscription",'Game Records'!$V$5:$V$504,1,'Game Records'!$T$5:$T$504,"&lt;&gt;")=0,"",SUMIFS('Game Records'!$T$5:$T$504,'Game Records'!$A$5:$A$504,"&lt;&gt;",'Game Records'!$U$5:$U$504,"&lt;&gt;Subscription",'Game Records'!$V$5:$V$504,1,'Game Records'!$T$5:$T$504,"&lt;&gt;")/COUNTIFS('Game Records'!$A$5:$A$504,"&lt;&gt;",'Game Records'!$U$5:$U$504,"&lt;&gt;Subscription",'Game Records'!$V$5:$V$504,1,'Game Records'!$T$5:$T$504,"&lt;&gt;"))</x:f>
      </x:c>
      <x:c r="F12" s="266">
        <x:f>IF(B12=0,"",COUNTIFS('Game Records'!$A$5:$A$504,"&lt;&gt;",'Game Records'!$U$5:$U$504,"&lt;&gt;Subscription",'Game Records'!$V$5:$V$504,1,'Game Records'!$U$5:$U$504,"Profit")/B12)</x:f>
      </x:c>
      <x:c r="G12" s="266">
        <x:f>IF(B12=0,"",COUNTIFS('Game Records'!$A$5:$A$504,"&lt;&gt;",'Game Records'!$U$5:$U$504,"&lt;&gt;Subscription",'Game Records'!$V$5:$V$504,1,'Game Records'!$U$5:$U$504,"Draw")/B12)</x:f>
      </x:c>
      <x:c r="H12" s="266">
        <x:f>IF(B12=0,"",COUNTIFS('Game Records'!$A$5:$A$504,"&lt;&gt;",'Game Records'!$U$5:$U$504,"&lt;&gt;Subscription",'Game Records'!$V$5:$V$504,1,'Game Records'!$U$5:$U$504,"Disqualified")/B12)</x:f>
      </x:c>
    </x:row>
    <x:row r="13">
      <x:c r="A13" s="54" t="inlineStr">
        <x:is>
          <x:t xml:space="preserve">2 Weeks</x:t>
        </x:is>
      </x:c>
      <x:c r="B13" s="252">
        <x:f>COUNTIFS('Game Records'!$A$5:$A$504,"&lt;&gt;",'Game Records'!$U$5:$U$504,"&lt;&gt;Subscription",'Game Records'!$V$5:$V$504,2)</x:f>
      </x:c>
      <x:c r="C13" s="251">
        <x:f>SUMIFS('Game Records'!$W$5:$W$504,'Game Records'!$A$5:$A$504,"&lt;&gt;",'Game Records'!$U$5:$U$504,"&lt;&gt;Subscription",'Game Records'!$V$5:$V$504,2)</x:f>
      </x:c>
      <x:c r="D13" s="251">
        <x:f>IF(B13=0,"",C13/B13)</x:f>
      </x:c>
      <x:c r="E13" s="266">
        <x:f>IF(COUNTIFS('Game Records'!$A$5:$A$504,"&lt;&gt;",'Game Records'!$U$5:$U$504,"&lt;&gt;Subscription",'Game Records'!$V$5:$V$504,2,'Game Records'!$T$5:$T$504,"&lt;&gt;")=0,"",SUMIFS('Game Records'!$T$5:$T$504,'Game Records'!$A$5:$A$504,"&lt;&gt;",'Game Records'!$U$5:$U$504,"&lt;&gt;Subscription",'Game Records'!$V$5:$V$504,2,'Game Records'!$T$5:$T$504,"&lt;&gt;")/COUNTIFS('Game Records'!$A$5:$A$504,"&lt;&gt;",'Game Records'!$U$5:$U$504,"&lt;&gt;Subscription",'Game Records'!$V$5:$V$504,2,'Game Records'!$T$5:$T$504,"&lt;&gt;"))</x:f>
      </x:c>
      <x:c r="F13" s="266">
        <x:f>IF(B13=0,"",COUNTIFS('Game Records'!$A$5:$A$504,"&lt;&gt;",'Game Records'!$U$5:$U$504,"&lt;&gt;Subscription",'Game Records'!$V$5:$V$504,2,'Game Records'!$U$5:$U$504,"Profit")/B13)</x:f>
      </x:c>
      <x:c r="G13" s="266">
        <x:f>IF(B13=0,"",COUNTIFS('Game Records'!$A$5:$A$504,"&lt;&gt;",'Game Records'!$U$5:$U$504,"&lt;&gt;Subscription",'Game Records'!$V$5:$V$504,2,'Game Records'!$U$5:$U$504,"Draw")/B13)</x:f>
      </x:c>
      <x:c r="H13" s="266">
        <x:f>IF(B13=0,"",COUNTIFS('Game Records'!$A$5:$A$504,"&lt;&gt;",'Game Records'!$U$5:$U$504,"&lt;&gt;Subscription",'Game Records'!$V$5:$V$504,2,'Game Records'!$U$5:$U$504,"Disqualified")/B13)</x:f>
      </x:c>
    </x:row>
    <x:row r="14">
      <x:c r="A14" s="54" t="inlineStr">
        <x:is>
          <x:t xml:space="preserve">3 Weeks</x:t>
        </x:is>
      </x:c>
      <x:c r="B14" s="252">
        <x:f>COUNTIFS('Game Records'!$A$5:$A$504,"&lt;&gt;",'Game Records'!$U$5:$U$504,"&lt;&gt;Subscription",'Game Records'!$V$5:$V$504,3)</x:f>
      </x:c>
      <x:c r="C14" s="251">
        <x:f>SUMIFS('Game Records'!$W$5:$W$504,'Game Records'!$A$5:$A$504,"&lt;&gt;",'Game Records'!$U$5:$U$504,"&lt;&gt;Subscription",'Game Records'!$V$5:$V$504,3)</x:f>
      </x:c>
      <x:c r="D14" s="251">
        <x:f>IF(B14=0,"",C14/B14)</x:f>
      </x:c>
      <x:c r="E14" s="266">
        <x:f>IF(COUNTIFS('Game Records'!$A$5:$A$504,"&lt;&gt;",'Game Records'!$U$5:$U$504,"&lt;&gt;Subscription",'Game Records'!$V$5:$V$504,3,'Game Records'!$T$5:$T$504,"&lt;&gt;")=0,"",SUMIFS('Game Records'!$T$5:$T$504,'Game Records'!$A$5:$A$504,"&lt;&gt;",'Game Records'!$U$5:$U$504,"&lt;&gt;Subscription",'Game Records'!$V$5:$V$504,3,'Game Records'!$T$5:$T$504,"&lt;&gt;")/COUNTIFS('Game Records'!$A$5:$A$504,"&lt;&gt;",'Game Records'!$U$5:$U$504,"&lt;&gt;Subscription",'Game Records'!$V$5:$V$504,3,'Game Records'!$T$5:$T$504,"&lt;&gt;"))</x:f>
      </x:c>
      <x:c r="F14" s="266">
        <x:f>IF(B14=0,"",COUNTIFS('Game Records'!$A$5:$A$504,"&lt;&gt;",'Game Records'!$U$5:$U$504,"&lt;&gt;Subscription",'Game Records'!$V$5:$V$504,3,'Game Records'!$U$5:$U$504,"Profit")/B14)</x:f>
      </x:c>
      <x:c r="G14" s="266">
        <x:f>IF(B14=0,"",COUNTIFS('Game Records'!$A$5:$A$504,"&lt;&gt;",'Game Records'!$U$5:$U$504,"&lt;&gt;Subscription",'Game Records'!$V$5:$V$504,3,'Game Records'!$U$5:$U$504,"Draw")/B14)</x:f>
      </x:c>
      <x:c r="H14" s="266">
        <x:f>IF(B14=0,"",COUNTIFS('Game Records'!$A$5:$A$504,"&lt;&gt;",'Game Records'!$U$5:$U$504,"&lt;&gt;Subscription",'Game Records'!$V$5:$V$504,3,'Game Records'!$U$5:$U$504,"Disqualified")/B14)</x:f>
      </x:c>
    </x:row>
    <x:row r="15">
      <x:c r="A15" s="54" t="inlineStr">
        <x:is>
          <x:t xml:space="preserve">4 Weeks</x:t>
        </x:is>
      </x:c>
      <x:c r="B15" s="252">
        <x:f>COUNTIFS('Game Records'!$A$5:$A$504,"&lt;&gt;",'Game Records'!$U$5:$U$504,"&lt;&gt;Subscription",'Game Records'!$V$5:$V$504,4)</x:f>
      </x:c>
      <x:c r="C15" s="251">
        <x:f>SUMIFS('Game Records'!$W$5:$W$504,'Game Records'!$A$5:$A$504,"&lt;&gt;",'Game Records'!$U$5:$U$504,"&lt;&gt;Subscription",'Game Records'!$V$5:$V$504,4)</x:f>
      </x:c>
      <x:c r="D15" s="251">
        <x:f>IF(B15=0,"",C15/B15)</x:f>
      </x:c>
      <x:c r="E15" s="266">
        <x:f>IF(COUNTIFS('Game Records'!$A$5:$A$504,"&lt;&gt;",'Game Records'!$U$5:$U$504,"&lt;&gt;Subscription",'Game Records'!$V$5:$V$504,4,'Game Records'!$T$5:$T$504,"&lt;&gt;")=0,"",SUMIFS('Game Records'!$T$5:$T$504,'Game Records'!$A$5:$A$504,"&lt;&gt;",'Game Records'!$U$5:$U$504,"&lt;&gt;Subscription",'Game Records'!$V$5:$V$504,4,'Game Records'!$T$5:$T$504,"&lt;&gt;")/COUNTIFS('Game Records'!$A$5:$A$504,"&lt;&gt;",'Game Records'!$U$5:$U$504,"&lt;&gt;Subscription",'Game Records'!$V$5:$V$504,4,'Game Records'!$T$5:$T$504,"&lt;&gt;"))</x:f>
      </x:c>
      <x:c r="F15" s="266">
        <x:f>IF(B15=0,"",COUNTIFS('Game Records'!$A$5:$A$504,"&lt;&gt;",'Game Records'!$U$5:$U$504,"&lt;&gt;Subscription",'Game Records'!$V$5:$V$504,4,'Game Records'!$U$5:$U$504,"Profit")/B15)</x:f>
      </x:c>
      <x:c r="G15" s="266">
        <x:f>IF(B15=0,"",COUNTIFS('Game Records'!$A$5:$A$504,"&lt;&gt;",'Game Records'!$U$5:$U$504,"&lt;&gt;Subscription",'Game Records'!$V$5:$V$504,4,'Game Records'!$U$5:$U$504,"Draw")/B15)</x:f>
      </x:c>
      <x:c r="H15" s="266">
        <x:f>IF(B15=0,"",COUNTIFS('Game Records'!$A$5:$A$504,"&lt;&gt;",'Game Records'!$U$5:$U$504,"&lt;&gt;Subscription",'Game Records'!$V$5:$V$504,4,'Game Records'!$U$5:$U$504,"Disqualified")/B15)</x:f>
      </x:c>
    </x:row>
    <x:row r="16">
      <x:c r="A16" s="54" t="inlineStr">
        <x:is>
          <x:t xml:space="preserve">5 Weeks</x:t>
        </x:is>
      </x:c>
      <x:c r="B16" s="252">
        <x:f>COUNTIFS('Game Records'!$A$5:$A$504,"&lt;&gt;",'Game Records'!$U$5:$U$504,"&lt;&gt;Subscription",'Game Records'!$V$5:$V$504,5)</x:f>
      </x:c>
      <x:c r="C16" s="251">
        <x:f>SUMIFS('Game Records'!$W$5:$W$504,'Game Records'!$A$5:$A$504,"&lt;&gt;",'Game Records'!$U$5:$U$504,"&lt;&gt;Subscription",'Game Records'!$V$5:$V$504,5)</x:f>
      </x:c>
      <x:c r="D16" s="251">
        <x:f>IF(B16=0,"",C16/B16)</x:f>
      </x:c>
      <x:c r="E16" s="266">
        <x:f>IF(COUNTIFS('Game Records'!$A$5:$A$504,"&lt;&gt;",'Game Records'!$U$5:$U$504,"&lt;&gt;Subscription",'Game Records'!$V$5:$V$504,5,'Game Records'!$T$5:$T$504,"&lt;&gt;")=0,"",SUMIFS('Game Records'!$T$5:$T$504,'Game Records'!$A$5:$A$504,"&lt;&gt;",'Game Records'!$U$5:$U$504,"&lt;&gt;Subscription",'Game Records'!$V$5:$V$504,5,'Game Records'!$T$5:$T$504,"&lt;&gt;")/COUNTIFS('Game Records'!$A$5:$A$504,"&lt;&gt;",'Game Records'!$U$5:$U$504,"&lt;&gt;Subscription",'Game Records'!$V$5:$V$504,5,'Game Records'!$T$5:$T$504,"&lt;&gt;"))</x:f>
      </x:c>
      <x:c r="F16" s="266">
        <x:f>IF(B16=0,"",COUNTIFS('Game Records'!$A$5:$A$504,"&lt;&gt;",'Game Records'!$U$5:$U$504,"&lt;&gt;Subscription",'Game Records'!$V$5:$V$504,5,'Game Records'!$U$5:$U$504,"Profit")/B16)</x:f>
      </x:c>
      <x:c r="G16" s="266">
        <x:f>IF(B16=0,"",COUNTIFS('Game Records'!$A$5:$A$504,"&lt;&gt;",'Game Records'!$U$5:$U$504,"&lt;&gt;Subscription",'Game Records'!$V$5:$V$504,5,'Game Records'!$U$5:$U$504,"Draw")/B16)</x:f>
      </x:c>
      <x:c r="H16" s="266">
        <x:f>IF(B16=0,"",COUNTIFS('Game Records'!$A$5:$A$504,"&lt;&gt;",'Game Records'!$U$5:$U$504,"&lt;&gt;Subscription",'Game Records'!$V$5:$V$504,5,'Game Records'!$U$5:$U$504,"Disqualified")/B16)</x:f>
      </x:c>
    </x:row>
    <x:row r="17">
      <x:c r="A17" s="54" t="inlineStr">
        <x:is>
          <x:t xml:space="preserve">6 Weeks</x:t>
        </x:is>
      </x:c>
      <x:c r="B17" s="252">
        <x:f>COUNTIFS('Game Records'!$A$5:$A$504,"&lt;&gt;",'Game Records'!$U$5:$U$504,"&lt;&gt;Subscription",'Game Records'!$V$5:$V$504,6)</x:f>
      </x:c>
      <x:c r="C17" s="251">
        <x:f>SUMIFS('Game Records'!$W$5:$W$504,'Game Records'!$A$5:$A$504,"&lt;&gt;",'Game Records'!$U$5:$U$504,"&lt;&gt;Subscription",'Game Records'!$V$5:$V$504,6)</x:f>
      </x:c>
      <x:c r="D17" s="251">
        <x:f>IF(B17=0,"",C17/B17)</x:f>
      </x:c>
      <x:c r="E17" s="266">
        <x:f>IF(COUNTIFS('Game Records'!$A$5:$A$504,"&lt;&gt;",'Game Records'!$U$5:$U$504,"&lt;&gt;Subscription",'Game Records'!$V$5:$V$504,6,'Game Records'!$T$5:$T$504,"&lt;&gt;")=0,"",SUMIFS('Game Records'!$T$5:$T$504,'Game Records'!$A$5:$A$504,"&lt;&gt;",'Game Records'!$U$5:$U$504,"&lt;&gt;Subscription",'Game Records'!$V$5:$V$504,6,'Game Records'!$T$5:$T$504,"&lt;&gt;")/COUNTIFS('Game Records'!$A$5:$A$504,"&lt;&gt;",'Game Records'!$U$5:$U$504,"&lt;&gt;Subscription",'Game Records'!$V$5:$V$504,6,'Game Records'!$T$5:$T$504,"&lt;&gt;"))</x:f>
      </x:c>
      <x:c r="F17" s="266">
        <x:f>IF(B17=0,"",COUNTIFS('Game Records'!$A$5:$A$504,"&lt;&gt;",'Game Records'!$U$5:$U$504,"&lt;&gt;Subscription",'Game Records'!$V$5:$V$504,6,'Game Records'!$U$5:$U$504,"Profit")/B17)</x:f>
      </x:c>
      <x:c r="G17" s="266">
        <x:f>IF(B17=0,"",COUNTIFS('Game Records'!$A$5:$A$504,"&lt;&gt;",'Game Records'!$U$5:$U$504,"&lt;&gt;Subscription",'Game Records'!$V$5:$V$504,6,'Game Records'!$U$5:$U$504,"Draw")/B17)</x:f>
      </x:c>
      <x:c r="H17" s="266">
        <x:f>IF(B17=0,"",COUNTIFS('Game Records'!$A$5:$A$504,"&lt;&gt;",'Game Records'!$U$5:$U$504,"&lt;&gt;Subscription",'Game Records'!$V$5:$V$504,6,'Game Records'!$U$5:$U$504,"Disqualified")/B17)</x:f>
      </x:c>
    </x:row>
    <x:row r="18">
      <x:c r="A18" s="54" t="inlineStr">
        <x:is>
          <x:t xml:space="preserve">7 Weeks</x:t>
        </x:is>
      </x:c>
      <x:c r="B18" s="252">
        <x:f>COUNTIFS('Game Records'!$A$5:$A$504,"&lt;&gt;",'Game Records'!$U$5:$U$504,"&lt;&gt;Subscription",'Game Records'!$V$5:$V$504,7)</x:f>
      </x:c>
      <x:c r="C18" s="251">
        <x:f>SUMIFS('Game Records'!$W$5:$W$504,'Game Records'!$A$5:$A$504,"&lt;&gt;",'Game Records'!$U$5:$U$504,"&lt;&gt;Subscription",'Game Records'!$V$5:$V$504,7)</x:f>
      </x:c>
      <x:c r="D18" s="251">
        <x:f>IF(B18=0,"",C18/B18)</x:f>
      </x:c>
      <x:c r="E18" s="266">
        <x:f>IF(COUNTIFS('Game Records'!$A$5:$A$504,"&lt;&gt;",'Game Records'!$U$5:$U$504,"&lt;&gt;Subscription",'Game Records'!$V$5:$V$504,7,'Game Records'!$T$5:$T$504,"&lt;&gt;")=0,"",SUMIFS('Game Records'!$T$5:$T$504,'Game Records'!$A$5:$A$504,"&lt;&gt;",'Game Records'!$U$5:$U$504,"&lt;&gt;Subscription",'Game Records'!$V$5:$V$504,7,'Game Records'!$T$5:$T$504,"&lt;&gt;")/COUNTIFS('Game Records'!$A$5:$A$504,"&lt;&gt;",'Game Records'!$U$5:$U$504,"&lt;&gt;Subscription",'Game Records'!$V$5:$V$504,7,'Game Records'!$T$5:$T$504,"&lt;&gt;"))</x:f>
      </x:c>
      <x:c r="F18" s="266">
        <x:f>IF(B18=0,"",COUNTIFS('Game Records'!$A$5:$A$504,"&lt;&gt;",'Game Records'!$U$5:$U$504,"&lt;&gt;Subscription",'Game Records'!$V$5:$V$504,7,'Game Records'!$U$5:$U$504,"Profit")/B18)</x:f>
      </x:c>
      <x:c r="G18" s="266">
        <x:f>IF(B18=0,"",COUNTIFS('Game Records'!$A$5:$A$504,"&lt;&gt;",'Game Records'!$U$5:$U$504,"&lt;&gt;Subscription",'Game Records'!$V$5:$V$504,7,'Game Records'!$U$5:$U$504,"Draw")/B18)</x:f>
      </x:c>
      <x:c r="H18" s="266">
        <x:f>IF(B18=0,"",COUNTIFS('Game Records'!$A$5:$A$504,"&lt;&gt;",'Game Records'!$U$5:$U$504,"&lt;&gt;Subscription",'Game Records'!$V$5:$V$504,7,'Game Records'!$U$5:$U$504,"Disqualified")/B18)</x:f>
      </x:c>
    </x:row>
    <x:row r="19">
      <x:c r="A19" s="54" t="inlineStr">
        <x:is>
          <x:t xml:space="preserve">8+ Weeks</x:t>
        </x:is>
      </x:c>
      <x:c r="B19" s="252">
        <x:f>COUNTIFS('Game Records'!$A$5:$A$504,"&lt;&gt;",'Game Records'!$U$5:$U$504,"&lt;&gt;Subscription",'Game Records'!$V$5:$V$504,"&gt;=8")</x:f>
      </x:c>
      <x:c r="C19" s="251">
        <x:f>SUMIFS('Game Records'!$W$5:$W$504,'Game Records'!$A$5:$A$504,"&lt;&gt;",'Game Records'!$U$5:$U$504,"&lt;&gt;Subscription",'Game Records'!$V$5:$V$504,"&gt;=8")</x:f>
      </x:c>
      <x:c r="D19" s="251">
        <x:f>IF(B19=0,"",C19/B19)</x:f>
      </x:c>
      <x:c r="E19" s="266">
        <x:f>IF(COUNTIFS('Game Records'!$A$5:$A$504,"&lt;&gt;",'Game Records'!$U$5:$U$504,"&lt;&gt;Subscription",'Game Records'!$V$5:$V$504,"&gt;=8",'Game Records'!$T$5:$T$504,"&lt;&gt;")=0,"",SUMIFS('Game Records'!$T$5:$T$504,'Game Records'!$A$5:$A$504,"&lt;&gt;",'Game Records'!$U$5:$U$504,"&lt;&gt;Subscription",'Game Records'!$V$5:$V$504,"&gt;=8",'Game Records'!$T$5:$T$504,"&lt;&gt;")/COUNTIFS('Game Records'!$A$5:$A$504,"&lt;&gt;",'Game Records'!$U$5:$U$504,"&lt;&gt;Subscription",'Game Records'!$V$5:$V$504,"&gt;=8",'Game Records'!$T$5:$T$504,"&lt;&gt;"))</x:f>
      </x:c>
      <x:c r="F19" s="266">
        <x:f>IF(B19=0,"",COUNTIFS('Game Records'!$A$5:$A$504,"&lt;&gt;",'Game Records'!$U$5:$U$504,"&lt;&gt;Subscription",'Game Records'!$V$5:$V$504,"&gt;=8",'Game Records'!$U$5:$U$504,"Profit")/B19)</x:f>
      </x:c>
      <x:c r="G19" s="266">
        <x:f>IF(B19=0,"",COUNTIFS('Game Records'!$A$5:$A$504,"&lt;&gt;",'Game Records'!$U$5:$U$504,"&lt;&gt;Subscription",'Game Records'!$V$5:$V$504,"&gt;=8",'Game Records'!$U$5:$U$504,"Draw")/B19)</x:f>
      </x:c>
      <x:c r="H19" s="266">
        <x:f>IF(B19=0,"",COUNTIFS('Game Records'!$A$5:$A$504,"&lt;&gt;",'Game Records'!$U$5:$U$504,"&lt;&gt;Subscription",'Game Records'!$V$5:$V$504,"&gt;=8",'Game Records'!$U$5:$U$504,"Disqualified")/B19)</x:f>
      </x:c>
    </x:row>
    <x:row r="20">
      <x:c r="A20" s="54" t="n"/>
      <x:c r="B20" s="252" t="n"/>
      <x:c r="C20" s="251" t="n"/>
      <x:c r="D20" s="251" t="n"/>
      <x:c r="E20" s="266" t="n"/>
      <x:c r="F20" s="266" t="n"/>
      <x:c r="G20" s="266" t="n"/>
      <x:c r="H20" s="266" t="n"/>
    </x:row>
    <x:row r="21">
      <x:c r="A21" s="54" t="n"/>
      <x:c r="B21" s="252" t="n"/>
      <x:c r="C21" s="251" t="n"/>
      <x:c r="D21" s="251" t="n"/>
      <x:c r="E21" s="266" t="n"/>
      <x:c r="F21" s="266" t="n"/>
      <x:c r="G21" s="266" t="n"/>
      <x:c r="H21" s="266" t="n"/>
    </x:row>
    <x:row r="22">
      <x:c r="A22" s="94" t="inlineStr">
        <x:is>
          <x:t xml:space="preserve">Entry Fee</x:t>
        </x:is>
      </x:c>
      <x:c r="B22" s="1" t="n"/>
      <x:c r="C22" s="1" t="n"/>
      <x:c r="D22" s="1" t="n"/>
      <x:c r="E22" s="1" t="n"/>
      <x:c r="F22" s="1" t="n"/>
      <x:c r="G22" s="1" t="n"/>
      <x:c r="H22" s="1" t="n"/>
    </x:row>
    <x:row r="23">
      <x:c r="A23" s="96" t="inlineStr">
        <x:is>
          <x:t xml:space="preserve">Category</x:t>
        </x:is>
      </x:c>
      <x:c r="B23" s="267" t="inlineStr">
        <x:is>
          <x:t xml:space="preserve">Games</x:t>
        </x:is>
      </x:c>
      <x:c r="C23" s="268" t="inlineStr">
        <x:is>
          <x:t xml:space="preserve">Total Net Profit</x:t>
        </x:is>
      </x:c>
      <x:c r="D23" s="268" t="inlineStr">
        <x:is>
          <x:t xml:space="preserve">Average Net Profit</x:t>
        </x:is>
      </x:c>
      <x:c r="E23" s="265" t="inlineStr">
        <x:is>
          <x:t xml:space="preserve">Average ROI</x:t>
        </x:is>
      </x:c>
      <x:c r="F23" s="265" t="inlineStr">
        <x:is>
          <x:t xml:space="preserve">Profit Rate</x:t>
        </x:is>
      </x:c>
      <x:c r="G23" s="265" t="inlineStr">
        <x:is>
          <x:t xml:space="preserve">Draw Rate</x:t>
        </x:is>
      </x:c>
      <x:c r="H23" s="265" t="inlineStr">
        <x:is>
          <x:t xml:space="preserve">Loss Rate</x:t>
        </x:is>
      </x:c>
    </x:row>
    <x:row r="24">
      <x:c r="A24" s="54" t="inlineStr">
        <x:is>
          <x:t xml:space="preserve">Free</x:t>
        </x:is>
      </x:c>
      <x:c r="B24" s="252">
        <x:f>COUNTIFS('Game Records'!$A$5:$A$504,"&lt;&gt;",'Game Records'!$U$5:$U$504,"&lt;&gt;Subscription",'Game Records'!$H$5:$H$504,0)</x:f>
      </x:c>
      <x:c r="C24" s="251">
        <x:f>SUMIFS('Game Records'!$W$5:$W$504,'Game Records'!$A$5:$A$504,"&lt;&gt;",'Game Records'!$U$5:$U$504,"&lt;&gt;Subscription",'Game Records'!$H$5:$H$504,0)</x:f>
      </x:c>
      <x:c r="D24" s="251">
        <x:f>IF(B24=0,"",C24/B24)</x:f>
      </x:c>
      <x:c r="E24" s="266">
        <x:f>IF(COUNTIFS('Game Records'!$A$5:$A$504,"&lt;&gt;",'Game Records'!$U$5:$U$504,"&lt;&gt;Subscription",'Game Records'!$H$5:$H$504,0,'Game Records'!$T$5:$T$504,"&lt;&gt;")=0,"",SUMIFS('Game Records'!$T$5:$T$504,'Game Records'!$A$5:$A$504,"&lt;&gt;",'Game Records'!$U$5:$U$504,"&lt;&gt;Subscription",'Game Records'!$H$5:$H$504,0,'Game Records'!$T$5:$T$504,"&lt;&gt;")/COUNTIFS('Game Records'!$A$5:$A$504,"&lt;&gt;",'Game Records'!$U$5:$U$504,"&lt;&gt;Subscription",'Game Records'!$H$5:$H$504,0,'Game Records'!$T$5:$T$504,"&lt;&gt;"))</x:f>
      </x:c>
      <x:c r="F24" s="266">
        <x:f>IF(B24=0,"",COUNTIFS('Game Records'!$A$5:$A$504,"&lt;&gt;",'Game Records'!$U$5:$U$504,"&lt;&gt;Subscription",'Game Records'!$H$5:$H$504,0,'Game Records'!$U$5:$U$504,"Profit")/B24)</x:f>
      </x:c>
      <x:c r="G24" s="266">
        <x:f>IF(B24=0,"",COUNTIFS('Game Records'!$A$5:$A$504,"&lt;&gt;",'Game Records'!$U$5:$U$504,"&lt;&gt;Subscription",'Game Records'!$H$5:$H$504,0,'Game Records'!$U$5:$U$504,"Draw")/B24)</x:f>
      </x:c>
      <x:c r="H24" s="266">
        <x:f>IF(B24=0,"",COUNTIFS('Game Records'!$A$5:$A$504,"&lt;&gt;",'Game Records'!$U$5:$U$504,"&lt;&gt;Subscription",'Game Records'!$H$5:$H$504,0,'Game Records'!$U$5:$U$504,"Disqualified")/B24)</x:f>
      </x:c>
    </x:row>
    <x:row r="25">
      <x:c r="A25" s="54" t="inlineStr">
        <x:is>
          <x:t xml:space="preserve">$20–$30</x:t>
        </x:is>
      </x:c>
      <x:c r="B25" s="252">
        <x:f>COUNTIFS('Game Records'!$A$5:$A$504,"&lt;&gt;",'Game Records'!$U$5:$U$504,"&lt;&gt;Subscription",'Game Records'!$H$5:$H$504,"&gt;=20",'Game Records'!$H$5:$H$504,"&lt;=30")</x:f>
      </x:c>
      <x:c r="C25" s="251">
        <x:f>SUMIFS('Game Records'!$W$5:$W$504,'Game Records'!$A$5:$A$504,"&lt;&gt;",'Game Records'!$U$5:$U$504,"&lt;&gt;Subscription",'Game Records'!$H$5:$H$504,"&gt;=20",'Game Records'!$H$5:$H$504,"&lt;=30")</x:f>
      </x:c>
      <x:c r="D25" s="251">
        <x:f>IF(B25=0,"",C25/B25)</x:f>
      </x:c>
      <x:c r="E25" s="266">
        <x:f>IF(COUNTIFS('Game Records'!$A$5:$A$504,"&lt;&gt;",'Game Records'!$U$5:$U$504,"&lt;&gt;Subscription",'Game Records'!$H$5:$H$504,"&gt;=20",'Game Records'!$H$5:$H$504,"&lt;=30",'Game Records'!$T$5:$T$504,"&lt;&gt;")=0,"",SUMIFS('Game Records'!$T$5:$T$504,'Game Records'!$A$5:$A$504,"&lt;&gt;",'Game Records'!$U$5:$U$504,"&lt;&gt;Subscription",'Game Records'!$H$5:$H$504,"&gt;=20",'Game Records'!$H$5:$H$504,"&lt;=30",'Game Records'!$T$5:$T$504,"&lt;&gt;")/COUNTIFS('Game Records'!$A$5:$A$504,"&lt;&gt;",'Game Records'!$U$5:$U$504,"&lt;&gt;Subscription",'Game Records'!$H$5:$H$504,"&gt;=20",'Game Records'!$H$5:$H$504,"&lt;=30",'Game Records'!$T$5:$T$504,"&lt;&gt;"))</x:f>
      </x:c>
      <x:c r="F25" s="266">
        <x:f>IF(B25=0,"",COUNTIFS('Game Records'!$A$5:$A$504,"&lt;&gt;",'Game Records'!$U$5:$U$504,"&lt;&gt;Subscription",'Game Records'!$H$5:$H$504,"&gt;=20",'Game Records'!$H$5:$H$504,"&lt;=30",'Game Records'!$U$5:$U$504,"Profit")/B25)</x:f>
      </x:c>
      <x:c r="G25" s="266">
        <x:f>IF(B25=0,"",COUNTIFS('Game Records'!$A$5:$A$504,"&lt;&gt;",'Game Records'!$U$5:$U$504,"&lt;&gt;Subscription",'Game Records'!$H$5:$H$504,"&gt;=20",'Game Records'!$H$5:$H$504,"&lt;=30",'Game Records'!$U$5:$U$504,"Draw")/B25)</x:f>
      </x:c>
      <x:c r="H25" s="266">
        <x:f>IF(B25=0,"",COUNTIFS('Game Records'!$A$5:$A$504,"&lt;&gt;",'Game Records'!$U$5:$U$504,"&lt;&gt;Subscription",'Game Records'!$H$5:$H$504,"&gt;=20",'Game Records'!$H$5:$H$504,"&lt;=30",'Game Records'!$U$5:$U$504,"Disqualified")/B25)</x:f>
      </x:c>
    </x:row>
    <x:row r="26">
      <x:c r="A26" s="54" t="inlineStr">
        <x:is>
          <x:t xml:space="preserve">$40–$50</x:t>
        </x:is>
      </x:c>
      <x:c r="B26" s="252">
        <x:f>COUNTIFS('Game Records'!$A$5:$A$504,"&lt;&gt;",'Game Records'!$U$5:$U$504,"&lt;&gt;Subscription",'Game Records'!$H$5:$H$504,"&gt;=40",'Game Records'!$H$5:$H$504,"&lt;=50")</x:f>
      </x:c>
      <x:c r="C26" s="251">
        <x:f>SUMIFS('Game Records'!$W$5:$W$504,'Game Records'!$A$5:$A$504,"&lt;&gt;",'Game Records'!$U$5:$U$504,"&lt;&gt;Subscription",'Game Records'!$H$5:$H$504,"&gt;=40",'Game Records'!$H$5:$H$504,"&lt;=50")</x:f>
      </x:c>
      <x:c r="D26" s="251">
        <x:f>IF(B26=0,"",C26/B26)</x:f>
      </x:c>
      <x:c r="E26" s="266">
        <x:f>IF(COUNTIFS('Game Records'!$A$5:$A$504,"&lt;&gt;",'Game Records'!$U$5:$U$504,"&lt;&gt;Subscription",'Game Records'!$H$5:$H$504,"&gt;=40",'Game Records'!$H$5:$H$504,"&lt;=50",'Game Records'!$T$5:$T$504,"&lt;&gt;")=0,"",SUMIFS('Game Records'!$T$5:$T$504,'Game Records'!$A$5:$A$504,"&lt;&gt;",'Game Records'!$U$5:$U$504,"&lt;&gt;Subscription",'Game Records'!$H$5:$H$504,"&gt;=40",'Game Records'!$H$5:$H$504,"&lt;=50",'Game Records'!$T$5:$T$504,"&lt;&gt;")/COUNTIFS('Game Records'!$A$5:$A$504,"&lt;&gt;",'Game Records'!$U$5:$U$504,"&lt;&gt;Subscription",'Game Records'!$H$5:$H$504,"&gt;=40",'Game Records'!$H$5:$H$504,"&lt;=50",'Game Records'!$T$5:$T$504,"&lt;&gt;"))</x:f>
      </x:c>
      <x:c r="F26" s="266">
        <x:f>IF(B26=0,"",COUNTIFS('Game Records'!$A$5:$A$504,"&lt;&gt;",'Game Records'!$U$5:$U$504,"&lt;&gt;Subscription",'Game Records'!$H$5:$H$504,"&gt;=40",'Game Records'!$H$5:$H$504,"&lt;=50",'Game Records'!$U$5:$U$504,"Profit")/B26)</x:f>
      </x:c>
      <x:c r="G26" s="266">
        <x:f>IF(B26=0,"",COUNTIFS('Game Records'!$A$5:$A$504,"&lt;&gt;",'Game Records'!$U$5:$U$504,"&lt;&gt;Subscription",'Game Records'!$H$5:$H$504,"&gt;=40",'Game Records'!$H$5:$H$504,"&lt;=50",'Game Records'!$U$5:$U$504,"Draw")/B26)</x:f>
      </x:c>
      <x:c r="H26" s="266">
        <x:f>IF(B26=0,"",COUNTIFS('Game Records'!$A$5:$A$504,"&lt;&gt;",'Game Records'!$U$5:$U$504,"&lt;&gt;Subscription",'Game Records'!$H$5:$H$504,"&gt;=40",'Game Records'!$H$5:$H$504,"&lt;=50",'Game Records'!$U$5:$U$504,"Disqualified")/B26)</x:f>
      </x:c>
    </x:row>
    <x:row r="27">
      <x:c r="A27" s="54" t="inlineStr">
        <x:is>
          <x:t xml:space="preserve">$60</x:t>
        </x:is>
      </x:c>
      <x:c r="B27" s="252">
        <x:f>COUNTIFS('Game Records'!$A$5:$A$504,"&lt;&gt;",'Game Records'!$U$5:$U$504,"&lt;&gt;Subscription",'Game Records'!$H$5:$H$504,60)</x:f>
      </x:c>
      <x:c r="C27" s="251">
        <x:f>SUMIFS('Game Records'!$W$5:$W$504,'Game Records'!$A$5:$A$504,"&lt;&gt;",'Game Records'!$U$5:$U$504,"&lt;&gt;Subscription",'Game Records'!$H$5:$H$504,60)</x:f>
      </x:c>
      <x:c r="D27" s="251">
        <x:f>IF(B27=0,"",C27/B27)</x:f>
      </x:c>
      <x:c r="E27" s="266">
        <x:f>IF(COUNTIFS('Game Records'!$A$5:$A$504,"&lt;&gt;",'Game Records'!$U$5:$U$504,"&lt;&gt;Subscription",'Game Records'!$H$5:$H$504,60,'Game Records'!$T$5:$T$504,"&lt;&gt;")=0,"",SUMIFS('Game Records'!$T$5:$T$504,'Game Records'!$A$5:$A$504,"&lt;&gt;",'Game Records'!$U$5:$U$504,"&lt;&gt;Subscription",'Game Records'!$H$5:$H$504,60,'Game Records'!$T$5:$T$504,"&lt;&gt;")/COUNTIFS('Game Records'!$A$5:$A$504,"&lt;&gt;",'Game Records'!$U$5:$U$504,"&lt;&gt;Subscription",'Game Records'!$H$5:$H$504,60,'Game Records'!$T$5:$T$504,"&lt;&gt;"))</x:f>
      </x:c>
      <x:c r="F27" s="266">
        <x:f>IF(B27=0,"",COUNTIFS('Game Records'!$A$5:$A$504,"&lt;&gt;",'Game Records'!$U$5:$U$504,"&lt;&gt;Subscription",'Game Records'!$H$5:$H$504,60,'Game Records'!$U$5:$U$504,"Profit")/B27)</x:f>
      </x:c>
      <x:c r="G27" s="266">
        <x:f>IF(B27=0,"",COUNTIFS('Game Records'!$A$5:$A$504,"&lt;&gt;",'Game Records'!$U$5:$U$504,"&lt;&gt;Subscription",'Game Records'!$H$5:$H$504,60,'Game Records'!$U$5:$U$504,"Draw")/B27)</x:f>
      </x:c>
      <x:c r="H27" s="266">
        <x:f>IF(B27=0,"",COUNTIFS('Game Records'!$A$5:$A$504,"&lt;&gt;",'Game Records'!$U$5:$U$504,"&lt;&gt;Subscription",'Game Records'!$H$5:$H$504,60,'Game Records'!$U$5:$U$504,"Disqualified")/B27)</x:f>
      </x:c>
    </x:row>
    <x:row r="28">
      <x:c r="A28" s="54" t="inlineStr">
        <x:is>
          <x:t xml:space="preserve">$100+</x:t>
        </x:is>
      </x:c>
      <x:c r="B28" s="252">
        <x:f>COUNTIFS('Game Records'!$A$5:$A$504,"&lt;&gt;",'Game Records'!$U$5:$U$504,"&lt;&gt;Subscription",'Game Records'!$H$5:$H$504,"&gt;=100")</x:f>
      </x:c>
      <x:c r="C28" s="251">
        <x:f>SUMIFS('Game Records'!$W$5:$W$504,'Game Records'!$A$5:$A$504,"&lt;&gt;",'Game Records'!$U$5:$U$504,"&lt;&gt;Subscription",'Game Records'!$H$5:$H$504,"&gt;=100")</x:f>
      </x:c>
      <x:c r="D28" s="251">
        <x:f>IF(B28=0,"",C28/B28)</x:f>
      </x:c>
      <x:c r="E28" s="266">
        <x:f>IF(COUNTIFS('Game Records'!$A$5:$A$504,"&lt;&gt;",'Game Records'!$U$5:$U$504,"&lt;&gt;Subscription",'Game Records'!$H$5:$H$504,"&gt;=100",'Game Records'!$T$5:$T$504,"&lt;&gt;")=0,"",SUMIFS('Game Records'!$T$5:$T$504,'Game Records'!$A$5:$A$504,"&lt;&gt;",'Game Records'!$U$5:$U$504,"&lt;&gt;Subscription",'Game Records'!$H$5:$H$504,"&gt;=100",'Game Records'!$T$5:$T$504,"&lt;&gt;")/COUNTIFS('Game Records'!$A$5:$A$504,"&lt;&gt;",'Game Records'!$U$5:$U$504,"&lt;&gt;Subscription",'Game Records'!$H$5:$H$504,"&gt;=100",'Game Records'!$T$5:$T$504,"&lt;&gt;"))</x:f>
      </x:c>
      <x:c r="F28" s="266">
        <x:f>IF(B28=0,"",COUNTIFS('Game Records'!$A$5:$A$504,"&lt;&gt;",'Game Records'!$U$5:$U$504,"&lt;&gt;Subscription",'Game Records'!$H$5:$H$504,"&gt;=100",'Game Records'!$U$5:$U$504,"Profit")/B28)</x:f>
      </x:c>
      <x:c r="G28" s="266">
        <x:f>IF(B28=0,"",COUNTIFS('Game Records'!$A$5:$A$504,"&lt;&gt;",'Game Records'!$U$5:$U$504,"&lt;&gt;Subscription",'Game Records'!$H$5:$H$504,"&gt;=100",'Game Records'!$U$5:$U$504,"Draw")/B28)</x:f>
      </x:c>
      <x:c r="H28" s="266">
        <x:f>IF(B28=0,"",COUNTIFS('Game Records'!$A$5:$A$504,"&lt;&gt;",'Game Records'!$U$5:$U$504,"&lt;&gt;Subscription",'Game Records'!$H$5:$H$504,"&gt;=100",'Game Records'!$U$5:$U$504,"Disqualified")/B28)</x:f>
      </x:c>
    </x:row>
    <x:row r="29">
      <x:c r="A29" s="54" t="n"/>
      <x:c r="B29" s="252" t="n"/>
      <x:c r="C29" s="251" t="n"/>
      <x:c r="D29" s="251" t="n"/>
      <x:c r="E29" s="266" t="n"/>
      <x:c r="F29" s="266" t="n"/>
      <x:c r="G29" s="266" t="n"/>
      <x:c r="H29" s="266" t="n"/>
    </x:row>
    <x:row r="30">
      <x:c r="A30" s="54" t="n"/>
      <x:c r="B30" s="252" t="n"/>
      <x:c r="C30" s="251" t="n"/>
      <x:c r="D30" s="251" t="n"/>
      <x:c r="E30" s="266" t="n"/>
      <x:c r="F30" s="266" t="n"/>
      <x:c r="G30" s="266" t="n"/>
      <x:c r="H30" s="266" t="n"/>
    </x:row>
    <x:row r="31">
      <x:c r="A31" s="94" t="inlineStr">
        <x:is>
          <x:t xml:space="preserve">Payment Type</x:t>
        </x:is>
      </x:c>
      <x:c r="B31" s="1" t="n"/>
      <x:c r="C31" s="1" t="n"/>
      <x:c r="D31" s="1" t="n"/>
      <x:c r="E31" s="1" t="n"/>
      <x:c r="F31" s="1" t="n"/>
      <x:c r="G31" s="1" t="n"/>
      <x:c r="H31" s="1" t="n"/>
    </x:row>
    <x:row r="32">
      <x:c r="A32" s="96" t="inlineStr">
        <x:is>
          <x:t xml:space="preserve">Category</x:t>
        </x:is>
      </x:c>
      <x:c r="B32" s="267" t="inlineStr">
        <x:is>
          <x:t xml:space="preserve">Games</x:t>
        </x:is>
      </x:c>
      <x:c r="C32" s="268" t="inlineStr">
        <x:is>
          <x:t xml:space="preserve">Total Net Profit</x:t>
        </x:is>
      </x:c>
      <x:c r="D32" s="268" t="inlineStr">
        <x:is>
          <x:t xml:space="preserve">Average Net Profit</x:t>
        </x:is>
      </x:c>
      <x:c r="E32" s="265" t="inlineStr">
        <x:is>
          <x:t xml:space="preserve">Average ROI</x:t>
        </x:is>
      </x:c>
      <x:c r="F32" s="265" t="inlineStr">
        <x:is>
          <x:t xml:space="preserve">Profit Rate</x:t>
        </x:is>
      </x:c>
      <x:c r="G32" s="265" t="inlineStr">
        <x:is>
          <x:t xml:space="preserve">Draw Rate</x:t>
        </x:is>
      </x:c>
      <x:c r="H32" s="265" t="inlineStr">
        <x:is>
          <x:t xml:space="preserve">Loss Rate</x:t>
        </x:is>
      </x:c>
    </x:row>
    <x:row r="33">
      <x:c r="A33" s="54" t="inlineStr">
        <x:is>
          <x:t xml:space="preserve">Cash</x:t>
        </x:is>
      </x:c>
      <x:c r="B33" s="252">
        <x:f>COUNTIFS('Game Records'!$A$5:$A$504,"&lt;&gt;",'Game Records'!$U$5:$U$504,"&lt;&gt;Subscription",'Game Records'!$F$5:$F$504,"Cash")</x:f>
      </x:c>
      <x:c r="C33" s="251">
        <x:f>SUMIFS('Game Records'!$W$5:$W$504,'Game Records'!$A$5:$A$504,"&lt;&gt;",'Game Records'!$U$5:$U$504,"&lt;&gt;Subscription",'Game Records'!$F$5:$F$504,"Cash")</x:f>
      </x:c>
      <x:c r="D33" s="251">
        <x:f>IF(B33=0,"",C33/B33)</x:f>
      </x:c>
      <x:c r="E33" s="266">
        <x:f>IF(COUNTIFS('Game Records'!$A$5:$A$504,"&lt;&gt;",'Game Records'!$U$5:$U$504,"&lt;&gt;Subscription",'Game Records'!$F$5:$F$504,"Cash",'Game Records'!$T$5:$T$504,"&lt;&gt;")=0,"",SUMIFS('Game Records'!$T$5:$T$504,'Game Records'!$A$5:$A$504,"&lt;&gt;",'Game Records'!$U$5:$U$504,"&lt;&gt;Subscription",'Game Records'!$F$5:$F$504,"Cash",'Game Records'!$T$5:$T$504,"&lt;&gt;")/COUNTIFS('Game Records'!$A$5:$A$504,"&lt;&gt;",'Game Records'!$U$5:$U$504,"&lt;&gt;Subscription",'Game Records'!$F$5:$F$504,"Cash",'Game Records'!$T$5:$T$504,"&lt;&gt;"))</x:f>
      </x:c>
      <x:c r="F33" s="266">
        <x:f>IF(B33=0,"",COUNTIFS('Game Records'!$A$5:$A$504,"&lt;&gt;",'Game Records'!$U$5:$U$504,"&lt;&gt;Subscription",'Game Records'!$F$5:$F$504,"Cash",'Game Records'!$U$5:$U$504,"Profit")/B33)</x:f>
      </x:c>
      <x:c r="G33" s="266">
        <x:f>IF(B33=0,"",COUNTIFS('Game Records'!$A$5:$A$504,"&lt;&gt;",'Game Records'!$U$5:$U$504,"&lt;&gt;Subscription",'Game Records'!$F$5:$F$504,"Cash",'Game Records'!$U$5:$U$504,"Draw")/B33)</x:f>
      </x:c>
      <x:c r="H33" s="266">
        <x:f>IF(B33=0,"",COUNTIFS('Game Records'!$A$5:$A$504,"&lt;&gt;",'Game Records'!$U$5:$U$504,"&lt;&gt;Subscription",'Game Records'!$F$5:$F$504,"Cash",'Game Records'!$U$5:$U$504,"Disqualified")/B33)</x:f>
      </x:c>
    </x:row>
    <x:row r="34">
      <x:c r="A34" s="54" t="inlineStr">
        <x:is>
          <x:t xml:space="preserve">Points</x:t>
        </x:is>
      </x:c>
      <x:c r="B34" s="252">
        <x:f>COUNTIFS('Game Records'!$A$5:$A$504,"&lt;&gt;",'Game Records'!$U$5:$U$504,"&lt;&gt;Subscription",'Game Records'!$F$5:$F$504,"Points")</x:f>
      </x:c>
      <x:c r="C34" s="251">
        <x:f>SUMIFS('Game Records'!$W$5:$W$504,'Game Records'!$A$5:$A$504,"&lt;&gt;",'Game Records'!$U$5:$U$504,"&lt;&gt;Subscription",'Game Records'!$F$5:$F$504,"Points")</x:f>
      </x:c>
      <x:c r="D34" s="251">
        <x:f>IF(B34=0,"",C34/B34)</x:f>
      </x:c>
      <x:c r="E34" s="266">
        <x:f>IF(COUNTIFS('Game Records'!$A$5:$A$504,"&lt;&gt;",'Game Records'!$U$5:$U$504,"&lt;&gt;Subscription",'Game Records'!$F$5:$F$504,"Points",'Game Records'!$T$5:$T$504,"&lt;&gt;")=0,"",SUMIFS('Game Records'!$T$5:$T$504,'Game Records'!$A$5:$A$504,"&lt;&gt;",'Game Records'!$U$5:$U$504,"&lt;&gt;Subscription",'Game Records'!$F$5:$F$504,"Points",'Game Records'!$T$5:$T$504,"&lt;&gt;")/COUNTIFS('Game Records'!$A$5:$A$504,"&lt;&gt;",'Game Records'!$U$5:$U$504,"&lt;&gt;Subscription",'Game Records'!$F$5:$F$504,"Points",'Game Records'!$T$5:$T$504,"&lt;&gt;"))</x:f>
      </x:c>
      <x:c r="F34" s="266">
        <x:f>IF(B34=0,"",COUNTIFS('Game Records'!$A$5:$A$504,"&lt;&gt;",'Game Records'!$U$5:$U$504,"&lt;&gt;Subscription",'Game Records'!$F$5:$F$504,"Points",'Game Records'!$U$5:$U$504,"Profit")/B34)</x:f>
      </x:c>
      <x:c r="G34" s="266">
        <x:f>IF(B34=0,"",COUNTIFS('Game Records'!$A$5:$A$504,"&lt;&gt;",'Game Records'!$U$5:$U$504,"&lt;&gt;Subscription",'Game Records'!$F$5:$F$504,"Points",'Game Records'!$U$5:$U$504,"Draw")/B34)</x:f>
      </x:c>
      <x:c r="H34" s="266">
        <x:f>IF(B34=0,"",COUNTIFS('Game Records'!$A$5:$A$504,"&lt;&gt;",'Game Records'!$U$5:$U$504,"&lt;&gt;Subscription",'Game Records'!$F$5:$F$504,"Points",'Game Records'!$U$5:$U$504,"Disqualified")/B34)</x:f>
      </x:c>
    </x:row>
    <x:row r="35">
      <x:c r="A35" s="54" t="inlineStr">
        <x:is>
          <x:t xml:space="preserve">Hybrid</x:t>
        </x:is>
      </x:c>
      <x:c r="B35" s="252">
        <x:f>COUNTIFS('Game Records'!$A$5:$A$504,"&lt;&gt;",'Game Records'!$U$5:$U$504,"&lt;&gt;Subscription",'Game Records'!$F$5:$F$504,"Hybrid")</x:f>
      </x:c>
      <x:c r="C35" s="251">
        <x:f>SUMIFS('Game Records'!$W$5:$W$504,'Game Records'!$A$5:$A$504,"&lt;&gt;",'Game Records'!$U$5:$U$504,"&lt;&gt;Subscription",'Game Records'!$F$5:$F$504,"Hybrid")</x:f>
      </x:c>
      <x:c r="D35" s="251">
        <x:f>IF(B35=0,"",C35/B35)</x:f>
      </x:c>
      <x:c r="E35" s="266">
        <x:f>IF(COUNTIFS('Game Records'!$A$5:$A$504,"&lt;&gt;",'Game Records'!$U$5:$U$504,"&lt;&gt;Subscription",'Game Records'!$F$5:$F$504,"Hybrid",'Game Records'!$T$5:$T$504,"&lt;&gt;")=0,"",SUMIFS('Game Records'!$T$5:$T$504,'Game Records'!$A$5:$A$504,"&lt;&gt;",'Game Records'!$U$5:$U$504,"&lt;&gt;Subscription",'Game Records'!$F$5:$F$504,"Hybrid",'Game Records'!$T$5:$T$504,"&lt;&gt;")/COUNTIFS('Game Records'!$A$5:$A$504,"&lt;&gt;",'Game Records'!$U$5:$U$504,"&lt;&gt;Subscription",'Game Records'!$F$5:$F$504,"Hybrid",'Game Records'!$T$5:$T$504,"&lt;&gt;"))</x:f>
      </x:c>
      <x:c r="F35" s="266">
        <x:f>IF(B35=0,"",COUNTIFS('Game Records'!$A$5:$A$504,"&lt;&gt;",'Game Records'!$U$5:$U$504,"&lt;&gt;Subscription",'Game Records'!$F$5:$F$504,"Hybrid",'Game Records'!$U$5:$U$504,"Profit")/B35)</x:f>
      </x:c>
      <x:c r="G35" s="266">
        <x:f>IF(B35=0,"",COUNTIFS('Game Records'!$A$5:$A$504,"&lt;&gt;",'Game Records'!$U$5:$U$504,"&lt;&gt;Subscription",'Game Records'!$F$5:$F$504,"Hybrid",'Game Records'!$U$5:$U$504,"Draw")/B35)</x:f>
      </x:c>
      <x:c r="H35" s="266">
        <x:f>IF(B35=0,"",COUNTIFS('Game Records'!$A$5:$A$504,"&lt;&gt;",'Game Records'!$U$5:$U$504,"&lt;&gt;Subscription",'Game Records'!$F$5:$F$504,"Hybrid",'Game Records'!$U$5:$U$504,"Disqualified")/B35)</x:f>
      </x:c>
    </x:row>
    <x:row r="36">
      <x:c r="A36" s="54" t="inlineStr">
        <x:is>
          <x:t xml:space="preserve">Free Game</x:t>
        </x:is>
      </x:c>
      <x:c r="B36" s="252">
        <x:f>COUNTIFS('Game Records'!$A$5:$A$504,"&lt;&gt;",'Game Records'!$U$5:$U$504,"&lt;&gt;Subscription",'Game Records'!$F$5:$F$504,"Free Game")</x:f>
      </x:c>
      <x:c r="C36" s="251">
        <x:f>SUMIFS('Game Records'!$W$5:$W$504,'Game Records'!$A$5:$A$504,"&lt;&gt;",'Game Records'!$U$5:$U$504,"&lt;&gt;Subscription",'Game Records'!$F$5:$F$504,"Free Game")</x:f>
      </x:c>
      <x:c r="D36" s="251">
        <x:f>IF(B36=0,"",C36/B36)</x:f>
      </x:c>
      <x:c r="E36" s="266">
        <x:f>IF(COUNTIFS('Game Records'!$A$5:$A$504,"&lt;&gt;",'Game Records'!$U$5:$U$504,"&lt;&gt;Subscription",'Game Records'!$F$5:$F$504,"Free Game",'Game Records'!$T$5:$T$504,"&lt;&gt;")=0,"",SUMIFS('Game Records'!$T$5:$T$504,'Game Records'!$A$5:$A$504,"&lt;&gt;",'Game Records'!$U$5:$U$504,"&lt;&gt;Subscription",'Game Records'!$F$5:$F$504,"Free Game",'Game Records'!$T$5:$T$504,"&lt;&gt;")/COUNTIFS('Game Records'!$A$5:$A$504,"&lt;&gt;",'Game Records'!$U$5:$U$504,"&lt;&gt;Subscription",'Game Records'!$F$5:$F$504,"Free Game",'Game Records'!$T$5:$T$504,"&lt;&gt;"))</x:f>
      </x:c>
      <x:c r="F36" s="266">
        <x:f>IF(B36=0,"",COUNTIFS('Game Records'!$A$5:$A$504,"&lt;&gt;",'Game Records'!$U$5:$U$504,"&lt;&gt;Subscription",'Game Records'!$F$5:$F$504,"Free Game",'Game Records'!$U$5:$U$504,"Profit")/B36)</x:f>
      </x:c>
      <x:c r="G36" s="266">
        <x:f>IF(B36=0,"",COUNTIFS('Game Records'!$A$5:$A$504,"&lt;&gt;",'Game Records'!$U$5:$U$504,"&lt;&gt;Subscription",'Game Records'!$F$5:$F$504,"Free Game",'Game Records'!$U$5:$U$504,"Draw")/B36)</x:f>
      </x:c>
      <x:c r="H36" s="266">
        <x:f>IF(B36=0,"",COUNTIFS('Game Records'!$A$5:$A$504,"&lt;&gt;",'Game Records'!$U$5:$U$504,"&lt;&gt;Subscription",'Game Records'!$F$5:$F$504,"Free Game",'Game Records'!$U$5:$U$504,"Disqualified")/B36)</x:f>
      </x:c>
    </x:row>
    <x:row r="37">
      <x:c r="A37" s="54" t="n"/>
      <x:c r="B37" s="252" t="n"/>
      <x:c r="C37" s="251" t="n"/>
      <x:c r="D37" s="251" t="n"/>
      <x:c r="E37" s="266" t="n"/>
      <x:c r="F37" s="266" t="n"/>
      <x:c r="G37" s="266" t="n"/>
      <x:c r="H37" s="266" t="n"/>
    </x:row>
    <x:row r="38">
      <x:c r="A38" s="54" t="n"/>
      <x:c r="B38" s="252" t="n"/>
      <x:c r="C38" s="251" t="n"/>
      <x:c r="D38" s="251" t="n"/>
      <x:c r="E38" s="266" t="n"/>
      <x:c r="F38" s="266" t="n"/>
      <x:c r="G38" s="266" t="n"/>
      <x:c r="H38" s="266" t="n"/>
    </x:row>
    <x:row r="39">
      <x:c r="A39" s="94" t="inlineStr">
        <x:is>
          <x:t xml:space="preserve">Eligible Player Range</x:t>
        </x:is>
      </x:c>
      <x:c r="B39" s="1" t="n"/>
      <x:c r="C39" s="1" t="n"/>
      <x:c r="D39" s="1" t="n"/>
      <x:c r="E39" s="1" t="n"/>
      <x:c r="F39" s="1" t="n"/>
      <x:c r="G39" s="1" t="n"/>
      <x:c r="H39" s="1" t="n"/>
    </x:row>
    <x:row r="40">
      <x:c r="A40" s="96" t="inlineStr">
        <x:is>
          <x:t xml:space="preserve">Category</x:t>
        </x:is>
      </x:c>
      <x:c r="B40" s="267" t="inlineStr">
        <x:is>
          <x:t xml:space="preserve">Games</x:t>
        </x:is>
      </x:c>
      <x:c r="C40" s="268" t="inlineStr">
        <x:is>
          <x:t xml:space="preserve">Total Net Profit</x:t>
        </x:is>
      </x:c>
      <x:c r="D40" s="268" t="inlineStr">
        <x:is>
          <x:t xml:space="preserve">Average Net Profit</x:t>
        </x:is>
      </x:c>
      <x:c r="E40" s="265" t="inlineStr">
        <x:is>
          <x:t xml:space="preserve">Average ROI</x:t>
        </x:is>
      </x:c>
      <x:c r="F40" s="265" t="inlineStr">
        <x:is>
          <x:t xml:space="preserve">Profit Rate</x:t>
        </x:is>
      </x:c>
      <x:c r="G40" s="265" t="inlineStr">
        <x:is>
          <x:t xml:space="preserve">Draw Rate</x:t>
        </x:is>
      </x:c>
      <x:c r="H40" s="265" t="inlineStr">
        <x:is>
          <x:t xml:space="preserve">Loss Rate</x:t>
        </x:is>
      </x:c>
    </x:row>
    <x:row r="41">
      <x:c r="A41" s="54" t="inlineStr">
        <x:is>
          <x:t xml:space="preserve">Under 200</x:t>
        </x:is>
      </x:c>
      <x:c r="B41" s="252">
        <x:f>COUNTIFS('Game Records'!$A$5:$A$504,"&lt;&gt;",'Game Records'!$U$5:$U$504,"&lt;&gt;Subscription",'Game Records'!$I$5:$I$504,"&lt;200")</x:f>
      </x:c>
      <x:c r="C41" s="251">
        <x:f>SUMIFS('Game Records'!$W$5:$W$504,'Game Records'!$A$5:$A$504,"&lt;&gt;",'Game Records'!$U$5:$U$504,"&lt;&gt;Subscription",'Game Records'!$I$5:$I$504,"&lt;200")</x:f>
      </x:c>
      <x:c r="D41" s="251">
        <x:f>IF(B41=0,"",C41/B41)</x:f>
      </x:c>
      <x:c r="E41" s="266">
        <x:f>IF(COUNTIFS('Game Records'!$A$5:$A$504,"&lt;&gt;",'Game Records'!$U$5:$U$504,"&lt;&gt;Subscription",'Game Records'!$I$5:$I$504,"&lt;200",'Game Records'!$T$5:$T$504,"&lt;&gt;")=0,"",SUMIFS('Game Records'!$T$5:$T$504,'Game Records'!$A$5:$A$504,"&lt;&gt;",'Game Records'!$U$5:$U$504,"&lt;&gt;Subscription",'Game Records'!$I$5:$I$504,"&lt;200",'Game Records'!$T$5:$T$504,"&lt;&gt;")/COUNTIFS('Game Records'!$A$5:$A$504,"&lt;&gt;",'Game Records'!$U$5:$U$504,"&lt;&gt;Subscription",'Game Records'!$I$5:$I$504,"&lt;200",'Game Records'!$T$5:$T$504,"&lt;&gt;"))</x:f>
      </x:c>
      <x:c r="F41" s="266">
        <x:f>IF(B41=0,"",COUNTIFS('Game Records'!$A$5:$A$504,"&lt;&gt;",'Game Records'!$U$5:$U$504,"&lt;&gt;Subscription",'Game Records'!$I$5:$I$504,"&lt;200",'Game Records'!$U$5:$U$504,"Profit")/B41)</x:f>
      </x:c>
      <x:c r="G41" s="266">
        <x:f>IF(B41=0,"",COUNTIFS('Game Records'!$A$5:$A$504,"&lt;&gt;",'Game Records'!$U$5:$U$504,"&lt;&gt;Subscription",'Game Records'!$I$5:$I$504,"&lt;200",'Game Records'!$U$5:$U$504,"Draw")/B41)</x:f>
      </x:c>
      <x:c r="H41" s="266">
        <x:f>IF(B41=0,"",COUNTIFS('Game Records'!$A$5:$A$504,"&lt;&gt;",'Game Records'!$U$5:$U$504,"&lt;&gt;Subscription",'Game Records'!$I$5:$I$504,"&lt;200",'Game Records'!$U$5:$U$504,"Disqualified")/B41)</x:f>
      </x:c>
    </x:row>
    <x:row r="42">
      <x:c r="A42" s="54" t="inlineStr">
        <x:is>
          <x:t xml:space="preserve">200–499</x:t>
        </x:is>
      </x:c>
      <x:c r="B42" s="252">
        <x:f>COUNTIFS('Game Records'!$A$5:$A$504,"&lt;&gt;",'Game Records'!$U$5:$U$504,"&lt;&gt;Subscription",'Game Records'!$I$5:$I$504,"&gt;=200",'Game Records'!$I$5:$I$504,"&lt;=499")</x:f>
      </x:c>
      <x:c r="C42" s="251">
        <x:f>SUMIFS('Game Records'!$W$5:$W$504,'Game Records'!$A$5:$A$504,"&lt;&gt;",'Game Records'!$U$5:$U$504,"&lt;&gt;Subscription",'Game Records'!$I$5:$I$504,"&gt;=200",'Game Records'!$I$5:$I$504,"&lt;=499")</x:f>
      </x:c>
      <x:c r="D42" s="251">
        <x:f>IF(B42=0,"",C42/B42)</x:f>
      </x:c>
      <x:c r="E42" s="266">
        <x:f>IF(COUNTIFS('Game Records'!$A$5:$A$504,"&lt;&gt;",'Game Records'!$U$5:$U$504,"&lt;&gt;Subscription",'Game Records'!$I$5:$I$504,"&gt;=200",'Game Records'!$I$5:$I$504,"&lt;=499",'Game Records'!$T$5:$T$504,"&lt;&gt;")=0,"",SUMIFS('Game Records'!$T$5:$T$504,'Game Records'!$A$5:$A$504,"&lt;&gt;",'Game Records'!$U$5:$U$504,"&lt;&gt;Subscription",'Game Records'!$I$5:$I$504,"&gt;=200",'Game Records'!$I$5:$I$504,"&lt;=499",'Game Records'!$T$5:$T$504,"&lt;&gt;")/COUNTIFS('Game Records'!$A$5:$A$504,"&lt;&gt;",'Game Records'!$U$5:$U$504,"&lt;&gt;Subscription",'Game Records'!$I$5:$I$504,"&gt;=200",'Game Records'!$I$5:$I$504,"&lt;=499",'Game Records'!$T$5:$T$504,"&lt;&gt;"))</x:f>
      </x:c>
      <x:c r="F42" s="266">
        <x:f>IF(B42=0,"",COUNTIFS('Game Records'!$A$5:$A$504,"&lt;&gt;",'Game Records'!$U$5:$U$504,"&lt;&gt;Subscription",'Game Records'!$I$5:$I$504,"&gt;=200",'Game Records'!$I$5:$I$504,"&lt;=499",'Game Records'!$U$5:$U$504,"Profit")/B42)</x:f>
      </x:c>
      <x:c r="G42" s="266">
        <x:f>IF(B42=0,"",COUNTIFS('Game Records'!$A$5:$A$504,"&lt;&gt;",'Game Records'!$U$5:$U$504,"&lt;&gt;Subscription",'Game Records'!$I$5:$I$504,"&gt;=200",'Game Records'!$I$5:$I$504,"&lt;=499",'Game Records'!$U$5:$U$504,"Draw")/B42)</x:f>
      </x:c>
      <x:c r="H42" s="266">
        <x:f>IF(B42=0,"",COUNTIFS('Game Records'!$A$5:$A$504,"&lt;&gt;",'Game Records'!$U$5:$U$504,"&lt;&gt;Subscription",'Game Records'!$I$5:$I$504,"&gt;=200",'Game Records'!$I$5:$I$504,"&lt;=499",'Game Records'!$U$5:$U$504,"Disqualified")/B42)</x:f>
      </x:c>
    </x:row>
    <x:row r="43">
      <x:c r="A43" s="54" t="inlineStr">
        <x:is>
          <x:t xml:space="preserve">500–999</x:t>
        </x:is>
      </x:c>
      <x:c r="B43" s="252">
        <x:f>COUNTIFS('Game Records'!$A$5:$A$504,"&lt;&gt;",'Game Records'!$U$5:$U$504,"&lt;&gt;Subscription",'Game Records'!$I$5:$I$504,"&gt;=500",'Game Records'!$I$5:$I$504,"&lt;=999")</x:f>
      </x:c>
      <x:c r="C43" s="251">
        <x:f>SUMIFS('Game Records'!$W$5:$W$504,'Game Records'!$A$5:$A$504,"&lt;&gt;",'Game Records'!$U$5:$U$504,"&lt;&gt;Subscription",'Game Records'!$I$5:$I$504,"&gt;=500",'Game Records'!$I$5:$I$504,"&lt;=999")</x:f>
      </x:c>
      <x:c r="D43" s="251">
        <x:f>IF(B43=0,"",C43/B43)</x:f>
      </x:c>
      <x:c r="E43" s="266">
        <x:f>IF(COUNTIFS('Game Records'!$A$5:$A$504,"&lt;&gt;",'Game Records'!$U$5:$U$504,"&lt;&gt;Subscription",'Game Records'!$I$5:$I$504,"&gt;=500",'Game Records'!$I$5:$I$504,"&lt;=999",'Game Records'!$T$5:$T$504,"&lt;&gt;")=0,"",SUMIFS('Game Records'!$T$5:$T$504,'Game Records'!$A$5:$A$504,"&lt;&gt;",'Game Records'!$U$5:$U$504,"&lt;&gt;Subscription",'Game Records'!$I$5:$I$504,"&gt;=500",'Game Records'!$I$5:$I$504,"&lt;=999",'Game Records'!$T$5:$T$504,"&lt;&gt;")/COUNTIFS('Game Records'!$A$5:$A$504,"&lt;&gt;",'Game Records'!$U$5:$U$504,"&lt;&gt;Subscription",'Game Records'!$I$5:$I$504,"&gt;=500",'Game Records'!$I$5:$I$504,"&lt;=999",'Game Records'!$T$5:$T$504,"&lt;&gt;"))</x:f>
      </x:c>
      <x:c r="F43" s="266">
        <x:f>IF(B43=0,"",COUNTIFS('Game Records'!$A$5:$A$504,"&lt;&gt;",'Game Records'!$U$5:$U$504,"&lt;&gt;Subscription",'Game Records'!$I$5:$I$504,"&gt;=500",'Game Records'!$I$5:$I$504,"&lt;=999",'Game Records'!$U$5:$U$504,"Profit")/B43)</x:f>
      </x:c>
      <x:c r="G43" s="266">
        <x:f>IF(B43=0,"",COUNTIFS('Game Records'!$A$5:$A$504,"&lt;&gt;",'Game Records'!$U$5:$U$504,"&lt;&gt;Subscription",'Game Records'!$I$5:$I$504,"&gt;=500",'Game Records'!$I$5:$I$504,"&lt;=999",'Game Records'!$U$5:$U$504,"Draw")/B43)</x:f>
      </x:c>
      <x:c r="H43" s="266">
        <x:f>IF(B43=0,"",COUNTIFS('Game Records'!$A$5:$A$504,"&lt;&gt;",'Game Records'!$U$5:$U$504,"&lt;&gt;Subscription",'Game Records'!$I$5:$I$504,"&gt;=500",'Game Records'!$I$5:$I$504,"&lt;=999",'Game Records'!$U$5:$U$504,"Disqualified")/B43)</x:f>
      </x:c>
    </x:row>
    <x:row r="44">
      <x:c r="A44" s="54" t="inlineStr">
        <x:is>
          <x:t xml:space="preserve">1,000–2,999</x:t>
        </x:is>
      </x:c>
      <x:c r="B44" s="252">
        <x:f>COUNTIFS('Game Records'!$A$5:$A$504,"&lt;&gt;",'Game Records'!$U$5:$U$504,"&lt;&gt;Subscription",'Game Records'!$I$5:$I$504,"&gt;=1000",'Game Records'!$I$5:$I$504,"&lt;=2999")</x:f>
      </x:c>
      <x:c r="C44" s="251">
        <x:f>SUMIFS('Game Records'!$W$5:$W$504,'Game Records'!$A$5:$A$504,"&lt;&gt;",'Game Records'!$U$5:$U$504,"&lt;&gt;Subscription",'Game Records'!$I$5:$I$504,"&gt;=1000",'Game Records'!$I$5:$I$504,"&lt;=2999")</x:f>
      </x:c>
      <x:c r="D44" s="251">
        <x:f>IF(B44=0,"",C44/B44)</x:f>
      </x:c>
      <x:c r="E44" s="266">
        <x:f>IF(COUNTIFS('Game Records'!$A$5:$A$504,"&lt;&gt;",'Game Records'!$U$5:$U$504,"&lt;&gt;Subscription",'Game Records'!$I$5:$I$504,"&gt;=1000",'Game Records'!$I$5:$I$504,"&lt;=2999",'Game Records'!$T$5:$T$504,"&lt;&gt;")=0,"",SUMIFS('Game Records'!$T$5:$T$504,'Game Records'!$A$5:$A$504,"&lt;&gt;",'Game Records'!$U$5:$U$504,"&lt;&gt;Subscription",'Game Records'!$I$5:$I$504,"&gt;=1000",'Game Records'!$I$5:$I$504,"&lt;=2999",'Game Records'!$T$5:$T$504,"&lt;&gt;")/COUNTIFS('Game Records'!$A$5:$A$504,"&lt;&gt;",'Game Records'!$U$5:$U$504,"&lt;&gt;Subscription",'Game Records'!$I$5:$I$504,"&gt;=1000",'Game Records'!$I$5:$I$504,"&lt;=2999",'Game Records'!$T$5:$T$504,"&lt;&gt;"))</x:f>
      </x:c>
      <x:c r="F44" s="266">
        <x:f>IF(B44=0,"",COUNTIFS('Game Records'!$A$5:$A$504,"&lt;&gt;",'Game Records'!$U$5:$U$504,"&lt;&gt;Subscription",'Game Records'!$I$5:$I$504,"&gt;=1000",'Game Records'!$I$5:$I$504,"&lt;=2999",'Game Records'!$U$5:$U$504,"Profit")/B44)</x:f>
      </x:c>
      <x:c r="G44" s="266">
        <x:f>IF(B44=0,"",COUNTIFS('Game Records'!$A$5:$A$504,"&lt;&gt;",'Game Records'!$U$5:$U$504,"&lt;&gt;Subscription",'Game Records'!$I$5:$I$504,"&gt;=1000",'Game Records'!$I$5:$I$504,"&lt;=2999",'Game Records'!$U$5:$U$504,"Draw")/B44)</x:f>
      </x:c>
      <x:c r="H44" s="266">
        <x:f>IF(B44=0,"",COUNTIFS('Game Records'!$A$5:$A$504,"&lt;&gt;",'Game Records'!$U$5:$U$504,"&lt;&gt;Subscription",'Game Records'!$I$5:$I$504,"&gt;=1000",'Game Records'!$I$5:$I$504,"&lt;=2999",'Game Records'!$U$5:$U$504,"Disqualified")/B44)</x:f>
      </x:c>
    </x:row>
    <x:row r="45">
      <x:c r="A45" s="54" t="inlineStr">
        <x:is>
          <x:t xml:space="preserve">3,000+</x:t>
        </x:is>
      </x:c>
      <x:c r="B45" s="252">
        <x:f>COUNTIFS('Game Records'!$A$5:$A$504,"&lt;&gt;",'Game Records'!$U$5:$U$504,"&lt;&gt;Subscription",'Game Records'!$I$5:$I$504,"&gt;=3000")</x:f>
      </x:c>
      <x:c r="C45" s="251">
        <x:f>SUMIFS('Game Records'!$W$5:$W$504,'Game Records'!$A$5:$A$504,"&lt;&gt;",'Game Records'!$U$5:$U$504,"&lt;&gt;Subscription",'Game Records'!$I$5:$I$504,"&gt;=3000")</x:f>
      </x:c>
      <x:c r="D45" s="251">
        <x:f>IF(B45=0,"",C45/B45)</x:f>
      </x:c>
      <x:c r="E45" s="266">
        <x:f>IF(COUNTIFS('Game Records'!$A$5:$A$504,"&lt;&gt;",'Game Records'!$U$5:$U$504,"&lt;&gt;Subscription",'Game Records'!$I$5:$I$504,"&gt;=3000",'Game Records'!$T$5:$T$504,"&lt;&gt;")=0,"",SUMIFS('Game Records'!$T$5:$T$504,'Game Records'!$A$5:$A$504,"&lt;&gt;",'Game Records'!$U$5:$U$504,"&lt;&gt;Subscription",'Game Records'!$I$5:$I$504,"&gt;=3000",'Game Records'!$T$5:$T$504,"&lt;&gt;")/COUNTIFS('Game Records'!$A$5:$A$504,"&lt;&gt;",'Game Records'!$U$5:$U$504,"&lt;&gt;Subscription",'Game Records'!$I$5:$I$504,"&gt;=3000",'Game Records'!$T$5:$T$504,"&lt;&gt;"))</x:f>
      </x:c>
      <x:c r="F45" s="266">
        <x:f>IF(B45=0,"",COUNTIFS('Game Records'!$A$5:$A$504,"&lt;&gt;",'Game Records'!$U$5:$U$504,"&lt;&gt;Subscription",'Game Records'!$I$5:$I$504,"&gt;=3000",'Game Records'!$U$5:$U$504,"Profit")/B45)</x:f>
      </x:c>
      <x:c r="G45" s="266">
        <x:f>IF(B45=0,"",COUNTIFS('Game Records'!$A$5:$A$504,"&lt;&gt;",'Game Records'!$U$5:$U$504,"&lt;&gt;Subscription",'Game Records'!$I$5:$I$504,"&gt;=3000",'Game Records'!$U$5:$U$504,"Draw")/B45)</x:f>
      </x:c>
      <x:c r="H45" s="266">
        <x:f>IF(B45=0,"",COUNTIFS('Game Records'!$A$5:$A$504,"&lt;&gt;",'Game Records'!$U$5:$U$504,"&lt;&gt;Subscription",'Game Records'!$I$5:$I$504,"&gt;=3000",'Game Records'!$U$5:$U$504,"Disqualified")/B45)</x:f>
      </x:c>
    </x:row>
    <x:row r="46">
      <x:c r="A46" s="54" t="n"/>
      <x:c r="B46" s="252" t="n"/>
      <x:c r="C46" s="251" t="n"/>
      <x:c r="D46" s="251" t="n"/>
      <x:c r="E46" s="266" t="n"/>
      <x:c r="F46" s="266" t="n"/>
      <x:c r="G46" s="266" t="n"/>
      <x:c r="H46" s="266" t="n"/>
    </x:row>
    <x:row r="47">
      <x:c r="A47" s="54" t="n"/>
      <x:c r="B47" s="252" t="n"/>
      <x:c r="C47" s="251" t="n"/>
      <x:c r="D47" s="251" t="n"/>
      <x:c r="E47" s="266" t="n"/>
      <x:c r="F47" s="266" t="n"/>
      <x:c r="G47" s="266" t="n"/>
      <x:c r="H47" s="266" t="n"/>
    </x:row>
    <x:row r="48">
      <x:c r="A48" s="94" t="inlineStr">
        <x:is>
          <x:t xml:space="preserve">Elimination Rate</x:t>
        </x:is>
      </x:c>
      <x:c r="B48" s="1" t="n"/>
      <x:c r="C48" s="1" t="n"/>
      <x:c r="D48" s="1" t="n"/>
      <x:c r="E48" s="1" t="n"/>
      <x:c r="F48" s="1" t="n"/>
      <x:c r="G48" s="1" t="n"/>
      <x:c r="H48" s="1" t="n"/>
    </x:row>
    <x:row r="49">
      <x:c r="A49" s="96" t="inlineStr">
        <x:is>
          <x:t xml:space="preserve">Category</x:t>
        </x:is>
      </x:c>
      <x:c r="B49" s="267" t="inlineStr">
        <x:is>
          <x:t xml:space="preserve">Games</x:t>
        </x:is>
      </x:c>
      <x:c r="C49" s="268" t="inlineStr">
        <x:is>
          <x:t xml:space="preserve">Total Net Profit</x:t>
        </x:is>
      </x:c>
      <x:c r="D49" s="268" t="inlineStr">
        <x:is>
          <x:t xml:space="preserve">Average Net Profit</x:t>
        </x:is>
      </x:c>
      <x:c r="E49" s="265" t="inlineStr">
        <x:is>
          <x:t xml:space="preserve">Average ROI</x:t>
        </x:is>
      </x:c>
      <x:c r="F49" s="265" t="inlineStr">
        <x:is>
          <x:t xml:space="preserve">Profit Rate</x:t>
        </x:is>
      </x:c>
      <x:c r="G49" s="265" t="inlineStr">
        <x:is>
          <x:t xml:space="preserve">Draw Rate</x:t>
        </x:is>
      </x:c>
      <x:c r="H49" s="265" t="inlineStr">
        <x:is>
          <x:t xml:space="preserve">Loss Rate</x:t>
        </x:is>
      </x:c>
    </x:row>
    <x:row r="50">
      <x:c r="A50" s="54" t="inlineStr">
        <x:is>
          <x:t xml:space="preserve">Under 10%</x:t>
        </x:is>
      </x:c>
      <x:c r="B50" s="252">
        <x:f>COUNTIFS('Game Records'!$A$5:$A$504,"&lt;&gt;",'Game Records'!$U$5:$U$504,"&lt;&gt;Subscription",'Game Records'!$Y$5:$Y$504,"&lt;0.1")</x:f>
      </x:c>
      <x:c r="C50" s="251">
        <x:f>SUMIFS('Game Records'!$W$5:$W$504,'Game Records'!$A$5:$A$504,"&lt;&gt;",'Game Records'!$U$5:$U$504,"&lt;&gt;Subscription",'Game Records'!$Y$5:$Y$504,"&lt;0.1")</x:f>
      </x:c>
      <x:c r="D50" s="251">
        <x:f>IF(B50=0,"",C50/B50)</x:f>
      </x:c>
      <x:c r="E50" s="266">
        <x:f>IF(COUNTIFS('Game Records'!$A$5:$A$504,"&lt;&gt;",'Game Records'!$U$5:$U$504,"&lt;&gt;Subscription",'Game Records'!$Y$5:$Y$504,"&lt;0.1",'Game Records'!$T$5:$T$504,"&lt;&gt;")=0,"",SUMIFS('Game Records'!$T$5:$T$504,'Game Records'!$A$5:$A$504,"&lt;&gt;",'Game Records'!$U$5:$U$504,"&lt;&gt;Subscription",'Game Records'!$Y$5:$Y$504,"&lt;0.1",'Game Records'!$T$5:$T$504,"&lt;&gt;")/COUNTIFS('Game Records'!$A$5:$A$504,"&lt;&gt;",'Game Records'!$U$5:$U$504,"&lt;&gt;Subscription",'Game Records'!$Y$5:$Y$504,"&lt;0.1",'Game Records'!$T$5:$T$504,"&lt;&gt;"))</x:f>
      </x:c>
      <x:c r="F50" s="266">
        <x:f>IF(B50=0,"",COUNTIFS('Game Records'!$A$5:$A$504,"&lt;&gt;",'Game Records'!$U$5:$U$504,"&lt;&gt;Subscription",'Game Records'!$Y$5:$Y$504,"&lt;0.1",'Game Records'!$U$5:$U$504,"Profit")/B50)</x:f>
      </x:c>
      <x:c r="G50" s="266">
        <x:f>IF(B50=0,"",COUNTIFS('Game Records'!$A$5:$A$504,"&lt;&gt;",'Game Records'!$U$5:$U$504,"&lt;&gt;Subscription",'Game Records'!$Y$5:$Y$504,"&lt;0.1",'Game Records'!$U$5:$U$504,"Draw")/B50)</x:f>
      </x:c>
      <x:c r="H50" s="266">
        <x:f>IF(B50=0,"",COUNTIFS('Game Records'!$A$5:$A$504,"&lt;&gt;",'Game Records'!$U$5:$U$504,"&lt;&gt;Subscription",'Game Records'!$Y$5:$Y$504,"&lt;0.1",'Game Records'!$U$5:$U$504,"Disqualified")/B50)</x:f>
      </x:c>
    </x:row>
    <x:row r="51">
      <x:c r="A51" s="54" t="inlineStr">
        <x:is>
          <x:t xml:space="preserve">10–19.9%</x:t>
        </x:is>
      </x:c>
      <x:c r="B51" s="252">
        <x:f>COUNTIFS('Game Records'!$A$5:$A$504,"&lt;&gt;",'Game Records'!$U$5:$U$504,"&lt;&gt;Subscription",'Game Records'!$Y$5:$Y$504,"&gt;=0.1",'Game Records'!$Y$5:$Y$504,"&lt;0.2")</x:f>
      </x:c>
      <x:c r="C51" s="251">
        <x:f>SUMIFS('Game Records'!$W$5:$W$504,'Game Records'!$A$5:$A$504,"&lt;&gt;",'Game Records'!$U$5:$U$504,"&lt;&gt;Subscription",'Game Records'!$Y$5:$Y$504,"&gt;=0.1",'Game Records'!$Y$5:$Y$504,"&lt;0.2")</x:f>
      </x:c>
      <x:c r="D51" s="251">
        <x:f>IF(B51=0,"",C51/B51)</x:f>
      </x:c>
      <x:c r="E51" s="266">
        <x:f>IF(COUNTIFS('Game Records'!$A$5:$A$504,"&lt;&gt;",'Game Records'!$U$5:$U$504,"&lt;&gt;Subscription",'Game Records'!$Y$5:$Y$504,"&gt;=0.1",'Game Records'!$Y$5:$Y$504,"&lt;0.2",'Game Records'!$T$5:$T$504,"&lt;&gt;")=0,"",SUMIFS('Game Records'!$T$5:$T$504,'Game Records'!$A$5:$A$504,"&lt;&gt;",'Game Records'!$U$5:$U$504,"&lt;&gt;Subscription",'Game Records'!$Y$5:$Y$504,"&gt;=0.1",'Game Records'!$Y$5:$Y$504,"&lt;0.2",'Game Records'!$T$5:$T$504,"&lt;&gt;")/COUNTIFS('Game Records'!$A$5:$A$504,"&lt;&gt;",'Game Records'!$U$5:$U$504,"&lt;&gt;Subscription",'Game Records'!$Y$5:$Y$504,"&gt;=0.1",'Game Records'!$Y$5:$Y$504,"&lt;0.2",'Game Records'!$T$5:$T$504,"&lt;&gt;"))</x:f>
      </x:c>
      <x:c r="F51" s="266">
        <x:f>IF(B51=0,"",COUNTIFS('Game Records'!$A$5:$A$504,"&lt;&gt;",'Game Records'!$U$5:$U$504,"&lt;&gt;Subscription",'Game Records'!$Y$5:$Y$504,"&gt;=0.1",'Game Records'!$Y$5:$Y$504,"&lt;0.2",'Game Records'!$U$5:$U$504,"Profit")/B51)</x:f>
      </x:c>
      <x:c r="G51" s="266">
        <x:f>IF(B51=0,"",COUNTIFS('Game Records'!$A$5:$A$504,"&lt;&gt;",'Game Records'!$U$5:$U$504,"&lt;&gt;Subscription",'Game Records'!$Y$5:$Y$504,"&gt;=0.1",'Game Records'!$Y$5:$Y$504,"&lt;0.2",'Game Records'!$U$5:$U$504,"Draw")/B51)</x:f>
      </x:c>
      <x:c r="H51" s="266">
        <x:f>IF(B51=0,"",COUNTIFS('Game Records'!$A$5:$A$504,"&lt;&gt;",'Game Records'!$U$5:$U$504,"&lt;&gt;Subscription",'Game Records'!$Y$5:$Y$504,"&gt;=0.1",'Game Records'!$Y$5:$Y$504,"&lt;0.2",'Game Records'!$U$5:$U$504,"Disqualified")/B51)</x:f>
      </x:c>
    </x:row>
    <x:row r="52">
      <x:c r="A52" s="54" t="inlineStr">
        <x:is>
          <x:t xml:space="preserve">20–29.9%</x:t>
        </x:is>
      </x:c>
      <x:c r="B52" s="252">
        <x:f>COUNTIFS('Game Records'!$A$5:$A$504,"&lt;&gt;",'Game Records'!$U$5:$U$504,"&lt;&gt;Subscription",'Game Records'!$Y$5:$Y$504,"&gt;=0.2",'Game Records'!$Y$5:$Y$504,"&lt;0.3")</x:f>
      </x:c>
      <x:c r="C52" s="251">
        <x:f>SUMIFS('Game Records'!$W$5:$W$504,'Game Records'!$A$5:$A$504,"&lt;&gt;",'Game Records'!$U$5:$U$504,"&lt;&gt;Subscription",'Game Records'!$Y$5:$Y$504,"&gt;=0.2",'Game Records'!$Y$5:$Y$504,"&lt;0.3")</x:f>
      </x:c>
      <x:c r="D52" s="251">
        <x:f>IF(B52=0,"",C52/B52)</x:f>
      </x:c>
      <x:c r="E52" s="266">
        <x:f>IF(COUNTIFS('Game Records'!$A$5:$A$504,"&lt;&gt;",'Game Records'!$U$5:$U$504,"&lt;&gt;Subscription",'Game Records'!$Y$5:$Y$504,"&gt;=0.2",'Game Records'!$Y$5:$Y$504,"&lt;0.3",'Game Records'!$T$5:$T$504,"&lt;&gt;")=0,"",SUMIFS('Game Records'!$T$5:$T$504,'Game Records'!$A$5:$A$504,"&lt;&gt;",'Game Records'!$U$5:$U$504,"&lt;&gt;Subscription",'Game Records'!$Y$5:$Y$504,"&gt;=0.2",'Game Records'!$Y$5:$Y$504,"&lt;0.3",'Game Records'!$T$5:$T$504,"&lt;&gt;")/COUNTIFS('Game Records'!$A$5:$A$504,"&lt;&gt;",'Game Records'!$U$5:$U$504,"&lt;&gt;Subscription",'Game Records'!$Y$5:$Y$504,"&gt;=0.2",'Game Records'!$Y$5:$Y$504,"&lt;0.3",'Game Records'!$T$5:$T$504,"&lt;&gt;"))</x:f>
      </x:c>
      <x:c r="F52" s="266">
        <x:f>IF(B52=0,"",COUNTIFS('Game Records'!$A$5:$A$504,"&lt;&gt;",'Game Records'!$U$5:$U$504,"&lt;&gt;Subscription",'Game Records'!$Y$5:$Y$504,"&gt;=0.2",'Game Records'!$Y$5:$Y$504,"&lt;0.3",'Game Records'!$U$5:$U$504,"Profit")/B52)</x:f>
      </x:c>
      <x:c r="G52" s="266">
        <x:f>IF(B52=0,"",COUNTIFS('Game Records'!$A$5:$A$504,"&lt;&gt;",'Game Records'!$U$5:$U$504,"&lt;&gt;Subscription",'Game Records'!$Y$5:$Y$504,"&gt;=0.2",'Game Records'!$Y$5:$Y$504,"&lt;0.3",'Game Records'!$U$5:$U$504,"Draw")/B52)</x:f>
      </x:c>
      <x:c r="H52" s="266">
        <x:f>IF(B52=0,"",COUNTIFS('Game Records'!$A$5:$A$504,"&lt;&gt;",'Game Records'!$U$5:$U$504,"&lt;&gt;Subscription",'Game Records'!$Y$5:$Y$504,"&gt;=0.2",'Game Records'!$Y$5:$Y$504,"&lt;0.3",'Game Records'!$U$5:$U$504,"Disqualified")/B52)</x:f>
      </x:c>
    </x:row>
    <x:row r="53">
      <x:c r="A53" s="54" t="inlineStr">
        <x:is>
          <x:t xml:space="preserve">30%+</x:t>
        </x:is>
      </x:c>
      <x:c r="B53" s="252">
        <x:f>COUNTIFS('Game Records'!$A$5:$A$504,"&lt;&gt;",'Game Records'!$U$5:$U$504,"&lt;&gt;Subscription",'Game Records'!$Y$5:$Y$504,"&gt;=0.3")</x:f>
      </x:c>
      <x:c r="C53" s="251">
        <x:f>SUMIFS('Game Records'!$W$5:$W$504,'Game Records'!$A$5:$A$504,"&lt;&gt;",'Game Records'!$U$5:$U$504,"&lt;&gt;Subscription",'Game Records'!$Y$5:$Y$504,"&gt;=0.3")</x:f>
      </x:c>
      <x:c r="D53" s="251">
        <x:f>IF(B53=0,"",C53/B53)</x:f>
      </x:c>
      <x:c r="E53" s="266">
        <x:f>IF(COUNTIFS('Game Records'!$A$5:$A$504,"&lt;&gt;",'Game Records'!$U$5:$U$504,"&lt;&gt;Subscription",'Game Records'!$Y$5:$Y$504,"&gt;=0.3",'Game Records'!$T$5:$T$504,"&lt;&gt;")=0,"",SUMIFS('Game Records'!$T$5:$T$504,'Game Records'!$A$5:$A$504,"&lt;&gt;",'Game Records'!$U$5:$U$504,"&lt;&gt;Subscription",'Game Records'!$Y$5:$Y$504,"&gt;=0.3",'Game Records'!$T$5:$T$504,"&lt;&gt;")/COUNTIFS('Game Records'!$A$5:$A$504,"&lt;&gt;",'Game Records'!$U$5:$U$504,"&lt;&gt;Subscription",'Game Records'!$Y$5:$Y$504,"&gt;=0.3",'Game Records'!$T$5:$T$504,"&lt;&gt;"))</x:f>
      </x:c>
      <x:c r="F53" s="266">
        <x:f>IF(B53=0,"",COUNTIFS('Game Records'!$A$5:$A$504,"&lt;&gt;",'Game Records'!$U$5:$U$504,"&lt;&gt;Subscription",'Game Records'!$Y$5:$Y$504,"&gt;=0.3",'Game Records'!$U$5:$U$504,"Profit")/B53)</x:f>
      </x:c>
      <x:c r="G53" s="266">
        <x:f>IF(B53=0,"",COUNTIFS('Game Records'!$A$5:$A$504,"&lt;&gt;",'Game Records'!$U$5:$U$504,"&lt;&gt;Subscription",'Game Records'!$Y$5:$Y$504,"&gt;=0.3",'Game Records'!$U$5:$U$504,"Draw")/B53)</x:f>
      </x:c>
      <x:c r="H53" s="266">
        <x:f>IF(B53=0,"",COUNTIFS('Game Records'!$A$5:$A$504,"&lt;&gt;",'Game Records'!$U$5:$U$504,"&lt;&gt;Subscription",'Game Records'!$Y$5:$Y$504,"&gt;=0.3",'Game Records'!$U$5:$U$504,"Disqualified")/B53)</x:f>
      </x:c>
    </x:row>
  </x:sheetData>
  <x:mergeCells>
    <x:mergeCell ref="A4:H4"/>
    <x:mergeCell ref="A48:H48"/>
    <x:mergeCell ref="A39:H39"/>
    <x:mergeCell ref="A2:H2"/>
    <x:mergeCell ref="A10:H10"/>
    <x:mergeCell ref="A1:H1"/>
    <x:mergeCell ref="A31:H31"/>
    <x:mergeCell ref="A22:H22"/>
  </x:mergeCells>
  <x:pageMargins left="0.7" right="0.7" top="0.75" bottom="0.75" header="0.3" footer="0.3"/>
  <x:drawing xmlns:r="http://schemas.openxmlformats.org/officeDocument/2006/relationships" r:id="R899eff49b98f42ce"/>
</x:worksheet>
</file>

<file path=xl/worksheets/sheet5.xml><?xml version="1.0" encoding="utf-8"?>
<x:worksheet xmlns:x="http://schemas.openxmlformats.org/spreadsheetml/2006/main">
  <x:sheetFormatPr baseColWidth="8" defaultRowHeight="15"/>
  <x:cols>
    <x:col min="1" max="1" width="8" style="106" customWidth="1"/>
    <x:col min="2" max="2" width="30" style="106" customWidth="1"/>
    <x:col min="3" max="3" width="14" style="106" customWidth="1"/>
    <x:col min="4" max="4" width="9" style="106" customWidth="1"/>
    <x:col min="5" max="5" width="11" style="106" customWidth="1"/>
    <x:col min="6" max="6" width="12" style="106" customWidth="1"/>
    <x:col min="7" max="7" width="10" style="106" customWidth="1"/>
    <x:col min="8" max="8" width="15" style="106" customWidth="1"/>
  </x:cols>
  <x:sheetData>
    <x:row r="1">
      <x:c r="A1" s="246" t="inlineStr">
        <x:is>
          <x:t xml:space="preserve">Best Results</x:t>
        </x:is>
      </x:c>
      <x:c r="B1" s="1" t="n"/>
      <x:c r="C1" s="1" t="n"/>
      <x:c r="D1" s="1" t="n"/>
      <x:c r="E1" s="1" t="n"/>
      <x:c r="F1" s="1" t="n"/>
      <x:c r="G1" s="1" t="n"/>
      <x:c r="H1" s="1" t="n"/>
      <x:c r="I1" s="178" t="n"/>
      <x:c r="J1" s="178" t="n"/>
      <x:c r="K1" s="178" t="n"/>
      <x:c r="L1" s="178" t="n"/>
      <x:c r="M1" s="178" t="n"/>
      <x:c r="N1" s="178" t="n"/>
      <x:c r="O1" s="178" t="n"/>
      <x:c r="P1" s="178" t="n"/>
      <x:c r="Q1" s="178" t="n"/>
      <x:c r="R1" s="178" t="n"/>
      <x:c r="S1" s="178" t="n"/>
      <x:c r="T1" s="178" t="n"/>
      <x:c r="U1" s="178" t="n"/>
      <x:c r="V1" s="178" t="n"/>
      <x:c r="W1" s="178" t="n"/>
      <x:c r="X1" s="178" t="n"/>
      <x:c r="Y1" s="178" t="n"/>
      <x:c r="Z1" s="178" t="n"/>
    </x:row>
    <x:row r="2">
      <x:c r="A2" s="37" t="inlineStr">
        <x:is>
          <x:t xml:space="preserve">Lists the highest completed-game Net Profit and ROI values. Tied values may show the first matching game.</x:t>
        </x:is>
      </x:c>
      <x:c r="B2" s="1" t="n"/>
      <x:c r="C2" s="1" t="n"/>
      <x:c r="D2" s="1" t="n"/>
      <x:c r="E2" s="1" t="n"/>
      <x:c r="F2" s="1" t="n"/>
      <x:c r="G2" s="1" t="n"/>
      <x:c r="H2" s="1" t="n"/>
    </x:row>
    <x:row r="4">
      <x:c r="A4" s="27" t="inlineStr">
        <x:is>
          <x:t xml:space="preserve">Top 10 by Net Profit</x:t>
        </x:is>
      </x:c>
      <x:c r="B4" s="1" t="n"/>
      <x:c r="C4" s="1" t="n"/>
      <x:c r="D4" s="1" t="n"/>
      <x:c r="E4" s="1" t="n"/>
      <x:c r="F4" s="1" t="n"/>
      <x:c r="G4" s="1" t="n"/>
      <x:c r="H4" s="1" t="n"/>
    </x:row>
    <x:row r="5">
      <x:c r="A5" s="42" t="inlineStr">
        <x:is>
          <x:t xml:space="preserve">Rank</x:t>
        </x:is>
      </x:c>
      <x:c r="B5" s="96" t="inlineStr">
        <x:is>
          <x:t xml:space="preserve">Game Name</x:t>
        </x:is>
      </x:c>
      <x:c r="C5" s="42" t="inlineStr">
        <x:is>
          <x:t xml:space="preserve">Game Type</x:t>
        </x:is>
      </x:c>
      <x:c r="D5" s="42" t="inlineStr">
        <x:is>
          <x:t xml:space="preserve">Weeks</x:t>
        </x:is>
      </x:c>
      <x:c r="E5" s="264" t="inlineStr">
        <x:is>
          <x:t xml:space="preserve">Entry Fee</x:t>
        </x:is>
      </x:c>
      <x:c r="F5" s="264" t="inlineStr">
        <x:is>
          <x:t xml:space="preserve">Net Profit</x:t>
        </x:is>
      </x:c>
      <x:c r="G5" s="265" t="inlineStr">
        <x:is>
          <x:t xml:space="preserve">ROI</x:t>
        </x:is>
      </x:c>
      <x:c r="H5" s="42" t="inlineStr">
        <x:is>
          <x:t xml:space="preserve">Result</x:t>
        </x:is>
      </x:c>
    </x:row>
    <x:row r="6">
      <x:c r="A6" s="50" t="n">
        <x:v>1</x:v>
      </x:c>
      <x:c r="B6" s="54">
        <x:f>IFERROR(INDEX('Game Records'!$A$5:$A$504,MATCH(F6,'Game Records'!$W$5:$W$504,0)),"")</x:f>
      </x:c>
      <x:c r="C6" s="50">
        <x:f>IFERROR(INDEX('Game Records'!$E$5:$E$504,MATCH(F6,'Game Records'!$W$5:$W$504,0)),"")</x:f>
      </x:c>
      <x:c r="D6" s="50">
        <x:f>IFERROR(INDEX('Game Records'!$V$5:$V$504,MATCH(F6,'Game Records'!$W$5:$W$504,0)),"")</x:f>
      </x:c>
      <x:c r="E6" s="251">
        <x:f>IFERROR(INDEX('Game Records'!$H$5:$H$504,MATCH(F6,'Game Records'!$W$5:$W$504,0)),"")</x:f>
      </x:c>
      <x:c r="F6" s="251">
        <x:f>IFERROR(LARGE('Game Records'!$W$5:$W$504,A6),"")</x:f>
      </x:c>
      <x:c r="G6" s="266">
        <x:f>IFERROR(INDEX('Game Records'!$T$5:$T$504,MATCH(F6,'Game Records'!$W$5:$W$504,0)),"")</x:f>
      </x:c>
      <x:c r="H6" s="50">
        <x:f>IFERROR(INDEX('Game Records'!$U$5:$U$504,MATCH(F6,'Game Records'!$W$5:$W$504,0)),"")</x:f>
      </x:c>
    </x:row>
    <x:row r="7">
      <x:c r="A7" s="50" t="n">
        <x:v>2</x:v>
      </x:c>
      <x:c r="B7" s="54">
        <x:f>IFERROR(INDEX('Game Records'!$A$5:$A$504,MATCH(F7,'Game Records'!$W$5:$W$504,0)),"")</x:f>
      </x:c>
      <x:c r="C7" s="50">
        <x:f>IFERROR(INDEX('Game Records'!$E$5:$E$504,MATCH(F7,'Game Records'!$W$5:$W$504,0)),"")</x:f>
      </x:c>
      <x:c r="D7" s="50">
        <x:f>IFERROR(INDEX('Game Records'!$V$5:$V$504,MATCH(F7,'Game Records'!$W$5:$W$504,0)),"")</x:f>
      </x:c>
      <x:c r="E7" s="251">
        <x:f>IFERROR(INDEX('Game Records'!$H$5:$H$504,MATCH(F7,'Game Records'!$W$5:$W$504,0)),"")</x:f>
      </x:c>
      <x:c r="F7" s="251">
        <x:f>IFERROR(LARGE('Game Records'!$W$5:$W$504,A7),"")</x:f>
      </x:c>
      <x:c r="G7" s="266">
        <x:f>IFERROR(INDEX('Game Records'!$T$5:$T$504,MATCH(F7,'Game Records'!$W$5:$W$504,0)),"")</x:f>
      </x:c>
      <x:c r="H7" s="50">
        <x:f>IFERROR(INDEX('Game Records'!$U$5:$U$504,MATCH(F7,'Game Records'!$W$5:$W$504,0)),"")</x:f>
      </x:c>
    </x:row>
    <x:row r="8">
      <x:c r="A8" s="50" t="n">
        <x:v>3</x:v>
      </x:c>
      <x:c r="B8" s="54">
        <x:f>IFERROR(INDEX('Game Records'!$A$5:$A$504,MATCH(F8,'Game Records'!$W$5:$W$504,0)),"")</x:f>
      </x:c>
      <x:c r="C8" s="50">
        <x:f>IFERROR(INDEX('Game Records'!$E$5:$E$504,MATCH(F8,'Game Records'!$W$5:$W$504,0)),"")</x:f>
      </x:c>
      <x:c r="D8" s="50">
        <x:f>IFERROR(INDEX('Game Records'!$V$5:$V$504,MATCH(F8,'Game Records'!$W$5:$W$504,0)),"")</x:f>
      </x:c>
      <x:c r="E8" s="251">
        <x:f>IFERROR(INDEX('Game Records'!$H$5:$H$504,MATCH(F8,'Game Records'!$W$5:$W$504,0)),"")</x:f>
      </x:c>
      <x:c r="F8" s="251">
        <x:f>IFERROR(LARGE('Game Records'!$W$5:$W$504,A8),"")</x:f>
      </x:c>
      <x:c r="G8" s="266">
        <x:f>IFERROR(INDEX('Game Records'!$T$5:$T$504,MATCH(F8,'Game Records'!$W$5:$W$504,0)),"")</x:f>
      </x:c>
      <x:c r="H8" s="50">
        <x:f>IFERROR(INDEX('Game Records'!$U$5:$U$504,MATCH(F8,'Game Records'!$W$5:$W$504,0)),"")</x:f>
      </x:c>
    </x:row>
    <x:row r="9">
      <x:c r="A9" s="50" t="n">
        <x:v>4</x:v>
      </x:c>
      <x:c r="B9" s="54">
        <x:f>IFERROR(INDEX('Game Records'!$A$5:$A$504,MATCH(F9,'Game Records'!$W$5:$W$504,0)),"")</x:f>
      </x:c>
      <x:c r="C9" s="50">
        <x:f>IFERROR(INDEX('Game Records'!$E$5:$E$504,MATCH(F9,'Game Records'!$W$5:$W$504,0)),"")</x:f>
      </x:c>
      <x:c r="D9" s="50">
        <x:f>IFERROR(INDEX('Game Records'!$V$5:$V$504,MATCH(F9,'Game Records'!$W$5:$W$504,0)),"")</x:f>
      </x:c>
      <x:c r="E9" s="251">
        <x:f>IFERROR(INDEX('Game Records'!$H$5:$H$504,MATCH(F9,'Game Records'!$W$5:$W$504,0)),"")</x:f>
      </x:c>
      <x:c r="F9" s="251">
        <x:f>IFERROR(LARGE('Game Records'!$W$5:$W$504,A9),"")</x:f>
      </x:c>
      <x:c r="G9" s="266">
        <x:f>IFERROR(INDEX('Game Records'!$T$5:$T$504,MATCH(F9,'Game Records'!$W$5:$W$504,0)),"")</x:f>
      </x:c>
      <x:c r="H9" s="50">
        <x:f>IFERROR(INDEX('Game Records'!$U$5:$U$504,MATCH(F9,'Game Records'!$W$5:$W$504,0)),"")</x:f>
      </x:c>
    </x:row>
    <x:row r="10">
      <x:c r="A10" s="50" t="n">
        <x:v>5</x:v>
      </x:c>
      <x:c r="B10" s="54">
        <x:f>IFERROR(INDEX('Game Records'!$A$5:$A$504,MATCH(F10,'Game Records'!$W$5:$W$504,0)),"")</x:f>
      </x:c>
      <x:c r="C10" s="50">
        <x:f>IFERROR(INDEX('Game Records'!$E$5:$E$504,MATCH(F10,'Game Records'!$W$5:$W$504,0)),"")</x:f>
      </x:c>
      <x:c r="D10" s="50">
        <x:f>IFERROR(INDEX('Game Records'!$V$5:$V$504,MATCH(F10,'Game Records'!$W$5:$W$504,0)),"")</x:f>
      </x:c>
      <x:c r="E10" s="251">
        <x:f>IFERROR(INDEX('Game Records'!$H$5:$H$504,MATCH(F10,'Game Records'!$W$5:$W$504,0)),"")</x:f>
      </x:c>
      <x:c r="F10" s="251">
        <x:f>IFERROR(LARGE('Game Records'!$W$5:$W$504,A10),"")</x:f>
      </x:c>
      <x:c r="G10" s="266">
        <x:f>IFERROR(INDEX('Game Records'!$T$5:$T$504,MATCH(F10,'Game Records'!$W$5:$W$504,0)),"")</x:f>
      </x:c>
      <x:c r="H10" s="50">
        <x:f>IFERROR(INDEX('Game Records'!$U$5:$U$504,MATCH(F10,'Game Records'!$W$5:$W$504,0)),"")</x:f>
      </x:c>
    </x:row>
    <x:row r="11">
      <x:c r="A11" s="50" t="n">
        <x:v>6</x:v>
      </x:c>
      <x:c r="B11" s="54">
        <x:f>IFERROR(INDEX('Game Records'!$A$5:$A$504,MATCH(F11,'Game Records'!$W$5:$W$504,0)),"")</x:f>
      </x:c>
      <x:c r="C11" s="50">
        <x:f>IFERROR(INDEX('Game Records'!$E$5:$E$504,MATCH(F11,'Game Records'!$W$5:$W$504,0)),"")</x:f>
      </x:c>
      <x:c r="D11" s="50">
        <x:f>IFERROR(INDEX('Game Records'!$V$5:$V$504,MATCH(F11,'Game Records'!$W$5:$W$504,0)),"")</x:f>
      </x:c>
      <x:c r="E11" s="251">
        <x:f>IFERROR(INDEX('Game Records'!$H$5:$H$504,MATCH(F11,'Game Records'!$W$5:$W$504,0)),"")</x:f>
      </x:c>
      <x:c r="F11" s="251">
        <x:f>IFERROR(LARGE('Game Records'!$W$5:$W$504,A11),"")</x:f>
      </x:c>
      <x:c r="G11" s="266">
        <x:f>IFERROR(INDEX('Game Records'!$T$5:$T$504,MATCH(F11,'Game Records'!$W$5:$W$504,0)),"")</x:f>
      </x:c>
      <x:c r="H11" s="50">
        <x:f>IFERROR(INDEX('Game Records'!$U$5:$U$504,MATCH(F11,'Game Records'!$W$5:$W$504,0)),"")</x:f>
      </x:c>
    </x:row>
    <x:row r="12">
      <x:c r="A12" s="50" t="n">
        <x:v>7</x:v>
      </x:c>
      <x:c r="B12" s="54">
        <x:f>IFERROR(INDEX('Game Records'!$A$5:$A$504,MATCH(F12,'Game Records'!$W$5:$W$504,0)),"")</x:f>
      </x:c>
      <x:c r="C12" s="50">
        <x:f>IFERROR(INDEX('Game Records'!$E$5:$E$504,MATCH(F12,'Game Records'!$W$5:$W$504,0)),"")</x:f>
      </x:c>
      <x:c r="D12" s="50">
        <x:f>IFERROR(INDEX('Game Records'!$V$5:$V$504,MATCH(F12,'Game Records'!$W$5:$W$504,0)),"")</x:f>
      </x:c>
      <x:c r="E12" s="251">
        <x:f>IFERROR(INDEX('Game Records'!$H$5:$H$504,MATCH(F12,'Game Records'!$W$5:$W$504,0)),"")</x:f>
      </x:c>
      <x:c r="F12" s="251">
        <x:f>IFERROR(LARGE('Game Records'!$W$5:$W$504,A12),"")</x:f>
      </x:c>
      <x:c r="G12" s="266">
        <x:f>IFERROR(INDEX('Game Records'!$T$5:$T$504,MATCH(F12,'Game Records'!$W$5:$W$504,0)),"")</x:f>
      </x:c>
      <x:c r="H12" s="50">
        <x:f>IFERROR(INDEX('Game Records'!$U$5:$U$504,MATCH(F12,'Game Records'!$W$5:$W$504,0)),"")</x:f>
      </x:c>
    </x:row>
    <x:row r="13">
      <x:c r="A13" s="50" t="n">
        <x:v>8</x:v>
      </x:c>
      <x:c r="B13" s="54">
        <x:f>IFERROR(INDEX('Game Records'!$A$5:$A$504,MATCH(F13,'Game Records'!$W$5:$W$504,0)),"")</x:f>
      </x:c>
      <x:c r="C13" s="50">
        <x:f>IFERROR(INDEX('Game Records'!$E$5:$E$504,MATCH(F13,'Game Records'!$W$5:$W$504,0)),"")</x:f>
      </x:c>
      <x:c r="D13" s="50">
        <x:f>IFERROR(INDEX('Game Records'!$V$5:$V$504,MATCH(F13,'Game Records'!$W$5:$W$504,0)),"")</x:f>
      </x:c>
      <x:c r="E13" s="251">
        <x:f>IFERROR(INDEX('Game Records'!$H$5:$H$504,MATCH(F13,'Game Records'!$W$5:$W$504,0)),"")</x:f>
      </x:c>
      <x:c r="F13" s="251">
        <x:f>IFERROR(LARGE('Game Records'!$W$5:$W$504,A13),"")</x:f>
      </x:c>
      <x:c r="G13" s="266">
        <x:f>IFERROR(INDEX('Game Records'!$T$5:$T$504,MATCH(F13,'Game Records'!$W$5:$W$504,0)),"")</x:f>
      </x:c>
      <x:c r="H13" s="50">
        <x:f>IFERROR(INDEX('Game Records'!$U$5:$U$504,MATCH(F13,'Game Records'!$W$5:$W$504,0)),"")</x:f>
      </x:c>
    </x:row>
    <x:row r="14">
      <x:c r="A14" s="50" t="n">
        <x:v>9</x:v>
      </x:c>
      <x:c r="B14" s="54">
        <x:f>IFERROR(INDEX('Game Records'!$A$5:$A$504,MATCH(F14,'Game Records'!$W$5:$W$504,0)),"")</x:f>
      </x:c>
      <x:c r="C14" s="50">
        <x:f>IFERROR(INDEX('Game Records'!$E$5:$E$504,MATCH(F14,'Game Records'!$W$5:$W$504,0)),"")</x:f>
      </x:c>
      <x:c r="D14" s="50">
        <x:f>IFERROR(INDEX('Game Records'!$V$5:$V$504,MATCH(F14,'Game Records'!$W$5:$W$504,0)),"")</x:f>
      </x:c>
      <x:c r="E14" s="251">
        <x:f>IFERROR(INDEX('Game Records'!$H$5:$H$504,MATCH(F14,'Game Records'!$W$5:$W$504,0)),"")</x:f>
      </x:c>
      <x:c r="F14" s="251">
        <x:f>IFERROR(LARGE('Game Records'!$W$5:$W$504,A14),"")</x:f>
      </x:c>
      <x:c r="G14" s="266">
        <x:f>IFERROR(INDEX('Game Records'!$T$5:$T$504,MATCH(F14,'Game Records'!$W$5:$W$504,0)),"")</x:f>
      </x:c>
      <x:c r="H14" s="50">
        <x:f>IFERROR(INDEX('Game Records'!$U$5:$U$504,MATCH(F14,'Game Records'!$W$5:$W$504,0)),"")</x:f>
      </x:c>
    </x:row>
    <x:row r="15">
      <x:c r="A15" s="50" t="n">
        <x:v>10</x:v>
      </x:c>
      <x:c r="B15" s="54">
        <x:f>IFERROR(INDEX('Game Records'!$A$5:$A$504,MATCH(F15,'Game Records'!$W$5:$W$504,0)),"")</x:f>
      </x:c>
      <x:c r="C15" s="50">
        <x:f>IFERROR(INDEX('Game Records'!$E$5:$E$504,MATCH(F15,'Game Records'!$W$5:$W$504,0)),"")</x:f>
      </x:c>
      <x:c r="D15" s="50">
        <x:f>IFERROR(INDEX('Game Records'!$V$5:$V$504,MATCH(F15,'Game Records'!$W$5:$W$504,0)),"")</x:f>
      </x:c>
      <x:c r="E15" s="251">
        <x:f>IFERROR(INDEX('Game Records'!$H$5:$H$504,MATCH(F15,'Game Records'!$W$5:$W$504,0)),"")</x:f>
      </x:c>
      <x:c r="F15" s="251">
        <x:f>IFERROR(LARGE('Game Records'!$W$5:$W$504,A15),"")</x:f>
      </x:c>
      <x:c r="G15" s="266">
        <x:f>IFERROR(INDEX('Game Records'!$T$5:$T$504,MATCH(F15,'Game Records'!$W$5:$W$504,0)),"")</x:f>
      </x:c>
      <x:c r="H15" s="50">
        <x:f>IFERROR(INDEX('Game Records'!$U$5:$U$504,MATCH(F15,'Game Records'!$W$5:$W$504,0)),"")</x:f>
      </x:c>
    </x:row>
    <x:row r="16">
      <x:c r="A16" s="50" t="n"/>
      <x:c r="B16" s="54" t="n"/>
      <x:c r="C16" s="50" t="n"/>
      <x:c r="D16" s="50" t="n"/>
      <x:c r="E16" s="269" t="n"/>
      <x:c r="F16" s="269" t="n"/>
      <x:c r="G16" s="266" t="n"/>
      <x:c r="H16" s="50" t="n"/>
    </x:row>
    <x:row r="17">
      <x:c r="A17" s="50" t="n"/>
      <x:c r="B17" s="54" t="n"/>
      <x:c r="C17" s="50" t="n"/>
      <x:c r="D17" s="50" t="n"/>
      <x:c r="E17" s="269" t="n"/>
      <x:c r="F17" s="269" t="n"/>
      <x:c r="G17" s="266" t="n"/>
      <x:c r="H17" s="50" t="n"/>
    </x:row>
    <x:row r="18">
      <x:c r="A18" s="95" t="inlineStr">
        <x:is>
          <x:t xml:space="preserve">Top 10 by ROI</x:t>
        </x:is>
      </x:c>
      <x:c r="B18" s="1" t="n"/>
      <x:c r="C18" s="1" t="n"/>
      <x:c r="D18" s="1" t="n"/>
      <x:c r="E18" s="1" t="n"/>
      <x:c r="F18" s="1" t="n"/>
      <x:c r="G18" s="1" t="n"/>
      <x:c r="H18" s="1" t="n"/>
    </x:row>
    <x:row r="19">
      <x:c r="A19" s="42" t="inlineStr">
        <x:is>
          <x:t xml:space="preserve">Rank</x:t>
        </x:is>
      </x:c>
      <x:c r="B19" s="96" t="inlineStr">
        <x:is>
          <x:t xml:space="preserve">Game Name</x:t>
        </x:is>
      </x:c>
      <x:c r="C19" s="42" t="inlineStr">
        <x:is>
          <x:t xml:space="preserve">Game Type</x:t>
        </x:is>
      </x:c>
      <x:c r="D19" s="42" t="inlineStr">
        <x:is>
          <x:t xml:space="preserve">Weeks</x:t>
        </x:is>
      </x:c>
      <x:c r="E19" s="264" t="inlineStr">
        <x:is>
          <x:t xml:space="preserve">Entry Fee</x:t>
        </x:is>
      </x:c>
      <x:c r="F19" s="264" t="inlineStr">
        <x:is>
          <x:t xml:space="preserve">Net Profit</x:t>
        </x:is>
      </x:c>
      <x:c r="G19" s="265" t="inlineStr">
        <x:is>
          <x:t xml:space="preserve">ROI</x:t>
        </x:is>
      </x:c>
      <x:c r="H19" s="42" t="inlineStr">
        <x:is>
          <x:t xml:space="preserve">Result</x:t>
        </x:is>
      </x:c>
    </x:row>
    <x:row r="20">
      <x:c r="A20" s="50" t="n">
        <x:v>1</x:v>
      </x:c>
      <x:c r="B20" s="54">
        <x:f>IFERROR(INDEX('Game Records'!$A$5:$A$504,MATCH(G20,'Game Records'!$T$5:$T$504,0)),"")</x:f>
      </x:c>
      <x:c r="C20" s="50">
        <x:f>IFERROR(INDEX('Game Records'!$E$5:$E$504,MATCH(G20,'Game Records'!$T$5:$T$504,0)),"")</x:f>
      </x:c>
      <x:c r="D20" s="50">
        <x:f>IFERROR(INDEX('Game Records'!$V$5:$V$504,MATCH(G20,'Game Records'!$T$5:$T$504,0)),"")</x:f>
      </x:c>
      <x:c r="E20" s="251">
        <x:f>IFERROR(INDEX('Game Records'!$H$5:$H$504,MATCH(G20,'Game Records'!$T$5:$T$504,0)),"")</x:f>
      </x:c>
      <x:c r="F20" s="251">
        <x:f>IFERROR(INDEX('Game Records'!$W$5:$W$504,MATCH(G20,'Game Records'!$T$5:$T$504,0)),"")</x:f>
      </x:c>
      <x:c r="G20" s="266">
        <x:f>IFERROR(LARGE('Game Records'!$T$5:$T$504,A20),"")</x:f>
      </x:c>
      <x:c r="H20" s="50">
        <x:f>IFERROR(INDEX('Game Records'!$U$5:$U$504,MATCH(G20,'Game Records'!$T$5:$T$504,0)),"")</x:f>
      </x:c>
    </x:row>
    <x:row r="21">
      <x:c r="A21" s="50" t="n">
        <x:v>2</x:v>
      </x:c>
      <x:c r="B21" s="54">
        <x:f>IFERROR(INDEX('Game Records'!$A$5:$A$504,MATCH(G21,'Game Records'!$T$5:$T$504,0)),"")</x:f>
      </x:c>
      <x:c r="C21" s="50">
        <x:f>IFERROR(INDEX('Game Records'!$E$5:$E$504,MATCH(G21,'Game Records'!$T$5:$T$504,0)),"")</x:f>
      </x:c>
      <x:c r="D21" s="50">
        <x:f>IFERROR(INDEX('Game Records'!$V$5:$V$504,MATCH(G21,'Game Records'!$T$5:$T$504,0)),"")</x:f>
      </x:c>
      <x:c r="E21" s="251">
        <x:f>IFERROR(INDEX('Game Records'!$H$5:$H$504,MATCH(G21,'Game Records'!$T$5:$T$504,0)),"")</x:f>
      </x:c>
      <x:c r="F21" s="251">
        <x:f>IFERROR(INDEX('Game Records'!$W$5:$W$504,MATCH(G21,'Game Records'!$T$5:$T$504,0)),"")</x:f>
      </x:c>
      <x:c r="G21" s="266">
        <x:f>IFERROR(LARGE('Game Records'!$T$5:$T$504,A21),"")</x:f>
      </x:c>
      <x:c r="H21" s="50">
        <x:f>IFERROR(INDEX('Game Records'!$U$5:$U$504,MATCH(G21,'Game Records'!$T$5:$T$504,0)),"")</x:f>
      </x:c>
    </x:row>
    <x:row r="22">
      <x:c r="A22" s="50" t="n">
        <x:v>3</x:v>
      </x:c>
      <x:c r="B22" s="54">
        <x:f>IFERROR(INDEX('Game Records'!$A$5:$A$504,MATCH(G22,'Game Records'!$T$5:$T$504,0)),"")</x:f>
      </x:c>
      <x:c r="C22" s="50">
        <x:f>IFERROR(INDEX('Game Records'!$E$5:$E$504,MATCH(G22,'Game Records'!$T$5:$T$504,0)),"")</x:f>
      </x:c>
      <x:c r="D22" s="50">
        <x:f>IFERROR(INDEX('Game Records'!$V$5:$V$504,MATCH(G22,'Game Records'!$T$5:$T$504,0)),"")</x:f>
      </x:c>
      <x:c r="E22" s="251">
        <x:f>IFERROR(INDEX('Game Records'!$H$5:$H$504,MATCH(G22,'Game Records'!$T$5:$T$504,0)),"")</x:f>
      </x:c>
      <x:c r="F22" s="251">
        <x:f>IFERROR(INDEX('Game Records'!$W$5:$W$504,MATCH(G22,'Game Records'!$T$5:$T$504,0)),"")</x:f>
      </x:c>
      <x:c r="G22" s="266">
        <x:f>IFERROR(LARGE('Game Records'!$T$5:$T$504,A22),"")</x:f>
      </x:c>
      <x:c r="H22" s="50">
        <x:f>IFERROR(INDEX('Game Records'!$U$5:$U$504,MATCH(G22,'Game Records'!$T$5:$T$504,0)),"")</x:f>
      </x:c>
    </x:row>
    <x:row r="23">
      <x:c r="A23" s="50" t="n">
        <x:v>4</x:v>
      </x:c>
      <x:c r="B23" s="54">
        <x:f>IFERROR(INDEX('Game Records'!$A$5:$A$504,MATCH(G23,'Game Records'!$T$5:$T$504,0)),"")</x:f>
      </x:c>
      <x:c r="C23" s="50">
        <x:f>IFERROR(INDEX('Game Records'!$E$5:$E$504,MATCH(G23,'Game Records'!$T$5:$T$504,0)),"")</x:f>
      </x:c>
      <x:c r="D23" s="50">
        <x:f>IFERROR(INDEX('Game Records'!$V$5:$V$504,MATCH(G23,'Game Records'!$T$5:$T$504,0)),"")</x:f>
      </x:c>
      <x:c r="E23" s="251">
        <x:f>IFERROR(INDEX('Game Records'!$H$5:$H$504,MATCH(G23,'Game Records'!$T$5:$T$504,0)),"")</x:f>
      </x:c>
      <x:c r="F23" s="251">
        <x:f>IFERROR(INDEX('Game Records'!$W$5:$W$504,MATCH(G23,'Game Records'!$T$5:$T$504,0)),"")</x:f>
      </x:c>
      <x:c r="G23" s="266">
        <x:f>IFERROR(LARGE('Game Records'!$T$5:$T$504,A23),"")</x:f>
      </x:c>
      <x:c r="H23" s="50">
        <x:f>IFERROR(INDEX('Game Records'!$U$5:$U$504,MATCH(G23,'Game Records'!$T$5:$T$504,0)),"")</x:f>
      </x:c>
    </x:row>
    <x:row r="24">
      <x:c r="A24" s="50" t="n">
        <x:v>5</x:v>
      </x:c>
      <x:c r="B24" s="54">
        <x:f>IFERROR(INDEX('Game Records'!$A$5:$A$504,MATCH(G24,'Game Records'!$T$5:$T$504,0)),"")</x:f>
      </x:c>
      <x:c r="C24" s="50">
        <x:f>IFERROR(INDEX('Game Records'!$E$5:$E$504,MATCH(G24,'Game Records'!$T$5:$T$504,0)),"")</x:f>
      </x:c>
      <x:c r="D24" s="50">
        <x:f>IFERROR(INDEX('Game Records'!$V$5:$V$504,MATCH(G24,'Game Records'!$T$5:$T$504,0)),"")</x:f>
      </x:c>
      <x:c r="E24" s="251">
        <x:f>IFERROR(INDEX('Game Records'!$H$5:$H$504,MATCH(G24,'Game Records'!$T$5:$T$504,0)),"")</x:f>
      </x:c>
      <x:c r="F24" s="251">
        <x:f>IFERROR(INDEX('Game Records'!$W$5:$W$504,MATCH(G24,'Game Records'!$T$5:$T$504,0)),"")</x:f>
      </x:c>
      <x:c r="G24" s="266">
        <x:f>IFERROR(LARGE('Game Records'!$T$5:$T$504,A24),"")</x:f>
      </x:c>
      <x:c r="H24" s="50">
        <x:f>IFERROR(INDEX('Game Records'!$U$5:$U$504,MATCH(G24,'Game Records'!$T$5:$T$504,0)),"")</x:f>
      </x:c>
    </x:row>
    <x:row r="25">
      <x:c r="A25" s="50" t="n">
        <x:v>6</x:v>
      </x:c>
      <x:c r="B25" s="54">
        <x:f>IFERROR(INDEX('Game Records'!$A$5:$A$504,MATCH(G25,'Game Records'!$T$5:$T$504,0)),"")</x:f>
      </x:c>
      <x:c r="C25" s="50">
        <x:f>IFERROR(INDEX('Game Records'!$E$5:$E$504,MATCH(G25,'Game Records'!$T$5:$T$504,0)),"")</x:f>
      </x:c>
      <x:c r="D25" s="50">
        <x:f>IFERROR(INDEX('Game Records'!$V$5:$V$504,MATCH(G25,'Game Records'!$T$5:$T$504,0)),"")</x:f>
      </x:c>
      <x:c r="E25" s="251">
        <x:f>IFERROR(INDEX('Game Records'!$H$5:$H$504,MATCH(G25,'Game Records'!$T$5:$T$504,0)),"")</x:f>
      </x:c>
      <x:c r="F25" s="251">
        <x:f>IFERROR(INDEX('Game Records'!$W$5:$W$504,MATCH(G25,'Game Records'!$T$5:$T$504,0)),"")</x:f>
      </x:c>
      <x:c r="G25" s="266">
        <x:f>IFERROR(LARGE('Game Records'!$T$5:$T$504,A25),"")</x:f>
      </x:c>
      <x:c r="H25" s="50">
        <x:f>IFERROR(INDEX('Game Records'!$U$5:$U$504,MATCH(G25,'Game Records'!$T$5:$T$504,0)),"")</x:f>
      </x:c>
    </x:row>
    <x:row r="26">
      <x:c r="A26" s="50" t="n">
        <x:v>7</x:v>
      </x:c>
      <x:c r="B26" s="54">
        <x:f>IFERROR(INDEX('Game Records'!$A$5:$A$504,MATCH(G26,'Game Records'!$T$5:$T$504,0)),"")</x:f>
      </x:c>
      <x:c r="C26" s="50">
        <x:f>IFERROR(INDEX('Game Records'!$E$5:$E$504,MATCH(G26,'Game Records'!$T$5:$T$504,0)),"")</x:f>
      </x:c>
      <x:c r="D26" s="50">
        <x:f>IFERROR(INDEX('Game Records'!$V$5:$V$504,MATCH(G26,'Game Records'!$T$5:$T$504,0)),"")</x:f>
      </x:c>
      <x:c r="E26" s="251">
        <x:f>IFERROR(INDEX('Game Records'!$H$5:$H$504,MATCH(G26,'Game Records'!$T$5:$T$504,0)),"")</x:f>
      </x:c>
      <x:c r="F26" s="251">
        <x:f>IFERROR(INDEX('Game Records'!$W$5:$W$504,MATCH(G26,'Game Records'!$T$5:$T$504,0)),"")</x:f>
      </x:c>
      <x:c r="G26" s="266">
        <x:f>IFERROR(LARGE('Game Records'!$T$5:$T$504,A26),"")</x:f>
      </x:c>
      <x:c r="H26" s="50">
        <x:f>IFERROR(INDEX('Game Records'!$U$5:$U$504,MATCH(G26,'Game Records'!$T$5:$T$504,0)),"")</x:f>
      </x:c>
    </x:row>
    <x:row r="27">
      <x:c r="A27" s="50" t="n">
        <x:v>8</x:v>
      </x:c>
      <x:c r="B27" s="54">
        <x:f>IFERROR(INDEX('Game Records'!$A$5:$A$504,MATCH(G27,'Game Records'!$T$5:$T$504,0)),"")</x:f>
      </x:c>
      <x:c r="C27" s="50">
        <x:f>IFERROR(INDEX('Game Records'!$E$5:$E$504,MATCH(G27,'Game Records'!$T$5:$T$504,0)),"")</x:f>
      </x:c>
      <x:c r="D27" s="50">
        <x:f>IFERROR(INDEX('Game Records'!$V$5:$V$504,MATCH(G27,'Game Records'!$T$5:$T$504,0)),"")</x:f>
      </x:c>
      <x:c r="E27" s="251">
        <x:f>IFERROR(INDEX('Game Records'!$H$5:$H$504,MATCH(G27,'Game Records'!$T$5:$T$504,0)),"")</x:f>
      </x:c>
      <x:c r="F27" s="251">
        <x:f>IFERROR(INDEX('Game Records'!$W$5:$W$504,MATCH(G27,'Game Records'!$T$5:$T$504,0)),"")</x:f>
      </x:c>
      <x:c r="G27" s="266">
        <x:f>IFERROR(LARGE('Game Records'!$T$5:$T$504,A27),"")</x:f>
      </x:c>
      <x:c r="H27" s="50">
        <x:f>IFERROR(INDEX('Game Records'!$U$5:$U$504,MATCH(G27,'Game Records'!$T$5:$T$504,0)),"")</x:f>
      </x:c>
    </x:row>
    <x:row r="28">
      <x:c r="A28" s="50" t="n">
        <x:v>9</x:v>
      </x:c>
      <x:c r="B28" s="54">
        <x:f>IFERROR(INDEX('Game Records'!$A$5:$A$504,MATCH(G28,'Game Records'!$T$5:$T$504,0)),"")</x:f>
      </x:c>
      <x:c r="C28" s="50">
        <x:f>IFERROR(INDEX('Game Records'!$E$5:$E$504,MATCH(G28,'Game Records'!$T$5:$T$504,0)),"")</x:f>
      </x:c>
      <x:c r="D28" s="50">
        <x:f>IFERROR(INDEX('Game Records'!$V$5:$V$504,MATCH(G28,'Game Records'!$T$5:$T$504,0)),"")</x:f>
      </x:c>
      <x:c r="E28" s="251">
        <x:f>IFERROR(INDEX('Game Records'!$H$5:$H$504,MATCH(G28,'Game Records'!$T$5:$T$504,0)),"")</x:f>
      </x:c>
      <x:c r="F28" s="251">
        <x:f>IFERROR(INDEX('Game Records'!$W$5:$W$504,MATCH(G28,'Game Records'!$T$5:$T$504,0)),"")</x:f>
      </x:c>
      <x:c r="G28" s="266">
        <x:f>IFERROR(LARGE('Game Records'!$T$5:$T$504,A28),"")</x:f>
      </x:c>
      <x:c r="H28" s="50">
        <x:f>IFERROR(INDEX('Game Records'!$U$5:$U$504,MATCH(G28,'Game Records'!$T$5:$T$504,0)),"")</x:f>
      </x:c>
    </x:row>
    <x:row r="29">
      <x:c r="A29" s="50" t="n">
        <x:v>10</x:v>
      </x:c>
      <x:c r="B29" s="54">
        <x:f>IFERROR(INDEX('Game Records'!$A$5:$A$504,MATCH(G29,'Game Records'!$T$5:$T$504,0)),"")</x:f>
      </x:c>
      <x:c r="C29" s="50">
        <x:f>IFERROR(INDEX('Game Records'!$E$5:$E$504,MATCH(G29,'Game Records'!$T$5:$T$504,0)),"")</x:f>
      </x:c>
      <x:c r="D29" s="50">
        <x:f>IFERROR(INDEX('Game Records'!$V$5:$V$504,MATCH(G29,'Game Records'!$T$5:$T$504,0)),"")</x:f>
      </x:c>
      <x:c r="E29" s="251">
        <x:f>IFERROR(INDEX('Game Records'!$H$5:$H$504,MATCH(G29,'Game Records'!$T$5:$T$504,0)),"")</x:f>
      </x:c>
      <x:c r="F29" s="251">
        <x:f>IFERROR(INDEX('Game Records'!$W$5:$W$504,MATCH(G29,'Game Records'!$T$5:$T$504,0)),"")</x:f>
      </x:c>
      <x:c r="G29" s="266">
        <x:f>IFERROR(LARGE('Game Records'!$T$5:$T$504,A29),"")</x:f>
      </x:c>
      <x:c r="H29" s="50">
        <x:f>IFERROR(INDEX('Game Records'!$U$5:$U$504,MATCH(G29,'Game Records'!$T$5:$T$504,0)),"")</x:f>
      </x:c>
    </x:row>
  </x:sheetData>
  <x:mergeCells>
    <x:mergeCell ref="A18:H18"/>
    <x:mergeCell ref="A4:H4"/>
    <x:mergeCell ref="A2:H2"/>
    <x:mergeCell ref="A1:H1"/>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