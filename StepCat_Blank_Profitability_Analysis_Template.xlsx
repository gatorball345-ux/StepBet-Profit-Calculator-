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e85b3f5a4342f9" /></Relationships>
</file>

<file path=xl/workbook.xml><?xml version="1.0" encoding="utf-8"?>
<x:workbook xmlns:x="http://schemas.openxmlformats.org/spreadsheetml/2006/main">
  <x:sheets>
    <x:sheet xmlns:r="http://schemas.openxmlformats.org/officeDocument/2006/relationships" name="Instructions" sheetId="1" r:id="Raca05d782353447a"/>
    <x:sheet xmlns:r="http://schemas.openxmlformats.org/officeDocument/2006/relationships" name="Game Records" sheetId="2" r:id="R34ed24c7da4047c9"/>
    <x:sheet xmlns:r="http://schemas.openxmlformats.org/officeDocument/2006/relationships" name="Record Review" sheetId="3" r:id="Ra45efa01ed714a34"/>
    <x:sheet xmlns:r="http://schemas.openxmlformats.org/officeDocument/2006/relationships" name="Summary" sheetId="4" r:id="Raf8e82755e2c46d2"/>
    <x:sheet xmlns:r="http://schemas.openxmlformats.org/officeDocument/2006/relationships" name="Game Comparisons" sheetId="5" r:id="R98fef88bfa9348fc"/>
    <x:sheet xmlns:r="http://schemas.openxmlformats.org/officeDocument/2006/relationships" name="Best Results" sheetId="6" r:id="R41af334f1ab445fc"/>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 numFmtId="211" formatCode=";;;"/>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9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xf numFmtId="211" fontId="0" fillId="0" borderId="0" xfId="0" applyNumberFormat="1" applyFont="1" applyFill="1" applyBorder="1"/>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ad899d9ad14c53" /><Relationship Type="http://schemas.openxmlformats.org/officeDocument/2006/relationships/theme" Target="/xl/theme/theme1.xml" Id="R70db2f24f61b4483" /><Relationship Type="http://schemas.openxmlformats.org/officeDocument/2006/relationships/sharedStrings" Target="/xl/sharedStrings.xml" Id="Ref2bf207ca7c47e0" /><Relationship Type="http://schemas.openxmlformats.org/officeDocument/2006/relationships/worksheet" Target="/xl/worksheets/sheet1.xml" Id="Raca05d782353447a" /><Relationship Type="http://schemas.openxmlformats.org/officeDocument/2006/relationships/worksheet" Target="/xl/worksheets/sheet2.xml" Id="R34ed24c7da4047c9" /><Relationship Type="http://schemas.openxmlformats.org/officeDocument/2006/relationships/worksheet" Target="/xl/worksheets/sheet3.xml" Id="Ra45efa01ed714a34" /><Relationship Type="http://schemas.openxmlformats.org/officeDocument/2006/relationships/worksheet" Target="/xl/worksheets/sheet4.xml" Id="Raf8e82755e2c46d2" /><Relationship Type="http://schemas.openxmlformats.org/officeDocument/2006/relationships/worksheet" Target="/xl/worksheets/sheet5.xml" Id="R98fef88bfa9348fc" /><Relationship Type="http://schemas.openxmlformats.org/officeDocument/2006/relationships/worksheet" Target="/xl/worksheets/sheet6.xml" Id="R41af334f1ab445f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v246.3.5</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72" customHeight="1">
      <x:c r="A48" s="685" t="str">
        <x:v>What changed in v246.3.5</x:v>
      </x:c>
      <x:c r="B48" s="975" t="str">
        <x:v>Record Review now compacts all non-subscription games into an uninterrupted list. Subscription rows no longer create blank lines, and Game Records IDs are generated from the displayed sequential Game # rather than the original Game Records row number.</x:v>
      </x:c>
      <x:c r="C48" s="833"/>
      <x:c r="D48" s="833"/>
      <x:c r="E48" s="833"/>
      <x:c r="F48" s="833"/>
      <x:c r="G48" s="833"/>
      <x:c r="H48" s="833"/>
      <x:c r="I48" s="833"/>
      <x:c r="J48" s="833"/>
    </x:row>
    <x:row r="49" ht="84" customHeight="1">
      <x:c r="A49" s="528" t="str">
        <x:v>Calculation baseline</x:v>
      </x:c>
      <x:c r="B49" s="532" t="str">
        <x:v>v246.2 was the last substantive workbook release that established the correct core payout, Profit/Draw, loss, ROI, membership-cost, and Free Game cash-separation calculations. v246.3.5 changes Record Review indexing and presentation only; financial and game-result calculations are unchanged.</x:v>
      </x:c>
      <x:c r="C49" s="833"/>
      <x:c r="D49" s="833"/>
      <x:c r="E49" s="833"/>
      <x:c r="F49" s="833"/>
      <x:c r="G49" s="833"/>
      <x:c r="H49" s="833"/>
      <x:c r="I49" s="833"/>
      <x:c r="J49" s="833"/>
    </x:row>
    <x:row r="50" ht="60" customHeight="1">
      <x:c r="A50" s="977" t="str">
        <x:v>How to migrate records</x:v>
      </x:c>
      <x:c r="B50" s="979" t="str">
        <x:v>To adopt v246.3.5, copy only populated Game Records cells A5:M from the older workbook. In v246.3.5, select A5 and paste—preferably as values only. Do not copy entire sheets, header rows, Record Review, or formula columns N–Z.</x:v>
      </x:c>
      <x:c r="C50" s="833"/>
      <x:c r="D50" s="833"/>
      <x:c r="E50" s="833"/>
      <x:c r="F50" s="833"/>
      <x:c r="G50" s="833"/>
      <x:c r="H50" s="833"/>
      <x:c r="I50" s="833"/>
      <x:c r="J50" s="833"/>
    </x:row>
    <x:row r="51" ht="84" customHeight="1">
      <x:c r="A51" s="833" t="str">
        <x:v>Who should download v246.3.5?</x:v>
      </x:c>
      <x:c r="B51" s="833" t="str">
        <x:v>New users should begin with v246.3.5. Existing users should migrate when they want the clearer Free Game/Subscription choices, updated Free Game reporting safeguards, corrected Record Review row height, and uninterrupted sequential Record Review numbering.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v246.3.5"</x:f>
        <x:v>Running Net Game Profit: $0.00  |  Gross Profit Earned: $0.00  |  Total Lost Entry Fees: $0.00  |  StepCat v246.3.5</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v246.3.5 corrects Record Review indexing: Subscription rows are excluded without leaving blank gaps, and Game Records IDs now follow the sequential game number. Core calculations remain unchanged; v246.2 remains the substantive calculation baseline.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 min="11" max="11" width="1" hidden="0" customWidth="1"/>
    <x:col min="12" max="12" width="1" hidden="0" customWidth="1"/>
    <x:col min="13" max="13" width="1" hidden="0" customWidth="1"/>
    <x:col min="14" max="14" width="1" hidden="0" customWidth="1"/>
    <x:col min="15" max="15" width="1" hidden="0" customWidth="1"/>
    <x:col min="16" max="16" width="1" hidden="0" customWidth="1"/>
    <x:col min="17" max="17" width="1" hidden="0" customWidth="1"/>
  </x:cols>
  <x:sheetData>
    <x:row r="1" ht="30" hidden="0" customHeight="1">
      <x:c r="A1" s="961" t="str">
        <x:v>Record Review — Game Index and Field Review — v246.3.5</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24" hidden="0" customHeight="1">
      <x:c r="A5" s="332" t="e">
        <x:f>FILTER(K5:Q504,K5:K504&lt;&gt;"")</x:f>
      </x:c>
      <x:c r="B5" s="332"/>
      <x:c r="C5" s="331"/>
      <x:c r="D5" s="331"/>
      <x:c r="E5" s="331"/>
      <x:c r="F5" s="331"/>
      <x:c r="G5" s="331"/>
      <x:c r="H5" s="104"/>
      <x:c r="I5" s="980" t="str">
        <x:v>Disqualified Games</x:v>
      </x:c>
      <x:c r="J5" s="981" t="n">
        <x:f>COUNTIF('Game Records'!$U$5:$U$504,"Disqualified")</x:f>
        <x:v>0</x:v>
      </x:c>
      <x:c r="K5" s="989" t="str">
        <x:f>IF(OR(COUNTA('Game Records'!$A5:$M5)=0,'Game Records'!$U5="Subscription"),"",IFERROR(MAX($K$4:K4),0)+1)</x:f>
      </x:c>
      <x:c r="L5" s="989" t="str">
        <x:f>IF($K5="","","G-"&amp;TEXT($K5,"0000"))</x:f>
      </x:c>
      <x:c r="M5" s="989" t="str">
        <x:f>IF($K5="","",IFERROR('Game Records'!$A5,""))</x:f>
      </x:c>
      <x:c r="N5" s="989" t="str">
        <x:f>IF($K5="","",IFERROR('Game Records'!$U5,""))</x:f>
      </x:c>
      <x:c r="O5" s="989" t="str">
        <x:f>IF($K5="","",IF($P5="","No Highlighted Fields","Highlighted Fields Present"))</x:f>
      </x:c>
      <x:c r="P5" s="989" t="str">
        <x:f>IF($K5="","",IF('Game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Q5" s="989" t="str">
        <x:f>IF($K5="","",IFERROR('Game Records'!$M5,""))</x:f>
      </x:c>
    </x:row>
    <x:row r="6" ht="24" hidden="0" customHeight="1">
      <x:c r="A6" s="332"/>
      <x:c r="B6" s="332"/>
      <x:c r="C6" s="331"/>
      <x:c r="D6" s="331"/>
      <x:c r="E6" s="331"/>
      <x:c r="F6" s="331"/>
      <x:c r="G6" s="331"/>
      <x:c r="H6" s="104"/>
      <x:c r="I6" s="980" t="str">
        <x:v>Free Games</x:v>
      </x:c>
      <x:c r="J6" s="981" t="n">
        <x:f>COUNTIF('Game Records'!$U$5:$U$504,"Free Game")+COUNTIF('Game Records'!$U$5:$U$504,"Disqualified — Free Game")</x:f>
        <x:v>0</x:v>
      </x:c>
      <x:c r="K6" s="989" t="str">
        <x:f>IF(OR(COUNTA('Game Records'!$A6:$M6)=0,'Game Records'!$U6="Subscription"),"",IFERROR(MAX($K$4:K5),0)+1)</x:f>
      </x:c>
      <x:c r="L6" s="989" t="str">
        <x:f>IF($K6="","","G-"&amp;TEXT($K6,"0000"))</x:f>
      </x:c>
      <x:c r="M6" s="989" t="str">
        <x:f>IF($K6="","",IFERROR('Game Records'!$A6,""))</x:f>
      </x:c>
      <x:c r="N6" s="989" t="str">
        <x:f>IF($K6="","",IFERROR('Game Records'!$U6,""))</x:f>
      </x:c>
      <x:c r="O6" s="989" t="str">
        <x:f>IF($K6="","",IF($P6="","No Highlighted Fields","Highlighted Fields Present"))</x:f>
      </x:c>
      <x:c r="P6" s="989" t="str">
        <x:f>IF($K6="","",IF('Game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Q6" s="989" t="str">
        <x:f>IF($K6="","",IFERROR('Game Records'!$M6,""))</x:f>
      </x:c>
    </x:row>
    <x:row r="7" ht="24" hidden="0" customHeight="1">
      <x:c r="A7" s="332"/>
      <x:c r="B7" s="332"/>
      <x:c r="C7" s="331"/>
      <x:c r="D7" s="331"/>
      <x:c r="E7" s="331"/>
      <x:c r="F7" s="331"/>
      <x:c r="G7" s="331"/>
      <x:c r="H7" s="104"/>
      <x:c r="I7" s="980" t="str">
        <x:v>Points Games</x:v>
      </x:c>
      <x:c r="J7" s="981" t="n">
        <x:f>COUNTIF('Game Records'!$F$5:$F$504,"Points")</x:f>
        <x:v>0</x:v>
      </x:c>
      <x:c r="K7" s="989" t="str">
        <x:f>IF(OR(COUNTA('Game Records'!$A7:$M7)=0,'Game Records'!$U7="Subscription"),"",IFERROR(MAX($K$4:K6),0)+1)</x:f>
      </x:c>
      <x:c r="L7" s="989" t="str">
        <x:f>IF($K7="","","G-"&amp;TEXT($K7,"0000"))</x:f>
      </x:c>
      <x:c r="M7" s="989" t="str">
        <x:f>IF($K7="","",IFERROR('Game Records'!$A7,""))</x:f>
      </x:c>
      <x:c r="N7" s="989" t="str">
        <x:f>IF($K7="","",IFERROR('Game Records'!$U7,""))</x:f>
      </x:c>
      <x:c r="O7" s="989" t="str">
        <x:f>IF($K7="","",IF($P7="","No Highlighted Fields","Highlighted Fields Present"))</x:f>
      </x:c>
      <x:c r="P7" s="989" t="str">
        <x:f>IF($K7="","",IF('Game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Q7" s="989" t="str">
        <x:f>IF($K7="","",IFERROR('Game Records'!$M7,""))</x:f>
      </x:c>
    </x:row>
    <x:row r="8" ht="24" hidden="0" customHeight="1">
      <x:c r="A8" s="332"/>
      <x:c r="B8" s="332"/>
      <x:c r="C8" s="331"/>
      <x:c r="D8" s="331"/>
      <x:c r="E8" s="331"/>
      <x:c r="F8" s="331"/>
      <x:c r="G8" s="331"/>
      <x:c r="H8" s="104"/>
      <x:c r="I8" s="980" t="str">
        <x:v>Cash / Hybrid Games</x:v>
      </x:c>
      <x:c r="J8" s="981" t="n">
        <x:f>COUNTIF('Game Records'!$F$5:$F$504,"Cash")+COUNTIF('Game Records'!$F$5:$F$504,"Hybrid")</x:f>
        <x:v>0</x:v>
      </x:c>
      <x:c r="K8" s="989" t="str">
        <x:f>IF(OR(COUNTA('Game Records'!$A8:$M8)=0,'Game Records'!$U8="Subscription"),"",IFERROR(MAX($K$4:K7),0)+1)</x:f>
      </x:c>
      <x:c r="L8" s="989" t="str">
        <x:f>IF($K8="","","G-"&amp;TEXT($K8,"0000"))</x:f>
      </x:c>
      <x:c r="M8" s="989" t="str">
        <x:f>IF($K8="","",IFERROR('Game Records'!$A8,""))</x:f>
      </x:c>
      <x:c r="N8" s="989" t="str">
        <x:f>IF($K8="","",IFERROR('Game Records'!$U8,""))</x:f>
      </x:c>
      <x:c r="O8" s="989" t="str">
        <x:f>IF($K8="","",IF($P8="","No Highlighted Fields","Highlighted Fields Present"))</x:f>
      </x:c>
      <x:c r="P8" s="989" t="str">
        <x:f>IF($K8="","",IF('Game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Q8" s="989" t="str">
        <x:f>IF($K8="","",IFERROR('Game Records'!$M8,""))</x:f>
      </x:c>
    </x:row>
    <x:row r="9" ht="24" hidden="0" customHeight="1">
      <x:c r="A9" s="332"/>
      <x:c r="B9" s="332"/>
      <x:c r="C9" s="331"/>
      <x:c r="D9" s="331"/>
      <x:c r="E9" s="331"/>
      <x:c r="F9" s="331"/>
      <x:c r="G9" s="331"/>
      <x:c r="H9" s="104"/>
      <x:c r="I9" s="104"/>
      <x:c r="J9" s="104"/>
      <x:c r="K9" s="989" t="str">
        <x:f>IF(OR(COUNTA('Game Records'!$A9:$M9)=0,'Game Records'!$U9="Subscription"),"",IFERROR(MAX($K$4:K8),0)+1)</x:f>
      </x:c>
      <x:c r="L9" s="989" t="str">
        <x:f>IF($K9="","","G-"&amp;TEXT($K9,"0000"))</x:f>
      </x:c>
      <x:c r="M9" s="989" t="str">
        <x:f>IF($K9="","",IFERROR('Game Records'!$A9,""))</x:f>
      </x:c>
      <x:c r="N9" s="989" t="str">
        <x:f>IF($K9="","",IFERROR('Game Records'!$U9,""))</x:f>
      </x:c>
      <x:c r="O9" s="989" t="str">
        <x:f>IF($K9="","",IF($P9="","No Highlighted Fields","Highlighted Fields Present"))</x:f>
      </x:c>
      <x:c r="P9" s="989" t="str">
        <x:f>IF($K9="","",IF('Game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Q9" s="989" t="str">
        <x:f>IF($K9="","",IFERROR('Game Records'!$M9,""))</x:f>
      </x:c>
    </x:row>
    <x:row r="10" ht="24" hidden="0" customHeight="1">
      <x:c r="A10" s="332"/>
      <x:c r="B10" s="332"/>
      <x:c r="C10" s="331"/>
      <x:c r="D10" s="331"/>
      <x:c r="E10" s="331"/>
      <x:c r="F10" s="331"/>
      <x:c r="G10" s="331"/>
      <x:c r="H10" s="104"/>
      <x:c r="I10" s="104"/>
      <x:c r="J10" s="104"/>
      <x:c r="K10" s="989" t="str">
        <x:f>IF(OR(COUNTA('Game Records'!$A10:$M10)=0,'Game Records'!$U10="Subscription"),"",IFERROR(MAX($K$4:K9),0)+1)</x:f>
      </x:c>
      <x:c r="L10" s="989" t="str">
        <x:f>IF($K10="","","G-"&amp;TEXT($K10,"0000"))</x:f>
      </x:c>
      <x:c r="M10" s="989" t="str">
        <x:f>IF($K10="","",IFERROR('Game Records'!$A10,""))</x:f>
      </x:c>
      <x:c r="N10" s="989" t="str">
        <x:f>IF($K10="","",IFERROR('Game Records'!$U10,""))</x:f>
      </x:c>
      <x:c r="O10" s="989" t="str">
        <x:f>IF($K10="","",IF($P10="","No Highlighted Fields","Highlighted Fields Present"))</x:f>
      </x:c>
      <x:c r="P10" s="989" t="str">
        <x:f>IF($K10="","",IF('Game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Q10" s="989" t="str">
        <x:f>IF($K10="","",IFERROR('Game Records'!$M10,""))</x:f>
      </x:c>
    </x:row>
    <x:row r="11" ht="24" hidden="0" customHeight="1">
      <x:c r="A11" s="332"/>
      <x:c r="B11" s="332"/>
      <x:c r="C11" s="331"/>
      <x:c r="D11" s="331"/>
      <x:c r="E11" s="331"/>
      <x:c r="F11" s="331"/>
      <x:c r="G11" s="331"/>
      <x:c r="H11" s="104"/>
      <x:c r="I11" s="104"/>
      <x:c r="J11" s="104"/>
      <x:c r="K11" s="989" t="str">
        <x:f>IF(OR(COUNTA('Game Records'!$A11:$M11)=0,'Game Records'!$U11="Subscription"),"",IFERROR(MAX($K$4:K10),0)+1)</x:f>
      </x:c>
      <x:c r="L11" s="989" t="str">
        <x:f>IF($K11="","","G-"&amp;TEXT($K11,"0000"))</x:f>
      </x:c>
      <x:c r="M11" s="989" t="str">
        <x:f>IF($K11="","",IFERROR('Game Records'!$A11,""))</x:f>
      </x:c>
      <x:c r="N11" s="989" t="str">
        <x:f>IF($K11="","",IFERROR('Game Records'!$U11,""))</x:f>
      </x:c>
      <x:c r="O11" s="989" t="str">
        <x:f>IF($K11="","",IF($P11="","No Highlighted Fields","Highlighted Fields Present"))</x:f>
      </x:c>
      <x:c r="P11" s="989" t="str">
        <x:f>IF($K11="","",IF('Game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Q11" s="989" t="str">
        <x:f>IF($K11="","",IFERROR('Game Records'!$M11,""))</x:f>
      </x:c>
    </x:row>
    <x:row r="12" ht="24" hidden="0" customHeight="1">
      <x:c r="A12" s="332"/>
      <x:c r="B12" s="332"/>
      <x:c r="C12" s="331"/>
      <x:c r="D12" s="331"/>
      <x:c r="E12" s="331"/>
      <x:c r="F12" s="331"/>
      <x:c r="G12" s="331"/>
      <x:c r="H12" s="104"/>
      <x:c r="I12" s="104"/>
      <x:c r="J12" s="104"/>
      <x:c r="K12" s="989" t="str">
        <x:f>IF(OR(COUNTA('Game Records'!$A12:$M12)=0,'Game Records'!$U12="Subscription"),"",IFERROR(MAX($K$4:K11),0)+1)</x:f>
      </x:c>
      <x:c r="L12" s="989" t="str">
        <x:f>IF($K12="","","G-"&amp;TEXT($K12,"0000"))</x:f>
      </x:c>
      <x:c r="M12" s="989" t="str">
        <x:f>IF($K12="","",IFERROR('Game Records'!$A12,""))</x:f>
      </x:c>
      <x:c r="N12" s="989" t="str">
        <x:f>IF($K12="","",IFERROR('Game Records'!$U12,""))</x:f>
      </x:c>
      <x:c r="O12" s="989" t="str">
        <x:f>IF($K12="","",IF($P12="","No Highlighted Fields","Highlighted Fields Present"))</x:f>
      </x:c>
      <x:c r="P12" s="989" t="str">
        <x:f>IF($K12="","",IF('Game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Q12" s="989" t="str">
        <x:f>IF($K12="","",IFERROR('Game Records'!$M12,""))</x:f>
      </x:c>
    </x:row>
    <x:row r="13" ht="24" hidden="0" customHeight="1">
      <x:c r="A13" s="332"/>
      <x:c r="B13" s="332"/>
      <x:c r="C13" s="331"/>
      <x:c r="D13" s="331"/>
      <x:c r="E13" s="331"/>
      <x:c r="F13" s="331"/>
      <x:c r="G13" s="331"/>
      <x:c r="H13" s="104"/>
      <x:c r="I13" s="104"/>
      <x:c r="J13" s="104"/>
      <x:c r="K13" s="989" t="str">
        <x:f>IF(OR(COUNTA('Game Records'!$A13:$M13)=0,'Game Records'!$U13="Subscription"),"",IFERROR(MAX($K$4:K12),0)+1)</x:f>
      </x:c>
      <x:c r="L13" s="989" t="str">
        <x:f>IF($K13="","","G-"&amp;TEXT($K13,"0000"))</x:f>
      </x:c>
      <x:c r="M13" s="989" t="str">
        <x:f>IF($K13="","",IFERROR('Game Records'!$A13,""))</x:f>
      </x:c>
      <x:c r="N13" s="989" t="str">
        <x:f>IF($K13="","",IFERROR('Game Records'!$U13,""))</x:f>
      </x:c>
      <x:c r="O13" s="989" t="str">
        <x:f>IF($K13="","",IF($P13="","No Highlighted Fields","Highlighted Fields Present"))</x:f>
      </x:c>
      <x:c r="P13" s="989" t="str">
        <x:f>IF($K13="","",IF('Game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Q13" s="989" t="str">
        <x:f>IF($K13="","",IFERROR('Game Records'!$M13,""))</x:f>
      </x:c>
    </x:row>
    <x:row r="14" ht="24" hidden="0" customHeight="1">
      <x:c r="A14" s="332"/>
      <x:c r="B14" s="332"/>
      <x:c r="C14" s="331"/>
      <x:c r="D14" s="331"/>
      <x:c r="E14" s="331"/>
      <x:c r="F14" s="331"/>
      <x:c r="G14" s="331"/>
      <x:c r="H14" s="104"/>
      <x:c r="I14" s="104"/>
      <x:c r="J14" s="104"/>
      <x:c r="K14" s="989" t="str">
        <x:f>IF(OR(COUNTA('Game Records'!$A14:$M14)=0,'Game Records'!$U14="Subscription"),"",IFERROR(MAX($K$4:K13),0)+1)</x:f>
      </x:c>
      <x:c r="L14" s="989" t="str">
        <x:f>IF($K14="","","G-"&amp;TEXT($K14,"0000"))</x:f>
      </x:c>
      <x:c r="M14" s="989" t="str">
        <x:f>IF($K14="","",IFERROR('Game Records'!$A14,""))</x:f>
      </x:c>
      <x:c r="N14" s="989" t="str">
        <x:f>IF($K14="","",IFERROR('Game Records'!$U14,""))</x:f>
      </x:c>
      <x:c r="O14" s="989" t="str">
        <x:f>IF($K14="","",IF($P14="","No Highlighted Fields","Highlighted Fields Present"))</x:f>
      </x:c>
      <x:c r="P14" s="989" t="str">
        <x:f>IF($K14="","",IF('Game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Q14" s="989" t="str">
        <x:f>IF($K14="","",IFERROR('Game Records'!$M14,""))</x:f>
      </x:c>
    </x:row>
    <x:row r="15" ht="24" hidden="0" customHeight="1">
      <x:c r="A15" s="332"/>
      <x:c r="B15" s="332"/>
      <x:c r="C15" s="331"/>
      <x:c r="D15" s="331"/>
      <x:c r="E15" s="331"/>
      <x:c r="F15" s="331"/>
      <x:c r="G15" s="331"/>
      <x:c r="H15" s="104"/>
      <x:c r="I15" s="104"/>
      <x:c r="J15" s="104"/>
      <x:c r="K15" s="989" t="str">
        <x:f>IF(OR(COUNTA('Game Records'!$A15:$M15)=0,'Game Records'!$U15="Subscription"),"",IFERROR(MAX($K$4:K14),0)+1)</x:f>
      </x:c>
      <x:c r="L15" s="989" t="str">
        <x:f>IF($K15="","","G-"&amp;TEXT($K15,"0000"))</x:f>
      </x:c>
      <x:c r="M15" s="989" t="str">
        <x:f>IF($K15="","",IFERROR('Game Records'!$A15,""))</x:f>
      </x:c>
      <x:c r="N15" s="989" t="str">
        <x:f>IF($K15="","",IFERROR('Game Records'!$U15,""))</x:f>
      </x:c>
      <x:c r="O15" s="989" t="str">
        <x:f>IF($K15="","",IF($P15="","No Highlighted Fields","Highlighted Fields Present"))</x:f>
      </x:c>
      <x:c r="P15" s="989" t="str">
        <x:f>IF($K15="","",IF('Game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Q15" s="989" t="str">
        <x:f>IF($K15="","",IFERROR('Game Records'!$M15,""))</x:f>
      </x:c>
    </x:row>
    <x:row r="16" ht="24" hidden="0" customHeight="1">
      <x:c r="A16" s="332"/>
      <x:c r="B16" s="332"/>
      <x:c r="C16" s="331"/>
      <x:c r="D16" s="331"/>
      <x:c r="E16" s="331"/>
      <x:c r="F16" s="331"/>
      <x:c r="G16" s="331"/>
      <x:c r="H16" s="104"/>
      <x:c r="I16" s="104"/>
      <x:c r="J16" s="104"/>
      <x:c r="K16" s="989" t="str">
        <x:f>IF(OR(COUNTA('Game Records'!$A16:$M16)=0,'Game Records'!$U16="Subscription"),"",IFERROR(MAX($K$4:K15),0)+1)</x:f>
      </x:c>
      <x:c r="L16" s="989" t="str">
        <x:f>IF($K16="","","G-"&amp;TEXT($K16,"0000"))</x:f>
      </x:c>
      <x:c r="M16" s="989" t="str">
        <x:f>IF($K16="","",IFERROR('Game Records'!$A16,""))</x:f>
      </x:c>
      <x:c r="N16" s="989" t="str">
        <x:f>IF($K16="","",IFERROR('Game Records'!$U16,""))</x:f>
      </x:c>
      <x:c r="O16" s="989" t="str">
        <x:f>IF($K16="","",IF($P16="","No Highlighted Fields","Highlighted Fields Present"))</x:f>
      </x:c>
      <x:c r="P16" s="989" t="str">
        <x:f>IF($K16="","",IF('Game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Q16" s="989" t="str">
        <x:f>IF($K16="","",IFERROR('Game Records'!$M16,""))</x:f>
      </x:c>
    </x:row>
    <x:row r="17" ht="24" hidden="0" customHeight="1">
      <x:c r="A17" s="332"/>
      <x:c r="B17" s="332"/>
      <x:c r="C17" s="331"/>
      <x:c r="D17" s="331"/>
      <x:c r="E17" s="331"/>
      <x:c r="F17" s="331"/>
      <x:c r="G17" s="331"/>
      <x:c r="H17" s="104"/>
      <x:c r="I17" s="104"/>
      <x:c r="J17" s="104"/>
      <x:c r="K17" s="989" t="str">
        <x:f>IF(OR(COUNTA('Game Records'!$A17:$M17)=0,'Game Records'!$U17="Subscription"),"",IFERROR(MAX($K$4:K16),0)+1)</x:f>
      </x:c>
      <x:c r="L17" s="989" t="str">
        <x:f>IF($K17="","","G-"&amp;TEXT($K17,"0000"))</x:f>
      </x:c>
      <x:c r="M17" s="989" t="str">
        <x:f>IF($K17="","",IFERROR('Game Records'!$A17,""))</x:f>
      </x:c>
      <x:c r="N17" s="989" t="str">
        <x:f>IF($K17="","",IFERROR('Game Records'!$U17,""))</x:f>
      </x:c>
      <x:c r="O17" s="989" t="str">
        <x:f>IF($K17="","",IF($P17="","No Highlighted Fields","Highlighted Fields Present"))</x:f>
      </x:c>
      <x:c r="P17" s="989" t="str">
        <x:f>IF($K17="","",IF('Game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Q17" s="989" t="str">
        <x:f>IF($K17="","",IFERROR('Game Records'!$M17,""))</x:f>
      </x:c>
    </x:row>
    <x:row r="18" ht="24" hidden="0" customHeight="1">
      <x:c r="A18" s="332"/>
      <x:c r="B18" s="332"/>
      <x:c r="C18" s="331"/>
      <x:c r="D18" s="331"/>
      <x:c r="E18" s="331"/>
      <x:c r="F18" s="331"/>
      <x:c r="G18" s="331"/>
      <x:c r="H18" s="104"/>
      <x:c r="I18" s="104"/>
      <x:c r="J18" s="104"/>
      <x:c r="K18" s="989" t="str">
        <x:f>IF(OR(COUNTA('Game Records'!$A18:$M18)=0,'Game Records'!$U18="Subscription"),"",IFERROR(MAX($K$4:K17),0)+1)</x:f>
      </x:c>
      <x:c r="L18" s="989" t="str">
        <x:f>IF($K18="","","G-"&amp;TEXT($K18,"0000"))</x:f>
      </x:c>
      <x:c r="M18" s="989" t="str">
        <x:f>IF($K18="","",IFERROR('Game Records'!$A18,""))</x:f>
      </x:c>
      <x:c r="N18" s="989" t="str">
        <x:f>IF($K18="","",IFERROR('Game Records'!$U18,""))</x:f>
      </x:c>
      <x:c r="O18" s="989" t="str">
        <x:f>IF($K18="","",IF($P18="","No Highlighted Fields","Highlighted Fields Present"))</x:f>
      </x:c>
      <x:c r="P18" s="989" t="str">
        <x:f>IF($K18="","",IF('Game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Q18" s="989" t="str">
        <x:f>IF($K18="","",IFERROR('Game Records'!$M18,""))</x:f>
      </x:c>
    </x:row>
    <x:row r="19" ht="24" hidden="0" customHeight="1">
      <x:c r="A19" s="332"/>
      <x:c r="B19" s="332"/>
      <x:c r="C19" s="331"/>
      <x:c r="D19" s="331"/>
      <x:c r="E19" s="331"/>
      <x:c r="F19" s="331"/>
      <x:c r="G19" s="331"/>
      <x:c r="H19" s="104"/>
      <x:c r="I19" s="104"/>
      <x:c r="J19" s="104"/>
      <x:c r="K19" s="989" t="str">
        <x:f>IF(OR(COUNTA('Game Records'!$A19:$M19)=0,'Game Records'!$U19="Subscription"),"",IFERROR(MAX($K$4:K18),0)+1)</x:f>
      </x:c>
      <x:c r="L19" s="989" t="str">
        <x:f>IF($K19="","","G-"&amp;TEXT($K19,"0000"))</x:f>
      </x:c>
      <x:c r="M19" s="989" t="str">
        <x:f>IF($K19="","",IFERROR('Game Records'!$A19,""))</x:f>
      </x:c>
      <x:c r="N19" s="989" t="str">
        <x:f>IF($K19="","",IFERROR('Game Records'!$U19,""))</x:f>
      </x:c>
      <x:c r="O19" s="989" t="str">
        <x:f>IF($K19="","",IF($P19="","No Highlighted Fields","Highlighted Fields Present"))</x:f>
      </x:c>
      <x:c r="P19" s="989" t="str">
        <x:f>IF($K19="","",IF('Game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Q19" s="989" t="str">
        <x:f>IF($K19="","",IFERROR('Game Records'!$M19,""))</x:f>
      </x:c>
    </x:row>
    <x:row r="20" ht="24" hidden="0" customHeight="1">
      <x:c r="A20" s="332"/>
      <x:c r="B20" s="332"/>
      <x:c r="C20" s="331"/>
      <x:c r="D20" s="331"/>
      <x:c r="E20" s="331"/>
      <x:c r="F20" s="331"/>
      <x:c r="G20" s="331"/>
      <x:c r="H20" s="104"/>
      <x:c r="I20" s="104"/>
      <x:c r="J20" s="104"/>
      <x:c r="K20" s="989" t="str">
        <x:f>IF(OR(COUNTA('Game Records'!$A20:$M20)=0,'Game Records'!$U20="Subscription"),"",IFERROR(MAX($K$4:K19),0)+1)</x:f>
      </x:c>
      <x:c r="L20" s="989" t="str">
        <x:f>IF($K20="","","G-"&amp;TEXT($K20,"0000"))</x:f>
      </x:c>
      <x:c r="M20" s="989" t="str">
        <x:f>IF($K20="","",IFERROR('Game Records'!$A20,""))</x:f>
      </x:c>
      <x:c r="N20" s="989" t="str">
        <x:f>IF($K20="","",IFERROR('Game Records'!$U20,""))</x:f>
      </x:c>
      <x:c r="O20" s="989" t="str">
        <x:f>IF($K20="","",IF($P20="","No Highlighted Fields","Highlighted Fields Present"))</x:f>
      </x:c>
      <x:c r="P20" s="989" t="str">
        <x:f>IF($K20="","",IF('Game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Q20" s="989" t="str">
        <x:f>IF($K20="","",IFERROR('Game Records'!$M20,""))</x:f>
      </x:c>
    </x:row>
    <x:row r="21" ht="24" hidden="0" customHeight="1">
      <x:c r="A21" s="332"/>
      <x:c r="B21" s="332"/>
      <x:c r="C21" s="331"/>
      <x:c r="D21" s="331"/>
      <x:c r="E21" s="331"/>
      <x:c r="F21" s="331"/>
      <x:c r="G21" s="331"/>
      <x:c r="H21" s="104"/>
      <x:c r="I21" s="104"/>
      <x:c r="J21" s="104"/>
      <x:c r="K21" s="989" t="str">
        <x:f>IF(OR(COUNTA('Game Records'!$A21:$M21)=0,'Game Records'!$U21="Subscription"),"",IFERROR(MAX($K$4:K20),0)+1)</x:f>
      </x:c>
      <x:c r="L21" s="989" t="str">
        <x:f>IF($K21="","","G-"&amp;TEXT($K21,"0000"))</x:f>
      </x:c>
      <x:c r="M21" s="989" t="str">
        <x:f>IF($K21="","",IFERROR('Game Records'!$A21,""))</x:f>
      </x:c>
      <x:c r="N21" s="989" t="str">
        <x:f>IF($K21="","",IFERROR('Game Records'!$U21,""))</x:f>
      </x:c>
      <x:c r="O21" s="989" t="str">
        <x:f>IF($K21="","",IF($P21="","No Highlighted Fields","Highlighted Fields Present"))</x:f>
      </x:c>
      <x:c r="P21" s="989" t="str">
        <x:f>IF($K21="","",IF('Game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Q21" s="989" t="str">
        <x:f>IF($K21="","",IFERROR('Game Records'!$M21,""))</x:f>
      </x:c>
    </x:row>
    <x:row r="22" ht="24" hidden="0" customHeight="1">
      <x:c r="A22" s="332"/>
      <x:c r="B22" s="332"/>
      <x:c r="C22" s="331"/>
      <x:c r="D22" s="331"/>
      <x:c r="E22" s="331"/>
      <x:c r="F22" s="331"/>
      <x:c r="G22" s="331"/>
      <x:c r="H22" s="104"/>
      <x:c r="I22" s="104"/>
      <x:c r="J22" s="104"/>
      <x:c r="K22" s="989" t="str">
        <x:f>IF(OR(COUNTA('Game Records'!$A22:$M22)=0,'Game Records'!$U22="Subscription"),"",IFERROR(MAX($K$4:K21),0)+1)</x:f>
      </x:c>
      <x:c r="L22" s="989" t="str">
        <x:f>IF($K22="","","G-"&amp;TEXT($K22,"0000"))</x:f>
      </x:c>
      <x:c r="M22" s="989" t="str">
        <x:f>IF($K22="","",IFERROR('Game Records'!$A22,""))</x:f>
      </x:c>
      <x:c r="N22" s="989" t="str">
        <x:f>IF($K22="","",IFERROR('Game Records'!$U22,""))</x:f>
      </x:c>
      <x:c r="O22" s="989" t="str">
        <x:f>IF($K22="","",IF($P22="","No Highlighted Fields","Highlighted Fields Present"))</x:f>
      </x:c>
      <x:c r="P22" s="989" t="str">
        <x:f>IF($K22="","",IF('Game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Q22" s="989" t="str">
        <x:f>IF($K22="","",IFERROR('Game Records'!$M22,""))</x:f>
      </x:c>
    </x:row>
    <x:row r="23" ht="24" hidden="0" customHeight="1">
      <x:c r="A23" s="332"/>
      <x:c r="B23" s="332"/>
      <x:c r="C23" s="331"/>
      <x:c r="D23" s="331"/>
      <x:c r="E23" s="331"/>
      <x:c r="F23" s="331"/>
      <x:c r="G23" s="331"/>
      <x:c r="H23" s="104"/>
      <x:c r="I23" s="104"/>
      <x:c r="J23" s="104"/>
      <x:c r="K23" s="989" t="str">
        <x:f>IF(OR(COUNTA('Game Records'!$A23:$M23)=0,'Game Records'!$U23="Subscription"),"",IFERROR(MAX($K$4:K22),0)+1)</x:f>
      </x:c>
      <x:c r="L23" s="989" t="str">
        <x:f>IF($K23="","","G-"&amp;TEXT($K23,"0000"))</x:f>
      </x:c>
      <x:c r="M23" s="989" t="str">
        <x:f>IF($K23="","",IFERROR('Game Records'!$A23,""))</x:f>
      </x:c>
      <x:c r="N23" s="989" t="str">
        <x:f>IF($K23="","",IFERROR('Game Records'!$U23,""))</x:f>
      </x:c>
      <x:c r="O23" s="989" t="str">
        <x:f>IF($K23="","",IF($P23="","No Highlighted Fields","Highlighted Fields Present"))</x:f>
      </x:c>
      <x:c r="P23" s="989" t="str">
        <x:f>IF($K23="","",IF('Game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Q23" s="989" t="str">
        <x:f>IF($K23="","",IFERROR('Game Records'!$M23,""))</x:f>
      </x:c>
    </x:row>
    <x:row r="24" ht="24" hidden="0" customHeight="1">
      <x:c r="A24" s="332"/>
      <x:c r="B24" s="332"/>
      <x:c r="C24" s="331"/>
      <x:c r="D24" s="331"/>
      <x:c r="E24" s="331"/>
      <x:c r="F24" s="331"/>
      <x:c r="G24" s="331"/>
      <x:c r="H24" s="104"/>
      <x:c r="I24" s="104"/>
      <x:c r="J24" s="104"/>
      <x:c r="K24" s="989" t="str">
        <x:f>IF(OR(COUNTA('Game Records'!$A24:$M24)=0,'Game Records'!$U24="Subscription"),"",IFERROR(MAX($K$4:K23),0)+1)</x:f>
      </x:c>
      <x:c r="L24" s="989" t="str">
        <x:f>IF($K24="","","G-"&amp;TEXT($K24,"0000"))</x:f>
      </x:c>
      <x:c r="M24" s="989" t="str">
        <x:f>IF($K24="","",IFERROR('Game Records'!$A24,""))</x:f>
      </x:c>
      <x:c r="N24" s="989" t="str">
        <x:f>IF($K24="","",IFERROR('Game Records'!$U24,""))</x:f>
      </x:c>
      <x:c r="O24" s="989" t="str">
        <x:f>IF($K24="","",IF($P24="","No Highlighted Fields","Highlighted Fields Present"))</x:f>
      </x:c>
      <x:c r="P24" s="989" t="str">
        <x:f>IF($K24="","",IF('Game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Q24" s="989" t="str">
        <x:f>IF($K24="","",IFERROR('Game Records'!$M24,""))</x:f>
      </x:c>
    </x:row>
    <x:row r="25" ht="24" hidden="0" customHeight="1">
      <x:c r="A25" s="332"/>
      <x:c r="B25" s="332"/>
      <x:c r="C25" s="331"/>
      <x:c r="D25" s="331"/>
      <x:c r="E25" s="331"/>
      <x:c r="F25" s="331"/>
      <x:c r="G25" s="331"/>
      <x:c r="H25" s="104"/>
      <x:c r="I25" s="104"/>
      <x:c r="J25" s="104"/>
      <x:c r="K25" s="989" t="str">
        <x:f>IF(OR(COUNTA('Game Records'!$A25:$M25)=0,'Game Records'!$U25="Subscription"),"",IFERROR(MAX($K$4:K24),0)+1)</x:f>
      </x:c>
      <x:c r="L25" s="989" t="str">
        <x:f>IF($K25="","","G-"&amp;TEXT($K25,"0000"))</x:f>
      </x:c>
      <x:c r="M25" s="989" t="str">
        <x:f>IF($K25="","",IFERROR('Game Records'!$A25,""))</x:f>
      </x:c>
      <x:c r="N25" s="989" t="str">
        <x:f>IF($K25="","",IFERROR('Game Records'!$U25,""))</x:f>
      </x:c>
      <x:c r="O25" s="989" t="str">
        <x:f>IF($K25="","",IF($P25="","No Highlighted Fields","Highlighted Fields Present"))</x:f>
      </x:c>
      <x:c r="P25" s="989" t="str">
        <x:f>IF($K25="","",IF('Game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Q25" s="989" t="str">
        <x:f>IF($K25="","",IFERROR('Game Records'!$M25,""))</x:f>
      </x:c>
    </x:row>
    <x:row r="26" ht="24" hidden="0" customHeight="1">
      <x:c r="A26" s="332"/>
      <x:c r="B26" s="332"/>
      <x:c r="C26" s="331"/>
      <x:c r="D26" s="331"/>
      <x:c r="E26" s="331"/>
      <x:c r="F26" s="331"/>
      <x:c r="G26" s="331"/>
      <x:c r="H26" s="104"/>
      <x:c r="I26" s="104"/>
      <x:c r="J26" s="104"/>
      <x:c r="K26" s="989" t="str">
        <x:f>IF(OR(COUNTA('Game Records'!$A26:$M26)=0,'Game Records'!$U26="Subscription"),"",IFERROR(MAX($K$4:K25),0)+1)</x:f>
      </x:c>
      <x:c r="L26" s="989" t="str">
        <x:f>IF($K26="","","G-"&amp;TEXT($K26,"0000"))</x:f>
      </x:c>
      <x:c r="M26" s="989" t="str">
        <x:f>IF($K26="","",IFERROR('Game Records'!$A26,""))</x:f>
      </x:c>
      <x:c r="N26" s="989" t="str">
        <x:f>IF($K26="","",IFERROR('Game Records'!$U26,""))</x:f>
      </x:c>
      <x:c r="O26" s="989" t="str">
        <x:f>IF($K26="","",IF($P26="","No Highlighted Fields","Highlighted Fields Present"))</x:f>
      </x:c>
      <x:c r="P26" s="989" t="str">
        <x:f>IF($K26="","",IF('Game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Q26" s="989" t="str">
        <x:f>IF($K26="","",IFERROR('Game Records'!$M26,""))</x:f>
      </x:c>
    </x:row>
    <x:row r="27" ht="24" hidden="0" customHeight="1">
      <x:c r="A27" s="332"/>
      <x:c r="B27" s="332"/>
      <x:c r="C27" s="331"/>
      <x:c r="D27" s="331"/>
      <x:c r="E27" s="331"/>
      <x:c r="F27" s="331"/>
      <x:c r="G27" s="331"/>
      <x:c r="H27" s="104"/>
      <x:c r="I27" s="104"/>
      <x:c r="J27" s="104"/>
      <x:c r="K27" s="989" t="str">
        <x:f>IF(OR(COUNTA('Game Records'!$A27:$M27)=0,'Game Records'!$U27="Subscription"),"",IFERROR(MAX($K$4:K26),0)+1)</x:f>
      </x:c>
      <x:c r="L27" s="989" t="str">
        <x:f>IF($K27="","","G-"&amp;TEXT($K27,"0000"))</x:f>
      </x:c>
      <x:c r="M27" s="989" t="str">
        <x:f>IF($K27="","",IFERROR('Game Records'!$A27,""))</x:f>
      </x:c>
      <x:c r="N27" s="989" t="str">
        <x:f>IF($K27="","",IFERROR('Game Records'!$U27,""))</x:f>
      </x:c>
      <x:c r="O27" s="989" t="str">
        <x:f>IF($K27="","",IF($P27="","No Highlighted Fields","Highlighted Fields Present"))</x:f>
      </x:c>
      <x:c r="P27" s="989" t="str">
        <x:f>IF($K27="","",IF('Game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Q27" s="989" t="str">
        <x:f>IF($K27="","",IFERROR('Game Records'!$M27,""))</x:f>
      </x:c>
    </x:row>
    <x:row r="28" ht="24" hidden="0" customHeight="1">
      <x:c r="A28" s="332"/>
      <x:c r="B28" s="332"/>
      <x:c r="C28" s="331"/>
      <x:c r="D28" s="331"/>
      <x:c r="E28" s="331"/>
      <x:c r="F28" s="331"/>
      <x:c r="G28" s="331"/>
      <x:c r="H28" s="104"/>
      <x:c r="I28" s="104"/>
      <x:c r="J28" s="104"/>
      <x:c r="K28" s="989" t="str">
        <x:f>IF(OR(COUNTA('Game Records'!$A28:$M28)=0,'Game Records'!$U28="Subscription"),"",IFERROR(MAX($K$4:K27),0)+1)</x:f>
      </x:c>
      <x:c r="L28" s="989" t="str">
        <x:f>IF($K28="","","G-"&amp;TEXT($K28,"0000"))</x:f>
      </x:c>
      <x:c r="M28" s="989" t="str">
        <x:f>IF($K28="","",IFERROR('Game Records'!$A28,""))</x:f>
      </x:c>
      <x:c r="N28" s="989" t="str">
        <x:f>IF($K28="","",IFERROR('Game Records'!$U28,""))</x:f>
      </x:c>
      <x:c r="O28" s="989" t="str">
        <x:f>IF($K28="","",IF($P28="","No Highlighted Fields","Highlighted Fields Present"))</x:f>
      </x:c>
      <x:c r="P28" s="989" t="str">
        <x:f>IF($K28="","",IF('Game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Q28" s="989" t="str">
        <x:f>IF($K28="","",IFERROR('Game Records'!$M28,""))</x:f>
      </x:c>
    </x:row>
    <x:row r="29" ht="24" hidden="0" customHeight="1">
      <x:c r="A29" s="332"/>
      <x:c r="B29" s="332"/>
      <x:c r="C29" s="331"/>
      <x:c r="D29" s="331"/>
      <x:c r="E29" s="331"/>
      <x:c r="F29" s="331"/>
      <x:c r="G29" s="331"/>
      <x:c r="H29" s="104"/>
      <x:c r="I29" s="104"/>
      <x:c r="J29" s="104"/>
      <x:c r="K29" s="989" t="str">
        <x:f>IF(OR(COUNTA('Game Records'!$A29:$M29)=0,'Game Records'!$U29="Subscription"),"",IFERROR(MAX($K$4:K28),0)+1)</x:f>
      </x:c>
      <x:c r="L29" s="989" t="str">
        <x:f>IF($K29="","","G-"&amp;TEXT($K29,"0000"))</x:f>
      </x:c>
      <x:c r="M29" s="989" t="str">
        <x:f>IF($K29="","",IFERROR('Game Records'!$A29,""))</x:f>
      </x:c>
      <x:c r="N29" s="989" t="str">
        <x:f>IF($K29="","",IFERROR('Game Records'!$U29,""))</x:f>
      </x:c>
      <x:c r="O29" s="989" t="str">
        <x:f>IF($K29="","",IF($P29="","No Highlighted Fields","Highlighted Fields Present"))</x:f>
      </x:c>
      <x:c r="P29" s="989" t="str">
        <x:f>IF($K29="","",IF('Game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Q29" s="989" t="str">
        <x:f>IF($K29="","",IFERROR('Game Records'!$M29,""))</x:f>
      </x:c>
    </x:row>
    <x:row r="30" ht="24" hidden="0" customHeight="1">
      <x:c r="A30" s="332"/>
      <x:c r="B30" s="332"/>
      <x:c r="C30" s="331"/>
      <x:c r="D30" s="331"/>
      <x:c r="E30" s="331"/>
      <x:c r="F30" s="331"/>
      <x:c r="G30" s="331"/>
      <x:c r="H30" s="104"/>
      <x:c r="I30" s="104"/>
      <x:c r="J30" s="104"/>
      <x:c r="K30" s="989" t="str">
        <x:f>IF(OR(COUNTA('Game Records'!$A30:$M30)=0,'Game Records'!$U30="Subscription"),"",IFERROR(MAX($K$4:K29),0)+1)</x:f>
      </x:c>
      <x:c r="L30" s="989" t="str">
        <x:f>IF($K30="","","G-"&amp;TEXT($K30,"0000"))</x:f>
      </x:c>
      <x:c r="M30" s="989" t="str">
        <x:f>IF($K30="","",IFERROR('Game Records'!$A30,""))</x:f>
      </x:c>
      <x:c r="N30" s="989" t="str">
        <x:f>IF($K30="","",IFERROR('Game Records'!$U30,""))</x:f>
      </x:c>
      <x:c r="O30" s="989" t="str">
        <x:f>IF($K30="","",IF($P30="","No Highlighted Fields","Highlighted Fields Present"))</x:f>
      </x:c>
      <x:c r="P30" s="989" t="str">
        <x:f>IF($K30="","",IF('Game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Q30" s="989" t="str">
        <x:f>IF($K30="","",IFERROR('Game Records'!$M30,""))</x:f>
      </x:c>
    </x:row>
    <x:row r="31" ht="24" hidden="0" customHeight="1">
      <x:c r="A31" s="332"/>
      <x:c r="B31" s="332"/>
      <x:c r="C31" s="331"/>
      <x:c r="D31" s="331"/>
      <x:c r="E31" s="331"/>
      <x:c r="F31" s="331"/>
      <x:c r="G31" s="331"/>
      <x:c r="H31" s="104"/>
      <x:c r="I31" s="104"/>
      <x:c r="J31" s="104"/>
      <x:c r="K31" s="989" t="str">
        <x:f>IF(OR(COUNTA('Game Records'!$A31:$M31)=0,'Game Records'!$U31="Subscription"),"",IFERROR(MAX($K$4:K30),0)+1)</x:f>
      </x:c>
      <x:c r="L31" s="989" t="str">
        <x:f>IF($K31="","","G-"&amp;TEXT($K31,"0000"))</x:f>
      </x:c>
      <x:c r="M31" s="989" t="str">
        <x:f>IF($K31="","",IFERROR('Game Records'!$A31,""))</x:f>
      </x:c>
      <x:c r="N31" s="989" t="str">
        <x:f>IF($K31="","",IFERROR('Game Records'!$U31,""))</x:f>
      </x:c>
      <x:c r="O31" s="989" t="str">
        <x:f>IF($K31="","",IF($P31="","No Highlighted Fields","Highlighted Fields Present"))</x:f>
      </x:c>
      <x:c r="P31" s="989" t="str">
        <x:f>IF($K31="","",IF('Game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Q31" s="989" t="str">
        <x:f>IF($K31="","",IFERROR('Game Records'!$M31,""))</x:f>
      </x:c>
    </x:row>
    <x:row r="32" ht="24" hidden="0" customHeight="1">
      <x:c r="A32" s="332"/>
      <x:c r="B32" s="332"/>
      <x:c r="C32" s="331"/>
      <x:c r="D32" s="331"/>
      <x:c r="E32" s="331"/>
      <x:c r="F32" s="331"/>
      <x:c r="G32" s="331"/>
      <x:c r="H32" s="104"/>
      <x:c r="I32" s="104"/>
      <x:c r="J32" s="104"/>
      <x:c r="K32" s="989" t="str">
        <x:f>IF(OR(COUNTA('Game Records'!$A32:$M32)=0,'Game Records'!$U32="Subscription"),"",IFERROR(MAX($K$4:K31),0)+1)</x:f>
      </x:c>
      <x:c r="L32" s="989" t="str">
        <x:f>IF($K32="","","G-"&amp;TEXT($K32,"0000"))</x:f>
      </x:c>
      <x:c r="M32" s="989" t="str">
        <x:f>IF($K32="","",IFERROR('Game Records'!$A32,""))</x:f>
      </x:c>
      <x:c r="N32" s="989" t="str">
        <x:f>IF($K32="","",IFERROR('Game Records'!$U32,""))</x:f>
      </x:c>
      <x:c r="O32" s="989" t="str">
        <x:f>IF($K32="","",IF($P32="","No Highlighted Fields","Highlighted Fields Present"))</x:f>
      </x:c>
      <x:c r="P32" s="989" t="str">
        <x:f>IF($K32="","",IF('Game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Q32" s="989" t="str">
        <x:f>IF($K32="","",IFERROR('Game Records'!$M32,""))</x:f>
      </x:c>
    </x:row>
    <x:row r="33" ht="24" hidden="0" customHeight="1">
      <x:c r="A33" s="332"/>
      <x:c r="B33" s="332"/>
      <x:c r="C33" s="331"/>
      <x:c r="D33" s="331"/>
      <x:c r="E33" s="331"/>
      <x:c r="F33" s="331"/>
      <x:c r="G33" s="331"/>
      <x:c r="H33" s="104"/>
      <x:c r="I33" s="104"/>
      <x:c r="J33" s="104"/>
      <x:c r="K33" s="989" t="str">
        <x:f>IF(OR(COUNTA('Game Records'!$A33:$M33)=0,'Game Records'!$U33="Subscription"),"",IFERROR(MAX($K$4:K32),0)+1)</x:f>
      </x:c>
      <x:c r="L33" s="989" t="str">
        <x:f>IF($K33="","","G-"&amp;TEXT($K33,"0000"))</x:f>
      </x:c>
      <x:c r="M33" s="989" t="str">
        <x:f>IF($K33="","",IFERROR('Game Records'!$A33,""))</x:f>
      </x:c>
      <x:c r="N33" s="989" t="str">
        <x:f>IF($K33="","",IFERROR('Game Records'!$U33,""))</x:f>
      </x:c>
      <x:c r="O33" s="989" t="str">
        <x:f>IF($K33="","",IF($P33="","No Highlighted Fields","Highlighted Fields Present"))</x:f>
      </x:c>
      <x:c r="P33" s="989" t="str">
        <x:f>IF($K33="","",IF('Game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Q33" s="989" t="str">
        <x:f>IF($K33="","",IFERROR('Game Records'!$M33,""))</x:f>
      </x:c>
    </x:row>
    <x:row r="34" ht="24" hidden="0" customHeight="1">
      <x:c r="A34" s="332"/>
      <x:c r="B34" s="332"/>
      <x:c r="C34" s="331"/>
      <x:c r="D34" s="331"/>
      <x:c r="E34" s="331"/>
      <x:c r="F34" s="331"/>
      <x:c r="G34" s="331"/>
      <x:c r="H34" s="104"/>
      <x:c r="I34" s="104"/>
      <x:c r="J34" s="104"/>
      <x:c r="K34" s="989" t="str">
        <x:f>IF(OR(COUNTA('Game Records'!$A34:$M34)=0,'Game Records'!$U34="Subscription"),"",IFERROR(MAX($K$4:K33),0)+1)</x:f>
      </x:c>
      <x:c r="L34" s="989" t="str">
        <x:f>IF($K34="","","G-"&amp;TEXT($K34,"0000"))</x:f>
      </x:c>
      <x:c r="M34" s="989" t="str">
        <x:f>IF($K34="","",IFERROR('Game Records'!$A34,""))</x:f>
      </x:c>
      <x:c r="N34" s="989" t="str">
        <x:f>IF($K34="","",IFERROR('Game Records'!$U34,""))</x:f>
      </x:c>
      <x:c r="O34" s="989" t="str">
        <x:f>IF($K34="","",IF($P34="","No Highlighted Fields","Highlighted Fields Present"))</x:f>
      </x:c>
      <x:c r="P34" s="989" t="str">
        <x:f>IF($K34="","",IF('Game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Q34" s="989" t="str">
        <x:f>IF($K34="","",IFERROR('Game Records'!$M34,""))</x:f>
      </x:c>
    </x:row>
    <x:row r="35" ht="24" hidden="0" customHeight="1">
      <x:c r="A35" s="332"/>
      <x:c r="B35" s="332"/>
      <x:c r="C35" s="331"/>
      <x:c r="D35" s="331"/>
      <x:c r="E35" s="331"/>
      <x:c r="F35" s="331"/>
      <x:c r="G35" s="331"/>
      <x:c r="H35" s="104"/>
      <x:c r="I35" s="104"/>
      <x:c r="J35" s="104"/>
      <x:c r="K35" s="989" t="str">
        <x:f>IF(OR(COUNTA('Game Records'!$A35:$M35)=0,'Game Records'!$U35="Subscription"),"",IFERROR(MAX($K$4:K34),0)+1)</x:f>
      </x:c>
      <x:c r="L35" s="989" t="str">
        <x:f>IF($K35="","","G-"&amp;TEXT($K35,"0000"))</x:f>
      </x:c>
      <x:c r="M35" s="989" t="str">
        <x:f>IF($K35="","",IFERROR('Game Records'!$A35,""))</x:f>
      </x:c>
      <x:c r="N35" s="989" t="str">
        <x:f>IF($K35="","",IFERROR('Game Records'!$U35,""))</x:f>
      </x:c>
      <x:c r="O35" s="989" t="str">
        <x:f>IF($K35="","",IF($P35="","No Highlighted Fields","Highlighted Fields Present"))</x:f>
      </x:c>
      <x:c r="P35" s="989" t="str">
        <x:f>IF($K35="","",IF('Game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Q35" s="989" t="str">
        <x:f>IF($K35="","",IFERROR('Game Records'!$M35,""))</x:f>
      </x:c>
    </x:row>
    <x:row r="36" ht="24" hidden="0" customHeight="1">
      <x:c r="A36" s="332"/>
      <x:c r="B36" s="332"/>
      <x:c r="C36" s="331"/>
      <x:c r="D36" s="331"/>
      <x:c r="E36" s="331"/>
      <x:c r="F36" s="331"/>
      <x:c r="G36" s="331"/>
      <x:c r="H36" s="104"/>
      <x:c r="I36" s="104"/>
      <x:c r="J36" s="104"/>
      <x:c r="K36" s="989" t="str">
        <x:f>IF(OR(COUNTA('Game Records'!$A36:$M36)=0,'Game Records'!$U36="Subscription"),"",IFERROR(MAX($K$4:K35),0)+1)</x:f>
      </x:c>
      <x:c r="L36" s="989" t="str">
        <x:f>IF($K36="","","G-"&amp;TEXT($K36,"0000"))</x:f>
      </x:c>
      <x:c r="M36" s="989" t="str">
        <x:f>IF($K36="","",IFERROR('Game Records'!$A36,""))</x:f>
      </x:c>
      <x:c r="N36" s="989" t="str">
        <x:f>IF($K36="","",IFERROR('Game Records'!$U36,""))</x:f>
      </x:c>
      <x:c r="O36" s="989" t="str">
        <x:f>IF($K36="","",IF($P36="","No Highlighted Fields","Highlighted Fields Present"))</x:f>
      </x:c>
      <x:c r="P36" s="989" t="str">
        <x:f>IF($K36="","",IF('Game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Q36" s="989" t="str">
        <x:f>IF($K36="","",IFERROR('Game Records'!$M36,""))</x:f>
      </x:c>
    </x:row>
    <x:row r="37" ht="24" hidden="0" customHeight="1">
      <x:c r="A37" s="332"/>
      <x:c r="B37" s="332"/>
      <x:c r="C37" s="331"/>
      <x:c r="D37" s="331"/>
      <x:c r="E37" s="331"/>
      <x:c r="F37" s="331"/>
      <x:c r="G37" s="331"/>
      <x:c r="H37" s="104"/>
      <x:c r="I37" s="104"/>
      <x:c r="J37" s="104"/>
      <x:c r="K37" s="989" t="str">
        <x:f>IF(OR(COUNTA('Game Records'!$A37:$M37)=0,'Game Records'!$U37="Subscription"),"",IFERROR(MAX($K$4:K36),0)+1)</x:f>
      </x:c>
      <x:c r="L37" s="989" t="str">
        <x:f>IF($K37="","","G-"&amp;TEXT($K37,"0000"))</x:f>
      </x:c>
      <x:c r="M37" s="989" t="str">
        <x:f>IF($K37="","",IFERROR('Game Records'!$A37,""))</x:f>
      </x:c>
      <x:c r="N37" s="989" t="str">
        <x:f>IF($K37="","",IFERROR('Game Records'!$U37,""))</x:f>
      </x:c>
      <x:c r="O37" s="989" t="str">
        <x:f>IF($K37="","",IF($P37="","No Highlighted Fields","Highlighted Fields Present"))</x:f>
      </x:c>
      <x:c r="P37" s="989" t="str">
        <x:f>IF($K37="","",IF('Game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Q37" s="989" t="str">
        <x:f>IF($K37="","",IFERROR('Game Records'!$M37,""))</x:f>
      </x:c>
    </x:row>
    <x:row r="38" ht="24" hidden="0" customHeight="1">
      <x:c r="A38" s="332"/>
      <x:c r="B38" s="332"/>
      <x:c r="C38" s="331"/>
      <x:c r="D38" s="331"/>
      <x:c r="E38" s="331"/>
      <x:c r="F38" s="331"/>
      <x:c r="G38" s="331"/>
      <x:c r="H38" s="104"/>
      <x:c r="I38" s="104"/>
      <x:c r="J38" s="104"/>
      <x:c r="K38" s="989" t="str">
        <x:f>IF(OR(COUNTA('Game Records'!$A38:$M38)=0,'Game Records'!$U38="Subscription"),"",IFERROR(MAX($K$4:K37),0)+1)</x:f>
      </x:c>
      <x:c r="L38" s="989" t="str">
        <x:f>IF($K38="","","G-"&amp;TEXT($K38,"0000"))</x:f>
      </x:c>
      <x:c r="M38" s="989" t="str">
        <x:f>IF($K38="","",IFERROR('Game Records'!$A38,""))</x:f>
      </x:c>
      <x:c r="N38" s="989" t="str">
        <x:f>IF($K38="","",IFERROR('Game Records'!$U38,""))</x:f>
      </x:c>
      <x:c r="O38" s="989" t="str">
        <x:f>IF($K38="","",IF($P38="","No Highlighted Fields","Highlighted Fields Present"))</x:f>
      </x:c>
      <x:c r="P38" s="989" t="str">
        <x:f>IF($K38="","",IF('Game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Q38" s="989" t="str">
        <x:f>IF($K38="","",IFERROR('Game Records'!$M38,""))</x:f>
      </x:c>
    </x:row>
    <x:row r="39" ht="24" hidden="0" customHeight="1">
      <x:c r="A39" s="332"/>
      <x:c r="B39" s="332"/>
      <x:c r="C39" s="331"/>
      <x:c r="D39" s="331"/>
      <x:c r="E39" s="331"/>
      <x:c r="F39" s="331"/>
      <x:c r="G39" s="331"/>
      <x:c r="H39" s="104"/>
      <x:c r="I39" s="104"/>
      <x:c r="J39" s="104"/>
      <x:c r="K39" s="989" t="str">
        <x:f>IF(OR(COUNTA('Game Records'!$A39:$M39)=0,'Game Records'!$U39="Subscription"),"",IFERROR(MAX($K$4:K38),0)+1)</x:f>
      </x:c>
      <x:c r="L39" s="989" t="str">
        <x:f>IF($K39="","","G-"&amp;TEXT($K39,"0000"))</x:f>
      </x:c>
      <x:c r="M39" s="989" t="str">
        <x:f>IF($K39="","",IFERROR('Game Records'!$A39,""))</x:f>
      </x:c>
      <x:c r="N39" s="989" t="str">
        <x:f>IF($K39="","",IFERROR('Game Records'!$U39,""))</x:f>
      </x:c>
      <x:c r="O39" s="989" t="str">
        <x:f>IF($K39="","",IF($P39="","No Highlighted Fields","Highlighted Fields Present"))</x:f>
      </x:c>
      <x:c r="P39" s="989" t="str">
        <x:f>IF($K39="","",IF('Game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Q39" s="989" t="str">
        <x:f>IF($K39="","",IFERROR('Game Records'!$M39,""))</x:f>
      </x:c>
    </x:row>
    <x:row r="40" ht="24" hidden="0" customHeight="1">
      <x:c r="A40" s="332"/>
      <x:c r="B40" s="332"/>
      <x:c r="C40" s="331"/>
      <x:c r="D40" s="331"/>
      <x:c r="E40" s="331"/>
      <x:c r="F40" s="331"/>
      <x:c r="G40" s="331"/>
      <x:c r="H40" s="104"/>
      <x:c r="I40" s="104"/>
      <x:c r="J40" s="104"/>
      <x:c r="K40" s="989" t="str">
        <x:f>IF(OR(COUNTA('Game Records'!$A40:$M40)=0,'Game Records'!$U40="Subscription"),"",IFERROR(MAX($K$4:K39),0)+1)</x:f>
      </x:c>
      <x:c r="L40" s="989" t="str">
        <x:f>IF($K40="","","G-"&amp;TEXT($K40,"0000"))</x:f>
      </x:c>
      <x:c r="M40" s="989" t="str">
        <x:f>IF($K40="","",IFERROR('Game Records'!$A40,""))</x:f>
      </x:c>
      <x:c r="N40" s="989" t="str">
        <x:f>IF($K40="","",IFERROR('Game Records'!$U40,""))</x:f>
      </x:c>
      <x:c r="O40" s="989" t="str">
        <x:f>IF($K40="","",IF($P40="","No Highlighted Fields","Highlighted Fields Present"))</x:f>
      </x:c>
      <x:c r="P40" s="989" t="str">
        <x:f>IF($K40="","",IF('Game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Q40" s="989" t="str">
        <x:f>IF($K40="","",IFERROR('Game Records'!$M40,""))</x:f>
      </x:c>
    </x:row>
    <x:row r="41" ht="24" hidden="0" customHeight="1">
      <x:c r="A41" s="332"/>
      <x:c r="B41" s="332"/>
      <x:c r="C41" s="331"/>
      <x:c r="D41" s="331"/>
      <x:c r="E41" s="331"/>
      <x:c r="F41" s="331"/>
      <x:c r="G41" s="331"/>
      <x:c r="H41" s="104"/>
      <x:c r="I41" s="104"/>
      <x:c r="J41" s="104"/>
      <x:c r="K41" s="989" t="str">
        <x:f>IF(OR(COUNTA('Game Records'!$A41:$M41)=0,'Game Records'!$U41="Subscription"),"",IFERROR(MAX($K$4:K40),0)+1)</x:f>
      </x:c>
      <x:c r="L41" s="989" t="str">
        <x:f>IF($K41="","","G-"&amp;TEXT($K41,"0000"))</x:f>
      </x:c>
      <x:c r="M41" s="989" t="str">
        <x:f>IF($K41="","",IFERROR('Game Records'!$A41,""))</x:f>
      </x:c>
      <x:c r="N41" s="989" t="str">
        <x:f>IF($K41="","",IFERROR('Game Records'!$U41,""))</x:f>
      </x:c>
      <x:c r="O41" s="989" t="str">
        <x:f>IF($K41="","",IF($P41="","No Highlighted Fields","Highlighted Fields Present"))</x:f>
      </x:c>
      <x:c r="P41" s="989" t="str">
        <x:f>IF($K41="","",IF('Game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Q41" s="989" t="str">
        <x:f>IF($K41="","",IFERROR('Game Records'!$M41,""))</x:f>
      </x:c>
    </x:row>
    <x:row r="42" ht="24" hidden="0" customHeight="1">
      <x:c r="A42" s="332"/>
      <x:c r="B42" s="332"/>
      <x:c r="C42" s="331"/>
      <x:c r="D42" s="331"/>
      <x:c r="E42" s="331"/>
      <x:c r="F42" s="331"/>
      <x:c r="G42" s="331"/>
      <x:c r="H42" s="104"/>
      <x:c r="I42" s="104"/>
      <x:c r="J42" s="104"/>
      <x:c r="K42" s="989" t="str">
        <x:f>IF(OR(COUNTA('Game Records'!$A42:$M42)=0,'Game Records'!$U42="Subscription"),"",IFERROR(MAX($K$4:K41),0)+1)</x:f>
      </x:c>
      <x:c r="L42" s="989" t="str">
        <x:f>IF($K42="","","G-"&amp;TEXT($K42,"0000"))</x:f>
      </x:c>
      <x:c r="M42" s="989" t="str">
        <x:f>IF($K42="","",IFERROR('Game Records'!$A42,""))</x:f>
      </x:c>
      <x:c r="N42" s="989" t="str">
        <x:f>IF($K42="","",IFERROR('Game Records'!$U42,""))</x:f>
      </x:c>
      <x:c r="O42" s="989" t="str">
        <x:f>IF($K42="","",IF($P42="","No Highlighted Fields","Highlighted Fields Present"))</x:f>
      </x:c>
      <x:c r="P42" s="989" t="str">
        <x:f>IF($K42="","",IF('Game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Q42" s="989" t="str">
        <x:f>IF($K42="","",IFERROR('Game Records'!$M42,""))</x:f>
      </x:c>
    </x:row>
    <x:row r="43" ht="24" hidden="0" customHeight="1">
      <x:c r="A43" s="332"/>
      <x:c r="B43" s="332"/>
      <x:c r="C43" s="331"/>
      <x:c r="D43" s="331"/>
      <x:c r="E43" s="331"/>
      <x:c r="F43" s="331"/>
      <x:c r="G43" s="331"/>
      <x:c r="H43" s="104"/>
      <x:c r="I43" s="104"/>
      <x:c r="J43" s="104"/>
      <x:c r="K43" s="989" t="str">
        <x:f>IF(OR(COUNTA('Game Records'!$A43:$M43)=0,'Game Records'!$U43="Subscription"),"",IFERROR(MAX($K$4:K42),0)+1)</x:f>
      </x:c>
      <x:c r="L43" s="989" t="str">
        <x:f>IF($K43="","","G-"&amp;TEXT($K43,"0000"))</x:f>
      </x:c>
      <x:c r="M43" s="989" t="str">
        <x:f>IF($K43="","",IFERROR('Game Records'!$A43,""))</x:f>
      </x:c>
      <x:c r="N43" s="989" t="str">
        <x:f>IF($K43="","",IFERROR('Game Records'!$U43,""))</x:f>
      </x:c>
      <x:c r="O43" s="989" t="str">
        <x:f>IF($K43="","",IF($P43="","No Highlighted Fields","Highlighted Fields Present"))</x:f>
      </x:c>
      <x:c r="P43" s="989" t="str">
        <x:f>IF($K43="","",IF('Game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Q43" s="989" t="str">
        <x:f>IF($K43="","",IFERROR('Game Records'!$M43,""))</x:f>
      </x:c>
    </x:row>
    <x:row r="44" ht="24" hidden="0" customHeight="1">
      <x:c r="A44" s="332"/>
      <x:c r="B44" s="332"/>
      <x:c r="C44" s="331"/>
      <x:c r="D44" s="331"/>
      <x:c r="E44" s="331"/>
      <x:c r="F44" s="331"/>
      <x:c r="G44" s="331"/>
      <x:c r="H44" s="104"/>
      <x:c r="I44" s="104"/>
      <x:c r="J44" s="104"/>
      <x:c r="K44" s="989" t="str">
        <x:f>IF(OR(COUNTA('Game Records'!$A44:$M44)=0,'Game Records'!$U44="Subscription"),"",IFERROR(MAX($K$4:K43),0)+1)</x:f>
      </x:c>
      <x:c r="L44" s="989" t="str">
        <x:f>IF($K44="","","G-"&amp;TEXT($K44,"0000"))</x:f>
      </x:c>
      <x:c r="M44" s="989" t="str">
        <x:f>IF($K44="","",IFERROR('Game Records'!$A44,""))</x:f>
      </x:c>
      <x:c r="N44" s="989" t="str">
        <x:f>IF($K44="","",IFERROR('Game Records'!$U44,""))</x:f>
      </x:c>
      <x:c r="O44" s="989" t="str">
        <x:f>IF($K44="","",IF($P44="","No Highlighted Fields","Highlighted Fields Present"))</x:f>
      </x:c>
      <x:c r="P44" s="989" t="str">
        <x:f>IF($K44="","",IF('Game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Q44" s="989" t="str">
        <x:f>IF($K44="","",IFERROR('Game Records'!$M44,""))</x:f>
      </x:c>
    </x:row>
    <x:row r="45" ht="24" hidden="0" customHeight="1">
      <x:c r="A45" s="332"/>
      <x:c r="B45" s="332"/>
      <x:c r="C45" s="331"/>
      <x:c r="D45" s="331"/>
      <x:c r="E45" s="331"/>
      <x:c r="F45" s="331"/>
      <x:c r="G45" s="331"/>
      <x:c r="H45" s="104"/>
      <x:c r="I45" s="104"/>
      <x:c r="J45" s="104"/>
      <x:c r="K45" s="989" t="str">
        <x:f>IF(OR(COUNTA('Game Records'!$A45:$M45)=0,'Game Records'!$U45="Subscription"),"",IFERROR(MAX($K$4:K44),0)+1)</x:f>
      </x:c>
      <x:c r="L45" s="989" t="str">
        <x:f>IF($K45="","","G-"&amp;TEXT($K45,"0000"))</x:f>
      </x:c>
      <x:c r="M45" s="989" t="str">
        <x:f>IF($K45="","",IFERROR('Game Records'!$A45,""))</x:f>
      </x:c>
      <x:c r="N45" s="989" t="str">
        <x:f>IF($K45="","",IFERROR('Game Records'!$U45,""))</x:f>
      </x:c>
      <x:c r="O45" s="989" t="str">
        <x:f>IF($K45="","",IF($P45="","No Highlighted Fields","Highlighted Fields Present"))</x:f>
      </x:c>
      <x:c r="P45" s="989" t="str">
        <x:f>IF($K45="","",IF('Game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Q45" s="989" t="str">
        <x:f>IF($K45="","",IFERROR('Game Records'!$M45,""))</x:f>
      </x:c>
    </x:row>
    <x:row r="46" ht="24" hidden="0" customHeight="1">
      <x:c r="A46" s="332"/>
      <x:c r="B46" s="332"/>
      <x:c r="C46" s="331"/>
      <x:c r="D46" s="331"/>
      <x:c r="E46" s="331"/>
      <x:c r="F46" s="331"/>
      <x:c r="G46" s="331"/>
      <x:c r="H46" s="104"/>
      <x:c r="I46" s="104"/>
      <x:c r="J46" s="104"/>
      <x:c r="K46" s="989" t="str">
        <x:f>IF(OR(COUNTA('Game Records'!$A46:$M46)=0,'Game Records'!$U46="Subscription"),"",IFERROR(MAX($K$4:K45),0)+1)</x:f>
      </x:c>
      <x:c r="L46" s="989" t="str">
        <x:f>IF($K46="","","G-"&amp;TEXT($K46,"0000"))</x:f>
      </x:c>
      <x:c r="M46" s="989" t="str">
        <x:f>IF($K46="","",IFERROR('Game Records'!$A46,""))</x:f>
      </x:c>
      <x:c r="N46" s="989" t="str">
        <x:f>IF($K46="","",IFERROR('Game Records'!$U46,""))</x:f>
      </x:c>
      <x:c r="O46" s="989" t="str">
        <x:f>IF($K46="","",IF($P46="","No Highlighted Fields","Highlighted Fields Present"))</x:f>
      </x:c>
      <x:c r="P46" s="989" t="str">
        <x:f>IF($K46="","",IF('Game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Q46" s="989" t="str">
        <x:f>IF($K46="","",IFERROR('Game Records'!$M46,""))</x:f>
      </x:c>
    </x:row>
    <x:row r="47" ht="24" hidden="0" customHeight="1">
      <x:c r="A47" s="332"/>
      <x:c r="B47" s="332"/>
      <x:c r="C47" s="331"/>
      <x:c r="D47" s="331"/>
      <x:c r="E47" s="331"/>
      <x:c r="F47" s="331"/>
      <x:c r="G47" s="331"/>
      <x:c r="H47" s="104"/>
      <x:c r="I47" s="104"/>
      <x:c r="J47" s="104"/>
      <x:c r="K47" s="989" t="str">
        <x:f>IF(OR(COUNTA('Game Records'!$A47:$M47)=0,'Game Records'!$U47="Subscription"),"",IFERROR(MAX($K$4:K46),0)+1)</x:f>
      </x:c>
      <x:c r="L47" s="989" t="str">
        <x:f>IF($K47="","","G-"&amp;TEXT($K47,"0000"))</x:f>
      </x:c>
      <x:c r="M47" s="989" t="str">
        <x:f>IF($K47="","",IFERROR('Game Records'!$A47,""))</x:f>
      </x:c>
      <x:c r="N47" s="989" t="str">
        <x:f>IF($K47="","",IFERROR('Game Records'!$U47,""))</x:f>
      </x:c>
      <x:c r="O47" s="989" t="str">
        <x:f>IF($K47="","",IF($P47="","No Highlighted Fields","Highlighted Fields Present"))</x:f>
      </x:c>
      <x:c r="P47" s="989" t="str">
        <x:f>IF($K47="","",IF('Game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Q47" s="989" t="str">
        <x:f>IF($K47="","",IFERROR('Game Records'!$M47,""))</x:f>
      </x:c>
    </x:row>
    <x:row r="48" ht="24" hidden="0" customHeight="1">
      <x:c r="A48" s="332"/>
      <x:c r="B48" s="332"/>
      <x:c r="C48" s="331"/>
      <x:c r="D48" s="331"/>
      <x:c r="E48" s="331"/>
      <x:c r="F48" s="331"/>
      <x:c r="G48" s="331"/>
      <x:c r="H48" s="104"/>
      <x:c r="I48" s="104"/>
      <x:c r="J48" s="104"/>
      <x:c r="K48" s="989" t="str">
        <x:f>IF(OR(COUNTA('Game Records'!$A48:$M48)=0,'Game Records'!$U48="Subscription"),"",IFERROR(MAX($K$4:K47),0)+1)</x:f>
      </x:c>
      <x:c r="L48" s="989" t="str">
        <x:f>IF($K48="","","G-"&amp;TEXT($K48,"0000"))</x:f>
      </x:c>
      <x:c r="M48" s="989" t="str">
        <x:f>IF($K48="","",IFERROR('Game Records'!$A48,""))</x:f>
      </x:c>
      <x:c r="N48" s="989" t="str">
        <x:f>IF($K48="","",IFERROR('Game Records'!$U48,""))</x:f>
      </x:c>
      <x:c r="O48" s="989" t="str">
        <x:f>IF($K48="","",IF($P48="","No Highlighted Fields","Highlighted Fields Present"))</x:f>
      </x:c>
      <x:c r="P48" s="989" t="str">
        <x:f>IF($K48="","",IF('Game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Q48" s="989" t="str">
        <x:f>IF($K48="","",IFERROR('Game Records'!$M48,""))</x:f>
      </x:c>
    </x:row>
    <x:row r="49" ht="24" hidden="0" customHeight="1">
      <x:c r="A49" s="332"/>
      <x:c r="B49" s="332"/>
      <x:c r="C49" s="331"/>
      <x:c r="D49" s="331"/>
      <x:c r="E49" s="331"/>
      <x:c r="F49" s="331"/>
      <x:c r="G49" s="331"/>
      <x:c r="H49" s="104"/>
      <x:c r="I49" s="104"/>
      <x:c r="J49" s="104"/>
      <x:c r="K49" s="989" t="str">
        <x:f>IF(OR(COUNTA('Game Records'!$A49:$M49)=0,'Game Records'!$U49="Subscription"),"",IFERROR(MAX($K$4:K48),0)+1)</x:f>
      </x:c>
      <x:c r="L49" s="989" t="str">
        <x:f>IF($K49="","","G-"&amp;TEXT($K49,"0000"))</x:f>
      </x:c>
      <x:c r="M49" s="989" t="str">
        <x:f>IF($K49="","",IFERROR('Game Records'!$A49,""))</x:f>
      </x:c>
      <x:c r="N49" s="989" t="str">
        <x:f>IF($K49="","",IFERROR('Game Records'!$U49,""))</x:f>
      </x:c>
      <x:c r="O49" s="989" t="str">
        <x:f>IF($K49="","",IF($P49="","No Highlighted Fields","Highlighted Fields Present"))</x:f>
      </x:c>
      <x:c r="P49" s="989" t="str">
        <x:f>IF($K49="","",IF('Game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Q49" s="989" t="str">
        <x:f>IF($K49="","",IFERROR('Game Records'!$M49,""))</x:f>
      </x:c>
    </x:row>
    <x:row r="50" ht="24" hidden="0" customHeight="1">
      <x:c r="A50" s="332"/>
      <x:c r="B50" s="332"/>
      <x:c r="C50" s="331"/>
      <x:c r="D50" s="331"/>
      <x:c r="E50" s="331"/>
      <x:c r="F50" s="331"/>
      <x:c r="G50" s="331"/>
      <x:c r="H50" s="104"/>
      <x:c r="I50" s="104"/>
      <x:c r="J50" s="104"/>
      <x:c r="K50" s="989" t="str">
        <x:f>IF(OR(COUNTA('Game Records'!$A50:$M50)=0,'Game Records'!$U50="Subscription"),"",IFERROR(MAX($K$4:K49),0)+1)</x:f>
      </x:c>
      <x:c r="L50" s="989" t="str">
        <x:f>IF($K50="","","G-"&amp;TEXT($K50,"0000"))</x:f>
      </x:c>
      <x:c r="M50" s="989" t="str">
        <x:f>IF($K50="","",IFERROR('Game Records'!$A50,""))</x:f>
      </x:c>
      <x:c r="N50" s="989" t="str">
        <x:f>IF($K50="","",IFERROR('Game Records'!$U50,""))</x:f>
      </x:c>
      <x:c r="O50" s="989" t="str">
        <x:f>IF($K50="","",IF($P50="","No Highlighted Fields","Highlighted Fields Present"))</x:f>
      </x:c>
      <x:c r="P50" s="989" t="str">
        <x:f>IF($K50="","",IF('Game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Q50" s="989" t="str">
        <x:f>IF($K50="","",IFERROR('Game Records'!$M50,""))</x:f>
      </x:c>
    </x:row>
    <x:row r="51" ht="24" hidden="0" customHeight="1">
      <x:c r="A51" s="332"/>
      <x:c r="B51" s="332"/>
      <x:c r="C51" s="331"/>
      <x:c r="D51" s="331"/>
      <x:c r="E51" s="331"/>
      <x:c r="F51" s="331"/>
      <x:c r="G51" s="331"/>
      <x:c r="H51" s="104"/>
      <x:c r="I51" s="104"/>
      <x:c r="J51" s="104"/>
      <x:c r="K51" s="989" t="str">
        <x:f>IF(OR(COUNTA('Game Records'!$A51:$M51)=0,'Game Records'!$U51="Subscription"),"",IFERROR(MAX($K$4:K50),0)+1)</x:f>
      </x:c>
      <x:c r="L51" s="989" t="str">
        <x:f>IF($K51="","","G-"&amp;TEXT($K51,"0000"))</x:f>
      </x:c>
      <x:c r="M51" s="989" t="str">
        <x:f>IF($K51="","",IFERROR('Game Records'!$A51,""))</x:f>
      </x:c>
      <x:c r="N51" s="989" t="str">
        <x:f>IF($K51="","",IFERROR('Game Records'!$U51,""))</x:f>
      </x:c>
      <x:c r="O51" s="989" t="str">
        <x:f>IF($K51="","",IF($P51="","No Highlighted Fields","Highlighted Fields Present"))</x:f>
      </x:c>
      <x:c r="P51" s="989" t="str">
        <x:f>IF($K51="","",IF('Game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Q51" s="989" t="str">
        <x:f>IF($K51="","",IFERROR('Game Records'!$M51,""))</x:f>
      </x:c>
    </x:row>
    <x:row r="52" ht="24" hidden="0" customHeight="1">
      <x:c r="A52" s="332"/>
      <x:c r="B52" s="332"/>
      <x:c r="C52" s="331"/>
      <x:c r="D52" s="331"/>
      <x:c r="E52" s="331"/>
      <x:c r="F52" s="331"/>
      <x:c r="G52" s="331"/>
      <x:c r="H52" s="104"/>
      <x:c r="I52" s="104"/>
      <x:c r="J52" s="104"/>
      <x:c r="K52" s="989" t="str">
        <x:f>IF(OR(COUNTA('Game Records'!$A52:$M52)=0,'Game Records'!$U52="Subscription"),"",IFERROR(MAX($K$4:K51),0)+1)</x:f>
      </x:c>
      <x:c r="L52" s="989" t="str">
        <x:f>IF($K52="","","G-"&amp;TEXT($K52,"0000"))</x:f>
      </x:c>
      <x:c r="M52" s="989" t="str">
        <x:f>IF($K52="","",IFERROR('Game Records'!$A52,""))</x:f>
      </x:c>
      <x:c r="N52" s="989" t="str">
        <x:f>IF($K52="","",IFERROR('Game Records'!$U52,""))</x:f>
      </x:c>
      <x:c r="O52" s="989" t="str">
        <x:f>IF($K52="","",IF($P52="","No Highlighted Fields","Highlighted Fields Present"))</x:f>
      </x:c>
      <x:c r="P52" s="989" t="str">
        <x:f>IF($K52="","",IF('Game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Q52" s="989" t="str">
        <x:f>IF($K52="","",IFERROR('Game Records'!$M52,""))</x:f>
      </x:c>
    </x:row>
    <x:row r="53" ht="24" hidden="0" customHeight="1">
      <x:c r="A53" s="332"/>
      <x:c r="B53" s="332"/>
      <x:c r="C53" s="331"/>
      <x:c r="D53" s="331"/>
      <x:c r="E53" s="331"/>
      <x:c r="F53" s="331"/>
      <x:c r="G53" s="331"/>
      <x:c r="H53" s="104"/>
      <x:c r="I53" s="104"/>
      <x:c r="J53" s="104"/>
      <x:c r="K53" s="989" t="str">
        <x:f>IF(OR(COUNTA('Game Records'!$A53:$M53)=0,'Game Records'!$U53="Subscription"),"",IFERROR(MAX($K$4:K52),0)+1)</x:f>
      </x:c>
      <x:c r="L53" s="989" t="str">
        <x:f>IF($K53="","","G-"&amp;TEXT($K53,"0000"))</x:f>
      </x:c>
      <x:c r="M53" s="989" t="str">
        <x:f>IF($K53="","",IFERROR('Game Records'!$A53,""))</x:f>
      </x:c>
      <x:c r="N53" s="989" t="str">
        <x:f>IF($K53="","",IFERROR('Game Records'!$U53,""))</x:f>
      </x:c>
      <x:c r="O53" s="989" t="str">
        <x:f>IF($K53="","",IF($P53="","No Highlighted Fields","Highlighted Fields Present"))</x:f>
      </x:c>
      <x:c r="P53" s="989" t="str">
        <x:f>IF($K53="","",IF('Game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Q53" s="989" t="str">
        <x:f>IF($K53="","",IFERROR('Game Records'!$M53,""))</x:f>
      </x:c>
    </x:row>
    <x:row r="54" ht="24" hidden="0" customHeight="1">
      <x:c r="A54" s="332"/>
      <x:c r="B54" s="332"/>
      <x:c r="C54" s="331"/>
      <x:c r="D54" s="331"/>
      <x:c r="E54" s="331"/>
      <x:c r="F54" s="331"/>
      <x:c r="G54" s="331"/>
      <x:c r="H54" s="104"/>
      <x:c r="I54" s="104"/>
      <x:c r="J54" s="104"/>
      <x:c r="K54" s="989" t="str">
        <x:f>IF(OR(COUNTA('Game Records'!$A54:$M54)=0,'Game Records'!$U54="Subscription"),"",IFERROR(MAX($K$4:K53),0)+1)</x:f>
      </x:c>
      <x:c r="L54" s="989" t="str">
        <x:f>IF($K54="","","G-"&amp;TEXT($K54,"0000"))</x:f>
      </x:c>
      <x:c r="M54" s="989" t="str">
        <x:f>IF($K54="","",IFERROR('Game Records'!$A54,""))</x:f>
      </x:c>
      <x:c r="N54" s="989" t="str">
        <x:f>IF($K54="","",IFERROR('Game Records'!$U54,""))</x:f>
      </x:c>
      <x:c r="O54" s="989" t="str">
        <x:f>IF($K54="","",IF($P54="","No Highlighted Fields","Highlighted Fields Present"))</x:f>
      </x:c>
      <x:c r="P54" s="989" t="str">
        <x:f>IF($K54="","",IF('Game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Q54" s="989" t="str">
        <x:f>IF($K54="","",IFERROR('Game Records'!$M54,""))</x:f>
      </x:c>
    </x:row>
    <x:row r="55" ht="24" hidden="0" customHeight="1">
      <x:c r="A55" s="332"/>
      <x:c r="B55" s="332"/>
      <x:c r="C55" s="331"/>
      <x:c r="D55" s="331"/>
      <x:c r="E55" s="331"/>
      <x:c r="F55" s="331"/>
      <x:c r="G55" s="331"/>
      <x:c r="H55" s="104"/>
      <x:c r="I55" s="104"/>
      <x:c r="J55" s="104"/>
      <x:c r="K55" s="989" t="str">
        <x:f>IF(OR(COUNTA('Game Records'!$A55:$M55)=0,'Game Records'!$U55="Subscription"),"",IFERROR(MAX($K$4:K54),0)+1)</x:f>
      </x:c>
      <x:c r="L55" s="989" t="str">
        <x:f>IF($K55="","","G-"&amp;TEXT($K55,"0000"))</x:f>
      </x:c>
      <x:c r="M55" s="989" t="str">
        <x:f>IF($K55="","",IFERROR('Game Records'!$A55,""))</x:f>
      </x:c>
      <x:c r="N55" s="989" t="str">
        <x:f>IF($K55="","",IFERROR('Game Records'!$U55,""))</x:f>
      </x:c>
      <x:c r="O55" s="989" t="str">
        <x:f>IF($K55="","",IF($P55="","No Highlighted Fields","Highlighted Fields Present"))</x:f>
      </x:c>
      <x:c r="P55" s="989" t="str">
        <x:f>IF($K55="","",IF('Game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Q55" s="989" t="str">
        <x:f>IF($K55="","",IFERROR('Game Records'!$M55,""))</x:f>
      </x:c>
    </x:row>
    <x:row r="56" ht="24" hidden="0" customHeight="1">
      <x:c r="A56" s="332"/>
      <x:c r="B56" s="332"/>
      <x:c r="C56" s="331"/>
      <x:c r="D56" s="331"/>
      <x:c r="E56" s="331"/>
      <x:c r="F56" s="331"/>
      <x:c r="G56" s="331"/>
      <x:c r="H56" s="104"/>
      <x:c r="I56" s="104"/>
      <x:c r="J56" s="104"/>
      <x:c r="K56" s="989" t="str">
        <x:f>IF(OR(COUNTA('Game Records'!$A56:$M56)=0,'Game Records'!$U56="Subscription"),"",IFERROR(MAX($K$4:K55),0)+1)</x:f>
      </x:c>
      <x:c r="L56" s="989" t="str">
        <x:f>IF($K56="","","G-"&amp;TEXT($K56,"0000"))</x:f>
      </x:c>
      <x:c r="M56" s="989" t="str">
        <x:f>IF($K56="","",IFERROR('Game Records'!$A56,""))</x:f>
      </x:c>
      <x:c r="N56" s="989" t="str">
        <x:f>IF($K56="","",IFERROR('Game Records'!$U56,""))</x:f>
      </x:c>
      <x:c r="O56" s="989" t="str">
        <x:f>IF($K56="","",IF($P56="","No Highlighted Fields","Highlighted Fields Present"))</x:f>
      </x:c>
      <x:c r="P56" s="989" t="str">
        <x:f>IF($K56="","",IF('Game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Q56" s="989" t="str">
        <x:f>IF($K56="","",IFERROR('Game Records'!$M56,""))</x:f>
      </x:c>
    </x:row>
    <x:row r="57" ht="24" hidden="0" customHeight="1">
      <x:c r="A57" s="332"/>
      <x:c r="B57" s="332"/>
      <x:c r="C57" s="331"/>
      <x:c r="D57" s="331"/>
      <x:c r="E57" s="331"/>
      <x:c r="F57" s="331"/>
      <x:c r="G57" s="331"/>
      <x:c r="H57" s="104"/>
      <x:c r="I57" s="104"/>
      <x:c r="J57" s="104"/>
      <x:c r="K57" s="989" t="str">
        <x:f>IF(OR(COUNTA('Game Records'!$A57:$M57)=0,'Game Records'!$U57="Subscription"),"",IFERROR(MAX($K$4:K56),0)+1)</x:f>
      </x:c>
      <x:c r="L57" s="989" t="str">
        <x:f>IF($K57="","","G-"&amp;TEXT($K57,"0000"))</x:f>
      </x:c>
      <x:c r="M57" s="989" t="str">
        <x:f>IF($K57="","",IFERROR('Game Records'!$A57,""))</x:f>
      </x:c>
      <x:c r="N57" s="989" t="str">
        <x:f>IF($K57="","",IFERROR('Game Records'!$U57,""))</x:f>
      </x:c>
      <x:c r="O57" s="989" t="str">
        <x:f>IF($K57="","",IF($P57="","No Highlighted Fields","Highlighted Fields Present"))</x:f>
      </x:c>
      <x:c r="P57" s="989" t="str">
        <x:f>IF($K57="","",IF('Game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Q57" s="989" t="str">
        <x:f>IF($K57="","",IFERROR('Game Records'!$M57,""))</x:f>
      </x:c>
    </x:row>
    <x:row r="58" ht="24" hidden="0" customHeight="1">
      <x:c r="A58" s="332"/>
      <x:c r="B58" s="332"/>
      <x:c r="C58" s="331"/>
      <x:c r="D58" s="331"/>
      <x:c r="E58" s="331"/>
      <x:c r="F58" s="331"/>
      <x:c r="G58" s="331"/>
      <x:c r="H58" s="104"/>
      <x:c r="I58" s="104"/>
      <x:c r="J58" s="104"/>
      <x:c r="K58" s="989" t="str">
        <x:f>IF(OR(COUNTA('Game Records'!$A58:$M58)=0,'Game Records'!$U58="Subscription"),"",IFERROR(MAX($K$4:K57),0)+1)</x:f>
      </x:c>
      <x:c r="L58" s="989" t="str">
        <x:f>IF($K58="","","G-"&amp;TEXT($K58,"0000"))</x:f>
      </x:c>
      <x:c r="M58" s="989" t="str">
        <x:f>IF($K58="","",IFERROR('Game Records'!$A58,""))</x:f>
      </x:c>
      <x:c r="N58" s="989" t="str">
        <x:f>IF($K58="","",IFERROR('Game Records'!$U58,""))</x:f>
      </x:c>
      <x:c r="O58" s="989" t="str">
        <x:f>IF($K58="","",IF($P58="","No Highlighted Fields","Highlighted Fields Present"))</x:f>
      </x:c>
      <x:c r="P58" s="989" t="str">
        <x:f>IF($K58="","",IF('Game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Q58" s="989" t="str">
        <x:f>IF($K58="","",IFERROR('Game Records'!$M58,""))</x:f>
      </x:c>
    </x:row>
    <x:row r="59" ht="24" hidden="0" customHeight="1">
      <x:c r="A59" s="332"/>
      <x:c r="B59" s="332"/>
      <x:c r="C59" s="331"/>
      <x:c r="D59" s="331"/>
      <x:c r="E59" s="331"/>
      <x:c r="F59" s="331"/>
      <x:c r="G59" s="331"/>
      <x:c r="H59" s="104"/>
      <x:c r="I59" s="104"/>
      <x:c r="J59" s="104"/>
      <x:c r="K59" s="989" t="str">
        <x:f>IF(OR(COUNTA('Game Records'!$A59:$M59)=0,'Game Records'!$U59="Subscription"),"",IFERROR(MAX($K$4:K58),0)+1)</x:f>
      </x:c>
      <x:c r="L59" s="989" t="str">
        <x:f>IF($K59="","","G-"&amp;TEXT($K59,"0000"))</x:f>
      </x:c>
      <x:c r="M59" s="989" t="str">
        <x:f>IF($K59="","",IFERROR('Game Records'!$A59,""))</x:f>
      </x:c>
      <x:c r="N59" s="989" t="str">
        <x:f>IF($K59="","",IFERROR('Game Records'!$U59,""))</x:f>
      </x:c>
      <x:c r="O59" s="989" t="str">
        <x:f>IF($K59="","",IF($P59="","No Highlighted Fields","Highlighted Fields Present"))</x:f>
      </x:c>
      <x:c r="P59" s="989" t="str">
        <x:f>IF($K59="","",IF('Game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Q59" s="989" t="str">
        <x:f>IF($K59="","",IFERROR('Game Records'!$M59,""))</x:f>
      </x:c>
    </x:row>
    <x:row r="60" ht="24" hidden="0" customHeight="1">
      <x:c r="A60" s="332"/>
      <x:c r="B60" s="332"/>
      <x:c r="C60" s="331"/>
      <x:c r="D60" s="331"/>
      <x:c r="E60" s="331"/>
      <x:c r="F60" s="331"/>
      <x:c r="G60" s="331"/>
      <x:c r="H60" s="104"/>
      <x:c r="I60" s="104"/>
      <x:c r="J60" s="104"/>
      <x:c r="K60" s="989" t="str">
        <x:f>IF(OR(COUNTA('Game Records'!$A60:$M60)=0,'Game Records'!$U60="Subscription"),"",IFERROR(MAX($K$4:K59),0)+1)</x:f>
      </x:c>
      <x:c r="L60" s="989" t="str">
        <x:f>IF($K60="","","G-"&amp;TEXT($K60,"0000"))</x:f>
      </x:c>
      <x:c r="M60" s="989" t="str">
        <x:f>IF($K60="","",IFERROR('Game Records'!$A60,""))</x:f>
      </x:c>
      <x:c r="N60" s="989" t="str">
        <x:f>IF($K60="","",IFERROR('Game Records'!$U60,""))</x:f>
      </x:c>
      <x:c r="O60" s="989" t="str">
        <x:f>IF($K60="","",IF($P60="","No Highlighted Fields","Highlighted Fields Present"))</x:f>
      </x:c>
      <x:c r="P60" s="989" t="str">
        <x:f>IF($K60="","",IF('Game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Q60" s="989" t="str">
        <x:f>IF($K60="","",IFERROR('Game Records'!$M60,""))</x:f>
      </x:c>
    </x:row>
    <x:row r="61" ht="24" hidden="0" customHeight="1">
      <x:c r="A61" s="332"/>
      <x:c r="B61" s="332"/>
      <x:c r="C61" s="331"/>
      <x:c r="D61" s="331"/>
      <x:c r="E61" s="331"/>
      <x:c r="F61" s="331"/>
      <x:c r="G61" s="331"/>
      <x:c r="H61" s="104"/>
      <x:c r="I61" s="104"/>
      <x:c r="J61" s="104"/>
      <x:c r="K61" s="989" t="str">
        <x:f>IF(OR(COUNTA('Game Records'!$A61:$M61)=0,'Game Records'!$U61="Subscription"),"",IFERROR(MAX($K$4:K60),0)+1)</x:f>
      </x:c>
      <x:c r="L61" s="989" t="str">
        <x:f>IF($K61="","","G-"&amp;TEXT($K61,"0000"))</x:f>
      </x:c>
      <x:c r="M61" s="989" t="str">
        <x:f>IF($K61="","",IFERROR('Game Records'!$A61,""))</x:f>
      </x:c>
      <x:c r="N61" s="989" t="str">
        <x:f>IF($K61="","",IFERROR('Game Records'!$U61,""))</x:f>
      </x:c>
      <x:c r="O61" s="989" t="str">
        <x:f>IF($K61="","",IF($P61="","No Highlighted Fields","Highlighted Fields Present"))</x:f>
      </x:c>
      <x:c r="P61" s="989" t="str">
        <x:f>IF($K61="","",IF('Game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Q61" s="989" t="str">
        <x:f>IF($K61="","",IFERROR('Game Records'!$M61,""))</x:f>
      </x:c>
    </x:row>
    <x:row r="62" ht="24" hidden="0" customHeight="1">
      <x:c r="A62" s="332"/>
      <x:c r="B62" s="332"/>
      <x:c r="C62" s="331"/>
      <x:c r="D62" s="331"/>
      <x:c r="E62" s="331"/>
      <x:c r="F62" s="331"/>
      <x:c r="G62" s="331"/>
      <x:c r="H62" s="104"/>
      <x:c r="I62" s="104"/>
      <x:c r="J62" s="104"/>
      <x:c r="K62" s="989" t="str">
        <x:f>IF(OR(COUNTA('Game Records'!$A62:$M62)=0,'Game Records'!$U62="Subscription"),"",IFERROR(MAX($K$4:K61),0)+1)</x:f>
      </x:c>
      <x:c r="L62" s="989" t="str">
        <x:f>IF($K62="","","G-"&amp;TEXT($K62,"0000"))</x:f>
      </x:c>
      <x:c r="M62" s="989" t="str">
        <x:f>IF($K62="","",IFERROR('Game Records'!$A62,""))</x:f>
      </x:c>
      <x:c r="N62" s="989" t="str">
        <x:f>IF($K62="","",IFERROR('Game Records'!$U62,""))</x:f>
      </x:c>
      <x:c r="O62" s="989" t="str">
        <x:f>IF($K62="","",IF($P62="","No Highlighted Fields","Highlighted Fields Present"))</x:f>
      </x:c>
      <x:c r="P62" s="989" t="str">
        <x:f>IF($K62="","",IF('Game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Q62" s="989" t="str">
        <x:f>IF($K62="","",IFERROR('Game Records'!$M62,""))</x:f>
      </x:c>
    </x:row>
    <x:row r="63" ht="24" hidden="0" customHeight="1">
      <x:c r="A63" s="332"/>
      <x:c r="B63" s="332"/>
      <x:c r="C63" s="331"/>
      <x:c r="D63" s="331"/>
      <x:c r="E63" s="331"/>
      <x:c r="F63" s="331"/>
      <x:c r="G63" s="331"/>
      <x:c r="H63" s="104"/>
      <x:c r="I63" s="104"/>
      <x:c r="J63" s="104"/>
      <x:c r="K63" s="989" t="str">
        <x:f>IF(OR(COUNTA('Game Records'!$A63:$M63)=0,'Game Records'!$U63="Subscription"),"",IFERROR(MAX($K$4:K62),0)+1)</x:f>
      </x:c>
      <x:c r="L63" s="989" t="str">
        <x:f>IF($K63="","","G-"&amp;TEXT($K63,"0000"))</x:f>
      </x:c>
      <x:c r="M63" s="989" t="str">
        <x:f>IF($K63="","",IFERROR('Game Records'!$A63,""))</x:f>
      </x:c>
      <x:c r="N63" s="989" t="str">
        <x:f>IF($K63="","",IFERROR('Game Records'!$U63,""))</x:f>
      </x:c>
      <x:c r="O63" s="989" t="str">
        <x:f>IF($K63="","",IF($P63="","No Highlighted Fields","Highlighted Fields Present"))</x:f>
      </x:c>
      <x:c r="P63" s="989" t="str">
        <x:f>IF($K63="","",IF('Game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Q63" s="989" t="str">
        <x:f>IF($K63="","",IFERROR('Game Records'!$M63,""))</x:f>
      </x:c>
    </x:row>
    <x:row r="64" ht="24" hidden="0" customHeight="1">
      <x:c r="A64" s="332"/>
      <x:c r="B64" s="332"/>
      <x:c r="C64" s="331"/>
      <x:c r="D64" s="331"/>
      <x:c r="E64" s="331"/>
      <x:c r="F64" s="331"/>
      <x:c r="G64" s="331"/>
      <x:c r="H64" s="104"/>
      <x:c r="I64" s="104"/>
      <x:c r="J64" s="104"/>
      <x:c r="K64" s="989" t="str">
        <x:f>IF(OR(COUNTA('Game Records'!$A64:$M64)=0,'Game Records'!$U64="Subscription"),"",IFERROR(MAX($K$4:K63),0)+1)</x:f>
      </x:c>
      <x:c r="L64" s="989" t="str">
        <x:f>IF($K64="","","G-"&amp;TEXT($K64,"0000"))</x:f>
      </x:c>
      <x:c r="M64" s="989" t="str">
        <x:f>IF($K64="","",IFERROR('Game Records'!$A64,""))</x:f>
      </x:c>
      <x:c r="N64" s="989" t="str">
        <x:f>IF($K64="","",IFERROR('Game Records'!$U64,""))</x:f>
      </x:c>
      <x:c r="O64" s="989" t="str">
        <x:f>IF($K64="","",IF($P64="","No Highlighted Fields","Highlighted Fields Present"))</x:f>
      </x:c>
      <x:c r="P64" s="989" t="str">
        <x:f>IF($K64="","",IF('Game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Q64" s="989" t="str">
        <x:f>IF($K64="","",IFERROR('Game Records'!$M64,""))</x:f>
      </x:c>
    </x:row>
    <x:row r="65" ht="24" hidden="0" customHeight="1">
      <x:c r="A65" s="332"/>
      <x:c r="B65" s="332"/>
      <x:c r="C65" s="331"/>
      <x:c r="D65" s="331"/>
      <x:c r="E65" s="331"/>
      <x:c r="F65" s="331"/>
      <x:c r="G65" s="331"/>
      <x:c r="H65" s="104"/>
      <x:c r="I65" s="104"/>
      <x:c r="J65" s="104"/>
      <x:c r="K65" s="989" t="str">
        <x:f>IF(OR(COUNTA('Game Records'!$A65:$M65)=0,'Game Records'!$U65="Subscription"),"",IFERROR(MAX($K$4:K64),0)+1)</x:f>
      </x:c>
      <x:c r="L65" s="989" t="str">
        <x:f>IF($K65="","","G-"&amp;TEXT($K65,"0000"))</x:f>
      </x:c>
      <x:c r="M65" s="989" t="str">
        <x:f>IF($K65="","",IFERROR('Game Records'!$A65,""))</x:f>
      </x:c>
      <x:c r="N65" s="989" t="str">
        <x:f>IF($K65="","",IFERROR('Game Records'!$U65,""))</x:f>
      </x:c>
      <x:c r="O65" s="989" t="str">
        <x:f>IF($K65="","",IF($P65="","No Highlighted Fields","Highlighted Fields Present"))</x:f>
      </x:c>
      <x:c r="P65" s="989" t="str">
        <x:f>IF($K65="","",IF('Game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Q65" s="989" t="str">
        <x:f>IF($K65="","",IFERROR('Game Records'!$M65,""))</x:f>
      </x:c>
    </x:row>
    <x:row r="66" ht="24" hidden="0" customHeight="1">
      <x:c r="A66" s="332"/>
      <x:c r="B66" s="332"/>
      <x:c r="C66" s="331"/>
      <x:c r="D66" s="331"/>
      <x:c r="E66" s="331"/>
      <x:c r="F66" s="331"/>
      <x:c r="G66" s="331"/>
      <x:c r="H66" s="104"/>
      <x:c r="I66" s="104"/>
      <x:c r="J66" s="104"/>
      <x:c r="K66" s="989" t="str">
        <x:f>IF(OR(COUNTA('Game Records'!$A66:$M66)=0,'Game Records'!$U66="Subscription"),"",IFERROR(MAX($K$4:K65),0)+1)</x:f>
      </x:c>
      <x:c r="L66" s="989" t="str">
        <x:f>IF($K66="","","G-"&amp;TEXT($K66,"0000"))</x:f>
      </x:c>
      <x:c r="M66" s="989" t="str">
        <x:f>IF($K66="","",IFERROR('Game Records'!$A66,""))</x:f>
      </x:c>
      <x:c r="N66" s="989" t="str">
        <x:f>IF($K66="","",IFERROR('Game Records'!$U66,""))</x:f>
      </x:c>
      <x:c r="O66" s="989" t="str">
        <x:f>IF($K66="","",IF($P66="","No Highlighted Fields","Highlighted Fields Present"))</x:f>
      </x:c>
      <x:c r="P66" s="989" t="str">
        <x:f>IF($K66="","",IF('Game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Q66" s="989" t="str">
        <x:f>IF($K66="","",IFERROR('Game Records'!$M66,""))</x:f>
      </x:c>
    </x:row>
    <x:row r="67" ht="24" hidden="0" customHeight="1">
      <x:c r="A67" s="332"/>
      <x:c r="B67" s="332"/>
      <x:c r="C67" s="331"/>
      <x:c r="D67" s="331"/>
      <x:c r="E67" s="331"/>
      <x:c r="F67" s="331"/>
      <x:c r="G67" s="331"/>
      <x:c r="H67" s="104"/>
      <x:c r="I67" s="104"/>
      <x:c r="J67" s="104"/>
      <x:c r="K67" s="989" t="str">
        <x:f>IF(OR(COUNTA('Game Records'!$A67:$M67)=0,'Game Records'!$U67="Subscription"),"",IFERROR(MAX($K$4:K66),0)+1)</x:f>
      </x:c>
      <x:c r="L67" s="989" t="str">
        <x:f>IF($K67="","","G-"&amp;TEXT($K67,"0000"))</x:f>
      </x:c>
      <x:c r="M67" s="989" t="str">
        <x:f>IF($K67="","",IFERROR('Game Records'!$A67,""))</x:f>
      </x:c>
      <x:c r="N67" s="989" t="str">
        <x:f>IF($K67="","",IFERROR('Game Records'!$U67,""))</x:f>
      </x:c>
      <x:c r="O67" s="989" t="str">
        <x:f>IF($K67="","",IF($P67="","No Highlighted Fields","Highlighted Fields Present"))</x:f>
      </x:c>
      <x:c r="P67" s="989" t="str">
        <x:f>IF($K67="","",IF('Game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Q67" s="989" t="str">
        <x:f>IF($K67="","",IFERROR('Game Records'!$M67,""))</x:f>
      </x:c>
    </x:row>
    <x:row r="68" ht="24" hidden="0" customHeight="1">
      <x:c r="A68" s="332"/>
      <x:c r="B68" s="332"/>
      <x:c r="C68" s="331"/>
      <x:c r="D68" s="331"/>
      <x:c r="E68" s="331"/>
      <x:c r="F68" s="331"/>
      <x:c r="G68" s="331"/>
      <x:c r="H68" s="104"/>
      <x:c r="I68" s="104"/>
      <x:c r="J68" s="104"/>
      <x:c r="K68" s="989" t="str">
        <x:f>IF(OR(COUNTA('Game Records'!$A68:$M68)=0,'Game Records'!$U68="Subscription"),"",IFERROR(MAX($K$4:K67),0)+1)</x:f>
      </x:c>
      <x:c r="L68" s="989" t="str">
        <x:f>IF($K68="","","G-"&amp;TEXT($K68,"0000"))</x:f>
      </x:c>
      <x:c r="M68" s="989" t="str">
        <x:f>IF($K68="","",IFERROR('Game Records'!$A68,""))</x:f>
      </x:c>
      <x:c r="N68" s="989" t="str">
        <x:f>IF($K68="","",IFERROR('Game Records'!$U68,""))</x:f>
      </x:c>
      <x:c r="O68" s="989" t="str">
        <x:f>IF($K68="","",IF($P68="","No Highlighted Fields","Highlighted Fields Present"))</x:f>
      </x:c>
      <x:c r="P68" s="989" t="str">
        <x:f>IF($K68="","",IF('Game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Q68" s="989" t="str">
        <x:f>IF($K68="","",IFERROR('Game Records'!$M68,""))</x:f>
      </x:c>
    </x:row>
    <x:row r="69" ht="24" hidden="0" customHeight="1">
      <x:c r="A69" s="332"/>
      <x:c r="B69" s="332"/>
      <x:c r="C69" s="331"/>
      <x:c r="D69" s="331"/>
      <x:c r="E69" s="331"/>
      <x:c r="F69" s="331"/>
      <x:c r="G69" s="331"/>
      <x:c r="H69" s="104"/>
      <x:c r="I69" s="104"/>
      <x:c r="J69" s="104"/>
      <x:c r="K69" s="989" t="str">
        <x:f>IF(OR(COUNTA('Game Records'!$A69:$M69)=0,'Game Records'!$U69="Subscription"),"",IFERROR(MAX($K$4:K68),0)+1)</x:f>
      </x:c>
      <x:c r="L69" s="989" t="str">
        <x:f>IF($K69="","","G-"&amp;TEXT($K69,"0000"))</x:f>
      </x:c>
      <x:c r="M69" s="989" t="str">
        <x:f>IF($K69="","",IFERROR('Game Records'!$A69,""))</x:f>
      </x:c>
      <x:c r="N69" s="989" t="str">
        <x:f>IF($K69="","",IFERROR('Game Records'!$U69,""))</x:f>
      </x:c>
      <x:c r="O69" s="989" t="str">
        <x:f>IF($K69="","",IF($P69="","No Highlighted Fields","Highlighted Fields Present"))</x:f>
      </x:c>
      <x:c r="P69" s="989" t="str">
        <x:f>IF($K69="","",IF('Game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Q69" s="989" t="str">
        <x:f>IF($K69="","",IFERROR('Game Records'!$M69,""))</x:f>
      </x:c>
    </x:row>
    <x:row r="70" ht="24" hidden="0" customHeight="1">
      <x:c r="A70" s="332"/>
      <x:c r="B70" s="332"/>
      <x:c r="C70" s="331"/>
      <x:c r="D70" s="331"/>
      <x:c r="E70" s="331"/>
      <x:c r="F70" s="331"/>
      <x:c r="G70" s="331"/>
      <x:c r="H70" s="104"/>
      <x:c r="I70" s="104"/>
      <x:c r="J70" s="104"/>
      <x:c r="K70" s="989" t="str">
        <x:f>IF(OR(COUNTA('Game Records'!$A70:$M70)=0,'Game Records'!$U70="Subscription"),"",IFERROR(MAX($K$4:K69),0)+1)</x:f>
      </x:c>
      <x:c r="L70" s="989" t="str">
        <x:f>IF($K70="","","G-"&amp;TEXT($K70,"0000"))</x:f>
      </x:c>
      <x:c r="M70" s="989" t="str">
        <x:f>IF($K70="","",IFERROR('Game Records'!$A70,""))</x:f>
      </x:c>
      <x:c r="N70" s="989" t="str">
        <x:f>IF($K70="","",IFERROR('Game Records'!$U70,""))</x:f>
      </x:c>
      <x:c r="O70" s="989" t="str">
        <x:f>IF($K70="","",IF($P70="","No Highlighted Fields","Highlighted Fields Present"))</x:f>
      </x:c>
      <x:c r="P70" s="989" t="str">
        <x:f>IF($K70="","",IF('Game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Q70" s="989" t="str">
        <x:f>IF($K70="","",IFERROR('Game Records'!$M70,""))</x:f>
      </x:c>
    </x:row>
    <x:row r="71" ht="24" hidden="0" customHeight="1">
      <x:c r="A71" s="332"/>
      <x:c r="B71" s="332"/>
      <x:c r="C71" s="331"/>
      <x:c r="D71" s="331"/>
      <x:c r="E71" s="331"/>
      <x:c r="F71" s="331"/>
      <x:c r="G71" s="331"/>
      <x:c r="H71" s="104"/>
      <x:c r="I71" s="104"/>
      <x:c r="J71" s="104"/>
      <x:c r="K71" s="989" t="str">
        <x:f>IF(OR(COUNTA('Game Records'!$A71:$M71)=0,'Game Records'!$U71="Subscription"),"",IFERROR(MAX($K$4:K70),0)+1)</x:f>
      </x:c>
      <x:c r="L71" s="989" t="str">
        <x:f>IF($K71="","","G-"&amp;TEXT($K71,"0000"))</x:f>
      </x:c>
      <x:c r="M71" s="989" t="str">
        <x:f>IF($K71="","",IFERROR('Game Records'!$A71,""))</x:f>
      </x:c>
      <x:c r="N71" s="989" t="str">
        <x:f>IF($K71="","",IFERROR('Game Records'!$U71,""))</x:f>
      </x:c>
      <x:c r="O71" s="989" t="str">
        <x:f>IF($K71="","",IF($P71="","No Highlighted Fields","Highlighted Fields Present"))</x:f>
      </x:c>
      <x:c r="P71" s="989" t="str">
        <x:f>IF($K71="","",IF('Game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Q71" s="989" t="str">
        <x:f>IF($K71="","",IFERROR('Game Records'!$M71,""))</x:f>
      </x:c>
    </x:row>
    <x:row r="72" ht="24" hidden="0" customHeight="1">
      <x:c r="A72" s="332"/>
      <x:c r="B72" s="332"/>
      <x:c r="C72" s="331"/>
      <x:c r="D72" s="331"/>
      <x:c r="E72" s="331"/>
      <x:c r="F72" s="331"/>
      <x:c r="G72" s="331"/>
      <x:c r="H72" s="104"/>
      <x:c r="I72" s="104"/>
      <x:c r="J72" s="104"/>
      <x:c r="K72" s="989" t="str">
        <x:f>IF(OR(COUNTA('Game Records'!$A72:$M72)=0,'Game Records'!$U72="Subscription"),"",IFERROR(MAX($K$4:K71),0)+1)</x:f>
      </x:c>
      <x:c r="L72" s="989" t="str">
        <x:f>IF($K72="","","G-"&amp;TEXT($K72,"0000"))</x:f>
      </x:c>
      <x:c r="M72" s="989" t="str">
        <x:f>IF($K72="","",IFERROR('Game Records'!$A72,""))</x:f>
      </x:c>
      <x:c r="N72" s="989" t="str">
        <x:f>IF($K72="","",IFERROR('Game Records'!$U72,""))</x:f>
      </x:c>
      <x:c r="O72" s="989" t="str">
        <x:f>IF($K72="","",IF($P72="","No Highlighted Fields","Highlighted Fields Present"))</x:f>
      </x:c>
      <x:c r="P72" s="989" t="str">
        <x:f>IF($K72="","",IF('Game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Q72" s="989" t="str">
        <x:f>IF($K72="","",IFERROR('Game Records'!$M72,""))</x:f>
      </x:c>
    </x:row>
    <x:row r="73" ht="24" hidden="0" customHeight="1">
      <x:c r="A73" s="332"/>
      <x:c r="B73" s="332"/>
      <x:c r="C73" s="331"/>
      <x:c r="D73" s="331"/>
      <x:c r="E73" s="331"/>
      <x:c r="F73" s="331"/>
      <x:c r="G73" s="331"/>
      <x:c r="H73" s="104"/>
      <x:c r="I73" s="104"/>
      <x:c r="J73" s="104"/>
      <x:c r="K73" s="989" t="str">
        <x:f>IF(OR(COUNTA('Game Records'!$A73:$M73)=0,'Game Records'!$U73="Subscription"),"",IFERROR(MAX($K$4:K72),0)+1)</x:f>
      </x:c>
      <x:c r="L73" s="989" t="str">
        <x:f>IF($K73="","","G-"&amp;TEXT($K73,"0000"))</x:f>
      </x:c>
      <x:c r="M73" s="989" t="str">
        <x:f>IF($K73="","",IFERROR('Game Records'!$A73,""))</x:f>
      </x:c>
      <x:c r="N73" s="989" t="str">
        <x:f>IF($K73="","",IFERROR('Game Records'!$U73,""))</x:f>
      </x:c>
      <x:c r="O73" s="989" t="str">
        <x:f>IF($K73="","",IF($P73="","No Highlighted Fields","Highlighted Fields Present"))</x:f>
      </x:c>
      <x:c r="P73" s="989" t="str">
        <x:f>IF($K73="","",IF('Game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Q73" s="989" t="str">
        <x:f>IF($K73="","",IFERROR('Game Records'!$M73,""))</x:f>
      </x:c>
    </x:row>
    <x:row r="74" ht="24" hidden="0" customHeight="1">
      <x:c r="A74" s="332"/>
      <x:c r="B74" s="332"/>
      <x:c r="C74" s="331"/>
      <x:c r="D74" s="331"/>
      <x:c r="E74" s="331"/>
      <x:c r="F74" s="331"/>
      <x:c r="G74" s="331"/>
      <x:c r="H74" s="104"/>
      <x:c r="I74" s="104"/>
      <x:c r="J74" s="104"/>
      <x:c r="K74" s="989" t="str">
        <x:f>IF(OR(COUNTA('Game Records'!$A74:$M74)=0,'Game Records'!$U74="Subscription"),"",IFERROR(MAX($K$4:K73),0)+1)</x:f>
      </x:c>
      <x:c r="L74" s="989" t="str">
        <x:f>IF($K74="","","G-"&amp;TEXT($K74,"0000"))</x:f>
      </x:c>
      <x:c r="M74" s="989" t="str">
        <x:f>IF($K74="","",IFERROR('Game Records'!$A74,""))</x:f>
      </x:c>
      <x:c r="N74" s="989" t="str">
        <x:f>IF($K74="","",IFERROR('Game Records'!$U74,""))</x:f>
      </x:c>
      <x:c r="O74" s="989" t="str">
        <x:f>IF($K74="","",IF($P74="","No Highlighted Fields","Highlighted Fields Present"))</x:f>
      </x:c>
      <x:c r="P74" s="989" t="str">
        <x:f>IF($K74="","",IF('Game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Q74" s="989" t="str">
        <x:f>IF($K74="","",IFERROR('Game Records'!$M74,""))</x:f>
      </x:c>
    </x:row>
    <x:row r="75" ht="24" hidden="0" customHeight="1">
      <x:c r="A75" s="332"/>
      <x:c r="B75" s="332"/>
      <x:c r="C75" s="331"/>
      <x:c r="D75" s="331"/>
      <x:c r="E75" s="331"/>
      <x:c r="F75" s="331"/>
      <x:c r="G75" s="331"/>
      <x:c r="H75" s="104"/>
      <x:c r="I75" s="104"/>
      <x:c r="J75" s="104"/>
      <x:c r="K75" s="989" t="str">
        <x:f>IF(OR(COUNTA('Game Records'!$A75:$M75)=0,'Game Records'!$U75="Subscription"),"",IFERROR(MAX($K$4:K74),0)+1)</x:f>
      </x:c>
      <x:c r="L75" s="989" t="str">
        <x:f>IF($K75="","","G-"&amp;TEXT($K75,"0000"))</x:f>
      </x:c>
      <x:c r="M75" s="989" t="str">
        <x:f>IF($K75="","",IFERROR('Game Records'!$A75,""))</x:f>
      </x:c>
      <x:c r="N75" s="989" t="str">
        <x:f>IF($K75="","",IFERROR('Game Records'!$U75,""))</x:f>
      </x:c>
      <x:c r="O75" s="989" t="str">
        <x:f>IF($K75="","",IF($P75="","No Highlighted Fields","Highlighted Fields Present"))</x:f>
      </x:c>
      <x:c r="P75" s="989" t="str">
        <x:f>IF($K75="","",IF('Game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Q75" s="989" t="str">
        <x:f>IF($K75="","",IFERROR('Game Records'!$M75,""))</x:f>
      </x:c>
    </x:row>
    <x:row r="76" ht="24" hidden="0" customHeight="1">
      <x:c r="A76" s="332"/>
      <x:c r="B76" s="332"/>
      <x:c r="C76" s="331"/>
      <x:c r="D76" s="331"/>
      <x:c r="E76" s="331"/>
      <x:c r="F76" s="331"/>
      <x:c r="G76" s="331"/>
      <x:c r="H76" s="104"/>
      <x:c r="I76" s="104"/>
      <x:c r="J76" s="104"/>
      <x:c r="K76" s="989" t="str">
        <x:f>IF(OR(COUNTA('Game Records'!$A76:$M76)=0,'Game Records'!$U76="Subscription"),"",IFERROR(MAX($K$4:K75),0)+1)</x:f>
      </x:c>
      <x:c r="L76" s="989" t="str">
        <x:f>IF($K76="","","G-"&amp;TEXT($K76,"0000"))</x:f>
      </x:c>
      <x:c r="M76" s="989" t="str">
        <x:f>IF($K76="","",IFERROR('Game Records'!$A76,""))</x:f>
      </x:c>
      <x:c r="N76" s="989" t="str">
        <x:f>IF($K76="","",IFERROR('Game Records'!$U76,""))</x:f>
      </x:c>
      <x:c r="O76" s="989" t="str">
        <x:f>IF($K76="","",IF($P76="","No Highlighted Fields","Highlighted Fields Present"))</x:f>
      </x:c>
      <x:c r="P76" s="989" t="str">
        <x:f>IF($K76="","",IF('Game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Q76" s="989" t="str">
        <x:f>IF($K76="","",IFERROR('Game Records'!$M76,""))</x:f>
      </x:c>
    </x:row>
    <x:row r="77" ht="24" hidden="0" customHeight="1">
      <x:c r="A77" s="332"/>
      <x:c r="B77" s="332"/>
      <x:c r="C77" s="331"/>
      <x:c r="D77" s="331"/>
      <x:c r="E77" s="331"/>
      <x:c r="F77" s="331"/>
      <x:c r="G77" s="331"/>
      <x:c r="H77" s="104"/>
      <x:c r="I77" s="104"/>
      <x:c r="J77" s="104"/>
      <x:c r="K77" s="989" t="str">
        <x:f>IF(OR(COUNTA('Game Records'!$A77:$M77)=0,'Game Records'!$U77="Subscription"),"",IFERROR(MAX($K$4:K76),0)+1)</x:f>
      </x:c>
      <x:c r="L77" s="989" t="str">
        <x:f>IF($K77="","","G-"&amp;TEXT($K77,"0000"))</x:f>
      </x:c>
      <x:c r="M77" s="989" t="str">
        <x:f>IF($K77="","",IFERROR('Game Records'!$A77,""))</x:f>
      </x:c>
      <x:c r="N77" s="989" t="str">
        <x:f>IF($K77="","",IFERROR('Game Records'!$U77,""))</x:f>
      </x:c>
      <x:c r="O77" s="989" t="str">
        <x:f>IF($K77="","",IF($P77="","No Highlighted Fields","Highlighted Fields Present"))</x:f>
      </x:c>
      <x:c r="P77" s="989" t="str">
        <x:f>IF($K77="","",IF('Game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Q77" s="989" t="str">
        <x:f>IF($K77="","",IFERROR('Game Records'!$M77,""))</x:f>
      </x:c>
    </x:row>
    <x:row r="78" ht="24" hidden="0" customHeight="1">
      <x:c r="A78" s="332"/>
      <x:c r="B78" s="332"/>
      <x:c r="C78" s="331"/>
      <x:c r="D78" s="331"/>
      <x:c r="E78" s="331"/>
      <x:c r="F78" s="331"/>
      <x:c r="G78" s="331"/>
      <x:c r="H78" s="104"/>
      <x:c r="I78" s="104"/>
      <x:c r="J78" s="104"/>
      <x:c r="K78" s="989" t="str">
        <x:f>IF(OR(COUNTA('Game Records'!$A78:$M78)=0,'Game Records'!$U78="Subscription"),"",IFERROR(MAX($K$4:K77),0)+1)</x:f>
      </x:c>
      <x:c r="L78" s="989" t="str">
        <x:f>IF($K78="","","G-"&amp;TEXT($K78,"0000"))</x:f>
      </x:c>
      <x:c r="M78" s="989" t="str">
        <x:f>IF($K78="","",IFERROR('Game Records'!$A78,""))</x:f>
      </x:c>
      <x:c r="N78" s="989" t="str">
        <x:f>IF($K78="","",IFERROR('Game Records'!$U78,""))</x:f>
      </x:c>
      <x:c r="O78" s="989" t="str">
        <x:f>IF($K78="","",IF($P78="","No Highlighted Fields","Highlighted Fields Present"))</x:f>
      </x:c>
      <x:c r="P78" s="989" t="str">
        <x:f>IF($K78="","",IF('Game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Q78" s="989" t="str">
        <x:f>IF($K78="","",IFERROR('Game Records'!$M78,""))</x:f>
      </x:c>
    </x:row>
    <x:row r="79" ht="24" hidden="0" customHeight="1">
      <x:c r="A79" s="332"/>
      <x:c r="B79" s="332"/>
      <x:c r="C79" s="331"/>
      <x:c r="D79" s="331"/>
      <x:c r="E79" s="331"/>
      <x:c r="F79" s="331"/>
      <x:c r="G79" s="331"/>
      <x:c r="H79" s="104"/>
      <x:c r="I79" s="104"/>
      <x:c r="J79" s="104"/>
      <x:c r="K79" s="989" t="str">
        <x:f>IF(OR(COUNTA('Game Records'!$A79:$M79)=0,'Game Records'!$U79="Subscription"),"",IFERROR(MAX($K$4:K78),0)+1)</x:f>
      </x:c>
      <x:c r="L79" s="989" t="str">
        <x:f>IF($K79="","","G-"&amp;TEXT($K79,"0000"))</x:f>
      </x:c>
      <x:c r="M79" s="989" t="str">
        <x:f>IF($K79="","",IFERROR('Game Records'!$A79,""))</x:f>
      </x:c>
      <x:c r="N79" s="989" t="str">
        <x:f>IF($K79="","",IFERROR('Game Records'!$U79,""))</x:f>
      </x:c>
      <x:c r="O79" s="989" t="str">
        <x:f>IF($K79="","",IF($P79="","No Highlighted Fields","Highlighted Fields Present"))</x:f>
      </x:c>
      <x:c r="P79" s="989" t="str">
        <x:f>IF($K79="","",IF('Game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Q79" s="989" t="str">
        <x:f>IF($K79="","",IFERROR('Game Records'!$M79,""))</x:f>
      </x:c>
    </x:row>
    <x:row r="80" ht="24" hidden="0" customHeight="1">
      <x:c r="A80" s="332"/>
      <x:c r="B80" s="332"/>
      <x:c r="C80" s="331"/>
      <x:c r="D80" s="331"/>
      <x:c r="E80" s="331"/>
      <x:c r="F80" s="331"/>
      <x:c r="G80" s="331"/>
      <x:c r="H80" s="104"/>
      <x:c r="I80" s="104"/>
      <x:c r="J80" s="104"/>
      <x:c r="K80" s="989" t="str">
        <x:f>IF(OR(COUNTA('Game Records'!$A80:$M80)=0,'Game Records'!$U80="Subscription"),"",IFERROR(MAX($K$4:K79),0)+1)</x:f>
      </x:c>
      <x:c r="L80" s="989" t="str">
        <x:f>IF($K80="","","G-"&amp;TEXT($K80,"0000"))</x:f>
      </x:c>
      <x:c r="M80" s="989" t="str">
        <x:f>IF($K80="","",IFERROR('Game Records'!$A80,""))</x:f>
      </x:c>
      <x:c r="N80" s="989" t="str">
        <x:f>IF($K80="","",IFERROR('Game Records'!$U80,""))</x:f>
      </x:c>
      <x:c r="O80" s="989" t="str">
        <x:f>IF($K80="","",IF($P80="","No Highlighted Fields","Highlighted Fields Present"))</x:f>
      </x:c>
      <x:c r="P80" s="989" t="str">
        <x:f>IF($K80="","",IF('Game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Q80" s="989" t="str">
        <x:f>IF($K80="","",IFERROR('Game Records'!$M80,""))</x:f>
      </x:c>
    </x:row>
    <x:row r="81" ht="24" hidden="0" customHeight="1">
      <x:c r="A81" s="332"/>
      <x:c r="B81" s="332"/>
      <x:c r="C81" s="331"/>
      <x:c r="D81" s="331"/>
      <x:c r="E81" s="331"/>
      <x:c r="F81" s="331"/>
      <x:c r="G81" s="331"/>
      <x:c r="H81" s="104"/>
      <x:c r="I81" s="104"/>
      <x:c r="J81" s="104"/>
      <x:c r="K81" s="989" t="str">
        <x:f>IF(OR(COUNTA('Game Records'!$A81:$M81)=0,'Game Records'!$U81="Subscription"),"",IFERROR(MAX($K$4:K80),0)+1)</x:f>
      </x:c>
      <x:c r="L81" s="989" t="str">
        <x:f>IF($K81="","","G-"&amp;TEXT($K81,"0000"))</x:f>
      </x:c>
      <x:c r="M81" s="989" t="str">
        <x:f>IF($K81="","",IFERROR('Game Records'!$A81,""))</x:f>
      </x:c>
      <x:c r="N81" s="989" t="str">
        <x:f>IF($K81="","",IFERROR('Game Records'!$U81,""))</x:f>
      </x:c>
      <x:c r="O81" s="989" t="str">
        <x:f>IF($K81="","",IF($P81="","No Highlighted Fields","Highlighted Fields Present"))</x:f>
      </x:c>
      <x:c r="P81" s="989" t="str">
        <x:f>IF($K81="","",IF('Game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Q81" s="989" t="str">
        <x:f>IF($K81="","",IFERROR('Game Records'!$M81,""))</x:f>
      </x:c>
    </x:row>
    <x:row r="82" ht="24" hidden="0" customHeight="1">
      <x:c r="A82" s="332"/>
      <x:c r="B82" s="332"/>
      <x:c r="C82" s="331"/>
      <x:c r="D82" s="331"/>
      <x:c r="E82" s="331"/>
      <x:c r="F82" s="331"/>
      <x:c r="G82" s="331"/>
      <x:c r="H82" s="104"/>
      <x:c r="I82" s="104"/>
      <x:c r="J82" s="104"/>
      <x:c r="K82" s="989" t="str">
        <x:f>IF(OR(COUNTA('Game Records'!$A82:$M82)=0,'Game Records'!$U82="Subscription"),"",IFERROR(MAX($K$4:K81),0)+1)</x:f>
      </x:c>
      <x:c r="L82" s="989" t="str">
        <x:f>IF($K82="","","G-"&amp;TEXT($K82,"0000"))</x:f>
      </x:c>
      <x:c r="M82" s="989" t="str">
        <x:f>IF($K82="","",IFERROR('Game Records'!$A82,""))</x:f>
      </x:c>
      <x:c r="N82" s="989" t="str">
        <x:f>IF($K82="","",IFERROR('Game Records'!$U82,""))</x:f>
      </x:c>
      <x:c r="O82" s="989" t="str">
        <x:f>IF($K82="","",IF($P82="","No Highlighted Fields","Highlighted Fields Present"))</x:f>
      </x:c>
      <x:c r="P82" s="989" t="str">
        <x:f>IF($K82="","",IF('Game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Q82" s="989" t="str">
        <x:f>IF($K82="","",IFERROR('Game Records'!$M82,""))</x:f>
      </x:c>
    </x:row>
    <x:row r="83" ht="24" hidden="0" customHeight="1">
      <x:c r="A83" s="332"/>
      <x:c r="B83" s="332"/>
      <x:c r="C83" s="331"/>
      <x:c r="D83" s="331"/>
      <x:c r="E83" s="331"/>
      <x:c r="F83" s="331"/>
      <x:c r="G83" s="331"/>
      <x:c r="H83" s="104"/>
      <x:c r="I83" s="104"/>
      <x:c r="J83" s="104"/>
      <x:c r="K83" s="989" t="str">
        <x:f>IF(OR(COUNTA('Game Records'!$A83:$M83)=0,'Game Records'!$U83="Subscription"),"",IFERROR(MAX($K$4:K82),0)+1)</x:f>
      </x:c>
      <x:c r="L83" s="989" t="str">
        <x:f>IF($K83="","","G-"&amp;TEXT($K83,"0000"))</x:f>
      </x:c>
      <x:c r="M83" s="989" t="str">
        <x:f>IF($K83="","",IFERROR('Game Records'!$A83,""))</x:f>
      </x:c>
      <x:c r="N83" s="989" t="str">
        <x:f>IF($K83="","",IFERROR('Game Records'!$U83,""))</x:f>
      </x:c>
      <x:c r="O83" s="989" t="str">
        <x:f>IF($K83="","",IF($P83="","No Highlighted Fields","Highlighted Fields Present"))</x:f>
      </x:c>
      <x:c r="P83" s="989" t="str">
        <x:f>IF($K83="","",IF('Game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Q83" s="989" t="str">
        <x:f>IF($K83="","",IFERROR('Game Records'!$M83,""))</x:f>
      </x:c>
    </x:row>
    <x:row r="84" ht="24" hidden="0" customHeight="1">
      <x:c r="A84" s="332"/>
      <x:c r="B84" s="332"/>
      <x:c r="C84" s="331"/>
      <x:c r="D84" s="331"/>
      <x:c r="E84" s="331"/>
      <x:c r="F84" s="331"/>
      <x:c r="G84" s="331"/>
      <x:c r="H84" s="104"/>
      <x:c r="I84" s="104"/>
      <x:c r="J84" s="104"/>
      <x:c r="K84" s="989" t="str">
        <x:f>IF(OR(COUNTA('Game Records'!$A84:$M84)=0,'Game Records'!$U84="Subscription"),"",IFERROR(MAX($K$4:K83),0)+1)</x:f>
      </x:c>
      <x:c r="L84" s="989" t="str">
        <x:f>IF($K84="","","G-"&amp;TEXT($K84,"0000"))</x:f>
      </x:c>
      <x:c r="M84" s="989" t="str">
        <x:f>IF($K84="","",IFERROR('Game Records'!$A84,""))</x:f>
      </x:c>
      <x:c r="N84" s="989" t="str">
        <x:f>IF($K84="","",IFERROR('Game Records'!$U84,""))</x:f>
      </x:c>
      <x:c r="O84" s="989" t="str">
        <x:f>IF($K84="","",IF($P84="","No Highlighted Fields","Highlighted Fields Present"))</x:f>
      </x:c>
      <x:c r="P84" s="989" t="str">
        <x:f>IF($K84="","",IF('Game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Q84" s="989" t="str">
        <x:f>IF($K84="","",IFERROR('Game Records'!$M84,""))</x:f>
      </x:c>
    </x:row>
    <x:row r="85" ht="24" hidden="0" customHeight="1">
      <x:c r="A85" s="332"/>
      <x:c r="B85" s="332"/>
      <x:c r="C85" s="331"/>
      <x:c r="D85" s="331"/>
      <x:c r="E85" s="331"/>
      <x:c r="F85" s="331"/>
      <x:c r="G85" s="331"/>
      <x:c r="H85" s="104"/>
      <x:c r="I85" s="104"/>
      <x:c r="J85" s="104"/>
      <x:c r="K85" s="989" t="str">
        <x:f>IF(OR(COUNTA('Game Records'!$A85:$M85)=0,'Game Records'!$U85="Subscription"),"",IFERROR(MAX($K$4:K84),0)+1)</x:f>
      </x:c>
      <x:c r="L85" s="989" t="str">
        <x:f>IF($K85="","","G-"&amp;TEXT($K85,"0000"))</x:f>
      </x:c>
      <x:c r="M85" s="989" t="str">
        <x:f>IF($K85="","",IFERROR('Game Records'!$A85,""))</x:f>
      </x:c>
      <x:c r="N85" s="989" t="str">
        <x:f>IF($K85="","",IFERROR('Game Records'!$U85,""))</x:f>
      </x:c>
      <x:c r="O85" s="989" t="str">
        <x:f>IF($K85="","",IF($P85="","No Highlighted Fields","Highlighted Fields Present"))</x:f>
      </x:c>
      <x:c r="P85" s="989" t="str">
        <x:f>IF($K85="","",IF('Game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Q85" s="989" t="str">
        <x:f>IF($K85="","",IFERROR('Game Records'!$M85,""))</x:f>
      </x:c>
    </x:row>
    <x:row r="86" ht="24" hidden="0" customHeight="1">
      <x:c r="A86" s="332"/>
      <x:c r="B86" s="332"/>
      <x:c r="C86" s="331"/>
      <x:c r="D86" s="331"/>
      <x:c r="E86" s="331"/>
      <x:c r="F86" s="331"/>
      <x:c r="G86" s="331"/>
      <x:c r="H86" s="104"/>
      <x:c r="I86" s="104"/>
      <x:c r="J86" s="104"/>
      <x:c r="K86" s="989" t="str">
        <x:f>IF(OR(COUNTA('Game Records'!$A86:$M86)=0,'Game Records'!$U86="Subscription"),"",IFERROR(MAX($K$4:K85),0)+1)</x:f>
      </x:c>
      <x:c r="L86" s="989" t="str">
        <x:f>IF($K86="","","G-"&amp;TEXT($K86,"0000"))</x:f>
      </x:c>
      <x:c r="M86" s="989" t="str">
        <x:f>IF($K86="","",IFERROR('Game Records'!$A86,""))</x:f>
      </x:c>
      <x:c r="N86" s="989" t="str">
        <x:f>IF($K86="","",IFERROR('Game Records'!$U86,""))</x:f>
      </x:c>
      <x:c r="O86" s="989" t="str">
        <x:f>IF($K86="","",IF($P86="","No Highlighted Fields","Highlighted Fields Present"))</x:f>
      </x:c>
      <x:c r="P86" s="989" t="str">
        <x:f>IF($K86="","",IF('Game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Q86" s="989" t="str">
        <x:f>IF($K86="","",IFERROR('Game Records'!$M86,""))</x:f>
      </x:c>
    </x:row>
    <x:row r="87" ht="24" hidden="0" customHeight="1">
      <x:c r="A87" s="332"/>
      <x:c r="B87" s="332"/>
      <x:c r="C87" s="331"/>
      <x:c r="D87" s="331"/>
      <x:c r="E87" s="331"/>
      <x:c r="F87" s="331"/>
      <x:c r="G87" s="331"/>
      <x:c r="H87" s="104"/>
      <x:c r="I87" s="104"/>
      <x:c r="J87" s="104"/>
      <x:c r="K87" s="989" t="str">
        <x:f>IF(OR(COUNTA('Game Records'!$A87:$M87)=0,'Game Records'!$U87="Subscription"),"",IFERROR(MAX($K$4:K86),0)+1)</x:f>
      </x:c>
      <x:c r="L87" s="989" t="str">
        <x:f>IF($K87="","","G-"&amp;TEXT($K87,"0000"))</x:f>
      </x:c>
      <x:c r="M87" s="989" t="str">
        <x:f>IF($K87="","",IFERROR('Game Records'!$A87,""))</x:f>
      </x:c>
      <x:c r="N87" s="989" t="str">
        <x:f>IF($K87="","",IFERROR('Game Records'!$U87,""))</x:f>
      </x:c>
      <x:c r="O87" s="989" t="str">
        <x:f>IF($K87="","",IF($P87="","No Highlighted Fields","Highlighted Fields Present"))</x:f>
      </x:c>
      <x:c r="P87" s="989" t="str">
        <x:f>IF($K87="","",IF('Game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Q87" s="989" t="str">
        <x:f>IF($K87="","",IFERROR('Game Records'!$M87,""))</x:f>
      </x:c>
    </x:row>
    <x:row r="88" ht="24" hidden="0" customHeight="1">
      <x:c r="A88" s="332"/>
      <x:c r="B88" s="332"/>
      <x:c r="C88" s="331"/>
      <x:c r="D88" s="331"/>
      <x:c r="E88" s="331"/>
      <x:c r="F88" s="331"/>
      <x:c r="G88" s="331"/>
      <x:c r="H88" s="104"/>
      <x:c r="I88" s="104"/>
      <x:c r="J88" s="104"/>
      <x:c r="K88" s="989" t="str">
        <x:f>IF(OR(COUNTA('Game Records'!$A88:$M88)=0,'Game Records'!$U88="Subscription"),"",IFERROR(MAX($K$4:K87),0)+1)</x:f>
      </x:c>
      <x:c r="L88" s="989" t="str">
        <x:f>IF($K88="","","G-"&amp;TEXT($K88,"0000"))</x:f>
      </x:c>
      <x:c r="M88" s="989" t="str">
        <x:f>IF($K88="","",IFERROR('Game Records'!$A88,""))</x:f>
      </x:c>
      <x:c r="N88" s="989" t="str">
        <x:f>IF($K88="","",IFERROR('Game Records'!$U88,""))</x:f>
      </x:c>
      <x:c r="O88" s="989" t="str">
        <x:f>IF($K88="","",IF($P88="","No Highlighted Fields","Highlighted Fields Present"))</x:f>
      </x:c>
      <x:c r="P88" s="989" t="str">
        <x:f>IF($K88="","",IF('Game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Q88" s="989" t="str">
        <x:f>IF($K88="","",IFERROR('Game Records'!$M88,""))</x:f>
      </x:c>
    </x:row>
    <x:row r="89" ht="24" hidden="0" customHeight="1">
      <x:c r="A89" s="332"/>
      <x:c r="B89" s="332"/>
      <x:c r="C89" s="331"/>
      <x:c r="D89" s="331"/>
      <x:c r="E89" s="331"/>
      <x:c r="F89" s="331"/>
      <x:c r="G89" s="331"/>
      <x:c r="H89" s="104"/>
      <x:c r="I89" s="104"/>
      <x:c r="J89" s="104"/>
      <x:c r="K89" s="989" t="str">
        <x:f>IF(OR(COUNTA('Game Records'!$A89:$M89)=0,'Game Records'!$U89="Subscription"),"",IFERROR(MAX($K$4:K88),0)+1)</x:f>
      </x:c>
      <x:c r="L89" s="989" t="str">
        <x:f>IF($K89="","","G-"&amp;TEXT($K89,"0000"))</x:f>
      </x:c>
      <x:c r="M89" s="989" t="str">
        <x:f>IF($K89="","",IFERROR('Game Records'!$A89,""))</x:f>
      </x:c>
      <x:c r="N89" s="989" t="str">
        <x:f>IF($K89="","",IFERROR('Game Records'!$U89,""))</x:f>
      </x:c>
      <x:c r="O89" s="989" t="str">
        <x:f>IF($K89="","",IF($P89="","No Highlighted Fields","Highlighted Fields Present"))</x:f>
      </x:c>
      <x:c r="P89" s="989" t="str">
        <x:f>IF($K89="","",IF('Game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Q89" s="989" t="str">
        <x:f>IF($K89="","",IFERROR('Game Records'!$M89,""))</x:f>
      </x:c>
    </x:row>
    <x:row r="90" ht="24" hidden="0" customHeight="1">
      <x:c r="A90" s="332"/>
      <x:c r="B90" s="332"/>
      <x:c r="C90" s="331"/>
      <x:c r="D90" s="331"/>
      <x:c r="E90" s="331"/>
      <x:c r="F90" s="331"/>
      <x:c r="G90" s="331"/>
      <x:c r="H90" s="104"/>
      <x:c r="I90" s="104"/>
      <x:c r="J90" s="104"/>
      <x:c r="K90" s="989" t="str">
        <x:f>IF(OR(COUNTA('Game Records'!$A90:$M90)=0,'Game Records'!$U90="Subscription"),"",IFERROR(MAX($K$4:K89),0)+1)</x:f>
      </x:c>
      <x:c r="L90" s="989" t="str">
        <x:f>IF($K90="","","G-"&amp;TEXT($K90,"0000"))</x:f>
      </x:c>
      <x:c r="M90" s="989" t="str">
        <x:f>IF($K90="","",IFERROR('Game Records'!$A90,""))</x:f>
      </x:c>
      <x:c r="N90" s="989" t="str">
        <x:f>IF($K90="","",IFERROR('Game Records'!$U90,""))</x:f>
      </x:c>
      <x:c r="O90" s="989" t="str">
        <x:f>IF($K90="","",IF($P90="","No Highlighted Fields","Highlighted Fields Present"))</x:f>
      </x:c>
      <x:c r="P90" s="989" t="str">
        <x:f>IF($K90="","",IF('Game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Q90" s="989" t="str">
        <x:f>IF($K90="","",IFERROR('Game Records'!$M90,""))</x:f>
      </x:c>
    </x:row>
    <x:row r="91" ht="24" hidden="0" customHeight="1">
      <x:c r="A91" s="332"/>
      <x:c r="B91" s="332"/>
      <x:c r="C91" s="331"/>
      <x:c r="D91" s="331"/>
      <x:c r="E91" s="331"/>
      <x:c r="F91" s="331"/>
      <x:c r="G91" s="331"/>
      <x:c r="H91" s="104"/>
      <x:c r="I91" s="104"/>
      <x:c r="J91" s="104"/>
      <x:c r="K91" s="989" t="str">
        <x:f>IF(OR(COUNTA('Game Records'!$A91:$M91)=0,'Game Records'!$U91="Subscription"),"",IFERROR(MAX($K$4:K90),0)+1)</x:f>
      </x:c>
      <x:c r="L91" s="989" t="str">
        <x:f>IF($K91="","","G-"&amp;TEXT($K91,"0000"))</x:f>
      </x:c>
      <x:c r="M91" s="989" t="str">
        <x:f>IF($K91="","",IFERROR('Game Records'!$A91,""))</x:f>
      </x:c>
      <x:c r="N91" s="989" t="str">
        <x:f>IF($K91="","",IFERROR('Game Records'!$U91,""))</x:f>
      </x:c>
      <x:c r="O91" s="989" t="str">
        <x:f>IF($K91="","",IF($P91="","No Highlighted Fields","Highlighted Fields Present"))</x:f>
      </x:c>
      <x:c r="P91" s="989" t="str">
        <x:f>IF($K91="","",IF('Game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Q91" s="989" t="str">
        <x:f>IF($K91="","",IFERROR('Game Records'!$M91,""))</x:f>
      </x:c>
    </x:row>
    <x:row r="92" ht="24" hidden="0" customHeight="1">
      <x:c r="A92" s="332"/>
      <x:c r="B92" s="332"/>
      <x:c r="C92" s="331"/>
      <x:c r="D92" s="331"/>
      <x:c r="E92" s="331"/>
      <x:c r="F92" s="331"/>
      <x:c r="G92" s="331"/>
      <x:c r="H92" s="104"/>
      <x:c r="I92" s="104"/>
      <x:c r="J92" s="104"/>
      <x:c r="K92" s="989" t="str">
        <x:f>IF(OR(COUNTA('Game Records'!$A92:$M92)=0,'Game Records'!$U92="Subscription"),"",IFERROR(MAX($K$4:K91),0)+1)</x:f>
      </x:c>
      <x:c r="L92" s="989" t="str">
        <x:f>IF($K92="","","G-"&amp;TEXT($K92,"0000"))</x:f>
      </x:c>
      <x:c r="M92" s="989" t="str">
        <x:f>IF($K92="","",IFERROR('Game Records'!$A92,""))</x:f>
      </x:c>
      <x:c r="N92" s="989" t="str">
        <x:f>IF($K92="","",IFERROR('Game Records'!$U92,""))</x:f>
      </x:c>
      <x:c r="O92" s="989" t="str">
        <x:f>IF($K92="","",IF($P92="","No Highlighted Fields","Highlighted Fields Present"))</x:f>
      </x:c>
      <x:c r="P92" s="989" t="str">
        <x:f>IF($K92="","",IF('Game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Q92" s="989" t="str">
        <x:f>IF($K92="","",IFERROR('Game Records'!$M92,""))</x:f>
      </x:c>
    </x:row>
    <x:row r="93" ht="24" hidden="0" customHeight="1">
      <x:c r="A93" s="332"/>
      <x:c r="B93" s="332"/>
      <x:c r="C93" s="331"/>
      <x:c r="D93" s="331"/>
      <x:c r="E93" s="331"/>
      <x:c r="F93" s="331"/>
      <x:c r="G93" s="331"/>
      <x:c r="H93" s="104"/>
      <x:c r="I93" s="104"/>
      <x:c r="J93" s="104"/>
      <x:c r="K93" s="989" t="str">
        <x:f>IF(OR(COUNTA('Game Records'!$A93:$M93)=0,'Game Records'!$U93="Subscription"),"",IFERROR(MAX($K$4:K92),0)+1)</x:f>
      </x:c>
      <x:c r="L93" s="989" t="str">
        <x:f>IF($K93="","","G-"&amp;TEXT($K93,"0000"))</x:f>
      </x:c>
      <x:c r="M93" s="989" t="str">
        <x:f>IF($K93="","",IFERROR('Game Records'!$A93,""))</x:f>
      </x:c>
      <x:c r="N93" s="989" t="str">
        <x:f>IF($K93="","",IFERROR('Game Records'!$U93,""))</x:f>
      </x:c>
      <x:c r="O93" s="989" t="str">
        <x:f>IF($K93="","",IF($P93="","No Highlighted Fields","Highlighted Fields Present"))</x:f>
      </x:c>
      <x:c r="P93" s="989" t="str">
        <x:f>IF($K93="","",IF('Game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Q93" s="989" t="str">
        <x:f>IF($K93="","",IFERROR('Game Records'!$M93,""))</x:f>
      </x:c>
    </x:row>
    <x:row r="94" ht="24" hidden="0" customHeight="1">
      <x:c r="A94" s="332"/>
      <x:c r="B94" s="332"/>
      <x:c r="C94" s="331"/>
      <x:c r="D94" s="331"/>
      <x:c r="E94" s="331"/>
      <x:c r="F94" s="331"/>
      <x:c r="G94" s="331"/>
      <x:c r="H94" s="104"/>
      <x:c r="I94" s="104"/>
      <x:c r="J94" s="104"/>
      <x:c r="K94" s="989" t="str">
        <x:f>IF(OR(COUNTA('Game Records'!$A94:$M94)=0,'Game Records'!$U94="Subscription"),"",IFERROR(MAX($K$4:K93),0)+1)</x:f>
      </x:c>
      <x:c r="L94" s="989" t="str">
        <x:f>IF($K94="","","G-"&amp;TEXT($K94,"0000"))</x:f>
      </x:c>
      <x:c r="M94" s="989" t="str">
        <x:f>IF($K94="","",IFERROR('Game Records'!$A94,""))</x:f>
      </x:c>
      <x:c r="N94" s="989" t="str">
        <x:f>IF($K94="","",IFERROR('Game Records'!$U94,""))</x:f>
      </x:c>
      <x:c r="O94" s="989" t="str">
        <x:f>IF($K94="","",IF($P94="","No Highlighted Fields","Highlighted Fields Present"))</x:f>
      </x:c>
      <x:c r="P94" s="989" t="str">
        <x:f>IF($K94="","",IF('Game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Q94" s="989" t="str">
        <x:f>IF($K94="","",IFERROR('Game Records'!$M94,""))</x:f>
      </x:c>
    </x:row>
    <x:row r="95" ht="24" hidden="0" customHeight="1">
      <x:c r="A95" s="332"/>
      <x:c r="B95" s="332"/>
      <x:c r="C95" s="331"/>
      <x:c r="D95" s="331"/>
      <x:c r="E95" s="331"/>
      <x:c r="F95" s="331"/>
      <x:c r="G95" s="331"/>
      <x:c r="H95" s="104"/>
      <x:c r="I95" s="104"/>
      <x:c r="J95" s="104"/>
      <x:c r="K95" s="989" t="str">
        <x:f>IF(OR(COUNTA('Game Records'!$A95:$M95)=0,'Game Records'!$U95="Subscription"),"",IFERROR(MAX($K$4:K94),0)+1)</x:f>
      </x:c>
      <x:c r="L95" s="989" t="str">
        <x:f>IF($K95="","","G-"&amp;TEXT($K95,"0000"))</x:f>
      </x:c>
      <x:c r="M95" s="989" t="str">
        <x:f>IF($K95="","",IFERROR('Game Records'!$A95,""))</x:f>
      </x:c>
      <x:c r="N95" s="989" t="str">
        <x:f>IF($K95="","",IFERROR('Game Records'!$U95,""))</x:f>
      </x:c>
      <x:c r="O95" s="989" t="str">
        <x:f>IF($K95="","",IF($P95="","No Highlighted Fields","Highlighted Fields Present"))</x:f>
      </x:c>
      <x:c r="P95" s="989" t="str">
        <x:f>IF($K95="","",IF('Game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Q95" s="989" t="str">
        <x:f>IF($K95="","",IFERROR('Game Records'!$M95,""))</x:f>
      </x:c>
    </x:row>
    <x:row r="96" ht="24" hidden="0" customHeight="1">
      <x:c r="A96" s="332"/>
      <x:c r="B96" s="332"/>
      <x:c r="C96" s="331"/>
      <x:c r="D96" s="331"/>
      <x:c r="E96" s="331"/>
      <x:c r="F96" s="331"/>
      <x:c r="G96" s="331"/>
      <x:c r="H96" s="104"/>
      <x:c r="I96" s="104"/>
      <x:c r="J96" s="104"/>
      <x:c r="K96" s="989" t="str">
        <x:f>IF(OR(COUNTA('Game Records'!$A96:$M96)=0,'Game Records'!$U96="Subscription"),"",IFERROR(MAX($K$4:K95),0)+1)</x:f>
      </x:c>
      <x:c r="L96" s="989" t="str">
        <x:f>IF($K96="","","G-"&amp;TEXT($K96,"0000"))</x:f>
      </x:c>
      <x:c r="M96" s="989" t="str">
        <x:f>IF($K96="","",IFERROR('Game Records'!$A96,""))</x:f>
      </x:c>
      <x:c r="N96" s="989" t="str">
        <x:f>IF($K96="","",IFERROR('Game Records'!$U96,""))</x:f>
      </x:c>
      <x:c r="O96" s="989" t="str">
        <x:f>IF($K96="","",IF($P96="","No Highlighted Fields","Highlighted Fields Present"))</x:f>
      </x:c>
      <x:c r="P96" s="989" t="str">
        <x:f>IF($K96="","",IF('Game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Q96" s="989" t="str">
        <x:f>IF($K96="","",IFERROR('Game Records'!$M96,""))</x:f>
      </x:c>
    </x:row>
    <x:row r="97" ht="24" hidden="0" customHeight="1">
      <x:c r="A97" s="332"/>
      <x:c r="B97" s="332"/>
      <x:c r="C97" s="331"/>
      <x:c r="D97" s="331"/>
      <x:c r="E97" s="331"/>
      <x:c r="F97" s="331"/>
      <x:c r="G97" s="331"/>
      <x:c r="H97" s="104"/>
      <x:c r="I97" s="104"/>
      <x:c r="J97" s="104"/>
      <x:c r="K97" s="989" t="str">
        <x:f>IF(OR(COUNTA('Game Records'!$A97:$M97)=0,'Game Records'!$U97="Subscription"),"",IFERROR(MAX($K$4:K96),0)+1)</x:f>
      </x:c>
      <x:c r="L97" s="989" t="str">
        <x:f>IF($K97="","","G-"&amp;TEXT($K97,"0000"))</x:f>
      </x:c>
      <x:c r="M97" s="989" t="str">
        <x:f>IF($K97="","",IFERROR('Game Records'!$A97,""))</x:f>
      </x:c>
      <x:c r="N97" s="989" t="str">
        <x:f>IF($K97="","",IFERROR('Game Records'!$U97,""))</x:f>
      </x:c>
      <x:c r="O97" s="989" t="str">
        <x:f>IF($K97="","",IF($P97="","No Highlighted Fields","Highlighted Fields Present"))</x:f>
      </x:c>
      <x:c r="P97" s="989" t="str">
        <x:f>IF($K97="","",IF('Game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Q97" s="989" t="str">
        <x:f>IF($K97="","",IFERROR('Game Records'!$M97,""))</x:f>
      </x:c>
    </x:row>
    <x:row r="98" ht="24" hidden="0" customHeight="1">
      <x:c r="A98" s="332"/>
      <x:c r="B98" s="332"/>
      <x:c r="C98" s="331"/>
      <x:c r="D98" s="331"/>
      <x:c r="E98" s="331"/>
      <x:c r="F98" s="331"/>
      <x:c r="G98" s="331"/>
      <x:c r="H98" s="104"/>
      <x:c r="I98" s="104"/>
      <x:c r="J98" s="104"/>
      <x:c r="K98" s="989" t="str">
        <x:f>IF(OR(COUNTA('Game Records'!$A98:$M98)=0,'Game Records'!$U98="Subscription"),"",IFERROR(MAX($K$4:K97),0)+1)</x:f>
      </x:c>
      <x:c r="L98" s="989" t="str">
        <x:f>IF($K98="","","G-"&amp;TEXT($K98,"0000"))</x:f>
      </x:c>
      <x:c r="M98" s="989" t="str">
        <x:f>IF($K98="","",IFERROR('Game Records'!$A98,""))</x:f>
      </x:c>
      <x:c r="N98" s="989" t="str">
        <x:f>IF($K98="","",IFERROR('Game Records'!$U98,""))</x:f>
      </x:c>
      <x:c r="O98" s="989" t="str">
        <x:f>IF($K98="","",IF($P98="","No Highlighted Fields","Highlighted Fields Present"))</x:f>
      </x:c>
      <x:c r="P98" s="989" t="str">
        <x:f>IF($K98="","",IF('Game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Q98" s="989" t="str">
        <x:f>IF($K98="","",IFERROR('Game Records'!$M98,""))</x:f>
      </x:c>
    </x:row>
    <x:row r="99" ht="24" hidden="0" customHeight="1">
      <x:c r="A99" s="332"/>
      <x:c r="B99" s="332"/>
      <x:c r="C99" s="331"/>
      <x:c r="D99" s="331"/>
      <x:c r="E99" s="331"/>
      <x:c r="F99" s="331"/>
      <x:c r="G99" s="331"/>
      <x:c r="H99" s="104"/>
      <x:c r="I99" s="104"/>
      <x:c r="J99" s="104"/>
      <x:c r="K99" s="989" t="str">
        <x:f>IF(OR(COUNTA('Game Records'!$A99:$M99)=0,'Game Records'!$U99="Subscription"),"",IFERROR(MAX($K$4:K98),0)+1)</x:f>
      </x:c>
      <x:c r="L99" s="989" t="str">
        <x:f>IF($K99="","","G-"&amp;TEXT($K99,"0000"))</x:f>
      </x:c>
      <x:c r="M99" s="989" t="str">
        <x:f>IF($K99="","",IFERROR('Game Records'!$A99,""))</x:f>
      </x:c>
      <x:c r="N99" s="989" t="str">
        <x:f>IF($K99="","",IFERROR('Game Records'!$U99,""))</x:f>
      </x:c>
      <x:c r="O99" s="989" t="str">
        <x:f>IF($K99="","",IF($P99="","No Highlighted Fields","Highlighted Fields Present"))</x:f>
      </x:c>
      <x:c r="P99" s="989" t="str">
        <x:f>IF($K99="","",IF('Game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Q99" s="989" t="str">
        <x:f>IF($K99="","",IFERROR('Game Records'!$M99,""))</x:f>
      </x:c>
    </x:row>
    <x:row r="100" ht="24" hidden="0" customHeight="1">
      <x:c r="A100" s="332"/>
      <x:c r="B100" s="332"/>
      <x:c r="C100" s="331"/>
      <x:c r="D100" s="331"/>
      <x:c r="E100" s="331"/>
      <x:c r="F100" s="331"/>
      <x:c r="G100" s="331"/>
      <x:c r="H100" s="104"/>
      <x:c r="I100" s="104"/>
      <x:c r="J100" s="104"/>
      <x:c r="K100" s="989" t="str">
        <x:f>IF(OR(COUNTA('Game Records'!$A100:$M100)=0,'Game Records'!$U100="Subscription"),"",IFERROR(MAX($K$4:K99),0)+1)</x:f>
      </x:c>
      <x:c r="L100" s="989" t="str">
        <x:f>IF($K100="","","G-"&amp;TEXT($K100,"0000"))</x:f>
      </x:c>
      <x:c r="M100" s="989" t="str">
        <x:f>IF($K100="","",IFERROR('Game Records'!$A100,""))</x:f>
      </x:c>
      <x:c r="N100" s="989" t="str">
        <x:f>IF($K100="","",IFERROR('Game Records'!$U100,""))</x:f>
      </x:c>
      <x:c r="O100" s="989" t="str">
        <x:f>IF($K100="","",IF($P100="","No Highlighted Fields","Highlighted Fields Present"))</x:f>
      </x:c>
      <x:c r="P100" s="989" t="str">
        <x:f>IF($K100="","",IF('Game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Q100" s="989" t="str">
        <x:f>IF($K100="","",IFERROR('Game Records'!$M100,""))</x:f>
      </x:c>
    </x:row>
    <x:row r="101" ht="24" hidden="0" customHeight="1">
      <x:c r="A101" s="332"/>
      <x:c r="B101" s="332"/>
      <x:c r="C101" s="331"/>
      <x:c r="D101" s="331"/>
      <x:c r="E101" s="331"/>
      <x:c r="F101" s="331"/>
      <x:c r="G101" s="331"/>
      <x:c r="H101" s="104"/>
      <x:c r="I101" s="104"/>
      <x:c r="J101" s="104"/>
      <x:c r="K101" s="989" t="str">
        <x:f>IF(OR(COUNTA('Game Records'!$A101:$M101)=0,'Game Records'!$U101="Subscription"),"",IFERROR(MAX($K$4:K100),0)+1)</x:f>
      </x:c>
      <x:c r="L101" s="989" t="str">
        <x:f>IF($K101="","","G-"&amp;TEXT($K101,"0000"))</x:f>
      </x:c>
      <x:c r="M101" s="989" t="str">
        <x:f>IF($K101="","",IFERROR('Game Records'!$A101,""))</x:f>
      </x:c>
      <x:c r="N101" s="989" t="str">
        <x:f>IF($K101="","",IFERROR('Game Records'!$U101,""))</x:f>
      </x:c>
      <x:c r="O101" s="989" t="str">
        <x:f>IF($K101="","",IF($P101="","No Highlighted Fields","Highlighted Fields Present"))</x:f>
      </x:c>
      <x:c r="P101" s="989" t="str">
        <x:f>IF($K101="","",IF('Game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Q101" s="989" t="str">
        <x:f>IF($K101="","",IFERROR('Game Records'!$M101,""))</x:f>
      </x:c>
    </x:row>
    <x:row r="102" ht="24" hidden="0" customHeight="1">
      <x:c r="A102" s="332"/>
      <x:c r="B102" s="332"/>
      <x:c r="C102" s="331"/>
      <x:c r="D102" s="331"/>
      <x:c r="E102" s="331"/>
      <x:c r="F102" s="331"/>
      <x:c r="G102" s="331"/>
      <x:c r="H102" s="104"/>
      <x:c r="I102" s="104"/>
      <x:c r="J102" s="104"/>
      <x:c r="K102" s="989" t="str">
        <x:f>IF(OR(COUNTA('Game Records'!$A102:$M102)=0,'Game Records'!$U102="Subscription"),"",IFERROR(MAX($K$4:K101),0)+1)</x:f>
      </x:c>
      <x:c r="L102" s="989" t="str">
        <x:f>IF($K102="","","G-"&amp;TEXT($K102,"0000"))</x:f>
      </x:c>
      <x:c r="M102" s="989" t="str">
        <x:f>IF($K102="","",IFERROR('Game Records'!$A102,""))</x:f>
      </x:c>
      <x:c r="N102" s="989" t="str">
        <x:f>IF($K102="","",IFERROR('Game Records'!$U102,""))</x:f>
      </x:c>
      <x:c r="O102" s="989" t="str">
        <x:f>IF($K102="","",IF($P102="","No Highlighted Fields","Highlighted Fields Present"))</x:f>
      </x:c>
      <x:c r="P102" s="989" t="str">
        <x:f>IF($K102="","",IF('Game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Q102" s="989" t="str">
        <x:f>IF($K102="","",IFERROR('Game Records'!$M102,""))</x:f>
      </x:c>
    </x:row>
    <x:row r="103" ht="24" hidden="0" customHeight="1">
      <x:c r="A103" s="332"/>
      <x:c r="B103" s="332"/>
      <x:c r="C103" s="331"/>
      <x:c r="D103" s="331"/>
      <x:c r="E103" s="331"/>
      <x:c r="F103" s="331"/>
      <x:c r="G103" s="331"/>
      <x:c r="H103" s="104"/>
      <x:c r="I103" s="104"/>
      <x:c r="J103" s="104"/>
      <x:c r="K103" s="989" t="str">
        <x:f>IF(OR(COUNTA('Game Records'!$A103:$M103)=0,'Game Records'!$U103="Subscription"),"",IFERROR(MAX($K$4:K102),0)+1)</x:f>
      </x:c>
      <x:c r="L103" s="989" t="str">
        <x:f>IF($K103="","","G-"&amp;TEXT($K103,"0000"))</x:f>
      </x:c>
      <x:c r="M103" s="989" t="str">
        <x:f>IF($K103="","",IFERROR('Game Records'!$A103,""))</x:f>
      </x:c>
      <x:c r="N103" s="989" t="str">
        <x:f>IF($K103="","",IFERROR('Game Records'!$U103,""))</x:f>
      </x:c>
      <x:c r="O103" s="989" t="str">
        <x:f>IF($K103="","",IF($P103="","No Highlighted Fields","Highlighted Fields Present"))</x:f>
      </x:c>
      <x:c r="P103" s="989" t="str">
        <x:f>IF($K103="","",IF('Game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Q103" s="989" t="str">
        <x:f>IF($K103="","",IFERROR('Game Records'!$M103,""))</x:f>
      </x:c>
    </x:row>
    <x:row r="104" ht="24" hidden="0" customHeight="1">
      <x:c r="A104" s="332"/>
      <x:c r="B104" s="332"/>
      <x:c r="C104" s="331"/>
      <x:c r="D104" s="331"/>
      <x:c r="E104" s="331"/>
      <x:c r="F104" s="331"/>
      <x:c r="G104" s="331"/>
      <x:c r="H104" s="104"/>
      <x:c r="I104" s="104"/>
      <x:c r="J104" s="104"/>
      <x:c r="K104" s="989" t="str">
        <x:f>IF(OR(COUNTA('Game Records'!$A104:$M104)=0,'Game Records'!$U104="Subscription"),"",IFERROR(MAX($K$4:K103),0)+1)</x:f>
      </x:c>
      <x:c r="L104" s="989" t="str">
        <x:f>IF($K104="","","G-"&amp;TEXT($K104,"0000"))</x:f>
      </x:c>
      <x:c r="M104" s="989" t="str">
        <x:f>IF($K104="","",IFERROR('Game Records'!$A104,""))</x:f>
      </x:c>
      <x:c r="N104" s="989" t="str">
        <x:f>IF($K104="","",IFERROR('Game Records'!$U104,""))</x:f>
      </x:c>
      <x:c r="O104" s="989" t="str">
        <x:f>IF($K104="","",IF($P104="","No Highlighted Fields","Highlighted Fields Present"))</x:f>
      </x:c>
      <x:c r="P104" s="989" t="str">
        <x:f>IF($K104="","",IF('Game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Q104" s="989" t="str">
        <x:f>IF($K104="","",IFERROR('Game Records'!$M104,""))</x:f>
      </x:c>
    </x:row>
    <x:row r="105" ht="24" hidden="0" customHeight="1">
      <x:c r="A105" s="332"/>
      <x:c r="B105" s="332"/>
      <x:c r="C105" s="331"/>
      <x:c r="D105" s="331"/>
      <x:c r="E105" s="331"/>
      <x:c r="F105" s="331"/>
      <x:c r="G105" s="331"/>
      <x:c r="H105" s="104"/>
      <x:c r="I105" s="104"/>
      <x:c r="J105" s="104"/>
      <x:c r="K105" s="989" t="str">
        <x:f>IF(OR(COUNTA('Game Records'!$A105:$M105)=0,'Game Records'!$U105="Subscription"),"",IFERROR(MAX($K$4:K104),0)+1)</x:f>
      </x:c>
      <x:c r="L105" s="989" t="str">
        <x:f>IF($K105="","","G-"&amp;TEXT($K105,"0000"))</x:f>
      </x:c>
      <x:c r="M105" s="989" t="str">
        <x:f>IF($K105="","",IFERROR('Game Records'!$A105,""))</x:f>
      </x:c>
      <x:c r="N105" s="989" t="str">
        <x:f>IF($K105="","",IFERROR('Game Records'!$U105,""))</x:f>
      </x:c>
      <x:c r="O105" s="989" t="str">
        <x:f>IF($K105="","",IF($P105="","No Highlighted Fields","Highlighted Fields Present"))</x:f>
      </x:c>
      <x:c r="P105" s="989" t="str">
        <x:f>IF($K105="","",IF('Game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Q105" s="989" t="str">
        <x:f>IF($K105="","",IFERROR('Game Records'!$M105,""))</x:f>
      </x:c>
    </x:row>
    <x:row r="106" ht="24" hidden="0" customHeight="1">
      <x:c r="A106" s="332"/>
      <x:c r="B106" s="332"/>
      <x:c r="C106" s="331"/>
      <x:c r="D106" s="331"/>
      <x:c r="E106" s="331"/>
      <x:c r="F106" s="331"/>
      <x:c r="G106" s="331"/>
      <x:c r="H106" s="104"/>
      <x:c r="I106" s="104"/>
      <x:c r="J106" s="104"/>
      <x:c r="K106" s="989" t="str">
        <x:f>IF(OR(COUNTA('Game Records'!$A106:$M106)=0,'Game Records'!$U106="Subscription"),"",IFERROR(MAX($K$4:K105),0)+1)</x:f>
      </x:c>
      <x:c r="L106" s="989" t="str">
        <x:f>IF($K106="","","G-"&amp;TEXT($K106,"0000"))</x:f>
      </x:c>
      <x:c r="M106" s="989" t="str">
        <x:f>IF($K106="","",IFERROR('Game Records'!$A106,""))</x:f>
      </x:c>
      <x:c r="N106" s="989" t="str">
        <x:f>IF($K106="","",IFERROR('Game Records'!$U106,""))</x:f>
      </x:c>
      <x:c r="O106" s="989" t="str">
        <x:f>IF($K106="","",IF($P106="","No Highlighted Fields","Highlighted Fields Present"))</x:f>
      </x:c>
      <x:c r="P106" s="989" t="str">
        <x:f>IF($K106="","",IF('Game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Q106" s="989" t="str">
        <x:f>IF($K106="","",IFERROR('Game Records'!$M106,""))</x:f>
      </x:c>
    </x:row>
    <x:row r="107" ht="24" hidden="0" customHeight="1">
      <x:c r="A107" s="332"/>
      <x:c r="B107" s="332"/>
      <x:c r="C107" s="331"/>
      <x:c r="D107" s="331"/>
      <x:c r="E107" s="331"/>
      <x:c r="F107" s="331"/>
      <x:c r="G107" s="331"/>
      <x:c r="H107" s="104"/>
      <x:c r="I107" s="104"/>
      <x:c r="J107" s="104"/>
      <x:c r="K107" s="989" t="str">
        <x:f>IF(OR(COUNTA('Game Records'!$A107:$M107)=0,'Game Records'!$U107="Subscription"),"",IFERROR(MAX($K$4:K106),0)+1)</x:f>
      </x:c>
      <x:c r="L107" s="989" t="str">
        <x:f>IF($K107="","","G-"&amp;TEXT($K107,"0000"))</x:f>
      </x:c>
      <x:c r="M107" s="989" t="str">
        <x:f>IF($K107="","",IFERROR('Game Records'!$A107,""))</x:f>
      </x:c>
      <x:c r="N107" s="989" t="str">
        <x:f>IF($K107="","",IFERROR('Game Records'!$U107,""))</x:f>
      </x:c>
      <x:c r="O107" s="989" t="str">
        <x:f>IF($K107="","",IF($P107="","No Highlighted Fields","Highlighted Fields Present"))</x:f>
      </x:c>
      <x:c r="P107" s="989" t="str">
        <x:f>IF($K107="","",IF('Game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Q107" s="989" t="str">
        <x:f>IF($K107="","",IFERROR('Game Records'!$M107,""))</x:f>
      </x:c>
    </x:row>
    <x:row r="108" ht="24" hidden="0" customHeight="1">
      <x:c r="A108" s="332"/>
      <x:c r="B108" s="332"/>
      <x:c r="C108" s="331"/>
      <x:c r="D108" s="331"/>
      <x:c r="E108" s="331"/>
      <x:c r="F108" s="331"/>
      <x:c r="G108" s="331"/>
      <x:c r="H108" s="104"/>
      <x:c r="I108" s="104"/>
      <x:c r="J108" s="104"/>
      <x:c r="K108" s="989" t="str">
        <x:f>IF(OR(COUNTA('Game Records'!$A108:$M108)=0,'Game Records'!$U108="Subscription"),"",IFERROR(MAX($K$4:K107),0)+1)</x:f>
      </x:c>
      <x:c r="L108" s="989" t="str">
        <x:f>IF($K108="","","G-"&amp;TEXT($K108,"0000"))</x:f>
      </x:c>
      <x:c r="M108" s="989" t="str">
        <x:f>IF($K108="","",IFERROR('Game Records'!$A108,""))</x:f>
      </x:c>
      <x:c r="N108" s="989" t="str">
        <x:f>IF($K108="","",IFERROR('Game Records'!$U108,""))</x:f>
      </x:c>
      <x:c r="O108" s="989" t="str">
        <x:f>IF($K108="","",IF($P108="","No Highlighted Fields","Highlighted Fields Present"))</x:f>
      </x:c>
      <x:c r="P108" s="989" t="str">
        <x:f>IF($K108="","",IF('Game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Q108" s="989" t="str">
        <x:f>IF($K108="","",IFERROR('Game Records'!$M108,""))</x:f>
      </x:c>
    </x:row>
    <x:row r="109" ht="24" hidden="0" customHeight="1">
      <x:c r="A109" s="332"/>
      <x:c r="B109" s="332"/>
      <x:c r="C109" s="331"/>
      <x:c r="D109" s="331"/>
      <x:c r="E109" s="331"/>
      <x:c r="F109" s="331"/>
      <x:c r="G109" s="331"/>
      <x:c r="H109" s="104"/>
      <x:c r="I109" s="104"/>
      <x:c r="J109" s="104"/>
      <x:c r="K109" s="989" t="str">
        <x:f>IF(OR(COUNTA('Game Records'!$A109:$M109)=0,'Game Records'!$U109="Subscription"),"",IFERROR(MAX($K$4:K108),0)+1)</x:f>
      </x:c>
      <x:c r="L109" s="989" t="str">
        <x:f>IF($K109="","","G-"&amp;TEXT($K109,"0000"))</x:f>
      </x:c>
      <x:c r="M109" s="989" t="str">
        <x:f>IF($K109="","",IFERROR('Game Records'!$A109,""))</x:f>
      </x:c>
      <x:c r="N109" s="989" t="str">
        <x:f>IF($K109="","",IFERROR('Game Records'!$U109,""))</x:f>
      </x:c>
      <x:c r="O109" s="989" t="str">
        <x:f>IF($K109="","",IF($P109="","No Highlighted Fields","Highlighted Fields Present"))</x:f>
      </x:c>
      <x:c r="P109" s="989" t="str">
        <x:f>IF($K109="","",IF('Game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Q109" s="989" t="str">
        <x:f>IF($K109="","",IFERROR('Game Records'!$M109,""))</x:f>
      </x:c>
    </x:row>
    <x:row r="110" ht="24" hidden="0" customHeight="1">
      <x:c r="A110" s="332"/>
      <x:c r="B110" s="332"/>
      <x:c r="C110" s="331"/>
      <x:c r="D110" s="331"/>
      <x:c r="E110" s="331"/>
      <x:c r="F110" s="331"/>
      <x:c r="G110" s="331"/>
      <x:c r="H110" s="104"/>
      <x:c r="I110" s="104"/>
      <x:c r="J110" s="104"/>
      <x:c r="K110" s="989" t="str">
        <x:f>IF(OR(COUNTA('Game Records'!$A110:$M110)=0,'Game Records'!$U110="Subscription"),"",IFERROR(MAX($K$4:K109),0)+1)</x:f>
      </x:c>
      <x:c r="L110" s="989" t="str">
        <x:f>IF($K110="","","G-"&amp;TEXT($K110,"0000"))</x:f>
      </x:c>
      <x:c r="M110" s="989" t="str">
        <x:f>IF($K110="","",IFERROR('Game Records'!$A110,""))</x:f>
      </x:c>
      <x:c r="N110" s="989" t="str">
        <x:f>IF($K110="","",IFERROR('Game Records'!$U110,""))</x:f>
      </x:c>
      <x:c r="O110" s="989" t="str">
        <x:f>IF($K110="","",IF($P110="","No Highlighted Fields","Highlighted Fields Present"))</x:f>
      </x:c>
      <x:c r="P110" s="989" t="str">
        <x:f>IF($K110="","",IF('Game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Q110" s="989" t="str">
        <x:f>IF($K110="","",IFERROR('Game Records'!$M110,""))</x:f>
      </x:c>
    </x:row>
    <x:row r="111" ht="24" hidden="0" customHeight="1">
      <x:c r="A111" s="332"/>
      <x:c r="B111" s="332"/>
      <x:c r="C111" s="331"/>
      <x:c r="D111" s="331"/>
      <x:c r="E111" s="331"/>
      <x:c r="F111" s="331"/>
      <x:c r="G111" s="331"/>
      <x:c r="H111" s="104"/>
      <x:c r="I111" s="104"/>
      <x:c r="J111" s="104"/>
      <x:c r="K111" s="989" t="str">
        <x:f>IF(OR(COUNTA('Game Records'!$A111:$M111)=0,'Game Records'!$U111="Subscription"),"",IFERROR(MAX($K$4:K110),0)+1)</x:f>
      </x:c>
      <x:c r="L111" s="989" t="str">
        <x:f>IF($K111="","","G-"&amp;TEXT($K111,"0000"))</x:f>
      </x:c>
      <x:c r="M111" s="989" t="str">
        <x:f>IF($K111="","",IFERROR('Game Records'!$A111,""))</x:f>
      </x:c>
      <x:c r="N111" s="989" t="str">
        <x:f>IF($K111="","",IFERROR('Game Records'!$U111,""))</x:f>
      </x:c>
      <x:c r="O111" s="989" t="str">
        <x:f>IF($K111="","",IF($P111="","No Highlighted Fields","Highlighted Fields Present"))</x:f>
      </x:c>
      <x:c r="P111" s="989" t="str">
        <x:f>IF($K111="","",IF('Game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Q111" s="989" t="str">
        <x:f>IF($K111="","",IFERROR('Game Records'!$M111,""))</x:f>
      </x:c>
    </x:row>
    <x:row r="112" ht="24" hidden="0" customHeight="1">
      <x:c r="A112" s="332"/>
      <x:c r="B112" s="332"/>
      <x:c r="C112" s="331"/>
      <x:c r="D112" s="331"/>
      <x:c r="E112" s="331"/>
      <x:c r="F112" s="331"/>
      <x:c r="G112" s="331"/>
      <x:c r="H112" s="104"/>
      <x:c r="I112" s="104"/>
      <x:c r="J112" s="104"/>
      <x:c r="K112" s="989" t="str">
        <x:f>IF(OR(COUNTA('Game Records'!$A112:$M112)=0,'Game Records'!$U112="Subscription"),"",IFERROR(MAX($K$4:K111),0)+1)</x:f>
      </x:c>
      <x:c r="L112" s="989" t="str">
        <x:f>IF($K112="","","G-"&amp;TEXT($K112,"0000"))</x:f>
      </x:c>
      <x:c r="M112" s="989" t="str">
        <x:f>IF($K112="","",IFERROR('Game Records'!$A112,""))</x:f>
      </x:c>
      <x:c r="N112" s="989" t="str">
        <x:f>IF($K112="","",IFERROR('Game Records'!$U112,""))</x:f>
      </x:c>
      <x:c r="O112" s="989" t="str">
        <x:f>IF($K112="","",IF($P112="","No Highlighted Fields","Highlighted Fields Present"))</x:f>
      </x:c>
      <x:c r="P112" s="989" t="str">
        <x:f>IF($K112="","",IF('Game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Q112" s="989" t="str">
        <x:f>IF($K112="","",IFERROR('Game Records'!$M112,""))</x:f>
      </x:c>
    </x:row>
    <x:row r="113" ht="24" hidden="0" customHeight="1">
      <x:c r="A113" s="332"/>
      <x:c r="B113" s="332"/>
      <x:c r="C113" s="331"/>
      <x:c r="D113" s="331"/>
      <x:c r="E113" s="331"/>
      <x:c r="F113" s="331"/>
      <x:c r="G113" s="331"/>
      <x:c r="H113" s="104"/>
      <x:c r="I113" s="104"/>
      <x:c r="J113" s="104"/>
      <x:c r="K113" s="989" t="str">
        <x:f>IF(OR(COUNTA('Game Records'!$A113:$M113)=0,'Game Records'!$U113="Subscription"),"",IFERROR(MAX($K$4:K112),0)+1)</x:f>
      </x:c>
      <x:c r="L113" s="989" t="str">
        <x:f>IF($K113="","","G-"&amp;TEXT($K113,"0000"))</x:f>
      </x:c>
      <x:c r="M113" s="989" t="str">
        <x:f>IF($K113="","",IFERROR('Game Records'!$A113,""))</x:f>
      </x:c>
      <x:c r="N113" s="989" t="str">
        <x:f>IF($K113="","",IFERROR('Game Records'!$U113,""))</x:f>
      </x:c>
      <x:c r="O113" s="989" t="str">
        <x:f>IF($K113="","",IF($P113="","No Highlighted Fields","Highlighted Fields Present"))</x:f>
      </x:c>
      <x:c r="P113" s="989" t="str">
        <x:f>IF($K113="","",IF('Game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Q113" s="989" t="str">
        <x:f>IF($K113="","",IFERROR('Game Records'!$M113,""))</x:f>
      </x:c>
    </x:row>
    <x:row r="114" ht="24" hidden="0" customHeight="1">
      <x:c r="A114" s="332"/>
      <x:c r="B114" s="332"/>
      <x:c r="C114" s="331"/>
      <x:c r="D114" s="331"/>
      <x:c r="E114" s="331"/>
      <x:c r="F114" s="331"/>
      <x:c r="G114" s="331"/>
      <x:c r="H114" s="104"/>
      <x:c r="I114" s="104"/>
      <x:c r="J114" s="104"/>
      <x:c r="K114" s="989" t="str">
        <x:f>IF(OR(COUNTA('Game Records'!$A114:$M114)=0,'Game Records'!$U114="Subscription"),"",IFERROR(MAX($K$4:K113),0)+1)</x:f>
      </x:c>
      <x:c r="L114" s="989" t="str">
        <x:f>IF($K114="","","G-"&amp;TEXT($K114,"0000"))</x:f>
      </x:c>
      <x:c r="M114" s="989" t="str">
        <x:f>IF($K114="","",IFERROR('Game Records'!$A114,""))</x:f>
      </x:c>
      <x:c r="N114" s="989" t="str">
        <x:f>IF($K114="","",IFERROR('Game Records'!$U114,""))</x:f>
      </x:c>
      <x:c r="O114" s="989" t="str">
        <x:f>IF($K114="","",IF($P114="","No Highlighted Fields","Highlighted Fields Present"))</x:f>
      </x:c>
      <x:c r="P114" s="989" t="str">
        <x:f>IF($K114="","",IF('Game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Q114" s="989" t="str">
        <x:f>IF($K114="","",IFERROR('Game Records'!$M114,""))</x:f>
      </x:c>
    </x:row>
    <x:row r="115" ht="24" hidden="0" customHeight="1">
      <x:c r="A115" s="332"/>
      <x:c r="B115" s="332"/>
      <x:c r="C115" s="331"/>
      <x:c r="D115" s="331"/>
      <x:c r="E115" s="331"/>
      <x:c r="F115" s="331"/>
      <x:c r="G115" s="331"/>
      <x:c r="H115" s="104"/>
      <x:c r="I115" s="104"/>
      <x:c r="J115" s="104"/>
      <x:c r="K115" s="989" t="str">
        <x:f>IF(OR(COUNTA('Game Records'!$A115:$M115)=0,'Game Records'!$U115="Subscription"),"",IFERROR(MAX($K$4:K114),0)+1)</x:f>
      </x:c>
      <x:c r="L115" s="989" t="str">
        <x:f>IF($K115="","","G-"&amp;TEXT($K115,"0000"))</x:f>
      </x:c>
      <x:c r="M115" s="989" t="str">
        <x:f>IF($K115="","",IFERROR('Game Records'!$A115,""))</x:f>
      </x:c>
      <x:c r="N115" s="989" t="str">
        <x:f>IF($K115="","",IFERROR('Game Records'!$U115,""))</x:f>
      </x:c>
      <x:c r="O115" s="989" t="str">
        <x:f>IF($K115="","",IF($P115="","No Highlighted Fields","Highlighted Fields Present"))</x:f>
      </x:c>
      <x:c r="P115" s="989" t="str">
        <x:f>IF($K115="","",IF('Game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Q115" s="989" t="str">
        <x:f>IF($K115="","",IFERROR('Game Records'!$M115,""))</x:f>
      </x:c>
    </x:row>
    <x:row r="116" ht="24" hidden="0" customHeight="1">
      <x:c r="A116" s="332"/>
      <x:c r="B116" s="332"/>
      <x:c r="C116" s="331"/>
      <x:c r="D116" s="331"/>
      <x:c r="E116" s="331"/>
      <x:c r="F116" s="331"/>
      <x:c r="G116" s="331"/>
      <x:c r="H116" s="104"/>
      <x:c r="I116" s="104"/>
      <x:c r="J116" s="104"/>
      <x:c r="K116" s="989" t="str">
        <x:f>IF(OR(COUNTA('Game Records'!$A116:$M116)=0,'Game Records'!$U116="Subscription"),"",IFERROR(MAX($K$4:K115),0)+1)</x:f>
      </x:c>
      <x:c r="L116" s="989" t="str">
        <x:f>IF($K116="","","G-"&amp;TEXT($K116,"0000"))</x:f>
      </x:c>
      <x:c r="M116" s="989" t="str">
        <x:f>IF($K116="","",IFERROR('Game Records'!$A116,""))</x:f>
      </x:c>
      <x:c r="N116" s="989" t="str">
        <x:f>IF($K116="","",IFERROR('Game Records'!$U116,""))</x:f>
      </x:c>
      <x:c r="O116" s="989" t="str">
        <x:f>IF($K116="","",IF($P116="","No Highlighted Fields","Highlighted Fields Present"))</x:f>
      </x:c>
      <x:c r="P116" s="989" t="str">
        <x:f>IF($K116="","",IF('Game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Q116" s="989" t="str">
        <x:f>IF($K116="","",IFERROR('Game Records'!$M116,""))</x:f>
      </x:c>
    </x:row>
    <x:row r="117" ht="24" hidden="0" customHeight="1">
      <x:c r="A117" s="332"/>
      <x:c r="B117" s="332"/>
      <x:c r="C117" s="331"/>
      <x:c r="D117" s="331"/>
      <x:c r="E117" s="331"/>
      <x:c r="F117" s="331"/>
      <x:c r="G117" s="331"/>
      <x:c r="H117" s="104"/>
      <x:c r="I117" s="104"/>
      <x:c r="J117" s="104"/>
      <x:c r="K117" s="989" t="str">
        <x:f>IF(OR(COUNTA('Game Records'!$A117:$M117)=0,'Game Records'!$U117="Subscription"),"",IFERROR(MAX($K$4:K116),0)+1)</x:f>
      </x:c>
      <x:c r="L117" s="989" t="str">
        <x:f>IF($K117="","","G-"&amp;TEXT($K117,"0000"))</x:f>
      </x:c>
      <x:c r="M117" s="989" t="str">
        <x:f>IF($K117="","",IFERROR('Game Records'!$A117,""))</x:f>
      </x:c>
      <x:c r="N117" s="989" t="str">
        <x:f>IF($K117="","",IFERROR('Game Records'!$U117,""))</x:f>
      </x:c>
      <x:c r="O117" s="989" t="str">
        <x:f>IF($K117="","",IF($P117="","No Highlighted Fields","Highlighted Fields Present"))</x:f>
      </x:c>
      <x:c r="P117" s="989" t="str">
        <x:f>IF($K117="","",IF('Game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Q117" s="989" t="str">
        <x:f>IF($K117="","",IFERROR('Game Records'!$M117,""))</x:f>
      </x:c>
    </x:row>
    <x:row r="118" ht="24" hidden="0" customHeight="1">
      <x:c r="A118" s="332"/>
      <x:c r="B118" s="332"/>
      <x:c r="C118" s="331"/>
      <x:c r="D118" s="331"/>
      <x:c r="E118" s="331"/>
      <x:c r="F118" s="331"/>
      <x:c r="G118" s="331"/>
      <x:c r="H118" s="104"/>
      <x:c r="I118" s="104"/>
      <x:c r="J118" s="104"/>
      <x:c r="K118" s="989" t="str">
        <x:f>IF(OR(COUNTA('Game Records'!$A118:$M118)=0,'Game Records'!$U118="Subscription"),"",IFERROR(MAX($K$4:K117),0)+1)</x:f>
      </x:c>
      <x:c r="L118" s="989" t="str">
        <x:f>IF($K118="","","G-"&amp;TEXT($K118,"0000"))</x:f>
      </x:c>
      <x:c r="M118" s="989" t="str">
        <x:f>IF($K118="","",IFERROR('Game Records'!$A118,""))</x:f>
      </x:c>
      <x:c r="N118" s="989" t="str">
        <x:f>IF($K118="","",IFERROR('Game Records'!$U118,""))</x:f>
      </x:c>
      <x:c r="O118" s="989" t="str">
        <x:f>IF($K118="","",IF($P118="","No Highlighted Fields","Highlighted Fields Present"))</x:f>
      </x:c>
      <x:c r="P118" s="989" t="str">
        <x:f>IF($K118="","",IF('Game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Q118" s="989" t="str">
        <x:f>IF($K118="","",IFERROR('Game Records'!$M118,""))</x:f>
      </x:c>
    </x:row>
    <x:row r="119" ht="24" hidden="0" customHeight="1">
      <x:c r="A119" s="332"/>
      <x:c r="B119" s="332"/>
      <x:c r="C119" s="331"/>
      <x:c r="D119" s="331"/>
      <x:c r="E119" s="331"/>
      <x:c r="F119" s="331"/>
      <x:c r="G119" s="331"/>
      <x:c r="H119" s="104"/>
      <x:c r="I119" s="104"/>
      <x:c r="J119" s="104"/>
      <x:c r="K119" s="989" t="str">
        <x:f>IF(OR(COUNTA('Game Records'!$A119:$M119)=0,'Game Records'!$U119="Subscription"),"",IFERROR(MAX($K$4:K118),0)+1)</x:f>
      </x:c>
      <x:c r="L119" s="989" t="str">
        <x:f>IF($K119="","","G-"&amp;TEXT($K119,"0000"))</x:f>
      </x:c>
      <x:c r="M119" s="989" t="str">
        <x:f>IF($K119="","",IFERROR('Game Records'!$A119,""))</x:f>
      </x:c>
      <x:c r="N119" s="989" t="str">
        <x:f>IF($K119="","",IFERROR('Game Records'!$U119,""))</x:f>
      </x:c>
      <x:c r="O119" s="989" t="str">
        <x:f>IF($K119="","",IF($P119="","No Highlighted Fields","Highlighted Fields Present"))</x:f>
      </x:c>
      <x:c r="P119" s="989" t="str">
        <x:f>IF($K119="","",IF('Game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Q119" s="989" t="str">
        <x:f>IF($K119="","",IFERROR('Game Records'!$M119,""))</x:f>
      </x:c>
    </x:row>
    <x:row r="120" ht="24" hidden="0" customHeight="1">
      <x:c r="A120" s="332"/>
      <x:c r="B120" s="332"/>
      <x:c r="C120" s="331"/>
      <x:c r="D120" s="331"/>
      <x:c r="E120" s="331"/>
      <x:c r="F120" s="331"/>
      <x:c r="G120" s="331"/>
      <x:c r="H120" s="104"/>
      <x:c r="I120" s="104"/>
      <x:c r="J120" s="104"/>
      <x:c r="K120" s="989" t="str">
        <x:f>IF(OR(COUNTA('Game Records'!$A120:$M120)=0,'Game Records'!$U120="Subscription"),"",IFERROR(MAX($K$4:K119),0)+1)</x:f>
      </x:c>
      <x:c r="L120" s="989" t="str">
        <x:f>IF($K120="","","G-"&amp;TEXT($K120,"0000"))</x:f>
      </x:c>
      <x:c r="M120" s="989" t="str">
        <x:f>IF($K120="","",IFERROR('Game Records'!$A120,""))</x:f>
      </x:c>
      <x:c r="N120" s="989" t="str">
        <x:f>IF($K120="","",IFERROR('Game Records'!$U120,""))</x:f>
      </x:c>
      <x:c r="O120" s="989" t="str">
        <x:f>IF($K120="","",IF($P120="","No Highlighted Fields","Highlighted Fields Present"))</x:f>
      </x:c>
      <x:c r="P120" s="989" t="str">
        <x:f>IF($K120="","",IF('Game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Q120" s="989" t="str">
        <x:f>IF($K120="","",IFERROR('Game Records'!$M120,""))</x:f>
      </x:c>
    </x:row>
    <x:row r="121" ht="24" hidden="0" customHeight="1">
      <x:c r="A121" s="332"/>
      <x:c r="B121" s="332"/>
      <x:c r="C121" s="331"/>
      <x:c r="D121" s="331"/>
      <x:c r="E121" s="331"/>
      <x:c r="F121" s="331"/>
      <x:c r="G121" s="331"/>
      <x:c r="H121" s="104"/>
      <x:c r="I121" s="104"/>
      <x:c r="J121" s="104"/>
      <x:c r="K121" s="989" t="str">
        <x:f>IF(OR(COUNTA('Game Records'!$A121:$M121)=0,'Game Records'!$U121="Subscription"),"",IFERROR(MAX($K$4:K120),0)+1)</x:f>
      </x:c>
      <x:c r="L121" s="989" t="str">
        <x:f>IF($K121="","","G-"&amp;TEXT($K121,"0000"))</x:f>
      </x:c>
      <x:c r="M121" s="989" t="str">
        <x:f>IF($K121="","",IFERROR('Game Records'!$A121,""))</x:f>
      </x:c>
      <x:c r="N121" s="989" t="str">
        <x:f>IF($K121="","",IFERROR('Game Records'!$U121,""))</x:f>
      </x:c>
      <x:c r="O121" s="989" t="str">
        <x:f>IF($K121="","",IF($P121="","No Highlighted Fields","Highlighted Fields Present"))</x:f>
      </x:c>
      <x:c r="P121" s="989" t="str">
        <x:f>IF($K121="","",IF('Game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Q121" s="989" t="str">
        <x:f>IF($K121="","",IFERROR('Game Records'!$M121,""))</x:f>
      </x:c>
    </x:row>
    <x:row r="122" ht="24" hidden="0" customHeight="1">
      <x:c r="A122" s="332"/>
      <x:c r="B122" s="332"/>
      <x:c r="C122" s="331"/>
      <x:c r="D122" s="331"/>
      <x:c r="E122" s="331"/>
      <x:c r="F122" s="331"/>
      <x:c r="G122" s="331"/>
      <x:c r="H122" s="104"/>
      <x:c r="I122" s="104"/>
      <x:c r="J122" s="104"/>
      <x:c r="K122" s="989" t="str">
        <x:f>IF(OR(COUNTA('Game Records'!$A122:$M122)=0,'Game Records'!$U122="Subscription"),"",IFERROR(MAX($K$4:K121),0)+1)</x:f>
      </x:c>
      <x:c r="L122" s="989" t="str">
        <x:f>IF($K122="","","G-"&amp;TEXT($K122,"0000"))</x:f>
      </x:c>
      <x:c r="M122" s="989" t="str">
        <x:f>IF($K122="","",IFERROR('Game Records'!$A122,""))</x:f>
      </x:c>
      <x:c r="N122" s="989" t="str">
        <x:f>IF($K122="","",IFERROR('Game Records'!$U122,""))</x:f>
      </x:c>
      <x:c r="O122" s="989" t="str">
        <x:f>IF($K122="","",IF($P122="","No Highlighted Fields","Highlighted Fields Present"))</x:f>
      </x:c>
      <x:c r="P122" s="989" t="str">
        <x:f>IF($K122="","",IF('Game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Q122" s="989" t="str">
        <x:f>IF($K122="","",IFERROR('Game Records'!$M122,""))</x:f>
      </x:c>
    </x:row>
    <x:row r="123" ht="24" hidden="0" customHeight="1">
      <x:c r="A123" s="332"/>
      <x:c r="B123" s="332"/>
      <x:c r="C123" s="331"/>
      <x:c r="D123" s="331"/>
      <x:c r="E123" s="331"/>
      <x:c r="F123" s="331"/>
      <x:c r="G123" s="331"/>
      <x:c r="H123" s="104"/>
      <x:c r="I123" s="104"/>
      <x:c r="J123" s="104"/>
      <x:c r="K123" s="989" t="str">
        <x:f>IF(OR(COUNTA('Game Records'!$A123:$M123)=0,'Game Records'!$U123="Subscription"),"",IFERROR(MAX($K$4:K122),0)+1)</x:f>
      </x:c>
      <x:c r="L123" s="989" t="str">
        <x:f>IF($K123="","","G-"&amp;TEXT($K123,"0000"))</x:f>
      </x:c>
      <x:c r="M123" s="989" t="str">
        <x:f>IF($K123="","",IFERROR('Game Records'!$A123,""))</x:f>
      </x:c>
      <x:c r="N123" s="989" t="str">
        <x:f>IF($K123="","",IFERROR('Game Records'!$U123,""))</x:f>
      </x:c>
      <x:c r="O123" s="989" t="str">
        <x:f>IF($K123="","",IF($P123="","No Highlighted Fields","Highlighted Fields Present"))</x:f>
      </x:c>
      <x:c r="P123" s="989" t="str">
        <x:f>IF($K123="","",IF('Game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Q123" s="989" t="str">
        <x:f>IF($K123="","",IFERROR('Game Records'!$M123,""))</x:f>
      </x:c>
    </x:row>
    <x:row r="124" ht="24" hidden="0" customHeight="1">
      <x:c r="A124" s="332"/>
      <x:c r="B124" s="332"/>
      <x:c r="C124" s="331"/>
      <x:c r="D124" s="331"/>
      <x:c r="E124" s="331"/>
      <x:c r="F124" s="331"/>
      <x:c r="G124" s="331"/>
      <x:c r="H124" s="104"/>
      <x:c r="I124" s="104"/>
      <x:c r="J124" s="104"/>
      <x:c r="K124" s="989" t="str">
        <x:f>IF(OR(COUNTA('Game Records'!$A124:$M124)=0,'Game Records'!$U124="Subscription"),"",IFERROR(MAX($K$4:K123),0)+1)</x:f>
      </x:c>
      <x:c r="L124" s="989" t="str">
        <x:f>IF($K124="","","G-"&amp;TEXT($K124,"0000"))</x:f>
      </x:c>
      <x:c r="M124" s="989" t="str">
        <x:f>IF($K124="","",IFERROR('Game Records'!$A124,""))</x:f>
      </x:c>
      <x:c r="N124" s="989" t="str">
        <x:f>IF($K124="","",IFERROR('Game Records'!$U124,""))</x:f>
      </x:c>
      <x:c r="O124" s="989" t="str">
        <x:f>IF($K124="","",IF($P124="","No Highlighted Fields","Highlighted Fields Present"))</x:f>
      </x:c>
      <x:c r="P124" s="989" t="str">
        <x:f>IF($K124="","",IF('Game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Q124" s="989" t="str">
        <x:f>IF($K124="","",IFERROR('Game Records'!$M124,""))</x:f>
      </x:c>
    </x:row>
    <x:row r="125" ht="24" hidden="0" customHeight="1">
      <x:c r="A125" s="332"/>
      <x:c r="B125" s="332"/>
      <x:c r="C125" s="331"/>
      <x:c r="D125" s="331"/>
      <x:c r="E125" s="331"/>
      <x:c r="F125" s="331"/>
      <x:c r="G125" s="331"/>
      <x:c r="H125" s="104"/>
      <x:c r="I125" s="104"/>
      <x:c r="J125" s="104"/>
      <x:c r="K125" s="989" t="str">
        <x:f>IF(OR(COUNTA('Game Records'!$A125:$M125)=0,'Game Records'!$U125="Subscription"),"",IFERROR(MAX($K$4:K124),0)+1)</x:f>
      </x:c>
      <x:c r="L125" s="989" t="str">
        <x:f>IF($K125="","","G-"&amp;TEXT($K125,"0000"))</x:f>
      </x:c>
      <x:c r="M125" s="989" t="str">
        <x:f>IF($K125="","",IFERROR('Game Records'!$A125,""))</x:f>
      </x:c>
      <x:c r="N125" s="989" t="str">
        <x:f>IF($K125="","",IFERROR('Game Records'!$U125,""))</x:f>
      </x:c>
      <x:c r="O125" s="989" t="str">
        <x:f>IF($K125="","",IF($P125="","No Highlighted Fields","Highlighted Fields Present"))</x:f>
      </x:c>
      <x:c r="P125" s="989" t="str">
        <x:f>IF($K125="","",IF('Game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Q125" s="989" t="str">
        <x:f>IF($K125="","",IFERROR('Game Records'!$M125,""))</x:f>
      </x:c>
    </x:row>
    <x:row r="126" ht="24" hidden="0" customHeight="1">
      <x:c r="A126" s="332"/>
      <x:c r="B126" s="332"/>
      <x:c r="C126" s="331"/>
      <x:c r="D126" s="331"/>
      <x:c r="E126" s="331"/>
      <x:c r="F126" s="331"/>
      <x:c r="G126" s="331"/>
      <x:c r="H126" s="104"/>
      <x:c r="I126" s="104"/>
      <x:c r="J126" s="104"/>
      <x:c r="K126" s="989" t="str">
        <x:f>IF(OR(COUNTA('Game Records'!$A126:$M126)=0,'Game Records'!$U126="Subscription"),"",IFERROR(MAX($K$4:K125),0)+1)</x:f>
      </x:c>
      <x:c r="L126" s="989" t="str">
        <x:f>IF($K126="","","G-"&amp;TEXT($K126,"0000"))</x:f>
      </x:c>
      <x:c r="M126" s="989" t="str">
        <x:f>IF($K126="","",IFERROR('Game Records'!$A126,""))</x:f>
      </x:c>
      <x:c r="N126" s="989" t="str">
        <x:f>IF($K126="","",IFERROR('Game Records'!$U126,""))</x:f>
      </x:c>
      <x:c r="O126" s="989" t="str">
        <x:f>IF($K126="","",IF($P126="","No Highlighted Fields","Highlighted Fields Present"))</x:f>
      </x:c>
      <x:c r="P126" s="989" t="str">
        <x:f>IF($K126="","",IF('Game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Q126" s="989" t="str">
        <x:f>IF($K126="","",IFERROR('Game Records'!$M126,""))</x:f>
      </x:c>
    </x:row>
    <x:row r="127" ht="24" hidden="0" customHeight="1">
      <x:c r="A127" s="332"/>
      <x:c r="B127" s="332"/>
      <x:c r="C127" s="331"/>
      <x:c r="D127" s="331"/>
      <x:c r="E127" s="331"/>
      <x:c r="F127" s="331"/>
      <x:c r="G127" s="331"/>
      <x:c r="H127" s="104"/>
      <x:c r="I127" s="104"/>
      <x:c r="J127" s="104"/>
      <x:c r="K127" s="989" t="str">
        <x:f>IF(OR(COUNTA('Game Records'!$A127:$M127)=0,'Game Records'!$U127="Subscription"),"",IFERROR(MAX($K$4:K126),0)+1)</x:f>
      </x:c>
      <x:c r="L127" s="989" t="str">
        <x:f>IF($K127="","","G-"&amp;TEXT($K127,"0000"))</x:f>
      </x:c>
      <x:c r="M127" s="989" t="str">
        <x:f>IF($K127="","",IFERROR('Game Records'!$A127,""))</x:f>
      </x:c>
      <x:c r="N127" s="989" t="str">
        <x:f>IF($K127="","",IFERROR('Game Records'!$U127,""))</x:f>
      </x:c>
      <x:c r="O127" s="989" t="str">
        <x:f>IF($K127="","",IF($P127="","No Highlighted Fields","Highlighted Fields Present"))</x:f>
      </x:c>
      <x:c r="P127" s="989" t="str">
        <x:f>IF($K127="","",IF('Game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Q127" s="989" t="str">
        <x:f>IF($K127="","",IFERROR('Game Records'!$M127,""))</x:f>
      </x:c>
    </x:row>
    <x:row r="128" ht="24" hidden="0" customHeight="1">
      <x:c r="A128" s="332"/>
      <x:c r="B128" s="332"/>
      <x:c r="C128" s="331"/>
      <x:c r="D128" s="331"/>
      <x:c r="E128" s="331"/>
      <x:c r="F128" s="331"/>
      <x:c r="G128" s="331"/>
      <x:c r="H128" s="104"/>
      <x:c r="I128" s="104"/>
      <x:c r="J128" s="104"/>
      <x:c r="K128" s="989" t="str">
        <x:f>IF(OR(COUNTA('Game Records'!$A128:$M128)=0,'Game Records'!$U128="Subscription"),"",IFERROR(MAX($K$4:K127),0)+1)</x:f>
      </x:c>
      <x:c r="L128" s="989" t="str">
        <x:f>IF($K128="","","G-"&amp;TEXT($K128,"0000"))</x:f>
      </x:c>
      <x:c r="M128" s="989" t="str">
        <x:f>IF($K128="","",IFERROR('Game Records'!$A128,""))</x:f>
      </x:c>
      <x:c r="N128" s="989" t="str">
        <x:f>IF($K128="","",IFERROR('Game Records'!$U128,""))</x:f>
      </x:c>
      <x:c r="O128" s="989" t="str">
        <x:f>IF($K128="","",IF($P128="","No Highlighted Fields","Highlighted Fields Present"))</x:f>
      </x:c>
      <x:c r="P128" s="989" t="str">
        <x:f>IF($K128="","",IF('Game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Q128" s="989" t="str">
        <x:f>IF($K128="","",IFERROR('Game Records'!$M128,""))</x:f>
      </x:c>
    </x:row>
    <x:row r="129" ht="24" hidden="0" customHeight="1">
      <x:c r="A129" s="332"/>
      <x:c r="B129" s="332"/>
      <x:c r="C129" s="331"/>
      <x:c r="D129" s="331"/>
      <x:c r="E129" s="331"/>
      <x:c r="F129" s="331"/>
      <x:c r="G129" s="331"/>
      <x:c r="H129" s="104"/>
      <x:c r="I129" s="104"/>
      <x:c r="J129" s="104"/>
      <x:c r="K129" s="989" t="str">
        <x:f>IF(OR(COUNTA('Game Records'!$A129:$M129)=0,'Game Records'!$U129="Subscription"),"",IFERROR(MAX($K$4:K128),0)+1)</x:f>
      </x:c>
      <x:c r="L129" s="989" t="str">
        <x:f>IF($K129="","","G-"&amp;TEXT($K129,"0000"))</x:f>
      </x:c>
      <x:c r="M129" s="989" t="str">
        <x:f>IF($K129="","",IFERROR('Game Records'!$A129,""))</x:f>
      </x:c>
      <x:c r="N129" s="989" t="str">
        <x:f>IF($K129="","",IFERROR('Game Records'!$U129,""))</x:f>
      </x:c>
      <x:c r="O129" s="989" t="str">
        <x:f>IF($K129="","",IF($P129="","No Highlighted Fields","Highlighted Fields Present"))</x:f>
      </x:c>
      <x:c r="P129" s="989" t="str">
        <x:f>IF($K129="","",IF('Game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Q129" s="989" t="str">
        <x:f>IF($K129="","",IFERROR('Game Records'!$M129,""))</x:f>
      </x:c>
    </x:row>
    <x:row r="130" ht="24" hidden="0" customHeight="1">
      <x:c r="A130" s="332"/>
      <x:c r="B130" s="332"/>
      <x:c r="C130" s="331"/>
      <x:c r="D130" s="331"/>
      <x:c r="E130" s="331"/>
      <x:c r="F130" s="331"/>
      <x:c r="G130" s="331"/>
      <x:c r="H130" s="104"/>
      <x:c r="I130" s="104"/>
      <x:c r="J130" s="104"/>
      <x:c r="K130" s="989" t="str">
        <x:f>IF(OR(COUNTA('Game Records'!$A130:$M130)=0,'Game Records'!$U130="Subscription"),"",IFERROR(MAX($K$4:K129),0)+1)</x:f>
      </x:c>
      <x:c r="L130" s="989" t="str">
        <x:f>IF($K130="","","G-"&amp;TEXT($K130,"0000"))</x:f>
      </x:c>
      <x:c r="M130" s="989" t="str">
        <x:f>IF($K130="","",IFERROR('Game Records'!$A130,""))</x:f>
      </x:c>
      <x:c r="N130" s="989" t="str">
        <x:f>IF($K130="","",IFERROR('Game Records'!$U130,""))</x:f>
      </x:c>
      <x:c r="O130" s="989" t="str">
        <x:f>IF($K130="","",IF($P130="","No Highlighted Fields","Highlighted Fields Present"))</x:f>
      </x:c>
      <x:c r="P130" s="989" t="str">
        <x:f>IF($K130="","",IF('Game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Q130" s="989" t="str">
        <x:f>IF($K130="","",IFERROR('Game Records'!$M130,""))</x:f>
      </x:c>
    </x:row>
    <x:row r="131" ht="24" hidden="0" customHeight="1">
      <x:c r="A131" s="332"/>
      <x:c r="B131" s="332"/>
      <x:c r="C131" s="331"/>
      <x:c r="D131" s="331"/>
      <x:c r="E131" s="331"/>
      <x:c r="F131" s="331"/>
      <x:c r="G131" s="331"/>
      <x:c r="H131" s="104"/>
      <x:c r="I131" s="104"/>
      <x:c r="J131" s="104"/>
      <x:c r="K131" s="989" t="str">
        <x:f>IF(OR(COUNTA('Game Records'!$A131:$M131)=0,'Game Records'!$U131="Subscription"),"",IFERROR(MAX($K$4:K130),0)+1)</x:f>
      </x:c>
      <x:c r="L131" s="989" t="str">
        <x:f>IF($K131="","","G-"&amp;TEXT($K131,"0000"))</x:f>
      </x:c>
      <x:c r="M131" s="989" t="str">
        <x:f>IF($K131="","",IFERROR('Game Records'!$A131,""))</x:f>
      </x:c>
      <x:c r="N131" s="989" t="str">
        <x:f>IF($K131="","",IFERROR('Game Records'!$U131,""))</x:f>
      </x:c>
      <x:c r="O131" s="989" t="str">
        <x:f>IF($K131="","",IF($P131="","No Highlighted Fields","Highlighted Fields Present"))</x:f>
      </x:c>
      <x:c r="P131" s="989" t="str">
        <x:f>IF($K131="","",IF('Game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Q131" s="989" t="str">
        <x:f>IF($K131="","",IFERROR('Game Records'!$M131,""))</x:f>
      </x:c>
    </x:row>
    <x:row r="132" ht="24" hidden="0" customHeight="1">
      <x:c r="A132" s="332"/>
      <x:c r="B132" s="332"/>
      <x:c r="C132" s="331"/>
      <x:c r="D132" s="331"/>
      <x:c r="E132" s="331"/>
      <x:c r="F132" s="331"/>
      <x:c r="G132" s="331"/>
      <x:c r="H132" s="104"/>
      <x:c r="I132" s="104"/>
      <x:c r="J132" s="104"/>
      <x:c r="K132" s="989" t="str">
        <x:f>IF(OR(COUNTA('Game Records'!$A132:$M132)=0,'Game Records'!$U132="Subscription"),"",IFERROR(MAX($K$4:K131),0)+1)</x:f>
      </x:c>
      <x:c r="L132" s="989" t="str">
        <x:f>IF($K132="","","G-"&amp;TEXT($K132,"0000"))</x:f>
      </x:c>
      <x:c r="M132" s="989" t="str">
        <x:f>IF($K132="","",IFERROR('Game Records'!$A132,""))</x:f>
      </x:c>
      <x:c r="N132" s="989" t="str">
        <x:f>IF($K132="","",IFERROR('Game Records'!$U132,""))</x:f>
      </x:c>
      <x:c r="O132" s="989" t="str">
        <x:f>IF($K132="","",IF($P132="","No Highlighted Fields","Highlighted Fields Present"))</x:f>
      </x:c>
      <x:c r="P132" s="989" t="str">
        <x:f>IF($K132="","",IF('Game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Q132" s="989" t="str">
        <x:f>IF($K132="","",IFERROR('Game Records'!$M132,""))</x:f>
      </x:c>
    </x:row>
    <x:row r="133" ht="24" hidden="0" customHeight="1">
      <x:c r="A133" s="332"/>
      <x:c r="B133" s="332"/>
      <x:c r="C133" s="331"/>
      <x:c r="D133" s="331"/>
      <x:c r="E133" s="331"/>
      <x:c r="F133" s="331"/>
      <x:c r="G133" s="331"/>
      <x:c r="H133" s="104"/>
      <x:c r="I133" s="104"/>
      <x:c r="J133" s="104"/>
      <x:c r="K133" s="989" t="str">
        <x:f>IF(OR(COUNTA('Game Records'!$A133:$M133)=0,'Game Records'!$U133="Subscription"),"",IFERROR(MAX($K$4:K132),0)+1)</x:f>
      </x:c>
      <x:c r="L133" s="989" t="str">
        <x:f>IF($K133="","","G-"&amp;TEXT($K133,"0000"))</x:f>
      </x:c>
      <x:c r="M133" s="989" t="str">
        <x:f>IF($K133="","",IFERROR('Game Records'!$A133,""))</x:f>
      </x:c>
      <x:c r="N133" s="989" t="str">
        <x:f>IF($K133="","",IFERROR('Game Records'!$U133,""))</x:f>
      </x:c>
      <x:c r="O133" s="989" t="str">
        <x:f>IF($K133="","",IF($P133="","No Highlighted Fields","Highlighted Fields Present"))</x:f>
      </x:c>
      <x:c r="P133" s="989" t="str">
        <x:f>IF($K133="","",IF('Game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Q133" s="989" t="str">
        <x:f>IF($K133="","",IFERROR('Game Records'!$M133,""))</x:f>
      </x:c>
    </x:row>
    <x:row r="134" ht="24" hidden="0" customHeight="1">
      <x:c r="A134" s="332"/>
      <x:c r="B134" s="332"/>
      <x:c r="C134" s="331"/>
      <x:c r="D134" s="331"/>
      <x:c r="E134" s="331"/>
      <x:c r="F134" s="331"/>
      <x:c r="G134" s="331"/>
      <x:c r="H134" s="104"/>
      <x:c r="I134" s="104"/>
      <x:c r="J134" s="104"/>
      <x:c r="K134" s="989" t="str">
        <x:f>IF(OR(COUNTA('Game Records'!$A134:$M134)=0,'Game Records'!$U134="Subscription"),"",IFERROR(MAX($K$4:K133),0)+1)</x:f>
      </x:c>
      <x:c r="L134" s="989" t="str">
        <x:f>IF($K134="","","G-"&amp;TEXT($K134,"0000"))</x:f>
      </x:c>
      <x:c r="M134" s="989" t="str">
        <x:f>IF($K134="","",IFERROR('Game Records'!$A134,""))</x:f>
      </x:c>
      <x:c r="N134" s="989" t="str">
        <x:f>IF($K134="","",IFERROR('Game Records'!$U134,""))</x:f>
      </x:c>
      <x:c r="O134" s="989" t="str">
        <x:f>IF($K134="","",IF($P134="","No Highlighted Fields","Highlighted Fields Present"))</x:f>
      </x:c>
      <x:c r="P134" s="989" t="str">
        <x:f>IF($K134="","",IF('Game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Q134" s="989" t="str">
        <x:f>IF($K134="","",IFERROR('Game Records'!$M134,""))</x:f>
      </x:c>
    </x:row>
    <x:row r="135" ht="24" hidden="0" customHeight="1">
      <x:c r="A135" s="332"/>
      <x:c r="B135" s="332"/>
      <x:c r="C135" s="331"/>
      <x:c r="D135" s="331"/>
      <x:c r="E135" s="331"/>
      <x:c r="F135" s="331"/>
      <x:c r="G135" s="331"/>
      <x:c r="H135" s="104"/>
      <x:c r="I135" s="104"/>
      <x:c r="J135" s="104"/>
      <x:c r="K135" s="989" t="str">
        <x:f>IF(OR(COUNTA('Game Records'!$A135:$M135)=0,'Game Records'!$U135="Subscription"),"",IFERROR(MAX($K$4:K134),0)+1)</x:f>
      </x:c>
      <x:c r="L135" s="989" t="str">
        <x:f>IF($K135="","","G-"&amp;TEXT($K135,"0000"))</x:f>
      </x:c>
      <x:c r="M135" s="989" t="str">
        <x:f>IF($K135="","",IFERROR('Game Records'!$A135,""))</x:f>
      </x:c>
      <x:c r="N135" s="989" t="str">
        <x:f>IF($K135="","",IFERROR('Game Records'!$U135,""))</x:f>
      </x:c>
      <x:c r="O135" s="989" t="str">
        <x:f>IF($K135="","",IF($P135="","No Highlighted Fields","Highlighted Fields Present"))</x:f>
      </x:c>
      <x:c r="P135" s="989" t="str">
        <x:f>IF($K135="","",IF('Game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Q135" s="989" t="str">
        <x:f>IF($K135="","",IFERROR('Game Records'!$M135,""))</x:f>
      </x:c>
    </x:row>
    <x:row r="136" ht="24" hidden="0" customHeight="1">
      <x:c r="A136" s="332"/>
      <x:c r="B136" s="332"/>
      <x:c r="C136" s="331"/>
      <x:c r="D136" s="331"/>
      <x:c r="E136" s="331"/>
      <x:c r="F136" s="331"/>
      <x:c r="G136" s="331"/>
      <x:c r="H136" s="104"/>
      <x:c r="I136" s="104"/>
      <x:c r="J136" s="104"/>
      <x:c r="K136" s="989" t="str">
        <x:f>IF(OR(COUNTA('Game Records'!$A136:$M136)=0,'Game Records'!$U136="Subscription"),"",IFERROR(MAX($K$4:K135),0)+1)</x:f>
      </x:c>
      <x:c r="L136" s="989" t="str">
        <x:f>IF($K136="","","G-"&amp;TEXT($K136,"0000"))</x:f>
      </x:c>
      <x:c r="M136" s="989" t="str">
        <x:f>IF($K136="","",IFERROR('Game Records'!$A136,""))</x:f>
      </x:c>
      <x:c r="N136" s="989" t="str">
        <x:f>IF($K136="","",IFERROR('Game Records'!$U136,""))</x:f>
      </x:c>
      <x:c r="O136" s="989" t="str">
        <x:f>IF($K136="","",IF($P136="","No Highlighted Fields","Highlighted Fields Present"))</x:f>
      </x:c>
      <x:c r="P136" s="989" t="str">
        <x:f>IF($K136="","",IF('Game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Q136" s="989" t="str">
        <x:f>IF($K136="","",IFERROR('Game Records'!$M136,""))</x:f>
      </x:c>
    </x:row>
    <x:row r="137" ht="24" hidden="0" customHeight="1">
      <x:c r="A137" s="332"/>
      <x:c r="B137" s="332"/>
      <x:c r="C137" s="331"/>
      <x:c r="D137" s="331"/>
      <x:c r="E137" s="331"/>
      <x:c r="F137" s="331"/>
      <x:c r="G137" s="331"/>
      <x:c r="H137" s="104"/>
      <x:c r="I137" s="104"/>
      <x:c r="J137" s="104"/>
      <x:c r="K137" s="989" t="str">
        <x:f>IF(OR(COUNTA('Game Records'!$A137:$M137)=0,'Game Records'!$U137="Subscription"),"",IFERROR(MAX($K$4:K136),0)+1)</x:f>
      </x:c>
      <x:c r="L137" s="989" t="str">
        <x:f>IF($K137="","","G-"&amp;TEXT($K137,"0000"))</x:f>
      </x:c>
      <x:c r="M137" s="989" t="str">
        <x:f>IF($K137="","",IFERROR('Game Records'!$A137,""))</x:f>
      </x:c>
      <x:c r="N137" s="989" t="str">
        <x:f>IF($K137="","",IFERROR('Game Records'!$U137,""))</x:f>
      </x:c>
      <x:c r="O137" s="989" t="str">
        <x:f>IF($K137="","",IF($P137="","No Highlighted Fields","Highlighted Fields Present"))</x:f>
      </x:c>
      <x:c r="P137" s="989" t="str">
        <x:f>IF($K137="","",IF('Game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Q137" s="989" t="str">
        <x:f>IF($K137="","",IFERROR('Game Records'!$M137,""))</x:f>
      </x:c>
    </x:row>
    <x:row r="138" ht="24" hidden="0" customHeight="1">
      <x:c r="A138" s="332"/>
      <x:c r="B138" s="332"/>
      <x:c r="C138" s="331"/>
      <x:c r="D138" s="331"/>
      <x:c r="E138" s="331"/>
      <x:c r="F138" s="331"/>
      <x:c r="G138" s="331"/>
      <x:c r="H138" s="104"/>
      <x:c r="I138" s="104"/>
      <x:c r="J138" s="104"/>
      <x:c r="K138" s="989" t="str">
        <x:f>IF(OR(COUNTA('Game Records'!$A138:$M138)=0,'Game Records'!$U138="Subscription"),"",IFERROR(MAX($K$4:K137),0)+1)</x:f>
      </x:c>
      <x:c r="L138" s="989" t="str">
        <x:f>IF($K138="","","G-"&amp;TEXT($K138,"0000"))</x:f>
      </x:c>
      <x:c r="M138" s="989" t="str">
        <x:f>IF($K138="","",IFERROR('Game Records'!$A138,""))</x:f>
      </x:c>
      <x:c r="N138" s="989" t="str">
        <x:f>IF($K138="","",IFERROR('Game Records'!$U138,""))</x:f>
      </x:c>
      <x:c r="O138" s="989" t="str">
        <x:f>IF($K138="","",IF($P138="","No Highlighted Fields","Highlighted Fields Present"))</x:f>
      </x:c>
      <x:c r="P138" s="989" t="str">
        <x:f>IF($K138="","",IF('Game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Q138" s="989" t="str">
        <x:f>IF($K138="","",IFERROR('Game Records'!$M138,""))</x:f>
      </x:c>
    </x:row>
    <x:row r="139" ht="24" hidden="0" customHeight="1">
      <x:c r="A139" s="332"/>
      <x:c r="B139" s="332"/>
      <x:c r="C139" s="331"/>
      <x:c r="D139" s="331"/>
      <x:c r="E139" s="331"/>
      <x:c r="F139" s="331"/>
      <x:c r="G139" s="331"/>
      <x:c r="H139" s="104"/>
      <x:c r="I139" s="104"/>
      <x:c r="J139" s="104"/>
      <x:c r="K139" s="989" t="str">
        <x:f>IF(OR(COUNTA('Game Records'!$A139:$M139)=0,'Game Records'!$U139="Subscription"),"",IFERROR(MAX($K$4:K138),0)+1)</x:f>
      </x:c>
      <x:c r="L139" s="989" t="str">
        <x:f>IF($K139="","","G-"&amp;TEXT($K139,"0000"))</x:f>
      </x:c>
      <x:c r="M139" s="989" t="str">
        <x:f>IF($K139="","",IFERROR('Game Records'!$A139,""))</x:f>
      </x:c>
      <x:c r="N139" s="989" t="str">
        <x:f>IF($K139="","",IFERROR('Game Records'!$U139,""))</x:f>
      </x:c>
      <x:c r="O139" s="989" t="str">
        <x:f>IF($K139="","",IF($P139="","No Highlighted Fields","Highlighted Fields Present"))</x:f>
      </x:c>
      <x:c r="P139" s="989" t="str">
        <x:f>IF($K139="","",IF('Game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Q139" s="989" t="str">
        <x:f>IF($K139="","",IFERROR('Game Records'!$M139,""))</x:f>
      </x:c>
    </x:row>
    <x:row r="140" ht="24" hidden="0" customHeight="1">
      <x:c r="A140" s="332"/>
      <x:c r="B140" s="332"/>
      <x:c r="C140" s="331"/>
      <x:c r="D140" s="331"/>
      <x:c r="E140" s="331"/>
      <x:c r="F140" s="331"/>
      <x:c r="G140" s="331"/>
      <x:c r="H140" s="104"/>
      <x:c r="I140" s="104"/>
      <x:c r="J140" s="104"/>
      <x:c r="K140" s="989" t="str">
        <x:f>IF(OR(COUNTA('Game Records'!$A140:$M140)=0,'Game Records'!$U140="Subscription"),"",IFERROR(MAX($K$4:K139),0)+1)</x:f>
      </x:c>
      <x:c r="L140" s="989" t="str">
        <x:f>IF($K140="","","G-"&amp;TEXT($K140,"0000"))</x:f>
      </x:c>
      <x:c r="M140" s="989" t="str">
        <x:f>IF($K140="","",IFERROR('Game Records'!$A140,""))</x:f>
      </x:c>
      <x:c r="N140" s="989" t="str">
        <x:f>IF($K140="","",IFERROR('Game Records'!$U140,""))</x:f>
      </x:c>
      <x:c r="O140" s="989" t="str">
        <x:f>IF($K140="","",IF($P140="","No Highlighted Fields","Highlighted Fields Present"))</x:f>
      </x:c>
      <x:c r="P140" s="989" t="str">
        <x:f>IF($K140="","",IF('Game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Q140" s="989" t="str">
        <x:f>IF($K140="","",IFERROR('Game Records'!$M140,""))</x:f>
      </x:c>
    </x:row>
    <x:row r="141" ht="24" hidden="0" customHeight="1">
      <x:c r="A141" s="332"/>
      <x:c r="B141" s="332"/>
      <x:c r="C141" s="331"/>
      <x:c r="D141" s="331"/>
      <x:c r="E141" s="331"/>
      <x:c r="F141" s="331"/>
      <x:c r="G141" s="331"/>
      <x:c r="H141" s="104"/>
      <x:c r="I141" s="104"/>
      <x:c r="J141" s="104"/>
      <x:c r="K141" s="989" t="str">
        <x:f>IF(OR(COUNTA('Game Records'!$A141:$M141)=0,'Game Records'!$U141="Subscription"),"",IFERROR(MAX($K$4:K140),0)+1)</x:f>
      </x:c>
      <x:c r="L141" s="989" t="str">
        <x:f>IF($K141="","","G-"&amp;TEXT($K141,"0000"))</x:f>
      </x:c>
      <x:c r="M141" s="989" t="str">
        <x:f>IF($K141="","",IFERROR('Game Records'!$A141,""))</x:f>
      </x:c>
      <x:c r="N141" s="989" t="str">
        <x:f>IF($K141="","",IFERROR('Game Records'!$U141,""))</x:f>
      </x:c>
      <x:c r="O141" s="989" t="str">
        <x:f>IF($K141="","",IF($P141="","No Highlighted Fields","Highlighted Fields Present"))</x:f>
      </x:c>
      <x:c r="P141" s="989" t="str">
        <x:f>IF($K141="","",IF('Game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Q141" s="989" t="str">
        <x:f>IF($K141="","",IFERROR('Game Records'!$M141,""))</x:f>
      </x:c>
    </x:row>
    <x:row r="142" ht="24" hidden="0" customHeight="1">
      <x:c r="A142" s="332"/>
      <x:c r="B142" s="332"/>
      <x:c r="C142" s="331"/>
      <x:c r="D142" s="331"/>
      <x:c r="E142" s="331"/>
      <x:c r="F142" s="331"/>
      <x:c r="G142" s="331"/>
      <x:c r="H142" s="104"/>
      <x:c r="I142" s="104"/>
      <x:c r="J142" s="104"/>
      <x:c r="K142" s="989" t="str">
        <x:f>IF(OR(COUNTA('Game Records'!$A142:$M142)=0,'Game Records'!$U142="Subscription"),"",IFERROR(MAX($K$4:K141),0)+1)</x:f>
      </x:c>
      <x:c r="L142" s="989" t="str">
        <x:f>IF($K142="","","G-"&amp;TEXT($K142,"0000"))</x:f>
      </x:c>
      <x:c r="M142" s="989" t="str">
        <x:f>IF($K142="","",IFERROR('Game Records'!$A142,""))</x:f>
      </x:c>
      <x:c r="N142" s="989" t="str">
        <x:f>IF($K142="","",IFERROR('Game Records'!$U142,""))</x:f>
      </x:c>
      <x:c r="O142" s="989" t="str">
        <x:f>IF($K142="","",IF($P142="","No Highlighted Fields","Highlighted Fields Present"))</x:f>
      </x:c>
      <x:c r="P142" s="989" t="str">
        <x:f>IF($K142="","",IF('Game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Q142" s="989" t="str">
        <x:f>IF($K142="","",IFERROR('Game Records'!$M142,""))</x:f>
      </x:c>
    </x:row>
    <x:row r="143" ht="24" hidden="0" customHeight="1">
      <x:c r="A143" s="332"/>
      <x:c r="B143" s="332"/>
      <x:c r="C143" s="331"/>
      <x:c r="D143" s="331"/>
      <x:c r="E143" s="331"/>
      <x:c r="F143" s="331"/>
      <x:c r="G143" s="331"/>
      <x:c r="H143" s="104"/>
      <x:c r="I143" s="104"/>
      <x:c r="J143" s="104"/>
      <x:c r="K143" s="989" t="str">
        <x:f>IF(OR(COUNTA('Game Records'!$A143:$M143)=0,'Game Records'!$U143="Subscription"),"",IFERROR(MAX($K$4:K142),0)+1)</x:f>
      </x:c>
      <x:c r="L143" s="989" t="str">
        <x:f>IF($K143="","","G-"&amp;TEXT($K143,"0000"))</x:f>
      </x:c>
      <x:c r="M143" s="989" t="str">
        <x:f>IF($K143="","",IFERROR('Game Records'!$A143,""))</x:f>
      </x:c>
      <x:c r="N143" s="989" t="str">
        <x:f>IF($K143="","",IFERROR('Game Records'!$U143,""))</x:f>
      </x:c>
      <x:c r="O143" s="989" t="str">
        <x:f>IF($K143="","",IF($P143="","No Highlighted Fields","Highlighted Fields Present"))</x:f>
      </x:c>
      <x:c r="P143" s="989" t="str">
        <x:f>IF($K143="","",IF('Game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Q143" s="989" t="str">
        <x:f>IF($K143="","",IFERROR('Game Records'!$M143,""))</x:f>
      </x:c>
    </x:row>
    <x:row r="144" ht="24" hidden="0" customHeight="1">
      <x:c r="A144" s="332"/>
      <x:c r="B144" s="332"/>
      <x:c r="C144" s="331"/>
      <x:c r="D144" s="331"/>
      <x:c r="E144" s="331"/>
      <x:c r="F144" s="331"/>
      <x:c r="G144" s="331"/>
      <x:c r="H144" s="104"/>
      <x:c r="I144" s="104"/>
      <x:c r="J144" s="104"/>
      <x:c r="K144" s="989" t="str">
        <x:f>IF(OR(COUNTA('Game Records'!$A144:$M144)=0,'Game Records'!$U144="Subscription"),"",IFERROR(MAX($K$4:K143),0)+1)</x:f>
      </x:c>
      <x:c r="L144" s="989" t="str">
        <x:f>IF($K144="","","G-"&amp;TEXT($K144,"0000"))</x:f>
      </x:c>
      <x:c r="M144" s="989" t="str">
        <x:f>IF($K144="","",IFERROR('Game Records'!$A144,""))</x:f>
      </x:c>
      <x:c r="N144" s="989" t="str">
        <x:f>IF($K144="","",IFERROR('Game Records'!$U144,""))</x:f>
      </x:c>
      <x:c r="O144" s="989" t="str">
        <x:f>IF($K144="","",IF($P144="","No Highlighted Fields","Highlighted Fields Present"))</x:f>
      </x:c>
      <x:c r="P144" s="989" t="str">
        <x:f>IF($K144="","",IF('Game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Q144" s="989" t="str">
        <x:f>IF($K144="","",IFERROR('Game Records'!$M144,""))</x:f>
      </x:c>
    </x:row>
    <x:row r="145" ht="24" hidden="0" customHeight="1">
      <x:c r="A145" s="332"/>
      <x:c r="B145" s="332"/>
      <x:c r="C145" s="331"/>
      <x:c r="D145" s="331"/>
      <x:c r="E145" s="331"/>
      <x:c r="F145" s="331"/>
      <x:c r="G145" s="331"/>
      <x:c r="H145" s="104"/>
      <x:c r="I145" s="104"/>
      <x:c r="J145" s="104"/>
      <x:c r="K145" s="989" t="str">
        <x:f>IF(OR(COUNTA('Game Records'!$A145:$M145)=0,'Game Records'!$U145="Subscription"),"",IFERROR(MAX($K$4:K144),0)+1)</x:f>
      </x:c>
      <x:c r="L145" s="989" t="str">
        <x:f>IF($K145="","","G-"&amp;TEXT($K145,"0000"))</x:f>
      </x:c>
      <x:c r="M145" s="989" t="str">
        <x:f>IF($K145="","",IFERROR('Game Records'!$A145,""))</x:f>
      </x:c>
      <x:c r="N145" s="989" t="str">
        <x:f>IF($K145="","",IFERROR('Game Records'!$U145,""))</x:f>
      </x:c>
      <x:c r="O145" s="989" t="str">
        <x:f>IF($K145="","",IF($P145="","No Highlighted Fields","Highlighted Fields Present"))</x:f>
      </x:c>
      <x:c r="P145" s="989" t="str">
        <x:f>IF($K145="","",IF('Game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Q145" s="989" t="str">
        <x:f>IF($K145="","",IFERROR('Game Records'!$M145,""))</x:f>
      </x:c>
    </x:row>
    <x:row r="146" ht="24" hidden="0" customHeight="1">
      <x:c r="A146" s="332"/>
      <x:c r="B146" s="332"/>
      <x:c r="C146" s="331"/>
      <x:c r="D146" s="331"/>
      <x:c r="E146" s="331"/>
      <x:c r="F146" s="331"/>
      <x:c r="G146" s="331"/>
      <x:c r="H146" s="104"/>
      <x:c r="I146" s="104"/>
      <x:c r="J146" s="104"/>
      <x:c r="K146" s="989" t="str">
        <x:f>IF(OR(COUNTA('Game Records'!$A146:$M146)=0,'Game Records'!$U146="Subscription"),"",IFERROR(MAX($K$4:K145),0)+1)</x:f>
      </x:c>
      <x:c r="L146" s="989" t="str">
        <x:f>IF($K146="","","G-"&amp;TEXT($K146,"0000"))</x:f>
      </x:c>
      <x:c r="M146" s="989" t="str">
        <x:f>IF($K146="","",IFERROR('Game Records'!$A146,""))</x:f>
      </x:c>
      <x:c r="N146" s="989" t="str">
        <x:f>IF($K146="","",IFERROR('Game Records'!$U146,""))</x:f>
      </x:c>
      <x:c r="O146" s="989" t="str">
        <x:f>IF($K146="","",IF($P146="","No Highlighted Fields","Highlighted Fields Present"))</x:f>
      </x:c>
      <x:c r="P146" s="989" t="str">
        <x:f>IF($K146="","",IF('Game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Q146" s="989" t="str">
        <x:f>IF($K146="","",IFERROR('Game Records'!$M146,""))</x:f>
      </x:c>
    </x:row>
    <x:row r="147" ht="24" hidden="0" customHeight="1">
      <x:c r="A147" s="332"/>
      <x:c r="B147" s="332"/>
      <x:c r="C147" s="331"/>
      <x:c r="D147" s="331"/>
      <x:c r="E147" s="331"/>
      <x:c r="F147" s="331"/>
      <x:c r="G147" s="331"/>
      <x:c r="H147" s="104"/>
      <x:c r="I147" s="104"/>
      <x:c r="J147" s="104"/>
      <x:c r="K147" s="989" t="str">
        <x:f>IF(OR(COUNTA('Game Records'!$A147:$M147)=0,'Game Records'!$U147="Subscription"),"",IFERROR(MAX($K$4:K146),0)+1)</x:f>
      </x:c>
      <x:c r="L147" s="989" t="str">
        <x:f>IF($K147="","","G-"&amp;TEXT($K147,"0000"))</x:f>
      </x:c>
      <x:c r="M147" s="989" t="str">
        <x:f>IF($K147="","",IFERROR('Game Records'!$A147,""))</x:f>
      </x:c>
      <x:c r="N147" s="989" t="str">
        <x:f>IF($K147="","",IFERROR('Game Records'!$U147,""))</x:f>
      </x:c>
      <x:c r="O147" s="989" t="str">
        <x:f>IF($K147="","",IF($P147="","No Highlighted Fields","Highlighted Fields Present"))</x:f>
      </x:c>
      <x:c r="P147" s="989" t="str">
        <x:f>IF($K147="","",IF('Game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Q147" s="989" t="str">
        <x:f>IF($K147="","",IFERROR('Game Records'!$M147,""))</x:f>
      </x:c>
    </x:row>
    <x:row r="148" ht="24" hidden="0" customHeight="1">
      <x:c r="A148" s="332"/>
      <x:c r="B148" s="332"/>
      <x:c r="C148" s="331"/>
      <x:c r="D148" s="331"/>
      <x:c r="E148" s="331"/>
      <x:c r="F148" s="331"/>
      <x:c r="G148" s="331"/>
      <x:c r="H148" s="104"/>
      <x:c r="I148" s="104"/>
      <x:c r="J148" s="104"/>
      <x:c r="K148" s="989" t="str">
        <x:f>IF(OR(COUNTA('Game Records'!$A148:$M148)=0,'Game Records'!$U148="Subscription"),"",IFERROR(MAX($K$4:K147),0)+1)</x:f>
      </x:c>
      <x:c r="L148" s="989" t="str">
        <x:f>IF($K148="","","G-"&amp;TEXT($K148,"0000"))</x:f>
      </x:c>
      <x:c r="M148" s="989" t="str">
        <x:f>IF($K148="","",IFERROR('Game Records'!$A148,""))</x:f>
      </x:c>
      <x:c r="N148" s="989" t="str">
        <x:f>IF($K148="","",IFERROR('Game Records'!$U148,""))</x:f>
      </x:c>
      <x:c r="O148" s="989" t="str">
        <x:f>IF($K148="","",IF($P148="","No Highlighted Fields","Highlighted Fields Present"))</x:f>
      </x:c>
      <x:c r="P148" s="989" t="str">
        <x:f>IF($K148="","",IF('Game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Q148" s="989" t="str">
        <x:f>IF($K148="","",IFERROR('Game Records'!$M148,""))</x:f>
      </x:c>
    </x:row>
    <x:row r="149" ht="24" hidden="0" customHeight="1">
      <x:c r="A149" s="332"/>
      <x:c r="B149" s="332"/>
      <x:c r="C149" s="331"/>
      <x:c r="D149" s="331"/>
      <x:c r="E149" s="331"/>
      <x:c r="F149" s="331"/>
      <x:c r="G149" s="331"/>
      <x:c r="H149" s="104"/>
      <x:c r="I149" s="104"/>
      <x:c r="J149" s="104"/>
      <x:c r="K149" s="989" t="str">
        <x:f>IF(OR(COUNTA('Game Records'!$A149:$M149)=0,'Game Records'!$U149="Subscription"),"",IFERROR(MAX($K$4:K148),0)+1)</x:f>
      </x:c>
      <x:c r="L149" s="989" t="str">
        <x:f>IF($K149="","","G-"&amp;TEXT($K149,"0000"))</x:f>
      </x:c>
      <x:c r="M149" s="989" t="str">
        <x:f>IF($K149="","",IFERROR('Game Records'!$A149,""))</x:f>
      </x:c>
      <x:c r="N149" s="989" t="str">
        <x:f>IF($K149="","",IFERROR('Game Records'!$U149,""))</x:f>
      </x:c>
      <x:c r="O149" s="989" t="str">
        <x:f>IF($K149="","",IF($P149="","No Highlighted Fields","Highlighted Fields Present"))</x:f>
      </x:c>
      <x:c r="P149" s="989" t="str">
        <x:f>IF($K149="","",IF('Game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Q149" s="989" t="str">
        <x:f>IF($K149="","",IFERROR('Game Records'!$M149,""))</x:f>
      </x:c>
    </x:row>
    <x:row r="150" ht="24" hidden="0" customHeight="1">
      <x:c r="A150" s="332"/>
      <x:c r="B150" s="332"/>
      <x:c r="C150" s="331"/>
      <x:c r="D150" s="331"/>
      <x:c r="E150" s="331"/>
      <x:c r="F150" s="331"/>
      <x:c r="G150" s="331"/>
      <x:c r="H150" s="104"/>
      <x:c r="I150" s="104"/>
      <x:c r="J150" s="104"/>
      <x:c r="K150" s="989" t="str">
        <x:f>IF(OR(COUNTA('Game Records'!$A150:$M150)=0,'Game Records'!$U150="Subscription"),"",IFERROR(MAX($K$4:K149),0)+1)</x:f>
      </x:c>
      <x:c r="L150" s="989" t="str">
        <x:f>IF($K150="","","G-"&amp;TEXT($K150,"0000"))</x:f>
      </x:c>
      <x:c r="M150" s="989" t="str">
        <x:f>IF($K150="","",IFERROR('Game Records'!$A150,""))</x:f>
      </x:c>
      <x:c r="N150" s="989" t="str">
        <x:f>IF($K150="","",IFERROR('Game Records'!$U150,""))</x:f>
      </x:c>
      <x:c r="O150" s="989" t="str">
        <x:f>IF($K150="","",IF($P150="","No Highlighted Fields","Highlighted Fields Present"))</x:f>
      </x:c>
      <x:c r="P150" s="989" t="str">
        <x:f>IF($K150="","",IF('Game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Q150" s="989" t="str">
        <x:f>IF($K150="","",IFERROR('Game Records'!$M150,""))</x:f>
      </x:c>
    </x:row>
    <x:row r="151" ht="24" hidden="0" customHeight="1">
      <x:c r="A151" s="332"/>
      <x:c r="B151" s="332"/>
      <x:c r="C151" s="331"/>
      <x:c r="D151" s="331"/>
      <x:c r="E151" s="331"/>
      <x:c r="F151" s="331"/>
      <x:c r="G151" s="331"/>
      <x:c r="H151" s="104"/>
      <x:c r="I151" s="104"/>
      <x:c r="J151" s="104"/>
      <x:c r="K151" s="989" t="str">
        <x:f>IF(OR(COUNTA('Game Records'!$A151:$M151)=0,'Game Records'!$U151="Subscription"),"",IFERROR(MAX($K$4:K150),0)+1)</x:f>
      </x:c>
      <x:c r="L151" s="989" t="str">
        <x:f>IF($K151="","","G-"&amp;TEXT($K151,"0000"))</x:f>
      </x:c>
      <x:c r="M151" s="989" t="str">
        <x:f>IF($K151="","",IFERROR('Game Records'!$A151,""))</x:f>
      </x:c>
      <x:c r="N151" s="989" t="str">
        <x:f>IF($K151="","",IFERROR('Game Records'!$U151,""))</x:f>
      </x:c>
      <x:c r="O151" s="989" t="str">
        <x:f>IF($K151="","",IF($P151="","No Highlighted Fields","Highlighted Fields Present"))</x:f>
      </x:c>
      <x:c r="P151" s="989" t="str">
        <x:f>IF($K151="","",IF('Game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Q151" s="989" t="str">
        <x:f>IF($K151="","",IFERROR('Game Records'!$M151,""))</x:f>
      </x:c>
    </x:row>
    <x:row r="152" ht="24" hidden="0" customHeight="1">
      <x:c r="A152" s="332"/>
      <x:c r="B152" s="332"/>
      <x:c r="C152" s="331"/>
      <x:c r="D152" s="331"/>
      <x:c r="E152" s="331"/>
      <x:c r="F152" s="331"/>
      <x:c r="G152" s="331"/>
      <x:c r="H152" s="104"/>
      <x:c r="I152" s="104"/>
      <x:c r="J152" s="104"/>
      <x:c r="K152" s="989" t="str">
        <x:f>IF(OR(COUNTA('Game Records'!$A152:$M152)=0,'Game Records'!$U152="Subscription"),"",IFERROR(MAX($K$4:K151),0)+1)</x:f>
      </x:c>
      <x:c r="L152" s="989" t="str">
        <x:f>IF($K152="","","G-"&amp;TEXT($K152,"0000"))</x:f>
      </x:c>
      <x:c r="M152" s="989" t="str">
        <x:f>IF($K152="","",IFERROR('Game Records'!$A152,""))</x:f>
      </x:c>
      <x:c r="N152" s="989" t="str">
        <x:f>IF($K152="","",IFERROR('Game Records'!$U152,""))</x:f>
      </x:c>
      <x:c r="O152" s="989" t="str">
        <x:f>IF($K152="","",IF($P152="","No Highlighted Fields","Highlighted Fields Present"))</x:f>
      </x:c>
      <x:c r="P152" s="989" t="str">
        <x:f>IF($K152="","",IF('Game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Q152" s="989" t="str">
        <x:f>IF($K152="","",IFERROR('Game Records'!$M152,""))</x:f>
      </x:c>
    </x:row>
    <x:row r="153" ht="24" hidden="0" customHeight="1">
      <x:c r="A153" s="332"/>
      <x:c r="B153" s="332"/>
      <x:c r="C153" s="331"/>
      <x:c r="D153" s="331"/>
      <x:c r="E153" s="331"/>
      <x:c r="F153" s="331"/>
      <x:c r="G153" s="331"/>
      <x:c r="H153" s="104"/>
      <x:c r="I153" s="104"/>
      <x:c r="J153" s="104"/>
      <x:c r="K153" s="989" t="str">
        <x:f>IF(OR(COUNTA('Game Records'!$A153:$M153)=0,'Game Records'!$U153="Subscription"),"",IFERROR(MAX($K$4:K152),0)+1)</x:f>
      </x:c>
      <x:c r="L153" s="989" t="str">
        <x:f>IF($K153="","","G-"&amp;TEXT($K153,"0000"))</x:f>
      </x:c>
      <x:c r="M153" s="989" t="str">
        <x:f>IF($K153="","",IFERROR('Game Records'!$A153,""))</x:f>
      </x:c>
      <x:c r="N153" s="989" t="str">
        <x:f>IF($K153="","",IFERROR('Game Records'!$U153,""))</x:f>
      </x:c>
      <x:c r="O153" s="989" t="str">
        <x:f>IF($K153="","",IF($P153="","No Highlighted Fields","Highlighted Fields Present"))</x:f>
      </x:c>
      <x:c r="P153" s="989" t="str">
        <x:f>IF($K153="","",IF('Game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Q153" s="989" t="str">
        <x:f>IF($K153="","",IFERROR('Game Records'!$M153,""))</x:f>
      </x:c>
    </x:row>
    <x:row r="154" ht="24" hidden="0" customHeight="1">
      <x:c r="A154" s="332"/>
      <x:c r="B154" s="332"/>
      <x:c r="C154" s="331"/>
      <x:c r="D154" s="331"/>
      <x:c r="E154" s="331"/>
      <x:c r="F154" s="331"/>
      <x:c r="G154" s="331"/>
      <x:c r="H154" s="104"/>
      <x:c r="I154" s="104"/>
      <x:c r="J154" s="104"/>
      <x:c r="K154" s="989" t="str">
        <x:f>IF(OR(COUNTA('Game Records'!$A154:$M154)=0,'Game Records'!$U154="Subscription"),"",IFERROR(MAX($K$4:K153),0)+1)</x:f>
      </x:c>
      <x:c r="L154" s="989" t="str">
        <x:f>IF($K154="","","G-"&amp;TEXT($K154,"0000"))</x:f>
      </x:c>
      <x:c r="M154" s="989" t="str">
        <x:f>IF($K154="","",IFERROR('Game Records'!$A154,""))</x:f>
      </x:c>
      <x:c r="N154" s="989" t="str">
        <x:f>IF($K154="","",IFERROR('Game Records'!$U154,""))</x:f>
      </x:c>
      <x:c r="O154" s="989" t="str">
        <x:f>IF($K154="","",IF($P154="","No Highlighted Fields","Highlighted Fields Present"))</x:f>
      </x:c>
      <x:c r="P154" s="989" t="str">
        <x:f>IF($K154="","",IF('Game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Q154" s="989" t="str">
        <x:f>IF($K154="","",IFERROR('Game Records'!$M154,""))</x:f>
      </x:c>
    </x:row>
    <x:row r="155" ht="24" hidden="0" customHeight="1">
      <x:c r="A155" s="332"/>
      <x:c r="B155" s="332"/>
      <x:c r="C155" s="331"/>
      <x:c r="D155" s="331"/>
      <x:c r="E155" s="331"/>
      <x:c r="F155" s="331"/>
      <x:c r="G155" s="331"/>
      <x:c r="H155" s="104"/>
      <x:c r="I155" s="104"/>
      <x:c r="J155" s="104"/>
      <x:c r="K155" s="989" t="str">
        <x:f>IF(OR(COUNTA('Game Records'!$A155:$M155)=0,'Game Records'!$U155="Subscription"),"",IFERROR(MAX($K$4:K154),0)+1)</x:f>
      </x:c>
      <x:c r="L155" s="989" t="str">
        <x:f>IF($K155="","","G-"&amp;TEXT($K155,"0000"))</x:f>
      </x:c>
      <x:c r="M155" s="989" t="str">
        <x:f>IF($K155="","",IFERROR('Game Records'!$A155,""))</x:f>
      </x:c>
      <x:c r="N155" s="989" t="str">
        <x:f>IF($K155="","",IFERROR('Game Records'!$U155,""))</x:f>
      </x:c>
      <x:c r="O155" s="989" t="str">
        <x:f>IF($K155="","",IF($P155="","No Highlighted Fields","Highlighted Fields Present"))</x:f>
      </x:c>
      <x:c r="P155" s="989" t="str">
        <x:f>IF($K155="","",IF('Game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Q155" s="989" t="str">
        <x:f>IF($K155="","",IFERROR('Game Records'!$M155,""))</x:f>
      </x:c>
    </x:row>
    <x:row r="156" ht="24" hidden="0" customHeight="1">
      <x:c r="A156" s="332"/>
      <x:c r="B156" s="332"/>
      <x:c r="C156" s="331"/>
      <x:c r="D156" s="331"/>
      <x:c r="E156" s="331"/>
      <x:c r="F156" s="331"/>
      <x:c r="G156" s="331"/>
      <x:c r="H156" s="104"/>
      <x:c r="I156" s="104"/>
      <x:c r="J156" s="104"/>
      <x:c r="K156" s="989" t="str">
        <x:f>IF(OR(COUNTA('Game Records'!$A156:$M156)=0,'Game Records'!$U156="Subscription"),"",IFERROR(MAX($K$4:K155),0)+1)</x:f>
      </x:c>
      <x:c r="L156" s="989" t="str">
        <x:f>IF($K156="","","G-"&amp;TEXT($K156,"0000"))</x:f>
      </x:c>
      <x:c r="M156" s="989" t="str">
        <x:f>IF($K156="","",IFERROR('Game Records'!$A156,""))</x:f>
      </x:c>
      <x:c r="N156" s="989" t="str">
        <x:f>IF($K156="","",IFERROR('Game Records'!$U156,""))</x:f>
      </x:c>
      <x:c r="O156" s="989" t="str">
        <x:f>IF($K156="","",IF($P156="","No Highlighted Fields","Highlighted Fields Present"))</x:f>
      </x:c>
      <x:c r="P156" s="989" t="str">
        <x:f>IF($K156="","",IF('Game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Q156" s="989" t="str">
        <x:f>IF($K156="","",IFERROR('Game Records'!$M156,""))</x:f>
      </x:c>
    </x:row>
    <x:row r="157" ht="24" hidden="0" customHeight="1">
      <x:c r="A157" s="332"/>
      <x:c r="B157" s="332"/>
      <x:c r="C157" s="331"/>
      <x:c r="D157" s="331"/>
      <x:c r="E157" s="331"/>
      <x:c r="F157" s="331"/>
      <x:c r="G157" s="331"/>
      <x:c r="H157" s="104"/>
      <x:c r="I157" s="104"/>
      <x:c r="J157" s="104"/>
      <x:c r="K157" s="989" t="str">
        <x:f>IF(OR(COUNTA('Game Records'!$A157:$M157)=0,'Game Records'!$U157="Subscription"),"",IFERROR(MAX($K$4:K156),0)+1)</x:f>
      </x:c>
      <x:c r="L157" s="989" t="str">
        <x:f>IF($K157="","","G-"&amp;TEXT($K157,"0000"))</x:f>
      </x:c>
      <x:c r="M157" s="989" t="str">
        <x:f>IF($K157="","",IFERROR('Game Records'!$A157,""))</x:f>
      </x:c>
      <x:c r="N157" s="989" t="str">
        <x:f>IF($K157="","",IFERROR('Game Records'!$U157,""))</x:f>
      </x:c>
      <x:c r="O157" s="989" t="str">
        <x:f>IF($K157="","",IF($P157="","No Highlighted Fields","Highlighted Fields Present"))</x:f>
      </x:c>
      <x:c r="P157" s="989" t="str">
        <x:f>IF($K157="","",IF('Game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Q157" s="989" t="str">
        <x:f>IF($K157="","",IFERROR('Game Records'!$M157,""))</x:f>
      </x:c>
    </x:row>
    <x:row r="158" ht="24" hidden="0" customHeight="1">
      <x:c r="A158" s="332"/>
      <x:c r="B158" s="332"/>
      <x:c r="C158" s="331"/>
      <x:c r="D158" s="331"/>
      <x:c r="E158" s="331"/>
      <x:c r="F158" s="331"/>
      <x:c r="G158" s="331"/>
      <x:c r="H158" s="104"/>
      <x:c r="I158" s="104"/>
      <x:c r="J158" s="104"/>
      <x:c r="K158" s="989" t="str">
        <x:f>IF(OR(COUNTA('Game Records'!$A158:$M158)=0,'Game Records'!$U158="Subscription"),"",IFERROR(MAX($K$4:K157),0)+1)</x:f>
      </x:c>
      <x:c r="L158" s="989" t="str">
        <x:f>IF($K158="","","G-"&amp;TEXT($K158,"0000"))</x:f>
      </x:c>
      <x:c r="M158" s="989" t="str">
        <x:f>IF($K158="","",IFERROR('Game Records'!$A158,""))</x:f>
      </x:c>
      <x:c r="N158" s="989" t="str">
        <x:f>IF($K158="","",IFERROR('Game Records'!$U158,""))</x:f>
      </x:c>
      <x:c r="O158" s="989" t="str">
        <x:f>IF($K158="","",IF($P158="","No Highlighted Fields","Highlighted Fields Present"))</x:f>
      </x:c>
      <x:c r="P158" s="989" t="str">
        <x:f>IF($K158="","",IF('Game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Q158" s="989" t="str">
        <x:f>IF($K158="","",IFERROR('Game Records'!$M158,""))</x:f>
      </x:c>
    </x:row>
    <x:row r="159" ht="24" hidden="0" customHeight="1">
      <x:c r="A159" s="332"/>
      <x:c r="B159" s="332"/>
      <x:c r="C159" s="331"/>
      <x:c r="D159" s="331"/>
      <x:c r="E159" s="331"/>
      <x:c r="F159" s="331"/>
      <x:c r="G159" s="331"/>
      <x:c r="H159" s="104"/>
      <x:c r="I159" s="104"/>
      <x:c r="J159" s="104"/>
      <x:c r="K159" s="989" t="str">
        <x:f>IF(OR(COUNTA('Game Records'!$A159:$M159)=0,'Game Records'!$U159="Subscription"),"",IFERROR(MAX($K$4:K158),0)+1)</x:f>
      </x:c>
      <x:c r="L159" s="989" t="str">
        <x:f>IF($K159="","","G-"&amp;TEXT($K159,"0000"))</x:f>
      </x:c>
      <x:c r="M159" s="989" t="str">
        <x:f>IF($K159="","",IFERROR('Game Records'!$A159,""))</x:f>
      </x:c>
      <x:c r="N159" s="989" t="str">
        <x:f>IF($K159="","",IFERROR('Game Records'!$U159,""))</x:f>
      </x:c>
      <x:c r="O159" s="989" t="str">
        <x:f>IF($K159="","",IF($P159="","No Highlighted Fields","Highlighted Fields Present"))</x:f>
      </x:c>
      <x:c r="P159" s="989" t="str">
        <x:f>IF($K159="","",IF('Game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Q159" s="989" t="str">
        <x:f>IF($K159="","",IFERROR('Game Records'!$M159,""))</x:f>
      </x:c>
    </x:row>
    <x:row r="160" ht="24" hidden="0" customHeight="1">
      <x:c r="A160" s="332"/>
      <x:c r="B160" s="332"/>
      <x:c r="C160" s="331"/>
      <x:c r="D160" s="331"/>
      <x:c r="E160" s="331"/>
      <x:c r="F160" s="331"/>
      <x:c r="G160" s="331"/>
      <x:c r="H160" s="104"/>
      <x:c r="I160" s="104"/>
      <x:c r="J160" s="104"/>
      <x:c r="K160" s="989" t="str">
        <x:f>IF(OR(COUNTA('Game Records'!$A160:$M160)=0,'Game Records'!$U160="Subscription"),"",IFERROR(MAX($K$4:K159),0)+1)</x:f>
      </x:c>
      <x:c r="L160" s="989" t="str">
        <x:f>IF($K160="","","G-"&amp;TEXT($K160,"0000"))</x:f>
      </x:c>
      <x:c r="M160" s="989" t="str">
        <x:f>IF($K160="","",IFERROR('Game Records'!$A160,""))</x:f>
      </x:c>
      <x:c r="N160" s="989" t="str">
        <x:f>IF($K160="","",IFERROR('Game Records'!$U160,""))</x:f>
      </x:c>
      <x:c r="O160" s="989" t="str">
        <x:f>IF($K160="","",IF($P160="","No Highlighted Fields","Highlighted Fields Present"))</x:f>
      </x:c>
      <x:c r="P160" s="989" t="str">
        <x:f>IF($K160="","",IF('Game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Q160" s="989" t="str">
        <x:f>IF($K160="","",IFERROR('Game Records'!$M160,""))</x:f>
      </x:c>
    </x:row>
    <x:row r="161" ht="24" hidden="0" customHeight="1">
      <x:c r="A161" s="332"/>
      <x:c r="B161" s="332"/>
      <x:c r="C161" s="331"/>
      <x:c r="D161" s="331"/>
      <x:c r="E161" s="331"/>
      <x:c r="F161" s="331"/>
      <x:c r="G161" s="331"/>
      <x:c r="H161" s="104"/>
      <x:c r="I161" s="104"/>
      <x:c r="J161" s="104"/>
      <x:c r="K161" s="989" t="str">
        <x:f>IF(OR(COUNTA('Game Records'!$A161:$M161)=0,'Game Records'!$U161="Subscription"),"",IFERROR(MAX($K$4:K160),0)+1)</x:f>
      </x:c>
      <x:c r="L161" s="989" t="str">
        <x:f>IF($K161="","","G-"&amp;TEXT($K161,"0000"))</x:f>
      </x:c>
      <x:c r="M161" s="989" t="str">
        <x:f>IF($K161="","",IFERROR('Game Records'!$A161,""))</x:f>
      </x:c>
      <x:c r="N161" s="989" t="str">
        <x:f>IF($K161="","",IFERROR('Game Records'!$U161,""))</x:f>
      </x:c>
      <x:c r="O161" s="989" t="str">
        <x:f>IF($K161="","",IF($P161="","No Highlighted Fields","Highlighted Fields Present"))</x:f>
      </x:c>
      <x:c r="P161" s="989" t="str">
        <x:f>IF($K161="","",IF('Game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Q161" s="989" t="str">
        <x:f>IF($K161="","",IFERROR('Game Records'!$M161,""))</x:f>
      </x:c>
    </x:row>
    <x:row r="162" ht="24" hidden="0" customHeight="1">
      <x:c r="A162" s="332"/>
      <x:c r="B162" s="332"/>
      <x:c r="C162" s="331"/>
      <x:c r="D162" s="331"/>
      <x:c r="E162" s="331"/>
      <x:c r="F162" s="331"/>
      <x:c r="G162" s="331"/>
      <x:c r="H162" s="104"/>
      <x:c r="I162" s="104"/>
      <x:c r="J162" s="104"/>
      <x:c r="K162" s="989" t="str">
        <x:f>IF(OR(COUNTA('Game Records'!$A162:$M162)=0,'Game Records'!$U162="Subscription"),"",IFERROR(MAX($K$4:K161),0)+1)</x:f>
      </x:c>
      <x:c r="L162" s="989" t="str">
        <x:f>IF($K162="","","G-"&amp;TEXT($K162,"0000"))</x:f>
      </x:c>
      <x:c r="M162" s="989" t="str">
        <x:f>IF($K162="","",IFERROR('Game Records'!$A162,""))</x:f>
      </x:c>
      <x:c r="N162" s="989" t="str">
        <x:f>IF($K162="","",IFERROR('Game Records'!$U162,""))</x:f>
      </x:c>
      <x:c r="O162" s="989" t="str">
        <x:f>IF($K162="","",IF($P162="","No Highlighted Fields","Highlighted Fields Present"))</x:f>
      </x:c>
      <x:c r="P162" s="989" t="str">
        <x:f>IF($K162="","",IF('Game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Q162" s="989" t="str">
        <x:f>IF($K162="","",IFERROR('Game Records'!$M162,""))</x:f>
      </x:c>
    </x:row>
    <x:row r="163" ht="24" hidden="0" customHeight="1">
      <x:c r="A163" s="332"/>
      <x:c r="B163" s="332"/>
      <x:c r="C163" s="331"/>
      <x:c r="D163" s="331"/>
      <x:c r="E163" s="331"/>
      <x:c r="F163" s="331"/>
      <x:c r="G163" s="331"/>
      <x:c r="H163" s="104"/>
      <x:c r="I163" s="104"/>
      <x:c r="J163" s="104"/>
      <x:c r="K163" s="989" t="str">
        <x:f>IF(OR(COUNTA('Game Records'!$A163:$M163)=0,'Game Records'!$U163="Subscription"),"",IFERROR(MAX($K$4:K162),0)+1)</x:f>
      </x:c>
      <x:c r="L163" s="989" t="str">
        <x:f>IF($K163="","","G-"&amp;TEXT($K163,"0000"))</x:f>
      </x:c>
      <x:c r="M163" s="989" t="str">
        <x:f>IF($K163="","",IFERROR('Game Records'!$A163,""))</x:f>
      </x:c>
      <x:c r="N163" s="989" t="str">
        <x:f>IF($K163="","",IFERROR('Game Records'!$U163,""))</x:f>
      </x:c>
      <x:c r="O163" s="989" t="str">
        <x:f>IF($K163="","",IF($P163="","No Highlighted Fields","Highlighted Fields Present"))</x:f>
      </x:c>
      <x:c r="P163" s="989" t="str">
        <x:f>IF($K163="","",IF('Game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Q163" s="989" t="str">
        <x:f>IF($K163="","",IFERROR('Game Records'!$M163,""))</x:f>
      </x:c>
    </x:row>
    <x:row r="164" ht="24" hidden="0" customHeight="1">
      <x:c r="A164" s="332"/>
      <x:c r="B164" s="332"/>
      <x:c r="C164" s="331"/>
      <x:c r="D164" s="331"/>
      <x:c r="E164" s="331"/>
      <x:c r="F164" s="331"/>
      <x:c r="G164" s="331"/>
      <x:c r="H164" s="104"/>
      <x:c r="I164" s="104"/>
      <x:c r="J164" s="104"/>
      <x:c r="K164" s="989" t="str">
        <x:f>IF(OR(COUNTA('Game Records'!$A164:$M164)=0,'Game Records'!$U164="Subscription"),"",IFERROR(MAX($K$4:K163),0)+1)</x:f>
      </x:c>
      <x:c r="L164" s="989" t="str">
        <x:f>IF($K164="","","G-"&amp;TEXT($K164,"0000"))</x:f>
      </x:c>
      <x:c r="M164" s="989" t="str">
        <x:f>IF($K164="","",IFERROR('Game Records'!$A164,""))</x:f>
      </x:c>
      <x:c r="N164" s="989" t="str">
        <x:f>IF($K164="","",IFERROR('Game Records'!$U164,""))</x:f>
      </x:c>
      <x:c r="O164" s="989" t="str">
        <x:f>IF($K164="","",IF($P164="","No Highlighted Fields","Highlighted Fields Present"))</x:f>
      </x:c>
      <x:c r="P164" s="989" t="str">
        <x:f>IF($K164="","",IF('Game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Q164" s="989" t="str">
        <x:f>IF($K164="","",IFERROR('Game Records'!$M164,""))</x:f>
      </x:c>
    </x:row>
    <x:row r="165" ht="24" hidden="0" customHeight="1">
      <x:c r="A165" s="332"/>
      <x:c r="B165" s="332"/>
      <x:c r="C165" s="331"/>
      <x:c r="D165" s="331"/>
      <x:c r="E165" s="331"/>
      <x:c r="F165" s="331"/>
      <x:c r="G165" s="331"/>
      <x:c r="H165" s="104"/>
      <x:c r="I165" s="104"/>
      <x:c r="J165" s="104"/>
      <x:c r="K165" s="989" t="str">
        <x:f>IF(OR(COUNTA('Game Records'!$A165:$M165)=0,'Game Records'!$U165="Subscription"),"",IFERROR(MAX($K$4:K164),0)+1)</x:f>
      </x:c>
      <x:c r="L165" s="989" t="str">
        <x:f>IF($K165="","","G-"&amp;TEXT($K165,"0000"))</x:f>
      </x:c>
      <x:c r="M165" s="989" t="str">
        <x:f>IF($K165="","",IFERROR('Game Records'!$A165,""))</x:f>
      </x:c>
      <x:c r="N165" s="989" t="str">
        <x:f>IF($K165="","",IFERROR('Game Records'!$U165,""))</x:f>
      </x:c>
      <x:c r="O165" s="989" t="str">
        <x:f>IF($K165="","",IF($P165="","No Highlighted Fields","Highlighted Fields Present"))</x:f>
      </x:c>
      <x:c r="P165" s="989" t="str">
        <x:f>IF($K165="","",IF('Game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Q165" s="989" t="str">
        <x:f>IF($K165="","",IFERROR('Game Records'!$M165,""))</x:f>
      </x:c>
    </x:row>
    <x:row r="166" ht="24" hidden="0" customHeight="1">
      <x:c r="A166" s="332"/>
      <x:c r="B166" s="332"/>
      <x:c r="C166" s="331"/>
      <x:c r="D166" s="331"/>
      <x:c r="E166" s="331"/>
      <x:c r="F166" s="331"/>
      <x:c r="G166" s="331"/>
      <x:c r="H166" s="104"/>
      <x:c r="I166" s="104"/>
      <x:c r="J166" s="104"/>
      <x:c r="K166" s="989" t="str">
        <x:f>IF(OR(COUNTA('Game Records'!$A166:$M166)=0,'Game Records'!$U166="Subscription"),"",IFERROR(MAX($K$4:K165),0)+1)</x:f>
      </x:c>
      <x:c r="L166" s="989" t="str">
        <x:f>IF($K166="","","G-"&amp;TEXT($K166,"0000"))</x:f>
      </x:c>
      <x:c r="M166" s="989" t="str">
        <x:f>IF($K166="","",IFERROR('Game Records'!$A166,""))</x:f>
      </x:c>
      <x:c r="N166" s="989" t="str">
        <x:f>IF($K166="","",IFERROR('Game Records'!$U166,""))</x:f>
      </x:c>
      <x:c r="O166" s="989" t="str">
        <x:f>IF($K166="","",IF($P166="","No Highlighted Fields","Highlighted Fields Present"))</x:f>
      </x:c>
      <x:c r="P166" s="989" t="str">
        <x:f>IF($K166="","",IF('Game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Q166" s="989" t="str">
        <x:f>IF($K166="","",IFERROR('Game Records'!$M166,""))</x:f>
      </x:c>
    </x:row>
    <x:row r="167" ht="24" hidden="0" customHeight="1">
      <x:c r="A167" s="332"/>
      <x:c r="B167" s="332"/>
      <x:c r="C167" s="331"/>
      <x:c r="D167" s="331"/>
      <x:c r="E167" s="331"/>
      <x:c r="F167" s="331"/>
      <x:c r="G167" s="331"/>
      <x:c r="H167" s="104"/>
      <x:c r="I167" s="104"/>
      <x:c r="J167" s="104"/>
      <x:c r="K167" s="989" t="str">
        <x:f>IF(OR(COUNTA('Game Records'!$A167:$M167)=0,'Game Records'!$U167="Subscription"),"",IFERROR(MAX($K$4:K166),0)+1)</x:f>
      </x:c>
      <x:c r="L167" s="989" t="str">
        <x:f>IF($K167="","","G-"&amp;TEXT($K167,"0000"))</x:f>
      </x:c>
      <x:c r="M167" s="989" t="str">
        <x:f>IF($K167="","",IFERROR('Game Records'!$A167,""))</x:f>
      </x:c>
      <x:c r="N167" s="989" t="str">
        <x:f>IF($K167="","",IFERROR('Game Records'!$U167,""))</x:f>
      </x:c>
      <x:c r="O167" s="989" t="str">
        <x:f>IF($K167="","",IF($P167="","No Highlighted Fields","Highlighted Fields Present"))</x:f>
      </x:c>
      <x:c r="P167" s="989" t="str">
        <x:f>IF($K167="","",IF('Game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Q167" s="989" t="str">
        <x:f>IF($K167="","",IFERROR('Game Records'!$M167,""))</x:f>
      </x:c>
    </x:row>
    <x:row r="168" ht="24" hidden="0" customHeight="1">
      <x:c r="A168" s="332"/>
      <x:c r="B168" s="332"/>
      <x:c r="C168" s="331"/>
      <x:c r="D168" s="331"/>
      <x:c r="E168" s="331"/>
      <x:c r="F168" s="331"/>
      <x:c r="G168" s="331"/>
      <x:c r="H168" s="104"/>
      <x:c r="I168" s="104"/>
      <x:c r="J168" s="104"/>
      <x:c r="K168" s="989" t="str">
        <x:f>IF(OR(COUNTA('Game Records'!$A168:$M168)=0,'Game Records'!$U168="Subscription"),"",IFERROR(MAX($K$4:K167),0)+1)</x:f>
      </x:c>
      <x:c r="L168" s="989" t="str">
        <x:f>IF($K168="","","G-"&amp;TEXT($K168,"0000"))</x:f>
      </x:c>
      <x:c r="M168" s="989" t="str">
        <x:f>IF($K168="","",IFERROR('Game Records'!$A168,""))</x:f>
      </x:c>
      <x:c r="N168" s="989" t="str">
        <x:f>IF($K168="","",IFERROR('Game Records'!$U168,""))</x:f>
      </x:c>
      <x:c r="O168" s="989" t="str">
        <x:f>IF($K168="","",IF($P168="","No Highlighted Fields","Highlighted Fields Present"))</x:f>
      </x:c>
      <x:c r="P168" s="989" t="str">
        <x:f>IF($K168="","",IF('Game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Q168" s="989" t="str">
        <x:f>IF($K168="","",IFERROR('Game Records'!$M168,""))</x:f>
      </x:c>
    </x:row>
    <x:row r="169" ht="24" hidden="0" customHeight="1">
      <x:c r="A169" s="332"/>
      <x:c r="B169" s="332"/>
      <x:c r="C169" s="331"/>
      <x:c r="D169" s="331"/>
      <x:c r="E169" s="331"/>
      <x:c r="F169" s="331"/>
      <x:c r="G169" s="331"/>
      <x:c r="H169" s="104"/>
      <x:c r="I169" s="104"/>
      <x:c r="J169" s="104"/>
      <x:c r="K169" s="989" t="str">
        <x:f>IF(OR(COUNTA('Game Records'!$A169:$M169)=0,'Game Records'!$U169="Subscription"),"",IFERROR(MAX($K$4:K168),0)+1)</x:f>
      </x:c>
      <x:c r="L169" s="989" t="str">
        <x:f>IF($K169="","","G-"&amp;TEXT($K169,"0000"))</x:f>
      </x:c>
      <x:c r="M169" s="989" t="str">
        <x:f>IF($K169="","",IFERROR('Game Records'!$A169,""))</x:f>
      </x:c>
      <x:c r="N169" s="989" t="str">
        <x:f>IF($K169="","",IFERROR('Game Records'!$U169,""))</x:f>
      </x:c>
      <x:c r="O169" s="989" t="str">
        <x:f>IF($K169="","",IF($P169="","No Highlighted Fields","Highlighted Fields Present"))</x:f>
      </x:c>
      <x:c r="P169" s="989" t="str">
        <x:f>IF($K169="","",IF('Game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Q169" s="989" t="str">
        <x:f>IF($K169="","",IFERROR('Game Records'!$M169,""))</x:f>
      </x:c>
    </x:row>
    <x:row r="170" ht="24" hidden="0" customHeight="1">
      <x:c r="A170" s="332"/>
      <x:c r="B170" s="332"/>
      <x:c r="C170" s="331"/>
      <x:c r="D170" s="331"/>
      <x:c r="E170" s="331"/>
      <x:c r="F170" s="331"/>
      <x:c r="G170" s="331"/>
      <x:c r="H170" s="104"/>
      <x:c r="I170" s="104"/>
      <x:c r="J170" s="104"/>
      <x:c r="K170" s="989" t="str">
        <x:f>IF(OR(COUNTA('Game Records'!$A170:$M170)=0,'Game Records'!$U170="Subscription"),"",IFERROR(MAX($K$4:K169),0)+1)</x:f>
      </x:c>
      <x:c r="L170" s="989" t="str">
        <x:f>IF($K170="","","G-"&amp;TEXT($K170,"0000"))</x:f>
      </x:c>
      <x:c r="M170" s="989" t="str">
        <x:f>IF($K170="","",IFERROR('Game Records'!$A170,""))</x:f>
      </x:c>
      <x:c r="N170" s="989" t="str">
        <x:f>IF($K170="","",IFERROR('Game Records'!$U170,""))</x:f>
      </x:c>
      <x:c r="O170" s="989" t="str">
        <x:f>IF($K170="","",IF($P170="","No Highlighted Fields","Highlighted Fields Present"))</x:f>
      </x:c>
      <x:c r="P170" s="989" t="str">
        <x:f>IF($K170="","",IF('Game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Q170" s="989" t="str">
        <x:f>IF($K170="","",IFERROR('Game Records'!$M170,""))</x:f>
      </x:c>
    </x:row>
    <x:row r="171" ht="24" hidden="0" customHeight="1">
      <x:c r="A171" s="332"/>
      <x:c r="B171" s="332"/>
      <x:c r="C171" s="331"/>
      <x:c r="D171" s="331"/>
      <x:c r="E171" s="331"/>
      <x:c r="F171" s="331"/>
      <x:c r="G171" s="331"/>
      <x:c r="H171" s="104"/>
      <x:c r="I171" s="104"/>
      <x:c r="J171" s="104"/>
      <x:c r="K171" s="989" t="str">
        <x:f>IF(OR(COUNTA('Game Records'!$A171:$M171)=0,'Game Records'!$U171="Subscription"),"",IFERROR(MAX($K$4:K170),0)+1)</x:f>
      </x:c>
      <x:c r="L171" s="989" t="str">
        <x:f>IF($K171="","","G-"&amp;TEXT($K171,"0000"))</x:f>
      </x:c>
      <x:c r="M171" s="989" t="str">
        <x:f>IF($K171="","",IFERROR('Game Records'!$A171,""))</x:f>
      </x:c>
      <x:c r="N171" s="989" t="str">
        <x:f>IF($K171="","",IFERROR('Game Records'!$U171,""))</x:f>
      </x:c>
      <x:c r="O171" s="989" t="str">
        <x:f>IF($K171="","",IF($P171="","No Highlighted Fields","Highlighted Fields Present"))</x:f>
      </x:c>
      <x:c r="P171" s="989" t="str">
        <x:f>IF($K171="","",IF('Game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Q171" s="989" t="str">
        <x:f>IF($K171="","",IFERROR('Game Records'!$M171,""))</x:f>
      </x:c>
    </x:row>
    <x:row r="172" ht="24" hidden="0" customHeight="1">
      <x:c r="A172" s="332"/>
      <x:c r="B172" s="332"/>
      <x:c r="C172" s="331"/>
      <x:c r="D172" s="331"/>
      <x:c r="E172" s="331"/>
      <x:c r="F172" s="331"/>
      <x:c r="G172" s="331"/>
      <x:c r="H172" s="104"/>
      <x:c r="I172" s="104"/>
      <x:c r="J172" s="104"/>
      <x:c r="K172" s="989" t="str">
        <x:f>IF(OR(COUNTA('Game Records'!$A172:$M172)=0,'Game Records'!$U172="Subscription"),"",IFERROR(MAX($K$4:K171),0)+1)</x:f>
      </x:c>
      <x:c r="L172" s="989" t="str">
        <x:f>IF($K172="","","G-"&amp;TEXT($K172,"0000"))</x:f>
      </x:c>
      <x:c r="M172" s="989" t="str">
        <x:f>IF($K172="","",IFERROR('Game Records'!$A172,""))</x:f>
      </x:c>
      <x:c r="N172" s="989" t="str">
        <x:f>IF($K172="","",IFERROR('Game Records'!$U172,""))</x:f>
      </x:c>
      <x:c r="O172" s="989" t="str">
        <x:f>IF($K172="","",IF($P172="","No Highlighted Fields","Highlighted Fields Present"))</x:f>
      </x:c>
      <x:c r="P172" s="989" t="str">
        <x:f>IF($K172="","",IF('Game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Q172" s="989" t="str">
        <x:f>IF($K172="","",IFERROR('Game Records'!$M172,""))</x:f>
      </x:c>
    </x:row>
    <x:row r="173" ht="24" hidden="0" customHeight="1">
      <x:c r="A173" s="332"/>
      <x:c r="B173" s="332"/>
      <x:c r="C173" s="331"/>
      <x:c r="D173" s="331"/>
      <x:c r="E173" s="331"/>
      <x:c r="F173" s="331"/>
      <x:c r="G173" s="331"/>
      <x:c r="H173" s="104"/>
      <x:c r="I173" s="104"/>
      <x:c r="J173" s="104"/>
      <x:c r="K173" s="989" t="str">
        <x:f>IF(OR(COUNTA('Game Records'!$A173:$M173)=0,'Game Records'!$U173="Subscription"),"",IFERROR(MAX($K$4:K172),0)+1)</x:f>
      </x:c>
      <x:c r="L173" s="989" t="str">
        <x:f>IF($K173="","","G-"&amp;TEXT($K173,"0000"))</x:f>
      </x:c>
      <x:c r="M173" s="989" t="str">
        <x:f>IF($K173="","",IFERROR('Game Records'!$A173,""))</x:f>
      </x:c>
      <x:c r="N173" s="989" t="str">
        <x:f>IF($K173="","",IFERROR('Game Records'!$U173,""))</x:f>
      </x:c>
      <x:c r="O173" s="989" t="str">
        <x:f>IF($K173="","",IF($P173="","No Highlighted Fields","Highlighted Fields Present"))</x:f>
      </x:c>
      <x:c r="P173" s="989" t="str">
        <x:f>IF($K173="","",IF('Game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Q173" s="989" t="str">
        <x:f>IF($K173="","",IFERROR('Game Records'!$M173,""))</x:f>
      </x:c>
    </x:row>
    <x:row r="174" ht="24" hidden="0" customHeight="1">
      <x:c r="A174" s="332"/>
      <x:c r="B174" s="332"/>
      <x:c r="C174" s="331"/>
      <x:c r="D174" s="331"/>
      <x:c r="E174" s="331"/>
      <x:c r="F174" s="331"/>
      <x:c r="G174" s="331"/>
      <x:c r="H174" s="104"/>
      <x:c r="I174" s="104"/>
      <x:c r="J174" s="104"/>
      <x:c r="K174" s="989" t="str">
        <x:f>IF(OR(COUNTA('Game Records'!$A174:$M174)=0,'Game Records'!$U174="Subscription"),"",IFERROR(MAX($K$4:K173),0)+1)</x:f>
      </x:c>
      <x:c r="L174" s="989" t="str">
        <x:f>IF($K174="","","G-"&amp;TEXT($K174,"0000"))</x:f>
      </x:c>
      <x:c r="M174" s="989" t="str">
        <x:f>IF($K174="","",IFERROR('Game Records'!$A174,""))</x:f>
      </x:c>
      <x:c r="N174" s="989" t="str">
        <x:f>IF($K174="","",IFERROR('Game Records'!$U174,""))</x:f>
      </x:c>
      <x:c r="O174" s="989" t="str">
        <x:f>IF($K174="","",IF($P174="","No Highlighted Fields","Highlighted Fields Present"))</x:f>
      </x:c>
      <x:c r="P174" s="989" t="str">
        <x:f>IF($K174="","",IF('Game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Q174" s="989" t="str">
        <x:f>IF($K174="","",IFERROR('Game Records'!$M174,""))</x:f>
      </x:c>
    </x:row>
    <x:row r="175" ht="24" hidden="0" customHeight="1">
      <x:c r="A175" s="332"/>
      <x:c r="B175" s="332"/>
      <x:c r="C175" s="331"/>
      <x:c r="D175" s="331"/>
      <x:c r="E175" s="331"/>
      <x:c r="F175" s="331"/>
      <x:c r="G175" s="331"/>
      <x:c r="H175" s="104"/>
      <x:c r="I175" s="104"/>
      <x:c r="J175" s="104"/>
      <x:c r="K175" s="989" t="str">
        <x:f>IF(OR(COUNTA('Game Records'!$A175:$M175)=0,'Game Records'!$U175="Subscription"),"",IFERROR(MAX($K$4:K174),0)+1)</x:f>
      </x:c>
      <x:c r="L175" s="989" t="str">
        <x:f>IF($K175="","","G-"&amp;TEXT($K175,"0000"))</x:f>
      </x:c>
      <x:c r="M175" s="989" t="str">
        <x:f>IF($K175="","",IFERROR('Game Records'!$A175,""))</x:f>
      </x:c>
      <x:c r="N175" s="989" t="str">
        <x:f>IF($K175="","",IFERROR('Game Records'!$U175,""))</x:f>
      </x:c>
      <x:c r="O175" s="989" t="str">
        <x:f>IF($K175="","",IF($P175="","No Highlighted Fields","Highlighted Fields Present"))</x:f>
      </x:c>
      <x:c r="P175" s="989" t="str">
        <x:f>IF($K175="","",IF('Game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Q175" s="989" t="str">
        <x:f>IF($K175="","",IFERROR('Game Records'!$M175,""))</x:f>
      </x:c>
    </x:row>
    <x:row r="176" ht="24" hidden="0" customHeight="1">
      <x:c r="A176" s="332"/>
      <x:c r="B176" s="332"/>
      <x:c r="C176" s="331"/>
      <x:c r="D176" s="331"/>
      <x:c r="E176" s="331"/>
      <x:c r="F176" s="331"/>
      <x:c r="G176" s="331"/>
      <x:c r="H176" s="104"/>
      <x:c r="I176" s="104"/>
      <x:c r="J176" s="104"/>
      <x:c r="K176" s="989" t="str">
        <x:f>IF(OR(COUNTA('Game Records'!$A176:$M176)=0,'Game Records'!$U176="Subscription"),"",IFERROR(MAX($K$4:K175),0)+1)</x:f>
      </x:c>
      <x:c r="L176" s="989" t="str">
        <x:f>IF($K176="","","G-"&amp;TEXT($K176,"0000"))</x:f>
      </x:c>
      <x:c r="M176" s="989" t="str">
        <x:f>IF($K176="","",IFERROR('Game Records'!$A176,""))</x:f>
      </x:c>
      <x:c r="N176" s="989" t="str">
        <x:f>IF($K176="","",IFERROR('Game Records'!$U176,""))</x:f>
      </x:c>
      <x:c r="O176" s="989" t="str">
        <x:f>IF($K176="","",IF($P176="","No Highlighted Fields","Highlighted Fields Present"))</x:f>
      </x:c>
      <x:c r="P176" s="989" t="str">
        <x:f>IF($K176="","",IF('Game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Q176" s="989" t="str">
        <x:f>IF($K176="","",IFERROR('Game Records'!$M176,""))</x:f>
      </x:c>
    </x:row>
    <x:row r="177" ht="24" hidden="0" customHeight="1">
      <x:c r="A177" s="332"/>
      <x:c r="B177" s="332"/>
      <x:c r="C177" s="331"/>
      <x:c r="D177" s="331"/>
      <x:c r="E177" s="331"/>
      <x:c r="F177" s="331"/>
      <x:c r="G177" s="331"/>
      <x:c r="H177" s="104"/>
      <x:c r="I177" s="104"/>
      <x:c r="J177" s="104"/>
      <x:c r="K177" s="989" t="str">
        <x:f>IF(OR(COUNTA('Game Records'!$A177:$M177)=0,'Game Records'!$U177="Subscription"),"",IFERROR(MAX($K$4:K176),0)+1)</x:f>
      </x:c>
      <x:c r="L177" s="989" t="str">
        <x:f>IF($K177="","","G-"&amp;TEXT($K177,"0000"))</x:f>
      </x:c>
      <x:c r="M177" s="989" t="str">
        <x:f>IF($K177="","",IFERROR('Game Records'!$A177,""))</x:f>
      </x:c>
      <x:c r="N177" s="989" t="str">
        <x:f>IF($K177="","",IFERROR('Game Records'!$U177,""))</x:f>
      </x:c>
      <x:c r="O177" s="989" t="str">
        <x:f>IF($K177="","",IF($P177="","No Highlighted Fields","Highlighted Fields Present"))</x:f>
      </x:c>
      <x:c r="P177" s="989" t="str">
        <x:f>IF($K177="","",IF('Game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Q177" s="989" t="str">
        <x:f>IF($K177="","",IFERROR('Game Records'!$M177,""))</x:f>
      </x:c>
    </x:row>
    <x:row r="178" ht="24" hidden="0" customHeight="1">
      <x:c r="A178" s="332"/>
      <x:c r="B178" s="332"/>
      <x:c r="C178" s="331"/>
      <x:c r="D178" s="331"/>
      <x:c r="E178" s="331"/>
      <x:c r="F178" s="331"/>
      <x:c r="G178" s="331"/>
      <x:c r="H178" s="104"/>
      <x:c r="I178" s="104"/>
      <x:c r="J178" s="104"/>
      <x:c r="K178" s="989" t="str">
        <x:f>IF(OR(COUNTA('Game Records'!$A178:$M178)=0,'Game Records'!$U178="Subscription"),"",IFERROR(MAX($K$4:K177),0)+1)</x:f>
      </x:c>
      <x:c r="L178" s="989" t="str">
        <x:f>IF($K178="","","G-"&amp;TEXT($K178,"0000"))</x:f>
      </x:c>
      <x:c r="M178" s="989" t="str">
        <x:f>IF($K178="","",IFERROR('Game Records'!$A178,""))</x:f>
      </x:c>
      <x:c r="N178" s="989" t="str">
        <x:f>IF($K178="","",IFERROR('Game Records'!$U178,""))</x:f>
      </x:c>
      <x:c r="O178" s="989" t="str">
        <x:f>IF($K178="","",IF($P178="","No Highlighted Fields","Highlighted Fields Present"))</x:f>
      </x:c>
      <x:c r="P178" s="989" t="str">
        <x:f>IF($K178="","",IF('Game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Q178" s="989" t="str">
        <x:f>IF($K178="","",IFERROR('Game Records'!$M178,""))</x:f>
      </x:c>
    </x:row>
    <x:row r="179" ht="24" hidden="0" customHeight="1">
      <x:c r="A179" s="332"/>
      <x:c r="B179" s="332"/>
      <x:c r="C179" s="331"/>
      <x:c r="D179" s="331"/>
      <x:c r="E179" s="331"/>
      <x:c r="F179" s="331"/>
      <x:c r="G179" s="331"/>
      <x:c r="H179" s="104"/>
      <x:c r="I179" s="104"/>
      <x:c r="J179" s="104"/>
      <x:c r="K179" s="989" t="str">
        <x:f>IF(OR(COUNTA('Game Records'!$A179:$M179)=0,'Game Records'!$U179="Subscription"),"",IFERROR(MAX($K$4:K178),0)+1)</x:f>
      </x:c>
      <x:c r="L179" s="989" t="str">
        <x:f>IF($K179="","","G-"&amp;TEXT($K179,"0000"))</x:f>
      </x:c>
      <x:c r="M179" s="989" t="str">
        <x:f>IF($K179="","",IFERROR('Game Records'!$A179,""))</x:f>
      </x:c>
      <x:c r="N179" s="989" t="str">
        <x:f>IF($K179="","",IFERROR('Game Records'!$U179,""))</x:f>
      </x:c>
      <x:c r="O179" s="989" t="str">
        <x:f>IF($K179="","",IF($P179="","No Highlighted Fields","Highlighted Fields Present"))</x:f>
      </x:c>
      <x:c r="P179" s="989" t="str">
        <x:f>IF($K179="","",IF('Game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Q179" s="989" t="str">
        <x:f>IF($K179="","",IFERROR('Game Records'!$M179,""))</x:f>
      </x:c>
    </x:row>
    <x:row r="180" ht="24" hidden="0" customHeight="1">
      <x:c r="A180" s="332"/>
      <x:c r="B180" s="332"/>
      <x:c r="C180" s="331"/>
      <x:c r="D180" s="331"/>
      <x:c r="E180" s="331"/>
      <x:c r="F180" s="331"/>
      <x:c r="G180" s="331"/>
      <x:c r="H180" s="104"/>
      <x:c r="I180" s="104"/>
      <x:c r="J180" s="104"/>
      <x:c r="K180" s="989" t="str">
        <x:f>IF(OR(COUNTA('Game Records'!$A180:$M180)=0,'Game Records'!$U180="Subscription"),"",IFERROR(MAX($K$4:K179),0)+1)</x:f>
      </x:c>
      <x:c r="L180" s="989" t="str">
        <x:f>IF($K180="","","G-"&amp;TEXT($K180,"0000"))</x:f>
      </x:c>
      <x:c r="M180" s="989" t="str">
        <x:f>IF($K180="","",IFERROR('Game Records'!$A180,""))</x:f>
      </x:c>
      <x:c r="N180" s="989" t="str">
        <x:f>IF($K180="","",IFERROR('Game Records'!$U180,""))</x:f>
      </x:c>
      <x:c r="O180" s="989" t="str">
        <x:f>IF($K180="","",IF($P180="","No Highlighted Fields","Highlighted Fields Present"))</x:f>
      </x:c>
      <x:c r="P180" s="989" t="str">
        <x:f>IF($K180="","",IF('Game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Q180" s="989" t="str">
        <x:f>IF($K180="","",IFERROR('Game Records'!$M180,""))</x:f>
      </x:c>
    </x:row>
    <x:row r="181" ht="24" hidden="0" customHeight="1">
      <x:c r="A181" s="332"/>
      <x:c r="B181" s="332"/>
      <x:c r="C181" s="331"/>
      <x:c r="D181" s="331"/>
      <x:c r="E181" s="331"/>
      <x:c r="F181" s="331"/>
      <x:c r="G181" s="331"/>
      <x:c r="H181" s="104"/>
      <x:c r="I181" s="104"/>
      <x:c r="J181" s="104"/>
      <x:c r="K181" s="989" t="str">
        <x:f>IF(OR(COUNTA('Game Records'!$A181:$M181)=0,'Game Records'!$U181="Subscription"),"",IFERROR(MAX($K$4:K180),0)+1)</x:f>
      </x:c>
      <x:c r="L181" s="989" t="str">
        <x:f>IF($K181="","","G-"&amp;TEXT($K181,"0000"))</x:f>
      </x:c>
      <x:c r="M181" s="989" t="str">
        <x:f>IF($K181="","",IFERROR('Game Records'!$A181,""))</x:f>
      </x:c>
      <x:c r="N181" s="989" t="str">
        <x:f>IF($K181="","",IFERROR('Game Records'!$U181,""))</x:f>
      </x:c>
      <x:c r="O181" s="989" t="str">
        <x:f>IF($K181="","",IF($P181="","No Highlighted Fields","Highlighted Fields Present"))</x:f>
      </x:c>
      <x:c r="P181" s="989" t="str">
        <x:f>IF($K181="","",IF('Game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Q181" s="989" t="str">
        <x:f>IF($K181="","",IFERROR('Game Records'!$M181,""))</x:f>
      </x:c>
    </x:row>
    <x:row r="182" ht="24" hidden="0" customHeight="1">
      <x:c r="A182" s="332"/>
      <x:c r="B182" s="332"/>
      <x:c r="C182" s="331"/>
      <x:c r="D182" s="331"/>
      <x:c r="E182" s="331"/>
      <x:c r="F182" s="331"/>
      <x:c r="G182" s="331"/>
      <x:c r="H182" s="104"/>
      <x:c r="I182" s="104"/>
      <x:c r="J182" s="104"/>
      <x:c r="K182" s="989" t="str">
        <x:f>IF(OR(COUNTA('Game Records'!$A182:$M182)=0,'Game Records'!$U182="Subscription"),"",IFERROR(MAX($K$4:K181),0)+1)</x:f>
      </x:c>
      <x:c r="L182" s="989" t="str">
        <x:f>IF($K182="","","G-"&amp;TEXT($K182,"0000"))</x:f>
      </x:c>
      <x:c r="M182" s="989" t="str">
        <x:f>IF($K182="","",IFERROR('Game Records'!$A182,""))</x:f>
      </x:c>
      <x:c r="N182" s="989" t="str">
        <x:f>IF($K182="","",IFERROR('Game Records'!$U182,""))</x:f>
      </x:c>
      <x:c r="O182" s="989" t="str">
        <x:f>IF($K182="","",IF($P182="","No Highlighted Fields","Highlighted Fields Present"))</x:f>
      </x:c>
      <x:c r="P182" s="989" t="str">
        <x:f>IF($K182="","",IF('Game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Q182" s="989" t="str">
        <x:f>IF($K182="","",IFERROR('Game Records'!$M182,""))</x:f>
      </x:c>
    </x:row>
    <x:row r="183" ht="24" hidden="0" customHeight="1">
      <x:c r="A183" s="332"/>
      <x:c r="B183" s="332"/>
      <x:c r="C183" s="331"/>
      <x:c r="D183" s="331"/>
      <x:c r="E183" s="331"/>
      <x:c r="F183" s="331"/>
      <x:c r="G183" s="331"/>
      <x:c r="H183" s="104"/>
      <x:c r="I183" s="104"/>
      <x:c r="J183" s="104"/>
      <x:c r="K183" s="989" t="str">
        <x:f>IF(OR(COUNTA('Game Records'!$A183:$M183)=0,'Game Records'!$U183="Subscription"),"",IFERROR(MAX($K$4:K182),0)+1)</x:f>
      </x:c>
      <x:c r="L183" s="989" t="str">
        <x:f>IF($K183="","","G-"&amp;TEXT($K183,"0000"))</x:f>
      </x:c>
      <x:c r="M183" s="989" t="str">
        <x:f>IF($K183="","",IFERROR('Game Records'!$A183,""))</x:f>
      </x:c>
      <x:c r="N183" s="989" t="str">
        <x:f>IF($K183="","",IFERROR('Game Records'!$U183,""))</x:f>
      </x:c>
      <x:c r="O183" s="989" t="str">
        <x:f>IF($K183="","",IF($P183="","No Highlighted Fields","Highlighted Fields Present"))</x:f>
      </x:c>
      <x:c r="P183" s="989" t="str">
        <x:f>IF($K183="","",IF('Game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Q183" s="989" t="str">
        <x:f>IF($K183="","",IFERROR('Game Records'!$M183,""))</x:f>
      </x:c>
    </x:row>
    <x:row r="184" ht="24" hidden="0" customHeight="1">
      <x:c r="A184" s="332"/>
      <x:c r="B184" s="332"/>
      <x:c r="C184" s="331"/>
      <x:c r="D184" s="331"/>
      <x:c r="E184" s="331"/>
      <x:c r="F184" s="331"/>
      <x:c r="G184" s="331"/>
      <x:c r="H184" s="104"/>
      <x:c r="I184" s="104"/>
      <x:c r="J184" s="104"/>
      <x:c r="K184" s="989" t="str">
        <x:f>IF(OR(COUNTA('Game Records'!$A184:$M184)=0,'Game Records'!$U184="Subscription"),"",IFERROR(MAX($K$4:K183),0)+1)</x:f>
      </x:c>
      <x:c r="L184" s="989" t="str">
        <x:f>IF($K184="","","G-"&amp;TEXT($K184,"0000"))</x:f>
      </x:c>
      <x:c r="M184" s="989" t="str">
        <x:f>IF($K184="","",IFERROR('Game Records'!$A184,""))</x:f>
      </x:c>
      <x:c r="N184" s="989" t="str">
        <x:f>IF($K184="","",IFERROR('Game Records'!$U184,""))</x:f>
      </x:c>
      <x:c r="O184" s="989" t="str">
        <x:f>IF($K184="","",IF($P184="","No Highlighted Fields","Highlighted Fields Present"))</x:f>
      </x:c>
      <x:c r="P184" s="989" t="str">
        <x:f>IF($K184="","",IF('Game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Q184" s="989" t="str">
        <x:f>IF($K184="","",IFERROR('Game Records'!$M184,""))</x:f>
      </x:c>
    </x:row>
    <x:row r="185" ht="24" hidden="0" customHeight="1">
      <x:c r="A185" s="332"/>
      <x:c r="B185" s="332"/>
      <x:c r="C185" s="331"/>
      <x:c r="D185" s="331"/>
      <x:c r="E185" s="331"/>
      <x:c r="F185" s="331"/>
      <x:c r="G185" s="331"/>
      <x:c r="H185" s="104"/>
      <x:c r="I185" s="104"/>
      <x:c r="J185" s="104"/>
      <x:c r="K185" s="989" t="str">
        <x:f>IF(OR(COUNTA('Game Records'!$A185:$M185)=0,'Game Records'!$U185="Subscription"),"",IFERROR(MAX($K$4:K184),0)+1)</x:f>
      </x:c>
      <x:c r="L185" s="989" t="str">
        <x:f>IF($K185="","","G-"&amp;TEXT($K185,"0000"))</x:f>
      </x:c>
      <x:c r="M185" s="989" t="str">
        <x:f>IF($K185="","",IFERROR('Game Records'!$A185,""))</x:f>
      </x:c>
      <x:c r="N185" s="989" t="str">
        <x:f>IF($K185="","",IFERROR('Game Records'!$U185,""))</x:f>
      </x:c>
      <x:c r="O185" s="989" t="str">
        <x:f>IF($K185="","",IF($P185="","No Highlighted Fields","Highlighted Fields Present"))</x:f>
      </x:c>
      <x:c r="P185" s="989" t="str">
        <x:f>IF($K185="","",IF('Game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Q185" s="989" t="str">
        <x:f>IF($K185="","",IFERROR('Game Records'!$M185,""))</x:f>
      </x:c>
    </x:row>
    <x:row r="186" ht="24" hidden="0" customHeight="1">
      <x:c r="A186" s="332"/>
      <x:c r="B186" s="332"/>
      <x:c r="C186" s="331"/>
      <x:c r="D186" s="331"/>
      <x:c r="E186" s="331"/>
      <x:c r="F186" s="331"/>
      <x:c r="G186" s="331"/>
      <x:c r="H186" s="104"/>
      <x:c r="I186" s="104"/>
      <x:c r="J186" s="104"/>
      <x:c r="K186" s="989" t="str">
        <x:f>IF(OR(COUNTA('Game Records'!$A186:$M186)=0,'Game Records'!$U186="Subscription"),"",IFERROR(MAX($K$4:K185),0)+1)</x:f>
      </x:c>
      <x:c r="L186" s="989" t="str">
        <x:f>IF($K186="","","G-"&amp;TEXT($K186,"0000"))</x:f>
      </x:c>
      <x:c r="M186" s="989" t="str">
        <x:f>IF($K186="","",IFERROR('Game Records'!$A186,""))</x:f>
      </x:c>
      <x:c r="N186" s="989" t="str">
        <x:f>IF($K186="","",IFERROR('Game Records'!$U186,""))</x:f>
      </x:c>
      <x:c r="O186" s="989" t="str">
        <x:f>IF($K186="","",IF($P186="","No Highlighted Fields","Highlighted Fields Present"))</x:f>
      </x:c>
      <x:c r="P186" s="989" t="str">
        <x:f>IF($K186="","",IF('Game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Q186" s="989" t="str">
        <x:f>IF($K186="","",IFERROR('Game Records'!$M186,""))</x:f>
      </x:c>
    </x:row>
    <x:row r="187" ht="24" hidden="0" customHeight="1">
      <x:c r="A187" s="332"/>
      <x:c r="B187" s="332"/>
      <x:c r="C187" s="331"/>
      <x:c r="D187" s="331"/>
      <x:c r="E187" s="331"/>
      <x:c r="F187" s="331"/>
      <x:c r="G187" s="331"/>
      <x:c r="H187" s="104"/>
      <x:c r="I187" s="104"/>
      <x:c r="J187" s="104"/>
      <x:c r="K187" s="989" t="str">
        <x:f>IF(OR(COUNTA('Game Records'!$A187:$M187)=0,'Game Records'!$U187="Subscription"),"",IFERROR(MAX($K$4:K186),0)+1)</x:f>
      </x:c>
      <x:c r="L187" s="989" t="str">
        <x:f>IF($K187="","","G-"&amp;TEXT($K187,"0000"))</x:f>
      </x:c>
      <x:c r="M187" s="989" t="str">
        <x:f>IF($K187="","",IFERROR('Game Records'!$A187,""))</x:f>
      </x:c>
      <x:c r="N187" s="989" t="str">
        <x:f>IF($K187="","",IFERROR('Game Records'!$U187,""))</x:f>
      </x:c>
      <x:c r="O187" s="989" t="str">
        <x:f>IF($K187="","",IF($P187="","No Highlighted Fields","Highlighted Fields Present"))</x:f>
      </x:c>
      <x:c r="P187" s="989" t="str">
        <x:f>IF($K187="","",IF('Game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Q187" s="989" t="str">
        <x:f>IF($K187="","",IFERROR('Game Records'!$M187,""))</x:f>
      </x:c>
    </x:row>
    <x:row r="188" ht="24" hidden="0" customHeight="1">
      <x:c r="A188" s="332"/>
      <x:c r="B188" s="332"/>
      <x:c r="C188" s="331"/>
      <x:c r="D188" s="331"/>
      <x:c r="E188" s="331"/>
      <x:c r="F188" s="331"/>
      <x:c r="G188" s="331"/>
      <x:c r="H188" s="104"/>
      <x:c r="I188" s="104"/>
      <x:c r="J188" s="104"/>
      <x:c r="K188" s="989" t="str">
        <x:f>IF(OR(COUNTA('Game Records'!$A188:$M188)=0,'Game Records'!$U188="Subscription"),"",IFERROR(MAX($K$4:K187),0)+1)</x:f>
      </x:c>
      <x:c r="L188" s="989" t="str">
        <x:f>IF($K188="","","G-"&amp;TEXT($K188,"0000"))</x:f>
      </x:c>
      <x:c r="M188" s="989" t="str">
        <x:f>IF($K188="","",IFERROR('Game Records'!$A188,""))</x:f>
      </x:c>
      <x:c r="N188" s="989" t="str">
        <x:f>IF($K188="","",IFERROR('Game Records'!$U188,""))</x:f>
      </x:c>
      <x:c r="O188" s="989" t="str">
        <x:f>IF($K188="","",IF($P188="","No Highlighted Fields","Highlighted Fields Present"))</x:f>
      </x:c>
      <x:c r="P188" s="989" t="str">
        <x:f>IF($K188="","",IF('Game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Q188" s="989" t="str">
        <x:f>IF($K188="","",IFERROR('Game Records'!$M188,""))</x:f>
      </x:c>
    </x:row>
    <x:row r="189" ht="24" hidden="0" customHeight="1">
      <x:c r="A189" s="332"/>
      <x:c r="B189" s="332"/>
      <x:c r="C189" s="331"/>
      <x:c r="D189" s="331"/>
      <x:c r="E189" s="331"/>
      <x:c r="F189" s="331"/>
      <x:c r="G189" s="331"/>
      <x:c r="H189" s="104"/>
      <x:c r="I189" s="104"/>
      <x:c r="J189" s="104"/>
      <x:c r="K189" s="989" t="str">
        <x:f>IF(OR(COUNTA('Game Records'!$A189:$M189)=0,'Game Records'!$U189="Subscription"),"",IFERROR(MAX($K$4:K188),0)+1)</x:f>
      </x:c>
      <x:c r="L189" s="989" t="str">
        <x:f>IF($K189="","","G-"&amp;TEXT($K189,"0000"))</x:f>
      </x:c>
      <x:c r="M189" s="989" t="str">
        <x:f>IF($K189="","",IFERROR('Game Records'!$A189,""))</x:f>
      </x:c>
      <x:c r="N189" s="989" t="str">
        <x:f>IF($K189="","",IFERROR('Game Records'!$U189,""))</x:f>
      </x:c>
      <x:c r="O189" s="989" t="str">
        <x:f>IF($K189="","",IF($P189="","No Highlighted Fields","Highlighted Fields Present"))</x:f>
      </x:c>
      <x:c r="P189" s="989" t="str">
        <x:f>IF($K189="","",IF('Game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Q189" s="989" t="str">
        <x:f>IF($K189="","",IFERROR('Game Records'!$M189,""))</x:f>
      </x:c>
    </x:row>
    <x:row r="190" ht="24" hidden="0" customHeight="1">
      <x:c r="A190" s="332"/>
      <x:c r="B190" s="332"/>
      <x:c r="C190" s="331"/>
      <x:c r="D190" s="331"/>
      <x:c r="E190" s="331"/>
      <x:c r="F190" s="331"/>
      <x:c r="G190" s="331"/>
      <x:c r="H190" s="104"/>
      <x:c r="I190" s="104"/>
      <x:c r="J190" s="104"/>
      <x:c r="K190" s="989" t="str">
        <x:f>IF(OR(COUNTA('Game Records'!$A190:$M190)=0,'Game Records'!$U190="Subscription"),"",IFERROR(MAX($K$4:K189),0)+1)</x:f>
      </x:c>
      <x:c r="L190" s="989" t="str">
        <x:f>IF($K190="","","G-"&amp;TEXT($K190,"0000"))</x:f>
      </x:c>
      <x:c r="M190" s="989" t="str">
        <x:f>IF($K190="","",IFERROR('Game Records'!$A190,""))</x:f>
      </x:c>
      <x:c r="N190" s="989" t="str">
        <x:f>IF($K190="","",IFERROR('Game Records'!$U190,""))</x:f>
      </x:c>
      <x:c r="O190" s="989" t="str">
        <x:f>IF($K190="","",IF($P190="","No Highlighted Fields","Highlighted Fields Present"))</x:f>
      </x:c>
      <x:c r="P190" s="989" t="str">
        <x:f>IF($K190="","",IF('Game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Q190" s="989" t="str">
        <x:f>IF($K190="","",IFERROR('Game Records'!$M190,""))</x:f>
      </x:c>
    </x:row>
    <x:row r="191" ht="24" hidden="0" customHeight="1">
      <x:c r="A191" s="332"/>
      <x:c r="B191" s="332"/>
      <x:c r="C191" s="331"/>
      <x:c r="D191" s="331"/>
      <x:c r="E191" s="331"/>
      <x:c r="F191" s="331"/>
      <x:c r="G191" s="331"/>
      <x:c r="H191" s="104"/>
      <x:c r="I191" s="104"/>
      <x:c r="J191" s="104"/>
      <x:c r="K191" s="989" t="str">
        <x:f>IF(OR(COUNTA('Game Records'!$A191:$M191)=0,'Game Records'!$U191="Subscription"),"",IFERROR(MAX($K$4:K190),0)+1)</x:f>
      </x:c>
      <x:c r="L191" s="989" t="str">
        <x:f>IF($K191="","","G-"&amp;TEXT($K191,"0000"))</x:f>
      </x:c>
      <x:c r="M191" s="989" t="str">
        <x:f>IF($K191="","",IFERROR('Game Records'!$A191,""))</x:f>
      </x:c>
      <x:c r="N191" s="989" t="str">
        <x:f>IF($K191="","",IFERROR('Game Records'!$U191,""))</x:f>
      </x:c>
      <x:c r="O191" s="989" t="str">
        <x:f>IF($K191="","",IF($P191="","No Highlighted Fields","Highlighted Fields Present"))</x:f>
      </x:c>
      <x:c r="P191" s="989" t="str">
        <x:f>IF($K191="","",IF('Game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Q191" s="989" t="str">
        <x:f>IF($K191="","",IFERROR('Game Records'!$M191,""))</x:f>
      </x:c>
    </x:row>
    <x:row r="192" ht="24" hidden="0" customHeight="1">
      <x:c r="A192" s="332"/>
      <x:c r="B192" s="332"/>
      <x:c r="C192" s="331"/>
      <x:c r="D192" s="331"/>
      <x:c r="E192" s="331"/>
      <x:c r="F192" s="331"/>
      <x:c r="G192" s="331"/>
      <x:c r="H192" s="104"/>
      <x:c r="I192" s="104"/>
      <x:c r="J192" s="104"/>
      <x:c r="K192" s="989" t="str">
        <x:f>IF(OR(COUNTA('Game Records'!$A192:$M192)=0,'Game Records'!$U192="Subscription"),"",IFERROR(MAX($K$4:K191),0)+1)</x:f>
      </x:c>
      <x:c r="L192" s="989" t="str">
        <x:f>IF($K192="","","G-"&amp;TEXT($K192,"0000"))</x:f>
      </x:c>
      <x:c r="M192" s="989" t="str">
        <x:f>IF($K192="","",IFERROR('Game Records'!$A192,""))</x:f>
      </x:c>
      <x:c r="N192" s="989" t="str">
        <x:f>IF($K192="","",IFERROR('Game Records'!$U192,""))</x:f>
      </x:c>
      <x:c r="O192" s="989" t="str">
        <x:f>IF($K192="","",IF($P192="","No Highlighted Fields","Highlighted Fields Present"))</x:f>
      </x:c>
      <x:c r="P192" s="989" t="str">
        <x:f>IF($K192="","",IF('Game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Q192" s="989" t="str">
        <x:f>IF($K192="","",IFERROR('Game Records'!$M192,""))</x:f>
      </x:c>
    </x:row>
    <x:row r="193" ht="24" hidden="0" customHeight="1">
      <x:c r="A193" s="332"/>
      <x:c r="B193" s="332"/>
      <x:c r="C193" s="331"/>
      <x:c r="D193" s="331"/>
      <x:c r="E193" s="331"/>
      <x:c r="F193" s="331"/>
      <x:c r="G193" s="331"/>
      <x:c r="H193" s="104"/>
      <x:c r="I193" s="104"/>
      <x:c r="J193" s="104"/>
      <x:c r="K193" s="989" t="str">
        <x:f>IF(OR(COUNTA('Game Records'!$A193:$M193)=0,'Game Records'!$U193="Subscription"),"",IFERROR(MAX($K$4:K192),0)+1)</x:f>
      </x:c>
      <x:c r="L193" s="989" t="str">
        <x:f>IF($K193="","","G-"&amp;TEXT($K193,"0000"))</x:f>
      </x:c>
      <x:c r="M193" s="989" t="str">
        <x:f>IF($K193="","",IFERROR('Game Records'!$A193,""))</x:f>
      </x:c>
      <x:c r="N193" s="989" t="str">
        <x:f>IF($K193="","",IFERROR('Game Records'!$U193,""))</x:f>
      </x:c>
      <x:c r="O193" s="989" t="str">
        <x:f>IF($K193="","",IF($P193="","No Highlighted Fields","Highlighted Fields Present"))</x:f>
      </x:c>
      <x:c r="P193" s="989" t="str">
        <x:f>IF($K193="","",IF('Game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Q193" s="989" t="str">
        <x:f>IF($K193="","",IFERROR('Game Records'!$M193,""))</x:f>
      </x:c>
    </x:row>
    <x:row r="194" ht="24" hidden="0" customHeight="1">
      <x:c r="A194" s="332"/>
      <x:c r="B194" s="332"/>
      <x:c r="C194" s="331"/>
      <x:c r="D194" s="331"/>
      <x:c r="E194" s="331"/>
      <x:c r="F194" s="331"/>
      <x:c r="G194" s="331"/>
      <x:c r="H194" s="104"/>
      <x:c r="I194" s="104"/>
      <x:c r="J194" s="104"/>
      <x:c r="K194" s="989" t="str">
        <x:f>IF(OR(COUNTA('Game Records'!$A194:$M194)=0,'Game Records'!$U194="Subscription"),"",IFERROR(MAX($K$4:K193),0)+1)</x:f>
      </x:c>
      <x:c r="L194" s="989" t="str">
        <x:f>IF($K194="","","G-"&amp;TEXT($K194,"0000"))</x:f>
      </x:c>
      <x:c r="M194" s="989" t="str">
        <x:f>IF($K194="","",IFERROR('Game Records'!$A194,""))</x:f>
      </x:c>
      <x:c r="N194" s="989" t="str">
        <x:f>IF($K194="","",IFERROR('Game Records'!$U194,""))</x:f>
      </x:c>
      <x:c r="O194" s="989" t="str">
        <x:f>IF($K194="","",IF($P194="","No Highlighted Fields","Highlighted Fields Present"))</x:f>
      </x:c>
      <x:c r="P194" s="989" t="str">
        <x:f>IF($K194="","",IF('Game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Q194" s="989" t="str">
        <x:f>IF($K194="","",IFERROR('Game Records'!$M194,""))</x:f>
      </x:c>
    </x:row>
    <x:row r="195" ht="24" hidden="0" customHeight="1">
      <x:c r="A195" s="332"/>
      <x:c r="B195" s="332"/>
      <x:c r="C195" s="331"/>
      <x:c r="D195" s="331"/>
      <x:c r="E195" s="331"/>
      <x:c r="F195" s="331"/>
      <x:c r="G195" s="331"/>
      <x:c r="H195" s="104"/>
      <x:c r="I195" s="104"/>
      <x:c r="J195" s="104"/>
      <x:c r="K195" s="989" t="str">
        <x:f>IF(OR(COUNTA('Game Records'!$A195:$M195)=0,'Game Records'!$U195="Subscription"),"",IFERROR(MAX($K$4:K194),0)+1)</x:f>
      </x:c>
      <x:c r="L195" s="989" t="str">
        <x:f>IF($K195="","","G-"&amp;TEXT($K195,"0000"))</x:f>
      </x:c>
      <x:c r="M195" s="989" t="str">
        <x:f>IF($K195="","",IFERROR('Game Records'!$A195,""))</x:f>
      </x:c>
      <x:c r="N195" s="989" t="str">
        <x:f>IF($K195="","",IFERROR('Game Records'!$U195,""))</x:f>
      </x:c>
      <x:c r="O195" s="989" t="str">
        <x:f>IF($K195="","",IF($P195="","No Highlighted Fields","Highlighted Fields Present"))</x:f>
      </x:c>
      <x:c r="P195" s="989" t="str">
        <x:f>IF($K195="","",IF('Game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Q195" s="989" t="str">
        <x:f>IF($K195="","",IFERROR('Game Records'!$M195,""))</x:f>
      </x:c>
    </x:row>
    <x:row r="196" ht="24" hidden="0" customHeight="1">
      <x:c r="A196" s="332"/>
      <x:c r="B196" s="332"/>
      <x:c r="C196" s="331"/>
      <x:c r="D196" s="331"/>
      <x:c r="E196" s="331"/>
      <x:c r="F196" s="331"/>
      <x:c r="G196" s="331"/>
      <x:c r="H196" s="104"/>
      <x:c r="I196" s="104"/>
      <x:c r="J196" s="104"/>
      <x:c r="K196" s="989" t="str">
        <x:f>IF(OR(COUNTA('Game Records'!$A196:$M196)=0,'Game Records'!$U196="Subscription"),"",IFERROR(MAX($K$4:K195),0)+1)</x:f>
      </x:c>
      <x:c r="L196" s="989" t="str">
        <x:f>IF($K196="","","G-"&amp;TEXT($K196,"0000"))</x:f>
      </x:c>
      <x:c r="M196" s="989" t="str">
        <x:f>IF($K196="","",IFERROR('Game Records'!$A196,""))</x:f>
      </x:c>
      <x:c r="N196" s="989" t="str">
        <x:f>IF($K196="","",IFERROR('Game Records'!$U196,""))</x:f>
      </x:c>
      <x:c r="O196" s="989" t="str">
        <x:f>IF($K196="","",IF($P196="","No Highlighted Fields","Highlighted Fields Present"))</x:f>
      </x:c>
      <x:c r="P196" s="989" t="str">
        <x:f>IF($K196="","",IF('Game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Q196" s="989" t="str">
        <x:f>IF($K196="","",IFERROR('Game Records'!$M196,""))</x:f>
      </x:c>
    </x:row>
    <x:row r="197" ht="24" hidden="0" customHeight="1">
      <x:c r="A197" s="332"/>
      <x:c r="B197" s="332"/>
      <x:c r="C197" s="331"/>
      <x:c r="D197" s="331"/>
      <x:c r="E197" s="331"/>
      <x:c r="F197" s="331"/>
      <x:c r="G197" s="331"/>
      <x:c r="H197" s="104"/>
      <x:c r="I197" s="104"/>
      <x:c r="J197" s="104"/>
      <x:c r="K197" s="989" t="str">
        <x:f>IF(OR(COUNTA('Game Records'!$A197:$M197)=0,'Game Records'!$U197="Subscription"),"",IFERROR(MAX($K$4:K196),0)+1)</x:f>
      </x:c>
      <x:c r="L197" s="989" t="str">
        <x:f>IF($K197="","","G-"&amp;TEXT($K197,"0000"))</x:f>
      </x:c>
      <x:c r="M197" s="989" t="str">
        <x:f>IF($K197="","",IFERROR('Game Records'!$A197,""))</x:f>
      </x:c>
      <x:c r="N197" s="989" t="str">
        <x:f>IF($K197="","",IFERROR('Game Records'!$U197,""))</x:f>
      </x:c>
      <x:c r="O197" s="989" t="str">
        <x:f>IF($K197="","",IF($P197="","No Highlighted Fields","Highlighted Fields Present"))</x:f>
      </x:c>
      <x:c r="P197" s="989" t="str">
        <x:f>IF($K197="","",IF('Game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Q197" s="989" t="str">
        <x:f>IF($K197="","",IFERROR('Game Records'!$M197,""))</x:f>
      </x:c>
    </x:row>
    <x:row r="198" ht="24" hidden="0" customHeight="1">
      <x:c r="A198" s="332"/>
      <x:c r="B198" s="332"/>
      <x:c r="C198" s="331"/>
      <x:c r="D198" s="331"/>
      <x:c r="E198" s="331"/>
      <x:c r="F198" s="331"/>
      <x:c r="G198" s="331"/>
      <x:c r="H198" s="104"/>
      <x:c r="I198" s="104"/>
      <x:c r="J198" s="104"/>
      <x:c r="K198" s="989" t="str">
        <x:f>IF(OR(COUNTA('Game Records'!$A198:$M198)=0,'Game Records'!$U198="Subscription"),"",IFERROR(MAX($K$4:K197),0)+1)</x:f>
      </x:c>
      <x:c r="L198" s="989" t="str">
        <x:f>IF($K198="","","G-"&amp;TEXT($K198,"0000"))</x:f>
      </x:c>
      <x:c r="M198" s="989" t="str">
        <x:f>IF($K198="","",IFERROR('Game Records'!$A198,""))</x:f>
      </x:c>
      <x:c r="N198" s="989" t="str">
        <x:f>IF($K198="","",IFERROR('Game Records'!$U198,""))</x:f>
      </x:c>
      <x:c r="O198" s="989" t="str">
        <x:f>IF($K198="","",IF($P198="","No Highlighted Fields","Highlighted Fields Present"))</x:f>
      </x:c>
      <x:c r="P198" s="989" t="str">
        <x:f>IF($K198="","",IF('Game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Q198" s="989" t="str">
        <x:f>IF($K198="","",IFERROR('Game Records'!$M198,""))</x:f>
      </x:c>
    </x:row>
    <x:row r="199" ht="24" hidden="0" customHeight="1">
      <x:c r="A199" s="332"/>
      <x:c r="B199" s="332"/>
      <x:c r="C199" s="331"/>
      <x:c r="D199" s="331"/>
      <x:c r="E199" s="331"/>
      <x:c r="F199" s="331"/>
      <x:c r="G199" s="331"/>
      <x:c r="H199" s="104"/>
      <x:c r="I199" s="104"/>
      <x:c r="J199" s="104"/>
      <x:c r="K199" s="989" t="str">
        <x:f>IF(OR(COUNTA('Game Records'!$A199:$M199)=0,'Game Records'!$U199="Subscription"),"",IFERROR(MAX($K$4:K198),0)+1)</x:f>
      </x:c>
      <x:c r="L199" s="989" t="str">
        <x:f>IF($K199="","","G-"&amp;TEXT($K199,"0000"))</x:f>
      </x:c>
      <x:c r="M199" s="989" t="str">
        <x:f>IF($K199="","",IFERROR('Game Records'!$A199,""))</x:f>
      </x:c>
      <x:c r="N199" s="989" t="str">
        <x:f>IF($K199="","",IFERROR('Game Records'!$U199,""))</x:f>
      </x:c>
      <x:c r="O199" s="989" t="str">
        <x:f>IF($K199="","",IF($P199="","No Highlighted Fields","Highlighted Fields Present"))</x:f>
      </x:c>
      <x:c r="P199" s="989" t="str">
        <x:f>IF($K199="","",IF('Game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Q199" s="989" t="str">
        <x:f>IF($K199="","",IFERROR('Game Records'!$M199,""))</x:f>
      </x:c>
    </x:row>
    <x:row r="200" ht="24" hidden="0" customHeight="1">
      <x:c r="A200" s="332"/>
      <x:c r="B200" s="332"/>
      <x:c r="C200" s="331"/>
      <x:c r="D200" s="331"/>
      <x:c r="E200" s="331"/>
      <x:c r="F200" s="331"/>
      <x:c r="G200" s="331"/>
      <x:c r="H200" s="104"/>
      <x:c r="I200" s="104"/>
      <x:c r="J200" s="104"/>
      <x:c r="K200" s="989" t="str">
        <x:f>IF(OR(COUNTA('Game Records'!$A200:$M200)=0,'Game Records'!$U200="Subscription"),"",IFERROR(MAX($K$4:K199),0)+1)</x:f>
      </x:c>
      <x:c r="L200" s="989" t="str">
        <x:f>IF($K200="","","G-"&amp;TEXT($K200,"0000"))</x:f>
      </x:c>
      <x:c r="M200" s="989" t="str">
        <x:f>IF($K200="","",IFERROR('Game Records'!$A200,""))</x:f>
      </x:c>
      <x:c r="N200" s="989" t="str">
        <x:f>IF($K200="","",IFERROR('Game Records'!$U200,""))</x:f>
      </x:c>
      <x:c r="O200" s="989" t="str">
        <x:f>IF($K200="","",IF($P200="","No Highlighted Fields","Highlighted Fields Present"))</x:f>
      </x:c>
      <x:c r="P200" s="989" t="str">
        <x:f>IF($K200="","",IF('Game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Q200" s="989" t="str">
        <x:f>IF($K200="","",IFERROR('Game Records'!$M200,""))</x:f>
      </x:c>
    </x:row>
    <x:row r="201" ht="24" customHeight="1">
      <x:c r="A201" s="332"/>
      <x:c r="B201" s="332"/>
      <x:c r="C201" s="331"/>
      <x:c r="D201" s="331"/>
      <x:c r="E201" s="331"/>
      <x:c r="F201" s="331"/>
      <x:c r="G201" s="331"/>
      <x:c r="K201" s="989" t="str">
        <x:f>IF(OR(COUNTA('Game Records'!$A201:$M201)=0,'Game Records'!$U201="Subscription"),"",IFERROR(MAX($K$4:K200),0)+1)</x:f>
      </x:c>
      <x:c r="L201" s="989" t="str">
        <x:f>IF($K201="","","G-"&amp;TEXT($K201,"0000"))</x:f>
      </x:c>
      <x:c r="M201" s="989" t="str">
        <x:f>IF($K201="","",IFERROR('Game Records'!$A201,""))</x:f>
      </x:c>
      <x:c r="N201" s="989" t="str">
        <x:f>IF($K201="","",IFERROR('Game Records'!$U201,""))</x:f>
      </x:c>
      <x:c r="O201" s="989" t="str">
        <x:f>IF($K201="","",IF($P201="","No Highlighted Fields","Highlighted Fields Present"))</x:f>
      </x:c>
      <x:c r="P201" s="989" t="str">
        <x:f>IF($K201="","",IF('Game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Q201" s="989" t="str">
        <x:f>IF($K201="","",IFERROR('Game Records'!$M201,""))</x:f>
      </x:c>
    </x:row>
    <x:row r="202" ht="24" customHeight="1">
      <x:c r="A202" s="332"/>
      <x:c r="B202" s="332"/>
      <x:c r="C202" s="331"/>
      <x:c r="D202" s="331"/>
      <x:c r="E202" s="331"/>
      <x:c r="F202" s="331"/>
      <x:c r="G202" s="331"/>
      <x:c r="K202" s="989" t="str">
        <x:f>IF(OR(COUNTA('Game Records'!$A202:$M202)=0,'Game Records'!$U202="Subscription"),"",IFERROR(MAX($K$4:K201),0)+1)</x:f>
      </x:c>
      <x:c r="L202" s="989" t="str">
        <x:f>IF($K202="","","G-"&amp;TEXT($K202,"0000"))</x:f>
      </x:c>
      <x:c r="M202" s="989" t="str">
        <x:f>IF($K202="","",IFERROR('Game Records'!$A202,""))</x:f>
      </x:c>
      <x:c r="N202" s="989" t="str">
        <x:f>IF($K202="","",IFERROR('Game Records'!$U202,""))</x:f>
      </x:c>
      <x:c r="O202" s="989" t="str">
        <x:f>IF($K202="","",IF($P202="","No Highlighted Fields","Highlighted Fields Present"))</x:f>
      </x:c>
      <x:c r="P202" s="989" t="str">
        <x:f>IF($K202="","",IF('Game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Q202" s="989" t="str">
        <x:f>IF($K202="","",IFERROR('Game Records'!$M202,""))</x:f>
      </x:c>
    </x:row>
    <x:row r="203" ht="24" customHeight="1">
      <x:c r="A203" s="332"/>
      <x:c r="B203" s="332"/>
      <x:c r="C203" s="331"/>
      <x:c r="D203" s="331"/>
      <x:c r="E203" s="331"/>
      <x:c r="F203" s="331"/>
      <x:c r="G203" s="331"/>
      <x:c r="K203" s="989" t="str">
        <x:f>IF(OR(COUNTA('Game Records'!$A203:$M203)=0,'Game Records'!$U203="Subscription"),"",IFERROR(MAX($K$4:K202),0)+1)</x:f>
      </x:c>
      <x:c r="L203" s="989" t="str">
        <x:f>IF($K203="","","G-"&amp;TEXT($K203,"0000"))</x:f>
      </x:c>
      <x:c r="M203" s="989" t="str">
        <x:f>IF($K203="","",IFERROR('Game Records'!$A203,""))</x:f>
      </x:c>
      <x:c r="N203" s="989" t="str">
        <x:f>IF($K203="","",IFERROR('Game Records'!$U203,""))</x:f>
      </x:c>
      <x:c r="O203" s="989" t="str">
        <x:f>IF($K203="","",IF($P203="","No Highlighted Fields","Highlighted Fields Present"))</x:f>
      </x:c>
      <x:c r="P203" s="989" t="str">
        <x:f>IF($K203="","",IF('Game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Q203" s="989" t="str">
        <x:f>IF($K203="","",IFERROR('Game Records'!$M203,""))</x:f>
      </x:c>
    </x:row>
    <x:row r="204" ht="24" customHeight="1">
      <x:c r="A204" s="332"/>
      <x:c r="B204" s="332"/>
      <x:c r="C204" s="331"/>
      <x:c r="D204" s="331"/>
      <x:c r="E204" s="331"/>
      <x:c r="F204" s="331"/>
      <x:c r="G204" s="331"/>
      <x:c r="K204" s="989" t="str">
        <x:f>IF(OR(COUNTA('Game Records'!$A204:$M204)=0,'Game Records'!$U204="Subscription"),"",IFERROR(MAX($K$4:K203),0)+1)</x:f>
      </x:c>
      <x:c r="L204" s="989" t="str">
        <x:f>IF($K204="","","G-"&amp;TEXT($K204,"0000"))</x:f>
      </x:c>
      <x:c r="M204" s="989" t="str">
        <x:f>IF($K204="","",IFERROR('Game Records'!$A204,""))</x:f>
      </x:c>
      <x:c r="N204" s="989" t="str">
        <x:f>IF($K204="","",IFERROR('Game Records'!$U204,""))</x:f>
      </x:c>
      <x:c r="O204" s="989" t="str">
        <x:f>IF($K204="","",IF($P204="","No Highlighted Fields","Highlighted Fields Present"))</x:f>
      </x:c>
      <x:c r="P204" s="989" t="str">
        <x:f>IF($K204="","",IF('Game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Q204" s="989" t="str">
        <x:f>IF($K204="","",IFERROR('Game Records'!$M204,""))</x:f>
      </x:c>
    </x:row>
    <x:row r="205" ht="24" customHeight="1">
      <x:c r="A205" s="332"/>
      <x:c r="B205" s="332"/>
      <x:c r="C205" s="331"/>
      <x:c r="D205" s="331"/>
      <x:c r="E205" s="331"/>
      <x:c r="F205" s="331"/>
      <x:c r="G205" s="331"/>
      <x:c r="K205" s="989" t="str">
        <x:f>IF(OR(COUNTA('Game Records'!$A205:$M205)=0,'Game Records'!$U205="Subscription"),"",IFERROR(MAX($K$4:K204),0)+1)</x:f>
      </x:c>
      <x:c r="L205" s="989" t="str">
        <x:f>IF($K205="","","G-"&amp;TEXT($K205,"0000"))</x:f>
      </x:c>
      <x:c r="M205" s="989" t="str">
        <x:f>IF($K205="","",IFERROR('Game Records'!$A205,""))</x:f>
      </x:c>
      <x:c r="N205" s="989" t="str">
        <x:f>IF($K205="","",IFERROR('Game Records'!$U205,""))</x:f>
      </x:c>
      <x:c r="O205" s="989" t="str">
        <x:f>IF($K205="","",IF($P205="","No Highlighted Fields","Highlighted Fields Present"))</x:f>
      </x:c>
      <x:c r="P205" s="989" t="str">
        <x:f>IF($K205="","",IF('Game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Q205" s="989" t="str">
        <x:f>IF($K205="","",IFERROR('Game Records'!$M205,""))</x:f>
      </x:c>
    </x:row>
    <x:row r="206" ht="24" customHeight="1">
      <x:c r="A206" s="332"/>
      <x:c r="B206" s="332"/>
      <x:c r="C206" s="331"/>
      <x:c r="D206" s="331"/>
      <x:c r="E206" s="331"/>
      <x:c r="F206" s="331"/>
      <x:c r="G206" s="331"/>
      <x:c r="K206" s="989" t="str">
        <x:f>IF(OR(COUNTA('Game Records'!$A206:$M206)=0,'Game Records'!$U206="Subscription"),"",IFERROR(MAX($K$4:K205),0)+1)</x:f>
      </x:c>
      <x:c r="L206" s="989" t="str">
        <x:f>IF($K206="","","G-"&amp;TEXT($K206,"0000"))</x:f>
      </x:c>
      <x:c r="M206" s="989" t="str">
        <x:f>IF($K206="","",IFERROR('Game Records'!$A206,""))</x:f>
      </x:c>
      <x:c r="N206" s="989" t="str">
        <x:f>IF($K206="","",IFERROR('Game Records'!$U206,""))</x:f>
      </x:c>
      <x:c r="O206" s="989" t="str">
        <x:f>IF($K206="","",IF($P206="","No Highlighted Fields","Highlighted Fields Present"))</x:f>
      </x:c>
      <x:c r="P206" s="989" t="str">
        <x:f>IF($K206="","",IF('Game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Q206" s="989" t="str">
        <x:f>IF($K206="","",IFERROR('Game Records'!$M206,""))</x:f>
      </x:c>
    </x:row>
    <x:row r="207" ht="24" customHeight="1">
      <x:c r="A207" s="332"/>
      <x:c r="B207" s="332"/>
      <x:c r="C207" s="331"/>
      <x:c r="D207" s="331"/>
      <x:c r="E207" s="331"/>
      <x:c r="F207" s="331"/>
      <x:c r="G207" s="331"/>
      <x:c r="K207" s="989" t="str">
        <x:f>IF(OR(COUNTA('Game Records'!$A207:$M207)=0,'Game Records'!$U207="Subscription"),"",IFERROR(MAX($K$4:K206),0)+1)</x:f>
      </x:c>
      <x:c r="L207" s="989" t="str">
        <x:f>IF($K207="","","G-"&amp;TEXT($K207,"0000"))</x:f>
      </x:c>
      <x:c r="M207" s="989" t="str">
        <x:f>IF($K207="","",IFERROR('Game Records'!$A207,""))</x:f>
      </x:c>
      <x:c r="N207" s="989" t="str">
        <x:f>IF($K207="","",IFERROR('Game Records'!$U207,""))</x:f>
      </x:c>
      <x:c r="O207" s="989" t="str">
        <x:f>IF($K207="","",IF($P207="","No Highlighted Fields","Highlighted Fields Present"))</x:f>
      </x:c>
      <x:c r="P207" s="989" t="str">
        <x:f>IF($K207="","",IF('Game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Q207" s="989" t="str">
        <x:f>IF($K207="","",IFERROR('Game Records'!$M207,""))</x:f>
      </x:c>
    </x:row>
    <x:row r="208" ht="24" customHeight="1">
      <x:c r="A208" s="332"/>
      <x:c r="B208" s="332"/>
      <x:c r="C208" s="331"/>
      <x:c r="D208" s="331"/>
      <x:c r="E208" s="331"/>
      <x:c r="F208" s="331"/>
      <x:c r="G208" s="331"/>
      <x:c r="K208" s="989" t="str">
        <x:f>IF(OR(COUNTA('Game Records'!$A208:$M208)=0,'Game Records'!$U208="Subscription"),"",IFERROR(MAX($K$4:K207),0)+1)</x:f>
      </x:c>
      <x:c r="L208" s="989" t="str">
        <x:f>IF($K208="","","G-"&amp;TEXT($K208,"0000"))</x:f>
      </x:c>
      <x:c r="M208" s="989" t="str">
        <x:f>IF($K208="","",IFERROR('Game Records'!$A208,""))</x:f>
      </x:c>
      <x:c r="N208" s="989" t="str">
        <x:f>IF($K208="","",IFERROR('Game Records'!$U208,""))</x:f>
      </x:c>
      <x:c r="O208" s="989" t="str">
        <x:f>IF($K208="","",IF($P208="","No Highlighted Fields","Highlighted Fields Present"))</x:f>
      </x:c>
      <x:c r="P208" s="989" t="str">
        <x:f>IF($K208="","",IF('Game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Q208" s="989" t="str">
        <x:f>IF($K208="","",IFERROR('Game Records'!$M208,""))</x:f>
      </x:c>
    </x:row>
    <x:row r="209" ht="24" customHeight="1">
      <x:c r="A209" s="332"/>
      <x:c r="B209" s="332"/>
      <x:c r="C209" s="331"/>
      <x:c r="D209" s="331"/>
      <x:c r="E209" s="331"/>
      <x:c r="F209" s="331"/>
      <x:c r="G209" s="331"/>
      <x:c r="K209" s="989" t="str">
        <x:f>IF(OR(COUNTA('Game Records'!$A209:$M209)=0,'Game Records'!$U209="Subscription"),"",IFERROR(MAX($K$4:K208),0)+1)</x:f>
      </x:c>
      <x:c r="L209" s="989" t="str">
        <x:f>IF($K209="","","G-"&amp;TEXT($K209,"0000"))</x:f>
      </x:c>
      <x:c r="M209" s="989" t="str">
        <x:f>IF($K209="","",IFERROR('Game Records'!$A209,""))</x:f>
      </x:c>
      <x:c r="N209" s="989" t="str">
        <x:f>IF($K209="","",IFERROR('Game Records'!$U209,""))</x:f>
      </x:c>
      <x:c r="O209" s="989" t="str">
        <x:f>IF($K209="","",IF($P209="","No Highlighted Fields","Highlighted Fields Present"))</x:f>
      </x:c>
      <x:c r="P209" s="989" t="str">
        <x:f>IF($K209="","",IF('Game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Q209" s="989" t="str">
        <x:f>IF($K209="","",IFERROR('Game Records'!$M209,""))</x:f>
      </x:c>
    </x:row>
    <x:row r="210" ht="24" customHeight="1">
      <x:c r="A210" s="332"/>
      <x:c r="B210" s="332"/>
      <x:c r="C210" s="331"/>
      <x:c r="D210" s="331"/>
      <x:c r="E210" s="331"/>
      <x:c r="F210" s="331"/>
      <x:c r="G210" s="331"/>
      <x:c r="K210" s="989" t="str">
        <x:f>IF(OR(COUNTA('Game Records'!$A210:$M210)=0,'Game Records'!$U210="Subscription"),"",IFERROR(MAX($K$4:K209),0)+1)</x:f>
      </x:c>
      <x:c r="L210" s="989" t="str">
        <x:f>IF($K210="","","G-"&amp;TEXT($K210,"0000"))</x:f>
      </x:c>
      <x:c r="M210" s="989" t="str">
        <x:f>IF($K210="","",IFERROR('Game Records'!$A210,""))</x:f>
      </x:c>
      <x:c r="N210" s="989" t="str">
        <x:f>IF($K210="","",IFERROR('Game Records'!$U210,""))</x:f>
      </x:c>
      <x:c r="O210" s="989" t="str">
        <x:f>IF($K210="","",IF($P210="","No Highlighted Fields","Highlighted Fields Present"))</x:f>
      </x:c>
      <x:c r="P210" s="989" t="str">
        <x:f>IF($K210="","",IF('Game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Q210" s="989" t="str">
        <x:f>IF($K210="","",IFERROR('Game Records'!$M210,""))</x:f>
      </x:c>
    </x:row>
    <x:row r="211" ht="24" customHeight="1">
      <x:c r="A211" s="332"/>
      <x:c r="B211" s="332"/>
      <x:c r="C211" s="331"/>
      <x:c r="D211" s="331"/>
      <x:c r="E211" s="331"/>
      <x:c r="F211" s="331"/>
      <x:c r="G211" s="331"/>
      <x:c r="K211" s="989" t="str">
        <x:f>IF(OR(COUNTA('Game Records'!$A211:$M211)=0,'Game Records'!$U211="Subscription"),"",IFERROR(MAX($K$4:K210),0)+1)</x:f>
      </x:c>
      <x:c r="L211" s="989" t="str">
        <x:f>IF($K211="","","G-"&amp;TEXT($K211,"0000"))</x:f>
      </x:c>
      <x:c r="M211" s="989" t="str">
        <x:f>IF($K211="","",IFERROR('Game Records'!$A211,""))</x:f>
      </x:c>
      <x:c r="N211" s="989" t="str">
        <x:f>IF($K211="","",IFERROR('Game Records'!$U211,""))</x:f>
      </x:c>
      <x:c r="O211" s="989" t="str">
        <x:f>IF($K211="","",IF($P211="","No Highlighted Fields","Highlighted Fields Present"))</x:f>
      </x:c>
      <x:c r="P211" s="989" t="str">
        <x:f>IF($K211="","",IF('Game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Q211" s="989" t="str">
        <x:f>IF($K211="","",IFERROR('Game Records'!$M211,""))</x:f>
      </x:c>
    </x:row>
    <x:row r="212" ht="24" customHeight="1">
      <x:c r="A212" s="332"/>
      <x:c r="B212" s="332"/>
      <x:c r="C212" s="331"/>
      <x:c r="D212" s="331"/>
      <x:c r="E212" s="331"/>
      <x:c r="F212" s="331"/>
      <x:c r="G212" s="331"/>
      <x:c r="K212" s="989" t="str">
        <x:f>IF(OR(COUNTA('Game Records'!$A212:$M212)=0,'Game Records'!$U212="Subscription"),"",IFERROR(MAX($K$4:K211),0)+1)</x:f>
      </x:c>
      <x:c r="L212" s="989" t="str">
        <x:f>IF($K212="","","G-"&amp;TEXT($K212,"0000"))</x:f>
      </x:c>
      <x:c r="M212" s="989" t="str">
        <x:f>IF($K212="","",IFERROR('Game Records'!$A212,""))</x:f>
      </x:c>
      <x:c r="N212" s="989" t="str">
        <x:f>IF($K212="","",IFERROR('Game Records'!$U212,""))</x:f>
      </x:c>
      <x:c r="O212" s="989" t="str">
        <x:f>IF($K212="","",IF($P212="","No Highlighted Fields","Highlighted Fields Present"))</x:f>
      </x:c>
      <x:c r="P212" s="989" t="str">
        <x:f>IF($K212="","",IF('Game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Q212" s="989" t="str">
        <x:f>IF($K212="","",IFERROR('Game Records'!$M212,""))</x:f>
      </x:c>
    </x:row>
    <x:row r="213" ht="24" customHeight="1">
      <x:c r="A213" s="332"/>
      <x:c r="B213" s="332"/>
      <x:c r="C213" s="331"/>
      <x:c r="D213" s="331"/>
      <x:c r="E213" s="331"/>
      <x:c r="F213" s="331"/>
      <x:c r="G213" s="331"/>
      <x:c r="K213" s="989" t="str">
        <x:f>IF(OR(COUNTA('Game Records'!$A213:$M213)=0,'Game Records'!$U213="Subscription"),"",IFERROR(MAX($K$4:K212),0)+1)</x:f>
      </x:c>
      <x:c r="L213" s="989" t="str">
        <x:f>IF($K213="","","G-"&amp;TEXT($K213,"0000"))</x:f>
      </x:c>
      <x:c r="M213" s="989" t="str">
        <x:f>IF($K213="","",IFERROR('Game Records'!$A213,""))</x:f>
      </x:c>
      <x:c r="N213" s="989" t="str">
        <x:f>IF($K213="","",IFERROR('Game Records'!$U213,""))</x:f>
      </x:c>
      <x:c r="O213" s="989" t="str">
        <x:f>IF($K213="","",IF($P213="","No Highlighted Fields","Highlighted Fields Present"))</x:f>
      </x:c>
      <x:c r="P213" s="989" t="str">
        <x:f>IF($K213="","",IF('Game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Q213" s="989" t="str">
        <x:f>IF($K213="","",IFERROR('Game Records'!$M213,""))</x:f>
      </x:c>
    </x:row>
    <x:row r="214" ht="24" customHeight="1">
      <x:c r="A214" s="332"/>
      <x:c r="B214" s="332"/>
      <x:c r="C214" s="331"/>
      <x:c r="D214" s="331"/>
      <x:c r="E214" s="331"/>
      <x:c r="F214" s="331"/>
      <x:c r="G214" s="331"/>
      <x:c r="K214" s="989" t="str">
        <x:f>IF(OR(COUNTA('Game Records'!$A214:$M214)=0,'Game Records'!$U214="Subscription"),"",IFERROR(MAX($K$4:K213),0)+1)</x:f>
      </x:c>
      <x:c r="L214" s="989" t="str">
        <x:f>IF($K214="","","G-"&amp;TEXT($K214,"0000"))</x:f>
      </x:c>
      <x:c r="M214" s="989" t="str">
        <x:f>IF($K214="","",IFERROR('Game Records'!$A214,""))</x:f>
      </x:c>
      <x:c r="N214" s="989" t="str">
        <x:f>IF($K214="","",IFERROR('Game Records'!$U214,""))</x:f>
      </x:c>
      <x:c r="O214" s="989" t="str">
        <x:f>IF($K214="","",IF($P214="","No Highlighted Fields","Highlighted Fields Present"))</x:f>
      </x:c>
      <x:c r="P214" s="989" t="str">
        <x:f>IF($K214="","",IF('Game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Q214" s="989" t="str">
        <x:f>IF($K214="","",IFERROR('Game Records'!$M214,""))</x:f>
      </x:c>
    </x:row>
    <x:row r="215" ht="24" customHeight="1">
      <x:c r="A215" s="332"/>
      <x:c r="B215" s="332"/>
      <x:c r="C215" s="331"/>
      <x:c r="D215" s="331"/>
      <x:c r="E215" s="331"/>
      <x:c r="F215" s="331"/>
      <x:c r="G215" s="331"/>
      <x:c r="K215" s="989" t="str">
        <x:f>IF(OR(COUNTA('Game Records'!$A215:$M215)=0,'Game Records'!$U215="Subscription"),"",IFERROR(MAX($K$4:K214),0)+1)</x:f>
      </x:c>
      <x:c r="L215" s="989" t="str">
        <x:f>IF($K215="","","G-"&amp;TEXT($K215,"0000"))</x:f>
      </x:c>
      <x:c r="M215" s="989" t="str">
        <x:f>IF($K215="","",IFERROR('Game Records'!$A215,""))</x:f>
      </x:c>
      <x:c r="N215" s="989" t="str">
        <x:f>IF($K215="","",IFERROR('Game Records'!$U215,""))</x:f>
      </x:c>
      <x:c r="O215" s="989" t="str">
        <x:f>IF($K215="","",IF($P215="","No Highlighted Fields","Highlighted Fields Present"))</x:f>
      </x:c>
      <x:c r="P215" s="989" t="str">
        <x:f>IF($K215="","",IF('Game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Q215" s="989" t="str">
        <x:f>IF($K215="","",IFERROR('Game Records'!$M215,""))</x:f>
      </x:c>
    </x:row>
    <x:row r="216" ht="24" customHeight="1">
      <x:c r="A216" s="332"/>
      <x:c r="B216" s="332"/>
      <x:c r="C216" s="331"/>
      <x:c r="D216" s="331"/>
      <x:c r="E216" s="331"/>
      <x:c r="F216" s="331"/>
      <x:c r="G216" s="331"/>
      <x:c r="K216" s="989" t="str">
        <x:f>IF(OR(COUNTA('Game Records'!$A216:$M216)=0,'Game Records'!$U216="Subscription"),"",IFERROR(MAX($K$4:K215),0)+1)</x:f>
      </x:c>
      <x:c r="L216" s="989" t="str">
        <x:f>IF($K216="","","G-"&amp;TEXT($K216,"0000"))</x:f>
      </x:c>
      <x:c r="M216" s="989" t="str">
        <x:f>IF($K216="","",IFERROR('Game Records'!$A216,""))</x:f>
      </x:c>
      <x:c r="N216" s="989" t="str">
        <x:f>IF($K216="","",IFERROR('Game Records'!$U216,""))</x:f>
      </x:c>
      <x:c r="O216" s="989" t="str">
        <x:f>IF($K216="","",IF($P216="","No Highlighted Fields","Highlighted Fields Present"))</x:f>
      </x:c>
      <x:c r="P216" s="989" t="str">
        <x:f>IF($K216="","",IF('Game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Q216" s="989" t="str">
        <x:f>IF($K216="","",IFERROR('Game Records'!$M216,""))</x:f>
      </x:c>
    </x:row>
    <x:row r="217" ht="24" customHeight="1">
      <x:c r="A217" s="332"/>
      <x:c r="B217" s="332"/>
      <x:c r="C217" s="331"/>
      <x:c r="D217" s="331"/>
      <x:c r="E217" s="331"/>
      <x:c r="F217" s="331"/>
      <x:c r="G217" s="331"/>
      <x:c r="K217" s="989" t="str">
        <x:f>IF(OR(COUNTA('Game Records'!$A217:$M217)=0,'Game Records'!$U217="Subscription"),"",IFERROR(MAX($K$4:K216),0)+1)</x:f>
      </x:c>
      <x:c r="L217" s="989" t="str">
        <x:f>IF($K217="","","G-"&amp;TEXT($K217,"0000"))</x:f>
      </x:c>
      <x:c r="M217" s="989" t="str">
        <x:f>IF($K217="","",IFERROR('Game Records'!$A217,""))</x:f>
      </x:c>
      <x:c r="N217" s="989" t="str">
        <x:f>IF($K217="","",IFERROR('Game Records'!$U217,""))</x:f>
      </x:c>
      <x:c r="O217" s="989" t="str">
        <x:f>IF($K217="","",IF($P217="","No Highlighted Fields","Highlighted Fields Present"))</x:f>
      </x:c>
      <x:c r="P217" s="989" t="str">
        <x:f>IF($K217="","",IF('Game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Q217" s="989" t="str">
        <x:f>IF($K217="","",IFERROR('Game Records'!$M217,""))</x:f>
      </x:c>
    </x:row>
    <x:row r="218" ht="24" customHeight="1">
      <x:c r="A218" s="332"/>
      <x:c r="B218" s="332"/>
      <x:c r="C218" s="331"/>
      <x:c r="D218" s="331"/>
      <x:c r="E218" s="331"/>
      <x:c r="F218" s="331"/>
      <x:c r="G218" s="331"/>
      <x:c r="K218" s="989" t="str">
        <x:f>IF(OR(COUNTA('Game Records'!$A218:$M218)=0,'Game Records'!$U218="Subscription"),"",IFERROR(MAX($K$4:K217),0)+1)</x:f>
      </x:c>
      <x:c r="L218" s="989" t="str">
        <x:f>IF($K218="","","G-"&amp;TEXT($K218,"0000"))</x:f>
      </x:c>
      <x:c r="M218" s="989" t="str">
        <x:f>IF($K218="","",IFERROR('Game Records'!$A218,""))</x:f>
      </x:c>
      <x:c r="N218" s="989" t="str">
        <x:f>IF($K218="","",IFERROR('Game Records'!$U218,""))</x:f>
      </x:c>
      <x:c r="O218" s="989" t="str">
        <x:f>IF($K218="","",IF($P218="","No Highlighted Fields","Highlighted Fields Present"))</x:f>
      </x:c>
      <x:c r="P218" s="989" t="str">
        <x:f>IF($K218="","",IF('Game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Q218" s="989" t="str">
        <x:f>IF($K218="","",IFERROR('Game Records'!$M218,""))</x:f>
      </x:c>
    </x:row>
    <x:row r="219" ht="24" customHeight="1">
      <x:c r="A219" s="332"/>
      <x:c r="B219" s="332"/>
      <x:c r="C219" s="331"/>
      <x:c r="D219" s="331"/>
      <x:c r="E219" s="331"/>
      <x:c r="F219" s="331"/>
      <x:c r="G219" s="331"/>
      <x:c r="K219" s="989" t="str">
        <x:f>IF(OR(COUNTA('Game Records'!$A219:$M219)=0,'Game Records'!$U219="Subscription"),"",IFERROR(MAX($K$4:K218),0)+1)</x:f>
      </x:c>
      <x:c r="L219" s="989" t="str">
        <x:f>IF($K219="","","G-"&amp;TEXT($K219,"0000"))</x:f>
      </x:c>
      <x:c r="M219" s="989" t="str">
        <x:f>IF($K219="","",IFERROR('Game Records'!$A219,""))</x:f>
      </x:c>
      <x:c r="N219" s="989" t="str">
        <x:f>IF($K219="","",IFERROR('Game Records'!$U219,""))</x:f>
      </x:c>
      <x:c r="O219" s="989" t="str">
        <x:f>IF($K219="","",IF($P219="","No Highlighted Fields","Highlighted Fields Present"))</x:f>
      </x:c>
      <x:c r="P219" s="989" t="str">
        <x:f>IF($K219="","",IF('Game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Q219" s="989" t="str">
        <x:f>IF($K219="","",IFERROR('Game Records'!$M219,""))</x:f>
      </x:c>
    </x:row>
    <x:row r="220" ht="24" customHeight="1">
      <x:c r="A220" s="332"/>
      <x:c r="B220" s="332"/>
      <x:c r="C220" s="331"/>
      <x:c r="D220" s="331"/>
      <x:c r="E220" s="331"/>
      <x:c r="F220" s="331"/>
      <x:c r="G220" s="331"/>
      <x:c r="K220" s="989" t="str">
        <x:f>IF(OR(COUNTA('Game Records'!$A220:$M220)=0,'Game Records'!$U220="Subscription"),"",IFERROR(MAX($K$4:K219),0)+1)</x:f>
      </x:c>
      <x:c r="L220" s="989" t="str">
        <x:f>IF($K220="","","G-"&amp;TEXT($K220,"0000"))</x:f>
      </x:c>
      <x:c r="M220" s="989" t="str">
        <x:f>IF($K220="","",IFERROR('Game Records'!$A220,""))</x:f>
      </x:c>
      <x:c r="N220" s="989" t="str">
        <x:f>IF($K220="","",IFERROR('Game Records'!$U220,""))</x:f>
      </x:c>
      <x:c r="O220" s="989" t="str">
        <x:f>IF($K220="","",IF($P220="","No Highlighted Fields","Highlighted Fields Present"))</x:f>
      </x:c>
      <x:c r="P220" s="989" t="str">
        <x:f>IF($K220="","",IF('Game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Q220" s="989" t="str">
        <x:f>IF($K220="","",IFERROR('Game Records'!$M220,""))</x:f>
      </x:c>
    </x:row>
    <x:row r="221" ht="24" customHeight="1">
      <x:c r="A221" s="332"/>
      <x:c r="B221" s="332"/>
      <x:c r="C221" s="331"/>
      <x:c r="D221" s="331"/>
      <x:c r="E221" s="331"/>
      <x:c r="F221" s="331"/>
      <x:c r="G221" s="331"/>
      <x:c r="K221" s="989" t="str">
        <x:f>IF(OR(COUNTA('Game Records'!$A221:$M221)=0,'Game Records'!$U221="Subscription"),"",IFERROR(MAX($K$4:K220),0)+1)</x:f>
      </x:c>
      <x:c r="L221" s="989" t="str">
        <x:f>IF($K221="","","G-"&amp;TEXT($K221,"0000"))</x:f>
      </x:c>
      <x:c r="M221" s="989" t="str">
        <x:f>IF($K221="","",IFERROR('Game Records'!$A221,""))</x:f>
      </x:c>
      <x:c r="N221" s="989" t="str">
        <x:f>IF($K221="","",IFERROR('Game Records'!$U221,""))</x:f>
      </x:c>
      <x:c r="O221" s="989" t="str">
        <x:f>IF($K221="","",IF($P221="","No Highlighted Fields","Highlighted Fields Present"))</x:f>
      </x:c>
      <x:c r="P221" s="989" t="str">
        <x:f>IF($K221="","",IF('Game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Q221" s="989" t="str">
        <x:f>IF($K221="","",IFERROR('Game Records'!$M221,""))</x:f>
      </x:c>
    </x:row>
    <x:row r="222" ht="24" customHeight="1">
      <x:c r="A222" s="332"/>
      <x:c r="B222" s="332"/>
      <x:c r="C222" s="331"/>
      <x:c r="D222" s="331"/>
      <x:c r="E222" s="331"/>
      <x:c r="F222" s="331"/>
      <x:c r="G222" s="331"/>
      <x:c r="K222" s="989" t="str">
        <x:f>IF(OR(COUNTA('Game Records'!$A222:$M222)=0,'Game Records'!$U222="Subscription"),"",IFERROR(MAX($K$4:K221),0)+1)</x:f>
      </x:c>
      <x:c r="L222" s="989" t="str">
        <x:f>IF($K222="","","G-"&amp;TEXT($K222,"0000"))</x:f>
      </x:c>
      <x:c r="M222" s="989" t="str">
        <x:f>IF($K222="","",IFERROR('Game Records'!$A222,""))</x:f>
      </x:c>
      <x:c r="N222" s="989" t="str">
        <x:f>IF($K222="","",IFERROR('Game Records'!$U222,""))</x:f>
      </x:c>
      <x:c r="O222" s="989" t="str">
        <x:f>IF($K222="","",IF($P222="","No Highlighted Fields","Highlighted Fields Present"))</x:f>
      </x:c>
      <x:c r="P222" s="989" t="str">
        <x:f>IF($K222="","",IF('Game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Q222" s="989" t="str">
        <x:f>IF($K222="","",IFERROR('Game Records'!$M222,""))</x:f>
      </x:c>
    </x:row>
    <x:row r="223" ht="24" customHeight="1">
      <x:c r="A223" s="332"/>
      <x:c r="B223" s="332"/>
      <x:c r="C223" s="331"/>
      <x:c r="D223" s="331"/>
      <x:c r="E223" s="331"/>
      <x:c r="F223" s="331"/>
      <x:c r="G223" s="331"/>
      <x:c r="K223" s="989" t="str">
        <x:f>IF(OR(COUNTA('Game Records'!$A223:$M223)=0,'Game Records'!$U223="Subscription"),"",IFERROR(MAX($K$4:K222),0)+1)</x:f>
      </x:c>
      <x:c r="L223" s="989" t="str">
        <x:f>IF($K223="","","G-"&amp;TEXT($K223,"0000"))</x:f>
      </x:c>
      <x:c r="M223" s="989" t="str">
        <x:f>IF($K223="","",IFERROR('Game Records'!$A223,""))</x:f>
      </x:c>
      <x:c r="N223" s="989" t="str">
        <x:f>IF($K223="","",IFERROR('Game Records'!$U223,""))</x:f>
      </x:c>
      <x:c r="O223" s="989" t="str">
        <x:f>IF($K223="","",IF($P223="","No Highlighted Fields","Highlighted Fields Present"))</x:f>
      </x:c>
      <x:c r="P223" s="989" t="str">
        <x:f>IF($K223="","",IF('Game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Q223" s="989" t="str">
        <x:f>IF($K223="","",IFERROR('Game Records'!$M223,""))</x:f>
      </x:c>
    </x:row>
    <x:row r="224" ht="24" customHeight="1">
      <x:c r="A224" s="332"/>
      <x:c r="B224" s="332"/>
      <x:c r="C224" s="331"/>
      <x:c r="D224" s="331"/>
      <x:c r="E224" s="331"/>
      <x:c r="F224" s="331"/>
      <x:c r="G224" s="331"/>
      <x:c r="K224" s="989" t="str">
        <x:f>IF(OR(COUNTA('Game Records'!$A224:$M224)=0,'Game Records'!$U224="Subscription"),"",IFERROR(MAX($K$4:K223),0)+1)</x:f>
      </x:c>
      <x:c r="L224" s="989" t="str">
        <x:f>IF($K224="","","G-"&amp;TEXT($K224,"0000"))</x:f>
      </x:c>
      <x:c r="M224" s="989" t="str">
        <x:f>IF($K224="","",IFERROR('Game Records'!$A224,""))</x:f>
      </x:c>
      <x:c r="N224" s="989" t="str">
        <x:f>IF($K224="","",IFERROR('Game Records'!$U224,""))</x:f>
      </x:c>
      <x:c r="O224" s="989" t="str">
        <x:f>IF($K224="","",IF($P224="","No Highlighted Fields","Highlighted Fields Present"))</x:f>
      </x:c>
      <x:c r="P224" s="989" t="str">
        <x:f>IF($K224="","",IF('Game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Q224" s="989" t="str">
        <x:f>IF($K224="","",IFERROR('Game Records'!$M224,""))</x:f>
      </x:c>
    </x:row>
    <x:row r="225" ht="24" customHeight="1">
      <x:c r="A225" s="332"/>
      <x:c r="B225" s="332"/>
      <x:c r="C225" s="331"/>
      <x:c r="D225" s="331"/>
      <x:c r="E225" s="331"/>
      <x:c r="F225" s="331"/>
      <x:c r="G225" s="331"/>
      <x:c r="K225" s="989" t="str">
        <x:f>IF(OR(COUNTA('Game Records'!$A225:$M225)=0,'Game Records'!$U225="Subscription"),"",IFERROR(MAX($K$4:K224),0)+1)</x:f>
      </x:c>
      <x:c r="L225" s="989" t="str">
        <x:f>IF($K225="","","G-"&amp;TEXT($K225,"0000"))</x:f>
      </x:c>
      <x:c r="M225" s="989" t="str">
        <x:f>IF($K225="","",IFERROR('Game Records'!$A225,""))</x:f>
      </x:c>
      <x:c r="N225" s="989" t="str">
        <x:f>IF($K225="","",IFERROR('Game Records'!$U225,""))</x:f>
      </x:c>
      <x:c r="O225" s="989" t="str">
        <x:f>IF($K225="","",IF($P225="","No Highlighted Fields","Highlighted Fields Present"))</x:f>
      </x:c>
      <x:c r="P225" s="989" t="str">
        <x:f>IF($K225="","",IF('Game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Q225" s="989" t="str">
        <x:f>IF($K225="","",IFERROR('Game Records'!$M225,""))</x:f>
      </x:c>
    </x:row>
    <x:row r="226" ht="24" customHeight="1">
      <x:c r="A226" s="332"/>
      <x:c r="B226" s="332"/>
      <x:c r="C226" s="331"/>
      <x:c r="D226" s="331"/>
      <x:c r="E226" s="331"/>
      <x:c r="F226" s="331"/>
      <x:c r="G226" s="331"/>
      <x:c r="K226" s="989" t="str">
        <x:f>IF(OR(COUNTA('Game Records'!$A226:$M226)=0,'Game Records'!$U226="Subscription"),"",IFERROR(MAX($K$4:K225),0)+1)</x:f>
      </x:c>
      <x:c r="L226" s="989" t="str">
        <x:f>IF($K226="","","G-"&amp;TEXT($K226,"0000"))</x:f>
      </x:c>
      <x:c r="M226" s="989" t="str">
        <x:f>IF($K226="","",IFERROR('Game Records'!$A226,""))</x:f>
      </x:c>
      <x:c r="N226" s="989" t="str">
        <x:f>IF($K226="","",IFERROR('Game Records'!$U226,""))</x:f>
      </x:c>
      <x:c r="O226" s="989" t="str">
        <x:f>IF($K226="","",IF($P226="","No Highlighted Fields","Highlighted Fields Present"))</x:f>
      </x:c>
      <x:c r="P226" s="989" t="str">
        <x:f>IF($K226="","",IF('Game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Q226" s="989" t="str">
        <x:f>IF($K226="","",IFERROR('Game Records'!$M226,""))</x:f>
      </x:c>
    </x:row>
    <x:row r="227" ht="24" customHeight="1">
      <x:c r="A227" s="332"/>
      <x:c r="B227" s="332"/>
      <x:c r="C227" s="331"/>
      <x:c r="D227" s="331"/>
      <x:c r="E227" s="331"/>
      <x:c r="F227" s="331"/>
      <x:c r="G227" s="331"/>
      <x:c r="K227" s="989" t="str">
        <x:f>IF(OR(COUNTA('Game Records'!$A227:$M227)=0,'Game Records'!$U227="Subscription"),"",IFERROR(MAX($K$4:K226),0)+1)</x:f>
      </x:c>
      <x:c r="L227" s="989" t="str">
        <x:f>IF($K227="","","G-"&amp;TEXT($K227,"0000"))</x:f>
      </x:c>
      <x:c r="M227" s="989" t="str">
        <x:f>IF($K227="","",IFERROR('Game Records'!$A227,""))</x:f>
      </x:c>
      <x:c r="N227" s="989" t="str">
        <x:f>IF($K227="","",IFERROR('Game Records'!$U227,""))</x:f>
      </x:c>
      <x:c r="O227" s="989" t="str">
        <x:f>IF($K227="","",IF($P227="","No Highlighted Fields","Highlighted Fields Present"))</x:f>
      </x:c>
      <x:c r="P227" s="989" t="str">
        <x:f>IF($K227="","",IF('Game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Q227" s="989" t="str">
        <x:f>IF($K227="","",IFERROR('Game Records'!$M227,""))</x:f>
      </x:c>
    </x:row>
    <x:row r="228" ht="24" customHeight="1">
      <x:c r="A228" s="332"/>
      <x:c r="B228" s="332"/>
      <x:c r="C228" s="331"/>
      <x:c r="D228" s="331"/>
      <x:c r="E228" s="331"/>
      <x:c r="F228" s="331"/>
      <x:c r="G228" s="331"/>
      <x:c r="K228" s="989" t="str">
        <x:f>IF(OR(COUNTA('Game Records'!$A228:$M228)=0,'Game Records'!$U228="Subscription"),"",IFERROR(MAX($K$4:K227),0)+1)</x:f>
      </x:c>
      <x:c r="L228" s="989" t="str">
        <x:f>IF($K228="","","G-"&amp;TEXT($K228,"0000"))</x:f>
      </x:c>
      <x:c r="M228" s="989" t="str">
        <x:f>IF($K228="","",IFERROR('Game Records'!$A228,""))</x:f>
      </x:c>
      <x:c r="N228" s="989" t="str">
        <x:f>IF($K228="","",IFERROR('Game Records'!$U228,""))</x:f>
      </x:c>
      <x:c r="O228" s="989" t="str">
        <x:f>IF($K228="","",IF($P228="","No Highlighted Fields","Highlighted Fields Present"))</x:f>
      </x:c>
      <x:c r="P228" s="989" t="str">
        <x:f>IF($K228="","",IF('Game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Q228" s="989" t="str">
        <x:f>IF($K228="","",IFERROR('Game Records'!$M228,""))</x:f>
      </x:c>
    </x:row>
    <x:row r="229" ht="24" customHeight="1">
      <x:c r="A229" s="332"/>
      <x:c r="B229" s="332"/>
      <x:c r="C229" s="331"/>
      <x:c r="D229" s="331"/>
      <x:c r="E229" s="331"/>
      <x:c r="F229" s="331"/>
      <x:c r="G229" s="331"/>
      <x:c r="K229" s="989" t="str">
        <x:f>IF(OR(COUNTA('Game Records'!$A229:$M229)=0,'Game Records'!$U229="Subscription"),"",IFERROR(MAX($K$4:K228),0)+1)</x:f>
      </x:c>
      <x:c r="L229" s="989" t="str">
        <x:f>IF($K229="","","G-"&amp;TEXT($K229,"0000"))</x:f>
      </x:c>
      <x:c r="M229" s="989" t="str">
        <x:f>IF($K229="","",IFERROR('Game Records'!$A229,""))</x:f>
      </x:c>
      <x:c r="N229" s="989" t="str">
        <x:f>IF($K229="","",IFERROR('Game Records'!$U229,""))</x:f>
      </x:c>
      <x:c r="O229" s="989" t="str">
        <x:f>IF($K229="","",IF($P229="","No Highlighted Fields","Highlighted Fields Present"))</x:f>
      </x:c>
      <x:c r="P229" s="989" t="str">
        <x:f>IF($K229="","",IF('Game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Q229" s="989" t="str">
        <x:f>IF($K229="","",IFERROR('Game Records'!$M229,""))</x:f>
      </x:c>
    </x:row>
    <x:row r="230" ht="24" customHeight="1">
      <x:c r="A230" s="332"/>
      <x:c r="B230" s="332"/>
      <x:c r="C230" s="331"/>
      <x:c r="D230" s="331"/>
      <x:c r="E230" s="331"/>
      <x:c r="F230" s="331"/>
      <x:c r="G230" s="331"/>
      <x:c r="K230" s="989" t="str">
        <x:f>IF(OR(COUNTA('Game Records'!$A230:$M230)=0,'Game Records'!$U230="Subscription"),"",IFERROR(MAX($K$4:K229),0)+1)</x:f>
      </x:c>
      <x:c r="L230" s="989" t="str">
        <x:f>IF($K230="","","G-"&amp;TEXT($K230,"0000"))</x:f>
      </x:c>
      <x:c r="M230" s="989" t="str">
        <x:f>IF($K230="","",IFERROR('Game Records'!$A230,""))</x:f>
      </x:c>
      <x:c r="N230" s="989" t="str">
        <x:f>IF($K230="","",IFERROR('Game Records'!$U230,""))</x:f>
      </x:c>
      <x:c r="O230" s="989" t="str">
        <x:f>IF($K230="","",IF($P230="","No Highlighted Fields","Highlighted Fields Present"))</x:f>
      </x:c>
      <x:c r="P230" s="989" t="str">
        <x:f>IF($K230="","",IF('Game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Q230" s="989" t="str">
        <x:f>IF($K230="","",IFERROR('Game Records'!$M230,""))</x:f>
      </x:c>
    </x:row>
    <x:row r="231" ht="24" customHeight="1">
      <x:c r="A231" s="332"/>
      <x:c r="B231" s="332"/>
      <x:c r="C231" s="331"/>
      <x:c r="D231" s="331"/>
      <x:c r="E231" s="331"/>
      <x:c r="F231" s="331"/>
      <x:c r="G231" s="331"/>
      <x:c r="K231" s="989" t="str">
        <x:f>IF(OR(COUNTA('Game Records'!$A231:$M231)=0,'Game Records'!$U231="Subscription"),"",IFERROR(MAX($K$4:K230),0)+1)</x:f>
      </x:c>
      <x:c r="L231" s="989" t="str">
        <x:f>IF($K231="","","G-"&amp;TEXT($K231,"0000"))</x:f>
      </x:c>
      <x:c r="M231" s="989" t="str">
        <x:f>IF($K231="","",IFERROR('Game Records'!$A231,""))</x:f>
      </x:c>
      <x:c r="N231" s="989" t="str">
        <x:f>IF($K231="","",IFERROR('Game Records'!$U231,""))</x:f>
      </x:c>
      <x:c r="O231" s="989" t="str">
        <x:f>IF($K231="","",IF($P231="","No Highlighted Fields","Highlighted Fields Present"))</x:f>
      </x:c>
      <x:c r="P231" s="989" t="str">
        <x:f>IF($K231="","",IF('Game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Q231" s="989" t="str">
        <x:f>IF($K231="","",IFERROR('Game Records'!$M231,""))</x:f>
      </x:c>
    </x:row>
    <x:row r="232" ht="24" customHeight="1">
      <x:c r="A232" s="332"/>
      <x:c r="B232" s="332"/>
      <x:c r="C232" s="331"/>
      <x:c r="D232" s="331"/>
      <x:c r="E232" s="331"/>
      <x:c r="F232" s="331"/>
      <x:c r="G232" s="331"/>
      <x:c r="K232" s="989" t="str">
        <x:f>IF(OR(COUNTA('Game Records'!$A232:$M232)=0,'Game Records'!$U232="Subscription"),"",IFERROR(MAX($K$4:K231),0)+1)</x:f>
      </x:c>
      <x:c r="L232" s="989" t="str">
        <x:f>IF($K232="","","G-"&amp;TEXT($K232,"0000"))</x:f>
      </x:c>
      <x:c r="M232" s="989" t="str">
        <x:f>IF($K232="","",IFERROR('Game Records'!$A232,""))</x:f>
      </x:c>
      <x:c r="N232" s="989" t="str">
        <x:f>IF($K232="","",IFERROR('Game Records'!$U232,""))</x:f>
      </x:c>
      <x:c r="O232" s="989" t="str">
        <x:f>IF($K232="","",IF($P232="","No Highlighted Fields","Highlighted Fields Present"))</x:f>
      </x:c>
      <x:c r="P232" s="989" t="str">
        <x:f>IF($K232="","",IF('Game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Q232" s="989" t="str">
        <x:f>IF($K232="","",IFERROR('Game Records'!$M232,""))</x:f>
      </x:c>
    </x:row>
    <x:row r="233" ht="24" customHeight="1">
      <x:c r="A233" s="332"/>
      <x:c r="B233" s="332"/>
      <x:c r="C233" s="331"/>
      <x:c r="D233" s="331"/>
      <x:c r="E233" s="331"/>
      <x:c r="F233" s="331"/>
      <x:c r="G233" s="331"/>
      <x:c r="K233" s="989" t="str">
        <x:f>IF(OR(COUNTA('Game Records'!$A233:$M233)=0,'Game Records'!$U233="Subscription"),"",IFERROR(MAX($K$4:K232),0)+1)</x:f>
      </x:c>
      <x:c r="L233" s="989" t="str">
        <x:f>IF($K233="","","G-"&amp;TEXT($K233,"0000"))</x:f>
      </x:c>
      <x:c r="M233" s="989" t="str">
        <x:f>IF($K233="","",IFERROR('Game Records'!$A233,""))</x:f>
      </x:c>
      <x:c r="N233" s="989" t="str">
        <x:f>IF($K233="","",IFERROR('Game Records'!$U233,""))</x:f>
      </x:c>
      <x:c r="O233" s="989" t="str">
        <x:f>IF($K233="","",IF($P233="","No Highlighted Fields","Highlighted Fields Present"))</x:f>
      </x:c>
      <x:c r="P233" s="989" t="str">
        <x:f>IF($K233="","",IF('Game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Q233" s="989" t="str">
        <x:f>IF($K233="","",IFERROR('Game Records'!$M233,""))</x:f>
      </x:c>
    </x:row>
    <x:row r="234" ht="24" customHeight="1">
      <x:c r="A234" s="332"/>
      <x:c r="B234" s="332"/>
      <x:c r="C234" s="331"/>
      <x:c r="D234" s="331"/>
      <x:c r="E234" s="331"/>
      <x:c r="F234" s="331"/>
      <x:c r="G234" s="331"/>
      <x:c r="K234" s="989" t="str">
        <x:f>IF(OR(COUNTA('Game Records'!$A234:$M234)=0,'Game Records'!$U234="Subscription"),"",IFERROR(MAX($K$4:K233),0)+1)</x:f>
      </x:c>
      <x:c r="L234" s="989" t="str">
        <x:f>IF($K234="","","G-"&amp;TEXT($K234,"0000"))</x:f>
      </x:c>
      <x:c r="M234" s="989" t="str">
        <x:f>IF($K234="","",IFERROR('Game Records'!$A234,""))</x:f>
      </x:c>
      <x:c r="N234" s="989" t="str">
        <x:f>IF($K234="","",IFERROR('Game Records'!$U234,""))</x:f>
      </x:c>
      <x:c r="O234" s="989" t="str">
        <x:f>IF($K234="","",IF($P234="","No Highlighted Fields","Highlighted Fields Present"))</x:f>
      </x:c>
      <x:c r="P234" s="989" t="str">
        <x:f>IF($K234="","",IF('Game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Q234" s="989" t="str">
        <x:f>IF($K234="","",IFERROR('Game Records'!$M234,""))</x:f>
      </x:c>
    </x:row>
    <x:row r="235" ht="24" customHeight="1">
      <x:c r="A235" s="332"/>
      <x:c r="B235" s="332"/>
      <x:c r="C235" s="331"/>
      <x:c r="D235" s="331"/>
      <x:c r="E235" s="331"/>
      <x:c r="F235" s="331"/>
      <x:c r="G235" s="331"/>
      <x:c r="K235" s="989" t="str">
        <x:f>IF(OR(COUNTA('Game Records'!$A235:$M235)=0,'Game Records'!$U235="Subscription"),"",IFERROR(MAX($K$4:K234),0)+1)</x:f>
      </x:c>
      <x:c r="L235" s="989" t="str">
        <x:f>IF($K235="","","G-"&amp;TEXT($K235,"0000"))</x:f>
      </x:c>
      <x:c r="M235" s="989" t="str">
        <x:f>IF($K235="","",IFERROR('Game Records'!$A235,""))</x:f>
      </x:c>
      <x:c r="N235" s="989" t="str">
        <x:f>IF($K235="","",IFERROR('Game Records'!$U235,""))</x:f>
      </x:c>
      <x:c r="O235" s="989" t="str">
        <x:f>IF($K235="","",IF($P235="","No Highlighted Fields","Highlighted Fields Present"))</x:f>
      </x:c>
      <x:c r="P235" s="989" t="str">
        <x:f>IF($K235="","",IF('Game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Q235" s="989" t="str">
        <x:f>IF($K235="","",IFERROR('Game Records'!$M235,""))</x:f>
      </x:c>
    </x:row>
    <x:row r="236" ht="24" customHeight="1">
      <x:c r="A236" s="332"/>
      <x:c r="B236" s="332"/>
      <x:c r="C236" s="331"/>
      <x:c r="D236" s="331"/>
      <x:c r="E236" s="331"/>
      <x:c r="F236" s="331"/>
      <x:c r="G236" s="331"/>
      <x:c r="K236" s="989" t="str">
        <x:f>IF(OR(COUNTA('Game Records'!$A236:$M236)=0,'Game Records'!$U236="Subscription"),"",IFERROR(MAX($K$4:K235),0)+1)</x:f>
      </x:c>
      <x:c r="L236" s="989" t="str">
        <x:f>IF($K236="","","G-"&amp;TEXT($K236,"0000"))</x:f>
      </x:c>
      <x:c r="M236" s="989" t="str">
        <x:f>IF($K236="","",IFERROR('Game Records'!$A236,""))</x:f>
      </x:c>
      <x:c r="N236" s="989" t="str">
        <x:f>IF($K236="","",IFERROR('Game Records'!$U236,""))</x:f>
      </x:c>
      <x:c r="O236" s="989" t="str">
        <x:f>IF($K236="","",IF($P236="","No Highlighted Fields","Highlighted Fields Present"))</x:f>
      </x:c>
      <x:c r="P236" s="989" t="str">
        <x:f>IF($K236="","",IF('Game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Q236" s="989" t="str">
        <x:f>IF($K236="","",IFERROR('Game Records'!$M236,""))</x:f>
      </x:c>
    </x:row>
    <x:row r="237" ht="24" customHeight="1">
      <x:c r="A237" s="332"/>
      <x:c r="B237" s="332"/>
      <x:c r="C237" s="331"/>
      <x:c r="D237" s="331"/>
      <x:c r="E237" s="331"/>
      <x:c r="F237" s="331"/>
      <x:c r="G237" s="331"/>
      <x:c r="K237" s="989" t="str">
        <x:f>IF(OR(COUNTA('Game Records'!$A237:$M237)=0,'Game Records'!$U237="Subscription"),"",IFERROR(MAX($K$4:K236),0)+1)</x:f>
      </x:c>
      <x:c r="L237" s="989" t="str">
        <x:f>IF($K237="","","G-"&amp;TEXT($K237,"0000"))</x:f>
      </x:c>
      <x:c r="M237" s="989" t="str">
        <x:f>IF($K237="","",IFERROR('Game Records'!$A237,""))</x:f>
      </x:c>
      <x:c r="N237" s="989" t="str">
        <x:f>IF($K237="","",IFERROR('Game Records'!$U237,""))</x:f>
      </x:c>
      <x:c r="O237" s="989" t="str">
        <x:f>IF($K237="","",IF($P237="","No Highlighted Fields","Highlighted Fields Present"))</x:f>
      </x:c>
      <x:c r="P237" s="989" t="str">
        <x:f>IF($K237="","",IF('Game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Q237" s="989" t="str">
        <x:f>IF($K237="","",IFERROR('Game Records'!$M237,""))</x:f>
      </x:c>
    </x:row>
    <x:row r="238" ht="24" customHeight="1">
      <x:c r="A238" s="332"/>
      <x:c r="B238" s="332"/>
      <x:c r="C238" s="331"/>
      <x:c r="D238" s="331"/>
      <x:c r="E238" s="331"/>
      <x:c r="F238" s="331"/>
      <x:c r="G238" s="331"/>
      <x:c r="K238" s="989" t="str">
        <x:f>IF(OR(COUNTA('Game Records'!$A238:$M238)=0,'Game Records'!$U238="Subscription"),"",IFERROR(MAX($K$4:K237),0)+1)</x:f>
      </x:c>
      <x:c r="L238" s="989" t="str">
        <x:f>IF($K238="","","G-"&amp;TEXT($K238,"0000"))</x:f>
      </x:c>
      <x:c r="M238" s="989" t="str">
        <x:f>IF($K238="","",IFERROR('Game Records'!$A238,""))</x:f>
      </x:c>
      <x:c r="N238" s="989" t="str">
        <x:f>IF($K238="","",IFERROR('Game Records'!$U238,""))</x:f>
      </x:c>
      <x:c r="O238" s="989" t="str">
        <x:f>IF($K238="","",IF($P238="","No Highlighted Fields","Highlighted Fields Present"))</x:f>
      </x:c>
      <x:c r="P238" s="989" t="str">
        <x:f>IF($K238="","",IF('Game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Q238" s="989" t="str">
        <x:f>IF($K238="","",IFERROR('Game Records'!$M238,""))</x:f>
      </x:c>
    </x:row>
    <x:row r="239" ht="24" customHeight="1">
      <x:c r="A239" s="332"/>
      <x:c r="B239" s="332"/>
      <x:c r="C239" s="331"/>
      <x:c r="D239" s="331"/>
      <x:c r="E239" s="331"/>
      <x:c r="F239" s="331"/>
      <x:c r="G239" s="331"/>
      <x:c r="K239" s="989" t="str">
        <x:f>IF(OR(COUNTA('Game Records'!$A239:$M239)=0,'Game Records'!$U239="Subscription"),"",IFERROR(MAX($K$4:K238),0)+1)</x:f>
      </x:c>
      <x:c r="L239" s="989" t="str">
        <x:f>IF($K239="","","G-"&amp;TEXT($K239,"0000"))</x:f>
      </x:c>
      <x:c r="M239" s="989" t="str">
        <x:f>IF($K239="","",IFERROR('Game Records'!$A239,""))</x:f>
      </x:c>
      <x:c r="N239" s="989" t="str">
        <x:f>IF($K239="","",IFERROR('Game Records'!$U239,""))</x:f>
      </x:c>
      <x:c r="O239" s="989" t="str">
        <x:f>IF($K239="","",IF($P239="","No Highlighted Fields","Highlighted Fields Present"))</x:f>
      </x:c>
      <x:c r="P239" s="989" t="str">
        <x:f>IF($K239="","",IF('Game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Q239" s="989" t="str">
        <x:f>IF($K239="","",IFERROR('Game Records'!$M239,""))</x:f>
      </x:c>
    </x:row>
    <x:row r="240" ht="24" customHeight="1">
      <x:c r="A240" s="332"/>
      <x:c r="B240" s="332"/>
      <x:c r="C240" s="331"/>
      <x:c r="D240" s="331"/>
      <x:c r="E240" s="331"/>
      <x:c r="F240" s="331"/>
      <x:c r="G240" s="331"/>
      <x:c r="K240" s="989" t="str">
        <x:f>IF(OR(COUNTA('Game Records'!$A240:$M240)=0,'Game Records'!$U240="Subscription"),"",IFERROR(MAX($K$4:K239),0)+1)</x:f>
      </x:c>
      <x:c r="L240" s="989" t="str">
        <x:f>IF($K240="","","G-"&amp;TEXT($K240,"0000"))</x:f>
      </x:c>
      <x:c r="M240" s="989" t="str">
        <x:f>IF($K240="","",IFERROR('Game Records'!$A240,""))</x:f>
      </x:c>
      <x:c r="N240" s="989" t="str">
        <x:f>IF($K240="","",IFERROR('Game Records'!$U240,""))</x:f>
      </x:c>
      <x:c r="O240" s="989" t="str">
        <x:f>IF($K240="","",IF($P240="","No Highlighted Fields","Highlighted Fields Present"))</x:f>
      </x:c>
      <x:c r="P240" s="989" t="str">
        <x:f>IF($K240="","",IF('Game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Q240" s="989" t="str">
        <x:f>IF($K240="","",IFERROR('Game Records'!$M240,""))</x:f>
      </x:c>
    </x:row>
    <x:row r="241" ht="24" customHeight="1">
      <x:c r="A241" s="332"/>
      <x:c r="B241" s="332"/>
      <x:c r="C241" s="331"/>
      <x:c r="D241" s="331"/>
      <x:c r="E241" s="331"/>
      <x:c r="F241" s="331"/>
      <x:c r="G241" s="331"/>
      <x:c r="K241" s="989" t="str">
        <x:f>IF(OR(COUNTA('Game Records'!$A241:$M241)=0,'Game Records'!$U241="Subscription"),"",IFERROR(MAX($K$4:K240),0)+1)</x:f>
      </x:c>
      <x:c r="L241" s="989" t="str">
        <x:f>IF($K241="","","G-"&amp;TEXT($K241,"0000"))</x:f>
      </x:c>
      <x:c r="M241" s="989" t="str">
        <x:f>IF($K241="","",IFERROR('Game Records'!$A241,""))</x:f>
      </x:c>
      <x:c r="N241" s="989" t="str">
        <x:f>IF($K241="","",IFERROR('Game Records'!$U241,""))</x:f>
      </x:c>
      <x:c r="O241" s="989" t="str">
        <x:f>IF($K241="","",IF($P241="","No Highlighted Fields","Highlighted Fields Present"))</x:f>
      </x:c>
      <x:c r="P241" s="989" t="str">
        <x:f>IF($K241="","",IF('Game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Q241" s="989" t="str">
        <x:f>IF($K241="","",IFERROR('Game Records'!$M241,""))</x:f>
      </x:c>
    </x:row>
    <x:row r="242" ht="24" customHeight="1">
      <x:c r="A242" s="332"/>
      <x:c r="B242" s="332"/>
      <x:c r="C242" s="331"/>
      <x:c r="D242" s="331"/>
      <x:c r="E242" s="331"/>
      <x:c r="F242" s="331"/>
      <x:c r="G242" s="331"/>
      <x:c r="K242" s="989" t="str">
        <x:f>IF(OR(COUNTA('Game Records'!$A242:$M242)=0,'Game Records'!$U242="Subscription"),"",IFERROR(MAX($K$4:K241),0)+1)</x:f>
      </x:c>
      <x:c r="L242" s="989" t="str">
        <x:f>IF($K242="","","G-"&amp;TEXT($K242,"0000"))</x:f>
      </x:c>
      <x:c r="M242" s="989" t="str">
        <x:f>IF($K242="","",IFERROR('Game Records'!$A242,""))</x:f>
      </x:c>
      <x:c r="N242" s="989" t="str">
        <x:f>IF($K242="","",IFERROR('Game Records'!$U242,""))</x:f>
      </x:c>
      <x:c r="O242" s="989" t="str">
        <x:f>IF($K242="","",IF($P242="","No Highlighted Fields","Highlighted Fields Present"))</x:f>
      </x:c>
      <x:c r="P242" s="989" t="str">
        <x:f>IF($K242="","",IF('Game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Q242" s="989" t="str">
        <x:f>IF($K242="","",IFERROR('Game Records'!$M242,""))</x:f>
      </x:c>
    </x:row>
    <x:row r="243" ht="24" customHeight="1">
      <x:c r="A243" s="332"/>
      <x:c r="B243" s="332"/>
      <x:c r="C243" s="331"/>
      <x:c r="D243" s="331"/>
      <x:c r="E243" s="331"/>
      <x:c r="F243" s="331"/>
      <x:c r="G243" s="331"/>
      <x:c r="K243" s="989" t="str">
        <x:f>IF(OR(COUNTA('Game Records'!$A243:$M243)=0,'Game Records'!$U243="Subscription"),"",IFERROR(MAX($K$4:K242),0)+1)</x:f>
      </x:c>
      <x:c r="L243" s="989" t="str">
        <x:f>IF($K243="","","G-"&amp;TEXT($K243,"0000"))</x:f>
      </x:c>
      <x:c r="M243" s="989" t="str">
        <x:f>IF($K243="","",IFERROR('Game Records'!$A243,""))</x:f>
      </x:c>
      <x:c r="N243" s="989" t="str">
        <x:f>IF($K243="","",IFERROR('Game Records'!$U243,""))</x:f>
      </x:c>
      <x:c r="O243" s="989" t="str">
        <x:f>IF($K243="","",IF($P243="","No Highlighted Fields","Highlighted Fields Present"))</x:f>
      </x:c>
      <x:c r="P243" s="989" t="str">
        <x:f>IF($K243="","",IF('Game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Q243" s="989" t="str">
        <x:f>IF($K243="","",IFERROR('Game Records'!$M243,""))</x:f>
      </x:c>
    </x:row>
    <x:row r="244" ht="24" customHeight="1">
      <x:c r="A244" s="332"/>
      <x:c r="B244" s="332"/>
      <x:c r="C244" s="331"/>
      <x:c r="D244" s="331"/>
      <x:c r="E244" s="331"/>
      <x:c r="F244" s="331"/>
      <x:c r="G244" s="331"/>
      <x:c r="K244" s="989" t="str">
        <x:f>IF(OR(COUNTA('Game Records'!$A244:$M244)=0,'Game Records'!$U244="Subscription"),"",IFERROR(MAX($K$4:K243),0)+1)</x:f>
      </x:c>
      <x:c r="L244" s="989" t="str">
        <x:f>IF($K244="","","G-"&amp;TEXT($K244,"0000"))</x:f>
      </x:c>
      <x:c r="M244" s="989" t="str">
        <x:f>IF($K244="","",IFERROR('Game Records'!$A244,""))</x:f>
      </x:c>
      <x:c r="N244" s="989" t="str">
        <x:f>IF($K244="","",IFERROR('Game Records'!$U244,""))</x:f>
      </x:c>
      <x:c r="O244" s="989" t="str">
        <x:f>IF($K244="","",IF($P244="","No Highlighted Fields","Highlighted Fields Present"))</x:f>
      </x:c>
      <x:c r="P244" s="989" t="str">
        <x:f>IF($K244="","",IF('Game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Q244" s="989" t="str">
        <x:f>IF($K244="","",IFERROR('Game Records'!$M244,""))</x:f>
      </x:c>
    </x:row>
    <x:row r="245" ht="24" customHeight="1">
      <x:c r="A245" s="332"/>
      <x:c r="B245" s="332"/>
      <x:c r="C245" s="331"/>
      <x:c r="D245" s="331"/>
      <x:c r="E245" s="331"/>
      <x:c r="F245" s="331"/>
      <x:c r="G245" s="331"/>
      <x:c r="K245" s="989" t="str">
        <x:f>IF(OR(COUNTA('Game Records'!$A245:$M245)=0,'Game Records'!$U245="Subscription"),"",IFERROR(MAX($K$4:K244),0)+1)</x:f>
      </x:c>
      <x:c r="L245" s="989" t="str">
        <x:f>IF($K245="","","G-"&amp;TEXT($K245,"0000"))</x:f>
      </x:c>
      <x:c r="M245" s="989" t="str">
        <x:f>IF($K245="","",IFERROR('Game Records'!$A245,""))</x:f>
      </x:c>
      <x:c r="N245" s="989" t="str">
        <x:f>IF($K245="","",IFERROR('Game Records'!$U245,""))</x:f>
      </x:c>
      <x:c r="O245" s="989" t="str">
        <x:f>IF($K245="","",IF($P245="","No Highlighted Fields","Highlighted Fields Present"))</x:f>
      </x:c>
      <x:c r="P245" s="989" t="str">
        <x:f>IF($K245="","",IF('Game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Q245" s="989" t="str">
        <x:f>IF($K245="","",IFERROR('Game Records'!$M245,""))</x:f>
      </x:c>
    </x:row>
    <x:row r="246" ht="24" customHeight="1">
      <x:c r="A246" s="332"/>
      <x:c r="B246" s="332"/>
      <x:c r="C246" s="331"/>
      <x:c r="D246" s="331"/>
      <x:c r="E246" s="331"/>
      <x:c r="F246" s="331"/>
      <x:c r="G246" s="331"/>
      <x:c r="K246" s="989" t="str">
        <x:f>IF(OR(COUNTA('Game Records'!$A246:$M246)=0,'Game Records'!$U246="Subscription"),"",IFERROR(MAX($K$4:K245),0)+1)</x:f>
      </x:c>
      <x:c r="L246" s="989" t="str">
        <x:f>IF($K246="","","G-"&amp;TEXT($K246,"0000"))</x:f>
      </x:c>
      <x:c r="M246" s="989" t="str">
        <x:f>IF($K246="","",IFERROR('Game Records'!$A246,""))</x:f>
      </x:c>
      <x:c r="N246" s="989" t="str">
        <x:f>IF($K246="","",IFERROR('Game Records'!$U246,""))</x:f>
      </x:c>
      <x:c r="O246" s="989" t="str">
        <x:f>IF($K246="","",IF($P246="","No Highlighted Fields","Highlighted Fields Present"))</x:f>
      </x:c>
      <x:c r="P246" s="989" t="str">
        <x:f>IF($K246="","",IF('Game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Q246" s="989" t="str">
        <x:f>IF($K246="","",IFERROR('Game Records'!$M246,""))</x:f>
      </x:c>
    </x:row>
    <x:row r="247" ht="24" customHeight="1">
      <x:c r="A247" s="332"/>
      <x:c r="B247" s="332"/>
      <x:c r="C247" s="331"/>
      <x:c r="D247" s="331"/>
      <x:c r="E247" s="331"/>
      <x:c r="F247" s="331"/>
      <x:c r="G247" s="331"/>
      <x:c r="K247" s="989" t="str">
        <x:f>IF(OR(COUNTA('Game Records'!$A247:$M247)=0,'Game Records'!$U247="Subscription"),"",IFERROR(MAX($K$4:K246),0)+1)</x:f>
      </x:c>
      <x:c r="L247" s="989" t="str">
        <x:f>IF($K247="","","G-"&amp;TEXT($K247,"0000"))</x:f>
      </x:c>
      <x:c r="M247" s="989" t="str">
        <x:f>IF($K247="","",IFERROR('Game Records'!$A247,""))</x:f>
      </x:c>
      <x:c r="N247" s="989" t="str">
        <x:f>IF($K247="","",IFERROR('Game Records'!$U247,""))</x:f>
      </x:c>
      <x:c r="O247" s="989" t="str">
        <x:f>IF($K247="","",IF($P247="","No Highlighted Fields","Highlighted Fields Present"))</x:f>
      </x:c>
      <x:c r="P247" s="989" t="str">
        <x:f>IF($K247="","",IF('Game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Q247" s="989" t="str">
        <x:f>IF($K247="","",IFERROR('Game Records'!$M247,""))</x:f>
      </x:c>
    </x:row>
    <x:row r="248" ht="24" customHeight="1">
      <x:c r="A248" s="332"/>
      <x:c r="B248" s="332"/>
      <x:c r="C248" s="331"/>
      <x:c r="D248" s="331"/>
      <x:c r="E248" s="331"/>
      <x:c r="F248" s="331"/>
      <x:c r="G248" s="331"/>
      <x:c r="K248" s="989" t="str">
        <x:f>IF(OR(COUNTA('Game Records'!$A248:$M248)=0,'Game Records'!$U248="Subscription"),"",IFERROR(MAX($K$4:K247),0)+1)</x:f>
      </x:c>
      <x:c r="L248" s="989" t="str">
        <x:f>IF($K248="","","G-"&amp;TEXT($K248,"0000"))</x:f>
      </x:c>
      <x:c r="M248" s="989" t="str">
        <x:f>IF($K248="","",IFERROR('Game Records'!$A248,""))</x:f>
      </x:c>
      <x:c r="N248" s="989" t="str">
        <x:f>IF($K248="","",IFERROR('Game Records'!$U248,""))</x:f>
      </x:c>
      <x:c r="O248" s="989" t="str">
        <x:f>IF($K248="","",IF($P248="","No Highlighted Fields","Highlighted Fields Present"))</x:f>
      </x:c>
      <x:c r="P248" s="989" t="str">
        <x:f>IF($K248="","",IF('Game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Q248" s="989" t="str">
        <x:f>IF($K248="","",IFERROR('Game Records'!$M248,""))</x:f>
      </x:c>
    </x:row>
    <x:row r="249" ht="24" customHeight="1">
      <x:c r="A249" s="332"/>
      <x:c r="B249" s="332"/>
      <x:c r="C249" s="331"/>
      <x:c r="D249" s="331"/>
      <x:c r="E249" s="331"/>
      <x:c r="F249" s="331"/>
      <x:c r="G249" s="331"/>
      <x:c r="K249" s="989" t="str">
        <x:f>IF(OR(COUNTA('Game Records'!$A249:$M249)=0,'Game Records'!$U249="Subscription"),"",IFERROR(MAX($K$4:K248),0)+1)</x:f>
      </x:c>
      <x:c r="L249" s="989" t="str">
        <x:f>IF($K249="","","G-"&amp;TEXT($K249,"0000"))</x:f>
      </x:c>
      <x:c r="M249" s="989" t="str">
        <x:f>IF($K249="","",IFERROR('Game Records'!$A249,""))</x:f>
      </x:c>
      <x:c r="N249" s="989" t="str">
        <x:f>IF($K249="","",IFERROR('Game Records'!$U249,""))</x:f>
      </x:c>
      <x:c r="O249" s="989" t="str">
        <x:f>IF($K249="","",IF($P249="","No Highlighted Fields","Highlighted Fields Present"))</x:f>
      </x:c>
      <x:c r="P249" s="989" t="str">
        <x:f>IF($K249="","",IF('Game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Q249" s="989" t="str">
        <x:f>IF($K249="","",IFERROR('Game Records'!$M249,""))</x:f>
      </x:c>
    </x:row>
    <x:row r="250" ht="24" customHeight="1">
      <x:c r="A250" s="332"/>
      <x:c r="B250" s="332"/>
      <x:c r="C250" s="331"/>
      <x:c r="D250" s="331"/>
      <x:c r="E250" s="331"/>
      <x:c r="F250" s="331"/>
      <x:c r="G250" s="331"/>
      <x:c r="K250" s="989" t="str">
        <x:f>IF(OR(COUNTA('Game Records'!$A250:$M250)=0,'Game Records'!$U250="Subscription"),"",IFERROR(MAX($K$4:K249),0)+1)</x:f>
      </x:c>
      <x:c r="L250" s="989" t="str">
        <x:f>IF($K250="","","G-"&amp;TEXT($K250,"0000"))</x:f>
      </x:c>
      <x:c r="M250" s="989" t="str">
        <x:f>IF($K250="","",IFERROR('Game Records'!$A250,""))</x:f>
      </x:c>
      <x:c r="N250" s="989" t="str">
        <x:f>IF($K250="","",IFERROR('Game Records'!$U250,""))</x:f>
      </x:c>
      <x:c r="O250" s="989" t="str">
        <x:f>IF($K250="","",IF($P250="","No Highlighted Fields","Highlighted Fields Present"))</x:f>
      </x:c>
      <x:c r="P250" s="989" t="str">
        <x:f>IF($K250="","",IF('Game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Q250" s="989" t="str">
        <x:f>IF($K250="","",IFERROR('Game Records'!$M250,""))</x:f>
      </x:c>
    </x:row>
    <x:row r="251" ht="24" customHeight="1">
      <x:c r="A251" s="332"/>
      <x:c r="B251" s="332"/>
      <x:c r="C251" s="331"/>
      <x:c r="D251" s="331"/>
      <x:c r="E251" s="331"/>
      <x:c r="F251" s="331"/>
      <x:c r="G251" s="331"/>
      <x:c r="K251" s="989" t="str">
        <x:f>IF(OR(COUNTA('Game Records'!$A251:$M251)=0,'Game Records'!$U251="Subscription"),"",IFERROR(MAX($K$4:K250),0)+1)</x:f>
      </x:c>
      <x:c r="L251" s="989" t="str">
        <x:f>IF($K251="","","G-"&amp;TEXT($K251,"0000"))</x:f>
      </x:c>
      <x:c r="M251" s="989" t="str">
        <x:f>IF($K251="","",IFERROR('Game Records'!$A251,""))</x:f>
      </x:c>
      <x:c r="N251" s="989" t="str">
        <x:f>IF($K251="","",IFERROR('Game Records'!$U251,""))</x:f>
      </x:c>
      <x:c r="O251" s="989" t="str">
        <x:f>IF($K251="","",IF($P251="","No Highlighted Fields","Highlighted Fields Present"))</x:f>
      </x:c>
      <x:c r="P251" s="989" t="str">
        <x:f>IF($K251="","",IF('Game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Q251" s="989" t="str">
        <x:f>IF($K251="","",IFERROR('Game Records'!$M251,""))</x:f>
      </x:c>
    </x:row>
    <x:row r="252" ht="24" customHeight="1">
      <x:c r="A252" s="332"/>
      <x:c r="B252" s="332"/>
      <x:c r="C252" s="331"/>
      <x:c r="D252" s="331"/>
      <x:c r="E252" s="331"/>
      <x:c r="F252" s="331"/>
      <x:c r="G252" s="331"/>
      <x:c r="K252" s="989" t="str">
        <x:f>IF(OR(COUNTA('Game Records'!$A252:$M252)=0,'Game Records'!$U252="Subscription"),"",IFERROR(MAX($K$4:K251),0)+1)</x:f>
      </x:c>
      <x:c r="L252" s="989" t="str">
        <x:f>IF($K252="","","G-"&amp;TEXT($K252,"0000"))</x:f>
      </x:c>
      <x:c r="M252" s="989" t="str">
        <x:f>IF($K252="","",IFERROR('Game Records'!$A252,""))</x:f>
      </x:c>
      <x:c r="N252" s="989" t="str">
        <x:f>IF($K252="","",IFERROR('Game Records'!$U252,""))</x:f>
      </x:c>
      <x:c r="O252" s="989" t="str">
        <x:f>IF($K252="","",IF($P252="","No Highlighted Fields","Highlighted Fields Present"))</x:f>
      </x:c>
      <x:c r="P252" s="989" t="str">
        <x:f>IF($K252="","",IF('Game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Q252" s="989" t="str">
        <x:f>IF($K252="","",IFERROR('Game Records'!$M252,""))</x:f>
      </x:c>
    </x:row>
    <x:row r="253" ht="24" customHeight="1">
      <x:c r="A253" s="332"/>
      <x:c r="B253" s="332"/>
      <x:c r="C253" s="331"/>
      <x:c r="D253" s="331"/>
      <x:c r="E253" s="331"/>
      <x:c r="F253" s="331"/>
      <x:c r="G253" s="331"/>
      <x:c r="K253" s="989" t="str">
        <x:f>IF(OR(COUNTA('Game Records'!$A253:$M253)=0,'Game Records'!$U253="Subscription"),"",IFERROR(MAX($K$4:K252),0)+1)</x:f>
      </x:c>
      <x:c r="L253" s="989" t="str">
        <x:f>IF($K253="","","G-"&amp;TEXT($K253,"0000"))</x:f>
      </x:c>
      <x:c r="M253" s="989" t="str">
        <x:f>IF($K253="","",IFERROR('Game Records'!$A253,""))</x:f>
      </x:c>
      <x:c r="N253" s="989" t="str">
        <x:f>IF($K253="","",IFERROR('Game Records'!$U253,""))</x:f>
      </x:c>
      <x:c r="O253" s="989" t="str">
        <x:f>IF($K253="","",IF($P253="","No Highlighted Fields","Highlighted Fields Present"))</x:f>
      </x:c>
      <x:c r="P253" s="989" t="str">
        <x:f>IF($K253="","",IF('Game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Q253" s="989" t="str">
        <x:f>IF($K253="","",IFERROR('Game Records'!$M253,""))</x:f>
      </x:c>
    </x:row>
    <x:row r="254" ht="24" customHeight="1">
      <x:c r="A254" s="332"/>
      <x:c r="B254" s="332"/>
      <x:c r="C254" s="331"/>
      <x:c r="D254" s="331"/>
      <x:c r="E254" s="331"/>
      <x:c r="F254" s="331"/>
      <x:c r="G254" s="331"/>
      <x:c r="K254" s="989" t="str">
        <x:f>IF(OR(COUNTA('Game Records'!$A254:$M254)=0,'Game Records'!$U254="Subscription"),"",IFERROR(MAX($K$4:K253),0)+1)</x:f>
      </x:c>
      <x:c r="L254" s="989" t="str">
        <x:f>IF($K254="","","G-"&amp;TEXT($K254,"0000"))</x:f>
      </x:c>
      <x:c r="M254" s="989" t="str">
        <x:f>IF($K254="","",IFERROR('Game Records'!$A254,""))</x:f>
      </x:c>
      <x:c r="N254" s="989" t="str">
        <x:f>IF($K254="","",IFERROR('Game Records'!$U254,""))</x:f>
      </x:c>
      <x:c r="O254" s="989" t="str">
        <x:f>IF($K254="","",IF($P254="","No Highlighted Fields","Highlighted Fields Present"))</x:f>
      </x:c>
      <x:c r="P254" s="989" t="str">
        <x:f>IF($K254="","",IF('Game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Q254" s="989" t="str">
        <x:f>IF($K254="","",IFERROR('Game Records'!$M254,""))</x:f>
      </x:c>
    </x:row>
    <x:row r="255" ht="24" customHeight="1">
      <x:c r="A255" s="332"/>
      <x:c r="B255" s="332"/>
      <x:c r="C255" s="331"/>
      <x:c r="D255" s="331"/>
      <x:c r="E255" s="331"/>
      <x:c r="F255" s="331"/>
      <x:c r="G255" s="331"/>
      <x:c r="K255" s="989" t="str">
        <x:f>IF(OR(COUNTA('Game Records'!$A255:$M255)=0,'Game Records'!$U255="Subscription"),"",IFERROR(MAX($K$4:K254),0)+1)</x:f>
      </x:c>
      <x:c r="L255" s="989" t="str">
        <x:f>IF($K255="","","G-"&amp;TEXT($K255,"0000"))</x:f>
      </x:c>
      <x:c r="M255" s="989" t="str">
        <x:f>IF($K255="","",IFERROR('Game Records'!$A255,""))</x:f>
      </x:c>
      <x:c r="N255" s="989" t="str">
        <x:f>IF($K255="","",IFERROR('Game Records'!$U255,""))</x:f>
      </x:c>
      <x:c r="O255" s="989" t="str">
        <x:f>IF($K255="","",IF($P255="","No Highlighted Fields","Highlighted Fields Present"))</x:f>
      </x:c>
      <x:c r="P255" s="989" t="str">
        <x:f>IF($K255="","",IF('Game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Q255" s="989" t="str">
        <x:f>IF($K255="","",IFERROR('Game Records'!$M255,""))</x:f>
      </x:c>
    </x:row>
    <x:row r="256" ht="24" customHeight="1">
      <x:c r="A256" s="332"/>
      <x:c r="B256" s="332"/>
      <x:c r="C256" s="331"/>
      <x:c r="D256" s="331"/>
      <x:c r="E256" s="331"/>
      <x:c r="F256" s="331"/>
      <x:c r="G256" s="331"/>
      <x:c r="K256" s="989" t="str">
        <x:f>IF(OR(COUNTA('Game Records'!$A256:$M256)=0,'Game Records'!$U256="Subscription"),"",IFERROR(MAX($K$4:K255),0)+1)</x:f>
      </x:c>
      <x:c r="L256" s="989" t="str">
        <x:f>IF($K256="","","G-"&amp;TEXT($K256,"0000"))</x:f>
      </x:c>
      <x:c r="M256" s="989" t="str">
        <x:f>IF($K256="","",IFERROR('Game Records'!$A256,""))</x:f>
      </x:c>
      <x:c r="N256" s="989" t="str">
        <x:f>IF($K256="","",IFERROR('Game Records'!$U256,""))</x:f>
      </x:c>
      <x:c r="O256" s="989" t="str">
        <x:f>IF($K256="","",IF($P256="","No Highlighted Fields","Highlighted Fields Present"))</x:f>
      </x:c>
      <x:c r="P256" s="989" t="str">
        <x:f>IF($K256="","",IF('Game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Q256" s="989" t="str">
        <x:f>IF($K256="","",IFERROR('Game Records'!$M256,""))</x:f>
      </x:c>
    </x:row>
    <x:row r="257" ht="24" customHeight="1">
      <x:c r="A257" s="332"/>
      <x:c r="B257" s="332"/>
      <x:c r="C257" s="331"/>
      <x:c r="D257" s="331"/>
      <x:c r="E257" s="331"/>
      <x:c r="F257" s="331"/>
      <x:c r="G257" s="331"/>
      <x:c r="K257" s="989" t="str">
        <x:f>IF(OR(COUNTA('Game Records'!$A257:$M257)=0,'Game Records'!$U257="Subscription"),"",IFERROR(MAX($K$4:K256),0)+1)</x:f>
      </x:c>
      <x:c r="L257" s="989" t="str">
        <x:f>IF($K257="","","G-"&amp;TEXT($K257,"0000"))</x:f>
      </x:c>
      <x:c r="M257" s="989" t="str">
        <x:f>IF($K257="","",IFERROR('Game Records'!$A257,""))</x:f>
      </x:c>
      <x:c r="N257" s="989" t="str">
        <x:f>IF($K257="","",IFERROR('Game Records'!$U257,""))</x:f>
      </x:c>
      <x:c r="O257" s="989" t="str">
        <x:f>IF($K257="","",IF($P257="","No Highlighted Fields","Highlighted Fields Present"))</x:f>
      </x:c>
      <x:c r="P257" s="989" t="str">
        <x:f>IF($K257="","",IF('Game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Q257" s="989" t="str">
        <x:f>IF($K257="","",IFERROR('Game Records'!$M257,""))</x:f>
      </x:c>
    </x:row>
    <x:row r="258" ht="24" customHeight="1">
      <x:c r="A258" s="332"/>
      <x:c r="B258" s="332"/>
      <x:c r="C258" s="331"/>
      <x:c r="D258" s="331"/>
      <x:c r="E258" s="331"/>
      <x:c r="F258" s="331"/>
      <x:c r="G258" s="331"/>
      <x:c r="K258" s="989" t="str">
        <x:f>IF(OR(COUNTA('Game Records'!$A258:$M258)=0,'Game Records'!$U258="Subscription"),"",IFERROR(MAX($K$4:K257),0)+1)</x:f>
      </x:c>
      <x:c r="L258" s="989" t="str">
        <x:f>IF($K258="","","G-"&amp;TEXT($K258,"0000"))</x:f>
      </x:c>
      <x:c r="M258" s="989" t="str">
        <x:f>IF($K258="","",IFERROR('Game Records'!$A258,""))</x:f>
      </x:c>
      <x:c r="N258" s="989" t="str">
        <x:f>IF($K258="","",IFERROR('Game Records'!$U258,""))</x:f>
      </x:c>
      <x:c r="O258" s="989" t="str">
        <x:f>IF($K258="","",IF($P258="","No Highlighted Fields","Highlighted Fields Present"))</x:f>
      </x:c>
      <x:c r="P258" s="989" t="str">
        <x:f>IF($K258="","",IF('Game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Q258" s="989" t="str">
        <x:f>IF($K258="","",IFERROR('Game Records'!$M258,""))</x:f>
      </x:c>
    </x:row>
    <x:row r="259" ht="24" customHeight="1">
      <x:c r="A259" s="332"/>
      <x:c r="B259" s="332"/>
      <x:c r="C259" s="331"/>
      <x:c r="D259" s="331"/>
      <x:c r="E259" s="331"/>
      <x:c r="F259" s="331"/>
      <x:c r="G259" s="331"/>
      <x:c r="K259" s="989" t="str">
        <x:f>IF(OR(COUNTA('Game Records'!$A259:$M259)=0,'Game Records'!$U259="Subscription"),"",IFERROR(MAX($K$4:K258),0)+1)</x:f>
      </x:c>
      <x:c r="L259" s="989" t="str">
        <x:f>IF($K259="","","G-"&amp;TEXT($K259,"0000"))</x:f>
      </x:c>
      <x:c r="M259" s="989" t="str">
        <x:f>IF($K259="","",IFERROR('Game Records'!$A259,""))</x:f>
      </x:c>
      <x:c r="N259" s="989" t="str">
        <x:f>IF($K259="","",IFERROR('Game Records'!$U259,""))</x:f>
      </x:c>
      <x:c r="O259" s="989" t="str">
        <x:f>IF($K259="","",IF($P259="","No Highlighted Fields","Highlighted Fields Present"))</x:f>
      </x:c>
      <x:c r="P259" s="989" t="str">
        <x:f>IF($K259="","",IF('Game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Q259" s="989" t="str">
        <x:f>IF($K259="","",IFERROR('Game Records'!$M259,""))</x:f>
      </x:c>
    </x:row>
    <x:row r="260" ht="24" customHeight="1">
      <x:c r="A260" s="332"/>
      <x:c r="B260" s="332"/>
      <x:c r="C260" s="331"/>
      <x:c r="D260" s="331"/>
      <x:c r="E260" s="331"/>
      <x:c r="F260" s="331"/>
      <x:c r="G260" s="331"/>
      <x:c r="K260" s="989" t="str">
        <x:f>IF(OR(COUNTA('Game Records'!$A260:$M260)=0,'Game Records'!$U260="Subscription"),"",IFERROR(MAX($K$4:K259),0)+1)</x:f>
      </x:c>
      <x:c r="L260" s="989" t="str">
        <x:f>IF($K260="","","G-"&amp;TEXT($K260,"0000"))</x:f>
      </x:c>
      <x:c r="M260" s="989" t="str">
        <x:f>IF($K260="","",IFERROR('Game Records'!$A260,""))</x:f>
      </x:c>
      <x:c r="N260" s="989" t="str">
        <x:f>IF($K260="","",IFERROR('Game Records'!$U260,""))</x:f>
      </x:c>
      <x:c r="O260" s="989" t="str">
        <x:f>IF($K260="","",IF($P260="","No Highlighted Fields","Highlighted Fields Present"))</x:f>
      </x:c>
      <x:c r="P260" s="989" t="str">
        <x:f>IF($K260="","",IF('Game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Q260" s="989" t="str">
        <x:f>IF($K260="","",IFERROR('Game Records'!$M260,""))</x:f>
      </x:c>
    </x:row>
    <x:row r="261" ht="24" customHeight="1">
      <x:c r="A261" s="332"/>
      <x:c r="B261" s="332"/>
      <x:c r="C261" s="331"/>
      <x:c r="D261" s="331"/>
      <x:c r="E261" s="331"/>
      <x:c r="F261" s="331"/>
      <x:c r="G261" s="331"/>
      <x:c r="K261" s="989" t="str">
        <x:f>IF(OR(COUNTA('Game Records'!$A261:$M261)=0,'Game Records'!$U261="Subscription"),"",IFERROR(MAX($K$4:K260),0)+1)</x:f>
      </x:c>
      <x:c r="L261" s="989" t="str">
        <x:f>IF($K261="","","G-"&amp;TEXT($K261,"0000"))</x:f>
      </x:c>
      <x:c r="M261" s="989" t="str">
        <x:f>IF($K261="","",IFERROR('Game Records'!$A261,""))</x:f>
      </x:c>
      <x:c r="N261" s="989" t="str">
        <x:f>IF($K261="","",IFERROR('Game Records'!$U261,""))</x:f>
      </x:c>
      <x:c r="O261" s="989" t="str">
        <x:f>IF($K261="","",IF($P261="","No Highlighted Fields","Highlighted Fields Present"))</x:f>
      </x:c>
      <x:c r="P261" s="989" t="str">
        <x:f>IF($K261="","",IF('Game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Q261" s="989" t="str">
        <x:f>IF($K261="","",IFERROR('Game Records'!$M261,""))</x:f>
      </x:c>
    </x:row>
    <x:row r="262" ht="24" customHeight="1">
      <x:c r="A262" s="332"/>
      <x:c r="B262" s="332"/>
      <x:c r="C262" s="331"/>
      <x:c r="D262" s="331"/>
      <x:c r="E262" s="331"/>
      <x:c r="F262" s="331"/>
      <x:c r="G262" s="331"/>
      <x:c r="K262" s="989" t="str">
        <x:f>IF(OR(COUNTA('Game Records'!$A262:$M262)=0,'Game Records'!$U262="Subscription"),"",IFERROR(MAX($K$4:K261),0)+1)</x:f>
      </x:c>
      <x:c r="L262" s="989" t="str">
        <x:f>IF($K262="","","G-"&amp;TEXT($K262,"0000"))</x:f>
      </x:c>
      <x:c r="M262" s="989" t="str">
        <x:f>IF($K262="","",IFERROR('Game Records'!$A262,""))</x:f>
      </x:c>
      <x:c r="N262" s="989" t="str">
        <x:f>IF($K262="","",IFERROR('Game Records'!$U262,""))</x:f>
      </x:c>
      <x:c r="O262" s="989" t="str">
        <x:f>IF($K262="","",IF($P262="","No Highlighted Fields","Highlighted Fields Present"))</x:f>
      </x:c>
      <x:c r="P262" s="989" t="str">
        <x:f>IF($K262="","",IF('Game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Q262" s="989" t="str">
        <x:f>IF($K262="","",IFERROR('Game Records'!$M262,""))</x:f>
      </x:c>
    </x:row>
    <x:row r="263" ht="24" customHeight="1">
      <x:c r="A263" s="332"/>
      <x:c r="B263" s="332"/>
      <x:c r="C263" s="331"/>
      <x:c r="D263" s="331"/>
      <x:c r="E263" s="331"/>
      <x:c r="F263" s="331"/>
      <x:c r="G263" s="331"/>
      <x:c r="K263" s="989" t="str">
        <x:f>IF(OR(COUNTA('Game Records'!$A263:$M263)=0,'Game Records'!$U263="Subscription"),"",IFERROR(MAX($K$4:K262),0)+1)</x:f>
      </x:c>
      <x:c r="L263" s="989" t="str">
        <x:f>IF($K263="","","G-"&amp;TEXT($K263,"0000"))</x:f>
      </x:c>
      <x:c r="M263" s="989" t="str">
        <x:f>IF($K263="","",IFERROR('Game Records'!$A263,""))</x:f>
      </x:c>
      <x:c r="N263" s="989" t="str">
        <x:f>IF($K263="","",IFERROR('Game Records'!$U263,""))</x:f>
      </x:c>
      <x:c r="O263" s="989" t="str">
        <x:f>IF($K263="","",IF($P263="","No Highlighted Fields","Highlighted Fields Present"))</x:f>
      </x:c>
      <x:c r="P263" s="989" t="str">
        <x:f>IF($K263="","",IF('Game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Q263" s="989" t="str">
        <x:f>IF($K263="","",IFERROR('Game Records'!$M263,""))</x:f>
      </x:c>
    </x:row>
    <x:row r="264" ht="24" customHeight="1">
      <x:c r="A264" s="332"/>
      <x:c r="B264" s="332"/>
      <x:c r="C264" s="331"/>
      <x:c r="D264" s="331"/>
      <x:c r="E264" s="331"/>
      <x:c r="F264" s="331"/>
      <x:c r="G264" s="331"/>
      <x:c r="K264" s="989" t="str">
        <x:f>IF(OR(COUNTA('Game Records'!$A264:$M264)=0,'Game Records'!$U264="Subscription"),"",IFERROR(MAX($K$4:K263),0)+1)</x:f>
      </x:c>
      <x:c r="L264" s="989" t="str">
        <x:f>IF($K264="","","G-"&amp;TEXT($K264,"0000"))</x:f>
      </x:c>
      <x:c r="M264" s="989" t="str">
        <x:f>IF($K264="","",IFERROR('Game Records'!$A264,""))</x:f>
      </x:c>
      <x:c r="N264" s="989" t="str">
        <x:f>IF($K264="","",IFERROR('Game Records'!$U264,""))</x:f>
      </x:c>
      <x:c r="O264" s="989" t="str">
        <x:f>IF($K264="","",IF($P264="","No Highlighted Fields","Highlighted Fields Present"))</x:f>
      </x:c>
      <x:c r="P264" s="989" t="str">
        <x:f>IF($K264="","",IF('Game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Q264" s="989" t="str">
        <x:f>IF($K264="","",IFERROR('Game Records'!$M264,""))</x:f>
      </x:c>
    </x:row>
    <x:row r="265" ht="24" customHeight="1">
      <x:c r="A265" s="332"/>
      <x:c r="B265" s="332"/>
      <x:c r="C265" s="331"/>
      <x:c r="D265" s="331"/>
      <x:c r="E265" s="331"/>
      <x:c r="F265" s="331"/>
      <x:c r="G265" s="331"/>
      <x:c r="K265" s="989" t="str">
        <x:f>IF(OR(COUNTA('Game Records'!$A265:$M265)=0,'Game Records'!$U265="Subscription"),"",IFERROR(MAX($K$4:K264),0)+1)</x:f>
      </x:c>
      <x:c r="L265" s="989" t="str">
        <x:f>IF($K265="","","G-"&amp;TEXT($K265,"0000"))</x:f>
      </x:c>
      <x:c r="M265" s="989" t="str">
        <x:f>IF($K265="","",IFERROR('Game Records'!$A265,""))</x:f>
      </x:c>
      <x:c r="N265" s="989" t="str">
        <x:f>IF($K265="","",IFERROR('Game Records'!$U265,""))</x:f>
      </x:c>
      <x:c r="O265" s="989" t="str">
        <x:f>IF($K265="","",IF($P265="","No Highlighted Fields","Highlighted Fields Present"))</x:f>
      </x:c>
      <x:c r="P265" s="989" t="str">
        <x:f>IF($K265="","",IF('Game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Q265" s="989" t="str">
        <x:f>IF($K265="","",IFERROR('Game Records'!$M265,""))</x:f>
      </x:c>
    </x:row>
    <x:row r="266" ht="24" customHeight="1">
      <x:c r="A266" s="332"/>
      <x:c r="B266" s="332"/>
      <x:c r="C266" s="331"/>
      <x:c r="D266" s="331"/>
      <x:c r="E266" s="331"/>
      <x:c r="F266" s="331"/>
      <x:c r="G266" s="331"/>
      <x:c r="K266" s="989" t="str">
        <x:f>IF(OR(COUNTA('Game Records'!$A266:$M266)=0,'Game Records'!$U266="Subscription"),"",IFERROR(MAX($K$4:K265),0)+1)</x:f>
      </x:c>
      <x:c r="L266" s="989" t="str">
        <x:f>IF($K266="","","G-"&amp;TEXT($K266,"0000"))</x:f>
      </x:c>
      <x:c r="M266" s="989" t="str">
        <x:f>IF($K266="","",IFERROR('Game Records'!$A266,""))</x:f>
      </x:c>
      <x:c r="N266" s="989" t="str">
        <x:f>IF($K266="","",IFERROR('Game Records'!$U266,""))</x:f>
      </x:c>
      <x:c r="O266" s="989" t="str">
        <x:f>IF($K266="","",IF($P266="","No Highlighted Fields","Highlighted Fields Present"))</x:f>
      </x:c>
      <x:c r="P266" s="989" t="str">
        <x:f>IF($K266="","",IF('Game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Q266" s="989" t="str">
        <x:f>IF($K266="","",IFERROR('Game Records'!$M266,""))</x:f>
      </x:c>
    </x:row>
    <x:row r="267" ht="24" customHeight="1">
      <x:c r="A267" s="332"/>
      <x:c r="B267" s="332"/>
      <x:c r="C267" s="331"/>
      <x:c r="D267" s="331"/>
      <x:c r="E267" s="331"/>
      <x:c r="F267" s="331"/>
      <x:c r="G267" s="331"/>
      <x:c r="K267" s="989" t="str">
        <x:f>IF(OR(COUNTA('Game Records'!$A267:$M267)=0,'Game Records'!$U267="Subscription"),"",IFERROR(MAX($K$4:K266),0)+1)</x:f>
      </x:c>
      <x:c r="L267" s="989" t="str">
        <x:f>IF($K267="","","G-"&amp;TEXT($K267,"0000"))</x:f>
      </x:c>
      <x:c r="M267" s="989" t="str">
        <x:f>IF($K267="","",IFERROR('Game Records'!$A267,""))</x:f>
      </x:c>
      <x:c r="N267" s="989" t="str">
        <x:f>IF($K267="","",IFERROR('Game Records'!$U267,""))</x:f>
      </x:c>
      <x:c r="O267" s="989" t="str">
        <x:f>IF($K267="","",IF($P267="","No Highlighted Fields","Highlighted Fields Present"))</x:f>
      </x:c>
      <x:c r="P267" s="989" t="str">
        <x:f>IF($K267="","",IF('Game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Q267" s="989" t="str">
        <x:f>IF($K267="","",IFERROR('Game Records'!$M267,""))</x:f>
      </x:c>
    </x:row>
    <x:row r="268" ht="24" customHeight="1">
      <x:c r="A268" s="332"/>
      <x:c r="B268" s="332"/>
      <x:c r="C268" s="331"/>
      <x:c r="D268" s="331"/>
      <x:c r="E268" s="331"/>
      <x:c r="F268" s="331"/>
      <x:c r="G268" s="331"/>
      <x:c r="K268" s="989" t="str">
        <x:f>IF(OR(COUNTA('Game Records'!$A268:$M268)=0,'Game Records'!$U268="Subscription"),"",IFERROR(MAX($K$4:K267),0)+1)</x:f>
      </x:c>
      <x:c r="L268" s="989" t="str">
        <x:f>IF($K268="","","G-"&amp;TEXT($K268,"0000"))</x:f>
      </x:c>
      <x:c r="M268" s="989" t="str">
        <x:f>IF($K268="","",IFERROR('Game Records'!$A268,""))</x:f>
      </x:c>
      <x:c r="N268" s="989" t="str">
        <x:f>IF($K268="","",IFERROR('Game Records'!$U268,""))</x:f>
      </x:c>
      <x:c r="O268" s="989" t="str">
        <x:f>IF($K268="","",IF($P268="","No Highlighted Fields","Highlighted Fields Present"))</x:f>
      </x:c>
      <x:c r="P268" s="989" t="str">
        <x:f>IF($K268="","",IF('Game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Q268" s="989" t="str">
        <x:f>IF($K268="","",IFERROR('Game Records'!$M268,""))</x:f>
      </x:c>
    </x:row>
    <x:row r="269" ht="24" customHeight="1">
      <x:c r="A269" s="332"/>
      <x:c r="B269" s="332"/>
      <x:c r="C269" s="331"/>
      <x:c r="D269" s="331"/>
      <x:c r="E269" s="331"/>
      <x:c r="F269" s="331"/>
      <x:c r="G269" s="331"/>
      <x:c r="K269" s="989" t="str">
        <x:f>IF(OR(COUNTA('Game Records'!$A269:$M269)=0,'Game Records'!$U269="Subscription"),"",IFERROR(MAX($K$4:K268),0)+1)</x:f>
      </x:c>
      <x:c r="L269" s="989" t="str">
        <x:f>IF($K269="","","G-"&amp;TEXT($K269,"0000"))</x:f>
      </x:c>
      <x:c r="M269" s="989" t="str">
        <x:f>IF($K269="","",IFERROR('Game Records'!$A269,""))</x:f>
      </x:c>
      <x:c r="N269" s="989" t="str">
        <x:f>IF($K269="","",IFERROR('Game Records'!$U269,""))</x:f>
      </x:c>
      <x:c r="O269" s="989" t="str">
        <x:f>IF($K269="","",IF($P269="","No Highlighted Fields","Highlighted Fields Present"))</x:f>
      </x:c>
      <x:c r="P269" s="989" t="str">
        <x:f>IF($K269="","",IF('Game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Q269" s="989" t="str">
        <x:f>IF($K269="","",IFERROR('Game Records'!$M269,""))</x:f>
      </x:c>
    </x:row>
    <x:row r="270" ht="24" customHeight="1">
      <x:c r="A270" s="332"/>
      <x:c r="B270" s="332"/>
      <x:c r="C270" s="331"/>
      <x:c r="D270" s="331"/>
      <x:c r="E270" s="331"/>
      <x:c r="F270" s="331"/>
      <x:c r="G270" s="331"/>
      <x:c r="K270" s="989" t="str">
        <x:f>IF(OR(COUNTA('Game Records'!$A270:$M270)=0,'Game Records'!$U270="Subscription"),"",IFERROR(MAX($K$4:K269),0)+1)</x:f>
      </x:c>
      <x:c r="L270" s="989" t="str">
        <x:f>IF($K270="","","G-"&amp;TEXT($K270,"0000"))</x:f>
      </x:c>
      <x:c r="M270" s="989" t="str">
        <x:f>IF($K270="","",IFERROR('Game Records'!$A270,""))</x:f>
      </x:c>
      <x:c r="N270" s="989" t="str">
        <x:f>IF($K270="","",IFERROR('Game Records'!$U270,""))</x:f>
      </x:c>
      <x:c r="O270" s="989" t="str">
        <x:f>IF($K270="","",IF($P270="","No Highlighted Fields","Highlighted Fields Present"))</x:f>
      </x:c>
      <x:c r="P270" s="989" t="str">
        <x:f>IF($K270="","",IF('Game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Q270" s="989" t="str">
        <x:f>IF($K270="","",IFERROR('Game Records'!$M270,""))</x:f>
      </x:c>
    </x:row>
    <x:row r="271" ht="24" customHeight="1">
      <x:c r="A271" s="332"/>
      <x:c r="B271" s="332"/>
      <x:c r="C271" s="331"/>
      <x:c r="D271" s="331"/>
      <x:c r="E271" s="331"/>
      <x:c r="F271" s="331"/>
      <x:c r="G271" s="331"/>
      <x:c r="K271" s="989" t="str">
        <x:f>IF(OR(COUNTA('Game Records'!$A271:$M271)=0,'Game Records'!$U271="Subscription"),"",IFERROR(MAX($K$4:K270),0)+1)</x:f>
      </x:c>
      <x:c r="L271" s="989" t="str">
        <x:f>IF($K271="","","G-"&amp;TEXT($K271,"0000"))</x:f>
      </x:c>
      <x:c r="M271" s="989" t="str">
        <x:f>IF($K271="","",IFERROR('Game Records'!$A271,""))</x:f>
      </x:c>
      <x:c r="N271" s="989" t="str">
        <x:f>IF($K271="","",IFERROR('Game Records'!$U271,""))</x:f>
      </x:c>
      <x:c r="O271" s="989" t="str">
        <x:f>IF($K271="","",IF($P271="","No Highlighted Fields","Highlighted Fields Present"))</x:f>
      </x:c>
      <x:c r="P271" s="989" t="str">
        <x:f>IF($K271="","",IF('Game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Q271" s="989" t="str">
        <x:f>IF($K271="","",IFERROR('Game Records'!$M271,""))</x:f>
      </x:c>
    </x:row>
    <x:row r="272" ht="24" customHeight="1">
      <x:c r="A272" s="332"/>
      <x:c r="B272" s="332"/>
      <x:c r="C272" s="331"/>
      <x:c r="D272" s="331"/>
      <x:c r="E272" s="331"/>
      <x:c r="F272" s="331"/>
      <x:c r="G272" s="331"/>
      <x:c r="K272" s="989" t="str">
        <x:f>IF(OR(COUNTA('Game Records'!$A272:$M272)=0,'Game Records'!$U272="Subscription"),"",IFERROR(MAX($K$4:K271),0)+1)</x:f>
      </x:c>
      <x:c r="L272" s="989" t="str">
        <x:f>IF($K272="","","G-"&amp;TEXT($K272,"0000"))</x:f>
      </x:c>
      <x:c r="M272" s="989" t="str">
        <x:f>IF($K272="","",IFERROR('Game Records'!$A272,""))</x:f>
      </x:c>
      <x:c r="N272" s="989" t="str">
        <x:f>IF($K272="","",IFERROR('Game Records'!$U272,""))</x:f>
      </x:c>
      <x:c r="O272" s="989" t="str">
        <x:f>IF($K272="","",IF($P272="","No Highlighted Fields","Highlighted Fields Present"))</x:f>
      </x:c>
      <x:c r="P272" s="989" t="str">
        <x:f>IF($K272="","",IF('Game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Q272" s="989" t="str">
        <x:f>IF($K272="","",IFERROR('Game Records'!$M272,""))</x:f>
      </x:c>
    </x:row>
    <x:row r="273" ht="24" customHeight="1">
      <x:c r="A273" s="332"/>
      <x:c r="B273" s="332"/>
      <x:c r="C273" s="331"/>
      <x:c r="D273" s="331"/>
      <x:c r="E273" s="331"/>
      <x:c r="F273" s="331"/>
      <x:c r="G273" s="331"/>
      <x:c r="K273" s="989" t="str">
        <x:f>IF(OR(COUNTA('Game Records'!$A273:$M273)=0,'Game Records'!$U273="Subscription"),"",IFERROR(MAX($K$4:K272),0)+1)</x:f>
      </x:c>
      <x:c r="L273" s="989" t="str">
        <x:f>IF($K273="","","G-"&amp;TEXT($K273,"0000"))</x:f>
      </x:c>
      <x:c r="M273" s="989" t="str">
        <x:f>IF($K273="","",IFERROR('Game Records'!$A273,""))</x:f>
      </x:c>
      <x:c r="N273" s="989" t="str">
        <x:f>IF($K273="","",IFERROR('Game Records'!$U273,""))</x:f>
      </x:c>
      <x:c r="O273" s="989" t="str">
        <x:f>IF($K273="","",IF($P273="","No Highlighted Fields","Highlighted Fields Present"))</x:f>
      </x:c>
      <x:c r="P273" s="989" t="str">
        <x:f>IF($K273="","",IF('Game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Q273" s="989" t="str">
        <x:f>IF($K273="","",IFERROR('Game Records'!$M273,""))</x:f>
      </x:c>
    </x:row>
    <x:row r="274" ht="24" customHeight="1">
      <x:c r="A274" s="332"/>
      <x:c r="B274" s="332"/>
      <x:c r="C274" s="331"/>
      <x:c r="D274" s="331"/>
      <x:c r="E274" s="331"/>
      <x:c r="F274" s="331"/>
      <x:c r="G274" s="331"/>
      <x:c r="K274" s="989" t="str">
        <x:f>IF(OR(COUNTA('Game Records'!$A274:$M274)=0,'Game Records'!$U274="Subscription"),"",IFERROR(MAX($K$4:K273),0)+1)</x:f>
      </x:c>
      <x:c r="L274" s="989" t="str">
        <x:f>IF($K274="","","G-"&amp;TEXT($K274,"0000"))</x:f>
      </x:c>
      <x:c r="M274" s="989" t="str">
        <x:f>IF($K274="","",IFERROR('Game Records'!$A274,""))</x:f>
      </x:c>
      <x:c r="N274" s="989" t="str">
        <x:f>IF($K274="","",IFERROR('Game Records'!$U274,""))</x:f>
      </x:c>
      <x:c r="O274" s="989" t="str">
        <x:f>IF($K274="","",IF($P274="","No Highlighted Fields","Highlighted Fields Present"))</x:f>
      </x:c>
      <x:c r="P274" s="989" t="str">
        <x:f>IF($K274="","",IF('Game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Q274" s="989" t="str">
        <x:f>IF($K274="","",IFERROR('Game Records'!$M274,""))</x:f>
      </x:c>
    </x:row>
    <x:row r="275" ht="24" customHeight="1">
      <x:c r="A275" s="332"/>
      <x:c r="B275" s="332"/>
      <x:c r="C275" s="331"/>
      <x:c r="D275" s="331"/>
      <x:c r="E275" s="331"/>
      <x:c r="F275" s="331"/>
      <x:c r="G275" s="331"/>
      <x:c r="K275" s="989" t="str">
        <x:f>IF(OR(COUNTA('Game Records'!$A275:$M275)=0,'Game Records'!$U275="Subscription"),"",IFERROR(MAX($K$4:K274),0)+1)</x:f>
      </x:c>
      <x:c r="L275" s="989" t="str">
        <x:f>IF($K275="","","G-"&amp;TEXT($K275,"0000"))</x:f>
      </x:c>
      <x:c r="M275" s="989" t="str">
        <x:f>IF($K275="","",IFERROR('Game Records'!$A275,""))</x:f>
      </x:c>
      <x:c r="N275" s="989" t="str">
        <x:f>IF($K275="","",IFERROR('Game Records'!$U275,""))</x:f>
      </x:c>
      <x:c r="O275" s="989" t="str">
        <x:f>IF($K275="","",IF($P275="","No Highlighted Fields","Highlighted Fields Present"))</x:f>
      </x:c>
      <x:c r="P275" s="989" t="str">
        <x:f>IF($K275="","",IF('Game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Q275" s="989" t="str">
        <x:f>IF($K275="","",IFERROR('Game Records'!$M275,""))</x:f>
      </x:c>
    </x:row>
    <x:row r="276" ht="24" customHeight="1">
      <x:c r="A276" s="332"/>
      <x:c r="B276" s="332"/>
      <x:c r="C276" s="331"/>
      <x:c r="D276" s="331"/>
      <x:c r="E276" s="331"/>
      <x:c r="F276" s="331"/>
      <x:c r="G276" s="331"/>
      <x:c r="K276" s="989" t="str">
        <x:f>IF(OR(COUNTA('Game Records'!$A276:$M276)=0,'Game Records'!$U276="Subscription"),"",IFERROR(MAX($K$4:K275),0)+1)</x:f>
      </x:c>
      <x:c r="L276" s="989" t="str">
        <x:f>IF($K276="","","G-"&amp;TEXT($K276,"0000"))</x:f>
      </x:c>
      <x:c r="M276" s="989" t="str">
        <x:f>IF($K276="","",IFERROR('Game Records'!$A276,""))</x:f>
      </x:c>
      <x:c r="N276" s="989" t="str">
        <x:f>IF($K276="","",IFERROR('Game Records'!$U276,""))</x:f>
      </x:c>
      <x:c r="O276" s="989" t="str">
        <x:f>IF($K276="","",IF($P276="","No Highlighted Fields","Highlighted Fields Present"))</x:f>
      </x:c>
      <x:c r="P276" s="989" t="str">
        <x:f>IF($K276="","",IF('Game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Q276" s="989" t="str">
        <x:f>IF($K276="","",IFERROR('Game Records'!$M276,""))</x:f>
      </x:c>
    </x:row>
    <x:row r="277" ht="24" customHeight="1">
      <x:c r="A277" s="332"/>
      <x:c r="B277" s="332"/>
      <x:c r="C277" s="331"/>
      <x:c r="D277" s="331"/>
      <x:c r="E277" s="331"/>
      <x:c r="F277" s="331"/>
      <x:c r="G277" s="331"/>
      <x:c r="K277" s="989" t="str">
        <x:f>IF(OR(COUNTA('Game Records'!$A277:$M277)=0,'Game Records'!$U277="Subscription"),"",IFERROR(MAX($K$4:K276),0)+1)</x:f>
      </x:c>
      <x:c r="L277" s="989" t="str">
        <x:f>IF($K277="","","G-"&amp;TEXT($K277,"0000"))</x:f>
      </x:c>
      <x:c r="M277" s="989" t="str">
        <x:f>IF($K277="","",IFERROR('Game Records'!$A277,""))</x:f>
      </x:c>
      <x:c r="N277" s="989" t="str">
        <x:f>IF($K277="","",IFERROR('Game Records'!$U277,""))</x:f>
      </x:c>
      <x:c r="O277" s="989" t="str">
        <x:f>IF($K277="","",IF($P277="","No Highlighted Fields","Highlighted Fields Present"))</x:f>
      </x:c>
      <x:c r="P277" s="989" t="str">
        <x:f>IF($K277="","",IF('Game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Q277" s="989" t="str">
        <x:f>IF($K277="","",IFERROR('Game Records'!$M277,""))</x:f>
      </x:c>
    </x:row>
    <x:row r="278" ht="24" customHeight="1">
      <x:c r="A278" s="332"/>
      <x:c r="B278" s="332"/>
      <x:c r="C278" s="331"/>
      <x:c r="D278" s="331"/>
      <x:c r="E278" s="331"/>
      <x:c r="F278" s="331"/>
      <x:c r="G278" s="331"/>
      <x:c r="K278" s="989" t="str">
        <x:f>IF(OR(COUNTA('Game Records'!$A278:$M278)=0,'Game Records'!$U278="Subscription"),"",IFERROR(MAX($K$4:K277),0)+1)</x:f>
      </x:c>
      <x:c r="L278" s="989" t="str">
        <x:f>IF($K278="","","G-"&amp;TEXT($K278,"0000"))</x:f>
      </x:c>
      <x:c r="M278" s="989" t="str">
        <x:f>IF($K278="","",IFERROR('Game Records'!$A278,""))</x:f>
      </x:c>
      <x:c r="N278" s="989" t="str">
        <x:f>IF($K278="","",IFERROR('Game Records'!$U278,""))</x:f>
      </x:c>
      <x:c r="O278" s="989" t="str">
        <x:f>IF($K278="","",IF($P278="","No Highlighted Fields","Highlighted Fields Present"))</x:f>
      </x:c>
      <x:c r="P278" s="989" t="str">
        <x:f>IF($K278="","",IF('Game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Q278" s="989" t="str">
        <x:f>IF($K278="","",IFERROR('Game Records'!$M278,""))</x:f>
      </x:c>
    </x:row>
    <x:row r="279" ht="24" customHeight="1">
      <x:c r="A279" s="332"/>
      <x:c r="B279" s="332"/>
      <x:c r="C279" s="331"/>
      <x:c r="D279" s="331"/>
      <x:c r="E279" s="331"/>
      <x:c r="F279" s="331"/>
      <x:c r="G279" s="331"/>
      <x:c r="K279" s="989" t="str">
        <x:f>IF(OR(COUNTA('Game Records'!$A279:$M279)=0,'Game Records'!$U279="Subscription"),"",IFERROR(MAX($K$4:K278),0)+1)</x:f>
      </x:c>
      <x:c r="L279" s="989" t="str">
        <x:f>IF($K279="","","G-"&amp;TEXT($K279,"0000"))</x:f>
      </x:c>
      <x:c r="M279" s="989" t="str">
        <x:f>IF($K279="","",IFERROR('Game Records'!$A279,""))</x:f>
      </x:c>
      <x:c r="N279" s="989" t="str">
        <x:f>IF($K279="","",IFERROR('Game Records'!$U279,""))</x:f>
      </x:c>
      <x:c r="O279" s="989" t="str">
        <x:f>IF($K279="","",IF($P279="","No Highlighted Fields","Highlighted Fields Present"))</x:f>
      </x:c>
      <x:c r="P279" s="989" t="str">
        <x:f>IF($K279="","",IF('Game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Q279" s="989" t="str">
        <x:f>IF($K279="","",IFERROR('Game Records'!$M279,""))</x:f>
      </x:c>
    </x:row>
    <x:row r="280" ht="24" customHeight="1">
      <x:c r="A280" s="332"/>
      <x:c r="B280" s="332"/>
      <x:c r="C280" s="331"/>
      <x:c r="D280" s="331"/>
      <x:c r="E280" s="331"/>
      <x:c r="F280" s="331"/>
      <x:c r="G280" s="331"/>
      <x:c r="K280" s="989" t="str">
        <x:f>IF(OR(COUNTA('Game Records'!$A280:$M280)=0,'Game Records'!$U280="Subscription"),"",IFERROR(MAX($K$4:K279),0)+1)</x:f>
      </x:c>
      <x:c r="L280" s="989" t="str">
        <x:f>IF($K280="","","G-"&amp;TEXT($K280,"0000"))</x:f>
      </x:c>
      <x:c r="M280" s="989" t="str">
        <x:f>IF($K280="","",IFERROR('Game Records'!$A280,""))</x:f>
      </x:c>
      <x:c r="N280" s="989" t="str">
        <x:f>IF($K280="","",IFERROR('Game Records'!$U280,""))</x:f>
      </x:c>
      <x:c r="O280" s="989" t="str">
        <x:f>IF($K280="","",IF($P280="","No Highlighted Fields","Highlighted Fields Present"))</x:f>
      </x:c>
      <x:c r="P280" s="989" t="str">
        <x:f>IF($K280="","",IF('Game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Q280" s="989" t="str">
        <x:f>IF($K280="","",IFERROR('Game Records'!$M280,""))</x:f>
      </x:c>
    </x:row>
    <x:row r="281" ht="24" customHeight="1">
      <x:c r="A281" s="332"/>
      <x:c r="B281" s="332"/>
      <x:c r="C281" s="331"/>
      <x:c r="D281" s="331"/>
      <x:c r="E281" s="331"/>
      <x:c r="F281" s="331"/>
      <x:c r="G281" s="331"/>
      <x:c r="K281" s="989" t="str">
        <x:f>IF(OR(COUNTA('Game Records'!$A281:$M281)=0,'Game Records'!$U281="Subscription"),"",IFERROR(MAX($K$4:K280),0)+1)</x:f>
      </x:c>
      <x:c r="L281" s="989" t="str">
        <x:f>IF($K281="","","G-"&amp;TEXT($K281,"0000"))</x:f>
      </x:c>
      <x:c r="M281" s="989" t="str">
        <x:f>IF($K281="","",IFERROR('Game Records'!$A281,""))</x:f>
      </x:c>
      <x:c r="N281" s="989" t="str">
        <x:f>IF($K281="","",IFERROR('Game Records'!$U281,""))</x:f>
      </x:c>
      <x:c r="O281" s="989" t="str">
        <x:f>IF($K281="","",IF($P281="","No Highlighted Fields","Highlighted Fields Present"))</x:f>
      </x:c>
      <x:c r="P281" s="989" t="str">
        <x:f>IF($K281="","",IF('Game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Q281" s="989" t="str">
        <x:f>IF($K281="","",IFERROR('Game Records'!$M281,""))</x:f>
      </x:c>
    </x:row>
    <x:row r="282" ht="24" customHeight="1">
      <x:c r="A282" s="332"/>
      <x:c r="B282" s="332"/>
      <x:c r="C282" s="331"/>
      <x:c r="D282" s="331"/>
      <x:c r="E282" s="331"/>
      <x:c r="F282" s="331"/>
      <x:c r="G282" s="331"/>
      <x:c r="K282" s="989" t="str">
        <x:f>IF(OR(COUNTA('Game Records'!$A282:$M282)=0,'Game Records'!$U282="Subscription"),"",IFERROR(MAX($K$4:K281),0)+1)</x:f>
      </x:c>
      <x:c r="L282" s="989" t="str">
        <x:f>IF($K282="","","G-"&amp;TEXT($K282,"0000"))</x:f>
      </x:c>
      <x:c r="M282" s="989" t="str">
        <x:f>IF($K282="","",IFERROR('Game Records'!$A282,""))</x:f>
      </x:c>
      <x:c r="N282" s="989" t="str">
        <x:f>IF($K282="","",IFERROR('Game Records'!$U282,""))</x:f>
      </x:c>
      <x:c r="O282" s="989" t="str">
        <x:f>IF($K282="","",IF($P282="","No Highlighted Fields","Highlighted Fields Present"))</x:f>
      </x:c>
      <x:c r="P282" s="989" t="str">
        <x:f>IF($K282="","",IF('Game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Q282" s="989" t="str">
        <x:f>IF($K282="","",IFERROR('Game Records'!$M282,""))</x:f>
      </x:c>
    </x:row>
    <x:row r="283" ht="24" customHeight="1">
      <x:c r="A283" s="332"/>
      <x:c r="B283" s="332"/>
      <x:c r="C283" s="331"/>
      <x:c r="D283" s="331"/>
      <x:c r="E283" s="331"/>
      <x:c r="F283" s="331"/>
      <x:c r="G283" s="331"/>
      <x:c r="K283" s="989" t="str">
        <x:f>IF(OR(COUNTA('Game Records'!$A283:$M283)=0,'Game Records'!$U283="Subscription"),"",IFERROR(MAX($K$4:K282),0)+1)</x:f>
      </x:c>
      <x:c r="L283" s="989" t="str">
        <x:f>IF($K283="","","G-"&amp;TEXT($K283,"0000"))</x:f>
      </x:c>
      <x:c r="M283" s="989" t="str">
        <x:f>IF($K283="","",IFERROR('Game Records'!$A283,""))</x:f>
      </x:c>
      <x:c r="N283" s="989" t="str">
        <x:f>IF($K283="","",IFERROR('Game Records'!$U283,""))</x:f>
      </x:c>
      <x:c r="O283" s="989" t="str">
        <x:f>IF($K283="","",IF($P283="","No Highlighted Fields","Highlighted Fields Present"))</x:f>
      </x:c>
      <x:c r="P283" s="989" t="str">
        <x:f>IF($K283="","",IF('Game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Q283" s="989" t="str">
        <x:f>IF($K283="","",IFERROR('Game Records'!$M283,""))</x:f>
      </x:c>
    </x:row>
    <x:row r="284" ht="24" customHeight="1">
      <x:c r="A284" s="332"/>
      <x:c r="B284" s="332"/>
      <x:c r="C284" s="331"/>
      <x:c r="D284" s="331"/>
      <x:c r="E284" s="331"/>
      <x:c r="F284" s="331"/>
      <x:c r="G284" s="331"/>
      <x:c r="K284" s="989" t="str">
        <x:f>IF(OR(COUNTA('Game Records'!$A284:$M284)=0,'Game Records'!$U284="Subscription"),"",IFERROR(MAX($K$4:K283),0)+1)</x:f>
      </x:c>
      <x:c r="L284" s="989" t="str">
        <x:f>IF($K284="","","G-"&amp;TEXT($K284,"0000"))</x:f>
      </x:c>
      <x:c r="M284" s="989" t="str">
        <x:f>IF($K284="","",IFERROR('Game Records'!$A284,""))</x:f>
      </x:c>
      <x:c r="N284" s="989" t="str">
        <x:f>IF($K284="","",IFERROR('Game Records'!$U284,""))</x:f>
      </x:c>
      <x:c r="O284" s="989" t="str">
        <x:f>IF($K284="","",IF($P284="","No Highlighted Fields","Highlighted Fields Present"))</x:f>
      </x:c>
      <x:c r="P284" s="989" t="str">
        <x:f>IF($K284="","",IF('Game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Q284" s="989" t="str">
        <x:f>IF($K284="","",IFERROR('Game Records'!$M284,""))</x:f>
      </x:c>
    </x:row>
    <x:row r="285" ht="24" customHeight="1">
      <x:c r="A285" s="332"/>
      <x:c r="B285" s="332"/>
      <x:c r="C285" s="331"/>
      <x:c r="D285" s="331"/>
      <x:c r="E285" s="331"/>
      <x:c r="F285" s="331"/>
      <x:c r="G285" s="331"/>
      <x:c r="K285" s="989" t="str">
        <x:f>IF(OR(COUNTA('Game Records'!$A285:$M285)=0,'Game Records'!$U285="Subscription"),"",IFERROR(MAX($K$4:K284),0)+1)</x:f>
      </x:c>
      <x:c r="L285" s="989" t="str">
        <x:f>IF($K285="","","G-"&amp;TEXT($K285,"0000"))</x:f>
      </x:c>
      <x:c r="M285" s="989" t="str">
        <x:f>IF($K285="","",IFERROR('Game Records'!$A285,""))</x:f>
      </x:c>
      <x:c r="N285" s="989" t="str">
        <x:f>IF($K285="","",IFERROR('Game Records'!$U285,""))</x:f>
      </x:c>
      <x:c r="O285" s="989" t="str">
        <x:f>IF($K285="","",IF($P285="","No Highlighted Fields","Highlighted Fields Present"))</x:f>
      </x:c>
      <x:c r="P285" s="989" t="str">
        <x:f>IF($K285="","",IF('Game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Q285" s="989" t="str">
        <x:f>IF($K285="","",IFERROR('Game Records'!$M285,""))</x:f>
      </x:c>
    </x:row>
    <x:row r="286" ht="24" customHeight="1">
      <x:c r="A286" s="332"/>
      <x:c r="B286" s="332"/>
      <x:c r="C286" s="331"/>
      <x:c r="D286" s="331"/>
      <x:c r="E286" s="331"/>
      <x:c r="F286" s="331"/>
      <x:c r="G286" s="331"/>
      <x:c r="K286" s="989" t="str">
        <x:f>IF(OR(COUNTA('Game Records'!$A286:$M286)=0,'Game Records'!$U286="Subscription"),"",IFERROR(MAX($K$4:K285),0)+1)</x:f>
      </x:c>
      <x:c r="L286" s="989" t="str">
        <x:f>IF($K286="","","G-"&amp;TEXT($K286,"0000"))</x:f>
      </x:c>
      <x:c r="M286" s="989" t="str">
        <x:f>IF($K286="","",IFERROR('Game Records'!$A286,""))</x:f>
      </x:c>
      <x:c r="N286" s="989" t="str">
        <x:f>IF($K286="","",IFERROR('Game Records'!$U286,""))</x:f>
      </x:c>
      <x:c r="O286" s="989" t="str">
        <x:f>IF($K286="","",IF($P286="","No Highlighted Fields","Highlighted Fields Present"))</x:f>
      </x:c>
      <x:c r="P286" s="989" t="str">
        <x:f>IF($K286="","",IF('Game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Q286" s="989" t="str">
        <x:f>IF($K286="","",IFERROR('Game Records'!$M286,""))</x:f>
      </x:c>
    </x:row>
    <x:row r="287" ht="24" customHeight="1">
      <x:c r="A287" s="332"/>
      <x:c r="B287" s="332"/>
      <x:c r="C287" s="331"/>
      <x:c r="D287" s="331"/>
      <x:c r="E287" s="331"/>
      <x:c r="F287" s="331"/>
      <x:c r="G287" s="331"/>
      <x:c r="K287" s="989" t="str">
        <x:f>IF(OR(COUNTA('Game Records'!$A287:$M287)=0,'Game Records'!$U287="Subscription"),"",IFERROR(MAX($K$4:K286),0)+1)</x:f>
      </x:c>
      <x:c r="L287" s="989" t="str">
        <x:f>IF($K287="","","G-"&amp;TEXT($K287,"0000"))</x:f>
      </x:c>
      <x:c r="M287" s="989" t="str">
        <x:f>IF($K287="","",IFERROR('Game Records'!$A287,""))</x:f>
      </x:c>
      <x:c r="N287" s="989" t="str">
        <x:f>IF($K287="","",IFERROR('Game Records'!$U287,""))</x:f>
      </x:c>
      <x:c r="O287" s="989" t="str">
        <x:f>IF($K287="","",IF($P287="","No Highlighted Fields","Highlighted Fields Present"))</x:f>
      </x:c>
      <x:c r="P287" s="989" t="str">
        <x:f>IF($K287="","",IF('Game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Q287" s="989" t="str">
        <x:f>IF($K287="","",IFERROR('Game Records'!$M287,""))</x:f>
      </x:c>
    </x:row>
    <x:row r="288" ht="24" customHeight="1">
      <x:c r="A288" s="332"/>
      <x:c r="B288" s="332"/>
      <x:c r="C288" s="331"/>
      <x:c r="D288" s="331"/>
      <x:c r="E288" s="331"/>
      <x:c r="F288" s="331"/>
      <x:c r="G288" s="331"/>
      <x:c r="K288" s="989" t="str">
        <x:f>IF(OR(COUNTA('Game Records'!$A288:$M288)=0,'Game Records'!$U288="Subscription"),"",IFERROR(MAX($K$4:K287),0)+1)</x:f>
      </x:c>
      <x:c r="L288" s="989" t="str">
        <x:f>IF($K288="","","G-"&amp;TEXT($K288,"0000"))</x:f>
      </x:c>
      <x:c r="M288" s="989" t="str">
        <x:f>IF($K288="","",IFERROR('Game Records'!$A288,""))</x:f>
      </x:c>
      <x:c r="N288" s="989" t="str">
        <x:f>IF($K288="","",IFERROR('Game Records'!$U288,""))</x:f>
      </x:c>
      <x:c r="O288" s="989" t="str">
        <x:f>IF($K288="","",IF($P288="","No Highlighted Fields","Highlighted Fields Present"))</x:f>
      </x:c>
      <x:c r="P288" s="989" t="str">
        <x:f>IF($K288="","",IF('Game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Q288" s="989" t="str">
        <x:f>IF($K288="","",IFERROR('Game Records'!$M288,""))</x:f>
      </x:c>
    </x:row>
    <x:row r="289" ht="24" customHeight="1">
      <x:c r="A289" s="332"/>
      <x:c r="B289" s="332"/>
      <x:c r="C289" s="331"/>
      <x:c r="D289" s="331"/>
      <x:c r="E289" s="331"/>
      <x:c r="F289" s="331"/>
      <x:c r="G289" s="331"/>
      <x:c r="K289" s="989" t="str">
        <x:f>IF(OR(COUNTA('Game Records'!$A289:$M289)=0,'Game Records'!$U289="Subscription"),"",IFERROR(MAX($K$4:K288),0)+1)</x:f>
      </x:c>
      <x:c r="L289" s="989" t="str">
        <x:f>IF($K289="","","G-"&amp;TEXT($K289,"0000"))</x:f>
      </x:c>
      <x:c r="M289" s="989" t="str">
        <x:f>IF($K289="","",IFERROR('Game Records'!$A289,""))</x:f>
      </x:c>
      <x:c r="N289" s="989" t="str">
        <x:f>IF($K289="","",IFERROR('Game Records'!$U289,""))</x:f>
      </x:c>
      <x:c r="O289" s="989" t="str">
        <x:f>IF($K289="","",IF($P289="","No Highlighted Fields","Highlighted Fields Present"))</x:f>
      </x:c>
      <x:c r="P289" s="989" t="str">
        <x:f>IF($K289="","",IF('Game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Q289" s="989" t="str">
        <x:f>IF($K289="","",IFERROR('Game Records'!$M289,""))</x:f>
      </x:c>
    </x:row>
    <x:row r="290" ht="24" customHeight="1">
      <x:c r="A290" s="332"/>
      <x:c r="B290" s="332"/>
      <x:c r="C290" s="331"/>
      <x:c r="D290" s="331"/>
      <x:c r="E290" s="331"/>
      <x:c r="F290" s="331"/>
      <x:c r="G290" s="331"/>
      <x:c r="K290" s="989" t="str">
        <x:f>IF(OR(COUNTA('Game Records'!$A290:$M290)=0,'Game Records'!$U290="Subscription"),"",IFERROR(MAX($K$4:K289),0)+1)</x:f>
      </x:c>
      <x:c r="L290" s="989" t="str">
        <x:f>IF($K290="","","G-"&amp;TEXT($K290,"0000"))</x:f>
      </x:c>
      <x:c r="M290" s="989" t="str">
        <x:f>IF($K290="","",IFERROR('Game Records'!$A290,""))</x:f>
      </x:c>
      <x:c r="N290" s="989" t="str">
        <x:f>IF($K290="","",IFERROR('Game Records'!$U290,""))</x:f>
      </x:c>
      <x:c r="O290" s="989" t="str">
        <x:f>IF($K290="","",IF($P290="","No Highlighted Fields","Highlighted Fields Present"))</x:f>
      </x:c>
      <x:c r="P290" s="989" t="str">
        <x:f>IF($K290="","",IF('Game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Q290" s="989" t="str">
        <x:f>IF($K290="","",IFERROR('Game Records'!$M290,""))</x:f>
      </x:c>
    </x:row>
    <x:row r="291" ht="24" customHeight="1">
      <x:c r="A291" s="332"/>
      <x:c r="B291" s="332"/>
      <x:c r="C291" s="331"/>
      <x:c r="D291" s="331"/>
      <x:c r="E291" s="331"/>
      <x:c r="F291" s="331"/>
      <x:c r="G291" s="331"/>
      <x:c r="K291" s="989" t="str">
        <x:f>IF(OR(COUNTA('Game Records'!$A291:$M291)=0,'Game Records'!$U291="Subscription"),"",IFERROR(MAX($K$4:K290),0)+1)</x:f>
      </x:c>
      <x:c r="L291" s="989" t="str">
        <x:f>IF($K291="","","G-"&amp;TEXT($K291,"0000"))</x:f>
      </x:c>
      <x:c r="M291" s="989" t="str">
        <x:f>IF($K291="","",IFERROR('Game Records'!$A291,""))</x:f>
      </x:c>
      <x:c r="N291" s="989" t="str">
        <x:f>IF($K291="","",IFERROR('Game Records'!$U291,""))</x:f>
      </x:c>
      <x:c r="O291" s="989" t="str">
        <x:f>IF($K291="","",IF($P291="","No Highlighted Fields","Highlighted Fields Present"))</x:f>
      </x:c>
      <x:c r="P291" s="989" t="str">
        <x:f>IF($K291="","",IF('Game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Q291" s="989" t="str">
        <x:f>IF($K291="","",IFERROR('Game Records'!$M291,""))</x:f>
      </x:c>
    </x:row>
    <x:row r="292" ht="24" customHeight="1">
      <x:c r="A292" s="332"/>
      <x:c r="B292" s="332"/>
      <x:c r="C292" s="331"/>
      <x:c r="D292" s="331"/>
      <x:c r="E292" s="331"/>
      <x:c r="F292" s="331"/>
      <x:c r="G292" s="331"/>
      <x:c r="K292" s="989" t="str">
        <x:f>IF(OR(COUNTA('Game Records'!$A292:$M292)=0,'Game Records'!$U292="Subscription"),"",IFERROR(MAX($K$4:K291),0)+1)</x:f>
      </x:c>
      <x:c r="L292" s="989" t="str">
        <x:f>IF($K292="","","G-"&amp;TEXT($K292,"0000"))</x:f>
      </x:c>
      <x:c r="M292" s="989" t="str">
        <x:f>IF($K292="","",IFERROR('Game Records'!$A292,""))</x:f>
      </x:c>
      <x:c r="N292" s="989" t="str">
        <x:f>IF($K292="","",IFERROR('Game Records'!$U292,""))</x:f>
      </x:c>
      <x:c r="O292" s="989" t="str">
        <x:f>IF($K292="","",IF($P292="","No Highlighted Fields","Highlighted Fields Present"))</x:f>
      </x:c>
      <x:c r="P292" s="989" t="str">
        <x:f>IF($K292="","",IF('Game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Q292" s="989" t="str">
        <x:f>IF($K292="","",IFERROR('Game Records'!$M292,""))</x:f>
      </x:c>
    </x:row>
    <x:row r="293" ht="24" customHeight="1">
      <x:c r="A293" s="332"/>
      <x:c r="B293" s="332"/>
      <x:c r="C293" s="331"/>
      <x:c r="D293" s="331"/>
      <x:c r="E293" s="331"/>
      <x:c r="F293" s="331"/>
      <x:c r="G293" s="331"/>
      <x:c r="K293" s="989" t="str">
        <x:f>IF(OR(COUNTA('Game Records'!$A293:$M293)=0,'Game Records'!$U293="Subscription"),"",IFERROR(MAX($K$4:K292),0)+1)</x:f>
      </x:c>
      <x:c r="L293" s="989" t="str">
        <x:f>IF($K293="","","G-"&amp;TEXT($K293,"0000"))</x:f>
      </x:c>
      <x:c r="M293" s="989" t="str">
        <x:f>IF($K293="","",IFERROR('Game Records'!$A293,""))</x:f>
      </x:c>
      <x:c r="N293" s="989" t="str">
        <x:f>IF($K293="","",IFERROR('Game Records'!$U293,""))</x:f>
      </x:c>
      <x:c r="O293" s="989" t="str">
        <x:f>IF($K293="","",IF($P293="","No Highlighted Fields","Highlighted Fields Present"))</x:f>
      </x:c>
      <x:c r="P293" s="989" t="str">
        <x:f>IF($K293="","",IF('Game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Q293" s="989" t="str">
        <x:f>IF($K293="","",IFERROR('Game Records'!$M293,""))</x:f>
      </x:c>
    </x:row>
    <x:row r="294" ht="24" customHeight="1">
      <x:c r="A294" s="332"/>
      <x:c r="B294" s="332"/>
      <x:c r="C294" s="331"/>
      <x:c r="D294" s="331"/>
      <x:c r="E294" s="331"/>
      <x:c r="F294" s="331"/>
      <x:c r="G294" s="331"/>
      <x:c r="K294" s="989" t="str">
        <x:f>IF(OR(COUNTA('Game Records'!$A294:$M294)=0,'Game Records'!$U294="Subscription"),"",IFERROR(MAX($K$4:K293),0)+1)</x:f>
      </x:c>
      <x:c r="L294" s="989" t="str">
        <x:f>IF($K294="","","G-"&amp;TEXT($K294,"0000"))</x:f>
      </x:c>
      <x:c r="M294" s="989" t="str">
        <x:f>IF($K294="","",IFERROR('Game Records'!$A294,""))</x:f>
      </x:c>
      <x:c r="N294" s="989" t="str">
        <x:f>IF($K294="","",IFERROR('Game Records'!$U294,""))</x:f>
      </x:c>
      <x:c r="O294" s="989" t="str">
        <x:f>IF($K294="","",IF($P294="","No Highlighted Fields","Highlighted Fields Present"))</x:f>
      </x:c>
      <x:c r="P294" s="989" t="str">
        <x:f>IF($K294="","",IF('Game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Q294" s="989" t="str">
        <x:f>IF($K294="","",IFERROR('Game Records'!$M294,""))</x:f>
      </x:c>
    </x:row>
    <x:row r="295" ht="24" customHeight="1">
      <x:c r="A295" s="332"/>
      <x:c r="B295" s="332"/>
      <x:c r="C295" s="331"/>
      <x:c r="D295" s="331"/>
      <x:c r="E295" s="331"/>
      <x:c r="F295" s="331"/>
      <x:c r="G295" s="331"/>
      <x:c r="K295" s="989" t="str">
        <x:f>IF(OR(COUNTA('Game Records'!$A295:$M295)=0,'Game Records'!$U295="Subscription"),"",IFERROR(MAX($K$4:K294),0)+1)</x:f>
      </x:c>
      <x:c r="L295" s="989" t="str">
        <x:f>IF($K295="","","G-"&amp;TEXT($K295,"0000"))</x:f>
      </x:c>
      <x:c r="M295" s="989" t="str">
        <x:f>IF($K295="","",IFERROR('Game Records'!$A295,""))</x:f>
      </x:c>
      <x:c r="N295" s="989" t="str">
        <x:f>IF($K295="","",IFERROR('Game Records'!$U295,""))</x:f>
      </x:c>
      <x:c r="O295" s="989" t="str">
        <x:f>IF($K295="","",IF($P295="","No Highlighted Fields","Highlighted Fields Present"))</x:f>
      </x:c>
      <x:c r="P295" s="989" t="str">
        <x:f>IF($K295="","",IF('Game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Q295" s="989" t="str">
        <x:f>IF($K295="","",IFERROR('Game Records'!$M295,""))</x:f>
      </x:c>
    </x:row>
    <x:row r="296" ht="24" customHeight="1">
      <x:c r="A296" s="332"/>
      <x:c r="B296" s="332"/>
      <x:c r="C296" s="331"/>
      <x:c r="D296" s="331"/>
      <x:c r="E296" s="331"/>
      <x:c r="F296" s="331"/>
      <x:c r="G296" s="331"/>
      <x:c r="K296" s="989" t="str">
        <x:f>IF(OR(COUNTA('Game Records'!$A296:$M296)=0,'Game Records'!$U296="Subscription"),"",IFERROR(MAX($K$4:K295),0)+1)</x:f>
      </x:c>
      <x:c r="L296" s="989" t="str">
        <x:f>IF($K296="","","G-"&amp;TEXT($K296,"0000"))</x:f>
      </x:c>
      <x:c r="M296" s="989" t="str">
        <x:f>IF($K296="","",IFERROR('Game Records'!$A296,""))</x:f>
      </x:c>
      <x:c r="N296" s="989" t="str">
        <x:f>IF($K296="","",IFERROR('Game Records'!$U296,""))</x:f>
      </x:c>
      <x:c r="O296" s="989" t="str">
        <x:f>IF($K296="","",IF($P296="","No Highlighted Fields","Highlighted Fields Present"))</x:f>
      </x:c>
      <x:c r="P296" s="989" t="str">
        <x:f>IF($K296="","",IF('Game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Q296" s="989" t="str">
        <x:f>IF($K296="","",IFERROR('Game Records'!$M296,""))</x:f>
      </x:c>
    </x:row>
    <x:row r="297" ht="24" customHeight="1">
      <x:c r="A297" s="332"/>
      <x:c r="B297" s="332"/>
      <x:c r="C297" s="331"/>
      <x:c r="D297" s="331"/>
      <x:c r="E297" s="331"/>
      <x:c r="F297" s="331"/>
      <x:c r="G297" s="331"/>
      <x:c r="K297" s="989" t="str">
        <x:f>IF(OR(COUNTA('Game Records'!$A297:$M297)=0,'Game Records'!$U297="Subscription"),"",IFERROR(MAX($K$4:K296),0)+1)</x:f>
      </x:c>
      <x:c r="L297" s="989" t="str">
        <x:f>IF($K297="","","G-"&amp;TEXT($K297,"0000"))</x:f>
      </x:c>
      <x:c r="M297" s="989" t="str">
        <x:f>IF($K297="","",IFERROR('Game Records'!$A297,""))</x:f>
      </x:c>
      <x:c r="N297" s="989" t="str">
        <x:f>IF($K297="","",IFERROR('Game Records'!$U297,""))</x:f>
      </x:c>
      <x:c r="O297" s="989" t="str">
        <x:f>IF($K297="","",IF($P297="","No Highlighted Fields","Highlighted Fields Present"))</x:f>
      </x:c>
      <x:c r="P297" s="989" t="str">
        <x:f>IF($K297="","",IF('Game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Q297" s="989" t="str">
        <x:f>IF($K297="","",IFERROR('Game Records'!$M297,""))</x:f>
      </x:c>
    </x:row>
    <x:row r="298" ht="24" customHeight="1">
      <x:c r="A298" s="332"/>
      <x:c r="B298" s="332"/>
      <x:c r="C298" s="331"/>
      <x:c r="D298" s="331"/>
      <x:c r="E298" s="331"/>
      <x:c r="F298" s="331"/>
      <x:c r="G298" s="331"/>
      <x:c r="K298" s="989" t="str">
        <x:f>IF(OR(COUNTA('Game Records'!$A298:$M298)=0,'Game Records'!$U298="Subscription"),"",IFERROR(MAX($K$4:K297),0)+1)</x:f>
      </x:c>
      <x:c r="L298" s="989" t="str">
        <x:f>IF($K298="","","G-"&amp;TEXT($K298,"0000"))</x:f>
      </x:c>
      <x:c r="M298" s="989" t="str">
        <x:f>IF($K298="","",IFERROR('Game Records'!$A298,""))</x:f>
      </x:c>
      <x:c r="N298" s="989" t="str">
        <x:f>IF($K298="","",IFERROR('Game Records'!$U298,""))</x:f>
      </x:c>
      <x:c r="O298" s="989" t="str">
        <x:f>IF($K298="","",IF($P298="","No Highlighted Fields","Highlighted Fields Present"))</x:f>
      </x:c>
      <x:c r="P298" s="989" t="str">
        <x:f>IF($K298="","",IF('Game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Q298" s="989" t="str">
        <x:f>IF($K298="","",IFERROR('Game Records'!$M298,""))</x:f>
      </x:c>
    </x:row>
    <x:row r="299" ht="24" customHeight="1">
      <x:c r="A299" s="332"/>
      <x:c r="B299" s="332"/>
      <x:c r="C299" s="331"/>
      <x:c r="D299" s="331"/>
      <x:c r="E299" s="331"/>
      <x:c r="F299" s="331"/>
      <x:c r="G299" s="331"/>
      <x:c r="K299" s="989" t="str">
        <x:f>IF(OR(COUNTA('Game Records'!$A299:$M299)=0,'Game Records'!$U299="Subscription"),"",IFERROR(MAX($K$4:K298),0)+1)</x:f>
      </x:c>
      <x:c r="L299" s="989" t="str">
        <x:f>IF($K299="","","G-"&amp;TEXT($K299,"0000"))</x:f>
      </x:c>
      <x:c r="M299" s="989" t="str">
        <x:f>IF($K299="","",IFERROR('Game Records'!$A299,""))</x:f>
      </x:c>
      <x:c r="N299" s="989" t="str">
        <x:f>IF($K299="","",IFERROR('Game Records'!$U299,""))</x:f>
      </x:c>
      <x:c r="O299" s="989" t="str">
        <x:f>IF($K299="","",IF($P299="","No Highlighted Fields","Highlighted Fields Present"))</x:f>
      </x:c>
      <x:c r="P299" s="989" t="str">
        <x:f>IF($K299="","",IF('Game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Q299" s="989" t="str">
        <x:f>IF($K299="","",IFERROR('Game Records'!$M299,""))</x:f>
      </x:c>
    </x:row>
    <x:row r="300" ht="24" customHeight="1">
      <x:c r="A300" s="332"/>
      <x:c r="B300" s="332"/>
      <x:c r="C300" s="331"/>
      <x:c r="D300" s="331"/>
      <x:c r="E300" s="331"/>
      <x:c r="F300" s="331"/>
      <x:c r="G300" s="331"/>
      <x:c r="K300" s="989" t="str">
        <x:f>IF(OR(COUNTA('Game Records'!$A300:$M300)=0,'Game Records'!$U300="Subscription"),"",IFERROR(MAX($K$4:K299),0)+1)</x:f>
      </x:c>
      <x:c r="L300" s="989" t="str">
        <x:f>IF($K300="","","G-"&amp;TEXT($K300,"0000"))</x:f>
      </x:c>
      <x:c r="M300" s="989" t="str">
        <x:f>IF($K300="","",IFERROR('Game Records'!$A300,""))</x:f>
      </x:c>
      <x:c r="N300" s="989" t="str">
        <x:f>IF($K300="","",IFERROR('Game Records'!$U300,""))</x:f>
      </x:c>
      <x:c r="O300" s="989" t="str">
        <x:f>IF($K300="","",IF($P300="","No Highlighted Fields","Highlighted Fields Present"))</x:f>
      </x:c>
      <x:c r="P300" s="989" t="str">
        <x:f>IF($K300="","",IF('Game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Q300" s="989" t="str">
        <x:f>IF($K300="","",IFERROR('Game Records'!$M300,""))</x:f>
      </x:c>
    </x:row>
    <x:row r="301" ht="24" customHeight="1">
      <x:c r="A301" s="332"/>
      <x:c r="B301" s="332"/>
      <x:c r="C301" s="331"/>
      <x:c r="D301" s="331"/>
      <x:c r="E301" s="331"/>
      <x:c r="F301" s="331"/>
      <x:c r="G301" s="331"/>
      <x:c r="K301" s="989" t="str">
        <x:f>IF(OR(COUNTA('Game Records'!$A301:$M301)=0,'Game Records'!$U301="Subscription"),"",IFERROR(MAX($K$4:K300),0)+1)</x:f>
      </x:c>
      <x:c r="L301" s="989" t="str">
        <x:f>IF($K301="","","G-"&amp;TEXT($K301,"0000"))</x:f>
      </x:c>
      <x:c r="M301" s="989" t="str">
        <x:f>IF($K301="","",IFERROR('Game Records'!$A301,""))</x:f>
      </x:c>
      <x:c r="N301" s="989" t="str">
        <x:f>IF($K301="","",IFERROR('Game Records'!$U301,""))</x:f>
      </x:c>
      <x:c r="O301" s="989" t="str">
        <x:f>IF($K301="","",IF($P301="","No Highlighted Fields","Highlighted Fields Present"))</x:f>
      </x:c>
      <x:c r="P301" s="989" t="str">
        <x:f>IF($K301="","",IF('Game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Q301" s="989" t="str">
        <x:f>IF($K301="","",IFERROR('Game Records'!$M301,""))</x:f>
      </x:c>
    </x:row>
    <x:row r="302" ht="24" customHeight="1">
      <x:c r="A302" s="332"/>
      <x:c r="B302" s="332"/>
      <x:c r="C302" s="331"/>
      <x:c r="D302" s="331"/>
      <x:c r="E302" s="331"/>
      <x:c r="F302" s="331"/>
      <x:c r="G302" s="331"/>
      <x:c r="K302" s="989" t="str">
        <x:f>IF(OR(COUNTA('Game Records'!$A302:$M302)=0,'Game Records'!$U302="Subscription"),"",IFERROR(MAX($K$4:K301),0)+1)</x:f>
      </x:c>
      <x:c r="L302" s="989" t="str">
        <x:f>IF($K302="","","G-"&amp;TEXT($K302,"0000"))</x:f>
      </x:c>
      <x:c r="M302" s="989" t="str">
        <x:f>IF($K302="","",IFERROR('Game Records'!$A302,""))</x:f>
      </x:c>
      <x:c r="N302" s="989" t="str">
        <x:f>IF($K302="","",IFERROR('Game Records'!$U302,""))</x:f>
      </x:c>
      <x:c r="O302" s="989" t="str">
        <x:f>IF($K302="","",IF($P302="","No Highlighted Fields","Highlighted Fields Present"))</x:f>
      </x:c>
      <x:c r="P302" s="989" t="str">
        <x:f>IF($K302="","",IF('Game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Q302" s="989" t="str">
        <x:f>IF($K302="","",IFERROR('Game Records'!$M302,""))</x:f>
      </x:c>
    </x:row>
    <x:row r="303" ht="24" customHeight="1">
      <x:c r="A303" s="332"/>
      <x:c r="B303" s="332"/>
      <x:c r="C303" s="331"/>
      <x:c r="D303" s="331"/>
      <x:c r="E303" s="331"/>
      <x:c r="F303" s="331"/>
      <x:c r="G303" s="331"/>
      <x:c r="K303" s="989" t="str">
        <x:f>IF(OR(COUNTA('Game Records'!$A303:$M303)=0,'Game Records'!$U303="Subscription"),"",IFERROR(MAX($K$4:K302),0)+1)</x:f>
      </x:c>
      <x:c r="L303" s="989" t="str">
        <x:f>IF($K303="","","G-"&amp;TEXT($K303,"0000"))</x:f>
      </x:c>
      <x:c r="M303" s="989" t="str">
        <x:f>IF($K303="","",IFERROR('Game Records'!$A303,""))</x:f>
      </x:c>
      <x:c r="N303" s="989" t="str">
        <x:f>IF($K303="","",IFERROR('Game Records'!$U303,""))</x:f>
      </x:c>
      <x:c r="O303" s="989" t="str">
        <x:f>IF($K303="","",IF($P303="","No Highlighted Fields","Highlighted Fields Present"))</x:f>
      </x:c>
      <x:c r="P303" s="989" t="str">
        <x:f>IF($K303="","",IF('Game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Q303" s="989" t="str">
        <x:f>IF($K303="","",IFERROR('Game Records'!$M303,""))</x:f>
      </x:c>
    </x:row>
    <x:row r="304" ht="24" customHeight="1">
      <x:c r="A304" s="332"/>
      <x:c r="B304" s="332"/>
      <x:c r="C304" s="331"/>
      <x:c r="D304" s="331"/>
      <x:c r="E304" s="331"/>
      <x:c r="F304" s="331"/>
      <x:c r="G304" s="331"/>
      <x:c r="K304" s="989" t="str">
        <x:f>IF(OR(COUNTA('Game Records'!$A304:$M304)=0,'Game Records'!$U304="Subscription"),"",IFERROR(MAX($K$4:K303),0)+1)</x:f>
      </x:c>
      <x:c r="L304" s="989" t="str">
        <x:f>IF($K304="","","G-"&amp;TEXT($K304,"0000"))</x:f>
      </x:c>
      <x:c r="M304" s="989" t="str">
        <x:f>IF($K304="","",IFERROR('Game Records'!$A304,""))</x:f>
      </x:c>
      <x:c r="N304" s="989" t="str">
        <x:f>IF($K304="","",IFERROR('Game Records'!$U304,""))</x:f>
      </x:c>
      <x:c r="O304" s="989" t="str">
        <x:f>IF($K304="","",IF($P304="","No Highlighted Fields","Highlighted Fields Present"))</x:f>
      </x:c>
      <x:c r="P304" s="989" t="str">
        <x:f>IF($K304="","",IF('Game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Q304" s="989" t="str">
        <x:f>IF($K304="","",IFERROR('Game Records'!$M304,""))</x:f>
      </x:c>
    </x:row>
    <x:row r="305" ht="24" customHeight="1">
      <x:c r="A305" s="332"/>
      <x:c r="B305" s="332"/>
      <x:c r="C305" s="331"/>
      <x:c r="D305" s="331"/>
      <x:c r="E305" s="331"/>
      <x:c r="F305" s="331"/>
      <x:c r="G305" s="331"/>
      <x:c r="K305" s="989" t="str">
        <x:f>IF(OR(COUNTA('Game Records'!$A305:$M305)=0,'Game Records'!$U305="Subscription"),"",IFERROR(MAX($K$4:K304),0)+1)</x:f>
      </x:c>
      <x:c r="L305" s="989" t="str">
        <x:f>IF($K305="","","G-"&amp;TEXT($K305,"0000"))</x:f>
      </x:c>
      <x:c r="M305" s="989" t="str">
        <x:f>IF($K305="","",IFERROR('Game Records'!$A305,""))</x:f>
      </x:c>
      <x:c r="N305" s="989" t="str">
        <x:f>IF($K305="","",IFERROR('Game Records'!$U305,""))</x:f>
      </x:c>
      <x:c r="O305" s="989" t="str">
        <x:f>IF($K305="","",IF($P305="","No Highlighted Fields","Highlighted Fields Present"))</x:f>
      </x:c>
      <x:c r="P305" s="989" t="str">
        <x:f>IF($K305="","",IF('Game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Q305" s="989" t="str">
        <x:f>IF($K305="","",IFERROR('Game Records'!$M305,""))</x:f>
      </x:c>
    </x:row>
    <x:row r="306" ht="24" customHeight="1">
      <x:c r="A306" s="332"/>
      <x:c r="B306" s="332"/>
      <x:c r="C306" s="331"/>
      <x:c r="D306" s="331"/>
      <x:c r="E306" s="331"/>
      <x:c r="F306" s="331"/>
      <x:c r="G306" s="331"/>
      <x:c r="K306" s="989" t="str">
        <x:f>IF(OR(COUNTA('Game Records'!$A306:$M306)=0,'Game Records'!$U306="Subscription"),"",IFERROR(MAX($K$4:K305),0)+1)</x:f>
      </x:c>
      <x:c r="L306" s="989" t="str">
        <x:f>IF($K306="","","G-"&amp;TEXT($K306,"0000"))</x:f>
      </x:c>
      <x:c r="M306" s="989" t="str">
        <x:f>IF($K306="","",IFERROR('Game Records'!$A306,""))</x:f>
      </x:c>
      <x:c r="N306" s="989" t="str">
        <x:f>IF($K306="","",IFERROR('Game Records'!$U306,""))</x:f>
      </x:c>
      <x:c r="O306" s="989" t="str">
        <x:f>IF($K306="","",IF($P306="","No Highlighted Fields","Highlighted Fields Present"))</x:f>
      </x:c>
      <x:c r="P306" s="989" t="str">
        <x:f>IF($K306="","",IF('Game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Q306" s="989" t="str">
        <x:f>IF($K306="","",IFERROR('Game Records'!$M306,""))</x:f>
      </x:c>
    </x:row>
    <x:row r="307" ht="24" customHeight="1">
      <x:c r="A307" s="332"/>
      <x:c r="B307" s="332"/>
      <x:c r="C307" s="331"/>
      <x:c r="D307" s="331"/>
      <x:c r="E307" s="331"/>
      <x:c r="F307" s="331"/>
      <x:c r="G307" s="331"/>
      <x:c r="K307" s="989" t="str">
        <x:f>IF(OR(COUNTA('Game Records'!$A307:$M307)=0,'Game Records'!$U307="Subscription"),"",IFERROR(MAX($K$4:K306),0)+1)</x:f>
      </x:c>
      <x:c r="L307" s="989" t="str">
        <x:f>IF($K307="","","G-"&amp;TEXT($K307,"0000"))</x:f>
      </x:c>
      <x:c r="M307" s="989" t="str">
        <x:f>IF($K307="","",IFERROR('Game Records'!$A307,""))</x:f>
      </x:c>
      <x:c r="N307" s="989" t="str">
        <x:f>IF($K307="","",IFERROR('Game Records'!$U307,""))</x:f>
      </x:c>
      <x:c r="O307" s="989" t="str">
        <x:f>IF($K307="","",IF($P307="","No Highlighted Fields","Highlighted Fields Present"))</x:f>
      </x:c>
      <x:c r="P307" s="989" t="str">
        <x:f>IF($K307="","",IF('Game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Q307" s="989" t="str">
        <x:f>IF($K307="","",IFERROR('Game Records'!$M307,""))</x:f>
      </x:c>
    </x:row>
    <x:row r="308" ht="24" customHeight="1">
      <x:c r="A308" s="332"/>
      <x:c r="B308" s="332"/>
      <x:c r="C308" s="331"/>
      <x:c r="D308" s="331"/>
      <x:c r="E308" s="331"/>
      <x:c r="F308" s="331"/>
      <x:c r="G308" s="331"/>
      <x:c r="K308" s="989" t="str">
        <x:f>IF(OR(COUNTA('Game Records'!$A308:$M308)=0,'Game Records'!$U308="Subscription"),"",IFERROR(MAX($K$4:K307),0)+1)</x:f>
      </x:c>
      <x:c r="L308" s="989" t="str">
        <x:f>IF($K308="","","G-"&amp;TEXT($K308,"0000"))</x:f>
      </x:c>
      <x:c r="M308" s="989" t="str">
        <x:f>IF($K308="","",IFERROR('Game Records'!$A308,""))</x:f>
      </x:c>
      <x:c r="N308" s="989" t="str">
        <x:f>IF($K308="","",IFERROR('Game Records'!$U308,""))</x:f>
      </x:c>
      <x:c r="O308" s="989" t="str">
        <x:f>IF($K308="","",IF($P308="","No Highlighted Fields","Highlighted Fields Present"))</x:f>
      </x:c>
      <x:c r="P308" s="989" t="str">
        <x:f>IF($K308="","",IF('Game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Q308" s="989" t="str">
        <x:f>IF($K308="","",IFERROR('Game Records'!$M308,""))</x:f>
      </x:c>
    </x:row>
    <x:row r="309" ht="24" customHeight="1">
      <x:c r="A309" s="332"/>
      <x:c r="B309" s="332"/>
      <x:c r="C309" s="331"/>
      <x:c r="D309" s="331"/>
      <x:c r="E309" s="331"/>
      <x:c r="F309" s="331"/>
      <x:c r="G309" s="331"/>
      <x:c r="K309" s="989" t="str">
        <x:f>IF(OR(COUNTA('Game Records'!$A309:$M309)=0,'Game Records'!$U309="Subscription"),"",IFERROR(MAX($K$4:K308),0)+1)</x:f>
      </x:c>
      <x:c r="L309" s="989" t="str">
        <x:f>IF($K309="","","G-"&amp;TEXT($K309,"0000"))</x:f>
      </x:c>
      <x:c r="M309" s="989" t="str">
        <x:f>IF($K309="","",IFERROR('Game Records'!$A309,""))</x:f>
      </x:c>
      <x:c r="N309" s="989" t="str">
        <x:f>IF($K309="","",IFERROR('Game Records'!$U309,""))</x:f>
      </x:c>
      <x:c r="O309" s="989" t="str">
        <x:f>IF($K309="","",IF($P309="","No Highlighted Fields","Highlighted Fields Present"))</x:f>
      </x:c>
      <x:c r="P309" s="989" t="str">
        <x:f>IF($K309="","",IF('Game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Q309" s="989" t="str">
        <x:f>IF($K309="","",IFERROR('Game Records'!$M309,""))</x:f>
      </x:c>
    </x:row>
    <x:row r="310" ht="24" customHeight="1">
      <x:c r="A310" s="332"/>
      <x:c r="B310" s="332"/>
      <x:c r="C310" s="331"/>
      <x:c r="D310" s="331"/>
      <x:c r="E310" s="331"/>
      <x:c r="F310" s="331"/>
      <x:c r="G310" s="331"/>
      <x:c r="K310" s="989" t="str">
        <x:f>IF(OR(COUNTA('Game Records'!$A310:$M310)=0,'Game Records'!$U310="Subscription"),"",IFERROR(MAX($K$4:K309),0)+1)</x:f>
      </x:c>
      <x:c r="L310" s="989" t="str">
        <x:f>IF($K310="","","G-"&amp;TEXT($K310,"0000"))</x:f>
      </x:c>
      <x:c r="M310" s="989" t="str">
        <x:f>IF($K310="","",IFERROR('Game Records'!$A310,""))</x:f>
      </x:c>
      <x:c r="N310" s="989" t="str">
        <x:f>IF($K310="","",IFERROR('Game Records'!$U310,""))</x:f>
      </x:c>
      <x:c r="O310" s="989" t="str">
        <x:f>IF($K310="","",IF($P310="","No Highlighted Fields","Highlighted Fields Present"))</x:f>
      </x:c>
      <x:c r="P310" s="989" t="str">
        <x:f>IF($K310="","",IF('Game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Q310" s="989" t="str">
        <x:f>IF($K310="","",IFERROR('Game Records'!$M310,""))</x:f>
      </x:c>
    </x:row>
    <x:row r="311" ht="24" customHeight="1">
      <x:c r="A311" s="332"/>
      <x:c r="B311" s="332"/>
      <x:c r="C311" s="331"/>
      <x:c r="D311" s="331"/>
      <x:c r="E311" s="331"/>
      <x:c r="F311" s="331"/>
      <x:c r="G311" s="331"/>
      <x:c r="K311" s="989" t="str">
        <x:f>IF(OR(COUNTA('Game Records'!$A311:$M311)=0,'Game Records'!$U311="Subscription"),"",IFERROR(MAX($K$4:K310),0)+1)</x:f>
      </x:c>
      <x:c r="L311" s="989" t="str">
        <x:f>IF($K311="","","G-"&amp;TEXT($K311,"0000"))</x:f>
      </x:c>
      <x:c r="M311" s="989" t="str">
        <x:f>IF($K311="","",IFERROR('Game Records'!$A311,""))</x:f>
      </x:c>
      <x:c r="N311" s="989" t="str">
        <x:f>IF($K311="","",IFERROR('Game Records'!$U311,""))</x:f>
      </x:c>
      <x:c r="O311" s="989" t="str">
        <x:f>IF($K311="","",IF($P311="","No Highlighted Fields","Highlighted Fields Present"))</x:f>
      </x:c>
      <x:c r="P311" s="989" t="str">
        <x:f>IF($K311="","",IF('Game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Q311" s="989" t="str">
        <x:f>IF($K311="","",IFERROR('Game Records'!$M311,""))</x:f>
      </x:c>
    </x:row>
    <x:row r="312" ht="24" customHeight="1">
      <x:c r="A312" s="332"/>
      <x:c r="B312" s="332"/>
      <x:c r="C312" s="331"/>
      <x:c r="D312" s="331"/>
      <x:c r="E312" s="331"/>
      <x:c r="F312" s="331"/>
      <x:c r="G312" s="331"/>
      <x:c r="K312" s="989" t="str">
        <x:f>IF(OR(COUNTA('Game Records'!$A312:$M312)=0,'Game Records'!$U312="Subscription"),"",IFERROR(MAX($K$4:K311),0)+1)</x:f>
      </x:c>
      <x:c r="L312" s="989" t="str">
        <x:f>IF($K312="","","G-"&amp;TEXT($K312,"0000"))</x:f>
      </x:c>
      <x:c r="M312" s="989" t="str">
        <x:f>IF($K312="","",IFERROR('Game Records'!$A312,""))</x:f>
      </x:c>
      <x:c r="N312" s="989" t="str">
        <x:f>IF($K312="","",IFERROR('Game Records'!$U312,""))</x:f>
      </x:c>
      <x:c r="O312" s="989" t="str">
        <x:f>IF($K312="","",IF($P312="","No Highlighted Fields","Highlighted Fields Present"))</x:f>
      </x:c>
      <x:c r="P312" s="989" t="str">
        <x:f>IF($K312="","",IF('Game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Q312" s="989" t="str">
        <x:f>IF($K312="","",IFERROR('Game Records'!$M312,""))</x:f>
      </x:c>
    </x:row>
    <x:row r="313" ht="24" customHeight="1">
      <x:c r="A313" s="332"/>
      <x:c r="B313" s="332"/>
      <x:c r="C313" s="331"/>
      <x:c r="D313" s="331"/>
      <x:c r="E313" s="331"/>
      <x:c r="F313" s="331"/>
      <x:c r="G313" s="331"/>
      <x:c r="K313" s="989" t="str">
        <x:f>IF(OR(COUNTA('Game Records'!$A313:$M313)=0,'Game Records'!$U313="Subscription"),"",IFERROR(MAX($K$4:K312),0)+1)</x:f>
      </x:c>
      <x:c r="L313" s="989" t="str">
        <x:f>IF($K313="","","G-"&amp;TEXT($K313,"0000"))</x:f>
      </x:c>
      <x:c r="M313" s="989" t="str">
        <x:f>IF($K313="","",IFERROR('Game Records'!$A313,""))</x:f>
      </x:c>
      <x:c r="N313" s="989" t="str">
        <x:f>IF($K313="","",IFERROR('Game Records'!$U313,""))</x:f>
      </x:c>
      <x:c r="O313" s="989" t="str">
        <x:f>IF($K313="","",IF($P313="","No Highlighted Fields","Highlighted Fields Present"))</x:f>
      </x:c>
      <x:c r="P313" s="989" t="str">
        <x:f>IF($K313="","",IF('Game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Q313" s="989" t="str">
        <x:f>IF($K313="","",IFERROR('Game Records'!$M313,""))</x:f>
      </x:c>
    </x:row>
    <x:row r="314" ht="24" customHeight="1">
      <x:c r="A314" s="332"/>
      <x:c r="B314" s="332"/>
      <x:c r="C314" s="331"/>
      <x:c r="D314" s="331"/>
      <x:c r="E314" s="331"/>
      <x:c r="F314" s="331"/>
      <x:c r="G314" s="331"/>
      <x:c r="K314" s="989" t="str">
        <x:f>IF(OR(COUNTA('Game Records'!$A314:$M314)=0,'Game Records'!$U314="Subscription"),"",IFERROR(MAX($K$4:K313),0)+1)</x:f>
      </x:c>
      <x:c r="L314" s="989" t="str">
        <x:f>IF($K314="","","G-"&amp;TEXT($K314,"0000"))</x:f>
      </x:c>
      <x:c r="M314" s="989" t="str">
        <x:f>IF($K314="","",IFERROR('Game Records'!$A314,""))</x:f>
      </x:c>
      <x:c r="N314" s="989" t="str">
        <x:f>IF($K314="","",IFERROR('Game Records'!$U314,""))</x:f>
      </x:c>
      <x:c r="O314" s="989" t="str">
        <x:f>IF($K314="","",IF($P314="","No Highlighted Fields","Highlighted Fields Present"))</x:f>
      </x:c>
      <x:c r="P314" s="989" t="str">
        <x:f>IF($K314="","",IF('Game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Q314" s="989" t="str">
        <x:f>IF($K314="","",IFERROR('Game Records'!$M314,""))</x:f>
      </x:c>
    </x:row>
    <x:row r="315" ht="24" customHeight="1">
      <x:c r="A315" s="332"/>
      <x:c r="B315" s="332"/>
      <x:c r="C315" s="331"/>
      <x:c r="D315" s="331"/>
      <x:c r="E315" s="331"/>
      <x:c r="F315" s="331"/>
      <x:c r="G315" s="331"/>
      <x:c r="K315" s="989" t="str">
        <x:f>IF(OR(COUNTA('Game Records'!$A315:$M315)=0,'Game Records'!$U315="Subscription"),"",IFERROR(MAX($K$4:K314),0)+1)</x:f>
      </x:c>
      <x:c r="L315" s="989" t="str">
        <x:f>IF($K315="","","G-"&amp;TEXT($K315,"0000"))</x:f>
      </x:c>
      <x:c r="M315" s="989" t="str">
        <x:f>IF($K315="","",IFERROR('Game Records'!$A315,""))</x:f>
      </x:c>
      <x:c r="N315" s="989" t="str">
        <x:f>IF($K315="","",IFERROR('Game Records'!$U315,""))</x:f>
      </x:c>
      <x:c r="O315" s="989" t="str">
        <x:f>IF($K315="","",IF($P315="","No Highlighted Fields","Highlighted Fields Present"))</x:f>
      </x:c>
      <x:c r="P315" s="989" t="str">
        <x:f>IF($K315="","",IF('Game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Q315" s="989" t="str">
        <x:f>IF($K315="","",IFERROR('Game Records'!$M315,""))</x:f>
      </x:c>
    </x:row>
    <x:row r="316" ht="24" customHeight="1">
      <x:c r="A316" s="332"/>
      <x:c r="B316" s="332"/>
      <x:c r="C316" s="331"/>
      <x:c r="D316" s="331"/>
      <x:c r="E316" s="331"/>
      <x:c r="F316" s="331"/>
      <x:c r="G316" s="331"/>
      <x:c r="K316" s="989" t="str">
        <x:f>IF(OR(COUNTA('Game Records'!$A316:$M316)=0,'Game Records'!$U316="Subscription"),"",IFERROR(MAX($K$4:K315),0)+1)</x:f>
      </x:c>
      <x:c r="L316" s="989" t="str">
        <x:f>IF($K316="","","G-"&amp;TEXT($K316,"0000"))</x:f>
      </x:c>
      <x:c r="M316" s="989" t="str">
        <x:f>IF($K316="","",IFERROR('Game Records'!$A316,""))</x:f>
      </x:c>
      <x:c r="N316" s="989" t="str">
        <x:f>IF($K316="","",IFERROR('Game Records'!$U316,""))</x:f>
      </x:c>
      <x:c r="O316" s="989" t="str">
        <x:f>IF($K316="","",IF($P316="","No Highlighted Fields","Highlighted Fields Present"))</x:f>
      </x:c>
      <x:c r="P316" s="989" t="str">
        <x:f>IF($K316="","",IF('Game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Q316" s="989" t="str">
        <x:f>IF($K316="","",IFERROR('Game Records'!$M316,""))</x:f>
      </x:c>
    </x:row>
    <x:row r="317" ht="24" customHeight="1">
      <x:c r="A317" s="332"/>
      <x:c r="B317" s="332"/>
      <x:c r="C317" s="331"/>
      <x:c r="D317" s="331"/>
      <x:c r="E317" s="331"/>
      <x:c r="F317" s="331"/>
      <x:c r="G317" s="331"/>
      <x:c r="K317" s="989" t="str">
        <x:f>IF(OR(COUNTA('Game Records'!$A317:$M317)=0,'Game Records'!$U317="Subscription"),"",IFERROR(MAX($K$4:K316),0)+1)</x:f>
      </x:c>
      <x:c r="L317" s="989" t="str">
        <x:f>IF($K317="","","G-"&amp;TEXT($K317,"0000"))</x:f>
      </x:c>
      <x:c r="M317" s="989" t="str">
        <x:f>IF($K317="","",IFERROR('Game Records'!$A317,""))</x:f>
      </x:c>
      <x:c r="N317" s="989" t="str">
        <x:f>IF($K317="","",IFERROR('Game Records'!$U317,""))</x:f>
      </x:c>
      <x:c r="O317" s="989" t="str">
        <x:f>IF($K317="","",IF($P317="","No Highlighted Fields","Highlighted Fields Present"))</x:f>
      </x:c>
      <x:c r="P317" s="989" t="str">
        <x:f>IF($K317="","",IF('Game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Q317" s="989" t="str">
        <x:f>IF($K317="","",IFERROR('Game Records'!$M317,""))</x:f>
      </x:c>
    </x:row>
    <x:row r="318" ht="24" customHeight="1">
      <x:c r="A318" s="332"/>
      <x:c r="B318" s="332"/>
      <x:c r="C318" s="331"/>
      <x:c r="D318" s="331"/>
      <x:c r="E318" s="331"/>
      <x:c r="F318" s="331"/>
      <x:c r="G318" s="331"/>
      <x:c r="K318" s="989" t="str">
        <x:f>IF(OR(COUNTA('Game Records'!$A318:$M318)=0,'Game Records'!$U318="Subscription"),"",IFERROR(MAX($K$4:K317),0)+1)</x:f>
      </x:c>
      <x:c r="L318" s="989" t="str">
        <x:f>IF($K318="","","G-"&amp;TEXT($K318,"0000"))</x:f>
      </x:c>
      <x:c r="M318" s="989" t="str">
        <x:f>IF($K318="","",IFERROR('Game Records'!$A318,""))</x:f>
      </x:c>
      <x:c r="N318" s="989" t="str">
        <x:f>IF($K318="","",IFERROR('Game Records'!$U318,""))</x:f>
      </x:c>
      <x:c r="O318" s="989" t="str">
        <x:f>IF($K318="","",IF($P318="","No Highlighted Fields","Highlighted Fields Present"))</x:f>
      </x:c>
      <x:c r="P318" s="989" t="str">
        <x:f>IF($K318="","",IF('Game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Q318" s="989" t="str">
        <x:f>IF($K318="","",IFERROR('Game Records'!$M318,""))</x:f>
      </x:c>
    </x:row>
    <x:row r="319" ht="24" customHeight="1">
      <x:c r="A319" s="332"/>
      <x:c r="B319" s="332"/>
      <x:c r="C319" s="331"/>
      <x:c r="D319" s="331"/>
      <x:c r="E319" s="331"/>
      <x:c r="F319" s="331"/>
      <x:c r="G319" s="331"/>
      <x:c r="K319" s="989" t="str">
        <x:f>IF(OR(COUNTA('Game Records'!$A319:$M319)=0,'Game Records'!$U319="Subscription"),"",IFERROR(MAX($K$4:K318),0)+1)</x:f>
      </x:c>
      <x:c r="L319" s="989" t="str">
        <x:f>IF($K319="","","G-"&amp;TEXT($K319,"0000"))</x:f>
      </x:c>
      <x:c r="M319" s="989" t="str">
        <x:f>IF($K319="","",IFERROR('Game Records'!$A319,""))</x:f>
      </x:c>
      <x:c r="N319" s="989" t="str">
        <x:f>IF($K319="","",IFERROR('Game Records'!$U319,""))</x:f>
      </x:c>
      <x:c r="O319" s="989" t="str">
        <x:f>IF($K319="","",IF($P319="","No Highlighted Fields","Highlighted Fields Present"))</x:f>
      </x:c>
      <x:c r="P319" s="989" t="str">
        <x:f>IF($K319="","",IF('Game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Q319" s="989" t="str">
        <x:f>IF($K319="","",IFERROR('Game Records'!$M319,""))</x:f>
      </x:c>
    </x:row>
    <x:row r="320" ht="24" customHeight="1">
      <x:c r="A320" s="332"/>
      <x:c r="B320" s="332"/>
      <x:c r="C320" s="331"/>
      <x:c r="D320" s="331"/>
      <x:c r="E320" s="331"/>
      <x:c r="F320" s="331"/>
      <x:c r="G320" s="331"/>
      <x:c r="K320" s="989" t="str">
        <x:f>IF(OR(COUNTA('Game Records'!$A320:$M320)=0,'Game Records'!$U320="Subscription"),"",IFERROR(MAX($K$4:K319),0)+1)</x:f>
      </x:c>
      <x:c r="L320" s="989" t="str">
        <x:f>IF($K320="","","G-"&amp;TEXT($K320,"0000"))</x:f>
      </x:c>
      <x:c r="M320" s="989" t="str">
        <x:f>IF($K320="","",IFERROR('Game Records'!$A320,""))</x:f>
      </x:c>
      <x:c r="N320" s="989" t="str">
        <x:f>IF($K320="","",IFERROR('Game Records'!$U320,""))</x:f>
      </x:c>
      <x:c r="O320" s="989" t="str">
        <x:f>IF($K320="","",IF($P320="","No Highlighted Fields","Highlighted Fields Present"))</x:f>
      </x:c>
      <x:c r="P320" s="989" t="str">
        <x:f>IF($K320="","",IF('Game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Q320" s="989" t="str">
        <x:f>IF($K320="","",IFERROR('Game Records'!$M320,""))</x:f>
      </x:c>
    </x:row>
    <x:row r="321" ht="24" customHeight="1">
      <x:c r="A321" s="332"/>
      <x:c r="B321" s="332"/>
      <x:c r="C321" s="331"/>
      <x:c r="D321" s="331"/>
      <x:c r="E321" s="331"/>
      <x:c r="F321" s="331"/>
      <x:c r="G321" s="331"/>
      <x:c r="K321" s="989" t="str">
        <x:f>IF(OR(COUNTA('Game Records'!$A321:$M321)=0,'Game Records'!$U321="Subscription"),"",IFERROR(MAX($K$4:K320),0)+1)</x:f>
      </x:c>
      <x:c r="L321" s="989" t="str">
        <x:f>IF($K321="","","G-"&amp;TEXT($K321,"0000"))</x:f>
      </x:c>
      <x:c r="M321" s="989" t="str">
        <x:f>IF($K321="","",IFERROR('Game Records'!$A321,""))</x:f>
      </x:c>
      <x:c r="N321" s="989" t="str">
        <x:f>IF($K321="","",IFERROR('Game Records'!$U321,""))</x:f>
      </x:c>
      <x:c r="O321" s="989" t="str">
        <x:f>IF($K321="","",IF($P321="","No Highlighted Fields","Highlighted Fields Present"))</x:f>
      </x:c>
      <x:c r="P321" s="989" t="str">
        <x:f>IF($K321="","",IF('Game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Q321" s="989" t="str">
        <x:f>IF($K321="","",IFERROR('Game Records'!$M321,""))</x:f>
      </x:c>
    </x:row>
    <x:row r="322" ht="24" customHeight="1">
      <x:c r="A322" s="332"/>
      <x:c r="B322" s="332"/>
      <x:c r="C322" s="331"/>
      <x:c r="D322" s="331"/>
      <x:c r="E322" s="331"/>
      <x:c r="F322" s="331"/>
      <x:c r="G322" s="331"/>
      <x:c r="K322" s="989" t="str">
        <x:f>IF(OR(COUNTA('Game Records'!$A322:$M322)=0,'Game Records'!$U322="Subscription"),"",IFERROR(MAX($K$4:K321),0)+1)</x:f>
      </x:c>
      <x:c r="L322" s="989" t="str">
        <x:f>IF($K322="","","G-"&amp;TEXT($K322,"0000"))</x:f>
      </x:c>
      <x:c r="M322" s="989" t="str">
        <x:f>IF($K322="","",IFERROR('Game Records'!$A322,""))</x:f>
      </x:c>
      <x:c r="N322" s="989" t="str">
        <x:f>IF($K322="","",IFERROR('Game Records'!$U322,""))</x:f>
      </x:c>
      <x:c r="O322" s="989" t="str">
        <x:f>IF($K322="","",IF($P322="","No Highlighted Fields","Highlighted Fields Present"))</x:f>
      </x:c>
      <x:c r="P322" s="989" t="str">
        <x:f>IF($K322="","",IF('Game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Q322" s="989" t="str">
        <x:f>IF($K322="","",IFERROR('Game Records'!$M322,""))</x:f>
      </x:c>
    </x:row>
    <x:row r="323" ht="24" customHeight="1">
      <x:c r="A323" s="332"/>
      <x:c r="B323" s="332"/>
      <x:c r="C323" s="331"/>
      <x:c r="D323" s="331"/>
      <x:c r="E323" s="331"/>
      <x:c r="F323" s="331"/>
      <x:c r="G323" s="331"/>
      <x:c r="K323" s="989" t="str">
        <x:f>IF(OR(COUNTA('Game Records'!$A323:$M323)=0,'Game Records'!$U323="Subscription"),"",IFERROR(MAX($K$4:K322),0)+1)</x:f>
      </x:c>
      <x:c r="L323" s="989" t="str">
        <x:f>IF($K323="","","G-"&amp;TEXT($K323,"0000"))</x:f>
      </x:c>
      <x:c r="M323" s="989" t="str">
        <x:f>IF($K323="","",IFERROR('Game Records'!$A323,""))</x:f>
      </x:c>
      <x:c r="N323" s="989" t="str">
        <x:f>IF($K323="","",IFERROR('Game Records'!$U323,""))</x:f>
      </x:c>
      <x:c r="O323" s="989" t="str">
        <x:f>IF($K323="","",IF($P323="","No Highlighted Fields","Highlighted Fields Present"))</x:f>
      </x:c>
      <x:c r="P323" s="989" t="str">
        <x:f>IF($K323="","",IF('Game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Q323" s="989" t="str">
        <x:f>IF($K323="","",IFERROR('Game Records'!$M323,""))</x:f>
      </x:c>
    </x:row>
    <x:row r="324" ht="24" customHeight="1">
      <x:c r="A324" s="332"/>
      <x:c r="B324" s="332"/>
      <x:c r="C324" s="331"/>
      <x:c r="D324" s="331"/>
      <x:c r="E324" s="331"/>
      <x:c r="F324" s="331"/>
      <x:c r="G324" s="331"/>
      <x:c r="K324" s="989" t="str">
        <x:f>IF(OR(COUNTA('Game Records'!$A324:$M324)=0,'Game Records'!$U324="Subscription"),"",IFERROR(MAX($K$4:K323),0)+1)</x:f>
      </x:c>
      <x:c r="L324" s="989" t="str">
        <x:f>IF($K324="","","G-"&amp;TEXT($K324,"0000"))</x:f>
      </x:c>
      <x:c r="M324" s="989" t="str">
        <x:f>IF($K324="","",IFERROR('Game Records'!$A324,""))</x:f>
      </x:c>
      <x:c r="N324" s="989" t="str">
        <x:f>IF($K324="","",IFERROR('Game Records'!$U324,""))</x:f>
      </x:c>
      <x:c r="O324" s="989" t="str">
        <x:f>IF($K324="","",IF($P324="","No Highlighted Fields","Highlighted Fields Present"))</x:f>
      </x:c>
      <x:c r="P324" s="989" t="str">
        <x:f>IF($K324="","",IF('Game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Q324" s="989" t="str">
        <x:f>IF($K324="","",IFERROR('Game Records'!$M324,""))</x:f>
      </x:c>
    </x:row>
    <x:row r="325" ht="24" customHeight="1">
      <x:c r="A325" s="332"/>
      <x:c r="B325" s="332"/>
      <x:c r="C325" s="331"/>
      <x:c r="D325" s="331"/>
      <x:c r="E325" s="331"/>
      <x:c r="F325" s="331"/>
      <x:c r="G325" s="331"/>
      <x:c r="K325" s="989" t="str">
        <x:f>IF(OR(COUNTA('Game Records'!$A325:$M325)=0,'Game Records'!$U325="Subscription"),"",IFERROR(MAX($K$4:K324),0)+1)</x:f>
      </x:c>
      <x:c r="L325" s="989" t="str">
        <x:f>IF($K325="","","G-"&amp;TEXT($K325,"0000"))</x:f>
      </x:c>
      <x:c r="M325" s="989" t="str">
        <x:f>IF($K325="","",IFERROR('Game Records'!$A325,""))</x:f>
      </x:c>
      <x:c r="N325" s="989" t="str">
        <x:f>IF($K325="","",IFERROR('Game Records'!$U325,""))</x:f>
      </x:c>
      <x:c r="O325" s="989" t="str">
        <x:f>IF($K325="","",IF($P325="","No Highlighted Fields","Highlighted Fields Present"))</x:f>
      </x:c>
      <x:c r="P325" s="989" t="str">
        <x:f>IF($K325="","",IF('Game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Q325" s="989" t="str">
        <x:f>IF($K325="","",IFERROR('Game Records'!$M325,""))</x:f>
      </x:c>
    </x:row>
    <x:row r="326" ht="24" customHeight="1">
      <x:c r="A326" s="332"/>
      <x:c r="B326" s="332"/>
      <x:c r="C326" s="331"/>
      <x:c r="D326" s="331"/>
      <x:c r="E326" s="331"/>
      <x:c r="F326" s="331"/>
      <x:c r="G326" s="331"/>
      <x:c r="K326" s="989" t="str">
        <x:f>IF(OR(COUNTA('Game Records'!$A326:$M326)=0,'Game Records'!$U326="Subscription"),"",IFERROR(MAX($K$4:K325),0)+1)</x:f>
      </x:c>
      <x:c r="L326" s="989" t="str">
        <x:f>IF($K326="","","G-"&amp;TEXT($K326,"0000"))</x:f>
      </x:c>
      <x:c r="M326" s="989" t="str">
        <x:f>IF($K326="","",IFERROR('Game Records'!$A326,""))</x:f>
      </x:c>
      <x:c r="N326" s="989" t="str">
        <x:f>IF($K326="","",IFERROR('Game Records'!$U326,""))</x:f>
      </x:c>
      <x:c r="O326" s="989" t="str">
        <x:f>IF($K326="","",IF($P326="","No Highlighted Fields","Highlighted Fields Present"))</x:f>
      </x:c>
      <x:c r="P326" s="989" t="str">
        <x:f>IF($K326="","",IF('Game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Q326" s="989" t="str">
        <x:f>IF($K326="","",IFERROR('Game Records'!$M326,""))</x:f>
      </x:c>
    </x:row>
    <x:row r="327" ht="24" customHeight="1">
      <x:c r="A327" s="332"/>
      <x:c r="B327" s="332"/>
      <x:c r="C327" s="331"/>
      <x:c r="D327" s="331"/>
      <x:c r="E327" s="331"/>
      <x:c r="F327" s="331"/>
      <x:c r="G327" s="331"/>
      <x:c r="K327" s="989" t="str">
        <x:f>IF(OR(COUNTA('Game Records'!$A327:$M327)=0,'Game Records'!$U327="Subscription"),"",IFERROR(MAX($K$4:K326),0)+1)</x:f>
      </x:c>
      <x:c r="L327" s="989" t="str">
        <x:f>IF($K327="","","G-"&amp;TEXT($K327,"0000"))</x:f>
      </x:c>
      <x:c r="M327" s="989" t="str">
        <x:f>IF($K327="","",IFERROR('Game Records'!$A327,""))</x:f>
      </x:c>
      <x:c r="N327" s="989" t="str">
        <x:f>IF($K327="","",IFERROR('Game Records'!$U327,""))</x:f>
      </x:c>
      <x:c r="O327" s="989" t="str">
        <x:f>IF($K327="","",IF($P327="","No Highlighted Fields","Highlighted Fields Present"))</x:f>
      </x:c>
      <x:c r="P327" s="989" t="str">
        <x:f>IF($K327="","",IF('Game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Q327" s="989" t="str">
        <x:f>IF($K327="","",IFERROR('Game Records'!$M327,""))</x:f>
      </x:c>
    </x:row>
    <x:row r="328" ht="24" customHeight="1">
      <x:c r="A328" s="332"/>
      <x:c r="B328" s="332"/>
      <x:c r="C328" s="331"/>
      <x:c r="D328" s="331"/>
      <x:c r="E328" s="331"/>
      <x:c r="F328" s="331"/>
      <x:c r="G328" s="331"/>
      <x:c r="K328" s="989" t="str">
        <x:f>IF(OR(COUNTA('Game Records'!$A328:$M328)=0,'Game Records'!$U328="Subscription"),"",IFERROR(MAX($K$4:K327),0)+1)</x:f>
      </x:c>
      <x:c r="L328" s="989" t="str">
        <x:f>IF($K328="","","G-"&amp;TEXT($K328,"0000"))</x:f>
      </x:c>
      <x:c r="M328" s="989" t="str">
        <x:f>IF($K328="","",IFERROR('Game Records'!$A328,""))</x:f>
      </x:c>
      <x:c r="N328" s="989" t="str">
        <x:f>IF($K328="","",IFERROR('Game Records'!$U328,""))</x:f>
      </x:c>
      <x:c r="O328" s="989" t="str">
        <x:f>IF($K328="","",IF($P328="","No Highlighted Fields","Highlighted Fields Present"))</x:f>
      </x:c>
      <x:c r="P328" s="989" t="str">
        <x:f>IF($K328="","",IF('Game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Q328" s="989" t="str">
        <x:f>IF($K328="","",IFERROR('Game Records'!$M328,""))</x:f>
      </x:c>
    </x:row>
    <x:row r="329" ht="24" customHeight="1">
      <x:c r="A329" s="332"/>
      <x:c r="B329" s="332"/>
      <x:c r="C329" s="331"/>
      <x:c r="D329" s="331"/>
      <x:c r="E329" s="331"/>
      <x:c r="F329" s="331"/>
      <x:c r="G329" s="331"/>
      <x:c r="K329" s="989" t="str">
        <x:f>IF(OR(COUNTA('Game Records'!$A329:$M329)=0,'Game Records'!$U329="Subscription"),"",IFERROR(MAX($K$4:K328),0)+1)</x:f>
      </x:c>
      <x:c r="L329" s="989" t="str">
        <x:f>IF($K329="","","G-"&amp;TEXT($K329,"0000"))</x:f>
      </x:c>
      <x:c r="M329" s="989" t="str">
        <x:f>IF($K329="","",IFERROR('Game Records'!$A329,""))</x:f>
      </x:c>
      <x:c r="N329" s="989" t="str">
        <x:f>IF($K329="","",IFERROR('Game Records'!$U329,""))</x:f>
      </x:c>
      <x:c r="O329" s="989" t="str">
        <x:f>IF($K329="","",IF($P329="","No Highlighted Fields","Highlighted Fields Present"))</x:f>
      </x:c>
      <x:c r="P329" s="989" t="str">
        <x:f>IF($K329="","",IF('Game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Q329" s="989" t="str">
        <x:f>IF($K329="","",IFERROR('Game Records'!$M329,""))</x:f>
      </x:c>
    </x:row>
    <x:row r="330" ht="24" customHeight="1">
      <x:c r="A330" s="332"/>
      <x:c r="B330" s="332"/>
      <x:c r="C330" s="331"/>
      <x:c r="D330" s="331"/>
      <x:c r="E330" s="331"/>
      <x:c r="F330" s="331"/>
      <x:c r="G330" s="331"/>
      <x:c r="K330" s="989" t="str">
        <x:f>IF(OR(COUNTA('Game Records'!$A330:$M330)=0,'Game Records'!$U330="Subscription"),"",IFERROR(MAX($K$4:K329),0)+1)</x:f>
      </x:c>
      <x:c r="L330" s="989" t="str">
        <x:f>IF($K330="","","G-"&amp;TEXT($K330,"0000"))</x:f>
      </x:c>
      <x:c r="M330" s="989" t="str">
        <x:f>IF($K330="","",IFERROR('Game Records'!$A330,""))</x:f>
      </x:c>
      <x:c r="N330" s="989" t="str">
        <x:f>IF($K330="","",IFERROR('Game Records'!$U330,""))</x:f>
      </x:c>
      <x:c r="O330" s="989" t="str">
        <x:f>IF($K330="","",IF($P330="","No Highlighted Fields","Highlighted Fields Present"))</x:f>
      </x:c>
      <x:c r="P330" s="989" t="str">
        <x:f>IF($K330="","",IF('Game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Q330" s="989" t="str">
        <x:f>IF($K330="","",IFERROR('Game Records'!$M330,""))</x:f>
      </x:c>
    </x:row>
    <x:row r="331" ht="24" customHeight="1">
      <x:c r="A331" s="332"/>
      <x:c r="B331" s="332"/>
      <x:c r="C331" s="331"/>
      <x:c r="D331" s="331"/>
      <x:c r="E331" s="331"/>
      <x:c r="F331" s="331"/>
      <x:c r="G331" s="331"/>
      <x:c r="K331" s="989" t="str">
        <x:f>IF(OR(COUNTA('Game Records'!$A331:$M331)=0,'Game Records'!$U331="Subscription"),"",IFERROR(MAX($K$4:K330),0)+1)</x:f>
      </x:c>
      <x:c r="L331" s="989" t="str">
        <x:f>IF($K331="","","G-"&amp;TEXT($K331,"0000"))</x:f>
      </x:c>
      <x:c r="M331" s="989" t="str">
        <x:f>IF($K331="","",IFERROR('Game Records'!$A331,""))</x:f>
      </x:c>
      <x:c r="N331" s="989" t="str">
        <x:f>IF($K331="","",IFERROR('Game Records'!$U331,""))</x:f>
      </x:c>
      <x:c r="O331" s="989" t="str">
        <x:f>IF($K331="","",IF($P331="","No Highlighted Fields","Highlighted Fields Present"))</x:f>
      </x:c>
      <x:c r="P331" s="989" t="str">
        <x:f>IF($K331="","",IF('Game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Q331" s="989" t="str">
        <x:f>IF($K331="","",IFERROR('Game Records'!$M331,""))</x:f>
      </x:c>
    </x:row>
    <x:row r="332" ht="24" customHeight="1">
      <x:c r="A332" s="332"/>
      <x:c r="B332" s="332"/>
      <x:c r="C332" s="331"/>
      <x:c r="D332" s="331"/>
      <x:c r="E332" s="331"/>
      <x:c r="F332" s="331"/>
      <x:c r="G332" s="331"/>
      <x:c r="K332" s="989" t="str">
        <x:f>IF(OR(COUNTA('Game Records'!$A332:$M332)=0,'Game Records'!$U332="Subscription"),"",IFERROR(MAX($K$4:K331),0)+1)</x:f>
      </x:c>
      <x:c r="L332" s="989" t="str">
        <x:f>IF($K332="","","G-"&amp;TEXT($K332,"0000"))</x:f>
      </x:c>
      <x:c r="M332" s="989" t="str">
        <x:f>IF($K332="","",IFERROR('Game Records'!$A332,""))</x:f>
      </x:c>
      <x:c r="N332" s="989" t="str">
        <x:f>IF($K332="","",IFERROR('Game Records'!$U332,""))</x:f>
      </x:c>
      <x:c r="O332" s="989" t="str">
        <x:f>IF($K332="","",IF($P332="","No Highlighted Fields","Highlighted Fields Present"))</x:f>
      </x:c>
      <x:c r="P332" s="989" t="str">
        <x:f>IF($K332="","",IF('Game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Q332" s="989" t="str">
        <x:f>IF($K332="","",IFERROR('Game Records'!$M332,""))</x:f>
      </x:c>
    </x:row>
    <x:row r="333" ht="24" customHeight="1">
      <x:c r="A333" s="332"/>
      <x:c r="B333" s="332"/>
      <x:c r="C333" s="331"/>
      <x:c r="D333" s="331"/>
      <x:c r="E333" s="331"/>
      <x:c r="F333" s="331"/>
      <x:c r="G333" s="331"/>
      <x:c r="K333" s="989" t="str">
        <x:f>IF(OR(COUNTA('Game Records'!$A333:$M333)=0,'Game Records'!$U333="Subscription"),"",IFERROR(MAX($K$4:K332),0)+1)</x:f>
      </x:c>
      <x:c r="L333" s="989" t="str">
        <x:f>IF($K333="","","G-"&amp;TEXT($K333,"0000"))</x:f>
      </x:c>
      <x:c r="M333" s="989" t="str">
        <x:f>IF($K333="","",IFERROR('Game Records'!$A333,""))</x:f>
      </x:c>
      <x:c r="N333" s="989" t="str">
        <x:f>IF($K333="","",IFERROR('Game Records'!$U333,""))</x:f>
      </x:c>
      <x:c r="O333" s="989" t="str">
        <x:f>IF($K333="","",IF($P333="","No Highlighted Fields","Highlighted Fields Present"))</x:f>
      </x:c>
      <x:c r="P333" s="989" t="str">
        <x:f>IF($K333="","",IF('Game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Q333" s="989" t="str">
        <x:f>IF($K333="","",IFERROR('Game Records'!$M333,""))</x:f>
      </x:c>
    </x:row>
    <x:row r="334" ht="24" customHeight="1">
      <x:c r="A334" s="332"/>
      <x:c r="B334" s="332"/>
      <x:c r="C334" s="331"/>
      <x:c r="D334" s="331"/>
      <x:c r="E334" s="331"/>
      <x:c r="F334" s="331"/>
      <x:c r="G334" s="331"/>
      <x:c r="K334" s="989" t="str">
        <x:f>IF(OR(COUNTA('Game Records'!$A334:$M334)=0,'Game Records'!$U334="Subscription"),"",IFERROR(MAX($K$4:K333),0)+1)</x:f>
      </x:c>
      <x:c r="L334" s="989" t="str">
        <x:f>IF($K334="","","G-"&amp;TEXT($K334,"0000"))</x:f>
      </x:c>
      <x:c r="M334" s="989" t="str">
        <x:f>IF($K334="","",IFERROR('Game Records'!$A334,""))</x:f>
      </x:c>
      <x:c r="N334" s="989" t="str">
        <x:f>IF($K334="","",IFERROR('Game Records'!$U334,""))</x:f>
      </x:c>
      <x:c r="O334" s="989" t="str">
        <x:f>IF($K334="","",IF($P334="","No Highlighted Fields","Highlighted Fields Present"))</x:f>
      </x:c>
      <x:c r="P334" s="989" t="str">
        <x:f>IF($K334="","",IF('Game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Q334" s="989" t="str">
        <x:f>IF($K334="","",IFERROR('Game Records'!$M334,""))</x:f>
      </x:c>
    </x:row>
    <x:row r="335" ht="24" customHeight="1">
      <x:c r="A335" s="332"/>
      <x:c r="B335" s="332"/>
      <x:c r="C335" s="331"/>
      <x:c r="D335" s="331"/>
      <x:c r="E335" s="331"/>
      <x:c r="F335" s="331"/>
      <x:c r="G335" s="331"/>
      <x:c r="K335" s="989" t="str">
        <x:f>IF(OR(COUNTA('Game Records'!$A335:$M335)=0,'Game Records'!$U335="Subscription"),"",IFERROR(MAX($K$4:K334),0)+1)</x:f>
      </x:c>
      <x:c r="L335" s="989" t="str">
        <x:f>IF($K335="","","G-"&amp;TEXT($K335,"0000"))</x:f>
      </x:c>
      <x:c r="M335" s="989" t="str">
        <x:f>IF($K335="","",IFERROR('Game Records'!$A335,""))</x:f>
      </x:c>
      <x:c r="N335" s="989" t="str">
        <x:f>IF($K335="","",IFERROR('Game Records'!$U335,""))</x:f>
      </x:c>
      <x:c r="O335" s="989" t="str">
        <x:f>IF($K335="","",IF($P335="","No Highlighted Fields","Highlighted Fields Present"))</x:f>
      </x:c>
      <x:c r="P335" s="989" t="str">
        <x:f>IF($K335="","",IF('Game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Q335" s="989" t="str">
        <x:f>IF($K335="","",IFERROR('Game Records'!$M335,""))</x:f>
      </x:c>
    </x:row>
    <x:row r="336" ht="24" customHeight="1">
      <x:c r="A336" s="332"/>
      <x:c r="B336" s="332"/>
      <x:c r="C336" s="331"/>
      <x:c r="D336" s="331"/>
      <x:c r="E336" s="331"/>
      <x:c r="F336" s="331"/>
      <x:c r="G336" s="331"/>
      <x:c r="K336" s="989" t="str">
        <x:f>IF(OR(COUNTA('Game Records'!$A336:$M336)=0,'Game Records'!$U336="Subscription"),"",IFERROR(MAX($K$4:K335),0)+1)</x:f>
      </x:c>
      <x:c r="L336" s="989" t="str">
        <x:f>IF($K336="","","G-"&amp;TEXT($K336,"0000"))</x:f>
      </x:c>
      <x:c r="M336" s="989" t="str">
        <x:f>IF($K336="","",IFERROR('Game Records'!$A336,""))</x:f>
      </x:c>
      <x:c r="N336" s="989" t="str">
        <x:f>IF($K336="","",IFERROR('Game Records'!$U336,""))</x:f>
      </x:c>
      <x:c r="O336" s="989" t="str">
        <x:f>IF($K336="","",IF($P336="","No Highlighted Fields","Highlighted Fields Present"))</x:f>
      </x:c>
      <x:c r="P336" s="989" t="str">
        <x:f>IF($K336="","",IF('Game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Q336" s="989" t="str">
        <x:f>IF($K336="","",IFERROR('Game Records'!$M336,""))</x:f>
      </x:c>
    </x:row>
    <x:row r="337" ht="24" customHeight="1">
      <x:c r="A337" s="332"/>
      <x:c r="B337" s="332"/>
      <x:c r="C337" s="331"/>
      <x:c r="D337" s="331"/>
      <x:c r="E337" s="331"/>
      <x:c r="F337" s="331"/>
      <x:c r="G337" s="331"/>
      <x:c r="K337" s="989" t="str">
        <x:f>IF(OR(COUNTA('Game Records'!$A337:$M337)=0,'Game Records'!$U337="Subscription"),"",IFERROR(MAX($K$4:K336),0)+1)</x:f>
      </x:c>
      <x:c r="L337" s="989" t="str">
        <x:f>IF($K337="","","G-"&amp;TEXT($K337,"0000"))</x:f>
      </x:c>
      <x:c r="M337" s="989" t="str">
        <x:f>IF($K337="","",IFERROR('Game Records'!$A337,""))</x:f>
      </x:c>
      <x:c r="N337" s="989" t="str">
        <x:f>IF($K337="","",IFERROR('Game Records'!$U337,""))</x:f>
      </x:c>
      <x:c r="O337" s="989" t="str">
        <x:f>IF($K337="","",IF($P337="","No Highlighted Fields","Highlighted Fields Present"))</x:f>
      </x:c>
      <x:c r="P337" s="989" t="str">
        <x:f>IF($K337="","",IF('Game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Q337" s="989" t="str">
        <x:f>IF($K337="","",IFERROR('Game Records'!$M337,""))</x:f>
      </x:c>
    </x:row>
    <x:row r="338" ht="24" customHeight="1">
      <x:c r="A338" s="332"/>
      <x:c r="B338" s="332"/>
      <x:c r="C338" s="331"/>
      <x:c r="D338" s="331"/>
      <x:c r="E338" s="331"/>
      <x:c r="F338" s="331"/>
      <x:c r="G338" s="331"/>
      <x:c r="K338" s="989" t="str">
        <x:f>IF(OR(COUNTA('Game Records'!$A338:$M338)=0,'Game Records'!$U338="Subscription"),"",IFERROR(MAX($K$4:K337),0)+1)</x:f>
      </x:c>
      <x:c r="L338" s="989" t="str">
        <x:f>IF($K338="","","G-"&amp;TEXT($K338,"0000"))</x:f>
      </x:c>
      <x:c r="M338" s="989" t="str">
        <x:f>IF($K338="","",IFERROR('Game Records'!$A338,""))</x:f>
      </x:c>
      <x:c r="N338" s="989" t="str">
        <x:f>IF($K338="","",IFERROR('Game Records'!$U338,""))</x:f>
      </x:c>
      <x:c r="O338" s="989" t="str">
        <x:f>IF($K338="","",IF($P338="","No Highlighted Fields","Highlighted Fields Present"))</x:f>
      </x:c>
      <x:c r="P338" s="989" t="str">
        <x:f>IF($K338="","",IF('Game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Q338" s="989" t="str">
        <x:f>IF($K338="","",IFERROR('Game Records'!$M338,""))</x:f>
      </x:c>
    </x:row>
    <x:row r="339" ht="24" customHeight="1">
      <x:c r="A339" s="332"/>
      <x:c r="B339" s="332"/>
      <x:c r="C339" s="331"/>
      <x:c r="D339" s="331"/>
      <x:c r="E339" s="331"/>
      <x:c r="F339" s="331"/>
      <x:c r="G339" s="331"/>
      <x:c r="K339" s="989" t="str">
        <x:f>IF(OR(COUNTA('Game Records'!$A339:$M339)=0,'Game Records'!$U339="Subscription"),"",IFERROR(MAX($K$4:K338),0)+1)</x:f>
      </x:c>
      <x:c r="L339" s="989" t="str">
        <x:f>IF($K339="","","G-"&amp;TEXT($K339,"0000"))</x:f>
      </x:c>
      <x:c r="M339" s="989" t="str">
        <x:f>IF($K339="","",IFERROR('Game Records'!$A339,""))</x:f>
      </x:c>
      <x:c r="N339" s="989" t="str">
        <x:f>IF($K339="","",IFERROR('Game Records'!$U339,""))</x:f>
      </x:c>
      <x:c r="O339" s="989" t="str">
        <x:f>IF($K339="","",IF($P339="","No Highlighted Fields","Highlighted Fields Present"))</x:f>
      </x:c>
      <x:c r="P339" s="989" t="str">
        <x:f>IF($K339="","",IF('Game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Q339" s="989" t="str">
        <x:f>IF($K339="","",IFERROR('Game Records'!$M339,""))</x:f>
      </x:c>
    </x:row>
    <x:row r="340" ht="24" customHeight="1">
      <x:c r="A340" s="332"/>
      <x:c r="B340" s="332"/>
      <x:c r="C340" s="331"/>
      <x:c r="D340" s="331"/>
      <x:c r="E340" s="331"/>
      <x:c r="F340" s="331"/>
      <x:c r="G340" s="331"/>
      <x:c r="K340" s="989" t="str">
        <x:f>IF(OR(COUNTA('Game Records'!$A340:$M340)=0,'Game Records'!$U340="Subscription"),"",IFERROR(MAX($K$4:K339),0)+1)</x:f>
      </x:c>
      <x:c r="L340" s="989" t="str">
        <x:f>IF($K340="","","G-"&amp;TEXT($K340,"0000"))</x:f>
      </x:c>
      <x:c r="M340" s="989" t="str">
        <x:f>IF($K340="","",IFERROR('Game Records'!$A340,""))</x:f>
      </x:c>
      <x:c r="N340" s="989" t="str">
        <x:f>IF($K340="","",IFERROR('Game Records'!$U340,""))</x:f>
      </x:c>
      <x:c r="O340" s="989" t="str">
        <x:f>IF($K340="","",IF($P340="","No Highlighted Fields","Highlighted Fields Present"))</x:f>
      </x:c>
      <x:c r="P340" s="989" t="str">
        <x:f>IF($K340="","",IF('Game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Q340" s="989" t="str">
        <x:f>IF($K340="","",IFERROR('Game Records'!$M340,""))</x:f>
      </x:c>
    </x:row>
    <x:row r="341" ht="24" customHeight="1">
      <x:c r="A341" s="332"/>
      <x:c r="B341" s="332"/>
      <x:c r="C341" s="331"/>
      <x:c r="D341" s="331"/>
      <x:c r="E341" s="331"/>
      <x:c r="F341" s="331"/>
      <x:c r="G341" s="331"/>
      <x:c r="K341" s="989" t="str">
        <x:f>IF(OR(COUNTA('Game Records'!$A341:$M341)=0,'Game Records'!$U341="Subscription"),"",IFERROR(MAX($K$4:K340),0)+1)</x:f>
      </x:c>
      <x:c r="L341" s="989" t="str">
        <x:f>IF($K341="","","G-"&amp;TEXT($K341,"0000"))</x:f>
      </x:c>
      <x:c r="M341" s="989" t="str">
        <x:f>IF($K341="","",IFERROR('Game Records'!$A341,""))</x:f>
      </x:c>
      <x:c r="N341" s="989" t="str">
        <x:f>IF($K341="","",IFERROR('Game Records'!$U341,""))</x:f>
      </x:c>
      <x:c r="O341" s="989" t="str">
        <x:f>IF($K341="","",IF($P341="","No Highlighted Fields","Highlighted Fields Present"))</x:f>
      </x:c>
      <x:c r="P341" s="989" t="str">
        <x:f>IF($K341="","",IF('Game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Q341" s="989" t="str">
        <x:f>IF($K341="","",IFERROR('Game Records'!$M341,""))</x:f>
      </x:c>
    </x:row>
    <x:row r="342" ht="24" customHeight="1">
      <x:c r="A342" s="332"/>
      <x:c r="B342" s="332"/>
      <x:c r="C342" s="331"/>
      <x:c r="D342" s="331"/>
      <x:c r="E342" s="331"/>
      <x:c r="F342" s="331"/>
      <x:c r="G342" s="331"/>
      <x:c r="K342" s="989" t="str">
        <x:f>IF(OR(COUNTA('Game Records'!$A342:$M342)=0,'Game Records'!$U342="Subscription"),"",IFERROR(MAX($K$4:K341),0)+1)</x:f>
      </x:c>
      <x:c r="L342" s="989" t="str">
        <x:f>IF($K342="","","G-"&amp;TEXT($K342,"0000"))</x:f>
      </x:c>
      <x:c r="M342" s="989" t="str">
        <x:f>IF($K342="","",IFERROR('Game Records'!$A342,""))</x:f>
      </x:c>
      <x:c r="N342" s="989" t="str">
        <x:f>IF($K342="","",IFERROR('Game Records'!$U342,""))</x:f>
      </x:c>
      <x:c r="O342" s="989" t="str">
        <x:f>IF($K342="","",IF($P342="","No Highlighted Fields","Highlighted Fields Present"))</x:f>
      </x:c>
      <x:c r="P342" s="989" t="str">
        <x:f>IF($K342="","",IF('Game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Q342" s="989" t="str">
        <x:f>IF($K342="","",IFERROR('Game Records'!$M342,""))</x:f>
      </x:c>
    </x:row>
    <x:row r="343" ht="24" customHeight="1">
      <x:c r="A343" s="332"/>
      <x:c r="B343" s="332"/>
      <x:c r="C343" s="331"/>
      <x:c r="D343" s="331"/>
      <x:c r="E343" s="331"/>
      <x:c r="F343" s="331"/>
      <x:c r="G343" s="331"/>
      <x:c r="K343" s="989" t="str">
        <x:f>IF(OR(COUNTA('Game Records'!$A343:$M343)=0,'Game Records'!$U343="Subscription"),"",IFERROR(MAX($K$4:K342),0)+1)</x:f>
      </x:c>
      <x:c r="L343" s="989" t="str">
        <x:f>IF($K343="","","G-"&amp;TEXT($K343,"0000"))</x:f>
      </x:c>
      <x:c r="M343" s="989" t="str">
        <x:f>IF($K343="","",IFERROR('Game Records'!$A343,""))</x:f>
      </x:c>
      <x:c r="N343" s="989" t="str">
        <x:f>IF($K343="","",IFERROR('Game Records'!$U343,""))</x:f>
      </x:c>
      <x:c r="O343" s="989" t="str">
        <x:f>IF($K343="","",IF($P343="","No Highlighted Fields","Highlighted Fields Present"))</x:f>
      </x:c>
      <x:c r="P343" s="989" t="str">
        <x:f>IF($K343="","",IF('Game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Q343" s="989" t="str">
        <x:f>IF($K343="","",IFERROR('Game Records'!$M343,""))</x:f>
      </x:c>
    </x:row>
    <x:row r="344" ht="24" customHeight="1">
      <x:c r="A344" s="332"/>
      <x:c r="B344" s="332"/>
      <x:c r="C344" s="331"/>
      <x:c r="D344" s="331"/>
      <x:c r="E344" s="331"/>
      <x:c r="F344" s="331"/>
      <x:c r="G344" s="331"/>
      <x:c r="K344" s="989" t="str">
        <x:f>IF(OR(COUNTA('Game Records'!$A344:$M344)=0,'Game Records'!$U344="Subscription"),"",IFERROR(MAX($K$4:K343),0)+1)</x:f>
      </x:c>
      <x:c r="L344" s="989" t="str">
        <x:f>IF($K344="","","G-"&amp;TEXT($K344,"0000"))</x:f>
      </x:c>
      <x:c r="M344" s="989" t="str">
        <x:f>IF($K344="","",IFERROR('Game Records'!$A344,""))</x:f>
      </x:c>
      <x:c r="N344" s="989" t="str">
        <x:f>IF($K344="","",IFERROR('Game Records'!$U344,""))</x:f>
      </x:c>
      <x:c r="O344" s="989" t="str">
        <x:f>IF($K344="","",IF($P344="","No Highlighted Fields","Highlighted Fields Present"))</x:f>
      </x:c>
      <x:c r="P344" s="989" t="str">
        <x:f>IF($K344="","",IF('Game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Q344" s="989" t="str">
        <x:f>IF($K344="","",IFERROR('Game Records'!$M344,""))</x:f>
      </x:c>
    </x:row>
    <x:row r="345" ht="24" customHeight="1">
      <x:c r="A345" s="332"/>
      <x:c r="B345" s="332"/>
      <x:c r="C345" s="331"/>
      <x:c r="D345" s="331"/>
      <x:c r="E345" s="331"/>
      <x:c r="F345" s="331"/>
      <x:c r="G345" s="331"/>
      <x:c r="K345" s="989" t="str">
        <x:f>IF(OR(COUNTA('Game Records'!$A345:$M345)=0,'Game Records'!$U345="Subscription"),"",IFERROR(MAX($K$4:K344),0)+1)</x:f>
      </x:c>
      <x:c r="L345" s="989" t="str">
        <x:f>IF($K345="","","G-"&amp;TEXT($K345,"0000"))</x:f>
      </x:c>
      <x:c r="M345" s="989" t="str">
        <x:f>IF($K345="","",IFERROR('Game Records'!$A345,""))</x:f>
      </x:c>
      <x:c r="N345" s="989" t="str">
        <x:f>IF($K345="","",IFERROR('Game Records'!$U345,""))</x:f>
      </x:c>
      <x:c r="O345" s="989" t="str">
        <x:f>IF($K345="","",IF($P345="","No Highlighted Fields","Highlighted Fields Present"))</x:f>
      </x:c>
      <x:c r="P345" s="989" t="str">
        <x:f>IF($K345="","",IF('Game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Q345" s="989" t="str">
        <x:f>IF($K345="","",IFERROR('Game Records'!$M345,""))</x:f>
      </x:c>
    </x:row>
    <x:row r="346" ht="24" customHeight="1">
      <x:c r="A346" s="332"/>
      <x:c r="B346" s="332"/>
      <x:c r="C346" s="331"/>
      <x:c r="D346" s="331"/>
      <x:c r="E346" s="331"/>
      <x:c r="F346" s="331"/>
      <x:c r="G346" s="331"/>
      <x:c r="K346" s="989" t="str">
        <x:f>IF(OR(COUNTA('Game Records'!$A346:$M346)=0,'Game Records'!$U346="Subscription"),"",IFERROR(MAX($K$4:K345),0)+1)</x:f>
      </x:c>
      <x:c r="L346" s="989" t="str">
        <x:f>IF($K346="","","G-"&amp;TEXT($K346,"0000"))</x:f>
      </x:c>
      <x:c r="M346" s="989" t="str">
        <x:f>IF($K346="","",IFERROR('Game Records'!$A346,""))</x:f>
      </x:c>
      <x:c r="N346" s="989" t="str">
        <x:f>IF($K346="","",IFERROR('Game Records'!$U346,""))</x:f>
      </x:c>
      <x:c r="O346" s="989" t="str">
        <x:f>IF($K346="","",IF($P346="","No Highlighted Fields","Highlighted Fields Present"))</x:f>
      </x:c>
      <x:c r="P346" s="989" t="str">
        <x:f>IF($K346="","",IF('Game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Q346" s="989" t="str">
        <x:f>IF($K346="","",IFERROR('Game Records'!$M346,""))</x:f>
      </x:c>
    </x:row>
    <x:row r="347" ht="24" customHeight="1">
      <x:c r="A347" s="332"/>
      <x:c r="B347" s="332"/>
      <x:c r="C347" s="331"/>
      <x:c r="D347" s="331"/>
      <x:c r="E347" s="331"/>
      <x:c r="F347" s="331"/>
      <x:c r="G347" s="331"/>
      <x:c r="K347" s="989" t="str">
        <x:f>IF(OR(COUNTA('Game Records'!$A347:$M347)=0,'Game Records'!$U347="Subscription"),"",IFERROR(MAX($K$4:K346),0)+1)</x:f>
      </x:c>
      <x:c r="L347" s="989" t="str">
        <x:f>IF($K347="","","G-"&amp;TEXT($K347,"0000"))</x:f>
      </x:c>
      <x:c r="M347" s="989" t="str">
        <x:f>IF($K347="","",IFERROR('Game Records'!$A347,""))</x:f>
      </x:c>
      <x:c r="N347" s="989" t="str">
        <x:f>IF($K347="","",IFERROR('Game Records'!$U347,""))</x:f>
      </x:c>
      <x:c r="O347" s="989" t="str">
        <x:f>IF($K347="","",IF($P347="","No Highlighted Fields","Highlighted Fields Present"))</x:f>
      </x:c>
      <x:c r="P347" s="989" t="str">
        <x:f>IF($K347="","",IF('Game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Q347" s="989" t="str">
        <x:f>IF($K347="","",IFERROR('Game Records'!$M347,""))</x:f>
      </x:c>
    </x:row>
    <x:row r="348" ht="24" customHeight="1">
      <x:c r="A348" s="332"/>
      <x:c r="B348" s="332"/>
      <x:c r="C348" s="331"/>
      <x:c r="D348" s="331"/>
      <x:c r="E348" s="331"/>
      <x:c r="F348" s="331"/>
      <x:c r="G348" s="331"/>
      <x:c r="K348" s="989" t="str">
        <x:f>IF(OR(COUNTA('Game Records'!$A348:$M348)=0,'Game Records'!$U348="Subscription"),"",IFERROR(MAX($K$4:K347),0)+1)</x:f>
      </x:c>
      <x:c r="L348" s="989" t="str">
        <x:f>IF($K348="","","G-"&amp;TEXT($K348,"0000"))</x:f>
      </x:c>
      <x:c r="M348" s="989" t="str">
        <x:f>IF($K348="","",IFERROR('Game Records'!$A348,""))</x:f>
      </x:c>
      <x:c r="N348" s="989" t="str">
        <x:f>IF($K348="","",IFERROR('Game Records'!$U348,""))</x:f>
      </x:c>
      <x:c r="O348" s="989" t="str">
        <x:f>IF($K348="","",IF($P348="","No Highlighted Fields","Highlighted Fields Present"))</x:f>
      </x:c>
      <x:c r="P348" s="989" t="str">
        <x:f>IF($K348="","",IF('Game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Q348" s="989" t="str">
        <x:f>IF($K348="","",IFERROR('Game Records'!$M348,""))</x:f>
      </x:c>
    </x:row>
    <x:row r="349" ht="24" customHeight="1">
      <x:c r="A349" s="332"/>
      <x:c r="B349" s="332"/>
      <x:c r="C349" s="331"/>
      <x:c r="D349" s="331"/>
      <x:c r="E349" s="331"/>
      <x:c r="F349" s="331"/>
      <x:c r="G349" s="331"/>
      <x:c r="K349" s="989" t="str">
        <x:f>IF(OR(COUNTA('Game Records'!$A349:$M349)=0,'Game Records'!$U349="Subscription"),"",IFERROR(MAX($K$4:K348),0)+1)</x:f>
      </x:c>
      <x:c r="L349" s="989" t="str">
        <x:f>IF($K349="","","G-"&amp;TEXT($K349,"0000"))</x:f>
      </x:c>
      <x:c r="M349" s="989" t="str">
        <x:f>IF($K349="","",IFERROR('Game Records'!$A349,""))</x:f>
      </x:c>
      <x:c r="N349" s="989" t="str">
        <x:f>IF($K349="","",IFERROR('Game Records'!$U349,""))</x:f>
      </x:c>
      <x:c r="O349" s="989" t="str">
        <x:f>IF($K349="","",IF($P349="","No Highlighted Fields","Highlighted Fields Present"))</x:f>
      </x:c>
      <x:c r="P349" s="989" t="str">
        <x:f>IF($K349="","",IF('Game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Q349" s="989" t="str">
        <x:f>IF($K349="","",IFERROR('Game Records'!$M349,""))</x:f>
      </x:c>
    </x:row>
    <x:row r="350" ht="24" customHeight="1">
      <x:c r="A350" s="332"/>
      <x:c r="B350" s="332"/>
      <x:c r="C350" s="331"/>
      <x:c r="D350" s="331"/>
      <x:c r="E350" s="331"/>
      <x:c r="F350" s="331"/>
      <x:c r="G350" s="331"/>
      <x:c r="K350" s="989" t="str">
        <x:f>IF(OR(COUNTA('Game Records'!$A350:$M350)=0,'Game Records'!$U350="Subscription"),"",IFERROR(MAX($K$4:K349),0)+1)</x:f>
      </x:c>
      <x:c r="L350" s="989" t="str">
        <x:f>IF($K350="","","G-"&amp;TEXT($K350,"0000"))</x:f>
      </x:c>
      <x:c r="M350" s="989" t="str">
        <x:f>IF($K350="","",IFERROR('Game Records'!$A350,""))</x:f>
      </x:c>
      <x:c r="N350" s="989" t="str">
        <x:f>IF($K350="","",IFERROR('Game Records'!$U350,""))</x:f>
      </x:c>
      <x:c r="O350" s="989" t="str">
        <x:f>IF($K350="","",IF($P350="","No Highlighted Fields","Highlighted Fields Present"))</x:f>
      </x:c>
      <x:c r="P350" s="989" t="str">
        <x:f>IF($K350="","",IF('Game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Q350" s="989" t="str">
        <x:f>IF($K350="","",IFERROR('Game Records'!$M350,""))</x:f>
      </x:c>
    </x:row>
    <x:row r="351" ht="24" customHeight="1">
      <x:c r="A351" s="332"/>
      <x:c r="B351" s="332"/>
      <x:c r="C351" s="331"/>
      <x:c r="D351" s="331"/>
      <x:c r="E351" s="331"/>
      <x:c r="F351" s="331"/>
      <x:c r="G351" s="331"/>
      <x:c r="K351" s="989" t="str">
        <x:f>IF(OR(COUNTA('Game Records'!$A351:$M351)=0,'Game Records'!$U351="Subscription"),"",IFERROR(MAX($K$4:K350),0)+1)</x:f>
      </x:c>
      <x:c r="L351" s="989" t="str">
        <x:f>IF($K351="","","G-"&amp;TEXT($K351,"0000"))</x:f>
      </x:c>
      <x:c r="M351" s="989" t="str">
        <x:f>IF($K351="","",IFERROR('Game Records'!$A351,""))</x:f>
      </x:c>
      <x:c r="N351" s="989" t="str">
        <x:f>IF($K351="","",IFERROR('Game Records'!$U351,""))</x:f>
      </x:c>
      <x:c r="O351" s="989" t="str">
        <x:f>IF($K351="","",IF($P351="","No Highlighted Fields","Highlighted Fields Present"))</x:f>
      </x:c>
      <x:c r="P351" s="989" t="str">
        <x:f>IF($K351="","",IF('Game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Q351" s="989" t="str">
        <x:f>IF($K351="","",IFERROR('Game Records'!$M351,""))</x:f>
      </x:c>
    </x:row>
    <x:row r="352" ht="24" customHeight="1">
      <x:c r="A352" s="332"/>
      <x:c r="B352" s="332"/>
      <x:c r="C352" s="331"/>
      <x:c r="D352" s="331"/>
      <x:c r="E352" s="331"/>
      <x:c r="F352" s="331"/>
      <x:c r="G352" s="331"/>
      <x:c r="K352" s="989" t="str">
        <x:f>IF(OR(COUNTA('Game Records'!$A352:$M352)=0,'Game Records'!$U352="Subscription"),"",IFERROR(MAX($K$4:K351),0)+1)</x:f>
      </x:c>
      <x:c r="L352" s="989" t="str">
        <x:f>IF($K352="","","G-"&amp;TEXT($K352,"0000"))</x:f>
      </x:c>
      <x:c r="M352" s="989" t="str">
        <x:f>IF($K352="","",IFERROR('Game Records'!$A352,""))</x:f>
      </x:c>
      <x:c r="N352" s="989" t="str">
        <x:f>IF($K352="","",IFERROR('Game Records'!$U352,""))</x:f>
      </x:c>
      <x:c r="O352" s="989" t="str">
        <x:f>IF($K352="","",IF($P352="","No Highlighted Fields","Highlighted Fields Present"))</x:f>
      </x:c>
      <x:c r="P352" s="989" t="str">
        <x:f>IF($K352="","",IF('Game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Q352" s="989" t="str">
        <x:f>IF($K352="","",IFERROR('Game Records'!$M352,""))</x:f>
      </x:c>
    </x:row>
    <x:row r="353" ht="24" customHeight="1">
      <x:c r="A353" s="332"/>
      <x:c r="B353" s="332"/>
      <x:c r="C353" s="331"/>
      <x:c r="D353" s="331"/>
      <x:c r="E353" s="331"/>
      <x:c r="F353" s="331"/>
      <x:c r="G353" s="331"/>
      <x:c r="K353" s="989" t="str">
        <x:f>IF(OR(COUNTA('Game Records'!$A353:$M353)=0,'Game Records'!$U353="Subscription"),"",IFERROR(MAX($K$4:K352),0)+1)</x:f>
      </x:c>
      <x:c r="L353" s="989" t="str">
        <x:f>IF($K353="","","G-"&amp;TEXT($K353,"0000"))</x:f>
      </x:c>
      <x:c r="M353" s="989" t="str">
        <x:f>IF($K353="","",IFERROR('Game Records'!$A353,""))</x:f>
      </x:c>
      <x:c r="N353" s="989" t="str">
        <x:f>IF($K353="","",IFERROR('Game Records'!$U353,""))</x:f>
      </x:c>
      <x:c r="O353" s="989" t="str">
        <x:f>IF($K353="","",IF($P353="","No Highlighted Fields","Highlighted Fields Present"))</x:f>
      </x:c>
      <x:c r="P353" s="989" t="str">
        <x:f>IF($K353="","",IF('Game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Q353" s="989" t="str">
        <x:f>IF($K353="","",IFERROR('Game Records'!$M353,""))</x:f>
      </x:c>
    </x:row>
    <x:row r="354" ht="24" customHeight="1">
      <x:c r="A354" s="332"/>
      <x:c r="B354" s="332"/>
      <x:c r="C354" s="331"/>
      <x:c r="D354" s="331"/>
      <x:c r="E354" s="331"/>
      <x:c r="F354" s="331"/>
      <x:c r="G354" s="331"/>
      <x:c r="K354" s="989" t="str">
        <x:f>IF(OR(COUNTA('Game Records'!$A354:$M354)=0,'Game Records'!$U354="Subscription"),"",IFERROR(MAX($K$4:K353),0)+1)</x:f>
      </x:c>
      <x:c r="L354" s="989" t="str">
        <x:f>IF($K354="","","G-"&amp;TEXT($K354,"0000"))</x:f>
      </x:c>
      <x:c r="M354" s="989" t="str">
        <x:f>IF($K354="","",IFERROR('Game Records'!$A354,""))</x:f>
      </x:c>
      <x:c r="N354" s="989" t="str">
        <x:f>IF($K354="","",IFERROR('Game Records'!$U354,""))</x:f>
      </x:c>
      <x:c r="O354" s="989" t="str">
        <x:f>IF($K354="","",IF($P354="","No Highlighted Fields","Highlighted Fields Present"))</x:f>
      </x:c>
      <x:c r="P354" s="989" t="str">
        <x:f>IF($K354="","",IF('Game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Q354" s="989" t="str">
        <x:f>IF($K354="","",IFERROR('Game Records'!$M354,""))</x:f>
      </x:c>
    </x:row>
    <x:row r="355" ht="24" customHeight="1">
      <x:c r="A355" s="332"/>
      <x:c r="B355" s="332"/>
      <x:c r="C355" s="331"/>
      <x:c r="D355" s="331"/>
      <x:c r="E355" s="331"/>
      <x:c r="F355" s="331"/>
      <x:c r="G355" s="331"/>
      <x:c r="K355" s="989" t="str">
        <x:f>IF(OR(COUNTA('Game Records'!$A355:$M355)=0,'Game Records'!$U355="Subscription"),"",IFERROR(MAX($K$4:K354),0)+1)</x:f>
      </x:c>
      <x:c r="L355" s="989" t="str">
        <x:f>IF($K355="","","G-"&amp;TEXT($K355,"0000"))</x:f>
      </x:c>
      <x:c r="M355" s="989" t="str">
        <x:f>IF($K355="","",IFERROR('Game Records'!$A355,""))</x:f>
      </x:c>
      <x:c r="N355" s="989" t="str">
        <x:f>IF($K355="","",IFERROR('Game Records'!$U355,""))</x:f>
      </x:c>
      <x:c r="O355" s="989" t="str">
        <x:f>IF($K355="","",IF($P355="","No Highlighted Fields","Highlighted Fields Present"))</x:f>
      </x:c>
      <x:c r="P355" s="989" t="str">
        <x:f>IF($K355="","",IF('Game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Q355" s="989" t="str">
        <x:f>IF($K355="","",IFERROR('Game Records'!$M355,""))</x:f>
      </x:c>
    </x:row>
    <x:row r="356" ht="24" customHeight="1">
      <x:c r="A356" s="332"/>
      <x:c r="B356" s="332"/>
      <x:c r="C356" s="331"/>
      <x:c r="D356" s="331"/>
      <x:c r="E356" s="331"/>
      <x:c r="F356" s="331"/>
      <x:c r="G356" s="331"/>
      <x:c r="K356" s="989" t="str">
        <x:f>IF(OR(COUNTA('Game Records'!$A356:$M356)=0,'Game Records'!$U356="Subscription"),"",IFERROR(MAX($K$4:K355),0)+1)</x:f>
      </x:c>
      <x:c r="L356" s="989" t="str">
        <x:f>IF($K356="","","G-"&amp;TEXT($K356,"0000"))</x:f>
      </x:c>
      <x:c r="M356" s="989" t="str">
        <x:f>IF($K356="","",IFERROR('Game Records'!$A356,""))</x:f>
      </x:c>
      <x:c r="N356" s="989" t="str">
        <x:f>IF($K356="","",IFERROR('Game Records'!$U356,""))</x:f>
      </x:c>
      <x:c r="O356" s="989" t="str">
        <x:f>IF($K356="","",IF($P356="","No Highlighted Fields","Highlighted Fields Present"))</x:f>
      </x:c>
      <x:c r="P356" s="989" t="str">
        <x:f>IF($K356="","",IF('Game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Q356" s="989" t="str">
        <x:f>IF($K356="","",IFERROR('Game Records'!$M356,""))</x:f>
      </x:c>
    </x:row>
    <x:row r="357" ht="24" customHeight="1">
      <x:c r="A357" s="332"/>
      <x:c r="B357" s="332"/>
      <x:c r="C357" s="331"/>
      <x:c r="D357" s="331"/>
      <x:c r="E357" s="331"/>
      <x:c r="F357" s="331"/>
      <x:c r="G357" s="331"/>
      <x:c r="K357" s="989" t="str">
        <x:f>IF(OR(COUNTA('Game Records'!$A357:$M357)=0,'Game Records'!$U357="Subscription"),"",IFERROR(MAX($K$4:K356),0)+1)</x:f>
      </x:c>
      <x:c r="L357" s="989" t="str">
        <x:f>IF($K357="","","G-"&amp;TEXT($K357,"0000"))</x:f>
      </x:c>
      <x:c r="M357" s="989" t="str">
        <x:f>IF($K357="","",IFERROR('Game Records'!$A357,""))</x:f>
      </x:c>
      <x:c r="N357" s="989" t="str">
        <x:f>IF($K357="","",IFERROR('Game Records'!$U357,""))</x:f>
      </x:c>
      <x:c r="O357" s="989" t="str">
        <x:f>IF($K357="","",IF($P357="","No Highlighted Fields","Highlighted Fields Present"))</x:f>
      </x:c>
      <x:c r="P357" s="989" t="str">
        <x:f>IF($K357="","",IF('Game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Q357" s="989" t="str">
        <x:f>IF($K357="","",IFERROR('Game Records'!$M357,""))</x:f>
      </x:c>
    </x:row>
    <x:row r="358" ht="24" customHeight="1">
      <x:c r="A358" s="332"/>
      <x:c r="B358" s="332"/>
      <x:c r="C358" s="331"/>
      <x:c r="D358" s="331"/>
      <x:c r="E358" s="331"/>
      <x:c r="F358" s="331"/>
      <x:c r="G358" s="331"/>
      <x:c r="K358" s="989" t="str">
        <x:f>IF(OR(COUNTA('Game Records'!$A358:$M358)=0,'Game Records'!$U358="Subscription"),"",IFERROR(MAX($K$4:K357),0)+1)</x:f>
      </x:c>
      <x:c r="L358" s="989" t="str">
        <x:f>IF($K358="","","G-"&amp;TEXT($K358,"0000"))</x:f>
      </x:c>
      <x:c r="M358" s="989" t="str">
        <x:f>IF($K358="","",IFERROR('Game Records'!$A358,""))</x:f>
      </x:c>
      <x:c r="N358" s="989" t="str">
        <x:f>IF($K358="","",IFERROR('Game Records'!$U358,""))</x:f>
      </x:c>
      <x:c r="O358" s="989" t="str">
        <x:f>IF($K358="","",IF($P358="","No Highlighted Fields","Highlighted Fields Present"))</x:f>
      </x:c>
      <x:c r="P358" s="989" t="str">
        <x:f>IF($K358="","",IF('Game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Q358" s="989" t="str">
        <x:f>IF($K358="","",IFERROR('Game Records'!$M358,""))</x:f>
      </x:c>
    </x:row>
    <x:row r="359" ht="24" customHeight="1">
      <x:c r="A359" s="332"/>
      <x:c r="B359" s="332"/>
      <x:c r="C359" s="331"/>
      <x:c r="D359" s="331"/>
      <x:c r="E359" s="331"/>
      <x:c r="F359" s="331"/>
      <x:c r="G359" s="331"/>
      <x:c r="K359" s="989" t="str">
        <x:f>IF(OR(COUNTA('Game Records'!$A359:$M359)=0,'Game Records'!$U359="Subscription"),"",IFERROR(MAX($K$4:K358),0)+1)</x:f>
      </x:c>
      <x:c r="L359" s="989" t="str">
        <x:f>IF($K359="","","G-"&amp;TEXT($K359,"0000"))</x:f>
      </x:c>
      <x:c r="M359" s="989" t="str">
        <x:f>IF($K359="","",IFERROR('Game Records'!$A359,""))</x:f>
      </x:c>
      <x:c r="N359" s="989" t="str">
        <x:f>IF($K359="","",IFERROR('Game Records'!$U359,""))</x:f>
      </x:c>
      <x:c r="O359" s="989" t="str">
        <x:f>IF($K359="","",IF($P359="","No Highlighted Fields","Highlighted Fields Present"))</x:f>
      </x:c>
      <x:c r="P359" s="989" t="str">
        <x:f>IF($K359="","",IF('Game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Q359" s="989" t="str">
        <x:f>IF($K359="","",IFERROR('Game Records'!$M359,""))</x:f>
      </x:c>
    </x:row>
    <x:row r="360" ht="24" customHeight="1">
      <x:c r="A360" s="332"/>
      <x:c r="B360" s="332"/>
      <x:c r="C360" s="331"/>
      <x:c r="D360" s="331"/>
      <x:c r="E360" s="331"/>
      <x:c r="F360" s="331"/>
      <x:c r="G360" s="331"/>
      <x:c r="K360" s="989" t="str">
        <x:f>IF(OR(COUNTA('Game Records'!$A360:$M360)=0,'Game Records'!$U360="Subscription"),"",IFERROR(MAX($K$4:K359),0)+1)</x:f>
      </x:c>
      <x:c r="L360" s="989" t="str">
        <x:f>IF($K360="","","G-"&amp;TEXT($K360,"0000"))</x:f>
      </x:c>
      <x:c r="M360" s="989" t="str">
        <x:f>IF($K360="","",IFERROR('Game Records'!$A360,""))</x:f>
      </x:c>
      <x:c r="N360" s="989" t="str">
        <x:f>IF($K360="","",IFERROR('Game Records'!$U360,""))</x:f>
      </x:c>
      <x:c r="O360" s="989" t="str">
        <x:f>IF($K360="","",IF($P360="","No Highlighted Fields","Highlighted Fields Present"))</x:f>
      </x:c>
      <x:c r="P360" s="989" t="str">
        <x:f>IF($K360="","",IF('Game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Q360" s="989" t="str">
        <x:f>IF($K360="","",IFERROR('Game Records'!$M360,""))</x:f>
      </x:c>
    </x:row>
    <x:row r="361" ht="24" customHeight="1">
      <x:c r="A361" s="332"/>
      <x:c r="B361" s="332"/>
      <x:c r="C361" s="331"/>
      <x:c r="D361" s="331"/>
      <x:c r="E361" s="331"/>
      <x:c r="F361" s="331"/>
      <x:c r="G361" s="331"/>
      <x:c r="K361" s="989" t="str">
        <x:f>IF(OR(COUNTA('Game Records'!$A361:$M361)=0,'Game Records'!$U361="Subscription"),"",IFERROR(MAX($K$4:K360),0)+1)</x:f>
      </x:c>
      <x:c r="L361" s="989" t="str">
        <x:f>IF($K361="","","G-"&amp;TEXT($K361,"0000"))</x:f>
      </x:c>
      <x:c r="M361" s="989" t="str">
        <x:f>IF($K361="","",IFERROR('Game Records'!$A361,""))</x:f>
      </x:c>
      <x:c r="N361" s="989" t="str">
        <x:f>IF($K361="","",IFERROR('Game Records'!$U361,""))</x:f>
      </x:c>
      <x:c r="O361" s="989" t="str">
        <x:f>IF($K361="","",IF($P361="","No Highlighted Fields","Highlighted Fields Present"))</x:f>
      </x:c>
      <x:c r="P361" s="989" t="str">
        <x:f>IF($K361="","",IF('Game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Q361" s="989" t="str">
        <x:f>IF($K361="","",IFERROR('Game Records'!$M361,""))</x:f>
      </x:c>
    </x:row>
    <x:row r="362" ht="24" customHeight="1">
      <x:c r="A362" s="332"/>
      <x:c r="B362" s="332"/>
      <x:c r="C362" s="331"/>
      <x:c r="D362" s="331"/>
      <x:c r="E362" s="331"/>
      <x:c r="F362" s="331"/>
      <x:c r="G362" s="331"/>
      <x:c r="K362" s="989" t="str">
        <x:f>IF(OR(COUNTA('Game Records'!$A362:$M362)=0,'Game Records'!$U362="Subscription"),"",IFERROR(MAX($K$4:K361),0)+1)</x:f>
      </x:c>
      <x:c r="L362" s="989" t="str">
        <x:f>IF($K362="","","G-"&amp;TEXT($K362,"0000"))</x:f>
      </x:c>
      <x:c r="M362" s="989" t="str">
        <x:f>IF($K362="","",IFERROR('Game Records'!$A362,""))</x:f>
      </x:c>
      <x:c r="N362" s="989" t="str">
        <x:f>IF($K362="","",IFERROR('Game Records'!$U362,""))</x:f>
      </x:c>
      <x:c r="O362" s="989" t="str">
        <x:f>IF($K362="","",IF($P362="","No Highlighted Fields","Highlighted Fields Present"))</x:f>
      </x:c>
      <x:c r="P362" s="989" t="str">
        <x:f>IF($K362="","",IF('Game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Q362" s="989" t="str">
        <x:f>IF($K362="","",IFERROR('Game Records'!$M362,""))</x:f>
      </x:c>
    </x:row>
    <x:row r="363" ht="24" customHeight="1">
      <x:c r="A363" s="332"/>
      <x:c r="B363" s="332"/>
      <x:c r="C363" s="331"/>
      <x:c r="D363" s="331"/>
      <x:c r="E363" s="331"/>
      <x:c r="F363" s="331"/>
      <x:c r="G363" s="331"/>
      <x:c r="K363" s="989" t="str">
        <x:f>IF(OR(COUNTA('Game Records'!$A363:$M363)=0,'Game Records'!$U363="Subscription"),"",IFERROR(MAX($K$4:K362),0)+1)</x:f>
      </x:c>
      <x:c r="L363" s="989" t="str">
        <x:f>IF($K363="","","G-"&amp;TEXT($K363,"0000"))</x:f>
      </x:c>
      <x:c r="M363" s="989" t="str">
        <x:f>IF($K363="","",IFERROR('Game Records'!$A363,""))</x:f>
      </x:c>
      <x:c r="N363" s="989" t="str">
        <x:f>IF($K363="","",IFERROR('Game Records'!$U363,""))</x:f>
      </x:c>
      <x:c r="O363" s="989" t="str">
        <x:f>IF($K363="","",IF($P363="","No Highlighted Fields","Highlighted Fields Present"))</x:f>
      </x:c>
      <x:c r="P363" s="989" t="str">
        <x:f>IF($K363="","",IF('Game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Q363" s="989" t="str">
        <x:f>IF($K363="","",IFERROR('Game Records'!$M363,""))</x:f>
      </x:c>
    </x:row>
    <x:row r="364" ht="24" customHeight="1">
      <x:c r="A364" s="332"/>
      <x:c r="B364" s="332"/>
      <x:c r="C364" s="331"/>
      <x:c r="D364" s="331"/>
      <x:c r="E364" s="331"/>
      <x:c r="F364" s="331"/>
      <x:c r="G364" s="331"/>
      <x:c r="K364" s="989" t="str">
        <x:f>IF(OR(COUNTA('Game Records'!$A364:$M364)=0,'Game Records'!$U364="Subscription"),"",IFERROR(MAX($K$4:K363),0)+1)</x:f>
      </x:c>
      <x:c r="L364" s="989" t="str">
        <x:f>IF($K364="","","G-"&amp;TEXT($K364,"0000"))</x:f>
      </x:c>
      <x:c r="M364" s="989" t="str">
        <x:f>IF($K364="","",IFERROR('Game Records'!$A364,""))</x:f>
      </x:c>
      <x:c r="N364" s="989" t="str">
        <x:f>IF($K364="","",IFERROR('Game Records'!$U364,""))</x:f>
      </x:c>
      <x:c r="O364" s="989" t="str">
        <x:f>IF($K364="","",IF($P364="","No Highlighted Fields","Highlighted Fields Present"))</x:f>
      </x:c>
      <x:c r="P364" s="989" t="str">
        <x:f>IF($K364="","",IF('Game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Q364" s="989" t="str">
        <x:f>IF($K364="","",IFERROR('Game Records'!$M364,""))</x:f>
      </x:c>
    </x:row>
    <x:row r="365" ht="24" customHeight="1">
      <x:c r="A365" s="332"/>
      <x:c r="B365" s="332"/>
      <x:c r="C365" s="331"/>
      <x:c r="D365" s="331"/>
      <x:c r="E365" s="331"/>
      <x:c r="F365" s="331"/>
      <x:c r="G365" s="331"/>
      <x:c r="K365" s="989" t="str">
        <x:f>IF(OR(COUNTA('Game Records'!$A365:$M365)=0,'Game Records'!$U365="Subscription"),"",IFERROR(MAX($K$4:K364),0)+1)</x:f>
      </x:c>
      <x:c r="L365" s="989" t="str">
        <x:f>IF($K365="","","G-"&amp;TEXT($K365,"0000"))</x:f>
      </x:c>
      <x:c r="M365" s="989" t="str">
        <x:f>IF($K365="","",IFERROR('Game Records'!$A365,""))</x:f>
      </x:c>
      <x:c r="N365" s="989" t="str">
        <x:f>IF($K365="","",IFERROR('Game Records'!$U365,""))</x:f>
      </x:c>
      <x:c r="O365" s="989" t="str">
        <x:f>IF($K365="","",IF($P365="","No Highlighted Fields","Highlighted Fields Present"))</x:f>
      </x:c>
      <x:c r="P365" s="989" t="str">
        <x:f>IF($K365="","",IF('Game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Q365" s="989" t="str">
        <x:f>IF($K365="","",IFERROR('Game Records'!$M365,""))</x:f>
      </x:c>
    </x:row>
    <x:row r="366" ht="24" customHeight="1">
      <x:c r="A366" s="332"/>
      <x:c r="B366" s="332"/>
      <x:c r="C366" s="331"/>
      <x:c r="D366" s="331"/>
      <x:c r="E366" s="331"/>
      <x:c r="F366" s="331"/>
      <x:c r="G366" s="331"/>
      <x:c r="K366" s="989" t="str">
        <x:f>IF(OR(COUNTA('Game Records'!$A366:$M366)=0,'Game Records'!$U366="Subscription"),"",IFERROR(MAX($K$4:K365),0)+1)</x:f>
      </x:c>
      <x:c r="L366" s="989" t="str">
        <x:f>IF($K366="","","G-"&amp;TEXT($K366,"0000"))</x:f>
      </x:c>
      <x:c r="M366" s="989" t="str">
        <x:f>IF($K366="","",IFERROR('Game Records'!$A366,""))</x:f>
      </x:c>
      <x:c r="N366" s="989" t="str">
        <x:f>IF($K366="","",IFERROR('Game Records'!$U366,""))</x:f>
      </x:c>
      <x:c r="O366" s="989" t="str">
        <x:f>IF($K366="","",IF($P366="","No Highlighted Fields","Highlighted Fields Present"))</x:f>
      </x:c>
      <x:c r="P366" s="989" t="str">
        <x:f>IF($K366="","",IF('Game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Q366" s="989" t="str">
        <x:f>IF($K366="","",IFERROR('Game Records'!$M366,""))</x:f>
      </x:c>
    </x:row>
    <x:row r="367" ht="24" customHeight="1">
      <x:c r="A367" s="332"/>
      <x:c r="B367" s="332"/>
      <x:c r="C367" s="331"/>
      <x:c r="D367" s="331"/>
      <x:c r="E367" s="331"/>
      <x:c r="F367" s="331"/>
      <x:c r="G367" s="331"/>
      <x:c r="K367" s="989" t="str">
        <x:f>IF(OR(COUNTA('Game Records'!$A367:$M367)=0,'Game Records'!$U367="Subscription"),"",IFERROR(MAX($K$4:K366),0)+1)</x:f>
      </x:c>
      <x:c r="L367" s="989" t="str">
        <x:f>IF($K367="","","G-"&amp;TEXT($K367,"0000"))</x:f>
      </x:c>
      <x:c r="M367" s="989" t="str">
        <x:f>IF($K367="","",IFERROR('Game Records'!$A367,""))</x:f>
      </x:c>
      <x:c r="N367" s="989" t="str">
        <x:f>IF($K367="","",IFERROR('Game Records'!$U367,""))</x:f>
      </x:c>
      <x:c r="O367" s="989" t="str">
        <x:f>IF($K367="","",IF($P367="","No Highlighted Fields","Highlighted Fields Present"))</x:f>
      </x:c>
      <x:c r="P367" s="989" t="str">
        <x:f>IF($K367="","",IF('Game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Q367" s="989" t="str">
        <x:f>IF($K367="","",IFERROR('Game Records'!$M367,""))</x:f>
      </x:c>
    </x:row>
    <x:row r="368" ht="24" customHeight="1">
      <x:c r="A368" s="332"/>
      <x:c r="B368" s="332"/>
      <x:c r="C368" s="331"/>
      <x:c r="D368" s="331"/>
      <x:c r="E368" s="331"/>
      <x:c r="F368" s="331"/>
      <x:c r="G368" s="331"/>
      <x:c r="K368" s="989" t="str">
        <x:f>IF(OR(COUNTA('Game Records'!$A368:$M368)=0,'Game Records'!$U368="Subscription"),"",IFERROR(MAX($K$4:K367),0)+1)</x:f>
      </x:c>
      <x:c r="L368" s="989" t="str">
        <x:f>IF($K368="","","G-"&amp;TEXT($K368,"0000"))</x:f>
      </x:c>
      <x:c r="M368" s="989" t="str">
        <x:f>IF($K368="","",IFERROR('Game Records'!$A368,""))</x:f>
      </x:c>
      <x:c r="N368" s="989" t="str">
        <x:f>IF($K368="","",IFERROR('Game Records'!$U368,""))</x:f>
      </x:c>
      <x:c r="O368" s="989" t="str">
        <x:f>IF($K368="","",IF($P368="","No Highlighted Fields","Highlighted Fields Present"))</x:f>
      </x:c>
      <x:c r="P368" s="989" t="str">
        <x:f>IF($K368="","",IF('Game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Q368" s="989" t="str">
        <x:f>IF($K368="","",IFERROR('Game Records'!$M368,""))</x:f>
      </x:c>
    </x:row>
    <x:row r="369" ht="24" customHeight="1">
      <x:c r="A369" s="332"/>
      <x:c r="B369" s="332"/>
      <x:c r="C369" s="331"/>
      <x:c r="D369" s="331"/>
      <x:c r="E369" s="331"/>
      <x:c r="F369" s="331"/>
      <x:c r="G369" s="331"/>
      <x:c r="K369" s="989" t="str">
        <x:f>IF(OR(COUNTA('Game Records'!$A369:$M369)=0,'Game Records'!$U369="Subscription"),"",IFERROR(MAX($K$4:K368),0)+1)</x:f>
      </x:c>
      <x:c r="L369" s="989" t="str">
        <x:f>IF($K369="","","G-"&amp;TEXT($K369,"0000"))</x:f>
      </x:c>
      <x:c r="M369" s="989" t="str">
        <x:f>IF($K369="","",IFERROR('Game Records'!$A369,""))</x:f>
      </x:c>
      <x:c r="N369" s="989" t="str">
        <x:f>IF($K369="","",IFERROR('Game Records'!$U369,""))</x:f>
      </x:c>
      <x:c r="O369" s="989" t="str">
        <x:f>IF($K369="","",IF($P369="","No Highlighted Fields","Highlighted Fields Present"))</x:f>
      </x:c>
      <x:c r="P369" s="989" t="str">
        <x:f>IF($K369="","",IF('Game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Q369" s="989" t="str">
        <x:f>IF($K369="","",IFERROR('Game Records'!$M369,""))</x:f>
      </x:c>
    </x:row>
    <x:row r="370" ht="24" customHeight="1">
      <x:c r="A370" s="332"/>
      <x:c r="B370" s="332"/>
      <x:c r="C370" s="331"/>
      <x:c r="D370" s="331"/>
      <x:c r="E370" s="331"/>
      <x:c r="F370" s="331"/>
      <x:c r="G370" s="331"/>
      <x:c r="K370" s="989" t="str">
        <x:f>IF(OR(COUNTA('Game Records'!$A370:$M370)=0,'Game Records'!$U370="Subscription"),"",IFERROR(MAX($K$4:K369),0)+1)</x:f>
      </x:c>
      <x:c r="L370" s="989" t="str">
        <x:f>IF($K370="","","G-"&amp;TEXT($K370,"0000"))</x:f>
      </x:c>
      <x:c r="M370" s="989" t="str">
        <x:f>IF($K370="","",IFERROR('Game Records'!$A370,""))</x:f>
      </x:c>
      <x:c r="N370" s="989" t="str">
        <x:f>IF($K370="","",IFERROR('Game Records'!$U370,""))</x:f>
      </x:c>
      <x:c r="O370" s="989" t="str">
        <x:f>IF($K370="","",IF($P370="","No Highlighted Fields","Highlighted Fields Present"))</x:f>
      </x:c>
      <x:c r="P370" s="989" t="str">
        <x:f>IF($K370="","",IF('Game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Q370" s="989" t="str">
        <x:f>IF($K370="","",IFERROR('Game Records'!$M370,""))</x:f>
      </x:c>
    </x:row>
    <x:row r="371" ht="24" customHeight="1">
      <x:c r="A371" s="332"/>
      <x:c r="B371" s="332"/>
      <x:c r="C371" s="331"/>
      <x:c r="D371" s="331"/>
      <x:c r="E371" s="331"/>
      <x:c r="F371" s="331"/>
      <x:c r="G371" s="331"/>
      <x:c r="K371" s="989" t="str">
        <x:f>IF(OR(COUNTA('Game Records'!$A371:$M371)=0,'Game Records'!$U371="Subscription"),"",IFERROR(MAX($K$4:K370),0)+1)</x:f>
      </x:c>
      <x:c r="L371" s="989" t="str">
        <x:f>IF($K371="","","G-"&amp;TEXT($K371,"0000"))</x:f>
      </x:c>
      <x:c r="M371" s="989" t="str">
        <x:f>IF($K371="","",IFERROR('Game Records'!$A371,""))</x:f>
      </x:c>
      <x:c r="N371" s="989" t="str">
        <x:f>IF($K371="","",IFERROR('Game Records'!$U371,""))</x:f>
      </x:c>
      <x:c r="O371" s="989" t="str">
        <x:f>IF($K371="","",IF($P371="","No Highlighted Fields","Highlighted Fields Present"))</x:f>
      </x:c>
      <x:c r="P371" s="989" t="str">
        <x:f>IF($K371="","",IF('Game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Q371" s="989" t="str">
        <x:f>IF($K371="","",IFERROR('Game Records'!$M371,""))</x:f>
      </x:c>
    </x:row>
    <x:row r="372" ht="24" customHeight="1">
      <x:c r="A372" s="332"/>
      <x:c r="B372" s="332"/>
      <x:c r="C372" s="331"/>
      <x:c r="D372" s="331"/>
      <x:c r="E372" s="331"/>
      <x:c r="F372" s="331"/>
      <x:c r="G372" s="331"/>
      <x:c r="K372" s="989" t="str">
        <x:f>IF(OR(COUNTA('Game Records'!$A372:$M372)=0,'Game Records'!$U372="Subscription"),"",IFERROR(MAX($K$4:K371),0)+1)</x:f>
      </x:c>
      <x:c r="L372" s="989" t="str">
        <x:f>IF($K372="","","G-"&amp;TEXT($K372,"0000"))</x:f>
      </x:c>
      <x:c r="M372" s="989" t="str">
        <x:f>IF($K372="","",IFERROR('Game Records'!$A372,""))</x:f>
      </x:c>
      <x:c r="N372" s="989" t="str">
        <x:f>IF($K372="","",IFERROR('Game Records'!$U372,""))</x:f>
      </x:c>
      <x:c r="O372" s="989" t="str">
        <x:f>IF($K372="","",IF($P372="","No Highlighted Fields","Highlighted Fields Present"))</x:f>
      </x:c>
      <x:c r="P372" s="989" t="str">
        <x:f>IF($K372="","",IF('Game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Q372" s="989" t="str">
        <x:f>IF($K372="","",IFERROR('Game Records'!$M372,""))</x:f>
      </x:c>
    </x:row>
    <x:row r="373" ht="24" customHeight="1">
      <x:c r="A373" s="332"/>
      <x:c r="B373" s="332"/>
      <x:c r="C373" s="331"/>
      <x:c r="D373" s="331"/>
      <x:c r="E373" s="331"/>
      <x:c r="F373" s="331"/>
      <x:c r="G373" s="331"/>
      <x:c r="K373" s="989" t="str">
        <x:f>IF(OR(COUNTA('Game Records'!$A373:$M373)=0,'Game Records'!$U373="Subscription"),"",IFERROR(MAX($K$4:K372),0)+1)</x:f>
      </x:c>
      <x:c r="L373" s="989" t="str">
        <x:f>IF($K373="","","G-"&amp;TEXT($K373,"0000"))</x:f>
      </x:c>
      <x:c r="M373" s="989" t="str">
        <x:f>IF($K373="","",IFERROR('Game Records'!$A373,""))</x:f>
      </x:c>
      <x:c r="N373" s="989" t="str">
        <x:f>IF($K373="","",IFERROR('Game Records'!$U373,""))</x:f>
      </x:c>
      <x:c r="O373" s="989" t="str">
        <x:f>IF($K373="","",IF($P373="","No Highlighted Fields","Highlighted Fields Present"))</x:f>
      </x:c>
      <x:c r="P373" s="989" t="str">
        <x:f>IF($K373="","",IF('Game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Q373" s="989" t="str">
        <x:f>IF($K373="","",IFERROR('Game Records'!$M373,""))</x:f>
      </x:c>
    </x:row>
    <x:row r="374" ht="24" customHeight="1">
      <x:c r="A374" s="332"/>
      <x:c r="B374" s="332"/>
      <x:c r="C374" s="331"/>
      <x:c r="D374" s="331"/>
      <x:c r="E374" s="331"/>
      <x:c r="F374" s="331"/>
      <x:c r="G374" s="331"/>
      <x:c r="K374" s="989" t="str">
        <x:f>IF(OR(COUNTA('Game Records'!$A374:$M374)=0,'Game Records'!$U374="Subscription"),"",IFERROR(MAX($K$4:K373),0)+1)</x:f>
      </x:c>
      <x:c r="L374" s="989" t="str">
        <x:f>IF($K374="","","G-"&amp;TEXT($K374,"0000"))</x:f>
      </x:c>
      <x:c r="M374" s="989" t="str">
        <x:f>IF($K374="","",IFERROR('Game Records'!$A374,""))</x:f>
      </x:c>
      <x:c r="N374" s="989" t="str">
        <x:f>IF($K374="","",IFERROR('Game Records'!$U374,""))</x:f>
      </x:c>
      <x:c r="O374" s="989" t="str">
        <x:f>IF($K374="","",IF($P374="","No Highlighted Fields","Highlighted Fields Present"))</x:f>
      </x:c>
      <x:c r="P374" s="989" t="str">
        <x:f>IF($K374="","",IF('Game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Q374" s="989" t="str">
        <x:f>IF($K374="","",IFERROR('Game Records'!$M374,""))</x:f>
      </x:c>
    </x:row>
    <x:row r="375" ht="24" customHeight="1">
      <x:c r="A375" s="332"/>
      <x:c r="B375" s="332"/>
      <x:c r="C375" s="331"/>
      <x:c r="D375" s="331"/>
      <x:c r="E375" s="331"/>
      <x:c r="F375" s="331"/>
      <x:c r="G375" s="331"/>
      <x:c r="K375" s="989" t="str">
        <x:f>IF(OR(COUNTA('Game Records'!$A375:$M375)=0,'Game Records'!$U375="Subscription"),"",IFERROR(MAX($K$4:K374),0)+1)</x:f>
      </x:c>
      <x:c r="L375" s="989" t="str">
        <x:f>IF($K375="","","G-"&amp;TEXT($K375,"0000"))</x:f>
      </x:c>
      <x:c r="M375" s="989" t="str">
        <x:f>IF($K375="","",IFERROR('Game Records'!$A375,""))</x:f>
      </x:c>
      <x:c r="N375" s="989" t="str">
        <x:f>IF($K375="","",IFERROR('Game Records'!$U375,""))</x:f>
      </x:c>
      <x:c r="O375" s="989" t="str">
        <x:f>IF($K375="","",IF($P375="","No Highlighted Fields","Highlighted Fields Present"))</x:f>
      </x:c>
      <x:c r="P375" s="989" t="str">
        <x:f>IF($K375="","",IF('Game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Q375" s="989" t="str">
        <x:f>IF($K375="","",IFERROR('Game Records'!$M375,""))</x:f>
      </x:c>
    </x:row>
    <x:row r="376" ht="24" customHeight="1">
      <x:c r="A376" s="332"/>
      <x:c r="B376" s="332"/>
      <x:c r="C376" s="331"/>
      <x:c r="D376" s="331"/>
      <x:c r="E376" s="331"/>
      <x:c r="F376" s="331"/>
      <x:c r="G376" s="331"/>
      <x:c r="K376" s="989" t="str">
        <x:f>IF(OR(COUNTA('Game Records'!$A376:$M376)=0,'Game Records'!$U376="Subscription"),"",IFERROR(MAX($K$4:K375),0)+1)</x:f>
      </x:c>
      <x:c r="L376" s="989" t="str">
        <x:f>IF($K376="","","G-"&amp;TEXT($K376,"0000"))</x:f>
      </x:c>
      <x:c r="M376" s="989" t="str">
        <x:f>IF($K376="","",IFERROR('Game Records'!$A376,""))</x:f>
      </x:c>
      <x:c r="N376" s="989" t="str">
        <x:f>IF($K376="","",IFERROR('Game Records'!$U376,""))</x:f>
      </x:c>
      <x:c r="O376" s="989" t="str">
        <x:f>IF($K376="","",IF($P376="","No Highlighted Fields","Highlighted Fields Present"))</x:f>
      </x:c>
      <x:c r="P376" s="989" t="str">
        <x:f>IF($K376="","",IF('Game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Q376" s="989" t="str">
        <x:f>IF($K376="","",IFERROR('Game Records'!$M376,""))</x:f>
      </x:c>
    </x:row>
    <x:row r="377" ht="24" customHeight="1">
      <x:c r="A377" s="332"/>
      <x:c r="B377" s="332"/>
      <x:c r="C377" s="331"/>
      <x:c r="D377" s="331"/>
      <x:c r="E377" s="331"/>
      <x:c r="F377" s="331"/>
      <x:c r="G377" s="331"/>
      <x:c r="K377" s="989" t="str">
        <x:f>IF(OR(COUNTA('Game Records'!$A377:$M377)=0,'Game Records'!$U377="Subscription"),"",IFERROR(MAX($K$4:K376),0)+1)</x:f>
      </x:c>
      <x:c r="L377" s="989" t="str">
        <x:f>IF($K377="","","G-"&amp;TEXT($K377,"0000"))</x:f>
      </x:c>
      <x:c r="M377" s="989" t="str">
        <x:f>IF($K377="","",IFERROR('Game Records'!$A377,""))</x:f>
      </x:c>
      <x:c r="N377" s="989" t="str">
        <x:f>IF($K377="","",IFERROR('Game Records'!$U377,""))</x:f>
      </x:c>
      <x:c r="O377" s="989" t="str">
        <x:f>IF($K377="","",IF($P377="","No Highlighted Fields","Highlighted Fields Present"))</x:f>
      </x:c>
      <x:c r="P377" s="989" t="str">
        <x:f>IF($K377="","",IF('Game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Q377" s="989" t="str">
        <x:f>IF($K377="","",IFERROR('Game Records'!$M377,""))</x:f>
      </x:c>
    </x:row>
    <x:row r="378" ht="24" customHeight="1">
      <x:c r="A378" s="332"/>
      <x:c r="B378" s="332"/>
      <x:c r="C378" s="331"/>
      <x:c r="D378" s="331"/>
      <x:c r="E378" s="331"/>
      <x:c r="F378" s="331"/>
      <x:c r="G378" s="331"/>
      <x:c r="K378" s="989" t="str">
        <x:f>IF(OR(COUNTA('Game Records'!$A378:$M378)=0,'Game Records'!$U378="Subscription"),"",IFERROR(MAX($K$4:K377),0)+1)</x:f>
      </x:c>
      <x:c r="L378" s="989" t="str">
        <x:f>IF($K378="","","G-"&amp;TEXT($K378,"0000"))</x:f>
      </x:c>
      <x:c r="M378" s="989" t="str">
        <x:f>IF($K378="","",IFERROR('Game Records'!$A378,""))</x:f>
      </x:c>
      <x:c r="N378" s="989" t="str">
        <x:f>IF($K378="","",IFERROR('Game Records'!$U378,""))</x:f>
      </x:c>
      <x:c r="O378" s="989" t="str">
        <x:f>IF($K378="","",IF($P378="","No Highlighted Fields","Highlighted Fields Present"))</x:f>
      </x:c>
      <x:c r="P378" s="989" t="str">
        <x:f>IF($K378="","",IF('Game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Q378" s="989" t="str">
        <x:f>IF($K378="","",IFERROR('Game Records'!$M378,""))</x:f>
      </x:c>
    </x:row>
    <x:row r="379" ht="24" customHeight="1">
      <x:c r="A379" s="332"/>
      <x:c r="B379" s="332"/>
      <x:c r="C379" s="331"/>
      <x:c r="D379" s="331"/>
      <x:c r="E379" s="331"/>
      <x:c r="F379" s="331"/>
      <x:c r="G379" s="331"/>
      <x:c r="K379" s="989" t="str">
        <x:f>IF(OR(COUNTA('Game Records'!$A379:$M379)=0,'Game Records'!$U379="Subscription"),"",IFERROR(MAX($K$4:K378),0)+1)</x:f>
      </x:c>
      <x:c r="L379" s="989" t="str">
        <x:f>IF($K379="","","G-"&amp;TEXT($K379,"0000"))</x:f>
      </x:c>
      <x:c r="M379" s="989" t="str">
        <x:f>IF($K379="","",IFERROR('Game Records'!$A379,""))</x:f>
      </x:c>
      <x:c r="N379" s="989" t="str">
        <x:f>IF($K379="","",IFERROR('Game Records'!$U379,""))</x:f>
      </x:c>
      <x:c r="O379" s="989" t="str">
        <x:f>IF($K379="","",IF($P379="","No Highlighted Fields","Highlighted Fields Present"))</x:f>
      </x:c>
      <x:c r="P379" s="989" t="str">
        <x:f>IF($K379="","",IF('Game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Q379" s="989" t="str">
        <x:f>IF($K379="","",IFERROR('Game Records'!$M379,""))</x:f>
      </x:c>
    </x:row>
    <x:row r="380" ht="24" customHeight="1">
      <x:c r="A380" s="332"/>
      <x:c r="B380" s="332"/>
      <x:c r="C380" s="331"/>
      <x:c r="D380" s="331"/>
      <x:c r="E380" s="331"/>
      <x:c r="F380" s="331"/>
      <x:c r="G380" s="331"/>
      <x:c r="K380" s="989" t="str">
        <x:f>IF(OR(COUNTA('Game Records'!$A380:$M380)=0,'Game Records'!$U380="Subscription"),"",IFERROR(MAX($K$4:K379),0)+1)</x:f>
      </x:c>
      <x:c r="L380" s="989" t="str">
        <x:f>IF($K380="","","G-"&amp;TEXT($K380,"0000"))</x:f>
      </x:c>
      <x:c r="M380" s="989" t="str">
        <x:f>IF($K380="","",IFERROR('Game Records'!$A380,""))</x:f>
      </x:c>
      <x:c r="N380" s="989" t="str">
        <x:f>IF($K380="","",IFERROR('Game Records'!$U380,""))</x:f>
      </x:c>
      <x:c r="O380" s="989" t="str">
        <x:f>IF($K380="","",IF($P380="","No Highlighted Fields","Highlighted Fields Present"))</x:f>
      </x:c>
      <x:c r="P380" s="989" t="str">
        <x:f>IF($K380="","",IF('Game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Q380" s="989" t="str">
        <x:f>IF($K380="","",IFERROR('Game Records'!$M380,""))</x:f>
      </x:c>
    </x:row>
    <x:row r="381" ht="24" customHeight="1">
      <x:c r="A381" s="332"/>
      <x:c r="B381" s="332"/>
      <x:c r="C381" s="331"/>
      <x:c r="D381" s="331"/>
      <x:c r="E381" s="331"/>
      <x:c r="F381" s="331"/>
      <x:c r="G381" s="331"/>
      <x:c r="K381" s="989" t="str">
        <x:f>IF(OR(COUNTA('Game Records'!$A381:$M381)=0,'Game Records'!$U381="Subscription"),"",IFERROR(MAX($K$4:K380),0)+1)</x:f>
      </x:c>
      <x:c r="L381" s="989" t="str">
        <x:f>IF($K381="","","G-"&amp;TEXT($K381,"0000"))</x:f>
      </x:c>
      <x:c r="M381" s="989" t="str">
        <x:f>IF($K381="","",IFERROR('Game Records'!$A381,""))</x:f>
      </x:c>
      <x:c r="N381" s="989" t="str">
        <x:f>IF($K381="","",IFERROR('Game Records'!$U381,""))</x:f>
      </x:c>
      <x:c r="O381" s="989" t="str">
        <x:f>IF($K381="","",IF($P381="","No Highlighted Fields","Highlighted Fields Present"))</x:f>
      </x:c>
      <x:c r="P381" s="989" t="str">
        <x:f>IF($K381="","",IF('Game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Q381" s="989" t="str">
        <x:f>IF($K381="","",IFERROR('Game Records'!$M381,""))</x:f>
      </x:c>
    </x:row>
    <x:row r="382" ht="24" customHeight="1">
      <x:c r="A382" s="332"/>
      <x:c r="B382" s="332"/>
      <x:c r="C382" s="331"/>
      <x:c r="D382" s="331"/>
      <x:c r="E382" s="331"/>
      <x:c r="F382" s="331"/>
      <x:c r="G382" s="331"/>
      <x:c r="K382" s="989" t="str">
        <x:f>IF(OR(COUNTA('Game Records'!$A382:$M382)=0,'Game Records'!$U382="Subscription"),"",IFERROR(MAX($K$4:K381),0)+1)</x:f>
      </x:c>
      <x:c r="L382" s="989" t="str">
        <x:f>IF($K382="","","G-"&amp;TEXT($K382,"0000"))</x:f>
      </x:c>
      <x:c r="M382" s="989" t="str">
        <x:f>IF($K382="","",IFERROR('Game Records'!$A382,""))</x:f>
      </x:c>
      <x:c r="N382" s="989" t="str">
        <x:f>IF($K382="","",IFERROR('Game Records'!$U382,""))</x:f>
      </x:c>
      <x:c r="O382" s="989" t="str">
        <x:f>IF($K382="","",IF($P382="","No Highlighted Fields","Highlighted Fields Present"))</x:f>
      </x:c>
      <x:c r="P382" s="989" t="str">
        <x:f>IF($K382="","",IF('Game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Q382" s="989" t="str">
        <x:f>IF($K382="","",IFERROR('Game Records'!$M382,""))</x:f>
      </x:c>
    </x:row>
    <x:row r="383" ht="24" customHeight="1">
      <x:c r="A383" s="332"/>
      <x:c r="B383" s="332"/>
      <x:c r="C383" s="331"/>
      <x:c r="D383" s="331"/>
      <x:c r="E383" s="331"/>
      <x:c r="F383" s="331"/>
      <x:c r="G383" s="331"/>
      <x:c r="K383" s="989" t="str">
        <x:f>IF(OR(COUNTA('Game Records'!$A383:$M383)=0,'Game Records'!$U383="Subscription"),"",IFERROR(MAX($K$4:K382),0)+1)</x:f>
      </x:c>
      <x:c r="L383" s="989" t="str">
        <x:f>IF($K383="","","G-"&amp;TEXT($K383,"0000"))</x:f>
      </x:c>
      <x:c r="M383" s="989" t="str">
        <x:f>IF($K383="","",IFERROR('Game Records'!$A383,""))</x:f>
      </x:c>
      <x:c r="N383" s="989" t="str">
        <x:f>IF($K383="","",IFERROR('Game Records'!$U383,""))</x:f>
      </x:c>
      <x:c r="O383" s="989" t="str">
        <x:f>IF($K383="","",IF($P383="","No Highlighted Fields","Highlighted Fields Present"))</x:f>
      </x:c>
      <x:c r="P383" s="989" t="str">
        <x:f>IF($K383="","",IF('Game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Q383" s="989" t="str">
        <x:f>IF($K383="","",IFERROR('Game Records'!$M383,""))</x:f>
      </x:c>
    </x:row>
    <x:row r="384" ht="24" customHeight="1">
      <x:c r="A384" s="332"/>
      <x:c r="B384" s="332"/>
      <x:c r="C384" s="331"/>
      <x:c r="D384" s="331"/>
      <x:c r="E384" s="331"/>
      <x:c r="F384" s="331"/>
      <x:c r="G384" s="331"/>
      <x:c r="K384" s="989" t="str">
        <x:f>IF(OR(COUNTA('Game Records'!$A384:$M384)=0,'Game Records'!$U384="Subscription"),"",IFERROR(MAX($K$4:K383),0)+1)</x:f>
      </x:c>
      <x:c r="L384" s="989" t="str">
        <x:f>IF($K384="","","G-"&amp;TEXT($K384,"0000"))</x:f>
      </x:c>
      <x:c r="M384" s="989" t="str">
        <x:f>IF($K384="","",IFERROR('Game Records'!$A384,""))</x:f>
      </x:c>
      <x:c r="N384" s="989" t="str">
        <x:f>IF($K384="","",IFERROR('Game Records'!$U384,""))</x:f>
      </x:c>
      <x:c r="O384" s="989" t="str">
        <x:f>IF($K384="","",IF($P384="","No Highlighted Fields","Highlighted Fields Present"))</x:f>
      </x:c>
      <x:c r="P384" s="989" t="str">
        <x:f>IF($K384="","",IF('Game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Q384" s="989" t="str">
        <x:f>IF($K384="","",IFERROR('Game Records'!$M384,""))</x:f>
      </x:c>
    </x:row>
    <x:row r="385" ht="24" customHeight="1">
      <x:c r="A385" s="332"/>
      <x:c r="B385" s="332"/>
      <x:c r="C385" s="331"/>
      <x:c r="D385" s="331"/>
      <x:c r="E385" s="331"/>
      <x:c r="F385" s="331"/>
      <x:c r="G385" s="331"/>
      <x:c r="K385" s="989" t="str">
        <x:f>IF(OR(COUNTA('Game Records'!$A385:$M385)=0,'Game Records'!$U385="Subscription"),"",IFERROR(MAX($K$4:K384),0)+1)</x:f>
      </x:c>
      <x:c r="L385" s="989" t="str">
        <x:f>IF($K385="","","G-"&amp;TEXT($K385,"0000"))</x:f>
      </x:c>
      <x:c r="M385" s="989" t="str">
        <x:f>IF($K385="","",IFERROR('Game Records'!$A385,""))</x:f>
      </x:c>
      <x:c r="N385" s="989" t="str">
        <x:f>IF($K385="","",IFERROR('Game Records'!$U385,""))</x:f>
      </x:c>
      <x:c r="O385" s="989" t="str">
        <x:f>IF($K385="","",IF($P385="","No Highlighted Fields","Highlighted Fields Present"))</x:f>
      </x:c>
      <x:c r="P385" s="989" t="str">
        <x:f>IF($K385="","",IF('Game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Q385" s="989" t="str">
        <x:f>IF($K385="","",IFERROR('Game Records'!$M385,""))</x:f>
      </x:c>
    </x:row>
    <x:row r="386" ht="24" customHeight="1">
      <x:c r="A386" s="332"/>
      <x:c r="B386" s="332"/>
      <x:c r="C386" s="331"/>
      <x:c r="D386" s="331"/>
      <x:c r="E386" s="331"/>
      <x:c r="F386" s="331"/>
      <x:c r="G386" s="331"/>
      <x:c r="K386" s="989" t="str">
        <x:f>IF(OR(COUNTA('Game Records'!$A386:$M386)=0,'Game Records'!$U386="Subscription"),"",IFERROR(MAX($K$4:K385),0)+1)</x:f>
      </x:c>
      <x:c r="L386" s="989" t="str">
        <x:f>IF($K386="","","G-"&amp;TEXT($K386,"0000"))</x:f>
      </x:c>
      <x:c r="M386" s="989" t="str">
        <x:f>IF($K386="","",IFERROR('Game Records'!$A386,""))</x:f>
      </x:c>
      <x:c r="N386" s="989" t="str">
        <x:f>IF($K386="","",IFERROR('Game Records'!$U386,""))</x:f>
      </x:c>
      <x:c r="O386" s="989" t="str">
        <x:f>IF($K386="","",IF($P386="","No Highlighted Fields","Highlighted Fields Present"))</x:f>
      </x:c>
      <x:c r="P386" s="989" t="str">
        <x:f>IF($K386="","",IF('Game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Q386" s="989" t="str">
        <x:f>IF($K386="","",IFERROR('Game Records'!$M386,""))</x:f>
      </x:c>
    </x:row>
    <x:row r="387" ht="24" customHeight="1">
      <x:c r="A387" s="332"/>
      <x:c r="B387" s="332"/>
      <x:c r="C387" s="331"/>
      <x:c r="D387" s="331"/>
      <x:c r="E387" s="331"/>
      <x:c r="F387" s="331"/>
      <x:c r="G387" s="331"/>
      <x:c r="K387" s="989" t="str">
        <x:f>IF(OR(COUNTA('Game Records'!$A387:$M387)=0,'Game Records'!$U387="Subscription"),"",IFERROR(MAX($K$4:K386),0)+1)</x:f>
      </x:c>
      <x:c r="L387" s="989" t="str">
        <x:f>IF($K387="","","G-"&amp;TEXT($K387,"0000"))</x:f>
      </x:c>
      <x:c r="M387" s="989" t="str">
        <x:f>IF($K387="","",IFERROR('Game Records'!$A387,""))</x:f>
      </x:c>
      <x:c r="N387" s="989" t="str">
        <x:f>IF($K387="","",IFERROR('Game Records'!$U387,""))</x:f>
      </x:c>
      <x:c r="O387" s="989" t="str">
        <x:f>IF($K387="","",IF($P387="","No Highlighted Fields","Highlighted Fields Present"))</x:f>
      </x:c>
      <x:c r="P387" s="989" t="str">
        <x:f>IF($K387="","",IF('Game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Q387" s="989" t="str">
        <x:f>IF($K387="","",IFERROR('Game Records'!$M387,""))</x:f>
      </x:c>
    </x:row>
    <x:row r="388" ht="24" customHeight="1">
      <x:c r="A388" s="332"/>
      <x:c r="B388" s="332"/>
      <x:c r="C388" s="331"/>
      <x:c r="D388" s="331"/>
      <x:c r="E388" s="331"/>
      <x:c r="F388" s="331"/>
      <x:c r="G388" s="331"/>
      <x:c r="K388" s="989" t="str">
        <x:f>IF(OR(COUNTA('Game Records'!$A388:$M388)=0,'Game Records'!$U388="Subscription"),"",IFERROR(MAX($K$4:K387),0)+1)</x:f>
      </x:c>
      <x:c r="L388" s="989" t="str">
        <x:f>IF($K388="","","G-"&amp;TEXT($K388,"0000"))</x:f>
      </x:c>
      <x:c r="M388" s="989" t="str">
        <x:f>IF($K388="","",IFERROR('Game Records'!$A388,""))</x:f>
      </x:c>
      <x:c r="N388" s="989" t="str">
        <x:f>IF($K388="","",IFERROR('Game Records'!$U388,""))</x:f>
      </x:c>
      <x:c r="O388" s="989" t="str">
        <x:f>IF($K388="","",IF($P388="","No Highlighted Fields","Highlighted Fields Present"))</x:f>
      </x:c>
      <x:c r="P388" s="989" t="str">
        <x:f>IF($K388="","",IF('Game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Q388" s="989" t="str">
        <x:f>IF($K388="","",IFERROR('Game Records'!$M388,""))</x:f>
      </x:c>
    </x:row>
    <x:row r="389" ht="24" customHeight="1">
      <x:c r="A389" s="332"/>
      <x:c r="B389" s="332"/>
      <x:c r="C389" s="331"/>
      <x:c r="D389" s="331"/>
      <x:c r="E389" s="331"/>
      <x:c r="F389" s="331"/>
      <x:c r="G389" s="331"/>
      <x:c r="K389" s="989" t="str">
        <x:f>IF(OR(COUNTA('Game Records'!$A389:$M389)=0,'Game Records'!$U389="Subscription"),"",IFERROR(MAX($K$4:K388),0)+1)</x:f>
      </x:c>
      <x:c r="L389" s="989" t="str">
        <x:f>IF($K389="","","G-"&amp;TEXT($K389,"0000"))</x:f>
      </x:c>
      <x:c r="M389" s="989" t="str">
        <x:f>IF($K389="","",IFERROR('Game Records'!$A389,""))</x:f>
      </x:c>
      <x:c r="N389" s="989" t="str">
        <x:f>IF($K389="","",IFERROR('Game Records'!$U389,""))</x:f>
      </x:c>
      <x:c r="O389" s="989" t="str">
        <x:f>IF($K389="","",IF($P389="","No Highlighted Fields","Highlighted Fields Present"))</x:f>
      </x:c>
      <x:c r="P389" s="989" t="str">
        <x:f>IF($K389="","",IF('Game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Q389" s="989" t="str">
        <x:f>IF($K389="","",IFERROR('Game Records'!$M389,""))</x:f>
      </x:c>
    </x:row>
    <x:row r="390" ht="24" customHeight="1">
      <x:c r="A390" s="332"/>
      <x:c r="B390" s="332"/>
      <x:c r="C390" s="331"/>
      <x:c r="D390" s="331"/>
      <x:c r="E390" s="331"/>
      <x:c r="F390" s="331"/>
      <x:c r="G390" s="331"/>
      <x:c r="K390" s="989" t="str">
        <x:f>IF(OR(COUNTA('Game Records'!$A390:$M390)=0,'Game Records'!$U390="Subscription"),"",IFERROR(MAX($K$4:K389),0)+1)</x:f>
      </x:c>
      <x:c r="L390" s="989" t="str">
        <x:f>IF($K390="","","G-"&amp;TEXT($K390,"0000"))</x:f>
      </x:c>
      <x:c r="M390" s="989" t="str">
        <x:f>IF($K390="","",IFERROR('Game Records'!$A390,""))</x:f>
      </x:c>
      <x:c r="N390" s="989" t="str">
        <x:f>IF($K390="","",IFERROR('Game Records'!$U390,""))</x:f>
      </x:c>
      <x:c r="O390" s="989" t="str">
        <x:f>IF($K390="","",IF($P390="","No Highlighted Fields","Highlighted Fields Present"))</x:f>
      </x:c>
      <x:c r="P390" s="989" t="str">
        <x:f>IF($K390="","",IF('Game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Q390" s="989" t="str">
        <x:f>IF($K390="","",IFERROR('Game Records'!$M390,""))</x:f>
      </x:c>
    </x:row>
    <x:row r="391" ht="24" customHeight="1">
      <x:c r="A391" s="332"/>
      <x:c r="B391" s="332"/>
      <x:c r="C391" s="331"/>
      <x:c r="D391" s="331"/>
      <x:c r="E391" s="331"/>
      <x:c r="F391" s="331"/>
      <x:c r="G391" s="331"/>
      <x:c r="K391" s="989" t="str">
        <x:f>IF(OR(COUNTA('Game Records'!$A391:$M391)=0,'Game Records'!$U391="Subscription"),"",IFERROR(MAX($K$4:K390),0)+1)</x:f>
      </x:c>
      <x:c r="L391" s="989" t="str">
        <x:f>IF($K391="","","G-"&amp;TEXT($K391,"0000"))</x:f>
      </x:c>
      <x:c r="M391" s="989" t="str">
        <x:f>IF($K391="","",IFERROR('Game Records'!$A391,""))</x:f>
      </x:c>
      <x:c r="N391" s="989" t="str">
        <x:f>IF($K391="","",IFERROR('Game Records'!$U391,""))</x:f>
      </x:c>
      <x:c r="O391" s="989" t="str">
        <x:f>IF($K391="","",IF($P391="","No Highlighted Fields","Highlighted Fields Present"))</x:f>
      </x:c>
      <x:c r="P391" s="989" t="str">
        <x:f>IF($K391="","",IF('Game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Q391" s="989" t="str">
        <x:f>IF($K391="","",IFERROR('Game Records'!$M391,""))</x:f>
      </x:c>
    </x:row>
    <x:row r="392" ht="24" customHeight="1">
      <x:c r="A392" s="332"/>
      <x:c r="B392" s="332"/>
      <x:c r="C392" s="331"/>
      <x:c r="D392" s="331"/>
      <x:c r="E392" s="331"/>
      <x:c r="F392" s="331"/>
      <x:c r="G392" s="331"/>
      <x:c r="K392" s="989" t="str">
        <x:f>IF(OR(COUNTA('Game Records'!$A392:$M392)=0,'Game Records'!$U392="Subscription"),"",IFERROR(MAX($K$4:K391),0)+1)</x:f>
      </x:c>
      <x:c r="L392" s="989" t="str">
        <x:f>IF($K392="","","G-"&amp;TEXT($K392,"0000"))</x:f>
      </x:c>
      <x:c r="M392" s="989" t="str">
        <x:f>IF($K392="","",IFERROR('Game Records'!$A392,""))</x:f>
      </x:c>
      <x:c r="N392" s="989" t="str">
        <x:f>IF($K392="","",IFERROR('Game Records'!$U392,""))</x:f>
      </x:c>
      <x:c r="O392" s="989" t="str">
        <x:f>IF($K392="","",IF($P392="","No Highlighted Fields","Highlighted Fields Present"))</x:f>
      </x:c>
      <x:c r="P392" s="989" t="str">
        <x:f>IF($K392="","",IF('Game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Q392" s="989" t="str">
        <x:f>IF($K392="","",IFERROR('Game Records'!$M392,""))</x:f>
      </x:c>
    </x:row>
    <x:row r="393" ht="24" customHeight="1">
      <x:c r="A393" s="332"/>
      <x:c r="B393" s="332"/>
      <x:c r="C393" s="331"/>
      <x:c r="D393" s="331"/>
      <x:c r="E393" s="331"/>
      <x:c r="F393" s="331"/>
      <x:c r="G393" s="331"/>
      <x:c r="K393" s="989" t="str">
        <x:f>IF(OR(COUNTA('Game Records'!$A393:$M393)=0,'Game Records'!$U393="Subscription"),"",IFERROR(MAX($K$4:K392),0)+1)</x:f>
      </x:c>
      <x:c r="L393" s="989" t="str">
        <x:f>IF($K393="","","G-"&amp;TEXT($K393,"0000"))</x:f>
      </x:c>
      <x:c r="M393" s="989" t="str">
        <x:f>IF($K393="","",IFERROR('Game Records'!$A393,""))</x:f>
      </x:c>
      <x:c r="N393" s="989" t="str">
        <x:f>IF($K393="","",IFERROR('Game Records'!$U393,""))</x:f>
      </x:c>
      <x:c r="O393" s="989" t="str">
        <x:f>IF($K393="","",IF($P393="","No Highlighted Fields","Highlighted Fields Present"))</x:f>
      </x:c>
      <x:c r="P393" s="989" t="str">
        <x:f>IF($K393="","",IF('Game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Q393" s="989" t="str">
        <x:f>IF($K393="","",IFERROR('Game Records'!$M393,""))</x:f>
      </x:c>
    </x:row>
    <x:row r="394" ht="24" customHeight="1">
      <x:c r="A394" s="332"/>
      <x:c r="B394" s="332"/>
      <x:c r="C394" s="331"/>
      <x:c r="D394" s="331"/>
      <x:c r="E394" s="331"/>
      <x:c r="F394" s="331"/>
      <x:c r="G394" s="331"/>
      <x:c r="K394" s="989" t="str">
        <x:f>IF(OR(COUNTA('Game Records'!$A394:$M394)=0,'Game Records'!$U394="Subscription"),"",IFERROR(MAX($K$4:K393),0)+1)</x:f>
      </x:c>
      <x:c r="L394" s="989" t="str">
        <x:f>IF($K394="","","G-"&amp;TEXT($K394,"0000"))</x:f>
      </x:c>
      <x:c r="M394" s="989" t="str">
        <x:f>IF($K394="","",IFERROR('Game Records'!$A394,""))</x:f>
      </x:c>
      <x:c r="N394" s="989" t="str">
        <x:f>IF($K394="","",IFERROR('Game Records'!$U394,""))</x:f>
      </x:c>
      <x:c r="O394" s="989" t="str">
        <x:f>IF($K394="","",IF($P394="","No Highlighted Fields","Highlighted Fields Present"))</x:f>
      </x:c>
      <x:c r="P394" s="989" t="str">
        <x:f>IF($K394="","",IF('Game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Q394" s="989" t="str">
        <x:f>IF($K394="","",IFERROR('Game Records'!$M394,""))</x:f>
      </x:c>
    </x:row>
    <x:row r="395" ht="24" customHeight="1">
      <x:c r="A395" s="332"/>
      <x:c r="B395" s="332"/>
      <x:c r="C395" s="331"/>
      <x:c r="D395" s="331"/>
      <x:c r="E395" s="331"/>
      <x:c r="F395" s="331"/>
      <x:c r="G395" s="331"/>
      <x:c r="K395" s="989" t="str">
        <x:f>IF(OR(COUNTA('Game Records'!$A395:$M395)=0,'Game Records'!$U395="Subscription"),"",IFERROR(MAX($K$4:K394),0)+1)</x:f>
      </x:c>
      <x:c r="L395" s="989" t="str">
        <x:f>IF($K395="","","G-"&amp;TEXT($K395,"0000"))</x:f>
      </x:c>
      <x:c r="M395" s="989" t="str">
        <x:f>IF($K395="","",IFERROR('Game Records'!$A395,""))</x:f>
      </x:c>
      <x:c r="N395" s="989" t="str">
        <x:f>IF($K395="","",IFERROR('Game Records'!$U395,""))</x:f>
      </x:c>
      <x:c r="O395" s="989" t="str">
        <x:f>IF($K395="","",IF($P395="","No Highlighted Fields","Highlighted Fields Present"))</x:f>
      </x:c>
      <x:c r="P395" s="989" t="str">
        <x:f>IF($K395="","",IF('Game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Q395" s="989" t="str">
        <x:f>IF($K395="","",IFERROR('Game Records'!$M395,""))</x:f>
      </x:c>
    </x:row>
    <x:row r="396" ht="24" customHeight="1">
      <x:c r="A396" s="332"/>
      <x:c r="B396" s="332"/>
      <x:c r="C396" s="331"/>
      <x:c r="D396" s="331"/>
      <x:c r="E396" s="331"/>
      <x:c r="F396" s="331"/>
      <x:c r="G396" s="331"/>
      <x:c r="K396" s="989" t="str">
        <x:f>IF(OR(COUNTA('Game Records'!$A396:$M396)=0,'Game Records'!$U396="Subscription"),"",IFERROR(MAX($K$4:K395),0)+1)</x:f>
      </x:c>
      <x:c r="L396" s="989" t="str">
        <x:f>IF($K396="","","G-"&amp;TEXT($K396,"0000"))</x:f>
      </x:c>
      <x:c r="M396" s="989" t="str">
        <x:f>IF($K396="","",IFERROR('Game Records'!$A396,""))</x:f>
      </x:c>
      <x:c r="N396" s="989" t="str">
        <x:f>IF($K396="","",IFERROR('Game Records'!$U396,""))</x:f>
      </x:c>
      <x:c r="O396" s="989" t="str">
        <x:f>IF($K396="","",IF($P396="","No Highlighted Fields","Highlighted Fields Present"))</x:f>
      </x:c>
      <x:c r="P396" s="989" t="str">
        <x:f>IF($K396="","",IF('Game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Q396" s="989" t="str">
        <x:f>IF($K396="","",IFERROR('Game Records'!$M396,""))</x:f>
      </x:c>
    </x:row>
    <x:row r="397" ht="24" customHeight="1">
      <x:c r="A397" s="332"/>
      <x:c r="B397" s="332"/>
      <x:c r="C397" s="331"/>
      <x:c r="D397" s="331"/>
      <x:c r="E397" s="331"/>
      <x:c r="F397" s="331"/>
      <x:c r="G397" s="331"/>
      <x:c r="K397" s="989" t="str">
        <x:f>IF(OR(COUNTA('Game Records'!$A397:$M397)=0,'Game Records'!$U397="Subscription"),"",IFERROR(MAX($K$4:K396),0)+1)</x:f>
      </x:c>
      <x:c r="L397" s="989" t="str">
        <x:f>IF($K397="","","G-"&amp;TEXT($K397,"0000"))</x:f>
      </x:c>
      <x:c r="M397" s="989" t="str">
        <x:f>IF($K397="","",IFERROR('Game Records'!$A397,""))</x:f>
      </x:c>
      <x:c r="N397" s="989" t="str">
        <x:f>IF($K397="","",IFERROR('Game Records'!$U397,""))</x:f>
      </x:c>
      <x:c r="O397" s="989" t="str">
        <x:f>IF($K397="","",IF($P397="","No Highlighted Fields","Highlighted Fields Present"))</x:f>
      </x:c>
      <x:c r="P397" s="989" t="str">
        <x:f>IF($K397="","",IF('Game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Q397" s="989" t="str">
        <x:f>IF($K397="","",IFERROR('Game Records'!$M397,""))</x:f>
      </x:c>
    </x:row>
    <x:row r="398" ht="24" customHeight="1">
      <x:c r="A398" s="332"/>
      <x:c r="B398" s="332"/>
      <x:c r="C398" s="331"/>
      <x:c r="D398" s="331"/>
      <x:c r="E398" s="331"/>
      <x:c r="F398" s="331"/>
      <x:c r="G398" s="331"/>
      <x:c r="K398" s="989" t="str">
        <x:f>IF(OR(COUNTA('Game Records'!$A398:$M398)=0,'Game Records'!$U398="Subscription"),"",IFERROR(MAX($K$4:K397),0)+1)</x:f>
      </x:c>
      <x:c r="L398" s="989" t="str">
        <x:f>IF($K398="","","G-"&amp;TEXT($K398,"0000"))</x:f>
      </x:c>
      <x:c r="M398" s="989" t="str">
        <x:f>IF($K398="","",IFERROR('Game Records'!$A398,""))</x:f>
      </x:c>
      <x:c r="N398" s="989" t="str">
        <x:f>IF($K398="","",IFERROR('Game Records'!$U398,""))</x:f>
      </x:c>
      <x:c r="O398" s="989" t="str">
        <x:f>IF($K398="","",IF($P398="","No Highlighted Fields","Highlighted Fields Present"))</x:f>
      </x:c>
      <x:c r="P398" s="989" t="str">
        <x:f>IF($K398="","",IF('Game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Q398" s="989" t="str">
        <x:f>IF($K398="","",IFERROR('Game Records'!$M398,""))</x:f>
      </x:c>
    </x:row>
    <x:row r="399" ht="24" customHeight="1">
      <x:c r="A399" s="332"/>
      <x:c r="B399" s="332"/>
      <x:c r="C399" s="331"/>
      <x:c r="D399" s="331"/>
      <x:c r="E399" s="331"/>
      <x:c r="F399" s="331"/>
      <x:c r="G399" s="331"/>
      <x:c r="K399" s="989" t="str">
        <x:f>IF(OR(COUNTA('Game Records'!$A399:$M399)=0,'Game Records'!$U399="Subscription"),"",IFERROR(MAX($K$4:K398),0)+1)</x:f>
      </x:c>
      <x:c r="L399" s="989" t="str">
        <x:f>IF($K399="","","G-"&amp;TEXT($K399,"0000"))</x:f>
      </x:c>
      <x:c r="M399" s="989" t="str">
        <x:f>IF($K399="","",IFERROR('Game Records'!$A399,""))</x:f>
      </x:c>
      <x:c r="N399" s="989" t="str">
        <x:f>IF($K399="","",IFERROR('Game Records'!$U399,""))</x:f>
      </x:c>
      <x:c r="O399" s="989" t="str">
        <x:f>IF($K399="","",IF($P399="","No Highlighted Fields","Highlighted Fields Present"))</x:f>
      </x:c>
      <x:c r="P399" s="989" t="str">
        <x:f>IF($K399="","",IF('Game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Q399" s="989" t="str">
        <x:f>IF($K399="","",IFERROR('Game Records'!$M399,""))</x:f>
      </x:c>
    </x:row>
    <x:row r="400" ht="24" customHeight="1">
      <x:c r="A400" s="332"/>
      <x:c r="B400" s="332"/>
      <x:c r="C400" s="331"/>
      <x:c r="D400" s="331"/>
      <x:c r="E400" s="331"/>
      <x:c r="F400" s="331"/>
      <x:c r="G400" s="331"/>
      <x:c r="K400" s="989" t="str">
        <x:f>IF(OR(COUNTA('Game Records'!$A400:$M400)=0,'Game Records'!$U400="Subscription"),"",IFERROR(MAX($K$4:K399),0)+1)</x:f>
      </x:c>
      <x:c r="L400" s="989" t="str">
        <x:f>IF($K400="","","G-"&amp;TEXT($K400,"0000"))</x:f>
      </x:c>
      <x:c r="M400" s="989" t="str">
        <x:f>IF($K400="","",IFERROR('Game Records'!$A400,""))</x:f>
      </x:c>
      <x:c r="N400" s="989" t="str">
        <x:f>IF($K400="","",IFERROR('Game Records'!$U400,""))</x:f>
      </x:c>
      <x:c r="O400" s="989" t="str">
        <x:f>IF($K400="","",IF($P400="","No Highlighted Fields","Highlighted Fields Present"))</x:f>
      </x:c>
      <x:c r="P400" s="989" t="str">
        <x:f>IF($K400="","",IF('Game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Q400" s="989" t="str">
        <x:f>IF($K400="","",IFERROR('Game Records'!$M400,""))</x:f>
      </x:c>
    </x:row>
    <x:row r="401" ht="24" customHeight="1">
      <x:c r="A401" s="332"/>
      <x:c r="B401" s="332"/>
      <x:c r="C401" s="331"/>
      <x:c r="D401" s="331"/>
      <x:c r="E401" s="331"/>
      <x:c r="F401" s="331"/>
      <x:c r="G401" s="331"/>
      <x:c r="K401" s="989" t="str">
        <x:f>IF(OR(COUNTA('Game Records'!$A401:$M401)=0,'Game Records'!$U401="Subscription"),"",IFERROR(MAX($K$4:K400),0)+1)</x:f>
      </x:c>
      <x:c r="L401" s="989" t="str">
        <x:f>IF($K401="","","G-"&amp;TEXT($K401,"0000"))</x:f>
      </x:c>
      <x:c r="M401" s="989" t="str">
        <x:f>IF($K401="","",IFERROR('Game Records'!$A401,""))</x:f>
      </x:c>
      <x:c r="N401" s="989" t="str">
        <x:f>IF($K401="","",IFERROR('Game Records'!$U401,""))</x:f>
      </x:c>
      <x:c r="O401" s="989" t="str">
        <x:f>IF($K401="","",IF($P401="","No Highlighted Fields","Highlighted Fields Present"))</x:f>
      </x:c>
      <x:c r="P401" s="989" t="str">
        <x:f>IF($K401="","",IF('Game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Q401" s="989" t="str">
        <x:f>IF($K401="","",IFERROR('Game Records'!$M401,""))</x:f>
      </x:c>
    </x:row>
    <x:row r="402" ht="24" customHeight="1">
      <x:c r="A402" s="332"/>
      <x:c r="B402" s="332"/>
      <x:c r="C402" s="331"/>
      <x:c r="D402" s="331"/>
      <x:c r="E402" s="331"/>
      <x:c r="F402" s="331"/>
      <x:c r="G402" s="331"/>
      <x:c r="K402" s="989" t="str">
        <x:f>IF(OR(COUNTA('Game Records'!$A402:$M402)=0,'Game Records'!$U402="Subscription"),"",IFERROR(MAX($K$4:K401),0)+1)</x:f>
      </x:c>
      <x:c r="L402" s="989" t="str">
        <x:f>IF($K402="","","G-"&amp;TEXT($K402,"0000"))</x:f>
      </x:c>
      <x:c r="M402" s="989" t="str">
        <x:f>IF($K402="","",IFERROR('Game Records'!$A402,""))</x:f>
      </x:c>
      <x:c r="N402" s="989" t="str">
        <x:f>IF($K402="","",IFERROR('Game Records'!$U402,""))</x:f>
      </x:c>
      <x:c r="O402" s="989" t="str">
        <x:f>IF($K402="","",IF($P402="","No Highlighted Fields","Highlighted Fields Present"))</x:f>
      </x:c>
      <x:c r="P402" s="989" t="str">
        <x:f>IF($K402="","",IF('Game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Q402" s="989" t="str">
        <x:f>IF($K402="","",IFERROR('Game Records'!$M402,""))</x:f>
      </x:c>
    </x:row>
    <x:row r="403" ht="24" customHeight="1">
      <x:c r="A403" s="332"/>
      <x:c r="B403" s="332"/>
      <x:c r="C403" s="331"/>
      <x:c r="D403" s="331"/>
      <x:c r="E403" s="331"/>
      <x:c r="F403" s="331"/>
      <x:c r="G403" s="331"/>
      <x:c r="K403" s="989" t="str">
        <x:f>IF(OR(COUNTA('Game Records'!$A403:$M403)=0,'Game Records'!$U403="Subscription"),"",IFERROR(MAX($K$4:K402),0)+1)</x:f>
      </x:c>
      <x:c r="L403" s="989" t="str">
        <x:f>IF($K403="","","G-"&amp;TEXT($K403,"0000"))</x:f>
      </x:c>
      <x:c r="M403" s="989" t="str">
        <x:f>IF($K403="","",IFERROR('Game Records'!$A403,""))</x:f>
      </x:c>
      <x:c r="N403" s="989" t="str">
        <x:f>IF($K403="","",IFERROR('Game Records'!$U403,""))</x:f>
      </x:c>
      <x:c r="O403" s="989" t="str">
        <x:f>IF($K403="","",IF($P403="","No Highlighted Fields","Highlighted Fields Present"))</x:f>
      </x:c>
      <x:c r="P403" s="989" t="str">
        <x:f>IF($K403="","",IF('Game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Q403" s="989" t="str">
        <x:f>IF($K403="","",IFERROR('Game Records'!$M403,""))</x:f>
      </x:c>
    </x:row>
    <x:row r="404" ht="24" customHeight="1">
      <x:c r="A404" s="332"/>
      <x:c r="B404" s="332"/>
      <x:c r="C404" s="331"/>
      <x:c r="D404" s="331"/>
      <x:c r="E404" s="331"/>
      <x:c r="F404" s="331"/>
      <x:c r="G404" s="331"/>
      <x:c r="K404" s="989" t="str">
        <x:f>IF(OR(COUNTA('Game Records'!$A404:$M404)=0,'Game Records'!$U404="Subscription"),"",IFERROR(MAX($K$4:K403),0)+1)</x:f>
      </x:c>
      <x:c r="L404" s="989" t="str">
        <x:f>IF($K404="","","G-"&amp;TEXT($K404,"0000"))</x:f>
      </x:c>
      <x:c r="M404" s="989" t="str">
        <x:f>IF($K404="","",IFERROR('Game Records'!$A404,""))</x:f>
      </x:c>
      <x:c r="N404" s="989" t="str">
        <x:f>IF($K404="","",IFERROR('Game Records'!$U404,""))</x:f>
      </x:c>
      <x:c r="O404" s="989" t="str">
        <x:f>IF($K404="","",IF($P404="","No Highlighted Fields","Highlighted Fields Present"))</x:f>
      </x:c>
      <x:c r="P404" s="989" t="str">
        <x:f>IF($K404="","",IF('Game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Q404" s="989" t="str">
        <x:f>IF($K404="","",IFERROR('Game Records'!$M404,""))</x:f>
      </x:c>
    </x:row>
    <x:row r="405" ht="24" customHeight="1">
      <x:c r="A405" s="332"/>
      <x:c r="B405" s="332"/>
      <x:c r="C405" s="331"/>
      <x:c r="D405" s="331"/>
      <x:c r="E405" s="331"/>
      <x:c r="F405" s="331"/>
      <x:c r="G405" s="331"/>
      <x:c r="K405" s="989" t="str">
        <x:f>IF(OR(COUNTA('Game Records'!$A405:$M405)=0,'Game Records'!$U405="Subscription"),"",IFERROR(MAX($K$4:K404),0)+1)</x:f>
      </x:c>
      <x:c r="L405" s="989" t="str">
        <x:f>IF($K405="","","G-"&amp;TEXT($K405,"0000"))</x:f>
      </x:c>
      <x:c r="M405" s="989" t="str">
        <x:f>IF($K405="","",IFERROR('Game Records'!$A405,""))</x:f>
      </x:c>
      <x:c r="N405" s="989" t="str">
        <x:f>IF($K405="","",IFERROR('Game Records'!$U405,""))</x:f>
      </x:c>
      <x:c r="O405" s="989" t="str">
        <x:f>IF($K405="","",IF($P405="","No Highlighted Fields","Highlighted Fields Present"))</x:f>
      </x:c>
      <x:c r="P405" s="989" t="str">
        <x:f>IF($K405="","",IF('Game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Q405" s="989" t="str">
        <x:f>IF($K405="","",IFERROR('Game Records'!$M405,""))</x:f>
      </x:c>
    </x:row>
    <x:row r="406" ht="24" customHeight="1">
      <x:c r="A406" s="332"/>
      <x:c r="B406" s="332"/>
      <x:c r="C406" s="331"/>
      <x:c r="D406" s="331"/>
      <x:c r="E406" s="331"/>
      <x:c r="F406" s="331"/>
      <x:c r="G406" s="331"/>
      <x:c r="K406" s="989" t="str">
        <x:f>IF(OR(COUNTA('Game Records'!$A406:$M406)=0,'Game Records'!$U406="Subscription"),"",IFERROR(MAX($K$4:K405),0)+1)</x:f>
      </x:c>
      <x:c r="L406" s="989" t="str">
        <x:f>IF($K406="","","G-"&amp;TEXT($K406,"0000"))</x:f>
      </x:c>
      <x:c r="M406" s="989" t="str">
        <x:f>IF($K406="","",IFERROR('Game Records'!$A406,""))</x:f>
      </x:c>
      <x:c r="N406" s="989" t="str">
        <x:f>IF($K406="","",IFERROR('Game Records'!$U406,""))</x:f>
      </x:c>
      <x:c r="O406" s="989" t="str">
        <x:f>IF($K406="","",IF($P406="","No Highlighted Fields","Highlighted Fields Present"))</x:f>
      </x:c>
      <x:c r="P406" s="989" t="str">
        <x:f>IF($K406="","",IF('Game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Q406" s="989" t="str">
        <x:f>IF($K406="","",IFERROR('Game Records'!$M406,""))</x:f>
      </x:c>
    </x:row>
    <x:row r="407" ht="24" customHeight="1">
      <x:c r="A407" s="332"/>
      <x:c r="B407" s="332"/>
      <x:c r="C407" s="331"/>
      <x:c r="D407" s="331"/>
      <x:c r="E407" s="331"/>
      <x:c r="F407" s="331"/>
      <x:c r="G407" s="331"/>
      <x:c r="K407" s="989" t="str">
        <x:f>IF(OR(COUNTA('Game Records'!$A407:$M407)=0,'Game Records'!$U407="Subscription"),"",IFERROR(MAX($K$4:K406),0)+1)</x:f>
      </x:c>
      <x:c r="L407" s="989" t="str">
        <x:f>IF($K407="","","G-"&amp;TEXT($K407,"0000"))</x:f>
      </x:c>
      <x:c r="M407" s="989" t="str">
        <x:f>IF($K407="","",IFERROR('Game Records'!$A407,""))</x:f>
      </x:c>
      <x:c r="N407" s="989" t="str">
        <x:f>IF($K407="","",IFERROR('Game Records'!$U407,""))</x:f>
      </x:c>
      <x:c r="O407" s="989" t="str">
        <x:f>IF($K407="","",IF($P407="","No Highlighted Fields","Highlighted Fields Present"))</x:f>
      </x:c>
      <x:c r="P407" s="989" t="str">
        <x:f>IF($K407="","",IF('Game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Q407" s="989" t="str">
        <x:f>IF($K407="","",IFERROR('Game Records'!$M407,""))</x:f>
      </x:c>
    </x:row>
    <x:row r="408" ht="24" customHeight="1">
      <x:c r="A408" s="332"/>
      <x:c r="B408" s="332"/>
      <x:c r="C408" s="331"/>
      <x:c r="D408" s="331"/>
      <x:c r="E408" s="331"/>
      <x:c r="F408" s="331"/>
      <x:c r="G408" s="331"/>
      <x:c r="K408" s="989" t="str">
        <x:f>IF(OR(COUNTA('Game Records'!$A408:$M408)=0,'Game Records'!$U408="Subscription"),"",IFERROR(MAX($K$4:K407),0)+1)</x:f>
      </x:c>
      <x:c r="L408" s="989" t="str">
        <x:f>IF($K408="","","G-"&amp;TEXT($K408,"0000"))</x:f>
      </x:c>
      <x:c r="M408" s="989" t="str">
        <x:f>IF($K408="","",IFERROR('Game Records'!$A408,""))</x:f>
      </x:c>
      <x:c r="N408" s="989" t="str">
        <x:f>IF($K408="","",IFERROR('Game Records'!$U408,""))</x:f>
      </x:c>
      <x:c r="O408" s="989" t="str">
        <x:f>IF($K408="","",IF($P408="","No Highlighted Fields","Highlighted Fields Present"))</x:f>
      </x:c>
      <x:c r="P408" s="989" t="str">
        <x:f>IF($K408="","",IF('Game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Q408" s="989" t="str">
        <x:f>IF($K408="","",IFERROR('Game Records'!$M408,""))</x:f>
      </x:c>
    </x:row>
    <x:row r="409" ht="24" customHeight="1">
      <x:c r="A409" s="332"/>
      <x:c r="B409" s="332"/>
      <x:c r="C409" s="331"/>
      <x:c r="D409" s="331"/>
      <x:c r="E409" s="331"/>
      <x:c r="F409" s="331"/>
      <x:c r="G409" s="331"/>
      <x:c r="K409" s="989" t="str">
        <x:f>IF(OR(COUNTA('Game Records'!$A409:$M409)=0,'Game Records'!$U409="Subscription"),"",IFERROR(MAX($K$4:K408),0)+1)</x:f>
      </x:c>
      <x:c r="L409" s="989" t="str">
        <x:f>IF($K409="","","G-"&amp;TEXT($K409,"0000"))</x:f>
      </x:c>
      <x:c r="M409" s="989" t="str">
        <x:f>IF($K409="","",IFERROR('Game Records'!$A409,""))</x:f>
      </x:c>
      <x:c r="N409" s="989" t="str">
        <x:f>IF($K409="","",IFERROR('Game Records'!$U409,""))</x:f>
      </x:c>
      <x:c r="O409" s="989" t="str">
        <x:f>IF($K409="","",IF($P409="","No Highlighted Fields","Highlighted Fields Present"))</x:f>
      </x:c>
      <x:c r="P409" s="989" t="str">
        <x:f>IF($K409="","",IF('Game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Q409" s="989" t="str">
        <x:f>IF($K409="","",IFERROR('Game Records'!$M409,""))</x:f>
      </x:c>
    </x:row>
    <x:row r="410" ht="24" customHeight="1">
      <x:c r="A410" s="332"/>
      <x:c r="B410" s="332"/>
      <x:c r="C410" s="331"/>
      <x:c r="D410" s="331"/>
      <x:c r="E410" s="331"/>
      <x:c r="F410" s="331"/>
      <x:c r="G410" s="331"/>
      <x:c r="K410" s="989" t="str">
        <x:f>IF(OR(COUNTA('Game Records'!$A410:$M410)=0,'Game Records'!$U410="Subscription"),"",IFERROR(MAX($K$4:K409),0)+1)</x:f>
      </x:c>
      <x:c r="L410" s="989" t="str">
        <x:f>IF($K410="","","G-"&amp;TEXT($K410,"0000"))</x:f>
      </x:c>
      <x:c r="M410" s="989" t="str">
        <x:f>IF($K410="","",IFERROR('Game Records'!$A410,""))</x:f>
      </x:c>
      <x:c r="N410" s="989" t="str">
        <x:f>IF($K410="","",IFERROR('Game Records'!$U410,""))</x:f>
      </x:c>
      <x:c r="O410" s="989" t="str">
        <x:f>IF($K410="","",IF($P410="","No Highlighted Fields","Highlighted Fields Present"))</x:f>
      </x:c>
      <x:c r="P410" s="989" t="str">
        <x:f>IF($K410="","",IF('Game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Q410" s="989" t="str">
        <x:f>IF($K410="","",IFERROR('Game Records'!$M410,""))</x:f>
      </x:c>
    </x:row>
    <x:row r="411" ht="24" customHeight="1">
      <x:c r="A411" s="332"/>
      <x:c r="B411" s="332"/>
      <x:c r="C411" s="331"/>
      <x:c r="D411" s="331"/>
      <x:c r="E411" s="331"/>
      <x:c r="F411" s="331"/>
      <x:c r="G411" s="331"/>
      <x:c r="K411" s="989" t="str">
        <x:f>IF(OR(COUNTA('Game Records'!$A411:$M411)=0,'Game Records'!$U411="Subscription"),"",IFERROR(MAX($K$4:K410),0)+1)</x:f>
      </x:c>
      <x:c r="L411" s="989" t="str">
        <x:f>IF($K411="","","G-"&amp;TEXT($K411,"0000"))</x:f>
      </x:c>
      <x:c r="M411" s="989" t="str">
        <x:f>IF($K411="","",IFERROR('Game Records'!$A411,""))</x:f>
      </x:c>
      <x:c r="N411" s="989" t="str">
        <x:f>IF($K411="","",IFERROR('Game Records'!$U411,""))</x:f>
      </x:c>
      <x:c r="O411" s="989" t="str">
        <x:f>IF($K411="","",IF($P411="","No Highlighted Fields","Highlighted Fields Present"))</x:f>
      </x:c>
      <x:c r="P411" s="989" t="str">
        <x:f>IF($K411="","",IF('Game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Q411" s="989" t="str">
        <x:f>IF($K411="","",IFERROR('Game Records'!$M411,""))</x:f>
      </x:c>
    </x:row>
    <x:row r="412" ht="24" customHeight="1">
      <x:c r="A412" s="332"/>
      <x:c r="B412" s="332"/>
      <x:c r="C412" s="331"/>
      <x:c r="D412" s="331"/>
      <x:c r="E412" s="331"/>
      <x:c r="F412" s="331"/>
      <x:c r="G412" s="331"/>
      <x:c r="K412" s="989" t="str">
        <x:f>IF(OR(COUNTA('Game Records'!$A412:$M412)=0,'Game Records'!$U412="Subscription"),"",IFERROR(MAX($K$4:K411),0)+1)</x:f>
      </x:c>
      <x:c r="L412" s="989" t="str">
        <x:f>IF($K412="","","G-"&amp;TEXT($K412,"0000"))</x:f>
      </x:c>
      <x:c r="M412" s="989" t="str">
        <x:f>IF($K412="","",IFERROR('Game Records'!$A412,""))</x:f>
      </x:c>
      <x:c r="N412" s="989" t="str">
        <x:f>IF($K412="","",IFERROR('Game Records'!$U412,""))</x:f>
      </x:c>
      <x:c r="O412" s="989" t="str">
        <x:f>IF($K412="","",IF($P412="","No Highlighted Fields","Highlighted Fields Present"))</x:f>
      </x:c>
      <x:c r="P412" s="989" t="str">
        <x:f>IF($K412="","",IF('Game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Q412" s="989" t="str">
        <x:f>IF($K412="","",IFERROR('Game Records'!$M412,""))</x:f>
      </x:c>
    </x:row>
    <x:row r="413" ht="24" customHeight="1">
      <x:c r="A413" s="332"/>
      <x:c r="B413" s="332"/>
      <x:c r="C413" s="331"/>
      <x:c r="D413" s="331"/>
      <x:c r="E413" s="331"/>
      <x:c r="F413" s="331"/>
      <x:c r="G413" s="331"/>
      <x:c r="K413" s="989" t="str">
        <x:f>IF(OR(COUNTA('Game Records'!$A413:$M413)=0,'Game Records'!$U413="Subscription"),"",IFERROR(MAX($K$4:K412),0)+1)</x:f>
      </x:c>
      <x:c r="L413" s="989" t="str">
        <x:f>IF($K413="","","G-"&amp;TEXT($K413,"0000"))</x:f>
      </x:c>
      <x:c r="M413" s="989" t="str">
        <x:f>IF($K413="","",IFERROR('Game Records'!$A413,""))</x:f>
      </x:c>
      <x:c r="N413" s="989" t="str">
        <x:f>IF($K413="","",IFERROR('Game Records'!$U413,""))</x:f>
      </x:c>
      <x:c r="O413" s="989" t="str">
        <x:f>IF($K413="","",IF($P413="","No Highlighted Fields","Highlighted Fields Present"))</x:f>
      </x:c>
      <x:c r="P413" s="989" t="str">
        <x:f>IF($K413="","",IF('Game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Q413" s="989" t="str">
        <x:f>IF($K413="","",IFERROR('Game Records'!$M413,""))</x:f>
      </x:c>
    </x:row>
    <x:row r="414" ht="24" customHeight="1">
      <x:c r="A414" s="332"/>
      <x:c r="B414" s="332"/>
      <x:c r="C414" s="331"/>
      <x:c r="D414" s="331"/>
      <x:c r="E414" s="331"/>
      <x:c r="F414" s="331"/>
      <x:c r="G414" s="331"/>
      <x:c r="K414" s="989" t="str">
        <x:f>IF(OR(COUNTA('Game Records'!$A414:$M414)=0,'Game Records'!$U414="Subscription"),"",IFERROR(MAX($K$4:K413),0)+1)</x:f>
      </x:c>
      <x:c r="L414" s="989" t="str">
        <x:f>IF($K414="","","G-"&amp;TEXT($K414,"0000"))</x:f>
      </x:c>
      <x:c r="M414" s="989" t="str">
        <x:f>IF($K414="","",IFERROR('Game Records'!$A414,""))</x:f>
      </x:c>
      <x:c r="N414" s="989" t="str">
        <x:f>IF($K414="","",IFERROR('Game Records'!$U414,""))</x:f>
      </x:c>
      <x:c r="O414" s="989" t="str">
        <x:f>IF($K414="","",IF($P414="","No Highlighted Fields","Highlighted Fields Present"))</x:f>
      </x:c>
      <x:c r="P414" s="989" t="str">
        <x:f>IF($K414="","",IF('Game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Q414" s="989" t="str">
        <x:f>IF($K414="","",IFERROR('Game Records'!$M414,""))</x:f>
      </x:c>
    </x:row>
    <x:row r="415" ht="24" customHeight="1">
      <x:c r="A415" s="332"/>
      <x:c r="B415" s="332"/>
      <x:c r="C415" s="331"/>
      <x:c r="D415" s="331"/>
      <x:c r="E415" s="331"/>
      <x:c r="F415" s="331"/>
      <x:c r="G415" s="331"/>
      <x:c r="K415" s="989" t="str">
        <x:f>IF(OR(COUNTA('Game Records'!$A415:$M415)=0,'Game Records'!$U415="Subscription"),"",IFERROR(MAX($K$4:K414),0)+1)</x:f>
      </x:c>
      <x:c r="L415" s="989" t="str">
        <x:f>IF($K415="","","G-"&amp;TEXT($K415,"0000"))</x:f>
      </x:c>
      <x:c r="M415" s="989" t="str">
        <x:f>IF($K415="","",IFERROR('Game Records'!$A415,""))</x:f>
      </x:c>
      <x:c r="N415" s="989" t="str">
        <x:f>IF($K415="","",IFERROR('Game Records'!$U415,""))</x:f>
      </x:c>
      <x:c r="O415" s="989" t="str">
        <x:f>IF($K415="","",IF($P415="","No Highlighted Fields","Highlighted Fields Present"))</x:f>
      </x:c>
      <x:c r="P415" s="989" t="str">
        <x:f>IF($K415="","",IF('Game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Q415" s="989" t="str">
        <x:f>IF($K415="","",IFERROR('Game Records'!$M415,""))</x:f>
      </x:c>
    </x:row>
    <x:row r="416" ht="24" customHeight="1">
      <x:c r="A416" s="332"/>
      <x:c r="B416" s="332"/>
      <x:c r="C416" s="331"/>
      <x:c r="D416" s="331"/>
      <x:c r="E416" s="331"/>
      <x:c r="F416" s="331"/>
      <x:c r="G416" s="331"/>
      <x:c r="K416" s="989" t="str">
        <x:f>IF(OR(COUNTA('Game Records'!$A416:$M416)=0,'Game Records'!$U416="Subscription"),"",IFERROR(MAX($K$4:K415),0)+1)</x:f>
      </x:c>
      <x:c r="L416" s="989" t="str">
        <x:f>IF($K416="","","G-"&amp;TEXT($K416,"0000"))</x:f>
      </x:c>
      <x:c r="M416" s="989" t="str">
        <x:f>IF($K416="","",IFERROR('Game Records'!$A416,""))</x:f>
      </x:c>
      <x:c r="N416" s="989" t="str">
        <x:f>IF($K416="","",IFERROR('Game Records'!$U416,""))</x:f>
      </x:c>
      <x:c r="O416" s="989" t="str">
        <x:f>IF($K416="","",IF($P416="","No Highlighted Fields","Highlighted Fields Present"))</x:f>
      </x:c>
      <x:c r="P416" s="989" t="str">
        <x:f>IF($K416="","",IF('Game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Q416" s="989" t="str">
        <x:f>IF($K416="","",IFERROR('Game Records'!$M416,""))</x:f>
      </x:c>
    </x:row>
    <x:row r="417" ht="24" customHeight="1">
      <x:c r="A417" s="332"/>
      <x:c r="B417" s="332"/>
      <x:c r="C417" s="331"/>
      <x:c r="D417" s="331"/>
      <x:c r="E417" s="331"/>
      <x:c r="F417" s="331"/>
      <x:c r="G417" s="331"/>
      <x:c r="K417" s="989" t="str">
        <x:f>IF(OR(COUNTA('Game Records'!$A417:$M417)=0,'Game Records'!$U417="Subscription"),"",IFERROR(MAX($K$4:K416),0)+1)</x:f>
      </x:c>
      <x:c r="L417" s="989" t="str">
        <x:f>IF($K417="","","G-"&amp;TEXT($K417,"0000"))</x:f>
      </x:c>
      <x:c r="M417" s="989" t="str">
        <x:f>IF($K417="","",IFERROR('Game Records'!$A417,""))</x:f>
      </x:c>
      <x:c r="N417" s="989" t="str">
        <x:f>IF($K417="","",IFERROR('Game Records'!$U417,""))</x:f>
      </x:c>
      <x:c r="O417" s="989" t="str">
        <x:f>IF($K417="","",IF($P417="","No Highlighted Fields","Highlighted Fields Present"))</x:f>
      </x:c>
      <x:c r="P417" s="989" t="str">
        <x:f>IF($K417="","",IF('Game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Q417" s="989" t="str">
        <x:f>IF($K417="","",IFERROR('Game Records'!$M417,""))</x:f>
      </x:c>
    </x:row>
    <x:row r="418" ht="24" customHeight="1">
      <x:c r="A418" s="332"/>
      <x:c r="B418" s="332"/>
      <x:c r="C418" s="331"/>
      <x:c r="D418" s="331"/>
      <x:c r="E418" s="331"/>
      <x:c r="F418" s="331"/>
      <x:c r="G418" s="331"/>
      <x:c r="K418" s="989" t="str">
        <x:f>IF(OR(COUNTA('Game Records'!$A418:$M418)=0,'Game Records'!$U418="Subscription"),"",IFERROR(MAX($K$4:K417),0)+1)</x:f>
      </x:c>
      <x:c r="L418" s="989" t="str">
        <x:f>IF($K418="","","G-"&amp;TEXT($K418,"0000"))</x:f>
      </x:c>
      <x:c r="M418" s="989" t="str">
        <x:f>IF($K418="","",IFERROR('Game Records'!$A418,""))</x:f>
      </x:c>
      <x:c r="N418" s="989" t="str">
        <x:f>IF($K418="","",IFERROR('Game Records'!$U418,""))</x:f>
      </x:c>
      <x:c r="O418" s="989" t="str">
        <x:f>IF($K418="","",IF($P418="","No Highlighted Fields","Highlighted Fields Present"))</x:f>
      </x:c>
      <x:c r="P418" s="989" t="str">
        <x:f>IF($K418="","",IF('Game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Q418" s="989" t="str">
        <x:f>IF($K418="","",IFERROR('Game Records'!$M418,""))</x:f>
      </x:c>
    </x:row>
    <x:row r="419" ht="24" customHeight="1">
      <x:c r="A419" s="332"/>
      <x:c r="B419" s="332"/>
      <x:c r="C419" s="331"/>
      <x:c r="D419" s="331"/>
      <x:c r="E419" s="331"/>
      <x:c r="F419" s="331"/>
      <x:c r="G419" s="331"/>
      <x:c r="K419" s="989" t="str">
        <x:f>IF(OR(COUNTA('Game Records'!$A419:$M419)=0,'Game Records'!$U419="Subscription"),"",IFERROR(MAX($K$4:K418),0)+1)</x:f>
      </x:c>
      <x:c r="L419" s="989" t="str">
        <x:f>IF($K419="","","G-"&amp;TEXT($K419,"0000"))</x:f>
      </x:c>
      <x:c r="M419" s="989" t="str">
        <x:f>IF($K419="","",IFERROR('Game Records'!$A419,""))</x:f>
      </x:c>
      <x:c r="N419" s="989" t="str">
        <x:f>IF($K419="","",IFERROR('Game Records'!$U419,""))</x:f>
      </x:c>
      <x:c r="O419" s="989" t="str">
        <x:f>IF($K419="","",IF($P419="","No Highlighted Fields","Highlighted Fields Present"))</x:f>
      </x:c>
      <x:c r="P419" s="989" t="str">
        <x:f>IF($K419="","",IF('Game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Q419" s="989" t="str">
        <x:f>IF($K419="","",IFERROR('Game Records'!$M419,""))</x:f>
      </x:c>
    </x:row>
    <x:row r="420" ht="24" customHeight="1">
      <x:c r="A420" s="332"/>
      <x:c r="B420" s="332"/>
      <x:c r="C420" s="331"/>
      <x:c r="D420" s="331"/>
      <x:c r="E420" s="331"/>
      <x:c r="F420" s="331"/>
      <x:c r="G420" s="331"/>
      <x:c r="K420" s="989" t="str">
        <x:f>IF(OR(COUNTA('Game Records'!$A420:$M420)=0,'Game Records'!$U420="Subscription"),"",IFERROR(MAX($K$4:K419),0)+1)</x:f>
      </x:c>
      <x:c r="L420" s="989" t="str">
        <x:f>IF($K420="","","G-"&amp;TEXT($K420,"0000"))</x:f>
      </x:c>
      <x:c r="M420" s="989" t="str">
        <x:f>IF($K420="","",IFERROR('Game Records'!$A420,""))</x:f>
      </x:c>
      <x:c r="N420" s="989" t="str">
        <x:f>IF($K420="","",IFERROR('Game Records'!$U420,""))</x:f>
      </x:c>
      <x:c r="O420" s="989" t="str">
        <x:f>IF($K420="","",IF($P420="","No Highlighted Fields","Highlighted Fields Present"))</x:f>
      </x:c>
      <x:c r="P420" s="989" t="str">
        <x:f>IF($K420="","",IF('Game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Q420" s="989" t="str">
        <x:f>IF($K420="","",IFERROR('Game Records'!$M420,""))</x:f>
      </x:c>
    </x:row>
    <x:row r="421" ht="24" customHeight="1">
      <x:c r="A421" s="332"/>
      <x:c r="B421" s="332"/>
      <x:c r="C421" s="331"/>
      <x:c r="D421" s="331"/>
      <x:c r="E421" s="331"/>
      <x:c r="F421" s="331"/>
      <x:c r="G421" s="331"/>
      <x:c r="K421" s="989" t="str">
        <x:f>IF(OR(COUNTA('Game Records'!$A421:$M421)=0,'Game Records'!$U421="Subscription"),"",IFERROR(MAX($K$4:K420),0)+1)</x:f>
      </x:c>
      <x:c r="L421" s="989" t="str">
        <x:f>IF($K421="","","G-"&amp;TEXT($K421,"0000"))</x:f>
      </x:c>
      <x:c r="M421" s="989" t="str">
        <x:f>IF($K421="","",IFERROR('Game Records'!$A421,""))</x:f>
      </x:c>
      <x:c r="N421" s="989" t="str">
        <x:f>IF($K421="","",IFERROR('Game Records'!$U421,""))</x:f>
      </x:c>
      <x:c r="O421" s="989" t="str">
        <x:f>IF($K421="","",IF($P421="","No Highlighted Fields","Highlighted Fields Present"))</x:f>
      </x:c>
      <x:c r="P421" s="989" t="str">
        <x:f>IF($K421="","",IF('Game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Q421" s="989" t="str">
        <x:f>IF($K421="","",IFERROR('Game Records'!$M421,""))</x:f>
      </x:c>
    </x:row>
    <x:row r="422" ht="24" customHeight="1">
      <x:c r="A422" s="332"/>
      <x:c r="B422" s="332"/>
      <x:c r="C422" s="331"/>
      <x:c r="D422" s="331"/>
      <x:c r="E422" s="331"/>
      <x:c r="F422" s="331"/>
      <x:c r="G422" s="331"/>
      <x:c r="K422" s="989" t="str">
        <x:f>IF(OR(COUNTA('Game Records'!$A422:$M422)=0,'Game Records'!$U422="Subscription"),"",IFERROR(MAX($K$4:K421),0)+1)</x:f>
      </x:c>
      <x:c r="L422" s="989" t="str">
        <x:f>IF($K422="","","G-"&amp;TEXT($K422,"0000"))</x:f>
      </x:c>
      <x:c r="M422" s="989" t="str">
        <x:f>IF($K422="","",IFERROR('Game Records'!$A422,""))</x:f>
      </x:c>
      <x:c r="N422" s="989" t="str">
        <x:f>IF($K422="","",IFERROR('Game Records'!$U422,""))</x:f>
      </x:c>
      <x:c r="O422" s="989" t="str">
        <x:f>IF($K422="","",IF($P422="","No Highlighted Fields","Highlighted Fields Present"))</x:f>
      </x:c>
      <x:c r="P422" s="989" t="str">
        <x:f>IF($K422="","",IF('Game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Q422" s="989" t="str">
        <x:f>IF($K422="","",IFERROR('Game Records'!$M422,""))</x:f>
      </x:c>
    </x:row>
    <x:row r="423" ht="24" customHeight="1">
      <x:c r="A423" s="332"/>
      <x:c r="B423" s="332"/>
      <x:c r="C423" s="331"/>
      <x:c r="D423" s="331"/>
      <x:c r="E423" s="331"/>
      <x:c r="F423" s="331"/>
      <x:c r="G423" s="331"/>
      <x:c r="K423" s="989" t="str">
        <x:f>IF(OR(COUNTA('Game Records'!$A423:$M423)=0,'Game Records'!$U423="Subscription"),"",IFERROR(MAX($K$4:K422),0)+1)</x:f>
      </x:c>
      <x:c r="L423" s="989" t="str">
        <x:f>IF($K423="","","G-"&amp;TEXT($K423,"0000"))</x:f>
      </x:c>
      <x:c r="M423" s="989" t="str">
        <x:f>IF($K423="","",IFERROR('Game Records'!$A423,""))</x:f>
      </x:c>
      <x:c r="N423" s="989" t="str">
        <x:f>IF($K423="","",IFERROR('Game Records'!$U423,""))</x:f>
      </x:c>
      <x:c r="O423" s="989" t="str">
        <x:f>IF($K423="","",IF($P423="","No Highlighted Fields","Highlighted Fields Present"))</x:f>
      </x:c>
      <x:c r="P423" s="989" t="str">
        <x:f>IF($K423="","",IF('Game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Q423" s="989" t="str">
        <x:f>IF($K423="","",IFERROR('Game Records'!$M423,""))</x:f>
      </x:c>
    </x:row>
    <x:row r="424" ht="24" customHeight="1">
      <x:c r="A424" s="332"/>
      <x:c r="B424" s="332"/>
      <x:c r="C424" s="331"/>
      <x:c r="D424" s="331"/>
      <x:c r="E424" s="331"/>
      <x:c r="F424" s="331"/>
      <x:c r="G424" s="331"/>
      <x:c r="K424" s="989" t="str">
        <x:f>IF(OR(COUNTA('Game Records'!$A424:$M424)=0,'Game Records'!$U424="Subscription"),"",IFERROR(MAX($K$4:K423),0)+1)</x:f>
      </x:c>
      <x:c r="L424" s="989" t="str">
        <x:f>IF($K424="","","G-"&amp;TEXT($K424,"0000"))</x:f>
      </x:c>
      <x:c r="M424" s="989" t="str">
        <x:f>IF($K424="","",IFERROR('Game Records'!$A424,""))</x:f>
      </x:c>
      <x:c r="N424" s="989" t="str">
        <x:f>IF($K424="","",IFERROR('Game Records'!$U424,""))</x:f>
      </x:c>
      <x:c r="O424" s="989" t="str">
        <x:f>IF($K424="","",IF($P424="","No Highlighted Fields","Highlighted Fields Present"))</x:f>
      </x:c>
      <x:c r="P424" s="989" t="str">
        <x:f>IF($K424="","",IF('Game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Q424" s="989" t="str">
        <x:f>IF($K424="","",IFERROR('Game Records'!$M424,""))</x:f>
      </x:c>
    </x:row>
    <x:row r="425" ht="24" customHeight="1">
      <x:c r="A425" s="332"/>
      <x:c r="B425" s="332"/>
      <x:c r="C425" s="331"/>
      <x:c r="D425" s="331"/>
      <x:c r="E425" s="331"/>
      <x:c r="F425" s="331"/>
      <x:c r="G425" s="331"/>
      <x:c r="K425" s="989" t="str">
        <x:f>IF(OR(COUNTA('Game Records'!$A425:$M425)=0,'Game Records'!$U425="Subscription"),"",IFERROR(MAX($K$4:K424),0)+1)</x:f>
      </x:c>
      <x:c r="L425" s="989" t="str">
        <x:f>IF($K425="","","G-"&amp;TEXT($K425,"0000"))</x:f>
      </x:c>
      <x:c r="M425" s="989" t="str">
        <x:f>IF($K425="","",IFERROR('Game Records'!$A425,""))</x:f>
      </x:c>
      <x:c r="N425" s="989" t="str">
        <x:f>IF($K425="","",IFERROR('Game Records'!$U425,""))</x:f>
      </x:c>
      <x:c r="O425" s="989" t="str">
        <x:f>IF($K425="","",IF($P425="","No Highlighted Fields","Highlighted Fields Present"))</x:f>
      </x:c>
      <x:c r="P425" s="989" t="str">
        <x:f>IF($K425="","",IF('Game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Q425" s="989" t="str">
        <x:f>IF($K425="","",IFERROR('Game Records'!$M425,""))</x:f>
      </x:c>
    </x:row>
    <x:row r="426" ht="24" customHeight="1">
      <x:c r="A426" s="332"/>
      <x:c r="B426" s="332"/>
      <x:c r="C426" s="331"/>
      <x:c r="D426" s="331"/>
      <x:c r="E426" s="331"/>
      <x:c r="F426" s="331"/>
      <x:c r="G426" s="331"/>
      <x:c r="K426" s="989" t="str">
        <x:f>IF(OR(COUNTA('Game Records'!$A426:$M426)=0,'Game Records'!$U426="Subscription"),"",IFERROR(MAX($K$4:K425),0)+1)</x:f>
      </x:c>
      <x:c r="L426" s="989" t="str">
        <x:f>IF($K426="","","G-"&amp;TEXT($K426,"0000"))</x:f>
      </x:c>
      <x:c r="M426" s="989" t="str">
        <x:f>IF($K426="","",IFERROR('Game Records'!$A426,""))</x:f>
      </x:c>
      <x:c r="N426" s="989" t="str">
        <x:f>IF($K426="","",IFERROR('Game Records'!$U426,""))</x:f>
      </x:c>
      <x:c r="O426" s="989" t="str">
        <x:f>IF($K426="","",IF($P426="","No Highlighted Fields","Highlighted Fields Present"))</x:f>
      </x:c>
      <x:c r="P426" s="989" t="str">
        <x:f>IF($K426="","",IF('Game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Q426" s="989" t="str">
        <x:f>IF($K426="","",IFERROR('Game Records'!$M426,""))</x:f>
      </x:c>
    </x:row>
    <x:row r="427" ht="24" customHeight="1">
      <x:c r="A427" s="332"/>
      <x:c r="B427" s="332"/>
      <x:c r="C427" s="331"/>
      <x:c r="D427" s="331"/>
      <x:c r="E427" s="331"/>
      <x:c r="F427" s="331"/>
      <x:c r="G427" s="331"/>
      <x:c r="K427" s="989" t="str">
        <x:f>IF(OR(COUNTA('Game Records'!$A427:$M427)=0,'Game Records'!$U427="Subscription"),"",IFERROR(MAX($K$4:K426),0)+1)</x:f>
      </x:c>
      <x:c r="L427" s="989" t="str">
        <x:f>IF($K427="","","G-"&amp;TEXT($K427,"0000"))</x:f>
      </x:c>
      <x:c r="M427" s="989" t="str">
        <x:f>IF($K427="","",IFERROR('Game Records'!$A427,""))</x:f>
      </x:c>
      <x:c r="N427" s="989" t="str">
        <x:f>IF($K427="","",IFERROR('Game Records'!$U427,""))</x:f>
      </x:c>
      <x:c r="O427" s="989" t="str">
        <x:f>IF($K427="","",IF($P427="","No Highlighted Fields","Highlighted Fields Present"))</x:f>
      </x:c>
      <x:c r="P427" s="989" t="str">
        <x:f>IF($K427="","",IF('Game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Q427" s="989" t="str">
        <x:f>IF($K427="","",IFERROR('Game Records'!$M427,""))</x:f>
      </x:c>
    </x:row>
    <x:row r="428" ht="24" customHeight="1">
      <x:c r="A428" s="332"/>
      <x:c r="B428" s="332"/>
      <x:c r="C428" s="331"/>
      <x:c r="D428" s="331"/>
      <x:c r="E428" s="331"/>
      <x:c r="F428" s="331"/>
      <x:c r="G428" s="331"/>
      <x:c r="K428" s="989" t="str">
        <x:f>IF(OR(COUNTA('Game Records'!$A428:$M428)=0,'Game Records'!$U428="Subscription"),"",IFERROR(MAX($K$4:K427),0)+1)</x:f>
      </x:c>
      <x:c r="L428" s="989" t="str">
        <x:f>IF($K428="","","G-"&amp;TEXT($K428,"0000"))</x:f>
      </x:c>
      <x:c r="M428" s="989" t="str">
        <x:f>IF($K428="","",IFERROR('Game Records'!$A428,""))</x:f>
      </x:c>
      <x:c r="N428" s="989" t="str">
        <x:f>IF($K428="","",IFERROR('Game Records'!$U428,""))</x:f>
      </x:c>
      <x:c r="O428" s="989" t="str">
        <x:f>IF($K428="","",IF($P428="","No Highlighted Fields","Highlighted Fields Present"))</x:f>
      </x:c>
      <x:c r="P428" s="989" t="str">
        <x:f>IF($K428="","",IF('Game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Q428" s="989" t="str">
        <x:f>IF($K428="","",IFERROR('Game Records'!$M428,""))</x:f>
      </x:c>
    </x:row>
    <x:row r="429" ht="24" customHeight="1">
      <x:c r="A429" s="332"/>
      <x:c r="B429" s="332"/>
      <x:c r="C429" s="331"/>
      <x:c r="D429" s="331"/>
      <x:c r="E429" s="331"/>
      <x:c r="F429" s="331"/>
      <x:c r="G429" s="331"/>
      <x:c r="K429" s="989" t="str">
        <x:f>IF(OR(COUNTA('Game Records'!$A429:$M429)=0,'Game Records'!$U429="Subscription"),"",IFERROR(MAX($K$4:K428),0)+1)</x:f>
      </x:c>
      <x:c r="L429" s="989" t="str">
        <x:f>IF($K429="","","G-"&amp;TEXT($K429,"0000"))</x:f>
      </x:c>
      <x:c r="M429" s="989" t="str">
        <x:f>IF($K429="","",IFERROR('Game Records'!$A429,""))</x:f>
      </x:c>
      <x:c r="N429" s="989" t="str">
        <x:f>IF($K429="","",IFERROR('Game Records'!$U429,""))</x:f>
      </x:c>
      <x:c r="O429" s="989" t="str">
        <x:f>IF($K429="","",IF($P429="","No Highlighted Fields","Highlighted Fields Present"))</x:f>
      </x:c>
      <x:c r="P429" s="989" t="str">
        <x:f>IF($K429="","",IF('Game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Q429" s="989" t="str">
        <x:f>IF($K429="","",IFERROR('Game Records'!$M429,""))</x:f>
      </x:c>
    </x:row>
    <x:row r="430" ht="24" customHeight="1">
      <x:c r="A430" s="332"/>
      <x:c r="B430" s="332"/>
      <x:c r="C430" s="331"/>
      <x:c r="D430" s="331"/>
      <x:c r="E430" s="331"/>
      <x:c r="F430" s="331"/>
      <x:c r="G430" s="331"/>
      <x:c r="K430" s="989" t="str">
        <x:f>IF(OR(COUNTA('Game Records'!$A430:$M430)=0,'Game Records'!$U430="Subscription"),"",IFERROR(MAX($K$4:K429),0)+1)</x:f>
      </x:c>
      <x:c r="L430" s="989" t="str">
        <x:f>IF($K430="","","G-"&amp;TEXT($K430,"0000"))</x:f>
      </x:c>
      <x:c r="M430" s="989" t="str">
        <x:f>IF($K430="","",IFERROR('Game Records'!$A430,""))</x:f>
      </x:c>
      <x:c r="N430" s="989" t="str">
        <x:f>IF($K430="","",IFERROR('Game Records'!$U430,""))</x:f>
      </x:c>
      <x:c r="O430" s="989" t="str">
        <x:f>IF($K430="","",IF($P430="","No Highlighted Fields","Highlighted Fields Present"))</x:f>
      </x:c>
      <x:c r="P430" s="989" t="str">
        <x:f>IF($K430="","",IF('Game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Q430" s="989" t="str">
        <x:f>IF($K430="","",IFERROR('Game Records'!$M430,""))</x:f>
      </x:c>
    </x:row>
    <x:row r="431" ht="24" customHeight="1">
      <x:c r="A431" s="332"/>
      <x:c r="B431" s="332"/>
      <x:c r="C431" s="331"/>
      <x:c r="D431" s="331"/>
      <x:c r="E431" s="331"/>
      <x:c r="F431" s="331"/>
      <x:c r="G431" s="331"/>
      <x:c r="K431" s="989" t="str">
        <x:f>IF(OR(COUNTA('Game Records'!$A431:$M431)=0,'Game Records'!$U431="Subscription"),"",IFERROR(MAX($K$4:K430),0)+1)</x:f>
      </x:c>
      <x:c r="L431" s="989" t="str">
        <x:f>IF($K431="","","G-"&amp;TEXT($K431,"0000"))</x:f>
      </x:c>
      <x:c r="M431" s="989" t="str">
        <x:f>IF($K431="","",IFERROR('Game Records'!$A431,""))</x:f>
      </x:c>
      <x:c r="N431" s="989" t="str">
        <x:f>IF($K431="","",IFERROR('Game Records'!$U431,""))</x:f>
      </x:c>
      <x:c r="O431" s="989" t="str">
        <x:f>IF($K431="","",IF($P431="","No Highlighted Fields","Highlighted Fields Present"))</x:f>
      </x:c>
      <x:c r="P431" s="989" t="str">
        <x:f>IF($K431="","",IF('Game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Q431" s="989" t="str">
        <x:f>IF($K431="","",IFERROR('Game Records'!$M431,""))</x:f>
      </x:c>
    </x:row>
    <x:row r="432" ht="24" customHeight="1">
      <x:c r="A432" s="332"/>
      <x:c r="B432" s="332"/>
      <x:c r="C432" s="331"/>
      <x:c r="D432" s="331"/>
      <x:c r="E432" s="331"/>
      <x:c r="F432" s="331"/>
      <x:c r="G432" s="331"/>
      <x:c r="K432" s="989" t="str">
        <x:f>IF(OR(COUNTA('Game Records'!$A432:$M432)=0,'Game Records'!$U432="Subscription"),"",IFERROR(MAX($K$4:K431),0)+1)</x:f>
      </x:c>
      <x:c r="L432" s="989" t="str">
        <x:f>IF($K432="","","G-"&amp;TEXT($K432,"0000"))</x:f>
      </x:c>
      <x:c r="M432" s="989" t="str">
        <x:f>IF($K432="","",IFERROR('Game Records'!$A432,""))</x:f>
      </x:c>
      <x:c r="N432" s="989" t="str">
        <x:f>IF($K432="","",IFERROR('Game Records'!$U432,""))</x:f>
      </x:c>
      <x:c r="O432" s="989" t="str">
        <x:f>IF($K432="","",IF($P432="","No Highlighted Fields","Highlighted Fields Present"))</x:f>
      </x:c>
      <x:c r="P432" s="989" t="str">
        <x:f>IF($K432="","",IF('Game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Q432" s="989" t="str">
        <x:f>IF($K432="","",IFERROR('Game Records'!$M432,""))</x:f>
      </x:c>
    </x:row>
    <x:row r="433" ht="24" customHeight="1">
      <x:c r="A433" s="332"/>
      <x:c r="B433" s="332"/>
      <x:c r="C433" s="331"/>
      <x:c r="D433" s="331"/>
      <x:c r="E433" s="331"/>
      <x:c r="F433" s="331"/>
      <x:c r="G433" s="331"/>
      <x:c r="K433" s="989" t="str">
        <x:f>IF(OR(COUNTA('Game Records'!$A433:$M433)=0,'Game Records'!$U433="Subscription"),"",IFERROR(MAX($K$4:K432),0)+1)</x:f>
      </x:c>
      <x:c r="L433" s="989" t="str">
        <x:f>IF($K433="","","G-"&amp;TEXT($K433,"0000"))</x:f>
      </x:c>
      <x:c r="M433" s="989" t="str">
        <x:f>IF($K433="","",IFERROR('Game Records'!$A433,""))</x:f>
      </x:c>
      <x:c r="N433" s="989" t="str">
        <x:f>IF($K433="","",IFERROR('Game Records'!$U433,""))</x:f>
      </x:c>
      <x:c r="O433" s="989" t="str">
        <x:f>IF($K433="","",IF($P433="","No Highlighted Fields","Highlighted Fields Present"))</x:f>
      </x:c>
      <x:c r="P433" s="989" t="str">
        <x:f>IF($K433="","",IF('Game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Q433" s="989" t="str">
        <x:f>IF($K433="","",IFERROR('Game Records'!$M433,""))</x:f>
      </x:c>
    </x:row>
    <x:row r="434" ht="24" customHeight="1">
      <x:c r="A434" s="332"/>
      <x:c r="B434" s="332"/>
      <x:c r="C434" s="331"/>
      <x:c r="D434" s="331"/>
      <x:c r="E434" s="331"/>
      <x:c r="F434" s="331"/>
      <x:c r="G434" s="331"/>
      <x:c r="K434" s="989" t="str">
        <x:f>IF(OR(COUNTA('Game Records'!$A434:$M434)=0,'Game Records'!$U434="Subscription"),"",IFERROR(MAX($K$4:K433),0)+1)</x:f>
      </x:c>
      <x:c r="L434" s="989" t="str">
        <x:f>IF($K434="","","G-"&amp;TEXT($K434,"0000"))</x:f>
      </x:c>
      <x:c r="M434" s="989" t="str">
        <x:f>IF($K434="","",IFERROR('Game Records'!$A434,""))</x:f>
      </x:c>
      <x:c r="N434" s="989" t="str">
        <x:f>IF($K434="","",IFERROR('Game Records'!$U434,""))</x:f>
      </x:c>
      <x:c r="O434" s="989" t="str">
        <x:f>IF($K434="","",IF($P434="","No Highlighted Fields","Highlighted Fields Present"))</x:f>
      </x:c>
      <x:c r="P434" s="989" t="str">
        <x:f>IF($K434="","",IF('Game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Q434" s="989" t="str">
        <x:f>IF($K434="","",IFERROR('Game Records'!$M434,""))</x:f>
      </x:c>
    </x:row>
    <x:row r="435" ht="24" customHeight="1">
      <x:c r="A435" s="332"/>
      <x:c r="B435" s="332"/>
      <x:c r="C435" s="331"/>
      <x:c r="D435" s="331"/>
      <x:c r="E435" s="331"/>
      <x:c r="F435" s="331"/>
      <x:c r="G435" s="331"/>
      <x:c r="K435" s="989" t="str">
        <x:f>IF(OR(COUNTA('Game Records'!$A435:$M435)=0,'Game Records'!$U435="Subscription"),"",IFERROR(MAX($K$4:K434),0)+1)</x:f>
      </x:c>
      <x:c r="L435" s="989" t="str">
        <x:f>IF($K435="","","G-"&amp;TEXT($K435,"0000"))</x:f>
      </x:c>
      <x:c r="M435" s="989" t="str">
        <x:f>IF($K435="","",IFERROR('Game Records'!$A435,""))</x:f>
      </x:c>
      <x:c r="N435" s="989" t="str">
        <x:f>IF($K435="","",IFERROR('Game Records'!$U435,""))</x:f>
      </x:c>
      <x:c r="O435" s="989" t="str">
        <x:f>IF($K435="","",IF($P435="","No Highlighted Fields","Highlighted Fields Present"))</x:f>
      </x:c>
      <x:c r="P435" s="989" t="str">
        <x:f>IF($K435="","",IF('Game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Q435" s="989" t="str">
        <x:f>IF($K435="","",IFERROR('Game Records'!$M435,""))</x:f>
      </x:c>
    </x:row>
    <x:row r="436" ht="24" customHeight="1">
      <x:c r="A436" s="332"/>
      <x:c r="B436" s="332"/>
      <x:c r="C436" s="331"/>
      <x:c r="D436" s="331"/>
      <x:c r="E436" s="331"/>
      <x:c r="F436" s="331"/>
      <x:c r="G436" s="331"/>
      <x:c r="K436" s="989" t="str">
        <x:f>IF(OR(COUNTA('Game Records'!$A436:$M436)=0,'Game Records'!$U436="Subscription"),"",IFERROR(MAX($K$4:K435),0)+1)</x:f>
      </x:c>
      <x:c r="L436" s="989" t="str">
        <x:f>IF($K436="","","G-"&amp;TEXT($K436,"0000"))</x:f>
      </x:c>
      <x:c r="M436" s="989" t="str">
        <x:f>IF($K436="","",IFERROR('Game Records'!$A436,""))</x:f>
      </x:c>
      <x:c r="N436" s="989" t="str">
        <x:f>IF($K436="","",IFERROR('Game Records'!$U436,""))</x:f>
      </x:c>
      <x:c r="O436" s="989" t="str">
        <x:f>IF($K436="","",IF($P436="","No Highlighted Fields","Highlighted Fields Present"))</x:f>
      </x:c>
      <x:c r="P436" s="989" t="str">
        <x:f>IF($K436="","",IF('Game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Q436" s="989" t="str">
        <x:f>IF($K436="","",IFERROR('Game Records'!$M436,""))</x:f>
      </x:c>
    </x:row>
    <x:row r="437" ht="24" customHeight="1">
      <x:c r="A437" s="332"/>
      <x:c r="B437" s="332"/>
      <x:c r="C437" s="331"/>
      <x:c r="D437" s="331"/>
      <x:c r="E437" s="331"/>
      <x:c r="F437" s="331"/>
      <x:c r="G437" s="331"/>
      <x:c r="K437" s="989" t="str">
        <x:f>IF(OR(COUNTA('Game Records'!$A437:$M437)=0,'Game Records'!$U437="Subscription"),"",IFERROR(MAX($K$4:K436),0)+1)</x:f>
      </x:c>
      <x:c r="L437" s="989" t="str">
        <x:f>IF($K437="","","G-"&amp;TEXT($K437,"0000"))</x:f>
      </x:c>
      <x:c r="M437" s="989" t="str">
        <x:f>IF($K437="","",IFERROR('Game Records'!$A437,""))</x:f>
      </x:c>
      <x:c r="N437" s="989" t="str">
        <x:f>IF($K437="","",IFERROR('Game Records'!$U437,""))</x:f>
      </x:c>
      <x:c r="O437" s="989" t="str">
        <x:f>IF($K437="","",IF($P437="","No Highlighted Fields","Highlighted Fields Present"))</x:f>
      </x:c>
      <x:c r="P437" s="989" t="str">
        <x:f>IF($K437="","",IF('Game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Q437" s="989" t="str">
        <x:f>IF($K437="","",IFERROR('Game Records'!$M437,""))</x:f>
      </x:c>
    </x:row>
    <x:row r="438" ht="24" customHeight="1">
      <x:c r="A438" s="332"/>
      <x:c r="B438" s="332"/>
      <x:c r="C438" s="331"/>
      <x:c r="D438" s="331"/>
      <x:c r="E438" s="331"/>
      <x:c r="F438" s="331"/>
      <x:c r="G438" s="331"/>
      <x:c r="K438" s="989" t="str">
        <x:f>IF(OR(COUNTA('Game Records'!$A438:$M438)=0,'Game Records'!$U438="Subscription"),"",IFERROR(MAX($K$4:K437),0)+1)</x:f>
      </x:c>
      <x:c r="L438" s="989" t="str">
        <x:f>IF($K438="","","G-"&amp;TEXT($K438,"0000"))</x:f>
      </x:c>
      <x:c r="M438" s="989" t="str">
        <x:f>IF($K438="","",IFERROR('Game Records'!$A438,""))</x:f>
      </x:c>
      <x:c r="N438" s="989" t="str">
        <x:f>IF($K438="","",IFERROR('Game Records'!$U438,""))</x:f>
      </x:c>
      <x:c r="O438" s="989" t="str">
        <x:f>IF($K438="","",IF($P438="","No Highlighted Fields","Highlighted Fields Present"))</x:f>
      </x:c>
      <x:c r="P438" s="989" t="str">
        <x:f>IF($K438="","",IF('Game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Q438" s="989" t="str">
        <x:f>IF($K438="","",IFERROR('Game Records'!$M438,""))</x:f>
      </x:c>
    </x:row>
    <x:row r="439" ht="24" customHeight="1">
      <x:c r="A439" s="332"/>
      <x:c r="B439" s="332"/>
      <x:c r="C439" s="331"/>
      <x:c r="D439" s="331"/>
      <x:c r="E439" s="331"/>
      <x:c r="F439" s="331"/>
      <x:c r="G439" s="331"/>
      <x:c r="K439" s="989" t="str">
        <x:f>IF(OR(COUNTA('Game Records'!$A439:$M439)=0,'Game Records'!$U439="Subscription"),"",IFERROR(MAX($K$4:K438),0)+1)</x:f>
      </x:c>
      <x:c r="L439" s="989" t="str">
        <x:f>IF($K439="","","G-"&amp;TEXT($K439,"0000"))</x:f>
      </x:c>
      <x:c r="M439" s="989" t="str">
        <x:f>IF($K439="","",IFERROR('Game Records'!$A439,""))</x:f>
      </x:c>
      <x:c r="N439" s="989" t="str">
        <x:f>IF($K439="","",IFERROR('Game Records'!$U439,""))</x:f>
      </x:c>
      <x:c r="O439" s="989" t="str">
        <x:f>IF($K439="","",IF($P439="","No Highlighted Fields","Highlighted Fields Present"))</x:f>
      </x:c>
      <x:c r="P439" s="989" t="str">
        <x:f>IF($K439="","",IF('Game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Q439" s="989" t="str">
        <x:f>IF($K439="","",IFERROR('Game Records'!$M439,""))</x:f>
      </x:c>
    </x:row>
    <x:row r="440" ht="24" customHeight="1">
      <x:c r="A440" s="332"/>
      <x:c r="B440" s="332"/>
      <x:c r="C440" s="331"/>
      <x:c r="D440" s="331"/>
      <x:c r="E440" s="331"/>
      <x:c r="F440" s="331"/>
      <x:c r="G440" s="331"/>
      <x:c r="K440" s="989" t="str">
        <x:f>IF(OR(COUNTA('Game Records'!$A440:$M440)=0,'Game Records'!$U440="Subscription"),"",IFERROR(MAX($K$4:K439),0)+1)</x:f>
      </x:c>
      <x:c r="L440" s="989" t="str">
        <x:f>IF($K440="","","G-"&amp;TEXT($K440,"0000"))</x:f>
      </x:c>
      <x:c r="M440" s="989" t="str">
        <x:f>IF($K440="","",IFERROR('Game Records'!$A440,""))</x:f>
      </x:c>
      <x:c r="N440" s="989" t="str">
        <x:f>IF($K440="","",IFERROR('Game Records'!$U440,""))</x:f>
      </x:c>
      <x:c r="O440" s="989" t="str">
        <x:f>IF($K440="","",IF($P440="","No Highlighted Fields","Highlighted Fields Present"))</x:f>
      </x:c>
      <x:c r="P440" s="989" t="str">
        <x:f>IF($K440="","",IF('Game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Q440" s="989" t="str">
        <x:f>IF($K440="","",IFERROR('Game Records'!$M440,""))</x:f>
      </x:c>
    </x:row>
    <x:row r="441" ht="24" customHeight="1">
      <x:c r="A441" s="332"/>
      <x:c r="B441" s="332"/>
      <x:c r="C441" s="331"/>
      <x:c r="D441" s="331"/>
      <x:c r="E441" s="331"/>
      <x:c r="F441" s="331"/>
      <x:c r="G441" s="331"/>
      <x:c r="K441" s="989" t="str">
        <x:f>IF(OR(COUNTA('Game Records'!$A441:$M441)=0,'Game Records'!$U441="Subscription"),"",IFERROR(MAX($K$4:K440),0)+1)</x:f>
      </x:c>
      <x:c r="L441" s="989" t="str">
        <x:f>IF($K441="","","G-"&amp;TEXT($K441,"0000"))</x:f>
      </x:c>
      <x:c r="M441" s="989" t="str">
        <x:f>IF($K441="","",IFERROR('Game Records'!$A441,""))</x:f>
      </x:c>
      <x:c r="N441" s="989" t="str">
        <x:f>IF($K441="","",IFERROR('Game Records'!$U441,""))</x:f>
      </x:c>
      <x:c r="O441" s="989" t="str">
        <x:f>IF($K441="","",IF($P441="","No Highlighted Fields","Highlighted Fields Present"))</x:f>
      </x:c>
      <x:c r="P441" s="989" t="str">
        <x:f>IF($K441="","",IF('Game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Q441" s="989" t="str">
        <x:f>IF($K441="","",IFERROR('Game Records'!$M441,""))</x:f>
      </x:c>
    </x:row>
    <x:row r="442" ht="24" customHeight="1">
      <x:c r="A442" s="332"/>
      <x:c r="B442" s="332"/>
      <x:c r="C442" s="331"/>
      <x:c r="D442" s="331"/>
      <x:c r="E442" s="331"/>
      <x:c r="F442" s="331"/>
      <x:c r="G442" s="331"/>
      <x:c r="K442" s="989" t="str">
        <x:f>IF(OR(COUNTA('Game Records'!$A442:$M442)=0,'Game Records'!$U442="Subscription"),"",IFERROR(MAX($K$4:K441),0)+1)</x:f>
      </x:c>
      <x:c r="L442" s="989" t="str">
        <x:f>IF($K442="","","G-"&amp;TEXT($K442,"0000"))</x:f>
      </x:c>
      <x:c r="M442" s="989" t="str">
        <x:f>IF($K442="","",IFERROR('Game Records'!$A442,""))</x:f>
      </x:c>
      <x:c r="N442" s="989" t="str">
        <x:f>IF($K442="","",IFERROR('Game Records'!$U442,""))</x:f>
      </x:c>
      <x:c r="O442" s="989" t="str">
        <x:f>IF($K442="","",IF($P442="","No Highlighted Fields","Highlighted Fields Present"))</x:f>
      </x:c>
      <x:c r="P442" s="989" t="str">
        <x:f>IF($K442="","",IF('Game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Q442" s="989" t="str">
        <x:f>IF($K442="","",IFERROR('Game Records'!$M442,""))</x:f>
      </x:c>
    </x:row>
    <x:row r="443" ht="24" customHeight="1">
      <x:c r="A443" s="332"/>
      <x:c r="B443" s="332"/>
      <x:c r="C443" s="331"/>
      <x:c r="D443" s="331"/>
      <x:c r="E443" s="331"/>
      <x:c r="F443" s="331"/>
      <x:c r="G443" s="331"/>
      <x:c r="K443" s="989" t="str">
        <x:f>IF(OR(COUNTA('Game Records'!$A443:$M443)=0,'Game Records'!$U443="Subscription"),"",IFERROR(MAX($K$4:K442),0)+1)</x:f>
      </x:c>
      <x:c r="L443" s="989" t="str">
        <x:f>IF($K443="","","G-"&amp;TEXT($K443,"0000"))</x:f>
      </x:c>
      <x:c r="M443" s="989" t="str">
        <x:f>IF($K443="","",IFERROR('Game Records'!$A443,""))</x:f>
      </x:c>
      <x:c r="N443" s="989" t="str">
        <x:f>IF($K443="","",IFERROR('Game Records'!$U443,""))</x:f>
      </x:c>
      <x:c r="O443" s="989" t="str">
        <x:f>IF($K443="","",IF($P443="","No Highlighted Fields","Highlighted Fields Present"))</x:f>
      </x:c>
      <x:c r="P443" s="989" t="str">
        <x:f>IF($K443="","",IF('Game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Q443" s="989" t="str">
        <x:f>IF($K443="","",IFERROR('Game Records'!$M443,""))</x:f>
      </x:c>
    </x:row>
    <x:row r="444" ht="24" customHeight="1">
      <x:c r="A444" s="332"/>
      <x:c r="B444" s="332"/>
      <x:c r="C444" s="331"/>
      <x:c r="D444" s="331"/>
      <x:c r="E444" s="331"/>
      <x:c r="F444" s="331"/>
      <x:c r="G444" s="331"/>
      <x:c r="K444" s="989" t="str">
        <x:f>IF(OR(COUNTA('Game Records'!$A444:$M444)=0,'Game Records'!$U444="Subscription"),"",IFERROR(MAX($K$4:K443),0)+1)</x:f>
      </x:c>
      <x:c r="L444" s="989" t="str">
        <x:f>IF($K444="","","G-"&amp;TEXT($K444,"0000"))</x:f>
      </x:c>
      <x:c r="M444" s="989" t="str">
        <x:f>IF($K444="","",IFERROR('Game Records'!$A444,""))</x:f>
      </x:c>
      <x:c r="N444" s="989" t="str">
        <x:f>IF($K444="","",IFERROR('Game Records'!$U444,""))</x:f>
      </x:c>
      <x:c r="O444" s="989" t="str">
        <x:f>IF($K444="","",IF($P444="","No Highlighted Fields","Highlighted Fields Present"))</x:f>
      </x:c>
      <x:c r="P444" s="989" t="str">
        <x:f>IF($K444="","",IF('Game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Q444" s="989" t="str">
        <x:f>IF($K444="","",IFERROR('Game Records'!$M444,""))</x:f>
      </x:c>
    </x:row>
    <x:row r="445" ht="24" customHeight="1">
      <x:c r="A445" s="332"/>
      <x:c r="B445" s="332"/>
      <x:c r="C445" s="331"/>
      <x:c r="D445" s="331"/>
      <x:c r="E445" s="331"/>
      <x:c r="F445" s="331"/>
      <x:c r="G445" s="331"/>
      <x:c r="K445" s="989" t="str">
        <x:f>IF(OR(COUNTA('Game Records'!$A445:$M445)=0,'Game Records'!$U445="Subscription"),"",IFERROR(MAX($K$4:K444),0)+1)</x:f>
      </x:c>
      <x:c r="L445" s="989" t="str">
        <x:f>IF($K445="","","G-"&amp;TEXT($K445,"0000"))</x:f>
      </x:c>
      <x:c r="M445" s="989" t="str">
        <x:f>IF($K445="","",IFERROR('Game Records'!$A445,""))</x:f>
      </x:c>
      <x:c r="N445" s="989" t="str">
        <x:f>IF($K445="","",IFERROR('Game Records'!$U445,""))</x:f>
      </x:c>
      <x:c r="O445" s="989" t="str">
        <x:f>IF($K445="","",IF($P445="","No Highlighted Fields","Highlighted Fields Present"))</x:f>
      </x:c>
      <x:c r="P445" s="989" t="str">
        <x:f>IF($K445="","",IF('Game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Q445" s="989" t="str">
        <x:f>IF($K445="","",IFERROR('Game Records'!$M445,""))</x:f>
      </x:c>
    </x:row>
    <x:row r="446" ht="24" customHeight="1">
      <x:c r="A446" s="332"/>
      <x:c r="B446" s="332"/>
      <x:c r="C446" s="331"/>
      <x:c r="D446" s="331"/>
      <x:c r="E446" s="331"/>
      <x:c r="F446" s="331"/>
      <x:c r="G446" s="331"/>
      <x:c r="K446" s="989" t="str">
        <x:f>IF(OR(COUNTA('Game Records'!$A446:$M446)=0,'Game Records'!$U446="Subscription"),"",IFERROR(MAX($K$4:K445),0)+1)</x:f>
      </x:c>
      <x:c r="L446" s="989" t="str">
        <x:f>IF($K446="","","G-"&amp;TEXT($K446,"0000"))</x:f>
      </x:c>
      <x:c r="M446" s="989" t="str">
        <x:f>IF($K446="","",IFERROR('Game Records'!$A446,""))</x:f>
      </x:c>
      <x:c r="N446" s="989" t="str">
        <x:f>IF($K446="","",IFERROR('Game Records'!$U446,""))</x:f>
      </x:c>
      <x:c r="O446" s="989" t="str">
        <x:f>IF($K446="","",IF($P446="","No Highlighted Fields","Highlighted Fields Present"))</x:f>
      </x:c>
      <x:c r="P446" s="989" t="str">
        <x:f>IF($K446="","",IF('Game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Q446" s="989" t="str">
        <x:f>IF($K446="","",IFERROR('Game Records'!$M446,""))</x:f>
      </x:c>
    </x:row>
    <x:row r="447" ht="24" customHeight="1">
      <x:c r="A447" s="332"/>
      <x:c r="B447" s="332"/>
      <x:c r="C447" s="331"/>
      <x:c r="D447" s="331"/>
      <x:c r="E447" s="331"/>
      <x:c r="F447" s="331"/>
      <x:c r="G447" s="331"/>
      <x:c r="K447" s="989" t="str">
        <x:f>IF(OR(COUNTA('Game Records'!$A447:$M447)=0,'Game Records'!$U447="Subscription"),"",IFERROR(MAX($K$4:K446),0)+1)</x:f>
      </x:c>
      <x:c r="L447" s="989" t="str">
        <x:f>IF($K447="","","G-"&amp;TEXT($K447,"0000"))</x:f>
      </x:c>
      <x:c r="M447" s="989" t="str">
        <x:f>IF($K447="","",IFERROR('Game Records'!$A447,""))</x:f>
      </x:c>
      <x:c r="N447" s="989" t="str">
        <x:f>IF($K447="","",IFERROR('Game Records'!$U447,""))</x:f>
      </x:c>
      <x:c r="O447" s="989" t="str">
        <x:f>IF($K447="","",IF($P447="","No Highlighted Fields","Highlighted Fields Present"))</x:f>
      </x:c>
      <x:c r="P447" s="989" t="str">
        <x:f>IF($K447="","",IF('Game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Q447" s="989" t="str">
        <x:f>IF($K447="","",IFERROR('Game Records'!$M447,""))</x:f>
      </x:c>
    </x:row>
    <x:row r="448" ht="24" customHeight="1">
      <x:c r="A448" s="332"/>
      <x:c r="B448" s="332"/>
      <x:c r="C448" s="331"/>
      <x:c r="D448" s="331"/>
      <x:c r="E448" s="331"/>
      <x:c r="F448" s="331"/>
      <x:c r="G448" s="331"/>
      <x:c r="K448" s="989" t="str">
        <x:f>IF(OR(COUNTA('Game Records'!$A448:$M448)=0,'Game Records'!$U448="Subscription"),"",IFERROR(MAX($K$4:K447),0)+1)</x:f>
      </x:c>
      <x:c r="L448" s="989" t="str">
        <x:f>IF($K448="","","G-"&amp;TEXT($K448,"0000"))</x:f>
      </x:c>
      <x:c r="M448" s="989" t="str">
        <x:f>IF($K448="","",IFERROR('Game Records'!$A448,""))</x:f>
      </x:c>
      <x:c r="N448" s="989" t="str">
        <x:f>IF($K448="","",IFERROR('Game Records'!$U448,""))</x:f>
      </x:c>
      <x:c r="O448" s="989" t="str">
        <x:f>IF($K448="","",IF($P448="","No Highlighted Fields","Highlighted Fields Present"))</x:f>
      </x:c>
      <x:c r="P448" s="989" t="str">
        <x:f>IF($K448="","",IF('Game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Q448" s="989" t="str">
        <x:f>IF($K448="","",IFERROR('Game Records'!$M448,""))</x:f>
      </x:c>
    </x:row>
    <x:row r="449" ht="24" customHeight="1">
      <x:c r="A449" s="332"/>
      <x:c r="B449" s="332"/>
      <x:c r="C449" s="331"/>
      <x:c r="D449" s="331"/>
      <x:c r="E449" s="331"/>
      <x:c r="F449" s="331"/>
      <x:c r="G449" s="331"/>
      <x:c r="K449" s="989" t="str">
        <x:f>IF(OR(COUNTA('Game Records'!$A449:$M449)=0,'Game Records'!$U449="Subscription"),"",IFERROR(MAX($K$4:K448),0)+1)</x:f>
      </x:c>
      <x:c r="L449" s="989" t="str">
        <x:f>IF($K449="","","G-"&amp;TEXT($K449,"0000"))</x:f>
      </x:c>
      <x:c r="M449" s="989" t="str">
        <x:f>IF($K449="","",IFERROR('Game Records'!$A449,""))</x:f>
      </x:c>
      <x:c r="N449" s="989" t="str">
        <x:f>IF($K449="","",IFERROR('Game Records'!$U449,""))</x:f>
      </x:c>
      <x:c r="O449" s="989" t="str">
        <x:f>IF($K449="","",IF($P449="","No Highlighted Fields","Highlighted Fields Present"))</x:f>
      </x:c>
      <x:c r="P449" s="989" t="str">
        <x:f>IF($K449="","",IF('Game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Q449" s="989" t="str">
        <x:f>IF($K449="","",IFERROR('Game Records'!$M449,""))</x:f>
      </x:c>
    </x:row>
    <x:row r="450" ht="24" customHeight="1">
      <x:c r="A450" s="332"/>
      <x:c r="B450" s="332"/>
      <x:c r="C450" s="331"/>
      <x:c r="D450" s="331"/>
      <x:c r="E450" s="331"/>
      <x:c r="F450" s="331"/>
      <x:c r="G450" s="331"/>
      <x:c r="K450" s="989" t="str">
        <x:f>IF(OR(COUNTA('Game Records'!$A450:$M450)=0,'Game Records'!$U450="Subscription"),"",IFERROR(MAX($K$4:K449),0)+1)</x:f>
      </x:c>
      <x:c r="L450" s="989" t="str">
        <x:f>IF($K450="","","G-"&amp;TEXT($K450,"0000"))</x:f>
      </x:c>
      <x:c r="M450" s="989" t="str">
        <x:f>IF($K450="","",IFERROR('Game Records'!$A450,""))</x:f>
      </x:c>
      <x:c r="N450" s="989" t="str">
        <x:f>IF($K450="","",IFERROR('Game Records'!$U450,""))</x:f>
      </x:c>
      <x:c r="O450" s="989" t="str">
        <x:f>IF($K450="","",IF($P450="","No Highlighted Fields","Highlighted Fields Present"))</x:f>
      </x:c>
      <x:c r="P450" s="989" t="str">
        <x:f>IF($K450="","",IF('Game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Q450" s="989" t="str">
        <x:f>IF($K450="","",IFERROR('Game Records'!$M450,""))</x:f>
      </x:c>
    </x:row>
    <x:row r="451" ht="24" customHeight="1">
      <x:c r="A451" s="332"/>
      <x:c r="B451" s="332"/>
      <x:c r="C451" s="331"/>
      <x:c r="D451" s="331"/>
      <x:c r="E451" s="331"/>
      <x:c r="F451" s="331"/>
      <x:c r="G451" s="331"/>
      <x:c r="K451" s="989" t="str">
        <x:f>IF(OR(COUNTA('Game Records'!$A451:$M451)=0,'Game Records'!$U451="Subscription"),"",IFERROR(MAX($K$4:K450),0)+1)</x:f>
      </x:c>
      <x:c r="L451" s="989" t="str">
        <x:f>IF($K451="","","G-"&amp;TEXT($K451,"0000"))</x:f>
      </x:c>
      <x:c r="M451" s="989" t="str">
        <x:f>IF($K451="","",IFERROR('Game Records'!$A451,""))</x:f>
      </x:c>
      <x:c r="N451" s="989" t="str">
        <x:f>IF($K451="","",IFERROR('Game Records'!$U451,""))</x:f>
      </x:c>
      <x:c r="O451" s="989" t="str">
        <x:f>IF($K451="","",IF($P451="","No Highlighted Fields","Highlighted Fields Present"))</x:f>
      </x:c>
      <x:c r="P451" s="989" t="str">
        <x:f>IF($K451="","",IF('Game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Q451" s="989" t="str">
        <x:f>IF($K451="","",IFERROR('Game Records'!$M451,""))</x:f>
      </x:c>
    </x:row>
    <x:row r="452" ht="24" customHeight="1">
      <x:c r="A452" s="332"/>
      <x:c r="B452" s="332"/>
      <x:c r="C452" s="331"/>
      <x:c r="D452" s="331"/>
      <x:c r="E452" s="331"/>
      <x:c r="F452" s="331"/>
      <x:c r="G452" s="331"/>
      <x:c r="K452" s="989" t="str">
        <x:f>IF(OR(COUNTA('Game Records'!$A452:$M452)=0,'Game Records'!$U452="Subscription"),"",IFERROR(MAX($K$4:K451),0)+1)</x:f>
      </x:c>
      <x:c r="L452" s="989" t="str">
        <x:f>IF($K452="","","G-"&amp;TEXT($K452,"0000"))</x:f>
      </x:c>
      <x:c r="M452" s="989" t="str">
        <x:f>IF($K452="","",IFERROR('Game Records'!$A452,""))</x:f>
      </x:c>
      <x:c r="N452" s="989" t="str">
        <x:f>IF($K452="","",IFERROR('Game Records'!$U452,""))</x:f>
      </x:c>
      <x:c r="O452" s="989" t="str">
        <x:f>IF($K452="","",IF($P452="","No Highlighted Fields","Highlighted Fields Present"))</x:f>
      </x:c>
      <x:c r="P452" s="989" t="str">
        <x:f>IF($K452="","",IF('Game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Q452" s="989" t="str">
        <x:f>IF($K452="","",IFERROR('Game Records'!$M452,""))</x:f>
      </x:c>
    </x:row>
    <x:row r="453" ht="24" customHeight="1">
      <x:c r="A453" s="332"/>
      <x:c r="B453" s="332"/>
      <x:c r="C453" s="331"/>
      <x:c r="D453" s="331"/>
      <x:c r="E453" s="331"/>
      <x:c r="F453" s="331"/>
      <x:c r="G453" s="331"/>
      <x:c r="K453" s="989" t="str">
        <x:f>IF(OR(COUNTA('Game Records'!$A453:$M453)=0,'Game Records'!$U453="Subscription"),"",IFERROR(MAX($K$4:K452),0)+1)</x:f>
      </x:c>
      <x:c r="L453" s="989" t="str">
        <x:f>IF($K453="","","G-"&amp;TEXT($K453,"0000"))</x:f>
      </x:c>
      <x:c r="M453" s="989" t="str">
        <x:f>IF($K453="","",IFERROR('Game Records'!$A453,""))</x:f>
      </x:c>
      <x:c r="N453" s="989" t="str">
        <x:f>IF($K453="","",IFERROR('Game Records'!$U453,""))</x:f>
      </x:c>
      <x:c r="O453" s="989" t="str">
        <x:f>IF($K453="","",IF($P453="","No Highlighted Fields","Highlighted Fields Present"))</x:f>
      </x:c>
      <x:c r="P453" s="989" t="str">
        <x:f>IF($K453="","",IF('Game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Q453" s="989" t="str">
        <x:f>IF($K453="","",IFERROR('Game Records'!$M453,""))</x:f>
      </x:c>
    </x:row>
    <x:row r="454" ht="24" customHeight="1">
      <x:c r="A454" s="332"/>
      <x:c r="B454" s="332"/>
      <x:c r="C454" s="331"/>
      <x:c r="D454" s="331"/>
      <x:c r="E454" s="331"/>
      <x:c r="F454" s="331"/>
      <x:c r="G454" s="331"/>
      <x:c r="K454" s="989" t="str">
        <x:f>IF(OR(COUNTA('Game Records'!$A454:$M454)=0,'Game Records'!$U454="Subscription"),"",IFERROR(MAX($K$4:K453),0)+1)</x:f>
      </x:c>
      <x:c r="L454" s="989" t="str">
        <x:f>IF($K454="","","G-"&amp;TEXT($K454,"0000"))</x:f>
      </x:c>
      <x:c r="M454" s="989" t="str">
        <x:f>IF($K454="","",IFERROR('Game Records'!$A454,""))</x:f>
      </x:c>
      <x:c r="N454" s="989" t="str">
        <x:f>IF($K454="","",IFERROR('Game Records'!$U454,""))</x:f>
      </x:c>
      <x:c r="O454" s="989" t="str">
        <x:f>IF($K454="","",IF($P454="","No Highlighted Fields","Highlighted Fields Present"))</x:f>
      </x:c>
      <x:c r="P454" s="989" t="str">
        <x:f>IF($K454="","",IF('Game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Q454" s="989" t="str">
        <x:f>IF($K454="","",IFERROR('Game Records'!$M454,""))</x:f>
      </x:c>
    </x:row>
    <x:row r="455" ht="24" customHeight="1">
      <x:c r="A455" s="332"/>
      <x:c r="B455" s="332"/>
      <x:c r="C455" s="331"/>
      <x:c r="D455" s="331"/>
      <x:c r="E455" s="331"/>
      <x:c r="F455" s="331"/>
      <x:c r="G455" s="331"/>
      <x:c r="K455" s="989" t="str">
        <x:f>IF(OR(COUNTA('Game Records'!$A455:$M455)=0,'Game Records'!$U455="Subscription"),"",IFERROR(MAX($K$4:K454),0)+1)</x:f>
      </x:c>
      <x:c r="L455" s="989" t="str">
        <x:f>IF($K455="","","G-"&amp;TEXT($K455,"0000"))</x:f>
      </x:c>
      <x:c r="M455" s="989" t="str">
        <x:f>IF($K455="","",IFERROR('Game Records'!$A455,""))</x:f>
      </x:c>
      <x:c r="N455" s="989" t="str">
        <x:f>IF($K455="","",IFERROR('Game Records'!$U455,""))</x:f>
      </x:c>
      <x:c r="O455" s="989" t="str">
        <x:f>IF($K455="","",IF($P455="","No Highlighted Fields","Highlighted Fields Present"))</x:f>
      </x:c>
      <x:c r="P455" s="989" t="str">
        <x:f>IF($K455="","",IF('Game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Q455" s="989" t="str">
        <x:f>IF($K455="","",IFERROR('Game Records'!$M455,""))</x:f>
      </x:c>
    </x:row>
    <x:row r="456" ht="24" customHeight="1">
      <x:c r="A456" s="332"/>
      <x:c r="B456" s="332"/>
      <x:c r="C456" s="331"/>
      <x:c r="D456" s="331"/>
      <x:c r="E456" s="331"/>
      <x:c r="F456" s="331"/>
      <x:c r="G456" s="331"/>
      <x:c r="K456" s="989" t="str">
        <x:f>IF(OR(COUNTA('Game Records'!$A456:$M456)=0,'Game Records'!$U456="Subscription"),"",IFERROR(MAX($K$4:K455),0)+1)</x:f>
      </x:c>
      <x:c r="L456" s="989" t="str">
        <x:f>IF($K456="","","G-"&amp;TEXT($K456,"0000"))</x:f>
      </x:c>
      <x:c r="M456" s="989" t="str">
        <x:f>IF($K456="","",IFERROR('Game Records'!$A456,""))</x:f>
      </x:c>
      <x:c r="N456" s="989" t="str">
        <x:f>IF($K456="","",IFERROR('Game Records'!$U456,""))</x:f>
      </x:c>
      <x:c r="O456" s="989" t="str">
        <x:f>IF($K456="","",IF($P456="","No Highlighted Fields","Highlighted Fields Present"))</x:f>
      </x:c>
      <x:c r="P456" s="989" t="str">
        <x:f>IF($K456="","",IF('Game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Q456" s="989" t="str">
        <x:f>IF($K456="","",IFERROR('Game Records'!$M456,""))</x:f>
      </x:c>
    </x:row>
    <x:row r="457" ht="24" customHeight="1">
      <x:c r="A457" s="332"/>
      <x:c r="B457" s="332"/>
      <x:c r="C457" s="331"/>
      <x:c r="D457" s="331"/>
      <x:c r="E457" s="331"/>
      <x:c r="F457" s="331"/>
      <x:c r="G457" s="331"/>
      <x:c r="K457" s="989" t="str">
        <x:f>IF(OR(COUNTA('Game Records'!$A457:$M457)=0,'Game Records'!$U457="Subscription"),"",IFERROR(MAX($K$4:K456),0)+1)</x:f>
      </x:c>
      <x:c r="L457" s="989" t="str">
        <x:f>IF($K457="","","G-"&amp;TEXT($K457,"0000"))</x:f>
      </x:c>
      <x:c r="M457" s="989" t="str">
        <x:f>IF($K457="","",IFERROR('Game Records'!$A457,""))</x:f>
      </x:c>
      <x:c r="N457" s="989" t="str">
        <x:f>IF($K457="","",IFERROR('Game Records'!$U457,""))</x:f>
      </x:c>
      <x:c r="O457" s="989" t="str">
        <x:f>IF($K457="","",IF($P457="","No Highlighted Fields","Highlighted Fields Present"))</x:f>
      </x:c>
      <x:c r="P457" s="989" t="str">
        <x:f>IF($K457="","",IF('Game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Q457" s="989" t="str">
        <x:f>IF($K457="","",IFERROR('Game Records'!$M457,""))</x:f>
      </x:c>
    </x:row>
    <x:row r="458" ht="24" customHeight="1">
      <x:c r="A458" s="332"/>
      <x:c r="B458" s="332"/>
      <x:c r="C458" s="331"/>
      <x:c r="D458" s="331"/>
      <x:c r="E458" s="331"/>
      <x:c r="F458" s="331"/>
      <x:c r="G458" s="331"/>
      <x:c r="K458" s="989" t="str">
        <x:f>IF(OR(COUNTA('Game Records'!$A458:$M458)=0,'Game Records'!$U458="Subscription"),"",IFERROR(MAX($K$4:K457),0)+1)</x:f>
      </x:c>
      <x:c r="L458" s="989" t="str">
        <x:f>IF($K458="","","G-"&amp;TEXT($K458,"0000"))</x:f>
      </x:c>
      <x:c r="M458" s="989" t="str">
        <x:f>IF($K458="","",IFERROR('Game Records'!$A458,""))</x:f>
      </x:c>
      <x:c r="N458" s="989" t="str">
        <x:f>IF($K458="","",IFERROR('Game Records'!$U458,""))</x:f>
      </x:c>
      <x:c r="O458" s="989" t="str">
        <x:f>IF($K458="","",IF($P458="","No Highlighted Fields","Highlighted Fields Present"))</x:f>
      </x:c>
      <x:c r="P458" s="989" t="str">
        <x:f>IF($K458="","",IF('Game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Q458" s="989" t="str">
        <x:f>IF($K458="","",IFERROR('Game Records'!$M458,""))</x:f>
      </x:c>
    </x:row>
    <x:row r="459" ht="24" customHeight="1">
      <x:c r="A459" s="332"/>
      <x:c r="B459" s="332"/>
      <x:c r="C459" s="331"/>
      <x:c r="D459" s="331"/>
      <x:c r="E459" s="331"/>
      <x:c r="F459" s="331"/>
      <x:c r="G459" s="331"/>
      <x:c r="K459" s="989" t="str">
        <x:f>IF(OR(COUNTA('Game Records'!$A459:$M459)=0,'Game Records'!$U459="Subscription"),"",IFERROR(MAX($K$4:K458),0)+1)</x:f>
      </x:c>
      <x:c r="L459" s="989" t="str">
        <x:f>IF($K459="","","G-"&amp;TEXT($K459,"0000"))</x:f>
      </x:c>
      <x:c r="M459" s="989" t="str">
        <x:f>IF($K459="","",IFERROR('Game Records'!$A459,""))</x:f>
      </x:c>
      <x:c r="N459" s="989" t="str">
        <x:f>IF($K459="","",IFERROR('Game Records'!$U459,""))</x:f>
      </x:c>
      <x:c r="O459" s="989" t="str">
        <x:f>IF($K459="","",IF($P459="","No Highlighted Fields","Highlighted Fields Present"))</x:f>
      </x:c>
      <x:c r="P459" s="989" t="str">
        <x:f>IF($K459="","",IF('Game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Q459" s="989" t="str">
        <x:f>IF($K459="","",IFERROR('Game Records'!$M459,""))</x:f>
      </x:c>
    </x:row>
    <x:row r="460" ht="24" customHeight="1">
      <x:c r="A460" s="332"/>
      <x:c r="B460" s="332"/>
      <x:c r="C460" s="331"/>
      <x:c r="D460" s="331"/>
      <x:c r="E460" s="331"/>
      <x:c r="F460" s="331"/>
      <x:c r="G460" s="331"/>
      <x:c r="K460" s="989" t="str">
        <x:f>IF(OR(COUNTA('Game Records'!$A460:$M460)=0,'Game Records'!$U460="Subscription"),"",IFERROR(MAX($K$4:K459),0)+1)</x:f>
      </x:c>
      <x:c r="L460" s="989" t="str">
        <x:f>IF($K460="","","G-"&amp;TEXT($K460,"0000"))</x:f>
      </x:c>
      <x:c r="M460" s="989" t="str">
        <x:f>IF($K460="","",IFERROR('Game Records'!$A460,""))</x:f>
      </x:c>
      <x:c r="N460" s="989" t="str">
        <x:f>IF($K460="","",IFERROR('Game Records'!$U460,""))</x:f>
      </x:c>
      <x:c r="O460" s="989" t="str">
        <x:f>IF($K460="","",IF($P460="","No Highlighted Fields","Highlighted Fields Present"))</x:f>
      </x:c>
      <x:c r="P460" s="989" t="str">
        <x:f>IF($K460="","",IF('Game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Q460" s="989" t="str">
        <x:f>IF($K460="","",IFERROR('Game Records'!$M460,""))</x:f>
      </x:c>
    </x:row>
    <x:row r="461" ht="24" customHeight="1">
      <x:c r="A461" s="332"/>
      <x:c r="B461" s="332"/>
      <x:c r="C461" s="331"/>
      <x:c r="D461" s="331"/>
      <x:c r="E461" s="331"/>
      <x:c r="F461" s="331"/>
      <x:c r="G461" s="331"/>
      <x:c r="K461" s="989" t="str">
        <x:f>IF(OR(COUNTA('Game Records'!$A461:$M461)=0,'Game Records'!$U461="Subscription"),"",IFERROR(MAX($K$4:K460),0)+1)</x:f>
      </x:c>
      <x:c r="L461" s="989" t="str">
        <x:f>IF($K461="","","G-"&amp;TEXT($K461,"0000"))</x:f>
      </x:c>
      <x:c r="M461" s="989" t="str">
        <x:f>IF($K461="","",IFERROR('Game Records'!$A461,""))</x:f>
      </x:c>
      <x:c r="N461" s="989" t="str">
        <x:f>IF($K461="","",IFERROR('Game Records'!$U461,""))</x:f>
      </x:c>
      <x:c r="O461" s="989" t="str">
        <x:f>IF($K461="","",IF($P461="","No Highlighted Fields","Highlighted Fields Present"))</x:f>
      </x:c>
      <x:c r="P461" s="989" t="str">
        <x:f>IF($K461="","",IF('Game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Q461" s="989" t="str">
        <x:f>IF($K461="","",IFERROR('Game Records'!$M461,""))</x:f>
      </x:c>
    </x:row>
    <x:row r="462" ht="24" customHeight="1">
      <x:c r="A462" s="332"/>
      <x:c r="B462" s="332"/>
      <x:c r="C462" s="331"/>
      <x:c r="D462" s="331"/>
      <x:c r="E462" s="331"/>
      <x:c r="F462" s="331"/>
      <x:c r="G462" s="331"/>
      <x:c r="K462" s="989" t="str">
        <x:f>IF(OR(COUNTA('Game Records'!$A462:$M462)=0,'Game Records'!$U462="Subscription"),"",IFERROR(MAX($K$4:K461),0)+1)</x:f>
      </x:c>
      <x:c r="L462" s="989" t="str">
        <x:f>IF($K462="","","G-"&amp;TEXT($K462,"0000"))</x:f>
      </x:c>
      <x:c r="M462" s="989" t="str">
        <x:f>IF($K462="","",IFERROR('Game Records'!$A462,""))</x:f>
      </x:c>
      <x:c r="N462" s="989" t="str">
        <x:f>IF($K462="","",IFERROR('Game Records'!$U462,""))</x:f>
      </x:c>
      <x:c r="O462" s="989" t="str">
        <x:f>IF($K462="","",IF($P462="","No Highlighted Fields","Highlighted Fields Present"))</x:f>
      </x:c>
      <x:c r="P462" s="989" t="str">
        <x:f>IF($K462="","",IF('Game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Q462" s="989" t="str">
        <x:f>IF($K462="","",IFERROR('Game Records'!$M462,""))</x:f>
      </x:c>
    </x:row>
    <x:row r="463" ht="24" customHeight="1">
      <x:c r="A463" s="332"/>
      <x:c r="B463" s="332"/>
      <x:c r="C463" s="331"/>
      <x:c r="D463" s="331"/>
      <x:c r="E463" s="331"/>
      <x:c r="F463" s="331"/>
      <x:c r="G463" s="331"/>
      <x:c r="K463" s="989" t="str">
        <x:f>IF(OR(COUNTA('Game Records'!$A463:$M463)=0,'Game Records'!$U463="Subscription"),"",IFERROR(MAX($K$4:K462),0)+1)</x:f>
      </x:c>
      <x:c r="L463" s="989" t="str">
        <x:f>IF($K463="","","G-"&amp;TEXT($K463,"0000"))</x:f>
      </x:c>
      <x:c r="M463" s="989" t="str">
        <x:f>IF($K463="","",IFERROR('Game Records'!$A463,""))</x:f>
      </x:c>
      <x:c r="N463" s="989" t="str">
        <x:f>IF($K463="","",IFERROR('Game Records'!$U463,""))</x:f>
      </x:c>
      <x:c r="O463" s="989" t="str">
        <x:f>IF($K463="","",IF($P463="","No Highlighted Fields","Highlighted Fields Present"))</x:f>
      </x:c>
      <x:c r="P463" s="989" t="str">
        <x:f>IF($K463="","",IF('Game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Q463" s="989" t="str">
        <x:f>IF($K463="","",IFERROR('Game Records'!$M463,""))</x:f>
      </x:c>
    </x:row>
    <x:row r="464" ht="24" customHeight="1">
      <x:c r="A464" s="332"/>
      <x:c r="B464" s="332"/>
      <x:c r="C464" s="331"/>
      <x:c r="D464" s="331"/>
      <x:c r="E464" s="331"/>
      <x:c r="F464" s="331"/>
      <x:c r="G464" s="331"/>
      <x:c r="K464" s="989" t="str">
        <x:f>IF(OR(COUNTA('Game Records'!$A464:$M464)=0,'Game Records'!$U464="Subscription"),"",IFERROR(MAX($K$4:K463),0)+1)</x:f>
      </x:c>
      <x:c r="L464" s="989" t="str">
        <x:f>IF($K464="","","G-"&amp;TEXT($K464,"0000"))</x:f>
      </x:c>
      <x:c r="M464" s="989" t="str">
        <x:f>IF($K464="","",IFERROR('Game Records'!$A464,""))</x:f>
      </x:c>
      <x:c r="N464" s="989" t="str">
        <x:f>IF($K464="","",IFERROR('Game Records'!$U464,""))</x:f>
      </x:c>
      <x:c r="O464" s="989" t="str">
        <x:f>IF($K464="","",IF($P464="","No Highlighted Fields","Highlighted Fields Present"))</x:f>
      </x:c>
      <x:c r="P464" s="989" t="str">
        <x:f>IF($K464="","",IF('Game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Q464" s="989" t="str">
        <x:f>IF($K464="","",IFERROR('Game Records'!$M464,""))</x:f>
      </x:c>
    </x:row>
    <x:row r="465" ht="24" customHeight="1">
      <x:c r="A465" s="332"/>
      <x:c r="B465" s="332"/>
      <x:c r="C465" s="331"/>
      <x:c r="D465" s="331"/>
      <x:c r="E465" s="331"/>
      <x:c r="F465" s="331"/>
      <x:c r="G465" s="331"/>
      <x:c r="K465" s="989" t="str">
        <x:f>IF(OR(COUNTA('Game Records'!$A465:$M465)=0,'Game Records'!$U465="Subscription"),"",IFERROR(MAX($K$4:K464),0)+1)</x:f>
      </x:c>
      <x:c r="L465" s="989" t="str">
        <x:f>IF($K465="","","G-"&amp;TEXT($K465,"0000"))</x:f>
      </x:c>
      <x:c r="M465" s="989" t="str">
        <x:f>IF($K465="","",IFERROR('Game Records'!$A465,""))</x:f>
      </x:c>
      <x:c r="N465" s="989" t="str">
        <x:f>IF($K465="","",IFERROR('Game Records'!$U465,""))</x:f>
      </x:c>
      <x:c r="O465" s="989" t="str">
        <x:f>IF($K465="","",IF($P465="","No Highlighted Fields","Highlighted Fields Present"))</x:f>
      </x:c>
      <x:c r="P465" s="989" t="str">
        <x:f>IF($K465="","",IF('Game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Q465" s="989" t="str">
        <x:f>IF($K465="","",IFERROR('Game Records'!$M465,""))</x:f>
      </x:c>
    </x:row>
    <x:row r="466" ht="24" customHeight="1">
      <x:c r="A466" s="332"/>
      <x:c r="B466" s="332"/>
      <x:c r="C466" s="331"/>
      <x:c r="D466" s="331"/>
      <x:c r="E466" s="331"/>
      <x:c r="F466" s="331"/>
      <x:c r="G466" s="331"/>
      <x:c r="K466" s="989" t="str">
        <x:f>IF(OR(COUNTA('Game Records'!$A466:$M466)=0,'Game Records'!$U466="Subscription"),"",IFERROR(MAX($K$4:K465),0)+1)</x:f>
      </x:c>
      <x:c r="L466" s="989" t="str">
        <x:f>IF($K466="","","G-"&amp;TEXT($K466,"0000"))</x:f>
      </x:c>
      <x:c r="M466" s="989" t="str">
        <x:f>IF($K466="","",IFERROR('Game Records'!$A466,""))</x:f>
      </x:c>
      <x:c r="N466" s="989" t="str">
        <x:f>IF($K466="","",IFERROR('Game Records'!$U466,""))</x:f>
      </x:c>
      <x:c r="O466" s="989" t="str">
        <x:f>IF($K466="","",IF($P466="","No Highlighted Fields","Highlighted Fields Present"))</x:f>
      </x:c>
      <x:c r="P466" s="989" t="str">
        <x:f>IF($K466="","",IF('Game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Q466" s="989" t="str">
        <x:f>IF($K466="","",IFERROR('Game Records'!$M466,""))</x:f>
      </x:c>
    </x:row>
    <x:row r="467" ht="24" customHeight="1">
      <x:c r="A467" s="332"/>
      <x:c r="B467" s="332"/>
      <x:c r="C467" s="331"/>
      <x:c r="D467" s="331"/>
      <x:c r="E467" s="331"/>
      <x:c r="F467" s="331"/>
      <x:c r="G467" s="331"/>
      <x:c r="K467" s="989" t="str">
        <x:f>IF(OR(COUNTA('Game Records'!$A467:$M467)=0,'Game Records'!$U467="Subscription"),"",IFERROR(MAX($K$4:K466),0)+1)</x:f>
      </x:c>
      <x:c r="L467" s="989" t="str">
        <x:f>IF($K467="","","G-"&amp;TEXT($K467,"0000"))</x:f>
      </x:c>
      <x:c r="M467" s="989" t="str">
        <x:f>IF($K467="","",IFERROR('Game Records'!$A467,""))</x:f>
      </x:c>
      <x:c r="N467" s="989" t="str">
        <x:f>IF($K467="","",IFERROR('Game Records'!$U467,""))</x:f>
      </x:c>
      <x:c r="O467" s="989" t="str">
        <x:f>IF($K467="","",IF($P467="","No Highlighted Fields","Highlighted Fields Present"))</x:f>
      </x:c>
      <x:c r="P467" s="989" t="str">
        <x:f>IF($K467="","",IF('Game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Q467" s="989" t="str">
        <x:f>IF($K467="","",IFERROR('Game Records'!$M467,""))</x:f>
      </x:c>
    </x:row>
    <x:row r="468" ht="24" customHeight="1">
      <x:c r="A468" s="332"/>
      <x:c r="B468" s="332"/>
      <x:c r="C468" s="331"/>
      <x:c r="D468" s="331"/>
      <x:c r="E468" s="331"/>
      <x:c r="F468" s="331"/>
      <x:c r="G468" s="331"/>
      <x:c r="K468" s="989" t="str">
        <x:f>IF(OR(COUNTA('Game Records'!$A468:$M468)=0,'Game Records'!$U468="Subscription"),"",IFERROR(MAX($K$4:K467),0)+1)</x:f>
      </x:c>
      <x:c r="L468" s="989" t="str">
        <x:f>IF($K468="","","G-"&amp;TEXT($K468,"0000"))</x:f>
      </x:c>
      <x:c r="M468" s="989" t="str">
        <x:f>IF($K468="","",IFERROR('Game Records'!$A468,""))</x:f>
      </x:c>
      <x:c r="N468" s="989" t="str">
        <x:f>IF($K468="","",IFERROR('Game Records'!$U468,""))</x:f>
      </x:c>
      <x:c r="O468" s="989" t="str">
        <x:f>IF($K468="","",IF($P468="","No Highlighted Fields","Highlighted Fields Present"))</x:f>
      </x:c>
      <x:c r="P468" s="989" t="str">
        <x:f>IF($K468="","",IF('Game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Q468" s="989" t="str">
        <x:f>IF($K468="","",IFERROR('Game Records'!$M468,""))</x:f>
      </x:c>
    </x:row>
    <x:row r="469" ht="24" customHeight="1">
      <x:c r="A469" s="332"/>
      <x:c r="B469" s="332"/>
      <x:c r="C469" s="331"/>
      <x:c r="D469" s="331"/>
      <x:c r="E469" s="331"/>
      <x:c r="F469" s="331"/>
      <x:c r="G469" s="331"/>
      <x:c r="K469" s="989" t="str">
        <x:f>IF(OR(COUNTA('Game Records'!$A469:$M469)=0,'Game Records'!$U469="Subscription"),"",IFERROR(MAX($K$4:K468),0)+1)</x:f>
      </x:c>
      <x:c r="L469" s="989" t="str">
        <x:f>IF($K469="","","G-"&amp;TEXT($K469,"0000"))</x:f>
      </x:c>
      <x:c r="M469" s="989" t="str">
        <x:f>IF($K469="","",IFERROR('Game Records'!$A469,""))</x:f>
      </x:c>
      <x:c r="N469" s="989" t="str">
        <x:f>IF($K469="","",IFERROR('Game Records'!$U469,""))</x:f>
      </x:c>
      <x:c r="O469" s="989" t="str">
        <x:f>IF($K469="","",IF($P469="","No Highlighted Fields","Highlighted Fields Present"))</x:f>
      </x:c>
      <x:c r="P469" s="989" t="str">
        <x:f>IF($K469="","",IF('Game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Q469" s="989" t="str">
        <x:f>IF($K469="","",IFERROR('Game Records'!$M469,""))</x:f>
      </x:c>
    </x:row>
    <x:row r="470" ht="24" customHeight="1">
      <x:c r="A470" s="332"/>
      <x:c r="B470" s="332"/>
      <x:c r="C470" s="331"/>
      <x:c r="D470" s="331"/>
      <x:c r="E470" s="331"/>
      <x:c r="F470" s="331"/>
      <x:c r="G470" s="331"/>
      <x:c r="K470" s="989" t="str">
        <x:f>IF(OR(COUNTA('Game Records'!$A470:$M470)=0,'Game Records'!$U470="Subscription"),"",IFERROR(MAX($K$4:K469),0)+1)</x:f>
      </x:c>
      <x:c r="L470" s="989" t="str">
        <x:f>IF($K470="","","G-"&amp;TEXT($K470,"0000"))</x:f>
      </x:c>
      <x:c r="M470" s="989" t="str">
        <x:f>IF($K470="","",IFERROR('Game Records'!$A470,""))</x:f>
      </x:c>
      <x:c r="N470" s="989" t="str">
        <x:f>IF($K470="","",IFERROR('Game Records'!$U470,""))</x:f>
      </x:c>
      <x:c r="O470" s="989" t="str">
        <x:f>IF($K470="","",IF($P470="","No Highlighted Fields","Highlighted Fields Present"))</x:f>
      </x:c>
      <x:c r="P470" s="989" t="str">
        <x:f>IF($K470="","",IF('Game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Q470" s="989" t="str">
        <x:f>IF($K470="","",IFERROR('Game Records'!$M470,""))</x:f>
      </x:c>
    </x:row>
    <x:row r="471" ht="24" customHeight="1">
      <x:c r="A471" s="332"/>
      <x:c r="B471" s="332"/>
      <x:c r="C471" s="331"/>
      <x:c r="D471" s="331"/>
      <x:c r="E471" s="331"/>
      <x:c r="F471" s="331"/>
      <x:c r="G471" s="331"/>
      <x:c r="K471" s="989" t="str">
        <x:f>IF(OR(COUNTA('Game Records'!$A471:$M471)=0,'Game Records'!$U471="Subscription"),"",IFERROR(MAX($K$4:K470),0)+1)</x:f>
      </x:c>
      <x:c r="L471" s="989" t="str">
        <x:f>IF($K471="","","G-"&amp;TEXT($K471,"0000"))</x:f>
      </x:c>
      <x:c r="M471" s="989" t="str">
        <x:f>IF($K471="","",IFERROR('Game Records'!$A471,""))</x:f>
      </x:c>
      <x:c r="N471" s="989" t="str">
        <x:f>IF($K471="","",IFERROR('Game Records'!$U471,""))</x:f>
      </x:c>
      <x:c r="O471" s="989" t="str">
        <x:f>IF($K471="","",IF($P471="","No Highlighted Fields","Highlighted Fields Present"))</x:f>
      </x:c>
      <x:c r="P471" s="989" t="str">
        <x:f>IF($K471="","",IF('Game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Q471" s="989" t="str">
        <x:f>IF($K471="","",IFERROR('Game Records'!$M471,""))</x:f>
      </x:c>
    </x:row>
    <x:row r="472" ht="24" customHeight="1">
      <x:c r="A472" s="332"/>
      <x:c r="B472" s="332"/>
      <x:c r="C472" s="331"/>
      <x:c r="D472" s="331"/>
      <x:c r="E472" s="331"/>
      <x:c r="F472" s="331"/>
      <x:c r="G472" s="331"/>
      <x:c r="K472" s="989" t="str">
        <x:f>IF(OR(COUNTA('Game Records'!$A472:$M472)=0,'Game Records'!$U472="Subscription"),"",IFERROR(MAX($K$4:K471),0)+1)</x:f>
      </x:c>
      <x:c r="L472" s="989" t="str">
        <x:f>IF($K472="","","G-"&amp;TEXT($K472,"0000"))</x:f>
      </x:c>
      <x:c r="M472" s="989" t="str">
        <x:f>IF($K472="","",IFERROR('Game Records'!$A472,""))</x:f>
      </x:c>
      <x:c r="N472" s="989" t="str">
        <x:f>IF($K472="","",IFERROR('Game Records'!$U472,""))</x:f>
      </x:c>
      <x:c r="O472" s="989" t="str">
        <x:f>IF($K472="","",IF($P472="","No Highlighted Fields","Highlighted Fields Present"))</x:f>
      </x:c>
      <x:c r="P472" s="989" t="str">
        <x:f>IF($K472="","",IF('Game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Q472" s="989" t="str">
        <x:f>IF($K472="","",IFERROR('Game Records'!$M472,""))</x:f>
      </x:c>
    </x:row>
    <x:row r="473" ht="24" customHeight="1">
      <x:c r="A473" s="332"/>
      <x:c r="B473" s="332"/>
      <x:c r="C473" s="331"/>
      <x:c r="D473" s="331"/>
      <x:c r="E473" s="331"/>
      <x:c r="F473" s="331"/>
      <x:c r="G473" s="331"/>
      <x:c r="K473" s="989" t="str">
        <x:f>IF(OR(COUNTA('Game Records'!$A473:$M473)=0,'Game Records'!$U473="Subscription"),"",IFERROR(MAX($K$4:K472),0)+1)</x:f>
      </x:c>
      <x:c r="L473" s="989" t="str">
        <x:f>IF($K473="","","G-"&amp;TEXT($K473,"0000"))</x:f>
      </x:c>
      <x:c r="M473" s="989" t="str">
        <x:f>IF($K473="","",IFERROR('Game Records'!$A473,""))</x:f>
      </x:c>
      <x:c r="N473" s="989" t="str">
        <x:f>IF($K473="","",IFERROR('Game Records'!$U473,""))</x:f>
      </x:c>
      <x:c r="O473" s="989" t="str">
        <x:f>IF($K473="","",IF($P473="","No Highlighted Fields","Highlighted Fields Present"))</x:f>
      </x:c>
      <x:c r="P473" s="989" t="str">
        <x:f>IF($K473="","",IF('Game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Q473" s="989" t="str">
        <x:f>IF($K473="","",IFERROR('Game Records'!$M473,""))</x:f>
      </x:c>
    </x:row>
    <x:row r="474" ht="24" customHeight="1">
      <x:c r="A474" s="332"/>
      <x:c r="B474" s="332"/>
      <x:c r="C474" s="331"/>
      <x:c r="D474" s="331"/>
      <x:c r="E474" s="331"/>
      <x:c r="F474" s="331"/>
      <x:c r="G474" s="331"/>
      <x:c r="K474" s="989" t="str">
        <x:f>IF(OR(COUNTA('Game Records'!$A474:$M474)=0,'Game Records'!$U474="Subscription"),"",IFERROR(MAX($K$4:K473),0)+1)</x:f>
      </x:c>
      <x:c r="L474" s="989" t="str">
        <x:f>IF($K474="","","G-"&amp;TEXT($K474,"0000"))</x:f>
      </x:c>
      <x:c r="M474" s="989" t="str">
        <x:f>IF($K474="","",IFERROR('Game Records'!$A474,""))</x:f>
      </x:c>
      <x:c r="N474" s="989" t="str">
        <x:f>IF($K474="","",IFERROR('Game Records'!$U474,""))</x:f>
      </x:c>
      <x:c r="O474" s="989" t="str">
        <x:f>IF($K474="","",IF($P474="","No Highlighted Fields","Highlighted Fields Present"))</x:f>
      </x:c>
      <x:c r="P474" s="989" t="str">
        <x:f>IF($K474="","",IF('Game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Q474" s="989" t="str">
        <x:f>IF($K474="","",IFERROR('Game Records'!$M474,""))</x:f>
      </x:c>
    </x:row>
    <x:row r="475" ht="24" customHeight="1">
      <x:c r="A475" s="332"/>
      <x:c r="B475" s="332"/>
      <x:c r="C475" s="331"/>
      <x:c r="D475" s="331"/>
      <x:c r="E475" s="331"/>
      <x:c r="F475" s="331"/>
      <x:c r="G475" s="331"/>
      <x:c r="K475" s="989" t="str">
        <x:f>IF(OR(COUNTA('Game Records'!$A475:$M475)=0,'Game Records'!$U475="Subscription"),"",IFERROR(MAX($K$4:K474),0)+1)</x:f>
      </x:c>
      <x:c r="L475" s="989" t="str">
        <x:f>IF($K475="","","G-"&amp;TEXT($K475,"0000"))</x:f>
      </x:c>
      <x:c r="M475" s="989" t="str">
        <x:f>IF($K475="","",IFERROR('Game Records'!$A475,""))</x:f>
      </x:c>
      <x:c r="N475" s="989" t="str">
        <x:f>IF($K475="","",IFERROR('Game Records'!$U475,""))</x:f>
      </x:c>
      <x:c r="O475" s="989" t="str">
        <x:f>IF($K475="","",IF($P475="","No Highlighted Fields","Highlighted Fields Present"))</x:f>
      </x:c>
      <x:c r="P475" s="989" t="str">
        <x:f>IF($K475="","",IF('Game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Q475" s="989" t="str">
        <x:f>IF($K475="","",IFERROR('Game Records'!$M475,""))</x:f>
      </x:c>
    </x:row>
    <x:row r="476" ht="24" customHeight="1">
      <x:c r="A476" s="332"/>
      <x:c r="B476" s="332"/>
      <x:c r="C476" s="331"/>
      <x:c r="D476" s="331"/>
      <x:c r="E476" s="331"/>
      <x:c r="F476" s="331"/>
      <x:c r="G476" s="331"/>
      <x:c r="K476" s="989" t="str">
        <x:f>IF(OR(COUNTA('Game Records'!$A476:$M476)=0,'Game Records'!$U476="Subscription"),"",IFERROR(MAX($K$4:K475),0)+1)</x:f>
      </x:c>
      <x:c r="L476" s="989" t="str">
        <x:f>IF($K476="","","G-"&amp;TEXT($K476,"0000"))</x:f>
      </x:c>
      <x:c r="M476" s="989" t="str">
        <x:f>IF($K476="","",IFERROR('Game Records'!$A476,""))</x:f>
      </x:c>
      <x:c r="N476" s="989" t="str">
        <x:f>IF($K476="","",IFERROR('Game Records'!$U476,""))</x:f>
      </x:c>
      <x:c r="O476" s="989" t="str">
        <x:f>IF($K476="","",IF($P476="","No Highlighted Fields","Highlighted Fields Present"))</x:f>
      </x:c>
      <x:c r="P476" s="989" t="str">
        <x:f>IF($K476="","",IF('Game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Q476" s="989" t="str">
        <x:f>IF($K476="","",IFERROR('Game Records'!$M476,""))</x:f>
      </x:c>
    </x:row>
    <x:row r="477" ht="24" customHeight="1">
      <x:c r="A477" s="332"/>
      <x:c r="B477" s="332"/>
      <x:c r="C477" s="331"/>
      <x:c r="D477" s="331"/>
      <x:c r="E477" s="331"/>
      <x:c r="F477" s="331"/>
      <x:c r="G477" s="331"/>
      <x:c r="K477" s="989" t="str">
        <x:f>IF(OR(COUNTA('Game Records'!$A477:$M477)=0,'Game Records'!$U477="Subscription"),"",IFERROR(MAX($K$4:K476),0)+1)</x:f>
      </x:c>
      <x:c r="L477" s="989" t="str">
        <x:f>IF($K477="","","G-"&amp;TEXT($K477,"0000"))</x:f>
      </x:c>
      <x:c r="M477" s="989" t="str">
        <x:f>IF($K477="","",IFERROR('Game Records'!$A477,""))</x:f>
      </x:c>
      <x:c r="N477" s="989" t="str">
        <x:f>IF($K477="","",IFERROR('Game Records'!$U477,""))</x:f>
      </x:c>
      <x:c r="O477" s="989" t="str">
        <x:f>IF($K477="","",IF($P477="","No Highlighted Fields","Highlighted Fields Present"))</x:f>
      </x:c>
      <x:c r="P477" s="989" t="str">
        <x:f>IF($K477="","",IF('Game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Q477" s="989" t="str">
        <x:f>IF($K477="","",IFERROR('Game Records'!$M477,""))</x:f>
      </x:c>
    </x:row>
    <x:row r="478" ht="24" customHeight="1">
      <x:c r="A478" s="332"/>
      <x:c r="B478" s="332"/>
      <x:c r="C478" s="331"/>
      <x:c r="D478" s="331"/>
      <x:c r="E478" s="331"/>
      <x:c r="F478" s="331"/>
      <x:c r="G478" s="331"/>
      <x:c r="K478" s="989" t="str">
        <x:f>IF(OR(COUNTA('Game Records'!$A478:$M478)=0,'Game Records'!$U478="Subscription"),"",IFERROR(MAX($K$4:K477),0)+1)</x:f>
      </x:c>
      <x:c r="L478" s="989" t="str">
        <x:f>IF($K478="","","G-"&amp;TEXT($K478,"0000"))</x:f>
      </x:c>
      <x:c r="M478" s="989" t="str">
        <x:f>IF($K478="","",IFERROR('Game Records'!$A478,""))</x:f>
      </x:c>
      <x:c r="N478" s="989" t="str">
        <x:f>IF($K478="","",IFERROR('Game Records'!$U478,""))</x:f>
      </x:c>
      <x:c r="O478" s="989" t="str">
        <x:f>IF($K478="","",IF($P478="","No Highlighted Fields","Highlighted Fields Present"))</x:f>
      </x:c>
      <x:c r="P478" s="989" t="str">
        <x:f>IF($K478="","",IF('Game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Q478" s="989" t="str">
        <x:f>IF($K478="","",IFERROR('Game Records'!$M478,""))</x:f>
      </x:c>
    </x:row>
    <x:row r="479" ht="24" customHeight="1">
      <x:c r="A479" s="332"/>
      <x:c r="B479" s="332"/>
      <x:c r="C479" s="331"/>
      <x:c r="D479" s="331"/>
      <x:c r="E479" s="331"/>
      <x:c r="F479" s="331"/>
      <x:c r="G479" s="331"/>
      <x:c r="K479" s="989" t="str">
        <x:f>IF(OR(COUNTA('Game Records'!$A479:$M479)=0,'Game Records'!$U479="Subscription"),"",IFERROR(MAX($K$4:K478),0)+1)</x:f>
      </x:c>
      <x:c r="L479" s="989" t="str">
        <x:f>IF($K479="","","G-"&amp;TEXT($K479,"0000"))</x:f>
      </x:c>
      <x:c r="M479" s="989" t="str">
        <x:f>IF($K479="","",IFERROR('Game Records'!$A479,""))</x:f>
      </x:c>
      <x:c r="N479" s="989" t="str">
        <x:f>IF($K479="","",IFERROR('Game Records'!$U479,""))</x:f>
      </x:c>
      <x:c r="O479" s="989" t="str">
        <x:f>IF($K479="","",IF($P479="","No Highlighted Fields","Highlighted Fields Present"))</x:f>
      </x:c>
      <x:c r="P479" s="989" t="str">
        <x:f>IF($K479="","",IF('Game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Q479" s="989" t="str">
        <x:f>IF($K479="","",IFERROR('Game Records'!$M479,""))</x:f>
      </x:c>
    </x:row>
    <x:row r="480" ht="24" customHeight="1">
      <x:c r="A480" s="332"/>
      <x:c r="B480" s="332"/>
      <x:c r="C480" s="331"/>
      <x:c r="D480" s="331"/>
      <x:c r="E480" s="331"/>
      <x:c r="F480" s="331"/>
      <x:c r="G480" s="331"/>
      <x:c r="K480" s="989" t="str">
        <x:f>IF(OR(COUNTA('Game Records'!$A480:$M480)=0,'Game Records'!$U480="Subscription"),"",IFERROR(MAX($K$4:K479),0)+1)</x:f>
      </x:c>
      <x:c r="L480" s="989" t="str">
        <x:f>IF($K480="","","G-"&amp;TEXT($K480,"0000"))</x:f>
      </x:c>
      <x:c r="M480" s="989" t="str">
        <x:f>IF($K480="","",IFERROR('Game Records'!$A480,""))</x:f>
      </x:c>
      <x:c r="N480" s="989" t="str">
        <x:f>IF($K480="","",IFERROR('Game Records'!$U480,""))</x:f>
      </x:c>
      <x:c r="O480" s="989" t="str">
        <x:f>IF($K480="","",IF($P480="","No Highlighted Fields","Highlighted Fields Present"))</x:f>
      </x:c>
      <x:c r="P480" s="989" t="str">
        <x:f>IF($K480="","",IF('Game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Q480" s="989" t="str">
        <x:f>IF($K480="","",IFERROR('Game Records'!$M480,""))</x:f>
      </x:c>
    </x:row>
    <x:row r="481" ht="24" customHeight="1">
      <x:c r="A481" s="332"/>
      <x:c r="B481" s="332"/>
      <x:c r="C481" s="331"/>
      <x:c r="D481" s="331"/>
      <x:c r="E481" s="331"/>
      <x:c r="F481" s="331"/>
      <x:c r="G481" s="331"/>
      <x:c r="K481" s="989" t="str">
        <x:f>IF(OR(COUNTA('Game Records'!$A481:$M481)=0,'Game Records'!$U481="Subscription"),"",IFERROR(MAX($K$4:K480),0)+1)</x:f>
      </x:c>
      <x:c r="L481" s="989" t="str">
        <x:f>IF($K481="","","G-"&amp;TEXT($K481,"0000"))</x:f>
      </x:c>
      <x:c r="M481" s="989" t="str">
        <x:f>IF($K481="","",IFERROR('Game Records'!$A481,""))</x:f>
      </x:c>
      <x:c r="N481" s="989" t="str">
        <x:f>IF($K481="","",IFERROR('Game Records'!$U481,""))</x:f>
      </x:c>
      <x:c r="O481" s="989" t="str">
        <x:f>IF($K481="","",IF($P481="","No Highlighted Fields","Highlighted Fields Present"))</x:f>
      </x:c>
      <x:c r="P481" s="989" t="str">
        <x:f>IF($K481="","",IF('Game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Q481" s="989" t="str">
        <x:f>IF($K481="","",IFERROR('Game Records'!$M481,""))</x:f>
      </x:c>
    </x:row>
    <x:row r="482" ht="24" customHeight="1">
      <x:c r="A482" s="332"/>
      <x:c r="B482" s="332"/>
      <x:c r="C482" s="331"/>
      <x:c r="D482" s="331"/>
      <x:c r="E482" s="331"/>
      <x:c r="F482" s="331"/>
      <x:c r="G482" s="331"/>
      <x:c r="K482" s="989" t="str">
        <x:f>IF(OR(COUNTA('Game Records'!$A482:$M482)=0,'Game Records'!$U482="Subscription"),"",IFERROR(MAX($K$4:K481),0)+1)</x:f>
      </x:c>
      <x:c r="L482" s="989" t="str">
        <x:f>IF($K482="","","G-"&amp;TEXT($K482,"0000"))</x:f>
      </x:c>
      <x:c r="M482" s="989" t="str">
        <x:f>IF($K482="","",IFERROR('Game Records'!$A482,""))</x:f>
      </x:c>
      <x:c r="N482" s="989" t="str">
        <x:f>IF($K482="","",IFERROR('Game Records'!$U482,""))</x:f>
      </x:c>
      <x:c r="O482" s="989" t="str">
        <x:f>IF($K482="","",IF($P482="","No Highlighted Fields","Highlighted Fields Present"))</x:f>
      </x:c>
      <x:c r="P482" s="989" t="str">
        <x:f>IF($K482="","",IF('Game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Q482" s="989" t="str">
        <x:f>IF($K482="","",IFERROR('Game Records'!$M482,""))</x:f>
      </x:c>
    </x:row>
    <x:row r="483" ht="24" customHeight="1">
      <x:c r="A483" s="332"/>
      <x:c r="B483" s="332"/>
      <x:c r="C483" s="331"/>
      <x:c r="D483" s="331"/>
      <x:c r="E483" s="331"/>
      <x:c r="F483" s="331"/>
      <x:c r="G483" s="331"/>
      <x:c r="K483" s="989" t="str">
        <x:f>IF(OR(COUNTA('Game Records'!$A483:$M483)=0,'Game Records'!$U483="Subscription"),"",IFERROR(MAX($K$4:K482),0)+1)</x:f>
      </x:c>
      <x:c r="L483" s="989" t="str">
        <x:f>IF($K483="","","G-"&amp;TEXT($K483,"0000"))</x:f>
      </x:c>
      <x:c r="M483" s="989" t="str">
        <x:f>IF($K483="","",IFERROR('Game Records'!$A483,""))</x:f>
      </x:c>
      <x:c r="N483" s="989" t="str">
        <x:f>IF($K483="","",IFERROR('Game Records'!$U483,""))</x:f>
      </x:c>
      <x:c r="O483" s="989" t="str">
        <x:f>IF($K483="","",IF($P483="","No Highlighted Fields","Highlighted Fields Present"))</x:f>
      </x:c>
      <x:c r="P483" s="989" t="str">
        <x:f>IF($K483="","",IF('Game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Q483" s="989" t="str">
        <x:f>IF($K483="","",IFERROR('Game Records'!$M483,""))</x:f>
      </x:c>
    </x:row>
    <x:row r="484" ht="24" customHeight="1">
      <x:c r="A484" s="332"/>
      <x:c r="B484" s="332"/>
      <x:c r="C484" s="331"/>
      <x:c r="D484" s="331"/>
      <x:c r="E484" s="331"/>
      <x:c r="F484" s="331"/>
      <x:c r="G484" s="331"/>
      <x:c r="K484" s="989" t="str">
        <x:f>IF(OR(COUNTA('Game Records'!$A484:$M484)=0,'Game Records'!$U484="Subscription"),"",IFERROR(MAX($K$4:K483),0)+1)</x:f>
      </x:c>
      <x:c r="L484" s="989" t="str">
        <x:f>IF($K484="","","G-"&amp;TEXT($K484,"0000"))</x:f>
      </x:c>
      <x:c r="M484" s="989" t="str">
        <x:f>IF($K484="","",IFERROR('Game Records'!$A484,""))</x:f>
      </x:c>
      <x:c r="N484" s="989" t="str">
        <x:f>IF($K484="","",IFERROR('Game Records'!$U484,""))</x:f>
      </x:c>
      <x:c r="O484" s="989" t="str">
        <x:f>IF($K484="","",IF($P484="","No Highlighted Fields","Highlighted Fields Present"))</x:f>
      </x:c>
      <x:c r="P484" s="989" t="str">
        <x:f>IF($K484="","",IF('Game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Q484" s="989" t="str">
        <x:f>IF($K484="","",IFERROR('Game Records'!$M484,""))</x:f>
      </x:c>
    </x:row>
    <x:row r="485" ht="24" customHeight="1">
      <x:c r="A485" s="332"/>
      <x:c r="B485" s="332"/>
      <x:c r="C485" s="331"/>
      <x:c r="D485" s="331"/>
      <x:c r="E485" s="331"/>
      <x:c r="F485" s="331"/>
      <x:c r="G485" s="331"/>
      <x:c r="K485" s="989" t="str">
        <x:f>IF(OR(COUNTA('Game Records'!$A485:$M485)=0,'Game Records'!$U485="Subscription"),"",IFERROR(MAX($K$4:K484),0)+1)</x:f>
      </x:c>
      <x:c r="L485" s="989" t="str">
        <x:f>IF($K485="","","G-"&amp;TEXT($K485,"0000"))</x:f>
      </x:c>
      <x:c r="M485" s="989" t="str">
        <x:f>IF($K485="","",IFERROR('Game Records'!$A485,""))</x:f>
      </x:c>
      <x:c r="N485" s="989" t="str">
        <x:f>IF($K485="","",IFERROR('Game Records'!$U485,""))</x:f>
      </x:c>
      <x:c r="O485" s="989" t="str">
        <x:f>IF($K485="","",IF($P485="","No Highlighted Fields","Highlighted Fields Present"))</x:f>
      </x:c>
      <x:c r="P485" s="989" t="str">
        <x:f>IF($K485="","",IF('Game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Q485" s="989" t="str">
        <x:f>IF($K485="","",IFERROR('Game Records'!$M485,""))</x:f>
      </x:c>
    </x:row>
    <x:row r="486" ht="24" customHeight="1">
      <x:c r="A486" s="332"/>
      <x:c r="B486" s="332"/>
      <x:c r="C486" s="331"/>
      <x:c r="D486" s="331"/>
      <x:c r="E486" s="331"/>
      <x:c r="F486" s="331"/>
      <x:c r="G486" s="331"/>
      <x:c r="K486" s="989" t="str">
        <x:f>IF(OR(COUNTA('Game Records'!$A486:$M486)=0,'Game Records'!$U486="Subscription"),"",IFERROR(MAX($K$4:K485),0)+1)</x:f>
      </x:c>
      <x:c r="L486" s="989" t="str">
        <x:f>IF($K486="","","G-"&amp;TEXT($K486,"0000"))</x:f>
      </x:c>
      <x:c r="M486" s="989" t="str">
        <x:f>IF($K486="","",IFERROR('Game Records'!$A486,""))</x:f>
      </x:c>
      <x:c r="N486" s="989" t="str">
        <x:f>IF($K486="","",IFERROR('Game Records'!$U486,""))</x:f>
      </x:c>
      <x:c r="O486" s="989" t="str">
        <x:f>IF($K486="","",IF($P486="","No Highlighted Fields","Highlighted Fields Present"))</x:f>
      </x:c>
      <x:c r="P486" s="989" t="str">
        <x:f>IF($K486="","",IF('Game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Q486" s="989" t="str">
        <x:f>IF($K486="","",IFERROR('Game Records'!$M486,""))</x:f>
      </x:c>
    </x:row>
    <x:row r="487" ht="24" customHeight="1">
      <x:c r="A487" s="332"/>
      <x:c r="B487" s="332"/>
      <x:c r="C487" s="331"/>
      <x:c r="D487" s="331"/>
      <x:c r="E487" s="331"/>
      <x:c r="F487" s="331"/>
      <x:c r="G487" s="331"/>
      <x:c r="K487" s="989" t="str">
        <x:f>IF(OR(COUNTA('Game Records'!$A487:$M487)=0,'Game Records'!$U487="Subscription"),"",IFERROR(MAX($K$4:K486),0)+1)</x:f>
      </x:c>
      <x:c r="L487" s="989" t="str">
        <x:f>IF($K487="","","G-"&amp;TEXT($K487,"0000"))</x:f>
      </x:c>
      <x:c r="M487" s="989" t="str">
        <x:f>IF($K487="","",IFERROR('Game Records'!$A487,""))</x:f>
      </x:c>
      <x:c r="N487" s="989" t="str">
        <x:f>IF($K487="","",IFERROR('Game Records'!$U487,""))</x:f>
      </x:c>
      <x:c r="O487" s="989" t="str">
        <x:f>IF($K487="","",IF($P487="","No Highlighted Fields","Highlighted Fields Present"))</x:f>
      </x:c>
      <x:c r="P487" s="989" t="str">
        <x:f>IF($K487="","",IF('Game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Q487" s="989" t="str">
        <x:f>IF($K487="","",IFERROR('Game Records'!$M487,""))</x:f>
      </x:c>
    </x:row>
    <x:row r="488" ht="24" customHeight="1">
      <x:c r="A488" s="332"/>
      <x:c r="B488" s="332"/>
      <x:c r="C488" s="331"/>
      <x:c r="D488" s="331"/>
      <x:c r="E488" s="331"/>
      <x:c r="F488" s="331"/>
      <x:c r="G488" s="331"/>
      <x:c r="K488" s="989" t="str">
        <x:f>IF(OR(COUNTA('Game Records'!$A488:$M488)=0,'Game Records'!$U488="Subscription"),"",IFERROR(MAX($K$4:K487),0)+1)</x:f>
      </x:c>
      <x:c r="L488" s="989" t="str">
        <x:f>IF($K488="","","G-"&amp;TEXT($K488,"0000"))</x:f>
      </x:c>
      <x:c r="M488" s="989" t="str">
        <x:f>IF($K488="","",IFERROR('Game Records'!$A488,""))</x:f>
      </x:c>
      <x:c r="N488" s="989" t="str">
        <x:f>IF($K488="","",IFERROR('Game Records'!$U488,""))</x:f>
      </x:c>
      <x:c r="O488" s="989" t="str">
        <x:f>IF($K488="","",IF($P488="","No Highlighted Fields","Highlighted Fields Present"))</x:f>
      </x:c>
      <x:c r="P488" s="989" t="str">
        <x:f>IF($K488="","",IF('Game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Q488" s="989" t="str">
        <x:f>IF($K488="","",IFERROR('Game Records'!$M488,""))</x:f>
      </x:c>
    </x:row>
    <x:row r="489" ht="24" customHeight="1">
      <x:c r="A489" s="332"/>
      <x:c r="B489" s="332"/>
      <x:c r="C489" s="331"/>
      <x:c r="D489" s="331"/>
      <x:c r="E489" s="331"/>
      <x:c r="F489" s="331"/>
      <x:c r="G489" s="331"/>
      <x:c r="K489" s="989" t="str">
        <x:f>IF(OR(COUNTA('Game Records'!$A489:$M489)=0,'Game Records'!$U489="Subscription"),"",IFERROR(MAX($K$4:K488),0)+1)</x:f>
      </x:c>
      <x:c r="L489" s="989" t="str">
        <x:f>IF($K489="","","G-"&amp;TEXT($K489,"0000"))</x:f>
      </x:c>
      <x:c r="M489" s="989" t="str">
        <x:f>IF($K489="","",IFERROR('Game Records'!$A489,""))</x:f>
      </x:c>
      <x:c r="N489" s="989" t="str">
        <x:f>IF($K489="","",IFERROR('Game Records'!$U489,""))</x:f>
      </x:c>
      <x:c r="O489" s="989" t="str">
        <x:f>IF($K489="","",IF($P489="","No Highlighted Fields","Highlighted Fields Present"))</x:f>
      </x:c>
      <x:c r="P489" s="989" t="str">
        <x:f>IF($K489="","",IF('Game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Q489" s="989" t="str">
        <x:f>IF($K489="","",IFERROR('Game Records'!$M489,""))</x:f>
      </x:c>
    </x:row>
    <x:row r="490" ht="24" customHeight="1">
      <x:c r="A490" s="332"/>
      <x:c r="B490" s="332"/>
      <x:c r="C490" s="331"/>
      <x:c r="D490" s="331"/>
      <x:c r="E490" s="331"/>
      <x:c r="F490" s="331"/>
      <x:c r="G490" s="331"/>
      <x:c r="K490" s="989" t="str">
        <x:f>IF(OR(COUNTA('Game Records'!$A490:$M490)=0,'Game Records'!$U490="Subscription"),"",IFERROR(MAX($K$4:K489),0)+1)</x:f>
      </x:c>
      <x:c r="L490" s="989" t="str">
        <x:f>IF($K490="","","G-"&amp;TEXT($K490,"0000"))</x:f>
      </x:c>
      <x:c r="M490" s="989" t="str">
        <x:f>IF($K490="","",IFERROR('Game Records'!$A490,""))</x:f>
      </x:c>
      <x:c r="N490" s="989" t="str">
        <x:f>IF($K490="","",IFERROR('Game Records'!$U490,""))</x:f>
      </x:c>
      <x:c r="O490" s="989" t="str">
        <x:f>IF($K490="","",IF($P490="","No Highlighted Fields","Highlighted Fields Present"))</x:f>
      </x:c>
      <x:c r="P490" s="989" t="str">
        <x:f>IF($K490="","",IF('Game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Q490" s="989" t="str">
        <x:f>IF($K490="","",IFERROR('Game Records'!$M490,""))</x:f>
      </x:c>
    </x:row>
    <x:row r="491" ht="24" customHeight="1">
      <x:c r="A491" s="332"/>
      <x:c r="B491" s="332"/>
      <x:c r="C491" s="331"/>
      <x:c r="D491" s="331"/>
      <x:c r="E491" s="331"/>
      <x:c r="F491" s="331"/>
      <x:c r="G491" s="331"/>
      <x:c r="K491" s="989" t="str">
        <x:f>IF(OR(COUNTA('Game Records'!$A491:$M491)=0,'Game Records'!$U491="Subscription"),"",IFERROR(MAX($K$4:K490),0)+1)</x:f>
      </x:c>
      <x:c r="L491" s="989" t="str">
        <x:f>IF($K491="","","G-"&amp;TEXT($K491,"0000"))</x:f>
      </x:c>
      <x:c r="M491" s="989" t="str">
        <x:f>IF($K491="","",IFERROR('Game Records'!$A491,""))</x:f>
      </x:c>
      <x:c r="N491" s="989" t="str">
        <x:f>IF($K491="","",IFERROR('Game Records'!$U491,""))</x:f>
      </x:c>
      <x:c r="O491" s="989" t="str">
        <x:f>IF($K491="","",IF($P491="","No Highlighted Fields","Highlighted Fields Present"))</x:f>
      </x:c>
      <x:c r="P491" s="989" t="str">
        <x:f>IF($K491="","",IF('Game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Q491" s="989" t="str">
        <x:f>IF($K491="","",IFERROR('Game Records'!$M491,""))</x:f>
      </x:c>
    </x:row>
    <x:row r="492" ht="24" customHeight="1">
      <x:c r="A492" s="332"/>
      <x:c r="B492" s="332"/>
      <x:c r="C492" s="331"/>
      <x:c r="D492" s="331"/>
      <x:c r="E492" s="331"/>
      <x:c r="F492" s="331"/>
      <x:c r="G492" s="331"/>
      <x:c r="K492" s="989" t="str">
        <x:f>IF(OR(COUNTA('Game Records'!$A492:$M492)=0,'Game Records'!$U492="Subscription"),"",IFERROR(MAX($K$4:K491),0)+1)</x:f>
      </x:c>
      <x:c r="L492" s="989" t="str">
        <x:f>IF($K492="","","G-"&amp;TEXT($K492,"0000"))</x:f>
      </x:c>
      <x:c r="M492" s="989" t="str">
        <x:f>IF($K492="","",IFERROR('Game Records'!$A492,""))</x:f>
      </x:c>
      <x:c r="N492" s="989" t="str">
        <x:f>IF($K492="","",IFERROR('Game Records'!$U492,""))</x:f>
      </x:c>
      <x:c r="O492" s="989" t="str">
        <x:f>IF($K492="","",IF($P492="","No Highlighted Fields","Highlighted Fields Present"))</x:f>
      </x:c>
      <x:c r="P492" s="989" t="str">
        <x:f>IF($K492="","",IF('Game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Q492" s="989" t="str">
        <x:f>IF($K492="","",IFERROR('Game Records'!$M492,""))</x:f>
      </x:c>
    </x:row>
    <x:row r="493" ht="24" customHeight="1">
      <x:c r="A493" s="332"/>
      <x:c r="B493" s="332"/>
      <x:c r="C493" s="331"/>
      <x:c r="D493" s="331"/>
      <x:c r="E493" s="331"/>
      <x:c r="F493" s="331"/>
      <x:c r="G493" s="331"/>
      <x:c r="K493" s="989" t="str">
        <x:f>IF(OR(COUNTA('Game Records'!$A493:$M493)=0,'Game Records'!$U493="Subscription"),"",IFERROR(MAX($K$4:K492),0)+1)</x:f>
      </x:c>
      <x:c r="L493" s="989" t="str">
        <x:f>IF($K493="","","G-"&amp;TEXT($K493,"0000"))</x:f>
      </x:c>
      <x:c r="M493" s="989" t="str">
        <x:f>IF($K493="","",IFERROR('Game Records'!$A493,""))</x:f>
      </x:c>
      <x:c r="N493" s="989" t="str">
        <x:f>IF($K493="","",IFERROR('Game Records'!$U493,""))</x:f>
      </x:c>
      <x:c r="O493" s="989" t="str">
        <x:f>IF($K493="","",IF($P493="","No Highlighted Fields","Highlighted Fields Present"))</x:f>
      </x:c>
      <x:c r="P493" s="989" t="str">
        <x:f>IF($K493="","",IF('Game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Q493" s="989" t="str">
        <x:f>IF($K493="","",IFERROR('Game Records'!$M493,""))</x:f>
      </x:c>
    </x:row>
    <x:row r="494" ht="24" customHeight="1">
      <x:c r="A494" s="332"/>
      <x:c r="B494" s="332"/>
      <x:c r="C494" s="331"/>
      <x:c r="D494" s="331"/>
      <x:c r="E494" s="331"/>
      <x:c r="F494" s="331"/>
      <x:c r="G494" s="331"/>
      <x:c r="K494" s="989" t="str">
        <x:f>IF(OR(COUNTA('Game Records'!$A494:$M494)=0,'Game Records'!$U494="Subscription"),"",IFERROR(MAX($K$4:K493),0)+1)</x:f>
      </x:c>
      <x:c r="L494" s="989" t="str">
        <x:f>IF($K494="","","G-"&amp;TEXT($K494,"0000"))</x:f>
      </x:c>
      <x:c r="M494" s="989" t="str">
        <x:f>IF($K494="","",IFERROR('Game Records'!$A494,""))</x:f>
      </x:c>
      <x:c r="N494" s="989" t="str">
        <x:f>IF($K494="","",IFERROR('Game Records'!$U494,""))</x:f>
      </x:c>
      <x:c r="O494" s="989" t="str">
        <x:f>IF($K494="","",IF($P494="","No Highlighted Fields","Highlighted Fields Present"))</x:f>
      </x:c>
      <x:c r="P494" s="989" t="str">
        <x:f>IF($K494="","",IF('Game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Q494" s="989" t="str">
        <x:f>IF($K494="","",IFERROR('Game Records'!$M494,""))</x:f>
      </x:c>
    </x:row>
    <x:row r="495" ht="24" customHeight="1">
      <x:c r="A495" s="332"/>
      <x:c r="B495" s="332"/>
      <x:c r="C495" s="331"/>
      <x:c r="D495" s="331"/>
      <x:c r="E495" s="331"/>
      <x:c r="F495" s="331"/>
      <x:c r="G495" s="331"/>
      <x:c r="K495" s="989" t="str">
        <x:f>IF(OR(COUNTA('Game Records'!$A495:$M495)=0,'Game Records'!$U495="Subscription"),"",IFERROR(MAX($K$4:K494),0)+1)</x:f>
      </x:c>
      <x:c r="L495" s="989" t="str">
        <x:f>IF($K495="","","G-"&amp;TEXT($K495,"0000"))</x:f>
      </x:c>
      <x:c r="M495" s="989" t="str">
        <x:f>IF($K495="","",IFERROR('Game Records'!$A495,""))</x:f>
      </x:c>
      <x:c r="N495" s="989" t="str">
        <x:f>IF($K495="","",IFERROR('Game Records'!$U495,""))</x:f>
      </x:c>
      <x:c r="O495" s="989" t="str">
        <x:f>IF($K495="","",IF($P495="","No Highlighted Fields","Highlighted Fields Present"))</x:f>
      </x:c>
      <x:c r="P495" s="989" t="str">
        <x:f>IF($K495="","",IF('Game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Q495" s="989" t="str">
        <x:f>IF($K495="","",IFERROR('Game Records'!$M495,""))</x:f>
      </x:c>
    </x:row>
    <x:row r="496" ht="24" customHeight="1">
      <x:c r="A496" s="332"/>
      <x:c r="B496" s="332"/>
      <x:c r="C496" s="331"/>
      <x:c r="D496" s="331"/>
      <x:c r="E496" s="331"/>
      <x:c r="F496" s="331"/>
      <x:c r="G496" s="331"/>
      <x:c r="K496" s="989" t="str">
        <x:f>IF(OR(COUNTA('Game Records'!$A496:$M496)=0,'Game Records'!$U496="Subscription"),"",IFERROR(MAX($K$4:K495),0)+1)</x:f>
      </x:c>
      <x:c r="L496" s="989" t="str">
        <x:f>IF($K496="","","G-"&amp;TEXT($K496,"0000"))</x:f>
      </x:c>
      <x:c r="M496" s="989" t="str">
        <x:f>IF($K496="","",IFERROR('Game Records'!$A496,""))</x:f>
      </x:c>
      <x:c r="N496" s="989" t="str">
        <x:f>IF($K496="","",IFERROR('Game Records'!$U496,""))</x:f>
      </x:c>
      <x:c r="O496" s="989" t="str">
        <x:f>IF($K496="","",IF($P496="","No Highlighted Fields","Highlighted Fields Present"))</x:f>
      </x:c>
      <x:c r="P496" s="989" t="str">
        <x:f>IF($K496="","",IF('Game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Q496" s="989" t="str">
        <x:f>IF($K496="","",IFERROR('Game Records'!$M496,""))</x:f>
      </x:c>
    </x:row>
    <x:row r="497" ht="24" customHeight="1">
      <x:c r="A497" s="332"/>
      <x:c r="B497" s="332"/>
      <x:c r="C497" s="331"/>
      <x:c r="D497" s="331"/>
      <x:c r="E497" s="331"/>
      <x:c r="F497" s="331"/>
      <x:c r="G497" s="331"/>
      <x:c r="K497" s="989" t="str">
        <x:f>IF(OR(COUNTA('Game Records'!$A497:$M497)=0,'Game Records'!$U497="Subscription"),"",IFERROR(MAX($K$4:K496),0)+1)</x:f>
      </x:c>
      <x:c r="L497" s="989" t="str">
        <x:f>IF($K497="","","G-"&amp;TEXT($K497,"0000"))</x:f>
      </x:c>
      <x:c r="M497" s="989" t="str">
        <x:f>IF($K497="","",IFERROR('Game Records'!$A497,""))</x:f>
      </x:c>
      <x:c r="N497" s="989" t="str">
        <x:f>IF($K497="","",IFERROR('Game Records'!$U497,""))</x:f>
      </x:c>
      <x:c r="O497" s="989" t="str">
        <x:f>IF($K497="","",IF($P497="","No Highlighted Fields","Highlighted Fields Present"))</x:f>
      </x:c>
      <x:c r="P497" s="989" t="str">
        <x:f>IF($K497="","",IF('Game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Q497" s="989" t="str">
        <x:f>IF($K497="","",IFERROR('Game Records'!$M497,""))</x:f>
      </x:c>
    </x:row>
    <x:row r="498" ht="24" customHeight="1">
      <x:c r="A498" s="332"/>
      <x:c r="B498" s="332"/>
      <x:c r="C498" s="331"/>
      <x:c r="D498" s="331"/>
      <x:c r="E498" s="331"/>
      <x:c r="F498" s="331"/>
      <x:c r="G498" s="331"/>
      <x:c r="K498" s="989" t="str">
        <x:f>IF(OR(COUNTA('Game Records'!$A498:$M498)=0,'Game Records'!$U498="Subscription"),"",IFERROR(MAX($K$4:K497),0)+1)</x:f>
      </x:c>
      <x:c r="L498" s="989" t="str">
        <x:f>IF($K498="","","G-"&amp;TEXT($K498,"0000"))</x:f>
      </x:c>
      <x:c r="M498" s="989" t="str">
        <x:f>IF($K498="","",IFERROR('Game Records'!$A498,""))</x:f>
      </x:c>
      <x:c r="N498" s="989" t="str">
        <x:f>IF($K498="","",IFERROR('Game Records'!$U498,""))</x:f>
      </x:c>
      <x:c r="O498" s="989" t="str">
        <x:f>IF($K498="","",IF($P498="","No Highlighted Fields","Highlighted Fields Present"))</x:f>
      </x:c>
      <x:c r="P498" s="989" t="str">
        <x:f>IF($K498="","",IF('Game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Q498" s="989" t="str">
        <x:f>IF($K498="","",IFERROR('Game Records'!$M498,""))</x:f>
      </x:c>
    </x:row>
    <x:row r="499" ht="24" customHeight="1">
      <x:c r="A499" s="332"/>
      <x:c r="B499" s="332"/>
      <x:c r="C499" s="331"/>
      <x:c r="D499" s="331"/>
      <x:c r="E499" s="331"/>
      <x:c r="F499" s="331"/>
      <x:c r="G499" s="331"/>
      <x:c r="K499" s="989" t="str">
        <x:f>IF(OR(COUNTA('Game Records'!$A499:$M499)=0,'Game Records'!$U499="Subscription"),"",IFERROR(MAX($K$4:K498),0)+1)</x:f>
      </x:c>
      <x:c r="L499" s="989" t="str">
        <x:f>IF($K499="","","G-"&amp;TEXT($K499,"0000"))</x:f>
      </x:c>
      <x:c r="M499" s="989" t="str">
        <x:f>IF($K499="","",IFERROR('Game Records'!$A499,""))</x:f>
      </x:c>
      <x:c r="N499" s="989" t="str">
        <x:f>IF($K499="","",IFERROR('Game Records'!$U499,""))</x:f>
      </x:c>
      <x:c r="O499" s="989" t="str">
        <x:f>IF($K499="","",IF($P499="","No Highlighted Fields","Highlighted Fields Present"))</x:f>
      </x:c>
      <x:c r="P499" s="989" t="str">
        <x:f>IF($K499="","",IF('Game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Q499" s="989" t="str">
        <x:f>IF($K499="","",IFERROR('Game Records'!$M499,""))</x:f>
      </x:c>
    </x:row>
    <x:row r="500" ht="24" customHeight="1">
      <x:c r="A500" s="332"/>
      <x:c r="B500" s="332"/>
      <x:c r="C500" s="331"/>
      <x:c r="D500" s="331"/>
      <x:c r="E500" s="331"/>
      <x:c r="F500" s="331"/>
      <x:c r="G500" s="331"/>
      <x:c r="K500" s="989" t="str">
        <x:f>IF(OR(COUNTA('Game Records'!$A500:$M500)=0,'Game Records'!$U500="Subscription"),"",IFERROR(MAX($K$4:K499),0)+1)</x:f>
      </x:c>
      <x:c r="L500" s="989" t="str">
        <x:f>IF($K500="","","G-"&amp;TEXT($K500,"0000"))</x:f>
      </x:c>
      <x:c r="M500" s="989" t="str">
        <x:f>IF($K500="","",IFERROR('Game Records'!$A500,""))</x:f>
      </x:c>
      <x:c r="N500" s="989" t="str">
        <x:f>IF($K500="","",IFERROR('Game Records'!$U500,""))</x:f>
      </x:c>
      <x:c r="O500" s="989" t="str">
        <x:f>IF($K500="","",IF($P500="","No Highlighted Fields","Highlighted Fields Present"))</x:f>
      </x:c>
      <x:c r="P500" s="989" t="str">
        <x:f>IF($K500="","",IF('Game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Q500" s="989" t="str">
        <x:f>IF($K500="","",IFERROR('Game Records'!$M500,""))</x:f>
      </x:c>
    </x:row>
    <x:row r="501" ht="24" customHeight="1">
      <x:c r="A501" s="332"/>
      <x:c r="B501" s="332"/>
      <x:c r="C501" s="331"/>
      <x:c r="D501" s="331"/>
      <x:c r="E501" s="331"/>
      <x:c r="F501" s="331"/>
      <x:c r="G501" s="331"/>
      <x:c r="K501" s="989" t="str">
        <x:f>IF(OR(COUNTA('Game Records'!$A501:$M501)=0,'Game Records'!$U501="Subscription"),"",IFERROR(MAX($K$4:K500),0)+1)</x:f>
      </x:c>
      <x:c r="L501" s="989" t="str">
        <x:f>IF($K501="","","G-"&amp;TEXT($K501,"0000"))</x:f>
      </x:c>
      <x:c r="M501" s="989" t="str">
        <x:f>IF($K501="","",IFERROR('Game Records'!$A501,""))</x:f>
      </x:c>
      <x:c r="N501" s="989" t="str">
        <x:f>IF($K501="","",IFERROR('Game Records'!$U501,""))</x:f>
      </x:c>
      <x:c r="O501" s="989" t="str">
        <x:f>IF($K501="","",IF($P501="","No Highlighted Fields","Highlighted Fields Present"))</x:f>
      </x:c>
      <x:c r="P501" s="989" t="str">
        <x:f>IF($K501="","",IF('Game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Q501" s="989" t="str">
        <x:f>IF($K501="","",IFERROR('Game Records'!$M501,""))</x:f>
      </x:c>
    </x:row>
    <x:row r="502" ht="24" customHeight="1">
      <x:c r="A502" s="332"/>
      <x:c r="B502" s="332"/>
      <x:c r="C502" s="331"/>
      <x:c r="D502" s="331"/>
      <x:c r="E502" s="331"/>
      <x:c r="F502" s="331"/>
      <x:c r="G502" s="331"/>
      <x:c r="K502" s="989" t="str">
        <x:f>IF(OR(COUNTA('Game Records'!$A502:$M502)=0,'Game Records'!$U502="Subscription"),"",IFERROR(MAX($K$4:K501),0)+1)</x:f>
      </x:c>
      <x:c r="L502" s="989" t="str">
        <x:f>IF($K502="","","G-"&amp;TEXT($K502,"0000"))</x:f>
      </x:c>
      <x:c r="M502" s="989" t="str">
        <x:f>IF($K502="","",IFERROR('Game Records'!$A502,""))</x:f>
      </x:c>
      <x:c r="N502" s="989" t="str">
        <x:f>IF($K502="","",IFERROR('Game Records'!$U502,""))</x:f>
      </x:c>
      <x:c r="O502" s="989" t="str">
        <x:f>IF($K502="","",IF($P502="","No Highlighted Fields","Highlighted Fields Present"))</x:f>
      </x:c>
      <x:c r="P502" s="989" t="str">
        <x:f>IF($K502="","",IF('Game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Q502" s="989" t="str">
        <x:f>IF($K502="","",IFERROR('Game Records'!$M502,""))</x:f>
      </x:c>
    </x:row>
    <x:row r="503" ht="24" customHeight="1">
      <x:c r="A503" s="332"/>
      <x:c r="B503" s="332"/>
      <x:c r="C503" s="331"/>
      <x:c r="D503" s="331"/>
      <x:c r="E503" s="331"/>
      <x:c r="F503" s="331"/>
      <x:c r="G503" s="331"/>
      <x:c r="K503" s="989" t="str">
        <x:f>IF(OR(COUNTA('Game Records'!$A503:$M503)=0,'Game Records'!$U503="Subscription"),"",IFERROR(MAX($K$4:K502),0)+1)</x:f>
      </x:c>
      <x:c r="L503" s="989" t="str">
        <x:f>IF($K503="","","G-"&amp;TEXT($K503,"0000"))</x:f>
      </x:c>
      <x:c r="M503" s="989" t="str">
        <x:f>IF($K503="","",IFERROR('Game Records'!$A503,""))</x:f>
      </x:c>
      <x:c r="N503" s="989" t="str">
        <x:f>IF($K503="","",IFERROR('Game Records'!$U503,""))</x:f>
      </x:c>
      <x:c r="O503" s="989" t="str">
        <x:f>IF($K503="","",IF($P503="","No Highlighted Fields","Highlighted Fields Present"))</x:f>
      </x:c>
      <x:c r="P503" s="989" t="str">
        <x:f>IF($K503="","",IF('Game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Q503" s="989" t="str">
        <x:f>IF($K503="","",IFERROR('Game Records'!$M503,""))</x:f>
      </x:c>
    </x:row>
    <x:row r="504" ht="24" customHeight="1">
      <x:c r="A504" s="332"/>
      <x:c r="B504" s="332"/>
      <x:c r="C504" s="331"/>
      <x:c r="D504" s="331"/>
      <x:c r="E504" s="331"/>
      <x:c r="F504" s="331"/>
      <x:c r="G504" s="331"/>
      <x:c r="K504" s="989" t="str">
        <x:f>IF(OR(COUNTA('Game Records'!$A504:$M504)=0,'Game Records'!$U504="Subscription"),"",IFERROR(MAX($K$4:K503),0)+1)</x:f>
      </x:c>
      <x:c r="L504" s="989" t="str">
        <x:f>IF($K504="","","G-"&amp;TEXT($K504,"0000"))</x:f>
      </x:c>
      <x:c r="M504" s="989" t="str">
        <x:f>IF($K504="","",IFERROR('Game Records'!$A504,""))</x:f>
      </x:c>
      <x:c r="N504" s="989" t="str">
        <x:f>IF($K504="","",IFERROR('Game Records'!$U504,""))</x:f>
      </x:c>
      <x:c r="O504" s="989" t="str">
        <x:f>IF($K504="","",IF($P504="","No Highlighted Fields","Highlighted Fields Present"))</x:f>
      </x:c>
      <x:c r="P504" s="989" t="str">
        <x:f>IF($K504="","",IF('Game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Q504" s="989" t="str">
        <x:f>IF($K504="","",IFERROR('Game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v246.3.5</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v246.3.5</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v246.3.5</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