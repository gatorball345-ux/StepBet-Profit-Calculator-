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1a184429dda4b98" /></Relationships>
</file>

<file path=xl/workbook.xml><?xml version="1.0" encoding="utf-8"?>
<x:workbook xmlns:x="http://schemas.openxmlformats.org/spreadsheetml/2006/main">
  <x:sheets>
    <x:sheet xmlns:r="http://schemas.openxmlformats.org/officeDocument/2006/relationships" name="Instructions" sheetId="1" r:id="R3557aba3de484828"/>
    <x:sheet xmlns:r="http://schemas.openxmlformats.org/officeDocument/2006/relationships" name="Game Records" sheetId="2" r:id="Re631892e384346b1"/>
    <x:sheet xmlns:r="http://schemas.openxmlformats.org/officeDocument/2006/relationships" name="Record Review" sheetId="3" r:id="R916c70caf50743d6"/>
    <x:sheet xmlns:r="http://schemas.openxmlformats.org/officeDocument/2006/relationships" name="Summary" sheetId="4" r:id="Ra1a7a40b35ce484c"/>
    <x:sheet xmlns:r="http://schemas.openxmlformats.org/officeDocument/2006/relationships" name="Game Comparisons" sheetId="5" r:id="Rb693fe079e1c4efb"/>
    <x:sheet xmlns:r="http://schemas.openxmlformats.org/officeDocument/2006/relationships" name="Best Results" sheetId="6" r:id="Rb39bce43de2e4524"/>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 numFmtId="209" formatCode="#,##0.00 &quot;chips&quot;"/>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8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9" fontId="3" fillId="4" borderId="0" xfId="0" applyNumberFormat="1" applyFont="1" applyFill="1" applyBorder="1" applyAlignment="1">
      <x:alignment vertical="center" wrapText="1"/>
    </x:xf>
    <x:xf numFmtId="209" fontId="3" fillId="4" borderId="0" xfId="0" applyNumberFormat="1" applyFont="1" applyFill="1" applyBorder="1" applyAlignment="1">
      <x:alignment horizontal="center" vertical="center" wrapText="1"/>
    </x:xf>
  </x:cellXfs>
  <x:cellStyles count="1">
    <x:cellStyle name="Normal" xfId="0"/>
  </x:cellStyles>
  <x:dxfs count="35">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numFmt numFmtId="209" formatCode="#,##0.00 &quot;chips&quot;"/>
    </x:dxf>
    <x:dxf>
      <x:numFmt numFmtId="209" formatCode="#,##0.00 &quot;chips&quot;"/>
    </x:dxf>
    <x:dxf>
      <x:numFmt numFmtId="209" formatCode="#,##0.00 &quot;chips&quot;"/>
    </x:dxf>
    <x:dxf>
      <x:numFmt numFmtId="209" formatCode="#,##0.00 &quot;chips&quot;"/>
    </x:dxf>
    <x:dxf>
      <x:numFmt numFmtId="209" formatCode="#,##0.00 &quot;chips&quot;"/>
    </x:dxf>
  </x:dxfs>
</x:styleSheet>
</file>

<file path=xl/_rels/workbook.xml.rels>&#65279;<?xml version="1.0" encoding="utf-8"?><Relationships xmlns="http://schemas.openxmlformats.org/package/2006/relationships"><Relationship Type="http://schemas.openxmlformats.org/officeDocument/2006/relationships/styles" Target="/xl/styles.xml" Id="Re606b909ee474eca" /><Relationship Type="http://schemas.openxmlformats.org/officeDocument/2006/relationships/theme" Target="/xl/theme/theme1.xml" Id="Rca9d2e08c6574ec2" /><Relationship Type="http://schemas.openxmlformats.org/officeDocument/2006/relationships/sharedStrings" Target="/xl/sharedStrings.xml" Id="R152335624ea64ede" /><Relationship Type="http://schemas.openxmlformats.org/officeDocument/2006/relationships/worksheet" Target="/xl/worksheets/sheet1.xml" Id="R3557aba3de484828" /><Relationship Type="http://schemas.openxmlformats.org/officeDocument/2006/relationships/worksheet" Target="/xl/worksheets/sheet2.xml" Id="Re631892e384346b1" /><Relationship Type="http://schemas.openxmlformats.org/officeDocument/2006/relationships/worksheet" Target="/xl/worksheets/sheet3.xml" Id="R916c70caf50743d6" /><Relationship Type="http://schemas.openxmlformats.org/officeDocument/2006/relationships/worksheet" Target="/xl/worksheets/sheet4.xml" Id="Ra1a7a40b35ce484c" /><Relationship Type="http://schemas.openxmlformats.org/officeDocument/2006/relationships/worksheet" Target="/xl/worksheets/sheet5.xml" Id="Rb693fe079e1c4efb" /><Relationship Type="http://schemas.openxmlformats.org/officeDocument/2006/relationships/worksheet" Target="/xl/worksheets/sheet6.xml" Id="Rb39bce43de2e452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v246</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Payment Type = Subscription and enter the annual cost in Entry Fee on that subscription row. The row is treated as a non-game expense.</x:v>
      </x:c>
      <x:c r="C11" s="833"/>
      <x:c r="D11" s="833"/>
      <x:c r="E11" s="833"/>
      <x:c r="F11" s="833"/>
      <x:c r="G11" s="833"/>
      <x:c r="H11" s="833"/>
      <x:c r="I11" s="833"/>
      <x:c r="J11" s="833"/>
    </x:row>
    <x:row r="12" ht="105" hidden="0" customHeight="1">
      <x:c r="A12" s="528" t="str">
        <x:v>Free games</x:v>
      </x:c>
      <x:c r="B12" s="532" t="str">
        <x:v>Select Payment Type = Free Game. Enter the chips awarded in Final Earned / Chips. Chips are non-cash game credit, so they are tracked separately and do not increase Gross Profit Earned, Net Game Profit, Actual Running Net Profit, or column Z. Free Games remain outside paid-game counts and ROI averages. When Eligible Players and Total Players are present, Eliminated Players and Elimination Rate still calculate.</x:v>
      </x:c>
      <x:c r="C12" s="833"/>
      <x:c r="D12" s="833"/>
      <x:c r="E12" s="833"/>
      <x:c r="F12" s="833"/>
      <x:c r="G12" s="833"/>
      <x:c r="H12" s="833"/>
      <x:c r="I12" s="833"/>
      <x:c r="J12" s="833"/>
    </x:row>
    <x:row r="13" ht="61" hidden="0" customHeight="1">
      <x:c r="A13" s="528" t="str">
        <x:v>Summary</x:v>
      </x:c>
      <x:c r="B13" s="532" t="str">
        <x:v>Summary uses exact counts and cash totals. Free Games are shown separately from paid-game Profit, Draw, and Disqualified counts, and their chips are reported in a separate non-cash total.</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Chip Performance section shows completed, disqualified, chips-earned,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cash profit before subtracting lost entry fees or membership fees. Free Game chips are excluded.</x:v>
      </x:c>
      <x:c r="C15" s="833"/>
      <x:c r="D15" s="833"/>
      <x:c r="E15" s="833"/>
      <x:c r="F15" s="833"/>
      <x:c r="G15" s="833"/>
      <x:c r="H15" s="833"/>
      <x:c r="I15" s="833"/>
      <x:c r="J15" s="833"/>
    </x:row>
    <x:row r="16" ht="44" hidden="0" customHeight="1">
      <x:c r="A16" s="528" t="str">
        <x:v>Net Game Profit</x:v>
      </x:c>
      <x:c r="B16" s="532" t="str">
        <x:v>Gross paid-game cash profit minus total lost entry fees. Free Game chips are excluded from cash net profit.</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 Free Game chips remain separate.</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 / chips</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chips are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cash Net Profit, accumulated row by row. Free Game chips do not change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44" customHeight="1">
      <x:c r="A48" s="973" t="str">
        <x:v>Updating to v246</x:v>
      </x:c>
      <x:c r="B48" s="975" t="str">
        <x:v>v246 aligns StepCat's Profit and Draw classification with the workbook by comparing the payout and Entry Fee after rounding their difference to two decimal places. A displayed $0.00 difference is always a Draw, never Profit. The v245 Free Game chips/game-credit correction remains in place.</x:v>
      </x:c>
      <x:c r="C48" s="833"/>
      <x:c r="D48" s="833"/>
      <x:c r="E48" s="833"/>
      <x:c r="F48" s="833"/>
      <x:c r="G48" s="833"/>
      <x:c r="H48" s="833"/>
      <x:c r="I48" s="833"/>
      <x:c r="J48" s="833"/>
    </x:row>
    <x:row r="49" ht="61" customHeight="1">
      <x:c r="A49" s="970" t="str">
        <x:v>Move existing records</x:v>
      </x:c>
      <x:c r="B49" s="971" t="str">
        <x:v>When moving from v245 or an older workbook, copy only populated Game Records cells A5:M. In v246, select A5 and paste—preferably as values only. Existing paid games and Free Game chip records recalculate automatically under the corrected rules.</x:v>
      </x:c>
      <x:c r="C49" s="833"/>
      <x:c r="D49" s="833"/>
      <x:c r="E49" s="833"/>
      <x:c r="F49" s="833"/>
      <x:c r="G49" s="833"/>
      <x:c r="H49" s="833"/>
      <x:c r="I49" s="833"/>
      <x:c r="J49" s="833"/>
    </x:row>
    <x:row r="50" ht="78" customHeight="1">
      <x:c r="A50" s="977" t="str">
        <x:v>Protect v246 formulas</x:v>
      </x:c>
      <x:c r="B50" s="979" t="str">
        <x:v>Do not copy the entire sheet, header rows, Summary, Game Comparisons, Instructions, or columns N–Z. Keep the older workbook as a backup until paid-game totals, Draw classifications, and Free Game Chips Earned are verified.</x:v>
      </x:c>
      <x:c r="C50" s="833"/>
      <x:c r="D50" s="833"/>
      <x:c r="E50" s="833"/>
      <x:c r="F50" s="833"/>
      <x:c r="G50" s="833"/>
      <x:c r="H50" s="833"/>
      <x:c r="I50" s="833"/>
      <x:c r="J50" s="833"/>
    </x:row>
    <x:row r="51" customHeight="1">
      <x:c r="A51" s="833"/>
      <x:c r="B51" s="833"/>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v246"</x:f>
        <x:v>Running Net Game Profit: $0.00  |  Gross Profit Earned: $0.00  |  Total Lost Entry Fees: $0.00  |  StepCat v246</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Free Game payouts are tracked as chips/game credit and are excluded from cash profit totals.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x:v>
      </x:c>
      <x:c r="H4" s="95" t="str">
        <x:v>Entry Fee</x:v>
      </x:c>
      <x:c r="I4" s="95" t="str">
        <x:v>Eligible Players</x:v>
      </x:c>
      <x:c r="J4" s="95" t="str">
        <x:v>Total Players</x:v>
      </x:c>
      <x:c r="K4" s="95" t="str">
        <x:v>Final Earned / Chips</x:v>
      </x:c>
      <x:c r="L4" s="95" t="str">
        <x:v>Disqualified / Lost Entry Fee</x:v>
      </x:c>
      <x:c r="M4" s="95" t="str">
        <x:v>Notes</x:v>
      </x:c>
      <x:c r="N4" s="294" t="str">
        <x:v>Adjusted Pot</x:v>
      </x:c>
      <x:c r="O4" s="294" t="str">
        <x:v>Estimated Earned</x:v>
      </x:c>
      <x:c r="P4" s="294" t="str">
        <x:v>Result Earned / Chips</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451"/>
      <x:c r="H5" s="451"/>
      <x:c r="I5" s="452"/>
      <x:c r="J5" s="452"/>
      <x:c r="K5" s="451"/>
      <x:c r="L5" s="450"/>
      <x:c r="M5" s="439"/>
      <x:c r="N5" s="114" t="str">
        <x:f>IF(COUNTA($A5:$M5)=0,"",IF(OR(LOWER($F5&amp;"")="subscription",LOWER($F5&amp;"")="membership"),"",IF($G5="","",IF(ISNUMBER(SEARCH("non",LOWER($E5&amp;""))),$G5*0.85,$G5))))</x:f>
      </x:c>
      <x:c r="O5" s="114" t="str">
        <x:f>IF(COUNTA($A5:$M5)=0,"",IF(OR(LOWER($F5&amp;"")="subscription",LOWER($F5&amp;"")="membership"),"",IF(OR($N5="",$I5="",$I5=0),"",IFERROR($N5/$I5,""))))</x:f>
      </x:c>
      <x:c r="P5" s="114" t="str">
        <x:f>IF(COUNTA($A5:$M5)=0,"",IF(OR(LOWER($F5&amp;"")="subscription",LOWER($F5&amp;"")="membership"),"",IF(LOWER($L5&amp;"")="yes",0,IF($K5&lt;&gt;"",$K5,IF($O5&lt;&gt;"",$O5,"")))))</x:f>
      </x:c>
      <x:c r="Q5" s="114" t="str">
        <x:f>IF(COUNTA($A5:$M5)=0,"",IF(OR($U5="Subscription",$U5=""),"",IF($U5="Profit",ROUND(IFERROR($P5,0)-IFERROR($H5,0),2),0)))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IF(COUNTA($A5:$M5)=0,"",IF(OR(LOWER($F5&amp;"")="subscription",LOWER($F5&amp;"")="membership"),"Subscription",IF(OR(AND($H5&lt;&gt;"",$H5=0),LOWER($F5&amp;"")="free game",LOWER($F5&amp;"")="free",LOWER($F5&amp;"")="free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IF(COUNTA($A5:$M5)=0,"",IF(OR($U5="Subscription",$U5=""),"",IF(OR($U5="Free Game",$U5="Disqualified — Free Game"),0,ROUND(IFERROR($Q5,0)-IFERROR($S5,0),2))))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455"/>
      <x:c r="H6" s="455"/>
      <x:c r="I6" s="456"/>
      <x:c r="J6" s="456"/>
      <x:c r="K6" s="455"/>
      <x:c r="L6" s="454"/>
      <x:c r="M6" s="439"/>
      <x:c r="N6" s="114" t="str">
        <x:f>IF(COUNTA($A6:$M6)=0,"",IF(OR(LOWER($F6&amp;"")="subscription",LOWER($F6&amp;"")="membership"),"",IF($G6="","",IF(ISNUMBER(SEARCH("non",LOWER($E6&amp;""))),$G6*0.85,$G6))))</x:f>
      </x:c>
      <x:c r="O6" s="114" t="str">
        <x:f>IF(COUNTA($A6:$M6)=0,"",IF(OR(LOWER($F6&amp;"")="subscription",LOWER($F6&amp;"")="membership"),"",IF(OR($N6="",$I6="",$I6=0),"",IFERROR($N6/$I6,""))))</x:f>
      </x:c>
      <x:c r="P6" s="114" t="str">
        <x:f>IF(COUNTA($A6:$M6)=0,"",IF(OR(LOWER($F6&amp;"")="subscription",LOWER($F6&amp;"")="membership"),"",IF(LOWER($L6&amp;"")="yes",0,IF($K6&lt;&gt;"",$K6,IF($O6&lt;&gt;"",$O6,"")))))</x:f>
      </x:c>
      <x:c r="Q6" s="114" t="str">
        <x:f>IF(COUNTA($A6:$M6)=0,"",IF(OR($U6="Subscription",$U6=""),"",IF($U6="Profit",ROUND(IFERROR($P6,0)-IFERROR($H6,0),2),0)))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IF(COUNTA($A6:$M6)=0,"",IF(OR(LOWER($F6&amp;"")="subscription",LOWER($F6&amp;"")="membership"),"Subscription",IF(OR(AND($H6&lt;&gt;"",$H6=0),LOWER($F6&amp;"")="free game",LOWER($F6&amp;"")="free",LOWER($F6&amp;"")="free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IF(COUNTA($A6:$M6)=0,"",IF(OR($U6="Subscription",$U6=""),"",IF(OR($U6="Free Game",$U6="Disqualified — Free Game"),0,ROUND(IFERROR($Q6,0)-IFERROR($S6,0),2))))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455"/>
      <x:c r="H7" s="455"/>
      <x:c r="I7" s="456"/>
      <x:c r="J7" s="456"/>
      <x:c r="K7" s="455"/>
      <x:c r="L7" s="454"/>
      <x:c r="M7" s="439"/>
      <x:c r="N7" s="114" t="str">
        <x:f>IF(COUNTA($A7:$M7)=0,"",IF(OR(LOWER($F7&amp;"")="subscription",LOWER($F7&amp;"")="membership"),"",IF($G7="","",IF(ISNUMBER(SEARCH("non",LOWER($E7&amp;""))),$G7*0.85,$G7))))</x:f>
      </x:c>
      <x:c r="O7" s="114" t="str">
        <x:f>IF(COUNTA($A7:$M7)=0,"",IF(OR(LOWER($F7&amp;"")="subscription",LOWER($F7&amp;"")="membership"),"",IF(OR($N7="",$I7="",$I7=0),"",IFERROR($N7/$I7,""))))</x:f>
      </x:c>
      <x:c r="P7" s="114" t="str">
        <x:f>IF(COUNTA($A7:$M7)=0,"",IF(OR(LOWER($F7&amp;"")="subscription",LOWER($F7&amp;"")="membership"),"",IF(LOWER($L7&amp;"")="yes",0,IF($K7&lt;&gt;"",$K7,IF($O7&lt;&gt;"",$O7,"")))))</x:f>
      </x:c>
      <x:c r="Q7" s="114" t="str">
        <x:f>IF(COUNTA($A7:$M7)=0,"",IF(OR($U7="Subscription",$U7=""),"",IF($U7="Profit",ROUND(IFERROR($P7,0)-IFERROR($H7,0),2),0)))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IF(COUNTA($A7:$M7)=0,"",IF(OR(LOWER($F7&amp;"")="subscription",LOWER($F7&amp;"")="membership"),"Subscription",IF(OR(AND($H7&lt;&gt;"",$H7=0),LOWER($F7&amp;"")="free game",LOWER($F7&amp;"")="free",LOWER($F7&amp;"")="free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IF(COUNTA($A7:$M7)=0,"",IF(OR($U7="Subscription",$U7=""),"",IF(OR($U7="Free Game",$U7="Disqualified — Free Game"),0,ROUND(IFERROR($Q7,0)-IFERROR($S7,0),2))))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455"/>
      <x:c r="H8" s="455"/>
      <x:c r="I8" s="456"/>
      <x:c r="J8" s="456"/>
      <x:c r="K8" s="455"/>
      <x:c r="L8" s="454"/>
      <x:c r="M8" s="439"/>
      <x:c r="N8" s="114" t="str">
        <x:f>IF(COUNTA($A8:$M8)=0,"",IF(OR(LOWER($F8&amp;"")="subscription",LOWER($F8&amp;"")="membership"),"",IF($G8="","",IF(ISNUMBER(SEARCH("non",LOWER($E8&amp;""))),$G8*0.85,$G8))))</x:f>
      </x:c>
      <x:c r="O8" s="114" t="str">
        <x:f>IF(COUNTA($A8:$M8)=0,"",IF(OR(LOWER($F8&amp;"")="subscription",LOWER($F8&amp;"")="membership"),"",IF(OR($N8="",$I8="",$I8=0),"",IFERROR($N8/$I8,""))))</x:f>
      </x:c>
      <x:c r="P8" s="114" t="str">
        <x:f>IF(COUNTA($A8:$M8)=0,"",IF(OR(LOWER($F8&amp;"")="subscription",LOWER($F8&amp;"")="membership"),"",IF(LOWER($L8&amp;"")="yes",0,IF($K8&lt;&gt;"",$K8,IF($O8&lt;&gt;"",$O8,"")))))</x:f>
      </x:c>
      <x:c r="Q8" s="114" t="str">
        <x:f>IF(COUNTA($A8:$M8)=0,"",IF(OR($U8="Subscription",$U8=""),"",IF($U8="Profit",ROUND(IFERROR($P8,0)-IFERROR($H8,0),2),0)))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IF(COUNTA($A8:$M8)=0,"",IF(OR(LOWER($F8&amp;"")="subscription",LOWER($F8&amp;"")="membership"),"Subscription",IF(OR(AND($H8&lt;&gt;"",$H8=0),LOWER($F8&amp;"")="free game",LOWER($F8&amp;"")="free",LOWER($F8&amp;"")="free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IF(COUNTA($A8:$M8)=0,"",IF(OR($U8="Subscription",$U8=""),"",IF(OR($U8="Free Game",$U8="Disqualified — Free Game"),0,ROUND(IFERROR($Q8,0)-IFERROR($S8,0),2))))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455"/>
      <x:c r="H9" s="455"/>
      <x:c r="I9" s="456"/>
      <x:c r="J9" s="456"/>
      <x:c r="K9" s="455"/>
      <x:c r="L9" s="454"/>
      <x:c r="M9" s="439"/>
      <x:c r="N9" s="114" t="str">
        <x:f>IF(COUNTA($A9:$M9)=0,"",IF(OR(LOWER($F9&amp;"")="subscription",LOWER($F9&amp;"")="membership"),"",IF($G9="","",IF(ISNUMBER(SEARCH("non",LOWER($E9&amp;""))),$G9*0.85,$G9))))</x:f>
      </x:c>
      <x:c r="O9" s="114" t="str">
        <x:f>IF(COUNTA($A9:$M9)=0,"",IF(OR(LOWER($F9&amp;"")="subscription",LOWER($F9&amp;"")="membership"),"",IF(OR($N9="",$I9="",$I9=0),"",IFERROR($N9/$I9,""))))</x:f>
      </x:c>
      <x:c r="P9" s="114" t="str">
        <x:f>IF(COUNTA($A9:$M9)=0,"",IF(OR(LOWER($F9&amp;"")="subscription",LOWER($F9&amp;"")="membership"),"",IF(LOWER($L9&amp;"")="yes",0,IF($K9&lt;&gt;"",$K9,IF($O9&lt;&gt;"",$O9,"")))))</x:f>
      </x:c>
      <x:c r="Q9" s="114" t="str">
        <x:f>IF(COUNTA($A9:$M9)=0,"",IF(OR($U9="Subscription",$U9=""),"",IF($U9="Profit",ROUND(IFERROR($P9,0)-IFERROR($H9,0),2),0)))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IF(COUNTA($A9:$M9)=0,"",IF(OR(LOWER($F9&amp;"")="subscription",LOWER($F9&amp;"")="membership"),"Subscription",IF(OR(AND($H9&lt;&gt;"",$H9=0),LOWER($F9&amp;"")="free game",LOWER($F9&amp;"")="free",LOWER($F9&amp;"")="free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IF(COUNTA($A9:$M9)=0,"",IF(OR($U9="Subscription",$U9=""),"",IF(OR($U9="Free Game",$U9="Disqualified — Free Game"),0,ROUND(IFERROR($Q9,0)-IFERROR($S9,0),2))))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455"/>
      <x:c r="H10" s="455"/>
      <x:c r="I10" s="456"/>
      <x:c r="J10" s="456"/>
      <x:c r="K10" s="455"/>
      <x:c r="L10" s="454"/>
      <x:c r="M10" s="439"/>
      <x:c r="N10" s="114" t="str">
        <x:f>IF(COUNTA($A10:$M10)=0,"",IF(OR(LOWER($F10&amp;"")="subscription",LOWER($F10&amp;"")="membership"),"",IF($G10="","",IF(ISNUMBER(SEARCH("non",LOWER($E10&amp;""))),$G10*0.85,$G10))))</x:f>
      </x:c>
      <x:c r="O10" s="114" t="str">
        <x:f>IF(COUNTA($A10:$M10)=0,"",IF(OR(LOWER($F10&amp;"")="subscription",LOWER($F10&amp;"")="membership"),"",IF(OR($N10="",$I10="",$I10=0),"",IFERROR($N10/$I10,""))))</x:f>
      </x:c>
      <x:c r="P10" s="114" t="str">
        <x:f>IF(COUNTA($A10:$M10)=0,"",IF(OR(LOWER($F10&amp;"")="subscription",LOWER($F10&amp;"")="membership"),"",IF(LOWER($L10&amp;"")="yes",0,IF($K10&lt;&gt;"",$K10,IF($O10&lt;&gt;"",$O10,"")))))</x:f>
      </x:c>
      <x:c r="Q10" s="114" t="str">
        <x:f>IF(COUNTA($A10:$M10)=0,"",IF(OR($U10="Subscription",$U10=""),"",IF($U10="Profit",ROUND(IFERROR($P10,0)-IFERROR($H10,0),2),0)))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IF(COUNTA($A10:$M10)=0,"",IF(OR(LOWER($F10&amp;"")="subscription",LOWER($F10&amp;"")="membership"),"Subscription",IF(OR(AND($H10&lt;&gt;"",$H10=0),LOWER($F10&amp;"")="free game",LOWER($F10&amp;"")="free",LOWER($F10&amp;"")="free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IF(COUNTA($A10:$M10)=0,"",IF(OR($U10="Subscription",$U10=""),"",IF(OR($U10="Free Game",$U10="Disqualified — Free Game"),0,ROUND(IFERROR($Q10,0)-IFERROR($S10,0),2))))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455"/>
      <x:c r="H11" s="455"/>
      <x:c r="I11" s="456"/>
      <x:c r="J11" s="456"/>
      <x:c r="K11" s="455"/>
      <x:c r="L11" s="454"/>
      <x:c r="M11" s="439"/>
      <x:c r="N11" s="114" t="str">
        <x:f>IF(COUNTA($A11:$M11)=0,"",IF(OR(LOWER($F11&amp;"")="subscription",LOWER($F11&amp;"")="membership"),"",IF($G11="","",IF(ISNUMBER(SEARCH("non",LOWER($E11&amp;""))),$G11*0.85,$G11))))</x:f>
      </x:c>
      <x:c r="O11" s="114" t="str">
        <x:f>IF(COUNTA($A11:$M11)=0,"",IF(OR(LOWER($F11&amp;"")="subscription",LOWER($F11&amp;"")="membership"),"",IF(OR($N11="",$I11="",$I11=0),"",IFERROR($N11/$I11,""))))</x:f>
      </x:c>
      <x:c r="P11" s="114" t="str">
        <x:f>IF(COUNTA($A11:$M11)=0,"",IF(OR(LOWER($F11&amp;"")="subscription",LOWER($F11&amp;"")="membership"),"",IF(LOWER($L11&amp;"")="yes",0,IF($K11&lt;&gt;"",$K11,IF($O11&lt;&gt;"",$O11,"")))))</x:f>
      </x:c>
      <x:c r="Q11" s="114" t="str">
        <x:f>IF(COUNTA($A11:$M11)=0,"",IF(OR($U11="Subscription",$U11=""),"",IF($U11="Profit",ROUND(IFERROR($P11,0)-IFERROR($H11,0),2),0)))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IF(COUNTA($A11:$M11)=0,"",IF(OR(LOWER($F11&amp;"")="subscription",LOWER($F11&amp;"")="membership"),"Subscription",IF(OR(AND($H11&lt;&gt;"",$H11=0),LOWER($F11&amp;"")="free game",LOWER($F11&amp;"")="free",LOWER($F11&amp;"")="free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IF(COUNTA($A11:$M11)=0,"",IF(OR($U11="Subscription",$U11=""),"",IF(OR($U11="Free Game",$U11="Disqualified — Free Game"),0,ROUND(IFERROR($Q11,0)-IFERROR($S11,0),2))))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455"/>
      <x:c r="H12" s="455"/>
      <x:c r="I12" s="456"/>
      <x:c r="J12" s="456"/>
      <x:c r="K12" s="455"/>
      <x:c r="L12" s="454"/>
      <x:c r="M12" s="439"/>
      <x:c r="N12" s="114" t="str">
        <x:f>IF(COUNTA($A12:$M12)=0,"",IF(OR(LOWER($F12&amp;"")="subscription",LOWER($F12&amp;"")="membership"),"",IF($G12="","",IF(ISNUMBER(SEARCH("non",LOWER($E12&amp;""))),$G12*0.85,$G12))))</x:f>
      </x:c>
      <x:c r="O12" s="114" t="str">
        <x:f>IF(COUNTA($A12:$M12)=0,"",IF(OR(LOWER($F12&amp;"")="subscription",LOWER($F12&amp;"")="membership"),"",IF(OR($N12="",$I12="",$I12=0),"",IFERROR($N12/$I12,""))))</x:f>
      </x:c>
      <x:c r="P12" s="114" t="str">
        <x:f>IF(COUNTA($A12:$M12)=0,"",IF(OR(LOWER($F12&amp;"")="subscription",LOWER($F12&amp;"")="membership"),"",IF(LOWER($L12&amp;"")="yes",0,IF($K12&lt;&gt;"",$K12,IF($O12&lt;&gt;"",$O12,"")))))</x:f>
      </x:c>
      <x:c r="Q12" s="114" t="str">
        <x:f>IF(COUNTA($A12:$M12)=0,"",IF(OR($U12="Subscription",$U12=""),"",IF($U12="Profit",ROUND(IFERROR($P12,0)-IFERROR($H12,0),2),0)))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IF(COUNTA($A12:$M12)=0,"",IF(OR(LOWER($F12&amp;"")="subscription",LOWER($F12&amp;"")="membership"),"Subscription",IF(OR(AND($H12&lt;&gt;"",$H12=0),LOWER($F12&amp;"")="free game",LOWER($F12&amp;"")="free",LOWER($F12&amp;"")="free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IF(COUNTA($A12:$M12)=0,"",IF(OR($U12="Subscription",$U12=""),"",IF(OR($U12="Free Game",$U12="Disqualified — Free Game"),0,ROUND(IFERROR($Q12,0)-IFERROR($S12,0),2))))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455"/>
      <x:c r="H13" s="455"/>
      <x:c r="I13" s="456"/>
      <x:c r="J13" s="456"/>
      <x:c r="K13" s="455"/>
      <x:c r="L13" s="454"/>
      <x:c r="M13" s="439"/>
      <x:c r="N13" s="114" t="str">
        <x:f>IF(COUNTA($A13:$M13)=0,"",IF(OR(LOWER($F13&amp;"")="subscription",LOWER($F13&amp;"")="membership"),"",IF($G13="","",IF(ISNUMBER(SEARCH("non",LOWER($E13&amp;""))),$G13*0.85,$G13))))</x:f>
      </x:c>
      <x:c r="O13" s="114" t="str">
        <x:f>IF(COUNTA($A13:$M13)=0,"",IF(OR(LOWER($F13&amp;"")="subscription",LOWER($F13&amp;"")="membership"),"",IF(OR($N13="",$I13="",$I13=0),"",IFERROR($N13/$I13,""))))</x:f>
      </x:c>
      <x:c r="P13" s="114" t="str">
        <x:f>IF(COUNTA($A13:$M13)=0,"",IF(OR(LOWER($F13&amp;"")="subscription",LOWER($F13&amp;"")="membership"),"",IF(LOWER($L13&amp;"")="yes",0,IF($K13&lt;&gt;"",$K13,IF($O13&lt;&gt;"",$O13,"")))))</x:f>
      </x:c>
      <x:c r="Q13" s="114" t="str">
        <x:f>IF(COUNTA($A13:$M13)=0,"",IF(OR($U13="Subscription",$U13=""),"",IF($U13="Profit",ROUND(IFERROR($P13,0)-IFERROR($H13,0),2),0)))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IF(COUNTA($A13:$M13)=0,"",IF(OR(LOWER($F13&amp;"")="subscription",LOWER($F13&amp;"")="membership"),"Subscription",IF(OR(AND($H13&lt;&gt;"",$H13=0),LOWER($F13&amp;"")="free game",LOWER($F13&amp;"")="free",LOWER($F13&amp;"")="free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IF(COUNTA($A13:$M13)=0,"",IF(OR($U13="Subscription",$U13=""),"",IF(OR($U13="Free Game",$U13="Disqualified — Free Game"),0,ROUND(IFERROR($Q13,0)-IFERROR($S13,0),2))))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455"/>
      <x:c r="H14" s="455"/>
      <x:c r="I14" s="456"/>
      <x:c r="J14" s="456"/>
      <x:c r="K14" s="455"/>
      <x:c r="L14" s="454"/>
      <x:c r="M14" s="439"/>
      <x:c r="N14" s="114" t="str">
        <x:f>IF(COUNTA($A14:$M14)=0,"",IF(OR(LOWER($F14&amp;"")="subscription",LOWER($F14&amp;"")="membership"),"",IF($G14="","",IF(ISNUMBER(SEARCH("non",LOWER($E14&amp;""))),$G14*0.85,$G14))))</x:f>
      </x:c>
      <x:c r="O14" s="114" t="str">
        <x:f>IF(COUNTA($A14:$M14)=0,"",IF(OR(LOWER($F14&amp;"")="subscription",LOWER($F14&amp;"")="membership"),"",IF(OR($N14="",$I14="",$I14=0),"",IFERROR($N14/$I14,""))))</x:f>
      </x:c>
      <x:c r="P14" s="114" t="str">
        <x:f>IF(COUNTA($A14:$M14)=0,"",IF(OR(LOWER($F14&amp;"")="subscription",LOWER($F14&amp;"")="membership"),"",IF(LOWER($L14&amp;"")="yes",0,IF($K14&lt;&gt;"",$K14,IF($O14&lt;&gt;"",$O14,"")))))</x:f>
      </x:c>
      <x:c r="Q14" s="114" t="str">
        <x:f>IF(COUNTA($A14:$M14)=0,"",IF(OR($U14="Subscription",$U14=""),"",IF($U14="Profit",ROUND(IFERROR($P14,0)-IFERROR($H14,0),2),0)))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IF(COUNTA($A14:$M14)=0,"",IF(OR(LOWER($F14&amp;"")="subscription",LOWER($F14&amp;"")="membership"),"Subscription",IF(OR(AND($H14&lt;&gt;"",$H14=0),LOWER($F14&amp;"")="free game",LOWER($F14&amp;"")="free",LOWER($F14&amp;"")="free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IF(COUNTA($A14:$M14)=0,"",IF(OR($U14="Subscription",$U14=""),"",IF(OR($U14="Free Game",$U14="Disqualified — Free Game"),0,ROUND(IFERROR($Q14,0)-IFERROR($S14,0),2))))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455"/>
      <x:c r="H15" s="455"/>
      <x:c r="I15" s="456"/>
      <x:c r="J15" s="456"/>
      <x:c r="K15" s="455"/>
      <x:c r="L15" s="454"/>
      <x:c r="M15" s="439"/>
      <x:c r="N15" s="114" t="str">
        <x:f>IF(COUNTA($A15:$M15)=0,"",IF(OR(LOWER($F15&amp;"")="subscription",LOWER($F15&amp;"")="membership"),"",IF($G15="","",IF(ISNUMBER(SEARCH("non",LOWER($E15&amp;""))),$G15*0.85,$G15))))</x:f>
      </x:c>
      <x:c r="O15" s="114" t="str">
        <x:f>IF(COUNTA($A15:$M15)=0,"",IF(OR(LOWER($F15&amp;"")="subscription",LOWER($F15&amp;"")="membership"),"",IF(OR($N15="",$I15="",$I15=0),"",IFERROR($N15/$I15,""))))</x:f>
      </x:c>
      <x:c r="P15" s="114" t="str">
        <x:f>IF(COUNTA($A15:$M15)=0,"",IF(OR(LOWER($F15&amp;"")="subscription",LOWER($F15&amp;"")="membership"),"",IF(LOWER($L15&amp;"")="yes",0,IF($K15&lt;&gt;"",$K15,IF($O15&lt;&gt;"",$O15,"")))))</x:f>
      </x:c>
      <x:c r="Q15" s="114" t="str">
        <x:f>IF(COUNTA($A15:$M15)=0,"",IF(OR($U15="Subscription",$U15=""),"",IF($U15="Profit",ROUND(IFERROR($P15,0)-IFERROR($H15,0),2),0)))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IF(COUNTA($A15:$M15)=0,"",IF(OR(LOWER($F15&amp;"")="subscription",LOWER($F15&amp;"")="membership"),"Subscription",IF(OR(AND($H15&lt;&gt;"",$H15=0),LOWER($F15&amp;"")="free game",LOWER($F15&amp;"")="free",LOWER($F15&amp;"")="free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IF(COUNTA($A15:$M15)=0,"",IF(OR($U15="Subscription",$U15=""),"",IF(OR($U15="Free Game",$U15="Disqualified — Free Game"),0,ROUND(IFERROR($Q15,0)-IFERROR($S15,0),2))))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455"/>
      <x:c r="H16" s="455"/>
      <x:c r="I16" s="456"/>
      <x:c r="J16" s="456"/>
      <x:c r="K16" s="455"/>
      <x:c r="L16" s="454"/>
      <x:c r="M16" s="439"/>
      <x:c r="N16" s="114" t="str">
        <x:f>IF(COUNTA($A16:$M16)=0,"",IF(OR(LOWER($F16&amp;"")="subscription",LOWER($F16&amp;"")="membership"),"",IF($G16="","",IF(ISNUMBER(SEARCH("non",LOWER($E16&amp;""))),$G16*0.85,$G16))))</x:f>
      </x:c>
      <x:c r="O16" s="114" t="str">
        <x:f>IF(COUNTA($A16:$M16)=0,"",IF(OR(LOWER($F16&amp;"")="subscription",LOWER($F16&amp;"")="membership"),"",IF(OR($N16="",$I16="",$I16=0),"",IFERROR($N16/$I16,""))))</x:f>
      </x:c>
      <x:c r="P16" s="114" t="str">
        <x:f>IF(COUNTA($A16:$M16)=0,"",IF(OR(LOWER($F16&amp;"")="subscription",LOWER($F16&amp;"")="membership"),"",IF(LOWER($L16&amp;"")="yes",0,IF($K16&lt;&gt;"",$K16,IF($O16&lt;&gt;"",$O16,"")))))</x:f>
      </x:c>
      <x:c r="Q16" s="114" t="str">
        <x:f>IF(COUNTA($A16:$M16)=0,"",IF(OR($U16="Subscription",$U16=""),"",IF($U16="Profit",ROUND(IFERROR($P16,0)-IFERROR($H16,0),2),0)))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IF(COUNTA($A16:$M16)=0,"",IF(OR(LOWER($F16&amp;"")="subscription",LOWER($F16&amp;"")="membership"),"Subscription",IF(OR(AND($H16&lt;&gt;"",$H16=0),LOWER($F16&amp;"")="free game",LOWER($F16&amp;"")="free",LOWER($F16&amp;"")="free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IF(COUNTA($A16:$M16)=0,"",IF(OR($U16="Subscription",$U16=""),"",IF(OR($U16="Free Game",$U16="Disqualified — Free Game"),0,ROUND(IFERROR($Q16,0)-IFERROR($S16,0),2))))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455"/>
      <x:c r="H17" s="455"/>
      <x:c r="I17" s="456"/>
      <x:c r="J17" s="456"/>
      <x:c r="K17" s="455"/>
      <x:c r="L17" s="454"/>
      <x:c r="M17" s="439"/>
      <x:c r="N17" s="114" t="str">
        <x:f>IF(COUNTA($A17:$M17)=0,"",IF(OR(LOWER($F17&amp;"")="subscription",LOWER($F17&amp;"")="membership"),"",IF($G17="","",IF(ISNUMBER(SEARCH("non",LOWER($E17&amp;""))),$G17*0.85,$G17))))</x:f>
      </x:c>
      <x:c r="O17" s="114" t="str">
        <x:f>IF(COUNTA($A17:$M17)=0,"",IF(OR(LOWER($F17&amp;"")="subscription",LOWER($F17&amp;"")="membership"),"",IF(OR($N17="",$I17="",$I17=0),"",IFERROR($N17/$I17,""))))</x:f>
      </x:c>
      <x:c r="P17" s="114" t="str">
        <x:f>IF(COUNTA($A17:$M17)=0,"",IF(OR(LOWER($F17&amp;"")="subscription",LOWER($F17&amp;"")="membership"),"",IF(LOWER($L17&amp;"")="yes",0,IF($K17&lt;&gt;"",$K17,IF($O17&lt;&gt;"",$O17,"")))))</x:f>
      </x:c>
      <x:c r="Q17" s="114" t="str">
        <x:f>IF(COUNTA($A17:$M17)=0,"",IF(OR($U17="Subscription",$U17=""),"",IF($U17="Profit",ROUND(IFERROR($P17,0)-IFERROR($H17,0),2),0)))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IF(COUNTA($A17:$M17)=0,"",IF(OR(LOWER($F17&amp;"")="subscription",LOWER($F17&amp;"")="membership"),"Subscription",IF(OR(AND($H17&lt;&gt;"",$H17=0),LOWER($F17&amp;"")="free game",LOWER($F17&amp;"")="free",LOWER($F17&amp;"")="free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IF(COUNTA($A17:$M17)=0,"",IF(OR($U17="Subscription",$U17=""),"",IF(OR($U17="Free Game",$U17="Disqualified — Free Game"),0,ROUND(IFERROR($Q17,0)-IFERROR($S17,0),2))))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455"/>
      <x:c r="H18" s="455"/>
      <x:c r="I18" s="456"/>
      <x:c r="J18" s="456"/>
      <x:c r="K18" s="455"/>
      <x:c r="L18" s="454"/>
      <x:c r="M18" s="439"/>
      <x:c r="N18" s="114" t="str">
        <x:f>IF(COUNTA($A18:$M18)=0,"",IF(OR(LOWER($F18&amp;"")="subscription",LOWER($F18&amp;"")="membership"),"",IF($G18="","",IF(ISNUMBER(SEARCH("non",LOWER($E18&amp;""))),$G18*0.85,$G18))))</x:f>
      </x:c>
      <x:c r="O18" s="114" t="str">
        <x:f>IF(COUNTA($A18:$M18)=0,"",IF(OR(LOWER($F18&amp;"")="subscription",LOWER($F18&amp;"")="membership"),"",IF(OR($N18="",$I18="",$I18=0),"",IFERROR($N18/$I18,""))))</x:f>
      </x:c>
      <x:c r="P18" s="114" t="str">
        <x:f>IF(COUNTA($A18:$M18)=0,"",IF(OR(LOWER($F18&amp;"")="subscription",LOWER($F18&amp;"")="membership"),"",IF(LOWER($L18&amp;"")="yes",0,IF($K18&lt;&gt;"",$K18,IF($O18&lt;&gt;"",$O18,"")))))</x:f>
      </x:c>
      <x:c r="Q18" s="114" t="str">
        <x:f>IF(COUNTA($A18:$M18)=0,"",IF(OR($U18="Subscription",$U18=""),"",IF($U18="Profit",ROUND(IFERROR($P18,0)-IFERROR($H18,0),2),0)))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IF(COUNTA($A18:$M18)=0,"",IF(OR(LOWER($F18&amp;"")="subscription",LOWER($F18&amp;"")="membership"),"Subscription",IF(OR(AND($H18&lt;&gt;"",$H18=0),LOWER($F18&amp;"")="free game",LOWER($F18&amp;"")="free",LOWER($F18&amp;"")="free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IF(COUNTA($A18:$M18)=0,"",IF(OR($U18="Subscription",$U18=""),"",IF(OR($U18="Free Game",$U18="Disqualified — Free Game"),0,ROUND(IFERROR($Q18,0)-IFERROR($S18,0),2))))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455"/>
      <x:c r="H19" s="455"/>
      <x:c r="I19" s="456"/>
      <x:c r="J19" s="456"/>
      <x:c r="K19" s="455"/>
      <x:c r="L19" s="454"/>
      <x:c r="M19" s="439"/>
      <x:c r="N19" s="114" t="str">
        <x:f>IF(COUNTA($A19:$M19)=0,"",IF(OR(LOWER($F19&amp;"")="subscription",LOWER($F19&amp;"")="membership"),"",IF($G19="","",IF(ISNUMBER(SEARCH("non",LOWER($E19&amp;""))),$G19*0.85,$G19))))</x:f>
      </x:c>
      <x:c r="O19" s="114" t="str">
        <x:f>IF(COUNTA($A19:$M19)=0,"",IF(OR(LOWER($F19&amp;"")="subscription",LOWER($F19&amp;"")="membership"),"",IF(OR($N19="",$I19="",$I19=0),"",IFERROR($N19/$I19,""))))</x:f>
      </x:c>
      <x:c r="P19" s="114" t="str">
        <x:f>IF(COUNTA($A19:$M19)=0,"",IF(OR(LOWER($F19&amp;"")="subscription",LOWER($F19&amp;"")="membership"),"",IF(LOWER($L19&amp;"")="yes",0,IF($K19&lt;&gt;"",$K19,IF($O19&lt;&gt;"",$O19,"")))))</x:f>
      </x:c>
      <x:c r="Q19" s="114" t="str">
        <x:f>IF(COUNTA($A19:$M19)=0,"",IF(OR($U19="Subscription",$U19=""),"",IF($U19="Profit",ROUND(IFERROR($P19,0)-IFERROR($H19,0),2),0)))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IF(COUNTA($A19:$M19)=0,"",IF(OR(LOWER($F19&amp;"")="subscription",LOWER($F19&amp;"")="membership"),"Subscription",IF(OR(AND($H19&lt;&gt;"",$H19=0),LOWER($F19&amp;"")="free game",LOWER($F19&amp;"")="free",LOWER($F19&amp;"")="free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IF(COUNTA($A19:$M19)=0,"",IF(OR($U19="Subscription",$U19=""),"",IF(OR($U19="Free Game",$U19="Disqualified — Free Game"),0,ROUND(IFERROR($Q19,0)-IFERROR($S19,0),2))))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455"/>
      <x:c r="H20" s="455"/>
      <x:c r="I20" s="456"/>
      <x:c r="J20" s="456"/>
      <x:c r="K20" s="455"/>
      <x:c r="L20" s="454"/>
      <x:c r="M20" s="439"/>
      <x:c r="N20" s="114" t="str">
        <x:f>IF(COUNTA($A20:$M20)=0,"",IF(OR(LOWER($F20&amp;"")="subscription",LOWER($F20&amp;"")="membership"),"",IF($G20="","",IF(ISNUMBER(SEARCH("non",LOWER($E20&amp;""))),$G20*0.85,$G20))))</x:f>
      </x:c>
      <x:c r="O20" s="114" t="str">
        <x:f>IF(COUNTA($A20:$M20)=0,"",IF(OR(LOWER($F20&amp;"")="subscription",LOWER($F20&amp;"")="membership"),"",IF(OR($N20="",$I20="",$I20=0),"",IFERROR($N20/$I20,""))))</x:f>
      </x:c>
      <x:c r="P20" s="114" t="str">
        <x:f>IF(COUNTA($A20:$M20)=0,"",IF(OR(LOWER($F20&amp;"")="subscription",LOWER($F20&amp;"")="membership"),"",IF(LOWER($L20&amp;"")="yes",0,IF($K20&lt;&gt;"",$K20,IF($O20&lt;&gt;"",$O20,"")))))</x:f>
      </x:c>
      <x:c r="Q20" s="114" t="str">
        <x:f>IF(COUNTA($A20:$M20)=0,"",IF(OR($U20="Subscription",$U20=""),"",IF($U20="Profit",ROUND(IFERROR($P20,0)-IFERROR($H20,0),2),0)))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IF(COUNTA($A20:$M20)=0,"",IF(OR(LOWER($F20&amp;"")="subscription",LOWER($F20&amp;"")="membership"),"Subscription",IF(OR(AND($H20&lt;&gt;"",$H20=0),LOWER($F20&amp;"")="free game",LOWER($F20&amp;"")="free",LOWER($F20&amp;"")="free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IF(COUNTA($A20:$M20)=0,"",IF(OR($U20="Subscription",$U20=""),"",IF(OR($U20="Free Game",$U20="Disqualified — Free Game"),0,ROUND(IFERROR($Q20,0)-IFERROR($S20,0),2))))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455"/>
      <x:c r="H21" s="455"/>
      <x:c r="I21" s="456"/>
      <x:c r="J21" s="456"/>
      <x:c r="K21" s="455"/>
      <x:c r="L21" s="454"/>
      <x:c r="M21" s="439"/>
      <x:c r="N21" s="114" t="str">
        <x:f>IF(COUNTA($A21:$M21)=0,"",IF(OR(LOWER($F21&amp;"")="subscription",LOWER($F21&amp;"")="membership"),"",IF($G21="","",IF(ISNUMBER(SEARCH("non",LOWER($E21&amp;""))),$G21*0.85,$G21))))</x:f>
      </x:c>
      <x:c r="O21" s="114" t="str">
        <x:f>IF(COUNTA($A21:$M21)=0,"",IF(OR(LOWER($F21&amp;"")="subscription",LOWER($F21&amp;"")="membership"),"",IF(OR($N21="",$I21="",$I21=0),"",IFERROR($N21/$I21,""))))</x:f>
      </x:c>
      <x:c r="P21" s="114" t="str">
        <x:f>IF(COUNTA($A21:$M21)=0,"",IF(OR(LOWER($F21&amp;"")="subscription",LOWER($F21&amp;"")="membership"),"",IF(LOWER($L21&amp;"")="yes",0,IF($K21&lt;&gt;"",$K21,IF($O21&lt;&gt;"",$O21,"")))))</x:f>
      </x:c>
      <x:c r="Q21" s="114" t="str">
        <x:f>IF(COUNTA($A21:$M21)=0,"",IF(OR($U21="Subscription",$U21=""),"",IF($U21="Profit",ROUND(IFERROR($P21,0)-IFERROR($H21,0),2),0)))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IF(COUNTA($A21:$M21)=0,"",IF(OR(LOWER($F21&amp;"")="subscription",LOWER($F21&amp;"")="membership"),"Subscription",IF(OR(AND($H21&lt;&gt;"",$H21=0),LOWER($F21&amp;"")="free game",LOWER($F21&amp;"")="free",LOWER($F21&amp;"")="free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IF(COUNTA($A21:$M21)=0,"",IF(OR($U21="Subscription",$U21=""),"",IF(OR($U21="Free Game",$U21="Disqualified — Free Game"),0,ROUND(IFERROR($Q21,0)-IFERROR($S21,0),2))))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455"/>
      <x:c r="H22" s="455"/>
      <x:c r="I22" s="456"/>
      <x:c r="J22" s="456"/>
      <x:c r="K22" s="455"/>
      <x:c r="L22" s="454"/>
      <x:c r="M22" s="439"/>
      <x:c r="N22" s="114" t="str">
        <x:f>IF(COUNTA($A22:$M22)=0,"",IF(OR(LOWER($F22&amp;"")="subscription",LOWER($F22&amp;"")="membership"),"",IF($G22="","",IF(ISNUMBER(SEARCH("non",LOWER($E22&amp;""))),$G22*0.85,$G22))))</x:f>
      </x:c>
      <x:c r="O22" s="114" t="str">
        <x:f>IF(COUNTA($A22:$M22)=0,"",IF(OR(LOWER($F22&amp;"")="subscription",LOWER($F22&amp;"")="membership"),"",IF(OR($N22="",$I22="",$I22=0),"",IFERROR($N22/$I22,""))))</x:f>
      </x:c>
      <x:c r="P22" s="114" t="str">
        <x:f>IF(COUNTA($A22:$M22)=0,"",IF(OR(LOWER($F22&amp;"")="subscription",LOWER($F22&amp;"")="membership"),"",IF(LOWER($L22&amp;"")="yes",0,IF($K22&lt;&gt;"",$K22,IF($O22&lt;&gt;"",$O22,"")))))</x:f>
      </x:c>
      <x:c r="Q22" s="114" t="str">
        <x:f>IF(COUNTA($A22:$M22)=0,"",IF(OR($U22="Subscription",$U22=""),"",IF($U22="Profit",ROUND(IFERROR($P22,0)-IFERROR($H22,0),2),0)))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IF(COUNTA($A22:$M22)=0,"",IF(OR(LOWER($F22&amp;"")="subscription",LOWER($F22&amp;"")="membership"),"Subscription",IF(OR(AND($H22&lt;&gt;"",$H22=0),LOWER($F22&amp;"")="free game",LOWER($F22&amp;"")="free",LOWER($F22&amp;"")="free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IF(COUNTA($A22:$M22)=0,"",IF(OR($U22="Subscription",$U22=""),"",IF(OR($U22="Free Game",$U22="Disqualified — Free Game"),0,ROUND(IFERROR($Q22,0)-IFERROR($S22,0),2))))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455"/>
      <x:c r="H23" s="455"/>
      <x:c r="I23" s="456"/>
      <x:c r="J23" s="456"/>
      <x:c r="K23" s="455"/>
      <x:c r="L23" s="454"/>
      <x:c r="M23" s="439"/>
      <x:c r="N23" s="114" t="str">
        <x:f>IF(COUNTA($A23:$M23)=0,"",IF(OR(LOWER($F23&amp;"")="subscription",LOWER($F23&amp;"")="membership"),"",IF($G23="","",IF(ISNUMBER(SEARCH("non",LOWER($E23&amp;""))),$G23*0.85,$G23))))</x:f>
      </x:c>
      <x:c r="O23" s="114" t="str">
        <x:f>IF(COUNTA($A23:$M23)=0,"",IF(OR(LOWER($F23&amp;"")="subscription",LOWER($F23&amp;"")="membership"),"",IF(OR($N23="",$I23="",$I23=0),"",IFERROR($N23/$I23,""))))</x:f>
      </x:c>
      <x:c r="P23" s="114" t="str">
        <x:f>IF(COUNTA($A23:$M23)=0,"",IF(OR(LOWER($F23&amp;"")="subscription",LOWER($F23&amp;"")="membership"),"",IF(LOWER($L23&amp;"")="yes",0,IF($K23&lt;&gt;"",$K23,IF($O23&lt;&gt;"",$O23,"")))))</x:f>
      </x:c>
      <x:c r="Q23" s="114" t="str">
        <x:f>IF(COUNTA($A23:$M23)=0,"",IF(OR($U23="Subscription",$U23=""),"",IF($U23="Profit",ROUND(IFERROR($P23,0)-IFERROR($H23,0),2),0)))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IF(COUNTA($A23:$M23)=0,"",IF(OR(LOWER($F23&amp;"")="subscription",LOWER($F23&amp;"")="membership"),"Subscription",IF(OR(AND($H23&lt;&gt;"",$H23=0),LOWER($F23&amp;"")="free game",LOWER($F23&amp;"")="free",LOWER($F23&amp;"")="free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IF(COUNTA($A23:$M23)=0,"",IF(OR($U23="Subscription",$U23=""),"",IF(OR($U23="Free Game",$U23="Disqualified — Free Game"),0,ROUND(IFERROR($Q23,0)-IFERROR($S23,0),2))))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455"/>
      <x:c r="H24" s="455"/>
      <x:c r="I24" s="456"/>
      <x:c r="J24" s="456"/>
      <x:c r="K24" s="455"/>
      <x:c r="L24" s="454"/>
      <x:c r="M24" s="439"/>
      <x:c r="N24" s="114" t="str">
        <x:f>IF(COUNTA($A24:$M24)=0,"",IF(OR(LOWER($F24&amp;"")="subscription",LOWER($F24&amp;"")="membership"),"",IF($G24="","",IF(ISNUMBER(SEARCH("non",LOWER($E24&amp;""))),$G24*0.85,$G24))))</x:f>
      </x:c>
      <x:c r="O24" s="114" t="str">
        <x:f>IF(COUNTA($A24:$M24)=0,"",IF(OR(LOWER($F24&amp;"")="subscription",LOWER($F24&amp;"")="membership"),"",IF(OR($N24="",$I24="",$I24=0),"",IFERROR($N24/$I24,""))))</x:f>
      </x:c>
      <x:c r="P24" s="114" t="str">
        <x:f>IF(COUNTA($A24:$M24)=0,"",IF(OR(LOWER($F24&amp;"")="subscription",LOWER($F24&amp;"")="membership"),"",IF(LOWER($L24&amp;"")="yes",0,IF($K24&lt;&gt;"",$K24,IF($O24&lt;&gt;"",$O24,"")))))</x:f>
      </x:c>
      <x:c r="Q24" s="114" t="str">
        <x:f>IF(COUNTA($A24:$M24)=0,"",IF(OR($U24="Subscription",$U24=""),"",IF($U24="Profit",ROUND(IFERROR($P24,0)-IFERROR($H24,0),2),0)))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IF(COUNTA($A24:$M24)=0,"",IF(OR(LOWER($F24&amp;"")="subscription",LOWER($F24&amp;"")="membership"),"Subscription",IF(OR(AND($H24&lt;&gt;"",$H24=0),LOWER($F24&amp;"")="free game",LOWER($F24&amp;"")="free",LOWER($F24&amp;"")="free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IF(COUNTA($A24:$M24)=0,"",IF(OR($U24="Subscription",$U24=""),"",IF(OR($U24="Free Game",$U24="Disqualified — Free Game"),0,ROUND(IFERROR($Q24,0)-IFERROR($S24,0),2))))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455"/>
      <x:c r="H25" s="455"/>
      <x:c r="I25" s="456"/>
      <x:c r="J25" s="456"/>
      <x:c r="K25" s="455"/>
      <x:c r="L25" s="454"/>
      <x:c r="M25" s="439"/>
      <x:c r="N25" s="114" t="str">
        <x:f>IF(COUNTA($A25:$M25)=0,"",IF(OR(LOWER($F25&amp;"")="subscription",LOWER($F25&amp;"")="membership"),"",IF($G25="","",IF(ISNUMBER(SEARCH("non",LOWER($E25&amp;""))),$G25*0.85,$G25))))</x:f>
      </x:c>
      <x:c r="O25" s="114" t="str">
        <x:f>IF(COUNTA($A25:$M25)=0,"",IF(OR(LOWER($F25&amp;"")="subscription",LOWER($F25&amp;"")="membership"),"",IF(OR($N25="",$I25="",$I25=0),"",IFERROR($N25/$I25,""))))</x:f>
      </x:c>
      <x:c r="P25" s="114" t="str">
        <x:f>IF(COUNTA($A25:$M25)=0,"",IF(OR(LOWER($F25&amp;"")="subscription",LOWER($F25&amp;"")="membership"),"",IF(LOWER($L25&amp;"")="yes",0,IF($K25&lt;&gt;"",$K25,IF($O25&lt;&gt;"",$O25,"")))))</x:f>
      </x:c>
      <x:c r="Q25" s="114" t="str">
        <x:f>IF(COUNTA($A25:$M25)=0,"",IF(OR($U25="Subscription",$U25=""),"",IF($U25="Profit",ROUND(IFERROR($P25,0)-IFERROR($H25,0),2),0)))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IF(COUNTA($A25:$M25)=0,"",IF(OR(LOWER($F25&amp;"")="subscription",LOWER($F25&amp;"")="membership"),"Subscription",IF(OR(AND($H25&lt;&gt;"",$H25=0),LOWER($F25&amp;"")="free game",LOWER($F25&amp;"")="free",LOWER($F25&amp;"")="free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IF(COUNTA($A25:$M25)=0,"",IF(OR($U25="Subscription",$U25=""),"",IF(OR($U25="Free Game",$U25="Disqualified — Free Game"),0,ROUND(IFERROR($Q25,0)-IFERROR($S25,0),2))))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455"/>
      <x:c r="H26" s="455"/>
      <x:c r="I26" s="456"/>
      <x:c r="J26" s="456"/>
      <x:c r="K26" s="455"/>
      <x:c r="L26" s="454"/>
      <x:c r="M26" s="439"/>
      <x:c r="N26" s="114" t="str">
        <x:f>IF(COUNTA($A26:$M26)=0,"",IF(OR(LOWER($F26&amp;"")="subscription",LOWER($F26&amp;"")="membership"),"",IF($G26="","",IF(ISNUMBER(SEARCH("non",LOWER($E26&amp;""))),$G26*0.85,$G26))))</x:f>
      </x:c>
      <x:c r="O26" s="114" t="str">
        <x:f>IF(COUNTA($A26:$M26)=0,"",IF(OR(LOWER($F26&amp;"")="subscription",LOWER($F26&amp;"")="membership"),"",IF(OR($N26="",$I26="",$I26=0),"",IFERROR($N26/$I26,""))))</x:f>
      </x:c>
      <x:c r="P26" s="114" t="str">
        <x:f>IF(COUNTA($A26:$M26)=0,"",IF(OR(LOWER($F26&amp;"")="subscription",LOWER($F26&amp;"")="membership"),"",IF(LOWER($L26&amp;"")="yes",0,IF($K26&lt;&gt;"",$K26,IF($O26&lt;&gt;"",$O26,"")))))</x:f>
      </x:c>
      <x:c r="Q26" s="114" t="str">
        <x:f>IF(COUNTA($A26:$M26)=0,"",IF(OR($U26="Subscription",$U26=""),"",IF($U26="Profit",ROUND(IFERROR($P26,0)-IFERROR($H26,0),2),0)))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IF(COUNTA($A26:$M26)=0,"",IF(OR(LOWER($F26&amp;"")="subscription",LOWER($F26&amp;"")="membership"),"Subscription",IF(OR(AND($H26&lt;&gt;"",$H26=0),LOWER($F26&amp;"")="free game",LOWER($F26&amp;"")="free",LOWER($F26&amp;"")="free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IF(COUNTA($A26:$M26)=0,"",IF(OR($U26="Subscription",$U26=""),"",IF(OR($U26="Free Game",$U26="Disqualified — Free Game"),0,ROUND(IFERROR($Q26,0)-IFERROR($S26,0),2))))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455"/>
      <x:c r="H27" s="455"/>
      <x:c r="I27" s="456"/>
      <x:c r="J27" s="456"/>
      <x:c r="K27" s="455"/>
      <x:c r="L27" s="454"/>
      <x:c r="M27" s="439"/>
      <x:c r="N27" s="114" t="str">
        <x:f>IF(COUNTA($A27:$M27)=0,"",IF(OR(LOWER($F27&amp;"")="subscription",LOWER($F27&amp;"")="membership"),"",IF($G27="","",IF(ISNUMBER(SEARCH("non",LOWER($E27&amp;""))),$G27*0.85,$G27))))</x:f>
      </x:c>
      <x:c r="O27" s="114" t="str">
        <x:f>IF(COUNTA($A27:$M27)=0,"",IF(OR(LOWER($F27&amp;"")="subscription",LOWER($F27&amp;"")="membership"),"",IF(OR($N27="",$I27="",$I27=0),"",IFERROR($N27/$I27,""))))</x:f>
      </x:c>
      <x:c r="P27" s="114" t="str">
        <x:f>IF(COUNTA($A27:$M27)=0,"",IF(OR(LOWER($F27&amp;"")="subscription",LOWER($F27&amp;"")="membership"),"",IF(LOWER($L27&amp;"")="yes",0,IF($K27&lt;&gt;"",$K27,IF($O27&lt;&gt;"",$O27,"")))))</x:f>
      </x:c>
      <x:c r="Q27" s="114" t="str">
        <x:f>IF(COUNTA($A27:$M27)=0,"",IF(OR($U27="Subscription",$U27=""),"",IF($U27="Profit",ROUND(IFERROR($P27,0)-IFERROR($H27,0),2),0)))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IF(COUNTA($A27:$M27)=0,"",IF(OR(LOWER($F27&amp;"")="subscription",LOWER($F27&amp;"")="membership"),"Subscription",IF(OR(AND($H27&lt;&gt;"",$H27=0),LOWER($F27&amp;"")="free game",LOWER($F27&amp;"")="free",LOWER($F27&amp;"")="free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IF(COUNTA($A27:$M27)=0,"",IF(OR($U27="Subscription",$U27=""),"",IF(OR($U27="Free Game",$U27="Disqualified — Free Game"),0,ROUND(IFERROR($Q27,0)-IFERROR($S27,0),2))))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455"/>
      <x:c r="H28" s="455"/>
      <x:c r="I28" s="456"/>
      <x:c r="J28" s="456"/>
      <x:c r="K28" s="455"/>
      <x:c r="L28" s="454"/>
      <x:c r="M28" s="439"/>
      <x:c r="N28" s="114" t="str">
        <x:f>IF(COUNTA($A28:$M28)=0,"",IF(OR(LOWER($F28&amp;"")="subscription",LOWER($F28&amp;"")="membership"),"",IF($G28="","",IF(ISNUMBER(SEARCH("non",LOWER($E28&amp;""))),$G28*0.85,$G28))))</x:f>
      </x:c>
      <x:c r="O28" s="114" t="str">
        <x:f>IF(COUNTA($A28:$M28)=0,"",IF(OR(LOWER($F28&amp;"")="subscription",LOWER($F28&amp;"")="membership"),"",IF(OR($N28="",$I28="",$I28=0),"",IFERROR($N28/$I28,""))))</x:f>
      </x:c>
      <x:c r="P28" s="114" t="str">
        <x:f>IF(COUNTA($A28:$M28)=0,"",IF(OR(LOWER($F28&amp;"")="subscription",LOWER($F28&amp;"")="membership"),"",IF(LOWER($L28&amp;"")="yes",0,IF($K28&lt;&gt;"",$K28,IF($O28&lt;&gt;"",$O28,"")))))</x:f>
      </x:c>
      <x:c r="Q28" s="114" t="str">
        <x:f>IF(COUNTA($A28:$M28)=0,"",IF(OR($U28="Subscription",$U28=""),"",IF($U28="Profit",ROUND(IFERROR($P28,0)-IFERROR($H28,0),2),0)))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IF(COUNTA($A28:$M28)=0,"",IF(OR(LOWER($F28&amp;"")="subscription",LOWER($F28&amp;"")="membership"),"Subscription",IF(OR(AND($H28&lt;&gt;"",$H28=0),LOWER($F28&amp;"")="free game",LOWER($F28&amp;"")="free",LOWER($F28&amp;"")="free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IF(COUNTA($A28:$M28)=0,"",IF(OR($U28="Subscription",$U28=""),"",IF(OR($U28="Free Game",$U28="Disqualified — Free Game"),0,ROUND(IFERROR($Q28,0)-IFERROR($S28,0),2))))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455"/>
      <x:c r="H29" s="455"/>
      <x:c r="I29" s="456"/>
      <x:c r="J29" s="456"/>
      <x:c r="K29" s="455"/>
      <x:c r="L29" s="454"/>
      <x:c r="M29" s="439"/>
      <x:c r="N29" s="114" t="str">
        <x:f>IF(COUNTA($A29:$M29)=0,"",IF(OR(LOWER($F29&amp;"")="subscription",LOWER($F29&amp;"")="membership"),"",IF($G29="","",IF(ISNUMBER(SEARCH("non",LOWER($E29&amp;""))),$G29*0.85,$G29))))</x:f>
      </x:c>
      <x:c r="O29" s="114" t="str">
        <x:f>IF(COUNTA($A29:$M29)=0,"",IF(OR(LOWER($F29&amp;"")="subscription",LOWER($F29&amp;"")="membership"),"",IF(OR($N29="",$I29="",$I29=0),"",IFERROR($N29/$I29,""))))</x:f>
      </x:c>
      <x:c r="P29" s="114" t="str">
        <x:f>IF(COUNTA($A29:$M29)=0,"",IF(OR(LOWER($F29&amp;"")="subscription",LOWER($F29&amp;"")="membership"),"",IF(LOWER($L29&amp;"")="yes",0,IF($K29&lt;&gt;"",$K29,IF($O29&lt;&gt;"",$O29,"")))))</x:f>
      </x:c>
      <x:c r="Q29" s="114" t="str">
        <x:f>IF(COUNTA($A29:$M29)=0,"",IF(OR($U29="Subscription",$U29=""),"",IF($U29="Profit",ROUND(IFERROR($P29,0)-IFERROR($H29,0),2),0)))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IF(COUNTA($A29:$M29)=0,"",IF(OR(LOWER($F29&amp;"")="subscription",LOWER($F29&amp;"")="membership"),"Subscription",IF(OR(AND($H29&lt;&gt;"",$H29=0),LOWER($F29&amp;"")="free game",LOWER($F29&amp;"")="free",LOWER($F29&amp;"")="free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IF(COUNTA($A29:$M29)=0,"",IF(OR($U29="Subscription",$U29=""),"",IF(OR($U29="Free Game",$U29="Disqualified — Free Game"),0,ROUND(IFERROR($Q29,0)-IFERROR($S29,0),2))))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455"/>
      <x:c r="H30" s="455"/>
      <x:c r="I30" s="456"/>
      <x:c r="J30" s="456"/>
      <x:c r="K30" s="455"/>
      <x:c r="L30" s="454"/>
      <x:c r="M30" s="439"/>
      <x:c r="N30" s="114" t="str">
        <x:f>IF(COUNTA($A30:$M30)=0,"",IF(OR(LOWER($F30&amp;"")="subscription",LOWER($F30&amp;"")="membership"),"",IF($G30="","",IF(ISNUMBER(SEARCH("non",LOWER($E30&amp;""))),$G30*0.85,$G30))))</x:f>
      </x:c>
      <x:c r="O30" s="114" t="str">
        <x:f>IF(COUNTA($A30:$M30)=0,"",IF(OR(LOWER($F30&amp;"")="subscription",LOWER($F30&amp;"")="membership"),"",IF(OR($N30="",$I30="",$I30=0),"",IFERROR($N30/$I30,""))))</x:f>
      </x:c>
      <x:c r="P30" s="114" t="str">
        <x:f>IF(COUNTA($A30:$M30)=0,"",IF(OR(LOWER($F30&amp;"")="subscription",LOWER($F30&amp;"")="membership"),"",IF(LOWER($L30&amp;"")="yes",0,IF($K30&lt;&gt;"",$K30,IF($O30&lt;&gt;"",$O30,"")))))</x:f>
      </x:c>
      <x:c r="Q30" s="114" t="str">
        <x:f>IF(COUNTA($A30:$M30)=0,"",IF(OR($U30="Subscription",$U30=""),"",IF($U30="Profit",ROUND(IFERROR($P30,0)-IFERROR($H30,0),2),0)))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IF(COUNTA($A30:$M30)=0,"",IF(OR(LOWER($F30&amp;"")="subscription",LOWER($F30&amp;"")="membership"),"Subscription",IF(OR(AND($H30&lt;&gt;"",$H30=0),LOWER($F30&amp;"")="free game",LOWER($F30&amp;"")="free",LOWER($F30&amp;"")="free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IF(COUNTA($A30:$M30)=0,"",IF(OR($U30="Subscription",$U30=""),"",IF(OR($U30="Free Game",$U30="Disqualified — Free Game"),0,ROUND(IFERROR($Q30,0)-IFERROR($S30,0),2))))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455"/>
      <x:c r="H31" s="455"/>
      <x:c r="I31" s="456"/>
      <x:c r="J31" s="456"/>
      <x:c r="K31" s="455"/>
      <x:c r="L31" s="454"/>
      <x:c r="M31" s="439"/>
      <x:c r="N31" s="114" t="str">
        <x:f>IF(COUNTA($A31:$M31)=0,"",IF(OR(LOWER($F31&amp;"")="subscription",LOWER($F31&amp;"")="membership"),"",IF($G31="","",IF(ISNUMBER(SEARCH("non",LOWER($E31&amp;""))),$G31*0.85,$G31))))</x:f>
      </x:c>
      <x:c r="O31" s="114" t="str">
        <x:f>IF(COUNTA($A31:$M31)=0,"",IF(OR(LOWER($F31&amp;"")="subscription",LOWER($F31&amp;"")="membership"),"",IF(OR($N31="",$I31="",$I31=0),"",IFERROR($N31/$I31,""))))</x:f>
      </x:c>
      <x:c r="P31" s="114" t="str">
        <x:f>IF(COUNTA($A31:$M31)=0,"",IF(OR(LOWER($F31&amp;"")="subscription",LOWER($F31&amp;"")="membership"),"",IF(LOWER($L31&amp;"")="yes",0,IF($K31&lt;&gt;"",$K31,IF($O31&lt;&gt;"",$O31,"")))))</x:f>
      </x:c>
      <x:c r="Q31" s="114" t="str">
        <x:f>IF(COUNTA($A31:$M31)=0,"",IF(OR($U31="Subscription",$U31=""),"",IF($U31="Profit",ROUND(IFERROR($P31,0)-IFERROR($H31,0),2),0)))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IF(COUNTA($A31:$M31)=0,"",IF(OR(LOWER($F31&amp;"")="subscription",LOWER($F31&amp;"")="membership"),"Subscription",IF(OR(AND($H31&lt;&gt;"",$H31=0),LOWER($F31&amp;"")="free game",LOWER($F31&amp;"")="free",LOWER($F31&amp;"")="free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IF(COUNTA($A31:$M31)=0,"",IF(OR($U31="Subscription",$U31=""),"",IF(OR($U31="Free Game",$U31="Disqualified — Free Game"),0,ROUND(IFERROR($Q31,0)-IFERROR($S31,0),2))))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455"/>
      <x:c r="H32" s="455"/>
      <x:c r="I32" s="456"/>
      <x:c r="J32" s="456"/>
      <x:c r="K32" s="455"/>
      <x:c r="L32" s="454"/>
      <x:c r="M32" s="439"/>
      <x:c r="N32" s="114" t="str">
        <x:f>IF(COUNTA($A32:$M32)=0,"",IF(OR(LOWER($F32&amp;"")="subscription",LOWER($F32&amp;"")="membership"),"",IF($G32="","",IF(ISNUMBER(SEARCH("non",LOWER($E32&amp;""))),$G32*0.85,$G32))))</x:f>
      </x:c>
      <x:c r="O32" s="114" t="str">
        <x:f>IF(COUNTA($A32:$M32)=0,"",IF(OR(LOWER($F32&amp;"")="subscription",LOWER($F32&amp;"")="membership"),"",IF(OR($N32="",$I32="",$I32=0),"",IFERROR($N32/$I32,""))))</x:f>
      </x:c>
      <x:c r="P32" s="114" t="str">
        <x:f>IF(COUNTA($A32:$M32)=0,"",IF(OR(LOWER($F32&amp;"")="subscription",LOWER($F32&amp;"")="membership"),"",IF(LOWER($L32&amp;"")="yes",0,IF($K32&lt;&gt;"",$K32,IF($O32&lt;&gt;"",$O32,"")))))</x:f>
      </x:c>
      <x:c r="Q32" s="114" t="str">
        <x:f>IF(COUNTA($A32:$M32)=0,"",IF(OR($U32="Subscription",$U32=""),"",IF($U32="Profit",ROUND(IFERROR($P32,0)-IFERROR($H32,0),2),0)))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IF(COUNTA($A32:$M32)=0,"",IF(OR(LOWER($F32&amp;"")="subscription",LOWER($F32&amp;"")="membership"),"Subscription",IF(OR(AND($H32&lt;&gt;"",$H32=0),LOWER($F32&amp;"")="free game",LOWER($F32&amp;"")="free",LOWER($F32&amp;"")="free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IF(COUNTA($A32:$M32)=0,"",IF(OR($U32="Subscription",$U32=""),"",IF(OR($U32="Free Game",$U32="Disqualified — Free Game"),0,ROUND(IFERROR($Q32,0)-IFERROR($S32,0),2))))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455"/>
      <x:c r="H33" s="455"/>
      <x:c r="I33" s="456"/>
      <x:c r="J33" s="456"/>
      <x:c r="K33" s="455"/>
      <x:c r="L33" s="454"/>
      <x:c r="M33" s="439"/>
      <x:c r="N33" s="114" t="str">
        <x:f>IF(COUNTA($A33:$M33)=0,"",IF(OR(LOWER($F33&amp;"")="subscription",LOWER($F33&amp;"")="membership"),"",IF($G33="","",IF(ISNUMBER(SEARCH("non",LOWER($E33&amp;""))),$G33*0.85,$G33))))</x:f>
      </x:c>
      <x:c r="O33" s="114" t="str">
        <x:f>IF(COUNTA($A33:$M33)=0,"",IF(OR(LOWER($F33&amp;"")="subscription",LOWER($F33&amp;"")="membership"),"",IF(OR($N33="",$I33="",$I33=0),"",IFERROR($N33/$I33,""))))</x:f>
      </x:c>
      <x:c r="P33" s="114" t="str">
        <x:f>IF(COUNTA($A33:$M33)=0,"",IF(OR(LOWER($F33&amp;"")="subscription",LOWER($F33&amp;"")="membership"),"",IF(LOWER($L33&amp;"")="yes",0,IF($K33&lt;&gt;"",$K33,IF($O33&lt;&gt;"",$O33,"")))))</x:f>
      </x:c>
      <x:c r="Q33" s="114" t="str">
        <x:f>IF(COUNTA($A33:$M33)=0,"",IF(OR($U33="Subscription",$U33=""),"",IF($U33="Profit",ROUND(IFERROR($P33,0)-IFERROR($H33,0),2),0)))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IF(COUNTA($A33:$M33)=0,"",IF(OR(LOWER($F33&amp;"")="subscription",LOWER($F33&amp;"")="membership"),"Subscription",IF(OR(AND($H33&lt;&gt;"",$H33=0),LOWER($F33&amp;"")="free game",LOWER($F33&amp;"")="free",LOWER($F33&amp;"")="free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IF(COUNTA($A33:$M33)=0,"",IF(OR($U33="Subscription",$U33=""),"",IF(OR($U33="Free Game",$U33="Disqualified — Free Game"),0,ROUND(IFERROR($Q33,0)-IFERROR($S33,0),2))))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455"/>
      <x:c r="H34" s="455"/>
      <x:c r="I34" s="456"/>
      <x:c r="J34" s="456"/>
      <x:c r="K34" s="455"/>
      <x:c r="L34" s="454"/>
      <x:c r="M34" s="439"/>
      <x:c r="N34" s="114" t="str">
        <x:f>IF(COUNTA($A34:$M34)=0,"",IF(OR(LOWER($F34&amp;"")="subscription",LOWER($F34&amp;"")="membership"),"",IF($G34="","",IF(ISNUMBER(SEARCH("non",LOWER($E34&amp;""))),$G34*0.85,$G34))))</x:f>
      </x:c>
      <x:c r="O34" s="114" t="str">
        <x:f>IF(COUNTA($A34:$M34)=0,"",IF(OR(LOWER($F34&amp;"")="subscription",LOWER($F34&amp;"")="membership"),"",IF(OR($N34="",$I34="",$I34=0),"",IFERROR($N34/$I34,""))))</x:f>
      </x:c>
      <x:c r="P34" s="114" t="str">
        <x:f>IF(COUNTA($A34:$M34)=0,"",IF(OR(LOWER($F34&amp;"")="subscription",LOWER($F34&amp;"")="membership"),"",IF(LOWER($L34&amp;"")="yes",0,IF($K34&lt;&gt;"",$K34,IF($O34&lt;&gt;"",$O34,"")))))</x:f>
      </x:c>
      <x:c r="Q34" s="114" t="str">
        <x:f>IF(COUNTA($A34:$M34)=0,"",IF(OR($U34="Subscription",$U34=""),"",IF($U34="Profit",ROUND(IFERROR($P34,0)-IFERROR($H34,0),2),0)))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IF(COUNTA($A34:$M34)=0,"",IF(OR(LOWER($F34&amp;"")="subscription",LOWER($F34&amp;"")="membership"),"Subscription",IF(OR(AND($H34&lt;&gt;"",$H34=0),LOWER($F34&amp;"")="free game",LOWER($F34&amp;"")="free",LOWER($F34&amp;"")="free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IF(COUNTA($A34:$M34)=0,"",IF(OR($U34="Subscription",$U34=""),"",IF(OR($U34="Free Game",$U34="Disqualified — Free Game"),0,ROUND(IFERROR($Q34,0)-IFERROR($S34,0),2))))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455"/>
      <x:c r="H35" s="455"/>
      <x:c r="I35" s="456"/>
      <x:c r="J35" s="456"/>
      <x:c r="K35" s="455"/>
      <x:c r="L35" s="454"/>
      <x:c r="M35" s="439"/>
      <x:c r="N35" s="114" t="str">
        <x:f>IF(COUNTA($A35:$M35)=0,"",IF(OR(LOWER($F35&amp;"")="subscription",LOWER($F35&amp;"")="membership"),"",IF($G35="","",IF(ISNUMBER(SEARCH("non",LOWER($E35&amp;""))),$G35*0.85,$G35))))</x:f>
      </x:c>
      <x:c r="O35" s="114" t="str">
        <x:f>IF(COUNTA($A35:$M35)=0,"",IF(OR(LOWER($F35&amp;"")="subscription",LOWER($F35&amp;"")="membership"),"",IF(OR($N35="",$I35="",$I35=0),"",IFERROR($N35/$I35,""))))</x:f>
      </x:c>
      <x:c r="P35" s="114" t="str">
        <x:f>IF(COUNTA($A35:$M35)=0,"",IF(OR(LOWER($F35&amp;"")="subscription",LOWER($F35&amp;"")="membership"),"",IF(LOWER($L35&amp;"")="yes",0,IF($K35&lt;&gt;"",$K35,IF($O35&lt;&gt;"",$O35,"")))))</x:f>
      </x:c>
      <x:c r="Q35" s="114" t="str">
        <x:f>IF(COUNTA($A35:$M35)=0,"",IF(OR($U35="Subscription",$U35=""),"",IF($U35="Profit",ROUND(IFERROR($P35,0)-IFERROR($H35,0),2),0)))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IF(COUNTA($A35:$M35)=0,"",IF(OR(LOWER($F35&amp;"")="subscription",LOWER($F35&amp;"")="membership"),"Subscription",IF(OR(AND($H35&lt;&gt;"",$H35=0),LOWER($F35&amp;"")="free game",LOWER($F35&amp;"")="free",LOWER($F35&amp;"")="free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IF(COUNTA($A35:$M35)=0,"",IF(OR($U35="Subscription",$U35=""),"",IF(OR($U35="Free Game",$U35="Disqualified — Free Game"),0,ROUND(IFERROR($Q35,0)-IFERROR($S35,0),2))))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455"/>
      <x:c r="H36" s="455"/>
      <x:c r="I36" s="456"/>
      <x:c r="J36" s="456"/>
      <x:c r="K36" s="455"/>
      <x:c r="L36" s="454"/>
      <x:c r="M36" s="439"/>
      <x:c r="N36" s="114" t="str">
        <x:f>IF(COUNTA($A36:$M36)=0,"",IF(OR(LOWER($F36&amp;"")="subscription",LOWER($F36&amp;"")="membership"),"",IF($G36="","",IF(ISNUMBER(SEARCH("non",LOWER($E36&amp;""))),$G36*0.85,$G36))))</x:f>
      </x:c>
      <x:c r="O36" s="114" t="str">
        <x:f>IF(COUNTA($A36:$M36)=0,"",IF(OR(LOWER($F36&amp;"")="subscription",LOWER($F36&amp;"")="membership"),"",IF(OR($N36="",$I36="",$I36=0),"",IFERROR($N36/$I36,""))))</x:f>
      </x:c>
      <x:c r="P36" s="114" t="str">
        <x:f>IF(COUNTA($A36:$M36)=0,"",IF(OR(LOWER($F36&amp;"")="subscription",LOWER($F36&amp;"")="membership"),"",IF(LOWER($L36&amp;"")="yes",0,IF($K36&lt;&gt;"",$K36,IF($O36&lt;&gt;"",$O36,"")))))</x:f>
      </x:c>
      <x:c r="Q36" s="114" t="str">
        <x:f>IF(COUNTA($A36:$M36)=0,"",IF(OR($U36="Subscription",$U36=""),"",IF($U36="Profit",ROUND(IFERROR($P36,0)-IFERROR($H36,0),2),0)))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IF(COUNTA($A36:$M36)=0,"",IF(OR(LOWER($F36&amp;"")="subscription",LOWER($F36&amp;"")="membership"),"Subscription",IF(OR(AND($H36&lt;&gt;"",$H36=0),LOWER($F36&amp;"")="free game",LOWER($F36&amp;"")="free",LOWER($F36&amp;"")="free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IF(COUNTA($A36:$M36)=0,"",IF(OR($U36="Subscription",$U36=""),"",IF(OR($U36="Free Game",$U36="Disqualified — Free Game"),0,ROUND(IFERROR($Q36,0)-IFERROR($S36,0),2))))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455"/>
      <x:c r="H37" s="455"/>
      <x:c r="I37" s="456"/>
      <x:c r="J37" s="456"/>
      <x:c r="K37" s="455"/>
      <x:c r="L37" s="454"/>
      <x:c r="M37" s="439"/>
      <x:c r="N37" s="114" t="str">
        <x:f>IF(COUNTA($A37:$M37)=0,"",IF(OR(LOWER($F37&amp;"")="subscription",LOWER($F37&amp;"")="membership"),"",IF($G37="","",IF(ISNUMBER(SEARCH("non",LOWER($E37&amp;""))),$G37*0.85,$G37))))</x:f>
      </x:c>
      <x:c r="O37" s="114" t="str">
        <x:f>IF(COUNTA($A37:$M37)=0,"",IF(OR(LOWER($F37&amp;"")="subscription",LOWER($F37&amp;"")="membership"),"",IF(OR($N37="",$I37="",$I37=0),"",IFERROR($N37/$I37,""))))</x:f>
      </x:c>
      <x:c r="P37" s="114" t="str">
        <x:f>IF(COUNTA($A37:$M37)=0,"",IF(OR(LOWER($F37&amp;"")="subscription",LOWER($F37&amp;"")="membership"),"",IF(LOWER($L37&amp;"")="yes",0,IF($K37&lt;&gt;"",$K37,IF($O37&lt;&gt;"",$O37,"")))))</x:f>
      </x:c>
      <x:c r="Q37" s="114" t="str">
        <x:f>IF(COUNTA($A37:$M37)=0,"",IF(OR($U37="Subscription",$U37=""),"",IF($U37="Profit",ROUND(IFERROR($P37,0)-IFERROR($H37,0),2),0)))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IF(COUNTA($A37:$M37)=0,"",IF(OR(LOWER($F37&amp;"")="subscription",LOWER($F37&amp;"")="membership"),"Subscription",IF(OR(AND($H37&lt;&gt;"",$H37=0),LOWER($F37&amp;"")="free game",LOWER($F37&amp;"")="free",LOWER($F37&amp;"")="free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IF(COUNTA($A37:$M37)=0,"",IF(OR($U37="Subscription",$U37=""),"",IF(OR($U37="Free Game",$U37="Disqualified — Free Game"),0,ROUND(IFERROR($Q37,0)-IFERROR($S37,0),2))))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455"/>
      <x:c r="H38" s="455"/>
      <x:c r="I38" s="456"/>
      <x:c r="J38" s="456"/>
      <x:c r="K38" s="455"/>
      <x:c r="L38" s="454"/>
      <x:c r="M38" s="439"/>
      <x:c r="N38" s="114" t="str">
        <x:f>IF(COUNTA($A38:$M38)=0,"",IF(OR(LOWER($F38&amp;"")="subscription",LOWER($F38&amp;"")="membership"),"",IF($G38="","",IF(ISNUMBER(SEARCH("non",LOWER($E38&amp;""))),$G38*0.85,$G38))))</x:f>
      </x:c>
      <x:c r="O38" s="114" t="str">
        <x:f>IF(COUNTA($A38:$M38)=0,"",IF(OR(LOWER($F38&amp;"")="subscription",LOWER($F38&amp;"")="membership"),"",IF(OR($N38="",$I38="",$I38=0),"",IFERROR($N38/$I38,""))))</x:f>
      </x:c>
      <x:c r="P38" s="114" t="str">
        <x:f>IF(COUNTA($A38:$M38)=0,"",IF(OR(LOWER($F38&amp;"")="subscription",LOWER($F38&amp;"")="membership"),"",IF(LOWER($L38&amp;"")="yes",0,IF($K38&lt;&gt;"",$K38,IF($O38&lt;&gt;"",$O38,"")))))</x:f>
      </x:c>
      <x:c r="Q38" s="114" t="str">
        <x:f>IF(COUNTA($A38:$M38)=0,"",IF(OR($U38="Subscription",$U38=""),"",IF($U38="Profit",ROUND(IFERROR($P38,0)-IFERROR($H38,0),2),0)))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IF(COUNTA($A38:$M38)=0,"",IF(OR(LOWER($F38&amp;"")="subscription",LOWER($F38&amp;"")="membership"),"Subscription",IF(OR(AND($H38&lt;&gt;"",$H38=0),LOWER($F38&amp;"")="free game",LOWER($F38&amp;"")="free",LOWER($F38&amp;"")="free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IF(COUNTA($A38:$M38)=0,"",IF(OR($U38="Subscription",$U38=""),"",IF(OR($U38="Free Game",$U38="Disqualified — Free Game"),0,ROUND(IFERROR($Q38,0)-IFERROR($S38,0),2))))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455"/>
      <x:c r="H39" s="455"/>
      <x:c r="I39" s="456"/>
      <x:c r="J39" s="456"/>
      <x:c r="K39" s="455"/>
      <x:c r="L39" s="454"/>
      <x:c r="M39" s="439"/>
      <x:c r="N39" s="114" t="str">
        <x:f>IF(COUNTA($A39:$M39)=0,"",IF(OR(LOWER($F39&amp;"")="subscription",LOWER($F39&amp;"")="membership"),"",IF($G39="","",IF(ISNUMBER(SEARCH("non",LOWER($E39&amp;""))),$G39*0.85,$G39))))</x:f>
      </x:c>
      <x:c r="O39" s="114" t="str">
        <x:f>IF(COUNTA($A39:$M39)=0,"",IF(OR(LOWER($F39&amp;"")="subscription",LOWER($F39&amp;"")="membership"),"",IF(OR($N39="",$I39="",$I39=0),"",IFERROR($N39/$I39,""))))</x:f>
      </x:c>
      <x:c r="P39" s="114" t="str">
        <x:f>IF(COUNTA($A39:$M39)=0,"",IF(OR(LOWER($F39&amp;"")="subscription",LOWER($F39&amp;"")="membership"),"",IF(LOWER($L39&amp;"")="yes",0,IF($K39&lt;&gt;"",$K39,IF($O39&lt;&gt;"",$O39,"")))))</x:f>
      </x:c>
      <x:c r="Q39" s="114" t="str">
        <x:f>IF(COUNTA($A39:$M39)=0,"",IF(OR($U39="Subscription",$U39=""),"",IF($U39="Profit",ROUND(IFERROR($P39,0)-IFERROR($H39,0),2),0)))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IF(COUNTA($A39:$M39)=0,"",IF(OR(LOWER($F39&amp;"")="subscription",LOWER($F39&amp;"")="membership"),"Subscription",IF(OR(AND($H39&lt;&gt;"",$H39=0),LOWER($F39&amp;"")="free game",LOWER($F39&amp;"")="free",LOWER($F39&amp;"")="free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IF(COUNTA($A39:$M39)=0,"",IF(OR($U39="Subscription",$U39=""),"",IF(OR($U39="Free Game",$U39="Disqualified — Free Game"),0,ROUND(IFERROR($Q39,0)-IFERROR($S39,0),2))))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455"/>
      <x:c r="H40" s="455"/>
      <x:c r="I40" s="456"/>
      <x:c r="J40" s="456"/>
      <x:c r="K40" s="455"/>
      <x:c r="L40" s="454"/>
      <x:c r="M40" s="439"/>
      <x:c r="N40" s="114" t="str">
        <x:f>IF(COUNTA($A40:$M40)=0,"",IF(OR(LOWER($F40&amp;"")="subscription",LOWER($F40&amp;"")="membership"),"",IF($G40="","",IF(ISNUMBER(SEARCH("non",LOWER($E40&amp;""))),$G40*0.85,$G40))))</x:f>
      </x:c>
      <x:c r="O40" s="114" t="str">
        <x:f>IF(COUNTA($A40:$M40)=0,"",IF(OR(LOWER($F40&amp;"")="subscription",LOWER($F40&amp;"")="membership"),"",IF(OR($N40="",$I40="",$I40=0),"",IFERROR($N40/$I40,""))))</x:f>
      </x:c>
      <x:c r="P40" s="114" t="str">
        <x:f>IF(COUNTA($A40:$M40)=0,"",IF(OR(LOWER($F40&amp;"")="subscription",LOWER($F40&amp;"")="membership"),"",IF(LOWER($L40&amp;"")="yes",0,IF($K40&lt;&gt;"",$K40,IF($O40&lt;&gt;"",$O40,"")))))</x:f>
      </x:c>
      <x:c r="Q40" s="114" t="str">
        <x:f>IF(COUNTA($A40:$M40)=0,"",IF(OR($U40="Subscription",$U40=""),"",IF($U40="Profit",ROUND(IFERROR($P40,0)-IFERROR($H40,0),2),0)))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IF(COUNTA($A40:$M40)=0,"",IF(OR(LOWER($F40&amp;"")="subscription",LOWER($F40&amp;"")="membership"),"Subscription",IF(OR(AND($H40&lt;&gt;"",$H40=0),LOWER($F40&amp;"")="free game",LOWER($F40&amp;"")="free",LOWER($F40&amp;"")="free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IF(COUNTA($A40:$M40)=0,"",IF(OR($U40="Subscription",$U40=""),"",IF(OR($U40="Free Game",$U40="Disqualified — Free Game"),0,ROUND(IFERROR($Q40,0)-IFERROR($S40,0),2))))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455"/>
      <x:c r="H41" s="455"/>
      <x:c r="I41" s="456"/>
      <x:c r="J41" s="456"/>
      <x:c r="K41" s="455"/>
      <x:c r="L41" s="454"/>
      <x:c r="M41" s="439"/>
      <x:c r="N41" s="114" t="str">
        <x:f>IF(COUNTA($A41:$M41)=0,"",IF(OR(LOWER($F41&amp;"")="subscription",LOWER($F41&amp;"")="membership"),"",IF($G41="","",IF(ISNUMBER(SEARCH("non",LOWER($E41&amp;""))),$G41*0.85,$G41))))</x:f>
      </x:c>
      <x:c r="O41" s="114" t="str">
        <x:f>IF(COUNTA($A41:$M41)=0,"",IF(OR(LOWER($F41&amp;"")="subscription",LOWER($F41&amp;"")="membership"),"",IF(OR($N41="",$I41="",$I41=0),"",IFERROR($N41/$I41,""))))</x:f>
      </x:c>
      <x:c r="P41" s="114" t="str">
        <x:f>IF(COUNTA($A41:$M41)=0,"",IF(OR(LOWER($F41&amp;"")="subscription",LOWER($F41&amp;"")="membership"),"",IF(LOWER($L41&amp;"")="yes",0,IF($K41&lt;&gt;"",$K41,IF($O41&lt;&gt;"",$O41,"")))))</x:f>
      </x:c>
      <x:c r="Q41" s="114" t="str">
        <x:f>IF(COUNTA($A41:$M41)=0,"",IF(OR($U41="Subscription",$U41=""),"",IF($U41="Profit",ROUND(IFERROR($P41,0)-IFERROR($H41,0),2),0)))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IF(COUNTA($A41:$M41)=0,"",IF(OR(LOWER($F41&amp;"")="subscription",LOWER($F41&amp;"")="membership"),"Subscription",IF(OR(AND($H41&lt;&gt;"",$H41=0),LOWER($F41&amp;"")="free game",LOWER($F41&amp;"")="free",LOWER($F41&amp;"")="free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IF(COUNTA($A41:$M41)=0,"",IF(OR($U41="Subscription",$U41=""),"",IF(OR($U41="Free Game",$U41="Disqualified — Free Game"),0,ROUND(IFERROR($Q41,0)-IFERROR($S41,0),2))))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455"/>
      <x:c r="H42" s="455"/>
      <x:c r="I42" s="456"/>
      <x:c r="J42" s="456"/>
      <x:c r="K42" s="455"/>
      <x:c r="L42" s="454"/>
      <x:c r="M42" s="439"/>
      <x:c r="N42" s="114" t="str">
        <x:f>IF(COUNTA($A42:$M42)=0,"",IF(OR(LOWER($F42&amp;"")="subscription",LOWER($F42&amp;"")="membership"),"",IF($G42="","",IF(ISNUMBER(SEARCH("non",LOWER($E42&amp;""))),$G42*0.85,$G42))))</x:f>
      </x:c>
      <x:c r="O42" s="114" t="str">
        <x:f>IF(COUNTA($A42:$M42)=0,"",IF(OR(LOWER($F42&amp;"")="subscription",LOWER($F42&amp;"")="membership"),"",IF(OR($N42="",$I42="",$I42=0),"",IFERROR($N42/$I42,""))))</x:f>
      </x:c>
      <x:c r="P42" s="114" t="str">
        <x:f>IF(COUNTA($A42:$M42)=0,"",IF(OR(LOWER($F42&amp;"")="subscription",LOWER($F42&amp;"")="membership"),"",IF(LOWER($L42&amp;"")="yes",0,IF($K42&lt;&gt;"",$K42,IF($O42&lt;&gt;"",$O42,"")))))</x:f>
      </x:c>
      <x:c r="Q42" s="114" t="str">
        <x:f>IF(COUNTA($A42:$M42)=0,"",IF(OR($U42="Subscription",$U42=""),"",IF($U42="Profit",ROUND(IFERROR($P42,0)-IFERROR($H42,0),2),0)))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IF(COUNTA($A42:$M42)=0,"",IF(OR(LOWER($F42&amp;"")="subscription",LOWER($F42&amp;"")="membership"),"Subscription",IF(OR(AND($H42&lt;&gt;"",$H42=0),LOWER($F42&amp;"")="free game",LOWER($F42&amp;"")="free",LOWER($F42&amp;"")="free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IF(COUNTA($A42:$M42)=0,"",IF(OR($U42="Subscription",$U42=""),"",IF(OR($U42="Free Game",$U42="Disqualified — Free Game"),0,ROUND(IFERROR($Q42,0)-IFERROR($S42,0),2))))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455"/>
      <x:c r="H43" s="455"/>
      <x:c r="I43" s="456"/>
      <x:c r="J43" s="456"/>
      <x:c r="K43" s="455"/>
      <x:c r="L43" s="454"/>
      <x:c r="M43" s="439"/>
      <x:c r="N43" s="114" t="str">
        <x:f>IF(COUNTA($A43:$M43)=0,"",IF(OR(LOWER($F43&amp;"")="subscription",LOWER($F43&amp;"")="membership"),"",IF($G43="","",IF(ISNUMBER(SEARCH("non",LOWER($E43&amp;""))),$G43*0.85,$G43))))</x:f>
      </x:c>
      <x:c r="O43" s="114" t="str">
        <x:f>IF(COUNTA($A43:$M43)=0,"",IF(OR(LOWER($F43&amp;"")="subscription",LOWER($F43&amp;"")="membership"),"",IF(OR($N43="",$I43="",$I43=0),"",IFERROR($N43/$I43,""))))</x:f>
      </x:c>
      <x:c r="P43" s="114" t="str">
        <x:f>IF(COUNTA($A43:$M43)=0,"",IF(OR(LOWER($F43&amp;"")="subscription",LOWER($F43&amp;"")="membership"),"",IF(LOWER($L43&amp;"")="yes",0,IF($K43&lt;&gt;"",$K43,IF($O43&lt;&gt;"",$O43,"")))))</x:f>
      </x:c>
      <x:c r="Q43" s="114" t="str">
        <x:f>IF(COUNTA($A43:$M43)=0,"",IF(OR($U43="Subscription",$U43=""),"",IF($U43="Profit",ROUND(IFERROR($P43,0)-IFERROR($H43,0),2),0)))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IF(COUNTA($A43:$M43)=0,"",IF(OR(LOWER($F43&amp;"")="subscription",LOWER($F43&amp;"")="membership"),"Subscription",IF(OR(AND($H43&lt;&gt;"",$H43=0),LOWER($F43&amp;"")="free game",LOWER($F43&amp;"")="free",LOWER($F43&amp;"")="free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IF(COUNTA($A43:$M43)=0,"",IF(OR($U43="Subscription",$U43=""),"",IF(OR($U43="Free Game",$U43="Disqualified — Free Game"),0,ROUND(IFERROR($Q43,0)-IFERROR($S43,0),2))))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455"/>
      <x:c r="H44" s="455"/>
      <x:c r="I44" s="456"/>
      <x:c r="J44" s="456"/>
      <x:c r="K44" s="455"/>
      <x:c r="L44" s="454"/>
      <x:c r="M44" s="439"/>
      <x:c r="N44" s="114" t="str">
        <x:f>IF(COUNTA($A44:$M44)=0,"",IF(OR(LOWER($F44&amp;"")="subscription",LOWER($F44&amp;"")="membership"),"",IF($G44="","",IF(ISNUMBER(SEARCH("non",LOWER($E44&amp;""))),$G44*0.85,$G44))))</x:f>
      </x:c>
      <x:c r="O44" s="114" t="str">
        <x:f>IF(COUNTA($A44:$M44)=0,"",IF(OR(LOWER($F44&amp;"")="subscription",LOWER($F44&amp;"")="membership"),"",IF(OR($N44="",$I44="",$I44=0),"",IFERROR($N44/$I44,""))))</x:f>
      </x:c>
      <x:c r="P44" s="114" t="str">
        <x:f>IF(COUNTA($A44:$M44)=0,"",IF(OR(LOWER($F44&amp;"")="subscription",LOWER($F44&amp;"")="membership"),"",IF(LOWER($L44&amp;"")="yes",0,IF($K44&lt;&gt;"",$K44,IF($O44&lt;&gt;"",$O44,"")))))</x:f>
      </x:c>
      <x:c r="Q44" s="114" t="str">
        <x:f>IF(COUNTA($A44:$M44)=0,"",IF(OR($U44="Subscription",$U44=""),"",IF($U44="Profit",ROUND(IFERROR($P44,0)-IFERROR($H44,0),2),0)))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IF(COUNTA($A44:$M44)=0,"",IF(OR(LOWER($F44&amp;"")="subscription",LOWER($F44&amp;"")="membership"),"Subscription",IF(OR(AND($H44&lt;&gt;"",$H44=0),LOWER($F44&amp;"")="free game",LOWER($F44&amp;"")="free",LOWER($F44&amp;"")="free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IF(COUNTA($A44:$M44)=0,"",IF(OR($U44="Subscription",$U44=""),"",IF(OR($U44="Free Game",$U44="Disqualified — Free Game"),0,ROUND(IFERROR($Q44,0)-IFERROR($S44,0),2))))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455"/>
      <x:c r="H45" s="455"/>
      <x:c r="I45" s="456"/>
      <x:c r="J45" s="456"/>
      <x:c r="K45" s="455"/>
      <x:c r="L45" s="454"/>
      <x:c r="M45" s="439"/>
      <x:c r="N45" s="114" t="str">
        <x:f>IF(COUNTA($A45:$M45)=0,"",IF(OR(LOWER($F45&amp;"")="subscription",LOWER($F45&amp;"")="membership"),"",IF($G45="","",IF(ISNUMBER(SEARCH("non",LOWER($E45&amp;""))),$G45*0.85,$G45))))</x:f>
      </x:c>
      <x:c r="O45" s="114" t="str">
        <x:f>IF(COUNTA($A45:$M45)=0,"",IF(OR(LOWER($F45&amp;"")="subscription",LOWER($F45&amp;"")="membership"),"",IF(OR($N45="",$I45="",$I45=0),"",IFERROR($N45/$I45,""))))</x:f>
      </x:c>
      <x:c r="P45" s="114" t="str">
        <x:f>IF(COUNTA($A45:$M45)=0,"",IF(OR(LOWER($F45&amp;"")="subscription",LOWER($F45&amp;"")="membership"),"",IF(LOWER($L45&amp;"")="yes",0,IF($K45&lt;&gt;"",$K45,IF($O45&lt;&gt;"",$O45,"")))))</x:f>
      </x:c>
      <x:c r="Q45" s="114" t="str">
        <x:f>IF(COUNTA($A45:$M45)=0,"",IF(OR($U45="Subscription",$U45=""),"",IF($U45="Profit",ROUND(IFERROR($P45,0)-IFERROR($H45,0),2),0)))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IF(COUNTA($A45:$M45)=0,"",IF(OR(LOWER($F45&amp;"")="subscription",LOWER($F45&amp;"")="membership"),"Subscription",IF(OR(AND($H45&lt;&gt;"",$H45=0),LOWER($F45&amp;"")="free game",LOWER($F45&amp;"")="free",LOWER($F45&amp;"")="free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IF(COUNTA($A45:$M45)=0,"",IF(OR($U45="Subscription",$U45=""),"",IF(OR($U45="Free Game",$U45="Disqualified — Free Game"),0,ROUND(IFERROR($Q45,0)-IFERROR($S45,0),2))))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455"/>
      <x:c r="H46" s="455"/>
      <x:c r="I46" s="456"/>
      <x:c r="J46" s="456"/>
      <x:c r="K46" s="455"/>
      <x:c r="L46" s="454"/>
      <x:c r="M46" s="439"/>
      <x:c r="N46" s="114" t="str">
        <x:f>IF(COUNTA($A46:$M46)=0,"",IF(OR(LOWER($F46&amp;"")="subscription",LOWER($F46&amp;"")="membership"),"",IF($G46="","",IF(ISNUMBER(SEARCH("non",LOWER($E46&amp;""))),$G46*0.85,$G46))))</x:f>
      </x:c>
      <x:c r="O46" s="114" t="str">
        <x:f>IF(COUNTA($A46:$M46)=0,"",IF(OR(LOWER($F46&amp;"")="subscription",LOWER($F46&amp;"")="membership"),"",IF(OR($N46="",$I46="",$I46=0),"",IFERROR($N46/$I46,""))))</x:f>
      </x:c>
      <x:c r="P46" s="114" t="str">
        <x:f>IF(COUNTA($A46:$M46)=0,"",IF(OR(LOWER($F46&amp;"")="subscription",LOWER($F46&amp;"")="membership"),"",IF(LOWER($L46&amp;"")="yes",0,IF($K46&lt;&gt;"",$K46,IF($O46&lt;&gt;"",$O46,"")))))</x:f>
      </x:c>
      <x:c r="Q46" s="114" t="str">
        <x:f>IF(COUNTA($A46:$M46)=0,"",IF(OR($U46="Subscription",$U46=""),"",IF($U46="Profit",ROUND(IFERROR($P46,0)-IFERROR($H46,0),2),0)))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IF(COUNTA($A46:$M46)=0,"",IF(OR(LOWER($F46&amp;"")="subscription",LOWER($F46&amp;"")="membership"),"Subscription",IF(OR(AND($H46&lt;&gt;"",$H46=0),LOWER($F46&amp;"")="free game",LOWER($F46&amp;"")="free",LOWER($F46&amp;"")="free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IF(COUNTA($A46:$M46)=0,"",IF(OR($U46="Subscription",$U46=""),"",IF(OR($U46="Free Game",$U46="Disqualified — Free Game"),0,ROUND(IFERROR($Q46,0)-IFERROR($S46,0),2))))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455"/>
      <x:c r="H47" s="455"/>
      <x:c r="I47" s="456"/>
      <x:c r="J47" s="456"/>
      <x:c r="K47" s="455"/>
      <x:c r="L47" s="454"/>
      <x:c r="M47" s="439"/>
      <x:c r="N47" s="114" t="str">
        <x:f>IF(COUNTA($A47:$M47)=0,"",IF(OR(LOWER($F47&amp;"")="subscription",LOWER($F47&amp;"")="membership"),"",IF($G47="","",IF(ISNUMBER(SEARCH("non",LOWER($E47&amp;""))),$G47*0.85,$G47))))</x:f>
      </x:c>
      <x:c r="O47" s="114" t="str">
        <x:f>IF(COUNTA($A47:$M47)=0,"",IF(OR(LOWER($F47&amp;"")="subscription",LOWER($F47&amp;"")="membership"),"",IF(OR($N47="",$I47="",$I47=0),"",IFERROR($N47/$I47,""))))</x:f>
      </x:c>
      <x:c r="P47" s="114" t="str">
        <x:f>IF(COUNTA($A47:$M47)=0,"",IF(OR(LOWER($F47&amp;"")="subscription",LOWER($F47&amp;"")="membership"),"",IF(LOWER($L47&amp;"")="yes",0,IF($K47&lt;&gt;"",$K47,IF($O47&lt;&gt;"",$O47,"")))))</x:f>
      </x:c>
      <x:c r="Q47" s="114" t="str">
        <x:f>IF(COUNTA($A47:$M47)=0,"",IF(OR($U47="Subscription",$U47=""),"",IF($U47="Profit",ROUND(IFERROR($P47,0)-IFERROR($H47,0),2),0)))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IF(COUNTA($A47:$M47)=0,"",IF(OR(LOWER($F47&amp;"")="subscription",LOWER($F47&amp;"")="membership"),"Subscription",IF(OR(AND($H47&lt;&gt;"",$H47=0),LOWER($F47&amp;"")="free game",LOWER($F47&amp;"")="free",LOWER($F47&amp;"")="free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IF(COUNTA($A47:$M47)=0,"",IF(OR($U47="Subscription",$U47=""),"",IF(OR($U47="Free Game",$U47="Disqualified — Free Game"),0,ROUND(IFERROR($Q47,0)-IFERROR($S47,0),2))))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455"/>
      <x:c r="H48" s="455"/>
      <x:c r="I48" s="456"/>
      <x:c r="J48" s="456"/>
      <x:c r="K48" s="455"/>
      <x:c r="L48" s="454"/>
      <x:c r="M48" s="439"/>
      <x:c r="N48" s="114" t="str">
        <x:f>IF(COUNTA($A48:$M48)=0,"",IF(OR(LOWER($F48&amp;"")="subscription",LOWER($F48&amp;"")="membership"),"",IF($G48="","",IF(ISNUMBER(SEARCH("non",LOWER($E48&amp;""))),$G48*0.85,$G48))))</x:f>
      </x:c>
      <x:c r="O48" s="114" t="str">
        <x:f>IF(COUNTA($A48:$M48)=0,"",IF(OR(LOWER($F48&amp;"")="subscription",LOWER($F48&amp;"")="membership"),"",IF(OR($N48="",$I48="",$I48=0),"",IFERROR($N48/$I48,""))))</x:f>
      </x:c>
      <x:c r="P48" s="114" t="str">
        <x:f>IF(COUNTA($A48:$M48)=0,"",IF(OR(LOWER($F48&amp;"")="subscription",LOWER($F48&amp;"")="membership"),"",IF(LOWER($L48&amp;"")="yes",0,IF($K48&lt;&gt;"",$K48,IF($O48&lt;&gt;"",$O48,"")))))</x:f>
      </x:c>
      <x:c r="Q48" s="114" t="str">
        <x:f>IF(COUNTA($A48:$M48)=0,"",IF(OR($U48="Subscription",$U48=""),"",IF($U48="Profit",ROUND(IFERROR($P48,0)-IFERROR($H48,0),2),0)))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IF(COUNTA($A48:$M48)=0,"",IF(OR(LOWER($F48&amp;"")="subscription",LOWER($F48&amp;"")="membership"),"Subscription",IF(OR(AND($H48&lt;&gt;"",$H48=0),LOWER($F48&amp;"")="free game",LOWER($F48&amp;"")="free",LOWER($F48&amp;"")="free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IF(COUNTA($A48:$M48)=0,"",IF(OR($U48="Subscription",$U48=""),"",IF(OR($U48="Free Game",$U48="Disqualified — Free Game"),0,ROUND(IFERROR($Q48,0)-IFERROR($S48,0),2))))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455"/>
      <x:c r="H49" s="455"/>
      <x:c r="I49" s="456"/>
      <x:c r="J49" s="456"/>
      <x:c r="K49" s="455"/>
      <x:c r="L49" s="454"/>
      <x:c r="M49" s="439"/>
      <x:c r="N49" s="114" t="str">
        <x:f>IF(COUNTA($A49:$M49)=0,"",IF(OR(LOWER($F49&amp;"")="subscription",LOWER($F49&amp;"")="membership"),"",IF($G49="","",IF(ISNUMBER(SEARCH("non",LOWER($E49&amp;""))),$G49*0.85,$G49))))</x:f>
      </x:c>
      <x:c r="O49" s="114" t="str">
        <x:f>IF(COUNTA($A49:$M49)=0,"",IF(OR(LOWER($F49&amp;"")="subscription",LOWER($F49&amp;"")="membership"),"",IF(OR($N49="",$I49="",$I49=0),"",IFERROR($N49/$I49,""))))</x:f>
      </x:c>
      <x:c r="P49" s="114" t="str">
        <x:f>IF(COUNTA($A49:$M49)=0,"",IF(OR(LOWER($F49&amp;"")="subscription",LOWER($F49&amp;"")="membership"),"",IF(LOWER($L49&amp;"")="yes",0,IF($K49&lt;&gt;"",$K49,IF($O49&lt;&gt;"",$O49,"")))))</x:f>
      </x:c>
      <x:c r="Q49" s="114" t="str">
        <x:f>IF(COUNTA($A49:$M49)=0,"",IF(OR($U49="Subscription",$U49=""),"",IF($U49="Profit",ROUND(IFERROR($P49,0)-IFERROR($H49,0),2),0)))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IF(COUNTA($A49:$M49)=0,"",IF(OR(LOWER($F49&amp;"")="subscription",LOWER($F49&amp;"")="membership"),"Subscription",IF(OR(AND($H49&lt;&gt;"",$H49=0),LOWER($F49&amp;"")="free game",LOWER($F49&amp;"")="free",LOWER($F49&amp;"")="free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IF(COUNTA($A49:$M49)=0,"",IF(OR($U49="Subscription",$U49=""),"",IF(OR($U49="Free Game",$U49="Disqualified — Free Game"),0,ROUND(IFERROR($Q49,0)-IFERROR($S49,0),2))))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455"/>
      <x:c r="H50" s="455"/>
      <x:c r="I50" s="456"/>
      <x:c r="J50" s="456"/>
      <x:c r="K50" s="455"/>
      <x:c r="L50" s="454"/>
      <x:c r="M50" s="439"/>
      <x:c r="N50" s="114" t="str">
        <x:f>IF(COUNTA($A50:$M50)=0,"",IF(OR(LOWER($F50&amp;"")="subscription",LOWER($F50&amp;"")="membership"),"",IF($G50="","",IF(ISNUMBER(SEARCH("non",LOWER($E50&amp;""))),$G50*0.85,$G50))))</x:f>
      </x:c>
      <x:c r="O50" s="114" t="str">
        <x:f>IF(COUNTA($A50:$M50)=0,"",IF(OR(LOWER($F50&amp;"")="subscription",LOWER($F50&amp;"")="membership"),"",IF(OR($N50="",$I50="",$I50=0),"",IFERROR($N50/$I50,""))))</x:f>
      </x:c>
      <x:c r="P50" s="114" t="str">
        <x:f>IF(COUNTA($A50:$M50)=0,"",IF(OR(LOWER($F50&amp;"")="subscription",LOWER($F50&amp;"")="membership"),"",IF(LOWER($L50&amp;"")="yes",0,IF($K50&lt;&gt;"",$K50,IF($O50&lt;&gt;"",$O50,"")))))</x:f>
      </x:c>
      <x:c r="Q50" s="114" t="str">
        <x:f>IF(COUNTA($A50:$M50)=0,"",IF(OR($U50="Subscription",$U50=""),"",IF($U50="Profit",ROUND(IFERROR($P50,0)-IFERROR($H50,0),2),0)))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IF(COUNTA($A50:$M50)=0,"",IF(OR(LOWER($F50&amp;"")="subscription",LOWER($F50&amp;"")="membership"),"Subscription",IF(OR(AND($H50&lt;&gt;"",$H50=0),LOWER($F50&amp;"")="free game",LOWER($F50&amp;"")="free",LOWER($F50&amp;"")="free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IF(COUNTA($A50:$M50)=0,"",IF(OR($U50="Subscription",$U50=""),"",IF(OR($U50="Free Game",$U50="Disqualified — Free Game"),0,ROUND(IFERROR($Q50,0)-IFERROR($S50,0),2))))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455"/>
      <x:c r="H51" s="455"/>
      <x:c r="I51" s="456"/>
      <x:c r="J51" s="456"/>
      <x:c r="K51" s="455"/>
      <x:c r="L51" s="454"/>
      <x:c r="M51" s="439"/>
      <x:c r="N51" s="114" t="str">
        <x:f>IF(COUNTA($A51:$M51)=0,"",IF(OR(LOWER($F51&amp;"")="subscription",LOWER($F51&amp;"")="membership"),"",IF($G51="","",IF(ISNUMBER(SEARCH("non",LOWER($E51&amp;""))),$G51*0.85,$G51))))</x:f>
      </x:c>
      <x:c r="O51" s="114" t="str">
        <x:f>IF(COUNTA($A51:$M51)=0,"",IF(OR(LOWER($F51&amp;"")="subscription",LOWER($F51&amp;"")="membership"),"",IF(OR($N51="",$I51="",$I51=0),"",IFERROR($N51/$I51,""))))</x:f>
      </x:c>
      <x:c r="P51" s="114" t="str">
        <x:f>IF(COUNTA($A51:$M51)=0,"",IF(OR(LOWER($F51&amp;"")="subscription",LOWER($F51&amp;"")="membership"),"",IF(LOWER($L51&amp;"")="yes",0,IF($K51&lt;&gt;"",$K51,IF($O51&lt;&gt;"",$O51,"")))))</x:f>
      </x:c>
      <x:c r="Q51" s="114" t="str">
        <x:f>IF(COUNTA($A51:$M51)=0,"",IF(OR($U51="Subscription",$U51=""),"",IF($U51="Profit",ROUND(IFERROR($P51,0)-IFERROR($H51,0),2),0)))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IF(COUNTA($A51:$M51)=0,"",IF(OR(LOWER($F51&amp;"")="subscription",LOWER($F51&amp;"")="membership"),"Subscription",IF(OR(AND($H51&lt;&gt;"",$H51=0),LOWER($F51&amp;"")="free game",LOWER($F51&amp;"")="free",LOWER($F51&amp;"")="free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IF(COUNTA($A51:$M51)=0,"",IF(OR($U51="Subscription",$U51=""),"",IF(OR($U51="Free Game",$U51="Disqualified — Free Game"),0,ROUND(IFERROR($Q51,0)-IFERROR($S51,0),2))))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455"/>
      <x:c r="H52" s="455"/>
      <x:c r="I52" s="456"/>
      <x:c r="J52" s="456"/>
      <x:c r="K52" s="455"/>
      <x:c r="L52" s="454"/>
      <x:c r="M52" s="439"/>
      <x:c r="N52" s="114" t="str">
        <x:f>IF(COUNTA($A52:$M52)=0,"",IF(OR(LOWER($F52&amp;"")="subscription",LOWER($F52&amp;"")="membership"),"",IF($G52="","",IF(ISNUMBER(SEARCH("non",LOWER($E52&amp;""))),$G52*0.85,$G52))))</x:f>
      </x:c>
      <x:c r="O52" s="114" t="str">
        <x:f>IF(COUNTA($A52:$M52)=0,"",IF(OR(LOWER($F52&amp;"")="subscription",LOWER($F52&amp;"")="membership"),"",IF(OR($N52="",$I52="",$I52=0),"",IFERROR($N52/$I52,""))))</x:f>
      </x:c>
      <x:c r="P52" s="114" t="str">
        <x:f>IF(COUNTA($A52:$M52)=0,"",IF(OR(LOWER($F52&amp;"")="subscription",LOWER($F52&amp;"")="membership"),"",IF(LOWER($L52&amp;"")="yes",0,IF($K52&lt;&gt;"",$K52,IF($O52&lt;&gt;"",$O52,"")))))</x:f>
      </x:c>
      <x:c r="Q52" s="114" t="str">
        <x:f>IF(COUNTA($A52:$M52)=0,"",IF(OR($U52="Subscription",$U52=""),"",IF($U52="Profit",ROUND(IFERROR($P52,0)-IFERROR($H52,0),2),0)))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IF(COUNTA($A52:$M52)=0,"",IF(OR(LOWER($F52&amp;"")="subscription",LOWER($F52&amp;"")="membership"),"Subscription",IF(OR(AND($H52&lt;&gt;"",$H52=0),LOWER($F52&amp;"")="free game",LOWER($F52&amp;"")="free",LOWER($F52&amp;"")="free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IF(COUNTA($A52:$M52)=0,"",IF(OR($U52="Subscription",$U52=""),"",IF(OR($U52="Free Game",$U52="Disqualified — Free Game"),0,ROUND(IFERROR($Q52,0)-IFERROR($S52,0),2))))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455"/>
      <x:c r="H53" s="455"/>
      <x:c r="I53" s="456"/>
      <x:c r="J53" s="456"/>
      <x:c r="K53" s="455"/>
      <x:c r="L53" s="454"/>
      <x:c r="M53" s="439"/>
      <x:c r="N53" s="114" t="str">
        <x:f>IF(COUNTA($A53:$M53)=0,"",IF(OR(LOWER($F53&amp;"")="subscription",LOWER($F53&amp;"")="membership"),"",IF($G53="","",IF(ISNUMBER(SEARCH("non",LOWER($E53&amp;""))),$G53*0.85,$G53))))</x:f>
      </x:c>
      <x:c r="O53" s="114" t="str">
        <x:f>IF(COUNTA($A53:$M53)=0,"",IF(OR(LOWER($F53&amp;"")="subscription",LOWER($F53&amp;"")="membership"),"",IF(OR($N53="",$I53="",$I53=0),"",IFERROR($N53/$I53,""))))</x:f>
      </x:c>
      <x:c r="P53" s="114" t="str">
        <x:f>IF(COUNTA($A53:$M53)=0,"",IF(OR(LOWER($F53&amp;"")="subscription",LOWER($F53&amp;"")="membership"),"",IF(LOWER($L53&amp;"")="yes",0,IF($K53&lt;&gt;"",$K53,IF($O53&lt;&gt;"",$O53,"")))))</x:f>
      </x:c>
      <x:c r="Q53" s="114" t="str">
        <x:f>IF(COUNTA($A53:$M53)=0,"",IF(OR($U53="Subscription",$U53=""),"",IF($U53="Profit",ROUND(IFERROR($P53,0)-IFERROR($H53,0),2),0)))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IF(COUNTA($A53:$M53)=0,"",IF(OR(LOWER($F53&amp;"")="subscription",LOWER($F53&amp;"")="membership"),"Subscription",IF(OR(AND($H53&lt;&gt;"",$H53=0),LOWER($F53&amp;"")="free game",LOWER($F53&amp;"")="free",LOWER($F53&amp;"")="free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IF(COUNTA($A53:$M53)=0,"",IF(OR($U53="Subscription",$U53=""),"",IF(OR($U53="Free Game",$U53="Disqualified — Free Game"),0,ROUND(IFERROR($Q53,0)-IFERROR($S53,0),2))))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455"/>
      <x:c r="H54" s="455"/>
      <x:c r="I54" s="456"/>
      <x:c r="J54" s="456"/>
      <x:c r="K54" s="455"/>
      <x:c r="L54" s="454"/>
      <x:c r="M54" s="439"/>
      <x:c r="N54" s="114" t="str">
        <x:f>IF(COUNTA($A54:$M54)=0,"",IF(OR(LOWER($F54&amp;"")="subscription",LOWER($F54&amp;"")="membership"),"",IF($G54="","",IF(ISNUMBER(SEARCH("non",LOWER($E54&amp;""))),$G54*0.85,$G54))))</x:f>
      </x:c>
      <x:c r="O54" s="114" t="str">
        <x:f>IF(COUNTA($A54:$M54)=0,"",IF(OR(LOWER($F54&amp;"")="subscription",LOWER($F54&amp;"")="membership"),"",IF(OR($N54="",$I54="",$I54=0),"",IFERROR($N54/$I54,""))))</x:f>
      </x:c>
      <x:c r="P54" s="114" t="str">
        <x:f>IF(COUNTA($A54:$M54)=0,"",IF(OR(LOWER($F54&amp;"")="subscription",LOWER($F54&amp;"")="membership"),"",IF(LOWER($L54&amp;"")="yes",0,IF($K54&lt;&gt;"",$K54,IF($O54&lt;&gt;"",$O54,"")))))</x:f>
      </x:c>
      <x:c r="Q54" s="114" t="str">
        <x:f>IF(COUNTA($A54:$M54)=0,"",IF(OR($U54="Subscription",$U54=""),"",IF($U54="Profit",ROUND(IFERROR($P54,0)-IFERROR($H54,0),2),0)))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IF(COUNTA($A54:$M54)=0,"",IF(OR(LOWER($F54&amp;"")="subscription",LOWER($F54&amp;"")="membership"),"Subscription",IF(OR(AND($H54&lt;&gt;"",$H54=0),LOWER($F54&amp;"")="free game",LOWER($F54&amp;"")="free",LOWER($F54&amp;"")="free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IF(COUNTA($A54:$M54)=0,"",IF(OR($U54="Subscription",$U54=""),"",IF(OR($U54="Free Game",$U54="Disqualified — Free Game"),0,ROUND(IFERROR($Q54,0)-IFERROR($S54,0),2))))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455"/>
      <x:c r="H55" s="455"/>
      <x:c r="I55" s="456"/>
      <x:c r="J55" s="456"/>
      <x:c r="K55" s="455"/>
      <x:c r="L55" s="454"/>
      <x:c r="M55" s="439"/>
      <x:c r="N55" s="114" t="str">
        <x:f>IF(COUNTA($A55:$M55)=0,"",IF(OR(LOWER($F55&amp;"")="subscription",LOWER($F55&amp;"")="membership"),"",IF($G55="","",IF(ISNUMBER(SEARCH("non",LOWER($E55&amp;""))),$G55*0.85,$G55))))</x:f>
      </x:c>
      <x:c r="O55" s="114" t="str">
        <x:f>IF(COUNTA($A55:$M55)=0,"",IF(OR(LOWER($F55&amp;"")="subscription",LOWER($F55&amp;"")="membership"),"",IF(OR($N55="",$I55="",$I55=0),"",IFERROR($N55/$I55,""))))</x:f>
      </x:c>
      <x:c r="P55" s="114" t="str">
        <x:f>IF(COUNTA($A55:$M55)=0,"",IF(OR(LOWER($F55&amp;"")="subscription",LOWER($F55&amp;"")="membership"),"",IF(LOWER($L55&amp;"")="yes",0,IF($K55&lt;&gt;"",$K55,IF($O55&lt;&gt;"",$O55,"")))))</x:f>
      </x:c>
      <x:c r="Q55" s="114" t="str">
        <x:f>IF(COUNTA($A55:$M55)=0,"",IF(OR($U55="Subscription",$U55=""),"",IF($U55="Profit",ROUND(IFERROR($P55,0)-IFERROR($H55,0),2),0)))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IF(COUNTA($A55:$M55)=0,"",IF(OR(LOWER($F55&amp;"")="subscription",LOWER($F55&amp;"")="membership"),"Subscription",IF(OR(AND($H55&lt;&gt;"",$H55=0),LOWER($F55&amp;"")="free game",LOWER($F55&amp;"")="free",LOWER($F55&amp;"")="free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IF(COUNTA($A55:$M55)=0,"",IF(OR($U55="Subscription",$U55=""),"",IF(OR($U55="Free Game",$U55="Disqualified — Free Game"),0,ROUND(IFERROR($Q55,0)-IFERROR($S55,0),2))))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455"/>
      <x:c r="H56" s="455"/>
      <x:c r="I56" s="456"/>
      <x:c r="J56" s="456"/>
      <x:c r="K56" s="455"/>
      <x:c r="L56" s="454"/>
      <x:c r="M56" s="439"/>
      <x:c r="N56" s="114" t="str">
        <x:f>IF(COUNTA($A56:$M56)=0,"",IF(OR(LOWER($F56&amp;"")="subscription",LOWER($F56&amp;"")="membership"),"",IF($G56="","",IF(ISNUMBER(SEARCH("non",LOWER($E56&amp;""))),$G56*0.85,$G56))))</x:f>
      </x:c>
      <x:c r="O56" s="114" t="str">
        <x:f>IF(COUNTA($A56:$M56)=0,"",IF(OR(LOWER($F56&amp;"")="subscription",LOWER($F56&amp;"")="membership"),"",IF(OR($N56="",$I56="",$I56=0),"",IFERROR($N56/$I56,""))))</x:f>
      </x:c>
      <x:c r="P56" s="114" t="str">
        <x:f>IF(COUNTA($A56:$M56)=0,"",IF(OR(LOWER($F56&amp;"")="subscription",LOWER($F56&amp;"")="membership"),"",IF(LOWER($L56&amp;"")="yes",0,IF($K56&lt;&gt;"",$K56,IF($O56&lt;&gt;"",$O56,"")))))</x:f>
      </x:c>
      <x:c r="Q56" s="114" t="str">
        <x:f>IF(COUNTA($A56:$M56)=0,"",IF(OR($U56="Subscription",$U56=""),"",IF($U56="Profit",ROUND(IFERROR($P56,0)-IFERROR($H56,0),2),0)))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IF(COUNTA($A56:$M56)=0,"",IF(OR(LOWER($F56&amp;"")="subscription",LOWER($F56&amp;"")="membership"),"Subscription",IF(OR(AND($H56&lt;&gt;"",$H56=0),LOWER($F56&amp;"")="free game",LOWER($F56&amp;"")="free",LOWER($F56&amp;"")="free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IF(COUNTA($A56:$M56)=0,"",IF(OR($U56="Subscription",$U56=""),"",IF(OR($U56="Free Game",$U56="Disqualified — Free Game"),0,ROUND(IFERROR($Q56,0)-IFERROR($S56,0),2))))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455"/>
      <x:c r="H57" s="455"/>
      <x:c r="I57" s="456"/>
      <x:c r="J57" s="456"/>
      <x:c r="K57" s="455"/>
      <x:c r="L57" s="454"/>
      <x:c r="M57" s="439"/>
      <x:c r="N57" s="114" t="str">
        <x:f>IF(COUNTA($A57:$M57)=0,"",IF(OR(LOWER($F57&amp;"")="subscription",LOWER($F57&amp;"")="membership"),"",IF($G57="","",IF(ISNUMBER(SEARCH("non",LOWER($E57&amp;""))),$G57*0.85,$G57))))</x:f>
      </x:c>
      <x:c r="O57" s="114" t="str">
        <x:f>IF(COUNTA($A57:$M57)=0,"",IF(OR(LOWER($F57&amp;"")="subscription",LOWER($F57&amp;"")="membership"),"",IF(OR($N57="",$I57="",$I57=0),"",IFERROR($N57/$I57,""))))</x:f>
      </x:c>
      <x:c r="P57" s="114" t="str">
        <x:f>IF(COUNTA($A57:$M57)=0,"",IF(OR(LOWER($F57&amp;"")="subscription",LOWER($F57&amp;"")="membership"),"",IF(LOWER($L57&amp;"")="yes",0,IF($K57&lt;&gt;"",$K57,IF($O57&lt;&gt;"",$O57,"")))))</x:f>
      </x:c>
      <x:c r="Q57" s="114" t="str">
        <x:f>IF(COUNTA($A57:$M57)=0,"",IF(OR($U57="Subscription",$U57=""),"",IF($U57="Profit",ROUND(IFERROR($P57,0)-IFERROR($H57,0),2),0)))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IF(COUNTA($A57:$M57)=0,"",IF(OR(LOWER($F57&amp;"")="subscription",LOWER($F57&amp;"")="membership"),"Subscription",IF(OR(AND($H57&lt;&gt;"",$H57=0),LOWER($F57&amp;"")="free game",LOWER($F57&amp;"")="free",LOWER($F57&amp;"")="free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IF(COUNTA($A57:$M57)=0,"",IF(OR($U57="Subscription",$U57=""),"",IF(OR($U57="Free Game",$U57="Disqualified — Free Game"),0,ROUND(IFERROR($Q57,0)-IFERROR($S57,0),2))))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455"/>
      <x:c r="H58" s="455"/>
      <x:c r="I58" s="456"/>
      <x:c r="J58" s="456"/>
      <x:c r="K58" s="455"/>
      <x:c r="L58" s="454"/>
      <x:c r="M58" s="439"/>
      <x:c r="N58" s="114" t="str">
        <x:f>IF(COUNTA($A58:$M58)=0,"",IF(OR(LOWER($F58&amp;"")="subscription",LOWER($F58&amp;"")="membership"),"",IF($G58="","",IF(ISNUMBER(SEARCH("non",LOWER($E58&amp;""))),$G58*0.85,$G58))))</x:f>
      </x:c>
      <x:c r="O58" s="114" t="str">
        <x:f>IF(COUNTA($A58:$M58)=0,"",IF(OR(LOWER($F58&amp;"")="subscription",LOWER($F58&amp;"")="membership"),"",IF(OR($N58="",$I58="",$I58=0),"",IFERROR($N58/$I58,""))))</x:f>
      </x:c>
      <x:c r="P58" s="114" t="str">
        <x:f>IF(COUNTA($A58:$M58)=0,"",IF(OR(LOWER($F58&amp;"")="subscription",LOWER($F58&amp;"")="membership"),"",IF(LOWER($L58&amp;"")="yes",0,IF($K58&lt;&gt;"",$K58,IF($O58&lt;&gt;"",$O58,"")))))</x:f>
      </x:c>
      <x:c r="Q58" s="114" t="str">
        <x:f>IF(COUNTA($A58:$M58)=0,"",IF(OR($U58="Subscription",$U58=""),"",IF($U58="Profit",ROUND(IFERROR($P58,0)-IFERROR($H58,0),2),0)))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IF(COUNTA($A58:$M58)=0,"",IF(OR(LOWER($F58&amp;"")="subscription",LOWER($F58&amp;"")="membership"),"Subscription",IF(OR(AND($H58&lt;&gt;"",$H58=0),LOWER($F58&amp;"")="free game",LOWER($F58&amp;"")="free",LOWER($F58&amp;"")="free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IF(COUNTA($A58:$M58)=0,"",IF(OR($U58="Subscription",$U58=""),"",IF(OR($U58="Free Game",$U58="Disqualified — Free Game"),0,ROUND(IFERROR($Q58,0)-IFERROR($S58,0),2))))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455"/>
      <x:c r="H59" s="455"/>
      <x:c r="I59" s="456"/>
      <x:c r="J59" s="456"/>
      <x:c r="K59" s="455"/>
      <x:c r="L59" s="454"/>
      <x:c r="M59" s="439"/>
      <x:c r="N59" s="114" t="str">
        <x:f>IF(COUNTA($A59:$M59)=0,"",IF(OR(LOWER($F59&amp;"")="subscription",LOWER($F59&amp;"")="membership"),"",IF($G59="","",IF(ISNUMBER(SEARCH("non",LOWER($E59&amp;""))),$G59*0.85,$G59))))</x:f>
      </x:c>
      <x:c r="O59" s="114" t="str">
        <x:f>IF(COUNTA($A59:$M59)=0,"",IF(OR(LOWER($F59&amp;"")="subscription",LOWER($F59&amp;"")="membership"),"",IF(OR($N59="",$I59="",$I59=0),"",IFERROR($N59/$I59,""))))</x:f>
      </x:c>
      <x:c r="P59" s="114" t="str">
        <x:f>IF(COUNTA($A59:$M59)=0,"",IF(OR(LOWER($F59&amp;"")="subscription",LOWER($F59&amp;"")="membership"),"",IF(LOWER($L59&amp;"")="yes",0,IF($K59&lt;&gt;"",$K59,IF($O59&lt;&gt;"",$O59,"")))))</x:f>
      </x:c>
      <x:c r="Q59" s="114" t="str">
        <x:f>IF(COUNTA($A59:$M59)=0,"",IF(OR($U59="Subscription",$U59=""),"",IF($U59="Profit",ROUND(IFERROR($P59,0)-IFERROR($H59,0),2),0)))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IF(COUNTA($A59:$M59)=0,"",IF(OR(LOWER($F59&amp;"")="subscription",LOWER($F59&amp;"")="membership"),"Subscription",IF(OR(AND($H59&lt;&gt;"",$H59=0),LOWER($F59&amp;"")="free game",LOWER($F59&amp;"")="free",LOWER($F59&amp;"")="free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IF(COUNTA($A59:$M59)=0,"",IF(OR($U59="Subscription",$U59=""),"",IF(OR($U59="Free Game",$U59="Disqualified — Free Game"),0,ROUND(IFERROR($Q59,0)-IFERROR($S59,0),2))))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455"/>
      <x:c r="H60" s="455"/>
      <x:c r="I60" s="456"/>
      <x:c r="J60" s="456"/>
      <x:c r="K60" s="455"/>
      <x:c r="L60" s="454"/>
      <x:c r="M60" s="439"/>
      <x:c r="N60" s="114" t="str">
        <x:f>IF(COUNTA($A60:$M60)=0,"",IF(OR(LOWER($F60&amp;"")="subscription",LOWER($F60&amp;"")="membership"),"",IF($G60="","",IF(ISNUMBER(SEARCH("non",LOWER($E60&amp;""))),$G60*0.85,$G60))))</x:f>
      </x:c>
      <x:c r="O60" s="114" t="str">
        <x:f>IF(COUNTA($A60:$M60)=0,"",IF(OR(LOWER($F60&amp;"")="subscription",LOWER($F60&amp;"")="membership"),"",IF(OR($N60="",$I60="",$I60=0),"",IFERROR($N60/$I60,""))))</x:f>
      </x:c>
      <x:c r="P60" s="114" t="str">
        <x:f>IF(COUNTA($A60:$M60)=0,"",IF(OR(LOWER($F60&amp;"")="subscription",LOWER($F60&amp;"")="membership"),"",IF(LOWER($L60&amp;"")="yes",0,IF($K60&lt;&gt;"",$K60,IF($O60&lt;&gt;"",$O60,"")))))</x:f>
      </x:c>
      <x:c r="Q60" s="114" t="str">
        <x:f>IF(COUNTA($A60:$M60)=0,"",IF(OR($U60="Subscription",$U60=""),"",IF($U60="Profit",ROUND(IFERROR($P60,0)-IFERROR($H60,0),2),0)))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IF(COUNTA($A60:$M60)=0,"",IF(OR(LOWER($F60&amp;"")="subscription",LOWER($F60&amp;"")="membership"),"Subscription",IF(OR(AND($H60&lt;&gt;"",$H60=0),LOWER($F60&amp;"")="free game",LOWER($F60&amp;"")="free",LOWER($F60&amp;"")="free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IF(COUNTA($A60:$M60)=0,"",IF(OR($U60="Subscription",$U60=""),"",IF(OR($U60="Free Game",$U60="Disqualified — Free Game"),0,ROUND(IFERROR($Q60,0)-IFERROR($S60,0),2))))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455"/>
      <x:c r="H61" s="455"/>
      <x:c r="I61" s="456"/>
      <x:c r="J61" s="456"/>
      <x:c r="K61" s="455"/>
      <x:c r="L61" s="454"/>
      <x:c r="M61" s="439"/>
      <x:c r="N61" s="114" t="str">
        <x:f>IF(COUNTA($A61:$M61)=0,"",IF(OR(LOWER($F61&amp;"")="subscription",LOWER($F61&amp;"")="membership"),"",IF($G61="","",IF(ISNUMBER(SEARCH("non",LOWER($E61&amp;""))),$G61*0.85,$G61))))</x:f>
      </x:c>
      <x:c r="O61" s="114" t="str">
        <x:f>IF(COUNTA($A61:$M61)=0,"",IF(OR(LOWER($F61&amp;"")="subscription",LOWER($F61&amp;"")="membership"),"",IF(OR($N61="",$I61="",$I61=0),"",IFERROR($N61/$I61,""))))</x:f>
      </x:c>
      <x:c r="P61" s="114" t="str">
        <x:f>IF(COUNTA($A61:$M61)=0,"",IF(OR(LOWER($F61&amp;"")="subscription",LOWER($F61&amp;"")="membership"),"",IF(LOWER($L61&amp;"")="yes",0,IF($K61&lt;&gt;"",$K61,IF($O61&lt;&gt;"",$O61,"")))))</x:f>
      </x:c>
      <x:c r="Q61" s="114" t="str">
        <x:f>IF(COUNTA($A61:$M61)=0,"",IF(OR($U61="Subscription",$U61=""),"",IF($U61="Profit",ROUND(IFERROR($P61,0)-IFERROR($H61,0),2),0)))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IF(COUNTA($A61:$M61)=0,"",IF(OR(LOWER($F61&amp;"")="subscription",LOWER($F61&amp;"")="membership"),"Subscription",IF(OR(AND($H61&lt;&gt;"",$H61=0),LOWER($F61&amp;"")="free game",LOWER($F61&amp;"")="free",LOWER($F61&amp;"")="free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IF(COUNTA($A61:$M61)=0,"",IF(OR($U61="Subscription",$U61=""),"",IF(OR($U61="Free Game",$U61="Disqualified — Free Game"),0,ROUND(IFERROR($Q61,0)-IFERROR($S61,0),2))))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455"/>
      <x:c r="H62" s="455"/>
      <x:c r="I62" s="456"/>
      <x:c r="J62" s="456"/>
      <x:c r="K62" s="455"/>
      <x:c r="L62" s="454"/>
      <x:c r="M62" s="439"/>
      <x:c r="N62" s="114" t="str">
        <x:f>IF(COUNTA($A62:$M62)=0,"",IF(OR(LOWER($F62&amp;"")="subscription",LOWER($F62&amp;"")="membership"),"",IF($G62="","",IF(ISNUMBER(SEARCH("non",LOWER($E62&amp;""))),$G62*0.85,$G62))))</x:f>
      </x:c>
      <x:c r="O62" s="114" t="str">
        <x:f>IF(COUNTA($A62:$M62)=0,"",IF(OR(LOWER($F62&amp;"")="subscription",LOWER($F62&amp;"")="membership"),"",IF(OR($N62="",$I62="",$I62=0),"",IFERROR($N62/$I62,""))))</x:f>
      </x:c>
      <x:c r="P62" s="114" t="str">
        <x:f>IF(COUNTA($A62:$M62)=0,"",IF(OR(LOWER($F62&amp;"")="subscription",LOWER($F62&amp;"")="membership"),"",IF(LOWER($L62&amp;"")="yes",0,IF($K62&lt;&gt;"",$K62,IF($O62&lt;&gt;"",$O62,"")))))</x:f>
      </x:c>
      <x:c r="Q62" s="114" t="str">
        <x:f>IF(COUNTA($A62:$M62)=0,"",IF(OR($U62="Subscription",$U62=""),"",IF($U62="Profit",ROUND(IFERROR($P62,0)-IFERROR($H62,0),2),0)))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IF(COUNTA($A62:$M62)=0,"",IF(OR(LOWER($F62&amp;"")="subscription",LOWER($F62&amp;"")="membership"),"Subscription",IF(OR(AND($H62&lt;&gt;"",$H62=0),LOWER($F62&amp;"")="free game",LOWER($F62&amp;"")="free",LOWER($F62&amp;"")="free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IF(COUNTA($A62:$M62)=0,"",IF(OR($U62="Subscription",$U62=""),"",IF(OR($U62="Free Game",$U62="Disqualified — Free Game"),0,ROUND(IFERROR($Q62,0)-IFERROR($S62,0),2))))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455"/>
      <x:c r="H63" s="455"/>
      <x:c r="I63" s="456"/>
      <x:c r="J63" s="456"/>
      <x:c r="K63" s="455"/>
      <x:c r="L63" s="454"/>
      <x:c r="M63" s="439"/>
      <x:c r="N63" s="114" t="str">
        <x:f>IF(COUNTA($A63:$M63)=0,"",IF(OR(LOWER($F63&amp;"")="subscription",LOWER($F63&amp;"")="membership"),"",IF($G63="","",IF(ISNUMBER(SEARCH("non",LOWER($E63&amp;""))),$G63*0.85,$G63))))</x:f>
      </x:c>
      <x:c r="O63" s="114" t="str">
        <x:f>IF(COUNTA($A63:$M63)=0,"",IF(OR(LOWER($F63&amp;"")="subscription",LOWER($F63&amp;"")="membership"),"",IF(OR($N63="",$I63="",$I63=0),"",IFERROR($N63/$I63,""))))</x:f>
      </x:c>
      <x:c r="P63" s="114" t="str">
        <x:f>IF(COUNTA($A63:$M63)=0,"",IF(OR(LOWER($F63&amp;"")="subscription",LOWER($F63&amp;"")="membership"),"",IF(LOWER($L63&amp;"")="yes",0,IF($K63&lt;&gt;"",$K63,IF($O63&lt;&gt;"",$O63,"")))))</x:f>
      </x:c>
      <x:c r="Q63" s="114" t="str">
        <x:f>IF(COUNTA($A63:$M63)=0,"",IF(OR($U63="Subscription",$U63=""),"",IF($U63="Profit",ROUND(IFERROR($P63,0)-IFERROR($H63,0),2),0)))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IF(COUNTA($A63:$M63)=0,"",IF(OR(LOWER($F63&amp;"")="subscription",LOWER($F63&amp;"")="membership"),"Subscription",IF(OR(AND($H63&lt;&gt;"",$H63=0),LOWER($F63&amp;"")="free game",LOWER($F63&amp;"")="free",LOWER($F63&amp;"")="free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IF(COUNTA($A63:$M63)=0,"",IF(OR($U63="Subscription",$U63=""),"",IF(OR($U63="Free Game",$U63="Disqualified — Free Game"),0,ROUND(IFERROR($Q63,0)-IFERROR($S63,0),2))))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455"/>
      <x:c r="H64" s="455"/>
      <x:c r="I64" s="456"/>
      <x:c r="J64" s="456"/>
      <x:c r="K64" s="455"/>
      <x:c r="L64" s="454"/>
      <x:c r="M64" s="439"/>
      <x:c r="N64" s="114" t="str">
        <x:f>IF(COUNTA($A64:$M64)=0,"",IF(OR(LOWER($F64&amp;"")="subscription",LOWER($F64&amp;"")="membership"),"",IF($G64="","",IF(ISNUMBER(SEARCH("non",LOWER($E64&amp;""))),$G64*0.85,$G64))))</x:f>
      </x:c>
      <x:c r="O64" s="114" t="str">
        <x:f>IF(COUNTA($A64:$M64)=0,"",IF(OR(LOWER($F64&amp;"")="subscription",LOWER($F64&amp;"")="membership"),"",IF(OR($N64="",$I64="",$I64=0),"",IFERROR($N64/$I64,""))))</x:f>
      </x:c>
      <x:c r="P64" s="114" t="str">
        <x:f>IF(COUNTA($A64:$M64)=0,"",IF(OR(LOWER($F64&amp;"")="subscription",LOWER($F64&amp;"")="membership"),"",IF(LOWER($L64&amp;"")="yes",0,IF($K64&lt;&gt;"",$K64,IF($O64&lt;&gt;"",$O64,"")))))</x:f>
      </x:c>
      <x:c r="Q64" s="114" t="str">
        <x:f>IF(COUNTA($A64:$M64)=0,"",IF(OR($U64="Subscription",$U64=""),"",IF($U64="Profit",ROUND(IFERROR($P64,0)-IFERROR($H64,0),2),0)))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IF(COUNTA($A64:$M64)=0,"",IF(OR(LOWER($F64&amp;"")="subscription",LOWER($F64&amp;"")="membership"),"Subscription",IF(OR(AND($H64&lt;&gt;"",$H64=0),LOWER($F64&amp;"")="free game",LOWER($F64&amp;"")="free",LOWER($F64&amp;"")="free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IF(COUNTA($A64:$M64)=0,"",IF(OR($U64="Subscription",$U64=""),"",IF(OR($U64="Free Game",$U64="Disqualified — Free Game"),0,ROUND(IFERROR($Q64,0)-IFERROR($S64,0),2))))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455"/>
      <x:c r="H65" s="455"/>
      <x:c r="I65" s="456"/>
      <x:c r="J65" s="456"/>
      <x:c r="K65" s="455"/>
      <x:c r="L65" s="454"/>
      <x:c r="M65" s="439"/>
      <x:c r="N65" s="114" t="str">
        <x:f>IF(COUNTA($A65:$M65)=0,"",IF(OR(LOWER($F65&amp;"")="subscription",LOWER($F65&amp;"")="membership"),"",IF($G65="","",IF(ISNUMBER(SEARCH("non",LOWER($E65&amp;""))),$G65*0.85,$G65))))</x:f>
      </x:c>
      <x:c r="O65" s="114" t="str">
        <x:f>IF(COUNTA($A65:$M65)=0,"",IF(OR(LOWER($F65&amp;"")="subscription",LOWER($F65&amp;"")="membership"),"",IF(OR($N65="",$I65="",$I65=0),"",IFERROR($N65/$I65,""))))</x:f>
      </x:c>
      <x:c r="P65" s="114" t="str">
        <x:f>IF(COUNTA($A65:$M65)=0,"",IF(OR(LOWER($F65&amp;"")="subscription",LOWER($F65&amp;"")="membership"),"",IF(LOWER($L65&amp;"")="yes",0,IF($K65&lt;&gt;"",$K65,IF($O65&lt;&gt;"",$O65,"")))))</x:f>
      </x:c>
      <x:c r="Q65" s="114" t="str">
        <x:f>IF(COUNTA($A65:$M65)=0,"",IF(OR($U65="Subscription",$U65=""),"",IF($U65="Profit",ROUND(IFERROR($P65,0)-IFERROR($H65,0),2),0)))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IF(COUNTA($A65:$M65)=0,"",IF(OR(LOWER($F65&amp;"")="subscription",LOWER($F65&amp;"")="membership"),"Subscription",IF(OR(AND($H65&lt;&gt;"",$H65=0),LOWER($F65&amp;"")="free game",LOWER($F65&amp;"")="free",LOWER($F65&amp;"")="free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IF(COUNTA($A65:$M65)=0,"",IF(OR($U65="Subscription",$U65=""),"",IF(OR($U65="Free Game",$U65="Disqualified — Free Game"),0,ROUND(IFERROR($Q65,0)-IFERROR($S65,0),2))))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455"/>
      <x:c r="H66" s="455"/>
      <x:c r="I66" s="456"/>
      <x:c r="J66" s="456"/>
      <x:c r="K66" s="455"/>
      <x:c r="L66" s="454"/>
      <x:c r="M66" s="439"/>
      <x:c r="N66" s="114" t="str">
        <x:f>IF(COUNTA($A66:$M66)=0,"",IF(OR(LOWER($F66&amp;"")="subscription",LOWER($F66&amp;"")="membership"),"",IF($G66="","",IF(ISNUMBER(SEARCH("non",LOWER($E66&amp;""))),$G66*0.85,$G66))))</x:f>
      </x:c>
      <x:c r="O66" s="114" t="str">
        <x:f>IF(COUNTA($A66:$M66)=0,"",IF(OR(LOWER($F66&amp;"")="subscription",LOWER($F66&amp;"")="membership"),"",IF(OR($N66="",$I66="",$I66=0),"",IFERROR($N66/$I66,""))))</x:f>
      </x:c>
      <x:c r="P66" s="114" t="str">
        <x:f>IF(COUNTA($A66:$M66)=0,"",IF(OR(LOWER($F66&amp;"")="subscription",LOWER($F66&amp;"")="membership"),"",IF(LOWER($L66&amp;"")="yes",0,IF($K66&lt;&gt;"",$K66,IF($O66&lt;&gt;"",$O66,"")))))</x:f>
      </x:c>
      <x:c r="Q66" s="114" t="str">
        <x:f>IF(COUNTA($A66:$M66)=0,"",IF(OR($U66="Subscription",$U66=""),"",IF($U66="Profit",ROUND(IFERROR($P66,0)-IFERROR($H66,0),2),0)))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IF(COUNTA($A66:$M66)=0,"",IF(OR(LOWER($F66&amp;"")="subscription",LOWER($F66&amp;"")="membership"),"Subscription",IF(OR(AND($H66&lt;&gt;"",$H66=0),LOWER($F66&amp;"")="free game",LOWER($F66&amp;"")="free",LOWER($F66&amp;"")="free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IF(COUNTA($A66:$M66)=0,"",IF(OR($U66="Subscription",$U66=""),"",IF(OR($U66="Free Game",$U66="Disqualified — Free Game"),0,ROUND(IFERROR($Q66,0)-IFERROR($S66,0),2))))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455"/>
      <x:c r="H67" s="455"/>
      <x:c r="I67" s="456"/>
      <x:c r="J67" s="456"/>
      <x:c r="K67" s="455"/>
      <x:c r="L67" s="454"/>
      <x:c r="M67" s="439"/>
      <x:c r="N67" s="114" t="str">
        <x:f>IF(COUNTA($A67:$M67)=0,"",IF(OR(LOWER($F67&amp;"")="subscription",LOWER($F67&amp;"")="membership"),"",IF($G67="","",IF(ISNUMBER(SEARCH("non",LOWER($E67&amp;""))),$G67*0.85,$G67))))</x:f>
      </x:c>
      <x:c r="O67" s="114" t="str">
        <x:f>IF(COUNTA($A67:$M67)=0,"",IF(OR(LOWER($F67&amp;"")="subscription",LOWER($F67&amp;"")="membership"),"",IF(OR($N67="",$I67="",$I67=0),"",IFERROR($N67/$I67,""))))</x:f>
      </x:c>
      <x:c r="P67" s="114" t="str">
        <x:f>IF(COUNTA($A67:$M67)=0,"",IF(OR(LOWER($F67&amp;"")="subscription",LOWER($F67&amp;"")="membership"),"",IF(LOWER($L67&amp;"")="yes",0,IF($K67&lt;&gt;"",$K67,IF($O67&lt;&gt;"",$O67,"")))))</x:f>
      </x:c>
      <x:c r="Q67" s="114" t="str">
        <x:f>IF(COUNTA($A67:$M67)=0,"",IF(OR($U67="Subscription",$U67=""),"",IF($U67="Profit",ROUND(IFERROR($P67,0)-IFERROR($H67,0),2),0)))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IF(COUNTA($A67:$M67)=0,"",IF(OR(LOWER($F67&amp;"")="subscription",LOWER($F67&amp;"")="membership"),"Subscription",IF(OR(AND($H67&lt;&gt;"",$H67=0),LOWER($F67&amp;"")="free game",LOWER($F67&amp;"")="free",LOWER($F67&amp;"")="free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IF(COUNTA($A67:$M67)=0,"",IF(OR($U67="Subscription",$U67=""),"",IF(OR($U67="Free Game",$U67="Disqualified — Free Game"),0,ROUND(IFERROR($Q67,0)-IFERROR($S67,0),2))))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455"/>
      <x:c r="H68" s="455"/>
      <x:c r="I68" s="456"/>
      <x:c r="J68" s="456"/>
      <x:c r="K68" s="455"/>
      <x:c r="L68" s="454"/>
      <x:c r="M68" s="439"/>
      <x:c r="N68" s="114" t="str">
        <x:f>IF(COUNTA($A68:$M68)=0,"",IF(OR(LOWER($F68&amp;"")="subscription",LOWER($F68&amp;"")="membership"),"",IF($G68="","",IF(ISNUMBER(SEARCH("non",LOWER($E68&amp;""))),$G68*0.85,$G68))))</x:f>
      </x:c>
      <x:c r="O68" s="114" t="str">
        <x:f>IF(COUNTA($A68:$M68)=0,"",IF(OR(LOWER($F68&amp;"")="subscription",LOWER($F68&amp;"")="membership"),"",IF(OR($N68="",$I68="",$I68=0),"",IFERROR($N68/$I68,""))))</x:f>
      </x:c>
      <x:c r="P68" s="114" t="str">
        <x:f>IF(COUNTA($A68:$M68)=0,"",IF(OR(LOWER($F68&amp;"")="subscription",LOWER($F68&amp;"")="membership"),"",IF(LOWER($L68&amp;"")="yes",0,IF($K68&lt;&gt;"",$K68,IF($O68&lt;&gt;"",$O68,"")))))</x:f>
      </x:c>
      <x:c r="Q68" s="114" t="str">
        <x:f>IF(COUNTA($A68:$M68)=0,"",IF(OR($U68="Subscription",$U68=""),"",IF($U68="Profit",ROUND(IFERROR($P68,0)-IFERROR($H68,0),2),0)))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IF(COUNTA($A68:$M68)=0,"",IF(OR(LOWER($F68&amp;"")="subscription",LOWER($F68&amp;"")="membership"),"Subscription",IF(OR(AND($H68&lt;&gt;"",$H68=0),LOWER($F68&amp;"")="free game",LOWER($F68&amp;"")="free",LOWER($F68&amp;"")="free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IF(COUNTA($A68:$M68)=0,"",IF(OR($U68="Subscription",$U68=""),"",IF(OR($U68="Free Game",$U68="Disqualified — Free Game"),0,ROUND(IFERROR($Q68,0)-IFERROR($S68,0),2))))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455"/>
      <x:c r="H69" s="455"/>
      <x:c r="I69" s="456"/>
      <x:c r="J69" s="456"/>
      <x:c r="K69" s="455"/>
      <x:c r="L69" s="454"/>
      <x:c r="M69" s="439"/>
      <x:c r="N69" s="114" t="str">
        <x:f>IF(COUNTA($A69:$M69)=0,"",IF(OR(LOWER($F69&amp;"")="subscription",LOWER($F69&amp;"")="membership"),"",IF($G69="","",IF(ISNUMBER(SEARCH("non",LOWER($E69&amp;""))),$G69*0.85,$G69))))</x:f>
      </x:c>
      <x:c r="O69" s="114" t="str">
        <x:f>IF(COUNTA($A69:$M69)=0,"",IF(OR(LOWER($F69&amp;"")="subscription",LOWER($F69&amp;"")="membership"),"",IF(OR($N69="",$I69="",$I69=0),"",IFERROR($N69/$I69,""))))</x:f>
      </x:c>
      <x:c r="P69" s="114" t="str">
        <x:f>IF(COUNTA($A69:$M69)=0,"",IF(OR(LOWER($F69&amp;"")="subscription",LOWER($F69&amp;"")="membership"),"",IF(LOWER($L69&amp;"")="yes",0,IF($K69&lt;&gt;"",$K69,IF($O69&lt;&gt;"",$O69,"")))))</x:f>
      </x:c>
      <x:c r="Q69" s="114" t="str">
        <x:f>IF(COUNTA($A69:$M69)=0,"",IF(OR($U69="Subscription",$U69=""),"",IF($U69="Profit",ROUND(IFERROR($P69,0)-IFERROR($H69,0),2),0)))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IF(COUNTA($A69:$M69)=0,"",IF(OR(LOWER($F69&amp;"")="subscription",LOWER($F69&amp;"")="membership"),"Subscription",IF(OR(AND($H69&lt;&gt;"",$H69=0),LOWER($F69&amp;"")="free game",LOWER($F69&amp;"")="free",LOWER($F69&amp;"")="free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IF(COUNTA($A69:$M69)=0,"",IF(OR($U69="Subscription",$U69=""),"",IF(OR($U69="Free Game",$U69="Disqualified — Free Game"),0,ROUND(IFERROR($Q69,0)-IFERROR($S69,0),2))))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455"/>
      <x:c r="H70" s="455"/>
      <x:c r="I70" s="456"/>
      <x:c r="J70" s="456"/>
      <x:c r="K70" s="455"/>
      <x:c r="L70" s="454"/>
      <x:c r="M70" s="439"/>
      <x:c r="N70" s="114" t="str">
        <x:f>IF(COUNTA($A70:$M70)=0,"",IF(OR(LOWER($F70&amp;"")="subscription",LOWER($F70&amp;"")="membership"),"",IF($G70="","",IF(ISNUMBER(SEARCH("non",LOWER($E70&amp;""))),$G70*0.85,$G70))))</x:f>
      </x:c>
      <x:c r="O70" s="114" t="str">
        <x:f>IF(COUNTA($A70:$M70)=0,"",IF(OR(LOWER($F70&amp;"")="subscription",LOWER($F70&amp;"")="membership"),"",IF(OR($N70="",$I70="",$I70=0),"",IFERROR($N70/$I70,""))))</x:f>
      </x:c>
      <x:c r="P70" s="114" t="str">
        <x:f>IF(COUNTA($A70:$M70)=0,"",IF(OR(LOWER($F70&amp;"")="subscription",LOWER($F70&amp;"")="membership"),"",IF(LOWER($L70&amp;"")="yes",0,IF($K70&lt;&gt;"",$K70,IF($O70&lt;&gt;"",$O70,"")))))</x:f>
      </x:c>
      <x:c r="Q70" s="114" t="str">
        <x:f>IF(COUNTA($A70:$M70)=0,"",IF(OR($U70="Subscription",$U70=""),"",IF($U70="Profit",ROUND(IFERROR($P70,0)-IFERROR($H70,0),2),0)))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IF(COUNTA($A70:$M70)=0,"",IF(OR(LOWER($F70&amp;"")="subscription",LOWER($F70&amp;"")="membership"),"Subscription",IF(OR(AND($H70&lt;&gt;"",$H70=0),LOWER($F70&amp;"")="free game",LOWER($F70&amp;"")="free",LOWER($F70&amp;"")="free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IF(COUNTA($A70:$M70)=0,"",IF(OR($U70="Subscription",$U70=""),"",IF(OR($U70="Free Game",$U70="Disqualified — Free Game"),0,ROUND(IFERROR($Q70,0)-IFERROR($S70,0),2))))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455"/>
      <x:c r="H71" s="455"/>
      <x:c r="I71" s="456"/>
      <x:c r="J71" s="456"/>
      <x:c r="K71" s="455"/>
      <x:c r="L71" s="454"/>
      <x:c r="M71" s="439"/>
      <x:c r="N71" s="114" t="str">
        <x:f>IF(COUNTA($A71:$M71)=0,"",IF(OR(LOWER($F71&amp;"")="subscription",LOWER($F71&amp;"")="membership"),"",IF($G71="","",IF(ISNUMBER(SEARCH("non",LOWER($E71&amp;""))),$G71*0.85,$G71))))</x:f>
      </x:c>
      <x:c r="O71" s="114" t="str">
        <x:f>IF(COUNTA($A71:$M71)=0,"",IF(OR(LOWER($F71&amp;"")="subscription",LOWER($F71&amp;"")="membership"),"",IF(OR($N71="",$I71="",$I71=0),"",IFERROR($N71/$I71,""))))</x:f>
      </x:c>
      <x:c r="P71" s="114" t="str">
        <x:f>IF(COUNTA($A71:$M71)=0,"",IF(OR(LOWER($F71&amp;"")="subscription",LOWER($F71&amp;"")="membership"),"",IF(LOWER($L71&amp;"")="yes",0,IF($K71&lt;&gt;"",$K71,IF($O71&lt;&gt;"",$O71,"")))))</x:f>
      </x:c>
      <x:c r="Q71" s="114" t="str">
        <x:f>IF(COUNTA($A71:$M71)=0,"",IF(OR($U71="Subscription",$U71=""),"",IF($U71="Profit",ROUND(IFERROR($P71,0)-IFERROR($H71,0),2),0)))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IF(COUNTA($A71:$M71)=0,"",IF(OR(LOWER($F71&amp;"")="subscription",LOWER($F71&amp;"")="membership"),"Subscription",IF(OR(AND($H71&lt;&gt;"",$H71=0),LOWER($F71&amp;"")="free game",LOWER($F71&amp;"")="free",LOWER($F71&amp;"")="free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IF(COUNTA($A71:$M71)=0,"",IF(OR($U71="Subscription",$U71=""),"",IF(OR($U71="Free Game",$U71="Disqualified — Free Game"),0,ROUND(IFERROR($Q71,0)-IFERROR($S71,0),2))))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455"/>
      <x:c r="H72" s="455"/>
      <x:c r="I72" s="456"/>
      <x:c r="J72" s="456"/>
      <x:c r="K72" s="455"/>
      <x:c r="L72" s="454"/>
      <x:c r="M72" s="439"/>
      <x:c r="N72" s="114" t="str">
        <x:f>IF(COUNTA($A72:$M72)=0,"",IF(OR(LOWER($F72&amp;"")="subscription",LOWER($F72&amp;"")="membership"),"",IF($G72="","",IF(ISNUMBER(SEARCH("non",LOWER($E72&amp;""))),$G72*0.85,$G72))))</x:f>
      </x:c>
      <x:c r="O72" s="114" t="str">
        <x:f>IF(COUNTA($A72:$M72)=0,"",IF(OR(LOWER($F72&amp;"")="subscription",LOWER($F72&amp;"")="membership"),"",IF(OR($N72="",$I72="",$I72=0),"",IFERROR($N72/$I72,""))))</x:f>
      </x:c>
      <x:c r="P72" s="114" t="str">
        <x:f>IF(COUNTA($A72:$M72)=0,"",IF(OR(LOWER($F72&amp;"")="subscription",LOWER($F72&amp;"")="membership"),"",IF(LOWER($L72&amp;"")="yes",0,IF($K72&lt;&gt;"",$K72,IF($O72&lt;&gt;"",$O72,"")))))</x:f>
      </x:c>
      <x:c r="Q72" s="114" t="str">
        <x:f>IF(COUNTA($A72:$M72)=0,"",IF(OR($U72="Subscription",$U72=""),"",IF($U72="Profit",ROUND(IFERROR($P72,0)-IFERROR($H72,0),2),0)))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IF(COUNTA($A72:$M72)=0,"",IF(OR(LOWER($F72&amp;"")="subscription",LOWER($F72&amp;"")="membership"),"Subscription",IF(OR(AND($H72&lt;&gt;"",$H72=0),LOWER($F72&amp;"")="free game",LOWER($F72&amp;"")="free",LOWER($F72&amp;"")="free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IF(COUNTA($A72:$M72)=0,"",IF(OR($U72="Subscription",$U72=""),"",IF(OR($U72="Free Game",$U72="Disqualified — Free Game"),0,ROUND(IFERROR($Q72,0)-IFERROR($S72,0),2))))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455"/>
      <x:c r="H73" s="455"/>
      <x:c r="I73" s="456"/>
      <x:c r="J73" s="456"/>
      <x:c r="K73" s="455"/>
      <x:c r="L73" s="454"/>
      <x:c r="M73" s="439"/>
      <x:c r="N73" s="114" t="str">
        <x:f>IF(COUNTA($A73:$M73)=0,"",IF(OR(LOWER($F73&amp;"")="subscription",LOWER($F73&amp;"")="membership"),"",IF($G73="","",IF(ISNUMBER(SEARCH("non",LOWER($E73&amp;""))),$G73*0.85,$G73))))</x:f>
      </x:c>
      <x:c r="O73" s="114" t="str">
        <x:f>IF(COUNTA($A73:$M73)=0,"",IF(OR(LOWER($F73&amp;"")="subscription",LOWER($F73&amp;"")="membership"),"",IF(OR($N73="",$I73="",$I73=0),"",IFERROR($N73/$I73,""))))</x:f>
      </x:c>
      <x:c r="P73" s="114" t="str">
        <x:f>IF(COUNTA($A73:$M73)=0,"",IF(OR(LOWER($F73&amp;"")="subscription",LOWER($F73&amp;"")="membership"),"",IF(LOWER($L73&amp;"")="yes",0,IF($K73&lt;&gt;"",$K73,IF($O73&lt;&gt;"",$O73,"")))))</x:f>
      </x:c>
      <x:c r="Q73" s="114" t="str">
        <x:f>IF(COUNTA($A73:$M73)=0,"",IF(OR($U73="Subscription",$U73=""),"",IF($U73="Profit",ROUND(IFERROR($P73,0)-IFERROR($H73,0),2),0)))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IF(COUNTA($A73:$M73)=0,"",IF(OR(LOWER($F73&amp;"")="subscription",LOWER($F73&amp;"")="membership"),"Subscription",IF(OR(AND($H73&lt;&gt;"",$H73=0),LOWER($F73&amp;"")="free game",LOWER($F73&amp;"")="free",LOWER($F73&amp;"")="free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IF(COUNTA($A73:$M73)=0,"",IF(OR($U73="Subscription",$U73=""),"",IF(OR($U73="Free Game",$U73="Disqualified — Free Game"),0,ROUND(IFERROR($Q73,0)-IFERROR($S73,0),2))))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455"/>
      <x:c r="H74" s="455"/>
      <x:c r="I74" s="456"/>
      <x:c r="J74" s="456"/>
      <x:c r="K74" s="455"/>
      <x:c r="L74" s="454"/>
      <x:c r="M74" s="439"/>
      <x:c r="N74" s="114" t="str">
        <x:f>IF(COUNTA($A74:$M74)=0,"",IF(OR(LOWER($F74&amp;"")="subscription",LOWER($F74&amp;"")="membership"),"",IF($G74="","",IF(ISNUMBER(SEARCH("non",LOWER($E74&amp;""))),$G74*0.85,$G74))))</x:f>
      </x:c>
      <x:c r="O74" s="114" t="str">
        <x:f>IF(COUNTA($A74:$M74)=0,"",IF(OR(LOWER($F74&amp;"")="subscription",LOWER($F74&amp;"")="membership"),"",IF(OR($N74="",$I74="",$I74=0),"",IFERROR($N74/$I74,""))))</x:f>
      </x:c>
      <x:c r="P74" s="114" t="str">
        <x:f>IF(COUNTA($A74:$M74)=0,"",IF(OR(LOWER($F74&amp;"")="subscription",LOWER($F74&amp;"")="membership"),"",IF(LOWER($L74&amp;"")="yes",0,IF($K74&lt;&gt;"",$K74,IF($O74&lt;&gt;"",$O74,"")))))</x:f>
      </x:c>
      <x:c r="Q74" s="114" t="str">
        <x:f>IF(COUNTA($A74:$M74)=0,"",IF(OR($U74="Subscription",$U74=""),"",IF($U74="Profit",ROUND(IFERROR($P74,0)-IFERROR($H74,0),2),0)))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IF(COUNTA($A74:$M74)=0,"",IF(OR(LOWER($F74&amp;"")="subscription",LOWER($F74&amp;"")="membership"),"Subscription",IF(OR(AND($H74&lt;&gt;"",$H74=0),LOWER($F74&amp;"")="free game",LOWER($F74&amp;"")="free",LOWER($F74&amp;"")="free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IF(COUNTA($A74:$M74)=0,"",IF(OR($U74="Subscription",$U74=""),"",IF(OR($U74="Free Game",$U74="Disqualified — Free Game"),0,ROUND(IFERROR($Q74,0)-IFERROR($S74,0),2))))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455"/>
      <x:c r="H75" s="455"/>
      <x:c r="I75" s="456"/>
      <x:c r="J75" s="456"/>
      <x:c r="K75" s="455"/>
      <x:c r="L75" s="454"/>
      <x:c r="M75" s="439"/>
      <x:c r="N75" s="114" t="str">
        <x:f>IF(COUNTA($A75:$M75)=0,"",IF(OR(LOWER($F75&amp;"")="subscription",LOWER($F75&amp;"")="membership"),"",IF($G75="","",IF(ISNUMBER(SEARCH("non",LOWER($E75&amp;""))),$G75*0.85,$G75))))</x:f>
      </x:c>
      <x:c r="O75" s="114" t="str">
        <x:f>IF(COUNTA($A75:$M75)=0,"",IF(OR(LOWER($F75&amp;"")="subscription",LOWER($F75&amp;"")="membership"),"",IF(OR($N75="",$I75="",$I75=0),"",IFERROR($N75/$I75,""))))</x:f>
      </x:c>
      <x:c r="P75" s="114" t="str">
        <x:f>IF(COUNTA($A75:$M75)=0,"",IF(OR(LOWER($F75&amp;"")="subscription",LOWER($F75&amp;"")="membership"),"",IF(LOWER($L75&amp;"")="yes",0,IF($K75&lt;&gt;"",$K75,IF($O75&lt;&gt;"",$O75,"")))))</x:f>
      </x:c>
      <x:c r="Q75" s="114" t="str">
        <x:f>IF(COUNTA($A75:$M75)=0,"",IF(OR($U75="Subscription",$U75=""),"",IF($U75="Profit",ROUND(IFERROR($P75,0)-IFERROR($H75,0),2),0)))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IF(COUNTA($A75:$M75)=0,"",IF(OR(LOWER($F75&amp;"")="subscription",LOWER($F75&amp;"")="membership"),"Subscription",IF(OR(AND($H75&lt;&gt;"",$H75=0),LOWER($F75&amp;"")="free game",LOWER($F75&amp;"")="free",LOWER($F75&amp;"")="free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IF(COUNTA($A75:$M75)=0,"",IF(OR($U75="Subscription",$U75=""),"",IF(OR($U75="Free Game",$U75="Disqualified — Free Game"),0,ROUND(IFERROR($Q75,0)-IFERROR($S75,0),2))))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455"/>
      <x:c r="H76" s="455"/>
      <x:c r="I76" s="456"/>
      <x:c r="J76" s="456"/>
      <x:c r="K76" s="455"/>
      <x:c r="L76" s="454"/>
      <x:c r="M76" s="439"/>
      <x:c r="N76" s="114" t="str">
        <x:f>IF(COUNTA($A76:$M76)=0,"",IF(OR(LOWER($F76&amp;"")="subscription",LOWER($F76&amp;"")="membership"),"",IF($G76="","",IF(ISNUMBER(SEARCH("non",LOWER($E76&amp;""))),$G76*0.85,$G76))))</x:f>
      </x:c>
      <x:c r="O76" s="114" t="str">
        <x:f>IF(COUNTA($A76:$M76)=0,"",IF(OR(LOWER($F76&amp;"")="subscription",LOWER($F76&amp;"")="membership"),"",IF(OR($N76="",$I76="",$I76=0),"",IFERROR($N76/$I76,""))))</x:f>
      </x:c>
      <x:c r="P76" s="114" t="str">
        <x:f>IF(COUNTA($A76:$M76)=0,"",IF(OR(LOWER($F76&amp;"")="subscription",LOWER($F76&amp;"")="membership"),"",IF(LOWER($L76&amp;"")="yes",0,IF($K76&lt;&gt;"",$K76,IF($O76&lt;&gt;"",$O76,"")))))</x:f>
      </x:c>
      <x:c r="Q76" s="114" t="str">
        <x:f>IF(COUNTA($A76:$M76)=0,"",IF(OR($U76="Subscription",$U76=""),"",IF($U76="Profit",ROUND(IFERROR($P76,0)-IFERROR($H76,0),2),0)))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IF(COUNTA($A76:$M76)=0,"",IF(OR(LOWER($F76&amp;"")="subscription",LOWER($F76&amp;"")="membership"),"Subscription",IF(OR(AND($H76&lt;&gt;"",$H76=0),LOWER($F76&amp;"")="free game",LOWER($F76&amp;"")="free",LOWER($F76&amp;"")="free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IF(COUNTA($A76:$M76)=0,"",IF(OR($U76="Subscription",$U76=""),"",IF(OR($U76="Free Game",$U76="Disqualified — Free Game"),0,ROUND(IFERROR($Q76,0)-IFERROR($S76,0),2))))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455"/>
      <x:c r="H77" s="455"/>
      <x:c r="I77" s="456"/>
      <x:c r="J77" s="456"/>
      <x:c r="K77" s="455"/>
      <x:c r="L77" s="454"/>
      <x:c r="M77" s="439"/>
      <x:c r="N77" s="114" t="str">
        <x:f>IF(COUNTA($A77:$M77)=0,"",IF(OR(LOWER($F77&amp;"")="subscription",LOWER($F77&amp;"")="membership"),"",IF($G77="","",IF(ISNUMBER(SEARCH("non",LOWER($E77&amp;""))),$G77*0.85,$G77))))</x:f>
      </x:c>
      <x:c r="O77" s="114" t="str">
        <x:f>IF(COUNTA($A77:$M77)=0,"",IF(OR(LOWER($F77&amp;"")="subscription",LOWER($F77&amp;"")="membership"),"",IF(OR($N77="",$I77="",$I77=0),"",IFERROR($N77/$I77,""))))</x:f>
      </x:c>
      <x:c r="P77" s="114" t="str">
        <x:f>IF(COUNTA($A77:$M77)=0,"",IF(OR(LOWER($F77&amp;"")="subscription",LOWER($F77&amp;"")="membership"),"",IF(LOWER($L77&amp;"")="yes",0,IF($K77&lt;&gt;"",$K77,IF($O77&lt;&gt;"",$O77,"")))))</x:f>
      </x:c>
      <x:c r="Q77" s="114" t="str">
        <x:f>IF(COUNTA($A77:$M77)=0,"",IF(OR($U77="Subscription",$U77=""),"",IF($U77="Profit",ROUND(IFERROR($P77,0)-IFERROR($H77,0),2),0)))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IF(COUNTA($A77:$M77)=0,"",IF(OR(LOWER($F77&amp;"")="subscription",LOWER($F77&amp;"")="membership"),"Subscription",IF(OR(AND($H77&lt;&gt;"",$H77=0),LOWER($F77&amp;"")="free game",LOWER($F77&amp;"")="free",LOWER($F77&amp;"")="free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IF(COUNTA($A77:$M77)=0,"",IF(OR($U77="Subscription",$U77=""),"",IF(OR($U77="Free Game",$U77="Disqualified — Free Game"),0,ROUND(IFERROR($Q77,0)-IFERROR($S77,0),2))))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455"/>
      <x:c r="H78" s="455"/>
      <x:c r="I78" s="456"/>
      <x:c r="J78" s="456"/>
      <x:c r="K78" s="455"/>
      <x:c r="L78" s="454"/>
      <x:c r="M78" s="439"/>
      <x:c r="N78" s="114" t="str">
        <x:f>IF(COUNTA($A78:$M78)=0,"",IF(OR(LOWER($F78&amp;"")="subscription",LOWER($F78&amp;"")="membership"),"",IF($G78="","",IF(ISNUMBER(SEARCH("non",LOWER($E78&amp;""))),$G78*0.85,$G78))))</x:f>
      </x:c>
      <x:c r="O78" s="114" t="str">
        <x:f>IF(COUNTA($A78:$M78)=0,"",IF(OR(LOWER($F78&amp;"")="subscription",LOWER($F78&amp;"")="membership"),"",IF(OR($N78="",$I78="",$I78=0),"",IFERROR($N78/$I78,""))))</x:f>
      </x:c>
      <x:c r="P78" s="114" t="str">
        <x:f>IF(COUNTA($A78:$M78)=0,"",IF(OR(LOWER($F78&amp;"")="subscription",LOWER($F78&amp;"")="membership"),"",IF(LOWER($L78&amp;"")="yes",0,IF($K78&lt;&gt;"",$K78,IF($O78&lt;&gt;"",$O78,"")))))</x:f>
      </x:c>
      <x:c r="Q78" s="114" t="str">
        <x:f>IF(COUNTA($A78:$M78)=0,"",IF(OR($U78="Subscription",$U78=""),"",IF($U78="Profit",ROUND(IFERROR($P78,0)-IFERROR($H78,0),2),0)))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IF(COUNTA($A78:$M78)=0,"",IF(OR(LOWER($F78&amp;"")="subscription",LOWER($F78&amp;"")="membership"),"Subscription",IF(OR(AND($H78&lt;&gt;"",$H78=0),LOWER($F78&amp;"")="free game",LOWER($F78&amp;"")="free",LOWER($F78&amp;"")="free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IF(COUNTA($A78:$M78)=0,"",IF(OR($U78="Subscription",$U78=""),"",IF(OR($U78="Free Game",$U78="Disqualified — Free Game"),0,ROUND(IFERROR($Q78,0)-IFERROR($S78,0),2))))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455"/>
      <x:c r="H79" s="455"/>
      <x:c r="I79" s="456"/>
      <x:c r="J79" s="456"/>
      <x:c r="K79" s="455"/>
      <x:c r="L79" s="454"/>
      <x:c r="M79" s="439"/>
      <x:c r="N79" s="114" t="str">
        <x:f>IF(COUNTA($A79:$M79)=0,"",IF(OR(LOWER($F79&amp;"")="subscription",LOWER($F79&amp;"")="membership"),"",IF($G79="","",IF(ISNUMBER(SEARCH("non",LOWER($E79&amp;""))),$G79*0.85,$G79))))</x:f>
      </x:c>
      <x:c r="O79" s="114" t="str">
        <x:f>IF(COUNTA($A79:$M79)=0,"",IF(OR(LOWER($F79&amp;"")="subscription",LOWER($F79&amp;"")="membership"),"",IF(OR($N79="",$I79="",$I79=0),"",IFERROR($N79/$I79,""))))</x:f>
      </x:c>
      <x:c r="P79" s="114" t="str">
        <x:f>IF(COUNTA($A79:$M79)=0,"",IF(OR(LOWER($F79&amp;"")="subscription",LOWER($F79&amp;"")="membership"),"",IF(LOWER($L79&amp;"")="yes",0,IF($K79&lt;&gt;"",$K79,IF($O79&lt;&gt;"",$O79,"")))))</x:f>
      </x:c>
      <x:c r="Q79" s="114" t="str">
        <x:f>IF(COUNTA($A79:$M79)=0,"",IF(OR($U79="Subscription",$U79=""),"",IF($U79="Profit",ROUND(IFERROR($P79,0)-IFERROR($H79,0),2),0)))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IF(COUNTA($A79:$M79)=0,"",IF(OR(LOWER($F79&amp;"")="subscription",LOWER($F79&amp;"")="membership"),"Subscription",IF(OR(AND($H79&lt;&gt;"",$H79=0),LOWER($F79&amp;"")="free game",LOWER($F79&amp;"")="free",LOWER($F79&amp;"")="free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IF(COUNTA($A79:$M79)=0,"",IF(OR($U79="Subscription",$U79=""),"",IF(OR($U79="Free Game",$U79="Disqualified — Free Game"),0,ROUND(IFERROR($Q79,0)-IFERROR($S79,0),2))))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455"/>
      <x:c r="H80" s="455"/>
      <x:c r="I80" s="456"/>
      <x:c r="J80" s="456"/>
      <x:c r="K80" s="455"/>
      <x:c r="L80" s="454"/>
      <x:c r="M80" s="439"/>
      <x:c r="N80" s="114" t="str">
        <x:f>IF(COUNTA($A80:$M80)=0,"",IF(OR(LOWER($F80&amp;"")="subscription",LOWER($F80&amp;"")="membership"),"",IF($G80="","",IF(ISNUMBER(SEARCH("non",LOWER($E80&amp;""))),$G80*0.85,$G80))))</x:f>
      </x:c>
      <x:c r="O80" s="114" t="str">
        <x:f>IF(COUNTA($A80:$M80)=0,"",IF(OR(LOWER($F80&amp;"")="subscription",LOWER($F80&amp;"")="membership"),"",IF(OR($N80="",$I80="",$I80=0),"",IFERROR($N80/$I80,""))))</x:f>
      </x:c>
      <x:c r="P80" s="114" t="str">
        <x:f>IF(COUNTA($A80:$M80)=0,"",IF(OR(LOWER($F80&amp;"")="subscription",LOWER($F80&amp;"")="membership"),"",IF(LOWER($L80&amp;"")="yes",0,IF($K80&lt;&gt;"",$K80,IF($O80&lt;&gt;"",$O80,"")))))</x:f>
      </x:c>
      <x:c r="Q80" s="114" t="str">
        <x:f>IF(COUNTA($A80:$M80)=0,"",IF(OR($U80="Subscription",$U80=""),"",IF($U80="Profit",ROUND(IFERROR($P80,0)-IFERROR($H80,0),2),0)))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IF(COUNTA($A80:$M80)=0,"",IF(OR(LOWER($F80&amp;"")="subscription",LOWER($F80&amp;"")="membership"),"Subscription",IF(OR(AND($H80&lt;&gt;"",$H80=0),LOWER($F80&amp;"")="free game",LOWER($F80&amp;"")="free",LOWER($F80&amp;"")="free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IF(COUNTA($A80:$M80)=0,"",IF(OR($U80="Subscription",$U80=""),"",IF(OR($U80="Free Game",$U80="Disqualified — Free Game"),0,ROUND(IFERROR($Q80,0)-IFERROR($S80,0),2))))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455"/>
      <x:c r="H81" s="455"/>
      <x:c r="I81" s="456"/>
      <x:c r="J81" s="456"/>
      <x:c r="K81" s="455"/>
      <x:c r="L81" s="454"/>
      <x:c r="M81" s="439"/>
      <x:c r="N81" s="114" t="str">
        <x:f>IF(COUNTA($A81:$M81)=0,"",IF(OR(LOWER($F81&amp;"")="subscription",LOWER($F81&amp;"")="membership"),"",IF($G81="","",IF(ISNUMBER(SEARCH("non",LOWER($E81&amp;""))),$G81*0.85,$G81))))</x:f>
      </x:c>
      <x:c r="O81" s="114" t="str">
        <x:f>IF(COUNTA($A81:$M81)=0,"",IF(OR(LOWER($F81&amp;"")="subscription",LOWER($F81&amp;"")="membership"),"",IF(OR($N81="",$I81="",$I81=0),"",IFERROR($N81/$I81,""))))</x:f>
      </x:c>
      <x:c r="P81" s="114" t="str">
        <x:f>IF(COUNTA($A81:$M81)=0,"",IF(OR(LOWER($F81&amp;"")="subscription",LOWER($F81&amp;"")="membership"),"",IF(LOWER($L81&amp;"")="yes",0,IF($K81&lt;&gt;"",$K81,IF($O81&lt;&gt;"",$O81,"")))))</x:f>
      </x:c>
      <x:c r="Q81" s="114" t="str">
        <x:f>IF(COUNTA($A81:$M81)=0,"",IF(OR($U81="Subscription",$U81=""),"",IF($U81="Profit",ROUND(IFERROR($P81,0)-IFERROR($H81,0),2),0)))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IF(COUNTA($A81:$M81)=0,"",IF(OR(LOWER($F81&amp;"")="subscription",LOWER($F81&amp;"")="membership"),"Subscription",IF(OR(AND($H81&lt;&gt;"",$H81=0),LOWER($F81&amp;"")="free game",LOWER($F81&amp;"")="free",LOWER($F81&amp;"")="free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IF(COUNTA($A81:$M81)=0,"",IF(OR($U81="Subscription",$U81=""),"",IF(OR($U81="Free Game",$U81="Disqualified — Free Game"),0,ROUND(IFERROR($Q81,0)-IFERROR($S81,0),2))))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455"/>
      <x:c r="H82" s="455"/>
      <x:c r="I82" s="456"/>
      <x:c r="J82" s="456"/>
      <x:c r="K82" s="455"/>
      <x:c r="L82" s="454"/>
      <x:c r="M82" s="439"/>
      <x:c r="N82" s="114" t="str">
        <x:f>IF(COUNTA($A82:$M82)=0,"",IF(OR(LOWER($F82&amp;"")="subscription",LOWER($F82&amp;"")="membership"),"",IF($G82="","",IF(ISNUMBER(SEARCH("non",LOWER($E82&amp;""))),$G82*0.85,$G82))))</x:f>
      </x:c>
      <x:c r="O82" s="114" t="str">
        <x:f>IF(COUNTA($A82:$M82)=0,"",IF(OR(LOWER($F82&amp;"")="subscription",LOWER($F82&amp;"")="membership"),"",IF(OR($N82="",$I82="",$I82=0),"",IFERROR($N82/$I82,""))))</x:f>
      </x:c>
      <x:c r="P82" s="114" t="str">
        <x:f>IF(COUNTA($A82:$M82)=0,"",IF(OR(LOWER($F82&amp;"")="subscription",LOWER($F82&amp;"")="membership"),"",IF(LOWER($L82&amp;"")="yes",0,IF($K82&lt;&gt;"",$K82,IF($O82&lt;&gt;"",$O82,"")))))</x:f>
      </x:c>
      <x:c r="Q82" s="114" t="str">
        <x:f>IF(COUNTA($A82:$M82)=0,"",IF(OR($U82="Subscription",$U82=""),"",IF($U82="Profit",ROUND(IFERROR($P82,0)-IFERROR($H82,0),2),0)))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IF(COUNTA($A82:$M82)=0,"",IF(OR(LOWER($F82&amp;"")="subscription",LOWER($F82&amp;"")="membership"),"Subscription",IF(OR(AND($H82&lt;&gt;"",$H82=0),LOWER($F82&amp;"")="free game",LOWER($F82&amp;"")="free",LOWER($F82&amp;"")="free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IF(COUNTA($A82:$M82)=0,"",IF(OR($U82="Subscription",$U82=""),"",IF(OR($U82="Free Game",$U82="Disqualified — Free Game"),0,ROUND(IFERROR($Q82,0)-IFERROR($S82,0),2))))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455"/>
      <x:c r="H83" s="455"/>
      <x:c r="I83" s="456"/>
      <x:c r="J83" s="456"/>
      <x:c r="K83" s="455"/>
      <x:c r="L83" s="454"/>
      <x:c r="M83" s="439"/>
      <x:c r="N83" s="114" t="str">
        <x:f>IF(COUNTA($A83:$M83)=0,"",IF(OR(LOWER($F83&amp;"")="subscription",LOWER($F83&amp;"")="membership"),"",IF($G83="","",IF(ISNUMBER(SEARCH("non",LOWER($E83&amp;""))),$G83*0.85,$G83))))</x:f>
      </x:c>
      <x:c r="O83" s="114" t="str">
        <x:f>IF(COUNTA($A83:$M83)=0,"",IF(OR(LOWER($F83&amp;"")="subscription",LOWER($F83&amp;"")="membership"),"",IF(OR($N83="",$I83="",$I83=0),"",IFERROR($N83/$I83,""))))</x:f>
      </x:c>
      <x:c r="P83" s="114" t="str">
        <x:f>IF(COUNTA($A83:$M83)=0,"",IF(OR(LOWER($F83&amp;"")="subscription",LOWER($F83&amp;"")="membership"),"",IF(LOWER($L83&amp;"")="yes",0,IF($K83&lt;&gt;"",$K83,IF($O83&lt;&gt;"",$O83,"")))))</x:f>
      </x:c>
      <x:c r="Q83" s="114" t="str">
        <x:f>IF(COUNTA($A83:$M83)=0,"",IF(OR($U83="Subscription",$U83=""),"",IF($U83="Profit",ROUND(IFERROR($P83,0)-IFERROR($H83,0),2),0)))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IF(COUNTA($A83:$M83)=0,"",IF(OR(LOWER($F83&amp;"")="subscription",LOWER($F83&amp;"")="membership"),"Subscription",IF(OR(AND($H83&lt;&gt;"",$H83=0),LOWER($F83&amp;"")="free game",LOWER($F83&amp;"")="free",LOWER($F83&amp;"")="free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IF(COUNTA($A83:$M83)=0,"",IF(OR($U83="Subscription",$U83=""),"",IF(OR($U83="Free Game",$U83="Disqualified — Free Game"),0,ROUND(IFERROR($Q83,0)-IFERROR($S83,0),2))))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455"/>
      <x:c r="H84" s="455"/>
      <x:c r="I84" s="456"/>
      <x:c r="J84" s="456"/>
      <x:c r="K84" s="455"/>
      <x:c r="L84" s="454"/>
      <x:c r="M84" s="439"/>
      <x:c r="N84" s="114" t="str">
        <x:f>IF(COUNTA($A84:$M84)=0,"",IF(OR(LOWER($F84&amp;"")="subscription",LOWER($F84&amp;"")="membership"),"",IF($G84="","",IF(ISNUMBER(SEARCH("non",LOWER($E84&amp;""))),$G84*0.85,$G84))))</x:f>
      </x:c>
      <x:c r="O84" s="114" t="str">
        <x:f>IF(COUNTA($A84:$M84)=0,"",IF(OR(LOWER($F84&amp;"")="subscription",LOWER($F84&amp;"")="membership"),"",IF(OR($N84="",$I84="",$I84=0),"",IFERROR($N84/$I84,""))))</x:f>
      </x:c>
      <x:c r="P84" s="114" t="str">
        <x:f>IF(COUNTA($A84:$M84)=0,"",IF(OR(LOWER($F84&amp;"")="subscription",LOWER($F84&amp;"")="membership"),"",IF(LOWER($L84&amp;"")="yes",0,IF($K84&lt;&gt;"",$K84,IF($O84&lt;&gt;"",$O84,"")))))</x:f>
      </x:c>
      <x:c r="Q84" s="114" t="str">
        <x:f>IF(COUNTA($A84:$M84)=0,"",IF(OR($U84="Subscription",$U84=""),"",IF($U84="Profit",ROUND(IFERROR($P84,0)-IFERROR($H84,0),2),0)))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IF(COUNTA($A84:$M84)=0,"",IF(OR(LOWER($F84&amp;"")="subscription",LOWER($F84&amp;"")="membership"),"Subscription",IF(OR(AND($H84&lt;&gt;"",$H84=0),LOWER($F84&amp;"")="free game",LOWER($F84&amp;"")="free",LOWER($F84&amp;"")="free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IF(COUNTA($A84:$M84)=0,"",IF(OR($U84="Subscription",$U84=""),"",IF(OR($U84="Free Game",$U84="Disqualified — Free Game"),0,ROUND(IFERROR($Q84,0)-IFERROR($S84,0),2))))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455"/>
      <x:c r="H85" s="455"/>
      <x:c r="I85" s="456"/>
      <x:c r="J85" s="456"/>
      <x:c r="K85" s="455"/>
      <x:c r="L85" s="454"/>
      <x:c r="M85" s="439"/>
      <x:c r="N85" s="114" t="str">
        <x:f>IF(COUNTA($A85:$M85)=0,"",IF(OR(LOWER($F85&amp;"")="subscription",LOWER($F85&amp;"")="membership"),"",IF($G85="","",IF(ISNUMBER(SEARCH("non",LOWER($E85&amp;""))),$G85*0.85,$G85))))</x:f>
      </x:c>
      <x:c r="O85" s="114" t="str">
        <x:f>IF(COUNTA($A85:$M85)=0,"",IF(OR(LOWER($F85&amp;"")="subscription",LOWER($F85&amp;"")="membership"),"",IF(OR($N85="",$I85="",$I85=0),"",IFERROR($N85/$I85,""))))</x:f>
      </x:c>
      <x:c r="P85" s="114" t="str">
        <x:f>IF(COUNTA($A85:$M85)=0,"",IF(OR(LOWER($F85&amp;"")="subscription",LOWER($F85&amp;"")="membership"),"",IF(LOWER($L85&amp;"")="yes",0,IF($K85&lt;&gt;"",$K85,IF($O85&lt;&gt;"",$O85,"")))))</x:f>
      </x:c>
      <x:c r="Q85" s="114" t="str">
        <x:f>IF(COUNTA($A85:$M85)=0,"",IF(OR($U85="Subscription",$U85=""),"",IF($U85="Profit",ROUND(IFERROR($P85,0)-IFERROR($H85,0),2),0)))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IF(COUNTA($A85:$M85)=0,"",IF(OR(LOWER($F85&amp;"")="subscription",LOWER($F85&amp;"")="membership"),"Subscription",IF(OR(AND($H85&lt;&gt;"",$H85=0),LOWER($F85&amp;"")="free game",LOWER($F85&amp;"")="free",LOWER($F85&amp;"")="free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IF(COUNTA($A85:$M85)=0,"",IF(OR($U85="Subscription",$U85=""),"",IF(OR($U85="Free Game",$U85="Disqualified — Free Game"),0,ROUND(IFERROR($Q85,0)-IFERROR($S85,0),2))))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455"/>
      <x:c r="H86" s="455"/>
      <x:c r="I86" s="456"/>
      <x:c r="J86" s="456"/>
      <x:c r="K86" s="455"/>
      <x:c r="L86" s="454"/>
      <x:c r="M86" s="439"/>
      <x:c r="N86" s="114" t="str">
        <x:f>IF(COUNTA($A86:$M86)=0,"",IF(OR(LOWER($F86&amp;"")="subscription",LOWER($F86&amp;"")="membership"),"",IF($G86="","",IF(ISNUMBER(SEARCH("non",LOWER($E86&amp;""))),$G86*0.85,$G86))))</x:f>
      </x:c>
      <x:c r="O86" s="114" t="str">
        <x:f>IF(COUNTA($A86:$M86)=0,"",IF(OR(LOWER($F86&amp;"")="subscription",LOWER($F86&amp;"")="membership"),"",IF(OR($N86="",$I86="",$I86=0),"",IFERROR($N86/$I86,""))))</x:f>
      </x:c>
      <x:c r="P86" s="114" t="str">
        <x:f>IF(COUNTA($A86:$M86)=0,"",IF(OR(LOWER($F86&amp;"")="subscription",LOWER($F86&amp;"")="membership"),"",IF(LOWER($L86&amp;"")="yes",0,IF($K86&lt;&gt;"",$K86,IF($O86&lt;&gt;"",$O86,"")))))</x:f>
      </x:c>
      <x:c r="Q86" s="114" t="str">
        <x:f>IF(COUNTA($A86:$M86)=0,"",IF(OR($U86="Subscription",$U86=""),"",IF($U86="Profit",ROUND(IFERROR($P86,0)-IFERROR($H86,0),2),0)))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IF(COUNTA($A86:$M86)=0,"",IF(OR(LOWER($F86&amp;"")="subscription",LOWER($F86&amp;"")="membership"),"Subscription",IF(OR(AND($H86&lt;&gt;"",$H86=0),LOWER($F86&amp;"")="free game",LOWER($F86&amp;"")="free",LOWER($F86&amp;"")="free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IF(COUNTA($A86:$M86)=0,"",IF(OR($U86="Subscription",$U86=""),"",IF(OR($U86="Free Game",$U86="Disqualified — Free Game"),0,ROUND(IFERROR($Q86,0)-IFERROR($S86,0),2))))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455"/>
      <x:c r="H87" s="455"/>
      <x:c r="I87" s="456"/>
      <x:c r="J87" s="456"/>
      <x:c r="K87" s="455"/>
      <x:c r="L87" s="454"/>
      <x:c r="M87" s="439"/>
      <x:c r="N87" s="114" t="str">
        <x:f>IF(COUNTA($A87:$M87)=0,"",IF(OR(LOWER($F87&amp;"")="subscription",LOWER($F87&amp;"")="membership"),"",IF($G87="","",IF(ISNUMBER(SEARCH("non",LOWER($E87&amp;""))),$G87*0.85,$G87))))</x:f>
      </x:c>
      <x:c r="O87" s="114" t="str">
        <x:f>IF(COUNTA($A87:$M87)=0,"",IF(OR(LOWER($F87&amp;"")="subscription",LOWER($F87&amp;"")="membership"),"",IF(OR($N87="",$I87="",$I87=0),"",IFERROR($N87/$I87,""))))</x:f>
      </x:c>
      <x:c r="P87" s="114" t="str">
        <x:f>IF(COUNTA($A87:$M87)=0,"",IF(OR(LOWER($F87&amp;"")="subscription",LOWER($F87&amp;"")="membership"),"",IF(LOWER($L87&amp;"")="yes",0,IF($K87&lt;&gt;"",$K87,IF($O87&lt;&gt;"",$O87,"")))))</x:f>
      </x:c>
      <x:c r="Q87" s="114" t="str">
        <x:f>IF(COUNTA($A87:$M87)=0,"",IF(OR($U87="Subscription",$U87=""),"",IF($U87="Profit",ROUND(IFERROR($P87,0)-IFERROR($H87,0),2),0)))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IF(COUNTA($A87:$M87)=0,"",IF(OR(LOWER($F87&amp;"")="subscription",LOWER($F87&amp;"")="membership"),"Subscription",IF(OR(AND($H87&lt;&gt;"",$H87=0),LOWER($F87&amp;"")="free game",LOWER($F87&amp;"")="free",LOWER($F87&amp;"")="free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IF(COUNTA($A87:$M87)=0,"",IF(OR($U87="Subscription",$U87=""),"",IF(OR($U87="Free Game",$U87="Disqualified — Free Game"),0,ROUND(IFERROR($Q87,0)-IFERROR($S87,0),2))))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455"/>
      <x:c r="H88" s="455"/>
      <x:c r="I88" s="456"/>
      <x:c r="J88" s="456"/>
      <x:c r="K88" s="455"/>
      <x:c r="L88" s="454"/>
      <x:c r="M88" s="439"/>
      <x:c r="N88" s="114" t="str">
        <x:f>IF(COUNTA($A88:$M88)=0,"",IF(OR(LOWER($F88&amp;"")="subscription",LOWER($F88&amp;"")="membership"),"",IF($G88="","",IF(ISNUMBER(SEARCH("non",LOWER($E88&amp;""))),$G88*0.85,$G88))))</x:f>
      </x:c>
      <x:c r="O88" s="114" t="str">
        <x:f>IF(COUNTA($A88:$M88)=0,"",IF(OR(LOWER($F88&amp;"")="subscription",LOWER($F88&amp;"")="membership"),"",IF(OR($N88="",$I88="",$I88=0),"",IFERROR($N88/$I88,""))))</x:f>
      </x:c>
      <x:c r="P88" s="114" t="str">
        <x:f>IF(COUNTA($A88:$M88)=0,"",IF(OR(LOWER($F88&amp;"")="subscription",LOWER($F88&amp;"")="membership"),"",IF(LOWER($L88&amp;"")="yes",0,IF($K88&lt;&gt;"",$K88,IF($O88&lt;&gt;"",$O88,"")))))</x:f>
      </x:c>
      <x:c r="Q88" s="114" t="str">
        <x:f>IF(COUNTA($A88:$M88)=0,"",IF(OR($U88="Subscription",$U88=""),"",IF($U88="Profit",ROUND(IFERROR($P88,0)-IFERROR($H88,0),2),0)))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IF(COUNTA($A88:$M88)=0,"",IF(OR(LOWER($F88&amp;"")="subscription",LOWER($F88&amp;"")="membership"),"Subscription",IF(OR(AND($H88&lt;&gt;"",$H88=0),LOWER($F88&amp;"")="free game",LOWER($F88&amp;"")="free",LOWER($F88&amp;"")="free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IF(COUNTA($A88:$M88)=0,"",IF(OR($U88="Subscription",$U88=""),"",IF(OR($U88="Free Game",$U88="Disqualified — Free Game"),0,ROUND(IFERROR($Q88,0)-IFERROR($S88,0),2))))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455"/>
      <x:c r="H89" s="455"/>
      <x:c r="I89" s="456"/>
      <x:c r="J89" s="456"/>
      <x:c r="K89" s="455"/>
      <x:c r="L89" s="454"/>
      <x:c r="M89" s="439"/>
      <x:c r="N89" s="114" t="str">
        <x:f>IF(COUNTA($A89:$M89)=0,"",IF(OR(LOWER($F89&amp;"")="subscription",LOWER($F89&amp;"")="membership"),"",IF($G89="","",IF(ISNUMBER(SEARCH("non",LOWER($E89&amp;""))),$G89*0.85,$G89))))</x:f>
      </x:c>
      <x:c r="O89" s="114" t="str">
        <x:f>IF(COUNTA($A89:$M89)=0,"",IF(OR(LOWER($F89&amp;"")="subscription",LOWER($F89&amp;"")="membership"),"",IF(OR($N89="",$I89="",$I89=0),"",IFERROR($N89/$I89,""))))</x:f>
      </x:c>
      <x:c r="P89" s="114" t="str">
        <x:f>IF(COUNTA($A89:$M89)=0,"",IF(OR(LOWER($F89&amp;"")="subscription",LOWER($F89&amp;"")="membership"),"",IF(LOWER($L89&amp;"")="yes",0,IF($K89&lt;&gt;"",$K89,IF($O89&lt;&gt;"",$O89,"")))))</x:f>
      </x:c>
      <x:c r="Q89" s="114" t="str">
        <x:f>IF(COUNTA($A89:$M89)=0,"",IF(OR($U89="Subscription",$U89=""),"",IF($U89="Profit",ROUND(IFERROR($P89,0)-IFERROR($H89,0),2),0)))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IF(COUNTA($A89:$M89)=0,"",IF(OR(LOWER($F89&amp;"")="subscription",LOWER($F89&amp;"")="membership"),"Subscription",IF(OR(AND($H89&lt;&gt;"",$H89=0),LOWER($F89&amp;"")="free game",LOWER($F89&amp;"")="free",LOWER($F89&amp;"")="free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IF(COUNTA($A89:$M89)=0,"",IF(OR($U89="Subscription",$U89=""),"",IF(OR($U89="Free Game",$U89="Disqualified — Free Game"),0,ROUND(IFERROR($Q89,0)-IFERROR($S89,0),2))))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455"/>
      <x:c r="H90" s="455"/>
      <x:c r="I90" s="456"/>
      <x:c r="J90" s="456"/>
      <x:c r="K90" s="455"/>
      <x:c r="L90" s="454"/>
      <x:c r="M90" s="439"/>
      <x:c r="N90" s="114" t="str">
        <x:f>IF(COUNTA($A90:$M90)=0,"",IF(OR(LOWER($F90&amp;"")="subscription",LOWER($F90&amp;"")="membership"),"",IF($G90="","",IF(ISNUMBER(SEARCH("non",LOWER($E90&amp;""))),$G90*0.85,$G90))))</x:f>
      </x:c>
      <x:c r="O90" s="114" t="str">
        <x:f>IF(COUNTA($A90:$M90)=0,"",IF(OR(LOWER($F90&amp;"")="subscription",LOWER($F90&amp;"")="membership"),"",IF(OR($N90="",$I90="",$I90=0),"",IFERROR($N90/$I90,""))))</x:f>
      </x:c>
      <x:c r="P90" s="114" t="str">
        <x:f>IF(COUNTA($A90:$M90)=0,"",IF(OR(LOWER($F90&amp;"")="subscription",LOWER($F90&amp;"")="membership"),"",IF(LOWER($L90&amp;"")="yes",0,IF($K90&lt;&gt;"",$K90,IF($O90&lt;&gt;"",$O90,"")))))</x:f>
      </x:c>
      <x:c r="Q90" s="114" t="str">
        <x:f>IF(COUNTA($A90:$M90)=0,"",IF(OR($U90="Subscription",$U90=""),"",IF($U90="Profit",ROUND(IFERROR($P90,0)-IFERROR($H90,0),2),0)))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IF(COUNTA($A90:$M90)=0,"",IF(OR(LOWER($F90&amp;"")="subscription",LOWER($F90&amp;"")="membership"),"Subscription",IF(OR(AND($H90&lt;&gt;"",$H90=0),LOWER($F90&amp;"")="free game",LOWER($F90&amp;"")="free",LOWER($F90&amp;"")="free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IF(COUNTA($A90:$M90)=0,"",IF(OR($U90="Subscription",$U90=""),"",IF(OR($U90="Free Game",$U90="Disqualified — Free Game"),0,ROUND(IFERROR($Q90,0)-IFERROR($S90,0),2))))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455"/>
      <x:c r="H91" s="455"/>
      <x:c r="I91" s="456"/>
      <x:c r="J91" s="456"/>
      <x:c r="K91" s="455"/>
      <x:c r="L91" s="454"/>
      <x:c r="M91" s="439"/>
      <x:c r="N91" s="114" t="str">
        <x:f>IF(COUNTA($A91:$M91)=0,"",IF(OR(LOWER($F91&amp;"")="subscription",LOWER($F91&amp;"")="membership"),"",IF($G91="","",IF(ISNUMBER(SEARCH("non",LOWER($E91&amp;""))),$G91*0.85,$G91))))</x:f>
      </x:c>
      <x:c r="O91" s="114" t="str">
        <x:f>IF(COUNTA($A91:$M91)=0,"",IF(OR(LOWER($F91&amp;"")="subscription",LOWER($F91&amp;"")="membership"),"",IF(OR($N91="",$I91="",$I91=0),"",IFERROR($N91/$I91,""))))</x:f>
      </x:c>
      <x:c r="P91" s="114" t="str">
        <x:f>IF(COUNTA($A91:$M91)=0,"",IF(OR(LOWER($F91&amp;"")="subscription",LOWER($F91&amp;"")="membership"),"",IF(LOWER($L91&amp;"")="yes",0,IF($K91&lt;&gt;"",$K91,IF($O91&lt;&gt;"",$O91,"")))))</x:f>
      </x:c>
      <x:c r="Q91" s="114" t="str">
        <x:f>IF(COUNTA($A91:$M91)=0,"",IF(OR($U91="Subscription",$U91=""),"",IF($U91="Profit",ROUND(IFERROR($P91,0)-IFERROR($H91,0),2),0)))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IF(COUNTA($A91:$M91)=0,"",IF(OR(LOWER($F91&amp;"")="subscription",LOWER($F91&amp;"")="membership"),"Subscription",IF(OR(AND($H91&lt;&gt;"",$H91=0),LOWER($F91&amp;"")="free game",LOWER($F91&amp;"")="free",LOWER($F91&amp;"")="free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IF(COUNTA($A91:$M91)=0,"",IF(OR($U91="Subscription",$U91=""),"",IF(OR($U91="Free Game",$U91="Disqualified — Free Game"),0,ROUND(IFERROR($Q91,0)-IFERROR($S91,0),2))))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455"/>
      <x:c r="H92" s="455"/>
      <x:c r="I92" s="456"/>
      <x:c r="J92" s="456"/>
      <x:c r="K92" s="455"/>
      <x:c r="L92" s="454"/>
      <x:c r="M92" s="439"/>
      <x:c r="N92" s="114" t="str">
        <x:f>IF(COUNTA($A92:$M92)=0,"",IF(OR(LOWER($F92&amp;"")="subscription",LOWER($F92&amp;"")="membership"),"",IF($G92="","",IF(ISNUMBER(SEARCH("non",LOWER($E92&amp;""))),$G92*0.85,$G92))))</x:f>
      </x:c>
      <x:c r="O92" s="114" t="str">
        <x:f>IF(COUNTA($A92:$M92)=0,"",IF(OR(LOWER($F92&amp;"")="subscription",LOWER($F92&amp;"")="membership"),"",IF(OR($N92="",$I92="",$I92=0),"",IFERROR($N92/$I92,""))))</x:f>
      </x:c>
      <x:c r="P92" s="114" t="str">
        <x:f>IF(COUNTA($A92:$M92)=0,"",IF(OR(LOWER($F92&amp;"")="subscription",LOWER($F92&amp;"")="membership"),"",IF(LOWER($L92&amp;"")="yes",0,IF($K92&lt;&gt;"",$K92,IF($O92&lt;&gt;"",$O92,"")))))</x:f>
      </x:c>
      <x:c r="Q92" s="114" t="str">
        <x:f>IF(COUNTA($A92:$M92)=0,"",IF(OR($U92="Subscription",$U92=""),"",IF($U92="Profit",ROUND(IFERROR($P92,0)-IFERROR($H92,0),2),0)))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IF(COUNTA($A92:$M92)=0,"",IF(OR(LOWER($F92&amp;"")="subscription",LOWER($F92&amp;"")="membership"),"Subscription",IF(OR(AND($H92&lt;&gt;"",$H92=0),LOWER($F92&amp;"")="free game",LOWER($F92&amp;"")="free",LOWER($F92&amp;"")="free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IF(COUNTA($A92:$M92)=0,"",IF(OR($U92="Subscription",$U92=""),"",IF(OR($U92="Free Game",$U92="Disqualified — Free Game"),0,ROUND(IFERROR($Q92,0)-IFERROR($S92,0),2))))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455"/>
      <x:c r="H93" s="455"/>
      <x:c r="I93" s="456"/>
      <x:c r="J93" s="456"/>
      <x:c r="K93" s="455"/>
      <x:c r="L93" s="454"/>
      <x:c r="M93" s="439"/>
      <x:c r="N93" s="114" t="str">
        <x:f>IF(COUNTA($A93:$M93)=0,"",IF(OR(LOWER($F93&amp;"")="subscription",LOWER($F93&amp;"")="membership"),"",IF($G93="","",IF(ISNUMBER(SEARCH("non",LOWER($E93&amp;""))),$G93*0.85,$G93))))</x:f>
      </x:c>
      <x:c r="O93" s="114" t="str">
        <x:f>IF(COUNTA($A93:$M93)=0,"",IF(OR(LOWER($F93&amp;"")="subscription",LOWER($F93&amp;"")="membership"),"",IF(OR($N93="",$I93="",$I93=0),"",IFERROR($N93/$I93,""))))</x:f>
      </x:c>
      <x:c r="P93" s="114" t="str">
        <x:f>IF(COUNTA($A93:$M93)=0,"",IF(OR(LOWER($F93&amp;"")="subscription",LOWER($F93&amp;"")="membership"),"",IF(LOWER($L93&amp;"")="yes",0,IF($K93&lt;&gt;"",$K93,IF($O93&lt;&gt;"",$O93,"")))))</x:f>
      </x:c>
      <x:c r="Q93" s="114" t="str">
        <x:f>IF(COUNTA($A93:$M93)=0,"",IF(OR($U93="Subscription",$U93=""),"",IF($U93="Profit",ROUND(IFERROR($P93,0)-IFERROR($H93,0),2),0)))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IF(COUNTA($A93:$M93)=0,"",IF(OR(LOWER($F93&amp;"")="subscription",LOWER($F93&amp;"")="membership"),"Subscription",IF(OR(AND($H93&lt;&gt;"",$H93=0),LOWER($F93&amp;"")="free game",LOWER($F93&amp;"")="free",LOWER($F93&amp;"")="free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IF(COUNTA($A93:$M93)=0,"",IF(OR($U93="Subscription",$U93=""),"",IF(OR($U93="Free Game",$U93="Disqualified — Free Game"),0,ROUND(IFERROR($Q93,0)-IFERROR($S93,0),2))))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455"/>
      <x:c r="H94" s="455"/>
      <x:c r="I94" s="456"/>
      <x:c r="J94" s="456"/>
      <x:c r="K94" s="455"/>
      <x:c r="L94" s="454"/>
      <x:c r="M94" s="439"/>
      <x:c r="N94" s="114" t="str">
        <x:f>IF(COUNTA($A94:$M94)=0,"",IF(OR(LOWER($F94&amp;"")="subscription",LOWER($F94&amp;"")="membership"),"",IF($G94="","",IF(ISNUMBER(SEARCH("non",LOWER($E94&amp;""))),$G94*0.85,$G94))))</x:f>
      </x:c>
      <x:c r="O94" s="114" t="str">
        <x:f>IF(COUNTA($A94:$M94)=0,"",IF(OR(LOWER($F94&amp;"")="subscription",LOWER($F94&amp;"")="membership"),"",IF(OR($N94="",$I94="",$I94=0),"",IFERROR($N94/$I94,""))))</x:f>
      </x:c>
      <x:c r="P94" s="114" t="str">
        <x:f>IF(COUNTA($A94:$M94)=0,"",IF(OR(LOWER($F94&amp;"")="subscription",LOWER($F94&amp;"")="membership"),"",IF(LOWER($L94&amp;"")="yes",0,IF($K94&lt;&gt;"",$K94,IF($O94&lt;&gt;"",$O94,"")))))</x:f>
      </x:c>
      <x:c r="Q94" s="114" t="str">
        <x:f>IF(COUNTA($A94:$M94)=0,"",IF(OR($U94="Subscription",$U94=""),"",IF($U94="Profit",ROUND(IFERROR($P94,0)-IFERROR($H94,0),2),0)))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IF(COUNTA($A94:$M94)=0,"",IF(OR(LOWER($F94&amp;"")="subscription",LOWER($F94&amp;"")="membership"),"Subscription",IF(OR(AND($H94&lt;&gt;"",$H94=0),LOWER($F94&amp;"")="free game",LOWER($F94&amp;"")="free",LOWER($F94&amp;"")="free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IF(COUNTA($A94:$M94)=0,"",IF(OR($U94="Subscription",$U94=""),"",IF(OR($U94="Free Game",$U94="Disqualified — Free Game"),0,ROUND(IFERROR($Q94,0)-IFERROR($S94,0),2))))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455"/>
      <x:c r="H95" s="455"/>
      <x:c r="I95" s="456"/>
      <x:c r="J95" s="456"/>
      <x:c r="K95" s="455"/>
      <x:c r="L95" s="454"/>
      <x:c r="M95" s="439"/>
      <x:c r="N95" s="114" t="str">
        <x:f>IF(COUNTA($A95:$M95)=0,"",IF(OR(LOWER($F95&amp;"")="subscription",LOWER($F95&amp;"")="membership"),"",IF($G95="","",IF(ISNUMBER(SEARCH("non",LOWER($E95&amp;""))),$G95*0.85,$G95))))</x:f>
      </x:c>
      <x:c r="O95" s="114" t="str">
        <x:f>IF(COUNTA($A95:$M95)=0,"",IF(OR(LOWER($F95&amp;"")="subscription",LOWER($F95&amp;"")="membership"),"",IF(OR($N95="",$I95="",$I95=0),"",IFERROR($N95/$I95,""))))</x:f>
      </x:c>
      <x:c r="P95" s="114" t="str">
        <x:f>IF(COUNTA($A95:$M95)=0,"",IF(OR(LOWER($F95&amp;"")="subscription",LOWER($F95&amp;"")="membership"),"",IF(LOWER($L95&amp;"")="yes",0,IF($K95&lt;&gt;"",$K95,IF($O95&lt;&gt;"",$O95,"")))))</x:f>
      </x:c>
      <x:c r="Q95" s="114" t="str">
        <x:f>IF(COUNTA($A95:$M95)=0,"",IF(OR($U95="Subscription",$U95=""),"",IF($U95="Profit",ROUND(IFERROR($P95,0)-IFERROR($H95,0),2),0)))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IF(COUNTA($A95:$M95)=0,"",IF(OR(LOWER($F95&amp;"")="subscription",LOWER($F95&amp;"")="membership"),"Subscription",IF(OR(AND($H95&lt;&gt;"",$H95=0),LOWER($F95&amp;"")="free game",LOWER($F95&amp;"")="free",LOWER($F95&amp;"")="free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IF(COUNTA($A95:$M95)=0,"",IF(OR($U95="Subscription",$U95=""),"",IF(OR($U95="Free Game",$U95="Disqualified — Free Game"),0,ROUND(IFERROR($Q95,0)-IFERROR($S95,0),2))))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455"/>
      <x:c r="H96" s="455"/>
      <x:c r="I96" s="456"/>
      <x:c r="J96" s="456"/>
      <x:c r="K96" s="455"/>
      <x:c r="L96" s="454"/>
      <x:c r="M96" s="439"/>
      <x:c r="N96" s="114" t="str">
        <x:f>IF(COUNTA($A96:$M96)=0,"",IF(OR(LOWER($F96&amp;"")="subscription",LOWER($F96&amp;"")="membership"),"",IF($G96="","",IF(ISNUMBER(SEARCH("non",LOWER($E96&amp;""))),$G96*0.85,$G96))))</x:f>
      </x:c>
      <x:c r="O96" s="114" t="str">
        <x:f>IF(COUNTA($A96:$M96)=0,"",IF(OR(LOWER($F96&amp;"")="subscription",LOWER($F96&amp;"")="membership"),"",IF(OR($N96="",$I96="",$I96=0),"",IFERROR($N96/$I96,""))))</x:f>
      </x:c>
      <x:c r="P96" s="114" t="str">
        <x:f>IF(COUNTA($A96:$M96)=0,"",IF(OR(LOWER($F96&amp;"")="subscription",LOWER($F96&amp;"")="membership"),"",IF(LOWER($L96&amp;"")="yes",0,IF($K96&lt;&gt;"",$K96,IF($O96&lt;&gt;"",$O96,"")))))</x:f>
      </x:c>
      <x:c r="Q96" s="114" t="str">
        <x:f>IF(COUNTA($A96:$M96)=0,"",IF(OR($U96="Subscription",$U96=""),"",IF($U96="Profit",ROUND(IFERROR($P96,0)-IFERROR($H96,0),2),0)))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IF(COUNTA($A96:$M96)=0,"",IF(OR(LOWER($F96&amp;"")="subscription",LOWER($F96&amp;"")="membership"),"Subscription",IF(OR(AND($H96&lt;&gt;"",$H96=0),LOWER($F96&amp;"")="free game",LOWER($F96&amp;"")="free",LOWER($F96&amp;"")="free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IF(COUNTA($A96:$M96)=0,"",IF(OR($U96="Subscription",$U96=""),"",IF(OR($U96="Free Game",$U96="Disqualified — Free Game"),0,ROUND(IFERROR($Q96,0)-IFERROR($S96,0),2))))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455"/>
      <x:c r="H97" s="455"/>
      <x:c r="I97" s="456"/>
      <x:c r="J97" s="456"/>
      <x:c r="K97" s="455"/>
      <x:c r="L97" s="454"/>
      <x:c r="M97" s="439"/>
      <x:c r="N97" s="114" t="str">
        <x:f>IF(COUNTA($A97:$M97)=0,"",IF(OR(LOWER($F97&amp;"")="subscription",LOWER($F97&amp;"")="membership"),"",IF($G97="","",IF(ISNUMBER(SEARCH("non",LOWER($E97&amp;""))),$G97*0.85,$G97))))</x:f>
      </x:c>
      <x:c r="O97" s="114" t="str">
        <x:f>IF(COUNTA($A97:$M97)=0,"",IF(OR(LOWER($F97&amp;"")="subscription",LOWER($F97&amp;"")="membership"),"",IF(OR($N97="",$I97="",$I97=0),"",IFERROR($N97/$I97,""))))</x:f>
      </x:c>
      <x:c r="P97" s="114" t="str">
        <x:f>IF(COUNTA($A97:$M97)=0,"",IF(OR(LOWER($F97&amp;"")="subscription",LOWER($F97&amp;"")="membership"),"",IF(LOWER($L97&amp;"")="yes",0,IF($K97&lt;&gt;"",$K97,IF($O97&lt;&gt;"",$O97,"")))))</x:f>
      </x:c>
      <x:c r="Q97" s="114" t="str">
        <x:f>IF(COUNTA($A97:$M97)=0,"",IF(OR($U97="Subscription",$U97=""),"",IF($U97="Profit",ROUND(IFERROR($P97,0)-IFERROR($H97,0),2),0)))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IF(COUNTA($A97:$M97)=0,"",IF(OR(LOWER($F97&amp;"")="subscription",LOWER($F97&amp;"")="membership"),"Subscription",IF(OR(AND($H97&lt;&gt;"",$H97=0),LOWER($F97&amp;"")="free game",LOWER($F97&amp;"")="free",LOWER($F97&amp;"")="free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IF(COUNTA($A97:$M97)=0,"",IF(OR($U97="Subscription",$U97=""),"",IF(OR($U97="Free Game",$U97="Disqualified — Free Game"),0,ROUND(IFERROR($Q97,0)-IFERROR($S97,0),2))))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455"/>
      <x:c r="H98" s="455"/>
      <x:c r="I98" s="456"/>
      <x:c r="J98" s="456"/>
      <x:c r="K98" s="455"/>
      <x:c r="L98" s="454"/>
      <x:c r="M98" s="439"/>
      <x:c r="N98" s="114" t="str">
        <x:f>IF(COUNTA($A98:$M98)=0,"",IF(OR(LOWER($F98&amp;"")="subscription",LOWER($F98&amp;"")="membership"),"",IF($G98="","",IF(ISNUMBER(SEARCH("non",LOWER($E98&amp;""))),$G98*0.85,$G98))))</x:f>
      </x:c>
      <x:c r="O98" s="114" t="str">
        <x:f>IF(COUNTA($A98:$M98)=0,"",IF(OR(LOWER($F98&amp;"")="subscription",LOWER($F98&amp;"")="membership"),"",IF(OR($N98="",$I98="",$I98=0),"",IFERROR($N98/$I98,""))))</x:f>
      </x:c>
      <x:c r="P98" s="114" t="str">
        <x:f>IF(COUNTA($A98:$M98)=0,"",IF(OR(LOWER($F98&amp;"")="subscription",LOWER($F98&amp;"")="membership"),"",IF(LOWER($L98&amp;"")="yes",0,IF($K98&lt;&gt;"",$K98,IF($O98&lt;&gt;"",$O98,"")))))</x:f>
      </x:c>
      <x:c r="Q98" s="114" t="str">
        <x:f>IF(COUNTA($A98:$M98)=0,"",IF(OR($U98="Subscription",$U98=""),"",IF($U98="Profit",ROUND(IFERROR($P98,0)-IFERROR($H98,0),2),0)))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IF(COUNTA($A98:$M98)=0,"",IF(OR(LOWER($F98&amp;"")="subscription",LOWER($F98&amp;"")="membership"),"Subscription",IF(OR(AND($H98&lt;&gt;"",$H98=0),LOWER($F98&amp;"")="free game",LOWER($F98&amp;"")="free",LOWER($F98&amp;"")="free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IF(COUNTA($A98:$M98)=0,"",IF(OR($U98="Subscription",$U98=""),"",IF(OR($U98="Free Game",$U98="Disqualified — Free Game"),0,ROUND(IFERROR($Q98,0)-IFERROR($S98,0),2))))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455"/>
      <x:c r="H99" s="455"/>
      <x:c r="I99" s="456"/>
      <x:c r="J99" s="456"/>
      <x:c r="K99" s="455"/>
      <x:c r="L99" s="454"/>
      <x:c r="M99" s="439"/>
      <x:c r="N99" s="114" t="str">
        <x:f>IF(COUNTA($A99:$M99)=0,"",IF(OR(LOWER($F99&amp;"")="subscription",LOWER($F99&amp;"")="membership"),"",IF($G99="","",IF(ISNUMBER(SEARCH("non",LOWER($E99&amp;""))),$G99*0.85,$G99))))</x:f>
      </x:c>
      <x:c r="O99" s="114" t="str">
        <x:f>IF(COUNTA($A99:$M99)=0,"",IF(OR(LOWER($F99&amp;"")="subscription",LOWER($F99&amp;"")="membership"),"",IF(OR($N99="",$I99="",$I99=0),"",IFERROR($N99/$I99,""))))</x:f>
      </x:c>
      <x:c r="P99" s="114" t="str">
        <x:f>IF(COUNTA($A99:$M99)=0,"",IF(OR(LOWER($F99&amp;"")="subscription",LOWER($F99&amp;"")="membership"),"",IF(LOWER($L99&amp;"")="yes",0,IF($K99&lt;&gt;"",$K99,IF($O99&lt;&gt;"",$O99,"")))))</x:f>
      </x:c>
      <x:c r="Q99" s="114" t="str">
        <x:f>IF(COUNTA($A99:$M99)=0,"",IF(OR($U99="Subscription",$U99=""),"",IF($U99="Profit",ROUND(IFERROR($P99,0)-IFERROR($H99,0),2),0)))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IF(COUNTA($A99:$M99)=0,"",IF(OR(LOWER($F99&amp;"")="subscription",LOWER($F99&amp;"")="membership"),"Subscription",IF(OR(AND($H99&lt;&gt;"",$H99=0),LOWER($F99&amp;"")="free game",LOWER($F99&amp;"")="free",LOWER($F99&amp;"")="free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IF(COUNTA($A99:$M99)=0,"",IF(OR($U99="Subscription",$U99=""),"",IF(OR($U99="Free Game",$U99="Disqualified — Free Game"),0,ROUND(IFERROR($Q99,0)-IFERROR($S99,0),2))))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455"/>
      <x:c r="H100" s="455"/>
      <x:c r="I100" s="456"/>
      <x:c r="J100" s="456"/>
      <x:c r="K100" s="455"/>
      <x:c r="L100" s="454"/>
      <x:c r="M100" s="439"/>
      <x:c r="N100" s="114" t="str">
        <x:f>IF(COUNTA($A100:$M100)=0,"",IF(OR(LOWER($F100&amp;"")="subscription",LOWER($F100&amp;"")="membership"),"",IF($G100="","",IF(ISNUMBER(SEARCH("non",LOWER($E100&amp;""))),$G100*0.85,$G100))))</x:f>
      </x:c>
      <x:c r="O100" s="114" t="str">
        <x:f>IF(COUNTA($A100:$M100)=0,"",IF(OR(LOWER($F100&amp;"")="subscription",LOWER($F100&amp;"")="membership"),"",IF(OR($N100="",$I100="",$I100=0),"",IFERROR($N100/$I100,""))))</x:f>
      </x:c>
      <x:c r="P100" s="114" t="str">
        <x:f>IF(COUNTA($A100:$M100)=0,"",IF(OR(LOWER($F100&amp;"")="subscription",LOWER($F100&amp;"")="membership"),"",IF(LOWER($L100&amp;"")="yes",0,IF($K100&lt;&gt;"",$K100,IF($O100&lt;&gt;"",$O100,"")))))</x:f>
      </x:c>
      <x:c r="Q100" s="114" t="str">
        <x:f>IF(COUNTA($A100:$M100)=0,"",IF(OR($U100="Subscription",$U100=""),"",IF($U100="Profit",ROUND(IFERROR($P100,0)-IFERROR($H100,0),2),0)))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IF(COUNTA($A100:$M100)=0,"",IF(OR(LOWER($F100&amp;"")="subscription",LOWER($F100&amp;"")="membership"),"Subscription",IF(OR(AND($H100&lt;&gt;"",$H100=0),LOWER($F100&amp;"")="free game",LOWER($F100&amp;"")="free",LOWER($F100&amp;"")="free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IF(COUNTA($A100:$M100)=0,"",IF(OR($U100="Subscription",$U100=""),"",IF(OR($U100="Free Game",$U100="Disqualified — Free Game"),0,ROUND(IFERROR($Q100,0)-IFERROR($S100,0),2))))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455"/>
      <x:c r="H101" s="455"/>
      <x:c r="I101" s="456"/>
      <x:c r="J101" s="456"/>
      <x:c r="K101" s="455"/>
      <x:c r="L101" s="454"/>
      <x:c r="M101" s="439"/>
      <x:c r="N101" s="114" t="str">
        <x:f>IF(COUNTA($A101:$M101)=0,"",IF(OR(LOWER($F101&amp;"")="subscription",LOWER($F101&amp;"")="membership"),"",IF($G101="","",IF(ISNUMBER(SEARCH("non",LOWER($E101&amp;""))),$G101*0.85,$G101))))</x:f>
      </x:c>
      <x:c r="O101" s="114" t="str">
        <x:f>IF(COUNTA($A101:$M101)=0,"",IF(OR(LOWER($F101&amp;"")="subscription",LOWER($F101&amp;"")="membership"),"",IF(OR($N101="",$I101="",$I101=0),"",IFERROR($N101/$I101,""))))</x:f>
      </x:c>
      <x:c r="P101" s="114" t="str">
        <x:f>IF(COUNTA($A101:$M101)=0,"",IF(OR(LOWER($F101&amp;"")="subscription",LOWER($F101&amp;"")="membership"),"",IF(LOWER($L101&amp;"")="yes",0,IF($K101&lt;&gt;"",$K101,IF($O101&lt;&gt;"",$O101,"")))))</x:f>
      </x:c>
      <x:c r="Q101" s="114" t="str">
        <x:f>IF(COUNTA($A101:$M101)=0,"",IF(OR($U101="Subscription",$U101=""),"",IF($U101="Profit",ROUND(IFERROR($P101,0)-IFERROR($H101,0),2),0)))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IF(COUNTA($A101:$M101)=0,"",IF(OR(LOWER($F101&amp;"")="subscription",LOWER($F101&amp;"")="membership"),"Subscription",IF(OR(AND($H101&lt;&gt;"",$H101=0),LOWER($F101&amp;"")="free game",LOWER($F101&amp;"")="free",LOWER($F101&amp;"")="free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IF(COUNTA($A101:$M101)=0,"",IF(OR($U101="Subscription",$U101=""),"",IF(OR($U101="Free Game",$U101="Disqualified — Free Game"),0,ROUND(IFERROR($Q101,0)-IFERROR($S101,0),2))))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455"/>
      <x:c r="H102" s="455"/>
      <x:c r="I102" s="456"/>
      <x:c r="J102" s="456"/>
      <x:c r="K102" s="455"/>
      <x:c r="L102" s="454"/>
      <x:c r="M102" s="439"/>
      <x:c r="N102" s="114" t="str">
        <x:f>IF(COUNTA($A102:$M102)=0,"",IF(OR(LOWER($F102&amp;"")="subscription",LOWER($F102&amp;"")="membership"),"",IF($G102="","",IF(ISNUMBER(SEARCH("non",LOWER($E102&amp;""))),$G102*0.85,$G102))))</x:f>
      </x:c>
      <x:c r="O102" s="114" t="str">
        <x:f>IF(COUNTA($A102:$M102)=0,"",IF(OR(LOWER($F102&amp;"")="subscription",LOWER($F102&amp;"")="membership"),"",IF(OR($N102="",$I102="",$I102=0),"",IFERROR($N102/$I102,""))))</x:f>
      </x:c>
      <x:c r="P102" s="114" t="str">
        <x:f>IF(COUNTA($A102:$M102)=0,"",IF(OR(LOWER($F102&amp;"")="subscription",LOWER($F102&amp;"")="membership"),"",IF(LOWER($L102&amp;"")="yes",0,IF($K102&lt;&gt;"",$K102,IF($O102&lt;&gt;"",$O102,"")))))</x:f>
      </x:c>
      <x:c r="Q102" s="114" t="str">
        <x:f>IF(COUNTA($A102:$M102)=0,"",IF(OR($U102="Subscription",$U102=""),"",IF($U102="Profit",ROUND(IFERROR($P102,0)-IFERROR($H102,0),2),0)))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IF(COUNTA($A102:$M102)=0,"",IF(OR(LOWER($F102&amp;"")="subscription",LOWER($F102&amp;"")="membership"),"Subscription",IF(OR(AND($H102&lt;&gt;"",$H102=0),LOWER($F102&amp;"")="free game",LOWER($F102&amp;"")="free",LOWER($F102&amp;"")="free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IF(COUNTA($A102:$M102)=0,"",IF(OR($U102="Subscription",$U102=""),"",IF(OR($U102="Free Game",$U102="Disqualified — Free Game"),0,ROUND(IFERROR($Q102,0)-IFERROR($S102,0),2))))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455"/>
      <x:c r="H103" s="455"/>
      <x:c r="I103" s="456"/>
      <x:c r="J103" s="456"/>
      <x:c r="K103" s="455"/>
      <x:c r="L103" s="454"/>
      <x:c r="M103" s="439"/>
      <x:c r="N103" s="114" t="str">
        <x:f>IF(COUNTA($A103:$M103)=0,"",IF(OR(LOWER($F103&amp;"")="subscription",LOWER($F103&amp;"")="membership"),"",IF($G103="","",IF(ISNUMBER(SEARCH("non",LOWER($E103&amp;""))),$G103*0.85,$G103))))</x:f>
      </x:c>
      <x:c r="O103" s="114" t="str">
        <x:f>IF(COUNTA($A103:$M103)=0,"",IF(OR(LOWER($F103&amp;"")="subscription",LOWER($F103&amp;"")="membership"),"",IF(OR($N103="",$I103="",$I103=0),"",IFERROR($N103/$I103,""))))</x:f>
      </x:c>
      <x:c r="P103" s="114" t="str">
        <x:f>IF(COUNTA($A103:$M103)=0,"",IF(OR(LOWER($F103&amp;"")="subscription",LOWER($F103&amp;"")="membership"),"",IF(LOWER($L103&amp;"")="yes",0,IF($K103&lt;&gt;"",$K103,IF($O103&lt;&gt;"",$O103,"")))))</x:f>
      </x:c>
      <x:c r="Q103" s="114" t="str">
        <x:f>IF(COUNTA($A103:$M103)=0,"",IF(OR($U103="Subscription",$U103=""),"",IF($U103="Profit",ROUND(IFERROR($P103,0)-IFERROR($H103,0),2),0)))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IF(COUNTA($A103:$M103)=0,"",IF(OR(LOWER($F103&amp;"")="subscription",LOWER($F103&amp;"")="membership"),"Subscription",IF(OR(AND($H103&lt;&gt;"",$H103=0),LOWER($F103&amp;"")="free game",LOWER($F103&amp;"")="free",LOWER($F103&amp;"")="free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IF(COUNTA($A103:$M103)=0,"",IF(OR($U103="Subscription",$U103=""),"",IF(OR($U103="Free Game",$U103="Disqualified — Free Game"),0,ROUND(IFERROR($Q103,0)-IFERROR($S103,0),2))))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455"/>
      <x:c r="H104" s="455"/>
      <x:c r="I104" s="456"/>
      <x:c r="J104" s="456"/>
      <x:c r="K104" s="455"/>
      <x:c r="L104" s="454"/>
      <x:c r="M104" s="439"/>
      <x:c r="N104" s="114" t="str">
        <x:f>IF(COUNTA($A104:$M104)=0,"",IF(OR(LOWER($F104&amp;"")="subscription",LOWER($F104&amp;"")="membership"),"",IF($G104="","",IF(ISNUMBER(SEARCH("non",LOWER($E104&amp;""))),$G104*0.85,$G104))))</x:f>
      </x:c>
      <x:c r="O104" s="114" t="str">
        <x:f>IF(COUNTA($A104:$M104)=0,"",IF(OR(LOWER($F104&amp;"")="subscription",LOWER($F104&amp;"")="membership"),"",IF(OR($N104="",$I104="",$I104=0),"",IFERROR($N104/$I104,""))))</x:f>
      </x:c>
      <x:c r="P104" s="114" t="str">
        <x:f>IF(COUNTA($A104:$M104)=0,"",IF(OR(LOWER($F104&amp;"")="subscription",LOWER($F104&amp;"")="membership"),"",IF(LOWER($L104&amp;"")="yes",0,IF($K104&lt;&gt;"",$K104,IF($O104&lt;&gt;"",$O104,"")))))</x:f>
      </x:c>
      <x:c r="Q104" s="114" t="str">
        <x:f>IF(COUNTA($A104:$M104)=0,"",IF(OR($U104="Subscription",$U104=""),"",IF($U104="Profit",ROUND(IFERROR($P104,0)-IFERROR($H104,0),2),0)))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IF(COUNTA($A104:$M104)=0,"",IF(OR(LOWER($F104&amp;"")="subscription",LOWER($F104&amp;"")="membership"),"Subscription",IF(OR(AND($H104&lt;&gt;"",$H104=0),LOWER($F104&amp;"")="free game",LOWER($F104&amp;"")="free",LOWER($F104&amp;"")="free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IF(COUNTA($A104:$M104)=0,"",IF(OR($U104="Subscription",$U104=""),"",IF(OR($U104="Free Game",$U104="Disqualified — Free Game"),0,ROUND(IFERROR($Q104,0)-IFERROR($S104,0),2))))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455"/>
      <x:c r="H105" s="455"/>
      <x:c r="I105" s="456"/>
      <x:c r="J105" s="456"/>
      <x:c r="K105" s="455"/>
      <x:c r="L105" s="454"/>
      <x:c r="M105" s="439"/>
      <x:c r="N105" s="114" t="str">
        <x:f>IF(COUNTA($A105:$M105)=0,"",IF(OR(LOWER($F105&amp;"")="subscription",LOWER($F105&amp;"")="membership"),"",IF($G105="","",IF(ISNUMBER(SEARCH("non",LOWER($E105&amp;""))),$G105*0.85,$G105))))</x:f>
      </x:c>
      <x:c r="O105" s="114" t="str">
        <x:f>IF(COUNTA($A105:$M105)=0,"",IF(OR(LOWER($F105&amp;"")="subscription",LOWER($F105&amp;"")="membership"),"",IF(OR($N105="",$I105="",$I105=0),"",IFERROR($N105/$I105,""))))</x:f>
      </x:c>
      <x:c r="P105" s="114" t="str">
        <x:f>IF(COUNTA($A105:$M105)=0,"",IF(OR(LOWER($F105&amp;"")="subscription",LOWER($F105&amp;"")="membership"),"",IF(LOWER($L105&amp;"")="yes",0,IF($K105&lt;&gt;"",$K105,IF($O105&lt;&gt;"",$O105,"")))))</x:f>
      </x:c>
      <x:c r="Q105" s="114" t="str">
        <x:f>IF(COUNTA($A105:$M105)=0,"",IF(OR($U105="Subscription",$U105=""),"",IF($U105="Profit",ROUND(IFERROR($P105,0)-IFERROR($H105,0),2),0)))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IF(COUNTA($A105:$M105)=0,"",IF(OR(LOWER($F105&amp;"")="subscription",LOWER($F105&amp;"")="membership"),"Subscription",IF(OR(AND($H105&lt;&gt;"",$H105=0),LOWER($F105&amp;"")="free game",LOWER($F105&amp;"")="free",LOWER($F105&amp;"")="free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IF(COUNTA($A105:$M105)=0,"",IF(OR($U105="Subscription",$U105=""),"",IF(OR($U105="Free Game",$U105="Disqualified — Free Game"),0,ROUND(IFERROR($Q105,0)-IFERROR($S105,0),2))))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455"/>
      <x:c r="H106" s="455"/>
      <x:c r="I106" s="456"/>
      <x:c r="J106" s="456"/>
      <x:c r="K106" s="455"/>
      <x:c r="L106" s="454"/>
      <x:c r="M106" s="439"/>
      <x:c r="N106" s="114" t="str">
        <x:f>IF(COUNTA($A106:$M106)=0,"",IF(OR(LOWER($F106&amp;"")="subscription",LOWER($F106&amp;"")="membership"),"",IF($G106="","",IF(ISNUMBER(SEARCH("non",LOWER($E106&amp;""))),$G106*0.85,$G106))))</x:f>
      </x:c>
      <x:c r="O106" s="114" t="str">
        <x:f>IF(COUNTA($A106:$M106)=0,"",IF(OR(LOWER($F106&amp;"")="subscription",LOWER($F106&amp;"")="membership"),"",IF(OR($N106="",$I106="",$I106=0),"",IFERROR($N106/$I106,""))))</x:f>
      </x:c>
      <x:c r="P106" s="114" t="str">
        <x:f>IF(COUNTA($A106:$M106)=0,"",IF(OR(LOWER($F106&amp;"")="subscription",LOWER($F106&amp;"")="membership"),"",IF(LOWER($L106&amp;"")="yes",0,IF($K106&lt;&gt;"",$K106,IF($O106&lt;&gt;"",$O106,"")))))</x:f>
      </x:c>
      <x:c r="Q106" s="114" t="str">
        <x:f>IF(COUNTA($A106:$M106)=0,"",IF(OR($U106="Subscription",$U106=""),"",IF($U106="Profit",ROUND(IFERROR($P106,0)-IFERROR($H106,0),2),0)))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IF(COUNTA($A106:$M106)=0,"",IF(OR(LOWER($F106&amp;"")="subscription",LOWER($F106&amp;"")="membership"),"Subscription",IF(OR(AND($H106&lt;&gt;"",$H106=0),LOWER($F106&amp;"")="free game",LOWER($F106&amp;"")="free",LOWER($F106&amp;"")="free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IF(COUNTA($A106:$M106)=0,"",IF(OR($U106="Subscription",$U106=""),"",IF(OR($U106="Free Game",$U106="Disqualified — Free Game"),0,ROUND(IFERROR($Q106,0)-IFERROR($S106,0),2))))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455"/>
      <x:c r="H107" s="455"/>
      <x:c r="I107" s="456"/>
      <x:c r="J107" s="456"/>
      <x:c r="K107" s="455"/>
      <x:c r="L107" s="454"/>
      <x:c r="M107" s="439"/>
      <x:c r="N107" s="114" t="str">
        <x:f>IF(COUNTA($A107:$M107)=0,"",IF(OR(LOWER($F107&amp;"")="subscription",LOWER($F107&amp;"")="membership"),"",IF($G107="","",IF(ISNUMBER(SEARCH("non",LOWER($E107&amp;""))),$G107*0.85,$G107))))</x:f>
      </x:c>
      <x:c r="O107" s="114" t="str">
        <x:f>IF(COUNTA($A107:$M107)=0,"",IF(OR(LOWER($F107&amp;"")="subscription",LOWER($F107&amp;"")="membership"),"",IF(OR($N107="",$I107="",$I107=0),"",IFERROR($N107/$I107,""))))</x:f>
      </x:c>
      <x:c r="P107" s="114" t="str">
        <x:f>IF(COUNTA($A107:$M107)=0,"",IF(OR(LOWER($F107&amp;"")="subscription",LOWER($F107&amp;"")="membership"),"",IF(LOWER($L107&amp;"")="yes",0,IF($K107&lt;&gt;"",$K107,IF($O107&lt;&gt;"",$O107,"")))))</x:f>
      </x:c>
      <x:c r="Q107" s="114" t="str">
        <x:f>IF(COUNTA($A107:$M107)=0,"",IF(OR($U107="Subscription",$U107=""),"",IF($U107="Profit",ROUND(IFERROR($P107,0)-IFERROR($H107,0),2),0)))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IF(COUNTA($A107:$M107)=0,"",IF(OR(LOWER($F107&amp;"")="subscription",LOWER($F107&amp;"")="membership"),"Subscription",IF(OR(AND($H107&lt;&gt;"",$H107=0),LOWER($F107&amp;"")="free game",LOWER($F107&amp;"")="free",LOWER($F107&amp;"")="free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IF(COUNTA($A107:$M107)=0,"",IF(OR($U107="Subscription",$U107=""),"",IF(OR($U107="Free Game",$U107="Disqualified — Free Game"),0,ROUND(IFERROR($Q107,0)-IFERROR($S107,0),2))))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455"/>
      <x:c r="H108" s="455"/>
      <x:c r="I108" s="456"/>
      <x:c r="J108" s="456"/>
      <x:c r="K108" s="455"/>
      <x:c r="L108" s="454"/>
      <x:c r="M108" s="439"/>
      <x:c r="N108" s="114" t="str">
        <x:f>IF(COUNTA($A108:$M108)=0,"",IF(OR(LOWER($F108&amp;"")="subscription",LOWER($F108&amp;"")="membership"),"",IF($G108="","",IF(ISNUMBER(SEARCH("non",LOWER($E108&amp;""))),$G108*0.85,$G108))))</x:f>
      </x:c>
      <x:c r="O108" s="114" t="str">
        <x:f>IF(COUNTA($A108:$M108)=0,"",IF(OR(LOWER($F108&amp;"")="subscription",LOWER($F108&amp;"")="membership"),"",IF(OR($N108="",$I108="",$I108=0),"",IFERROR($N108/$I108,""))))</x:f>
      </x:c>
      <x:c r="P108" s="114" t="str">
        <x:f>IF(COUNTA($A108:$M108)=0,"",IF(OR(LOWER($F108&amp;"")="subscription",LOWER($F108&amp;"")="membership"),"",IF(LOWER($L108&amp;"")="yes",0,IF($K108&lt;&gt;"",$K108,IF($O108&lt;&gt;"",$O108,"")))))</x:f>
      </x:c>
      <x:c r="Q108" s="114" t="str">
        <x:f>IF(COUNTA($A108:$M108)=0,"",IF(OR($U108="Subscription",$U108=""),"",IF($U108="Profit",ROUND(IFERROR($P108,0)-IFERROR($H108,0),2),0)))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IF(COUNTA($A108:$M108)=0,"",IF(OR(LOWER($F108&amp;"")="subscription",LOWER($F108&amp;"")="membership"),"Subscription",IF(OR(AND($H108&lt;&gt;"",$H108=0),LOWER($F108&amp;"")="free game",LOWER($F108&amp;"")="free",LOWER($F108&amp;"")="free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IF(COUNTA($A108:$M108)=0,"",IF(OR($U108="Subscription",$U108=""),"",IF(OR($U108="Free Game",$U108="Disqualified — Free Game"),0,ROUND(IFERROR($Q108,0)-IFERROR($S108,0),2))))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455"/>
      <x:c r="H109" s="455"/>
      <x:c r="I109" s="456"/>
      <x:c r="J109" s="456"/>
      <x:c r="K109" s="455"/>
      <x:c r="L109" s="454"/>
      <x:c r="M109" s="439"/>
      <x:c r="N109" s="114" t="str">
        <x:f>IF(COUNTA($A109:$M109)=0,"",IF(OR(LOWER($F109&amp;"")="subscription",LOWER($F109&amp;"")="membership"),"",IF($G109="","",IF(ISNUMBER(SEARCH("non",LOWER($E109&amp;""))),$G109*0.85,$G109))))</x:f>
      </x:c>
      <x:c r="O109" s="114" t="str">
        <x:f>IF(COUNTA($A109:$M109)=0,"",IF(OR(LOWER($F109&amp;"")="subscription",LOWER($F109&amp;"")="membership"),"",IF(OR($N109="",$I109="",$I109=0),"",IFERROR($N109/$I109,""))))</x:f>
      </x:c>
      <x:c r="P109" s="114" t="str">
        <x:f>IF(COUNTA($A109:$M109)=0,"",IF(OR(LOWER($F109&amp;"")="subscription",LOWER($F109&amp;"")="membership"),"",IF(LOWER($L109&amp;"")="yes",0,IF($K109&lt;&gt;"",$K109,IF($O109&lt;&gt;"",$O109,"")))))</x:f>
      </x:c>
      <x:c r="Q109" s="114" t="str">
        <x:f>IF(COUNTA($A109:$M109)=0,"",IF(OR($U109="Subscription",$U109=""),"",IF($U109="Profit",ROUND(IFERROR($P109,0)-IFERROR($H109,0),2),0)))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IF(COUNTA($A109:$M109)=0,"",IF(OR(LOWER($F109&amp;"")="subscription",LOWER($F109&amp;"")="membership"),"Subscription",IF(OR(AND($H109&lt;&gt;"",$H109=0),LOWER($F109&amp;"")="free game",LOWER($F109&amp;"")="free",LOWER($F109&amp;"")="free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IF(COUNTA($A109:$M109)=0,"",IF(OR($U109="Subscription",$U109=""),"",IF(OR($U109="Free Game",$U109="Disqualified — Free Game"),0,ROUND(IFERROR($Q109,0)-IFERROR($S109,0),2))))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455"/>
      <x:c r="H110" s="455"/>
      <x:c r="I110" s="456"/>
      <x:c r="J110" s="456"/>
      <x:c r="K110" s="455"/>
      <x:c r="L110" s="454"/>
      <x:c r="M110" s="439"/>
      <x:c r="N110" s="114" t="str">
        <x:f>IF(COUNTA($A110:$M110)=0,"",IF(OR(LOWER($F110&amp;"")="subscription",LOWER($F110&amp;"")="membership"),"",IF($G110="","",IF(ISNUMBER(SEARCH("non",LOWER($E110&amp;""))),$G110*0.85,$G110))))</x:f>
      </x:c>
      <x:c r="O110" s="114" t="str">
        <x:f>IF(COUNTA($A110:$M110)=0,"",IF(OR(LOWER($F110&amp;"")="subscription",LOWER($F110&amp;"")="membership"),"",IF(OR($N110="",$I110="",$I110=0),"",IFERROR($N110/$I110,""))))</x:f>
      </x:c>
      <x:c r="P110" s="114" t="str">
        <x:f>IF(COUNTA($A110:$M110)=0,"",IF(OR(LOWER($F110&amp;"")="subscription",LOWER($F110&amp;"")="membership"),"",IF(LOWER($L110&amp;"")="yes",0,IF($K110&lt;&gt;"",$K110,IF($O110&lt;&gt;"",$O110,"")))))</x:f>
      </x:c>
      <x:c r="Q110" s="114" t="str">
        <x:f>IF(COUNTA($A110:$M110)=0,"",IF(OR($U110="Subscription",$U110=""),"",IF($U110="Profit",ROUND(IFERROR($P110,0)-IFERROR($H110,0),2),0)))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IF(COUNTA($A110:$M110)=0,"",IF(OR(LOWER($F110&amp;"")="subscription",LOWER($F110&amp;"")="membership"),"Subscription",IF(OR(AND($H110&lt;&gt;"",$H110=0),LOWER($F110&amp;"")="free game",LOWER($F110&amp;"")="free",LOWER($F110&amp;"")="free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IF(COUNTA($A110:$M110)=0,"",IF(OR($U110="Subscription",$U110=""),"",IF(OR($U110="Free Game",$U110="Disqualified — Free Game"),0,ROUND(IFERROR($Q110,0)-IFERROR($S110,0),2))))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455"/>
      <x:c r="H111" s="455"/>
      <x:c r="I111" s="456"/>
      <x:c r="J111" s="456"/>
      <x:c r="K111" s="455"/>
      <x:c r="L111" s="454"/>
      <x:c r="M111" s="439"/>
      <x:c r="N111" s="114" t="str">
        <x:f>IF(COUNTA($A111:$M111)=0,"",IF(OR(LOWER($F111&amp;"")="subscription",LOWER($F111&amp;"")="membership"),"",IF($G111="","",IF(ISNUMBER(SEARCH("non",LOWER($E111&amp;""))),$G111*0.85,$G111))))</x:f>
      </x:c>
      <x:c r="O111" s="114" t="str">
        <x:f>IF(COUNTA($A111:$M111)=0,"",IF(OR(LOWER($F111&amp;"")="subscription",LOWER($F111&amp;"")="membership"),"",IF(OR($N111="",$I111="",$I111=0),"",IFERROR($N111/$I111,""))))</x:f>
      </x:c>
      <x:c r="P111" s="114" t="str">
        <x:f>IF(COUNTA($A111:$M111)=0,"",IF(OR(LOWER($F111&amp;"")="subscription",LOWER($F111&amp;"")="membership"),"",IF(LOWER($L111&amp;"")="yes",0,IF($K111&lt;&gt;"",$K111,IF($O111&lt;&gt;"",$O111,"")))))</x:f>
      </x:c>
      <x:c r="Q111" s="114" t="str">
        <x:f>IF(COUNTA($A111:$M111)=0,"",IF(OR($U111="Subscription",$U111=""),"",IF($U111="Profit",ROUND(IFERROR($P111,0)-IFERROR($H111,0),2),0)))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IF(COUNTA($A111:$M111)=0,"",IF(OR(LOWER($F111&amp;"")="subscription",LOWER($F111&amp;"")="membership"),"Subscription",IF(OR(AND($H111&lt;&gt;"",$H111=0),LOWER($F111&amp;"")="free game",LOWER($F111&amp;"")="free",LOWER($F111&amp;"")="free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IF(COUNTA($A111:$M111)=0,"",IF(OR($U111="Subscription",$U111=""),"",IF(OR($U111="Free Game",$U111="Disqualified — Free Game"),0,ROUND(IFERROR($Q111,0)-IFERROR($S111,0),2))))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455"/>
      <x:c r="H112" s="455"/>
      <x:c r="I112" s="456"/>
      <x:c r="J112" s="456"/>
      <x:c r="K112" s="455"/>
      <x:c r="L112" s="454"/>
      <x:c r="M112" s="439"/>
      <x:c r="N112" s="114" t="str">
        <x:f>IF(COUNTA($A112:$M112)=0,"",IF(OR(LOWER($F112&amp;"")="subscription",LOWER($F112&amp;"")="membership"),"",IF($G112="","",IF(ISNUMBER(SEARCH("non",LOWER($E112&amp;""))),$G112*0.85,$G112))))</x:f>
      </x:c>
      <x:c r="O112" s="114" t="str">
        <x:f>IF(COUNTA($A112:$M112)=0,"",IF(OR(LOWER($F112&amp;"")="subscription",LOWER($F112&amp;"")="membership"),"",IF(OR($N112="",$I112="",$I112=0),"",IFERROR($N112/$I112,""))))</x:f>
      </x:c>
      <x:c r="P112" s="114" t="str">
        <x:f>IF(COUNTA($A112:$M112)=0,"",IF(OR(LOWER($F112&amp;"")="subscription",LOWER($F112&amp;"")="membership"),"",IF(LOWER($L112&amp;"")="yes",0,IF($K112&lt;&gt;"",$K112,IF($O112&lt;&gt;"",$O112,"")))))</x:f>
      </x:c>
      <x:c r="Q112" s="114" t="str">
        <x:f>IF(COUNTA($A112:$M112)=0,"",IF(OR($U112="Subscription",$U112=""),"",IF($U112="Profit",ROUND(IFERROR($P112,0)-IFERROR($H112,0),2),0)))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IF(COUNTA($A112:$M112)=0,"",IF(OR(LOWER($F112&amp;"")="subscription",LOWER($F112&amp;"")="membership"),"Subscription",IF(OR(AND($H112&lt;&gt;"",$H112=0),LOWER($F112&amp;"")="free game",LOWER($F112&amp;"")="free",LOWER($F112&amp;"")="free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IF(COUNTA($A112:$M112)=0,"",IF(OR($U112="Subscription",$U112=""),"",IF(OR($U112="Free Game",$U112="Disqualified — Free Game"),0,ROUND(IFERROR($Q112,0)-IFERROR($S112,0),2))))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455"/>
      <x:c r="H113" s="455"/>
      <x:c r="I113" s="456"/>
      <x:c r="J113" s="456"/>
      <x:c r="K113" s="455"/>
      <x:c r="L113" s="454"/>
      <x:c r="M113" s="439"/>
      <x:c r="N113" s="114" t="str">
        <x:f>IF(COUNTA($A113:$M113)=0,"",IF(OR(LOWER($F113&amp;"")="subscription",LOWER($F113&amp;"")="membership"),"",IF($G113="","",IF(ISNUMBER(SEARCH("non",LOWER($E113&amp;""))),$G113*0.85,$G113))))</x:f>
      </x:c>
      <x:c r="O113" s="114" t="str">
        <x:f>IF(COUNTA($A113:$M113)=0,"",IF(OR(LOWER($F113&amp;"")="subscription",LOWER($F113&amp;"")="membership"),"",IF(OR($N113="",$I113="",$I113=0),"",IFERROR($N113/$I113,""))))</x:f>
      </x:c>
      <x:c r="P113" s="114" t="str">
        <x:f>IF(COUNTA($A113:$M113)=0,"",IF(OR(LOWER($F113&amp;"")="subscription",LOWER($F113&amp;"")="membership"),"",IF(LOWER($L113&amp;"")="yes",0,IF($K113&lt;&gt;"",$K113,IF($O113&lt;&gt;"",$O113,"")))))</x:f>
      </x:c>
      <x:c r="Q113" s="114" t="str">
        <x:f>IF(COUNTA($A113:$M113)=0,"",IF(OR($U113="Subscription",$U113=""),"",IF($U113="Profit",ROUND(IFERROR($P113,0)-IFERROR($H113,0),2),0)))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IF(COUNTA($A113:$M113)=0,"",IF(OR(LOWER($F113&amp;"")="subscription",LOWER($F113&amp;"")="membership"),"Subscription",IF(OR(AND($H113&lt;&gt;"",$H113=0),LOWER($F113&amp;"")="free game",LOWER($F113&amp;"")="free",LOWER($F113&amp;"")="free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IF(COUNTA($A113:$M113)=0,"",IF(OR($U113="Subscription",$U113=""),"",IF(OR($U113="Free Game",$U113="Disqualified — Free Game"),0,ROUND(IFERROR($Q113,0)-IFERROR($S113,0),2))))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455"/>
      <x:c r="H114" s="455"/>
      <x:c r="I114" s="456"/>
      <x:c r="J114" s="456"/>
      <x:c r="K114" s="455"/>
      <x:c r="L114" s="454"/>
      <x:c r="M114" s="439"/>
      <x:c r="N114" s="114" t="str">
        <x:f>IF(COUNTA($A114:$M114)=0,"",IF(OR(LOWER($F114&amp;"")="subscription",LOWER($F114&amp;"")="membership"),"",IF($G114="","",IF(ISNUMBER(SEARCH("non",LOWER($E114&amp;""))),$G114*0.85,$G114))))</x:f>
      </x:c>
      <x:c r="O114" s="114" t="str">
        <x:f>IF(COUNTA($A114:$M114)=0,"",IF(OR(LOWER($F114&amp;"")="subscription",LOWER($F114&amp;"")="membership"),"",IF(OR($N114="",$I114="",$I114=0),"",IFERROR($N114/$I114,""))))</x:f>
      </x:c>
      <x:c r="P114" s="114" t="str">
        <x:f>IF(COUNTA($A114:$M114)=0,"",IF(OR(LOWER($F114&amp;"")="subscription",LOWER($F114&amp;"")="membership"),"",IF(LOWER($L114&amp;"")="yes",0,IF($K114&lt;&gt;"",$K114,IF($O114&lt;&gt;"",$O114,"")))))</x:f>
      </x:c>
      <x:c r="Q114" s="114" t="str">
        <x:f>IF(COUNTA($A114:$M114)=0,"",IF(OR($U114="Subscription",$U114=""),"",IF($U114="Profit",ROUND(IFERROR($P114,0)-IFERROR($H114,0),2),0)))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IF(COUNTA($A114:$M114)=0,"",IF(OR(LOWER($F114&amp;"")="subscription",LOWER($F114&amp;"")="membership"),"Subscription",IF(OR(AND($H114&lt;&gt;"",$H114=0),LOWER($F114&amp;"")="free game",LOWER($F114&amp;"")="free",LOWER($F114&amp;"")="free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IF(COUNTA($A114:$M114)=0,"",IF(OR($U114="Subscription",$U114=""),"",IF(OR($U114="Free Game",$U114="Disqualified — Free Game"),0,ROUND(IFERROR($Q114,0)-IFERROR($S114,0),2))))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455"/>
      <x:c r="H115" s="455"/>
      <x:c r="I115" s="456"/>
      <x:c r="J115" s="456"/>
      <x:c r="K115" s="455"/>
      <x:c r="L115" s="454"/>
      <x:c r="M115" s="439"/>
      <x:c r="N115" s="114" t="str">
        <x:f>IF(COUNTA($A115:$M115)=0,"",IF(OR(LOWER($F115&amp;"")="subscription",LOWER($F115&amp;"")="membership"),"",IF($G115="","",IF(ISNUMBER(SEARCH("non",LOWER($E115&amp;""))),$G115*0.85,$G115))))</x:f>
      </x:c>
      <x:c r="O115" s="114" t="str">
        <x:f>IF(COUNTA($A115:$M115)=0,"",IF(OR(LOWER($F115&amp;"")="subscription",LOWER($F115&amp;"")="membership"),"",IF(OR($N115="",$I115="",$I115=0),"",IFERROR($N115/$I115,""))))</x:f>
      </x:c>
      <x:c r="P115" s="114" t="str">
        <x:f>IF(COUNTA($A115:$M115)=0,"",IF(OR(LOWER($F115&amp;"")="subscription",LOWER($F115&amp;"")="membership"),"",IF(LOWER($L115&amp;"")="yes",0,IF($K115&lt;&gt;"",$K115,IF($O115&lt;&gt;"",$O115,"")))))</x:f>
      </x:c>
      <x:c r="Q115" s="114" t="str">
        <x:f>IF(COUNTA($A115:$M115)=0,"",IF(OR($U115="Subscription",$U115=""),"",IF($U115="Profit",ROUND(IFERROR($P115,0)-IFERROR($H115,0),2),0)))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IF(COUNTA($A115:$M115)=0,"",IF(OR(LOWER($F115&amp;"")="subscription",LOWER($F115&amp;"")="membership"),"Subscription",IF(OR(AND($H115&lt;&gt;"",$H115=0),LOWER($F115&amp;"")="free game",LOWER($F115&amp;"")="free",LOWER($F115&amp;"")="free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IF(COUNTA($A115:$M115)=0,"",IF(OR($U115="Subscription",$U115=""),"",IF(OR($U115="Free Game",$U115="Disqualified — Free Game"),0,ROUND(IFERROR($Q115,0)-IFERROR($S115,0),2))))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455"/>
      <x:c r="H116" s="455"/>
      <x:c r="I116" s="456"/>
      <x:c r="J116" s="456"/>
      <x:c r="K116" s="455"/>
      <x:c r="L116" s="454"/>
      <x:c r="M116" s="439"/>
      <x:c r="N116" s="114" t="str">
        <x:f>IF(COUNTA($A116:$M116)=0,"",IF(OR(LOWER($F116&amp;"")="subscription",LOWER($F116&amp;"")="membership"),"",IF($G116="","",IF(ISNUMBER(SEARCH("non",LOWER($E116&amp;""))),$G116*0.85,$G116))))</x:f>
      </x:c>
      <x:c r="O116" s="114" t="str">
        <x:f>IF(COUNTA($A116:$M116)=0,"",IF(OR(LOWER($F116&amp;"")="subscription",LOWER($F116&amp;"")="membership"),"",IF(OR($N116="",$I116="",$I116=0),"",IFERROR($N116/$I116,""))))</x:f>
      </x:c>
      <x:c r="P116" s="114" t="str">
        <x:f>IF(COUNTA($A116:$M116)=0,"",IF(OR(LOWER($F116&amp;"")="subscription",LOWER($F116&amp;"")="membership"),"",IF(LOWER($L116&amp;"")="yes",0,IF($K116&lt;&gt;"",$K116,IF($O116&lt;&gt;"",$O116,"")))))</x:f>
      </x:c>
      <x:c r="Q116" s="114" t="str">
        <x:f>IF(COUNTA($A116:$M116)=0,"",IF(OR($U116="Subscription",$U116=""),"",IF($U116="Profit",ROUND(IFERROR($P116,0)-IFERROR($H116,0),2),0)))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IF(COUNTA($A116:$M116)=0,"",IF(OR(LOWER($F116&amp;"")="subscription",LOWER($F116&amp;"")="membership"),"Subscription",IF(OR(AND($H116&lt;&gt;"",$H116=0),LOWER($F116&amp;"")="free game",LOWER($F116&amp;"")="free",LOWER($F116&amp;"")="free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IF(COUNTA($A116:$M116)=0,"",IF(OR($U116="Subscription",$U116=""),"",IF(OR($U116="Free Game",$U116="Disqualified — Free Game"),0,ROUND(IFERROR($Q116,0)-IFERROR($S116,0),2))))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455"/>
      <x:c r="H117" s="455"/>
      <x:c r="I117" s="456"/>
      <x:c r="J117" s="456"/>
      <x:c r="K117" s="455"/>
      <x:c r="L117" s="454"/>
      <x:c r="M117" s="439"/>
      <x:c r="N117" s="114" t="str">
        <x:f>IF(COUNTA($A117:$M117)=0,"",IF(OR(LOWER($F117&amp;"")="subscription",LOWER($F117&amp;"")="membership"),"",IF($G117="","",IF(ISNUMBER(SEARCH("non",LOWER($E117&amp;""))),$G117*0.85,$G117))))</x:f>
      </x:c>
      <x:c r="O117" s="114" t="str">
        <x:f>IF(COUNTA($A117:$M117)=0,"",IF(OR(LOWER($F117&amp;"")="subscription",LOWER($F117&amp;"")="membership"),"",IF(OR($N117="",$I117="",$I117=0),"",IFERROR($N117/$I117,""))))</x:f>
      </x:c>
      <x:c r="P117" s="114" t="str">
        <x:f>IF(COUNTA($A117:$M117)=0,"",IF(OR(LOWER($F117&amp;"")="subscription",LOWER($F117&amp;"")="membership"),"",IF(LOWER($L117&amp;"")="yes",0,IF($K117&lt;&gt;"",$K117,IF($O117&lt;&gt;"",$O117,"")))))</x:f>
      </x:c>
      <x:c r="Q117" s="114" t="str">
        <x:f>IF(COUNTA($A117:$M117)=0,"",IF(OR($U117="Subscription",$U117=""),"",IF($U117="Profit",ROUND(IFERROR($P117,0)-IFERROR($H117,0),2),0)))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IF(COUNTA($A117:$M117)=0,"",IF(OR(LOWER($F117&amp;"")="subscription",LOWER($F117&amp;"")="membership"),"Subscription",IF(OR(AND($H117&lt;&gt;"",$H117=0),LOWER($F117&amp;"")="free game",LOWER($F117&amp;"")="free",LOWER($F117&amp;"")="free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IF(COUNTA($A117:$M117)=0,"",IF(OR($U117="Subscription",$U117=""),"",IF(OR($U117="Free Game",$U117="Disqualified — Free Game"),0,ROUND(IFERROR($Q117,0)-IFERROR($S117,0),2))))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455"/>
      <x:c r="H118" s="455"/>
      <x:c r="I118" s="456"/>
      <x:c r="J118" s="456"/>
      <x:c r="K118" s="455"/>
      <x:c r="L118" s="454"/>
      <x:c r="M118" s="439"/>
      <x:c r="N118" s="114" t="str">
        <x:f>IF(COUNTA($A118:$M118)=0,"",IF(OR(LOWER($F118&amp;"")="subscription",LOWER($F118&amp;"")="membership"),"",IF($G118="","",IF(ISNUMBER(SEARCH("non",LOWER($E118&amp;""))),$G118*0.85,$G118))))</x:f>
      </x:c>
      <x:c r="O118" s="114" t="str">
        <x:f>IF(COUNTA($A118:$M118)=0,"",IF(OR(LOWER($F118&amp;"")="subscription",LOWER($F118&amp;"")="membership"),"",IF(OR($N118="",$I118="",$I118=0),"",IFERROR($N118/$I118,""))))</x:f>
      </x:c>
      <x:c r="P118" s="114" t="str">
        <x:f>IF(COUNTA($A118:$M118)=0,"",IF(OR(LOWER($F118&amp;"")="subscription",LOWER($F118&amp;"")="membership"),"",IF(LOWER($L118&amp;"")="yes",0,IF($K118&lt;&gt;"",$K118,IF($O118&lt;&gt;"",$O118,"")))))</x:f>
      </x:c>
      <x:c r="Q118" s="114" t="str">
        <x:f>IF(COUNTA($A118:$M118)=0,"",IF(OR($U118="Subscription",$U118=""),"",IF($U118="Profit",ROUND(IFERROR($P118,0)-IFERROR($H118,0),2),0)))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IF(COUNTA($A118:$M118)=0,"",IF(OR(LOWER($F118&amp;"")="subscription",LOWER($F118&amp;"")="membership"),"Subscription",IF(OR(AND($H118&lt;&gt;"",$H118=0),LOWER($F118&amp;"")="free game",LOWER($F118&amp;"")="free",LOWER($F118&amp;"")="free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IF(COUNTA($A118:$M118)=0,"",IF(OR($U118="Subscription",$U118=""),"",IF(OR($U118="Free Game",$U118="Disqualified — Free Game"),0,ROUND(IFERROR($Q118,0)-IFERROR($S118,0),2))))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455"/>
      <x:c r="H119" s="455"/>
      <x:c r="I119" s="456"/>
      <x:c r="J119" s="456"/>
      <x:c r="K119" s="455"/>
      <x:c r="L119" s="454"/>
      <x:c r="M119" s="439"/>
      <x:c r="N119" s="114" t="str">
        <x:f>IF(COUNTA($A119:$M119)=0,"",IF(OR(LOWER($F119&amp;"")="subscription",LOWER($F119&amp;"")="membership"),"",IF($G119="","",IF(ISNUMBER(SEARCH("non",LOWER($E119&amp;""))),$G119*0.85,$G119))))</x:f>
      </x:c>
      <x:c r="O119" s="114" t="str">
        <x:f>IF(COUNTA($A119:$M119)=0,"",IF(OR(LOWER($F119&amp;"")="subscription",LOWER($F119&amp;"")="membership"),"",IF(OR($N119="",$I119="",$I119=0),"",IFERROR($N119/$I119,""))))</x:f>
      </x:c>
      <x:c r="P119" s="114" t="str">
        <x:f>IF(COUNTA($A119:$M119)=0,"",IF(OR(LOWER($F119&amp;"")="subscription",LOWER($F119&amp;"")="membership"),"",IF(LOWER($L119&amp;"")="yes",0,IF($K119&lt;&gt;"",$K119,IF($O119&lt;&gt;"",$O119,"")))))</x:f>
      </x:c>
      <x:c r="Q119" s="114" t="str">
        <x:f>IF(COUNTA($A119:$M119)=0,"",IF(OR($U119="Subscription",$U119=""),"",IF($U119="Profit",ROUND(IFERROR($P119,0)-IFERROR($H119,0),2),0)))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IF(COUNTA($A119:$M119)=0,"",IF(OR(LOWER($F119&amp;"")="subscription",LOWER($F119&amp;"")="membership"),"Subscription",IF(OR(AND($H119&lt;&gt;"",$H119=0),LOWER($F119&amp;"")="free game",LOWER($F119&amp;"")="free",LOWER($F119&amp;"")="free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IF(COUNTA($A119:$M119)=0,"",IF(OR($U119="Subscription",$U119=""),"",IF(OR($U119="Free Game",$U119="Disqualified — Free Game"),0,ROUND(IFERROR($Q119,0)-IFERROR($S119,0),2))))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455"/>
      <x:c r="H120" s="455"/>
      <x:c r="I120" s="456"/>
      <x:c r="J120" s="456"/>
      <x:c r="K120" s="455"/>
      <x:c r="L120" s="454"/>
      <x:c r="M120" s="439"/>
      <x:c r="N120" s="114" t="str">
        <x:f>IF(COUNTA($A120:$M120)=0,"",IF(OR(LOWER($F120&amp;"")="subscription",LOWER($F120&amp;"")="membership"),"",IF($G120="","",IF(ISNUMBER(SEARCH("non",LOWER($E120&amp;""))),$G120*0.85,$G120))))</x:f>
      </x:c>
      <x:c r="O120" s="114" t="str">
        <x:f>IF(COUNTA($A120:$M120)=0,"",IF(OR(LOWER($F120&amp;"")="subscription",LOWER($F120&amp;"")="membership"),"",IF(OR($N120="",$I120="",$I120=0),"",IFERROR($N120/$I120,""))))</x:f>
      </x:c>
      <x:c r="P120" s="114" t="str">
        <x:f>IF(COUNTA($A120:$M120)=0,"",IF(OR(LOWER($F120&amp;"")="subscription",LOWER($F120&amp;"")="membership"),"",IF(LOWER($L120&amp;"")="yes",0,IF($K120&lt;&gt;"",$K120,IF($O120&lt;&gt;"",$O120,"")))))</x:f>
      </x:c>
      <x:c r="Q120" s="114" t="str">
        <x:f>IF(COUNTA($A120:$M120)=0,"",IF(OR($U120="Subscription",$U120=""),"",IF($U120="Profit",ROUND(IFERROR($P120,0)-IFERROR($H120,0),2),0)))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IF(COUNTA($A120:$M120)=0,"",IF(OR(LOWER($F120&amp;"")="subscription",LOWER($F120&amp;"")="membership"),"Subscription",IF(OR(AND($H120&lt;&gt;"",$H120=0),LOWER($F120&amp;"")="free game",LOWER($F120&amp;"")="free",LOWER($F120&amp;"")="free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IF(COUNTA($A120:$M120)=0,"",IF(OR($U120="Subscription",$U120=""),"",IF(OR($U120="Free Game",$U120="Disqualified — Free Game"),0,ROUND(IFERROR($Q120,0)-IFERROR($S120,0),2))))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455"/>
      <x:c r="H121" s="455"/>
      <x:c r="I121" s="456"/>
      <x:c r="J121" s="456"/>
      <x:c r="K121" s="455"/>
      <x:c r="L121" s="454"/>
      <x:c r="M121" s="439"/>
      <x:c r="N121" s="114" t="str">
        <x:f>IF(COUNTA($A121:$M121)=0,"",IF(OR(LOWER($F121&amp;"")="subscription",LOWER($F121&amp;"")="membership"),"",IF($G121="","",IF(ISNUMBER(SEARCH("non",LOWER($E121&amp;""))),$G121*0.85,$G121))))</x:f>
      </x:c>
      <x:c r="O121" s="114" t="str">
        <x:f>IF(COUNTA($A121:$M121)=0,"",IF(OR(LOWER($F121&amp;"")="subscription",LOWER($F121&amp;"")="membership"),"",IF(OR($N121="",$I121="",$I121=0),"",IFERROR($N121/$I121,""))))</x:f>
      </x:c>
      <x:c r="P121" s="114" t="str">
        <x:f>IF(COUNTA($A121:$M121)=0,"",IF(OR(LOWER($F121&amp;"")="subscription",LOWER($F121&amp;"")="membership"),"",IF(LOWER($L121&amp;"")="yes",0,IF($K121&lt;&gt;"",$K121,IF($O121&lt;&gt;"",$O121,"")))))</x:f>
      </x:c>
      <x:c r="Q121" s="114" t="str">
        <x:f>IF(COUNTA($A121:$M121)=0,"",IF(OR($U121="Subscription",$U121=""),"",IF($U121="Profit",ROUND(IFERROR($P121,0)-IFERROR($H121,0),2),0)))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IF(COUNTA($A121:$M121)=0,"",IF(OR(LOWER($F121&amp;"")="subscription",LOWER($F121&amp;"")="membership"),"Subscription",IF(OR(AND($H121&lt;&gt;"",$H121=0),LOWER($F121&amp;"")="free game",LOWER($F121&amp;"")="free",LOWER($F121&amp;"")="free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IF(COUNTA($A121:$M121)=0,"",IF(OR($U121="Subscription",$U121=""),"",IF(OR($U121="Free Game",$U121="Disqualified — Free Game"),0,ROUND(IFERROR($Q121,0)-IFERROR($S121,0),2))))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455"/>
      <x:c r="H122" s="455"/>
      <x:c r="I122" s="456"/>
      <x:c r="J122" s="456"/>
      <x:c r="K122" s="455"/>
      <x:c r="L122" s="454"/>
      <x:c r="M122" s="439"/>
      <x:c r="N122" s="114" t="str">
        <x:f>IF(COUNTA($A122:$M122)=0,"",IF(OR(LOWER($F122&amp;"")="subscription",LOWER($F122&amp;"")="membership"),"",IF($G122="","",IF(ISNUMBER(SEARCH("non",LOWER($E122&amp;""))),$G122*0.85,$G122))))</x:f>
      </x:c>
      <x:c r="O122" s="114" t="str">
        <x:f>IF(COUNTA($A122:$M122)=0,"",IF(OR(LOWER($F122&amp;"")="subscription",LOWER($F122&amp;"")="membership"),"",IF(OR($N122="",$I122="",$I122=0),"",IFERROR($N122/$I122,""))))</x:f>
      </x:c>
      <x:c r="P122" s="114" t="str">
        <x:f>IF(COUNTA($A122:$M122)=0,"",IF(OR(LOWER($F122&amp;"")="subscription",LOWER($F122&amp;"")="membership"),"",IF(LOWER($L122&amp;"")="yes",0,IF($K122&lt;&gt;"",$K122,IF($O122&lt;&gt;"",$O122,"")))))</x:f>
      </x:c>
      <x:c r="Q122" s="114" t="str">
        <x:f>IF(COUNTA($A122:$M122)=0,"",IF(OR($U122="Subscription",$U122=""),"",IF($U122="Profit",ROUND(IFERROR($P122,0)-IFERROR($H122,0),2),0)))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IF(COUNTA($A122:$M122)=0,"",IF(OR(LOWER($F122&amp;"")="subscription",LOWER($F122&amp;"")="membership"),"Subscription",IF(OR(AND($H122&lt;&gt;"",$H122=0),LOWER($F122&amp;"")="free game",LOWER($F122&amp;"")="free",LOWER($F122&amp;"")="free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IF(COUNTA($A122:$M122)=0,"",IF(OR($U122="Subscription",$U122=""),"",IF(OR($U122="Free Game",$U122="Disqualified — Free Game"),0,ROUND(IFERROR($Q122,0)-IFERROR($S122,0),2))))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455"/>
      <x:c r="H123" s="455"/>
      <x:c r="I123" s="456"/>
      <x:c r="J123" s="456"/>
      <x:c r="K123" s="455"/>
      <x:c r="L123" s="454"/>
      <x:c r="M123" s="439"/>
      <x:c r="N123" s="114" t="str">
        <x:f>IF(COUNTA($A123:$M123)=0,"",IF(OR(LOWER($F123&amp;"")="subscription",LOWER($F123&amp;"")="membership"),"",IF($G123="","",IF(ISNUMBER(SEARCH("non",LOWER($E123&amp;""))),$G123*0.85,$G123))))</x:f>
      </x:c>
      <x:c r="O123" s="114" t="str">
        <x:f>IF(COUNTA($A123:$M123)=0,"",IF(OR(LOWER($F123&amp;"")="subscription",LOWER($F123&amp;"")="membership"),"",IF(OR($N123="",$I123="",$I123=0),"",IFERROR($N123/$I123,""))))</x:f>
      </x:c>
      <x:c r="P123" s="114" t="str">
        <x:f>IF(COUNTA($A123:$M123)=0,"",IF(OR(LOWER($F123&amp;"")="subscription",LOWER($F123&amp;"")="membership"),"",IF(LOWER($L123&amp;"")="yes",0,IF($K123&lt;&gt;"",$K123,IF($O123&lt;&gt;"",$O123,"")))))</x:f>
      </x:c>
      <x:c r="Q123" s="114" t="str">
        <x:f>IF(COUNTA($A123:$M123)=0,"",IF(OR($U123="Subscription",$U123=""),"",IF($U123="Profit",ROUND(IFERROR($P123,0)-IFERROR($H123,0),2),0)))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IF(COUNTA($A123:$M123)=0,"",IF(OR(LOWER($F123&amp;"")="subscription",LOWER($F123&amp;"")="membership"),"Subscription",IF(OR(AND($H123&lt;&gt;"",$H123=0),LOWER($F123&amp;"")="free game",LOWER($F123&amp;"")="free",LOWER($F123&amp;"")="free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IF(COUNTA($A123:$M123)=0,"",IF(OR($U123="Subscription",$U123=""),"",IF(OR($U123="Free Game",$U123="Disqualified — Free Game"),0,ROUND(IFERROR($Q123,0)-IFERROR($S123,0),2))))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455"/>
      <x:c r="H124" s="455"/>
      <x:c r="I124" s="456"/>
      <x:c r="J124" s="456"/>
      <x:c r="K124" s="455"/>
      <x:c r="L124" s="454"/>
      <x:c r="M124" s="439"/>
      <x:c r="N124" s="114" t="str">
        <x:f>IF(COUNTA($A124:$M124)=0,"",IF(OR(LOWER($F124&amp;"")="subscription",LOWER($F124&amp;"")="membership"),"",IF($G124="","",IF(ISNUMBER(SEARCH("non",LOWER($E124&amp;""))),$G124*0.85,$G124))))</x:f>
      </x:c>
      <x:c r="O124" s="114" t="str">
        <x:f>IF(COUNTA($A124:$M124)=0,"",IF(OR(LOWER($F124&amp;"")="subscription",LOWER($F124&amp;"")="membership"),"",IF(OR($N124="",$I124="",$I124=0),"",IFERROR($N124/$I124,""))))</x:f>
      </x:c>
      <x:c r="P124" s="114" t="str">
        <x:f>IF(COUNTA($A124:$M124)=0,"",IF(OR(LOWER($F124&amp;"")="subscription",LOWER($F124&amp;"")="membership"),"",IF(LOWER($L124&amp;"")="yes",0,IF($K124&lt;&gt;"",$K124,IF($O124&lt;&gt;"",$O124,"")))))</x:f>
      </x:c>
      <x:c r="Q124" s="114" t="str">
        <x:f>IF(COUNTA($A124:$M124)=0,"",IF(OR($U124="Subscription",$U124=""),"",IF($U124="Profit",ROUND(IFERROR($P124,0)-IFERROR($H124,0),2),0)))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IF(COUNTA($A124:$M124)=0,"",IF(OR(LOWER($F124&amp;"")="subscription",LOWER($F124&amp;"")="membership"),"Subscription",IF(OR(AND($H124&lt;&gt;"",$H124=0),LOWER($F124&amp;"")="free game",LOWER($F124&amp;"")="free",LOWER($F124&amp;"")="free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IF(COUNTA($A124:$M124)=0,"",IF(OR($U124="Subscription",$U124=""),"",IF(OR($U124="Free Game",$U124="Disqualified — Free Game"),0,ROUND(IFERROR($Q124,0)-IFERROR($S124,0),2))))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455"/>
      <x:c r="H125" s="455"/>
      <x:c r="I125" s="456"/>
      <x:c r="J125" s="456"/>
      <x:c r="K125" s="455"/>
      <x:c r="L125" s="454"/>
      <x:c r="M125" s="439"/>
      <x:c r="N125" s="114" t="str">
        <x:f>IF(COUNTA($A125:$M125)=0,"",IF(OR(LOWER($F125&amp;"")="subscription",LOWER($F125&amp;"")="membership"),"",IF($G125="","",IF(ISNUMBER(SEARCH("non",LOWER($E125&amp;""))),$G125*0.85,$G125))))</x:f>
      </x:c>
      <x:c r="O125" s="114" t="str">
        <x:f>IF(COUNTA($A125:$M125)=0,"",IF(OR(LOWER($F125&amp;"")="subscription",LOWER($F125&amp;"")="membership"),"",IF(OR($N125="",$I125="",$I125=0),"",IFERROR($N125/$I125,""))))</x:f>
      </x:c>
      <x:c r="P125" s="114" t="str">
        <x:f>IF(COUNTA($A125:$M125)=0,"",IF(OR(LOWER($F125&amp;"")="subscription",LOWER($F125&amp;"")="membership"),"",IF(LOWER($L125&amp;"")="yes",0,IF($K125&lt;&gt;"",$K125,IF($O125&lt;&gt;"",$O125,"")))))</x:f>
      </x:c>
      <x:c r="Q125" s="114" t="str">
        <x:f>IF(COUNTA($A125:$M125)=0,"",IF(OR($U125="Subscription",$U125=""),"",IF($U125="Profit",ROUND(IFERROR($P125,0)-IFERROR($H125,0),2),0)))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IF(COUNTA($A125:$M125)=0,"",IF(OR(LOWER($F125&amp;"")="subscription",LOWER($F125&amp;"")="membership"),"Subscription",IF(OR(AND($H125&lt;&gt;"",$H125=0),LOWER($F125&amp;"")="free game",LOWER($F125&amp;"")="free",LOWER($F125&amp;"")="free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IF(COUNTA($A125:$M125)=0,"",IF(OR($U125="Subscription",$U125=""),"",IF(OR($U125="Free Game",$U125="Disqualified — Free Game"),0,ROUND(IFERROR($Q125,0)-IFERROR($S125,0),2))))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455"/>
      <x:c r="H126" s="455"/>
      <x:c r="I126" s="456"/>
      <x:c r="J126" s="456"/>
      <x:c r="K126" s="455"/>
      <x:c r="L126" s="454"/>
      <x:c r="M126" s="439"/>
      <x:c r="N126" s="114" t="str">
        <x:f>IF(COUNTA($A126:$M126)=0,"",IF(OR(LOWER($F126&amp;"")="subscription",LOWER($F126&amp;"")="membership"),"",IF($G126="","",IF(ISNUMBER(SEARCH("non",LOWER($E126&amp;""))),$G126*0.85,$G126))))</x:f>
      </x:c>
      <x:c r="O126" s="114" t="str">
        <x:f>IF(COUNTA($A126:$M126)=0,"",IF(OR(LOWER($F126&amp;"")="subscription",LOWER($F126&amp;"")="membership"),"",IF(OR($N126="",$I126="",$I126=0),"",IFERROR($N126/$I126,""))))</x:f>
      </x:c>
      <x:c r="P126" s="114" t="str">
        <x:f>IF(COUNTA($A126:$M126)=0,"",IF(OR(LOWER($F126&amp;"")="subscription",LOWER($F126&amp;"")="membership"),"",IF(LOWER($L126&amp;"")="yes",0,IF($K126&lt;&gt;"",$K126,IF($O126&lt;&gt;"",$O126,"")))))</x:f>
      </x:c>
      <x:c r="Q126" s="114" t="str">
        <x:f>IF(COUNTA($A126:$M126)=0,"",IF(OR($U126="Subscription",$U126=""),"",IF($U126="Profit",ROUND(IFERROR($P126,0)-IFERROR($H126,0),2),0)))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IF(COUNTA($A126:$M126)=0,"",IF(OR(LOWER($F126&amp;"")="subscription",LOWER($F126&amp;"")="membership"),"Subscription",IF(OR(AND($H126&lt;&gt;"",$H126=0),LOWER($F126&amp;"")="free game",LOWER($F126&amp;"")="free",LOWER($F126&amp;"")="free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IF(COUNTA($A126:$M126)=0,"",IF(OR($U126="Subscription",$U126=""),"",IF(OR($U126="Free Game",$U126="Disqualified — Free Game"),0,ROUND(IFERROR($Q126,0)-IFERROR($S126,0),2))))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455"/>
      <x:c r="H127" s="455"/>
      <x:c r="I127" s="456"/>
      <x:c r="J127" s="456"/>
      <x:c r="K127" s="455"/>
      <x:c r="L127" s="454"/>
      <x:c r="M127" s="439"/>
      <x:c r="N127" s="114" t="str">
        <x:f>IF(COUNTA($A127:$M127)=0,"",IF(OR(LOWER($F127&amp;"")="subscription",LOWER($F127&amp;"")="membership"),"",IF($G127="","",IF(ISNUMBER(SEARCH("non",LOWER($E127&amp;""))),$G127*0.85,$G127))))</x:f>
      </x:c>
      <x:c r="O127" s="114" t="str">
        <x:f>IF(COUNTA($A127:$M127)=0,"",IF(OR(LOWER($F127&amp;"")="subscription",LOWER($F127&amp;"")="membership"),"",IF(OR($N127="",$I127="",$I127=0),"",IFERROR($N127/$I127,""))))</x:f>
      </x:c>
      <x:c r="P127" s="114" t="str">
        <x:f>IF(COUNTA($A127:$M127)=0,"",IF(OR(LOWER($F127&amp;"")="subscription",LOWER($F127&amp;"")="membership"),"",IF(LOWER($L127&amp;"")="yes",0,IF($K127&lt;&gt;"",$K127,IF($O127&lt;&gt;"",$O127,"")))))</x:f>
      </x:c>
      <x:c r="Q127" s="114" t="str">
        <x:f>IF(COUNTA($A127:$M127)=0,"",IF(OR($U127="Subscription",$U127=""),"",IF($U127="Profit",ROUND(IFERROR($P127,0)-IFERROR($H127,0),2),0)))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IF(COUNTA($A127:$M127)=0,"",IF(OR(LOWER($F127&amp;"")="subscription",LOWER($F127&amp;"")="membership"),"Subscription",IF(OR(AND($H127&lt;&gt;"",$H127=0),LOWER($F127&amp;"")="free game",LOWER($F127&amp;"")="free",LOWER($F127&amp;"")="free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IF(COUNTA($A127:$M127)=0,"",IF(OR($U127="Subscription",$U127=""),"",IF(OR($U127="Free Game",$U127="Disqualified — Free Game"),0,ROUND(IFERROR($Q127,0)-IFERROR($S127,0),2))))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455"/>
      <x:c r="H128" s="455"/>
      <x:c r="I128" s="456"/>
      <x:c r="J128" s="456"/>
      <x:c r="K128" s="455"/>
      <x:c r="L128" s="454"/>
      <x:c r="M128" s="439"/>
      <x:c r="N128" s="114" t="str">
        <x:f>IF(COUNTA($A128:$M128)=0,"",IF(OR(LOWER($F128&amp;"")="subscription",LOWER($F128&amp;"")="membership"),"",IF($G128="","",IF(ISNUMBER(SEARCH("non",LOWER($E128&amp;""))),$G128*0.85,$G128))))</x:f>
      </x:c>
      <x:c r="O128" s="114" t="str">
        <x:f>IF(COUNTA($A128:$M128)=0,"",IF(OR(LOWER($F128&amp;"")="subscription",LOWER($F128&amp;"")="membership"),"",IF(OR($N128="",$I128="",$I128=0),"",IFERROR($N128/$I128,""))))</x:f>
      </x:c>
      <x:c r="P128" s="114" t="str">
        <x:f>IF(COUNTA($A128:$M128)=0,"",IF(OR(LOWER($F128&amp;"")="subscription",LOWER($F128&amp;"")="membership"),"",IF(LOWER($L128&amp;"")="yes",0,IF($K128&lt;&gt;"",$K128,IF($O128&lt;&gt;"",$O128,"")))))</x:f>
      </x:c>
      <x:c r="Q128" s="114" t="str">
        <x:f>IF(COUNTA($A128:$M128)=0,"",IF(OR($U128="Subscription",$U128=""),"",IF($U128="Profit",ROUND(IFERROR($P128,0)-IFERROR($H128,0),2),0)))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IF(COUNTA($A128:$M128)=0,"",IF(OR(LOWER($F128&amp;"")="subscription",LOWER($F128&amp;"")="membership"),"Subscription",IF(OR(AND($H128&lt;&gt;"",$H128=0),LOWER($F128&amp;"")="free game",LOWER($F128&amp;"")="free",LOWER($F128&amp;"")="free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IF(COUNTA($A128:$M128)=0,"",IF(OR($U128="Subscription",$U128=""),"",IF(OR($U128="Free Game",$U128="Disqualified — Free Game"),0,ROUND(IFERROR($Q128,0)-IFERROR($S128,0),2))))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455"/>
      <x:c r="H129" s="455"/>
      <x:c r="I129" s="456"/>
      <x:c r="J129" s="456"/>
      <x:c r="K129" s="455"/>
      <x:c r="L129" s="454"/>
      <x:c r="M129" s="439"/>
      <x:c r="N129" s="114" t="str">
        <x:f>IF(COUNTA($A129:$M129)=0,"",IF(OR(LOWER($F129&amp;"")="subscription",LOWER($F129&amp;"")="membership"),"",IF($G129="","",IF(ISNUMBER(SEARCH("non",LOWER($E129&amp;""))),$G129*0.85,$G129))))</x:f>
      </x:c>
      <x:c r="O129" s="114" t="str">
        <x:f>IF(COUNTA($A129:$M129)=0,"",IF(OR(LOWER($F129&amp;"")="subscription",LOWER($F129&amp;"")="membership"),"",IF(OR($N129="",$I129="",$I129=0),"",IFERROR($N129/$I129,""))))</x:f>
      </x:c>
      <x:c r="P129" s="114" t="str">
        <x:f>IF(COUNTA($A129:$M129)=0,"",IF(OR(LOWER($F129&amp;"")="subscription",LOWER($F129&amp;"")="membership"),"",IF(LOWER($L129&amp;"")="yes",0,IF($K129&lt;&gt;"",$K129,IF($O129&lt;&gt;"",$O129,"")))))</x:f>
      </x:c>
      <x:c r="Q129" s="114" t="str">
        <x:f>IF(COUNTA($A129:$M129)=0,"",IF(OR($U129="Subscription",$U129=""),"",IF($U129="Profit",ROUND(IFERROR($P129,0)-IFERROR($H129,0),2),0)))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IF(COUNTA($A129:$M129)=0,"",IF(OR(LOWER($F129&amp;"")="subscription",LOWER($F129&amp;"")="membership"),"Subscription",IF(OR(AND($H129&lt;&gt;"",$H129=0),LOWER($F129&amp;"")="free game",LOWER($F129&amp;"")="free",LOWER($F129&amp;"")="free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IF(COUNTA($A129:$M129)=0,"",IF(OR($U129="Subscription",$U129=""),"",IF(OR($U129="Free Game",$U129="Disqualified — Free Game"),0,ROUND(IFERROR($Q129,0)-IFERROR($S129,0),2))))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455"/>
      <x:c r="H130" s="455"/>
      <x:c r="I130" s="456"/>
      <x:c r="J130" s="456"/>
      <x:c r="K130" s="455"/>
      <x:c r="L130" s="454"/>
      <x:c r="M130" s="439"/>
      <x:c r="N130" s="114" t="str">
        <x:f>IF(COUNTA($A130:$M130)=0,"",IF(OR(LOWER($F130&amp;"")="subscription",LOWER($F130&amp;"")="membership"),"",IF($G130="","",IF(ISNUMBER(SEARCH("non",LOWER($E130&amp;""))),$G130*0.85,$G130))))</x:f>
      </x:c>
      <x:c r="O130" s="114" t="str">
        <x:f>IF(COUNTA($A130:$M130)=0,"",IF(OR(LOWER($F130&amp;"")="subscription",LOWER($F130&amp;"")="membership"),"",IF(OR($N130="",$I130="",$I130=0),"",IFERROR($N130/$I130,""))))</x:f>
      </x:c>
      <x:c r="P130" s="114" t="str">
        <x:f>IF(COUNTA($A130:$M130)=0,"",IF(OR(LOWER($F130&amp;"")="subscription",LOWER($F130&amp;"")="membership"),"",IF(LOWER($L130&amp;"")="yes",0,IF($K130&lt;&gt;"",$K130,IF($O130&lt;&gt;"",$O130,"")))))</x:f>
      </x:c>
      <x:c r="Q130" s="114" t="str">
        <x:f>IF(COUNTA($A130:$M130)=0,"",IF(OR($U130="Subscription",$U130=""),"",IF($U130="Profit",ROUND(IFERROR($P130,0)-IFERROR($H130,0),2),0)))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IF(COUNTA($A130:$M130)=0,"",IF(OR(LOWER($F130&amp;"")="subscription",LOWER($F130&amp;"")="membership"),"Subscription",IF(OR(AND($H130&lt;&gt;"",$H130=0),LOWER($F130&amp;"")="free game",LOWER($F130&amp;"")="free",LOWER($F130&amp;"")="free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IF(COUNTA($A130:$M130)=0,"",IF(OR($U130="Subscription",$U130=""),"",IF(OR($U130="Free Game",$U130="Disqualified — Free Game"),0,ROUND(IFERROR($Q130,0)-IFERROR($S130,0),2))))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455"/>
      <x:c r="H131" s="455"/>
      <x:c r="I131" s="456"/>
      <x:c r="J131" s="456"/>
      <x:c r="K131" s="455"/>
      <x:c r="L131" s="454"/>
      <x:c r="M131" s="439"/>
      <x:c r="N131" s="114" t="str">
        <x:f>IF(COUNTA($A131:$M131)=0,"",IF(OR(LOWER($F131&amp;"")="subscription",LOWER($F131&amp;"")="membership"),"",IF($G131="","",IF(ISNUMBER(SEARCH("non",LOWER($E131&amp;""))),$G131*0.85,$G131))))</x:f>
      </x:c>
      <x:c r="O131" s="114" t="str">
        <x:f>IF(COUNTA($A131:$M131)=0,"",IF(OR(LOWER($F131&amp;"")="subscription",LOWER($F131&amp;"")="membership"),"",IF(OR($N131="",$I131="",$I131=0),"",IFERROR($N131/$I131,""))))</x:f>
      </x:c>
      <x:c r="P131" s="114" t="str">
        <x:f>IF(COUNTA($A131:$M131)=0,"",IF(OR(LOWER($F131&amp;"")="subscription",LOWER($F131&amp;"")="membership"),"",IF(LOWER($L131&amp;"")="yes",0,IF($K131&lt;&gt;"",$K131,IF($O131&lt;&gt;"",$O131,"")))))</x:f>
      </x:c>
      <x:c r="Q131" s="114" t="str">
        <x:f>IF(COUNTA($A131:$M131)=0,"",IF(OR($U131="Subscription",$U131=""),"",IF($U131="Profit",ROUND(IFERROR($P131,0)-IFERROR($H131,0),2),0)))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IF(COUNTA($A131:$M131)=0,"",IF(OR(LOWER($F131&amp;"")="subscription",LOWER($F131&amp;"")="membership"),"Subscription",IF(OR(AND($H131&lt;&gt;"",$H131=0),LOWER($F131&amp;"")="free game",LOWER($F131&amp;"")="free",LOWER($F131&amp;"")="free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IF(COUNTA($A131:$M131)=0,"",IF(OR($U131="Subscription",$U131=""),"",IF(OR($U131="Free Game",$U131="Disqualified — Free Game"),0,ROUND(IFERROR($Q131,0)-IFERROR($S131,0),2))))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455"/>
      <x:c r="H132" s="455"/>
      <x:c r="I132" s="456"/>
      <x:c r="J132" s="456"/>
      <x:c r="K132" s="455"/>
      <x:c r="L132" s="454"/>
      <x:c r="M132" s="439"/>
      <x:c r="N132" s="114" t="str">
        <x:f>IF(COUNTA($A132:$M132)=0,"",IF(OR(LOWER($F132&amp;"")="subscription",LOWER($F132&amp;"")="membership"),"",IF($G132="","",IF(ISNUMBER(SEARCH("non",LOWER($E132&amp;""))),$G132*0.85,$G132))))</x:f>
      </x:c>
      <x:c r="O132" s="114" t="str">
        <x:f>IF(COUNTA($A132:$M132)=0,"",IF(OR(LOWER($F132&amp;"")="subscription",LOWER($F132&amp;"")="membership"),"",IF(OR($N132="",$I132="",$I132=0),"",IFERROR($N132/$I132,""))))</x:f>
      </x:c>
      <x:c r="P132" s="114" t="str">
        <x:f>IF(COUNTA($A132:$M132)=0,"",IF(OR(LOWER($F132&amp;"")="subscription",LOWER($F132&amp;"")="membership"),"",IF(LOWER($L132&amp;"")="yes",0,IF($K132&lt;&gt;"",$K132,IF($O132&lt;&gt;"",$O132,"")))))</x:f>
      </x:c>
      <x:c r="Q132" s="114" t="str">
        <x:f>IF(COUNTA($A132:$M132)=0,"",IF(OR($U132="Subscription",$U132=""),"",IF($U132="Profit",ROUND(IFERROR($P132,0)-IFERROR($H132,0),2),0)))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IF(COUNTA($A132:$M132)=0,"",IF(OR(LOWER($F132&amp;"")="subscription",LOWER($F132&amp;"")="membership"),"Subscription",IF(OR(AND($H132&lt;&gt;"",$H132=0),LOWER($F132&amp;"")="free game",LOWER($F132&amp;"")="free",LOWER($F132&amp;"")="free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IF(COUNTA($A132:$M132)=0,"",IF(OR($U132="Subscription",$U132=""),"",IF(OR($U132="Free Game",$U132="Disqualified — Free Game"),0,ROUND(IFERROR($Q132,0)-IFERROR($S132,0),2))))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455"/>
      <x:c r="H133" s="455"/>
      <x:c r="I133" s="456"/>
      <x:c r="J133" s="456"/>
      <x:c r="K133" s="455"/>
      <x:c r="L133" s="454"/>
      <x:c r="M133" s="439"/>
      <x:c r="N133" s="114" t="str">
        <x:f>IF(COUNTA($A133:$M133)=0,"",IF(OR(LOWER($F133&amp;"")="subscription",LOWER($F133&amp;"")="membership"),"",IF($G133="","",IF(ISNUMBER(SEARCH("non",LOWER($E133&amp;""))),$G133*0.85,$G133))))</x:f>
      </x:c>
      <x:c r="O133" s="114" t="str">
        <x:f>IF(COUNTA($A133:$M133)=0,"",IF(OR(LOWER($F133&amp;"")="subscription",LOWER($F133&amp;"")="membership"),"",IF(OR($N133="",$I133="",$I133=0),"",IFERROR($N133/$I133,""))))</x:f>
      </x:c>
      <x:c r="P133" s="114" t="str">
        <x:f>IF(COUNTA($A133:$M133)=0,"",IF(OR(LOWER($F133&amp;"")="subscription",LOWER($F133&amp;"")="membership"),"",IF(LOWER($L133&amp;"")="yes",0,IF($K133&lt;&gt;"",$K133,IF($O133&lt;&gt;"",$O133,"")))))</x:f>
      </x:c>
      <x:c r="Q133" s="114" t="str">
        <x:f>IF(COUNTA($A133:$M133)=0,"",IF(OR($U133="Subscription",$U133=""),"",IF($U133="Profit",ROUND(IFERROR($P133,0)-IFERROR($H133,0),2),0)))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IF(COUNTA($A133:$M133)=0,"",IF(OR(LOWER($F133&amp;"")="subscription",LOWER($F133&amp;"")="membership"),"Subscription",IF(OR(AND($H133&lt;&gt;"",$H133=0),LOWER($F133&amp;"")="free game",LOWER($F133&amp;"")="free",LOWER($F133&amp;"")="free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IF(COUNTA($A133:$M133)=0,"",IF(OR($U133="Subscription",$U133=""),"",IF(OR($U133="Free Game",$U133="Disqualified — Free Game"),0,ROUND(IFERROR($Q133,0)-IFERROR($S133,0),2))))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455"/>
      <x:c r="H134" s="455"/>
      <x:c r="I134" s="456"/>
      <x:c r="J134" s="456"/>
      <x:c r="K134" s="455"/>
      <x:c r="L134" s="454"/>
      <x:c r="M134" s="439"/>
      <x:c r="N134" s="114" t="str">
        <x:f>IF(COUNTA($A134:$M134)=0,"",IF(OR(LOWER($F134&amp;"")="subscription",LOWER($F134&amp;"")="membership"),"",IF($G134="","",IF(ISNUMBER(SEARCH("non",LOWER($E134&amp;""))),$G134*0.85,$G134))))</x:f>
      </x:c>
      <x:c r="O134" s="114" t="str">
        <x:f>IF(COUNTA($A134:$M134)=0,"",IF(OR(LOWER($F134&amp;"")="subscription",LOWER($F134&amp;"")="membership"),"",IF(OR($N134="",$I134="",$I134=0),"",IFERROR($N134/$I134,""))))</x:f>
      </x:c>
      <x:c r="P134" s="114" t="str">
        <x:f>IF(COUNTA($A134:$M134)=0,"",IF(OR(LOWER($F134&amp;"")="subscription",LOWER($F134&amp;"")="membership"),"",IF(LOWER($L134&amp;"")="yes",0,IF($K134&lt;&gt;"",$K134,IF($O134&lt;&gt;"",$O134,"")))))</x:f>
      </x:c>
      <x:c r="Q134" s="114" t="str">
        <x:f>IF(COUNTA($A134:$M134)=0,"",IF(OR($U134="Subscription",$U134=""),"",IF($U134="Profit",ROUND(IFERROR($P134,0)-IFERROR($H134,0),2),0)))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IF(COUNTA($A134:$M134)=0,"",IF(OR(LOWER($F134&amp;"")="subscription",LOWER($F134&amp;"")="membership"),"Subscription",IF(OR(AND($H134&lt;&gt;"",$H134=0),LOWER($F134&amp;"")="free game",LOWER($F134&amp;"")="free",LOWER($F134&amp;"")="free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IF(COUNTA($A134:$M134)=0,"",IF(OR($U134="Subscription",$U134=""),"",IF(OR($U134="Free Game",$U134="Disqualified — Free Game"),0,ROUND(IFERROR($Q134,0)-IFERROR($S134,0),2))))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455"/>
      <x:c r="H135" s="455"/>
      <x:c r="I135" s="456"/>
      <x:c r="J135" s="456"/>
      <x:c r="K135" s="455"/>
      <x:c r="L135" s="454"/>
      <x:c r="M135" s="439"/>
      <x:c r="N135" s="114" t="str">
        <x:f>IF(COUNTA($A135:$M135)=0,"",IF(OR(LOWER($F135&amp;"")="subscription",LOWER($F135&amp;"")="membership"),"",IF($G135="","",IF(ISNUMBER(SEARCH("non",LOWER($E135&amp;""))),$G135*0.85,$G135))))</x:f>
      </x:c>
      <x:c r="O135" s="114" t="str">
        <x:f>IF(COUNTA($A135:$M135)=0,"",IF(OR(LOWER($F135&amp;"")="subscription",LOWER($F135&amp;"")="membership"),"",IF(OR($N135="",$I135="",$I135=0),"",IFERROR($N135/$I135,""))))</x:f>
      </x:c>
      <x:c r="P135" s="114" t="str">
        <x:f>IF(COUNTA($A135:$M135)=0,"",IF(OR(LOWER($F135&amp;"")="subscription",LOWER($F135&amp;"")="membership"),"",IF(LOWER($L135&amp;"")="yes",0,IF($K135&lt;&gt;"",$K135,IF($O135&lt;&gt;"",$O135,"")))))</x:f>
      </x:c>
      <x:c r="Q135" s="114" t="str">
        <x:f>IF(COUNTA($A135:$M135)=0,"",IF(OR($U135="Subscription",$U135=""),"",IF($U135="Profit",ROUND(IFERROR($P135,0)-IFERROR($H135,0),2),0)))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IF(COUNTA($A135:$M135)=0,"",IF(OR(LOWER($F135&amp;"")="subscription",LOWER($F135&amp;"")="membership"),"Subscription",IF(OR(AND($H135&lt;&gt;"",$H135=0),LOWER($F135&amp;"")="free game",LOWER($F135&amp;"")="free",LOWER($F135&amp;"")="free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IF(COUNTA($A135:$M135)=0,"",IF(OR($U135="Subscription",$U135=""),"",IF(OR($U135="Free Game",$U135="Disqualified — Free Game"),0,ROUND(IFERROR($Q135,0)-IFERROR($S135,0),2))))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455"/>
      <x:c r="H136" s="455"/>
      <x:c r="I136" s="456"/>
      <x:c r="J136" s="456"/>
      <x:c r="K136" s="455"/>
      <x:c r="L136" s="454"/>
      <x:c r="M136" s="439"/>
      <x:c r="N136" s="114" t="str">
        <x:f>IF(COUNTA($A136:$M136)=0,"",IF(OR(LOWER($F136&amp;"")="subscription",LOWER($F136&amp;"")="membership"),"",IF($G136="","",IF(ISNUMBER(SEARCH("non",LOWER($E136&amp;""))),$G136*0.85,$G136))))</x:f>
      </x:c>
      <x:c r="O136" s="114" t="str">
        <x:f>IF(COUNTA($A136:$M136)=0,"",IF(OR(LOWER($F136&amp;"")="subscription",LOWER($F136&amp;"")="membership"),"",IF(OR($N136="",$I136="",$I136=0),"",IFERROR($N136/$I136,""))))</x:f>
      </x:c>
      <x:c r="P136" s="114" t="str">
        <x:f>IF(COUNTA($A136:$M136)=0,"",IF(OR(LOWER($F136&amp;"")="subscription",LOWER($F136&amp;"")="membership"),"",IF(LOWER($L136&amp;"")="yes",0,IF($K136&lt;&gt;"",$K136,IF($O136&lt;&gt;"",$O136,"")))))</x:f>
      </x:c>
      <x:c r="Q136" s="114" t="str">
        <x:f>IF(COUNTA($A136:$M136)=0,"",IF(OR($U136="Subscription",$U136=""),"",IF($U136="Profit",ROUND(IFERROR($P136,0)-IFERROR($H136,0),2),0)))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IF(COUNTA($A136:$M136)=0,"",IF(OR(LOWER($F136&amp;"")="subscription",LOWER($F136&amp;"")="membership"),"Subscription",IF(OR(AND($H136&lt;&gt;"",$H136=0),LOWER($F136&amp;"")="free game",LOWER($F136&amp;"")="free",LOWER($F136&amp;"")="free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IF(COUNTA($A136:$M136)=0,"",IF(OR($U136="Subscription",$U136=""),"",IF(OR($U136="Free Game",$U136="Disqualified — Free Game"),0,ROUND(IFERROR($Q136,0)-IFERROR($S136,0),2))))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455"/>
      <x:c r="H137" s="455"/>
      <x:c r="I137" s="456"/>
      <x:c r="J137" s="456"/>
      <x:c r="K137" s="455"/>
      <x:c r="L137" s="454"/>
      <x:c r="M137" s="439"/>
      <x:c r="N137" s="114" t="str">
        <x:f>IF(COUNTA($A137:$M137)=0,"",IF(OR(LOWER($F137&amp;"")="subscription",LOWER($F137&amp;"")="membership"),"",IF($G137="","",IF(ISNUMBER(SEARCH("non",LOWER($E137&amp;""))),$G137*0.85,$G137))))</x:f>
      </x:c>
      <x:c r="O137" s="114" t="str">
        <x:f>IF(COUNTA($A137:$M137)=0,"",IF(OR(LOWER($F137&amp;"")="subscription",LOWER($F137&amp;"")="membership"),"",IF(OR($N137="",$I137="",$I137=0),"",IFERROR($N137/$I137,""))))</x:f>
      </x:c>
      <x:c r="P137" s="114" t="str">
        <x:f>IF(COUNTA($A137:$M137)=0,"",IF(OR(LOWER($F137&amp;"")="subscription",LOWER($F137&amp;"")="membership"),"",IF(LOWER($L137&amp;"")="yes",0,IF($K137&lt;&gt;"",$K137,IF($O137&lt;&gt;"",$O137,"")))))</x:f>
      </x:c>
      <x:c r="Q137" s="114" t="str">
        <x:f>IF(COUNTA($A137:$M137)=0,"",IF(OR($U137="Subscription",$U137=""),"",IF($U137="Profit",ROUND(IFERROR($P137,0)-IFERROR($H137,0),2),0)))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IF(COUNTA($A137:$M137)=0,"",IF(OR(LOWER($F137&amp;"")="subscription",LOWER($F137&amp;"")="membership"),"Subscription",IF(OR(AND($H137&lt;&gt;"",$H137=0),LOWER($F137&amp;"")="free game",LOWER($F137&amp;"")="free",LOWER($F137&amp;"")="free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IF(COUNTA($A137:$M137)=0,"",IF(OR($U137="Subscription",$U137=""),"",IF(OR($U137="Free Game",$U137="Disqualified — Free Game"),0,ROUND(IFERROR($Q137,0)-IFERROR($S137,0),2))))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455"/>
      <x:c r="H138" s="455"/>
      <x:c r="I138" s="456"/>
      <x:c r="J138" s="456"/>
      <x:c r="K138" s="455"/>
      <x:c r="L138" s="454"/>
      <x:c r="M138" s="439"/>
      <x:c r="N138" s="114" t="str">
        <x:f>IF(COUNTA($A138:$M138)=0,"",IF(OR(LOWER($F138&amp;"")="subscription",LOWER($F138&amp;"")="membership"),"",IF($G138="","",IF(ISNUMBER(SEARCH("non",LOWER($E138&amp;""))),$G138*0.85,$G138))))</x:f>
      </x:c>
      <x:c r="O138" s="114" t="str">
        <x:f>IF(COUNTA($A138:$M138)=0,"",IF(OR(LOWER($F138&amp;"")="subscription",LOWER($F138&amp;"")="membership"),"",IF(OR($N138="",$I138="",$I138=0),"",IFERROR($N138/$I138,""))))</x:f>
      </x:c>
      <x:c r="P138" s="114" t="str">
        <x:f>IF(COUNTA($A138:$M138)=0,"",IF(OR(LOWER($F138&amp;"")="subscription",LOWER($F138&amp;"")="membership"),"",IF(LOWER($L138&amp;"")="yes",0,IF($K138&lt;&gt;"",$K138,IF($O138&lt;&gt;"",$O138,"")))))</x:f>
      </x:c>
      <x:c r="Q138" s="114" t="str">
        <x:f>IF(COUNTA($A138:$M138)=0,"",IF(OR($U138="Subscription",$U138=""),"",IF($U138="Profit",ROUND(IFERROR($P138,0)-IFERROR($H138,0),2),0)))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IF(COUNTA($A138:$M138)=0,"",IF(OR(LOWER($F138&amp;"")="subscription",LOWER($F138&amp;"")="membership"),"Subscription",IF(OR(AND($H138&lt;&gt;"",$H138=0),LOWER($F138&amp;"")="free game",LOWER($F138&amp;"")="free",LOWER($F138&amp;"")="free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IF(COUNTA($A138:$M138)=0,"",IF(OR($U138="Subscription",$U138=""),"",IF(OR($U138="Free Game",$U138="Disqualified — Free Game"),0,ROUND(IFERROR($Q138,0)-IFERROR($S138,0),2))))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455"/>
      <x:c r="H139" s="455"/>
      <x:c r="I139" s="456"/>
      <x:c r="J139" s="456"/>
      <x:c r="K139" s="455"/>
      <x:c r="L139" s="454"/>
      <x:c r="M139" s="439"/>
      <x:c r="N139" s="114" t="str">
        <x:f>IF(COUNTA($A139:$M139)=0,"",IF(OR(LOWER($F139&amp;"")="subscription",LOWER($F139&amp;"")="membership"),"",IF($G139="","",IF(ISNUMBER(SEARCH("non",LOWER($E139&amp;""))),$G139*0.85,$G139))))</x:f>
      </x:c>
      <x:c r="O139" s="114" t="str">
        <x:f>IF(COUNTA($A139:$M139)=0,"",IF(OR(LOWER($F139&amp;"")="subscription",LOWER($F139&amp;"")="membership"),"",IF(OR($N139="",$I139="",$I139=0),"",IFERROR($N139/$I139,""))))</x:f>
      </x:c>
      <x:c r="P139" s="114" t="str">
        <x:f>IF(COUNTA($A139:$M139)=0,"",IF(OR(LOWER($F139&amp;"")="subscription",LOWER($F139&amp;"")="membership"),"",IF(LOWER($L139&amp;"")="yes",0,IF($K139&lt;&gt;"",$K139,IF($O139&lt;&gt;"",$O139,"")))))</x:f>
      </x:c>
      <x:c r="Q139" s="114" t="str">
        <x:f>IF(COUNTA($A139:$M139)=0,"",IF(OR($U139="Subscription",$U139=""),"",IF($U139="Profit",ROUND(IFERROR($P139,0)-IFERROR($H139,0),2),0)))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IF(COUNTA($A139:$M139)=0,"",IF(OR(LOWER($F139&amp;"")="subscription",LOWER($F139&amp;"")="membership"),"Subscription",IF(OR(AND($H139&lt;&gt;"",$H139=0),LOWER($F139&amp;"")="free game",LOWER($F139&amp;"")="free",LOWER($F139&amp;"")="free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IF(COUNTA($A139:$M139)=0,"",IF(OR($U139="Subscription",$U139=""),"",IF(OR($U139="Free Game",$U139="Disqualified — Free Game"),0,ROUND(IFERROR($Q139,0)-IFERROR($S139,0),2))))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455"/>
      <x:c r="H140" s="455"/>
      <x:c r="I140" s="456"/>
      <x:c r="J140" s="456"/>
      <x:c r="K140" s="455"/>
      <x:c r="L140" s="454"/>
      <x:c r="M140" s="439"/>
      <x:c r="N140" s="114" t="str">
        <x:f>IF(COUNTA($A140:$M140)=0,"",IF(OR(LOWER($F140&amp;"")="subscription",LOWER($F140&amp;"")="membership"),"",IF($G140="","",IF(ISNUMBER(SEARCH("non",LOWER($E140&amp;""))),$G140*0.85,$G140))))</x:f>
      </x:c>
      <x:c r="O140" s="114" t="str">
        <x:f>IF(COUNTA($A140:$M140)=0,"",IF(OR(LOWER($F140&amp;"")="subscription",LOWER($F140&amp;"")="membership"),"",IF(OR($N140="",$I140="",$I140=0),"",IFERROR($N140/$I140,""))))</x:f>
      </x:c>
      <x:c r="P140" s="114" t="str">
        <x:f>IF(COUNTA($A140:$M140)=0,"",IF(OR(LOWER($F140&amp;"")="subscription",LOWER($F140&amp;"")="membership"),"",IF(LOWER($L140&amp;"")="yes",0,IF($K140&lt;&gt;"",$K140,IF($O140&lt;&gt;"",$O140,"")))))</x:f>
      </x:c>
      <x:c r="Q140" s="114" t="str">
        <x:f>IF(COUNTA($A140:$M140)=0,"",IF(OR($U140="Subscription",$U140=""),"",IF($U140="Profit",ROUND(IFERROR($P140,0)-IFERROR($H140,0),2),0)))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IF(COUNTA($A140:$M140)=0,"",IF(OR(LOWER($F140&amp;"")="subscription",LOWER($F140&amp;"")="membership"),"Subscription",IF(OR(AND($H140&lt;&gt;"",$H140=0),LOWER($F140&amp;"")="free game",LOWER($F140&amp;"")="free",LOWER($F140&amp;"")="free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IF(COUNTA($A140:$M140)=0,"",IF(OR($U140="Subscription",$U140=""),"",IF(OR($U140="Free Game",$U140="Disqualified — Free Game"),0,ROUND(IFERROR($Q140,0)-IFERROR($S140,0),2))))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455"/>
      <x:c r="H141" s="455"/>
      <x:c r="I141" s="456"/>
      <x:c r="J141" s="456"/>
      <x:c r="K141" s="455"/>
      <x:c r="L141" s="454"/>
      <x:c r="M141" s="439"/>
      <x:c r="N141" s="114" t="str">
        <x:f>IF(COUNTA($A141:$M141)=0,"",IF(OR(LOWER($F141&amp;"")="subscription",LOWER($F141&amp;"")="membership"),"",IF($G141="","",IF(ISNUMBER(SEARCH("non",LOWER($E141&amp;""))),$G141*0.85,$G141))))</x:f>
      </x:c>
      <x:c r="O141" s="114" t="str">
        <x:f>IF(COUNTA($A141:$M141)=0,"",IF(OR(LOWER($F141&amp;"")="subscription",LOWER($F141&amp;"")="membership"),"",IF(OR($N141="",$I141="",$I141=0),"",IFERROR($N141/$I141,""))))</x:f>
      </x:c>
      <x:c r="P141" s="114" t="str">
        <x:f>IF(COUNTA($A141:$M141)=0,"",IF(OR(LOWER($F141&amp;"")="subscription",LOWER($F141&amp;"")="membership"),"",IF(LOWER($L141&amp;"")="yes",0,IF($K141&lt;&gt;"",$K141,IF($O141&lt;&gt;"",$O141,"")))))</x:f>
      </x:c>
      <x:c r="Q141" s="114" t="str">
        <x:f>IF(COUNTA($A141:$M141)=0,"",IF(OR($U141="Subscription",$U141=""),"",IF($U141="Profit",ROUND(IFERROR($P141,0)-IFERROR($H141,0),2),0)))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IF(COUNTA($A141:$M141)=0,"",IF(OR(LOWER($F141&amp;"")="subscription",LOWER($F141&amp;"")="membership"),"Subscription",IF(OR(AND($H141&lt;&gt;"",$H141=0),LOWER($F141&amp;"")="free game",LOWER($F141&amp;"")="free",LOWER($F141&amp;"")="free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IF(COUNTA($A141:$M141)=0,"",IF(OR($U141="Subscription",$U141=""),"",IF(OR($U141="Free Game",$U141="Disqualified — Free Game"),0,ROUND(IFERROR($Q141,0)-IFERROR($S141,0),2))))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455"/>
      <x:c r="H142" s="455"/>
      <x:c r="I142" s="456"/>
      <x:c r="J142" s="456"/>
      <x:c r="K142" s="455"/>
      <x:c r="L142" s="454"/>
      <x:c r="M142" s="439"/>
      <x:c r="N142" s="114" t="str">
        <x:f>IF(COUNTA($A142:$M142)=0,"",IF(OR(LOWER($F142&amp;"")="subscription",LOWER($F142&amp;"")="membership"),"",IF($G142="","",IF(ISNUMBER(SEARCH("non",LOWER($E142&amp;""))),$G142*0.85,$G142))))</x:f>
      </x:c>
      <x:c r="O142" s="114" t="str">
        <x:f>IF(COUNTA($A142:$M142)=0,"",IF(OR(LOWER($F142&amp;"")="subscription",LOWER($F142&amp;"")="membership"),"",IF(OR($N142="",$I142="",$I142=0),"",IFERROR($N142/$I142,""))))</x:f>
      </x:c>
      <x:c r="P142" s="114" t="str">
        <x:f>IF(COUNTA($A142:$M142)=0,"",IF(OR(LOWER($F142&amp;"")="subscription",LOWER($F142&amp;"")="membership"),"",IF(LOWER($L142&amp;"")="yes",0,IF($K142&lt;&gt;"",$K142,IF($O142&lt;&gt;"",$O142,"")))))</x:f>
      </x:c>
      <x:c r="Q142" s="114" t="str">
        <x:f>IF(COUNTA($A142:$M142)=0,"",IF(OR($U142="Subscription",$U142=""),"",IF($U142="Profit",ROUND(IFERROR($P142,0)-IFERROR($H142,0),2),0)))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IF(COUNTA($A142:$M142)=0,"",IF(OR(LOWER($F142&amp;"")="subscription",LOWER($F142&amp;"")="membership"),"Subscription",IF(OR(AND($H142&lt;&gt;"",$H142=0),LOWER($F142&amp;"")="free game",LOWER($F142&amp;"")="free",LOWER($F142&amp;"")="free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IF(COUNTA($A142:$M142)=0,"",IF(OR($U142="Subscription",$U142=""),"",IF(OR($U142="Free Game",$U142="Disqualified — Free Game"),0,ROUND(IFERROR($Q142,0)-IFERROR($S142,0),2))))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455"/>
      <x:c r="H143" s="455"/>
      <x:c r="I143" s="456"/>
      <x:c r="J143" s="456"/>
      <x:c r="K143" s="455"/>
      <x:c r="L143" s="454"/>
      <x:c r="M143" s="439"/>
      <x:c r="N143" s="114" t="str">
        <x:f>IF(COUNTA($A143:$M143)=0,"",IF(OR(LOWER($F143&amp;"")="subscription",LOWER($F143&amp;"")="membership"),"",IF($G143="","",IF(ISNUMBER(SEARCH("non",LOWER($E143&amp;""))),$G143*0.85,$G143))))</x:f>
      </x:c>
      <x:c r="O143" s="114" t="str">
        <x:f>IF(COUNTA($A143:$M143)=0,"",IF(OR(LOWER($F143&amp;"")="subscription",LOWER($F143&amp;"")="membership"),"",IF(OR($N143="",$I143="",$I143=0),"",IFERROR($N143/$I143,""))))</x:f>
      </x:c>
      <x:c r="P143" s="114" t="str">
        <x:f>IF(COUNTA($A143:$M143)=0,"",IF(OR(LOWER($F143&amp;"")="subscription",LOWER($F143&amp;"")="membership"),"",IF(LOWER($L143&amp;"")="yes",0,IF($K143&lt;&gt;"",$K143,IF($O143&lt;&gt;"",$O143,"")))))</x:f>
      </x:c>
      <x:c r="Q143" s="114" t="str">
        <x:f>IF(COUNTA($A143:$M143)=0,"",IF(OR($U143="Subscription",$U143=""),"",IF($U143="Profit",ROUND(IFERROR($P143,0)-IFERROR($H143,0),2),0)))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IF(COUNTA($A143:$M143)=0,"",IF(OR(LOWER($F143&amp;"")="subscription",LOWER($F143&amp;"")="membership"),"Subscription",IF(OR(AND($H143&lt;&gt;"",$H143=0),LOWER($F143&amp;"")="free game",LOWER($F143&amp;"")="free",LOWER($F143&amp;"")="free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IF(COUNTA($A143:$M143)=0,"",IF(OR($U143="Subscription",$U143=""),"",IF(OR($U143="Free Game",$U143="Disqualified — Free Game"),0,ROUND(IFERROR($Q143,0)-IFERROR($S143,0),2))))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455"/>
      <x:c r="H144" s="455"/>
      <x:c r="I144" s="456"/>
      <x:c r="J144" s="456"/>
      <x:c r="K144" s="455"/>
      <x:c r="L144" s="454"/>
      <x:c r="M144" s="439"/>
      <x:c r="N144" s="114" t="str">
        <x:f>IF(COUNTA($A144:$M144)=0,"",IF(OR(LOWER($F144&amp;"")="subscription",LOWER($F144&amp;"")="membership"),"",IF($G144="","",IF(ISNUMBER(SEARCH("non",LOWER($E144&amp;""))),$G144*0.85,$G144))))</x:f>
      </x:c>
      <x:c r="O144" s="114" t="str">
        <x:f>IF(COUNTA($A144:$M144)=0,"",IF(OR(LOWER($F144&amp;"")="subscription",LOWER($F144&amp;"")="membership"),"",IF(OR($N144="",$I144="",$I144=0),"",IFERROR($N144/$I144,""))))</x:f>
      </x:c>
      <x:c r="P144" s="114" t="str">
        <x:f>IF(COUNTA($A144:$M144)=0,"",IF(OR(LOWER($F144&amp;"")="subscription",LOWER($F144&amp;"")="membership"),"",IF(LOWER($L144&amp;"")="yes",0,IF($K144&lt;&gt;"",$K144,IF($O144&lt;&gt;"",$O144,"")))))</x:f>
      </x:c>
      <x:c r="Q144" s="114" t="str">
        <x:f>IF(COUNTA($A144:$M144)=0,"",IF(OR($U144="Subscription",$U144=""),"",IF($U144="Profit",ROUND(IFERROR($P144,0)-IFERROR($H144,0),2),0)))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IF(COUNTA($A144:$M144)=0,"",IF(OR(LOWER($F144&amp;"")="subscription",LOWER($F144&amp;"")="membership"),"Subscription",IF(OR(AND($H144&lt;&gt;"",$H144=0),LOWER($F144&amp;"")="free game",LOWER($F144&amp;"")="free",LOWER($F144&amp;"")="free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IF(COUNTA($A144:$M144)=0,"",IF(OR($U144="Subscription",$U144=""),"",IF(OR($U144="Free Game",$U144="Disqualified — Free Game"),0,ROUND(IFERROR($Q144,0)-IFERROR($S144,0),2))))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455"/>
      <x:c r="H145" s="455"/>
      <x:c r="I145" s="456"/>
      <x:c r="J145" s="456"/>
      <x:c r="K145" s="455"/>
      <x:c r="L145" s="454"/>
      <x:c r="M145" s="439"/>
      <x:c r="N145" s="114" t="str">
        <x:f>IF(COUNTA($A145:$M145)=0,"",IF(OR(LOWER($F145&amp;"")="subscription",LOWER($F145&amp;"")="membership"),"",IF($G145="","",IF(ISNUMBER(SEARCH("non",LOWER($E145&amp;""))),$G145*0.85,$G145))))</x:f>
      </x:c>
      <x:c r="O145" s="114" t="str">
        <x:f>IF(COUNTA($A145:$M145)=0,"",IF(OR(LOWER($F145&amp;"")="subscription",LOWER($F145&amp;"")="membership"),"",IF(OR($N145="",$I145="",$I145=0),"",IFERROR($N145/$I145,""))))</x:f>
      </x:c>
      <x:c r="P145" s="114" t="str">
        <x:f>IF(COUNTA($A145:$M145)=0,"",IF(OR(LOWER($F145&amp;"")="subscription",LOWER($F145&amp;"")="membership"),"",IF(LOWER($L145&amp;"")="yes",0,IF($K145&lt;&gt;"",$K145,IF($O145&lt;&gt;"",$O145,"")))))</x:f>
      </x:c>
      <x:c r="Q145" s="114" t="str">
        <x:f>IF(COUNTA($A145:$M145)=0,"",IF(OR($U145="Subscription",$U145=""),"",IF($U145="Profit",ROUND(IFERROR($P145,0)-IFERROR($H145,0),2),0)))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IF(COUNTA($A145:$M145)=0,"",IF(OR(LOWER($F145&amp;"")="subscription",LOWER($F145&amp;"")="membership"),"Subscription",IF(OR(AND($H145&lt;&gt;"",$H145=0),LOWER($F145&amp;"")="free game",LOWER($F145&amp;"")="free",LOWER($F145&amp;"")="free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IF(COUNTA($A145:$M145)=0,"",IF(OR($U145="Subscription",$U145=""),"",IF(OR($U145="Free Game",$U145="Disqualified — Free Game"),0,ROUND(IFERROR($Q145,0)-IFERROR($S145,0),2))))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455"/>
      <x:c r="H146" s="455"/>
      <x:c r="I146" s="456"/>
      <x:c r="J146" s="456"/>
      <x:c r="K146" s="455"/>
      <x:c r="L146" s="454"/>
      <x:c r="M146" s="439"/>
      <x:c r="N146" s="114" t="str">
        <x:f>IF(COUNTA($A146:$M146)=0,"",IF(OR(LOWER($F146&amp;"")="subscription",LOWER($F146&amp;"")="membership"),"",IF($G146="","",IF(ISNUMBER(SEARCH("non",LOWER($E146&amp;""))),$G146*0.85,$G146))))</x:f>
      </x:c>
      <x:c r="O146" s="114" t="str">
        <x:f>IF(COUNTA($A146:$M146)=0,"",IF(OR(LOWER($F146&amp;"")="subscription",LOWER($F146&amp;"")="membership"),"",IF(OR($N146="",$I146="",$I146=0),"",IFERROR($N146/$I146,""))))</x:f>
      </x:c>
      <x:c r="P146" s="114" t="str">
        <x:f>IF(COUNTA($A146:$M146)=0,"",IF(OR(LOWER($F146&amp;"")="subscription",LOWER($F146&amp;"")="membership"),"",IF(LOWER($L146&amp;"")="yes",0,IF($K146&lt;&gt;"",$K146,IF($O146&lt;&gt;"",$O146,"")))))</x:f>
      </x:c>
      <x:c r="Q146" s="114" t="str">
        <x:f>IF(COUNTA($A146:$M146)=0,"",IF(OR($U146="Subscription",$U146=""),"",IF($U146="Profit",ROUND(IFERROR($P146,0)-IFERROR($H146,0),2),0)))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IF(COUNTA($A146:$M146)=0,"",IF(OR(LOWER($F146&amp;"")="subscription",LOWER($F146&amp;"")="membership"),"Subscription",IF(OR(AND($H146&lt;&gt;"",$H146=0),LOWER($F146&amp;"")="free game",LOWER($F146&amp;"")="free",LOWER($F146&amp;"")="free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IF(COUNTA($A146:$M146)=0,"",IF(OR($U146="Subscription",$U146=""),"",IF(OR($U146="Free Game",$U146="Disqualified — Free Game"),0,ROUND(IFERROR($Q146,0)-IFERROR($S146,0),2))))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455"/>
      <x:c r="H147" s="455"/>
      <x:c r="I147" s="456"/>
      <x:c r="J147" s="456"/>
      <x:c r="K147" s="455"/>
      <x:c r="L147" s="454"/>
      <x:c r="M147" s="439"/>
      <x:c r="N147" s="114" t="str">
        <x:f>IF(COUNTA($A147:$M147)=0,"",IF(OR(LOWER($F147&amp;"")="subscription",LOWER($F147&amp;"")="membership"),"",IF($G147="","",IF(ISNUMBER(SEARCH("non",LOWER($E147&amp;""))),$G147*0.85,$G147))))</x:f>
      </x:c>
      <x:c r="O147" s="114" t="str">
        <x:f>IF(COUNTA($A147:$M147)=0,"",IF(OR(LOWER($F147&amp;"")="subscription",LOWER($F147&amp;"")="membership"),"",IF(OR($N147="",$I147="",$I147=0),"",IFERROR($N147/$I147,""))))</x:f>
      </x:c>
      <x:c r="P147" s="114" t="str">
        <x:f>IF(COUNTA($A147:$M147)=0,"",IF(OR(LOWER($F147&amp;"")="subscription",LOWER($F147&amp;"")="membership"),"",IF(LOWER($L147&amp;"")="yes",0,IF($K147&lt;&gt;"",$K147,IF($O147&lt;&gt;"",$O147,"")))))</x:f>
      </x:c>
      <x:c r="Q147" s="114" t="str">
        <x:f>IF(COUNTA($A147:$M147)=0,"",IF(OR($U147="Subscription",$U147=""),"",IF($U147="Profit",ROUND(IFERROR($P147,0)-IFERROR($H147,0),2),0)))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IF(COUNTA($A147:$M147)=0,"",IF(OR(LOWER($F147&amp;"")="subscription",LOWER($F147&amp;"")="membership"),"Subscription",IF(OR(AND($H147&lt;&gt;"",$H147=0),LOWER($F147&amp;"")="free game",LOWER($F147&amp;"")="free",LOWER($F147&amp;"")="free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IF(COUNTA($A147:$M147)=0,"",IF(OR($U147="Subscription",$U147=""),"",IF(OR($U147="Free Game",$U147="Disqualified — Free Game"),0,ROUND(IFERROR($Q147,0)-IFERROR($S147,0),2))))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455"/>
      <x:c r="H148" s="455"/>
      <x:c r="I148" s="456"/>
      <x:c r="J148" s="456"/>
      <x:c r="K148" s="455"/>
      <x:c r="L148" s="454"/>
      <x:c r="M148" s="439"/>
      <x:c r="N148" s="114" t="str">
        <x:f>IF(COUNTA($A148:$M148)=0,"",IF(OR(LOWER($F148&amp;"")="subscription",LOWER($F148&amp;"")="membership"),"",IF($G148="","",IF(ISNUMBER(SEARCH("non",LOWER($E148&amp;""))),$G148*0.85,$G148))))</x:f>
      </x:c>
      <x:c r="O148" s="114" t="str">
        <x:f>IF(COUNTA($A148:$M148)=0,"",IF(OR(LOWER($F148&amp;"")="subscription",LOWER($F148&amp;"")="membership"),"",IF(OR($N148="",$I148="",$I148=0),"",IFERROR($N148/$I148,""))))</x:f>
      </x:c>
      <x:c r="P148" s="114" t="str">
        <x:f>IF(COUNTA($A148:$M148)=0,"",IF(OR(LOWER($F148&amp;"")="subscription",LOWER($F148&amp;"")="membership"),"",IF(LOWER($L148&amp;"")="yes",0,IF($K148&lt;&gt;"",$K148,IF($O148&lt;&gt;"",$O148,"")))))</x:f>
      </x:c>
      <x:c r="Q148" s="114" t="str">
        <x:f>IF(COUNTA($A148:$M148)=0,"",IF(OR($U148="Subscription",$U148=""),"",IF($U148="Profit",ROUND(IFERROR($P148,0)-IFERROR($H148,0),2),0)))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IF(COUNTA($A148:$M148)=0,"",IF(OR(LOWER($F148&amp;"")="subscription",LOWER($F148&amp;"")="membership"),"Subscription",IF(OR(AND($H148&lt;&gt;"",$H148=0),LOWER($F148&amp;"")="free game",LOWER($F148&amp;"")="free",LOWER($F148&amp;"")="free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IF(COUNTA($A148:$M148)=0,"",IF(OR($U148="Subscription",$U148=""),"",IF(OR($U148="Free Game",$U148="Disqualified — Free Game"),0,ROUND(IFERROR($Q148,0)-IFERROR($S148,0),2))))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455"/>
      <x:c r="H149" s="455"/>
      <x:c r="I149" s="456"/>
      <x:c r="J149" s="456"/>
      <x:c r="K149" s="455"/>
      <x:c r="L149" s="454"/>
      <x:c r="M149" s="439"/>
      <x:c r="N149" s="114" t="str">
        <x:f>IF(COUNTA($A149:$M149)=0,"",IF(OR(LOWER($F149&amp;"")="subscription",LOWER($F149&amp;"")="membership"),"",IF($G149="","",IF(ISNUMBER(SEARCH("non",LOWER($E149&amp;""))),$G149*0.85,$G149))))</x:f>
      </x:c>
      <x:c r="O149" s="114" t="str">
        <x:f>IF(COUNTA($A149:$M149)=0,"",IF(OR(LOWER($F149&amp;"")="subscription",LOWER($F149&amp;"")="membership"),"",IF(OR($N149="",$I149="",$I149=0),"",IFERROR($N149/$I149,""))))</x:f>
      </x:c>
      <x:c r="P149" s="114" t="str">
        <x:f>IF(COUNTA($A149:$M149)=0,"",IF(OR(LOWER($F149&amp;"")="subscription",LOWER($F149&amp;"")="membership"),"",IF(LOWER($L149&amp;"")="yes",0,IF($K149&lt;&gt;"",$K149,IF($O149&lt;&gt;"",$O149,"")))))</x:f>
      </x:c>
      <x:c r="Q149" s="114" t="str">
        <x:f>IF(COUNTA($A149:$M149)=0,"",IF(OR($U149="Subscription",$U149=""),"",IF($U149="Profit",ROUND(IFERROR($P149,0)-IFERROR($H149,0),2),0)))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IF(COUNTA($A149:$M149)=0,"",IF(OR(LOWER($F149&amp;"")="subscription",LOWER($F149&amp;"")="membership"),"Subscription",IF(OR(AND($H149&lt;&gt;"",$H149=0),LOWER($F149&amp;"")="free game",LOWER($F149&amp;"")="free",LOWER($F149&amp;"")="free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IF(COUNTA($A149:$M149)=0,"",IF(OR($U149="Subscription",$U149=""),"",IF(OR($U149="Free Game",$U149="Disqualified — Free Game"),0,ROUND(IFERROR($Q149,0)-IFERROR($S149,0),2))))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455"/>
      <x:c r="H150" s="455"/>
      <x:c r="I150" s="456"/>
      <x:c r="J150" s="456"/>
      <x:c r="K150" s="455"/>
      <x:c r="L150" s="454"/>
      <x:c r="M150" s="439"/>
      <x:c r="N150" s="114" t="str">
        <x:f>IF(COUNTA($A150:$M150)=0,"",IF(OR(LOWER($F150&amp;"")="subscription",LOWER($F150&amp;"")="membership"),"",IF($G150="","",IF(ISNUMBER(SEARCH("non",LOWER($E150&amp;""))),$G150*0.85,$G150))))</x:f>
      </x:c>
      <x:c r="O150" s="114" t="str">
        <x:f>IF(COUNTA($A150:$M150)=0,"",IF(OR(LOWER($F150&amp;"")="subscription",LOWER($F150&amp;"")="membership"),"",IF(OR($N150="",$I150="",$I150=0),"",IFERROR($N150/$I150,""))))</x:f>
      </x:c>
      <x:c r="P150" s="114" t="str">
        <x:f>IF(COUNTA($A150:$M150)=0,"",IF(OR(LOWER($F150&amp;"")="subscription",LOWER($F150&amp;"")="membership"),"",IF(LOWER($L150&amp;"")="yes",0,IF($K150&lt;&gt;"",$K150,IF($O150&lt;&gt;"",$O150,"")))))</x:f>
      </x:c>
      <x:c r="Q150" s="114" t="str">
        <x:f>IF(COUNTA($A150:$M150)=0,"",IF(OR($U150="Subscription",$U150=""),"",IF($U150="Profit",ROUND(IFERROR($P150,0)-IFERROR($H150,0),2),0)))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IF(COUNTA($A150:$M150)=0,"",IF(OR(LOWER($F150&amp;"")="subscription",LOWER($F150&amp;"")="membership"),"Subscription",IF(OR(AND($H150&lt;&gt;"",$H150=0),LOWER($F150&amp;"")="free game",LOWER($F150&amp;"")="free",LOWER($F150&amp;"")="free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IF(COUNTA($A150:$M150)=0,"",IF(OR($U150="Subscription",$U150=""),"",IF(OR($U150="Free Game",$U150="Disqualified — Free Game"),0,ROUND(IFERROR($Q150,0)-IFERROR($S150,0),2))))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455"/>
      <x:c r="H151" s="455"/>
      <x:c r="I151" s="456"/>
      <x:c r="J151" s="456"/>
      <x:c r="K151" s="455"/>
      <x:c r="L151" s="454"/>
      <x:c r="M151" s="439"/>
      <x:c r="N151" s="114" t="str">
        <x:f>IF(COUNTA($A151:$M151)=0,"",IF(OR(LOWER($F151&amp;"")="subscription",LOWER($F151&amp;"")="membership"),"",IF($G151="","",IF(ISNUMBER(SEARCH("non",LOWER($E151&amp;""))),$G151*0.85,$G151))))</x:f>
      </x:c>
      <x:c r="O151" s="114" t="str">
        <x:f>IF(COUNTA($A151:$M151)=0,"",IF(OR(LOWER($F151&amp;"")="subscription",LOWER($F151&amp;"")="membership"),"",IF(OR($N151="",$I151="",$I151=0),"",IFERROR($N151/$I151,""))))</x:f>
      </x:c>
      <x:c r="P151" s="114" t="str">
        <x:f>IF(COUNTA($A151:$M151)=0,"",IF(OR(LOWER($F151&amp;"")="subscription",LOWER($F151&amp;"")="membership"),"",IF(LOWER($L151&amp;"")="yes",0,IF($K151&lt;&gt;"",$K151,IF($O151&lt;&gt;"",$O151,"")))))</x:f>
      </x:c>
      <x:c r="Q151" s="114" t="str">
        <x:f>IF(COUNTA($A151:$M151)=0,"",IF(OR($U151="Subscription",$U151=""),"",IF($U151="Profit",ROUND(IFERROR($P151,0)-IFERROR($H151,0),2),0)))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IF(COUNTA($A151:$M151)=0,"",IF(OR(LOWER($F151&amp;"")="subscription",LOWER($F151&amp;"")="membership"),"Subscription",IF(OR(AND($H151&lt;&gt;"",$H151=0),LOWER($F151&amp;"")="free game",LOWER($F151&amp;"")="free",LOWER($F151&amp;"")="free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IF(COUNTA($A151:$M151)=0,"",IF(OR($U151="Subscription",$U151=""),"",IF(OR($U151="Free Game",$U151="Disqualified — Free Game"),0,ROUND(IFERROR($Q151,0)-IFERROR($S151,0),2))))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455"/>
      <x:c r="H152" s="455"/>
      <x:c r="I152" s="456"/>
      <x:c r="J152" s="456"/>
      <x:c r="K152" s="455"/>
      <x:c r="L152" s="454"/>
      <x:c r="M152" s="439"/>
      <x:c r="N152" s="114" t="str">
        <x:f>IF(COUNTA($A152:$M152)=0,"",IF(OR(LOWER($F152&amp;"")="subscription",LOWER($F152&amp;"")="membership"),"",IF($G152="","",IF(ISNUMBER(SEARCH("non",LOWER($E152&amp;""))),$G152*0.85,$G152))))</x:f>
      </x:c>
      <x:c r="O152" s="114" t="str">
        <x:f>IF(COUNTA($A152:$M152)=0,"",IF(OR(LOWER($F152&amp;"")="subscription",LOWER($F152&amp;"")="membership"),"",IF(OR($N152="",$I152="",$I152=0),"",IFERROR($N152/$I152,""))))</x:f>
      </x:c>
      <x:c r="P152" s="114" t="str">
        <x:f>IF(COUNTA($A152:$M152)=0,"",IF(OR(LOWER($F152&amp;"")="subscription",LOWER($F152&amp;"")="membership"),"",IF(LOWER($L152&amp;"")="yes",0,IF($K152&lt;&gt;"",$K152,IF($O152&lt;&gt;"",$O152,"")))))</x:f>
      </x:c>
      <x:c r="Q152" s="114" t="str">
        <x:f>IF(COUNTA($A152:$M152)=0,"",IF(OR($U152="Subscription",$U152=""),"",IF($U152="Profit",ROUND(IFERROR($P152,0)-IFERROR($H152,0),2),0)))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IF(COUNTA($A152:$M152)=0,"",IF(OR(LOWER($F152&amp;"")="subscription",LOWER($F152&amp;"")="membership"),"Subscription",IF(OR(AND($H152&lt;&gt;"",$H152=0),LOWER($F152&amp;"")="free game",LOWER($F152&amp;"")="free",LOWER($F152&amp;"")="free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IF(COUNTA($A152:$M152)=0,"",IF(OR($U152="Subscription",$U152=""),"",IF(OR($U152="Free Game",$U152="Disqualified — Free Game"),0,ROUND(IFERROR($Q152,0)-IFERROR($S152,0),2))))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455"/>
      <x:c r="H153" s="455"/>
      <x:c r="I153" s="456"/>
      <x:c r="J153" s="456"/>
      <x:c r="K153" s="455"/>
      <x:c r="L153" s="454"/>
      <x:c r="M153" s="439"/>
      <x:c r="N153" s="114" t="str">
        <x:f>IF(COUNTA($A153:$M153)=0,"",IF(OR(LOWER($F153&amp;"")="subscription",LOWER($F153&amp;"")="membership"),"",IF($G153="","",IF(ISNUMBER(SEARCH("non",LOWER($E153&amp;""))),$G153*0.85,$G153))))</x:f>
      </x:c>
      <x:c r="O153" s="114" t="str">
        <x:f>IF(COUNTA($A153:$M153)=0,"",IF(OR(LOWER($F153&amp;"")="subscription",LOWER($F153&amp;"")="membership"),"",IF(OR($N153="",$I153="",$I153=0),"",IFERROR($N153/$I153,""))))</x:f>
      </x:c>
      <x:c r="P153" s="114" t="str">
        <x:f>IF(COUNTA($A153:$M153)=0,"",IF(OR(LOWER($F153&amp;"")="subscription",LOWER($F153&amp;"")="membership"),"",IF(LOWER($L153&amp;"")="yes",0,IF($K153&lt;&gt;"",$K153,IF($O153&lt;&gt;"",$O153,"")))))</x:f>
      </x:c>
      <x:c r="Q153" s="114" t="str">
        <x:f>IF(COUNTA($A153:$M153)=0,"",IF(OR($U153="Subscription",$U153=""),"",IF($U153="Profit",ROUND(IFERROR($P153,0)-IFERROR($H153,0),2),0)))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IF(COUNTA($A153:$M153)=0,"",IF(OR(LOWER($F153&amp;"")="subscription",LOWER($F153&amp;"")="membership"),"Subscription",IF(OR(AND($H153&lt;&gt;"",$H153=0),LOWER($F153&amp;"")="free game",LOWER($F153&amp;"")="free",LOWER($F153&amp;"")="free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IF(COUNTA($A153:$M153)=0,"",IF(OR($U153="Subscription",$U153=""),"",IF(OR($U153="Free Game",$U153="Disqualified — Free Game"),0,ROUND(IFERROR($Q153,0)-IFERROR($S153,0),2))))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455"/>
      <x:c r="H154" s="455"/>
      <x:c r="I154" s="456"/>
      <x:c r="J154" s="456"/>
      <x:c r="K154" s="455"/>
      <x:c r="L154" s="454"/>
      <x:c r="M154" s="439"/>
      <x:c r="N154" s="114" t="str">
        <x:f>IF(COUNTA($A154:$M154)=0,"",IF(OR(LOWER($F154&amp;"")="subscription",LOWER($F154&amp;"")="membership"),"",IF($G154="","",IF(ISNUMBER(SEARCH("non",LOWER($E154&amp;""))),$G154*0.85,$G154))))</x:f>
      </x:c>
      <x:c r="O154" s="114" t="str">
        <x:f>IF(COUNTA($A154:$M154)=0,"",IF(OR(LOWER($F154&amp;"")="subscription",LOWER($F154&amp;"")="membership"),"",IF(OR($N154="",$I154="",$I154=0),"",IFERROR($N154/$I154,""))))</x:f>
      </x:c>
      <x:c r="P154" s="114" t="str">
        <x:f>IF(COUNTA($A154:$M154)=0,"",IF(OR(LOWER($F154&amp;"")="subscription",LOWER($F154&amp;"")="membership"),"",IF(LOWER($L154&amp;"")="yes",0,IF($K154&lt;&gt;"",$K154,IF($O154&lt;&gt;"",$O154,"")))))</x:f>
      </x:c>
      <x:c r="Q154" s="114" t="str">
        <x:f>IF(COUNTA($A154:$M154)=0,"",IF(OR($U154="Subscription",$U154=""),"",IF($U154="Profit",ROUND(IFERROR($P154,0)-IFERROR($H154,0),2),0)))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IF(COUNTA($A154:$M154)=0,"",IF(OR(LOWER($F154&amp;"")="subscription",LOWER($F154&amp;"")="membership"),"Subscription",IF(OR(AND($H154&lt;&gt;"",$H154=0),LOWER($F154&amp;"")="free game",LOWER($F154&amp;"")="free",LOWER($F154&amp;"")="free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IF(COUNTA($A154:$M154)=0,"",IF(OR($U154="Subscription",$U154=""),"",IF(OR($U154="Free Game",$U154="Disqualified — Free Game"),0,ROUND(IFERROR($Q154,0)-IFERROR($S154,0),2))))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455"/>
      <x:c r="H155" s="455"/>
      <x:c r="I155" s="456"/>
      <x:c r="J155" s="456"/>
      <x:c r="K155" s="455"/>
      <x:c r="L155" s="454"/>
      <x:c r="M155" s="439"/>
      <x:c r="N155" s="114" t="str">
        <x:f>IF(COUNTA($A155:$M155)=0,"",IF(OR(LOWER($F155&amp;"")="subscription",LOWER($F155&amp;"")="membership"),"",IF($G155="","",IF(ISNUMBER(SEARCH("non",LOWER($E155&amp;""))),$G155*0.85,$G155))))</x:f>
      </x:c>
      <x:c r="O155" s="114" t="str">
        <x:f>IF(COUNTA($A155:$M155)=0,"",IF(OR(LOWER($F155&amp;"")="subscription",LOWER($F155&amp;"")="membership"),"",IF(OR($N155="",$I155="",$I155=0),"",IFERROR($N155/$I155,""))))</x:f>
      </x:c>
      <x:c r="P155" s="114" t="str">
        <x:f>IF(COUNTA($A155:$M155)=0,"",IF(OR(LOWER($F155&amp;"")="subscription",LOWER($F155&amp;"")="membership"),"",IF(LOWER($L155&amp;"")="yes",0,IF($K155&lt;&gt;"",$K155,IF($O155&lt;&gt;"",$O155,"")))))</x:f>
      </x:c>
      <x:c r="Q155" s="114" t="str">
        <x:f>IF(COUNTA($A155:$M155)=0,"",IF(OR($U155="Subscription",$U155=""),"",IF($U155="Profit",ROUND(IFERROR($P155,0)-IFERROR($H155,0),2),0)))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IF(COUNTA($A155:$M155)=0,"",IF(OR(LOWER($F155&amp;"")="subscription",LOWER($F155&amp;"")="membership"),"Subscription",IF(OR(AND($H155&lt;&gt;"",$H155=0),LOWER($F155&amp;"")="free game",LOWER($F155&amp;"")="free",LOWER($F155&amp;"")="free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IF(COUNTA($A155:$M155)=0,"",IF(OR($U155="Subscription",$U155=""),"",IF(OR($U155="Free Game",$U155="Disqualified — Free Game"),0,ROUND(IFERROR($Q155,0)-IFERROR($S155,0),2))))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455"/>
      <x:c r="H156" s="455"/>
      <x:c r="I156" s="456"/>
      <x:c r="J156" s="456"/>
      <x:c r="K156" s="455"/>
      <x:c r="L156" s="454"/>
      <x:c r="M156" s="439"/>
      <x:c r="N156" s="114" t="str">
        <x:f>IF(COUNTA($A156:$M156)=0,"",IF(OR(LOWER($F156&amp;"")="subscription",LOWER($F156&amp;"")="membership"),"",IF($G156="","",IF(ISNUMBER(SEARCH("non",LOWER($E156&amp;""))),$G156*0.85,$G156))))</x:f>
      </x:c>
      <x:c r="O156" s="114" t="str">
        <x:f>IF(COUNTA($A156:$M156)=0,"",IF(OR(LOWER($F156&amp;"")="subscription",LOWER($F156&amp;"")="membership"),"",IF(OR($N156="",$I156="",$I156=0),"",IFERROR($N156/$I156,""))))</x:f>
      </x:c>
      <x:c r="P156" s="114" t="str">
        <x:f>IF(COUNTA($A156:$M156)=0,"",IF(OR(LOWER($F156&amp;"")="subscription",LOWER($F156&amp;"")="membership"),"",IF(LOWER($L156&amp;"")="yes",0,IF($K156&lt;&gt;"",$K156,IF($O156&lt;&gt;"",$O156,"")))))</x:f>
      </x:c>
      <x:c r="Q156" s="114" t="str">
        <x:f>IF(COUNTA($A156:$M156)=0,"",IF(OR($U156="Subscription",$U156=""),"",IF($U156="Profit",ROUND(IFERROR($P156,0)-IFERROR($H156,0),2),0)))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IF(COUNTA($A156:$M156)=0,"",IF(OR(LOWER($F156&amp;"")="subscription",LOWER($F156&amp;"")="membership"),"Subscription",IF(OR(AND($H156&lt;&gt;"",$H156=0),LOWER($F156&amp;"")="free game",LOWER($F156&amp;"")="free",LOWER($F156&amp;"")="free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IF(COUNTA($A156:$M156)=0,"",IF(OR($U156="Subscription",$U156=""),"",IF(OR($U156="Free Game",$U156="Disqualified — Free Game"),0,ROUND(IFERROR($Q156,0)-IFERROR($S156,0),2))))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455"/>
      <x:c r="H157" s="455"/>
      <x:c r="I157" s="456"/>
      <x:c r="J157" s="456"/>
      <x:c r="K157" s="455"/>
      <x:c r="L157" s="454"/>
      <x:c r="M157" s="439"/>
      <x:c r="N157" s="114" t="str">
        <x:f>IF(COUNTA($A157:$M157)=0,"",IF(OR(LOWER($F157&amp;"")="subscription",LOWER($F157&amp;"")="membership"),"",IF($G157="","",IF(ISNUMBER(SEARCH("non",LOWER($E157&amp;""))),$G157*0.85,$G157))))</x:f>
      </x:c>
      <x:c r="O157" s="114" t="str">
        <x:f>IF(COUNTA($A157:$M157)=0,"",IF(OR(LOWER($F157&amp;"")="subscription",LOWER($F157&amp;"")="membership"),"",IF(OR($N157="",$I157="",$I157=0),"",IFERROR($N157/$I157,""))))</x:f>
      </x:c>
      <x:c r="P157" s="114" t="str">
        <x:f>IF(COUNTA($A157:$M157)=0,"",IF(OR(LOWER($F157&amp;"")="subscription",LOWER($F157&amp;"")="membership"),"",IF(LOWER($L157&amp;"")="yes",0,IF($K157&lt;&gt;"",$K157,IF($O157&lt;&gt;"",$O157,"")))))</x:f>
      </x:c>
      <x:c r="Q157" s="114" t="str">
        <x:f>IF(COUNTA($A157:$M157)=0,"",IF(OR($U157="Subscription",$U157=""),"",IF($U157="Profit",ROUND(IFERROR($P157,0)-IFERROR($H157,0),2),0)))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IF(COUNTA($A157:$M157)=0,"",IF(OR(LOWER($F157&amp;"")="subscription",LOWER($F157&amp;"")="membership"),"Subscription",IF(OR(AND($H157&lt;&gt;"",$H157=0),LOWER($F157&amp;"")="free game",LOWER($F157&amp;"")="free",LOWER($F157&amp;"")="free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IF(COUNTA($A157:$M157)=0,"",IF(OR($U157="Subscription",$U157=""),"",IF(OR($U157="Free Game",$U157="Disqualified — Free Game"),0,ROUND(IFERROR($Q157,0)-IFERROR($S157,0),2))))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455"/>
      <x:c r="H158" s="455"/>
      <x:c r="I158" s="456"/>
      <x:c r="J158" s="456"/>
      <x:c r="K158" s="455"/>
      <x:c r="L158" s="454"/>
      <x:c r="M158" s="439"/>
      <x:c r="N158" s="114" t="str">
        <x:f>IF(COUNTA($A158:$M158)=0,"",IF(OR(LOWER($F158&amp;"")="subscription",LOWER($F158&amp;"")="membership"),"",IF($G158="","",IF(ISNUMBER(SEARCH("non",LOWER($E158&amp;""))),$G158*0.85,$G158))))</x:f>
      </x:c>
      <x:c r="O158" s="114" t="str">
        <x:f>IF(COUNTA($A158:$M158)=0,"",IF(OR(LOWER($F158&amp;"")="subscription",LOWER($F158&amp;"")="membership"),"",IF(OR($N158="",$I158="",$I158=0),"",IFERROR($N158/$I158,""))))</x:f>
      </x:c>
      <x:c r="P158" s="114" t="str">
        <x:f>IF(COUNTA($A158:$M158)=0,"",IF(OR(LOWER($F158&amp;"")="subscription",LOWER($F158&amp;"")="membership"),"",IF(LOWER($L158&amp;"")="yes",0,IF($K158&lt;&gt;"",$K158,IF($O158&lt;&gt;"",$O158,"")))))</x:f>
      </x:c>
      <x:c r="Q158" s="114" t="str">
        <x:f>IF(COUNTA($A158:$M158)=0,"",IF(OR($U158="Subscription",$U158=""),"",IF($U158="Profit",ROUND(IFERROR($P158,0)-IFERROR($H158,0),2),0)))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IF(COUNTA($A158:$M158)=0,"",IF(OR(LOWER($F158&amp;"")="subscription",LOWER($F158&amp;"")="membership"),"Subscription",IF(OR(AND($H158&lt;&gt;"",$H158=0),LOWER($F158&amp;"")="free game",LOWER($F158&amp;"")="free",LOWER($F158&amp;"")="free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IF(COUNTA($A158:$M158)=0,"",IF(OR($U158="Subscription",$U158=""),"",IF(OR($U158="Free Game",$U158="Disqualified — Free Game"),0,ROUND(IFERROR($Q158,0)-IFERROR($S158,0),2))))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455"/>
      <x:c r="H159" s="455"/>
      <x:c r="I159" s="456"/>
      <x:c r="J159" s="456"/>
      <x:c r="K159" s="455"/>
      <x:c r="L159" s="454"/>
      <x:c r="M159" s="439"/>
      <x:c r="N159" s="114" t="str">
        <x:f>IF(COUNTA($A159:$M159)=0,"",IF(OR(LOWER($F159&amp;"")="subscription",LOWER($F159&amp;"")="membership"),"",IF($G159="","",IF(ISNUMBER(SEARCH("non",LOWER($E159&amp;""))),$G159*0.85,$G159))))</x:f>
      </x:c>
      <x:c r="O159" s="114" t="str">
        <x:f>IF(COUNTA($A159:$M159)=0,"",IF(OR(LOWER($F159&amp;"")="subscription",LOWER($F159&amp;"")="membership"),"",IF(OR($N159="",$I159="",$I159=0),"",IFERROR($N159/$I159,""))))</x:f>
      </x:c>
      <x:c r="P159" s="114" t="str">
        <x:f>IF(COUNTA($A159:$M159)=0,"",IF(OR(LOWER($F159&amp;"")="subscription",LOWER($F159&amp;"")="membership"),"",IF(LOWER($L159&amp;"")="yes",0,IF($K159&lt;&gt;"",$K159,IF($O159&lt;&gt;"",$O159,"")))))</x:f>
      </x:c>
      <x:c r="Q159" s="114" t="str">
        <x:f>IF(COUNTA($A159:$M159)=0,"",IF(OR($U159="Subscription",$U159=""),"",IF($U159="Profit",ROUND(IFERROR($P159,0)-IFERROR($H159,0),2),0)))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IF(COUNTA($A159:$M159)=0,"",IF(OR(LOWER($F159&amp;"")="subscription",LOWER($F159&amp;"")="membership"),"Subscription",IF(OR(AND($H159&lt;&gt;"",$H159=0),LOWER($F159&amp;"")="free game",LOWER($F159&amp;"")="free",LOWER($F159&amp;"")="free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IF(COUNTA($A159:$M159)=0,"",IF(OR($U159="Subscription",$U159=""),"",IF(OR($U159="Free Game",$U159="Disqualified — Free Game"),0,ROUND(IFERROR($Q159,0)-IFERROR($S159,0),2))))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455"/>
      <x:c r="H160" s="455"/>
      <x:c r="I160" s="456"/>
      <x:c r="J160" s="456"/>
      <x:c r="K160" s="455"/>
      <x:c r="L160" s="454"/>
      <x:c r="M160" s="439"/>
      <x:c r="N160" s="114" t="str">
        <x:f>IF(COUNTA($A160:$M160)=0,"",IF(OR(LOWER($F160&amp;"")="subscription",LOWER($F160&amp;"")="membership"),"",IF($G160="","",IF(ISNUMBER(SEARCH("non",LOWER($E160&amp;""))),$G160*0.85,$G160))))</x:f>
      </x:c>
      <x:c r="O160" s="114" t="str">
        <x:f>IF(COUNTA($A160:$M160)=0,"",IF(OR(LOWER($F160&amp;"")="subscription",LOWER($F160&amp;"")="membership"),"",IF(OR($N160="",$I160="",$I160=0),"",IFERROR($N160/$I160,""))))</x:f>
      </x:c>
      <x:c r="P160" s="114" t="str">
        <x:f>IF(COUNTA($A160:$M160)=0,"",IF(OR(LOWER($F160&amp;"")="subscription",LOWER($F160&amp;"")="membership"),"",IF(LOWER($L160&amp;"")="yes",0,IF($K160&lt;&gt;"",$K160,IF($O160&lt;&gt;"",$O160,"")))))</x:f>
      </x:c>
      <x:c r="Q160" s="114" t="str">
        <x:f>IF(COUNTA($A160:$M160)=0,"",IF(OR($U160="Subscription",$U160=""),"",IF($U160="Profit",ROUND(IFERROR($P160,0)-IFERROR($H160,0),2),0)))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IF(COUNTA($A160:$M160)=0,"",IF(OR(LOWER($F160&amp;"")="subscription",LOWER($F160&amp;"")="membership"),"Subscription",IF(OR(AND($H160&lt;&gt;"",$H160=0),LOWER($F160&amp;"")="free game",LOWER($F160&amp;"")="free",LOWER($F160&amp;"")="free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IF(COUNTA($A160:$M160)=0,"",IF(OR($U160="Subscription",$U160=""),"",IF(OR($U160="Free Game",$U160="Disqualified — Free Game"),0,ROUND(IFERROR($Q160,0)-IFERROR($S160,0),2))))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455"/>
      <x:c r="H161" s="455"/>
      <x:c r="I161" s="456"/>
      <x:c r="J161" s="456"/>
      <x:c r="K161" s="455"/>
      <x:c r="L161" s="454"/>
      <x:c r="M161" s="439"/>
      <x:c r="N161" s="114" t="str">
        <x:f>IF(COUNTA($A161:$M161)=0,"",IF(OR(LOWER($F161&amp;"")="subscription",LOWER($F161&amp;"")="membership"),"",IF($G161="","",IF(ISNUMBER(SEARCH("non",LOWER($E161&amp;""))),$G161*0.85,$G161))))</x:f>
      </x:c>
      <x:c r="O161" s="114" t="str">
        <x:f>IF(COUNTA($A161:$M161)=0,"",IF(OR(LOWER($F161&amp;"")="subscription",LOWER($F161&amp;"")="membership"),"",IF(OR($N161="",$I161="",$I161=0),"",IFERROR($N161/$I161,""))))</x:f>
      </x:c>
      <x:c r="P161" s="114" t="str">
        <x:f>IF(COUNTA($A161:$M161)=0,"",IF(OR(LOWER($F161&amp;"")="subscription",LOWER($F161&amp;"")="membership"),"",IF(LOWER($L161&amp;"")="yes",0,IF($K161&lt;&gt;"",$K161,IF($O161&lt;&gt;"",$O161,"")))))</x:f>
      </x:c>
      <x:c r="Q161" s="114" t="str">
        <x:f>IF(COUNTA($A161:$M161)=0,"",IF(OR($U161="Subscription",$U161=""),"",IF($U161="Profit",ROUND(IFERROR($P161,0)-IFERROR($H161,0),2),0)))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IF(COUNTA($A161:$M161)=0,"",IF(OR(LOWER($F161&amp;"")="subscription",LOWER($F161&amp;"")="membership"),"Subscription",IF(OR(AND($H161&lt;&gt;"",$H161=0),LOWER($F161&amp;"")="free game",LOWER($F161&amp;"")="free",LOWER($F161&amp;"")="free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IF(COUNTA($A161:$M161)=0,"",IF(OR($U161="Subscription",$U161=""),"",IF(OR($U161="Free Game",$U161="Disqualified — Free Game"),0,ROUND(IFERROR($Q161,0)-IFERROR($S161,0),2))))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455"/>
      <x:c r="H162" s="455"/>
      <x:c r="I162" s="456"/>
      <x:c r="J162" s="456"/>
      <x:c r="K162" s="455"/>
      <x:c r="L162" s="454"/>
      <x:c r="M162" s="439"/>
      <x:c r="N162" s="114" t="str">
        <x:f>IF(COUNTA($A162:$M162)=0,"",IF(OR(LOWER($F162&amp;"")="subscription",LOWER($F162&amp;"")="membership"),"",IF($G162="","",IF(ISNUMBER(SEARCH("non",LOWER($E162&amp;""))),$G162*0.85,$G162))))</x:f>
      </x:c>
      <x:c r="O162" s="114" t="str">
        <x:f>IF(COUNTA($A162:$M162)=0,"",IF(OR(LOWER($F162&amp;"")="subscription",LOWER($F162&amp;"")="membership"),"",IF(OR($N162="",$I162="",$I162=0),"",IFERROR($N162/$I162,""))))</x:f>
      </x:c>
      <x:c r="P162" s="114" t="str">
        <x:f>IF(COUNTA($A162:$M162)=0,"",IF(OR(LOWER($F162&amp;"")="subscription",LOWER($F162&amp;"")="membership"),"",IF(LOWER($L162&amp;"")="yes",0,IF($K162&lt;&gt;"",$K162,IF($O162&lt;&gt;"",$O162,"")))))</x:f>
      </x:c>
      <x:c r="Q162" s="114" t="str">
        <x:f>IF(COUNTA($A162:$M162)=0,"",IF(OR($U162="Subscription",$U162=""),"",IF($U162="Profit",ROUND(IFERROR($P162,0)-IFERROR($H162,0),2),0)))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IF(COUNTA($A162:$M162)=0,"",IF(OR(LOWER($F162&amp;"")="subscription",LOWER($F162&amp;"")="membership"),"Subscription",IF(OR(AND($H162&lt;&gt;"",$H162=0),LOWER($F162&amp;"")="free game",LOWER($F162&amp;"")="free",LOWER($F162&amp;"")="free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IF(COUNTA($A162:$M162)=0,"",IF(OR($U162="Subscription",$U162=""),"",IF(OR($U162="Free Game",$U162="Disqualified — Free Game"),0,ROUND(IFERROR($Q162,0)-IFERROR($S162,0),2))))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455"/>
      <x:c r="H163" s="455"/>
      <x:c r="I163" s="456"/>
      <x:c r="J163" s="456"/>
      <x:c r="K163" s="455"/>
      <x:c r="L163" s="454"/>
      <x:c r="M163" s="439"/>
      <x:c r="N163" s="114" t="str">
        <x:f>IF(COUNTA($A163:$M163)=0,"",IF(OR(LOWER($F163&amp;"")="subscription",LOWER($F163&amp;"")="membership"),"",IF($G163="","",IF(ISNUMBER(SEARCH("non",LOWER($E163&amp;""))),$G163*0.85,$G163))))</x:f>
      </x:c>
      <x:c r="O163" s="114" t="str">
        <x:f>IF(COUNTA($A163:$M163)=0,"",IF(OR(LOWER($F163&amp;"")="subscription",LOWER($F163&amp;"")="membership"),"",IF(OR($N163="",$I163="",$I163=0),"",IFERROR($N163/$I163,""))))</x:f>
      </x:c>
      <x:c r="P163" s="114" t="str">
        <x:f>IF(COUNTA($A163:$M163)=0,"",IF(OR(LOWER($F163&amp;"")="subscription",LOWER($F163&amp;"")="membership"),"",IF(LOWER($L163&amp;"")="yes",0,IF($K163&lt;&gt;"",$K163,IF($O163&lt;&gt;"",$O163,"")))))</x:f>
      </x:c>
      <x:c r="Q163" s="114" t="str">
        <x:f>IF(COUNTA($A163:$M163)=0,"",IF(OR($U163="Subscription",$U163=""),"",IF($U163="Profit",ROUND(IFERROR($P163,0)-IFERROR($H163,0),2),0)))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IF(COUNTA($A163:$M163)=0,"",IF(OR(LOWER($F163&amp;"")="subscription",LOWER($F163&amp;"")="membership"),"Subscription",IF(OR(AND($H163&lt;&gt;"",$H163=0),LOWER($F163&amp;"")="free game",LOWER($F163&amp;"")="free",LOWER($F163&amp;"")="free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IF(COUNTA($A163:$M163)=0,"",IF(OR($U163="Subscription",$U163=""),"",IF(OR($U163="Free Game",$U163="Disqualified — Free Game"),0,ROUND(IFERROR($Q163,0)-IFERROR($S163,0),2))))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455"/>
      <x:c r="H164" s="455"/>
      <x:c r="I164" s="456"/>
      <x:c r="J164" s="456"/>
      <x:c r="K164" s="455"/>
      <x:c r="L164" s="454"/>
      <x:c r="M164" s="439"/>
      <x:c r="N164" s="114" t="str">
        <x:f>IF(COUNTA($A164:$M164)=0,"",IF(OR(LOWER($F164&amp;"")="subscription",LOWER($F164&amp;"")="membership"),"",IF($G164="","",IF(ISNUMBER(SEARCH("non",LOWER($E164&amp;""))),$G164*0.85,$G164))))</x:f>
      </x:c>
      <x:c r="O164" s="114" t="str">
        <x:f>IF(COUNTA($A164:$M164)=0,"",IF(OR(LOWER($F164&amp;"")="subscription",LOWER($F164&amp;"")="membership"),"",IF(OR($N164="",$I164="",$I164=0),"",IFERROR($N164/$I164,""))))</x:f>
      </x:c>
      <x:c r="P164" s="114" t="str">
        <x:f>IF(COUNTA($A164:$M164)=0,"",IF(OR(LOWER($F164&amp;"")="subscription",LOWER($F164&amp;"")="membership"),"",IF(LOWER($L164&amp;"")="yes",0,IF($K164&lt;&gt;"",$K164,IF($O164&lt;&gt;"",$O164,"")))))</x:f>
      </x:c>
      <x:c r="Q164" s="114" t="str">
        <x:f>IF(COUNTA($A164:$M164)=0,"",IF(OR($U164="Subscription",$U164=""),"",IF($U164="Profit",ROUND(IFERROR($P164,0)-IFERROR($H164,0),2),0)))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IF(COUNTA($A164:$M164)=0,"",IF(OR(LOWER($F164&amp;"")="subscription",LOWER($F164&amp;"")="membership"),"Subscription",IF(OR(AND($H164&lt;&gt;"",$H164=0),LOWER($F164&amp;"")="free game",LOWER($F164&amp;"")="free",LOWER($F164&amp;"")="free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IF(COUNTA($A164:$M164)=0,"",IF(OR($U164="Subscription",$U164=""),"",IF(OR($U164="Free Game",$U164="Disqualified — Free Game"),0,ROUND(IFERROR($Q164,0)-IFERROR($S164,0),2))))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455"/>
      <x:c r="H165" s="455"/>
      <x:c r="I165" s="456"/>
      <x:c r="J165" s="456"/>
      <x:c r="K165" s="455"/>
      <x:c r="L165" s="454"/>
      <x:c r="M165" s="439"/>
      <x:c r="N165" s="114" t="str">
        <x:f>IF(COUNTA($A165:$M165)=0,"",IF(OR(LOWER($F165&amp;"")="subscription",LOWER($F165&amp;"")="membership"),"",IF($G165="","",IF(ISNUMBER(SEARCH("non",LOWER($E165&amp;""))),$G165*0.85,$G165))))</x:f>
      </x:c>
      <x:c r="O165" s="114" t="str">
        <x:f>IF(COUNTA($A165:$M165)=0,"",IF(OR(LOWER($F165&amp;"")="subscription",LOWER($F165&amp;"")="membership"),"",IF(OR($N165="",$I165="",$I165=0),"",IFERROR($N165/$I165,""))))</x:f>
      </x:c>
      <x:c r="P165" s="114" t="str">
        <x:f>IF(COUNTA($A165:$M165)=0,"",IF(OR(LOWER($F165&amp;"")="subscription",LOWER($F165&amp;"")="membership"),"",IF(LOWER($L165&amp;"")="yes",0,IF($K165&lt;&gt;"",$K165,IF($O165&lt;&gt;"",$O165,"")))))</x:f>
      </x:c>
      <x:c r="Q165" s="114" t="str">
        <x:f>IF(COUNTA($A165:$M165)=0,"",IF(OR($U165="Subscription",$U165=""),"",IF($U165="Profit",ROUND(IFERROR($P165,0)-IFERROR($H165,0),2),0)))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IF(COUNTA($A165:$M165)=0,"",IF(OR(LOWER($F165&amp;"")="subscription",LOWER($F165&amp;"")="membership"),"Subscription",IF(OR(AND($H165&lt;&gt;"",$H165=0),LOWER($F165&amp;"")="free game",LOWER($F165&amp;"")="free",LOWER($F165&amp;"")="free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IF(COUNTA($A165:$M165)=0,"",IF(OR($U165="Subscription",$U165=""),"",IF(OR($U165="Free Game",$U165="Disqualified — Free Game"),0,ROUND(IFERROR($Q165,0)-IFERROR($S165,0),2))))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455"/>
      <x:c r="H166" s="455"/>
      <x:c r="I166" s="456"/>
      <x:c r="J166" s="456"/>
      <x:c r="K166" s="455"/>
      <x:c r="L166" s="454"/>
      <x:c r="M166" s="439"/>
      <x:c r="N166" s="114" t="str">
        <x:f>IF(COUNTA($A166:$M166)=0,"",IF(OR(LOWER($F166&amp;"")="subscription",LOWER($F166&amp;"")="membership"),"",IF($G166="","",IF(ISNUMBER(SEARCH("non",LOWER($E166&amp;""))),$G166*0.85,$G166))))</x:f>
      </x:c>
      <x:c r="O166" s="114" t="str">
        <x:f>IF(COUNTA($A166:$M166)=0,"",IF(OR(LOWER($F166&amp;"")="subscription",LOWER($F166&amp;"")="membership"),"",IF(OR($N166="",$I166="",$I166=0),"",IFERROR($N166/$I166,""))))</x:f>
      </x:c>
      <x:c r="P166" s="114" t="str">
        <x:f>IF(COUNTA($A166:$M166)=0,"",IF(OR(LOWER($F166&amp;"")="subscription",LOWER($F166&amp;"")="membership"),"",IF(LOWER($L166&amp;"")="yes",0,IF($K166&lt;&gt;"",$K166,IF($O166&lt;&gt;"",$O166,"")))))</x:f>
      </x:c>
      <x:c r="Q166" s="114" t="str">
        <x:f>IF(COUNTA($A166:$M166)=0,"",IF(OR($U166="Subscription",$U166=""),"",IF($U166="Profit",ROUND(IFERROR($P166,0)-IFERROR($H166,0),2),0)))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IF(COUNTA($A166:$M166)=0,"",IF(OR(LOWER($F166&amp;"")="subscription",LOWER($F166&amp;"")="membership"),"Subscription",IF(OR(AND($H166&lt;&gt;"",$H166=0),LOWER($F166&amp;"")="free game",LOWER($F166&amp;"")="free",LOWER($F166&amp;"")="free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IF(COUNTA($A166:$M166)=0,"",IF(OR($U166="Subscription",$U166=""),"",IF(OR($U166="Free Game",$U166="Disqualified — Free Game"),0,ROUND(IFERROR($Q166,0)-IFERROR($S166,0),2))))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455"/>
      <x:c r="H167" s="455"/>
      <x:c r="I167" s="456"/>
      <x:c r="J167" s="456"/>
      <x:c r="K167" s="455"/>
      <x:c r="L167" s="454"/>
      <x:c r="M167" s="439"/>
      <x:c r="N167" s="114" t="str">
        <x:f>IF(COUNTA($A167:$M167)=0,"",IF(OR(LOWER($F167&amp;"")="subscription",LOWER($F167&amp;"")="membership"),"",IF($G167="","",IF(ISNUMBER(SEARCH("non",LOWER($E167&amp;""))),$G167*0.85,$G167))))</x:f>
      </x:c>
      <x:c r="O167" s="114" t="str">
        <x:f>IF(COUNTA($A167:$M167)=0,"",IF(OR(LOWER($F167&amp;"")="subscription",LOWER($F167&amp;"")="membership"),"",IF(OR($N167="",$I167="",$I167=0),"",IFERROR($N167/$I167,""))))</x:f>
      </x:c>
      <x:c r="P167" s="114" t="str">
        <x:f>IF(COUNTA($A167:$M167)=0,"",IF(OR(LOWER($F167&amp;"")="subscription",LOWER($F167&amp;"")="membership"),"",IF(LOWER($L167&amp;"")="yes",0,IF($K167&lt;&gt;"",$K167,IF($O167&lt;&gt;"",$O167,"")))))</x:f>
      </x:c>
      <x:c r="Q167" s="114" t="str">
        <x:f>IF(COUNTA($A167:$M167)=0,"",IF(OR($U167="Subscription",$U167=""),"",IF($U167="Profit",ROUND(IFERROR($P167,0)-IFERROR($H167,0),2),0)))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IF(COUNTA($A167:$M167)=0,"",IF(OR(LOWER($F167&amp;"")="subscription",LOWER($F167&amp;"")="membership"),"Subscription",IF(OR(AND($H167&lt;&gt;"",$H167=0),LOWER($F167&amp;"")="free game",LOWER($F167&amp;"")="free",LOWER($F167&amp;"")="free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IF(COUNTA($A167:$M167)=0,"",IF(OR($U167="Subscription",$U167=""),"",IF(OR($U167="Free Game",$U167="Disqualified — Free Game"),0,ROUND(IFERROR($Q167,0)-IFERROR($S167,0),2))))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455"/>
      <x:c r="H168" s="455"/>
      <x:c r="I168" s="456"/>
      <x:c r="J168" s="456"/>
      <x:c r="K168" s="455"/>
      <x:c r="L168" s="454"/>
      <x:c r="M168" s="439"/>
      <x:c r="N168" s="114" t="str">
        <x:f>IF(COUNTA($A168:$M168)=0,"",IF(OR(LOWER($F168&amp;"")="subscription",LOWER($F168&amp;"")="membership"),"",IF($G168="","",IF(ISNUMBER(SEARCH("non",LOWER($E168&amp;""))),$G168*0.85,$G168))))</x:f>
      </x:c>
      <x:c r="O168" s="114" t="str">
        <x:f>IF(COUNTA($A168:$M168)=0,"",IF(OR(LOWER($F168&amp;"")="subscription",LOWER($F168&amp;"")="membership"),"",IF(OR($N168="",$I168="",$I168=0),"",IFERROR($N168/$I168,""))))</x:f>
      </x:c>
      <x:c r="P168" s="114" t="str">
        <x:f>IF(COUNTA($A168:$M168)=0,"",IF(OR(LOWER($F168&amp;"")="subscription",LOWER($F168&amp;"")="membership"),"",IF(LOWER($L168&amp;"")="yes",0,IF($K168&lt;&gt;"",$K168,IF($O168&lt;&gt;"",$O168,"")))))</x:f>
      </x:c>
      <x:c r="Q168" s="114" t="str">
        <x:f>IF(COUNTA($A168:$M168)=0,"",IF(OR($U168="Subscription",$U168=""),"",IF($U168="Profit",ROUND(IFERROR($P168,0)-IFERROR($H168,0),2),0)))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IF(COUNTA($A168:$M168)=0,"",IF(OR(LOWER($F168&amp;"")="subscription",LOWER($F168&amp;"")="membership"),"Subscription",IF(OR(AND($H168&lt;&gt;"",$H168=0),LOWER($F168&amp;"")="free game",LOWER($F168&amp;"")="free",LOWER($F168&amp;"")="free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IF(COUNTA($A168:$M168)=0,"",IF(OR($U168="Subscription",$U168=""),"",IF(OR($U168="Free Game",$U168="Disqualified — Free Game"),0,ROUND(IFERROR($Q168,0)-IFERROR($S168,0),2))))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455"/>
      <x:c r="H169" s="455"/>
      <x:c r="I169" s="456"/>
      <x:c r="J169" s="456"/>
      <x:c r="K169" s="455"/>
      <x:c r="L169" s="454"/>
      <x:c r="M169" s="439"/>
      <x:c r="N169" s="114" t="str">
        <x:f>IF(COUNTA($A169:$M169)=0,"",IF(OR(LOWER($F169&amp;"")="subscription",LOWER($F169&amp;"")="membership"),"",IF($G169="","",IF(ISNUMBER(SEARCH("non",LOWER($E169&amp;""))),$G169*0.85,$G169))))</x:f>
      </x:c>
      <x:c r="O169" s="114" t="str">
        <x:f>IF(COUNTA($A169:$M169)=0,"",IF(OR(LOWER($F169&amp;"")="subscription",LOWER($F169&amp;"")="membership"),"",IF(OR($N169="",$I169="",$I169=0),"",IFERROR($N169/$I169,""))))</x:f>
      </x:c>
      <x:c r="P169" s="114" t="str">
        <x:f>IF(COUNTA($A169:$M169)=0,"",IF(OR(LOWER($F169&amp;"")="subscription",LOWER($F169&amp;"")="membership"),"",IF(LOWER($L169&amp;"")="yes",0,IF($K169&lt;&gt;"",$K169,IF($O169&lt;&gt;"",$O169,"")))))</x:f>
      </x:c>
      <x:c r="Q169" s="114" t="str">
        <x:f>IF(COUNTA($A169:$M169)=0,"",IF(OR($U169="Subscription",$U169=""),"",IF($U169="Profit",ROUND(IFERROR($P169,0)-IFERROR($H169,0),2),0)))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IF(COUNTA($A169:$M169)=0,"",IF(OR(LOWER($F169&amp;"")="subscription",LOWER($F169&amp;"")="membership"),"Subscription",IF(OR(AND($H169&lt;&gt;"",$H169=0),LOWER($F169&amp;"")="free game",LOWER($F169&amp;"")="free",LOWER($F169&amp;"")="free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IF(COUNTA($A169:$M169)=0,"",IF(OR($U169="Subscription",$U169=""),"",IF(OR($U169="Free Game",$U169="Disqualified — Free Game"),0,ROUND(IFERROR($Q169,0)-IFERROR($S169,0),2))))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455"/>
      <x:c r="H170" s="455"/>
      <x:c r="I170" s="456"/>
      <x:c r="J170" s="456"/>
      <x:c r="K170" s="455"/>
      <x:c r="L170" s="454"/>
      <x:c r="M170" s="439"/>
      <x:c r="N170" s="114" t="str">
        <x:f>IF(COUNTA($A170:$M170)=0,"",IF(OR(LOWER($F170&amp;"")="subscription",LOWER($F170&amp;"")="membership"),"",IF($G170="","",IF(ISNUMBER(SEARCH("non",LOWER($E170&amp;""))),$G170*0.85,$G170))))</x:f>
      </x:c>
      <x:c r="O170" s="114" t="str">
        <x:f>IF(COUNTA($A170:$M170)=0,"",IF(OR(LOWER($F170&amp;"")="subscription",LOWER($F170&amp;"")="membership"),"",IF(OR($N170="",$I170="",$I170=0),"",IFERROR($N170/$I170,""))))</x:f>
      </x:c>
      <x:c r="P170" s="114" t="str">
        <x:f>IF(COUNTA($A170:$M170)=0,"",IF(OR(LOWER($F170&amp;"")="subscription",LOWER($F170&amp;"")="membership"),"",IF(LOWER($L170&amp;"")="yes",0,IF($K170&lt;&gt;"",$K170,IF($O170&lt;&gt;"",$O170,"")))))</x:f>
      </x:c>
      <x:c r="Q170" s="114" t="str">
        <x:f>IF(COUNTA($A170:$M170)=0,"",IF(OR($U170="Subscription",$U170=""),"",IF($U170="Profit",ROUND(IFERROR($P170,0)-IFERROR($H170,0),2),0)))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IF(COUNTA($A170:$M170)=0,"",IF(OR(LOWER($F170&amp;"")="subscription",LOWER($F170&amp;"")="membership"),"Subscription",IF(OR(AND($H170&lt;&gt;"",$H170=0),LOWER($F170&amp;"")="free game",LOWER($F170&amp;"")="free",LOWER($F170&amp;"")="free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IF(COUNTA($A170:$M170)=0,"",IF(OR($U170="Subscription",$U170=""),"",IF(OR($U170="Free Game",$U170="Disqualified — Free Game"),0,ROUND(IFERROR($Q170,0)-IFERROR($S170,0),2))))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455"/>
      <x:c r="H171" s="455"/>
      <x:c r="I171" s="456"/>
      <x:c r="J171" s="456"/>
      <x:c r="K171" s="455"/>
      <x:c r="L171" s="454"/>
      <x:c r="M171" s="439"/>
      <x:c r="N171" s="114" t="str">
        <x:f>IF(COUNTA($A171:$M171)=0,"",IF(OR(LOWER($F171&amp;"")="subscription",LOWER($F171&amp;"")="membership"),"",IF($G171="","",IF(ISNUMBER(SEARCH("non",LOWER($E171&amp;""))),$G171*0.85,$G171))))</x:f>
      </x:c>
      <x:c r="O171" s="114" t="str">
        <x:f>IF(COUNTA($A171:$M171)=0,"",IF(OR(LOWER($F171&amp;"")="subscription",LOWER($F171&amp;"")="membership"),"",IF(OR($N171="",$I171="",$I171=0),"",IFERROR($N171/$I171,""))))</x:f>
      </x:c>
      <x:c r="P171" s="114" t="str">
        <x:f>IF(COUNTA($A171:$M171)=0,"",IF(OR(LOWER($F171&amp;"")="subscription",LOWER($F171&amp;"")="membership"),"",IF(LOWER($L171&amp;"")="yes",0,IF($K171&lt;&gt;"",$K171,IF($O171&lt;&gt;"",$O171,"")))))</x:f>
      </x:c>
      <x:c r="Q171" s="114" t="str">
        <x:f>IF(COUNTA($A171:$M171)=0,"",IF(OR($U171="Subscription",$U171=""),"",IF($U171="Profit",ROUND(IFERROR($P171,0)-IFERROR($H171,0),2),0)))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IF(COUNTA($A171:$M171)=0,"",IF(OR(LOWER($F171&amp;"")="subscription",LOWER($F171&amp;"")="membership"),"Subscription",IF(OR(AND($H171&lt;&gt;"",$H171=0),LOWER($F171&amp;"")="free game",LOWER($F171&amp;"")="free",LOWER($F171&amp;"")="free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IF(COUNTA($A171:$M171)=0,"",IF(OR($U171="Subscription",$U171=""),"",IF(OR($U171="Free Game",$U171="Disqualified — Free Game"),0,ROUND(IFERROR($Q171,0)-IFERROR($S171,0),2))))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455"/>
      <x:c r="H172" s="455"/>
      <x:c r="I172" s="456"/>
      <x:c r="J172" s="456"/>
      <x:c r="K172" s="455"/>
      <x:c r="L172" s="454"/>
      <x:c r="M172" s="439"/>
      <x:c r="N172" s="114" t="str">
        <x:f>IF(COUNTA($A172:$M172)=0,"",IF(OR(LOWER($F172&amp;"")="subscription",LOWER($F172&amp;"")="membership"),"",IF($G172="","",IF(ISNUMBER(SEARCH("non",LOWER($E172&amp;""))),$G172*0.85,$G172))))</x:f>
      </x:c>
      <x:c r="O172" s="114" t="str">
        <x:f>IF(COUNTA($A172:$M172)=0,"",IF(OR(LOWER($F172&amp;"")="subscription",LOWER($F172&amp;"")="membership"),"",IF(OR($N172="",$I172="",$I172=0),"",IFERROR($N172/$I172,""))))</x:f>
      </x:c>
      <x:c r="P172" s="114" t="str">
        <x:f>IF(COUNTA($A172:$M172)=0,"",IF(OR(LOWER($F172&amp;"")="subscription",LOWER($F172&amp;"")="membership"),"",IF(LOWER($L172&amp;"")="yes",0,IF($K172&lt;&gt;"",$K172,IF($O172&lt;&gt;"",$O172,"")))))</x:f>
      </x:c>
      <x:c r="Q172" s="114" t="str">
        <x:f>IF(COUNTA($A172:$M172)=0,"",IF(OR($U172="Subscription",$U172=""),"",IF($U172="Profit",ROUND(IFERROR($P172,0)-IFERROR($H172,0),2),0)))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IF(COUNTA($A172:$M172)=0,"",IF(OR(LOWER($F172&amp;"")="subscription",LOWER($F172&amp;"")="membership"),"Subscription",IF(OR(AND($H172&lt;&gt;"",$H172=0),LOWER($F172&amp;"")="free game",LOWER($F172&amp;"")="free",LOWER($F172&amp;"")="free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IF(COUNTA($A172:$M172)=0,"",IF(OR($U172="Subscription",$U172=""),"",IF(OR($U172="Free Game",$U172="Disqualified — Free Game"),0,ROUND(IFERROR($Q172,0)-IFERROR($S172,0),2))))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455"/>
      <x:c r="H173" s="455"/>
      <x:c r="I173" s="456"/>
      <x:c r="J173" s="456"/>
      <x:c r="K173" s="455"/>
      <x:c r="L173" s="454"/>
      <x:c r="M173" s="439"/>
      <x:c r="N173" s="114" t="str">
        <x:f>IF(COUNTA($A173:$M173)=0,"",IF(OR(LOWER($F173&amp;"")="subscription",LOWER($F173&amp;"")="membership"),"",IF($G173="","",IF(ISNUMBER(SEARCH("non",LOWER($E173&amp;""))),$G173*0.85,$G173))))</x:f>
      </x:c>
      <x:c r="O173" s="114" t="str">
        <x:f>IF(COUNTA($A173:$M173)=0,"",IF(OR(LOWER($F173&amp;"")="subscription",LOWER($F173&amp;"")="membership"),"",IF(OR($N173="",$I173="",$I173=0),"",IFERROR($N173/$I173,""))))</x:f>
      </x:c>
      <x:c r="P173" s="114" t="str">
        <x:f>IF(COUNTA($A173:$M173)=0,"",IF(OR(LOWER($F173&amp;"")="subscription",LOWER($F173&amp;"")="membership"),"",IF(LOWER($L173&amp;"")="yes",0,IF($K173&lt;&gt;"",$K173,IF($O173&lt;&gt;"",$O173,"")))))</x:f>
      </x:c>
      <x:c r="Q173" s="114" t="str">
        <x:f>IF(COUNTA($A173:$M173)=0,"",IF(OR($U173="Subscription",$U173=""),"",IF($U173="Profit",ROUND(IFERROR($P173,0)-IFERROR($H173,0),2),0)))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IF(COUNTA($A173:$M173)=0,"",IF(OR(LOWER($F173&amp;"")="subscription",LOWER($F173&amp;"")="membership"),"Subscription",IF(OR(AND($H173&lt;&gt;"",$H173=0),LOWER($F173&amp;"")="free game",LOWER($F173&amp;"")="free",LOWER($F173&amp;"")="free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IF(COUNTA($A173:$M173)=0,"",IF(OR($U173="Subscription",$U173=""),"",IF(OR($U173="Free Game",$U173="Disqualified — Free Game"),0,ROUND(IFERROR($Q173,0)-IFERROR($S173,0),2))))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455"/>
      <x:c r="H174" s="455"/>
      <x:c r="I174" s="456"/>
      <x:c r="J174" s="456"/>
      <x:c r="K174" s="455"/>
      <x:c r="L174" s="454"/>
      <x:c r="M174" s="439"/>
      <x:c r="N174" s="114" t="str">
        <x:f>IF(COUNTA($A174:$M174)=0,"",IF(OR(LOWER($F174&amp;"")="subscription",LOWER($F174&amp;"")="membership"),"",IF($G174="","",IF(ISNUMBER(SEARCH("non",LOWER($E174&amp;""))),$G174*0.85,$G174))))</x:f>
      </x:c>
      <x:c r="O174" s="114" t="str">
        <x:f>IF(COUNTA($A174:$M174)=0,"",IF(OR(LOWER($F174&amp;"")="subscription",LOWER($F174&amp;"")="membership"),"",IF(OR($N174="",$I174="",$I174=0),"",IFERROR($N174/$I174,""))))</x:f>
      </x:c>
      <x:c r="P174" s="114" t="str">
        <x:f>IF(COUNTA($A174:$M174)=0,"",IF(OR(LOWER($F174&amp;"")="subscription",LOWER($F174&amp;"")="membership"),"",IF(LOWER($L174&amp;"")="yes",0,IF($K174&lt;&gt;"",$K174,IF($O174&lt;&gt;"",$O174,"")))))</x:f>
      </x:c>
      <x:c r="Q174" s="114" t="str">
        <x:f>IF(COUNTA($A174:$M174)=0,"",IF(OR($U174="Subscription",$U174=""),"",IF($U174="Profit",ROUND(IFERROR($P174,0)-IFERROR($H174,0),2),0)))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IF(COUNTA($A174:$M174)=0,"",IF(OR(LOWER($F174&amp;"")="subscription",LOWER($F174&amp;"")="membership"),"Subscription",IF(OR(AND($H174&lt;&gt;"",$H174=0),LOWER($F174&amp;"")="free game",LOWER($F174&amp;"")="free",LOWER($F174&amp;"")="free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IF(COUNTA($A174:$M174)=0,"",IF(OR($U174="Subscription",$U174=""),"",IF(OR($U174="Free Game",$U174="Disqualified — Free Game"),0,ROUND(IFERROR($Q174,0)-IFERROR($S174,0),2))))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455"/>
      <x:c r="H175" s="455"/>
      <x:c r="I175" s="456"/>
      <x:c r="J175" s="456"/>
      <x:c r="K175" s="455"/>
      <x:c r="L175" s="454"/>
      <x:c r="M175" s="439"/>
      <x:c r="N175" s="114" t="str">
        <x:f>IF(COUNTA($A175:$M175)=0,"",IF(OR(LOWER($F175&amp;"")="subscription",LOWER($F175&amp;"")="membership"),"",IF($G175="","",IF(ISNUMBER(SEARCH("non",LOWER($E175&amp;""))),$G175*0.85,$G175))))</x:f>
      </x:c>
      <x:c r="O175" s="114" t="str">
        <x:f>IF(COUNTA($A175:$M175)=0,"",IF(OR(LOWER($F175&amp;"")="subscription",LOWER($F175&amp;"")="membership"),"",IF(OR($N175="",$I175="",$I175=0),"",IFERROR($N175/$I175,""))))</x:f>
      </x:c>
      <x:c r="P175" s="114" t="str">
        <x:f>IF(COUNTA($A175:$M175)=0,"",IF(OR(LOWER($F175&amp;"")="subscription",LOWER($F175&amp;"")="membership"),"",IF(LOWER($L175&amp;"")="yes",0,IF($K175&lt;&gt;"",$K175,IF($O175&lt;&gt;"",$O175,"")))))</x:f>
      </x:c>
      <x:c r="Q175" s="114" t="str">
        <x:f>IF(COUNTA($A175:$M175)=0,"",IF(OR($U175="Subscription",$U175=""),"",IF($U175="Profit",ROUND(IFERROR($P175,0)-IFERROR($H175,0),2),0)))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IF(COUNTA($A175:$M175)=0,"",IF(OR(LOWER($F175&amp;"")="subscription",LOWER($F175&amp;"")="membership"),"Subscription",IF(OR(AND($H175&lt;&gt;"",$H175=0),LOWER($F175&amp;"")="free game",LOWER($F175&amp;"")="free",LOWER($F175&amp;"")="free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IF(COUNTA($A175:$M175)=0,"",IF(OR($U175="Subscription",$U175=""),"",IF(OR($U175="Free Game",$U175="Disqualified — Free Game"),0,ROUND(IFERROR($Q175,0)-IFERROR($S175,0),2))))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455"/>
      <x:c r="H176" s="455"/>
      <x:c r="I176" s="456"/>
      <x:c r="J176" s="456"/>
      <x:c r="K176" s="455"/>
      <x:c r="L176" s="454"/>
      <x:c r="M176" s="439"/>
      <x:c r="N176" s="114" t="str">
        <x:f>IF(COUNTA($A176:$M176)=0,"",IF(OR(LOWER($F176&amp;"")="subscription",LOWER($F176&amp;"")="membership"),"",IF($G176="","",IF(ISNUMBER(SEARCH("non",LOWER($E176&amp;""))),$G176*0.85,$G176))))</x:f>
      </x:c>
      <x:c r="O176" s="114" t="str">
        <x:f>IF(COUNTA($A176:$M176)=0,"",IF(OR(LOWER($F176&amp;"")="subscription",LOWER($F176&amp;"")="membership"),"",IF(OR($N176="",$I176="",$I176=0),"",IFERROR($N176/$I176,""))))</x:f>
      </x:c>
      <x:c r="P176" s="114" t="str">
        <x:f>IF(COUNTA($A176:$M176)=0,"",IF(OR(LOWER($F176&amp;"")="subscription",LOWER($F176&amp;"")="membership"),"",IF(LOWER($L176&amp;"")="yes",0,IF($K176&lt;&gt;"",$K176,IF($O176&lt;&gt;"",$O176,"")))))</x:f>
      </x:c>
      <x:c r="Q176" s="114" t="str">
        <x:f>IF(COUNTA($A176:$M176)=0,"",IF(OR($U176="Subscription",$U176=""),"",IF($U176="Profit",ROUND(IFERROR($P176,0)-IFERROR($H176,0),2),0)))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IF(COUNTA($A176:$M176)=0,"",IF(OR(LOWER($F176&amp;"")="subscription",LOWER($F176&amp;"")="membership"),"Subscription",IF(OR(AND($H176&lt;&gt;"",$H176=0),LOWER($F176&amp;"")="free game",LOWER($F176&amp;"")="free",LOWER($F176&amp;"")="free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IF(COUNTA($A176:$M176)=0,"",IF(OR($U176="Subscription",$U176=""),"",IF(OR($U176="Free Game",$U176="Disqualified — Free Game"),0,ROUND(IFERROR($Q176,0)-IFERROR($S176,0),2))))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455"/>
      <x:c r="H177" s="455"/>
      <x:c r="I177" s="456"/>
      <x:c r="J177" s="456"/>
      <x:c r="K177" s="455"/>
      <x:c r="L177" s="454"/>
      <x:c r="M177" s="439"/>
      <x:c r="N177" s="114" t="str">
        <x:f>IF(COUNTA($A177:$M177)=0,"",IF(OR(LOWER($F177&amp;"")="subscription",LOWER($F177&amp;"")="membership"),"",IF($G177="","",IF(ISNUMBER(SEARCH("non",LOWER($E177&amp;""))),$G177*0.85,$G177))))</x:f>
      </x:c>
      <x:c r="O177" s="114" t="str">
        <x:f>IF(COUNTA($A177:$M177)=0,"",IF(OR(LOWER($F177&amp;"")="subscription",LOWER($F177&amp;"")="membership"),"",IF(OR($N177="",$I177="",$I177=0),"",IFERROR($N177/$I177,""))))</x:f>
      </x:c>
      <x:c r="P177" s="114" t="str">
        <x:f>IF(COUNTA($A177:$M177)=0,"",IF(OR(LOWER($F177&amp;"")="subscription",LOWER($F177&amp;"")="membership"),"",IF(LOWER($L177&amp;"")="yes",0,IF($K177&lt;&gt;"",$K177,IF($O177&lt;&gt;"",$O177,"")))))</x:f>
      </x:c>
      <x:c r="Q177" s="114" t="str">
        <x:f>IF(COUNTA($A177:$M177)=0,"",IF(OR($U177="Subscription",$U177=""),"",IF($U177="Profit",ROUND(IFERROR($P177,0)-IFERROR($H177,0),2),0)))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IF(COUNTA($A177:$M177)=0,"",IF(OR(LOWER($F177&amp;"")="subscription",LOWER($F177&amp;"")="membership"),"Subscription",IF(OR(AND($H177&lt;&gt;"",$H177=0),LOWER($F177&amp;"")="free game",LOWER($F177&amp;"")="free",LOWER($F177&amp;"")="free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IF(COUNTA($A177:$M177)=0,"",IF(OR($U177="Subscription",$U177=""),"",IF(OR($U177="Free Game",$U177="Disqualified — Free Game"),0,ROUND(IFERROR($Q177,0)-IFERROR($S177,0),2))))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455"/>
      <x:c r="H178" s="455"/>
      <x:c r="I178" s="456"/>
      <x:c r="J178" s="456"/>
      <x:c r="K178" s="455"/>
      <x:c r="L178" s="454"/>
      <x:c r="M178" s="439"/>
      <x:c r="N178" s="114" t="str">
        <x:f>IF(COUNTA($A178:$M178)=0,"",IF(OR(LOWER($F178&amp;"")="subscription",LOWER($F178&amp;"")="membership"),"",IF($G178="","",IF(ISNUMBER(SEARCH("non",LOWER($E178&amp;""))),$G178*0.85,$G178))))</x:f>
      </x:c>
      <x:c r="O178" s="114" t="str">
        <x:f>IF(COUNTA($A178:$M178)=0,"",IF(OR(LOWER($F178&amp;"")="subscription",LOWER($F178&amp;"")="membership"),"",IF(OR($N178="",$I178="",$I178=0),"",IFERROR($N178/$I178,""))))</x:f>
      </x:c>
      <x:c r="P178" s="114" t="str">
        <x:f>IF(COUNTA($A178:$M178)=0,"",IF(OR(LOWER($F178&amp;"")="subscription",LOWER($F178&amp;"")="membership"),"",IF(LOWER($L178&amp;"")="yes",0,IF($K178&lt;&gt;"",$K178,IF($O178&lt;&gt;"",$O178,"")))))</x:f>
      </x:c>
      <x:c r="Q178" s="114" t="str">
        <x:f>IF(COUNTA($A178:$M178)=0,"",IF(OR($U178="Subscription",$U178=""),"",IF($U178="Profit",ROUND(IFERROR($P178,0)-IFERROR($H178,0),2),0)))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IF(COUNTA($A178:$M178)=0,"",IF(OR(LOWER($F178&amp;"")="subscription",LOWER($F178&amp;"")="membership"),"Subscription",IF(OR(AND($H178&lt;&gt;"",$H178=0),LOWER($F178&amp;"")="free game",LOWER($F178&amp;"")="free",LOWER($F178&amp;"")="free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IF(COUNTA($A178:$M178)=0,"",IF(OR($U178="Subscription",$U178=""),"",IF(OR($U178="Free Game",$U178="Disqualified — Free Game"),0,ROUND(IFERROR($Q178,0)-IFERROR($S178,0),2))))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455"/>
      <x:c r="H179" s="455"/>
      <x:c r="I179" s="456"/>
      <x:c r="J179" s="456"/>
      <x:c r="K179" s="455"/>
      <x:c r="L179" s="454"/>
      <x:c r="M179" s="439"/>
      <x:c r="N179" s="114" t="str">
        <x:f>IF(COUNTA($A179:$M179)=0,"",IF(OR(LOWER($F179&amp;"")="subscription",LOWER($F179&amp;"")="membership"),"",IF($G179="","",IF(ISNUMBER(SEARCH("non",LOWER($E179&amp;""))),$G179*0.85,$G179))))</x:f>
      </x:c>
      <x:c r="O179" s="114" t="str">
        <x:f>IF(COUNTA($A179:$M179)=0,"",IF(OR(LOWER($F179&amp;"")="subscription",LOWER($F179&amp;"")="membership"),"",IF(OR($N179="",$I179="",$I179=0),"",IFERROR($N179/$I179,""))))</x:f>
      </x:c>
      <x:c r="P179" s="114" t="str">
        <x:f>IF(COUNTA($A179:$M179)=0,"",IF(OR(LOWER($F179&amp;"")="subscription",LOWER($F179&amp;"")="membership"),"",IF(LOWER($L179&amp;"")="yes",0,IF($K179&lt;&gt;"",$K179,IF($O179&lt;&gt;"",$O179,"")))))</x:f>
      </x:c>
      <x:c r="Q179" s="114" t="str">
        <x:f>IF(COUNTA($A179:$M179)=0,"",IF(OR($U179="Subscription",$U179=""),"",IF($U179="Profit",ROUND(IFERROR($P179,0)-IFERROR($H179,0),2),0)))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IF(COUNTA($A179:$M179)=0,"",IF(OR(LOWER($F179&amp;"")="subscription",LOWER($F179&amp;"")="membership"),"Subscription",IF(OR(AND($H179&lt;&gt;"",$H179=0),LOWER($F179&amp;"")="free game",LOWER($F179&amp;"")="free",LOWER($F179&amp;"")="free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IF(COUNTA($A179:$M179)=0,"",IF(OR($U179="Subscription",$U179=""),"",IF(OR($U179="Free Game",$U179="Disqualified — Free Game"),0,ROUND(IFERROR($Q179,0)-IFERROR($S179,0),2))))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455"/>
      <x:c r="H180" s="455"/>
      <x:c r="I180" s="456"/>
      <x:c r="J180" s="456"/>
      <x:c r="K180" s="455"/>
      <x:c r="L180" s="454"/>
      <x:c r="M180" s="439"/>
      <x:c r="N180" s="114" t="str">
        <x:f>IF(COUNTA($A180:$M180)=0,"",IF(OR(LOWER($F180&amp;"")="subscription",LOWER($F180&amp;"")="membership"),"",IF($G180="","",IF(ISNUMBER(SEARCH("non",LOWER($E180&amp;""))),$G180*0.85,$G180))))</x:f>
      </x:c>
      <x:c r="O180" s="114" t="str">
        <x:f>IF(COUNTA($A180:$M180)=0,"",IF(OR(LOWER($F180&amp;"")="subscription",LOWER($F180&amp;"")="membership"),"",IF(OR($N180="",$I180="",$I180=0),"",IFERROR($N180/$I180,""))))</x:f>
      </x:c>
      <x:c r="P180" s="114" t="str">
        <x:f>IF(COUNTA($A180:$M180)=0,"",IF(OR(LOWER($F180&amp;"")="subscription",LOWER($F180&amp;"")="membership"),"",IF(LOWER($L180&amp;"")="yes",0,IF($K180&lt;&gt;"",$K180,IF($O180&lt;&gt;"",$O180,"")))))</x:f>
      </x:c>
      <x:c r="Q180" s="114" t="str">
        <x:f>IF(COUNTA($A180:$M180)=0,"",IF(OR($U180="Subscription",$U180=""),"",IF($U180="Profit",ROUND(IFERROR($P180,0)-IFERROR($H180,0),2),0)))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IF(COUNTA($A180:$M180)=0,"",IF(OR(LOWER($F180&amp;"")="subscription",LOWER($F180&amp;"")="membership"),"Subscription",IF(OR(AND($H180&lt;&gt;"",$H180=0),LOWER($F180&amp;"")="free game",LOWER($F180&amp;"")="free",LOWER($F180&amp;"")="free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IF(COUNTA($A180:$M180)=0,"",IF(OR($U180="Subscription",$U180=""),"",IF(OR($U180="Free Game",$U180="Disqualified — Free Game"),0,ROUND(IFERROR($Q180,0)-IFERROR($S180,0),2))))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455"/>
      <x:c r="H181" s="455"/>
      <x:c r="I181" s="456"/>
      <x:c r="J181" s="456"/>
      <x:c r="K181" s="455"/>
      <x:c r="L181" s="454"/>
      <x:c r="M181" s="439"/>
      <x:c r="N181" s="114" t="str">
        <x:f>IF(COUNTA($A181:$M181)=0,"",IF(OR(LOWER($F181&amp;"")="subscription",LOWER($F181&amp;"")="membership"),"",IF($G181="","",IF(ISNUMBER(SEARCH("non",LOWER($E181&amp;""))),$G181*0.85,$G181))))</x:f>
      </x:c>
      <x:c r="O181" s="114" t="str">
        <x:f>IF(COUNTA($A181:$M181)=0,"",IF(OR(LOWER($F181&amp;"")="subscription",LOWER($F181&amp;"")="membership"),"",IF(OR($N181="",$I181="",$I181=0),"",IFERROR($N181/$I181,""))))</x:f>
      </x:c>
      <x:c r="P181" s="114" t="str">
        <x:f>IF(COUNTA($A181:$M181)=0,"",IF(OR(LOWER($F181&amp;"")="subscription",LOWER($F181&amp;"")="membership"),"",IF(LOWER($L181&amp;"")="yes",0,IF($K181&lt;&gt;"",$K181,IF($O181&lt;&gt;"",$O181,"")))))</x:f>
      </x:c>
      <x:c r="Q181" s="114" t="str">
        <x:f>IF(COUNTA($A181:$M181)=0,"",IF(OR($U181="Subscription",$U181=""),"",IF($U181="Profit",ROUND(IFERROR($P181,0)-IFERROR($H181,0),2),0)))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IF(COUNTA($A181:$M181)=0,"",IF(OR(LOWER($F181&amp;"")="subscription",LOWER($F181&amp;"")="membership"),"Subscription",IF(OR(AND($H181&lt;&gt;"",$H181=0),LOWER($F181&amp;"")="free game",LOWER($F181&amp;"")="free",LOWER($F181&amp;"")="free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IF(COUNTA($A181:$M181)=0,"",IF(OR($U181="Subscription",$U181=""),"",IF(OR($U181="Free Game",$U181="Disqualified — Free Game"),0,ROUND(IFERROR($Q181,0)-IFERROR($S181,0),2))))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455"/>
      <x:c r="H182" s="455"/>
      <x:c r="I182" s="456"/>
      <x:c r="J182" s="456"/>
      <x:c r="K182" s="455"/>
      <x:c r="L182" s="454"/>
      <x:c r="M182" s="439"/>
      <x:c r="N182" s="114" t="str">
        <x:f>IF(COUNTA($A182:$M182)=0,"",IF(OR(LOWER($F182&amp;"")="subscription",LOWER($F182&amp;"")="membership"),"",IF($G182="","",IF(ISNUMBER(SEARCH("non",LOWER($E182&amp;""))),$G182*0.85,$G182))))</x:f>
      </x:c>
      <x:c r="O182" s="114" t="str">
        <x:f>IF(COUNTA($A182:$M182)=0,"",IF(OR(LOWER($F182&amp;"")="subscription",LOWER($F182&amp;"")="membership"),"",IF(OR($N182="",$I182="",$I182=0),"",IFERROR($N182/$I182,""))))</x:f>
      </x:c>
      <x:c r="P182" s="114" t="str">
        <x:f>IF(COUNTA($A182:$M182)=0,"",IF(OR(LOWER($F182&amp;"")="subscription",LOWER($F182&amp;"")="membership"),"",IF(LOWER($L182&amp;"")="yes",0,IF($K182&lt;&gt;"",$K182,IF($O182&lt;&gt;"",$O182,"")))))</x:f>
      </x:c>
      <x:c r="Q182" s="114" t="str">
        <x:f>IF(COUNTA($A182:$M182)=0,"",IF(OR($U182="Subscription",$U182=""),"",IF($U182="Profit",ROUND(IFERROR($P182,0)-IFERROR($H182,0),2),0)))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IF(COUNTA($A182:$M182)=0,"",IF(OR(LOWER($F182&amp;"")="subscription",LOWER($F182&amp;"")="membership"),"Subscription",IF(OR(AND($H182&lt;&gt;"",$H182=0),LOWER($F182&amp;"")="free game",LOWER($F182&amp;"")="free",LOWER($F182&amp;"")="free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IF(COUNTA($A182:$M182)=0,"",IF(OR($U182="Subscription",$U182=""),"",IF(OR($U182="Free Game",$U182="Disqualified — Free Game"),0,ROUND(IFERROR($Q182,0)-IFERROR($S182,0),2))))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455"/>
      <x:c r="H183" s="455"/>
      <x:c r="I183" s="456"/>
      <x:c r="J183" s="456"/>
      <x:c r="K183" s="455"/>
      <x:c r="L183" s="454"/>
      <x:c r="M183" s="439"/>
      <x:c r="N183" s="114" t="str">
        <x:f>IF(COUNTA($A183:$M183)=0,"",IF(OR(LOWER($F183&amp;"")="subscription",LOWER($F183&amp;"")="membership"),"",IF($G183="","",IF(ISNUMBER(SEARCH("non",LOWER($E183&amp;""))),$G183*0.85,$G183))))</x:f>
      </x:c>
      <x:c r="O183" s="114" t="str">
        <x:f>IF(COUNTA($A183:$M183)=0,"",IF(OR(LOWER($F183&amp;"")="subscription",LOWER($F183&amp;"")="membership"),"",IF(OR($N183="",$I183="",$I183=0),"",IFERROR($N183/$I183,""))))</x:f>
      </x:c>
      <x:c r="P183" s="114" t="str">
        <x:f>IF(COUNTA($A183:$M183)=0,"",IF(OR(LOWER($F183&amp;"")="subscription",LOWER($F183&amp;"")="membership"),"",IF(LOWER($L183&amp;"")="yes",0,IF($K183&lt;&gt;"",$K183,IF($O183&lt;&gt;"",$O183,"")))))</x:f>
      </x:c>
      <x:c r="Q183" s="114" t="str">
        <x:f>IF(COUNTA($A183:$M183)=0,"",IF(OR($U183="Subscription",$U183=""),"",IF($U183="Profit",ROUND(IFERROR($P183,0)-IFERROR($H183,0),2),0)))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IF(COUNTA($A183:$M183)=0,"",IF(OR(LOWER($F183&amp;"")="subscription",LOWER($F183&amp;"")="membership"),"Subscription",IF(OR(AND($H183&lt;&gt;"",$H183=0),LOWER($F183&amp;"")="free game",LOWER($F183&amp;"")="free",LOWER($F183&amp;"")="free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IF(COUNTA($A183:$M183)=0,"",IF(OR($U183="Subscription",$U183=""),"",IF(OR($U183="Free Game",$U183="Disqualified — Free Game"),0,ROUND(IFERROR($Q183,0)-IFERROR($S183,0),2))))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455"/>
      <x:c r="H184" s="455"/>
      <x:c r="I184" s="456"/>
      <x:c r="J184" s="456"/>
      <x:c r="K184" s="455"/>
      <x:c r="L184" s="454"/>
      <x:c r="M184" s="439"/>
      <x:c r="N184" s="114" t="str">
        <x:f>IF(COUNTA($A184:$M184)=0,"",IF(OR(LOWER($F184&amp;"")="subscription",LOWER($F184&amp;"")="membership"),"",IF($G184="","",IF(ISNUMBER(SEARCH("non",LOWER($E184&amp;""))),$G184*0.85,$G184))))</x:f>
      </x:c>
      <x:c r="O184" s="114" t="str">
        <x:f>IF(COUNTA($A184:$M184)=0,"",IF(OR(LOWER($F184&amp;"")="subscription",LOWER($F184&amp;"")="membership"),"",IF(OR($N184="",$I184="",$I184=0),"",IFERROR($N184/$I184,""))))</x:f>
      </x:c>
      <x:c r="P184" s="114" t="str">
        <x:f>IF(COUNTA($A184:$M184)=0,"",IF(OR(LOWER($F184&amp;"")="subscription",LOWER($F184&amp;"")="membership"),"",IF(LOWER($L184&amp;"")="yes",0,IF($K184&lt;&gt;"",$K184,IF($O184&lt;&gt;"",$O184,"")))))</x:f>
      </x:c>
      <x:c r="Q184" s="114" t="str">
        <x:f>IF(COUNTA($A184:$M184)=0,"",IF(OR($U184="Subscription",$U184=""),"",IF($U184="Profit",ROUND(IFERROR($P184,0)-IFERROR($H184,0),2),0)))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IF(COUNTA($A184:$M184)=0,"",IF(OR(LOWER($F184&amp;"")="subscription",LOWER($F184&amp;"")="membership"),"Subscription",IF(OR(AND($H184&lt;&gt;"",$H184=0),LOWER($F184&amp;"")="free game",LOWER($F184&amp;"")="free",LOWER($F184&amp;"")="free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IF(COUNTA($A184:$M184)=0,"",IF(OR($U184="Subscription",$U184=""),"",IF(OR($U184="Free Game",$U184="Disqualified — Free Game"),0,ROUND(IFERROR($Q184,0)-IFERROR($S184,0),2))))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455"/>
      <x:c r="H185" s="455"/>
      <x:c r="I185" s="456"/>
      <x:c r="J185" s="456"/>
      <x:c r="K185" s="455"/>
      <x:c r="L185" s="454"/>
      <x:c r="M185" s="439"/>
      <x:c r="N185" s="114" t="str">
        <x:f>IF(COUNTA($A185:$M185)=0,"",IF(OR(LOWER($F185&amp;"")="subscription",LOWER($F185&amp;"")="membership"),"",IF($G185="","",IF(ISNUMBER(SEARCH("non",LOWER($E185&amp;""))),$G185*0.85,$G185))))</x:f>
      </x:c>
      <x:c r="O185" s="114" t="str">
        <x:f>IF(COUNTA($A185:$M185)=0,"",IF(OR(LOWER($F185&amp;"")="subscription",LOWER($F185&amp;"")="membership"),"",IF(OR($N185="",$I185="",$I185=0),"",IFERROR($N185/$I185,""))))</x:f>
      </x:c>
      <x:c r="P185" s="114" t="str">
        <x:f>IF(COUNTA($A185:$M185)=0,"",IF(OR(LOWER($F185&amp;"")="subscription",LOWER($F185&amp;"")="membership"),"",IF(LOWER($L185&amp;"")="yes",0,IF($K185&lt;&gt;"",$K185,IF($O185&lt;&gt;"",$O185,"")))))</x:f>
      </x:c>
      <x:c r="Q185" s="114" t="str">
        <x:f>IF(COUNTA($A185:$M185)=0,"",IF(OR($U185="Subscription",$U185=""),"",IF($U185="Profit",ROUND(IFERROR($P185,0)-IFERROR($H185,0),2),0)))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IF(COUNTA($A185:$M185)=0,"",IF(OR(LOWER($F185&amp;"")="subscription",LOWER($F185&amp;"")="membership"),"Subscription",IF(OR(AND($H185&lt;&gt;"",$H185=0),LOWER($F185&amp;"")="free game",LOWER($F185&amp;"")="free",LOWER($F185&amp;"")="free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IF(COUNTA($A185:$M185)=0,"",IF(OR($U185="Subscription",$U185=""),"",IF(OR($U185="Free Game",$U185="Disqualified — Free Game"),0,ROUND(IFERROR($Q185,0)-IFERROR($S185,0),2))))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455"/>
      <x:c r="H186" s="455"/>
      <x:c r="I186" s="456"/>
      <x:c r="J186" s="456"/>
      <x:c r="K186" s="455"/>
      <x:c r="L186" s="454"/>
      <x:c r="M186" s="439"/>
      <x:c r="N186" s="114" t="str">
        <x:f>IF(COUNTA($A186:$M186)=0,"",IF(OR(LOWER($F186&amp;"")="subscription",LOWER($F186&amp;"")="membership"),"",IF($G186="","",IF(ISNUMBER(SEARCH("non",LOWER($E186&amp;""))),$G186*0.85,$G186))))</x:f>
      </x:c>
      <x:c r="O186" s="114" t="str">
        <x:f>IF(COUNTA($A186:$M186)=0,"",IF(OR(LOWER($F186&amp;"")="subscription",LOWER($F186&amp;"")="membership"),"",IF(OR($N186="",$I186="",$I186=0),"",IFERROR($N186/$I186,""))))</x:f>
      </x:c>
      <x:c r="P186" s="114" t="str">
        <x:f>IF(COUNTA($A186:$M186)=0,"",IF(OR(LOWER($F186&amp;"")="subscription",LOWER($F186&amp;"")="membership"),"",IF(LOWER($L186&amp;"")="yes",0,IF($K186&lt;&gt;"",$K186,IF($O186&lt;&gt;"",$O186,"")))))</x:f>
      </x:c>
      <x:c r="Q186" s="114" t="str">
        <x:f>IF(COUNTA($A186:$M186)=0,"",IF(OR($U186="Subscription",$U186=""),"",IF($U186="Profit",ROUND(IFERROR($P186,0)-IFERROR($H186,0),2),0)))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IF(COUNTA($A186:$M186)=0,"",IF(OR(LOWER($F186&amp;"")="subscription",LOWER($F186&amp;"")="membership"),"Subscription",IF(OR(AND($H186&lt;&gt;"",$H186=0),LOWER($F186&amp;"")="free game",LOWER($F186&amp;"")="free",LOWER($F186&amp;"")="free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IF(COUNTA($A186:$M186)=0,"",IF(OR($U186="Subscription",$U186=""),"",IF(OR($U186="Free Game",$U186="Disqualified — Free Game"),0,ROUND(IFERROR($Q186,0)-IFERROR($S186,0),2))))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455"/>
      <x:c r="H187" s="455"/>
      <x:c r="I187" s="456"/>
      <x:c r="J187" s="456"/>
      <x:c r="K187" s="455"/>
      <x:c r="L187" s="454"/>
      <x:c r="M187" s="439"/>
      <x:c r="N187" s="114" t="str">
        <x:f>IF(COUNTA($A187:$M187)=0,"",IF(OR(LOWER($F187&amp;"")="subscription",LOWER($F187&amp;"")="membership"),"",IF($G187="","",IF(ISNUMBER(SEARCH("non",LOWER($E187&amp;""))),$G187*0.85,$G187))))</x:f>
      </x:c>
      <x:c r="O187" s="114" t="str">
        <x:f>IF(COUNTA($A187:$M187)=0,"",IF(OR(LOWER($F187&amp;"")="subscription",LOWER($F187&amp;"")="membership"),"",IF(OR($N187="",$I187="",$I187=0),"",IFERROR($N187/$I187,""))))</x:f>
      </x:c>
      <x:c r="P187" s="114" t="str">
        <x:f>IF(COUNTA($A187:$M187)=0,"",IF(OR(LOWER($F187&amp;"")="subscription",LOWER($F187&amp;"")="membership"),"",IF(LOWER($L187&amp;"")="yes",0,IF($K187&lt;&gt;"",$K187,IF($O187&lt;&gt;"",$O187,"")))))</x:f>
      </x:c>
      <x:c r="Q187" s="114" t="str">
        <x:f>IF(COUNTA($A187:$M187)=0,"",IF(OR($U187="Subscription",$U187=""),"",IF($U187="Profit",ROUND(IFERROR($P187,0)-IFERROR($H187,0),2),0)))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IF(COUNTA($A187:$M187)=0,"",IF(OR(LOWER($F187&amp;"")="subscription",LOWER($F187&amp;"")="membership"),"Subscription",IF(OR(AND($H187&lt;&gt;"",$H187=0),LOWER($F187&amp;"")="free game",LOWER($F187&amp;"")="free",LOWER($F187&amp;"")="free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IF(COUNTA($A187:$M187)=0,"",IF(OR($U187="Subscription",$U187=""),"",IF(OR($U187="Free Game",$U187="Disqualified — Free Game"),0,ROUND(IFERROR($Q187,0)-IFERROR($S187,0),2))))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455"/>
      <x:c r="H188" s="455"/>
      <x:c r="I188" s="456"/>
      <x:c r="J188" s="456"/>
      <x:c r="K188" s="455"/>
      <x:c r="L188" s="454"/>
      <x:c r="M188" s="439"/>
      <x:c r="N188" s="114" t="str">
        <x:f>IF(COUNTA($A188:$M188)=0,"",IF(OR(LOWER($F188&amp;"")="subscription",LOWER($F188&amp;"")="membership"),"",IF($G188="","",IF(ISNUMBER(SEARCH("non",LOWER($E188&amp;""))),$G188*0.85,$G188))))</x:f>
      </x:c>
      <x:c r="O188" s="114" t="str">
        <x:f>IF(COUNTA($A188:$M188)=0,"",IF(OR(LOWER($F188&amp;"")="subscription",LOWER($F188&amp;"")="membership"),"",IF(OR($N188="",$I188="",$I188=0),"",IFERROR($N188/$I188,""))))</x:f>
      </x:c>
      <x:c r="P188" s="114" t="str">
        <x:f>IF(COUNTA($A188:$M188)=0,"",IF(OR(LOWER($F188&amp;"")="subscription",LOWER($F188&amp;"")="membership"),"",IF(LOWER($L188&amp;"")="yes",0,IF($K188&lt;&gt;"",$K188,IF($O188&lt;&gt;"",$O188,"")))))</x:f>
      </x:c>
      <x:c r="Q188" s="114" t="str">
        <x:f>IF(COUNTA($A188:$M188)=0,"",IF(OR($U188="Subscription",$U188=""),"",IF($U188="Profit",ROUND(IFERROR($P188,0)-IFERROR($H188,0),2),0)))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IF(COUNTA($A188:$M188)=0,"",IF(OR(LOWER($F188&amp;"")="subscription",LOWER($F188&amp;"")="membership"),"Subscription",IF(OR(AND($H188&lt;&gt;"",$H188=0),LOWER($F188&amp;"")="free game",LOWER($F188&amp;"")="free",LOWER($F188&amp;"")="free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IF(COUNTA($A188:$M188)=0,"",IF(OR($U188="Subscription",$U188=""),"",IF(OR($U188="Free Game",$U188="Disqualified — Free Game"),0,ROUND(IFERROR($Q188,0)-IFERROR($S188,0),2))))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455"/>
      <x:c r="H189" s="455"/>
      <x:c r="I189" s="456"/>
      <x:c r="J189" s="456"/>
      <x:c r="K189" s="455"/>
      <x:c r="L189" s="454"/>
      <x:c r="M189" s="439"/>
      <x:c r="N189" s="114" t="str">
        <x:f>IF(COUNTA($A189:$M189)=0,"",IF(OR(LOWER($F189&amp;"")="subscription",LOWER($F189&amp;"")="membership"),"",IF($G189="","",IF(ISNUMBER(SEARCH("non",LOWER($E189&amp;""))),$G189*0.85,$G189))))</x:f>
      </x:c>
      <x:c r="O189" s="114" t="str">
        <x:f>IF(COUNTA($A189:$M189)=0,"",IF(OR(LOWER($F189&amp;"")="subscription",LOWER($F189&amp;"")="membership"),"",IF(OR($N189="",$I189="",$I189=0),"",IFERROR($N189/$I189,""))))</x:f>
      </x:c>
      <x:c r="P189" s="114" t="str">
        <x:f>IF(COUNTA($A189:$M189)=0,"",IF(OR(LOWER($F189&amp;"")="subscription",LOWER($F189&amp;"")="membership"),"",IF(LOWER($L189&amp;"")="yes",0,IF($K189&lt;&gt;"",$K189,IF($O189&lt;&gt;"",$O189,"")))))</x:f>
      </x:c>
      <x:c r="Q189" s="114" t="str">
        <x:f>IF(COUNTA($A189:$M189)=0,"",IF(OR($U189="Subscription",$U189=""),"",IF($U189="Profit",ROUND(IFERROR($P189,0)-IFERROR($H189,0),2),0)))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IF(COUNTA($A189:$M189)=0,"",IF(OR(LOWER($F189&amp;"")="subscription",LOWER($F189&amp;"")="membership"),"Subscription",IF(OR(AND($H189&lt;&gt;"",$H189=0),LOWER($F189&amp;"")="free game",LOWER($F189&amp;"")="free",LOWER($F189&amp;"")="free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IF(COUNTA($A189:$M189)=0,"",IF(OR($U189="Subscription",$U189=""),"",IF(OR($U189="Free Game",$U189="Disqualified — Free Game"),0,ROUND(IFERROR($Q189,0)-IFERROR($S189,0),2))))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455"/>
      <x:c r="H190" s="455"/>
      <x:c r="I190" s="456"/>
      <x:c r="J190" s="456"/>
      <x:c r="K190" s="455"/>
      <x:c r="L190" s="454"/>
      <x:c r="M190" s="439"/>
      <x:c r="N190" s="114" t="str">
        <x:f>IF(COUNTA($A190:$M190)=0,"",IF(OR(LOWER($F190&amp;"")="subscription",LOWER($F190&amp;"")="membership"),"",IF($G190="","",IF(ISNUMBER(SEARCH("non",LOWER($E190&amp;""))),$G190*0.85,$G190))))</x:f>
      </x:c>
      <x:c r="O190" s="114" t="str">
        <x:f>IF(COUNTA($A190:$M190)=0,"",IF(OR(LOWER($F190&amp;"")="subscription",LOWER($F190&amp;"")="membership"),"",IF(OR($N190="",$I190="",$I190=0),"",IFERROR($N190/$I190,""))))</x:f>
      </x:c>
      <x:c r="P190" s="114" t="str">
        <x:f>IF(COUNTA($A190:$M190)=0,"",IF(OR(LOWER($F190&amp;"")="subscription",LOWER($F190&amp;"")="membership"),"",IF(LOWER($L190&amp;"")="yes",0,IF($K190&lt;&gt;"",$K190,IF($O190&lt;&gt;"",$O190,"")))))</x:f>
      </x:c>
      <x:c r="Q190" s="114" t="str">
        <x:f>IF(COUNTA($A190:$M190)=0,"",IF(OR($U190="Subscription",$U190=""),"",IF($U190="Profit",ROUND(IFERROR($P190,0)-IFERROR($H190,0),2),0)))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IF(COUNTA($A190:$M190)=0,"",IF(OR(LOWER($F190&amp;"")="subscription",LOWER($F190&amp;"")="membership"),"Subscription",IF(OR(AND($H190&lt;&gt;"",$H190=0),LOWER($F190&amp;"")="free game",LOWER($F190&amp;"")="free",LOWER($F190&amp;"")="free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IF(COUNTA($A190:$M190)=0,"",IF(OR($U190="Subscription",$U190=""),"",IF(OR($U190="Free Game",$U190="Disqualified — Free Game"),0,ROUND(IFERROR($Q190,0)-IFERROR($S190,0),2))))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455"/>
      <x:c r="H191" s="455"/>
      <x:c r="I191" s="456"/>
      <x:c r="J191" s="456"/>
      <x:c r="K191" s="455"/>
      <x:c r="L191" s="454"/>
      <x:c r="M191" s="439"/>
      <x:c r="N191" s="114" t="str">
        <x:f>IF(COUNTA($A191:$M191)=0,"",IF(OR(LOWER($F191&amp;"")="subscription",LOWER($F191&amp;"")="membership"),"",IF($G191="","",IF(ISNUMBER(SEARCH("non",LOWER($E191&amp;""))),$G191*0.85,$G191))))</x:f>
      </x:c>
      <x:c r="O191" s="114" t="str">
        <x:f>IF(COUNTA($A191:$M191)=0,"",IF(OR(LOWER($F191&amp;"")="subscription",LOWER($F191&amp;"")="membership"),"",IF(OR($N191="",$I191="",$I191=0),"",IFERROR($N191/$I191,""))))</x:f>
      </x:c>
      <x:c r="P191" s="114" t="str">
        <x:f>IF(COUNTA($A191:$M191)=0,"",IF(OR(LOWER($F191&amp;"")="subscription",LOWER($F191&amp;"")="membership"),"",IF(LOWER($L191&amp;"")="yes",0,IF($K191&lt;&gt;"",$K191,IF($O191&lt;&gt;"",$O191,"")))))</x:f>
      </x:c>
      <x:c r="Q191" s="114" t="str">
        <x:f>IF(COUNTA($A191:$M191)=0,"",IF(OR($U191="Subscription",$U191=""),"",IF($U191="Profit",ROUND(IFERROR($P191,0)-IFERROR($H191,0),2),0)))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IF(COUNTA($A191:$M191)=0,"",IF(OR(LOWER($F191&amp;"")="subscription",LOWER($F191&amp;"")="membership"),"Subscription",IF(OR(AND($H191&lt;&gt;"",$H191=0),LOWER($F191&amp;"")="free game",LOWER($F191&amp;"")="free",LOWER($F191&amp;"")="free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IF(COUNTA($A191:$M191)=0,"",IF(OR($U191="Subscription",$U191=""),"",IF(OR($U191="Free Game",$U191="Disqualified — Free Game"),0,ROUND(IFERROR($Q191,0)-IFERROR($S191,0),2))))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455"/>
      <x:c r="H192" s="455"/>
      <x:c r="I192" s="456"/>
      <x:c r="J192" s="456"/>
      <x:c r="K192" s="455"/>
      <x:c r="L192" s="454"/>
      <x:c r="M192" s="439"/>
      <x:c r="N192" s="114" t="str">
        <x:f>IF(COUNTA($A192:$M192)=0,"",IF(OR(LOWER($F192&amp;"")="subscription",LOWER($F192&amp;"")="membership"),"",IF($G192="","",IF(ISNUMBER(SEARCH("non",LOWER($E192&amp;""))),$G192*0.85,$G192))))</x:f>
      </x:c>
      <x:c r="O192" s="114" t="str">
        <x:f>IF(COUNTA($A192:$M192)=0,"",IF(OR(LOWER($F192&amp;"")="subscription",LOWER($F192&amp;"")="membership"),"",IF(OR($N192="",$I192="",$I192=0),"",IFERROR($N192/$I192,""))))</x:f>
      </x:c>
      <x:c r="P192" s="114" t="str">
        <x:f>IF(COUNTA($A192:$M192)=0,"",IF(OR(LOWER($F192&amp;"")="subscription",LOWER($F192&amp;"")="membership"),"",IF(LOWER($L192&amp;"")="yes",0,IF($K192&lt;&gt;"",$K192,IF($O192&lt;&gt;"",$O192,"")))))</x:f>
      </x:c>
      <x:c r="Q192" s="114" t="str">
        <x:f>IF(COUNTA($A192:$M192)=0,"",IF(OR($U192="Subscription",$U192=""),"",IF($U192="Profit",ROUND(IFERROR($P192,0)-IFERROR($H192,0),2),0)))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IF(COUNTA($A192:$M192)=0,"",IF(OR(LOWER($F192&amp;"")="subscription",LOWER($F192&amp;"")="membership"),"Subscription",IF(OR(AND($H192&lt;&gt;"",$H192=0),LOWER($F192&amp;"")="free game",LOWER($F192&amp;"")="free",LOWER($F192&amp;"")="free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IF(COUNTA($A192:$M192)=0,"",IF(OR($U192="Subscription",$U192=""),"",IF(OR($U192="Free Game",$U192="Disqualified — Free Game"),0,ROUND(IFERROR($Q192,0)-IFERROR($S192,0),2))))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455"/>
      <x:c r="H193" s="455"/>
      <x:c r="I193" s="456"/>
      <x:c r="J193" s="456"/>
      <x:c r="K193" s="455"/>
      <x:c r="L193" s="454"/>
      <x:c r="M193" s="439"/>
      <x:c r="N193" s="114" t="str">
        <x:f>IF(COUNTA($A193:$M193)=0,"",IF(OR(LOWER($F193&amp;"")="subscription",LOWER($F193&amp;"")="membership"),"",IF($G193="","",IF(ISNUMBER(SEARCH("non",LOWER($E193&amp;""))),$G193*0.85,$G193))))</x:f>
      </x:c>
      <x:c r="O193" s="114" t="str">
        <x:f>IF(COUNTA($A193:$M193)=0,"",IF(OR(LOWER($F193&amp;"")="subscription",LOWER($F193&amp;"")="membership"),"",IF(OR($N193="",$I193="",$I193=0),"",IFERROR($N193/$I193,""))))</x:f>
      </x:c>
      <x:c r="P193" s="114" t="str">
        <x:f>IF(COUNTA($A193:$M193)=0,"",IF(OR(LOWER($F193&amp;"")="subscription",LOWER($F193&amp;"")="membership"),"",IF(LOWER($L193&amp;"")="yes",0,IF($K193&lt;&gt;"",$K193,IF($O193&lt;&gt;"",$O193,"")))))</x:f>
      </x:c>
      <x:c r="Q193" s="114" t="str">
        <x:f>IF(COUNTA($A193:$M193)=0,"",IF(OR($U193="Subscription",$U193=""),"",IF($U193="Profit",ROUND(IFERROR($P193,0)-IFERROR($H193,0),2),0)))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IF(COUNTA($A193:$M193)=0,"",IF(OR(LOWER($F193&amp;"")="subscription",LOWER($F193&amp;"")="membership"),"Subscription",IF(OR(AND($H193&lt;&gt;"",$H193=0),LOWER($F193&amp;"")="free game",LOWER($F193&amp;"")="free",LOWER($F193&amp;"")="free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IF(COUNTA($A193:$M193)=0,"",IF(OR($U193="Subscription",$U193=""),"",IF(OR($U193="Free Game",$U193="Disqualified — Free Game"),0,ROUND(IFERROR($Q193,0)-IFERROR($S193,0),2))))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455"/>
      <x:c r="H194" s="455"/>
      <x:c r="I194" s="456"/>
      <x:c r="J194" s="456"/>
      <x:c r="K194" s="455"/>
      <x:c r="L194" s="454"/>
      <x:c r="M194" s="439"/>
      <x:c r="N194" s="114" t="str">
        <x:f>IF(COUNTA($A194:$M194)=0,"",IF(OR(LOWER($F194&amp;"")="subscription",LOWER($F194&amp;"")="membership"),"",IF($G194="","",IF(ISNUMBER(SEARCH("non",LOWER($E194&amp;""))),$G194*0.85,$G194))))</x:f>
      </x:c>
      <x:c r="O194" s="114" t="str">
        <x:f>IF(COUNTA($A194:$M194)=0,"",IF(OR(LOWER($F194&amp;"")="subscription",LOWER($F194&amp;"")="membership"),"",IF(OR($N194="",$I194="",$I194=0),"",IFERROR($N194/$I194,""))))</x:f>
      </x:c>
      <x:c r="P194" s="114" t="str">
        <x:f>IF(COUNTA($A194:$M194)=0,"",IF(OR(LOWER($F194&amp;"")="subscription",LOWER($F194&amp;"")="membership"),"",IF(LOWER($L194&amp;"")="yes",0,IF($K194&lt;&gt;"",$K194,IF($O194&lt;&gt;"",$O194,"")))))</x:f>
      </x:c>
      <x:c r="Q194" s="114" t="str">
        <x:f>IF(COUNTA($A194:$M194)=0,"",IF(OR($U194="Subscription",$U194=""),"",IF($U194="Profit",ROUND(IFERROR($P194,0)-IFERROR($H194,0),2),0)))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IF(COUNTA($A194:$M194)=0,"",IF(OR(LOWER($F194&amp;"")="subscription",LOWER($F194&amp;"")="membership"),"Subscription",IF(OR(AND($H194&lt;&gt;"",$H194=0),LOWER($F194&amp;"")="free game",LOWER($F194&amp;"")="free",LOWER($F194&amp;"")="free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IF(COUNTA($A194:$M194)=0,"",IF(OR($U194="Subscription",$U194=""),"",IF(OR($U194="Free Game",$U194="Disqualified — Free Game"),0,ROUND(IFERROR($Q194,0)-IFERROR($S194,0),2))))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455"/>
      <x:c r="H195" s="455"/>
      <x:c r="I195" s="456"/>
      <x:c r="J195" s="456"/>
      <x:c r="K195" s="455"/>
      <x:c r="L195" s="454"/>
      <x:c r="M195" s="439"/>
      <x:c r="N195" s="114" t="str">
        <x:f>IF(COUNTA($A195:$M195)=0,"",IF(OR(LOWER($F195&amp;"")="subscription",LOWER($F195&amp;"")="membership"),"",IF($G195="","",IF(ISNUMBER(SEARCH("non",LOWER($E195&amp;""))),$G195*0.85,$G195))))</x:f>
      </x:c>
      <x:c r="O195" s="114" t="str">
        <x:f>IF(COUNTA($A195:$M195)=0,"",IF(OR(LOWER($F195&amp;"")="subscription",LOWER($F195&amp;"")="membership"),"",IF(OR($N195="",$I195="",$I195=0),"",IFERROR($N195/$I195,""))))</x:f>
      </x:c>
      <x:c r="P195" s="114" t="str">
        <x:f>IF(COUNTA($A195:$M195)=0,"",IF(OR(LOWER($F195&amp;"")="subscription",LOWER($F195&amp;"")="membership"),"",IF(LOWER($L195&amp;"")="yes",0,IF($K195&lt;&gt;"",$K195,IF($O195&lt;&gt;"",$O195,"")))))</x:f>
      </x:c>
      <x:c r="Q195" s="114" t="str">
        <x:f>IF(COUNTA($A195:$M195)=0,"",IF(OR($U195="Subscription",$U195=""),"",IF($U195="Profit",ROUND(IFERROR($P195,0)-IFERROR($H195,0),2),0)))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IF(COUNTA($A195:$M195)=0,"",IF(OR(LOWER($F195&amp;"")="subscription",LOWER($F195&amp;"")="membership"),"Subscription",IF(OR(AND($H195&lt;&gt;"",$H195=0),LOWER($F195&amp;"")="free game",LOWER($F195&amp;"")="free",LOWER($F195&amp;"")="free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IF(COUNTA($A195:$M195)=0,"",IF(OR($U195="Subscription",$U195=""),"",IF(OR($U195="Free Game",$U195="Disqualified — Free Game"),0,ROUND(IFERROR($Q195,0)-IFERROR($S195,0),2))))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455"/>
      <x:c r="H196" s="455"/>
      <x:c r="I196" s="456"/>
      <x:c r="J196" s="456"/>
      <x:c r="K196" s="455"/>
      <x:c r="L196" s="454"/>
      <x:c r="M196" s="439"/>
      <x:c r="N196" s="114" t="str">
        <x:f>IF(COUNTA($A196:$M196)=0,"",IF(OR(LOWER($F196&amp;"")="subscription",LOWER($F196&amp;"")="membership"),"",IF($G196="","",IF(ISNUMBER(SEARCH("non",LOWER($E196&amp;""))),$G196*0.85,$G196))))</x:f>
      </x:c>
      <x:c r="O196" s="114" t="str">
        <x:f>IF(COUNTA($A196:$M196)=0,"",IF(OR(LOWER($F196&amp;"")="subscription",LOWER($F196&amp;"")="membership"),"",IF(OR($N196="",$I196="",$I196=0),"",IFERROR($N196/$I196,""))))</x:f>
      </x:c>
      <x:c r="P196" s="114" t="str">
        <x:f>IF(COUNTA($A196:$M196)=0,"",IF(OR(LOWER($F196&amp;"")="subscription",LOWER($F196&amp;"")="membership"),"",IF(LOWER($L196&amp;"")="yes",0,IF($K196&lt;&gt;"",$K196,IF($O196&lt;&gt;"",$O196,"")))))</x:f>
      </x:c>
      <x:c r="Q196" s="114" t="str">
        <x:f>IF(COUNTA($A196:$M196)=0,"",IF(OR($U196="Subscription",$U196=""),"",IF($U196="Profit",ROUND(IFERROR($P196,0)-IFERROR($H196,0),2),0)))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IF(COUNTA($A196:$M196)=0,"",IF(OR(LOWER($F196&amp;"")="subscription",LOWER($F196&amp;"")="membership"),"Subscription",IF(OR(AND($H196&lt;&gt;"",$H196=0),LOWER($F196&amp;"")="free game",LOWER($F196&amp;"")="free",LOWER($F196&amp;"")="free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IF(COUNTA($A196:$M196)=0,"",IF(OR($U196="Subscription",$U196=""),"",IF(OR($U196="Free Game",$U196="Disqualified — Free Game"),0,ROUND(IFERROR($Q196,0)-IFERROR($S196,0),2))))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455"/>
      <x:c r="H197" s="455"/>
      <x:c r="I197" s="456"/>
      <x:c r="J197" s="456"/>
      <x:c r="K197" s="455"/>
      <x:c r="L197" s="454"/>
      <x:c r="M197" s="439"/>
      <x:c r="N197" s="114" t="str">
        <x:f>IF(COUNTA($A197:$M197)=0,"",IF(OR(LOWER($F197&amp;"")="subscription",LOWER($F197&amp;"")="membership"),"",IF($G197="","",IF(ISNUMBER(SEARCH("non",LOWER($E197&amp;""))),$G197*0.85,$G197))))</x:f>
      </x:c>
      <x:c r="O197" s="114" t="str">
        <x:f>IF(COUNTA($A197:$M197)=0,"",IF(OR(LOWER($F197&amp;"")="subscription",LOWER($F197&amp;"")="membership"),"",IF(OR($N197="",$I197="",$I197=0),"",IFERROR($N197/$I197,""))))</x:f>
      </x:c>
      <x:c r="P197" s="114" t="str">
        <x:f>IF(COUNTA($A197:$M197)=0,"",IF(OR(LOWER($F197&amp;"")="subscription",LOWER($F197&amp;"")="membership"),"",IF(LOWER($L197&amp;"")="yes",0,IF($K197&lt;&gt;"",$K197,IF($O197&lt;&gt;"",$O197,"")))))</x:f>
      </x:c>
      <x:c r="Q197" s="114" t="str">
        <x:f>IF(COUNTA($A197:$M197)=0,"",IF(OR($U197="Subscription",$U197=""),"",IF($U197="Profit",ROUND(IFERROR($P197,0)-IFERROR($H197,0),2),0)))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IF(COUNTA($A197:$M197)=0,"",IF(OR(LOWER($F197&amp;"")="subscription",LOWER($F197&amp;"")="membership"),"Subscription",IF(OR(AND($H197&lt;&gt;"",$H197=0),LOWER($F197&amp;"")="free game",LOWER($F197&amp;"")="free",LOWER($F197&amp;"")="free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IF(COUNTA($A197:$M197)=0,"",IF(OR($U197="Subscription",$U197=""),"",IF(OR($U197="Free Game",$U197="Disqualified — Free Game"),0,ROUND(IFERROR($Q197,0)-IFERROR($S197,0),2))))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455"/>
      <x:c r="H198" s="455"/>
      <x:c r="I198" s="456"/>
      <x:c r="J198" s="456"/>
      <x:c r="K198" s="455"/>
      <x:c r="L198" s="454"/>
      <x:c r="M198" s="439"/>
      <x:c r="N198" s="114" t="str">
        <x:f>IF(COUNTA($A198:$M198)=0,"",IF(OR(LOWER($F198&amp;"")="subscription",LOWER($F198&amp;"")="membership"),"",IF($G198="","",IF(ISNUMBER(SEARCH("non",LOWER($E198&amp;""))),$G198*0.85,$G198))))</x:f>
      </x:c>
      <x:c r="O198" s="114" t="str">
        <x:f>IF(COUNTA($A198:$M198)=0,"",IF(OR(LOWER($F198&amp;"")="subscription",LOWER($F198&amp;"")="membership"),"",IF(OR($N198="",$I198="",$I198=0),"",IFERROR($N198/$I198,""))))</x:f>
      </x:c>
      <x:c r="P198" s="114" t="str">
        <x:f>IF(COUNTA($A198:$M198)=0,"",IF(OR(LOWER($F198&amp;"")="subscription",LOWER($F198&amp;"")="membership"),"",IF(LOWER($L198&amp;"")="yes",0,IF($K198&lt;&gt;"",$K198,IF($O198&lt;&gt;"",$O198,"")))))</x:f>
      </x:c>
      <x:c r="Q198" s="114" t="str">
        <x:f>IF(COUNTA($A198:$M198)=0,"",IF(OR($U198="Subscription",$U198=""),"",IF($U198="Profit",ROUND(IFERROR($P198,0)-IFERROR($H198,0),2),0)))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IF(COUNTA($A198:$M198)=0,"",IF(OR(LOWER($F198&amp;"")="subscription",LOWER($F198&amp;"")="membership"),"Subscription",IF(OR(AND($H198&lt;&gt;"",$H198=0),LOWER($F198&amp;"")="free game",LOWER($F198&amp;"")="free",LOWER($F198&amp;"")="free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IF(COUNTA($A198:$M198)=0,"",IF(OR($U198="Subscription",$U198=""),"",IF(OR($U198="Free Game",$U198="Disqualified — Free Game"),0,ROUND(IFERROR($Q198,0)-IFERROR($S198,0),2))))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455"/>
      <x:c r="H199" s="455"/>
      <x:c r="I199" s="456"/>
      <x:c r="J199" s="456"/>
      <x:c r="K199" s="455"/>
      <x:c r="L199" s="454"/>
      <x:c r="M199" s="439"/>
      <x:c r="N199" s="114" t="str">
        <x:f>IF(COUNTA($A199:$M199)=0,"",IF(OR(LOWER($F199&amp;"")="subscription",LOWER($F199&amp;"")="membership"),"",IF($G199="","",IF(ISNUMBER(SEARCH("non",LOWER($E199&amp;""))),$G199*0.85,$G199))))</x:f>
      </x:c>
      <x:c r="O199" s="114" t="str">
        <x:f>IF(COUNTA($A199:$M199)=0,"",IF(OR(LOWER($F199&amp;"")="subscription",LOWER($F199&amp;"")="membership"),"",IF(OR($N199="",$I199="",$I199=0),"",IFERROR($N199/$I199,""))))</x:f>
      </x:c>
      <x:c r="P199" s="114" t="str">
        <x:f>IF(COUNTA($A199:$M199)=0,"",IF(OR(LOWER($F199&amp;"")="subscription",LOWER($F199&amp;"")="membership"),"",IF(LOWER($L199&amp;"")="yes",0,IF($K199&lt;&gt;"",$K199,IF($O199&lt;&gt;"",$O199,"")))))</x:f>
      </x:c>
      <x:c r="Q199" s="114" t="str">
        <x:f>IF(COUNTA($A199:$M199)=0,"",IF(OR($U199="Subscription",$U199=""),"",IF($U199="Profit",ROUND(IFERROR($P199,0)-IFERROR($H199,0),2),0)))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IF(COUNTA($A199:$M199)=0,"",IF(OR(LOWER($F199&amp;"")="subscription",LOWER($F199&amp;"")="membership"),"Subscription",IF(OR(AND($H199&lt;&gt;"",$H199=0),LOWER($F199&amp;"")="free game",LOWER($F199&amp;"")="free",LOWER($F199&amp;"")="free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IF(COUNTA($A199:$M199)=0,"",IF(OR($U199="Subscription",$U199=""),"",IF(OR($U199="Free Game",$U199="Disqualified — Free Game"),0,ROUND(IFERROR($Q199,0)-IFERROR($S199,0),2))))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455"/>
      <x:c r="H200" s="455"/>
      <x:c r="I200" s="456"/>
      <x:c r="J200" s="456"/>
      <x:c r="K200" s="455"/>
      <x:c r="L200" s="454"/>
      <x:c r="M200" s="439"/>
      <x:c r="N200" s="114" t="str">
        <x:f>IF(COUNTA($A200:$M200)=0,"",IF(OR(LOWER($F200&amp;"")="subscription",LOWER($F200&amp;"")="membership"),"",IF($G200="","",IF(ISNUMBER(SEARCH("non",LOWER($E200&amp;""))),$G200*0.85,$G200))))</x:f>
      </x:c>
      <x:c r="O200" s="114" t="str">
        <x:f>IF(COUNTA($A200:$M200)=0,"",IF(OR(LOWER($F200&amp;"")="subscription",LOWER($F200&amp;"")="membership"),"",IF(OR($N200="",$I200="",$I200=0),"",IFERROR($N200/$I200,""))))</x:f>
      </x:c>
      <x:c r="P200" s="114" t="str">
        <x:f>IF(COUNTA($A200:$M200)=0,"",IF(OR(LOWER($F200&amp;"")="subscription",LOWER($F200&amp;"")="membership"),"",IF(LOWER($L200&amp;"")="yes",0,IF($K200&lt;&gt;"",$K200,IF($O200&lt;&gt;"",$O200,"")))))</x:f>
      </x:c>
      <x:c r="Q200" s="114" t="str">
        <x:f>IF(COUNTA($A200:$M200)=0,"",IF(OR($U200="Subscription",$U200=""),"",IF($U200="Profit",ROUND(IFERROR($P200,0)-IFERROR($H200,0),2),0)))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IF(COUNTA($A200:$M200)=0,"",IF(OR(LOWER($F200&amp;"")="subscription",LOWER($F200&amp;"")="membership"),"Subscription",IF(OR(AND($H200&lt;&gt;"",$H200=0),LOWER($F200&amp;"")="free game",LOWER($F200&amp;"")="free",LOWER($F200&amp;"")="free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IF(COUNTA($A200:$M200)=0,"",IF(OR($U200="Subscription",$U200=""),"",IF(OR($U200="Free Game",$U200="Disqualified — Free Game"),0,ROUND(IFERROR($Q200,0)-IFERROR($S200,0),2))))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455"/>
      <x:c r="H201" s="455"/>
      <x:c r="I201" s="456"/>
      <x:c r="J201" s="456"/>
      <x:c r="K201" s="455"/>
      <x:c r="L201" s="454"/>
      <x:c r="M201" s="439"/>
      <x:c r="N201" s="114" t="str">
        <x:f>IF(COUNTA($A201:$M201)=0,"",IF(OR(LOWER($F201&amp;"")="subscription",LOWER($F201&amp;"")="membership"),"",IF($G201="","",IF(ISNUMBER(SEARCH("non",LOWER($E201&amp;""))),$G201*0.85,$G201))))</x:f>
      </x:c>
      <x:c r="O201" s="114" t="str">
        <x:f>IF(COUNTA($A201:$M201)=0,"",IF(OR(LOWER($F201&amp;"")="subscription",LOWER($F201&amp;"")="membership"),"",IF(OR($N201="",$I201="",$I201=0),"",IFERROR($N201/$I201,""))))</x:f>
      </x:c>
      <x:c r="P201" s="114" t="str">
        <x:f>IF(COUNTA($A201:$M201)=0,"",IF(OR(LOWER($F201&amp;"")="subscription",LOWER($F201&amp;"")="membership"),"",IF(LOWER($L201&amp;"")="yes",0,IF($K201&lt;&gt;"",$K201,IF($O201&lt;&gt;"",$O201,"")))))</x:f>
      </x:c>
      <x:c r="Q201" s="114" t="str">
        <x:f>IF(COUNTA($A201:$M201)=0,"",IF(OR($U201="Subscription",$U201=""),"",IF($U201="Profit",ROUND(IFERROR($P201,0)-IFERROR($H201,0),2),0)))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IF(COUNTA($A201:$M201)=0,"",IF(OR(LOWER($F201&amp;"")="subscription",LOWER($F201&amp;"")="membership"),"Subscription",IF(OR(AND($H201&lt;&gt;"",$H201=0),LOWER($F201&amp;"")="free game",LOWER($F201&amp;"")="free",LOWER($F201&amp;"")="free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IF(COUNTA($A201:$M201)=0,"",IF(OR($U201="Subscription",$U201=""),"",IF(OR($U201="Free Game",$U201="Disqualified — Free Game"),0,ROUND(IFERROR($Q201,0)-IFERROR($S201,0),2))))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455"/>
      <x:c r="H202" s="455"/>
      <x:c r="I202" s="456"/>
      <x:c r="J202" s="456"/>
      <x:c r="K202" s="455"/>
      <x:c r="L202" s="454"/>
      <x:c r="M202" s="439"/>
      <x:c r="N202" s="114" t="str">
        <x:f>IF(COUNTA($A202:$M202)=0,"",IF(OR(LOWER($F202&amp;"")="subscription",LOWER($F202&amp;"")="membership"),"",IF($G202="","",IF(ISNUMBER(SEARCH("non",LOWER($E202&amp;""))),$G202*0.85,$G202))))</x:f>
      </x:c>
      <x:c r="O202" s="114" t="str">
        <x:f>IF(COUNTA($A202:$M202)=0,"",IF(OR(LOWER($F202&amp;"")="subscription",LOWER($F202&amp;"")="membership"),"",IF(OR($N202="",$I202="",$I202=0),"",IFERROR($N202/$I202,""))))</x:f>
      </x:c>
      <x:c r="P202" s="114" t="str">
        <x:f>IF(COUNTA($A202:$M202)=0,"",IF(OR(LOWER($F202&amp;"")="subscription",LOWER($F202&amp;"")="membership"),"",IF(LOWER($L202&amp;"")="yes",0,IF($K202&lt;&gt;"",$K202,IF($O202&lt;&gt;"",$O202,"")))))</x:f>
      </x:c>
      <x:c r="Q202" s="114" t="str">
        <x:f>IF(COUNTA($A202:$M202)=0,"",IF(OR($U202="Subscription",$U202=""),"",IF($U202="Profit",ROUND(IFERROR($P202,0)-IFERROR($H202,0),2),0)))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IF(COUNTA($A202:$M202)=0,"",IF(OR(LOWER($F202&amp;"")="subscription",LOWER($F202&amp;"")="membership"),"Subscription",IF(OR(AND($H202&lt;&gt;"",$H202=0),LOWER($F202&amp;"")="free game",LOWER($F202&amp;"")="free",LOWER($F202&amp;"")="free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IF(COUNTA($A202:$M202)=0,"",IF(OR($U202="Subscription",$U202=""),"",IF(OR($U202="Free Game",$U202="Disqualified — Free Game"),0,ROUND(IFERROR($Q202,0)-IFERROR($S202,0),2))))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455"/>
      <x:c r="H203" s="455"/>
      <x:c r="I203" s="456"/>
      <x:c r="J203" s="456"/>
      <x:c r="K203" s="455"/>
      <x:c r="L203" s="454"/>
      <x:c r="M203" s="439"/>
      <x:c r="N203" s="114" t="str">
        <x:f>IF(COUNTA($A203:$M203)=0,"",IF(OR(LOWER($F203&amp;"")="subscription",LOWER($F203&amp;"")="membership"),"",IF($G203="","",IF(ISNUMBER(SEARCH("non",LOWER($E203&amp;""))),$G203*0.85,$G203))))</x:f>
      </x:c>
      <x:c r="O203" s="114" t="str">
        <x:f>IF(COUNTA($A203:$M203)=0,"",IF(OR(LOWER($F203&amp;"")="subscription",LOWER($F203&amp;"")="membership"),"",IF(OR($N203="",$I203="",$I203=0),"",IFERROR($N203/$I203,""))))</x:f>
      </x:c>
      <x:c r="P203" s="114" t="str">
        <x:f>IF(COUNTA($A203:$M203)=0,"",IF(OR(LOWER($F203&amp;"")="subscription",LOWER($F203&amp;"")="membership"),"",IF(LOWER($L203&amp;"")="yes",0,IF($K203&lt;&gt;"",$K203,IF($O203&lt;&gt;"",$O203,"")))))</x:f>
      </x:c>
      <x:c r="Q203" s="114" t="str">
        <x:f>IF(COUNTA($A203:$M203)=0,"",IF(OR($U203="Subscription",$U203=""),"",IF($U203="Profit",ROUND(IFERROR($P203,0)-IFERROR($H203,0),2),0)))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IF(COUNTA($A203:$M203)=0,"",IF(OR(LOWER($F203&amp;"")="subscription",LOWER($F203&amp;"")="membership"),"Subscription",IF(OR(AND($H203&lt;&gt;"",$H203=0),LOWER($F203&amp;"")="free game",LOWER($F203&amp;"")="free",LOWER($F203&amp;"")="free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IF(COUNTA($A203:$M203)=0,"",IF(OR($U203="Subscription",$U203=""),"",IF(OR($U203="Free Game",$U203="Disqualified — Free Game"),0,ROUND(IFERROR($Q203,0)-IFERROR($S203,0),2))))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455"/>
      <x:c r="H204" s="455"/>
      <x:c r="I204" s="456"/>
      <x:c r="J204" s="456"/>
      <x:c r="K204" s="455"/>
      <x:c r="L204" s="454"/>
      <x:c r="M204" s="439"/>
      <x:c r="N204" s="114" t="str">
        <x:f>IF(COUNTA($A204:$M204)=0,"",IF(OR(LOWER($F204&amp;"")="subscription",LOWER($F204&amp;"")="membership"),"",IF($G204="","",IF(ISNUMBER(SEARCH("non",LOWER($E204&amp;""))),$G204*0.85,$G204))))</x:f>
      </x:c>
      <x:c r="O204" s="114" t="str">
        <x:f>IF(COUNTA($A204:$M204)=0,"",IF(OR(LOWER($F204&amp;"")="subscription",LOWER($F204&amp;"")="membership"),"",IF(OR($N204="",$I204="",$I204=0),"",IFERROR($N204/$I204,""))))</x:f>
      </x:c>
      <x:c r="P204" s="114" t="str">
        <x:f>IF(COUNTA($A204:$M204)=0,"",IF(OR(LOWER($F204&amp;"")="subscription",LOWER($F204&amp;"")="membership"),"",IF(LOWER($L204&amp;"")="yes",0,IF($K204&lt;&gt;"",$K204,IF($O204&lt;&gt;"",$O204,"")))))</x:f>
      </x:c>
      <x:c r="Q204" s="114" t="str">
        <x:f>IF(COUNTA($A204:$M204)=0,"",IF(OR($U204="Subscription",$U204=""),"",IF($U204="Profit",ROUND(IFERROR($P204,0)-IFERROR($H204,0),2),0)))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IF(COUNTA($A204:$M204)=0,"",IF(OR(LOWER($F204&amp;"")="subscription",LOWER($F204&amp;"")="membership"),"Subscription",IF(OR(AND($H204&lt;&gt;"",$H204=0),LOWER($F204&amp;"")="free game",LOWER($F204&amp;"")="free",LOWER($F204&amp;"")="free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IF(COUNTA($A204:$M204)=0,"",IF(OR($U204="Subscription",$U204=""),"",IF(OR($U204="Free Game",$U204="Disqualified — Free Game"),0,ROUND(IFERROR($Q204,0)-IFERROR($S204,0),2))))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455"/>
      <x:c r="H205" s="455"/>
      <x:c r="I205" s="456"/>
      <x:c r="J205" s="456"/>
      <x:c r="K205" s="455"/>
      <x:c r="L205" s="454"/>
      <x:c r="M205" s="439"/>
      <x:c r="N205" s="114" t="str">
        <x:f>IF(COUNTA($A205:$M205)=0,"",IF(OR(LOWER($F205&amp;"")="subscription",LOWER($F205&amp;"")="membership"),"",IF($G205="","",IF(ISNUMBER(SEARCH("non",LOWER($E205&amp;""))),$G205*0.85,$G205))))</x:f>
      </x:c>
      <x:c r="O205" s="114" t="str">
        <x:f>IF(COUNTA($A205:$M205)=0,"",IF(OR(LOWER($F205&amp;"")="subscription",LOWER($F205&amp;"")="membership"),"",IF(OR($N205="",$I205="",$I205=0),"",IFERROR($N205/$I205,""))))</x:f>
      </x:c>
      <x:c r="P205" s="114" t="str">
        <x:f>IF(COUNTA($A205:$M205)=0,"",IF(OR(LOWER($F205&amp;"")="subscription",LOWER($F205&amp;"")="membership"),"",IF(LOWER($L205&amp;"")="yes",0,IF($K205&lt;&gt;"",$K205,IF($O205&lt;&gt;"",$O205,"")))))</x:f>
      </x:c>
      <x:c r="Q205" s="114" t="str">
        <x:f>IF(COUNTA($A205:$M205)=0,"",IF(OR($U205="Subscription",$U205=""),"",IF($U205="Profit",ROUND(IFERROR($P205,0)-IFERROR($H205,0),2),0)))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IF(COUNTA($A205:$M205)=0,"",IF(OR(LOWER($F205&amp;"")="subscription",LOWER($F205&amp;"")="membership"),"Subscription",IF(OR(AND($H205&lt;&gt;"",$H205=0),LOWER($F205&amp;"")="free game",LOWER($F205&amp;"")="free",LOWER($F205&amp;"")="free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IF(COUNTA($A205:$M205)=0,"",IF(OR($U205="Subscription",$U205=""),"",IF(OR($U205="Free Game",$U205="Disqualified — Free Game"),0,ROUND(IFERROR($Q205,0)-IFERROR($S205,0),2))))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455"/>
      <x:c r="H206" s="455"/>
      <x:c r="I206" s="456"/>
      <x:c r="J206" s="456"/>
      <x:c r="K206" s="455"/>
      <x:c r="L206" s="454"/>
      <x:c r="M206" s="439"/>
      <x:c r="N206" s="114" t="str">
        <x:f>IF(COUNTA($A206:$M206)=0,"",IF(OR(LOWER($F206&amp;"")="subscription",LOWER($F206&amp;"")="membership"),"",IF($G206="","",IF(ISNUMBER(SEARCH("non",LOWER($E206&amp;""))),$G206*0.85,$G206))))</x:f>
      </x:c>
      <x:c r="O206" s="114" t="str">
        <x:f>IF(COUNTA($A206:$M206)=0,"",IF(OR(LOWER($F206&amp;"")="subscription",LOWER($F206&amp;"")="membership"),"",IF(OR($N206="",$I206="",$I206=0),"",IFERROR($N206/$I206,""))))</x:f>
      </x:c>
      <x:c r="P206" s="114" t="str">
        <x:f>IF(COUNTA($A206:$M206)=0,"",IF(OR(LOWER($F206&amp;"")="subscription",LOWER($F206&amp;"")="membership"),"",IF(LOWER($L206&amp;"")="yes",0,IF($K206&lt;&gt;"",$K206,IF($O206&lt;&gt;"",$O206,"")))))</x:f>
      </x:c>
      <x:c r="Q206" s="114" t="str">
        <x:f>IF(COUNTA($A206:$M206)=0,"",IF(OR($U206="Subscription",$U206=""),"",IF($U206="Profit",ROUND(IFERROR($P206,0)-IFERROR($H206,0),2),0)))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IF(COUNTA($A206:$M206)=0,"",IF(OR(LOWER($F206&amp;"")="subscription",LOWER($F206&amp;"")="membership"),"Subscription",IF(OR(AND($H206&lt;&gt;"",$H206=0),LOWER($F206&amp;"")="free game",LOWER($F206&amp;"")="free",LOWER($F206&amp;"")="free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IF(COUNTA($A206:$M206)=0,"",IF(OR($U206="Subscription",$U206=""),"",IF(OR($U206="Free Game",$U206="Disqualified — Free Game"),0,ROUND(IFERROR($Q206,0)-IFERROR($S206,0),2))))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455"/>
      <x:c r="H207" s="455"/>
      <x:c r="I207" s="456"/>
      <x:c r="J207" s="456"/>
      <x:c r="K207" s="455"/>
      <x:c r="L207" s="454"/>
      <x:c r="M207" s="439"/>
      <x:c r="N207" s="114" t="str">
        <x:f>IF(COUNTA($A207:$M207)=0,"",IF(OR(LOWER($F207&amp;"")="subscription",LOWER($F207&amp;"")="membership"),"",IF($G207="","",IF(ISNUMBER(SEARCH("non",LOWER($E207&amp;""))),$G207*0.85,$G207))))</x:f>
      </x:c>
      <x:c r="O207" s="114" t="str">
        <x:f>IF(COUNTA($A207:$M207)=0,"",IF(OR(LOWER($F207&amp;"")="subscription",LOWER($F207&amp;"")="membership"),"",IF(OR($N207="",$I207="",$I207=0),"",IFERROR($N207/$I207,""))))</x:f>
      </x:c>
      <x:c r="P207" s="114" t="str">
        <x:f>IF(COUNTA($A207:$M207)=0,"",IF(OR(LOWER($F207&amp;"")="subscription",LOWER($F207&amp;"")="membership"),"",IF(LOWER($L207&amp;"")="yes",0,IF($K207&lt;&gt;"",$K207,IF($O207&lt;&gt;"",$O207,"")))))</x:f>
      </x:c>
      <x:c r="Q207" s="114" t="str">
        <x:f>IF(COUNTA($A207:$M207)=0,"",IF(OR($U207="Subscription",$U207=""),"",IF($U207="Profit",ROUND(IFERROR($P207,0)-IFERROR($H207,0),2),0)))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IF(COUNTA($A207:$M207)=0,"",IF(OR(LOWER($F207&amp;"")="subscription",LOWER($F207&amp;"")="membership"),"Subscription",IF(OR(AND($H207&lt;&gt;"",$H207=0),LOWER($F207&amp;"")="free game",LOWER($F207&amp;"")="free",LOWER($F207&amp;"")="free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IF(COUNTA($A207:$M207)=0,"",IF(OR($U207="Subscription",$U207=""),"",IF(OR($U207="Free Game",$U207="Disqualified — Free Game"),0,ROUND(IFERROR($Q207,0)-IFERROR($S207,0),2))))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455"/>
      <x:c r="H208" s="455"/>
      <x:c r="I208" s="456"/>
      <x:c r="J208" s="456"/>
      <x:c r="K208" s="455"/>
      <x:c r="L208" s="454"/>
      <x:c r="M208" s="439"/>
      <x:c r="N208" s="114" t="str">
        <x:f>IF(COUNTA($A208:$M208)=0,"",IF(OR(LOWER($F208&amp;"")="subscription",LOWER($F208&amp;"")="membership"),"",IF($G208="","",IF(ISNUMBER(SEARCH("non",LOWER($E208&amp;""))),$G208*0.85,$G208))))</x:f>
      </x:c>
      <x:c r="O208" s="114" t="str">
        <x:f>IF(COUNTA($A208:$M208)=0,"",IF(OR(LOWER($F208&amp;"")="subscription",LOWER($F208&amp;"")="membership"),"",IF(OR($N208="",$I208="",$I208=0),"",IFERROR($N208/$I208,""))))</x:f>
      </x:c>
      <x:c r="P208" s="114" t="str">
        <x:f>IF(COUNTA($A208:$M208)=0,"",IF(OR(LOWER($F208&amp;"")="subscription",LOWER($F208&amp;"")="membership"),"",IF(LOWER($L208&amp;"")="yes",0,IF($K208&lt;&gt;"",$K208,IF($O208&lt;&gt;"",$O208,"")))))</x:f>
      </x:c>
      <x:c r="Q208" s="114" t="str">
        <x:f>IF(COUNTA($A208:$M208)=0,"",IF(OR($U208="Subscription",$U208=""),"",IF($U208="Profit",ROUND(IFERROR($P208,0)-IFERROR($H208,0),2),0)))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IF(COUNTA($A208:$M208)=0,"",IF(OR(LOWER($F208&amp;"")="subscription",LOWER($F208&amp;"")="membership"),"Subscription",IF(OR(AND($H208&lt;&gt;"",$H208=0),LOWER($F208&amp;"")="free game",LOWER($F208&amp;"")="free",LOWER($F208&amp;"")="free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IF(COUNTA($A208:$M208)=0,"",IF(OR($U208="Subscription",$U208=""),"",IF(OR($U208="Free Game",$U208="Disqualified — Free Game"),0,ROUND(IFERROR($Q208,0)-IFERROR($S208,0),2))))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455"/>
      <x:c r="H209" s="455"/>
      <x:c r="I209" s="456"/>
      <x:c r="J209" s="456"/>
      <x:c r="K209" s="455"/>
      <x:c r="L209" s="454"/>
      <x:c r="M209" s="439"/>
      <x:c r="N209" s="114" t="str">
        <x:f>IF(COUNTA($A209:$M209)=0,"",IF(OR(LOWER($F209&amp;"")="subscription",LOWER($F209&amp;"")="membership"),"",IF($G209="","",IF(ISNUMBER(SEARCH("non",LOWER($E209&amp;""))),$G209*0.85,$G209))))</x:f>
      </x:c>
      <x:c r="O209" s="114" t="str">
        <x:f>IF(COUNTA($A209:$M209)=0,"",IF(OR(LOWER($F209&amp;"")="subscription",LOWER($F209&amp;"")="membership"),"",IF(OR($N209="",$I209="",$I209=0),"",IFERROR($N209/$I209,""))))</x:f>
      </x:c>
      <x:c r="P209" s="114" t="str">
        <x:f>IF(COUNTA($A209:$M209)=0,"",IF(OR(LOWER($F209&amp;"")="subscription",LOWER($F209&amp;"")="membership"),"",IF(LOWER($L209&amp;"")="yes",0,IF($K209&lt;&gt;"",$K209,IF($O209&lt;&gt;"",$O209,"")))))</x:f>
      </x:c>
      <x:c r="Q209" s="114" t="str">
        <x:f>IF(COUNTA($A209:$M209)=0,"",IF(OR($U209="Subscription",$U209=""),"",IF($U209="Profit",ROUND(IFERROR($P209,0)-IFERROR($H209,0),2),0)))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IF(COUNTA($A209:$M209)=0,"",IF(OR(LOWER($F209&amp;"")="subscription",LOWER($F209&amp;"")="membership"),"Subscription",IF(OR(AND($H209&lt;&gt;"",$H209=0),LOWER($F209&amp;"")="free game",LOWER($F209&amp;"")="free",LOWER($F209&amp;"")="free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IF(COUNTA($A209:$M209)=0,"",IF(OR($U209="Subscription",$U209=""),"",IF(OR($U209="Free Game",$U209="Disqualified — Free Game"),0,ROUND(IFERROR($Q209,0)-IFERROR($S209,0),2))))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455"/>
      <x:c r="H210" s="455"/>
      <x:c r="I210" s="456"/>
      <x:c r="J210" s="456"/>
      <x:c r="K210" s="455"/>
      <x:c r="L210" s="454"/>
      <x:c r="M210" s="439"/>
      <x:c r="N210" s="114" t="str">
        <x:f>IF(COUNTA($A210:$M210)=0,"",IF(OR(LOWER($F210&amp;"")="subscription",LOWER($F210&amp;"")="membership"),"",IF($G210="","",IF(ISNUMBER(SEARCH("non",LOWER($E210&amp;""))),$G210*0.85,$G210))))</x:f>
      </x:c>
      <x:c r="O210" s="114" t="str">
        <x:f>IF(COUNTA($A210:$M210)=0,"",IF(OR(LOWER($F210&amp;"")="subscription",LOWER($F210&amp;"")="membership"),"",IF(OR($N210="",$I210="",$I210=0),"",IFERROR($N210/$I210,""))))</x:f>
      </x:c>
      <x:c r="P210" s="114" t="str">
        <x:f>IF(COUNTA($A210:$M210)=0,"",IF(OR(LOWER($F210&amp;"")="subscription",LOWER($F210&amp;"")="membership"),"",IF(LOWER($L210&amp;"")="yes",0,IF($K210&lt;&gt;"",$K210,IF($O210&lt;&gt;"",$O210,"")))))</x:f>
      </x:c>
      <x:c r="Q210" s="114" t="str">
        <x:f>IF(COUNTA($A210:$M210)=0,"",IF(OR($U210="Subscription",$U210=""),"",IF($U210="Profit",ROUND(IFERROR($P210,0)-IFERROR($H210,0),2),0)))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IF(COUNTA($A210:$M210)=0,"",IF(OR(LOWER($F210&amp;"")="subscription",LOWER($F210&amp;"")="membership"),"Subscription",IF(OR(AND($H210&lt;&gt;"",$H210=0),LOWER($F210&amp;"")="free game",LOWER($F210&amp;"")="free",LOWER($F210&amp;"")="free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IF(COUNTA($A210:$M210)=0,"",IF(OR($U210="Subscription",$U210=""),"",IF(OR($U210="Free Game",$U210="Disqualified — Free Game"),0,ROUND(IFERROR($Q210,0)-IFERROR($S210,0),2))))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455"/>
      <x:c r="H211" s="455"/>
      <x:c r="I211" s="456"/>
      <x:c r="J211" s="456"/>
      <x:c r="K211" s="455"/>
      <x:c r="L211" s="454"/>
      <x:c r="M211" s="439"/>
      <x:c r="N211" s="114" t="str">
        <x:f>IF(COUNTA($A211:$M211)=0,"",IF(OR(LOWER($F211&amp;"")="subscription",LOWER($F211&amp;"")="membership"),"",IF($G211="","",IF(ISNUMBER(SEARCH("non",LOWER($E211&amp;""))),$G211*0.85,$G211))))</x:f>
      </x:c>
      <x:c r="O211" s="114" t="str">
        <x:f>IF(COUNTA($A211:$M211)=0,"",IF(OR(LOWER($F211&amp;"")="subscription",LOWER($F211&amp;"")="membership"),"",IF(OR($N211="",$I211="",$I211=0),"",IFERROR($N211/$I211,""))))</x:f>
      </x:c>
      <x:c r="P211" s="114" t="str">
        <x:f>IF(COUNTA($A211:$M211)=0,"",IF(OR(LOWER($F211&amp;"")="subscription",LOWER($F211&amp;"")="membership"),"",IF(LOWER($L211&amp;"")="yes",0,IF($K211&lt;&gt;"",$K211,IF($O211&lt;&gt;"",$O211,"")))))</x:f>
      </x:c>
      <x:c r="Q211" s="114" t="str">
        <x:f>IF(COUNTA($A211:$M211)=0,"",IF(OR($U211="Subscription",$U211=""),"",IF($U211="Profit",ROUND(IFERROR($P211,0)-IFERROR($H211,0),2),0)))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IF(COUNTA($A211:$M211)=0,"",IF(OR(LOWER($F211&amp;"")="subscription",LOWER($F211&amp;"")="membership"),"Subscription",IF(OR(AND($H211&lt;&gt;"",$H211=0),LOWER($F211&amp;"")="free game",LOWER($F211&amp;"")="free",LOWER($F211&amp;"")="free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IF(COUNTA($A211:$M211)=0,"",IF(OR($U211="Subscription",$U211=""),"",IF(OR($U211="Free Game",$U211="Disqualified — Free Game"),0,ROUND(IFERROR($Q211,0)-IFERROR($S211,0),2))))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455"/>
      <x:c r="H212" s="455"/>
      <x:c r="I212" s="456"/>
      <x:c r="J212" s="456"/>
      <x:c r="K212" s="455"/>
      <x:c r="L212" s="454"/>
      <x:c r="M212" s="439"/>
      <x:c r="N212" s="114" t="str">
        <x:f>IF(COUNTA($A212:$M212)=0,"",IF(OR(LOWER($F212&amp;"")="subscription",LOWER($F212&amp;"")="membership"),"",IF($G212="","",IF(ISNUMBER(SEARCH("non",LOWER($E212&amp;""))),$G212*0.85,$G212))))</x:f>
      </x:c>
      <x:c r="O212" s="114" t="str">
        <x:f>IF(COUNTA($A212:$M212)=0,"",IF(OR(LOWER($F212&amp;"")="subscription",LOWER($F212&amp;"")="membership"),"",IF(OR($N212="",$I212="",$I212=0),"",IFERROR($N212/$I212,""))))</x:f>
      </x:c>
      <x:c r="P212" s="114" t="str">
        <x:f>IF(COUNTA($A212:$M212)=0,"",IF(OR(LOWER($F212&amp;"")="subscription",LOWER($F212&amp;"")="membership"),"",IF(LOWER($L212&amp;"")="yes",0,IF($K212&lt;&gt;"",$K212,IF($O212&lt;&gt;"",$O212,"")))))</x:f>
      </x:c>
      <x:c r="Q212" s="114" t="str">
        <x:f>IF(COUNTA($A212:$M212)=0,"",IF(OR($U212="Subscription",$U212=""),"",IF($U212="Profit",ROUND(IFERROR($P212,0)-IFERROR($H212,0),2),0)))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IF(COUNTA($A212:$M212)=0,"",IF(OR(LOWER($F212&amp;"")="subscription",LOWER($F212&amp;"")="membership"),"Subscription",IF(OR(AND($H212&lt;&gt;"",$H212=0),LOWER($F212&amp;"")="free game",LOWER($F212&amp;"")="free",LOWER($F212&amp;"")="free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IF(COUNTA($A212:$M212)=0,"",IF(OR($U212="Subscription",$U212=""),"",IF(OR($U212="Free Game",$U212="Disqualified — Free Game"),0,ROUND(IFERROR($Q212,0)-IFERROR($S212,0),2))))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455"/>
      <x:c r="H213" s="455"/>
      <x:c r="I213" s="456"/>
      <x:c r="J213" s="456"/>
      <x:c r="K213" s="455"/>
      <x:c r="L213" s="454"/>
      <x:c r="M213" s="439"/>
      <x:c r="N213" s="114" t="str">
        <x:f>IF(COUNTA($A213:$M213)=0,"",IF(OR(LOWER($F213&amp;"")="subscription",LOWER($F213&amp;"")="membership"),"",IF($G213="","",IF(ISNUMBER(SEARCH("non",LOWER($E213&amp;""))),$G213*0.85,$G213))))</x:f>
      </x:c>
      <x:c r="O213" s="114" t="str">
        <x:f>IF(COUNTA($A213:$M213)=0,"",IF(OR(LOWER($F213&amp;"")="subscription",LOWER($F213&amp;"")="membership"),"",IF(OR($N213="",$I213="",$I213=0),"",IFERROR($N213/$I213,""))))</x:f>
      </x:c>
      <x:c r="P213" s="114" t="str">
        <x:f>IF(COUNTA($A213:$M213)=0,"",IF(OR(LOWER($F213&amp;"")="subscription",LOWER($F213&amp;"")="membership"),"",IF(LOWER($L213&amp;"")="yes",0,IF($K213&lt;&gt;"",$K213,IF($O213&lt;&gt;"",$O213,"")))))</x:f>
      </x:c>
      <x:c r="Q213" s="114" t="str">
        <x:f>IF(COUNTA($A213:$M213)=0,"",IF(OR($U213="Subscription",$U213=""),"",IF($U213="Profit",ROUND(IFERROR($P213,0)-IFERROR($H213,0),2),0)))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IF(COUNTA($A213:$M213)=0,"",IF(OR(LOWER($F213&amp;"")="subscription",LOWER($F213&amp;"")="membership"),"Subscription",IF(OR(AND($H213&lt;&gt;"",$H213=0),LOWER($F213&amp;"")="free game",LOWER($F213&amp;"")="free",LOWER($F213&amp;"")="free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IF(COUNTA($A213:$M213)=0,"",IF(OR($U213="Subscription",$U213=""),"",IF(OR($U213="Free Game",$U213="Disqualified — Free Game"),0,ROUND(IFERROR($Q213,0)-IFERROR($S213,0),2))))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455"/>
      <x:c r="H214" s="455"/>
      <x:c r="I214" s="456"/>
      <x:c r="J214" s="456"/>
      <x:c r="K214" s="455"/>
      <x:c r="L214" s="454"/>
      <x:c r="M214" s="439"/>
      <x:c r="N214" s="114" t="str">
        <x:f>IF(COUNTA($A214:$M214)=0,"",IF(OR(LOWER($F214&amp;"")="subscription",LOWER($F214&amp;"")="membership"),"",IF($G214="","",IF(ISNUMBER(SEARCH("non",LOWER($E214&amp;""))),$G214*0.85,$G214))))</x:f>
      </x:c>
      <x:c r="O214" s="114" t="str">
        <x:f>IF(COUNTA($A214:$M214)=0,"",IF(OR(LOWER($F214&amp;"")="subscription",LOWER($F214&amp;"")="membership"),"",IF(OR($N214="",$I214="",$I214=0),"",IFERROR($N214/$I214,""))))</x:f>
      </x:c>
      <x:c r="P214" s="114" t="str">
        <x:f>IF(COUNTA($A214:$M214)=0,"",IF(OR(LOWER($F214&amp;"")="subscription",LOWER($F214&amp;"")="membership"),"",IF(LOWER($L214&amp;"")="yes",0,IF($K214&lt;&gt;"",$K214,IF($O214&lt;&gt;"",$O214,"")))))</x:f>
      </x:c>
      <x:c r="Q214" s="114" t="str">
        <x:f>IF(COUNTA($A214:$M214)=0,"",IF(OR($U214="Subscription",$U214=""),"",IF($U214="Profit",ROUND(IFERROR($P214,0)-IFERROR($H214,0),2),0)))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IF(COUNTA($A214:$M214)=0,"",IF(OR(LOWER($F214&amp;"")="subscription",LOWER($F214&amp;"")="membership"),"Subscription",IF(OR(AND($H214&lt;&gt;"",$H214=0),LOWER($F214&amp;"")="free game",LOWER($F214&amp;"")="free",LOWER($F214&amp;"")="free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IF(COUNTA($A214:$M214)=0,"",IF(OR($U214="Subscription",$U214=""),"",IF(OR($U214="Free Game",$U214="Disqualified — Free Game"),0,ROUND(IFERROR($Q214,0)-IFERROR($S214,0),2))))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455"/>
      <x:c r="H215" s="455"/>
      <x:c r="I215" s="456"/>
      <x:c r="J215" s="456"/>
      <x:c r="K215" s="455"/>
      <x:c r="L215" s="454"/>
      <x:c r="M215" s="439"/>
      <x:c r="N215" s="114" t="str">
        <x:f>IF(COUNTA($A215:$M215)=0,"",IF(OR(LOWER($F215&amp;"")="subscription",LOWER($F215&amp;"")="membership"),"",IF($G215="","",IF(ISNUMBER(SEARCH("non",LOWER($E215&amp;""))),$G215*0.85,$G215))))</x:f>
      </x:c>
      <x:c r="O215" s="114" t="str">
        <x:f>IF(COUNTA($A215:$M215)=0,"",IF(OR(LOWER($F215&amp;"")="subscription",LOWER($F215&amp;"")="membership"),"",IF(OR($N215="",$I215="",$I215=0),"",IFERROR($N215/$I215,""))))</x:f>
      </x:c>
      <x:c r="P215" s="114" t="str">
        <x:f>IF(COUNTA($A215:$M215)=0,"",IF(OR(LOWER($F215&amp;"")="subscription",LOWER($F215&amp;"")="membership"),"",IF(LOWER($L215&amp;"")="yes",0,IF($K215&lt;&gt;"",$K215,IF($O215&lt;&gt;"",$O215,"")))))</x:f>
      </x:c>
      <x:c r="Q215" s="114" t="str">
        <x:f>IF(COUNTA($A215:$M215)=0,"",IF(OR($U215="Subscription",$U215=""),"",IF($U215="Profit",ROUND(IFERROR($P215,0)-IFERROR($H215,0),2),0)))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IF(COUNTA($A215:$M215)=0,"",IF(OR(LOWER($F215&amp;"")="subscription",LOWER($F215&amp;"")="membership"),"Subscription",IF(OR(AND($H215&lt;&gt;"",$H215=0),LOWER($F215&amp;"")="free game",LOWER($F215&amp;"")="free",LOWER($F215&amp;"")="free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IF(COUNTA($A215:$M215)=0,"",IF(OR($U215="Subscription",$U215=""),"",IF(OR($U215="Free Game",$U215="Disqualified — Free Game"),0,ROUND(IFERROR($Q215,0)-IFERROR($S215,0),2))))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455"/>
      <x:c r="H216" s="455"/>
      <x:c r="I216" s="456"/>
      <x:c r="J216" s="456"/>
      <x:c r="K216" s="455"/>
      <x:c r="L216" s="454"/>
      <x:c r="M216" s="439"/>
      <x:c r="N216" s="114" t="str">
        <x:f>IF(COUNTA($A216:$M216)=0,"",IF(OR(LOWER($F216&amp;"")="subscription",LOWER($F216&amp;"")="membership"),"",IF($G216="","",IF(ISNUMBER(SEARCH("non",LOWER($E216&amp;""))),$G216*0.85,$G216))))</x:f>
      </x:c>
      <x:c r="O216" s="114" t="str">
        <x:f>IF(COUNTA($A216:$M216)=0,"",IF(OR(LOWER($F216&amp;"")="subscription",LOWER($F216&amp;"")="membership"),"",IF(OR($N216="",$I216="",$I216=0),"",IFERROR($N216/$I216,""))))</x:f>
      </x:c>
      <x:c r="P216" s="114" t="str">
        <x:f>IF(COUNTA($A216:$M216)=0,"",IF(OR(LOWER($F216&amp;"")="subscription",LOWER($F216&amp;"")="membership"),"",IF(LOWER($L216&amp;"")="yes",0,IF($K216&lt;&gt;"",$K216,IF($O216&lt;&gt;"",$O216,"")))))</x:f>
      </x:c>
      <x:c r="Q216" s="114" t="str">
        <x:f>IF(COUNTA($A216:$M216)=0,"",IF(OR($U216="Subscription",$U216=""),"",IF($U216="Profit",ROUND(IFERROR($P216,0)-IFERROR($H216,0),2),0)))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IF(COUNTA($A216:$M216)=0,"",IF(OR(LOWER($F216&amp;"")="subscription",LOWER($F216&amp;"")="membership"),"Subscription",IF(OR(AND($H216&lt;&gt;"",$H216=0),LOWER($F216&amp;"")="free game",LOWER($F216&amp;"")="free",LOWER($F216&amp;"")="free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IF(COUNTA($A216:$M216)=0,"",IF(OR($U216="Subscription",$U216=""),"",IF(OR($U216="Free Game",$U216="Disqualified — Free Game"),0,ROUND(IFERROR($Q216,0)-IFERROR($S216,0),2))))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455"/>
      <x:c r="H217" s="455"/>
      <x:c r="I217" s="456"/>
      <x:c r="J217" s="456"/>
      <x:c r="K217" s="455"/>
      <x:c r="L217" s="454"/>
      <x:c r="M217" s="439"/>
      <x:c r="N217" s="114" t="str">
        <x:f>IF(COUNTA($A217:$M217)=0,"",IF(OR(LOWER($F217&amp;"")="subscription",LOWER($F217&amp;"")="membership"),"",IF($G217="","",IF(ISNUMBER(SEARCH("non",LOWER($E217&amp;""))),$G217*0.85,$G217))))</x:f>
      </x:c>
      <x:c r="O217" s="114" t="str">
        <x:f>IF(COUNTA($A217:$M217)=0,"",IF(OR(LOWER($F217&amp;"")="subscription",LOWER($F217&amp;"")="membership"),"",IF(OR($N217="",$I217="",$I217=0),"",IFERROR($N217/$I217,""))))</x:f>
      </x:c>
      <x:c r="P217" s="114" t="str">
        <x:f>IF(COUNTA($A217:$M217)=0,"",IF(OR(LOWER($F217&amp;"")="subscription",LOWER($F217&amp;"")="membership"),"",IF(LOWER($L217&amp;"")="yes",0,IF($K217&lt;&gt;"",$K217,IF($O217&lt;&gt;"",$O217,"")))))</x:f>
      </x:c>
      <x:c r="Q217" s="114" t="str">
        <x:f>IF(COUNTA($A217:$M217)=0,"",IF(OR($U217="Subscription",$U217=""),"",IF($U217="Profit",ROUND(IFERROR($P217,0)-IFERROR($H217,0),2),0)))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IF(COUNTA($A217:$M217)=0,"",IF(OR(LOWER($F217&amp;"")="subscription",LOWER($F217&amp;"")="membership"),"Subscription",IF(OR(AND($H217&lt;&gt;"",$H217=0),LOWER($F217&amp;"")="free game",LOWER($F217&amp;"")="free",LOWER($F217&amp;"")="free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IF(COUNTA($A217:$M217)=0,"",IF(OR($U217="Subscription",$U217=""),"",IF(OR($U217="Free Game",$U217="Disqualified — Free Game"),0,ROUND(IFERROR($Q217,0)-IFERROR($S217,0),2))))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455"/>
      <x:c r="H218" s="455"/>
      <x:c r="I218" s="456"/>
      <x:c r="J218" s="456"/>
      <x:c r="K218" s="455"/>
      <x:c r="L218" s="454"/>
      <x:c r="M218" s="439"/>
      <x:c r="N218" s="114" t="str">
        <x:f>IF(COUNTA($A218:$M218)=0,"",IF(OR(LOWER($F218&amp;"")="subscription",LOWER($F218&amp;"")="membership"),"",IF($G218="","",IF(ISNUMBER(SEARCH("non",LOWER($E218&amp;""))),$G218*0.85,$G218))))</x:f>
      </x:c>
      <x:c r="O218" s="114" t="str">
        <x:f>IF(COUNTA($A218:$M218)=0,"",IF(OR(LOWER($F218&amp;"")="subscription",LOWER($F218&amp;"")="membership"),"",IF(OR($N218="",$I218="",$I218=0),"",IFERROR($N218/$I218,""))))</x:f>
      </x:c>
      <x:c r="P218" s="114" t="str">
        <x:f>IF(COUNTA($A218:$M218)=0,"",IF(OR(LOWER($F218&amp;"")="subscription",LOWER($F218&amp;"")="membership"),"",IF(LOWER($L218&amp;"")="yes",0,IF($K218&lt;&gt;"",$K218,IF($O218&lt;&gt;"",$O218,"")))))</x:f>
      </x:c>
      <x:c r="Q218" s="114" t="str">
        <x:f>IF(COUNTA($A218:$M218)=0,"",IF(OR($U218="Subscription",$U218=""),"",IF($U218="Profit",ROUND(IFERROR($P218,0)-IFERROR($H218,0),2),0)))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IF(COUNTA($A218:$M218)=0,"",IF(OR(LOWER($F218&amp;"")="subscription",LOWER($F218&amp;"")="membership"),"Subscription",IF(OR(AND($H218&lt;&gt;"",$H218=0),LOWER($F218&amp;"")="free game",LOWER($F218&amp;"")="free",LOWER($F218&amp;"")="free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IF(COUNTA($A218:$M218)=0,"",IF(OR($U218="Subscription",$U218=""),"",IF(OR($U218="Free Game",$U218="Disqualified — Free Game"),0,ROUND(IFERROR($Q218,0)-IFERROR($S218,0),2))))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455"/>
      <x:c r="H219" s="455"/>
      <x:c r="I219" s="456"/>
      <x:c r="J219" s="456"/>
      <x:c r="K219" s="455"/>
      <x:c r="L219" s="454"/>
      <x:c r="M219" s="439"/>
      <x:c r="N219" s="114" t="str">
        <x:f>IF(COUNTA($A219:$M219)=0,"",IF(OR(LOWER($F219&amp;"")="subscription",LOWER($F219&amp;"")="membership"),"",IF($G219="","",IF(ISNUMBER(SEARCH("non",LOWER($E219&amp;""))),$G219*0.85,$G219))))</x:f>
      </x:c>
      <x:c r="O219" s="114" t="str">
        <x:f>IF(COUNTA($A219:$M219)=0,"",IF(OR(LOWER($F219&amp;"")="subscription",LOWER($F219&amp;"")="membership"),"",IF(OR($N219="",$I219="",$I219=0),"",IFERROR($N219/$I219,""))))</x:f>
      </x:c>
      <x:c r="P219" s="114" t="str">
        <x:f>IF(COUNTA($A219:$M219)=0,"",IF(OR(LOWER($F219&amp;"")="subscription",LOWER($F219&amp;"")="membership"),"",IF(LOWER($L219&amp;"")="yes",0,IF($K219&lt;&gt;"",$K219,IF($O219&lt;&gt;"",$O219,"")))))</x:f>
      </x:c>
      <x:c r="Q219" s="114" t="str">
        <x:f>IF(COUNTA($A219:$M219)=0,"",IF(OR($U219="Subscription",$U219=""),"",IF($U219="Profit",ROUND(IFERROR($P219,0)-IFERROR($H219,0),2),0)))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IF(COUNTA($A219:$M219)=0,"",IF(OR(LOWER($F219&amp;"")="subscription",LOWER($F219&amp;"")="membership"),"Subscription",IF(OR(AND($H219&lt;&gt;"",$H219=0),LOWER($F219&amp;"")="free game",LOWER($F219&amp;"")="free",LOWER($F219&amp;"")="free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IF(COUNTA($A219:$M219)=0,"",IF(OR($U219="Subscription",$U219=""),"",IF(OR($U219="Free Game",$U219="Disqualified — Free Game"),0,ROUND(IFERROR($Q219,0)-IFERROR($S219,0),2))))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455"/>
      <x:c r="H220" s="455"/>
      <x:c r="I220" s="456"/>
      <x:c r="J220" s="456"/>
      <x:c r="K220" s="455"/>
      <x:c r="L220" s="454"/>
      <x:c r="M220" s="439"/>
      <x:c r="N220" s="114" t="str">
        <x:f>IF(COUNTA($A220:$M220)=0,"",IF(OR(LOWER($F220&amp;"")="subscription",LOWER($F220&amp;"")="membership"),"",IF($G220="","",IF(ISNUMBER(SEARCH("non",LOWER($E220&amp;""))),$G220*0.85,$G220))))</x:f>
      </x:c>
      <x:c r="O220" s="114" t="str">
        <x:f>IF(COUNTA($A220:$M220)=0,"",IF(OR(LOWER($F220&amp;"")="subscription",LOWER($F220&amp;"")="membership"),"",IF(OR($N220="",$I220="",$I220=0),"",IFERROR($N220/$I220,""))))</x:f>
      </x:c>
      <x:c r="P220" s="114" t="str">
        <x:f>IF(COUNTA($A220:$M220)=0,"",IF(OR(LOWER($F220&amp;"")="subscription",LOWER($F220&amp;"")="membership"),"",IF(LOWER($L220&amp;"")="yes",0,IF($K220&lt;&gt;"",$K220,IF($O220&lt;&gt;"",$O220,"")))))</x:f>
      </x:c>
      <x:c r="Q220" s="114" t="str">
        <x:f>IF(COUNTA($A220:$M220)=0,"",IF(OR($U220="Subscription",$U220=""),"",IF($U220="Profit",ROUND(IFERROR($P220,0)-IFERROR($H220,0),2),0)))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IF(COUNTA($A220:$M220)=0,"",IF(OR(LOWER($F220&amp;"")="subscription",LOWER($F220&amp;"")="membership"),"Subscription",IF(OR(AND($H220&lt;&gt;"",$H220=0),LOWER($F220&amp;"")="free game",LOWER($F220&amp;"")="free",LOWER($F220&amp;"")="free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IF(COUNTA($A220:$M220)=0,"",IF(OR($U220="Subscription",$U220=""),"",IF(OR($U220="Free Game",$U220="Disqualified — Free Game"),0,ROUND(IFERROR($Q220,0)-IFERROR($S220,0),2))))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455"/>
      <x:c r="H221" s="455"/>
      <x:c r="I221" s="456"/>
      <x:c r="J221" s="456"/>
      <x:c r="K221" s="455"/>
      <x:c r="L221" s="454"/>
      <x:c r="M221" s="439"/>
      <x:c r="N221" s="114" t="str">
        <x:f>IF(COUNTA($A221:$M221)=0,"",IF(OR(LOWER($F221&amp;"")="subscription",LOWER($F221&amp;"")="membership"),"",IF($G221="","",IF(ISNUMBER(SEARCH("non",LOWER($E221&amp;""))),$G221*0.85,$G221))))</x:f>
      </x:c>
      <x:c r="O221" s="114" t="str">
        <x:f>IF(COUNTA($A221:$M221)=0,"",IF(OR(LOWER($F221&amp;"")="subscription",LOWER($F221&amp;"")="membership"),"",IF(OR($N221="",$I221="",$I221=0),"",IFERROR($N221/$I221,""))))</x:f>
      </x:c>
      <x:c r="P221" s="114" t="str">
        <x:f>IF(COUNTA($A221:$M221)=0,"",IF(OR(LOWER($F221&amp;"")="subscription",LOWER($F221&amp;"")="membership"),"",IF(LOWER($L221&amp;"")="yes",0,IF($K221&lt;&gt;"",$K221,IF($O221&lt;&gt;"",$O221,"")))))</x:f>
      </x:c>
      <x:c r="Q221" s="114" t="str">
        <x:f>IF(COUNTA($A221:$M221)=0,"",IF(OR($U221="Subscription",$U221=""),"",IF($U221="Profit",ROUND(IFERROR($P221,0)-IFERROR($H221,0),2),0)))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IF(COUNTA($A221:$M221)=0,"",IF(OR(LOWER($F221&amp;"")="subscription",LOWER($F221&amp;"")="membership"),"Subscription",IF(OR(AND($H221&lt;&gt;"",$H221=0),LOWER($F221&amp;"")="free game",LOWER($F221&amp;"")="free",LOWER($F221&amp;"")="free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IF(COUNTA($A221:$M221)=0,"",IF(OR($U221="Subscription",$U221=""),"",IF(OR($U221="Free Game",$U221="Disqualified — Free Game"),0,ROUND(IFERROR($Q221,0)-IFERROR($S221,0),2))))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455"/>
      <x:c r="H222" s="455"/>
      <x:c r="I222" s="456"/>
      <x:c r="J222" s="456"/>
      <x:c r="K222" s="455"/>
      <x:c r="L222" s="454"/>
      <x:c r="M222" s="439"/>
      <x:c r="N222" s="114" t="str">
        <x:f>IF(COUNTA($A222:$M222)=0,"",IF(OR(LOWER($F222&amp;"")="subscription",LOWER($F222&amp;"")="membership"),"",IF($G222="","",IF(ISNUMBER(SEARCH("non",LOWER($E222&amp;""))),$G222*0.85,$G222))))</x:f>
      </x:c>
      <x:c r="O222" s="114" t="str">
        <x:f>IF(COUNTA($A222:$M222)=0,"",IF(OR(LOWER($F222&amp;"")="subscription",LOWER($F222&amp;"")="membership"),"",IF(OR($N222="",$I222="",$I222=0),"",IFERROR($N222/$I222,""))))</x:f>
      </x:c>
      <x:c r="P222" s="114" t="str">
        <x:f>IF(COUNTA($A222:$M222)=0,"",IF(OR(LOWER($F222&amp;"")="subscription",LOWER($F222&amp;"")="membership"),"",IF(LOWER($L222&amp;"")="yes",0,IF($K222&lt;&gt;"",$K222,IF($O222&lt;&gt;"",$O222,"")))))</x:f>
      </x:c>
      <x:c r="Q222" s="114" t="str">
        <x:f>IF(COUNTA($A222:$M222)=0,"",IF(OR($U222="Subscription",$U222=""),"",IF($U222="Profit",ROUND(IFERROR($P222,0)-IFERROR($H222,0),2),0)))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IF(COUNTA($A222:$M222)=0,"",IF(OR(LOWER($F222&amp;"")="subscription",LOWER($F222&amp;"")="membership"),"Subscription",IF(OR(AND($H222&lt;&gt;"",$H222=0),LOWER($F222&amp;"")="free game",LOWER($F222&amp;"")="free",LOWER($F222&amp;"")="free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IF(COUNTA($A222:$M222)=0,"",IF(OR($U222="Subscription",$U222=""),"",IF(OR($U222="Free Game",$U222="Disqualified — Free Game"),0,ROUND(IFERROR($Q222,0)-IFERROR($S222,0),2))))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455"/>
      <x:c r="H223" s="455"/>
      <x:c r="I223" s="456"/>
      <x:c r="J223" s="456"/>
      <x:c r="K223" s="455"/>
      <x:c r="L223" s="454"/>
      <x:c r="M223" s="439"/>
      <x:c r="N223" s="114" t="str">
        <x:f>IF(COUNTA($A223:$M223)=0,"",IF(OR(LOWER($F223&amp;"")="subscription",LOWER($F223&amp;"")="membership"),"",IF($G223="","",IF(ISNUMBER(SEARCH("non",LOWER($E223&amp;""))),$G223*0.85,$G223))))</x:f>
      </x:c>
      <x:c r="O223" s="114" t="str">
        <x:f>IF(COUNTA($A223:$M223)=0,"",IF(OR(LOWER($F223&amp;"")="subscription",LOWER($F223&amp;"")="membership"),"",IF(OR($N223="",$I223="",$I223=0),"",IFERROR($N223/$I223,""))))</x:f>
      </x:c>
      <x:c r="P223" s="114" t="str">
        <x:f>IF(COUNTA($A223:$M223)=0,"",IF(OR(LOWER($F223&amp;"")="subscription",LOWER($F223&amp;"")="membership"),"",IF(LOWER($L223&amp;"")="yes",0,IF($K223&lt;&gt;"",$K223,IF($O223&lt;&gt;"",$O223,"")))))</x:f>
      </x:c>
      <x:c r="Q223" s="114" t="str">
        <x:f>IF(COUNTA($A223:$M223)=0,"",IF(OR($U223="Subscription",$U223=""),"",IF($U223="Profit",ROUND(IFERROR($P223,0)-IFERROR($H223,0),2),0)))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IF(COUNTA($A223:$M223)=0,"",IF(OR(LOWER($F223&amp;"")="subscription",LOWER($F223&amp;"")="membership"),"Subscription",IF(OR(AND($H223&lt;&gt;"",$H223=0),LOWER($F223&amp;"")="free game",LOWER($F223&amp;"")="free",LOWER($F223&amp;"")="free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IF(COUNTA($A223:$M223)=0,"",IF(OR($U223="Subscription",$U223=""),"",IF(OR($U223="Free Game",$U223="Disqualified — Free Game"),0,ROUND(IFERROR($Q223,0)-IFERROR($S223,0),2))))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455"/>
      <x:c r="H224" s="455"/>
      <x:c r="I224" s="456"/>
      <x:c r="J224" s="456"/>
      <x:c r="K224" s="455"/>
      <x:c r="L224" s="454"/>
      <x:c r="M224" s="439"/>
      <x:c r="N224" s="114" t="str">
        <x:f>IF(COUNTA($A224:$M224)=0,"",IF(OR(LOWER($F224&amp;"")="subscription",LOWER($F224&amp;"")="membership"),"",IF($G224="","",IF(ISNUMBER(SEARCH("non",LOWER($E224&amp;""))),$G224*0.85,$G224))))</x:f>
      </x:c>
      <x:c r="O224" s="114" t="str">
        <x:f>IF(COUNTA($A224:$M224)=0,"",IF(OR(LOWER($F224&amp;"")="subscription",LOWER($F224&amp;"")="membership"),"",IF(OR($N224="",$I224="",$I224=0),"",IFERROR($N224/$I224,""))))</x:f>
      </x:c>
      <x:c r="P224" s="114" t="str">
        <x:f>IF(COUNTA($A224:$M224)=0,"",IF(OR(LOWER($F224&amp;"")="subscription",LOWER($F224&amp;"")="membership"),"",IF(LOWER($L224&amp;"")="yes",0,IF($K224&lt;&gt;"",$K224,IF($O224&lt;&gt;"",$O224,"")))))</x:f>
      </x:c>
      <x:c r="Q224" s="114" t="str">
        <x:f>IF(COUNTA($A224:$M224)=0,"",IF(OR($U224="Subscription",$U224=""),"",IF($U224="Profit",ROUND(IFERROR($P224,0)-IFERROR($H224,0),2),0)))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IF(COUNTA($A224:$M224)=0,"",IF(OR(LOWER($F224&amp;"")="subscription",LOWER($F224&amp;"")="membership"),"Subscription",IF(OR(AND($H224&lt;&gt;"",$H224=0),LOWER($F224&amp;"")="free game",LOWER($F224&amp;"")="free",LOWER($F224&amp;"")="free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IF(COUNTA($A224:$M224)=0,"",IF(OR($U224="Subscription",$U224=""),"",IF(OR($U224="Free Game",$U224="Disqualified — Free Game"),0,ROUND(IFERROR($Q224,0)-IFERROR($S224,0),2))))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455"/>
      <x:c r="H225" s="455"/>
      <x:c r="I225" s="456"/>
      <x:c r="J225" s="456"/>
      <x:c r="K225" s="455"/>
      <x:c r="L225" s="454"/>
      <x:c r="M225" s="439"/>
      <x:c r="N225" s="114" t="str">
        <x:f>IF(COUNTA($A225:$M225)=0,"",IF(OR(LOWER($F225&amp;"")="subscription",LOWER($F225&amp;"")="membership"),"",IF($G225="","",IF(ISNUMBER(SEARCH("non",LOWER($E225&amp;""))),$G225*0.85,$G225))))</x:f>
      </x:c>
      <x:c r="O225" s="114" t="str">
        <x:f>IF(COUNTA($A225:$M225)=0,"",IF(OR(LOWER($F225&amp;"")="subscription",LOWER($F225&amp;"")="membership"),"",IF(OR($N225="",$I225="",$I225=0),"",IFERROR($N225/$I225,""))))</x:f>
      </x:c>
      <x:c r="P225" s="114" t="str">
        <x:f>IF(COUNTA($A225:$M225)=0,"",IF(OR(LOWER($F225&amp;"")="subscription",LOWER($F225&amp;"")="membership"),"",IF(LOWER($L225&amp;"")="yes",0,IF($K225&lt;&gt;"",$K225,IF($O225&lt;&gt;"",$O225,"")))))</x:f>
      </x:c>
      <x:c r="Q225" s="114" t="str">
        <x:f>IF(COUNTA($A225:$M225)=0,"",IF(OR($U225="Subscription",$U225=""),"",IF($U225="Profit",ROUND(IFERROR($P225,0)-IFERROR($H225,0),2),0)))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IF(COUNTA($A225:$M225)=0,"",IF(OR(LOWER($F225&amp;"")="subscription",LOWER($F225&amp;"")="membership"),"Subscription",IF(OR(AND($H225&lt;&gt;"",$H225=0),LOWER($F225&amp;"")="free game",LOWER($F225&amp;"")="free",LOWER($F225&amp;"")="free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IF(COUNTA($A225:$M225)=0,"",IF(OR($U225="Subscription",$U225=""),"",IF(OR($U225="Free Game",$U225="Disqualified — Free Game"),0,ROUND(IFERROR($Q225,0)-IFERROR($S225,0),2))))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455"/>
      <x:c r="H226" s="455"/>
      <x:c r="I226" s="456"/>
      <x:c r="J226" s="456"/>
      <x:c r="K226" s="455"/>
      <x:c r="L226" s="454"/>
      <x:c r="M226" s="439"/>
      <x:c r="N226" s="114" t="str">
        <x:f>IF(COUNTA($A226:$M226)=0,"",IF(OR(LOWER($F226&amp;"")="subscription",LOWER($F226&amp;"")="membership"),"",IF($G226="","",IF(ISNUMBER(SEARCH("non",LOWER($E226&amp;""))),$G226*0.85,$G226))))</x:f>
      </x:c>
      <x:c r="O226" s="114" t="str">
        <x:f>IF(COUNTA($A226:$M226)=0,"",IF(OR(LOWER($F226&amp;"")="subscription",LOWER($F226&amp;"")="membership"),"",IF(OR($N226="",$I226="",$I226=0),"",IFERROR($N226/$I226,""))))</x:f>
      </x:c>
      <x:c r="P226" s="114" t="str">
        <x:f>IF(COUNTA($A226:$M226)=0,"",IF(OR(LOWER($F226&amp;"")="subscription",LOWER($F226&amp;"")="membership"),"",IF(LOWER($L226&amp;"")="yes",0,IF($K226&lt;&gt;"",$K226,IF($O226&lt;&gt;"",$O226,"")))))</x:f>
      </x:c>
      <x:c r="Q226" s="114" t="str">
        <x:f>IF(COUNTA($A226:$M226)=0,"",IF(OR($U226="Subscription",$U226=""),"",IF($U226="Profit",ROUND(IFERROR($P226,0)-IFERROR($H226,0),2),0)))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IF(COUNTA($A226:$M226)=0,"",IF(OR(LOWER($F226&amp;"")="subscription",LOWER($F226&amp;"")="membership"),"Subscription",IF(OR(AND($H226&lt;&gt;"",$H226=0),LOWER($F226&amp;"")="free game",LOWER($F226&amp;"")="free",LOWER($F226&amp;"")="free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IF(COUNTA($A226:$M226)=0,"",IF(OR($U226="Subscription",$U226=""),"",IF(OR($U226="Free Game",$U226="Disqualified — Free Game"),0,ROUND(IFERROR($Q226,0)-IFERROR($S226,0),2))))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455"/>
      <x:c r="H227" s="455"/>
      <x:c r="I227" s="456"/>
      <x:c r="J227" s="456"/>
      <x:c r="K227" s="455"/>
      <x:c r="L227" s="454"/>
      <x:c r="M227" s="439"/>
      <x:c r="N227" s="114" t="str">
        <x:f>IF(COUNTA($A227:$M227)=0,"",IF(OR(LOWER($F227&amp;"")="subscription",LOWER($F227&amp;"")="membership"),"",IF($G227="","",IF(ISNUMBER(SEARCH("non",LOWER($E227&amp;""))),$G227*0.85,$G227))))</x:f>
      </x:c>
      <x:c r="O227" s="114" t="str">
        <x:f>IF(COUNTA($A227:$M227)=0,"",IF(OR(LOWER($F227&amp;"")="subscription",LOWER($F227&amp;"")="membership"),"",IF(OR($N227="",$I227="",$I227=0),"",IFERROR($N227/$I227,""))))</x:f>
      </x:c>
      <x:c r="P227" s="114" t="str">
        <x:f>IF(COUNTA($A227:$M227)=0,"",IF(OR(LOWER($F227&amp;"")="subscription",LOWER($F227&amp;"")="membership"),"",IF(LOWER($L227&amp;"")="yes",0,IF($K227&lt;&gt;"",$K227,IF($O227&lt;&gt;"",$O227,"")))))</x:f>
      </x:c>
      <x:c r="Q227" s="114" t="str">
        <x:f>IF(COUNTA($A227:$M227)=0,"",IF(OR($U227="Subscription",$U227=""),"",IF($U227="Profit",ROUND(IFERROR($P227,0)-IFERROR($H227,0),2),0)))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IF(COUNTA($A227:$M227)=0,"",IF(OR(LOWER($F227&amp;"")="subscription",LOWER($F227&amp;"")="membership"),"Subscription",IF(OR(AND($H227&lt;&gt;"",$H227=0),LOWER($F227&amp;"")="free game",LOWER($F227&amp;"")="free",LOWER($F227&amp;"")="free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IF(COUNTA($A227:$M227)=0,"",IF(OR($U227="Subscription",$U227=""),"",IF(OR($U227="Free Game",$U227="Disqualified — Free Game"),0,ROUND(IFERROR($Q227,0)-IFERROR($S227,0),2))))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455"/>
      <x:c r="H228" s="455"/>
      <x:c r="I228" s="456"/>
      <x:c r="J228" s="456"/>
      <x:c r="K228" s="455"/>
      <x:c r="L228" s="454"/>
      <x:c r="M228" s="439"/>
      <x:c r="N228" s="114" t="str">
        <x:f>IF(COUNTA($A228:$M228)=0,"",IF(OR(LOWER($F228&amp;"")="subscription",LOWER($F228&amp;"")="membership"),"",IF($G228="","",IF(ISNUMBER(SEARCH("non",LOWER($E228&amp;""))),$G228*0.85,$G228))))</x:f>
      </x:c>
      <x:c r="O228" s="114" t="str">
        <x:f>IF(COUNTA($A228:$M228)=0,"",IF(OR(LOWER($F228&amp;"")="subscription",LOWER($F228&amp;"")="membership"),"",IF(OR($N228="",$I228="",$I228=0),"",IFERROR($N228/$I228,""))))</x:f>
      </x:c>
      <x:c r="P228" s="114" t="str">
        <x:f>IF(COUNTA($A228:$M228)=0,"",IF(OR(LOWER($F228&amp;"")="subscription",LOWER($F228&amp;"")="membership"),"",IF(LOWER($L228&amp;"")="yes",0,IF($K228&lt;&gt;"",$K228,IF($O228&lt;&gt;"",$O228,"")))))</x:f>
      </x:c>
      <x:c r="Q228" s="114" t="str">
        <x:f>IF(COUNTA($A228:$M228)=0,"",IF(OR($U228="Subscription",$U228=""),"",IF($U228="Profit",ROUND(IFERROR($P228,0)-IFERROR($H228,0),2),0)))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IF(COUNTA($A228:$M228)=0,"",IF(OR(LOWER($F228&amp;"")="subscription",LOWER($F228&amp;"")="membership"),"Subscription",IF(OR(AND($H228&lt;&gt;"",$H228=0),LOWER($F228&amp;"")="free game",LOWER($F228&amp;"")="free",LOWER($F228&amp;"")="free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IF(COUNTA($A228:$M228)=0,"",IF(OR($U228="Subscription",$U228=""),"",IF(OR($U228="Free Game",$U228="Disqualified — Free Game"),0,ROUND(IFERROR($Q228,0)-IFERROR($S228,0),2))))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455"/>
      <x:c r="H229" s="455"/>
      <x:c r="I229" s="456"/>
      <x:c r="J229" s="456"/>
      <x:c r="K229" s="455"/>
      <x:c r="L229" s="454"/>
      <x:c r="M229" s="439"/>
      <x:c r="N229" s="114" t="str">
        <x:f>IF(COUNTA($A229:$M229)=0,"",IF(OR(LOWER($F229&amp;"")="subscription",LOWER($F229&amp;"")="membership"),"",IF($G229="","",IF(ISNUMBER(SEARCH("non",LOWER($E229&amp;""))),$G229*0.85,$G229))))</x:f>
      </x:c>
      <x:c r="O229" s="114" t="str">
        <x:f>IF(COUNTA($A229:$M229)=0,"",IF(OR(LOWER($F229&amp;"")="subscription",LOWER($F229&amp;"")="membership"),"",IF(OR($N229="",$I229="",$I229=0),"",IFERROR($N229/$I229,""))))</x:f>
      </x:c>
      <x:c r="P229" s="114" t="str">
        <x:f>IF(COUNTA($A229:$M229)=0,"",IF(OR(LOWER($F229&amp;"")="subscription",LOWER($F229&amp;"")="membership"),"",IF(LOWER($L229&amp;"")="yes",0,IF($K229&lt;&gt;"",$K229,IF($O229&lt;&gt;"",$O229,"")))))</x:f>
      </x:c>
      <x:c r="Q229" s="114" t="str">
        <x:f>IF(COUNTA($A229:$M229)=0,"",IF(OR($U229="Subscription",$U229=""),"",IF($U229="Profit",ROUND(IFERROR($P229,0)-IFERROR($H229,0),2),0)))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IF(COUNTA($A229:$M229)=0,"",IF(OR(LOWER($F229&amp;"")="subscription",LOWER($F229&amp;"")="membership"),"Subscription",IF(OR(AND($H229&lt;&gt;"",$H229=0),LOWER($F229&amp;"")="free game",LOWER($F229&amp;"")="free",LOWER($F229&amp;"")="free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IF(COUNTA($A229:$M229)=0,"",IF(OR($U229="Subscription",$U229=""),"",IF(OR($U229="Free Game",$U229="Disqualified — Free Game"),0,ROUND(IFERROR($Q229,0)-IFERROR($S229,0),2))))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455"/>
      <x:c r="H230" s="455"/>
      <x:c r="I230" s="456"/>
      <x:c r="J230" s="456"/>
      <x:c r="K230" s="455"/>
      <x:c r="L230" s="454"/>
      <x:c r="M230" s="439"/>
      <x:c r="N230" s="114" t="str">
        <x:f>IF(COUNTA($A230:$M230)=0,"",IF(OR(LOWER($F230&amp;"")="subscription",LOWER($F230&amp;"")="membership"),"",IF($G230="","",IF(ISNUMBER(SEARCH("non",LOWER($E230&amp;""))),$G230*0.85,$G230))))</x:f>
      </x:c>
      <x:c r="O230" s="114" t="str">
        <x:f>IF(COUNTA($A230:$M230)=0,"",IF(OR(LOWER($F230&amp;"")="subscription",LOWER($F230&amp;"")="membership"),"",IF(OR($N230="",$I230="",$I230=0),"",IFERROR($N230/$I230,""))))</x:f>
      </x:c>
      <x:c r="P230" s="114" t="str">
        <x:f>IF(COUNTA($A230:$M230)=0,"",IF(OR(LOWER($F230&amp;"")="subscription",LOWER($F230&amp;"")="membership"),"",IF(LOWER($L230&amp;"")="yes",0,IF($K230&lt;&gt;"",$K230,IF($O230&lt;&gt;"",$O230,"")))))</x:f>
      </x:c>
      <x:c r="Q230" s="114" t="str">
        <x:f>IF(COUNTA($A230:$M230)=0,"",IF(OR($U230="Subscription",$U230=""),"",IF($U230="Profit",ROUND(IFERROR($P230,0)-IFERROR($H230,0),2),0)))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IF(COUNTA($A230:$M230)=0,"",IF(OR(LOWER($F230&amp;"")="subscription",LOWER($F230&amp;"")="membership"),"Subscription",IF(OR(AND($H230&lt;&gt;"",$H230=0),LOWER($F230&amp;"")="free game",LOWER($F230&amp;"")="free",LOWER($F230&amp;"")="free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IF(COUNTA($A230:$M230)=0,"",IF(OR($U230="Subscription",$U230=""),"",IF(OR($U230="Free Game",$U230="Disqualified — Free Game"),0,ROUND(IFERROR($Q230,0)-IFERROR($S230,0),2))))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455"/>
      <x:c r="H231" s="455"/>
      <x:c r="I231" s="456"/>
      <x:c r="J231" s="456"/>
      <x:c r="K231" s="455"/>
      <x:c r="L231" s="454"/>
      <x:c r="M231" s="439"/>
      <x:c r="N231" s="114" t="str">
        <x:f>IF(COUNTA($A231:$M231)=0,"",IF(OR(LOWER($F231&amp;"")="subscription",LOWER($F231&amp;"")="membership"),"",IF($G231="","",IF(ISNUMBER(SEARCH("non",LOWER($E231&amp;""))),$G231*0.85,$G231))))</x:f>
      </x:c>
      <x:c r="O231" s="114" t="str">
        <x:f>IF(COUNTA($A231:$M231)=0,"",IF(OR(LOWER($F231&amp;"")="subscription",LOWER($F231&amp;"")="membership"),"",IF(OR($N231="",$I231="",$I231=0),"",IFERROR($N231/$I231,""))))</x:f>
      </x:c>
      <x:c r="P231" s="114" t="str">
        <x:f>IF(COUNTA($A231:$M231)=0,"",IF(OR(LOWER($F231&amp;"")="subscription",LOWER($F231&amp;"")="membership"),"",IF(LOWER($L231&amp;"")="yes",0,IF($K231&lt;&gt;"",$K231,IF($O231&lt;&gt;"",$O231,"")))))</x:f>
      </x:c>
      <x:c r="Q231" s="114" t="str">
        <x:f>IF(COUNTA($A231:$M231)=0,"",IF(OR($U231="Subscription",$U231=""),"",IF($U231="Profit",ROUND(IFERROR($P231,0)-IFERROR($H231,0),2),0)))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IF(COUNTA($A231:$M231)=0,"",IF(OR(LOWER($F231&amp;"")="subscription",LOWER($F231&amp;"")="membership"),"Subscription",IF(OR(AND($H231&lt;&gt;"",$H231=0),LOWER($F231&amp;"")="free game",LOWER($F231&amp;"")="free",LOWER($F231&amp;"")="free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IF(COUNTA($A231:$M231)=0,"",IF(OR($U231="Subscription",$U231=""),"",IF(OR($U231="Free Game",$U231="Disqualified — Free Game"),0,ROUND(IFERROR($Q231,0)-IFERROR($S231,0),2))))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455"/>
      <x:c r="H232" s="455"/>
      <x:c r="I232" s="456"/>
      <x:c r="J232" s="456"/>
      <x:c r="K232" s="455"/>
      <x:c r="L232" s="454"/>
      <x:c r="M232" s="439"/>
      <x:c r="N232" s="114" t="str">
        <x:f>IF(COUNTA($A232:$M232)=0,"",IF(OR(LOWER($F232&amp;"")="subscription",LOWER($F232&amp;"")="membership"),"",IF($G232="","",IF(ISNUMBER(SEARCH("non",LOWER($E232&amp;""))),$G232*0.85,$G232))))</x:f>
      </x:c>
      <x:c r="O232" s="114" t="str">
        <x:f>IF(COUNTA($A232:$M232)=0,"",IF(OR(LOWER($F232&amp;"")="subscription",LOWER($F232&amp;"")="membership"),"",IF(OR($N232="",$I232="",$I232=0),"",IFERROR($N232/$I232,""))))</x:f>
      </x:c>
      <x:c r="P232" s="114" t="str">
        <x:f>IF(COUNTA($A232:$M232)=0,"",IF(OR(LOWER($F232&amp;"")="subscription",LOWER($F232&amp;"")="membership"),"",IF(LOWER($L232&amp;"")="yes",0,IF($K232&lt;&gt;"",$K232,IF($O232&lt;&gt;"",$O232,"")))))</x:f>
      </x:c>
      <x:c r="Q232" s="114" t="str">
        <x:f>IF(COUNTA($A232:$M232)=0,"",IF(OR($U232="Subscription",$U232=""),"",IF($U232="Profit",ROUND(IFERROR($P232,0)-IFERROR($H232,0),2),0)))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IF(COUNTA($A232:$M232)=0,"",IF(OR(LOWER($F232&amp;"")="subscription",LOWER($F232&amp;"")="membership"),"Subscription",IF(OR(AND($H232&lt;&gt;"",$H232=0),LOWER($F232&amp;"")="free game",LOWER($F232&amp;"")="free",LOWER($F232&amp;"")="free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IF(COUNTA($A232:$M232)=0,"",IF(OR($U232="Subscription",$U232=""),"",IF(OR($U232="Free Game",$U232="Disqualified — Free Game"),0,ROUND(IFERROR($Q232,0)-IFERROR($S232,0),2))))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455"/>
      <x:c r="H233" s="455"/>
      <x:c r="I233" s="456"/>
      <x:c r="J233" s="456"/>
      <x:c r="K233" s="455"/>
      <x:c r="L233" s="454"/>
      <x:c r="M233" s="439"/>
      <x:c r="N233" s="114" t="str">
        <x:f>IF(COUNTA($A233:$M233)=0,"",IF(OR(LOWER($F233&amp;"")="subscription",LOWER($F233&amp;"")="membership"),"",IF($G233="","",IF(ISNUMBER(SEARCH("non",LOWER($E233&amp;""))),$G233*0.85,$G233))))</x:f>
      </x:c>
      <x:c r="O233" s="114" t="str">
        <x:f>IF(COUNTA($A233:$M233)=0,"",IF(OR(LOWER($F233&amp;"")="subscription",LOWER($F233&amp;"")="membership"),"",IF(OR($N233="",$I233="",$I233=0),"",IFERROR($N233/$I233,""))))</x:f>
      </x:c>
      <x:c r="P233" s="114" t="str">
        <x:f>IF(COUNTA($A233:$M233)=0,"",IF(OR(LOWER($F233&amp;"")="subscription",LOWER($F233&amp;"")="membership"),"",IF(LOWER($L233&amp;"")="yes",0,IF($K233&lt;&gt;"",$K233,IF($O233&lt;&gt;"",$O233,"")))))</x:f>
      </x:c>
      <x:c r="Q233" s="114" t="str">
        <x:f>IF(COUNTA($A233:$M233)=0,"",IF(OR($U233="Subscription",$U233=""),"",IF($U233="Profit",ROUND(IFERROR($P233,0)-IFERROR($H233,0),2),0)))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IF(COUNTA($A233:$M233)=0,"",IF(OR(LOWER($F233&amp;"")="subscription",LOWER($F233&amp;"")="membership"),"Subscription",IF(OR(AND($H233&lt;&gt;"",$H233=0),LOWER($F233&amp;"")="free game",LOWER($F233&amp;"")="free",LOWER($F233&amp;"")="free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IF(COUNTA($A233:$M233)=0,"",IF(OR($U233="Subscription",$U233=""),"",IF(OR($U233="Free Game",$U233="Disqualified — Free Game"),0,ROUND(IFERROR($Q233,0)-IFERROR($S233,0),2))))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455"/>
      <x:c r="H234" s="455"/>
      <x:c r="I234" s="456"/>
      <x:c r="J234" s="456"/>
      <x:c r="K234" s="455"/>
      <x:c r="L234" s="454"/>
      <x:c r="M234" s="439"/>
      <x:c r="N234" s="114" t="str">
        <x:f>IF(COUNTA($A234:$M234)=0,"",IF(OR(LOWER($F234&amp;"")="subscription",LOWER($F234&amp;"")="membership"),"",IF($G234="","",IF(ISNUMBER(SEARCH("non",LOWER($E234&amp;""))),$G234*0.85,$G234))))</x:f>
      </x:c>
      <x:c r="O234" s="114" t="str">
        <x:f>IF(COUNTA($A234:$M234)=0,"",IF(OR(LOWER($F234&amp;"")="subscription",LOWER($F234&amp;"")="membership"),"",IF(OR($N234="",$I234="",$I234=0),"",IFERROR($N234/$I234,""))))</x:f>
      </x:c>
      <x:c r="P234" s="114" t="str">
        <x:f>IF(COUNTA($A234:$M234)=0,"",IF(OR(LOWER($F234&amp;"")="subscription",LOWER($F234&amp;"")="membership"),"",IF(LOWER($L234&amp;"")="yes",0,IF($K234&lt;&gt;"",$K234,IF($O234&lt;&gt;"",$O234,"")))))</x:f>
      </x:c>
      <x:c r="Q234" s="114" t="str">
        <x:f>IF(COUNTA($A234:$M234)=0,"",IF(OR($U234="Subscription",$U234=""),"",IF($U234="Profit",ROUND(IFERROR($P234,0)-IFERROR($H234,0),2),0)))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IF(COUNTA($A234:$M234)=0,"",IF(OR(LOWER($F234&amp;"")="subscription",LOWER($F234&amp;"")="membership"),"Subscription",IF(OR(AND($H234&lt;&gt;"",$H234=0),LOWER($F234&amp;"")="free game",LOWER($F234&amp;"")="free",LOWER($F234&amp;"")="free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IF(COUNTA($A234:$M234)=0,"",IF(OR($U234="Subscription",$U234=""),"",IF(OR($U234="Free Game",$U234="Disqualified — Free Game"),0,ROUND(IFERROR($Q234,0)-IFERROR($S234,0),2))))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455"/>
      <x:c r="H235" s="455"/>
      <x:c r="I235" s="456"/>
      <x:c r="J235" s="456"/>
      <x:c r="K235" s="455"/>
      <x:c r="L235" s="454"/>
      <x:c r="M235" s="439"/>
      <x:c r="N235" s="114" t="str">
        <x:f>IF(COUNTA($A235:$M235)=0,"",IF(OR(LOWER($F235&amp;"")="subscription",LOWER($F235&amp;"")="membership"),"",IF($G235="","",IF(ISNUMBER(SEARCH("non",LOWER($E235&amp;""))),$G235*0.85,$G235))))</x:f>
      </x:c>
      <x:c r="O235" s="114" t="str">
        <x:f>IF(COUNTA($A235:$M235)=0,"",IF(OR(LOWER($F235&amp;"")="subscription",LOWER($F235&amp;"")="membership"),"",IF(OR($N235="",$I235="",$I235=0),"",IFERROR($N235/$I235,""))))</x:f>
      </x:c>
      <x:c r="P235" s="114" t="str">
        <x:f>IF(COUNTA($A235:$M235)=0,"",IF(OR(LOWER($F235&amp;"")="subscription",LOWER($F235&amp;"")="membership"),"",IF(LOWER($L235&amp;"")="yes",0,IF($K235&lt;&gt;"",$K235,IF($O235&lt;&gt;"",$O235,"")))))</x:f>
      </x:c>
      <x:c r="Q235" s="114" t="str">
        <x:f>IF(COUNTA($A235:$M235)=0,"",IF(OR($U235="Subscription",$U235=""),"",IF($U235="Profit",ROUND(IFERROR($P235,0)-IFERROR($H235,0),2),0)))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IF(COUNTA($A235:$M235)=0,"",IF(OR(LOWER($F235&amp;"")="subscription",LOWER($F235&amp;"")="membership"),"Subscription",IF(OR(AND($H235&lt;&gt;"",$H235=0),LOWER($F235&amp;"")="free game",LOWER($F235&amp;"")="free",LOWER($F235&amp;"")="free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IF(COUNTA($A235:$M235)=0,"",IF(OR($U235="Subscription",$U235=""),"",IF(OR($U235="Free Game",$U235="Disqualified — Free Game"),0,ROUND(IFERROR($Q235,0)-IFERROR($S235,0),2))))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455"/>
      <x:c r="H236" s="455"/>
      <x:c r="I236" s="456"/>
      <x:c r="J236" s="456"/>
      <x:c r="K236" s="455"/>
      <x:c r="L236" s="454"/>
      <x:c r="M236" s="439"/>
      <x:c r="N236" s="114" t="str">
        <x:f>IF(COUNTA($A236:$M236)=0,"",IF(OR(LOWER($F236&amp;"")="subscription",LOWER($F236&amp;"")="membership"),"",IF($G236="","",IF(ISNUMBER(SEARCH("non",LOWER($E236&amp;""))),$G236*0.85,$G236))))</x:f>
      </x:c>
      <x:c r="O236" s="114" t="str">
        <x:f>IF(COUNTA($A236:$M236)=0,"",IF(OR(LOWER($F236&amp;"")="subscription",LOWER($F236&amp;"")="membership"),"",IF(OR($N236="",$I236="",$I236=0),"",IFERROR($N236/$I236,""))))</x:f>
      </x:c>
      <x:c r="P236" s="114" t="str">
        <x:f>IF(COUNTA($A236:$M236)=0,"",IF(OR(LOWER($F236&amp;"")="subscription",LOWER($F236&amp;"")="membership"),"",IF(LOWER($L236&amp;"")="yes",0,IF($K236&lt;&gt;"",$K236,IF($O236&lt;&gt;"",$O236,"")))))</x:f>
      </x:c>
      <x:c r="Q236" s="114" t="str">
        <x:f>IF(COUNTA($A236:$M236)=0,"",IF(OR($U236="Subscription",$U236=""),"",IF($U236="Profit",ROUND(IFERROR($P236,0)-IFERROR($H236,0),2),0)))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IF(COUNTA($A236:$M236)=0,"",IF(OR(LOWER($F236&amp;"")="subscription",LOWER($F236&amp;"")="membership"),"Subscription",IF(OR(AND($H236&lt;&gt;"",$H236=0),LOWER($F236&amp;"")="free game",LOWER($F236&amp;"")="free",LOWER($F236&amp;"")="free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IF(COUNTA($A236:$M236)=0,"",IF(OR($U236="Subscription",$U236=""),"",IF(OR($U236="Free Game",$U236="Disqualified — Free Game"),0,ROUND(IFERROR($Q236,0)-IFERROR($S236,0),2))))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455"/>
      <x:c r="H237" s="455"/>
      <x:c r="I237" s="456"/>
      <x:c r="J237" s="456"/>
      <x:c r="K237" s="455"/>
      <x:c r="L237" s="454"/>
      <x:c r="M237" s="439"/>
      <x:c r="N237" s="114" t="str">
        <x:f>IF(COUNTA($A237:$M237)=0,"",IF(OR(LOWER($F237&amp;"")="subscription",LOWER($F237&amp;"")="membership"),"",IF($G237="","",IF(ISNUMBER(SEARCH("non",LOWER($E237&amp;""))),$G237*0.85,$G237))))</x:f>
      </x:c>
      <x:c r="O237" s="114" t="str">
        <x:f>IF(COUNTA($A237:$M237)=0,"",IF(OR(LOWER($F237&amp;"")="subscription",LOWER($F237&amp;"")="membership"),"",IF(OR($N237="",$I237="",$I237=0),"",IFERROR($N237/$I237,""))))</x:f>
      </x:c>
      <x:c r="P237" s="114" t="str">
        <x:f>IF(COUNTA($A237:$M237)=0,"",IF(OR(LOWER($F237&amp;"")="subscription",LOWER($F237&amp;"")="membership"),"",IF(LOWER($L237&amp;"")="yes",0,IF($K237&lt;&gt;"",$K237,IF($O237&lt;&gt;"",$O237,"")))))</x:f>
      </x:c>
      <x:c r="Q237" s="114" t="str">
        <x:f>IF(COUNTA($A237:$M237)=0,"",IF(OR($U237="Subscription",$U237=""),"",IF($U237="Profit",ROUND(IFERROR($P237,0)-IFERROR($H237,0),2),0)))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IF(COUNTA($A237:$M237)=0,"",IF(OR(LOWER($F237&amp;"")="subscription",LOWER($F237&amp;"")="membership"),"Subscription",IF(OR(AND($H237&lt;&gt;"",$H237=0),LOWER($F237&amp;"")="free game",LOWER($F237&amp;"")="free",LOWER($F237&amp;"")="free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IF(COUNTA($A237:$M237)=0,"",IF(OR($U237="Subscription",$U237=""),"",IF(OR($U237="Free Game",$U237="Disqualified — Free Game"),0,ROUND(IFERROR($Q237,0)-IFERROR($S237,0),2))))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455"/>
      <x:c r="H238" s="455"/>
      <x:c r="I238" s="456"/>
      <x:c r="J238" s="456"/>
      <x:c r="K238" s="455"/>
      <x:c r="L238" s="454"/>
      <x:c r="M238" s="439"/>
      <x:c r="N238" s="114" t="str">
        <x:f>IF(COUNTA($A238:$M238)=0,"",IF(OR(LOWER($F238&amp;"")="subscription",LOWER($F238&amp;"")="membership"),"",IF($G238="","",IF(ISNUMBER(SEARCH("non",LOWER($E238&amp;""))),$G238*0.85,$G238))))</x:f>
      </x:c>
      <x:c r="O238" s="114" t="str">
        <x:f>IF(COUNTA($A238:$M238)=0,"",IF(OR(LOWER($F238&amp;"")="subscription",LOWER($F238&amp;"")="membership"),"",IF(OR($N238="",$I238="",$I238=0),"",IFERROR($N238/$I238,""))))</x:f>
      </x:c>
      <x:c r="P238" s="114" t="str">
        <x:f>IF(COUNTA($A238:$M238)=0,"",IF(OR(LOWER($F238&amp;"")="subscription",LOWER($F238&amp;"")="membership"),"",IF(LOWER($L238&amp;"")="yes",0,IF($K238&lt;&gt;"",$K238,IF($O238&lt;&gt;"",$O238,"")))))</x:f>
      </x:c>
      <x:c r="Q238" s="114" t="str">
        <x:f>IF(COUNTA($A238:$M238)=0,"",IF(OR($U238="Subscription",$U238=""),"",IF($U238="Profit",ROUND(IFERROR($P238,0)-IFERROR($H238,0),2),0)))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IF(COUNTA($A238:$M238)=0,"",IF(OR(LOWER($F238&amp;"")="subscription",LOWER($F238&amp;"")="membership"),"Subscription",IF(OR(AND($H238&lt;&gt;"",$H238=0),LOWER($F238&amp;"")="free game",LOWER($F238&amp;"")="free",LOWER($F238&amp;"")="free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IF(COUNTA($A238:$M238)=0,"",IF(OR($U238="Subscription",$U238=""),"",IF(OR($U238="Free Game",$U238="Disqualified — Free Game"),0,ROUND(IFERROR($Q238,0)-IFERROR($S238,0),2))))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455"/>
      <x:c r="H239" s="455"/>
      <x:c r="I239" s="456"/>
      <x:c r="J239" s="456"/>
      <x:c r="K239" s="455"/>
      <x:c r="L239" s="454"/>
      <x:c r="M239" s="439"/>
      <x:c r="N239" s="114" t="str">
        <x:f>IF(COUNTA($A239:$M239)=0,"",IF(OR(LOWER($F239&amp;"")="subscription",LOWER($F239&amp;"")="membership"),"",IF($G239="","",IF(ISNUMBER(SEARCH("non",LOWER($E239&amp;""))),$G239*0.85,$G239))))</x:f>
      </x:c>
      <x:c r="O239" s="114" t="str">
        <x:f>IF(COUNTA($A239:$M239)=0,"",IF(OR(LOWER($F239&amp;"")="subscription",LOWER($F239&amp;"")="membership"),"",IF(OR($N239="",$I239="",$I239=0),"",IFERROR($N239/$I239,""))))</x:f>
      </x:c>
      <x:c r="P239" s="114" t="str">
        <x:f>IF(COUNTA($A239:$M239)=0,"",IF(OR(LOWER($F239&amp;"")="subscription",LOWER($F239&amp;"")="membership"),"",IF(LOWER($L239&amp;"")="yes",0,IF($K239&lt;&gt;"",$K239,IF($O239&lt;&gt;"",$O239,"")))))</x:f>
      </x:c>
      <x:c r="Q239" s="114" t="str">
        <x:f>IF(COUNTA($A239:$M239)=0,"",IF(OR($U239="Subscription",$U239=""),"",IF($U239="Profit",ROUND(IFERROR($P239,0)-IFERROR($H239,0),2),0)))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IF(COUNTA($A239:$M239)=0,"",IF(OR(LOWER($F239&amp;"")="subscription",LOWER($F239&amp;"")="membership"),"Subscription",IF(OR(AND($H239&lt;&gt;"",$H239=0),LOWER($F239&amp;"")="free game",LOWER($F239&amp;"")="free",LOWER($F239&amp;"")="free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IF(COUNTA($A239:$M239)=0,"",IF(OR($U239="Subscription",$U239=""),"",IF(OR($U239="Free Game",$U239="Disqualified — Free Game"),0,ROUND(IFERROR($Q239,0)-IFERROR($S239,0),2))))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455"/>
      <x:c r="H240" s="455"/>
      <x:c r="I240" s="456"/>
      <x:c r="J240" s="456"/>
      <x:c r="K240" s="455"/>
      <x:c r="L240" s="454"/>
      <x:c r="M240" s="439"/>
      <x:c r="N240" s="114" t="str">
        <x:f>IF(COUNTA($A240:$M240)=0,"",IF(OR(LOWER($F240&amp;"")="subscription",LOWER($F240&amp;"")="membership"),"",IF($G240="","",IF(ISNUMBER(SEARCH("non",LOWER($E240&amp;""))),$G240*0.85,$G240))))</x:f>
      </x:c>
      <x:c r="O240" s="114" t="str">
        <x:f>IF(COUNTA($A240:$M240)=0,"",IF(OR(LOWER($F240&amp;"")="subscription",LOWER($F240&amp;"")="membership"),"",IF(OR($N240="",$I240="",$I240=0),"",IFERROR($N240/$I240,""))))</x:f>
      </x:c>
      <x:c r="P240" s="114" t="str">
        <x:f>IF(COUNTA($A240:$M240)=0,"",IF(OR(LOWER($F240&amp;"")="subscription",LOWER($F240&amp;"")="membership"),"",IF(LOWER($L240&amp;"")="yes",0,IF($K240&lt;&gt;"",$K240,IF($O240&lt;&gt;"",$O240,"")))))</x:f>
      </x:c>
      <x:c r="Q240" s="114" t="str">
        <x:f>IF(COUNTA($A240:$M240)=0,"",IF(OR($U240="Subscription",$U240=""),"",IF($U240="Profit",ROUND(IFERROR($P240,0)-IFERROR($H240,0),2),0)))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IF(COUNTA($A240:$M240)=0,"",IF(OR(LOWER($F240&amp;"")="subscription",LOWER($F240&amp;"")="membership"),"Subscription",IF(OR(AND($H240&lt;&gt;"",$H240=0),LOWER($F240&amp;"")="free game",LOWER($F240&amp;"")="free",LOWER($F240&amp;"")="free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IF(COUNTA($A240:$M240)=0,"",IF(OR($U240="Subscription",$U240=""),"",IF(OR($U240="Free Game",$U240="Disqualified — Free Game"),0,ROUND(IFERROR($Q240,0)-IFERROR($S240,0),2))))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455"/>
      <x:c r="H241" s="455"/>
      <x:c r="I241" s="456"/>
      <x:c r="J241" s="456"/>
      <x:c r="K241" s="455"/>
      <x:c r="L241" s="454"/>
      <x:c r="M241" s="439"/>
      <x:c r="N241" s="114" t="str">
        <x:f>IF(COUNTA($A241:$M241)=0,"",IF(OR(LOWER($F241&amp;"")="subscription",LOWER($F241&amp;"")="membership"),"",IF($G241="","",IF(ISNUMBER(SEARCH("non",LOWER($E241&amp;""))),$G241*0.85,$G241))))</x:f>
      </x:c>
      <x:c r="O241" s="114" t="str">
        <x:f>IF(COUNTA($A241:$M241)=0,"",IF(OR(LOWER($F241&amp;"")="subscription",LOWER($F241&amp;"")="membership"),"",IF(OR($N241="",$I241="",$I241=0),"",IFERROR($N241/$I241,""))))</x:f>
      </x:c>
      <x:c r="P241" s="114" t="str">
        <x:f>IF(COUNTA($A241:$M241)=0,"",IF(OR(LOWER($F241&amp;"")="subscription",LOWER($F241&amp;"")="membership"),"",IF(LOWER($L241&amp;"")="yes",0,IF($K241&lt;&gt;"",$K241,IF($O241&lt;&gt;"",$O241,"")))))</x:f>
      </x:c>
      <x:c r="Q241" s="114" t="str">
        <x:f>IF(COUNTA($A241:$M241)=0,"",IF(OR($U241="Subscription",$U241=""),"",IF($U241="Profit",ROUND(IFERROR($P241,0)-IFERROR($H241,0),2),0)))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IF(COUNTA($A241:$M241)=0,"",IF(OR(LOWER($F241&amp;"")="subscription",LOWER($F241&amp;"")="membership"),"Subscription",IF(OR(AND($H241&lt;&gt;"",$H241=0),LOWER($F241&amp;"")="free game",LOWER($F241&amp;"")="free",LOWER($F241&amp;"")="free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IF(COUNTA($A241:$M241)=0,"",IF(OR($U241="Subscription",$U241=""),"",IF(OR($U241="Free Game",$U241="Disqualified — Free Game"),0,ROUND(IFERROR($Q241,0)-IFERROR($S241,0),2))))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455"/>
      <x:c r="H242" s="455"/>
      <x:c r="I242" s="456"/>
      <x:c r="J242" s="456"/>
      <x:c r="K242" s="455"/>
      <x:c r="L242" s="454"/>
      <x:c r="M242" s="439"/>
      <x:c r="N242" s="114" t="str">
        <x:f>IF(COUNTA($A242:$M242)=0,"",IF(OR(LOWER($F242&amp;"")="subscription",LOWER($F242&amp;"")="membership"),"",IF($G242="","",IF(ISNUMBER(SEARCH("non",LOWER($E242&amp;""))),$G242*0.85,$G242))))</x:f>
      </x:c>
      <x:c r="O242" s="114" t="str">
        <x:f>IF(COUNTA($A242:$M242)=0,"",IF(OR(LOWER($F242&amp;"")="subscription",LOWER($F242&amp;"")="membership"),"",IF(OR($N242="",$I242="",$I242=0),"",IFERROR($N242/$I242,""))))</x:f>
      </x:c>
      <x:c r="P242" s="114" t="str">
        <x:f>IF(COUNTA($A242:$M242)=0,"",IF(OR(LOWER($F242&amp;"")="subscription",LOWER($F242&amp;"")="membership"),"",IF(LOWER($L242&amp;"")="yes",0,IF($K242&lt;&gt;"",$K242,IF($O242&lt;&gt;"",$O242,"")))))</x:f>
      </x:c>
      <x:c r="Q242" s="114" t="str">
        <x:f>IF(COUNTA($A242:$M242)=0,"",IF(OR($U242="Subscription",$U242=""),"",IF($U242="Profit",ROUND(IFERROR($P242,0)-IFERROR($H242,0),2),0)))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IF(COUNTA($A242:$M242)=0,"",IF(OR(LOWER($F242&amp;"")="subscription",LOWER($F242&amp;"")="membership"),"Subscription",IF(OR(AND($H242&lt;&gt;"",$H242=0),LOWER($F242&amp;"")="free game",LOWER($F242&amp;"")="free",LOWER($F242&amp;"")="free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IF(COUNTA($A242:$M242)=0,"",IF(OR($U242="Subscription",$U242=""),"",IF(OR($U242="Free Game",$U242="Disqualified — Free Game"),0,ROUND(IFERROR($Q242,0)-IFERROR($S242,0),2))))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455"/>
      <x:c r="H243" s="455"/>
      <x:c r="I243" s="456"/>
      <x:c r="J243" s="456"/>
      <x:c r="K243" s="455"/>
      <x:c r="L243" s="454"/>
      <x:c r="M243" s="439"/>
      <x:c r="N243" s="114" t="str">
        <x:f>IF(COUNTA($A243:$M243)=0,"",IF(OR(LOWER($F243&amp;"")="subscription",LOWER($F243&amp;"")="membership"),"",IF($G243="","",IF(ISNUMBER(SEARCH("non",LOWER($E243&amp;""))),$G243*0.85,$G243))))</x:f>
      </x:c>
      <x:c r="O243" s="114" t="str">
        <x:f>IF(COUNTA($A243:$M243)=0,"",IF(OR(LOWER($F243&amp;"")="subscription",LOWER($F243&amp;"")="membership"),"",IF(OR($N243="",$I243="",$I243=0),"",IFERROR($N243/$I243,""))))</x:f>
      </x:c>
      <x:c r="P243" s="114" t="str">
        <x:f>IF(COUNTA($A243:$M243)=0,"",IF(OR(LOWER($F243&amp;"")="subscription",LOWER($F243&amp;"")="membership"),"",IF(LOWER($L243&amp;"")="yes",0,IF($K243&lt;&gt;"",$K243,IF($O243&lt;&gt;"",$O243,"")))))</x:f>
      </x:c>
      <x:c r="Q243" s="114" t="str">
        <x:f>IF(COUNTA($A243:$M243)=0,"",IF(OR($U243="Subscription",$U243=""),"",IF($U243="Profit",ROUND(IFERROR($P243,0)-IFERROR($H243,0),2),0)))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IF(COUNTA($A243:$M243)=0,"",IF(OR(LOWER($F243&amp;"")="subscription",LOWER($F243&amp;"")="membership"),"Subscription",IF(OR(AND($H243&lt;&gt;"",$H243=0),LOWER($F243&amp;"")="free game",LOWER($F243&amp;"")="free",LOWER($F243&amp;"")="free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IF(COUNTA($A243:$M243)=0,"",IF(OR($U243="Subscription",$U243=""),"",IF(OR($U243="Free Game",$U243="Disqualified — Free Game"),0,ROUND(IFERROR($Q243,0)-IFERROR($S243,0),2))))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455"/>
      <x:c r="H244" s="455"/>
      <x:c r="I244" s="456"/>
      <x:c r="J244" s="456"/>
      <x:c r="K244" s="455"/>
      <x:c r="L244" s="454"/>
      <x:c r="M244" s="439"/>
      <x:c r="N244" s="114" t="str">
        <x:f>IF(COUNTA($A244:$M244)=0,"",IF(OR(LOWER($F244&amp;"")="subscription",LOWER($F244&amp;"")="membership"),"",IF($G244="","",IF(ISNUMBER(SEARCH("non",LOWER($E244&amp;""))),$G244*0.85,$G244))))</x:f>
      </x:c>
      <x:c r="O244" s="114" t="str">
        <x:f>IF(COUNTA($A244:$M244)=0,"",IF(OR(LOWER($F244&amp;"")="subscription",LOWER($F244&amp;"")="membership"),"",IF(OR($N244="",$I244="",$I244=0),"",IFERROR($N244/$I244,""))))</x:f>
      </x:c>
      <x:c r="P244" s="114" t="str">
        <x:f>IF(COUNTA($A244:$M244)=0,"",IF(OR(LOWER($F244&amp;"")="subscription",LOWER($F244&amp;"")="membership"),"",IF(LOWER($L244&amp;"")="yes",0,IF($K244&lt;&gt;"",$K244,IF($O244&lt;&gt;"",$O244,"")))))</x:f>
      </x:c>
      <x:c r="Q244" s="114" t="str">
        <x:f>IF(COUNTA($A244:$M244)=0,"",IF(OR($U244="Subscription",$U244=""),"",IF($U244="Profit",ROUND(IFERROR($P244,0)-IFERROR($H244,0),2),0)))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IF(COUNTA($A244:$M244)=0,"",IF(OR(LOWER($F244&amp;"")="subscription",LOWER($F244&amp;"")="membership"),"Subscription",IF(OR(AND($H244&lt;&gt;"",$H244=0),LOWER($F244&amp;"")="free game",LOWER($F244&amp;"")="free",LOWER($F244&amp;"")="free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IF(COUNTA($A244:$M244)=0,"",IF(OR($U244="Subscription",$U244=""),"",IF(OR($U244="Free Game",$U244="Disqualified — Free Game"),0,ROUND(IFERROR($Q244,0)-IFERROR($S244,0),2))))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455"/>
      <x:c r="H245" s="455"/>
      <x:c r="I245" s="456"/>
      <x:c r="J245" s="456"/>
      <x:c r="K245" s="455"/>
      <x:c r="L245" s="454"/>
      <x:c r="M245" s="439"/>
      <x:c r="N245" s="114" t="str">
        <x:f>IF(COUNTA($A245:$M245)=0,"",IF(OR(LOWER($F245&amp;"")="subscription",LOWER($F245&amp;"")="membership"),"",IF($G245="","",IF(ISNUMBER(SEARCH("non",LOWER($E245&amp;""))),$G245*0.85,$G245))))</x:f>
      </x:c>
      <x:c r="O245" s="114" t="str">
        <x:f>IF(COUNTA($A245:$M245)=0,"",IF(OR(LOWER($F245&amp;"")="subscription",LOWER($F245&amp;"")="membership"),"",IF(OR($N245="",$I245="",$I245=0),"",IFERROR($N245/$I245,""))))</x:f>
      </x:c>
      <x:c r="P245" s="114" t="str">
        <x:f>IF(COUNTA($A245:$M245)=0,"",IF(OR(LOWER($F245&amp;"")="subscription",LOWER($F245&amp;"")="membership"),"",IF(LOWER($L245&amp;"")="yes",0,IF($K245&lt;&gt;"",$K245,IF($O245&lt;&gt;"",$O245,"")))))</x:f>
      </x:c>
      <x:c r="Q245" s="114" t="str">
        <x:f>IF(COUNTA($A245:$M245)=0,"",IF(OR($U245="Subscription",$U245=""),"",IF($U245="Profit",ROUND(IFERROR($P245,0)-IFERROR($H245,0),2),0)))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IF(COUNTA($A245:$M245)=0,"",IF(OR(LOWER($F245&amp;"")="subscription",LOWER($F245&amp;"")="membership"),"Subscription",IF(OR(AND($H245&lt;&gt;"",$H245=0),LOWER($F245&amp;"")="free game",LOWER($F245&amp;"")="free",LOWER($F245&amp;"")="free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IF(COUNTA($A245:$M245)=0,"",IF(OR($U245="Subscription",$U245=""),"",IF(OR($U245="Free Game",$U245="Disqualified — Free Game"),0,ROUND(IFERROR($Q245,0)-IFERROR($S245,0),2))))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455"/>
      <x:c r="H246" s="455"/>
      <x:c r="I246" s="456"/>
      <x:c r="J246" s="456"/>
      <x:c r="K246" s="455"/>
      <x:c r="L246" s="454"/>
      <x:c r="M246" s="439"/>
      <x:c r="N246" s="114" t="str">
        <x:f>IF(COUNTA($A246:$M246)=0,"",IF(OR(LOWER($F246&amp;"")="subscription",LOWER($F246&amp;"")="membership"),"",IF($G246="","",IF(ISNUMBER(SEARCH("non",LOWER($E246&amp;""))),$G246*0.85,$G246))))</x:f>
      </x:c>
      <x:c r="O246" s="114" t="str">
        <x:f>IF(COUNTA($A246:$M246)=0,"",IF(OR(LOWER($F246&amp;"")="subscription",LOWER($F246&amp;"")="membership"),"",IF(OR($N246="",$I246="",$I246=0),"",IFERROR($N246/$I246,""))))</x:f>
      </x:c>
      <x:c r="P246" s="114" t="str">
        <x:f>IF(COUNTA($A246:$M246)=0,"",IF(OR(LOWER($F246&amp;"")="subscription",LOWER($F246&amp;"")="membership"),"",IF(LOWER($L246&amp;"")="yes",0,IF($K246&lt;&gt;"",$K246,IF($O246&lt;&gt;"",$O246,"")))))</x:f>
      </x:c>
      <x:c r="Q246" s="114" t="str">
        <x:f>IF(COUNTA($A246:$M246)=0,"",IF(OR($U246="Subscription",$U246=""),"",IF($U246="Profit",ROUND(IFERROR($P246,0)-IFERROR($H246,0),2),0)))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IF(COUNTA($A246:$M246)=0,"",IF(OR(LOWER($F246&amp;"")="subscription",LOWER($F246&amp;"")="membership"),"Subscription",IF(OR(AND($H246&lt;&gt;"",$H246=0),LOWER($F246&amp;"")="free game",LOWER($F246&amp;"")="free",LOWER($F246&amp;"")="free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IF(COUNTA($A246:$M246)=0,"",IF(OR($U246="Subscription",$U246=""),"",IF(OR($U246="Free Game",$U246="Disqualified — Free Game"),0,ROUND(IFERROR($Q246,0)-IFERROR($S246,0),2))))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455"/>
      <x:c r="H247" s="455"/>
      <x:c r="I247" s="456"/>
      <x:c r="J247" s="456"/>
      <x:c r="K247" s="455"/>
      <x:c r="L247" s="454"/>
      <x:c r="M247" s="439"/>
      <x:c r="N247" s="114" t="str">
        <x:f>IF(COUNTA($A247:$M247)=0,"",IF(OR(LOWER($F247&amp;"")="subscription",LOWER($F247&amp;"")="membership"),"",IF($G247="","",IF(ISNUMBER(SEARCH("non",LOWER($E247&amp;""))),$G247*0.85,$G247))))</x:f>
      </x:c>
      <x:c r="O247" s="114" t="str">
        <x:f>IF(COUNTA($A247:$M247)=0,"",IF(OR(LOWER($F247&amp;"")="subscription",LOWER($F247&amp;"")="membership"),"",IF(OR($N247="",$I247="",$I247=0),"",IFERROR($N247/$I247,""))))</x:f>
      </x:c>
      <x:c r="P247" s="114" t="str">
        <x:f>IF(COUNTA($A247:$M247)=0,"",IF(OR(LOWER($F247&amp;"")="subscription",LOWER($F247&amp;"")="membership"),"",IF(LOWER($L247&amp;"")="yes",0,IF($K247&lt;&gt;"",$K247,IF($O247&lt;&gt;"",$O247,"")))))</x:f>
      </x:c>
      <x:c r="Q247" s="114" t="str">
        <x:f>IF(COUNTA($A247:$M247)=0,"",IF(OR($U247="Subscription",$U247=""),"",IF($U247="Profit",ROUND(IFERROR($P247,0)-IFERROR($H247,0),2),0)))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IF(COUNTA($A247:$M247)=0,"",IF(OR(LOWER($F247&amp;"")="subscription",LOWER($F247&amp;"")="membership"),"Subscription",IF(OR(AND($H247&lt;&gt;"",$H247=0),LOWER($F247&amp;"")="free game",LOWER($F247&amp;"")="free",LOWER($F247&amp;"")="free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IF(COUNTA($A247:$M247)=0,"",IF(OR($U247="Subscription",$U247=""),"",IF(OR($U247="Free Game",$U247="Disqualified — Free Game"),0,ROUND(IFERROR($Q247,0)-IFERROR($S247,0),2))))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455"/>
      <x:c r="H248" s="455"/>
      <x:c r="I248" s="456"/>
      <x:c r="J248" s="456"/>
      <x:c r="K248" s="455"/>
      <x:c r="L248" s="454"/>
      <x:c r="M248" s="439"/>
      <x:c r="N248" s="114" t="str">
        <x:f>IF(COUNTA($A248:$M248)=0,"",IF(OR(LOWER($F248&amp;"")="subscription",LOWER($F248&amp;"")="membership"),"",IF($G248="","",IF(ISNUMBER(SEARCH("non",LOWER($E248&amp;""))),$G248*0.85,$G248))))</x:f>
      </x:c>
      <x:c r="O248" s="114" t="str">
        <x:f>IF(COUNTA($A248:$M248)=0,"",IF(OR(LOWER($F248&amp;"")="subscription",LOWER($F248&amp;"")="membership"),"",IF(OR($N248="",$I248="",$I248=0),"",IFERROR($N248/$I248,""))))</x:f>
      </x:c>
      <x:c r="P248" s="114" t="str">
        <x:f>IF(COUNTA($A248:$M248)=0,"",IF(OR(LOWER($F248&amp;"")="subscription",LOWER($F248&amp;"")="membership"),"",IF(LOWER($L248&amp;"")="yes",0,IF($K248&lt;&gt;"",$K248,IF($O248&lt;&gt;"",$O248,"")))))</x:f>
      </x:c>
      <x:c r="Q248" s="114" t="str">
        <x:f>IF(COUNTA($A248:$M248)=0,"",IF(OR($U248="Subscription",$U248=""),"",IF($U248="Profit",ROUND(IFERROR($P248,0)-IFERROR($H248,0),2),0)))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IF(COUNTA($A248:$M248)=0,"",IF(OR(LOWER($F248&amp;"")="subscription",LOWER($F248&amp;"")="membership"),"Subscription",IF(OR(AND($H248&lt;&gt;"",$H248=0),LOWER($F248&amp;"")="free game",LOWER($F248&amp;"")="free",LOWER($F248&amp;"")="free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IF(COUNTA($A248:$M248)=0,"",IF(OR($U248="Subscription",$U248=""),"",IF(OR($U248="Free Game",$U248="Disqualified — Free Game"),0,ROUND(IFERROR($Q248,0)-IFERROR($S248,0),2))))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455"/>
      <x:c r="H249" s="455"/>
      <x:c r="I249" s="456"/>
      <x:c r="J249" s="456"/>
      <x:c r="K249" s="455"/>
      <x:c r="L249" s="454"/>
      <x:c r="M249" s="439"/>
      <x:c r="N249" s="114" t="str">
        <x:f>IF(COUNTA($A249:$M249)=0,"",IF(OR(LOWER($F249&amp;"")="subscription",LOWER($F249&amp;"")="membership"),"",IF($G249="","",IF(ISNUMBER(SEARCH("non",LOWER($E249&amp;""))),$G249*0.85,$G249))))</x:f>
      </x:c>
      <x:c r="O249" s="114" t="str">
        <x:f>IF(COUNTA($A249:$M249)=0,"",IF(OR(LOWER($F249&amp;"")="subscription",LOWER($F249&amp;"")="membership"),"",IF(OR($N249="",$I249="",$I249=0),"",IFERROR($N249/$I249,""))))</x:f>
      </x:c>
      <x:c r="P249" s="114" t="str">
        <x:f>IF(COUNTA($A249:$M249)=0,"",IF(OR(LOWER($F249&amp;"")="subscription",LOWER($F249&amp;"")="membership"),"",IF(LOWER($L249&amp;"")="yes",0,IF($K249&lt;&gt;"",$K249,IF($O249&lt;&gt;"",$O249,"")))))</x:f>
      </x:c>
      <x:c r="Q249" s="114" t="str">
        <x:f>IF(COUNTA($A249:$M249)=0,"",IF(OR($U249="Subscription",$U249=""),"",IF($U249="Profit",ROUND(IFERROR($P249,0)-IFERROR($H249,0),2),0)))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IF(COUNTA($A249:$M249)=0,"",IF(OR(LOWER($F249&amp;"")="subscription",LOWER($F249&amp;"")="membership"),"Subscription",IF(OR(AND($H249&lt;&gt;"",$H249=0),LOWER($F249&amp;"")="free game",LOWER($F249&amp;"")="free",LOWER($F249&amp;"")="free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IF(COUNTA($A249:$M249)=0,"",IF(OR($U249="Subscription",$U249=""),"",IF(OR($U249="Free Game",$U249="Disqualified — Free Game"),0,ROUND(IFERROR($Q249,0)-IFERROR($S249,0),2))))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455"/>
      <x:c r="H250" s="455"/>
      <x:c r="I250" s="456"/>
      <x:c r="J250" s="456"/>
      <x:c r="K250" s="455"/>
      <x:c r="L250" s="454"/>
      <x:c r="M250" s="439"/>
      <x:c r="N250" s="114" t="str">
        <x:f>IF(COUNTA($A250:$M250)=0,"",IF(OR(LOWER($F250&amp;"")="subscription",LOWER($F250&amp;"")="membership"),"",IF($G250="","",IF(ISNUMBER(SEARCH("non",LOWER($E250&amp;""))),$G250*0.85,$G250))))</x:f>
      </x:c>
      <x:c r="O250" s="114" t="str">
        <x:f>IF(COUNTA($A250:$M250)=0,"",IF(OR(LOWER($F250&amp;"")="subscription",LOWER($F250&amp;"")="membership"),"",IF(OR($N250="",$I250="",$I250=0),"",IFERROR($N250/$I250,""))))</x:f>
      </x:c>
      <x:c r="P250" s="114" t="str">
        <x:f>IF(COUNTA($A250:$M250)=0,"",IF(OR(LOWER($F250&amp;"")="subscription",LOWER($F250&amp;"")="membership"),"",IF(LOWER($L250&amp;"")="yes",0,IF($K250&lt;&gt;"",$K250,IF($O250&lt;&gt;"",$O250,"")))))</x:f>
      </x:c>
      <x:c r="Q250" s="114" t="str">
        <x:f>IF(COUNTA($A250:$M250)=0,"",IF(OR($U250="Subscription",$U250=""),"",IF($U250="Profit",ROUND(IFERROR($P250,0)-IFERROR($H250,0),2),0)))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IF(COUNTA($A250:$M250)=0,"",IF(OR(LOWER($F250&amp;"")="subscription",LOWER($F250&amp;"")="membership"),"Subscription",IF(OR(AND($H250&lt;&gt;"",$H250=0),LOWER($F250&amp;"")="free game",LOWER($F250&amp;"")="free",LOWER($F250&amp;"")="free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IF(COUNTA($A250:$M250)=0,"",IF(OR($U250="Subscription",$U250=""),"",IF(OR($U250="Free Game",$U250="Disqualified — Free Game"),0,ROUND(IFERROR($Q250,0)-IFERROR($S250,0),2))))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455"/>
      <x:c r="H251" s="455"/>
      <x:c r="I251" s="456"/>
      <x:c r="J251" s="456"/>
      <x:c r="K251" s="455"/>
      <x:c r="L251" s="454"/>
      <x:c r="M251" s="439"/>
      <x:c r="N251" s="114" t="str">
        <x:f>IF(COUNTA($A251:$M251)=0,"",IF(OR(LOWER($F251&amp;"")="subscription",LOWER($F251&amp;"")="membership"),"",IF($G251="","",IF(ISNUMBER(SEARCH("non",LOWER($E251&amp;""))),$G251*0.85,$G251))))</x:f>
      </x:c>
      <x:c r="O251" s="114" t="str">
        <x:f>IF(COUNTA($A251:$M251)=0,"",IF(OR(LOWER($F251&amp;"")="subscription",LOWER($F251&amp;"")="membership"),"",IF(OR($N251="",$I251="",$I251=0),"",IFERROR($N251/$I251,""))))</x:f>
      </x:c>
      <x:c r="P251" s="114" t="str">
        <x:f>IF(COUNTA($A251:$M251)=0,"",IF(OR(LOWER($F251&amp;"")="subscription",LOWER($F251&amp;"")="membership"),"",IF(LOWER($L251&amp;"")="yes",0,IF($K251&lt;&gt;"",$K251,IF($O251&lt;&gt;"",$O251,"")))))</x:f>
      </x:c>
      <x:c r="Q251" s="114" t="str">
        <x:f>IF(COUNTA($A251:$M251)=0,"",IF(OR($U251="Subscription",$U251=""),"",IF($U251="Profit",ROUND(IFERROR($P251,0)-IFERROR($H251,0),2),0)))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IF(COUNTA($A251:$M251)=0,"",IF(OR(LOWER($F251&amp;"")="subscription",LOWER($F251&amp;"")="membership"),"Subscription",IF(OR(AND($H251&lt;&gt;"",$H251=0),LOWER($F251&amp;"")="free game",LOWER($F251&amp;"")="free",LOWER($F251&amp;"")="free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IF(COUNTA($A251:$M251)=0,"",IF(OR($U251="Subscription",$U251=""),"",IF(OR($U251="Free Game",$U251="Disqualified — Free Game"),0,ROUND(IFERROR($Q251,0)-IFERROR($S251,0),2))))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455"/>
      <x:c r="H252" s="455"/>
      <x:c r="I252" s="456"/>
      <x:c r="J252" s="456"/>
      <x:c r="K252" s="455"/>
      <x:c r="L252" s="454"/>
      <x:c r="M252" s="439"/>
      <x:c r="N252" s="114" t="str">
        <x:f>IF(COUNTA($A252:$M252)=0,"",IF(OR(LOWER($F252&amp;"")="subscription",LOWER($F252&amp;"")="membership"),"",IF($G252="","",IF(ISNUMBER(SEARCH("non",LOWER($E252&amp;""))),$G252*0.85,$G252))))</x:f>
      </x:c>
      <x:c r="O252" s="114" t="str">
        <x:f>IF(COUNTA($A252:$M252)=0,"",IF(OR(LOWER($F252&amp;"")="subscription",LOWER($F252&amp;"")="membership"),"",IF(OR($N252="",$I252="",$I252=0),"",IFERROR($N252/$I252,""))))</x:f>
      </x:c>
      <x:c r="P252" s="114" t="str">
        <x:f>IF(COUNTA($A252:$M252)=0,"",IF(OR(LOWER($F252&amp;"")="subscription",LOWER($F252&amp;"")="membership"),"",IF(LOWER($L252&amp;"")="yes",0,IF($K252&lt;&gt;"",$K252,IF($O252&lt;&gt;"",$O252,"")))))</x:f>
      </x:c>
      <x:c r="Q252" s="114" t="str">
        <x:f>IF(COUNTA($A252:$M252)=0,"",IF(OR($U252="Subscription",$U252=""),"",IF($U252="Profit",ROUND(IFERROR($P252,0)-IFERROR($H252,0),2),0)))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IF(COUNTA($A252:$M252)=0,"",IF(OR(LOWER($F252&amp;"")="subscription",LOWER($F252&amp;"")="membership"),"Subscription",IF(OR(AND($H252&lt;&gt;"",$H252=0),LOWER($F252&amp;"")="free game",LOWER($F252&amp;"")="free",LOWER($F252&amp;"")="free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IF(COUNTA($A252:$M252)=0,"",IF(OR($U252="Subscription",$U252=""),"",IF(OR($U252="Free Game",$U252="Disqualified — Free Game"),0,ROUND(IFERROR($Q252,0)-IFERROR($S252,0),2))))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455"/>
      <x:c r="H253" s="455"/>
      <x:c r="I253" s="456"/>
      <x:c r="J253" s="456"/>
      <x:c r="K253" s="455"/>
      <x:c r="L253" s="454"/>
      <x:c r="M253" s="439"/>
      <x:c r="N253" s="114" t="str">
        <x:f>IF(COUNTA($A253:$M253)=0,"",IF(OR(LOWER($F253&amp;"")="subscription",LOWER($F253&amp;"")="membership"),"",IF($G253="","",IF(ISNUMBER(SEARCH("non",LOWER($E253&amp;""))),$G253*0.85,$G253))))</x:f>
      </x:c>
      <x:c r="O253" s="114" t="str">
        <x:f>IF(COUNTA($A253:$M253)=0,"",IF(OR(LOWER($F253&amp;"")="subscription",LOWER($F253&amp;"")="membership"),"",IF(OR($N253="",$I253="",$I253=0),"",IFERROR($N253/$I253,""))))</x:f>
      </x:c>
      <x:c r="P253" s="114" t="str">
        <x:f>IF(COUNTA($A253:$M253)=0,"",IF(OR(LOWER($F253&amp;"")="subscription",LOWER($F253&amp;"")="membership"),"",IF(LOWER($L253&amp;"")="yes",0,IF($K253&lt;&gt;"",$K253,IF($O253&lt;&gt;"",$O253,"")))))</x:f>
      </x:c>
      <x:c r="Q253" s="114" t="str">
        <x:f>IF(COUNTA($A253:$M253)=0,"",IF(OR($U253="Subscription",$U253=""),"",IF($U253="Profit",ROUND(IFERROR($P253,0)-IFERROR($H253,0),2),0)))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IF(COUNTA($A253:$M253)=0,"",IF(OR(LOWER($F253&amp;"")="subscription",LOWER($F253&amp;"")="membership"),"Subscription",IF(OR(AND($H253&lt;&gt;"",$H253=0),LOWER($F253&amp;"")="free game",LOWER($F253&amp;"")="free",LOWER($F253&amp;"")="free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IF(COUNTA($A253:$M253)=0,"",IF(OR($U253="Subscription",$U253=""),"",IF(OR($U253="Free Game",$U253="Disqualified — Free Game"),0,ROUND(IFERROR($Q253,0)-IFERROR($S253,0),2))))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455"/>
      <x:c r="H254" s="455"/>
      <x:c r="I254" s="456"/>
      <x:c r="J254" s="456"/>
      <x:c r="K254" s="455"/>
      <x:c r="L254" s="454"/>
      <x:c r="M254" s="439"/>
      <x:c r="N254" s="114" t="str">
        <x:f>IF(COUNTA($A254:$M254)=0,"",IF(OR(LOWER($F254&amp;"")="subscription",LOWER($F254&amp;"")="membership"),"",IF($G254="","",IF(ISNUMBER(SEARCH("non",LOWER($E254&amp;""))),$G254*0.85,$G254))))</x:f>
      </x:c>
      <x:c r="O254" s="114" t="str">
        <x:f>IF(COUNTA($A254:$M254)=0,"",IF(OR(LOWER($F254&amp;"")="subscription",LOWER($F254&amp;"")="membership"),"",IF(OR($N254="",$I254="",$I254=0),"",IFERROR($N254/$I254,""))))</x:f>
      </x:c>
      <x:c r="P254" s="114" t="str">
        <x:f>IF(COUNTA($A254:$M254)=0,"",IF(OR(LOWER($F254&amp;"")="subscription",LOWER($F254&amp;"")="membership"),"",IF(LOWER($L254&amp;"")="yes",0,IF($K254&lt;&gt;"",$K254,IF($O254&lt;&gt;"",$O254,"")))))</x:f>
      </x:c>
      <x:c r="Q254" s="114" t="str">
        <x:f>IF(COUNTA($A254:$M254)=0,"",IF(OR($U254="Subscription",$U254=""),"",IF($U254="Profit",ROUND(IFERROR($P254,0)-IFERROR($H254,0),2),0)))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IF(COUNTA($A254:$M254)=0,"",IF(OR(LOWER($F254&amp;"")="subscription",LOWER($F254&amp;"")="membership"),"Subscription",IF(OR(AND($H254&lt;&gt;"",$H254=0),LOWER($F254&amp;"")="free game",LOWER($F254&amp;"")="free",LOWER($F254&amp;"")="free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IF(COUNTA($A254:$M254)=0,"",IF(OR($U254="Subscription",$U254=""),"",IF(OR($U254="Free Game",$U254="Disqualified — Free Game"),0,ROUND(IFERROR($Q254,0)-IFERROR($S254,0),2))))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455"/>
      <x:c r="H255" s="455"/>
      <x:c r="I255" s="456"/>
      <x:c r="J255" s="456"/>
      <x:c r="K255" s="455"/>
      <x:c r="L255" s="454"/>
      <x:c r="M255" s="439"/>
      <x:c r="N255" s="114" t="str">
        <x:f>IF(COUNTA($A255:$M255)=0,"",IF(OR(LOWER($F255&amp;"")="subscription",LOWER($F255&amp;"")="membership"),"",IF($G255="","",IF(ISNUMBER(SEARCH("non",LOWER($E255&amp;""))),$G255*0.85,$G255))))</x:f>
      </x:c>
      <x:c r="O255" s="114" t="str">
        <x:f>IF(COUNTA($A255:$M255)=0,"",IF(OR(LOWER($F255&amp;"")="subscription",LOWER($F255&amp;"")="membership"),"",IF(OR($N255="",$I255="",$I255=0),"",IFERROR($N255/$I255,""))))</x:f>
      </x:c>
      <x:c r="P255" s="114" t="str">
        <x:f>IF(COUNTA($A255:$M255)=0,"",IF(OR(LOWER($F255&amp;"")="subscription",LOWER($F255&amp;"")="membership"),"",IF(LOWER($L255&amp;"")="yes",0,IF($K255&lt;&gt;"",$K255,IF($O255&lt;&gt;"",$O255,"")))))</x:f>
      </x:c>
      <x:c r="Q255" s="114" t="str">
        <x:f>IF(COUNTA($A255:$M255)=0,"",IF(OR($U255="Subscription",$U255=""),"",IF($U255="Profit",ROUND(IFERROR($P255,0)-IFERROR($H255,0),2),0)))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IF(COUNTA($A255:$M255)=0,"",IF(OR(LOWER($F255&amp;"")="subscription",LOWER($F255&amp;"")="membership"),"Subscription",IF(OR(AND($H255&lt;&gt;"",$H255=0),LOWER($F255&amp;"")="free game",LOWER($F255&amp;"")="free",LOWER($F255&amp;"")="free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IF(COUNTA($A255:$M255)=0,"",IF(OR($U255="Subscription",$U255=""),"",IF(OR($U255="Free Game",$U255="Disqualified — Free Game"),0,ROUND(IFERROR($Q255,0)-IFERROR($S255,0),2))))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455"/>
      <x:c r="H256" s="455"/>
      <x:c r="I256" s="456"/>
      <x:c r="J256" s="456"/>
      <x:c r="K256" s="455"/>
      <x:c r="L256" s="454"/>
      <x:c r="M256" s="439"/>
      <x:c r="N256" s="114" t="str">
        <x:f>IF(COUNTA($A256:$M256)=0,"",IF(OR(LOWER($F256&amp;"")="subscription",LOWER($F256&amp;"")="membership"),"",IF($G256="","",IF(ISNUMBER(SEARCH("non",LOWER($E256&amp;""))),$G256*0.85,$G256))))</x:f>
      </x:c>
      <x:c r="O256" s="114" t="str">
        <x:f>IF(COUNTA($A256:$M256)=0,"",IF(OR(LOWER($F256&amp;"")="subscription",LOWER($F256&amp;"")="membership"),"",IF(OR($N256="",$I256="",$I256=0),"",IFERROR($N256/$I256,""))))</x:f>
      </x:c>
      <x:c r="P256" s="114" t="str">
        <x:f>IF(COUNTA($A256:$M256)=0,"",IF(OR(LOWER($F256&amp;"")="subscription",LOWER($F256&amp;"")="membership"),"",IF(LOWER($L256&amp;"")="yes",0,IF($K256&lt;&gt;"",$K256,IF($O256&lt;&gt;"",$O256,"")))))</x:f>
      </x:c>
      <x:c r="Q256" s="114" t="str">
        <x:f>IF(COUNTA($A256:$M256)=0,"",IF(OR($U256="Subscription",$U256=""),"",IF($U256="Profit",ROUND(IFERROR($P256,0)-IFERROR($H256,0),2),0)))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IF(COUNTA($A256:$M256)=0,"",IF(OR(LOWER($F256&amp;"")="subscription",LOWER($F256&amp;"")="membership"),"Subscription",IF(OR(AND($H256&lt;&gt;"",$H256=0),LOWER($F256&amp;"")="free game",LOWER($F256&amp;"")="free",LOWER($F256&amp;"")="free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IF(COUNTA($A256:$M256)=0,"",IF(OR($U256="Subscription",$U256=""),"",IF(OR($U256="Free Game",$U256="Disqualified — Free Game"),0,ROUND(IFERROR($Q256,0)-IFERROR($S256,0),2))))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455"/>
      <x:c r="H257" s="455"/>
      <x:c r="I257" s="456"/>
      <x:c r="J257" s="456"/>
      <x:c r="K257" s="455"/>
      <x:c r="L257" s="454"/>
      <x:c r="M257" s="439"/>
      <x:c r="N257" s="114" t="str">
        <x:f>IF(COUNTA($A257:$M257)=0,"",IF(OR(LOWER($F257&amp;"")="subscription",LOWER($F257&amp;"")="membership"),"",IF($G257="","",IF(ISNUMBER(SEARCH("non",LOWER($E257&amp;""))),$G257*0.85,$G257))))</x:f>
      </x:c>
      <x:c r="O257" s="114" t="str">
        <x:f>IF(COUNTA($A257:$M257)=0,"",IF(OR(LOWER($F257&amp;"")="subscription",LOWER($F257&amp;"")="membership"),"",IF(OR($N257="",$I257="",$I257=0),"",IFERROR($N257/$I257,""))))</x:f>
      </x:c>
      <x:c r="P257" s="114" t="str">
        <x:f>IF(COUNTA($A257:$M257)=0,"",IF(OR(LOWER($F257&amp;"")="subscription",LOWER($F257&amp;"")="membership"),"",IF(LOWER($L257&amp;"")="yes",0,IF($K257&lt;&gt;"",$K257,IF($O257&lt;&gt;"",$O257,"")))))</x:f>
      </x:c>
      <x:c r="Q257" s="114" t="str">
        <x:f>IF(COUNTA($A257:$M257)=0,"",IF(OR($U257="Subscription",$U257=""),"",IF($U257="Profit",ROUND(IFERROR($P257,0)-IFERROR($H257,0),2),0)))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IF(COUNTA($A257:$M257)=0,"",IF(OR(LOWER($F257&amp;"")="subscription",LOWER($F257&amp;"")="membership"),"Subscription",IF(OR(AND($H257&lt;&gt;"",$H257=0),LOWER($F257&amp;"")="free game",LOWER($F257&amp;"")="free",LOWER($F257&amp;"")="free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IF(COUNTA($A257:$M257)=0,"",IF(OR($U257="Subscription",$U257=""),"",IF(OR($U257="Free Game",$U257="Disqualified — Free Game"),0,ROUND(IFERROR($Q257,0)-IFERROR($S257,0),2))))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455"/>
      <x:c r="H258" s="455"/>
      <x:c r="I258" s="456"/>
      <x:c r="J258" s="456"/>
      <x:c r="K258" s="455"/>
      <x:c r="L258" s="454"/>
      <x:c r="M258" s="439"/>
      <x:c r="N258" s="114" t="str">
        <x:f>IF(COUNTA($A258:$M258)=0,"",IF(OR(LOWER($F258&amp;"")="subscription",LOWER($F258&amp;"")="membership"),"",IF($G258="","",IF(ISNUMBER(SEARCH("non",LOWER($E258&amp;""))),$G258*0.85,$G258))))</x:f>
      </x:c>
      <x:c r="O258" s="114" t="str">
        <x:f>IF(COUNTA($A258:$M258)=0,"",IF(OR(LOWER($F258&amp;"")="subscription",LOWER($F258&amp;"")="membership"),"",IF(OR($N258="",$I258="",$I258=0),"",IFERROR($N258/$I258,""))))</x:f>
      </x:c>
      <x:c r="P258" s="114" t="str">
        <x:f>IF(COUNTA($A258:$M258)=0,"",IF(OR(LOWER($F258&amp;"")="subscription",LOWER($F258&amp;"")="membership"),"",IF(LOWER($L258&amp;"")="yes",0,IF($K258&lt;&gt;"",$K258,IF($O258&lt;&gt;"",$O258,"")))))</x:f>
      </x:c>
      <x:c r="Q258" s="114" t="str">
        <x:f>IF(COUNTA($A258:$M258)=0,"",IF(OR($U258="Subscription",$U258=""),"",IF($U258="Profit",ROUND(IFERROR($P258,0)-IFERROR($H258,0),2),0)))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IF(COUNTA($A258:$M258)=0,"",IF(OR(LOWER($F258&amp;"")="subscription",LOWER($F258&amp;"")="membership"),"Subscription",IF(OR(AND($H258&lt;&gt;"",$H258=0),LOWER($F258&amp;"")="free game",LOWER($F258&amp;"")="free",LOWER($F258&amp;"")="free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IF(COUNTA($A258:$M258)=0,"",IF(OR($U258="Subscription",$U258=""),"",IF(OR($U258="Free Game",$U258="Disqualified — Free Game"),0,ROUND(IFERROR($Q258,0)-IFERROR($S258,0),2))))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455"/>
      <x:c r="H259" s="455"/>
      <x:c r="I259" s="456"/>
      <x:c r="J259" s="456"/>
      <x:c r="K259" s="455"/>
      <x:c r="L259" s="454"/>
      <x:c r="M259" s="439"/>
      <x:c r="N259" s="114" t="str">
        <x:f>IF(COUNTA($A259:$M259)=0,"",IF(OR(LOWER($F259&amp;"")="subscription",LOWER($F259&amp;"")="membership"),"",IF($G259="","",IF(ISNUMBER(SEARCH("non",LOWER($E259&amp;""))),$G259*0.85,$G259))))</x:f>
      </x:c>
      <x:c r="O259" s="114" t="str">
        <x:f>IF(COUNTA($A259:$M259)=0,"",IF(OR(LOWER($F259&amp;"")="subscription",LOWER($F259&amp;"")="membership"),"",IF(OR($N259="",$I259="",$I259=0),"",IFERROR($N259/$I259,""))))</x:f>
      </x:c>
      <x:c r="P259" s="114" t="str">
        <x:f>IF(COUNTA($A259:$M259)=0,"",IF(OR(LOWER($F259&amp;"")="subscription",LOWER($F259&amp;"")="membership"),"",IF(LOWER($L259&amp;"")="yes",0,IF($K259&lt;&gt;"",$K259,IF($O259&lt;&gt;"",$O259,"")))))</x:f>
      </x:c>
      <x:c r="Q259" s="114" t="str">
        <x:f>IF(COUNTA($A259:$M259)=0,"",IF(OR($U259="Subscription",$U259=""),"",IF($U259="Profit",ROUND(IFERROR($P259,0)-IFERROR($H259,0),2),0)))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IF(COUNTA($A259:$M259)=0,"",IF(OR(LOWER($F259&amp;"")="subscription",LOWER($F259&amp;"")="membership"),"Subscription",IF(OR(AND($H259&lt;&gt;"",$H259=0),LOWER($F259&amp;"")="free game",LOWER($F259&amp;"")="free",LOWER($F259&amp;"")="free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IF(COUNTA($A259:$M259)=0,"",IF(OR($U259="Subscription",$U259=""),"",IF(OR($U259="Free Game",$U259="Disqualified — Free Game"),0,ROUND(IFERROR($Q259,0)-IFERROR($S259,0),2))))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455"/>
      <x:c r="H260" s="455"/>
      <x:c r="I260" s="456"/>
      <x:c r="J260" s="456"/>
      <x:c r="K260" s="455"/>
      <x:c r="L260" s="454"/>
      <x:c r="M260" s="439"/>
      <x:c r="N260" s="114" t="str">
        <x:f>IF(COUNTA($A260:$M260)=0,"",IF(OR(LOWER($F260&amp;"")="subscription",LOWER($F260&amp;"")="membership"),"",IF($G260="","",IF(ISNUMBER(SEARCH("non",LOWER($E260&amp;""))),$G260*0.85,$G260))))</x:f>
      </x:c>
      <x:c r="O260" s="114" t="str">
        <x:f>IF(COUNTA($A260:$M260)=0,"",IF(OR(LOWER($F260&amp;"")="subscription",LOWER($F260&amp;"")="membership"),"",IF(OR($N260="",$I260="",$I260=0),"",IFERROR($N260/$I260,""))))</x:f>
      </x:c>
      <x:c r="P260" s="114" t="str">
        <x:f>IF(COUNTA($A260:$M260)=0,"",IF(OR(LOWER($F260&amp;"")="subscription",LOWER($F260&amp;"")="membership"),"",IF(LOWER($L260&amp;"")="yes",0,IF($K260&lt;&gt;"",$K260,IF($O260&lt;&gt;"",$O260,"")))))</x:f>
      </x:c>
      <x:c r="Q260" s="114" t="str">
        <x:f>IF(COUNTA($A260:$M260)=0,"",IF(OR($U260="Subscription",$U260=""),"",IF($U260="Profit",ROUND(IFERROR($P260,0)-IFERROR($H260,0),2),0)))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IF(COUNTA($A260:$M260)=0,"",IF(OR(LOWER($F260&amp;"")="subscription",LOWER($F260&amp;"")="membership"),"Subscription",IF(OR(AND($H260&lt;&gt;"",$H260=0),LOWER($F260&amp;"")="free game",LOWER($F260&amp;"")="free",LOWER($F260&amp;"")="free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IF(COUNTA($A260:$M260)=0,"",IF(OR($U260="Subscription",$U260=""),"",IF(OR($U260="Free Game",$U260="Disqualified — Free Game"),0,ROUND(IFERROR($Q260,0)-IFERROR($S260,0),2))))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455"/>
      <x:c r="H261" s="455"/>
      <x:c r="I261" s="456"/>
      <x:c r="J261" s="456"/>
      <x:c r="K261" s="455"/>
      <x:c r="L261" s="454"/>
      <x:c r="M261" s="439"/>
      <x:c r="N261" s="114" t="str">
        <x:f>IF(COUNTA($A261:$M261)=0,"",IF(OR(LOWER($F261&amp;"")="subscription",LOWER($F261&amp;"")="membership"),"",IF($G261="","",IF(ISNUMBER(SEARCH("non",LOWER($E261&amp;""))),$G261*0.85,$G261))))</x:f>
      </x:c>
      <x:c r="O261" s="114" t="str">
        <x:f>IF(COUNTA($A261:$M261)=0,"",IF(OR(LOWER($F261&amp;"")="subscription",LOWER($F261&amp;"")="membership"),"",IF(OR($N261="",$I261="",$I261=0),"",IFERROR($N261/$I261,""))))</x:f>
      </x:c>
      <x:c r="P261" s="114" t="str">
        <x:f>IF(COUNTA($A261:$M261)=0,"",IF(OR(LOWER($F261&amp;"")="subscription",LOWER($F261&amp;"")="membership"),"",IF(LOWER($L261&amp;"")="yes",0,IF($K261&lt;&gt;"",$K261,IF($O261&lt;&gt;"",$O261,"")))))</x:f>
      </x:c>
      <x:c r="Q261" s="114" t="str">
        <x:f>IF(COUNTA($A261:$M261)=0,"",IF(OR($U261="Subscription",$U261=""),"",IF($U261="Profit",ROUND(IFERROR($P261,0)-IFERROR($H261,0),2),0)))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IF(COUNTA($A261:$M261)=0,"",IF(OR(LOWER($F261&amp;"")="subscription",LOWER($F261&amp;"")="membership"),"Subscription",IF(OR(AND($H261&lt;&gt;"",$H261=0),LOWER($F261&amp;"")="free game",LOWER($F261&amp;"")="free",LOWER($F261&amp;"")="free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IF(COUNTA($A261:$M261)=0,"",IF(OR($U261="Subscription",$U261=""),"",IF(OR($U261="Free Game",$U261="Disqualified — Free Game"),0,ROUND(IFERROR($Q261,0)-IFERROR($S261,0),2))))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455"/>
      <x:c r="H262" s="455"/>
      <x:c r="I262" s="456"/>
      <x:c r="J262" s="456"/>
      <x:c r="K262" s="455"/>
      <x:c r="L262" s="454"/>
      <x:c r="M262" s="439"/>
      <x:c r="N262" s="114" t="str">
        <x:f>IF(COUNTA($A262:$M262)=0,"",IF(OR(LOWER($F262&amp;"")="subscription",LOWER($F262&amp;"")="membership"),"",IF($G262="","",IF(ISNUMBER(SEARCH("non",LOWER($E262&amp;""))),$G262*0.85,$G262))))</x:f>
      </x:c>
      <x:c r="O262" s="114" t="str">
        <x:f>IF(COUNTA($A262:$M262)=0,"",IF(OR(LOWER($F262&amp;"")="subscription",LOWER($F262&amp;"")="membership"),"",IF(OR($N262="",$I262="",$I262=0),"",IFERROR($N262/$I262,""))))</x:f>
      </x:c>
      <x:c r="P262" s="114" t="str">
        <x:f>IF(COUNTA($A262:$M262)=0,"",IF(OR(LOWER($F262&amp;"")="subscription",LOWER($F262&amp;"")="membership"),"",IF(LOWER($L262&amp;"")="yes",0,IF($K262&lt;&gt;"",$K262,IF($O262&lt;&gt;"",$O262,"")))))</x:f>
      </x:c>
      <x:c r="Q262" s="114" t="str">
        <x:f>IF(COUNTA($A262:$M262)=0,"",IF(OR($U262="Subscription",$U262=""),"",IF($U262="Profit",ROUND(IFERROR($P262,0)-IFERROR($H262,0),2),0)))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IF(COUNTA($A262:$M262)=0,"",IF(OR(LOWER($F262&amp;"")="subscription",LOWER($F262&amp;"")="membership"),"Subscription",IF(OR(AND($H262&lt;&gt;"",$H262=0),LOWER($F262&amp;"")="free game",LOWER($F262&amp;"")="free",LOWER($F262&amp;"")="free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IF(COUNTA($A262:$M262)=0,"",IF(OR($U262="Subscription",$U262=""),"",IF(OR($U262="Free Game",$U262="Disqualified — Free Game"),0,ROUND(IFERROR($Q262,0)-IFERROR($S262,0),2))))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455"/>
      <x:c r="H263" s="455"/>
      <x:c r="I263" s="456"/>
      <x:c r="J263" s="456"/>
      <x:c r="K263" s="455"/>
      <x:c r="L263" s="454"/>
      <x:c r="M263" s="439"/>
      <x:c r="N263" s="114" t="str">
        <x:f>IF(COUNTA($A263:$M263)=0,"",IF(OR(LOWER($F263&amp;"")="subscription",LOWER($F263&amp;"")="membership"),"",IF($G263="","",IF(ISNUMBER(SEARCH("non",LOWER($E263&amp;""))),$G263*0.85,$G263))))</x:f>
      </x:c>
      <x:c r="O263" s="114" t="str">
        <x:f>IF(COUNTA($A263:$M263)=0,"",IF(OR(LOWER($F263&amp;"")="subscription",LOWER($F263&amp;"")="membership"),"",IF(OR($N263="",$I263="",$I263=0),"",IFERROR($N263/$I263,""))))</x:f>
      </x:c>
      <x:c r="P263" s="114" t="str">
        <x:f>IF(COUNTA($A263:$M263)=0,"",IF(OR(LOWER($F263&amp;"")="subscription",LOWER($F263&amp;"")="membership"),"",IF(LOWER($L263&amp;"")="yes",0,IF($K263&lt;&gt;"",$K263,IF($O263&lt;&gt;"",$O263,"")))))</x:f>
      </x:c>
      <x:c r="Q263" s="114" t="str">
        <x:f>IF(COUNTA($A263:$M263)=0,"",IF(OR($U263="Subscription",$U263=""),"",IF($U263="Profit",ROUND(IFERROR($P263,0)-IFERROR($H263,0),2),0)))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IF(COUNTA($A263:$M263)=0,"",IF(OR(LOWER($F263&amp;"")="subscription",LOWER($F263&amp;"")="membership"),"Subscription",IF(OR(AND($H263&lt;&gt;"",$H263=0),LOWER($F263&amp;"")="free game",LOWER($F263&amp;"")="free",LOWER($F263&amp;"")="free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IF(COUNTA($A263:$M263)=0,"",IF(OR($U263="Subscription",$U263=""),"",IF(OR($U263="Free Game",$U263="Disqualified — Free Game"),0,ROUND(IFERROR($Q263,0)-IFERROR($S263,0),2))))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455"/>
      <x:c r="H264" s="455"/>
      <x:c r="I264" s="456"/>
      <x:c r="J264" s="456"/>
      <x:c r="K264" s="455"/>
      <x:c r="L264" s="454"/>
      <x:c r="M264" s="439"/>
      <x:c r="N264" s="114" t="str">
        <x:f>IF(COUNTA($A264:$M264)=0,"",IF(OR(LOWER($F264&amp;"")="subscription",LOWER($F264&amp;"")="membership"),"",IF($G264="","",IF(ISNUMBER(SEARCH("non",LOWER($E264&amp;""))),$G264*0.85,$G264))))</x:f>
      </x:c>
      <x:c r="O264" s="114" t="str">
        <x:f>IF(COUNTA($A264:$M264)=0,"",IF(OR(LOWER($F264&amp;"")="subscription",LOWER($F264&amp;"")="membership"),"",IF(OR($N264="",$I264="",$I264=0),"",IFERROR($N264/$I264,""))))</x:f>
      </x:c>
      <x:c r="P264" s="114" t="str">
        <x:f>IF(COUNTA($A264:$M264)=0,"",IF(OR(LOWER($F264&amp;"")="subscription",LOWER($F264&amp;"")="membership"),"",IF(LOWER($L264&amp;"")="yes",0,IF($K264&lt;&gt;"",$K264,IF($O264&lt;&gt;"",$O264,"")))))</x:f>
      </x:c>
      <x:c r="Q264" s="114" t="str">
        <x:f>IF(COUNTA($A264:$M264)=0,"",IF(OR($U264="Subscription",$U264=""),"",IF($U264="Profit",ROUND(IFERROR($P264,0)-IFERROR($H264,0),2),0)))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IF(COUNTA($A264:$M264)=0,"",IF(OR(LOWER($F264&amp;"")="subscription",LOWER($F264&amp;"")="membership"),"Subscription",IF(OR(AND($H264&lt;&gt;"",$H264=0),LOWER($F264&amp;"")="free game",LOWER($F264&amp;"")="free",LOWER($F264&amp;"")="free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IF(COUNTA($A264:$M264)=0,"",IF(OR($U264="Subscription",$U264=""),"",IF(OR($U264="Free Game",$U264="Disqualified — Free Game"),0,ROUND(IFERROR($Q264,0)-IFERROR($S264,0),2))))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455"/>
      <x:c r="H265" s="455"/>
      <x:c r="I265" s="456"/>
      <x:c r="J265" s="456"/>
      <x:c r="K265" s="455"/>
      <x:c r="L265" s="454"/>
      <x:c r="M265" s="439"/>
      <x:c r="N265" s="114" t="str">
        <x:f>IF(COUNTA($A265:$M265)=0,"",IF(OR(LOWER($F265&amp;"")="subscription",LOWER($F265&amp;"")="membership"),"",IF($G265="","",IF(ISNUMBER(SEARCH("non",LOWER($E265&amp;""))),$G265*0.85,$G265))))</x:f>
      </x:c>
      <x:c r="O265" s="114" t="str">
        <x:f>IF(COUNTA($A265:$M265)=0,"",IF(OR(LOWER($F265&amp;"")="subscription",LOWER($F265&amp;"")="membership"),"",IF(OR($N265="",$I265="",$I265=0),"",IFERROR($N265/$I265,""))))</x:f>
      </x:c>
      <x:c r="P265" s="114" t="str">
        <x:f>IF(COUNTA($A265:$M265)=0,"",IF(OR(LOWER($F265&amp;"")="subscription",LOWER($F265&amp;"")="membership"),"",IF(LOWER($L265&amp;"")="yes",0,IF($K265&lt;&gt;"",$K265,IF($O265&lt;&gt;"",$O265,"")))))</x:f>
      </x:c>
      <x:c r="Q265" s="114" t="str">
        <x:f>IF(COUNTA($A265:$M265)=0,"",IF(OR($U265="Subscription",$U265=""),"",IF($U265="Profit",ROUND(IFERROR($P265,0)-IFERROR($H265,0),2),0)))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IF(COUNTA($A265:$M265)=0,"",IF(OR(LOWER($F265&amp;"")="subscription",LOWER($F265&amp;"")="membership"),"Subscription",IF(OR(AND($H265&lt;&gt;"",$H265=0),LOWER($F265&amp;"")="free game",LOWER($F265&amp;"")="free",LOWER($F265&amp;"")="free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IF(COUNTA($A265:$M265)=0,"",IF(OR($U265="Subscription",$U265=""),"",IF(OR($U265="Free Game",$U265="Disqualified — Free Game"),0,ROUND(IFERROR($Q265,0)-IFERROR($S265,0),2))))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455"/>
      <x:c r="H266" s="455"/>
      <x:c r="I266" s="456"/>
      <x:c r="J266" s="456"/>
      <x:c r="K266" s="455"/>
      <x:c r="L266" s="454"/>
      <x:c r="M266" s="439"/>
      <x:c r="N266" s="114" t="str">
        <x:f>IF(COUNTA($A266:$M266)=0,"",IF(OR(LOWER($F266&amp;"")="subscription",LOWER($F266&amp;"")="membership"),"",IF($G266="","",IF(ISNUMBER(SEARCH("non",LOWER($E266&amp;""))),$G266*0.85,$G266))))</x:f>
      </x:c>
      <x:c r="O266" s="114" t="str">
        <x:f>IF(COUNTA($A266:$M266)=0,"",IF(OR(LOWER($F266&amp;"")="subscription",LOWER($F266&amp;"")="membership"),"",IF(OR($N266="",$I266="",$I266=0),"",IFERROR($N266/$I266,""))))</x:f>
      </x:c>
      <x:c r="P266" s="114" t="str">
        <x:f>IF(COUNTA($A266:$M266)=0,"",IF(OR(LOWER($F266&amp;"")="subscription",LOWER($F266&amp;"")="membership"),"",IF(LOWER($L266&amp;"")="yes",0,IF($K266&lt;&gt;"",$K266,IF($O266&lt;&gt;"",$O266,"")))))</x:f>
      </x:c>
      <x:c r="Q266" s="114" t="str">
        <x:f>IF(COUNTA($A266:$M266)=0,"",IF(OR($U266="Subscription",$U266=""),"",IF($U266="Profit",ROUND(IFERROR($P266,0)-IFERROR($H266,0),2),0)))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IF(COUNTA($A266:$M266)=0,"",IF(OR(LOWER($F266&amp;"")="subscription",LOWER($F266&amp;"")="membership"),"Subscription",IF(OR(AND($H266&lt;&gt;"",$H266=0),LOWER($F266&amp;"")="free game",LOWER($F266&amp;"")="free",LOWER($F266&amp;"")="free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IF(COUNTA($A266:$M266)=0,"",IF(OR($U266="Subscription",$U266=""),"",IF(OR($U266="Free Game",$U266="Disqualified — Free Game"),0,ROUND(IFERROR($Q266,0)-IFERROR($S266,0),2))))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455"/>
      <x:c r="H267" s="455"/>
      <x:c r="I267" s="456"/>
      <x:c r="J267" s="456"/>
      <x:c r="K267" s="455"/>
      <x:c r="L267" s="454"/>
      <x:c r="M267" s="439"/>
      <x:c r="N267" s="114" t="str">
        <x:f>IF(COUNTA($A267:$M267)=0,"",IF(OR(LOWER($F267&amp;"")="subscription",LOWER($F267&amp;"")="membership"),"",IF($G267="","",IF(ISNUMBER(SEARCH("non",LOWER($E267&amp;""))),$G267*0.85,$G267))))</x:f>
      </x:c>
      <x:c r="O267" s="114" t="str">
        <x:f>IF(COUNTA($A267:$M267)=0,"",IF(OR(LOWER($F267&amp;"")="subscription",LOWER($F267&amp;"")="membership"),"",IF(OR($N267="",$I267="",$I267=0),"",IFERROR($N267/$I267,""))))</x:f>
      </x:c>
      <x:c r="P267" s="114" t="str">
        <x:f>IF(COUNTA($A267:$M267)=0,"",IF(OR(LOWER($F267&amp;"")="subscription",LOWER($F267&amp;"")="membership"),"",IF(LOWER($L267&amp;"")="yes",0,IF($K267&lt;&gt;"",$K267,IF($O267&lt;&gt;"",$O267,"")))))</x:f>
      </x:c>
      <x:c r="Q267" s="114" t="str">
        <x:f>IF(COUNTA($A267:$M267)=0,"",IF(OR($U267="Subscription",$U267=""),"",IF($U267="Profit",ROUND(IFERROR($P267,0)-IFERROR($H267,0),2),0)))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IF(COUNTA($A267:$M267)=0,"",IF(OR(LOWER($F267&amp;"")="subscription",LOWER($F267&amp;"")="membership"),"Subscription",IF(OR(AND($H267&lt;&gt;"",$H267=0),LOWER($F267&amp;"")="free game",LOWER($F267&amp;"")="free",LOWER($F267&amp;"")="free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IF(COUNTA($A267:$M267)=0,"",IF(OR($U267="Subscription",$U267=""),"",IF(OR($U267="Free Game",$U267="Disqualified — Free Game"),0,ROUND(IFERROR($Q267,0)-IFERROR($S267,0),2))))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455"/>
      <x:c r="H268" s="455"/>
      <x:c r="I268" s="456"/>
      <x:c r="J268" s="456"/>
      <x:c r="K268" s="455"/>
      <x:c r="L268" s="454"/>
      <x:c r="M268" s="439"/>
      <x:c r="N268" s="114" t="str">
        <x:f>IF(COUNTA($A268:$M268)=0,"",IF(OR(LOWER($F268&amp;"")="subscription",LOWER($F268&amp;"")="membership"),"",IF($G268="","",IF(ISNUMBER(SEARCH("non",LOWER($E268&amp;""))),$G268*0.85,$G268))))</x:f>
      </x:c>
      <x:c r="O268" s="114" t="str">
        <x:f>IF(COUNTA($A268:$M268)=0,"",IF(OR(LOWER($F268&amp;"")="subscription",LOWER($F268&amp;"")="membership"),"",IF(OR($N268="",$I268="",$I268=0),"",IFERROR($N268/$I268,""))))</x:f>
      </x:c>
      <x:c r="P268" s="114" t="str">
        <x:f>IF(COUNTA($A268:$M268)=0,"",IF(OR(LOWER($F268&amp;"")="subscription",LOWER($F268&amp;"")="membership"),"",IF(LOWER($L268&amp;"")="yes",0,IF($K268&lt;&gt;"",$K268,IF($O268&lt;&gt;"",$O268,"")))))</x:f>
      </x:c>
      <x:c r="Q268" s="114" t="str">
        <x:f>IF(COUNTA($A268:$M268)=0,"",IF(OR($U268="Subscription",$U268=""),"",IF($U268="Profit",ROUND(IFERROR($P268,0)-IFERROR($H268,0),2),0)))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IF(COUNTA($A268:$M268)=0,"",IF(OR(LOWER($F268&amp;"")="subscription",LOWER($F268&amp;"")="membership"),"Subscription",IF(OR(AND($H268&lt;&gt;"",$H268=0),LOWER($F268&amp;"")="free game",LOWER($F268&amp;"")="free",LOWER($F268&amp;"")="free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IF(COUNTA($A268:$M268)=0,"",IF(OR($U268="Subscription",$U268=""),"",IF(OR($U268="Free Game",$U268="Disqualified — Free Game"),0,ROUND(IFERROR($Q268,0)-IFERROR($S268,0),2))))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455"/>
      <x:c r="H269" s="455"/>
      <x:c r="I269" s="456"/>
      <x:c r="J269" s="456"/>
      <x:c r="K269" s="455"/>
      <x:c r="L269" s="454"/>
      <x:c r="M269" s="439"/>
      <x:c r="N269" s="114" t="str">
        <x:f>IF(COUNTA($A269:$M269)=0,"",IF(OR(LOWER($F269&amp;"")="subscription",LOWER($F269&amp;"")="membership"),"",IF($G269="","",IF(ISNUMBER(SEARCH("non",LOWER($E269&amp;""))),$G269*0.85,$G269))))</x:f>
      </x:c>
      <x:c r="O269" s="114" t="str">
        <x:f>IF(COUNTA($A269:$M269)=0,"",IF(OR(LOWER($F269&amp;"")="subscription",LOWER($F269&amp;"")="membership"),"",IF(OR($N269="",$I269="",$I269=0),"",IFERROR($N269/$I269,""))))</x:f>
      </x:c>
      <x:c r="P269" s="114" t="str">
        <x:f>IF(COUNTA($A269:$M269)=0,"",IF(OR(LOWER($F269&amp;"")="subscription",LOWER($F269&amp;"")="membership"),"",IF(LOWER($L269&amp;"")="yes",0,IF($K269&lt;&gt;"",$K269,IF($O269&lt;&gt;"",$O269,"")))))</x:f>
      </x:c>
      <x:c r="Q269" s="114" t="str">
        <x:f>IF(COUNTA($A269:$M269)=0,"",IF(OR($U269="Subscription",$U269=""),"",IF($U269="Profit",ROUND(IFERROR($P269,0)-IFERROR($H269,0),2),0)))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IF(COUNTA($A269:$M269)=0,"",IF(OR(LOWER($F269&amp;"")="subscription",LOWER($F269&amp;"")="membership"),"Subscription",IF(OR(AND($H269&lt;&gt;"",$H269=0),LOWER($F269&amp;"")="free game",LOWER($F269&amp;"")="free",LOWER($F269&amp;"")="free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IF(COUNTA($A269:$M269)=0,"",IF(OR($U269="Subscription",$U269=""),"",IF(OR($U269="Free Game",$U269="Disqualified — Free Game"),0,ROUND(IFERROR($Q269,0)-IFERROR($S269,0),2))))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455"/>
      <x:c r="H270" s="455"/>
      <x:c r="I270" s="456"/>
      <x:c r="J270" s="456"/>
      <x:c r="K270" s="455"/>
      <x:c r="L270" s="454"/>
      <x:c r="M270" s="439"/>
      <x:c r="N270" s="114" t="str">
        <x:f>IF(COUNTA($A270:$M270)=0,"",IF(OR(LOWER($F270&amp;"")="subscription",LOWER($F270&amp;"")="membership"),"",IF($G270="","",IF(ISNUMBER(SEARCH("non",LOWER($E270&amp;""))),$G270*0.85,$G270))))</x:f>
      </x:c>
      <x:c r="O270" s="114" t="str">
        <x:f>IF(COUNTA($A270:$M270)=0,"",IF(OR(LOWER($F270&amp;"")="subscription",LOWER($F270&amp;"")="membership"),"",IF(OR($N270="",$I270="",$I270=0),"",IFERROR($N270/$I270,""))))</x:f>
      </x:c>
      <x:c r="P270" s="114" t="str">
        <x:f>IF(COUNTA($A270:$M270)=0,"",IF(OR(LOWER($F270&amp;"")="subscription",LOWER($F270&amp;"")="membership"),"",IF(LOWER($L270&amp;"")="yes",0,IF($K270&lt;&gt;"",$K270,IF($O270&lt;&gt;"",$O270,"")))))</x:f>
      </x:c>
      <x:c r="Q270" s="114" t="str">
        <x:f>IF(COUNTA($A270:$M270)=0,"",IF(OR($U270="Subscription",$U270=""),"",IF($U270="Profit",ROUND(IFERROR($P270,0)-IFERROR($H270,0),2),0)))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IF(COUNTA($A270:$M270)=0,"",IF(OR(LOWER($F270&amp;"")="subscription",LOWER($F270&amp;"")="membership"),"Subscription",IF(OR(AND($H270&lt;&gt;"",$H270=0),LOWER($F270&amp;"")="free game",LOWER($F270&amp;"")="free",LOWER($F270&amp;"")="free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IF(COUNTA($A270:$M270)=0,"",IF(OR($U270="Subscription",$U270=""),"",IF(OR($U270="Free Game",$U270="Disqualified — Free Game"),0,ROUND(IFERROR($Q270,0)-IFERROR($S270,0),2))))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455"/>
      <x:c r="H271" s="455"/>
      <x:c r="I271" s="456"/>
      <x:c r="J271" s="456"/>
      <x:c r="K271" s="455"/>
      <x:c r="L271" s="454"/>
      <x:c r="M271" s="439"/>
      <x:c r="N271" s="114" t="str">
        <x:f>IF(COUNTA($A271:$M271)=0,"",IF(OR(LOWER($F271&amp;"")="subscription",LOWER($F271&amp;"")="membership"),"",IF($G271="","",IF(ISNUMBER(SEARCH("non",LOWER($E271&amp;""))),$G271*0.85,$G271))))</x:f>
      </x:c>
      <x:c r="O271" s="114" t="str">
        <x:f>IF(COUNTA($A271:$M271)=0,"",IF(OR(LOWER($F271&amp;"")="subscription",LOWER($F271&amp;"")="membership"),"",IF(OR($N271="",$I271="",$I271=0),"",IFERROR($N271/$I271,""))))</x:f>
      </x:c>
      <x:c r="P271" s="114" t="str">
        <x:f>IF(COUNTA($A271:$M271)=0,"",IF(OR(LOWER($F271&amp;"")="subscription",LOWER($F271&amp;"")="membership"),"",IF(LOWER($L271&amp;"")="yes",0,IF($K271&lt;&gt;"",$K271,IF($O271&lt;&gt;"",$O271,"")))))</x:f>
      </x:c>
      <x:c r="Q271" s="114" t="str">
        <x:f>IF(COUNTA($A271:$M271)=0,"",IF(OR($U271="Subscription",$U271=""),"",IF($U271="Profit",ROUND(IFERROR($P271,0)-IFERROR($H271,0),2),0)))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IF(COUNTA($A271:$M271)=0,"",IF(OR(LOWER($F271&amp;"")="subscription",LOWER($F271&amp;"")="membership"),"Subscription",IF(OR(AND($H271&lt;&gt;"",$H271=0),LOWER($F271&amp;"")="free game",LOWER($F271&amp;"")="free",LOWER($F271&amp;"")="free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IF(COUNTA($A271:$M271)=0,"",IF(OR($U271="Subscription",$U271=""),"",IF(OR($U271="Free Game",$U271="Disqualified — Free Game"),0,ROUND(IFERROR($Q271,0)-IFERROR($S271,0),2))))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455"/>
      <x:c r="H272" s="455"/>
      <x:c r="I272" s="456"/>
      <x:c r="J272" s="456"/>
      <x:c r="K272" s="455"/>
      <x:c r="L272" s="454"/>
      <x:c r="M272" s="439"/>
      <x:c r="N272" s="114" t="str">
        <x:f>IF(COUNTA($A272:$M272)=0,"",IF(OR(LOWER($F272&amp;"")="subscription",LOWER($F272&amp;"")="membership"),"",IF($G272="","",IF(ISNUMBER(SEARCH("non",LOWER($E272&amp;""))),$G272*0.85,$G272))))</x:f>
      </x:c>
      <x:c r="O272" s="114" t="str">
        <x:f>IF(COUNTA($A272:$M272)=0,"",IF(OR(LOWER($F272&amp;"")="subscription",LOWER($F272&amp;"")="membership"),"",IF(OR($N272="",$I272="",$I272=0),"",IFERROR($N272/$I272,""))))</x:f>
      </x:c>
      <x:c r="P272" s="114" t="str">
        <x:f>IF(COUNTA($A272:$M272)=0,"",IF(OR(LOWER($F272&amp;"")="subscription",LOWER($F272&amp;"")="membership"),"",IF(LOWER($L272&amp;"")="yes",0,IF($K272&lt;&gt;"",$K272,IF($O272&lt;&gt;"",$O272,"")))))</x:f>
      </x:c>
      <x:c r="Q272" s="114" t="str">
        <x:f>IF(COUNTA($A272:$M272)=0,"",IF(OR($U272="Subscription",$U272=""),"",IF($U272="Profit",ROUND(IFERROR($P272,0)-IFERROR($H272,0),2),0)))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IF(COUNTA($A272:$M272)=0,"",IF(OR(LOWER($F272&amp;"")="subscription",LOWER($F272&amp;"")="membership"),"Subscription",IF(OR(AND($H272&lt;&gt;"",$H272=0),LOWER($F272&amp;"")="free game",LOWER($F272&amp;"")="free",LOWER($F272&amp;"")="free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IF(COUNTA($A272:$M272)=0,"",IF(OR($U272="Subscription",$U272=""),"",IF(OR($U272="Free Game",$U272="Disqualified — Free Game"),0,ROUND(IFERROR($Q272,0)-IFERROR($S272,0),2))))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455"/>
      <x:c r="H273" s="455"/>
      <x:c r="I273" s="456"/>
      <x:c r="J273" s="456"/>
      <x:c r="K273" s="455"/>
      <x:c r="L273" s="454"/>
      <x:c r="M273" s="439"/>
      <x:c r="N273" s="114" t="str">
        <x:f>IF(COUNTA($A273:$M273)=0,"",IF(OR(LOWER($F273&amp;"")="subscription",LOWER($F273&amp;"")="membership"),"",IF($G273="","",IF(ISNUMBER(SEARCH("non",LOWER($E273&amp;""))),$G273*0.85,$G273))))</x:f>
      </x:c>
      <x:c r="O273" s="114" t="str">
        <x:f>IF(COUNTA($A273:$M273)=0,"",IF(OR(LOWER($F273&amp;"")="subscription",LOWER($F273&amp;"")="membership"),"",IF(OR($N273="",$I273="",$I273=0),"",IFERROR($N273/$I273,""))))</x:f>
      </x:c>
      <x:c r="P273" s="114" t="str">
        <x:f>IF(COUNTA($A273:$M273)=0,"",IF(OR(LOWER($F273&amp;"")="subscription",LOWER($F273&amp;"")="membership"),"",IF(LOWER($L273&amp;"")="yes",0,IF($K273&lt;&gt;"",$K273,IF($O273&lt;&gt;"",$O273,"")))))</x:f>
      </x:c>
      <x:c r="Q273" s="114" t="str">
        <x:f>IF(COUNTA($A273:$M273)=0,"",IF(OR($U273="Subscription",$U273=""),"",IF($U273="Profit",ROUND(IFERROR($P273,0)-IFERROR($H273,0),2),0)))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IF(COUNTA($A273:$M273)=0,"",IF(OR(LOWER($F273&amp;"")="subscription",LOWER($F273&amp;"")="membership"),"Subscription",IF(OR(AND($H273&lt;&gt;"",$H273=0),LOWER($F273&amp;"")="free game",LOWER($F273&amp;"")="free",LOWER($F273&amp;"")="free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IF(COUNTA($A273:$M273)=0,"",IF(OR($U273="Subscription",$U273=""),"",IF(OR($U273="Free Game",$U273="Disqualified — Free Game"),0,ROUND(IFERROR($Q273,0)-IFERROR($S273,0),2))))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455"/>
      <x:c r="H274" s="455"/>
      <x:c r="I274" s="456"/>
      <x:c r="J274" s="456"/>
      <x:c r="K274" s="455"/>
      <x:c r="L274" s="454"/>
      <x:c r="M274" s="439"/>
      <x:c r="N274" s="114" t="str">
        <x:f>IF(COUNTA($A274:$M274)=0,"",IF(OR(LOWER($F274&amp;"")="subscription",LOWER($F274&amp;"")="membership"),"",IF($G274="","",IF(ISNUMBER(SEARCH("non",LOWER($E274&amp;""))),$G274*0.85,$G274))))</x:f>
      </x:c>
      <x:c r="O274" s="114" t="str">
        <x:f>IF(COUNTA($A274:$M274)=0,"",IF(OR(LOWER($F274&amp;"")="subscription",LOWER($F274&amp;"")="membership"),"",IF(OR($N274="",$I274="",$I274=0),"",IFERROR($N274/$I274,""))))</x:f>
      </x:c>
      <x:c r="P274" s="114" t="str">
        <x:f>IF(COUNTA($A274:$M274)=0,"",IF(OR(LOWER($F274&amp;"")="subscription",LOWER($F274&amp;"")="membership"),"",IF(LOWER($L274&amp;"")="yes",0,IF($K274&lt;&gt;"",$K274,IF($O274&lt;&gt;"",$O274,"")))))</x:f>
      </x:c>
      <x:c r="Q274" s="114" t="str">
        <x:f>IF(COUNTA($A274:$M274)=0,"",IF(OR($U274="Subscription",$U274=""),"",IF($U274="Profit",ROUND(IFERROR($P274,0)-IFERROR($H274,0),2),0)))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IF(COUNTA($A274:$M274)=0,"",IF(OR(LOWER($F274&amp;"")="subscription",LOWER($F274&amp;"")="membership"),"Subscription",IF(OR(AND($H274&lt;&gt;"",$H274=0),LOWER($F274&amp;"")="free game",LOWER($F274&amp;"")="free",LOWER($F274&amp;"")="free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IF(COUNTA($A274:$M274)=0,"",IF(OR($U274="Subscription",$U274=""),"",IF(OR($U274="Free Game",$U274="Disqualified — Free Game"),0,ROUND(IFERROR($Q274,0)-IFERROR($S274,0),2))))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455"/>
      <x:c r="H275" s="455"/>
      <x:c r="I275" s="456"/>
      <x:c r="J275" s="456"/>
      <x:c r="K275" s="455"/>
      <x:c r="L275" s="454"/>
      <x:c r="M275" s="439"/>
      <x:c r="N275" s="114" t="str">
        <x:f>IF(COUNTA($A275:$M275)=0,"",IF(OR(LOWER($F275&amp;"")="subscription",LOWER($F275&amp;"")="membership"),"",IF($G275="","",IF(ISNUMBER(SEARCH("non",LOWER($E275&amp;""))),$G275*0.85,$G275))))</x:f>
      </x:c>
      <x:c r="O275" s="114" t="str">
        <x:f>IF(COUNTA($A275:$M275)=0,"",IF(OR(LOWER($F275&amp;"")="subscription",LOWER($F275&amp;"")="membership"),"",IF(OR($N275="",$I275="",$I275=0),"",IFERROR($N275/$I275,""))))</x:f>
      </x:c>
      <x:c r="P275" s="114" t="str">
        <x:f>IF(COUNTA($A275:$M275)=0,"",IF(OR(LOWER($F275&amp;"")="subscription",LOWER($F275&amp;"")="membership"),"",IF(LOWER($L275&amp;"")="yes",0,IF($K275&lt;&gt;"",$K275,IF($O275&lt;&gt;"",$O275,"")))))</x:f>
      </x:c>
      <x:c r="Q275" s="114" t="str">
        <x:f>IF(COUNTA($A275:$M275)=0,"",IF(OR($U275="Subscription",$U275=""),"",IF($U275="Profit",ROUND(IFERROR($P275,0)-IFERROR($H275,0),2),0)))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IF(COUNTA($A275:$M275)=0,"",IF(OR(LOWER($F275&amp;"")="subscription",LOWER($F275&amp;"")="membership"),"Subscription",IF(OR(AND($H275&lt;&gt;"",$H275=0),LOWER($F275&amp;"")="free game",LOWER($F275&amp;"")="free",LOWER($F275&amp;"")="free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IF(COUNTA($A275:$M275)=0,"",IF(OR($U275="Subscription",$U275=""),"",IF(OR($U275="Free Game",$U275="Disqualified — Free Game"),0,ROUND(IFERROR($Q275,0)-IFERROR($S275,0),2))))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455"/>
      <x:c r="H276" s="455"/>
      <x:c r="I276" s="456"/>
      <x:c r="J276" s="456"/>
      <x:c r="K276" s="455"/>
      <x:c r="L276" s="454"/>
      <x:c r="M276" s="439"/>
      <x:c r="N276" s="114" t="str">
        <x:f>IF(COUNTA($A276:$M276)=0,"",IF(OR(LOWER($F276&amp;"")="subscription",LOWER($F276&amp;"")="membership"),"",IF($G276="","",IF(ISNUMBER(SEARCH("non",LOWER($E276&amp;""))),$G276*0.85,$G276))))</x:f>
      </x:c>
      <x:c r="O276" s="114" t="str">
        <x:f>IF(COUNTA($A276:$M276)=0,"",IF(OR(LOWER($F276&amp;"")="subscription",LOWER($F276&amp;"")="membership"),"",IF(OR($N276="",$I276="",$I276=0),"",IFERROR($N276/$I276,""))))</x:f>
      </x:c>
      <x:c r="P276" s="114" t="str">
        <x:f>IF(COUNTA($A276:$M276)=0,"",IF(OR(LOWER($F276&amp;"")="subscription",LOWER($F276&amp;"")="membership"),"",IF(LOWER($L276&amp;"")="yes",0,IF($K276&lt;&gt;"",$K276,IF($O276&lt;&gt;"",$O276,"")))))</x:f>
      </x:c>
      <x:c r="Q276" s="114" t="str">
        <x:f>IF(COUNTA($A276:$M276)=0,"",IF(OR($U276="Subscription",$U276=""),"",IF($U276="Profit",ROUND(IFERROR($P276,0)-IFERROR($H276,0),2),0)))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IF(COUNTA($A276:$M276)=0,"",IF(OR(LOWER($F276&amp;"")="subscription",LOWER($F276&amp;"")="membership"),"Subscription",IF(OR(AND($H276&lt;&gt;"",$H276=0),LOWER($F276&amp;"")="free game",LOWER($F276&amp;"")="free",LOWER($F276&amp;"")="free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IF(COUNTA($A276:$M276)=0,"",IF(OR($U276="Subscription",$U276=""),"",IF(OR($U276="Free Game",$U276="Disqualified — Free Game"),0,ROUND(IFERROR($Q276,0)-IFERROR($S276,0),2))))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455"/>
      <x:c r="H277" s="455"/>
      <x:c r="I277" s="456"/>
      <x:c r="J277" s="456"/>
      <x:c r="K277" s="455"/>
      <x:c r="L277" s="454"/>
      <x:c r="M277" s="439"/>
      <x:c r="N277" s="114" t="str">
        <x:f>IF(COUNTA($A277:$M277)=0,"",IF(OR(LOWER($F277&amp;"")="subscription",LOWER($F277&amp;"")="membership"),"",IF($G277="","",IF(ISNUMBER(SEARCH("non",LOWER($E277&amp;""))),$G277*0.85,$G277))))</x:f>
      </x:c>
      <x:c r="O277" s="114" t="str">
        <x:f>IF(COUNTA($A277:$M277)=0,"",IF(OR(LOWER($F277&amp;"")="subscription",LOWER($F277&amp;"")="membership"),"",IF(OR($N277="",$I277="",$I277=0),"",IFERROR($N277/$I277,""))))</x:f>
      </x:c>
      <x:c r="P277" s="114" t="str">
        <x:f>IF(COUNTA($A277:$M277)=0,"",IF(OR(LOWER($F277&amp;"")="subscription",LOWER($F277&amp;"")="membership"),"",IF(LOWER($L277&amp;"")="yes",0,IF($K277&lt;&gt;"",$K277,IF($O277&lt;&gt;"",$O277,"")))))</x:f>
      </x:c>
      <x:c r="Q277" s="114" t="str">
        <x:f>IF(COUNTA($A277:$M277)=0,"",IF(OR($U277="Subscription",$U277=""),"",IF($U277="Profit",ROUND(IFERROR($P277,0)-IFERROR($H277,0),2),0)))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IF(COUNTA($A277:$M277)=0,"",IF(OR(LOWER($F277&amp;"")="subscription",LOWER($F277&amp;"")="membership"),"Subscription",IF(OR(AND($H277&lt;&gt;"",$H277=0),LOWER($F277&amp;"")="free game",LOWER($F277&amp;"")="free",LOWER($F277&amp;"")="free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IF(COUNTA($A277:$M277)=0,"",IF(OR($U277="Subscription",$U277=""),"",IF(OR($U277="Free Game",$U277="Disqualified — Free Game"),0,ROUND(IFERROR($Q277,0)-IFERROR($S277,0),2))))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455"/>
      <x:c r="H278" s="455"/>
      <x:c r="I278" s="456"/>
      <x:c r="J278" s="456"/>
      <x:c r="K278" s="455"/>
      <x:c r="L278" s="454"/>
      <x:c r="M278" s="439"/>
      <x:c r="N278" s="114" t="str">
        <x:f>IF(COUNTA($A278:$M278)=0,"",IF(OR(LOWER($F278&amp;"")="subscription",LOWER($F278&amp;"")="membership"),"",IF($G278="","",IF(ISNUMBER(SEARCH("non",LOWER($E278&amp;""))),$G278*0.85,$G278))))</x:f>
      </x:c>
      <x:c r="O278" s="114" t="str">
        <x:f>IF(COUNTA($A278:$M278)=0,"",IF(OR(LOWER($F278&amp;"")="subscription",LOWER($F278&amp;"")="membership"),"",IF(OR($N278="",$I278="",$I278=0),"",IFERROR($N278/$I278,""))))</x:f>
      </x:c>
      <x:c r="P278" s="114" t="str">
        <x:f>IF(COUNTA($A278:$M278)=0,"",IF(OR(LOWER($F278&amp;"")="subscription",LOWER($F278&amp;"")="membership"),"",IF(LOWER($L278&amp;"")="yes",0,IF($K278&lt;&gt;"",$K278,IF($O278&lt;&gt;"",$O278,"")))))</x:f>
      </x:c>
      <x:c r="Q278" s="114" t="str">
        <x:f>IF(COUNTA($A278:$M278)=0,"",IF(OR($U278="Subscription",$U278=""),"",IF($U278="Profit",ROUND(IFERROR($P278,0)-IFERROR($H278,0),2),0)))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IF(COUNTA($A278:$M278)=0,"",IF(OR(LOWER($F278&amp;"")="subscription",LOWER($F278&amp;"")="membership"),"Subscription",IF(OR(AND($H278&lt;&gt;"",$H278=0),LOWER($F278&amp;"")="free game",LOWER($F278&amp;"")="free",LOWER($F278&amp;"")="free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IF(COUNTA($A278:$M278)=0,"",IF(OR($U278="Subscription",$U278=""),"",IF(OR($U278="Free Game",$U278="Disqualified — Free Game"),0,ROUND(IFERROR($Q278,0)-IFERROR($S278,0),2))))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455"/>
      <x:c r="H279" s="455"/>
      <x:c r="I279" s="456"/>
      <x:c r="J279" s="456"/>
      <x:c r="K279" s="455"/>
      <x:c r="L279" s="454"/>
      <x:c r="M279" s="439"/>
      <x:c r="N279" s="114" t="str">
        <x:f>IF(COUNTA($A279:$M279)=0,"",IF(OR(LOWER($F279&amp;"")="subscription",LOWER($F279&amp;"")="membership"),"",IF($G279="","",IF(ISNUMBER(SEARCH("non",LOWER($E279&amp;""))),$G279*0.85,$G279))))</x:f>
      </x:c>
      <x:c r="O279" s="114" t="str">
        <x:f>IF(COUNTA($A279:$M279)=0,"",IF(OR(LOWER($F279&amp;"")="subscription",LOWER($F279&amp;"")="membership"),"",IF(OR($N279="",$I279="",$I279=0),"",IFERROR($N279/$I279,""))))</x:f>
      </x:c>
      <x:c r="P279" s="114" t="str">
        <x:f>IF(COUNTA($A279:$M279)=0,"",IF(OR(LOWER($F279&amp;"")="subscription",LOWER($F279&amp;"")="membership"),"",IF(LOWER($L279&amp;"")="yes",0,IF($K279&lt;&gt;"",$K279,IF($O279&lt;&gt;"",$O279,"")))))</x:f>
      </x:c>
      <x:c r="Q279" s="114" t="str">
        <x:f>IF(COUNTA($A279:$M279)=0,"",IF(OR($U279="Subscription",$U279=""),"",IF($U279="Profit",ROUND(IFERROR($P279,0)-IFERROR($H279,0),2),0)))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IF(COUNTA($A279:$M279)=0,"",IF(OR(LOWER($F279&amp;"")="subscription",LOWER($F279&amp;"")="membership"),"Subscription",IF(OR(AND($H279&lt;&gt;"",$H279=0),LOWER($F279&amp;"")="free game",LOWER($F279&amp;"")="free",LOWER($F279&amp;"")="free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IF(COUNTA($A279:$M279)=0,"",IF(OR($U279="Subscription",$U279=""),"",IF(OR($U279="Free Game",$U279="Disqualified — Free Game"),0,ROUND(IFERROR($Q279,0)-IFERROR($S279,0),2))))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455"/>
      <x:c r="H280" s="455"/>
      <x:c r="I280" s="456"/>
      <x:c r="J280" s="456"/>
      <x:c r="K280" s="455"/>
      <x:c r="L280" s="454"/>
      <x:c r="M280" s="439"/>
      <x:c r="N280" s="114" t="str">
        <x:f>IF(COUNTA($A280:$M280)=0,"",IF(OR(LOWER($F280&amp;"")="subscription",LOWER($F280&amp;"")="membership"),"",IF($G280="","",IF(ISNUMBER(SEARCH("non",LOWER($E280&amp;""))),$G280*0.85,$G280))))</x:f>
      </x:c>
      <x:c r="O280" s="114" t="str">
        <x:f>IF(COUNTA($A280:$M280)=0,"",IF(OR(LOWER($F280&amp;"")="subscription",LOWER($F280&amp;"")="membership"),"",IF(OR($N280="",$I280="",$I280=0),"",IFERROR($N280/$I280,""))))</x:f>
      </x:c>
      <x:c r="P280" s="114" t="str">
        <x:f>IF(COUNTA($A280:$M280)=0,"",IF(OR(LOWER($F280&amp;"")="subscription",LOWER($F280&amp;"")="membership"),"",IF(LOWER($L280&amp;"")="yes",0,IF($K280&lt;&gt;"",$K280,IF($O280&lt;&gt;"",$O280,"")))))</x:f>
      </x:c>
      <x:c r="Q280" s="114" t="str">
        <x:f>IF(COUNTA($A280:$M280)=0,"",IF(OR($U280="Subscription",$U280=""),"",IF($U280="Profit",ROUND(IFERROR($P280,0)-IFERROR($H280,0),2),0)))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IF(COUNTA($A280:$M280)=0,"",IF(OR(LOWER($F280&amp;"")="subscription",LOWER($F280&amp;"")="membership"),"Subscription",IF(OR(AND($H280&lt;&gt;"",$H280=0),LOWER($F280&amp;"")="free game",LOWER($F280&amp;"")="free",LOWER($F280&amp;"")="free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IF(COUNTA($A280:$M280)=0,"",IF(OR($U280="Subscription",$U280=""),"",IF(OR($U280="Free Game",$U280="Disqualified — Free Game"),0,ROUND(IFERROR($Q280,0)-IFERROR($S280,0),2))))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455"/>
      <x:c r="H281" s="455"/>
      <x:c r="I281" s="456"/>
      <x:c r="J281" s="456"/>
      <x:c r="K281" s="455"/>
      <x:c r="L281" s="454"/>
      <x:c r="M281" s="439"/>
      <x:c r="N281" s="114" t="str">
        <x:f>IF(COUNTA($A281:$M281)=0,"",IF(OR(LOWER($F281&amp;"")="subscription",LOWER($F281&amp;"")="membership"),"",IF($G281="","",IF(ISNUMBER(SEARCH("non",LOWER($E281&amp;""))),$G281*0.85,$G281))))</x:f>
      </x:c>
      <x:c r="O281" s="114" t="str">
        <x:f>IF(COUNTA($A281:$M281)=0,"",IF(OR(LOWER($F281&amp;"")="subscription",LOWER($F281&amp;"")="membership"),"",IF(OR($N281="",$I281="",$I281=0),"",IFERROR($N281/$I281,""))))</x:f>
      </x:c>
      <x:c r="P281" s="114" t="str">
        <x:f>IF(COUNTA($A281:$M281)=0,"",IF(OR(LOWER($F281&amp;"")="subscription",LOWER($F281&amp;"")="membership"),"",IF(LOWER($L281&amp;"")="yes",0,IF($K281&lt;&gt;"",$K281,IF($O281&lt;&gt;"",$O281,"")))))</x:f>
      </x:c>
      <x:c r="Q281" s="114" t="str">
        <x:f>IF(COUNTA($A281:$M281)=0,"",IF(OR($U281="Subscription",$U281=""),"",IF($U281="Profit",ROUND(IFERROR($P281,0)-IFERROR($H281,0),2),0)))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IF(COUNTA($A281:$M281)=0,"",IF(OR(LOWER($F281&amp;"")="subscription",LOWER($F281&amp;"")="membership"),"Subscription",IF(OR(AND($H281&lt;&gt;"",$H281=0),LOWER($F281&amp;"")="free game",LOWER($F281&amp;"")="free",LOWER($F281&amp;"")="free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IF(COUNTA($A281:$M281)=0,"",IF(OR($U281="Subscription",$U281=""),"",IF(OR($U281="Free Game",$U281="Disqualified — Free Game"),0,ROUND(IFERROR($Q281,0)-IFERROR($S281,0),2))))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455"/>
      <x:c r="H282" s="455"/>
      <x:c r="I282" s="456"/>
      <x:c r="J282" s="456"/>
      <x:c r="K282" s="455"/>
      <x:c r="L282" s="454"/>
      <x:c r="M282" s="439"/>
      <x:c r="N282" s="114" t="str">
        <x:f>IF(COUNTA($A282:$M282)=0,"",IF(OR(LOWER($F282&amp;"")="subscription",LOWER($F282&amp;"")="membership"),"",IF($G282="","",IF(ISNUMBER(SEARCH("non",LOWER($E282&amp;""))),$G282*0.85,$G282))))</x:f>
      </x:c>
      <x:c r="O282" s="114" t="str">
        <x:f>IF(COUNTA($A282:$M282)=0,"",IF(OR(LOWER($F282&amp;"")="subscription",LOWER($F282&amp;"")="membership"),"",IF(OR($N282="",$I282="",$I282=0),"",IFERROR($N282/$I282,""))))</x:f>
      </x:c>
      <x:c r="P282" s="114" t="str">
        <x:f>IF(COUNTA($A282:$M282)=0,"",IF(OR(LOWER($F282&amp;"")="subscription",LOWER($F282&amp;"")="membership"),"",IF(LOWER($L282&amp;"")="yes",0,IF($K282&lt;&gt;"",$K282,IF($O282&lt;&gt;"",$O282,"")))))</x:f>
      </x:c>
      <x:c r="Q282" s="114" t="str">
        <x:f>IF(COUNTA($A282:$M282)=0,"",IF(OR($U282="Subscription",$U282=""),"",IF($U282="Profit",ROUND(IFERROR($P282,0)-IFERROR($H282,0),2),0)))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IF(COUNTA($A282:$M282)=0,"",IF(OR(LOWER($F282&amp;"")="subscription",LOWER($F282&amp;"")="membership"),"Subscription",IF(OR(AND($H282&lt;&gt;"",$H282=0),LOWER($F282&amp;"")="free game",LOWER($F282&amp;"")="free",LOWER($F282&amp;"")="free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IF(COUNTA($A282:$M282)=0,"",IF(OR($U282="Subscription",$U282=""),"",IF(OR($U282="Free Game",$U282="Disqualified — Free Game"),0,ROUND(IFERROR($Q282,0)-IFERROR($S282,0),2))))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455"/>
      <x:c r="H283" s="455"/>
      <x:c r="I283" s="456"/>
      <x:c r="J283" s="456"/>
      <x:c r="K283" s="455"/>
      <x:c r="L283" s="454"/>
      <x:c r="M283" s="439"/>
      <x:c r="N283" s="114" t="str">
        <x:f>IF(COUNTA($A283:$M283)=0,"",IF(OR(LOWER($F283&amp;"")="subscription",LOWER($F283&amp;"")="membership"),"",IF($G283="","",IF(ISNUMBER(SEARCH("non",LOWER($E283&amp;""))),$G283*0.85,$G283))))</x:f>
      </x:c>
      <x:c r="O283" s="114" t="str">
        <x:f>IF(COUNTA($A283:$M283)=0,"",IF(OR(LOWER($F283&amp;"")="subscription",LOWER($F283&amp;"")="membership"),"",IF(OR($N283="",$I283="",$I283=0),"",IFERROR($N283/$I283,""))))</x:f>
      </x:c>
      <x:c r="P283" s="114" t="str">
        <x:f>IF(COUNTA($A283:$M283)=0,"",IF(OR(LOWER($F283&amp;"")="subscription",LOWER($F283&amp;"")="membership"),"",IF(LOWER($L283&amp;"")="yes",0,IF($K283&lt;&gt;"",$K283,IF($O283&lt;&gt;"",$O283,"")))))</x:f>
      </x:c>
      <x:c r="Q283" s="114" t="str">
        <x:f>IF(COUNTA($A283:$M283)=0,"",IF(OR($U283="Subscription",$U283=""),"",IF($U283="Profit",ROUND(IFERROR($P283,0)-IFERROR($H283,0),2),0)))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IF(COUNTA($A283:$M283)=0,"",IF(OR(LOWER($F283&amp;"")="subscription",LOWER($F283&amp;"")="membership"),"Subscription",IF(OR(AND($H283&lt;&gt;"",$H283=0),LOWER($F283&amp;"")="free game",LOWER($F283&amp;"")="free",LOWER($F283&amp;"")="free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IF(COUNTA($A283:$M283)=0,"",IF(OR($U283="Subscription",$U283=""),"",IF(OR($U283="Free Game",$U283="Disqualified — Free Game"),0,ROUND(IFERROR($Q283,0)-IFERROR($S283,0),2))))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455"/>
      <x:c r="H284" s="455"/>
      <x:c r="I284" s="456"/>
      <x:c r="J284" s="456"/>
      <x:c r="K284" s="455"/>
      <x:c r="L284" s="454"/>
      <x:c r="M284" s="439"/>
      <x:c r="N284" s="114" t="str">
        <x:f>IF(COUNTA($A284:$M284)=0,"",IF(OR(LOWER($F284&amp;"")="subscription",LOWER($F284&amp;"")="membership"),"",IF($G284="","",IF(ISNUMBER(SEARCH("non",LOWER($E284&amp;""))),$G284*0.85,$G284))))</x:f>
      </x:c>
      <x:c r="O284" s="114" t="str">
        <x:f>IF(COUNTA($A284:$M284)=0,"",IF(OR(LOWER($F284&amp;"")="subscription",LOWER($F284&amp;"")="membership"),"",IF(OR($N284="",$I284="",$I284=0),"",IFERROR($N284/$I284,""))))</x:f>
      </x:c>
      <x:c r="P284" s="114" t="str">
        <x:f>IF(COUNTA($A284:$M284)=0,"",IF(OR(LOWER($F284&amp;"")="subscription",LOWER($F284&amp;"")="membership"),"",IF(LOWER($L284&amp;"")="yes",0,IF($K284&lt;&gt;"",$K284,IF($O284&lt;&gt;"",$O284,"")))))</x:f>
      </x:c>
      <x:c r="Q284" s="114" t="str">
        <x:f>IF(COUNTA($A284:$M284)=0,"",IF(OR($U284="Subscription",$U284=""),"",IF($U284="Profit",ROUND(IFERROR($P284,0)-IFERROR($H284,0),2),0)))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IF(COUNTA($A284:$M284)=0,"",IF(OR(LOWER($F284&amp;"")="subscription",LOWER($F284&amp;"")="membership"),"Subscription",IF(OR(AND($H284&lt;&gt;"",$H284=0),LOWER($F284&amp;"")="free game",LOWER($F284&amp;"")="free",LOWER($F284&amp;"")="free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IF(COUNTA($A284:$M284)=0,"",IF(OR($U284="Subscription",$U284=""),"",IF(OR($U284="Free Game",$U284="Disqualified — Free Game"),0,ROUND(IFERROR($Q284,0)-IFERROR($S284,0),2))))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455"/>
      <x:c r="H285" s="455"/>
      <x:c r="I285" s="456"/>
      <x:c r="J285" s="456"/>
      <x:c r="K285" s="455"/>
      <x:c r="L285" s="454"/>
      <x:c r="M285" s="439"/>
      <x:c r="N285" s="114" t="str">
        <x:f>IF(COUNTA($A285:$M285)=0,"",IF(OR(LOWER($F285&amp;"")="subscription",LOWER($F285&amp;"")="membership"),"",IF($G285="","",IF(ISNUMBER(SEARCH("non",LOWER($E285&amp;""))),$G285*0.85,$G285))))</x:f>
      </x:c>
      <x:c r="O285" s="114" t="str">
        <x:f>IF(COUNTA($A285:$M285)=0,"",IF(OR(LOWER($F285&amp;"")="subscription",LOWER($F285&amp;"")="membership"),"",IF(OR($N285="",$I285="",$I285=0),"",IFERROR($N285/$I285,""))))</x:f>
      </x:c>
      <x:c r="P285" s="114" t="str">
        <x:f>IF(COUNTA($A285:$M285)=0,"",IF(OR(LOWER($F285&amp;"")="subscription",LOWER($F285&amp;"")="membership"),"",IF(LOWER($L285&amp;"")="yes",0,IF($K285&lt;&gt;"",$K285,IF($O285&lt;&gt;"",$O285,"")))))</x:f>
      </x:c>
      <x:c r="Q285" s="114" t="str">
        <x:f>IF(COUNTA($A285:$M285)=0,"",IF(OR($U285="Subscription",$U285=""),"",IF($U285="Profit",ROUND(IFERROR($P285,0)-IFERROR($H285,0),2),0)))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IF(COUNTA($A285:$M285)=0,"",IF(OR(LOWER($F285&amp;"")="subscription",LOWER($F285&amp;"")="membership"),"Subscription",IF(OR(AND($H285&lt;&gt;"",$H285=0),LOWER($F285&amp;"")="free game",LOWER($F285&amp;"")="free",LOWER($F285&amp;"")="free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IF(COUNTA($A285:$M285)=0,"",IF(OR($U285="Subscription",$U285=""),"",IF(OR($U285="Free Game",$U285="Disqualified — Free Game"),0,ROUND(IFERROR($Q285,0)-IFERROR($S285,0),2))))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455"/>
      <x:c r="H286" s="455"/>
      <x:c r="I286" s="456"/>
      <x:c r="J286" s="456"/>
      <x:c r="K286" s="455"/>
      <x:c r="L286" s="454"/>
      <x:c r="M286" s="439"/>
      <x:c r="N286" s="114" t="str">
        <x:f>IF(COUNTA($A286:$M286)=0,"",IF(OR(LOWER($F286&amp;"")="subscription",LOWER($F286&amp;"")="membership"),"",IF($G286="","",IF(ISNUMBER(SEARCH("non",LOWER($E286&amp;""))),$G286*0.85,$G286))))</x:f>
      </x:c>
      <x:c r="O286" s="114" t="str">
        <x:f>IF(COUNTA($A286:$M286)=0,"",IF(OR(LOWER($F286&amp;"")="subscription",LOWER($F286&amp;"")="membership"),"",IF(OR($N286="",$I286="",$I286=0),"",IFERROR($N286/$I286,""))))</x:f>
      </x:c>
      <x:c r="P286" s="114" t="str">
        <x:f>IF(COUNTA($A286:$M286)=0,"",IF(OR(LOWER($F286&amp;"")="subscription",LOWER($F286&amp;"")="membership"),"",IF(LOWER($L286&amp;"")="yes",0,IF($K286&lt;&gt;"",$K286,IF($O286&lt;&gt;"",$O286,"")))))</x:f>
      </x:c>
      <x:c r="Q286" s="114" t="str">
        <x:f>IF(COUNTA($A286:$M286)=0,"",IF(OR($U286="Subscription",$U286=""),"",IF($U286="Profit",ROUND(IFERROR($P286,0)-IFERROR($H286,0),2),0)))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IF(COUNTA($A286:$M286)=0,"",IF(OR(LOWER($F286&amp;"")="subscription",LOWER($F286&amp;"")="membership"),"Subscription",IF(OR(AND($H286&lt;&gt;"",$H286=0),LOWER($F286&amp;"")="free game",LOWER($F286&amp;"")="free",LOWER($F286&amp;"")="free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IF(COUNTA($A286:$M286)=0,"",IF(OR($U286="Subscription",$U286=""),"",IF(OR($U286="Free Game",$U286="Disqualified — Free Game"),0,ROUND(IFERROR($Q286,0)-IFERROR($S286,0),2))))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455"/>
      <x:c r="H287" s="455"/>
      <x:c r="I287" s="456"/>
      <x:c r="J287" s="456"/>
      <x:c r="K287" s="455"/>
      <x:c r="L287" s="454"/>
      <x:c r="M287" s="439"/>
      <x:c r="N287" s="114" t="str">
        <x:f>IF(COUNTA($A287:$M287)=0,"",IF(OR(LOWER($F287&amp;"")="subscription",LOWER($F287&amp;"")="membership"),"",IF($G287="","",IF(ISNUMBER(SEARCH("non",LOWER($E287&amp;""))),$G287*0.85,$G287))))</x:f>
      </x:c>
      <x:c r="O287" s="114" t="str">
        <x:f>IF(COUNTA($A287:$M287)=0,"",IF(OR(LOWER($F287&amp;"")="subscription",LOWER($F287&amp;"")="membership"),"",IF(OR($N287="",$I287="",$I287=0),"",IFERROR($N287/$I287,""))))</x:f>
      </x:c>
      <x:c r="P287" s="114" t="str">
        <x:f>IF(COUNTA($A287:$M287)=0,"",IF(OR(LOWER($F287&amp;"")="subscription",LOWER($F287&amp;"")="membership"),"",IF(LOWER($L287&amp;"")="yes",0,IF($K287&lt;&gt;"",$K287,IF($O287&lt;&gt;"",$O287,"")))))</x:f>
      </x:c>
      <x:c r="Q287" s="114" t="str">
        <x:f>IF(COUNTA($A287:$M287)=0,"",IF(OR($U287="Subscription",$U287=""),"",IF($U287="Profit",ROUND(IFERROR($P287,0)-IFERROR($H287,0),2),0)))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IF(COUNTA($A287:$M287)=0,"",IF(OR(LOWER($F287&amp;"")="subscription",LOWER($F287&amp;"")="membership"),"Subscription",IF(OR(AND($H287&lt;&gt;"",$H287=0),LOWER($F287&amp;"")="free game",LOWER($F287&amp;"")="free",LOWER($F287&amp;"")="free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IF(COUNTA($A287:$M287)=0,"",IF(OR($U287="Subscription",$U287=""),"",IF(OR($U287="Free Game",$U287="Disqualified — Free Game"),0,ROUND(IFERROR($Q287,0)-IFERROR($S287,0),2))))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455"/>
      <x:c r="H288" s="455"/>
      <x:c r="I288" s="456"/>
      <x:c r="J288" s="456"/>
      <x:c r="K288" s="455"/>
      <x:c r="L288" s="454"/>
      <x:c r="M288" s="439"/>
      <x:c r="N288" s="114" t="str">
        <x:f>IF(COUNTA($A288:$M288)=0,"",IF(OR(LOWER($F288&amp;"")="subscription",LOWER($F288&amp;"")="membership"),"",IF($G288="","",IF(ISNUMBER(SEARCH("non",LOWER($E288&amp;""))),$G288*0.85,$G288))))</x:f>
      </x:c>
      <x:c r="O288" s="114" t="str">
        <x:f>IF(COUNTA($A288:$M288)=0,"",IF(OR(LOWER($F288&amp;"")="subscription",LOWER($F288&amp;"")="membership"),"",IF(OR($N288="",$I288="",$I288=0),"",IFERROR($N288/$I288,""))))</x:f>
      </x:c>
      <x:c r="P288" s="114" t="str">
        <x:f>IF(COUNTA($A288:$M288)=0,"",IF(OR(LOWER($F288&amp;"")="subscription",LOWER($F288&amp;"")="membership"),"",IF(LOWER($L288&amp;"")="yes",0,IF($K288&lt;&gt;"",$K288,IF($O288&lt;&gt;"",$O288,"")))))</x:f>
      </x:c>
      <x:c r="Q288" s="114" t="str">
        <x:f>IF(COUNTA($A288:$M288)=0,"",IF(OR($U288="Subscription",$U288=""),"",IF($U288="Profit",ROUND(IFERROR($P288,0)-IFERROR($H288,0),2),0)))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IF(COUNTA($A288:$M288)=0,"",IF(OR(LOWER($F288&amp;"")="subscription",LOWER($F288&amp;"")="membership"),"Subscription",IF(OR(AND($H288&lt;&gt;"",$H288=0),LOWER($F288&amp;"")="free game",LOWER($F288&amp;"")="free",LOWER($F288&amp;"")="free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IF(COUNTA($A288:$M288)=0,"",IF(OR($U288="Subscription",$U288=""),"",IF(OR($U288="Free Game",$U288="Disqualified — Free Game"),0,ROUND(IFERROR($Q288,0)-IFERROR($S288,0),2))))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455"/>
      <x:c r="H289" s="455"/>
      <x:c r="I289" s="456"/>
      <x:c r="J289" s="456"/>
      <x:c r="K289" s="455"/>
      <x:c r="L289" s="454"/>
      <x:c r="M289" s="439"/>
      <x:c r="N289" s="114" t="str">
        <x:f>IF(COUNTA($A289:$M289)=0,"",IF(OR(LOWER($F289&amp;"")="subscription",LOWER($F289&amp;"")="membership"),"",IF($G289="","",IF(ISNUMBER(SEARCH("non",LOWER($E289&amp;""))),$G289*0.85,$G289))))</x:f>
      </x:c>
      <x:c r="O289" s="114" t="str">
        <x:f>IF(COUNTA($A289:$M289)=0,"",IF(OR(LOWER($F289&amp;"")="subscription",LOWER($F289&amp;"")="membership"),"",IF(OR($N289="",$I289="",$I289=0),"",IFERROR($N289/$I289,""))))</x:f>
      </x:c>
      <x:c r="P289" s="114" t="str">
        <x:f>IF(COUNTA($A289:$M289)=0,"",IF(OR(LOWER($F289&amp;"")="subscription",LOWER($F289&amp;"")="membership"),"",IF(LOWER($L289&amp;"")="yes",0,IF($K289&lt;&gt;"",$K289,IF($O289&lt;&gt;"",$O289,"")))))</x:f>
      </x:c>
      <x:c r="Q289" s="114" t="str">
        <x:f>IF(COUNTA($A289:$M289)=0,"",IF(OR($U289="Subscription",$U289=""),"",IF($U289="Profit",ROUND(IFERROR($P289,0)-IFERROR($H289,0),2),0)))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IF(COUNTA($A289:$M289)=0,"",IF(OR(LOWER($F289&amp;"")="subscription",LOWER($F289&amp;"")="membership"),"Subscription",IF(OR(AND($H289&lt;&gt;"",$H289=0),LOWER($F289&amp;"")="free game",LOWER($F289&amp;"")="free",LOWER($F289&amp;"")="free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IF(COUNTA($A289:$M289)=0,"",IF(OR($U289="Subscription",$U289=""),"",IF(OR($U289="Free Game",$U289="Disqualified — Free Game"),0,ROUND(IFERROR($Q289,0)-IFERROR($S289,0),2))))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455"/>
      <x:c r="H290" s="455"/>
      <x:c r="I290" s="456"/>
      <x:c r="J290" s="456"/>
      <x:c r="K290" s="455"/>
      <x:c r="L290" s="454"/>
      <x:c r="M290" s="439"/>
      <x:c r="N290" s="114" t="str">
        <x:f>IF(COUNTA($A290:$M290)=0,"",IF(OR(LOWER($F290&amp;"")="subscription",LOWER($F290&amp;"")="membership"),"",IF($G290="","",IF(ISNUMBER(SEARCH("non",LOWER($E290&amp;""))),$G290*0.85,$G290))))</x:f>
      </x:c>
      <x:c r="O290" s="114" t="str">
        <x:f>IF(COUNTA($A290:$M290)=0,"",IF(OR(LOWER($F290&amp;"")="subscription",LOWER($F290&amp;"")="membership"),"",IF(OR($N290="",$I290="",$I290=0),"",IFERROR($N290/$I290,""))))</x:f>
      </x:c>
      <x:c r="P290" s="114" t="str">
        <x:f>IF(COUNTA($A290:$M290)=0,"",IF(OR(LOWER($F290&amp;"")="subscription",LOWER($F290&amp;"")="membership"),"",IF(LOWER($L290&amp;"")="yes",0,IF($K290&lt;&gt;"",$K290,IF($O290&lt;&gt;"",$O290,"")))))</x:f>
      </x:c>
      <x:c r="Q290" s="114" t="str">
        <x:f>IF(COUNTA($A290:$M290)=0,"",IF(OR($U290="Subscription",$U290=""),"",IF($U290="Profit",ROUND(IFERROR($P290,0)-IFERROR($H290,0),2),0)))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IF(COUNTA($A290:$M290)=0,"",IF(OR(LOWER($F290&amp;"")="subscription",LOWER($F290&amp;"")="membership"),"Subscription",IF(OR(AND($H290&lt;&gt;"",$H290=0),LOWER($F290&amp;"")="free game",LOWER($F290&amp;"")="free",LOWER($F290&amp;"")="free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IF(COUNTA($A290:$M290)=0,"",IF(OR($U290="Subscription",$U290=""),"",IF(OR($U290="Free Game",$U290="Disqualified — Free Game"),0,ROUND(IFERROR($Q290,0)-IFERROR($S290,0),2))))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455"/>
      <x:c r="H291" s="455"/>
      <x:c r="I291" s="456"/>
      <x:c r="J291" s="456"/>
      <x:c r="K291" s="455"/>
      <x:c r="L291" s="454"/>
      <x:c r="M291" s="439"/>
      <x:c r="N291" s="114" t="str">
        <x:f>IF(COUNTA($A291:$M291)=0,"",IF(OR(LOWER($F291&amp;"")="subscription",LOWER($F291&amp;"")="membership"),"",IF($G291="","",IF(ISNUMBER(SEARCH("non",LOWER($E291&amp;""))),$G291*0.85,$G291))))</x:f>
      </x:c>
      <x:c r="O291" s="114" t="str">
        <x:f>IF(COUNTA($A291:$M291)=0,"",IF(OR(LOWER($F291&amp;"")="subscription",LOWER($F291&amp;"")="membership"),"",IF(OR($N291="",$I291="",$I291=0),"",IFERROR($N291/$I291,""))))</x:f>
      </x:c>
      <x:c r="P291" s="114" t="str">
        <x:f>IF(COUNTA($A291:$M291)=0,"",IF(OR(LOWER($F291&amp;"")="subscription",LOWER($F291&amp;"")="membership"),"",IF(LOWER($L291&amp;"")="yes",0,IF($K291&lt;&gt;"",$K291,IF($O291&lt;&gt;"",$O291,"")))))</x:f>
      </x:c>
      <x:c r="Q291" s="114" t="str">
        <x:f>IF(COUNTA($A291:$M291)=0,"",IF(OR($U291="Subscription",$U291=""),"",IF($U291="Profit",ROUND(IFERROR($P291,0)-IFERROR($H291,0),2),0)))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IF(COUNTA($A291:$M291)=0,"",IF(OR(LOWER($F291&amp;"")="subscription",LOWER($F291&amp;"")="membership"),"Subscription",IF(OR(AND($H291&lt;&gt;"",$H291=0),LOWER($F291&amp;"")="free game",LOWER($F291&amp;"")="free",LOWER($F291&amp;"")="free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IF(COUNTA($A291:$M291)=0,"",IF(OR($U291="Subscription",$U291=""),"",IF(OR($U291="Free Game",$U291="Disqualified — Free Game"),0,ROUND(IFERROR($Q291,0)-IFERROR($S291,0),2))))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455"/>
      <x:c r="H292" s="455"/>
      <x:c r="I292" s="456"/>
      <x:c r="J292" s="456"/>
      <x:c r="K292" s="455"/>
      <x:c r="L292" s="454"/>
      <x:c r="M292" s="439"/>
      <x:c r="N292" s="114" t="str">
        <x:f>IF(COUNTA($A292:$M292)=0,"",IF(OR(LOWER($F292&amp;"")="subscription",LOWER($F292&amp;"")="membership"),"",IF($G292="","",IF(ISNUMBER(SEARCH("non",LOWER($E292&amp;""))),$G292*0.85,$G292))))</x:f>
      </x:c>
      <x:c r="O292" s="114" t="str">
        <x:f>IF(COUNTA($A292:$M292)=0,"",IF(OR(LOWER($F292&amp;"")="subscription",LOWER($F292&amp;"")="membership"),"",IF(OR($N292="",$I292="",$I292=0),"",IFERROR($N292/$I292,""))))</x:f>
      </x:c>
      <x:c r="P292" s="114" t="str">
        <x:f>IF(COUNTA($A292:$M292)=0,"",IF(OR(LOWER($F292&amp;"")="subscription",LOWER($F292&amp;"")="membership"),"",IF(LOWER($L292&amp;"")="yes",0,IF($K292&lt;&gt;"",$K292,IF($O292&lt;&gt;"",$O292,"")))))</x:f>
      </x:c>
      <x:c r="Q292" s="114" t="str">
        <x:f>IF(COUNTA($A292:$M292)=0,"",IF(OR($U292="Subscription",$U292=""),"",IF($U292="Profit",ROUND(IFERROR($P292,0)-IFERROR($H292,0),2),0)))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IF(COUNTA($A292:$M292)=0,"",IF(OR(LOWER($F292&amp;"")="subscription",LOWER($F292&amp;"")="membership"),"Subscription",IF(OR(AND($H292&lt;&gt;"",$H292=0),LOWER($F292&amp;"")="free game",LOWER($F292&amp;"")="free",LOWER($F292&amp;"")="free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IF(COUNTA($A292:$M292)=0,"",IF(OR($U292="Subscription",$U292=""),"",IF(OR($U292="Free Game",$U292="Disqualified — Free Game"),0,ROUND(IFERROR($Q292,0)-IFERROR($S292,0),2))))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455"/>
      <x:c r="H293" s="455"/>
      <x:c r="I293" s="456"/>
      <x:c r="J293" s="456"/>
      <x:c r="K293" s="455"/>
      <x:c r="L293" s="454"/>
      <x:c r="M293" s="439"/>
      <x:c r="N293" s="114" t="str">
        <x:f>IF(COUNTA($A293:$M293)=0,"",IF(OR(LOWER($F293&amp;"")="subscription",LOWER($F293&amp;"")="membership"),"",IF($G293="","",IF(ISNUMBER(SEARCH("non",LOWER($E293&amp;""))),$G293*0.85,$G293))))</x:f>
      </x:c>
      <x:c r="O293" s="114" t="str">
        <x:f>IF(COUNTA($A293:$M293)=0,"",IF(OR(LOWER($F293&amp;"")="subscription",LOWER($F293&amp;"")="membership"),"",IF(OR($N293="",$I293="",$I293=0),"",IFERROR($N293/$I293,""))))</x:f>
      </x:c>
      <x:c r="P293" s="114" t="str">
        <x:f>IF(COUNTA($A293:$M293)=0,"",IF(OR(LOWER($F293&amp;"")="subscription",LOWER($F293&amp;"")="membership"),"",IF(LOWER($L293&amp;"")="yes",0,IF($K293&lt;&gt;"",$K293,IF($O293&lt;&gt;"",$O293,"")))))</x:f>
      </x:c>
      <x:c r="Q293" s="114" t="str">
        <x:f>IF(COUNTA($A293:$M293)=0,"",IF(OR($U293="Subscription",$U293=""),"",IF($U293="Profit",ROUND(IFERROR($P293,0)-IFERROR($H293,0),2),0)))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IF(COUNTA($A293:$M293)=0,"",IF(OR(LOWER($F293&amp;"")="subscription",LOWER($F293&amp;"")="membership"),"Subscription",IF(OR(AND($H293&lt;&gt;"",$H293=0),LOWER($F293&amp;"")="free game",LOWER($F293&amp;"")="free",LOWER($F293&amp;"")="free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IF(COUNTA($A293:$M293)=0,"",IF(OR($U293="Subscription",$U293=""),"",IF(OR($U293="Free Game",$U293="Disqualified — Free Game"),0,ROUND(IFERROR($Q293,0)-IFERROR($S293,0),2))))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455"/>
      <x:c r="H294" s="455"/>
      <x:c r="I294" s="456"/>
      <x:c r="J294" s="456"/>
      <x:c r="K294" s="455"/>
      <x:c r="L294" s="454"/>
      <x:c r="M294" s="439"/>
      <x:c r="N294" s="114" t="str">
        <x:f>IF(COUNTA($A294:$M294)=0,"",IF(OR(LOWER($F294&amp;"")="subscription",LOWER($F294&amp;"")="membership"),"",IF($G294="","",IF(ISNUMBER(SEARCH("non",LOWER($E294&amp;""))),$G294*0.85,$G294))))</x:f>
      </x:c>
      <x:c r="O294" s="114" t="str">
        <x:f>IF(COUNTA($A294:$M294)=0,"",IF(OR(LOWER($F294&amp;"")="subscription",LOWER($F294&amp;"")="membership"),"",IF(OR($N294="",$I294="",$I294=0),"",IFERROR($N294/$I294,""))))</x:f>
      </x:c>
      <x:c r="P294" s="114" t="str">
        <x:f>IF(COUNTA($A294:$M294)=0,"",IF(OR(LOWER($F294&amp;"")="subscription",LOWER($F294&amp;"")="membership"),"",IF(LOWER($L294&amp;"")="yes",0,IF($K294&lt;&gt;"",$K294,IF($O294&lt;&gt;"",$O294,"")))))</x:f>
      </x:c>
      <x:c r="Q294" s="114" t="str">
        <x:f>IF(COUNTA($A294:$M294)=0,"",IF(OR($U294="Subscription",$U294=""),"",IF($U294="Profit",ROUND(IFERROR($P294,0)-IFERROR($H294,0),2),0)))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IF(COUNTA($A294:$M294)=0,"",IF(OR(LOWER($F294&amp;"")="subscription",LOWER($F294&amp;"")="membership"),"Subscription",IF(OR(AND($H294&lt;&gt;"",$H294=0),LOWER($F294&amp;"")="free game",LOWER($F294&amp;"")="free",LOWER($F294&amp;"")="free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IF(COUNTA($A294:$M294)=0,"",IF(OR($U294="Subscription",$U294=""),"",IF(OR($U294="Free Game",$U294="Disqualified — Free Game"),0,ROUND(IFERROR($Q294,0)-IFERROR($S294,0),2))))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455"/>
      <x:c r="H295" s="455"/>
      <x:c r="I295" s="456"/>
      <x:c r="J295" s="456"/>
      <x:c r="K295" s="455"/>
      <x:c r="L295" s="454"/>
      <x:c r="M295" s="439"/>
      <x:c r="N295" s="114" t="str">
        <x:f>IF(COUNTA($A295:$M295)=0,"",IF(OR(LOWER($F295&amp;"")="subscription",LOWER($F295&amp;"")="membership"),"",IF($G295="","",IF(ISNUMBER(SEARCH("non",LOWER($E295&amp;""))),$G295*0.85,$G295))))</x:f>
      </x:c>
      <x:c r="O295" s="114" t="str">
        <x:f>IF(COUNTA($A295:$M295)=0,"",IF(OR(LOWER($F295&amp;"")="subscription",LOWER($F295&amp;"")="membership"),"",IF(OR($N295="",$I295="",$I295=0),"",IFERROR($N295/$I295,""))))</x:f>
      </x:c>
      <x:c r="P295" s="114" t="str">
        <x:f>IF(COUNTA($A295:$M295)=0,"",IF(OR(LOWER($F295&amp;"")="subscription",LOWER($F295&amp;"")="membership"),"",IF(LOWER($L295&amp;"")="yes",0,IF($K295&lt;&gt;"",$K295,IF($O295&lt;&gt;"",$O295,"")))))</x:f>
      </x:c>
      <x:c r="Q295" s="114" t="str">
        <x:f>IF(COUNTA($A295:$M295)=0,"",IF(OR($U295="Subscription",$U295=""),"",IF($U295="Profit",ROUND(IFERROR($P295,0)-IFERROR($H295,0),2),0)))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IF(COUNTA($A295:$M295)=0,"",IF(OR(LOWER($F295&amp;"")="subscription",LOWER($F295&amp;"")="membership"),"Subscription",IF(OR(AND($H295&lt;&gt;"",$H295=0),LOWER($F295&amp;"")="free game",LOWER($F295&amp;"")="free",LOWER($F295&amp;"")="free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IF(COUNTA($A295:$M295)=0,"",IF(OR($U295="Subscription",$U295=""),"",IF(OR($U295="Free Game",$U295="Disqualified — Free Game"),0,ROUND(IFERROR($Q295,0)-IFERROR($S295,0),2))))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455"/>
      <x:c r="H296" s="455"/>
      <x:c r="I296" s="456"/>
      <x:c r="J296" s="456"/>
      <x:c r="K296" s="455"/>
      <x:c r="L296" s="454"/>
      <x:c r="M296" s="439"/>
      <x:c r="N296" s="114" t="str">
        <x:f>IF(COUNTA($A296:$M296)=0,"",IF(OR(LOWER($F296&amp;"")="subscription",LOWER($F296&amp;"")="membership"),"",IF($G296="","",IF(ISNUMBER(SEARCH("non",LOWER($E296&amp;""))),$G296*0.85,$G296))))</x:f>
      </x:c>
      <x:c r="O296" s="114" t="str">
        <x:f>IF(COUNTA($A296:$M296)=0,"",IF(OR(LOWER($F296&amp;"")="subscription",LOWER($F296&amp;"")="membership"),"",IF(OR($N296="",$I296="",$I296=0),"",IFERROR($N296/$I296,""))))</x:f>
      </x:c>
      <x:c r="P296" s="114" t="str">
        <x:f>IF(COUNTA($A296:$M296)=0,"",IF(OR(LOWER($F296&amp;"")="subscription",LOWER($F296&amp;"")="membership"),"",IF(LOWER($L296&amp;"")="yes",0,IF($K296&lt;&gt;"",$K296,IF($O296&lt;&gt;"",$O296,"")))))</x:f>
      </x:c>
      <x:c r="Q296" s="114" t="str">
        <x:f>IF(COUNTA($A296:$M296)=0,"",IF(OR($U296="Subscription",$U296=""),"",IF($U296="Profit",ROUND(IFERROR($P296,0)-IFERROR($H296,0),2),0)))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IF(COUNTA($A296:$M296)=0,"",IF(OR(LOWER($F296&amp;"")="subscription",LOWER($F296&amp;"")="membership"),"Subscription",IF(OR(AND($H296&lt;&gt;"",$H296=0),LOWER($F296&amp;"")="free game",LOWER($F296&amp;"")="free",LOWER($F296&amp;"")="free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IF(COUNTA($A296:$M296)=0,"",IF(OR($U296="Subscription",$U296=""),"",IF(OR($U296="Free Game",$U296="Disqualified — Free Game"),0,ROUND(IFERROR($Q296,0)-IFERROR($S296,0),2))))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455"/>
      <x:c r="H297" s="455"/>
      <x:c r="I297" s="456"/>
      <x:c r="J297" s="456"/>
      <x:c r="K297" s="455"/>
      <x:c r="L297" s="454"/>
      <x:c r="M297" s="439"/>
      <x:c r="N297" s="114" t="str">
        <x:f>IF(COUNTA($A297:$M297)=0,"",IF(OR(LOWER($F297&amp;"")="subscription",LOWER($F297&amp;"")="membership"),"",IF($G297="","",IF(ISNUMBER(SEARCH("non",LOWER($E297&amp;""))),$G297*0.85,$G297))))</x:f>
      </x:c>
      <x:c r="O297" s="114" t="str">
        <x:f>IF(COUNTA($A297:$M297)=0,"",IF(OR(LOWER($F297&amp;"")="subscription",LOWER($F297&amp;"")="membership"),"",IF(OR($N297="",$I297="",$I297=0),"",IFERROR($N297/$I297,""))))</x:f>
      </x:c>
      <x:c r="P297" s="114" t="str">
        <x:f>IF(COUNTA($A297:$M297)=0,"",IF(OR(LOWER($F297&amp;"")="subscription",LOWER($F297&amp;"")="membership"),"",IF(LOWER($L297&amp;"")="yes",0,IF($K297&lt;&gt;"",$K297,IF($O297&lt;&gt;"",$O297,"")))))</x:f>
      </x:c>
      <x:c r="Q297" s="114" t="str">
        <x:f>IF(COUNTA($A297:$M297)=0,"",IF(OR($U297="Subscription",$U297=""),"",IF($U297="Profit",ROUND(IFERROR($P297,0)-IFERROR($H297,0),2),0)))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IF(COUNTA($A297:$M297)=0,"",IF(OR(LOWER($F297&amp;"")="subscription",LOWER($F297&amp;"")="membership"),"Subscription",IF(OR(AND($H297&lt;&gt;"",$H297=0),LOWER($F297&amp;"")="free game",LOWER($F297&amp;"")="free",LOWER($F297&amp;"")="free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IF(COUNTA($A297:$M297)=0,"",IF(OR($U297="Subscription",$U297=""),"",IF(OR($U297="Free Game",$U297="Disqualified — Free Game"),0,ROUND(IFERROR($Q297,0)-IFERROR($S297,0),2))))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455"/>
      <x:c r="H298" s="455"/>
      <x:c r="I298" s="456"/>
      <x:c r="J298" s="456"/>
      <x:c r="K298" s="455"/>
      <x:c r="L298" s="454"/>
      <x:c r="M298" s="439"/>
      <x:c r="N298" s="114" t="str">
        <x:f>IF(COUNTA($A298:$M298)=0,"",IF(OR(LOWER($F298&amp;"")="subscription",LOWER($F298&amp;"")="membership"),"",IF($G298="","",IF(ISNUMBER(SEARCH("non",LOWER($E298&amp;""))),$G298*0.85,$G298))))</x:f>
      </x:c>
      <x:c r="O298" s="114" t="str">
        <x:f>IF(COUNTA($A298:$M298)=0,"",IF(OR(LOWER($F298&amp;"")="subscription",LOWER($F298&amp;"")="membership"),"",IF(OR($N298="",$I298="",$I298=0),"",IFERROR($N298/$I298,""))))</x:f>
      </x:c>
      <x:c r="P298" s="114" t="str">
        <x:f>IF(COUNTA($A298:$M298)=0,"",IF(OR(LOWER($F298&amp;"")="subscription",LOWER($F298&amp;"")="membership"),"",IF(LOWER($L298&amp;"")="yes",0,IF($K298&lt;&gt;"",$K298,IF($O298&lt;&gt;"",$O298,"")))))</x:f>
      </x:c>
      <x:c r="Q298" s="114" t="str">
        <x:f>IF(COUNTA($A298:$M298)=0,"",IF(OR($U298="Subscription",$U298=""),"",IF($U298="Profit",ROUND(IFERROR($P298,0)-IFERROR($H298,0),2),0)))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IF(COUNTA($A298:$M298)=0,"",IF(OR(LOWER($F298&amp;"")="subscription",LOWER($F298&amp;"")="membership"),"Subscription",IF(OR(AND($H298&lt;&gt;"",$H298=0),LOWER($F298&amp;"")="free game",LOWER($F298&amp;"")="free",LOWER($F298&amp;"")="free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IF(COUNTA($A298:$M298)=0,"",IF(OR($U298="Subscription",$U298=""),"",IF(OR($U298="Free Game",$U298="Disqualified — Free Game"),0,ROUND(IFERROR($Q298,0)-IFERROR($S298,0),2))))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455"/>
      <x:c r="H299" s="455"/>
      <x:c r="I299" s="456"/>
      <x:c r="J299" s="456"/>
      <x:c r="K299" s="455"/>
      <x:c r="L299" s="454"/>
      <x:c r="M299" s="439"/>
      <x:c r="N299" s="114" t="str">
        <x:f>IF(COUNTA($A299:$M299)=0,"",IF(OR(LOWER($F299&amp;"")="subscription",LOWER($F299&amp;"")="membership"),"",IF($G299="","",IF(ISNUMBER(SEARCH("non",LOWER($E299&amp;""))),$G299*0.85,$G299))))</x:f>
      </x:c>
      <x:c r="O299" s="114" t="str">
        <x:f>IF(COUNTA($A299:$M299)=0,"",IF(OR(LOWER($F299&amp;"")="subscription",LOWER($F299&amp;"")="membership"),"",IF(OR($N299="",$I299="",$I299=0),"",IFERROR($N299/$I299,""))))</x:f>
      </x:c>
      <x:c r="P299" s="114" t="str">
        <x:f>IF(COUNTA($A299:$M299)=0,"",IF(OR(LOWER($F299&amp;"")="subscription",LOWER($F299&amp;"")="membership"),"",IF(LOWER($L299&amp;"")="yes",0,IF($K299&lt;&gt;"",$K299,IF($O299&lt;&gt;"",$O299,"")))))</x:f>
      </x:c>
      <x:c r="Q299" s="114" t="str">
        <x:f>IF(COUNTA($A299:$M299)=0,"",IF(OR($U299="Subscription",$U299=""),"",IF($U299="Profit",ROUND(IFERROR($P299,0)-IFERROR($H299,0),2),0)))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IF(COUNTA($A299:$M299)=0,"",IF(OR(LOWER($F299&amp;"")="subscription",LOWER($F299&amp;"")="membership"),"Subscription",IF(OR(AND($H299&lt;&gt;"",$H299=0),LOWER($F299&amp;"")="free game",LOWER($F299&amp;"")="free",LOWER($F299&amp;"")="free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IF(COUNTA($A299:$M299)=0,"",IF(OR($U299="Subscription",$U299=""),"",IF(OR($U299="Free Game",$U299="Disqualified — Free Game"),0,ROUND(IFERROR($Q299,0)-IFERROR($S299,0),2))))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455"/>
      <x:c r="H300" s="455"/>
      <x:c r="I300" s="456"/>
      <x:c r="J300" s="456"/>
      <x:c r="K300" s="455"/>
      <x:c r="L300" s="454"/>
      <x:c r="M300" s="439"/>
      <x:c r="N300" s="114" t="str">
        <x:f>IF(COUNTA($A300:$M300)=0,"",IF(OR(LOWER($F300&amp;"")="subscription",LOWER($F300&amp;"")="membership"),"",IF($G300="","",IF(ISNUMBER(SEARCH("non",LOWER($E300&amp;""))),$G300*0.85,$G300))))</x:f>
      </x:c>
      <x:c r="O300" s="114" t="str">
        <x:f>IF(COUNTA($A300:$M300)=0,"",IF(OR(LOWER($F300&amp;"")="subscription",LOWER($F300&amp;"")="membership"),"",IF(OR($N300="",$I300="",$I300=0),"",IFERROR($N300/$I300,""))))</x:f>
      </x:c>
      <x:c r="P300" s="114" t="str">
        <x:f>IF(COUNTA($A300:$M300)=0,"",IF(OR(LOWER($F300&amp;"")="subscription",LOWER($F300&amp;"")="membership"),"",IF(LOWER($L300&amp;"")="yes",0,IF($K300&lt;&gt;"",$K300,IF($O300&lt;&gt;"",$O300,"")))))</x:f>
      </x:c>
      <x:c r="Q300" s="114" t="str">
        <x:f>IF(COUNTA($A300:$M300)=0,"",IF(OR($U300="Subscription",$U300=""),"",IF($U300="Profit",ROUND(IFERROR($P300,0)-IFERROR($H300,0),2),0)))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IF(COUNTA($A300:$M300)=0,"",IF(OR(LOWER($F300&amp;"")="subscription",LOWER($F300&amp;"")="membership"),"Subscription",IF(OR(AND($H300&lt;&gt;"",$H300=0),LOWER($F300&amp;"")="free game",LOWER($F300&amp;"")="free",LOWER($F300&amp;"")="free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IF(COUNTA($A300:$M300)=0,"",IF(OR($U300="Subscription",$U300=""),"",IF(OR($U300="Free Game",$U300="Disqualified — Free Game"),0,ROUND(IFERROR($Q300,0)-IFERROR($S300,0),2))))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455"/>
      <x:c r="H301" s="455"/>
      <x:c r="I301" s="456"/>
      <x:c r="J301" s="456"/>
      <x:c r="K301" s="455"/>
      <x:c r="L301" s="454"/>
      <x:c r="M301" s="439"/>
      <x:c r="N301" s="114" t="str">
        <x:f>IF(COUNTA($A301:$M301)=0,"",IF(OR(LOWER($F301&amp;"")="subscription",LOWER($F301&amp;"")="membership"),"",IF($G301="","",IF(ISNUMBER(SEARCH("non",LOWER($E301&amp;""))),$G301*0.85,$G301))))</x:f>
      </x:c>
      <x:c r="O301" s="114" t="str">
        <x:f>IF(COUNTA($A301:$M301)=0,"",IF(OR(LOWER($F301&amp;"")="subscription",LOWER($F301&amp;"")="membership"),"",IF(OR($N301="",$I301="",$I301=0),"",IFERROR($N301/$I301,""))))</x:f>
      </x:c>
      <x:c r="P301" s="114" t="str">
        <x:f>IF(COUNTA($A301:$M301)=0,"",IF(OR(LOWER($F301&amp;"")="subscription",LOWER($F301&amp;"")="membership"),"",IF(LOWER($L301&amp;"")="yes",0,IF($K301&lt;&gt;"",$K301,IF($O301&lt;&gt;"",$O301,"")))))</x:f>
      </x:c>
      <x:c r="Q301" s="114" t="str">
        <x:f>IF(COUNTA($A301:$M301)=0,"",IF(OR($U301="Subscription",$U301=""),"",IF($U301="Profit",ROUND(IFERROR($P301,0)-IFERROR($H301,0),2),0)))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IF(COUNTA($A301:$M301)=0,"",IF(OR(LOWER($F301&amp;"")="subscription",LOWER($F301&amp;"")="membership"),"Subscription",IF(OR(AND($H301&lt;&gt;"",$H301=0),LOWER($F301&amp;"")="free game",LOWER($F301&amp;"")="free",LOWER($F301&amp;"")="free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IF(COUNTA($A301:$M301)=0,"",IF(OR($U301="Subscription",$U301=""),"",IF(OR($U301="Free Game",$U301="Disqualified — Free Game"),0,ROUND(IFERROR($Q301,0)-IFERROR($S301,0),2))))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455"/>
      <x:c r="H302" s="455"/>
      <x:c r="I302" s="456"/>
      <x:c r="J302" s="456"/>
      <x:c r="K302" s="455"/>
      <x:c r="L302" s="454"/>
      <x:c r="M302" s="439"/>
      <x:c r="N302" s="114" t="str">
        <x:f>IF(COUNTA($A302:$M302)=0,"",IF(OR(LOWER($F302&amp;"")="subscription",LOWER($F302&amp;"")="membership"),"",IF($G302="","",IF(ISNUMBER(SEARCH("non",LOWER($E302&amp;""))),$G302*0.85,$G302))))</x:f>
      </x:c>
      <x:c r="O302" s="114" t="str">
        <x:f>IF(COUNTA($A302:$M302)=0,"",IF(OR(LOWER($F302&amp;"")="subscription",LOWER($F302&amp;"")="membership"),"",IF(OR($N302="",$I302="",$I302=0),"",IFERROR($N302/$I302,""))))</x:f>
      </x:c>
      <x:c r="P302" s="114" t="str">
        <x:f>IF(COUNTA($A302:$M302)=0,"",IF(OR(LOWER($F302&amp;"")="subscription",LOWER($F302&amp;"")="membership"),"",IF(LOWER($L302&amp;"")="yes",0,IF($K302&lt;&gt;"",$K302,IF($O302&lt;&gt;"",$O302,"")))))</x:f>
      </x:c>
      <x:c r="Q302" s="114" t="str">
        <x:f>IF(COUNTA($A302:$M302)=0,"",IF(OR($U302="Subscription",$U302=""),"",IF($U302="Profit",ROUND(IFERROR($P302,0)-IFERROR($H302,0),2),0)))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IF(COUNTA($A302:$M302)=0,"",IF(OR(LOWER($F302&amp;"")="subscription",LOWER($F302&amp;"")="membership"),"Subscription",IF(OR(AND($H302&lt;&gt;"",$H302=0),LOWER($F302&amp;"")="free game",LOWER($F302&amp;"")="free",LOWER($F302&amp;"")="free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IF(COUNTA($A302:$M302)=0,"",IF(OR($U302="Subscription",$U302=""),"",IF(OR($U302="Free Game",$U302="Disqualified — Free Game"),0,ROUND(IFERROR($Q302,0)-IFERROR($S302,0),2))))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455"/>
      <x:c r="H303" s="455"/>
      <x:c r="I303" s="456"/>
      <x:c r="J303" s="456"/>
      <x:c r="K303" s="455"/>
      <x:c r="L303" s="454"/>
      <x:c r="M303" s="439"/>
      <x:c r="N303" s="114" t="str">
        <x:f>IF(COUNTA($A303:$M303)=0,"",IF(OR(LOWER($F303&amp;"")="subscription",LOWER($F303&amp;"")="membership"),"",IF($G303="","",IF(ISNUMBER(SEARCH("non",LOWER($E303&amp;""))),$G303*0.85,$G303))))</x:f>
      </x:c>
      <x:c r="O303" s="114" t="str">
        <x:f>IF(COUNTA($A303:$M303)=0,"",IF(OR(LOWER($F303&amp;"")="subscription",LOWER($F303&amp;"")="membership"),"",IF(OR($N303="",$I303="",$I303=0),"",IFERROR($N303/$I303,""))))</x:f>
      </x:c>
      <x:c r="P303" s="114" t="str">
        <x:f>IF(COUNTA($A303:$M303)=0,"",IF(OR(LOWER($F303&amp;"")="subscription",LOWER($F303&amp;"")="membership"),"",IF(LOWER($L303&amp;"")="yes",0,IF($K303&lt;&gt;"",$K303,IF($O303&lt;&gt;"",$O303,"")))))</x:f>
      </x:c>
      <x:c r="Q303" s="114" t="str">
        <x:f>IF(COUNTA($A303:$M303)=0,"",IF(OR($U303="Subscription",$U303=""),"",IF($U303="Profit",ROUND(IFERROR($P303,0)-IFERROR($H303,0),2),0)))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IF(COUNTA($A303:$M303)=0,"",IF(OR(LOWER($F303&amp;"")="subscription",LOWER($F303&amp;"")="membership"),"Subscription",IF(OR(AND($H303&lt;&gt;"",$H303=0),LOWER($F303&amp;"")="free game",LOWER($F303&amp;"")="free",LOWER($F303&amp;"")="free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IF(COUNTA($A303:$M303)=0,"",IF(OR($U303="Subscription",$U303=""),"",IF(OR($U303="Free Game",$U303="Disqualified — Free Game"),0,ROUND(IFERROR($Q303,0)-IFERROR($S303,0),2))))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455"/>
      <x:c r="H304" s="455"/>
      <x:c r="I304" s="456"/>
      <x:c r="J304" s="456"/>
      <x:c r="K304" s="455"/>
      <x:c r="L304" s="454"/>
      <x:c r="M304" s="439"/>
      <x:c r="N304" s="114" t="str">
        <x:f>IF(COUNTA($A304:$M304)=0,"",IF(OR(LOWER($F304&amp;"")="subscription",LOWER($F304&amp;"")="membership"),"",IF($G304="","",IF(ISNUMBER(SEARCH("non",LOWER($E304&amp;""))),$G304*0.85,$G304))))</x:f>
      </x:c>
      <x:c r="O304" s="114" t="str">
        <x:f>IF(COUNTA($A304:$M304)=0,"",IF(OR(LOWER($F304&amp;"")="subscription",LOWER($F304&amp;"")="membership"),"",IF(OR($N304="",$I304="",$I304=0),"",IFERROR($N304/$I304,""))))</x:f>
      </x:c>
      <x:c r="P304" s="114" t="str">
        <x:f>IF(COUNTA($A304:$M304)=0,"",IF(OR(LOWER($F304&amp;"")="subscription",LOWER($F304&amp;"")="membership"),"",IF(LOWER($L304&amp;"")="yes",0,IF($K304&lt;&gt;"",$K304,IF($O304&lt;&gt;"",$O304,"")))))</x:f>
      </x:c>
      <x:c r="Q304" s="114" t="str">
        <x:f>IF(COUNTA($A304:$M304)=0,"",IF(OR($U304="Subscription",$U304=""),"",IF($U304="Profit",ROUND(IFERROR($P304,0)-IFERROR($H304,0),2),0)))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IF(COUNTA($A304:$M304)=0,"",IF(OR(LOWER($F304&amp;"")="subscription",LOWER($F304&amp;"")="membership"),"Subscription",IF(OR(AND($H304&lt;&gt;"",$H304=0),LOWER($F304&amp;"")="free game",LOWER($F304&amp;"")="free",LOWER($F304&amp;"")="free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IF(COUNTA($A304:$M304)=0,"",IF(OR($U304="Subscription",$U304=""),"",IF(OR($U304="Free Game",$U304="Disqualified — Free Game"),0,ROUND(IFERROR($Q304,0)-IFERROR($S304,0),2))))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455"/>
      <x:c r="H305" s="455"/>
      <x:c r="I305" s="456"/>
      <x:c r="J305" s="456"/>
      <x:c r="K305" s="455"/>
      <x:c r="L305" s="454"/>
      <x:c r="M305" s="439"/>
      <x:c r="N305" s="114" t="str">
        <x:f>IF(COUNTA($A305:$M305)=0,"",IF(OR(LOWER($F305&amp;"")="subscription",LOWER($F305&amp;"")="membership"),"",IF($G305="","",IF(ISNUMBER(SEARCH("non",LOWER($E305&amp;""))),$G305*0.85,$G305))))</x:f>
      </x:c>
      <x:c r="O305" s="114" t="str">
        <x:f>IF(COUNTA($A305:$M305)=0,"",IF(OR(LOWER($F305&amp;"")="subscription",LOWER($F305&amp;"")="membership"),"",IF(OR($N305="",$I305="",$I305=0),"",IFERROR($N305/$I305,""))))</x:f>
      </x:c>
      <x:c r="P305" s="114" t="str">
        <x:f>IF(COUNTA($A305:$M305)=0,"",IF(OR(LOWER($F305&amp;"")="subscription",LOWER($F305&amp;"")="membership"),"",IF(LOWER($L305&amp;"")="yes",0,IF($K305&lt;&gt;"",$K305,IF($O305&lt;&gt;"",$O305,"")))))</x:f>
      </x:c>
      <x:c r="Q305" s="114" t="str">
        <x:f>IF(COUNTA($A305:$M305)=0,"",IF(OR($U305="Subscription",$U305=""),"",IF($U305="Profit",ROUND(IFERROR($P305,0)-IFERROR($H305,0),2),0)))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IF(COUNTA($A305:$M305)=0,"",IF(OR(LOWER($F305&amp;"")="subscription",LOWER($F305&amp;"")="membership"),"Subscription",IF(OR(AND($H305&lt;&gt;"",$H305=0),LOWER($F305&amp;"")="free game",LOWER($F305&amp;"")="free",LOWER($F305&amp;"")="free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IF(COUNTA($A305:$M305)=0,"",IF(OR($U305="Subscription",$U305=""),"",IF(OR($U305="Free Game",$U305="Disqualified — Free Game"),0,ROUND(IFERROR($Q305,0)-IFERROR($S305,0),2))))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455"/>
      <x:c r="H306" s="455"/>
      <x:c r="I306" s="456"/>
      <x:c r="J306" s="456"/>
      <x:c r="K306" s="455"/>
      <x:c r="L306" s="454"/>
      <x:c r="M306" s="439"/>
      <x:c r="N306" s="114" t="str">
        <x:f>IF(COUNTA($A306:$M306)=0,"",IF(OR(LOWER($F306&amp;"")="subscription",LOWER($F306&amp;"")="membership"),"",IF($G306="","",IF(ISNUMBER(SEARCH("non",LOWER($E306&amp;""))),$G306*0.85,$G306))))</x:f>
      </x:c>
      <x:c r="O306" s="114" t="str">
        <x:f>IF(COUNTA($A306:$M306)=0,"",IF(OR(LOWER($F306&amp;"")="subscription",LOWER($F306&amp;"")="membership"),"",IF(OR($N306="",$I306="",$I306=0),"",IFERROR($N306/$I306,""))))</x:f>
      </x:c>
      <x:c r="P306" s="114" t="str">
        <x:f>IF(COUNTA($A306:$M306)=0,"",IF(OR(LOWER($F306&amp;"")="subscription",LOWER($F306&amp;"")="membership"),"",IF(LOWER($L306&amp;"")="yes",0,IF($K306&lt;&gt;"",$K306,IF($O306&lt;&gt;"",$O306,"")))))</x:f>
      </x:c>
      <x:c r="Q306" s="114" t="str">
        <x:f>IF(COUNTA($A306:$M306)=0,"",IF(OR($U306="Subscription",$U306=""),"",IF($U306="Profit",ROUND(IFERROR($P306,0)-IFERROR($H306,0),2),0)))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IF(COUNTA($A306:$M306)=0,"",IF(OR(LOWER($F306&amp;"")="subscription",LOWER($F306&amp;"")="membership"),"Subscription",IF(OR(AND($H306&lt;&gt;"",$H306=0),LOWER($F306&amp;"")="free game",LOWER($F306&amp;"")="free",LOWER($F306&amp;"")="free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IF(COUNTA($A306:$M306)=0,"",IF(OR($U306="Subscription",$U306=""),"",IF(OR($U306="Free Game",$U306="Disqualified — Free Game"),0,ROUND(IFERROR($Q306,0)-IFERROR($S306,0),2))))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455"/>
      <x:c r="H307" s="455"/>
      <x:c r="I307" s="456"/>
      <x:c r="J307" s="456"/>
      <x:c r="K307" s="455"/>
      <x:c r="L307" s="454"/>
      <x:c r="M307" s="439"/>
      <x:c r="N307" s="114" t="str">
        <x:f>IF(COUNTA($A307:$M307)=0,"",IF(OR(LOWER($F307&amp;"")="subscription",LOWER($F307&amp;"")="membership"),"",IF($G307="","",IF(ISNUMBER(SEARCH("non",LOWER($E307&amp;""))),$G307*0.85,$G307))))</x:f>
      </x:c>
      <x:c r="O307" s="114" t="str">
        <x:f>IF(COUNTA($A307:$M307)=0,"",IF(OR(LOWER($F307&amp;"")="subscription",LOWER($F307&amp;"")="membership"),"",IF(OR($N307="",$I307="",$I307=0),"",IFERROR($N307/$I307,""))))</x:f>
      </x:c>
      <x:c r="P307" s="114" t="str">
        <x:f>IF(COUNTA($A307:$M307)=0,"",IF(OR(LOWER($F307&amp;"")="subscription",LOWER($F307&amp;"")="membership"),"",IF(LOWER($L307&amp;"")="yes",0,IF($K307&lt;&gt;"",$K307,IF($O307&lt;&gt;"",$O307,"")))))</x:f>
      </x:c>
      <x:c r="Q307" s="114" t="str">
        <x:f>IF(COUNTA($A307:$M307)=0,"",IF(OR($U307="Subscription",$U307=""),"",IF($U307="Profit",ROUND(IFERROR($P307,0)-IFERROR($H307,0),2),0)))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IF(COUNTA($A307:$M307)=0,"",IF(OR(LOWER($F307&amp;"")="subscription",LOWER($F307&amp;"")="membership"),"Subscription",IF(OR(AND($H307&lt;&gt;"",$H307=0),LOWER($F307&amp;"")="free game",LOWER($F307&amp;"")="free",LOWER($F307&amp;"")="free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IF(COUNTA($A307:$M307)=0,"",IF(OR($U307="Subscription",$U307=""),"",IF(OR($U307="Free Game",$U307="Disqualified — Free Game"),0,ROUND(IFERROR($Q307,0)-IFERROR($S307,0),2))))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455"/>
      <x:c r="H308" s="455"/>
      <x:c r="I308" s="456"/>
      <x:c r="J308" s="456"/>
      <x:c r="K308" s="455"/>
      <x:c r="L308" s="454"/>
      <x:c r="M308" s="439"/>
      <x:c r="N308" s="114" t="str">
        <x:f>IF(COUNTA($A308:$M308)=0,"",IF(OR(LOWER($F308&amp;"")="subscription",LOWER($F308&amp;"")="membership"),"",IF($G308="","",IF(ISNUMBER(SEARCH("non",LOWER($E308&amp;""))),$G308*0.85,$G308))))</x:f>
      </x:c>
      <x:c r="O308" s="114" t="str">
        <x:f>IF(COUNTA($A308:$M308)=0,"",IF(OR(LOWER($F308&amp;"")="subscription",LOWER($F308&amp;"")="membership"),"",IF(OR($N308="",$I308="",$I308=0),"",IFERROR($N308/$I308,""))))</x:f>
      </x:c>
      <x:c r="P308" s="114" t="str">
        <x:f>IF(COUNTA($A308:$M308)=0,"",IF(OR(LOWER($F308&amp;"")="subscription",LOWER($F308&amp;"")="membership"),"",IF(LOWER($L308&amp;"")="yes",0,IF($K308&lt;&gt;"",$K308,IF($O308&lt;&gt;"",$O308,"")))))</x:f>
      </x:c>
      <x:c r="Q308" s="114" t="str">
        <x:f>IF(COUNTA($A308:$M308)=0,"",IF(OR($U308="Subscription",$U308=""),"",IF($U308="Profit",ROUND(IFERROR($P308,0)-IFERROR($H308,0),2),0)))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IF(COUNTA($A308:$M308)=0,"",IF(OR(LOWER($F308&amp;"")="subscription",LOWER($F308&amp;"")="membership"),"Subscription",IF(OR(AND($H308&lt;&gt;"",$H308=0),LOWER($F308&amp;"")="free game",LOWER($F308&amp;"")="free",LOWER($F308&amp;"")="free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IF(COUNTA($A308:$M308)=0,"",IF(OR($U308="Subscription",$U308=""),"",IF(OR($U308="Free Game",$U308="Disqualified — Free Game"),0,ROUND(IFERROR($Q308,0)-IFERROR($S308,0),2))))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455"/>
      <x:c r="H309" s="455"/>
      <x:c r="I309" s="456"/>
      <x:c r="J309" s="456"/>
      <x:c r="K309" s="455"/>
      <x:c r="L309" s="454"/>
      <x:c r="M309" s="439"/>
      <x:c r="N309" s="114" t="str">
        <x:f>IF(COUNTA($A309:$M309)=0,"",IF(OR(LOWER($F309&amp;"")="subscription",LOWER($F309&amp;"")="membership"),"",IF($G309="","",IF(ISNUMBER(SEARCH("non",LOWER($E309&amp;""))),$G309*0.85,$G309))))</x:f>
      </x:c>
      <x:c r="O309" s="114" t="str">
        <x:f>IF(COUNTA($A309:$M309)=0,"",IF(OR(LOWER($F309&amp;"")="subscription",LOWER($F309&amp;"")="membership"),"",IF(OR($N309="",$I309="",$I309=0),"",IFERROR($N309/$I309,""))))</x:f>
      </x:c>
      <x:c r="P309" s="114" t="str">
        <x:f>IF(COUNTA($A309:$M309)=0,"",IF(OR(LOWER($F309&amp;"")="subscription",LOWER($F309&amp;"")="membership"),"",IF(LOWER($L309&amp;"")="yes",0,IF($K309&lt;&gt;"",$K309,IF($O309&lt;&gt;"",$O309,"")))))</x:f>
      </x:c>
      <x:c r="Q309" s="114" t="str">
        <x:f>IF(COUNTA($A309:$M309)=0,"",IF(OR($U309="Subscription",$U309=""),"",IF($U309="Profit",ROUND(IFERROR($P309,0)-IFERROR($H309,0),2),0)))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IF(COUNTA($A309:$M309)=0,"",IF(OR(LOWER($F309&amp;"")="subscription",LOWER($F309&amp;"")="membership"),"Subscription",IF(OR(AND($H309&lt;&gt;"",$H309=0),LOWER($F309&amp;"")="free game",LOWER($F309&amp;"")="free",LOWER($F309&amp;"")="free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IF(COUNTA($A309:$M309)=0,"",IF(OR($U309="Subscription",$U309=""),"",IF(OR($U309="Free Game",$U309="Disqualified — Free Game"),0,ROUND(IFERROR($Q309,0)-IFERROR($S309,0),2))))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455"/>
      <x:c r="H310" s="455"/>
      <x:c r="I310" s="456"/>
      <x:c r="J310" s="456"/>
      <x:c r="K310" s="455"/>
      <x:c r="L310" s="454"/>
      <x:c r="M310" s="439"/>
      <x:c r="N310" s="114" t="str">
        <x:f>IF(COUNTA($A310:$M310)=0,"",IF(OR(LOWER($F310&amp;"")="subscription",LOWER($F310&amp;"")="membership"),"",IF($G310="","",IF(ISNUMBER(SEARCH("non",LOWER($E310&amp;""))),$G310*0.85,$G310))))</x:f>
      </x:c>
      <x:c r="O310" s="114" t="str">
        <x:f>IF(COUNTA($A310:$M310)=0,"",IF(OR(LOWER($F310&amp;"")="subscription",LOWER($F310&amp;"")="membership"),"",IF(OR($N310="",$I310="",$I310=0),"",IFERROR($N310/$I310,""))))</x:f>
      </x:c>
      <x:c r="P310" s="114" t="str">
        <x:f>IF(COUNTA($A310:$M310)=0,"",IF(OR(LOWER($F310&amp;"")="subscription",LOWER($F310&amp;"")="membership"),"",IF(LOWER($L310&amp;"")="yes",0,IF($K310&lt;&gt;"",$K310,IF($O310&lt;&gt;"",$O310,"")))))</x:f>
      </x:c>
      <x:c r="Q310" s="114" t="str">
        <x:f>IF(COUNTA($A310:$M310)=0,"",IF(OR($U310="Subscription",$U310=""),"",IF($U310="Profit",ROUND(IFERROR($P310,0)-IFERROR($H310,0),2),0)))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IF(COUNTA($A310:$M310)=0,"",IF(OR(LOWER($F310&amp;"")="subscription",LOWER($F310&amp;"")="membership"),"Subscription",IF(OR(AND($H310&lt;&gt;"",$H310=0),LOWER($F310&amp;"")="free game",LOWER($F310&amp;"")="free",LOWER($F310&amp;"")="free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IF(COUNTA($A310:$M310)=0,"",IF(OR($U310="Subscription",$U310=""),"",IF(OR($U310="Free Game",$U310="Disqualified — Free Game"),0,ROUND(IFERROR($Q310,0)-IFERROR($S310,0),2))))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455"/>
      <x:c r="H311" s="455"/>
      <x:c r="I311" s="456"/>
      <x:c r="J311" s="456"/>
      <x:c r="K311" s="455"/>
      <x:c r="L311" s="454"/>
      <x:c r="M311" s="439"/>
      <x:c r="N311" s="114" t="str">
        <x:f>IF(COUNTA($A311:$M311)=0,"",IF(OR(LOWER($F311&amp;"")="subscription",LOWER($F311&amp;"")="membership"),"",IF($G311="","",IF(ISNUMBER(SEARCH("non",LOWER($E311&amp;""))),$G311*0.85,$G311))))</x:f>
      </x:c>
      <x:c r="O311" s="114" t="str">
        <x:f>IF(COUNTA($A311:$M311)=0,"",IF(OR(LOWER($F311&amp;"")="subscription",LOWER($F311&amp;"")="membership"),"",IF(OR($N311="",$I311="",$I311=0),"",IFERROR($N311/$I311,""))))</x:f>
      </x:c>
      <x:c r="P311" s="114" t="str">
        <x:f>IF(COUNTA($A311:$M311)=0,"",IF(OR(LOWER($F311&amp;"")="subscription",LOWER($F311&amp;"")="membership"),"",IF(LOWER($L311&amp;"")="yes",0,IF($K311&lt;&gt;"",$K311,IF($O311&lt;&gt;"",$O311,"")))))</x:f>
      </x:c>
      <x:c r="Q311" s="114" t="str">
        <x:f>IF(COUNTA($A311:$M311)=0,"",IF(OR($U311="Subscription",$U311=""),"",IF($U311="Profit",ROUND(IFERROR($P311,0)-IFERROR($H311,0),2),0)))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IF(COUNTA($A311:$M311)=0,"",IF(OR(LOWER($F311&amp;"")="subscription",LOWER($F311&amp;"")="membership"),"Subscription",IF(OR(AND($H311&lt;&gt;"",$H311=0),LOWER($F311&amp;"")="free game",LOWER($F311&amp;"")="free",LOWER($F311&amp;"")="free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IF(COUNTA($A311:$M311)=0,"",IF(OR($U311="Subscription",$U311=""),"",IF(OR($U311="Free Game",$U311="Disqualified — Free Game"),0,ROUND(IFERROR($Q311,0)-IFERROR($S311,0),2))))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455"/>
      <x:c r="H312" s="455"/>
      <x:c r="I312" s="456"/>
      <x:c r="J312" s="456"/>
      <x:c r="K312" s="455"/>
      <x:c r="L312" s="454"/>
      <x:c r="M312" s="439"/>
      <x:c r="N312" s="114" t="str">
        <x:f>IF(COUNTA($A312:$M312)=0,"",IF(OR(LOWER($F312&amp;"")="subscription",LOWER($F312&amp;"")="membership"),"",IF($G312="","",IF(ISNUMBER(SEARCH("non",LOWER($E312&amp;""))),$G312*0.85,$G312))))</x:f>
      </x:c>
      <x:c r="O312" s="114" t="str">
        <x:f>IF(COUNTA($A312:$M312)=0,"",IF(OR(LOWER($F312&amp;"")="subscription",LOWER($F312&amp;"")="membership"),"",IF(OR($N312="",$I312="",$I312=0),"",IFERROR($N312/$I312,""))))</x:f>
      </x:c>
      <x:c r="P312" s="114" t="str">
        <x:f>IF(COUNTA($A312:$M312)=0,"",IF(OR(LOWER($F312&amp;"")="subscription",LOWER($F312&amp;"")="membership"),"",IF(LOWER($L312&amp;"")="yes",0,IF($K312&lt;&gt;"",$K312,IF($O312&lt;&gt;"",$O312,"")))))</x:f>
      </x:c>
      <x:c r="Q312" s="114" t="str">
        <x:f>IF(COUNTA($A312:$M312)=0,"",IF(OR($U312="Subscription",$U312=""),"",IF($U312="Profit",ROUND(IFERROR($P312,0)-IFERROR($H312,0),2),0)))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IF(COUNTA($A312:$M312)=0,"",IF(OR(LOWER($F312&amp;"")="subscription",LOWER($F312&amp;"")="membership"),"Subscription",IF(OR(AND($H312&lt;&gt;"",$H312=0),LOWER($F312&amp;"")="free game",LOWER($F312&amp;"")="free",LOWER($F312&amp;"")="free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IF(COUNTA($A312:$M312)=0,"",IF(OR($U312="Subscription",$U312=""),"",IF(OR($U312="Free Game",$U312="Disqualified — Free Game"),0,ROUND(IFERROR($Q312,0)-IFERROR($S312,0),2))))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455"/>
      <x:c r="H313" s="455"/>
      <x:c r="I313" s="456"/>
      <x:c r="J313" s="456"/>
      <x:c r="K313" s="455"/>
      <x:c r="L313" s="454"/>
      <x:c r="M313" s="439"/>
      <x:c r="N313" s="114" t="str">
        <x:f>IF(COUNTA($A313:$M313)=0,"",IF(OR(LOWER($F313&amp;"")="subscription",LOWER($F313&amp;"")="membership"),"",IF($G313="","",IF(ISNUMBER(SEARCH("non",LOWER($E313&amp;""))),$G313*0.85,$G313))))</x:f>
      </x:c>
      <x:c r="O313" s="114" t="str">
        <x:f>IF(COUNTA($A313:$M313)=0,"",IF(OR(LOWER($F313&amp;"")="subscription",LOWER($F313&amp;"")="membership"),"",IF(OR($N313="",$I313="",$I313=0),"",IFERROR($N313/$I313,""))))</x:f>
      </x:c>
      <x:c r="P313" s="114" t="str">
        <x:f>IF(COUNTA($A313:$M313)=0,"",IF(OR(LOWER($F313&amp;"")="subscription",LOWER($F313&amp;"")="membership"),"",IF(LOWER($L313&amp;"")="yes",0,IF($K313&lt;&gt;"",$K313,IF($O313&lt;&gt;"",$O313,"")))))</x:f>
      </x:c>
      <x:c r="Q313" s="114" t="str">
        <x:f>IF(COUNTA($A313:$M313)=0,"",IF(OR($U313="Subscription",$U313=""),"",IF($U313="Profit",ROUND(IFERROR($P313,0)-IFERROR($H313,0),2),0)))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IF(COUNTA($A313:$M313)=0,"",IF(OR(LOWER($F313&amp;"")="subscription",LOWER($F313&amp;"")="membership"),"Subscription",IF(OR(AND($H313&lt;&gt;"",$H313=0),LOWER($F313&amp;"")="free game",LOWER($F313&amp;"")="free",LOWER($F313&amp;"")="free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IF(COUNTA($A313:$M313)=0,"",IF(OR($U313="Subscription",$U313=""),"",IF(OR($U313="Free Game",$U313="Disqualified — Free Game"),0,ROUND(IFERROR($Q313,0)-IFERROR($S313,0),2))))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455"/>
      <x:c r="H314" s="455"/>
      <x:c r="I314" s="456"/>
      <x:c r="J314" s="456"/>
      <x:c r="K314" s="455"/>
      <x:c r="L314" s="454"/>
      <x:c r="M314" s="439"/>
      <x:c r="N314" s="114" t="str">
        <x:f>IF(COUNTA($A314:$M314)=0,"",IF(OR(LOWER($F314&amp;"")="subscription",LOWER($F314&amp;"")="membership"),"",IF($G314="","",IF(ISNUMBER(SEARCH("non",LOWER($E314&amp;""))),$G314*0.85,$G314))))</x:f>
      </x:c>
      <x:c r="O314" s="114" t="str">
        <x:f>IF(COUNTA($A314:$M314)=0,"",IF(OR(LOWER($F314&amp;"")="subscription",LOWER($F314&amp;"")="membership"),"",IF(OR($N314="",$I314="",$I314=0),"",IFERROR($N314/$I314,""))))</x:f>
      </x:c>
      <x:c r="P314" s="114" t="str">
        <x:f>IF(COUNTA($A314:$M314)=0,"",IF(OR(LOWER($F314&amp;"")="subscription",LOWER($F314&amp;"")="membership"),"",IF(LOWER($L314&amp;"")="yes",0,IF($K314&lt;&gt;"",$K314,IF($O314&lt;&gt;"",$O314,"")))))</x:f>
      </x:c>
      <x:c r="Q314" s="114" t="str">
        <x:f>IF(COUNTA($A314:$M314)=0,"",IF(OR($U314="Subscription",$U314=""),"",IF($U314="Profit",ROUND(IFERROR($P314,0)-IFERROR($H314,0),2),0)))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IF(COUNTA($A314:$M314)=0,"",IF(OR(LOWER($F314&amp;"")="subscription",LOWER($F314&amp;"")="membership"),"Subscription",IF(OR(AND($H314&lt;&gt;"",$H314=0),LOWER($F314&amp;"")="free game",LOWER($F314&amp;"")="free",LOWER($F314&amp;"")="free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IF(COUNTA($A314:$M314)=0,"",IF(OR($U314="Subscription",$U314=""),"",IF(OR($U314="Free Game",$U314="Disqualified — Free Game"),0,ROUND(IFERROR($Q314,0)-IFERROR($S314,0),2))))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455"/>
      <x:c r="H315" s="455"/>
      <x:c r="I315" s="456"/>
      <x:c r="J315" s="456"/>
      <x:c r="K315" s="455"/>
      <x:c r="L315" s="454"/>
      <x:c r="M315" s="439"/>
      <x:c r="N315" s="114" t="str">
        <x:f>IF(COUNTA($A315:$M315)=0,"",IF(OR(LOWER($F315&amp;"")="subscription",LOWER($F315&amp;"")="membership"),"",IF($G315="","",IF(ISNUMBER(SEARCH("non",LOWER($E315&amp;""))),$G315*0.85,$G315))))</x:f>
      </x:c>
      <x:c r="O315" s="114" t="str">
        <x:f>IF(COUNTA($A315:$M315)=0,"",IF(OR(LOWER($F315&amp;"")="subscription",LOWER($F315&amp;"")="membership"),"",IF(OR($N315="",$I315="",$I315=0),"",IFERROR($N315/$I315,""))))</x:f>
      </x:c>
      <x:c r="P315" s="114" t="str">
        <x:f>IF(COUNTA($A315:$M315)=0,"",IF(OR(LOWER($F315&amp;"")="subscription",LOWER($F315&amp;"")="membership"),"",IF(LOWER($L315&amp;"")="yes",0,IF($K315&lt;&gt;"",$K315,IF($O315&lt;&gt;"",$O315,"")))))</x:f>
      </x:c>
      <x:c r="Q315" s="114" t="str">
        <x:f>IF(COUNTA($A315:$M315)=0,"",IF(OR($U315="Subscription",$U315=""),"",IF($U315="Profit",ROUND(IFERROR($P315,0)-IFERROR($H315,0),2),0)))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IF(COUNTA($A315:$M315)=0,"",IF(OR(LOWER($F315&amp;"")="subscription",LOWER($F315&amp;"")="membership"),"Subscription",IF(OR(AND($H315&lt;&gt;"",$H315=0),LOWER($F315&amp;"")="free game",LOWER($F315&amp;"")="free",LOWER($F315&amp;"")="free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IF(COUNTA($A315:$M315)=0,"",IF(OR($U315="Subscription",$U315=""),"",IF(OR($U315="Free Game",$U315="Disqualified — Free Game"),0,ROUND(IFERROR($Q315,0)-IFERROR($S315,0),2))))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455"/>
      <x:c r="H316" s="455"/>
      <x:c r="I316" s="456"/>
      <x:c r="J316" s="456"/>
      <x:c r="K316" s="455"/>
      <x:c r="L316" s="454"/>
      <x:c r="M316" s="439"/>
      <x:c r="N316" s="114" t="str">
        <x:f>IF(COUNTA($A316:$M316)=0,"",IF(OR(LOWER($F316&amp;"")="subscription",LOWER($F316&amp;"")="membership"),"",IF($G316="","",IF(ISNUMBER(SEARCH("non",LOWER($E316&amp;""))),$G316*0.85,$G316))))</x:f>
      </x:c>
      <x:c r="O316" s="114" t="str">
        <x:f>IF(COUNTA($A316:$M316)=0,"",IF(OR(LOWER($F316&amp;"")="subscription",LOWER($F316&amp;"")="membership"),"",IF(OR($N316="",$I316="",$I316=0),"",IFERROR($N316/$I316,""))))</x:f>
      </x:c>
      <x:c r="P316" s="114" t="str">
        <x:f>IF(COUNTA($A316:$M316)=0,"",IF(OR(LOWER($F316&amp;"")="subscription",LOWER($F316&amp;"")="membership"),"",IF(LOWER($L316&amp;"")="yes",0,IF($K316&lt;&gt;"",$K316,IF($O316&lt;&gt;"",$O316,"")))))</x:f>
      </x:c>
      <x:c r="Q316" s="114" t="str">
        <x:f>IF(COUNTA($A316:$M316)=0,"",IF(OR($U316="Subscription",$U316=""),"",IF($U316="Profit",ROUND(IFERROR($P316,0)-IFERROR($H316,0),2),0)))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IF(COUNTA($A316:$M316)=0,"",IF(OR(LOWER($F316&amp;"")="subscription",LOWER($F316&amp;"")="membership"),"Subscription",IF(OR(AND($H316&lt;&gt;"",$H316=0),LOWER($F316&amp;"")="free game",LOWER($F316&amp;"")="free",LOWER($F316&amp;"")="free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IF(COUNTA($A316:$M316)=0,"",IF(OR($U316="Subscription",$U316=""),"",IF(OR($U316="Free Game",$U316="Disqualified — Free Game"),0,ROUND(IFERROR($Q316,0)-IFERROR($S316,0),2))))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455"/>
      <x:c r="H317" s="455"/>
      <x:c r="I317" s="456"/>
      <x:c r="J317" s="456"/>
      <x:c r="K317" s="455"/>
      <x:c r="L317" s="454"/>
      <x:c r="M317" s="439"/>
      <x:c r="N317" s="114" t="str">
        <x:f>IF(COUNTA($A317:$M317)=0,"",IF(OR(LOWER($F317&amp;"")="subscription",LOWER($F317&amp;"")="membership"),"",IF($G317="","",IF(ISNUMBER(SEARCH("non",LOWER($E317&amp;""))),$G317*0.85,$G317))))</x:f>
      </x:c>
      <x:c r="O317" s="114" t="str">
        <x:f>IF(COUNTA($A317:$M317)=0,"",IF(OR(LOWER($F317&amp;"")="subscription",LOWER($F317&amp;"")="membership"),"",IF(OR($N317="",$I317="",$I317=0),"",IFERROR($N317/$I317,""))))</x:f>
      </x:c>
      <x:c r="P317" s="114" t="str">
        <x:f>IF(COUNTA($A317:$M317)=0,"",IF(OR(LOWER($F317&amp;"")="subscription",LOWER($F317&amp;"")="membership"),"",IF(LOWER($L317&amp;"")="yes",0,IF($K317&lt;&gt;"",$K317,IF($O317&lt;&gt;"",$O317,"")))))</x:f>
      </x:c>
      <x:c r="Q317" s="114" t="str">
        <x:f>IF(COUNTA($A317:$M317)=0,"",IF(OR($U317="Subscription",$U317=""),"",IF($U317="Profit",ROUND(IFERROR($P317,0)-IFERROR($H317,0),2),0)))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IF(COUNTA($A317:$M317)=0,"",IF(OR(LOWER($F317&amp;"")="subscription",LOWER($F317&amp;"")="membership"),"Subscription",IF(OR(AND($H317&lt;&gt;"",$H317=0),LOWER($F317&amp;"")="free game",LOWER($F317&amp;"")="free",LOWER($F317&amp;"")="free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IF(COUNTA($A317:$M317)=0,"",IF(OR($U317="Subscription",$U317=""),"",IF(OR($U317="Free Game",$U317="Disqualified — Free Game"),0,ROUND(IFERROR($Q317,0)-IFERROR($S317,0),2))))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455"/>
      <x:c r="H318" s="455"/>
      <x:c r="I318" s="456"/>
      <x:c r="J318" s="456"/>
      <x:c r="K318" s="455"/>
      <x:c r="L318" s="454"/>
      <x:c r="M318" s="439"/>
      <x:c r="N318" s="114" t="str">
        <x:f>IF(COUNTA($A318:$M318)=0,"",IF(OR(LOWER($F318&amp;"")="subscription",LOWER($F318&amp;"")="membership"),"",IF($G318="","",IF(ISNUMBER(SEARCH("non",LOWER($E318&amp;""))),$G318*0.85,$G318))))</x:f>
      </x:c>
      <x:c r="O318" s="114" t="str">
        <x:f>IF(COUNTA($A318:$M318)=0,"",IF(OR(LOWER($F318&amp;"")="subscription",LOWER($F318&amp;"")="membership"),"",IF(OR($N318="",$I318="",$I318=0),"",IFERROR($N318/$I318,""))))</x:f>
      </x:c>
      <x:c r="P318" s="114" t="str">
        <x:f>IF(COUNTA($A318:$M318)=0,"",IF(OR(LOWER($F318&amp;"")="subscription",LOWER($F318&amp;"")="membership"),"",IF(LOWER($L318&amp;"")="yes",0,IF($K318&lt;&gt;"",$K318,IF($O318&lt;&gt;"",$O318,"")))))</x:f>
      </x:c>
      <x:c r="Q318" s="114" t="str">
        <x:f>IF(COUNTA($A318:$M318)=0,"",IF(OR($U318="Subscription",$U318=""),"",IF($U318="Profit",ROUND(IFERROR($P318,0)-IFERROR($H318,0),2),0)))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IF(COUNTA($A318:$M318)=0,"",IF(OR(LOWER($F318&amp;"")="subscription",LOWER($F318&amp;"")="membership"),"Subscription",IF(OR(AND($H318&lt;&gt;"",$H318=0),LOWER($F318&amp;"")="free game",LOWER($F318&amp;"")="free",LOWER($F318&amp;"")="free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IF(COUNTA($A318:$M318)=0,"",IF(OR($U318="Subscription",$U318=""),"",IF(OR($U318="Free Game",$U318="Disqualified — Free Game"),0,ROUND(IFERROR($Q318,0)-IFERROR($S318,0),2))))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455"/>
      <x:c r="H319" s="455"/>
      <x:c r="I319" s="456"/>
      <x:c r="J319" s="456"/>
      <x:c r="K319" s="455"/>
      <x:c r="L319" s="454"/>
      <x:c r="M319" s="439"/>
      <x:c r="N319" s="114" t="str">
        <x:f>IF(COUNTA($A319:$M319)=0,"",IF(OR(LOWER($F319&amp;"")="subscription",LOWER($F319&amp;"")="membership"),"",IF($G319="","",IF(ISNUMBER(SEARCH("non",LOWER($E319&amp;""))),$G319*0.85,$G319))))</x:f>
      </x:c>
      <x:c r="O319" s="114" t="str">
        <x:f>IF(COUNTA($A319:$M319)=0,"",IF(OR(LOWER($F319&amp;"")="subscription",LOWER($F319&amp;"")="membership"),"",IF(OR($N319="",$I319="",$I319=0),"",IFERROR($N319/$I319,""))))</x:f>
      </x:c>
      <x:c r="P319" s="114" t="str">
        <x:f>IF(COUNTA($A319:$M319)=0,"",IF(OR(LOWER($F319&amp;"")="subscription",LOWER($F319&amp;"")="membership"),"",IF(LOWER($L319&amp;"")="yes",0,IF($K319&lt;&gt;"",$K319,IF($O319&lt;&gt;"",$O319,"")))))</x:f>
      </x:c>
      <x:c r="Q319" s="114" t="str">
        <x:f>IF(COUNTA($A319:$M319)=0,"",IF(OR($U319="Subscription",$U319=""),"",IF($U319="Profit",ROUND(IFERROR($P319,0)-IFERROR($H319,0),2),0)))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IF(COUNTA($A319:$M319)=0,"",IF(OR(LOWER($F319&amp;"")="subscription",LOWER($F319&amp;"")="membership"),"Subscription",IF(OR(AND($H319&lt;&gt;"",$H319=0),LOWER($F319&amp;"")="free game",LOWER($F319&amp;"")="free",LOWER($F319&amp;"")="free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IF(COUNTA($A319:$M319)=0,"",IF(OR($U319="Subscription",$U319=""),"",IF(OR($U319="Free Game",$U319="Disqualified — Free Game"),0,ROUND(IFERROR($Q319,0)-IFERROR($S319,0),2))))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455"/>
      <x:c r="H320" s="455"/>
      <x:c r="I320" s="456"/>
      <x:c r="J320" s="456"/>
      <x:c r="K320" s="455"/>
      <x:c r="L320" s="454"/>
      <x:c r="M320" s="439"/>
      <x:c r="N320" s="114" t="str">
        <x:f>IF(COUNTA($A320:$M320)=0,"",IF(OR(LOWER($F320&amp;"")="subscription",LOWER($F320&amp;"")="membership"),"",IF($G320="","",IF(ISNUMBER(SEARCH("non",LOWER($E320&amp;""))),$G320*0.85,$G320))))</x:f>
      </x:c>
      <x:c r="O320" s="114" t="str">
        <x:f>IF(COUNTA($A320:$M320)=0,"",IF(OR(LOWER($F320&amp;"")="subscription",LOWER($F320&amp;"")="membership"),"",IF(OR($N320="",$I320="",$I320=0),"",IFERROR($N320/$I320,""))))</x:f>
      </x:c>
      <x:c r="P320" s="114" t="str">
        <x:f>IF(COUNTA($A320:$M320)=0,"",IF(OR(LOWER($F320&amp;"")="subscription",LOWER($F320&amp;"")="membership"),"",IF(LOWER($L320&amp;"")="yes",0,IF($K320&lt;&gt;"",$K320,IF($O320&lt;&gt;"",$O320,"")))))</x:f>
      </x:c>
      <x:c r="Q320" s="114" t="str">
        <x:f>IF(COUNTA($A320:$M320)=0,"",IF(OR($U320="Subscription",$U320=""),"",IF($U320="Profit",ROUND(IFERROR($P320,0)-IFERROR($H320,0),2),0)))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IF(COUNTA($A320:$M320)=0,"",IF(OR(LOWER($F320&amp;"")="subscription",LOWER($F320&amp;"")="membership"),"Subscription",IF(OR(AND($H320&lt;&gt;"",$H320=0),LOWER($F320&amp;"")="free game",LOWER($F320&amp;"")="free",LOWER($F320&amp;"")="free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IF(COUNTA($A320:$M320)=0,"",IF(OR($U320="Subscription",$U320=""),"",IF(OR($U320="Free Game",$U320="Disqualified — Free Game"),0,ROUND(IFERROR($Q320,0)-IFERROR($S320,0),2))))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455"/>
      <x:c r="H321" s="455"/>
      <x:c r="I321" s="456"/>
      <x:c r="J321" s="456"/>
      <x:c r="K321" s="455"/>
      <x:c r="L321" s="454"/>
      <x:c r="M321" s="439"/>
      <x:c r="N321" s="114" t="str">
        <x:f>IF(COUNTA($A321:$M321)=0,"",IF(OR(LOWER($F321&amp;"")="subscription",LOWER($F321&amp;"")="membership"),"",IF($G321="","",IF(ISNUMBER(SEARCH("non",LOWER($E321&amp;""))),$G321*0.85,$G321))))</x:f>
      </x:c>
      <x:c r="O321" s="114" t="str">
        <x:f>IF(COUNTA($A321:$M321)=0,"",IF(OR(LOWER($F321&amp;"")="subscription",LOWER($F321&amp;"")="membership"),"",IF(OR($N321="",$I321="",$I321=0),"",IFERROR($N321/$I321,""))))</x:f>
      </x:c>
      <x:c r="P321" s="114" t="str">
        <x:f>IF(COUNTA($A321:$M321)=0,"",IF(OR(LOWER($F321&amp;"")="subscription",LOWER($F321&amp;"")="membership"),"",IF(LOWER($L321&amp;"")="yes",0,IF($K321&lt;&gt;"",$K321,IF($O321&lt;&gt;"",$O321,"")))))</x:f>
      </x:c>
      <x:c r="Q321" s="114" t="str">
        <x:f>IF(COUNTA($A321:$M321)=0,"",IF(OR($U321="Subscription",$U321=""),"",IF($U321="Profit",ROUND(IFERROR($P321,0)-IFERROR($H321,0),2),0)))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IF(COUNTA($A321:$M321)=0,"",IF(OR(LOWER($F321&amp;"")="subscription",LOWER($F321&amp;"")="membership"),"Subscription",IF(OR(AND($H321&lt;&gt;"",$H321=0),LOWER($F321&amp;"")="free game",LOWER($F321&amp;"")="free",LOWER($F321&amp;"")="free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IF(COUNTA($A321:$M321)=0,"",IF(OR($U321="Subscription",$U321=""),"",IF(OR($U321="Free Game",$U321="Disqualified — Free Game"),0,ROUND(IFERROR($Q321,0)-IFERROR($S321,0),2))))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455"/>
      <x:c r="H322" s="455"/>
      <x:c r="I322" s="456"/>
      <x:c r="J322" s="456"/>
      <x:c r="K322" s="455"/>
      <x:c r="L322" s="454"/>
      <x:c r="M322" s="439"/>
      <x:c r="N322" s="114" t="str">
        <x:f>IF(COUNTA($A322:$M322)=0,"",IF(OR(LOWER($F322&amp;"")="subscription",LOWER($F322&amp;"")="membership"),"",IF($G322="","",IF(ISNUMBER(SEARCH("non",LOWER($E322&amp;""))),$G322*0.85,$G322))))</x:f>
      </x:c>
      <x:c r="O322" s="114" t="str">
        <x:f>IF(COUNTA($A322:$M322)=0,"",IF(OR(LOWER($F322&amp;"")="subscription",LOWER($F322&amp;"")="membership"),"",IF(OR($N322="",$I322="",$I322=0),"",IFERROR($N322/$I322,""))))</x:f>
      </x:c>
      <x:c r="P322" s="114" t="str">
        <x:f>IF(COUNTA($A322:$M322)=0,"",IF(OR(LOWER($F322&amp;"")="subscription",LOWER($F322&amp;"")="membership"),"",IF(LOWER($L322&amp;"")="yes",0,IF($K322&lt;&gt;"",$K322,IF($O322&lt;&gt;"",$O322,"")))))</x:f>
      </x:c>
      <x:c r="Q322" s="114" t="str">
        <x:f>IF(COUNTA($A322:$M322)=0,"",IF(OR($U322="Subscription",$U322=""),"",IF($U322="Profit",ROUND(IFERROR($P322,0)-IFERROR($H322,0),2),0)))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IF(COUNTA($A322:$M322)=0,"",IF(OR(LOWER($F322&amp;"")="subscription",LOWER($F322&amp;"")="membership"),"Subscription",IF(OR(AND($H322&lt;&gt;"",$H322=0),LOWER($F322&amp;"")="free game",LOWER($F322&amp;"")="free",LOWER($F322&amp;"")="free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IF(COUNTA($A322:$M322)=0,"",IF(OR($U322="Subscription",$U322=""),"",IF(OR($U322="Free Game",$U322="Disqualified — Free Game"),0,ROUND(IFERROR($Q322,0)-IFERROR($S322,0),2))))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455"/>
      <x:c r="H323" s="455"/>
      <x:c r="I323" s="456"/>
      <x:c r="J323" s="456"/>
      <x:c r="K323" s="455"/>
      <x:c r="L323" s="454"/>
      <x:c r="M323" s="439"/>
      <x:c r="N323" s="114" t="str">
        <x:f>IF(COUNTA($A323:$M323)=0,"",IF(OR(LOWER($F323&amp;"")="subscription",LOWER($F323&amp;"")="membership"),"",IF($G323="","",IF(ISNUMBER(SEARCH("non",LOWER($E323&amp;""))),$G323*0.85,$G323))))</x:f>
      </x:c>
      <x:c r="O323" s="114" t="str">
        <x:f>IF(COUNTA($A323:$M323)=0,"",IF(OR(LOWER($F323&amp;"")="subscription",LOWER($F323&amp;"")="membership"),"",IF(OR($N323="",$I323="",$I323=0),"",IFERROR($N323/$I323,""))))</x:f>
      </x:c>
      <x:c r="P323" s="114" t="str">
        <x:f>IF(COUNTA($A323:$M323)=0,"",IF(OR(LOWER($F323&amp;"")="subscription",LOWER($F323&amp;"")="membership"),"",IF(LOWER($L323&amp;"")="yes",0,IF($K323&lt;&gt;"",$K323,IF($O323&lt;&gt;"",$O323,"")))))</x:f>
      </x:c>
      <x:c r="Q323" s="114" t="str">
        <x:f>IF(COUNTA($A323:$M323)=0,"",IF(OR($U323="Subscription",$U323=""),"",IF($U323="Profit",ROUND(IFERROR($P323,0)-IFERROR($H323,0),2),0)))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IF(COUNTA($A323:$M323)=0,"",IF(OR(LOWER($F323&amp;"")="subscription",LOWER($F323&amp;"")="membership"),"Subscription",IF(OR(AND($H323&lt;&gt;"",$H323=0),LOWER($F323&amp;"")="free game",LOWER($F323&amp;"")="free",LOWER($F323&amp;"")="free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IF(COUNTA($A323:$M323)=0,"",IF(OR($U323="Subscription",$U323=""),"",IF(OR($U323="Free Game",$U323="Disqualified — Free Game"),0,ROUND(IFERROR($Q323,0)-IFERROR($S323,0),2))))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455"/>
      <x:c r="H324" s="455"/>
      <x:c r="I324" s="456"/>
      <x:c r="J324" s="456"/>
      <x:c r="K324" s="455"/>
      <x:c r="L324" s="454"/>
      <x:c r="M324" s="439"/>
      <x:c r="N324" s="114" t="str">
        <x:f>IF(COUNTA($A324:$M324)=0,"",IF(OR(LOWER($F324&amp;"")="subscription",LOWER($F324&amp;"")="membership"),"",IF($G324="","",IF(ISNUMBER(SEARCH("non",LOWER($E324&amp;""))),$G324*0.85,$G324))))</x:f>
      </x:c>
      <x:c r="O324" s="114" t="str">
        <x:f>IF(COUNTA($A324:$M324)=0,"",IF(OR(LOWER($F324&amp;"")="subscription",LOWER($F324&amp;"")="membership"),"",IF(OR($N324="",$I324="",$I324=0),"",IFERROR($N324/$I324,""))))</x:f>
      </x:c>
      <x:c r="P324" s="114" t="str">
        <x:f>IF(COUNTA($A324:$M324)=0,"",IF(OR(LOWER($F324&amp;"")="subscription",LOWER($F324&amp;"")="membership"),"",IF(LOWER($L324&amp;"")="yes",0,IF($K324&lt;&gt;"",$K324,IF($O324&lt;&gt;"",$O324,"")))))</x:f>
      </x:c>
      <x:c r="Q324" s="114" t="str">
        <x:f>IF(COUNTA($A324:$M324)=0,"",IF(OR($U324="Subscription",$U324=""),"",IF($U324="Profit",ROUND(IFERROR($P324,0)-IFERROR($H324,0),2),0)))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IF(COUNTA($A324:$M324)=0,"",IF(OR(LOWER($F324&amp;"")="subscription",LOWER($F324&amp;"")="membership"),"Subscription",IF(OR(AND($H324&lt;&gt;"",$H324=0),LOWER($F324&amp;"")="free game",LOWER($F324&amp;"")="free",LOWER($F324&amp;"")="free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IF(COUNTA($A324:$M324)=0,"",IF(OR($U324="Subscription",$U324=""),"",IF(OR($U324="Free Game",$U324="Disqualified — Free Game"),0,ROUND(IFERROR($Q324,0)-IFERROR($S324,0),2))))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455"/>
      <x:c r="H325" s="455"/>
      <x:c r="I325" s="456"/>
      <x:c r="J325" s="456"/>
      <x:c r="K325" s="455"/>
      <x:c r="L325" s="454"/>
      <x:c r="M325" s="439"/>
      <x:c r="N325" s="114" t="str">
        <x:f>IF(COUNTA($A325:$M325)=0,"",IF(OR(LOWER($F325&amp;"")="subscription",LOWER($F325&amp;"")="membership"),"",IF($G325="","",IF(ISNUMBER(SEARCH("non",LOWER($E325&amp;""))),$G325*0.85,$G325))))</x:f>
      </x:c>
      <x:c r="O325" s="114" t="str">
        <x:f>IF(COUNTA($A325:$M325)=0,"",IF(OR(LOWER($F325&amp;"")="subscription",LOWER($F325&amp;"")="membership"),"",IF(OR($N325="",$I325="",$I325=0),"",IFERROR($N325/$I325,""))))</x:f>
      </x:c>
      <x:c r="P325" s="114" t="str">
        <x:f>IF(COUNTA($A325:$M325)=0,"",IF(OR(LOWER($F325&amp;"")="subscription",LOWER($F325&amp;"")="membership"),"",IF(LOWER($L325&amp;"")="yes",0,IF($K325&lt;&gt;"",$K325,IF($O325&lt;&gt;"",$O325,"")))))</x:f>
      </x:c>
      <x:c r="Q325" s="114" t="str">
        <x:f>IF(COUNTA($A325:$M325)=0,"",IF(OR($U325="Subscription",$U325=""),"",IF($U325="Profit",ROUND(IFERROR($P325,0)-IFERROR($H325,0),2),0)))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IF(COUNTA($A325:$M325)=0,"",IF(OR(LOWER($F325&amp;"")="subscription",LOWER($F325&amp;"")="membership"),"Subscription",IF(OR(AND($H325&lt;&gt;"",$H325=0),LOWER($F325&amp;"")="free game",LOWER($F325&amp;"")="free",LOWER($F325&amp;"")="free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IF(COUNTA($A325:$M325)=0,"",IF(OR($U325="Subscription",$U325=""),"",IF(OR($U325="Free Game",$U325="Disqualified — Free Game"),0,ROUND(IFERROR($Q325,0)-IFERROR($S325,0),2))))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455"/>
      <x:c r="H326" s="455"/>
      <x:c r="I326" s="456"/>
      <x:c r="J326" s="456"/>
      <x:c r="K326" s="455"/>
      <x:c r="L326" s="454"/>
      <x:c r="M326" s="439"/>
      <x:c r="N326" s="114" t="str">
        <x:f>IF(COUNTA($A326:$M326)=0,"",IF(OR(LOWER($F326&amp;"")="subscription",LOWER($F326&amp;"")="membership"),"",IF($G326="","",IF(ISNUMBER(SEARCH("non",LOWER($E326&amp;""))),$G326*0.85,$G326))))</x:f>
      </x:c>
      <x:c r="O326" s="114" t="str">
        <x:f>IF(COUNTA($A326:$M326)=0,"",IF(OR(LOWER($F326&amp;"")="subscription",LOWER($F326&amp;"")="membership"),"",IF(OR($N326="",$I326="",$I326=0),"",IFERROR($N326/$I326,""))))</x:f>
      </x:c>
      <x:c r="P326" s="114" t="str">
        <x:f>IF(COUNTA($A326:$M326)=0,"",IF(OR(LOWER($F326&amp;"")="subscription",LOWER($F326&amp;"")="membership"),"",IF(LOWER($L326&amp;"")="yes",0,IF($K326&lt;&gt;"",$K326,IF($O326&lt;&gt;"",$O326,"")))))</x:f>
      </x:c>
      <x:c r="Q326" s="114" t="str">
        <x:f>IF(COUNTA($A326:$M326)=0,"",IF(OR($U326="Subscription",$U326=""),"",IF($U326="Profit",ROUND(IFERROR($P326,0)-IFERROR($H326,0),2),0)))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IF(COUNTA($A326:$M326)=0,"",IF(OR(LOWER($F326&amp;"")="subscription",LOWER($F326&amp;"")="membership"),"Subscription",IF(OR(AND($H326&lt;&gt;"",$H326=0),LOWER($F326&amp;"")="free game",LOWER($F326&amp;"")="free",LOWER($F326&amp;"")="free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IF(COUNTA($A326:$M326)=0,"",IF(OR($U326="Subscription",$U326=""),"",IF(OR($U326="Free Game",$U326="Disqualified — Free Game"),0,ROUND(IFERROR($Q326,0)-IFERROR($S326,0),2))))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455"/>
      <x:c r="H327" s="455"/>
      <x:c r="I327" s="456"/>
      <x:c r="J327" s="456"/>
      <x:c r="K327" s="455"/>
      <x:c r="L327" s="454"/>
      <x:c r="M327" s="439"/>
      <x:c r="N327" s="114" t="str">
        <x:f>IF(COUNTA($A327:$M327)=0,"",IF(OR(LOWER($F327&amp;"")="subscription",LOWER($F327&amp;"")="membership"),"",IF($G327="","",IF(ISNUMBER(SEARCH("non",LOWER($E327&amp;""))),$G327*0.85,$G327))))</x:f>
      </x:c>
      <x:c r="O327" s="114" t="str">
        <x:f>IF(COUNTA($A327:$M327)=0,"",IF(OR(LOWER($F327&amp;"")="subscription",LOWER($F327&amp;"")="membership"),"",IF(OR($N327="",$I327="",$I327=0),"",IFERROR($N327/$I327,""))))</x:f>
      </x:c>
      <x:c r="P327" s="114" t="str">
        <x:f>IF(COUNTA($A327:$M327)=0,"",IF(OR(LOWER($F327&amp;"")="subscription",LOWER($F327&amp;"")="membership"),"",IF(LOWER($L327&amp;"")="yes",0,IF($K327&lt;&gt;"",$K327,IF($O327&lt;&gt;"",$O327,"")))))</x:f>
      </x:c>
      <x:c r="Q327" s="114" t="str">
        <x:f>IF(COUNTA($A327:$M327)=0,"",IF(OR($U327="Subscription",$U327=""),"",IF($U327="Profit",ROUND(IFERROR($P327,0)-IFERROR($H327,0),2),0)))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IF(COUNTA($A327:$M327)=0,"",IF(OR(LOWER($F327&amp;"")="subscription",LOWER($F327&amp;"")="membership"),"Subscription",IF(OR(AND($H327&lt;&gt;"",$H327=0),LOWER($F327&amp;"")="free game",LOWER($F327&amp;"")="free",LOWER($F327&amp;"")="free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IF(COUNTA($A327:$M327)=0,"",IF(OR($U327="Subscription",$U327=""),"",IF(OR($U327="Free Game",$U327="Disqualified — Free Game"),0,ROUND(IFERROR($Q327,0)-IFERROR($S327,0),2))))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455"/>
      <x:c r="H328" s="455"/>
      <x:c r="I328" s="456"/>
      <x:c r="J328" s="456"/>
      <x:c r="K328" s="455"/>
      <x:c r="L328" s="454"/>
      <x:c r="M328" s="439"/>
      <x:c r="N328" s="114" t="str">
        <x:f>IF(COUNTA($A328:$M328)=0,"",IF(OR(LOWER($F328&amp;"")="subscription",LOWER($F328&amp;"")="membership"),"",IF($G328="","",IF(ISNUMBER(SEARCH("non",LOWER($E328&amp;""))),$G328*0.85,$G328))))</x:f>
      </x:c>
      <x:c r="O328" s="114" t="str">
        <x:f>IF(COUNTA($A328:$M328)=0,"",IF(OR(LOWER($F328&amp;"")="subscription",LOWER($F328&amp;"")="membership"),"",IF(OR($N328="",$I328="",$I328=0),"",IFERROR($N328/$I328,""))))</x:f>
      </x:c>
      <x:c r="P328" s="114" t="str">
        <x:f>IF(COUNTA($A328:$M328)=0,"",IF(OR(LOWER($F328&amp;"")="subscription",LOWER($F328&amp;"")="membership"),"",IF(LOWER($L328&amp;"")="yes",0,IF($K328&lt;&gt;"",$K328,IF($O328&lt;&gt;"",$O328,"")))))</x:f>
      </x:c>
      <x:c r="Q328" s="114" t="str">
        <x:f>IF(COUNTA($A328:$M328)=0,"",IF(OR($U328="Subscription",$U328=""),"",IF($U328="Profit",ROUND(IFERROR($P328,0)-IFERROR($H328,0),2),0)))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IF(COUNTA($A328:$M328)=0,"",IF(OR(LOWER($F328&amp;"")="subscription",LOWER($F328&amp;"")="membership"),"Subscription",IF(OR(AND($H328&lt;&gt;"",$H328=0),LOWER($F328&amp;"")="free game",LOWER($F328&amp;"")="free",LOWER($F328&amp;"")="free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IF(COUNTA($A328:$M328)=0,"",IF(OR($U328="Subscription",$U328=""),"",IF(OR($U328="Free Game",$U328="Disqualified — Free Game"),0,ROUND(IFERROR($Q328,0)-IFERROR($S328,0),2))))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455"/>
      <x:c r="H329" s="455"/>
      <x:c r="I329" s="456"/>
      <x:c r="J329" s="456"/>
      <x:c r="K329" s="455"/>
      <x:c r="L329" s="454"/>
      <x:c r="M329" s="439"/>
      <x:c r="N329" s="114" t="str">
        <x:f>IF(COUNTA($A329:$M329)=0,"",IF(OR(LOWER($F329&amp;"")="subscription",LOWER($F329&amp;"")="membership"),"",IF($G329="","",IF(ISNUMBER(SEARCH("non",LOWER($E329&amp;""))),$G329*0.85,$G329))))</x:f>
      </x:c>
      <x:c r="O329" s="114" t="str">
        <x:f>IF(COUNTA($A329:$M329)=0,"",IF(OR(LOWER($F329&amp;"")="subscription",LOWER($F329&amp;"")="membership"),"",IF(OR($N329="",$I329="",$I329=0),"",IFERROR($N329/$I329,""))))</x:f>
      </x:c>
      <x:c r="P329" s="114" t="str">
        <x:f>IF(COUNTA($A329:$M329)=0,"",IF(OR(LOWER($F329&amp;"")="subscription",LOWER($F329&amp;"")="membership"),"",IF(LOWER($L329&amp;"")="yes",0,IF($K329&lt;&gt;"",$K329,IF($O329&lt;&gt;"",$O329,"")))))</x:f>
      </x:c>
      <x:c r="Q329" s="114" t="str">
        <x:f>IF(COUNTA($A329:$M329)=0,"",IF(OR($U329="Subscription",$U329=""),"",IF($U329="Profit",ROUND(IFERROR($P329,0)-IFERROR($H329,0),2),0)))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IF(COUNTA($A329:$M329)=0,"",IF(OR(LOWER($F329&amp;"")="subscription",LOWER($F329&amp;"")="membership"),"Subscription",IF(OR(AND($H329&lt;&gt;"",$H329=0),LOWER($F329&amp;"")="free game",LOWER($F329&amp;"")="free",LOWER($F329&amp;"")="free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IF(COUNTA($A329:$M329)=0,"",IF(OR($U329="Subscription",$U329=""),"",IF(OR($U329="Free Game",$U329="Disqualified — Free Game"),0,ROUND(IFERROR($Q329,0)-IFERROR($S329,0),2))))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455"/>
      <x:c r="H330" s="455"/>
      <x:c r="I330" s="456"/>
      <x:c r="J330" s="456"/>
      <x:c r="K330" s="455"/>
      <x:c r="L330" s="454"/>
      <x:c r="M330" s="439"/>
      <x:c r="N330" s="114" t="str">
        <x:f>IF(COUNTA($A330:$M330)=0,"",IF(OR(LOWER($F330&amp;"")="subscription",LOWER($F330&amp;"")="membership"),"",IF($G330="","",IF(ISNUMBER(SEARCH("non",LOWER($E330&amp;""))),$G330*0.85,$G330))))</x:f>
      </x:c>
      <x:c r="O330" s="114" t="str">
        <x:f>IF(COUNTA($A330:$M330)=0,"",IF(OR(LOWER($F330&amp;"")="subscription",LOWER($F330&amp;"")="membership"),"",IF(OR($N330="",$I330="",$I330=0),"",IFERROR($N330/$I330,""))))</x:f>
      </x:c>
      <x:c r="P330" s="114" t="str">
        <x:f>IF(COUNTA($A330:$M330)=0,"",IF(OR(LOWER($F330&amp;"")="subscription",LOWER($F330&amp;"")="membership"),"",IF(LOWER($L330&amp;"")="yes",0,IF($K330&lt;&gt;"",$K330,IF($O330&lt;&gt;"",$O330,"")))))</x:f>
      </x:c>
      <x:c r="Q330" s="114" t="str">
        <x:f>IF(COUNTA($A330:$M330)=0,"",IF(OR($U330="Subscription",$U330=""),"",IF($U330="Profit",ROUND(IFERROR($P330,0)-IFERROR($H330,0),2),0)))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IF(COUNTA($A330:$M330)=0,"",IF(OR(LOWER($F330&amp;"")="subscription",LOWER($F330&amp;"")="membership"),"Subscription",IF(OR(AND($H330&lt;&gt;"",$H330=0),LOWER($F330&amp;"")="free game",LOWER($F330&amp;"")="free",LOWER($F330&amp;"")="free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IF(COUNTA($A330:$M330)=0,"",IF(OR($U330="Subscription",$U330=""),"",IF(OR($U330="Free Game",$U330="Disqualified — Free Game"),0,ROUND(IFERROR($Q330,0)-IFERROR($S330,0),2))))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455"/>
      <x:c r="H331" s="455"/>
      <x:c r="I331" s="456"/>
      <x:c r="J331" s="456"/>
      <x:c r="K331" s="455"/>
      <x:c r="L331" s="454"/>
      <x:c r="M331" s="439"/>
      <x:c r="N331" s="114" t="str">
        <x:f>IF(COUNTA($A331:$M331)=0,"",IF(OR(LOWER($F331&amp;"")="subscription",LOWER($F331&amp;"")="membership"),"",IF($G331="","",IF(ISNUMBER(SEARCH("non",LOWER($E331&amp;""))),$G331*0.85,$G331))))</x:f>
      </x:c>
      <x:c r="O331" s="114" t="str">
        <x:f>IF(COUNTA($A331:$M331)=0,"",IF(OR(LOWER($F331&amp;"")="subscription",LOWER($F331&amp;"")="membership"),"",IF(OR($N331="",$I331="",$I331=0),"",IFERROR($N331/$I331,""))))</x:f>
      </x:c>
      <x:c r="P331" s="114" t="str">
        <x:f>IF(COUNTA($A331:$M331)=0,"",IF(OR(LOWER($F331&amp;"")="subscription",LOWER($F331&amp;"")="membership"),"",IF(LOWER($L331&amp;"")="yes",0,IF($K331&lt;&gt;"",$K331,IF($O331&lt;&gt;"",$O331,"")))))</x:f>
      </x:c>
      <x:c r="Q331" s="114" t="str">
        <x:f>IF(COUNTA($A331:$M331)=0,"",IF(OR($U331="Subscription",$U331=""),"",IF($U331="Profit",ROUND(IFERROR($P331,0)-IFERROR($H331,0),2),0)))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IF(COUNTA($A331:$M331)=0,"",IF(OR(LOWER($F331&amp;"")="subscription",LOWER($F331&amp;"")="membership"),"Subscription",IF(OR(AND($H331&lt;&gt;"",$H331=0),LOWER($F331&amp;"")="free game",LOWER($F331&amp;"")="free",LOWER($F331&amp;"")="free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IF(COUNTA($A331:$M331)=0,"",IF(OR($U331="Subscription",$U331=""),"",IF(OR($U331="Free Game",$U331="Disqualified — Free Game"),0,ROUND(IFERROR($Q331,0)-IFERROR($S331,0),2))))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455"/>
      <x:c r="H332" s="455"/>
      <x:c r="I332" s="456"/>
      <x:c r="J332" s="456"/>
      <x:c r="K332" s="455"/>
      <x:c r="L332" s="454"/>
      <x:c r="M332" s="439"/>
      <x:c r="N332" s="114" t="str">
        <x:f>IF(COUNTA($A332:$M332)=0,"",IF(OR(LOWER($F332&amp;"")="subscription",LOWER($F332&amp;"")="membership"),"",IF($G332="","",IF(ISNUMBER(SEARCH("non",LOWER($E332&amp;""))),$G332*0.85,$G332))))</x:f>
      </x:c>
      <x:c r="O332" s="114" t="str">
        <x:f>IF(COUNTA($A332:$M332)=0,"",IF(OR(LOWER($F332&amp;"")="subscription",LOWER($F332&amp;"")="membership"),"",IF(OR($N332="",$I332="",$I332=0),"",IFERROR($N332/$I332,""))))</x:f>
      </x:c>
      <x:c r="P332" s="114" t="str">
        <x:f>IF(COUNTA($A332:$M332)=0,"",IF(OR(LOWER($F332&amp;"")="subscription",LOWER($F332&amp;"")="membership"),"",IF(LOWER($L332&amp;"")="yes",0,IF($K332&lt;&gt;"",$K332,IF($O332&lt;&gt;"",$O332,"")))))</x:f>
      </x:c>
      <x:c r="Q332" s="114" t="str">
        <x:f>IF(COUNTA($A332:$M332)=0,"",IF(OR($U332="Subscription",$U332=""),"",IF($U332="Profit",ROUND(IFERROR($P332,0)-IFERROR($H332,0),2),0)))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IF(COUNTA($A332:$M332)=0,"",IF(OR(LOWER($F332&amp;"")="subscription",LOWER($F332&amp;"")="membership"),"Subscription",IF(OR(AND($H332&lt;&gt;"",$H332=0),LOWER($F332&amp;"")="free game",LOWER($F332&amp;"")="free",LOWER($F332&amp;"")="free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IF(COUNTA($A332:$M332)=0,"",IF(OR($U332="Subscription",$U332=""),"",IF(OR($U332="Free Game",$U332="Disqualified — Free Game"),0,ROUND(IFERROR($Q332,0)-IFERROR($S332,0),2))))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455"/>
      <x:c r="H333" s="455"/>
      <x:c r="I333" s="456"/>
      <x:c r="J333" s="456"/>
      <x:c r="K333" s="455"/>
      <x:c r="L333" s="454"/>
      <x:c r="M333" s="439"/>
      <x:c r="N333" s="114" t="str">
        <x:f>IF(COUNTA($A333:$M333)=0,"",IF(OR(LOWER($F333&amp;"")="subscription",LOWER($F333&amp;"")="membership"),"",IF($G333="","",IF(ISNUMBER(SEARCH("non",LOWER($E333&amp;""))),$G333*0.85,$G333))))</x:f>
      </x:c>
      <x:c r="O333" s="114" t="str">
        <x:f>IF(COUNTA($A333:$M333)=0,"",IF(OR(LOWER($F333&amp;"")="subscription",LOWER($F333&amp;"")="membership"),"",IF(OR($N333="",$I333="",$I333=0),"",IFERROR($N333/$I333,""))))</x:f>
      </x:c>
      <x:c r="P333" s="114" t="str">
        <x:f>IF(COUNTA($A333:$M333)=0,"",IF(OR(LOWER($F333&amp;"")="subscription",LOWER($F333&amp;"")="membership"),"",IF(LOWER($L333&amp;"")="yes",0,IF($K333&lt;&gt;"",$K333,IF($O333&lt;&gt;"",$O333,"")))))</x:f>
      </x:c>
      <x:c r="Q333" s="114" t="str">
        <x:f>IF(COUNTA($A333:$M333)=0,"",IF(OR($U333="Subscription",$U333=""),"",IF($U333="Profit",ROUND(IFERROR($P333,0)-IFERROR($H333,0),2),0)))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IF(COUNTA($A333:$M333)=0,"",IF(OR(LOWER($F333&amp;"")="subscription",LOWER($F333&amp;"")="membership"),"Subscription",IF(OR(AND($H333&lt;&gt;"",$H333=0),LOWER($F333&amp;"")="free game",LOWER($F333&amp;"")="free",LOWER($F333&amp;"")="free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IF(COUNTA($A333:$M333)=0,"",IF(OR($U333="Subscription",$U333=""),"",IF(OR($U333="Free Game",$U333="Disqualified — Free Game"),0,ROUND(IFERROR($Q333,0)-IFERROR($S333,0),2))))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455"/>
      <x:c r="H334" s="455"/>
      <x:c r="I334" s="456"/>
      <x:c r="J334" s="456"/>
      <x:c r="K334" s="455"/>
      <x:c r="L334" s="454"/>
      <x:c r="M334" s="439"/>
      <x:c r="N334" s="114" t="str">
        <x:f>IF(COUNTA($A334:$M334)=0,"",IF(OR(LOWER($F334&amp;"")="subscription",LOWER($F334&amp;"")="membership"),"",IF($G334="","",IF(ISNUMBER(SEARCH("non",LOWER($E334&amp;""))),$G334*0.85,$G334))))</x:f>
      </x:c>
      <x:c r="O334" s="114" t="str">
        <x:f>IF(COUNTA($A334:$M334)=0,"",IF(OR(LOWER($F334&amp;"")="subscription",LOWER($F334&amp;"")="membership"),"",IF(OR($N334="",$I334="",$I334=0),"",IFERROR($N334/$I334,""))))</x:f>
      </x:c>
      <x:c r="P334" s="114" t="str">
        <x:f>IF(COUNTA($A334:$M334)=0,"",IF(OR(LOWER($F334&amp;"")="subscription",LOWER($F334&amp;"")="membership"),"",IF(LOWER($L334&amp;"")="yes",0,IF($K334&lt;&gt;"",$K334,IF($O334&lt;&gt;"",$O334,"")))))</x:f>
      </x:c>
      <x:c r="Q334" s="114" t="str">
        <x:f>IF(COUNTA($A334:$M334)=0,"",IF(OR($U334="Subscription",$U334=""),"",IF($U334="Profit",ROUND(IFERROR($P334,0)-IFERROR($H334,0),2),0)))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IF(COUNTA($A334:$M334)=0,"",IF(OR(LOWER($F334&amp;"")="subscription",LOWER($F334&amp;"")="membership"),"Subscription",IF(OR(AND($H334&lt;&gt;"",$H334=0),LOWER($F334&amp;"")="free game",LOWER($F334&amp;"")="free",LOWER($F334&amp;"")="free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IF(COUNTA($A334:$M334)=0,"",IF(OR($U334="Subscription",$U334=""),"",IF(OR($U334="Free Game",$U334="Disqualified — Free Game"),0,ROUND(IFERROR($Q334,0)-IFERROR($S334,0),2))))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455"/>
      <x:c r="H335" s="455"/>
      <x:c r="I335" s="456"/>
      <x:c r="J335" s="456"/>
      <x:c r="K335" s="455"/>
      <x:c r="L335" s="454"/>
      <x:c r="M335" s="439"/>
      <x:c r="N335" s="114" t="str">
        <x:f>IF(COUNTA($A335:$M335)=0,"",IF(OR(LOWER($F335&amp;"")="subscription",LOWER($F335&amp;"")="membership"),"",IF($G335="","",IF(ISNUMBER(SEARCH("non",LOWER($E335&amp;""))),$G335*0.85,$G335))))</x:f>
      </x:c>
      <x:c r="O335" s="114" t="str">
        <x:f>IF(COUNTA($A335:$M335)=0,"",IF(OR(LOWER($F335&amp;"")="subscription",LOWER($F335&amp;"")="membership"),"",IF(OR($N335="",$I335="",$I335=0),"",IFERROR($N335/$I335,""))))</x:f>
      </x:c>
      <x:c r="P335" s="114" t="str">
        <x:f>IF(COUNTA($A335:$M335)=0,"",IF(OR(LOWER($F335&amp;"")="subscription",LOWER($F335&amp;"")="membership"),"",IF(LOWER($L335&amp;"")="yes",0,IF($K335&lt;&gt;"",$K335,IF($O335&lt;&gt;"",$O335,"")))))</x:f>
      </x:c>
      <x:c r="Q335" s="114" t="str">
        <x:f>IF(COUNTA($A335:$M335)=0,"",IF(OR($U335="Subscription",$U335=""),"",IF($U335="Profit",ROUND(IFERROR($P335,0)-IFERROR($H335,0),2),0)))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IF(COUNTA($A335:$M335)=0,"",IF(OR(LOWER($F335&amp;"")="subscription",LOWER($F335&amp;"")="membership"),"Subscription",IF(OR(AND($H335&lt;&gt;"",$H335=0),LOWER($F335&amp;"")="free game",LOWER($F335&amp;"")="free",LOWER($F335&amp;"")="free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IF(COUNTA($A335:$M335)=0,"",IF(OR($U335="Subscription",$U335=""),"",IF(OR($U335="Free Game",$U335="Disqualified — Free Game"),0,ROUND(IFERROR($Q335,0)-IFERROR($S335,0),2))))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455"/>
      <x:c r="H336" s="455"/>
      <x:c r="I336" s="456"/>
      <x:c r="J336" s="456"/>
      <x:c r="K336" s="455"/>
      <x:c r="L336" s="454"/>
      <x:c r="M336" s="439"/>
      <x:c r="N336" s="114" t="str">
        <x:f>IF(COUNTA($A336:$M336)=0,"",IF(OR(LOWER($F336&amp;"")="subscription",LOWER($F336&amp;"")="membership"),"",IF($G336="","",IF(ISNUMBER(SEARCH("non",LOWER($E336&amp;""))),$G336*0.85,$G336))))</x:f>
      </x:c>
      <x:c r="O336" s="114" t="str">
        <x:f>IF(COUNTA($A336:$M336)=0,"",IF(OR(LOWER($F336&amp;"")="subscription",LOWER($F336&amp;"")="membership"),"",IF(OR($N336="",$I336="",$I336=0),"",IFERROR($N336/$I336,""))))</x:f>
      </x:c>
      <x:c r="P336" s="114" t="str">
        <x:f>IF(COUNTA($A336:$M336)=0,"",IF(OR(LOWER($F336&amp;"")="subscription",LOWER($F336&amp;"")="membership"),"",IF(LOWER($L336&amp;"")="yes",0,IF($K336&lt;&gt;"",$K336,IF($O336&lt;&gt;"",$O336,"")))))</x:f>
      </x:c>
      <x:c r="Q336" s="114" t="str">
        <x:f>IF(COUNTA($A336:$M336)=0,"",IF(OR($U336="Subscription",$U336=""),"",IF($U336="Profit",ROUND(IFERROR($P336,0)-IFERROR($H336,0),2),0)))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IF(COUNTA($A336:$M336)=0,"",IF(OR(LOWER($F336&amp;"")="subscription",LOWER($F336&amp;"")="membership"),"Subscription",IF(OR(AND($H336&lt;&gt;"",$H336=0),LOWER($F336&amp;"")="free game",LOWER($F336&amp;"")="free",LOWER($F336&amp;"")="free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IF(COUNTA($A336:$M336)=0,"",IF(OR($U336="Subscription",$U336=""),"",IF(OR($U336="Free Game",$U336="Disqualified — Free Game"),0,ROUND(IFERROR($Q336,0)-IFERROR($S336,0),2))))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455"/>
      <x:c r="H337" s="455"/>
      <x:c r="I337" s="456"/>
      <x:c r="J337" s="456"/>
      <x:c r="K337" s="455"/>
      <x:c r="L337" s="454"/>
      <x:c r="M337" s="439"/>
      <x:c r="N337" s="114" t="str">
        <x:f>IF(COUNTA($A337:$M337)=0,"",IF(OR(LOWER($F337&amp;"")="subscription",LOWER($F337&amp;"")="membership"),"",IF($G337="","",IF(ISNUMBER(SEARCH("non",LOWER($E337&amp;""))),$G337*0.85,$G337))))</x:f>
      </x:c>
      <x:c r="O337" s="114" t="str">
        <x:f>IF(COUNTA($A337:$M337)=0,"",IF(OR(LOWER($F337&amp;"")="subscription",LOWER($F337&amp;"")="membership"),"",IF(OR($N337="",$I337="",$I337=0),"",IFERROR($N337/$I337,""))))</x:f>
      </x:c>
      <x:c r="P337" s="114" t="str">
        <x:f>IF(COUNTA($A337:$M337)=0,"",IF(OR(LOWER($F337&amp;"")="subscription",LOWER($F337&amp;"")="membership"),"",IF(LOWER($L337&amp;"")="yes",0,IF($K337&lt;&gt;"",$K337,IF($O337&lt;&gt;"",$O337,"")))))</x:f>
      </x:c>
      <x:c r="Q337" s="114" t="str">
        <x:f>IF(COUNTA($A337:$M337)=0,"",IF(OR($U337="Subscription",$U337=""),"",IF($U337="Profit",ROUND(IFERROR($P337,0)-IFERROR($H337,0),2),0)))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IF(COUNTA($A337:$M337)=0,"",IF(OR(LOWER($F337&amp;"")="subscription",LOWER($F337&amp;"")="membership"),"Subscription",IF(OR(AND($H337&lt;&gt;"",$H337=0),LOWER($F337&amp;"")="free game",LOWER($F337&amp;"")="free",LOWER($F337&amp;"")="free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IF(COUNTA($A337:$M337)=0,"",IF(OR($U337="Subscription",$U337=""),"",IF(OR($U337="Free Game",$U337="Disqualified — Free Game"),0,ROUND(IFERROR($Q337,0)-IFERROR($S337,0),2))))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455"/>
      <x:c r="H338" s="455"/>
      <x:c r="I338" s="456"/>
      <x:c r="J338" s="456"/>
      <x:c r="K338" s="455"/>
      <x:c r="L338" s="454"/>
      <x:c r="M338" s="439"/>
      <x:c r="N338" s="114" t="str">
        <x:f>IF(COUNTA($A338:$M338)=0,"",IF(OR(LOWER($F338&amp;"")="subscription",LOWER($F338&amp;"")="membership"),"",IF($G338="","",IF(ISNUMBER(SEARCH("non",LOWER($E338&amp;""))),$G338*0.85,$G338))))</x:f>
      </x:c>
      <x:c r="O338" s="114" t="str">
        <x:f>IF(COUNTA($A338:$M338)=0,"",IF(OR(LOWER($F338&amp;"")="subscription",LOWER($F338&amp;"")="membership"),"",IF(OR($N338="",$I338="",$I338=0),"",IFERROR($N338/$I338,""))))</x:f>
      </x:c>
      <x:c r="P338" s="114" t="str">
        <x:f>IF(COUNTA($A338:$M338)=0,"",IF(OR(LOWER($F338&amp;"")="subscription",LOWER($F338&amp;"")="membership"),"",IF(LOWER($L338&amp;"")="yes",0,IF($K338&lt;&gt;"",$K338,IF($O338&lt;&gt;"",$O338,"")))))</x:f>
      </x:c>
      <x:c r="Q338" s="114" t="str">
        <x:f>IF(COUNTA($A338:$M338)=0,"",IF(OR($U338="Subscription",$U338=""),"",IF($U338="Profit",ROUND(IFERROR($P338,0)-IFERROR($H338,0),2),0)))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IF(COUNTA($A338:$M338)=0,"",IF(OR(LOWER($F338&amp;"")="subscription",LOWER($F338&amp;"")="membership"),"Subscription",IF(OR(AND($H338&lt;&gt;"",$H338=0),LOWER($F338&amp;"")="free game",LOWER($F338&amp;"")="free",LOWER($F338&amp;"")="free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IF(COUNTA($A338:$M338)=0,"",IF(OR($U338="Subscription",$U338=""),"",IF(OR($U338="Free Game",$U338="Disqualified — Free Game"),0,ROUND(IFERROR($Q338,0)-IFERROR($S338,0),2))))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455"/>
      <x:c r="H339" s="455"/>
      <x:c r="I339" s="456"/>
      <x:c r="J339" s="456"/>
      <x:c r="K339" s="455"/>
      <x:c r="L339" s="454"/>
      <x:c r="M339" s="439"/>
      <x:c r="N339" s="114" t="str">
        <x:f>IF(COUNTA($A339:$M339)=0,"",IF(OR(LOWER($F339&amp;"")="subscription",LOWER($F339&amp;"")="membership"),"",IF($G339="","",IF(ISNUMBER(SEARCH("non",LOWER($E339&amp;""))),$G339*0.85,$G339))))</x:f>
      </x:c>
      <x:c r="O339" s="114" t="str">
        <x:f>IF(COUNTA($A339:$M339)=0,"",IF(OR(LOWER($F339&amp;"")="subscription",LOWER($F339&amp;"")="membership"),"",IF(OR($N339="",$I339="",$I339=0),"",IFERROR($N339/$I339,""))))</x:f>
      </x:c>
      <x:c r="P339" s="114" t="str">
        <x:f>IF(COUNTA($A339:$M339)=0,"",IF(OR(LOWER($F339&amp;"")="subscription",LOWER($F339&amp;"")="membership"),"",IF(LOWER($L339&amp;"")="yes",0,IF($K339&lt;&gt;"",$K339,IF($O339&lt;&gt;"",$O339,"")))))</x:f>
      </x:c>
      <x:c r="Q339" s="114" t="str">
        <x:f>IF(COUNTA($A339:$M339)=0,"",IF(OR($U339="Subscription",$U339=""),"",IF($U339="Profit",ROUND(IFERROR($P339,0)-IFERROR($H339,0),2),0)))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IF(COUNTA($A339:$M339)=0,"",IF(OR(LOWER($F339&amp;"")="subscription",LOWER($F339&amp;"")="membership"),"Subscription",IF(OR(AND($H339&lt;&gt;"",$H339=0),LOWER($F339&amp;"")="free game",LOWER($F339&amp;"")="free",LOWER($F339&amp;"")="free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IF(COUNTA($A339:$M339)=0,"",IF(OR($U339="Subscription",$U339=""),"",IF(OR($U339="Free Game",$U339="Disqualified — Free Game"),0,ROUND(IFERROR($Q339,0)-IFERROR($S339,0),2))))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455"/>
      <x:c r="H340" s="455"/>
      <x:c r="I340" s="456"/>
      <x:c r="J340" s="456"/>
      <x:c r="K340" s="455"/>
      <x:c r="L340" s="454"/>
      <x:c r="M340" s="439"/>
      <x:c r="N340" s="114" t="str">
        <x:f>IF(COUNTA($A340:$M340)=0,"",IF(OR(LOWER($F340&amp;"")="subscription",LOWER($F340&amp;"")="membership"),"",IF($G340="","",IF(ISNUMBER(SEARCH("non",LOWER($E340&amp;""))),$G340*0.85,$G340))))</x:f>
      </x:c>
      <x:c r="O340" s="114" t="str">
        <x:f>IF(COUNTA($A340:$M340)=0,"",IF(OR(LOWER($F340&amp;"")="subscription",LOWER($F340&amp;"")="membership"),"",IF(OR($N340="",$I340="",$I340=0),"",IFERROR($N340/$I340,""))))</x:f>
      </x:c>
      <x:c r="P340" s="114" t="str">
        <x:f>IF(COUNTA($A340:$M340)=0,"",IF(OR(LOWER($F340&amp;"")="subscription",LOWER($F340&amp;"")="membership"),"",IF(LOWER($L340&amp;"")="yes",0,IF($K340&lt;&gt;"",$K340,IF($O340&lt;&gt;"",$O340,"")))))</x:f>
      </x:c>
      <x:c r="Q340" s="114" t="str">
        <x:f>IF(COUNTA($A340:$M340)=0,"",IF(OR($U340="Subscription",$U340=""),"",IF($U340="Profit",ROUND(IFERROR($P340,0)-IFERROR($H340,0),2),0)))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IF(COUNTA($A340:$M340)=0,"",IF(OR(LOWER($F340&amp;"")="subscription",LOWER($F340&amp;"")="membership"),"Subscription",IF(OR(AND($H340&lt;&gt;"",$H340=0),LOWER($F340&amp;"")="free game",LOWER($F340&amp;"")="free",LOWER($F340&amp;"")="free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IF(COUNTA($A340:$M340)=0,"",IF(OR($U340="Subscription",$U340=""),"",IF(OR($U340="Free Game",$U340="Disqualified — Free Game"),0,ROUND(IFERROR($Q340,0)-IFERROR($S340,0),2))))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455"/>
      <x:c r="H341" s="455"/>
      <x:c r="I341" s="456"/>
      <x:c r="J341" s="456"/>
      <x:c r="K341" s="455"/>
      <x:c r="L341" s="454"/>
      <x:c r="M341" s="439"/>
      <x:c r="N341" s="114" t="str">
        <x:f>IF(COUNTA($A341:$M341)=0,"",IF(OR(LOWER($F341&amp;"")="subscription",LOWER($F341&amp;"")="membership"),"",IF($G341="","",IF(ISNUMBER(SEARCH("non",LOWER($E341&amp;""))),$G341*0.85,$G341))))</x:f>
      </x:c>
      <x:c r="O341" s="114" t="str">
        <x:f>IF(COUNTA($A341:$M341)=0,"",IF(OR(LOWER($F341&amp;"")="subscription",LOWER($F341&amp;"")="membership"),"",IF(OR($N341="",$I341="",$I341=0),"",IFERROR($N341/$I341,""))))</x:f>
      </x:c>
      <x:c r="P341" s="114" t="str">
        <x:f>IF(COUNTA($A341:$M341)=0,"",IF(OR(LOWER($F341&amp;"")="subscription",LOWER($F341&amp;"")="membership"),"",IF(LOWER($L341&amp;"")="yes",0,IF($K341&lt;&gt;"",$K341,IF($O341&lt;&gt;"",$O341,"")))))</x:f>
      </x:c>
      <x:c r="Q341" s="114" t="str">
        <x:f>IF(COUNTA($A341:$M341)=0,"",IF(OR($U341="Subscription",$U341=""),"",IF($U341="Profit",ROUND(IFERROR($P341,0)-IFERROR($H341,0),2),0)))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IF(COUNTA($A341:$M341)=0,"",IF(OR(LOWER($F341&amp;"")="subscription",LOWER($F341&amp;"")="membership"),"Subscription",IF(OR(AND($H341&lt;&gt;"",$H341=0),LOWER($F341&amp;"")="free game",LOWER($F341&amp;"")="free",LOWER($F341&amp;"")="free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IF(COUNTA($A341:$M341)=0,"",IF(OR($U341="Subscription",$U341=""),"",IF(OR($U341="Free Game",$U341="Disqualified — Free Game"),0,ROUND(IFERROR($Q341,0)-IFERROR($S341,0),2))))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455"/>
      <x:c r="H342" s="455"/>
      <x:c r="I342" s="456"/>
      <x:c r="J342" s="456"/>
      <x:c r="K342" s="455"/>
      <x:c r="L342" s="454"/>
      <x:c r="M342" s="439"/>
      <x:c r="N342" s="114" t="str">
        <x:f>IF(COUNTA($A342:$M342)=0,"",IF(OR(LOWER($F342&amp;"")="subscription",LOWER($F342&amp;"")="membership"),"",IF($G342="","",IF(ISNUMBER(SEARCH("non",LOWER($E342&amp;""))),$G342*0.85,$G342))))</x:f>
      </x:c>
      <x:c r="O342" s="114" t="str">
        <x:f>IF(COUNTA($A342:$M342)=0,"",IF(OR(LOWER($F342&amp;"")="subscription",LOWER($F342&amp;"")="membership"),"",IF(OR($N342="",$I342="",$I342=0),"",IFERROR($N342/$I342,""))))</x:f>
      </x:c>
      <x:c r="P342" s="114" t="str">
        <x:f>IF(COUNTA($A342:$M342)=0,"",IF(OR(LOWER($F342&amp;"")="subscription",LOWER($F342&amp;"")="membership"),"",IF(LOWER($L342&amp;"")="yes",0,IF($K342&lt;&gt;"",$K342,IF($O342&lt;&gt;"",$O342,"")))))</x:f>
      </x:c>
      <x:c r="Q342" s="114" t="str">
        <x:f>IF(COUNTA($A342:$M342)=0,"",IF(OR($U342="Subscription",$U342=""),"",IF($U342="Profit",ROUND(IFERROR($P342,0)-IFERROR($H342,0),2),0)))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IF(COUNTA($A342:$M342)=0,"",IF(OR(LOWER($F342&amp;"")="subscription",LOWER($F342&amp;"")="membership"),"Subscription",IF(OR(AND($H342&lt;&gt;"",$H342=0),LOWER($F342&amp;"")="free game",LOWER($F342&amp;"")="free",LOWER($F342&amp;"")="free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IF(COUNTA($A342:$M342)=0,"",IF(OR($U342="Subscription",$U342=""),"",IF(OR($U342="Free Game",$U342="Disqualified — Free Game"),0,ROUND(IFERROR($Q342,0)-IFERROR($S342,0),2))))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455"/>
      <x:c r="H343" s="455"/>
      <x:c r="I343" s="456"/>
      <x:c r="J343" s="456"/>
      <x:c r="K343" s="455"/>
      <x:c r="L343" s="454"/>
      <x:c r="M343" s="439"/>
      <x:c r="N343" s="114" t="str">
        <x:f>IF(COUNTA($A343:$M343)=0,"",IF(OR(LOWER($F343&amp;"")="subscription",LOWER($F343&amp;"")="membership"),"",IF($G343="","",IF(ISNUMBER(SEARCH("non",LOWER($E343&amp;""))),$G343*0.85,$G343))))</x:f>
      </x:c>
      <x:c r="O343" s="114" t="str">
        <x:f>IF(COUNTA($A343:$M343)=0,"",IF(OR(LOWER($F343&amp;"")="subscription",LOWER($F343&amp;"")="membership"),"",IF(OR($N343="",$I343="",$I343=0),"",IFERROR($N343/$I343,""))))</x:f>
      </x:c>
      <x:c r="P343" s="114" t="str">
        <x:f>IF(COUNTA($A343:$M343)=0,"",IF(OR(LOWER($F343&amp;"")="subscription",LOWER($F343&amp;"")="membership"),"",IF(LOWER($L343&amp;"")="yes",0,IF($K343&lt;&gt;"",$K343,IF($O343&lt;&gt;"",$O343,"")))))</x:f>
      </x:c>
      <x:c r="Q343" s="114" t="str">
        <x:f>IF(COUNTA($A343:$M343)=0,"",IF(OR($U343="Subscription",$U343=""),"",IF($U343="Profit",ROUND(IFERROR($P343,0)-IFERROR($H343,0),2),0)))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IF(COUNTA($A343:$M343)=0,"",IF(OR(LOWER($F343&amp;"")="subscription",LOWER($F343&amp;"")="membership"),"Subscription",IF(OR(AND($H343&lt;&gt;"",$H343=0),LOWER($F343&amp;"")="free game",LOWER($F343&amp;"")="free",LOWER($F343&amp;"")="free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IF(COUNTA($A343:$M343)=0,"",IF(OR($U343="Subscription",$U343=""),"",IF(OR($U343="Free Game",$U343="Disqualified — Free Game"),0,ROUND(IFERROR($Q343,0)-IFERROR($S343,0),2))))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455"/>
      <x:c r="H344" s="455"/>
      <x:c r="I344" s="456"/>
      <x:c r="J344" s="456"/>
      <x:c r="K344" s="455"/>
      <x:c r="L344" s="454"/>
      <x:c r="M344" s="439"/>
      <x:c r="N344" s="114" t="str">
        <x:f>IF(COUNTA($A344:$M344)=0,"",IF(OR(LOWER($F344&amp;"")="subscription",LOWER($F344&amp;"")="membership"),"",IF($G344="","",IF(ISNUMBER(SEARCH("non",LOWER($E344&amp;""))),$G344*0.85,$G344))))</x:f>
      </x:c>
      <x:c r="O344" s="114" t="str">
        <x:f>IF(COUNTA($A344:$M344)=0,"",IF(OR(LOWER($F344&amp;"")="subscription",LOWER($F344&amp;"")="membership"),"",IF(OR($N344="",$I344="",$I344=0),"",IFERROR($N344/$I344,""))))</x:f>
      </x:c>
      <x:c r="P344" s="114" t="str">
        <x:f>IF(COUNTA($A344:$M344)=0,"",IF(OR(LOWER($F344&amp;"")="subscription",LOWER($F344&amp;"")="membership"),"",IF(LOWER($L344&amp;"")="yes",0,IF($K344&lt;&gt;"",$K344,IF($O344&lt;&gt;"",$O344,"")))))</x:f>
      </x:c>
      <x:c r="Q344" s="114" t="str">
        <x:f>IF(COUNTA($A344:$M344)=0,"",IF(OR($U344="Subscription",$U344=""),"",IF($U344="Profit",ROUND(IFERROR($P344,0)-IFERROR($H344,0),2),0)))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IF(COUNTA($A344:$M344)=0,"",IF(OR(LOWER($F344&amp;"")="subscription",LOWER($F344&amp;"")="membership"),"Subscription",IF(OR(AND($H344&lt;&gt;"",$H344=0),LOWER($F344&amp;"")="free game",LOWER($F344&amp;"")="free",LOWER($F344&amp;"")="free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IF(COUNTA($A344:$M344)=0,"",IF(OR($U344="Subscription",$U344=""),"",IF(OR($U344="Free Game",$U344="Disqualified — Free Game"),0,ROUND(IFERROR($Q344,0)-IFERROR($S344,0),2))))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455"/>
      <x:c r="H345" s="455"/>
      <x:c r="I345" s="456"/>
      <x:c r="J345" s="456"/>
      <x:c r="K345" s="455"/>
      <x:c r="L345" s="454"/>
      <x:c r="M345" s="439"/>
      <x:c r="N345" s="114" t="str">
        <x:f>IF(COUNTA($A345:$M345)=0,"",IF(OR(LOWER($F345&amp;"")="subscription",LOWER($F345&amp;"")="membership"),"",IF($G345="","",IF(ISNUMBER(SEARCH("non",LOWER($E345&amp;""))),$G345*0.85,$G345))))</x:f>
      </x:c>
      <x:c r="O345" s="114" t="str">
        <x:f>IF(COUNTA($A345:$M345)=0,"",IF(OR(LOWER($F345&amp;"")="subscription",LOWER($F345&amp;"")="membership"),"",IF(OR($N345="",$I345="",$I345=0),"",IFERROR($N345/$I345,""))))</x:f>
      </x:c>
      <x:c r="P345" s="114" t="str">
        <x:f>IF(COUNTA($A345:$M345)=0,"",IF(OR(LOWER($F345&amp;"")="subscription",LOWER($F345&amp;"")="membership"),"",IF(LOWER($L345&amp;"")="yes",0,IF($K345&lt;&gt;"",$K345,IF($O345&lt;&gt;"",$O345,"")))))</x:f>
      </x:c>
      <x:c r="Q345" s="114" t="str">
        <x:f>IF(COUNTA($A345:$M345)=0,"",IF(OR($U345="Subscription",$U345=""),"",IF($U345="Profit",ROUND(IFERROR($P345,0)-IFERROR($H345,0),2),0)))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IF(COUNTA($A345:$M345)=0,"",IF(OR(LOWER($F345&amp;"")="subscription",LOWER($F345&amp;"")="membership"),"Subscription",IF(OR(AND($H345&lt;&gt;"",$H345=0),LOWER($F345&amp;"")="free game",LOWER($F345&amp;"")="free",LOWER($F345&amp;"")="free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IF(COUNTA($A345:$M345)=0,"",IF(OR($U345="Subscription",$U345=""),"",IF(OR($U345="Free Game",$U345="Disqualified — Free Game"),0,ROUND(IFERROR($Q345,0)-IFERROR($S345,0),2))))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455"/>
      <x:c r="H346" s="455"/>
      <x:c r="I346" s="456"/>
      <x:c r="J346" s="456"/>
      <x:c r="K346" s="455"/>
      <x:c r="L346" s="454"/>
      <x:c r="M346" s="439"/>
      <x:c r="N346" s="114" t="str">
        <x:f>IF(COUNTA($A346:$M346)=0,"",IF(OR(LOWER($F346&amp;"")="subscription",LOWER($F346&amp;"")="membership"),"",IF($G346="","",IF(ISNUMBER(SEARCH("non",LOWER($E346&amp;""))),$G346*0.85,$G346))))</x:f>
      </x:c>
      <x:c r="O346" s="114" t="str">
        <x:f>IF(COUNTA($A346:$M346)=0,"",IF(OR(LOWER($F346&amp;"")="subscription",LOWER($F346&amp;"")="membership"),"",IF(OR($N346="",$I346="",$I346=0),"",IFERROR($N346/$I346,""))))</x:f>
      </x:c>
      <x:c r="P346" s="114" t="str">
        <x:f>IF(COUNTA($A346:$M346)=0,"",IF(OR(LOWER($F346&amp;"")="subscription",LOWER($F346&amp;"")="membership"),"",IF(LOWER($L346&amp;"")="yes",0,IF($K346&lt;&gt;"",$K346,IF($O346&lt;&gt;"",$O346,"")))))</x:f>
      </x:c>
      <x:c r="Q346" s="114" t="str">
        <x:f>IF(COUNTA($A346:$M346)=0,"",IF(OR($U346="Subscription",$U346=""),"",IF($U346="Profit",ROUND(IFERROR($P346,0)-IFERROR($H346,0),2),0)))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IF(COUNTA($A346:$M346)=0,"",IF(OR(LOWER($F346&amp;"")="subscription",LOWER($F346&amp;"")="membership"),"Subscription",IF(OR(AND($H346&lt;&gt;"",$H346=0),LOWER($F346&amp;"")="free game",LOWER($F346&amp;"")="free",LOWER($F346&amp;"")="free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IF(COUNTA($A346:$M346)=0,"",IF(OR($U346="Subscription",$U346=""),"",IF(OR($U346="Free Game",$U346="Disqualified — Free Game"),0,ROUND(IFERROR($Q346,0)-IFERROR($S346,0),2))))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455"/>
      <x:c r="H347" s="455"/>
      <x:c r="I347" s="456"/>
      <x:c r="J347" s="456"/>
      <x:c r="K347" s="455"/>
      <x:c r="L347" s="454"/>
      <x:c r="M347" s="439"/>
      <x:c r="N347" s="114" t="str">
        <x:f>IF(COUNTA($A347:$M347)=0,"",IF(OR(LOWER($F347&amp;"")="subscription",LOWER($F347&amp;"")="membership"),"",IF($G347="","",IF(ISNUMBER(SEARCH("non",LOWER($E347&amp;""))),$G347*0.85,$G347))))</x:f>
      </x:c>
      <x:c r="O347" s="114" t="str">
        <x:f>IF(COUNTA($A347:$M347)=0,"",IF(OR(LOWER($F347&amp;"")="subscription",LOWER($F347&amp;"")="membership"),"",IF(OR($N347="",$I347="",$I347=0),"",IFERROR($N347/$I347,""))))</x:f>
      </x:c>
      <x:c r="P347" s="114" t="str">
        <x:f>IF(COUNTA($A347:$M347)=0,"",IF(OR(LOWER($F347&amp;"")="subscription",LOWER($F347&amp;"")="membership"),"",IF(LOWER($L347&amp;"")="yes",0,IF($K347&lt;&gt;"",$K347,IF($O347&lt;&gt;"",$O347,"")))))</x:f>
      </x:c>
      <x:c r="Q347" s="114" t="str">
        <x:f>IF(COUNTA($A347:$M347)=0,"",IF(OR($U347="Subscription",$U347=""),"",IF($U347="Profit",ROUND(IFERROR($P347,0)-IFERROR($H347,0),2),0)))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IF(COUNTA($A347:$M347)=0,"",IF(OR(LOWER($F347&amp;"")="subscription",LOWER($F347&amp;"")="membership"),"Subscription",IF(OR(AND($H347&lt;&gt;"",$H347=0),LOWER($F347&amp;"")="free game",LOWER($F347&amp;"")="free",LOWER($F347&amp;"")="free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IF(COUNTA($A347:$M347)=0,"",IF(OR($U347="Subscription",$U347=""),"",IF(OR($U347="Free Game",$U347="Disqualified — Free Game"),0,ROUND(IFERROR($Q347,0)-IFERROR($S347,0),2))))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455"/>
      <x:c r="H348" s="455"/>
      <x:c r="I348" s="456"/>
      <x:c r="J348" s="456"/>
      <x:c r="K348" s="455"/>
      <x:c r="L348" s="454"/>
      <x:c r="M348" s="439"/>
      <x:c r="N348" s="114" t="str">
        <x:f>IF(COUNTA($A348:$M348)=0,"",IF(OR(LOWER($F348&amp;"")="subscription",LOWER($F348&amp;"")="membership"),"",IF($G348="","",IF(ISNUMBER(SEARCH("non",LOWER($E348&amp;""))),$G348*0.85,$G348))))</x:f>
      </x:c>
      <x:c r="O348" s="114" t="str">
        <x:f>IF(COUNTA($A348:$M348)=0,"",IF(OR(LOWER($F348&amp;"")="subscription",LOWER($F348&amp;"")="membership"),"",IF(OR($N348="",$I348="",$I348=0),"",IFERROR($N348/$I348,""))))</x:f>
      </x:c>
      <x:c r="P348" s="114" t="str">
        <x:f>IF(COUNTA($A348:$M348)=0,"",IF(OR(LOWER($F348&amp;"")="subscription",LOWER($F348&amp;"")="membership"),"",IF(LOWER($L348&amp;"")="yes",0,IF($K348&lt;&gt;"",$K348,IF($O348&lt;&gt;"",$O348,"")))))</x:f>
      </x:c>
      <x:c r="Q348" s="114" t="str">
        <x:f>IF(COUNTA($A348:$M348)=0,"",IF(OR($U348="Subscription",$U348=""),"",IF($U348="Profit",ROUND(IFERROR($P348,0)-IFERROR($H348,0),2),0)))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IF(COUNTA($A348:$M348)=0,"",IF(OR(LOWER($F348&amp;"")="subscription",LOWER($F348&amp;"")="membership"),"Subscription",IF(OR(AND($H348&lt;&gt;"",$H348=0),LOWER($F348&amp;"")="free game",LOWER($F348&amp;"")="free",LOWER($F348&amp;"")="free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IF(COUNTA($A348:$M348)=0,"",IF(OR($U348="Subscription",$U348=""),"",IF(OR($U348="Free Game",$U348="Disqualified — Free Game"),0,ROUND(IFERROR($Q348,0)-IFERROR($S348,0),2))))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455"/>
      <x:c r="H349" s="455"/>
      <x:c r="I349" s="456"/>
      <x:c r="J349" s="456"/>
      <x:c r="K349" s="455"/>
      <x:c r="L349" s="454"/>
      <x:c r="M349" s="439"/>
      <x:c r="N349" s="114" t="str">
        <x:f>IF(COUNTA($A349:$M349)=0,"",IF(OR(LOWER($F349&amp;"")="subscription",LOWER($F349&amp;"")="membership"),"",IF($G349="","",IF(ISNUMBER(SEARCH("non",LOWER($E349&amp;""))),$G349*0.85,$G349))))</x:f>
      </x:c>
      <x:c r="O349" s="114" t="str">
        <x:f>IF(COUNTA($A349:$M349)=0,"",IF(OR(LOWER($F349&amp;"")="subscription",LOWER($F349&amp;"")="membership"),"",IF(OR($N349="",$I349="",$I349=0),"",IFERROR($N349/$I349,""))))</x:f>
      </x:c>
      <x:c r="P349" s="114" t="str">
        <x:f>IF(COUNTA($A349:$M349)=0,"",IF(OR(LOWER($F349&amp;"")="subscription",LOWER($F349&amp;"")="membership"),"",IF(LOWER($L349&amp;"")="yes",0,IF($K349&lt;&gt;"",$K349,IF($O349&lt;&gt;"",$O349,"")))))</x:f>
      </x:c>
      <x:c r="Q349" s="114" t="str">
        <x:f>IF(COUNTA($A349:$M349)=0,"",IF(OR($U349="Subscription",$U349=""),"",IF($U349="Profit",ROUND(IFERROR($P349,0)-IFERROR($H349,0),2),0)))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IF(COUNTA($A349:$M349)=0,"",IF(OR(LOWER($F349&amp;"")="subscription",LOWER($F349&amp;"")="membership"),"Subscription",IF(OR(AND($H349&lt;&gt;"",$H349=0),LOWER($F349&amp;"")="free game",LOWER($F349&amp;"")="free",LOWER($F349&amp;"")="free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IF(COUNTA($A349:$M349)=0,"",IF(OR($U349="Subscription",$U349=""),"",IF(OR($U349="Free Game",$U349="Disqualified — Free Game"),0,ROUND(IFERROR($Q349,0)-IFERROR($S349,0),2))))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455"/>
      <x:c r="H350" s="455"/>
      <x:c r="I350" s="456"/>
      <x:c r="J350" s="456"/>
      <x:c r="K350" s="455"/>
      <x:c r="L350" s="454"/>
      <x:c r="M350" s="439"/>
      <x:c r="N350" s="114" t="str">
        <x:f>IF(COUNTA($A350:$M350)=0,"",IF(OR(LOWER($F350&amp;"")="subscription",LOWER($F350&amp;"")="membership"),"",IF($G350="","",IF(ISNUMBER(SEARCH("non",LOWER($E350&amp;""))),$G350*0.85,$G350))))</x:f>
      </x:c>
      <x:c r="O350" s="114" t="str">
        <x:f>IF(COUNTA($A350:$M350)=0,"",IF(OR(LOWER($F350&amp;"")="subscription",LOWER($F350&amp;"")="membership"),"",IF(OR($N350="",$I350="",$I350=0),"",IFERROR($N350/$I350,""))))</x:f>
      </x:c>
      <x:c r="P350" s="114" t="str">
        <x:f>IF(COUNTA($A350:$M350)=0,"",IF(OR(LOWER($F350&amp;"")="subscription",LOWER($F350&amp;"")="membership"),"",IF(LOWER($L350&amp;"")="yes",0,IF($K350&lt;&gt;"",$K350,IF($O350&lt;&gt;"",$O350,"")))))</x:f>
      </x:c>
      <x:c r="Q350" s="114" t="str">
        <x:f>IF(COUNTA($A350:$M350)=0,"",IF(OR($U350="Subscription",$U350=""),"",IF($U350="Profit",ROUND(IFERROR($P350,0)-IFERROR($H350,0),2),0)))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IF(COUNTA($A350:$M350)=0,"",IF(OR(LOWER($F350&amp;"")="subscription",LOWER($F350&amp;"")="membership"),"Subscription",IF(OR(AND($H350&lt;&gt;"",$H350=0),LOWER($F350&amp;"")="free game",LOWER($F350&amp;"")="free",LOWER($F350&amp;"")="free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IF(COUNTA($A350:$M350)=0,"",IF(OR($U350="Subscription",$U350=""),"",IF(OR($U350="Free Game",$U350="Disqualified — Free Game"),0,ROUND(IFERROR($Q350,0)-IFERROR($S350,0),2))))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455"/>
      <x:c r="H351" s="455"/>
      <x:c r="I351" s="456"/>
      <x:c r="J351" s="456"/>
      <x:c r="K351" s="455"/>
      <x:c r="L351" s="454"/>
      <x:c r="M351" s="439"/>
      <x:c r="N351" s="114" t="str">
        <x:f>IF(COUNTA($A351:$M351)=0,"",IF(OR(LOWER($F351&amp;"")="subscription",LOWER($F351&amp;"")="membership"),"",IF($G351="","",IF(ISNUMBER(SEARCH("non",LOWER($E351&amp;""))),$G351*0.85,$G351))))</x:f>
      </x:c>
      <x:c r="O351" s="114" t="str">
        <x:f>IF(COUNTA($A351:$M351)=0,"",IF(OR(LOWER($F351&amp;"")="subscription",LOWER($F351&amp;"")="membership"),"",IF(OR($N351="",$I351="",$I351=0),"",IFERROR($N351/$I351,""))))</x:f>
      </x:c>
      <x:c r="P351" s="114" t="str">
        <x:f>IF(COUNTA($A351:$M351)=0,"",IF(OR(LOWER($F351&amp;"")="subscription",LOWER($F351&amp;"")="membership"),"",IF(LOWER($L351&amp;"")="yes",0,IF($K351&lt;&gt;"",$K351,IF($O351&lt;&gt;"",$O351,"")))))</x:f>
      </x:c>
      <x:c r="Q351" s="114" t="str">
        <x:f>IF(COUNTA($A351:$M351)=0,"",IF(OR($U351="Subscription",$U351=""),"",IF($U351="Profit",ROUND(IFERROR($P351,0)-IFERROR($H351,0),2),0)))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IF(COUNTA($A351:$M351)=0,"",IF(OR(LOWER($F351&amp;"")="subscription",LOWER($F351&amp;"")="membership"),"Subscription",IF(OR(AND($H351&lt;&gt;"",$H351=0),LOWER($F351&amp;"")="free game",LOWER($F351&amp;"")="free",LOWER($F351&amp;"")="free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IF(COUNTA($A351:$M351)=0,"",IF(OR($U351="Subscription",$U351=""),"",IF(OR($U351="Free Game",$U351="Disqualified — Free Game"),0,ROUND(IFERROR($Q351,0)-IFERROR($S351,0),2))))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455"/>
      <x:c r="H352" s="455"/>
      <x:c r="I352" s="456"/>
      <x:c r="J352" s="456"/>
      <x:c r="K352" s="455"/>
      <x:c r="L352" s="454"/>
      <x:c r="M352" s="439"/>
      <x:c r="N352" s="114" t="str">
        <x:f>IF(COUNTA($A352:$M352)=0,"",IF(OR(LOWER($F352&amp;"")="subscription",LOWER($F352&amp;"")="membership"),"",IF($G352="","",IF(ISNUMBER(SEARCH("non",LOWER($E352&amp;""))),$G352*0.85,$G352))))</x:f>
      </x:c>
      <x:c r="O352" s="114" t="str">
        <x:f>IF(COUNTA($A352:$M352)=0,"",IF(OR(LOWER($F352&amp;"")="subscription",LOWER($F352&amp;"")="membership"),"",IF(OR($N352="",$I352="",$I352=0),"",IFERROR($N352/$I352,""))))</x:f>
      </x:c>
      <x:c r="P352" s="114" t="str">
        <x:f>IF(COUNTA($A352:$M352)=0,"",IF(OR(LOWER($F352&amp;"")="subscription",LOWER($F352&amp;"")="membership"),"",IF(LOWER($L352&amp;"")="yes",0,IF($K352&lt;&gt;"",$K352,IF($O352&lt;&gt;"",$O352,"")))))</x:f>
      </x:c>
      <x:c r="Q352" s="114" t="str">
        <x:f>IF(COUNTA($A352:$M352)=0,"",IF(OR($U352="Subscription",$U352=""),"",IF($U352="Profit",ROUND(IFERROR($P352,0)-IFERROR($H352,0),2),0)))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IF(COUNTA($A352:$M352)=0,"",IF(OR(LOWER($F352&amp;"")="subscription",LOWER($F352&amp;"")="membership"),"Subscription",IF(OR(AND($H352&lt;&gt;"",$H352=0),LOWER($F352&amp;"")="free game",LOWER($F352&amp;"")="free",LOWER($F352&amp;"")="free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IF(COUNTA($A352:$M352)=0,"",IF(OR($U352="Subscription",$U352=""),"",IF(OR($U352="Free Game",$U352="Disqualified — Free Game"),0,ROUND(IFERROR($Q352,0)-IFERROR($S352,0),2))))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455"/>
      <x:c r="H353" s="455"/>
      <x:c r="I353" s="456"/>
      <x:c r="J353" s="456"/>
      <x:c r="K353" s="455"/>
      <x:c r="L353" s="454"/>
      <x:c r="M353" s="439"/>
      <x:c r="N353" s="114" t="str">
        <x:f>IF(COUNTA($A353:$M353)=0,"",IF(OR(LOWER($F353&amp;"")="subscription",LOWER($F353&amp;"")="membership"),"",IF($G353="","",IF(ISNUMBER(SEARCH("non",LOWER($E353&amp;""))),$G353*0.85,$G353))))</x:f>
      </x:c>
      <x:c r="O353" s="114" t="str">
        <x:f>IF(COUNTA($A353:$M353)=0,"",IF(OR(LOWER($F353&amp;"")="subscription",LOWER($F353&amp;"")="membership"),"",IF(OR($N353="",$I353="",$I353=0),"",IFERROR($N353/$I353,""))))</x:f>
      </x:c>
      <x:c r="P353" s="114" t="str">
        <x:f>IF(COUNTA($A353:$M353)=0,"",IF(OR(LOWER($F353&amp;"")="subscription",LOWER($F353&amp;"")="membership"),"",IF(LOWER($L353&amp;"")="yes",0,IF($K353&lt;&gt;"",$K353,IF($O353&lt;&gt;"",$O353,"")))))</x:f>
      </x:c>
      <x:c r="Q353" s="114" t="str">
        <x:f>IF(COUNTA($A353:$M353)=0,"",IF(OR($U353="Subscription",$U353=""),"",IF($U353="Profit",ROUND(IFERROR($P353,0)-IFERROR($H353,0),2),0)))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IF(COUNTA($A353:$M353)=0,"",IF(OR(LOWER($F353&amp;"")="subscription",LOWER($F353&amp;"")="membership"),"Subscription",IF(OR(AND($H353&lt;&gt;"",$H353=0),LOWER($F353&amp;"")="free game",LOWER($F353&amp;"")="free",LOWER($F353&amp;"")="free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IF(COUNTA($A353:$M353)=0,"",IF(OR($U353="Subscription",$U353=""),"",IF(OR($U353="Free Game",$U353="Disqualified — Free Game"),0,ROUND(IFERROR($Q353,0)-IFERROR($S353,0),2))))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455"/>
      <x:c r="H354" s="455"/>
      <x:c r="I354" s="456"/>
      <x:c r="J354" s="456"/>
      <x:c r="K354" s="455"/>
      <x:c r="L354" s="454"/>
      <x:c r="M354" s="439"/>
      <x:c r="N354" s="114" t="str">
        <x:f>IF(COUNTA($A354:$M354)=0,"",IF(OR(LOWER($F354&amp;"")="subscription",LOWER($F354&amp;"")="membership"),"",IF($G354="","",IF(ISNUMBER(SEARCH("non",LOWER($E354&amp;""))),$G354*0.85,$G354))))</x:f>
      </x:c>
      <x:c r="O354" s="114" t="str">
        <x:f>IF(COUNTA($A354:$M354)=0,"",IF(OR(LOWER($F354&amp;"")="subscription",LOWER($F354&amp;"")="membership"),"",IF(OR($N354="",$I354="",$I354=0),"",IFERROR($N354/$I354,""))))</x:f>
      </x:c>
      <x:c r="P354" s="114" t="str">
        <x:f>IF(COUNTA($A354:$M354)=0,"",IF(OR(LOWER($F354&amp;"")="subscription",LOWER($F354&amp;"")="membership"),"",IF(LOWER($L354&amp;"")="yes",0,IF($K354&lt;&gt;"",$K354,IF($O354&lt;&gt;"",$O354,"")))))</x:f>
      </x:c>
      <x:c r="Q354" s="114" t="str">
        <x:f>IF(COUNTA($A354:$M354)=0,"",IF(OR($U354="Subscription",$U354=""),"",IF($U354="Profit",ROUND(IFERROR($P354,0)-IFERROR($H354,0),2),0)))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IF(COUNTA($A354:$M354)=0,"",IF(OR(LOWER($F354&amp;"")="subscription",LOWER($F354&amp;"")="membership"),"Subscription",IF(OR(AND($H354&lt;&gt;"",$H354=0),LOWER($F354&amp;"")="free game",LOWER($F354&amp;"")="free",LOWER($F354&amp;"")="free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IF(COUNTA($A354:$M354)=0,"",IF(OR($U354="Subscription",$U354=""),"",IF(OR($U354="Free Game",$U354="Disqualified — Free Game"),0,ROUND(IFERROR($Q354,0)-IFERROR($S354,0),2))))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455"/>
      <x:c r="H355" s="455"/>
      <x:c r="I355" s="456"/>
      <x:c r="J355" s="456"/>
      <x:c r="K355" s="455"/>
      <x:c r="L355" s="454"/>
      <x:c r="M355" s="439"/>
      <x:c r="N355" s="114" t="str">
        <x:f>IF(COUNTA($A355:$M355)=0,"",IF(OR(LOWER($F355&amp;"")="subscription",LOWER($F355&amp;"")="membership"),"",IF($G355="","",IF(ISNUMBER(SEARCH("non",LOWER($E355&amp;""))),$G355*0.85,$G355))))</x:f>
      </x:c>
      <x:c r="O355" s="114" t="str">
        <x:f>IF(COUNTA($A355:$M355)=0,"",IF(OR(LOWER($F355&amp;"")="subscription",LOWER($F355&amp;"")="membership"),"",IF(OR($N355="",$I355="",$I355=0),"",IFERROR($N355/$I355,""))))</x:f>
      </x:c>
      <x:c r="P355" s="114" t="str">
        <x:f>IF(COUNTA($A355:$M355)=0,"",IF(OR(LOWER($F355&amp;"")="subscription",LOWER($F355&amp;"")="membership"),"",IF(LOWER($L355&amp;"")="yes",0,IF($K355&lt;&gt;"",$K355,IF($O355&lt;&gt;"",$O355,"")))))</x:f>
      </x:c>
      <x:c r="Q355" s="114" t="str">
        <x:f>IF(COUNTA($A355:$M355)=0,"",IF(OR($U355="Subscription",$U355=""),"",IF($U355="Profit",ROUND(IFERROR($P355,0)-IFERROR($H355,0),2),0)))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IF(COUNTA($A355:$M355)=0,"",IF(OR(LOWER($F355&amp;"")="subscription",LOWER($F355&amp;"")="membership"),"Subscription",IF(OR(AND($H355&lt;&gt;"",$H355=0),LOWER($F355&amp;"")="free game",LOWER($F355&amp;"")="free",LOWER($F355&amp;"")="free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IF(COUNTA($A355:$M355)=0,"",IF(OR($U355="Subscription",$U355=""),"",IF(OR($U355="Free Game",$U355="Disqualified — Free Game"),0,ROUND(IFERROR($Q355,0)-IFERROR($S355,0),2))))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455"/>
      <x:c r="H356" s="455"/>
      <x:c r="I356" s="456"/>
      <x:c r="J356" s="456"/>
      <x:c r="K356" s="455"/>
      <x:c r="L356" s="454"/>
      <x:c r="M356" s="439"/>
      <x:c r="N356" s="114" t="str">
        <x:f>IF(COUNTA($A356:$M356)=0,"",IF(OR(LOWER($F356&amp;"")="subscription",LOWER($F356&amp;"")="membership"),"",IF($G356="","",IF(ISNUMBER(SEARCH("non",LOWER($E356&amp;""))),$G356*0.85,$G356))))</x:f>
      </x:c>
      <x:c r="O356" s="114" t="str">
        <x:f>IF(COUNTA($A356:$M356)=0,"",IF(OR(LOWER($F356&amp;"")="subscription",LOWER($F356&amp;"")="membership"),"",IF(OR($N356="",$I356="",$I356=0),"",IFERROR($N356/$I356,""))))</x:f>
      </x:c>
      <x:c r="P356" s="114" t="str">
        <x:f>IF(COUNTA($A356:$M356)=0,"",IF(OR(LOWER($F356&amp;"")="subscription",LOWER($F356&amp;"")="membership"),"",IF(LOWER($L356&amp;"")="yes",0,IF($K356&lt;&gt;"",$K356,IF($O356&lt;&gt;"",$O356,"")))))</x:f>
      </x:c>
      <x:c r="Q356" s="114" t="str">
        <x:f>IF(COUNTA($A356:$M356)=0,"",IF(OR($U356="Subscription",$U356=""),"",IF($U356="Profit",ROUND(IFERROR($P356,0)-IFERROR($H356,0),2),0)))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IF(COUNTA($A356:$M356)=0,"",IF(OR(LOWER($F356&amp;"")="subscription",LOWER($F356&amp;"")="membership"),"Subscription",IF(OR(AND($H356&lt;&gt;"",$H356=0),LOWER($F356&amp;"")="free game",LOWER($F356&amp;"")="free",LOWER($F356&amp;"")="free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IF(COUNTA($A356:$M356)=0,"",IF(OR($U356="Subscription",$U356=""),"",IF(OR($U356="Free Game",$U356="Disqualified — Free Game"),0,ROUND(IFERROR($Q356,0)-IFERROR($S356,0),2))))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455"/>
      <x:c r="H357" s="455"/>
      <x:c r="I357" s="456"/>
      <x:c r="J357" s="456"/>
      <x:c r="K357" s="455"/>
      <x:c r="L357" s="454"/>
      <x:c r="M357" s="439"/>
      <x:c r="N357" s="114" t="str">
        <x:f>IF(COUNTA($A357:$M357)=0,"",IF(OR(LOWER($F357&amp;"")="subscription",LOWER($F357&amp;"")="membership"),"",IF($G357="","",IF(ISNUMBER(SEARCH("non",LOWER($E357&amp;""))),$G357*0.85,$G357))))</x:f>
      </x:c>
      <x:c r="O357" s="114" t="str">
        <x:f>IF(COUNTA($A357:$M357)=0,"",IF(OR(LOWER($F357&amp;"")="subscription",LOWER($F357&amp;"")="membership"),"",IF(OR($N357="",$I357="",$I357=0),"",IFERROR($N357/$I357,""))))</x:f>
      </x:c>
      <x:c r="P357" s="114" t="str">
        <x:f>IF(COUNTA($A357:$M357)=0,"",IF(OR(LOWER($F357&amp;"")="subscription",LOWER($F357&amp;"")="membership"),"",IF(LOWER($L357&amp;"")="yes",0,IF($K357&lt;&gt;"",$K357,IF($O357&lt;&gt;"",$O357,"")))))</x:f>
      </x:c>
      <x:c r="Q357" s="114" t="str">
        <x:f>IF(COUNTA($A357:$M357)=0,"",IF(OR($U357="Subscription",$U357=""),"",IF($U357="Profit",ROUND(IFERROR($P357,0)-IFERROR($H357,0),2),0)))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IF(COUNTA($A357:$M357)=0,"",IF(OR(LOWER($F357&amp;"")="subscription",LOWER($F357&amp;"")="membership"),"Subscription",IF(OR(AND($H357&lt;&gt;"",$H357=0),LOWER($F357&amp;"")="free game",LOWER($F357&amp;"")="free",LOWER($F357&amp;"")="free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IF(COUNTA($A357:$M357)=0,"",IF(OR($U357="Subscription",$U357=""),"",IF(OR($U357="Free Game",$U357="Disqualified — Free Game"),0,ROUND(IFERROR($Q357,0)-IFERROR($S357,0),2))))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455"/>
      <x:c r="H358" s="455"/>
      <x:c r="I358" s="456"/>
      <x:c r="J358" s="456"/>
      <x:c r="K358" s="455"/>
      <x:c r="L358" s="454"/>
      <x:c r="M358" s="439"/>
      <x:c r="N358" s="114" t="str">
        <x:f>IF(COUNTA($A358:$M358)=0,"",IF(OR(LOWER($F358&amp;"")="subscription",LOWER($F358&amp;"")="membership"),"",IF($G358="","",IF(ISNUMBER(SEARCH("non",LOWER($E358&amp;""))),$G358*0.85,$G358))))</x:f>
      </x:c>
      <x:c r="O358" s="114" t="str">
        <x:f>IF(COUNTA($A358:$M358)=0,"",IF(OR(LOWER($F358&amp;"")="subscription",LOWER($F358&amp;"")="membership"),"",IF(OR($N358="",$I358="",$I358=0),"",IFERROR($N358/$I358,""))))</x:f>
      </x:c>
      <x:c r="P358" s="114" t="str">
        <x:f>IF(COUNTA($A358:$M358)=0,"",IF(OR(LOWER($F358&amp;"")="subscription",LOWER($F358&amp;"")="membership"),"",IF(LOWER($L358&amp;"")="yes",0,IF($K358&lt;&gt;"",$K358,IF($O358&lt;&gt;"",$O358,"")))))</x:f>
      </x:c>
      <x:c r="Q358" s="114" t="str">
        <x:f>IF(COUNTA($A358:$M358)=0,"",IF(OR($U358="Subscription",$U358=""),"",IF($U358="Profit",ROUND(IFERROR($P358,0)-IFERROR($H358,0),2),0)))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IF(COUNTA($A358:$M358)=0,"",IF(OR(LOWER($F358&amp;"")="subscription",LOWER($F358&amp;"")="membership"),"Subscription",IF(OR(AND($H358&lt;&gt;"",$H358=0),LOWER($F358&amp;"")="free game",LOWER($F358&amp;"")="free",LOWER($F358&amp;"")="free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IF(COUNTA($A358:$M358)=0,"",IF(OR($U358="Subscription",$U358=""),"",IF(OR($U358="Free Game",$U358="Disqualified — Free Game"),0,ROUND(IFERROR($Q358,0)-IFERROR($S358,0),2))))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455"/>
      <x:c r="H359" s="455"/>
      <x:c r="I359" s="456"/>
      <x:c r="J359" s="456"/>
      <x:c r="K359" s="455"/>
      <x:c r="L359" s="454"/>
      <x:c r="M359" s="439"/>
      <x:c r="N359" s="114" t="str">
        <x:f>IF(COUNTA($A359:$M359)=0,"",IF(OR(LOWER($F359&amp;"")="subscription",LOWER($F359&amp;"")="membership"),"",IF($G359="","",IF(ISNUMBER(SEARCH("non",LOWER($E359&amp;""))),$G359*0.85,$G359))))</x:f>
      </x:c>
      <x:c r="O359" s="114" t="str">
        <x:f>IF(COUNTA($A359:$M359)=0,"",IF(OR(LOWER($F359&amp;"")="subscription",LOWER($F359&amp;"")="membership"),"",IF(OR($N359="",$I359="",$I359=0),"",IFERROR($N359/$I359,""))))</x:f>
      </x:c>
      <x:c r="P359" s="114" t="str">
        <x:f>IF(COUNTA($A359:$M359)=0,"",IF(OR(LOWER($F359&amp;"")="subscription",LOWER($F359&amp;"")="membership"),"",IF(LOWER($L359&amp;"")="yes",0,IF($K359&lt;&gt;"",$K359,IF($O359&lt;&gt;"",$O359,"")))))</x:f>
      </x:c>
      <x:c r="Q359" s="114" t="str">
        <x:f>IF(COUNTA($A359:$M359)=0,"",IF(OR($U359="Subscription",$U359=""),"",IF($U359="Profit",ROUND(IFERROR($P359,0)-IFERROR($H359,0),2),0)))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IF(COUNTA($A359:$M359)=0,"",IF(OR(LOWER($F359&amp;"")="subscription",LOWER($F359&amp;"")="membership"),"Subscription",IF(OR(AND($H359&lt;&gt;"",$H359=0),LOWER($F359&amp;"")="free game",LOWER($F359&amp;"")="free",LOWER($F359&amp;"")="free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IF(COUNTA($A359:$M359)=0,"",IF(OR($U359="Subscription",$U359=""),"",IF(OR($U359="Free Game",$U359="Disqualified — Free Game"),0,ROUND(IFERROR($Q359,0)-IFERROR($S359,0),2))))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455"/>
      <x:c r="H360" s="455"/>
      <x:c r="I360" s="456"/>
      <x:c r="J360" s="456"/>
      <x:c r="K360" s="455"/>
      <x:c r="L360" s="454"/>
      <x:c r="M360" s="439"/>
      <x:c r="N360" s="114" t="str">
        <x:f>IF(COUNTA($A360:$M360)=0,"",IF(OR(LOWER($F360&amp;"")="subscription",LOWER($F360&amp;"")="membership"),"",IF($G360="","",IF(ISNUMBER(SEARCH("non",LOWER($E360&amp;""))),$G360*0.85,$G360))))</x:f>
      </x:c>
      <x:c r="O360" s="114" t="str">
        <x:f>IF(COUNTA($A360:$M360)=0,"",IF(OR(LOWER($F360&amp;"")="subscription",LOWER($F360&amp;"")="membership"),"",IF(OR($N360="",$I360="",$I360=0),"",IFERROR($N360/$I360,""))))</x:f>
      </x:c>
      <x:c r="P360" s="114" t="str">
        <x:f>IF(COUNTA($A360:$M360)=0,"",IF(OR(LOWER($F360&amp;"")="subscription",LOWER($F360&amp;"")="membership"),"",IF(LOWER($L360&amp;"")="yes",0,IF($K360&lt;&gt;"",$K360,IF($O360&lt;&gt;"",$O360,"")))))</x:f>
      </x:c>
      <x:c r="Q360" s="114" t="str">
        <x:f>IF(COUNTA($A360:$M360)=0,"",IF(OR($U360="Subscription",$U360=""),"",IF($U360="Profit",ROUND(IFERROR($P360,0)-IFERROR($H360,0),2),0)))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IF(COUNTA($A360:$M360)=0,"",IF(OR(LOWER($F360&amp;"")="subscription",LOWER($F360&amp;"")="membership"),"Subscription",IF(OR(AND($H360&lt;&gt;"",$H360=0),LOWER($F360&amp;"")="free game",LOWER($F360&amp;"")="free",LOWER($F360&amp;"")="free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IF(COUNTA($A360:$M360)=0,"",IF(OR($U360="Subscription",$U360=""),"",IF(OR($U360="Free Game",$U360="Disqualified — Free Game"),0,ROUND(IFERROR($Q360,0)-IFERROR($S360,0),2))))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455"/>
      <x:c r="H361" s="455"/>
      <x:c r="I361" s="456"/>
      <x:c r="J361" s="456"/>
      <x:c r="K361" s="455"/>
      <x:c r="L361" s="454"/>
      <x:c r="M361" s="439"/>
      <x:c r="N361" s="114" t="str">
        <x:f>IF(COUNTA($A361:$M361)=0,"",IF(OR(LOWER($F361&amp;"")="subscription",LOWER($F361&amp;"")="membership"),"",IF($G361="","",IF(ISNUMBER(SEARCH("non",LOWER($E361&amp;""))),$G361*0.85,$G361))))</x:f>
      </x:c>
      <x:c r="O361" s="114" t="str">
        <x:f>IF(COUNTA($A361:$M361)=0,"",IF(OR(LOWER($F361&amp;"")="subscription",LOWER($F361&amp;"")="membership"),"",IF(OR($N361="",$I361="",$I361=0),"",IFERROR($N361/$I361,""))))</x:f>
      </x:c>
      <x:c r="P361" s="114" t="str">
        <x:f>IF(COUNTA($A361:$M361)=0,"",IF(OR(LOWER($F361&amp;"")="subscription",LOWER($F361&amp;"")="membership"),"",IF(LOWER($L361&amp;"")="yes",0,IF($K361&lt;&gt;"",$K361,IF($O361&lt;&gt;"",$O361,"")))))</x:f>
      </x:c>
      <x:c r="Q361" s="114" t="str">
        <x:f>IF(COUNTA($A361:$M361)=0,"",IF(OR($U361="Subscription",$U361=""),"",IF($U361="Profit",ROUND(IFERROR($P361,0)-IFERROR($H361,0),2),0)))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IF(COUNTA($A361:$M361)=0,"",IF(OR(LOWER($F361&amp;"")="subscription",LOWER($F361&amp;"")="membership"),"Subscription",IF(OR(AND($H361&lt;&gt;"",$H361=0),LOWER($F361&amp;"")="free game",LOWER($F361&amp;"")="free",LOWER($F361&amp;"")="free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IF(COUNTA($A361:$M361)=0,"",IF(OR($U361="Subscription",$U361=""),"",IF(OR($U361="Free Game",$U361="Disqualified — Free Game"),0,ROUND(IFERROR($Q361,0)-IFERROR($S361,0),2))))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455"/>
      <x:c r="H362" s="455"/>
      <x:c r="I362" s="456"/>
      <x:c r="J362" s="456"/>
      <x:c r="K362" s="455"/>
      <x:c r="L362" s="454"/>
      <x:c r="M362" s="439"/>
      <x:c r="N362" s="114" t="str">
        <x:f>IF(COUNTA($A362:$M362)=0,"",IF(OR(LOWER($F362&amp;"")="subscription",LOWER($F362&amp;"")="membership"),"",IF($G362="","",IF(ISNUMBER(SEARCH("non",LOWER($E362&amp;""))),$G362*0.85,$G362))))</x:f>
      </x:c>
      <x:c r="O362" s="114" t="str">
        <x:f>IF(COUNTA($A362:$M362)=0,"",IF(OR(LOWER($F362&amp;"")="subscription",LOWER($F362&amp;"")="membership"),"",IF(OR($N362="",$I362="",$I362=0),"",IFERROR($N362/$I362,""))))</x:f>
      </x:c>
      <x:c r="P362" s="114" t="str">
        <x:f>IF(COUNTA($A362:$M362)=0,"",IF(OR(LOWER($F362&amp;"")="subscription",LOWER($F362&amp;"")="membership"),"",IF(LOWER($L362&amp;"")="yes",0,IF($K362&lt;&gt;"",$K362,IF($O362&lt;&gt;"",$O362,"")))))</x:f>
      </x:c>
      <x:c r="Q362" s="114" t="str">
        <x:f>IF(COUNTA($A362:$M362)=0,"",IF(OR($U362="Subscription",$U362=""),"",IF($U362="Profit",ROUND(IFERROR($P362,0)-IFERROR($H362,0),2),0)))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IF(COUNTA($A362:$M362)=0,"",IF(OR(LOWER($F362&amp;"")="subscription",LOWER($F362&amp;"")="membership"),"Subscription",IF(OR(AND($H362&lt;&gt;"",$H362=0),LOWER($F362&amp;"")="free game",LOWER($F362&amp;"")="free",LOWER($F362&amp;"")="free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IF(COUNTA($A362:$M362)=0,"",IF(OR($U362="Subscription",$U362=""),"",IF(OR($U362="Free Game",$U362="Disqualified — Free Game"),0,ROUND(IFERROR($Q362,0)-IFERROR($S362,0),2))))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455"/>
      <x:c r="H363" s="455"/>
      <x:c r="I363" s="456"/>
      <x:c r="J363" s="456"/>
      <x:c r="K363" s="455"/>
      <x:c r="L363" s="454"/>
      <x:c r="M363" s="439"/>
      <x:c r="N363" s="114" t="str">
        <x:f>IF(COUNTA($A363:$M363)=0,"",IF(OR(LOWER($F363&amp;"")="subscription",LOWER($F363&amp;"")="membership"),"",IF($G363="","",IF(ISNUMBER(SEARCH("non",LOWER($E363&amp;""))),$G363*0.85,$G363))))</x:f>
      </x:c>
      <x:c r="O363" s="114" t="str">
        <x:f>IF(COUNTA($A363:$M363)=0,"",IF(OR(LOWER($F363&amp;"")="subscription",LOWER($F363&amp;"")="membership"),"",IF(OR($N363="",$I363="",$I363=0),"",IFERROR($N363/$I363,""))))</x:f>
      </x:c>
      <x:c r="P363" s="114" t="str">
        <x:f>IF(COUNTA($A363:$M363)=0,"",IF(OR(LOWER($F363&amp;"")="subscription",LOWER($F363&amp;"")="membership"),"",IF(LOWER($L363&amp;"")="yes",0,IF($K363&lt;&gt;"",$K363,IF($O363&lt;&gt;"",$O363,"")))))</x:f>
      </x:c>
      <x:c r="Q363" s="114" t="str">
        <x:f>IF(COUNTA($A363:$M363)=0,"",IF(OR($U363="Subscription",$U363=""),"",IF($U363="Profit",ROUND(IFERROR($P363,0)-IFERROR($H363,0),2),0)))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IF(COUNTA($A363:$M363)=0,"",IF(OR(LOWER($F363&amp;"")="subscription",LOWER($F363&amp;"")="membership"),"Subscription",IF(OR(AND($H363&lt;&gt;"",$H363=0),LOWER($F363&amp;"")="free game",LOWER($F363&amp;"")="free",LOWER($F363&amp;"")="free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IF(COUNTA($A363:$M363)=0,"",IF(OR($U363="Subscription",$U363=""),"",IF(OR($U363="Free Game",$U363="Disqualified — Free Game"),0,ROUND(IFERROR($Q363,0)-IFERROR($S363,0),2))))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455"/>
      <x:c r="H364" s="455"/>
      <x:c r="I364" s="456"/>
      <x:c r="J364" s="456"/>
      <x:c r="K364" s="455"/>
      <x:c r="L364" s="454"/>
      <x:c r="M364" s="439"/>
      <x:c r="N364" s="114" t="str">
        <x:f>IF(COUNTA($A364:$M364)=0,"",IF(OR(LOWER($F364&amp;"")="subscription",LOWER($F364&amp;"")="membership"),"",IF($G364="","",IF(ISNUMBER(SEARCH("non",LOWER($E364&amp;""))),$G364*0.85,$G364))))</x:f>
      </x:c>
      <x:c r="O364" s="114" t="str">
        <x:f>IF(COUNTA($A364:$M364)=0,"",IF(OR(LOWER($F364&amp;"")="subscription",LOWER($F364&amp;"")="membership"),"",IF(OR($N364="",$I364="",$I364=0),"",IFERROR($N364/$I364,""))))</x:f>
      </x:c>
      <x:c r="P364" s="114" t="str">
        <x:f>IF(COUNTA($A364:$M364)=0,"",IF(OR(LOWER($F364&amp;"")="subscription",LOWER($F364&amp;"")="membership"),"",IF(LOWER($L364&amp;"")="yes",0,IF($K364&lt;&gt;"",$K364,IF($O364&lt;&gt;"",$O364,"")))))</x:f>
      </x:c>
      <x:c r="Q364" s="114" t="str">
        <x:f>IF(COUNTA($A364:$M364)=0,"",IF(OR($U364="Subscription",$U364=""),"",IF($U364="Profit",ROUND(IFERROR($P364,0)-IFERROR($H364,0),2),0)))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IF(COUNTA($A364:$M364)=0,"",IF(OR(LOWER($F364&amp;"")="subscription",LOWER($F364&amp;"")="membership"),"Subscription",IF(OR(AND($H364&lt;&gt;"",$H364=0),LOWER($F364&amp;"")="free game",LOWER($F364&amp;"")="free",LOWER($F364&amp;"")="free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IF(COUNTA($A364:$M364)=0,"",IF(OR($U364="Subscription",$U364=""),"",IF(OR($U364="Free Game",$U364="Disqualified — Free Game"),0,ROUND(IFERROR($Q364,0)-IFERROR($S364,0),2))))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455"/>
      <x:c r="H365" s="455"/>
      <x:c r="I365" s="456"/>
      <x:c r="J365" s="456"/>
      <x:c r="K365" s="455"/>
      <x:c r="L365" s="454"/>
      <x:c r="M365" s="439"/>
      <x:c r="N365" s="114" t="str">
        <x:f>IF(COUNTA($A365:$M365)=0,"",IF(OR(LOWER($F365&amp;"")="subscription",LOWER($F365&amp;"")="membership"),"",IF($G365="","",IF(ISNUMBER(SEARCH("non",LOWER($E365&amp;""))),$G365*0.85,$G365))))</x:f>
      </x:c>
      <x:c r="O365" s="114" t="str">
        <x:f>IF(COUNTA($A365:$M365)=0,"",IF(OR(LOWER($F365&amp;"")="subscription",LOWER($F365&amp;"")="membership"),"",IF(OR($N365="",$I365="",$I365=0),"",IFERROR($N365/$I365,""))))</x:f>
      </x:c>
      <x:c r="P365" s="114" t="str">
        <x:f>IF(COUNTA($A365:$M365)=0,"",IF(OR(LOWER($F365&amp;"")="subscription",LOWER($F365&amp;"")="membership"),"",IF(LOWER($L365&amp;"")="yes",0,IF($K365&lt;&gt;"",$K365,IF($O365&lt;&gt;"",$O365,"")))))</x:f>
      </x:c>
      <x:c r="Q365" s="114" t="str">
        <x:f>IF(COUNTA($A365:$M365)=0,"",IF(OR($U365="Subscription",$U365=""),"",IF($U365="Profit",ROUND(IFERROR($P365,0)-IFERROR($H365,0),2),0)))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IF(COUNTA($A365:$M365)=0,"",IF(OR(LOWER($F365&amp;"")="subscription",LOWER($F365&amp;"")="membership"),"Subscription",IF(OR(AND($H365&lt;&gt;"",$H365=0),LOWER($F365&amp;"")="free game",LOWER($F365&amp;"")="free",LOWER($F365&amp;"")="free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IF(COUNTA($A365:$M365)=0,"",IF(OR($U365="Subscription",$U365=""),"",IF(OR($U365="Free Game",$U365="Disqualified — Free Game"),0,ROUND(IFERROR($Q365,0)-IFERROR($S365,0),2))))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455"/>
      <x:c r="H366" s="455"/>
      <x:c r="I366" s="456"/>
      <x:c r="J366" s="456"/>
      <x:c r="K366" s="455"/>
      <x:c r="L366" s="454"/>
      <x:c r="M366" s="439"/>
      <x:c r="N366" s="114" t="str">
        <x:f>IF(COUNTA($A366:$M366)=0,"",IF(OR(LOWER($F366&amp;"")="subscription",LOWER($F366&amp;"")="membership"),"",IF($G366="","",IF(ISNUMBER(SEARCH("non",LOWER($E366&amp;""))),$G366*0.85,$G366))))</x:f>
      </x:c>
      <x:c r="O366" s="114" t="str">
        <x:f>IF(COUNTA($A366:$M366)=0,"",IF(OR(LOWER($F366&amp;"")="subscription",LOWER($F366&amp;"")="membership"),"",IF(OR($N366="",$I366="",$I366=0),"",IFERROR($N366/$I366,""))))</x:f>
      </x:c>
      <x:c r="P366" s="114" t="str">
        <x:f>IF(COUNTA($A366:$M366)=0,"",IF(OR(LOWER($F366&amp;"")="subscription",LOWER($F366&amp;"")="membership"),"",IF(LOWER($L366&amp;"")="yes",0,IF($K366&lt;&gt;"",$K366,IF($O366&lt;&gt;"",$O366,"")))))</x:f>
      </x:c>
      <x:c r="Q366" s="114" t="str">
        <x:f>IF(COUNTA($A366:$M366)=0,"",IF(OR($U366="Subscription",$U366=""),"",IF($U366="Profit",ROUND(IFERROR($P366,0)-IFERROR($H366,0),2),0)))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IF(COUNTA($A366:$M366)=0,"",IF(OR(LOWER($F366&amp;"")="subscription",LOWER($F366&amp;"")="membership"),"Subscription",IF(OR(AND($H366&lt;&gt;"",$H366=0),LOWER($F366&amp;"")="free game",LOWER($F366&amp;"")="free",LOWER($F366&amp;"")="free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IF(COUNTA($A366:$M366)=0,"",IF(OR($U366="Subscription",$U366=""),"",IF(OR($U366="Free Game",$U366="Disqualified — Free Game"),0,ROUND(IFERROR($Q366,0)-IFERROR($S366,0),2))))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455"/>
      <x:c r="H367" s="455"/>
      <x:c r="I367" s="456"/>
      <x:c r="J367" s="456"/>
      <x:c r="K367" s="455"/>
      <x:c r="L367" s="454"/>
      <x:c r="M367" s="439"/>
      <x:c r="N367" s="114" t="str">
        <x:f>IF(COUNTA($A367:$M367)=0,"",IF(OR(LOWER($F367&amp;"")="subscription",LOWER($F367&amp;"")="membership"),"",IF($G367="","",IF(ISNUMBER(SEARCH("non",LOWER($E367&amp;""))),$G367*0.85,$G367))))</x:f>
      </x:c>
      <x:c r="O367" s="114" t="str">
        <x:f>IF(COUNTA($A367:$M367)=0,"",IF(OR(LOWER($F367&amp;"")="subscription",LOWER($F367&amp;"")="membership"),"",IF(OR($N367="",$I367="",$I367=0),"",IFERROR($N367/$I367,""))))</x:f>
      </x:c>
      <x:c r="P367" s="114" t="str">
        <x:f>IF(COUNTA($A367:$M367)=0,"",IF(OR(LOWER($F367&amp;"")="subscription",LOWER($F367&amp;"")="membership"),"",IF(LOWER($L367&amp;"")="yes",0,IF($K367&lt;&gt;"",$K367,IF($O367&lt;&gt;"",$O367,"")))))</x:f>
      </x:c>
      <x:c r="Q367" s="114" t="str">
        <x:f>IF(COUNTA($A367:$M367)=0,"",IF(OR($U367="Subscription",$U367=""),"",IF($U367="Profit",ROUND(IFERROR($P367,0)-IFERROR($H367,0),2),0)))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IF(COUNTA($A367:$M367)=0,"",IF(OR(LOWER($F367&amp;"")="subscription",LOWER($F367&amp;"")="membership"),"Subscription",IF(OR(AND($H367&lt;&gt;"",$H367=0),LOWER($F367&amp;"")="free game",LOWER($F367&amp;"")="free",LOWER($F367&amp;"")="free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IF(COUNTA($A367:$M367)=0,"",IF(OR($U367="Subscription",$U367=""),"",IF(OR($U367="Free Game",$U367="Disqualified — Free Game"),0,ROUND(IFERROR($Q367,0)-IFERROR($S367,0),2))))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455"/>
      <x:c r="H368" s="455"/>
      <x:c r="I368" s="456"/>
      <x:c r="J368" s="456"/>
      <x:c r="K368" s="455"/>
      <x:c r="L368" s="454"/>
      <x:c r="M368" s="439"/>
      <x:c r="N368" s="114" t="str">
        <x:f>IF(COUNTA($A368:$M368)=0,"",IF(OR(LOWER($F368&amp;"")="subscription",LOWER($F368&amp;"")="membership"),"",IF($G368="","",IF(ISNUMBER(SEARCH("non",LOWER($E368&amp;""))),$G368*0.85,$G368))))</x:f>
      </x:c>
      <x:c r="O368" s="114" t="str">
        <x:f>IF(COUNTA($A368:$M368)=0,"",IF(OR(LOWER($F368&amp;"")="subscription",LOWER($F368&amp;"")="membership"),"",IF(OR($N368="",$I368="",$I368=0),"",IFERROR($N368/$I368,""))))</x:f>
      </x:c>
      <x:c r="P368" s="114" t="str">
        <x:f>IF(COUNTA($A368:$M368)=0,"",IF(OR(LOWER($F368&amp;"")="subscription",LOWER($F368&amp;"")="membership"),"",IF(LOWER($L368&amp;"")="yes",0,IF($K368&lt;&gt;"",$K368,IF($O368&lt;&gt;"",$O368,"")))))</x:f>
      </x:c>
      <x:c r="Q368" s="114" t="str">
        <x:f>IF(COUNTA($A368:$M368)=0,"",IF(OR($U368="Subscription",$U368=""),"",IF($U368="Profit",ROUND(IFERROR($P368,0)-IFERROR($H368,0),2),0)))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IF(COUNTA($A368:$M368)=0,"",IF(OR(LOWER($F368&amp;"")="subscription",LOWER($F368&amp;"")="membership"),"Subscription",IF(OR(AND($H368&lt;&gt;"",$H368=0),LOWER($F368&amp;"")="free game",LOWER($F368&amp;"")="free",LOWER($F368&amp;"")="free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IF(COUNTA($A368:$M368)=0,"",IF(OR($U368="Subscription",$U368=""),"",IF(OR($U368="Free Game",$U368="Disqualified — Free Game"),0,ROUND(IFERROR($Q368,0)-IFERROR($S368,0),2))))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455"/>
      <x:c r="H369" s="455"/>
      <x:c r="I369" s="456"/>
      <x:c r="J369" s="456"/>
      <x:c r="K369" s="455"/>
      <x:c r="L369" s="454"/>
      <x:c r="M369" s="439"/>
      <x:c r="N369" s="114" t="str">
        <x:f>IF(COUNTA($A369:$M369)=0,"",IF(OR(LOWER($F369&amp;"")="subscription",LOWER($F369&amp;"")="membership"),"",IF($G369="","",IF(ISNUMBER(SEARCH("non",LOWER($E369&amp;""))),$G369*0.85,$G369))))</x:f>
      </x:c>
      <x:c r="O369" s="114" t="str">
        <x:f>IF(COUNTA($A369:$M369)=0,"",IF(OR(LOWER($F369&amp;"")="subscription",LOWER($F369&amp;"")="membership"),"",IF(OR($N369="",$I369="",$I369=0),"",IFERROR($N369/$I369,""))))</x:f>
      </x:c>
      <x:c r="P369" s="114" t="str">
        <x:f>IF(COUNTA($A369:$M369)=0,"",IF(OR(LOWER($F369&amp;"")="subscription",LOWER($F369&amp;"")="membership"),"",IF(LOWER($L369&amp;"")="yes",0,IF($K369&lt;&gt;"",$K369,IF($O369&lt;&gt;"",$O369,"")))))</x:f>
      </x:c>
      <x:c r="Q369" s="114" t="str">
        <x:f>IF(COUNTA($A369:$M369)=0,"",IF(OR($U369="Subscription",$U369=""),"",IF($U369="Profit",ROUND(IFERROR($P369,0)-IFERROR($H369,0),2),0)))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IF(COUNTA($A369:$M369)=0,"",IF(OR(LOWER($F369&amp;"")="subscription",LOWER($F369&amp;"")="membership"),"Subscription",IF(OR(AND($H369&lt;&gt;"",$H369=0),LOWER($F369&amp;"")="free game",LOWER($F369&amp;"")="free",LOWER($F369&amp;"")="free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IF(COUNTA($A369:$M369)=0,"",IF(OR($U369="Subscription",$U369=""),"",IF(OR($U369="Free Game",$U369="Disqualified — Free Game"),0,ROUND(IFERROR($Q369,0)-IFERROR($S369,0),2))))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455"/>
      <x:c r="H370" s="455"/>
      <x:c r="I370" s="456"/>
      <x:c r="J370" s="456"/>
      <x:c r="K370" s="455"/>
      <x:c r="L370" s="454"/>
      <x:c r="M370" s="439"/>
      <x:c r="N370" s="114" t="str">
        <x:f>IF(COUNTA($A370:$M370)=0,"",IF(OR(LOWER($F370&amp;"")="subscription",LOWER($F370&amp;"")="membership"),"",IF($G370="","",IF(ISNUMBER(SEARCH("non",LOWER($E370&amp;""))),$G370*0.85,$G370))))</x:f>
      </x:c>
      <x:c r="O370" s="114" t="str">
        <x:f>IF(COUNTA($A370:$M370)=0,"",IF(OR(LOWER($F370&amp;"")="subscription",LOWER($F370&amp;"")="membership"),"",IF(OR($N370="",$I370="",$I370=0),"",IFERROR($N370/$I370,""))))</x:f>
      </x:c>
      <x:c r="P370" s="114" t="str">
        <x:f>IF(COUNTA($A370:$M370)=0,"",IF(OR(LOWER($F370&amp;"")="subscription",LOWER($F370&amp;"")="membership"),"",IF(LOWER($L370&amp;"")="yes",0,IF($K370&lt;&gt;"",$K370,IF($O370&lt;&gt;"",$O370,"")))))</x:f>
      </x:c>
      <x:c r="Q370" s="114" t="str">
        <x:f>IF(COUNTA($A370:$M370)=0,"",IF(OR($U370="Subscription",$U370=""),"",IF($U370="Profit",ROUND(IFERROR($P370,0)-IFERROR($H370,0),2),0)))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IF(COUNTA($A370:$M370)=0,"",IF(OR(LOWER($F370&amp;"")="subscription",LOWER($F370&amp;"")="membership"),"Subscription",IF(OR(AND($H370&lt;&gt;"",$H370=0),LOWER($F370&amp;"")="free game",LOWER($F370&amp;"")="free",LOWER($F370&amp;"")="free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IF(COUNTA($A370:$M370)=0,"",IF(OR($U370="Subscription",$U370=""),"",IF(OR($U370="Free Game",$U370="Disqualified — Free Game"),0,ROUND(IFERROR($Q370,0)-IFERROR($S370,0),2))))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455"/>
      <x:c r="H371" s="455"/>
      <x:c r="I371" s="456"/>
      <x:c r="J371" s="456"/>
      <x:c r="K371" s="455"/>
      <x:c r="L371" s="454"/>
      <x:c r="M371" s="439"/>
      <x:c r="N371" s="114" t="str">
        <x:f>IF(COUNTA($A371:$M371)=0,"",IF(OR(LOWER($F371&amp;"")="subscription",LOWER($F371&amp;"")="membership"),"",IF($G371="","",IF(ISNUMBER(SEARCH("non",LOWER($E371&amp;""))),$G371*0.85,$G371))))</x:f>
      </x:c>
      <x:c r="O371" s="114" t="str">
        <x:f>IF(COUNTA($A371:$M371)=0,"",IF(OR(LOWER($F371&amp;"")="subscription",LOWER($F371&amp;"")="membership"),"",IF(OR($N371="",$I371="",$I371=0),"",IFERROR($N371/$I371,""))))</x:f>
      </x:c>
      <x:c r="P371" s="114" t="str">
        <x:f>IF(COUNTA($A371:$M371)=0,"",IF(OR(LOWER($F371&amp;"")="subscription",LOWER($F371&amp;"")="membership"),"",IF(LOWER($L371&amp;"")="yes",0,IF($K371&lt;&gt;"",$K371,IF($O371&lt;&gt;"",$O371,"")))))</x:f>
      </x:c>
      <x:c r="Q371" s="114" t="str">
        <x:f>IF(COUNTA($A371:$M371)=0,"",IF(OR($U371="Subscription",$U371=""),"",IF($U371="Profit",ROUND(IFERROR($P371,0)-IFERROR($H371,0),2),0)))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IF(COUNTA($A371:$M371)=0,"",IF(OR(LOWER($F371&amp;"")="subscription",LOWER($F371&amp;"")="membership"),"Subscription",IF(OR(AND($H371&lt;&gt;"",$H371=0),LOWER($F371&amp;"")="free game",LOWER($F371&amp;"")="free",LOWER($F371&amp;"")="free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IF(COUNTA($A371:$M371)=0,"",IF(OR($U371="Subscription",$U371=""),"",IF(OR($U371="Free Game",$U371="Disqualified — Free Game"),0,ROUND(IFERROR($Q371,0)-IFERROR($S371,0),2))))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455"/>
      <x:c r="H372" s="455"/>
      <x:c r="I372" s="456"/>
      <x:c r="J372" s="456"/>
      <x:c r="K372" s="455"/>
      <x:c r="L372" s="454"/>
      <x:c r="M372" s="439"/>
      <x:c r="N372" s="114" t="str">
        <x:f>IF(COUNTA($A372:$M372)=0,"",IF(OR(LOWER($F372&amp;"")="subscription",LOWER($F372&amp;"")="membership"),"",IF($G372="","",IF(ISNUMBER(SEARCH("non",LOWER($E372&amp;""))),$G372*0.85,$G372))))</x:f>
      </x:c>
      <x:c r="O372" s="114" t="str">
        <x:f>IF(COUNTA($A372:$M372)=0,"",IF(OR(LOWER($F372&amp;"")="subscription",LOWER($F372&amp;"")="membership"),"",IF(OR($N372="",$I372="",$I372=0),"",IFERROR($N372/$I372,""))))</x:f>
      </x:c>
      <x:c r="P372" s="114" t="str">
        <x:f>IF(COUNTA($A372:$M372)=0,"",IF(OR(LOWER($F372&amp;"")="subscription",LOWER($F372&amp;"")="membership"),"",IF(LOWER($L372&amp;"")="yes",0,IF($K372&lt;&gt;"",$K372,IF($O372&lt;&gt;"",$O372,"")))))</x:f>
      </x:c>
      <x:c r="Q372" s="114" t="str">
        <x:f>IF(COUNTA($A372:$M372)=0,"",IF(OR($U372="Subscription",$U372=""),"",IF($U372="Profit",ROUND(IFERROR($P372,0)-IFERROR($H372,0),2),0)))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IF(COUNTA($A372:$M372)=0,"",IF(OR(LOWER($F372&amp;"")="subscription",LOWER($F372&amp;"")="membership"),"Subscription",IF(OR(AND($H372&lt;&gt;"",$H372=0),LOWER($F372&amp;"")="free game",LOWER($F372&amp;"")="free",LOWER($F372&amp;"")="free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IF(COUNTA($A372:$M372)=0,"",IF(OR($U372="Subscription",$U372=""),"",IF(OR($U372="Free Game",$U372="Disqualified — Free Game"),0,ROUND(IFERROR($Q372,0)-IFERROR($S372,0),2))))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455"/>
      <x:c r="H373" s="455"/>
      <x:c r="I373" s="456"/>
      <x:c r="J373" s="456"/>
      <x:c r="K373" s="455"/>
      <x:c r="L373" s="454"/>
      <x:c r="M373" s="439"/>
      <x:c r="N373" s="114" t="str">
        <x:f>IF(COUNTA($A373:$M373)=0,"",IF(OR(LOWER($F373&amp;"")="subscription",LOWER($F373&amp;"")="membership"),"",IF($G373="","",IF(ISNUMBER(SEARCH("non",LOWER($E373&amp;""))),$G373*0.85,$G373))))</x:f>
      </x:c>
      <x:c r="O373" s="114" t="str">
        <x:f>IF(COUNTA($A373:$M373)=0,"",IF(OR(LOWER($F373&amp;"")="subscription",LOWER($F373&amp;"")="membership"),"",IF(OR($N373="",$I373="",$I373=0),"",IFERROR($N373/$I373,""))))</x:f>
      </x:c>
      <x:c r="P373" s="114" t="str">
        <x:f>IF(COUNTA($A373:$M373)=0,"",IF(OR(LOWER($F373&amp;"")="subscription",LOWER($F373&amp;"")="membership"),"",IF(LOWER($L373&amp;"")="yes",0,IF($K373&lt;&gt;"",$K373,IF($O373&lt;&gt;"",$O373,"")))))</x:f>
      </x:c>
      <x:c r="Q373" s="114" t="str">
        <x:f>IF(COUNTA($A373:$M373)=0,"",IF(OR($U373="Subscription",$U373=""),"",IF($U373="Profit",ROUND(IFERROR($P373,0)-IFERROR($H373,0),2),0)))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IF(COUNTA($A373:$M373)=0,"",IF(OR(LOWER($F373&amp;"")="subscription",LOWER($F373&amp;"")="membership"),"Subscription",IF(OR(AND($H373&lt;&gt;"",$H373=0),LOWER($F373&amp;"")="free game",LOWER($F373&amp;"")="free",LOWER($F373&amp;"")="free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IF(COUNTA($A373:$M373)=0,"",IF(OR($U373="Subscription",$U373=""),"",IF(OR($U373="Free Game",$U373="Disqualified — Free Game"),0,ROUND(IFERROR($Q373,0)-IFERROR($S373,0),2))))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455"/>
      <x:c r="H374" s="455"/>
      <x:c r="I374" s="456"/>
      <x:c r="J374" s="456"/>
      <x:c r="K374" s="455"/>
      <x:c r="L374" s="454"/>
      <x:c r="M374" s="439"/>
      <x:c r="N374" s="114" t="str">
        <x:f>IF(COUNTA($A374:$M374)=0,"",IF(OR(LOWER($F374&amp;"")="subscription",LOWER($F374&amp;"")="membership"),"",IF($G374="","",IF(ISNUMBER(SEARCH("non",LOWER($E374&amp;""))),$G374*0.85,$G374))))</x:f>
      </x:c>
      <x:c r="O374" s="114" t="str">
        <x:f>IF(COUNTA($A374:$M374)=0,"",IF(OR(LOWER($F374&amp;"")="subscription",LOWER($F374&amp;"")="membership"),"",IF(OR($N374="",$I374="",$I374=0),"",IFERROR($N374/$I374,""))))</x:f>
      </x:c>
      <x:c r="P374" s="114" t="str">
        <x:f>IF(COUNTA($A374:$M374)=0,"",IF(OR(LOWER($F374&amp;"")="subscription",LOWER($F374&amp;"")="membership"),"",IF(LOWER($L374&amp;"")="yes",0,IF($K374&lt;&gt;"",$K374,IF($O374&lt;&gt;"",$O374,"")))))</x:f>
      </x:c>
      <x:c r="Q374" s="114" t="str">
        <x:f>IF(COUNTA($A374:$M374)=0,"",IF(OR($U374="Subscription",$U374=""),"",IF($U374="Profit",ROUND(IFERROR($P374,0)-IFERROR($H374,0),2),0)))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IF(COUNTA($A374:$M374)=0,"",IF(OR(LOWER($F374&amp;"")="subscription",LOWER($F374&amp;"")="membership"),"Subscription",IF(OR(AND($H374&lt;&gt;"",$H374=0),LOWER($F374&amp;"")="free game",LOWER($F374&amp;"")="free",LOWER($F374&amp;"")="free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IF(COUNTA($A374:$M374)=0,"",IF(OR($U374="Subscription",$U374=""),"",IF(OR($U374="Free Game",$U374="Disqualified — Free Game"),0,ROUND(IFERROR($Q374,0)-IFERROR($S374,0),2))))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455"/>
      <x:c r="H375" s="455"/>
      <x:c r="I375" s="456"/>
      <x:c r="J375" s="456"/>
      <x:c r="K375" s="455"/>
      <x:c r="L375" s="454"/>
      <x:c r="M375" s="439"/>
      <x:c r="N375" s="114" t="str">
        <x:f>IF(COUNTA($A375:$M375)=0,"",IF(OR(LOWER($F375&amp;"")="subscription",LOWER($F375&amp;"")="membership"),"",IF($G375="","",IF(ISNUMBER(SEARCH("non",LOWER($E375&amp;""))),$G375*0.85,$G375))))</x:f>
      </x:c>
      <x:c r="O375" s="114" t="str">
        <x:f>IF(COUNTA($A375:$M375)=0,"",IF(OR(LOWER($F375&amp;"")="subscription",LOWER($F375&amp;"")="membership"),"",IF(OR($N375="",$I375="",$I375=0),"",IFERROR($N375/$I375,""))))</x:f>
      </x:c>
      <x:c r="P375" s="114" t="str">
        <x:f>IF(COUNTA($A375:$M375)=0,"",IF(OR(LOWER($F375&amp;"")="subscription",LOWER($F375&amp;"")="membership"),"",IF(LOWER($L375&amp;"")="yes",0,IF($K375&lt;&gt;"",$K375,IF($O375&lt;&gt;"",$O375,"")))))</x:f>
      </x:c>
      <x:c r="Q375" s="114" t="str">
        <x:f>IF(COUNTA($A375:$M375)=0,"",IF(OR($U375="Subscription",$U375=""),"",IF($U375="Profit",ROUND(IFERROR($P375,0)-IFERROR($H375,0),2),0)))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IF(COUNTA($A375:$M375)=0,"",IF(OR(LOWER($F375&amp;"")="subscription",LOWER($F375&amp;"")="membership"),"Subscription",IF(OR(AND($H375&lt;&gt;"",$H375=0),LOWER($F375&amp;"")="free game",LOWER($F375&amp;"")="free",LOWER($F375&amp;"")="free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IF(COUNTA($A375:$M375)=0,"",IF(OR($U375="Subscription",$U375=""),"",IF(OR($U375="Free Game",$U375="Disqualified — Free Game"),0,ROUND(IFERROR($Q375,0)-IFERROR($S375,0),2))))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455"/>
      <x:c r="H376" s="455"/>
      <x:c r="I376" s="456"/>
      <x:c r="J376" s="456"/>
      <x:c r="K376" s="455"/>
      <x:c r="L376" s="454"/>
      <x:c r="M376" s="439"/>
      <x:c r="N376" s="114" t="str">
        <x:f>IF(COUNTA($A376:$M376)=0,"",IF(OR(LOWER($F376&amp;"")="subscription",LOWER($F376&amp;"")="membership"),"",IF($G376="","",IF(ISNUMBER(SEARCH("non",LOWER($E376&amp;""))),$G376*0.85,$G376))))</x:f>
      </x:c>
      <x:c r="O376" s="114" t="str">
        <x:f>IF(COUNTA($A376:$M376)=0,"",IF(OR(LOWER($F376&amp;"")="subscription",LOWER($F376&amp;"")="membership"),"",IF(OR($N376="",$I376="",$I376=0),"",IFERROR($N376/$I376,""))))</x:f>
      </x:c>
      <x:c r="P376" s="114" t="str">
        <x:f>IF(COUNTA($A376:$M376)=0,"",IF(OR(LOWER($F376&amp;"")="subscription",LOWER($F376&amp;"")="membership"),"",IF(LOWER($L376&amp;"")="yes",0,IF($K376&lt;&gt;"",$K376,IF($O376&lt;&gt;"",$O376,"")))))</x:f>
      </x:c>
      <x:c r="Q376" s="114" t="str">
        <x:f>IF(COUNTA($A376:$M376)=0,"",IF(OR($U376="Subscription",$U376=""),"",IF($U376="Profit",ROUND(IFERROR($P376,0)-IFERROR($H376,0),2),0)))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IF(COUNTA($A376:$M376)=0,"",IF(OR(LOWER($F376&amp;"")="subscription",LOWER($F376&amp;"")="membership"),"Subscription",IF(OR(AND($H376&lt;&gt;"",$H376=0),LOWER($F376&amp;"")="free game",LOWER($F376&amp;"")="free",LOWER($F376&amp;"")="free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IF(COUNTA($A376:$M376)=0,"",IF(OR($U376="Subscription",$U376=""),"",IF(OR($U376="Free Game",$U376="Disqualified — Free Game"),0,ROUND(IFERROR($Q376,0)-IFERROR($S376,0),2))))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455"/>
      <x:c r="H377" s="455"/>
      <x:c r="I377" s="456"/>
      <x:c r="J377" s="456"/>
      <x:c r="K377" s="455"/>
      <x:c r="L377" s="454"/>
      <x:c r="M377" s="439"/>
      <x:c r="N377" s="114" t="str">
        <x:f>IF(COUNTA($A377:$M377)=0,"",IF(OR(LOWER($F377&amp;"")="subscription",LOWER($F377&amp;"")="membership"),"",IF($G377="","",IF(ISNUMBER(SEARCH("non",LOWER($E377&amp;""))),$G377*0.85,$G377))))</x:f>
      </x:c>
      <x:c r="O377" s="114" t="str">
        <x:f>IF(COUNTA($A377:$M377)=0,"",IF(OR(LOWER($F377&amp;"")="subscription",LOWER($F377&amp;"")="membership"),"",IF(OR($N377="",$I377="",$I377=0),"",IFERROR($N377/$I377,""))))</x:f>
      </x:c>
      <x:c r="P377" s="114" t="str">
        <x:f>IF(COUNTA($A377:$M377)=0,"",IF(OR(LOWER($F377&amp;"")="subscription",LOWER($F377&amp;"")="membership"),"",IF(LOWER($L377&amp;"")="yes",0,IF($K377&lt;&gt;"",$K377,IF($O377&lt;&gt;"",$O377,"")))))</x:f>
      </x:c>
      <x:c r="Q377" s="114" t="str">
        <x:f>IF(COUNTA($A377:$M377)=0,"",IF(OR($U377="Subscription",$U377=""),"",IF($U377="Profit",ROUND(IFERROR($P377,0)-IFERROR($H377,0),2),0)))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IF(COUNTA($A377:$M377)=0,"",IF(OR(LOWER($F377&amp;"")="subscription",LOWER($F377&amp;"")="membership"),"Subscription",IF(OR(AND($H377&lt;&gt;"",$H377=0),LOWER($F377&amp;"")="free game",LOWER($F377&amp;"")="free",LOWER($F377&amp;"")="free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IF(COUNTA($A377:$M377)=0,"",IF(OR($U377="Subscription",$U377=""),"",IF(OR($U377="Free Game",$U377="Disqualified — Free Game"),0,ROUND(IFERROR($Q377,0)-IFERROR($S377,0),2))))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455"/>
      <x:c r="H378" s="455"/>
      <x:c r="I378" s="456"/>
      <x:c r="J378" s="456"/>
      <x:c r="K378" s="455"/>
      <x:c r="L378" s="454"/>
      <x:c r="M378" s="439"/>
      <x:c r="N378" s="114" t="str">
        <x:f>IF(COUNTA($A378:$M378)=0,"",IF(OR(LOWER($F378&amp;"")="subscription",LOWER($F378&amp;"")="membership"),"",IF($G378="","",IF(ISNUMBER(SEARCH("non",LOWER($E378&amp;""))),$G378*0.85,$G378))))</x:f>
      </x:c>
      <x:c r="O378" s="114" t="str">
        <x:f>IF(COUNTA($A378:$M378)=0,"",IF(OR(LOWER($F378&amp;"")="subscription",LOWER($F378&amp;"")="membership"),"",IF(OR($N378="",$I378="",$I378=0),"",IFERROR($N378/$I378,""))))</x:f>
      </x:c>
      <x:c r="P378" s="114" t="str">
        <x:f>IF(COUNTA($A378:$M378)=0,"",IF(OR(LOWER($F378&amp;"")="subscription",LOWER($F378&amp;"")="membership"),"",IF(LOWER($L378&amp;"")="yes",0,IF($K378&lt;&gt;"",$K378,IF($O378&lt;&gt;"",$O378,"")))))</x:f>
      </x:c>
      <x:c r="Q378" s="114" t="str">
        <x:f>IF(COUNTA($A378:$M378)=0,"",IF(OR($U378="Subscription",$U378=""),"",IF($U378="Profit",ROUND(IFERROR($P378,0)-IFERROR($H378,0),2),0)))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IF(COUNTA($A378:$M378)=0,"",IF(OR(LOWER($F378&amp;"")="subscription",LOWER($F378&amp;"")="membership"),"Subscription",IF(OR(AND($H378&lt;&gt;"",$H378=0),LOWER($F378&amp;"")="free game",LOWER($F378&amp;"")="free",LOWER($F378&amp;"")="free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IF(COUNTA($A378:$M378)=0,"",IF(OR($U378="Subscription",$U378=""),"",IF(OR($U378="Free Game",$U378="Disqualified — Free Game"),0,ROUND(IFERROR($Q378,0)-IFERROR($S378,0),2))))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455"/>
      <x:c r="H379" s="455"/>
      <x:c r="I379" s="456"/>
      <x:c r="J379" s="456"/>
      <x:c r="K379" s="455"/>
      <x:c r="L379" s="454"/>
      <x:c r="M379" s="439"/>
      <x:c r="N379" s="114" t="str">
        <x:f>IF(COUNTA($A379:$M379)=0,"",IF(OR(LOWER($F379&amp;"")="subscription",LOWER($F379&amp;"")="membership"),"",IF($G379="","",IF(ISNUMBER(SEARCH("non",LOWER($E379&amp;""))),$G379*0.85,$G379))))</x:f>
      </x:c>
      <x:c r="O379" s="114" t="str">
        <x:f>IF(COUNTA($A379:$M379)=0,"",IF(OR(LOWER($F379&amp;"")="subscription",LOWER($F379&amp;"")="membership"),"",IF(OR($N379="",$I379="",$I379=0),"",IFERROR($N379/$I379,""))))</x:f>
      </x:c>
      <x:c r="P379" s="114" t="str">
        <x:f>IF(COUNTA($A379:$M379)=0,"",IF(OR(LOWER($F379&amp;"")="subscription",LOWER($F379&amp;"")="membership"),"",IF(LOWER($L379&amp;"")="yes",0,IF($K379&lt;&gt;"",$K379,IF($O379&lt;&gt;"",$O379,"")))))</x:f>
      </x:c>
      <x:c r="Q379" s="114" t="str">
        <x:f>IF(COUNTA($A379:$M379)=0,"",IF(OR($U379="Subscription",$U379=""),"",IF($U379="Profit",ROUND(IFERROR($P379,0)-IFERROR($H379,0),2),0)))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IF(COUNTA($A379:$M379)=0,"",IF(OR(LOWER($F379&amp;"")="subscription",LOWER($F379&amp;"")="membership"),"Subscription",IF(OR(AND($H379&lt;&gt;"",$H379=0),LOWER($F379&amp;"")="free game",LOWER($F379&amp;"")="free",LOWER($F379&amp;"")="free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IF(COUNTA($A379:$M379)=0,"",IF(OR($U379="Subscription",$U379=""),"",IF(OR($U379="Free Game",$U379="Disqualified — Free Game"),0,ROUND(IFERROR($Q379,0)-IFERROR($S379,0),2))))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455"/>
      <x:c r="H380" s="455"/>
      <x:c r="I380" s="456"/>
      <x:c r="J380" s="456"/>
      <x:c r="K380" s="455"/>
      <x:c r="L380" s="454"/>
      <x:c r="M380" s="439"/>
      <x:c r="N380" s="114" t="str">
        <x:f>IF(COUNTA($A380:$M380)=0,"",IF(OR(LOWER($F380&amp;"")="subscription",LOWER($F380&amp;"")="membership"),"",IF($G380="","",IF(ISNUMBER(SEARCH("non",LOWER($E380&amp;""))),$G380*0.85,$G380))))</x:f>
      </x:c>
      <x:c r="O380" s="114" t="str">
        <x:f>IF(COUNTA($A380:$M380)=0,"",IF(OR(LOWER($F380&amp;"")="subscription",LOWER($F380&amp;"")="membership"),"",IF(OR($N380="",$I380="",$I380=0),"",IFERROR($N380/$I380,""))))</x:f>
      </x:c>
      <x:c r="P380" s="114" t="str">
        <x:f>IF(COUNTA($A380:$M380)=0,"",IF(OR(LOWER($F380&amp;"")="subscription",LOWER($F380&amp;"")="membership"),"",IF(LOWER($L380&amp;"")="yes",0,IF($K380&lt;&gt;"",$K380,IF($O380&lt;&gt;"",$O380,"")))))</x:f>
      </x:c>
      <x:c r="Q380" s="114" t="str">
        <x:f>IF(COUNTA($A380:$M380)=0,"",IF(OR($U380="Subscription",$U380=""),"",IF($U380="Profit",ROUND(IFERROR($P380,0)-IFERROR($H380,0),2),0)))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IF(COUNTA($A380:$M380)=0,"",IF(OR(LOWER($F380&amp;"")="subscription",LOWER($F380&amp;"")="membership"),"Subscription",IF(OR(AND($H380&lt;&gt;"",$H380=0),LOWER($F380&amp;"")="free game",LOWER($F380&amp;"")="free",LOWER($F380&amp;"")="free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IF(COUNTA($A380:$M380)=0,"",IF(OR($U380="Subscription",$U380=""),"",IF(OR($U380="Free Game",$U380="Disqualified — Free Game"),0,ROUND(IFERROR($Q380,0)-IFERROR($S380,0),2))))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455"/>
      <x:c r="H381" s="455"/>
      <x:c r="I381" s="456"/>
      <x:c r="J381" s="456"/>
      <x:c r="K381" s="455"/>
      <x:c r="L381" s="454"/>
      <x:c r="M381" s="439"/>
      <x:c r="N381" s="114" t="str">
        <x:f>IF(COUNTA($A381:$M381)=0,"",IF(OR(LOWER($F381&amp;"")="subscription",LOWER($F381&amp;"")="membership"),"",IF($G381="","",IF(ISNUMBER(SEARCH("non",LOWER($E381&amp;""))),$G381*0.85,$G381))))</x:f>
      </x:c>
      <x:c r="O381" s="114" t="str">
        <x:f>IF(COUNTA($A381:$M381)=0,"",IF(OR(LOWER($F381&amp;"")="subscription",LOWER($F381&amp;"")="membership"),"",IF(OR($N381="",$I381="",$I381=0),"",IFERROR($N381/$I381,""))))</x:f>
      </x:c>
      <x:c r="P381" s="114" t="str">
        <x:f>IF(COUNTA($A381:$M381)=0,"",IF(OR(LOWER($F381&amp;"")="subscription",LOWER($F381&amp;"")="membership"),"",IF(LOWER($L381&amp;"")="yes",0,IF($K381&lt;&gt;"",$K381,IF($O381&lt;&gt;"",$O381,"")))))</x:f>
      </x:c>
      <x:c r="Q381" s="114" t="str">
        <x:f>IF(COUNTA($A381:$M381)=0,"",IF(OR($U381="Subscription",$U381=""),"",IF($U381="Profit",ROUND(IFERROR($P381,0)-IFERROR($H381,0),2),0)))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IF(COUNTA($A381:$M381)=0,"",IF(OR(LOWER($F381&amp;"")="subscription",LOWER($F381&amp;"")="membership"),"Subscription",IF(OR(AND($H381&lt;&gt;"",$H381=0),LOWER($F381&amp;"")="free game",LOWER($F381&amp;"")="free",LOWER($F381&amp;"")="free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IF(COUNTA($A381:$M381)=0,"",IF(OR($U381="Subscription",$U381=""),"",IF(OR($U381="Free Game",$U381="Disqualified — Free Game"),0,ROUND(IFERROR($Q381,0)-IFERROR($S381,0),2))))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455"/>
      <x:c r="H382" s="455"/>
      <x:c r="I382" s="456"/>
      <x:c r="J382" s="456"/>
      <x:c r="K382" s="455"/>
      <x:c r="L382" s="454"/>
      <x:c r="M382" s="439"/>
      <x:c r="N382" s="114" t="str">
        <x:f>IF(COUNTA($A382:$M382)=0,"",IF(OR(LOWER($F382&amp;"")="subscription",LOWER($F382&amp;"")="membership"),"",IF($G382="","",IF(ISNUMBER(SEARCH("non",LOWER($E382&amp;""))),$G382*0.85,$G382))))</x:f>
      </x:c>
      <x:c r="O382" s="114" t="str">
        <x:f>IF(COUNTA($A382:$M382)=0,"",IF(OR(LOWER($F382&amp;"")="subscription",LOWER($F382&amp;"")="membership"),"",IF(OR($N382="",$I382="",$I382=0),"",IFERROR($N382/$I382,""))))</x:f>
      </x:c>
      <x:c r="P382" s="114" t="str">
        <x:f>IF(COUNTA($A382:$M382)=0,"",IF(OR(LOWER($F382&amp;"")="subscription",LOWER($F382&amp;"")="membership"),"",IF(LOWER($L382&amp;"")="yes",0,IF($K382&lt;&gt;"",$K382,IF($O382&lt;&gt;"",$O382,"")))))</x:f>
      </x:c>
      <x:c r="Q382" s="114" t="str">
        <x:f>IF(COUNTA($A382:$M382)=0,"",IF(OR($U382="Subscription",$U382=""),"",IF($U382="Profit",ROUND(IFERROR($P382,0)-IFERROR($H382,0),2),0)))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IF(COUNTA($A382:$M382)=0,"",IF(OR(LOWER($F382&amp;"")="subscription",LOWER($F382&amp;"")="membership"),"Subscription",IF(OR(AND($H382&lt;&gt;"",$H382=0),LOWER($F382&amp;"")="free game",LOWER($F382&amp;"")="free",LOWER($F382&amp;"")="free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IF(COUNTA($A382:$M382)=0,"",IF(OR($U382="Subscription",$U382=""),"",IF(OR($U382="Free Game",$U382="Disqualified — Free Game"),0,ROUND(IFERROR($Q382,0)-IFERROR($S382,0),2))))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455"/>
      <x:c r="H383" s="455"/>
      <x:c r="I383" s="456"/>
      <x:c r="J383" s="456"/>
      <x:c r="K383" s="455"/>
      <x:c r="L383" s="454"/>
      <x:c r="M383" s="439"/>
      <x:c r="N383" s="114" t="str">
        <x:f>IF(COUNTA($A383:$M383)=0,"",IF(OR(LOWER($F383&amp;"")="subscription",LOWER($F383&amp;"")="membership"),"",IF($G383="","",IF(ISNUMBER(SEARCH("non",LOWER($E383&amp;""))),$G383*0.85,$G383))))</x:f>
      </x:c>
      <x:c r="O383" s="114" t="str">
        <x:f>IF(COUNTA($A383:$M383)=0,"",IF(OR(LOWER($F383&amp;"")="subscription",LOWER($F383&amp;"")="membership"),"",IF(OR($N383="",$I383="",$I383=0),"",IFERROR($N383/$I383,""))))</x:f>
      </x:c>
      <x:c r="P383" s="114" t="str">
        <x:f>IF(COUNTA($A383:$M383)=0,"",IF(OR(LOWER($F383&amp;"")="subscription",LOWER($F383&amp;"")="membership"),"",IF(LOWER($L383&amp;"")="yes",0,IF($K383&lt;&gt;"",$K383,IF($O383&lt;&gt;"",$O383,"")))))</x:f>
      </x:c>
      <x:c r="Q383" s="114" t="str">
        <x:f>IF(COUNTA($A383:$M383)=0,"",IF(OR($U383="Subscription",$U383=""),"",IF($U383="Profit",ROUND(IFERROR($P383,0)-IFERROR($H383,0),2),0)))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IF(COUNTA($A383:$M383)=0,"",IF(OR(LOWER($F383&amp;"")="subscription",LOWER($F383&amp;"")="membership"),"Subscription",IF(OR(AND($H383&lt;&gt;"",$H383=0),LOWER($F383&amp;"")="free game",LOWER($F383&amp;"")="free",LOWER($F383&amp;"")="free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IF(COUNTA($A383:$M383)=0,"",IF(OR($U383="Subscription",$U383=""),"",IF(OR($U383="Free Game",$U383="Disqualified — Free Game"),0,ROUND(IFERROR($Q383,0)-IFERROR($S383,0),2))))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455"/>
      <x:c r="H384" s="455"/>
      <x:c r="I384" s="456"/>
      <x:c r="J384" s="456"/>
      <x:c r="K384" s="455"/>
      <x:c r="L384" s="454"/>
      <x:c r="M384" s="439"/>
      <x:c r="N384" s="114" t="str">
        <x:f>IF(COUNTA($A384:$M384)=0,"",IF(OR(LOWER($F384&amp;"")="subscription",LOWER($F384&amp;"")="membership"),"",IF($G384="","",IF(ISNUMBER(SEARCH("non",LOWER($E384&amp;""))),$G384*0.85,$G384))))</x:f>
      </x:c>
      <x:c r="O384" s="114" t="str">
        <x:f>IF(COUNTA($A384:$M384)=0,"",IF(OR(LOWER($F384&amp;"")="subscription",LOWER($F384&amp;"")="membership"),"",IF(OR($N384="",$I384="",$I384=0),"",IFERROR($N384/$I384,""))))</x:f>
      </x:c>
      <x:c r="P384" s="114" t="str">
        <x:f>IF(COUNTA($A384:$M384)=0,"",IF(OR(LOWER($F384&amp;"")="subscription",LOWER($F384&amp;"")="membership"),"",IF(LOWER($L384&amp;"")="yes",0,IF($K384&lt;&gt;"",$K384,IF($O384&lt;&gt;"",$O384,"")))))</x:f>
      </x:c>
      <x:c r="Q384" s="114" t="str">
        <x:f>IF(COUNTA($A384:$M384)=0,"",IF(OR($U384="Subscription",$U384=""),"",IF($U384="Profit",ROUND(IFERROR($P384,0)-IFERROR($H384,0),2),0)))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IF(COUNTA($A384:$M384)=0,"",IF(OR(LOWER($F384&amp;"")="subscription",LOWER($F384&amp;"")="membership"),"Subscription",IF(OR(AND($H384&lt;&gt;"",$H384=0),LOWER($F384&amp;"")="free game",LOWER($F384&amp;"")="free",LOWER($F384&amp;"")="free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IF(COUNTA($A384:$M384)=0,"",IF(OR($U384="Subscription",$U384=""),"",IF(OR($U384="Free Game",$U384="Disqualified — Free Game"),0,ROUND(IFERROR($Q384,0)-IFERROR($S384,0),2))))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455"/>
      <x:c r="H385" s="455"/>
      <x:c r="I385" s="456"/>
      <x:c r="J385" s="456"/>
      <x:c r="K385" s="455"/>
      <x:c r="L385" s="454"/>
      <x:c r="M385" s="439"/>
      <x:c r="N385" s="114" t="str">
        <x:f>IF(COUNTA($A385:$M385)=0,"",IF(OR(LOWER($F385&amp;"")="subscription",LOWER($F385&amp;"")="membership"),"",IF($G385="","",IF(ISNUMBER(SEARCH("non",LOWER($E385&amp;""))),$G385*0.85,$G385))))</x:f>
      </x:c>
      <x:c r="O385" s="114" t="str">
        <x:f>IF(COUNTA($A385:$M385)=0,"",IF(OR(LOWER($F385&amp;"")="subscription",LOWER($F385&amp;"")="membership"),"",IF(OR($N385="",$I385="",$I385=0),"",IFERROR($N385/$I385,""))))</x:f>
      </x:c>
      <x:c r="P385" s="114" t="str">
        <x:f>IF(COUNTA($A385:$M385)=0,"",IF(OR(LOWER($F385&amp;"")="subscription",LOWER($F385&amp;"")="membership"),"",IF(LOWER($L385&amp;"")="yes",0,IF($K385&lt;&gt;"",$K385,IF($O385&lt;&gt;"",$O385,"")))))</x:f>
      </x:c>
      <x:c r="Q385" s="114" t="str">
        <x:f>IF(COUNTA($A385:$M385)=0,"",IF(OR($U385="Subscription",$U385=""),"",IF($U385="Profit",ROUND(IFERROR($P385,0)-IFERROR($H385,0),2),0)))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IF(COUNTA($A385:$M385)=0,"",IF(OR(LOWER($F385&amp;"")="subscription",LOWER($F385&amp;"")="membership"),"Subscription",IF(OR(AND($H385&lt;&gt;"",$H385=0),LOWER($F385&amp;"")="free game",LOWER($F385&amp;"")="free",LOWER($F385&amp;"")="free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IF(COUNTA($A385:$M385)=0,"",IF(OR($U385="Subscription",$U385=""),"",IF(OR($U385="Free Game",$U385="Disqualified — Free Game"),0,ROUND(IFERROR($Q385,0)-IFERROR($S385,0),2))))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455"/>
      <x:c r="H386" s="455"/>
      <x:c r="I386" s="456"/>
      <x:c r="J386" s="456"/>
      <x:c r="K386" s="455"/>
      <x:c r="L386" s="454"/>
      <x:c r="M386" s="439"/>
      <x:c r="N386" s="114" t="str">
        <x:f>IF(COUNTA($A386:$M386)=0,"",IF(OR(LOWER($F386&amp;"")="subscription",LOWER($F386&amp;"")="membership"),"",IF($G386="","",IF(ISNUMBER(SEARCH("non",LOWER($E386&amp;""))),$G386*0.85,$G386))))</x:f>
      </x:c>
      <x:c r="O386" s="114" t="str">
        <x:f>IF(COUNTA($A386:$M386)=0,"",IF(OR(LOWER($F386&amp;"")="subscription",LOWER($F386&amp;"")="membership"),"",IF(OR($N386="",$I386="",$I386=0),"",IFERROR($N386/$I386,""))))</x:f>
      </x:c>
      <x:c r="P386" s="114" t="str">
        <x:f>IF(COUNTA($A386:$M386)=0,"",IF(OR(LOWER($F386&amp;"")="subscription",LOWER($F386&amp;"")="membership"),"",IF(LOWER($L386&amp;"")="yes",0,IF($K386&lt;&gt;"",$K386,IF($O386&lt;&gt;"",$O386,"")))))</x:f>
      </x:c>
      <x:c r="Q386" s="114" t="str">
        <x:f>IF(COUNTA($A386:$M386)=0,"",IF(OR($U386="Subscription",$U386=""),"",IF($U386="Profit",ROUND(IFERROR($P386,0)-IFERROR($H386,0),2),0)))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IF(COUNTA($A386:$M386)=0,"",IF(OR(LOWER($F386&amp;"")="subscription",LOWER($F386&amp;"")="membership"),"Subscription",IF(OR(AND($H386&lt;&gt;"",$H386=0),LOWER($F386&amp;"")="free game",LOWER($F386&amp;"")="free",LOWER($F386&amp;"")="free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IF(COUNTA($A386:$M386)=0,"",IF(OR($U386="Subscription",$U386=""),"",IF(OR($U386="Free Game",$U386="Disqualified — Free Game"),0,ROUND(IFERROR($Q386,0)-IFERROR($S386,0),2))))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455"/>
      <x:c r="H387" s="455"/>
      <x:c r="I387" s="456"/>
      <x:c r="J387" s="456"/>
      <x:c r="K387" s="455"/>
      <x:c r="L387" s="454"/>
      <x:c r="M387" s="439"/>
      <x:c r="N387" s="114" t="str">
        <x:f>IF(COUNTA($A387:$M387)=0,"",IF(OR(LOWER($F387&amp;"")="subscription",LOWER($F387&amp;"")="membership"),"",IF($G387="","",IF(ISNUMBER(SEARCH("non",LOWER($E387&amp;""))),$G387*0.85,$G387))))</x:f>
      </x:c>
      <x:c r="O387" s="114" t="str">
        <x:f>IF(COUNTA($A387:$M387)=0,"",IF(OR(LOWER($F387&amp;"")="subscription",LOWER($F387&amp;"")="membership"),"",IF(OR($N387="",$I387="",$I387=0),"",IFERROR($N387/$I387,""))))</x:f>
      </x:c>
      <x:c r="P387" s="114" t="str">
        <x:f>IF(COUNTA($A387:$M387)=0,"",IF(OR(LOWER($F387&amp;"")="subscription",LOWER($F387&amp;"")="membership"),"",IF(LOWER($L387&amp;"")="yes",0,IF($K387&lt;&gt;"",$K387,IF($O387&lt;&gt;"",$O387,"")))))</x:f>
      </x:c>
      <x:c r="Q387" s="114" t="str">
        <x:f>IF(COUNTA($A387:$M387)=0,"",IF(OR($U387="Subscription",$U387=""),"",IF($U387="Profit",ROUND(IFERROR($P387,0)-IFERROR($H387,0),2),0)))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IF(COUNTA($A387:$M387)=0,"",IF(OR(LOWER($F387&amp;"")="subscription",LOWER($F387&amp;"")="membership"),"Subscription",IF(OR(AND($H387&lt;&gt;"",$H387=0),LOWER($F387&amp;"")="free game",LOWER($F387&amp;"")="free",LOWER($F387&amp;"")="free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IF(COUNTA($A387:$M387)=0,"",IF(OR($U387="Subscription",$U387=""),"",IF(OR($U387="Free Game",$U387="Disqualified — Free Game"),0,ROUND(IFERROR($Q387,0)-IFERROR($S387,0),2))))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455"/>
      <x:c r="H388" s="455"/>
      <x:c r="I388" s="456"/>
      <x:c r="J388" s="456"/>
      <x:c r="K388" s="455"/>
      <x:c r="L388" s="454"/>
      <x:c r="M388" s="439"/>
      <x:c r="N388" s="114" t="str">
        <x:f>IF(COUNTA($A388:$M388)=0,"",IF(OR(LOWER($F388&amp;"")="subscription",LOWER($F388&amp;"")="membership"),"",IF($G388="","",IF(ISNUMBER(SEARCH("non",LOWER($E388&amp;""))),$G388*0.85,$G388))))</x:f>
      </x:c>
      <x:c r="O388" s="114" t="str">
        <x:f>IF(COUNTA($A388:$M388)=0,"",IF(OR(LOWER($F388&amp;"")="subscription",LOWER($F388&amp;"")="membership"),"",IF(OR($N388="",$I388="",$I388=0),"",IFERROR($N388/$I388,""))))</x:f>
      </x:c>
      <x:c r="P388" s="114" t="str">
        <x:f>IF(COUNTA($A388:$M388)=0,"",IF(OR(LOWER($F388&amp;"")="subscription",LOWER($F388&amp;"")="membership"),"",IF(LOWER($L388&amp;"")="yes",0,IF($K388&lt;&gt;"",$K388,IF($O388&lt;&gt;"",$O388,"")))))</x:f>
      </x:c>
      <x:c r="Q388" s="114" t="str">
        <x:f>IF(COUNTA($A388:$M388)=0,"",IF(OR($U388="Subscription",$U388=""),"",IF($U388="Profit",ROUND(IFERROR($P388,0)-IFERROR($H388,0),2),0)))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IF(COUNTA($A388:$M388)=0,"",IF(OR(LOWER($F388&amp;"")="subscription",LOWER($F388&amp;"")="membership"),"Subscription",IF(OR(AND($H388&lt;&gt;"",$H388=0),LOWER($F388&amp;"")="free game",LOWER($F388&amp;"")="free",LOWER($F388&amp;"")="free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IF(COUNTA($A388:$M388)=0,"",IF(OR($U388="Subscription",$U388=""),"",IF(OR($U388="Free Game",$U388="Disqualified — Free Game"),0,ROUND(IFERROR($Q388,0)-IFERROR($S388,0),2))))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455"/>
      <x:c r="H389" s="455"/>
      <x:c r="I389" s="456"/>
      <x:c r="J389" s="456"/>
      <x:c r="K389" s="455"/>
      <x:c r="L389" s="454"/>
      <x:c r="M389" s="439"/>
      <x:c r="N389" s="114" t="str">
        <x:f>IF(COUNTA($A389:$M389)=0,"",IF(OR(LOWER($F389&amp;"")="subscription",LOWER($F389&amp;"")="membership"),"",IF($G389="","",IF(ISNUMBER(SEARCH("non",LOWER($E389&amp;""))),$G389*0.85,$G389))))</x:f>
      </x:c>
      <x:c r="O389" s="114" t="str">
        <x:f>IF(COUNTA($A389:$M389)=0,"",IF(OR(LOWER($F389&amp;"")="subscription",LOWER($F389&amp;"")="membership"),"",IF(OR($N389="",$I389="",$I389=0),"",IFERROR($N389/$I389,""))))</x:f>
      </x:c>
      <x:c r="P389" s="114" t="str">
        <x:f>IF(COUNTA($A389:$M389)=0,"",IF(OR(LOWER($F389&amp;"")="subscription",LOWER($F389&amp;"")="membership"),"",IF(LOWER($L389&amp;"")="yes",0,IF($K389&lt;&gt;"",$K389,IF($O389&lt;&gt;"",$O389,"")))))</x:f>
      </x:c>
      <x:c r="Q389" s="114" t="str">
        <x:f>IF(COUNTA($A389:$M389)=0,"",IF(OR($U389="Subscription",$U389=""),"",IF($U389="Profit",ROUND(IFERROR($P389,0)-IFERROR($H389,0),2),0)))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IF(COUNTA($A389:$M389)=0,"",IF(OR(LOWER($F389&amp;"")="subscription",LOWER($F389&amp;"")="membership"),"Subscription",IF(OR(AND($H389&lt;&gt;"",$H389=0),LOWER($F389&amp;"")="free game",LOWER($F389&amp;"")="free",LOWER($F389&amp;"")="free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IF(COUNTA($A389:$M389)=0,"",IF(OR($U389="Subscription",$U389=""),"",IF(OR($U389="Free Game",$U389="Disqualified — Free Game"),0,ROUND(IFERROR($Q389,0)-IFERROR($S389,0),2))))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455"/>
      <x:c r="H390" s="455"/>
      <x:c r="I390" s="456"/>
      <x:c r="J390" s="456"/>
      <x:c r="K390" s="455"/>
      <x:c r="L390" s="454"/>
      <x:c r="M390" s="439"/>
      <x:c r="N390" s="114" t="str">
        <x:f>IF(COUNTA($A390:$M390)=0,"",IF(OR(LOWER($F390&amp;"")="subscription",LOWER($F390&amp;"")="membership"),"",IF($G390="","",IF(ISNUMBER(SEARCH("non",LOWER($E390&amp;""))),$G390*0.85,$G390))))</x:f>
      </x:c>
      <x:c r="O390" s="114" t="str">
        <x:f>IF(COUNTA($A390:$M390)=0,"",IF(OR(LOWER($F390&amp;"")="subscription",LOWER($F390&amp;"")="membership"),"",IF(OR($N390="",$I390="",$I390=0),"",IFERROR($N390/$I390,""))))</x:f>
      </x:c>
      <x:c r="P390" s="114" t="str">
        <x:f>IF(COUNTA($A390:$M390)=0,"",IF(OR(LOWER($F390&amp;"")="subscription",LOWER($F390&amp;"")="membership"),"",IF(LOWER($L390&amp;"")="yes",0,IF($K390&lt;&gt;"",$K390,IF($O390&lt;&gt;"",$O390,"")))))</x:f>
      </x:c>
      <x:c r="Q390" s="114" t="str">
        <x:f>IF(COUNTA($A390:$M390)=0,"",IF(OR($U390="Subscription",$U390=""),"",IF($U390="Profit",ROUND(IFERROR($P390,0)-IFERROR($H390,0),2),0)))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IF(COUNTA($A390:$M390)=0,"",IF(OR(LOWER($F390&amp;"")="subscription",LOWER($F390&amp;"")="membership"),"Subscription",IF(OR(AND($H390&lt;&gt;"",$H390=0),LOWER($F390&amp;"")="free game",LOWER($F390&amp;"")="free",LOWER($F390&amp;"")="free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IF(COUNTA($A390:$M390)=0,"",IF(OR($U390="Subscription",$U390=""),"",IF(OR($U390="Free Game",$U390="Disqualified — Free Game"),0,ROUND(IFERROR($Q390,0)-IFERROR($S390,0),2))))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455"/>
      <x:c r="H391" s="455"/>
      <x:c r="I391" s="456"/>
      <x:c r="J391" s="456"/>
      <x:c r="K391" s="455"/>
      <x:c r="L391" s="454"/>
      <x:c r="M391" s="439"/>
      <x:c r="N391" s="114" t="str">
        <x:f>IF(COUNTA($A391:$M391)=0,"",IF(OR(LOWER($F391&amp;"")="subscription",LOWER($F391&amp;"")="membership"),"",IF($G391="","",IF(ISNUMBER(SEARCH("non",LOWER($E391&amp;""))),$G391*0.85,$G391))))</x:f>
      </x:c>
      <x:c r="O391" s="114" t="str">
        <x:f>IF(COUNTA($A391:$M391)=0,"",IF(OR(LOWER($F391&amp;"")="subscription",LOWER($F391&amp;"")="membership"),"",IF(OR($N391="",$I391="",$I391=0),"",IFERROR($N391/$I391,""))))</x:f>
      </x:c>
      <x:c r="P391" s="114" t="str">
        <x:f>IF(COUNTA($A391:$M391)=0,"",IF(OR(LOWER($F391&amp;"")="subscription",LOWER($F391&amp;"")="membership"),"",IF(LOWER($L391&amp;"")="yes",0,IF($K391&lt;&gt;"",$K391,IF($O391&lt;&gt;"",$O391,"")))))</x:f>
      </x:c>
      <x:c r="Q391" s="114" t="str">
        <x:f>IF(COUNTA($A391:$M391)=0,"",IF(OR($U391="Subscription",$U391=""),"",IF($U391="Profit",ROUND(IFERROR($P391,0)-IFERROR($H391,0),2),0)))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IF(COUNTA($A391:$M391)=0,"",IF(OR(LOWER($F391&amp;"")="subscription",LOWER($F391&amp;"")="membership"),"Subscription",IF(OR(AND($H391&lt;&gt;"",$H391=0),LOWER($F391&amp;"")="free game",LOWER($F391&amp;"")="free",LOWER($F391&amp;"")="free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IF(COUNTA($A391:$M391)=0,"",IF(OR($U391="Subscription",$U391=""),"",IF(OR($U391="Free Game",$U391="Disqualified — Free Game"),0,ROUND(IFERROR($Q391,0)-IFERROR($S391,0),2))))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455"/>
      <x:c r="H392" s="455"/>
      <x:c r="I392" s="456"/>
      <x:c r="J392" s="456"/>
      <x:c r="K392" s="455"/>
      <x:c r="L392" s="454"/>
      <x:c r="M392" s="439"/>
      <x:c r="N392" s="114" t="str">
        <x:f>IF(COUNTA($A392:$M392)=0,"",IF(OR(LOWER($F392&amp;"")="subscription",LOWER($F392&amp;"")="membership"),"",IF($G392="","",IF(ISNUMBER(SEARCH("non",LOWER($E392&amp;""))),$G392*0.85,$G392))))</x:f>
      </x:c>
      <x:c r="O392" s="114" t="str">
        <x:f>IF(COUNTA($A392:$M392)=0,"",IF(OR(LOWER($F392&amp;"")="subscription",LOWER($F392&amp;"")="membership"),"",IF(OR($N392="",$I392="",$I392=0),"",IFERROR($N392/$I392,""))))</x:f>
      </x:c>
      <x:c r="P392" s="114" t="str">
        <x:f>IF(COUNTA($A392:$M392)=0,"",IF(OR(LOWER($F392&amp;"")="subscription",LOWER($F392&amp;"")="membership"),"",IF(LOWER($L392&amp;"")="yes",0,IF($K392&lt;&gt;"",$K392,IF($O392&lt;&gt;"",$O392,"")))))</x:f>
      </x:c>
      <x:c r="Q392" s="114" t="str">
        <x:f>IF(COUNTA($A392:$M392)=0,"",IF(OR($U392="Subscription",$U392=""),"",IF($U392="Profit",ROUND(IFERROR($P392,0)-IFERROR($H392,0),2),0)))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IF(COUNTA($A392:$M392)=0,"",IF(OR(LOWER($F392&amp;"")="subscription",LOWER($F392&amp;"")="membership"),"Subscription",IF(OR(AND($H392&lt;&gt;"",$H392=0),LOWER($F392&amp;"")="free game",LOWER($F392&amp;"")="free",LOWER($F392&amp;"")="free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IF(COUNTA($A392:$M392)=0,"",IF(OR($U392="Subscription",$U392=""),"",IF(OR($U392="Free Game",$U392="Disqualified — Free Game"),0,ROUND(IFERROR($Q392,0)-IFERROR($S392,0),2))))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455"/>
      <x:c r="H393" s="455"/>
      <x:c r="I393" s="456"/>
      <x:c r="J393" s="456"/>
      <x:c r="K393" s="455"/>
      <x:c r="L393" s="454"/>
      <x:c r="M393" s="439"/>
      <x:c r="N393" s="114" t="str">
        <x:f>IF(COUNTA($A393:$M393)=0,"",IF(OR(LOWER($F393&amp;"")="subscription",LOWER($F393&amp;"")="membership"),"",IF($G393="","",IF(ISNUMBER(SEARCH("non",LOWER($E393&amp;""))),$G393*0.85,$G393))))</x:f>
      </x:c>
      <x:c r="O393" s="114" t="str">
        <x:f>IF(COUNTA($A393:$M393)=0,"",IF(OR(LOWER($F393&amp;"")="subscription",LOWER($F393&amp;"")="membership"),"",IF(OR($N393="",$I393="",$I393=0),"",IFERROR($N393/$I393,""))))</x:f>
      </x:c>
      <x:c r="P393" s="114" t="str">
        <x:f>IF(COUNTA($A393:$M393)=0,"",IF(OR(LOWER($F393&amp;"")="subscription",LOWER($F393&amp;"")="membership"),"",IF(LOWER($L393&amp;"")="yes",0,IF($K393&lt;&gt;"",$K393,IF($O393&lt;&gt;"",$O393,"")))))</x:f>
      </x:c>
      <x:c r="Q393" s="114" t="str">
        <x:f>IF(COUNTA($A393:$M393)=0,"",IF(OR($U393="Subscription",$U393=""),"",IF($U393="Profit",ROUND(IFERROR($P393,0)-IFERROR($H393,0),2),0)))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IF(COUNTA($A393:$M393)=0,"",IF(OR(LOWER($F393&amp;"")="subscription",LOWER($F393&amp;"")="membership"),"Subscription",IF(OR(AND($H393&lt;&gt;"",$H393=0),LOWER($F393&amp;"")="free game",LOWER($F393&amp;"")="free",LOWER($F393&amp;"")="free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IF(COUNTA($A393:$M393)=0,"",IF(OR($U393="Subscription",$U393=""),"",IF(OR($U393="Free Game",$U393="Disqualified — Free Game"),0,ROUND(IFERROR($Q393,0)-IFERROR($S393,0),2))))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455"/>
      <x:c r="H394" s="455"/>
      <x:c r="I394" s="456"/>
      <x:c r="J394" s="456"/>
      <x:c r="K394" s="455"/>
      <x:c r="L394" s="454"/>
      <x:c r="M394" s="439"/>
      <x:c r="N394" s="114" t="str">
        <x:f>IF(COUNTA($A394:$M394)=0,"",IF(OR(LOWER($F394&amp;"")="subscription",LOWER($F394&amp;"")="membership"),"",IF($G394="","",IF(ISNUMBER(SEARCH("non",LOWER($E394&amp;""))),$G394*0.85,$G394))))</x:f>
      </x:c>
      <x:c r="O394" s="114" t="str">
        <x:f>IF(COUNTA($A394:$M394)=0,"",IF(OR(LOWER($F394&amp;"")="subscription",LOWER($F394&amp;"")="membership"),"",IF(OR($N394="",$I394="",$I394=0),"",IFERROR($N394/$I394,""))))</x:f>
      </x:c>
      <x:c r="P394" s="114" t="str">
        <x:f>IF(COUNTA($A394:$M394)=0,"",IF(OR(LOWER($F394&amp;"")="subscription",LOWER($F394&amp;"")="membership"),"",IF(LOWER($L394&amp;"")="yes",0,IF($K394&lt;&gt;"",$K394,IF($O394&lt;&gt;"",$O394,"")))))</x:f>
      </x:c>
      <x:c r="Q394" s="114" t="str">
        <x:f>IF(COUNTA($A394:$M394)=0,"",IF(OR($U394="Subscription",$U394=""),"",IF($U394="Profit",ROUND(IFERROR($P394,0)-IFERROR($H394,0),2),0)))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IF(COUNTA($A394:$M394)=0,"",IF(OR(LOWER($F394&amp;"")="subscription",LOWER($F394&amp;"")="membership"),"Subscription",IF(OR(AND($H394&lt;&gt;"",$H394=0),LOWER($F394&amp;"")="free game",LOWER($F394&amp;"")="free",LOWER($F394&amp;"")="free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IF(COUNTA($A394:$M394)=0,"",IF(OR($U394="Subscription",$U394=""),"",IF(OR($U394="Free Game",$U394="Disqualified — Free Game"),0,ROUND(IFERROR($Q394,0)-IFERROR($S394,0),2))))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455"/>
      <x:c r="H395" s="455"/>
      <x:c r="I395" s="456"/>
      <x:c r="J395" s="456"/>
      <x:c r="K395" s="455"/>
      <x:c r="L395" s="454"/>
      <x:c r="M395" s="439"/>
      <x:c r="N395" s="114" t="str">
        <x:f>IF(COUNTA($A395:$M395)=0,"",IF(OR(LOWER($F395&amp;"")="subscription",LOWER($F395&amp;"")="membership"),"",IF($G395="","",IF(ISNUMBER(SEARCH("non",LOWER($E395&amp;""))),$G395*0.85,$G395))))</x:f>
      </x:c>
      <x:c r="O395" s="114" t="str">
        <x:f>IF(COUNTA($A395:$M395)=0,"",IF(OR(LOWER($F395&amp;"")="subscription",LOWER($F395&amp;"")="membership"),"",IF(OR($N395="",$I395="",$I395=0),"",IFERROR($N395/$I395,""))))</x:f>
      </x:c>
      <x:c r="P395" s="114" t="str">
        <x:f>IF(COUNTA($A395:$M395)=0,"",IF(OR(LOWER($F395&amp;"")="subscription",LOWER($F395&amp;"")="membership"),"",IF(LOWER($L395&amp;"")="yes",0,IF($K395&lt;&gt;"",$K395,IF($O395&lt;&gt;"",$O395,"")))))</x:f>
      </x:c>
      <x:c r="Q395" s="114" t="str">
        <x:f>IF(COUNTA($A395:$M395)=0,"",IF(OR($U395="Subscription",$U395=""),"",IF($U395="Profit",ROUND(IFERROR($P395,0)-IFERROR($H395,0),2),0)))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IF(COUNTA($A395:$M395)=0,"",IF(OR(LOWER($F395&amp;"")="subscription",LOWER($F395&amp;"")="membership"),"Subscription",IF(OR(AND($H395&lt;&gt;"",$H395=0),LOWER($F395&amp;"")="free game",LOWER($F395&amp;"")="free",LOWER($F395&amp;"")="free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IF(COUNTA($A395:$M395)=0,"",IF(OR($U395="Subscription",$U395=""),"",IF(OR($U395="Free Game",$U395="Disqualified — Free Game"),0,ROUND(IFERROR($Q395,0)-IFERROR($S395,0),2))))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455"/>
      <x:c r="H396" s="455"/>
      <x:c r="I396" s="456"/>
      <x:c r="J396" s="456"/>
      <x:c r="K396" s="455"/>
      <x:c r="L396" s="454"/>
      <x:c r="M396" s="439"/>
      <x:c r="N396" s="114" t="str">
        <x:f>IF(COUNTA($A396:$M396)=0,"",IF(OR(LOWER($F396&amp;"")="subscription",LOWER($F396&amp;"")="membership"),"",IF($G396="","",IF(ISNUMBER(SEARCH("non",LOWER($E396&amp;""))),$G396*0.85,$G396))))</x:f>
      </x:c>
      <x:c r="O396" s="114" t="str">
        <x:f>IF(COUNTA($A396:$M396)=0,"",IF(OR(LOWER($F396&amp;"")="subscription",LOWER($F396&amp;"")="membership"),"",IF(OR($N396="",$I396="",$I396=0),"",IFERROR($N396/$I396,""))))</x:f>
      </x:c>
      <x:c r="P396" s="114" t="str">
        <x:f>IF(COUNTA($A396:$M396)=0,"",IF(OR(LOWER($F396&amp;"")="subscription",LOWER($F396&amp;"")="membership"),"",IF(LOWER($L396&amp;"")="yes",0,IF($K396&lt;&gt;"",$K396,IF($O396&lt;&gt;"",$O396,"")))))</x:f>
      </x:c>
      <x:c r="Q396" s="114" t="str">
        <x:f>IF(COUNTA($A396:$M396)=0,"",IF(OR($U396="Subscription",$U396=""),"",IF($U396="Profit",ROUND(IFERROR($P396,0)-IFERROR($H396,0),2),0)))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IF(COUNTA($A396:$M396)=0,"",IF(OR(LOWER($F396&amp;"")="subscription",LOWER($F396&amp;"")="membership"),"Subscription",IF(OR(AND($H396&lt;&gt;"",$H396=0),LOWER($F396&amp;"")="free game",LOWER($F396&amp;"")="free",LOWER($F396&amp;"")="free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IF(COUNTA($A396:$M396)=0,"",IF(OR($U396="Subscription",$U396=""),"",IF(OR($U396="Free Game",$U396="Disqualified — Free Game"),0,ROUND(IFERROR($Q396,0)-IFERROR($S396,0),2))))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455"/>
      <x:c r="H397" s="455"/>
      <x:c r="I397" s="456"/>
      <x:c r="J397" s="456"/>
      <x:c r="K397" s="455"/>
      <x:c r="L397" s="454"/>
      <x:c r="M397" s="439"/>
      <x:c r="N397" s="114" t="str">
        <x:f>IF(COUNTA($A397:$M397)=0,"",IF(OR(LOWER($F397&amp;"")="subscription",LOWER($F397&amp;"")="membership"),"",IF($G397="","",IF(ISNUMBER(SEARCH("non",LOWER($E397&amp;""))),$G397*0.85,$G397))))</x:f>
      </x:c>
      <x:c r="O397" s="114" t="str">
        <x:f>IF(COUNTA($A397:$M397)=0,"",IF(OR(LOWER($F397&amp;"")="subscription",LOWER($F397&amp;"")="membership"),"",IF(OR($N397="",$I397="",$I397=0),"",IFERROR($N397/$I397,""))))</x:f>
      </x:c>
      <x:c r="P397" s="114" t="str">
        <x:f>IF(COUNTA($A397:$M397)=0,"",IF(OR(LOWER($F397&amp;"")="subscription",LOWER($F397&amp;"")="membership"),"",IF(LOWER($L397&amp;"")="yes",0,IF($K397&lt;&gt;"",$K397,IF($O397&lt;&gt;"",$O397,"")))))</x:f>
      </x:c>
      <x:c r="Q397" s="114" t="str">
        <x:f>IF(COUNTA($A397:$M397)=0,"",IF(OR($U397="Subscription",$U397=""),"",IF($U397="Profit",ROUND(IFERROR($P397,0)-IFERROR($H397,0),2),0)))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IF(COUNTA($A397:$M397)=0,"",IF(OR(LOWER($F397&amp;"")="subscription",LOWER($F397&amp;"")="membership"),"Subscription",IF(OR(AND($H397&lt;&gt;"",$H397=0),LOWER($F397&amp;"")="free game",LOWER($F397&amp;"")="free",LOWER($F397&amp;"")="free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IF(COUNTA($A397:$M397)=0,"",IF(OR($U397="Subscription",$U397=""),"",IF(OR($U397="Free Game",$U397="Disqualified — Free Game"),0,ROUND(IFERROR($Q397,0)-IFERROR($S397,0),2))))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455"/>
      <x:c r="H398" s="455"/>
      <x:c r="I398" s="456"/>
      <x:c r="J398" s="456"/>
      <x:c r="K398" s="455"/>
      <x:c r="L398" s="454"/>
      <x:c r="M398" s="439"/>
      <x:c r="N398" s="114" t="str">
        <x:f>IF(COUNTA($A398:$M398)=0,"",IF(OR(LOWER($F398&amp;"")="subscription",LOWER($F398&amp;"")="membership"),"",IF($G398="","",IF(ISNUMBER(SEARCH("non",LOWER($E398&amp;""))),$G398*0.85,$G398))))</x:f>
      </x:c>
      <x:c r="O398" s="114" t="str">
        <x:f>IF(COUNTA($A398:$M398)=0,"",IF(OR(LOWER($F398&amp;"")="subscription",LOWER($F398&amp;"")="membership"),"",IF(OR($N398="",$I398="",$I398=0),"",IFERROR($N398/$I398,""))))</x:f>
      </x:c>
      <x:c r="P398" s="114" t="str">
        <x:f>IF(COUNTA($A398:$M398)=0,"",IF(OR(LOWER($F398&amp;"")="subscription",LOWER($F398&amp;"")="membership"),"",IF(LOWER($L398&amp;"")="yes",0,IF($K398&lt;&gt;"",$K398,IF($O398&lt;&gt;"",$O398,"")))))</x:f>
      </x:c>
      <x:c r="Q398" s="114" t="str">
        <x:f>IF(COUNTA($A398:$M398)=0,"",IF(OR($U398="Subscription",$U398=""),"",IF($U398="Profit",ROUND(IFERROR($P398,0)-IFERROR($H398,0),2),0)))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IF(COUNTA($A398:$M398)=0,"",IF(OR(LOWER($F398&amp;"")="subscription",LOWER($F398&amp;"")="membership"),"Subscription",IF(OR(AND($H398&lt;&gt;"",$H398=0),LOWER($F398&amp;"")="free game",LOWER($F398&amp;"")="free",LOWER($F398&amp;"")="free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IF(COUNTA($A398:$M398)=0,"",IF(OR($U398="Subscription",$U398=""),"",IF(OR($U398="Free Game",$U398="Disqualified — Free Game"),0,ROUND(IFERROR($Q398,0)-IFERROR($S398,0),2))))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455"/>
      <x:c r="H399" s="455"/>
      <x:c r="I399" s="456"/>
      <x:c r="J399" s="456"/>
      <x:c r="K399" s="455"/>
      <x:c r="L399" s="454"/>
      <x:c r="M399" s="439"/>
      <x:c r="N399" s="114" t="str">
        <x:f>IF(COUNTA($A399:$M399)=0,"",IF(OR(LOWER($F399&amp;"")="subscription",LOWER($F399&amp;"")="membership"),"",IF($G399="","",IF(ISNUMBER(SEARCH("non",LOWER($E399&amp;""))),$G399*0.85,$G399))))</x:f>
      </x:c>
      <x:c r="O399" s="114" t="str">
        <x:f>IF(COUNTA($A399:$M399)=0,"",IF(OR(LOWER($F399&amp;"")="subscription",LOWER($F399&amp;"")="membership"),"",IF(OR($N399="",$I399="",$I399=0),"",IFERROR($N399/$I399,""))))</x:f>
      </x:c>
      <x:c r="P399" s="114" t="str">
        <x:f>IF(COUNTA($A399:$M399)=0,"",IF(OR(LOWER($F399&amp;"")="subscription",LOWER($F399&amp;"")="membership"),"",IF(LOWER($L399&amp;"")="yes",0,IF($K399&lt;&gt;"",$K399,IF($O399&lt;&gt;"",$O399,"")))))</x:f>
      </x:c>
      <x:c r="Q399" s="114" t="str">
        <x:f>IF(COUNTA($A399:$M399)=0,"",IF(OR($U399="Subscription",$U399=""),"",IF($U399="Profit",ROUND(IFERROR($P399,0)-IFERROR($H399,0),2),0)))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IF(COUNTA($A399:$M399)=0,"",IF(OR(LOWER($F399&amp;"")="subscription",LOWER($F399&amp;"")="membership"),"Subscription",IF(OR(AND($H399&lt;&gt;"",$H399=0),LOWER($F399&amp;"")="free game",LOWER($F399&amp;"")="free",LOWER($F399&amp;"")="free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IF(COUNTA($A399:$M399)=0,"",IF(OR($U399="Subscription",$U399=""),"",IF(OR($U399="Free Game",$U399="Disqualified — Free Game"),0,ROUND(IFERROR($Q399,0)-IFERROR($S399,0),2))))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455"/>
      <x:c r="H400" s="455"/>
      <x:c r="I400" s="456"/>
      <x:c r="J400" s="456"/>
      <x:c r="K400" s="455"/>
      <x:c r="L400" s="454"/>
      <x:c r="M400" s="439"/>
      <x:c r="N400" s="114" t="str">
        <x:f>IF(COUNTA($A400:$M400)=0,"",IF(OR(LOWER($F400&amp;"")="subscription",LOWER($F400&amp;"")="membership"),"",IF($G400="","",IF(ISNUMBER(SEARCH("non",LOWER($E400&amp;""))),$G400*0.85,$G400))))</x:f>
      </x:c>
      <x:c r="O400" s="114" t="str">
        <x:f>IF(COUNTA($A400:$M400)=0,"",IF(OR(LOWER($F400&amp;"")="subscription",LOWER($F400&amp;"")="membership"),"",IF(OR($N400="",$I400="",$I400=0),"",IFERROR($N400/$I400,""))))</x:f>
      </x:c>
      <x:c r="P400" s="114" t="str">
        <x:f>IF(COUNTA($A400:$M400)=0,"",IF(OR(LOWER($F400&amp;"")="subscription",LOWER($F400&amp;"")="membership"),"",IF(LOWER($L400&amp;"")="yes",0,IF($K400&lt;&gt;"",$K400,IF($O400&lt;&gt;"",$O400,"")))))</x:f>
      </x:c>
      <x:c r="Q400" s="114" t="str">
        <x:f>IF(COUNTA($A400:$M400)=0,"",IF(OR($U400="Subscription",$U400=""),"",IF($U400="Profit",ROUND(IFERROR($P400,0)-IFERROR($H400,0),2),0)))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IF(COUNTA($A400:$M400)=0,"",IF(OR(LOWER($F400&amp;"")="subscription",LOWER($F400&amp;"")="membership"),"Subscription",IF(OR(AND($H400&lt;&gt;"",$H400=0),LOWER($F400&amp;"")="free game",LOWER($F400&amp;"")="free",LOWER($F400&amp;"")="free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IF(COUNTA($A400:$M400)=0,"",IF(OR($U400="Subscription",$U400=""),"",IF(OR($U400="Free Game",$U400="Disqualified — Free Game"),0,ROUND(IFERROR($Q400,0)-IFERROR($S400,0),2))))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455"/>
      <x:c r="H401" s="455"/>
      <x:c r="I401" s="456"/>
      <x:c r="J401" s="456"/>
      <x:c r="K401" s="455"/>
      <x:c r="L401" s="454"/>
      <x:c r="M401" s="439"/>
      <x:c r="N401" s="114" t="str">
        <x:f>IF(COUNTA($A401:$M401)=0,"",IF(OR(LOWER($F401&amp;"")="subscription",LOWER($F401&amp;"")="membership"),"",IF($G401="","",IF(ISNUMBER(SEARCH("non",LOWER($E401&amp;""))),$G401*0.85,$G401))))</x:f>
      </x:c>
      <x:c r="O401" s="114" t="str">
        <x:f>IF(COUNTA($A401:$M401)=0,"",IF(OR(LOWER($F401&amp;"")="subscription",LOWER($F401&amp;"")="membership"),"",IF(OR($N401="",$I401="",$I401=0),"",IFERROR($N401/$I401,""))))</x:f>
      </x:c>
      <x:c r="P401" s="114" t="str">
        <x:f>IF(COUNTA($A401:$M401)=0,"",IF(OR(LOWER($F401&amp;"")="subscription",LOWER($F401&amp;"")="membership"),"",IF(LOWER($L401&amp;"")="yes",0,IF($K401&lt;&gt;"",$K401,IF($O401&lt;&gt;"",$O401,"")))))</x:f>
      </x:c>
      <x:c r="Q401" s="114" t="str">
        <x:f>IF(COUNTA($A401:$M401)=0,"",IF(OR($U401="Subscription",$U401=""),"",IF($U401="Profit",ROUND(IFERROR($P401,0)-IFERROR($H401,0),2),0)))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IF(COUNTA($A401:$M401)=0,"",IF(OR(LOWER($F401&amp;"")="subscription",LOWER($F401&amp;"")="membership"),"Subscription",IF(OR(AND($H401&lt;&gt;"",$H401=0),LOWER($F401&amp;"")="free game",LOWER($F401&amp;"")="free",LOWER($F401&amp;"")="free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IF(COUNTA($A401:$M401)=0,"",IF(OR($U401="Subscription",$U401=""),"",IF(OR($U401="Free Game",$U401="Disqualified — Free Game"),0,ROUND(IFERROR($Q401,0)-IFERROR($S401,0),2))))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455"/>
      <x:c r="H402" s="455"/>
      <x:c r="I402" s="456"/>
      <x:c r="J402" s="456"/>
      <x:c r="K402" s="455"/>
      <x:c r="L402" s="454"/>
      <x:c r="M402" s="439"/>
      <x:c r="N402" s="114" t="str">
        <x:f>IF(COUNTA($A402:$M402)=0,"",IF(OR(LOWER($F402&amp;"")="subscription",LOWER($F402&amp;"")="membership"),"",IF($G402="","",IF(ISNUMBER(SEARCH("non",LOWER($E402&amp;""))),$G402*0.85,$G402))))</x:f>
      </x:c>
      <x:c r="O402" s="114" t="str">
        <x:f>IF(COUNTA($A402:$M402)=0,"",IF(OR(LOWER($F402&amp;"")="subscription",LOWER($F402&amp;"")="membership"),"",IF(OR($N402="",$I402="",$I402=0),"",IFERROR($N402/$I402,""))))</x:f>
      </x:c>
      <x:c r="P402" s="114" t="str">
        <x:f>IF(COUNTA($A402:$M402)=0,"",IF(OR(LOWER($F402&amp;"")="subscription",LOWER($F402&amp;"")="membership"),"",IF(LOWER($L402&amp;"")="yes",0,IF($K402&lt;&gt;"",$K402,IF($O402&lt;&gt;"",$O402,"")))))</x:f>
      </x:c>
      <x:c r="Q402" s="114" t="str">
        <x:f>IF(COUNTA($A402:$M402)=0,"",IF(OR($U402="Subscription",$U402=""),"",IF($U402="Profit",ROUND(IFERROR($P402,0)-IFERROR($H402,0),2),0)))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IF(COUNTA($A402:$M402)=0,"",IF(OR(LOWER($F402&amp;"")="subscription",LOWER($F402&amp;"")="membership"),"Subscription",IF(OR(AND($H402&lt;&gt;"",$H402=0),LOWER($F402&amp;"")="free game",LOWER($F402&amp;"")="free",LOWER($F402&amp;"")="free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IF(COUNTA($A402:$M402)=0,"",IF(OR($U402="Subscription",$U402=""),"",IF(OR($U402="Free Game",$U402="Disqualified — Free Game"),0,ROUND(IFERROR($Q402,0)-IFERROR($S402,0),2))))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455"/>
      <x:c r="H403" s="455"/>
      <x:c r="I403" s="456"/>
      <x:c r="J403" s="456"/>
      <x:c r="K403" s="455"/>
      <x:c r="L403" s="454"/>
      <x:c r="M403" s="439"/>
      <x:c r="N403" s="114" t="str">
        <x:f>IF(COUNTA($A403:$M403)=0,"",IF(OR(LOWER($F403&amp;"")="subscription",LOWER($F403&amp;"")="membership"),"",IF($G403="","",IF(ISNUMBER(SEARCH("non",LOWER($E403&amp;""))),$G403*0.85,$G403))))</x:f>
      </x:c>
      <x:c r="O403" s="114" t="str">
        <x:f>IF(COUNTA($A403:$M403)=0,"",IF(OR(LOWER($F403&amp;"")="subscription",LOWER($F403&amp;"")="membership"),"",IF(OR($N403="",$I403="",$I403=0),"",IFERROR($N403/$I403,""))))</x:f>
      </x:c>
      <x:c r="P403" s="114" t="str">
        <x:f>IF(COUNTA($A403:$M403)=0,"",IF(OR(LOWER($F403&amp;"")="subscription",LOWER($F403&amp;"")="membership"),"",IF(LOWER($L403&amp;"")="yes",0,IF($K403&lt;&gt;"",$K403,IF($O403&lt;&gt;"",$O403,"")))))</x:f>
      </x:c>
      <x:c r="Q403" s="114" t="str">
        <x:f>IF(COUNTA($A403:$M403)=0,"",IF(OR($U403="Subscription",$U403=""),"",IF($U403="Profit",ROUND(IFERROR($P403,0)-IFERROR($H403,0),2),0)))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IF(COUNTA($A403:$M403)=0,"",IF(OR(LOWER($F403&amp;"")="subscription",LOWER($F403&amp;"")="membership"),"Subscription",IF(OR(AND($H403&lt;&gt;"",$H403=0),LOWER($F403&amp;"")="free game",LOWER($F403&amp;"")="free",LOWER($F403&amp;"")="free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IF(COUNTA($A403:$M403)=0,"",IF(OR($U403="Subscription",$U403=""),"",IF(OR($U403="Free Game",$U403="Disqualified — Free Game"),0,ROUND(IFERROR($Q403,0)-IFERROR($S403,0),2))))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455"/>
      <x:c r="H404" s="455"/>
      <x:c r="I404" s="456"/>
      <x:c r="J404" s="456"/>
      <x:c r="K404" s="455"/>
      <x:c r="L404" s="454"/>
      <x:c r="M404" s="439"/>
      <x:c r="N404" s="114" t="str">
        <x:f>IF(COUNTA($A404:$M404)=0,"",IF(OR(LOWER($F404&amp;"")="subscription",LOWER($F404&amp;"")="membership"),"",IF($G404="","",IF(ISNUMBER(SEARCH("non",LOWER($E404&amp;""))),$G404*0.85,$G404))))</x:f>
      </x:c>
      <x:c r="O404" s="114" t="str">
        <x:f>IF(COUNTA($A404:$M404)=0,"",IF(OR(LOWER($F404&amp;"")="subscription",LOWER($F404&amp;"")="membership"),"",IF(OR($N404="",$I404="",$I404=0),"",IFERROR($N404/$I404,""))))</x:f>
      </x:c>
      <x:c r="P404" s="114" t="str">
        <x:f>IF(COUNTA($A404:$M404)=0,"",IF(OR(LOWER($F404&amp;"")="subscription",LOWER($F404&amp;"")="membership"),"",IF(LOWER($L404&amp;"")="yes",0,IF($K404&lt;&gt;"",$K404,IF($O404&lt;&gt;"",$O404,"")))))</x:f>
      </x:c>
      <x:c r="Q404" s="114" t="str">
        <x:f>IF(COUNTA($A404:$M404)=0,"",IF(OR($U404="Subscription",$U404=""),"",IF($U404="Profit",ROUND(IFERROR($P404,0)-IFERROR($H404,0),2),0)))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IF(COUNTA($A404:$M404)=0,"",IF(OR(LOWER($F404&amp;"")="subscription",LOWER($F404&amp;"")="membership"),"Subscription",IF(OR(AND($H404&lt;&gt;"",$H404=0),LOWER($F404&amp;"")="free game",LOWER($F404&amp;"")="free",LOWER($F404&amp;"")="free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IF(COUNTA($A404:$M404)=0,"",IF(OR($U404="Subscription",$U404=""),"",IF(OR($U404="Free Game",$U404="Disqualified — Free Game"),0,ROUND(IFERROR($Q404,0)-IFERROR($S404,0),2))))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455"/>
      <x:c r="H405" s="455"/>
      <x:c r="I405" s="456"/>
      <x:c r="J405" s="456"/>
      <x:c r="K405" s="455"/>
      <x:c r="L405" s="454"/>
      <x:c r="M405" s="439"/>
      <x:c r="N405" s="114" t="str">
        <x:f>IF(COUNTA($A405:$M405)=0,"",IF(OR(LOWER($F405&amp;"")="subscription",LOWER($F405&amp;"")="membership"),"",IF($G405="","",IF(ISNUMBER(SEARCH("non",LOWER($E405&amp;""))),$G405*0.85,$G405))))</x:f>
      </x:c>
      <x:c r="O405" s="114" t="str">
        <x:f>IF(COUNTA($A405:$M405)=0,"",IF(OR(LOWER($F405&amp;"")="subscription",LOWER($F405&amp;"")="membership"),"",IF(OR($N405="",$I405="",$I405=0),"",IFERROR($N405/$I405,""))))</x:f>
      </x:c>
      <x:c r="P405" s="114" t="str">
        <x:f>IF(COUNTA($A405:$M405)=0,"",IF(OR(LOWER($F405&amp;"")="subscription",LOWER($F405&amp;"")="membership"),"",IF(LOWER($L405&amp;"")="yes",0,IF($K405&lt;&gt;"",$K405,IF($O405&lt;&gt;"",$O405,"")))))</x:f>
      </x:c>
      <x:c r="Q405" s="114" t="str">
        <x:f>IF(COUNTA($A405:$M405)=0,"",IF(OR($U405="Subscription",$U405=""),"",IF($U405="Profit",ROUND(IFERROR($P405,0)-IFERROR($H405,0),2),0)))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IF(COUNTA($A405:$M405)=0,"",IF(OR(LOWER($F405&amp;"")="subscription",LOWER($F405&amp;"")="membership"),"Subscription",IF(OR(AND($H405&lt;&gt;"",$H405=0),LOWER($F405&amp;"")="free game",LOWER($F405&amp;"")="free",LOWER($F405&amp;"")="free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IF(COUNTA($A405:$M405)=0,"",IF(OR($U405="Subscription",$U405=""),"",IF(OR($U405="Free Game",$U405="Disqualified — Free Game"),0,ROUND(IFERROR($Q405,0)-IFERROR($S405,0),2))))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455"/>
      <x:c r="H406" s="455"/>
      <x:c r="I406" s="456"/>
      <x:c r="J406" s="456"/>
      <x:c r="K406" s="455"/>
      <x:c r="L406" s="454"/>
      <x:c r="M406" s="439"/>
      <x:c r="N406" s="114" t="str">
        <x:f>IF(COUNTA($A406:$M406)=0,"",IF(OR(LOWER($F406&amp;"")="subscription",LOWER($F406&amp;"")="membership"),"",IF($G406="","",IF(ISNUMBER(SEARCH("non",LOWER($E406&amp;""))),$G406*0.85,$G406))))</x:f>
      </x:c>
      <x:c r="O406" s="114" t="str">
        <x:f>IF(COUNTA($A406:$M406)=0,"",IF(OR(LOWER($F406&amp;"")="subscription",LOWER($F406&amp;"")="membership"),"",IF(OR($N406="",$I406="",$I406=0),"",IFERROR($N406/$I406,""))))</x:f>
      </x:c>
      <x:c r="P406" s="114" t="str">
        <x:f>IF(COUNTA($A406:$M406)=0,"",IF(OR(LOWER($F406&amp;"")="subscription",LOWER($F406&amp;"")="membership"),"",IF(LOWER($L406&amp;"")="yes",0,IF($K406&lt;&gt;"",$K406,IF($O406&lt;&gt;"",$O406,"")))))</x:f>
      </x:c>
      <x:c r="Q406" s="114" t="str">
        <x:f>IF(COUNTA($A406:$M406)=0,"",IF(OR($U406="Subscription",$U406=""),"",IF($U406="Profit",ROUND(IFERROR($P406,0)-IFERROR($H406,0),2),0)))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IF(COUNTA($A406:$M406)=0,"",IF(OR(LOWER($F406&amp;"")="subscription",LOWER($F406&amp;"")="membership"),"Subscription",IF(OR(AND($H406&lt;&gt;"",$H406=0),LOWER($F406&amp;"")="free game",LOWER($F406&amp;"")="free",LOWER($F406&amp;"")="free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IF(COUNTA($A406:$M406)=0,"",IF(OR($U406="Subscription",$U406=""),"",IF(OR($U406="Free Game",$U406="Disqualified — Free Game"),0,ROUND(IFERROR($Q406,0)-IFERROR($S406,0),2))))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455"/>
      <x:c r="H407" s="455"/>
      <x:c r="I407" s="456"/>
      <x:c r="J407" s="456"/>
      <x:c r="K407" s="455"/>
      <x:c r="L407" s="454"/>
      <x:c r="M407" s="439"/>
      <x:c r="N407" s="114" t="str">
        <x:f>IF(COUNTA($A407:$M407)=0,"",IF(OR(LOWER($F407&amp;"")="subscription",LOWER($F407&amp;"")="membership"),"",IF($G407="","",IF(ISNUMBER(SEARCH("non",LOWER($E407&amp;""))),$G407*0.85,$G407))))</x:f>
      </x:c>
      <x:c r="O407" s="114" t="str">
        <x:f>IF(COUNTA($A407:$M407)=0,"",IF(OR(LOWER($F407&amp;"")="subscription",LOWER($F407&amp;"")="membership"),"",IF(OR($N407="",$I407="",$I407=0),"",IFERROR($N407/$I407,""))))</x:f>
      </x:c>
      <x:c r="P407" s="114" t="str">
        <x:f>IF(COUNTA($A407:$M407)=0,"",IF(OR(LOWER($F407&amp;"")="subscription",LOWER($F407&amp;"")="membership"),"",IF(LOWER($L407&amp;"")="yes",0,IF($K407&lt;&gt;"",$K407,IF($O407&lt;&gt;"",$O407,"")))))</x:f>
      </x:c>
      <x:c r="Q407" s="114" t="str">
        <x:f>IF(COUNTA($A407:$M407)=0,"",IF(OR($U407="Subscription",$U407=""),"",IF($U407="Profit",ROUND(IFERROR($P407,0)-IFERROR($H407,0),2),0)))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IF(COUNTA($A407:$M407)=0,"",IF(OR(LOWER($F407&amp;"")="subscription",LOWER($F407&amp;"")="membership"),"Subscription",IF(OR(AND($H407&lt;&gt;"",$H407=0),LOWER($F407&amp;"")="free game",LOWER($F407&amp;"")="free",LOWER($F407&amp;"")="free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IF(COUNTA($A407:$M407)=0,"",IF(OR($U407="Subscription",$U407=""),"",IF(OR($U407="Free Game",$U407="Disqualified — Free Game"),0,ROUND(IFERROR($Q407,0)-IFERROR($S407,0),2))))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455"/>
      <x:c r="H408" s="455"/>
      <x:c r="I408" s="456"/>
      <x:c r="J408" s="456"/>
      <x:c r="K408" s="455"/>
      <x:c r="L408" s="454"/>
      <x:c r="M408" s="439"/>
      <x:c r="N408" s="114" t="str">
        <x:f>IF(COUNTA($A408:$M408)=0,"",IF(OR(LOWER($F408&amp;"")="subscription",LOWER($F408&amp;"")="membership"),"",IF($G408="","",IF(ISNUMBER(SEARCH("non",LOWER($E408&amp;""))),$G408*0.85,$G408))))</x:f>
      </x:c>
      <x:c r="O408" s="114" t="str">
        <x:f>IF(COUNTA($A408:$M408)=0,"",IF(OR(LOWER($F408&amp;"")="subscription",LOWER($F408&amp;"")="membership"),"",IF(OR($N408="",$I408="",$I408=0),"",IFERROR($N408/$I408,""))))</x:f>
      </x:c>
      <x:c r="P408" s="114" t="str">
        <x:f>IF(COUNTA($A408:$M408)=0,"",IF(OR(LOWER($F408&amp;"")="subscription",LOWER($F408&amp;"")="membership"),"",IF(LOWER($L408&amp;"")="yes",0,IF($K408&lt;&gt;"",$K408,IF($O408&lt;&gt;"",$O408,"")))))</x:f>
      </x:c>
      <x:c r="Q408" s="114" t="str">
        <x:f>IF(COUNTA($A408:$M408)=0,"",IF(OR($U408="Subscription",$U408=""),"",IF($U408="Profit",ROUND(IFERROR($P408,0)-IFERROR($H408,0),2),0)))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IF(COUNTA($A408:$M408)=0,"",IF(OR(LOWER($F408&amp;"")="subscription",LOWER($F408&amp;"")="membership"),"Subscription",IF(OR(AND($H408&lt;&gt;"",$H408=0),LOWER($F408&amp;"")="free game",LOWER($F408&amp;"")="free",LOWER($F408&amp;"")="free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IF(COUNTA($A408:$M408)=0,"",IF(OR($U408="Subscription",$U408=""),"",IF(OR($U408="Free Game",$U408="Disqualified — Free Game"),0,ROUND(IFERROR($Q408,0)-IFERROR($S408,0),2))))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455"/>
      <x:c r="H409" s="455"/>
      <x:c r="I409" s="456"/>
      <x:c r="J409" s="456"/>
      <x:c r="K409" s="455"/>
      <x:c r="L409" s="454"/>
      <x:c r="M409" s="439"/>
      <x:c r="N409" s="114" t="str">
        <x:f>IF(COUNTA($A409:$M409)=0,"",IF(OR(LOWER($F409&amp;"")="subscription",LOWER($F409&amp;"")="membership"),"",IF($G409="","",IF(ISNUMBER(SEARCH("non",LOWER($E409&amp;""))),$G409*0.85,$G409))))</x:f>
      </x:c>
      <x:c r="O409" s="114" t="str">
        <x:f>IF(COUNTA($A409:$M409)=0,"",IF(OR(LOWER($F409&amp;"")="subscription",LOWER($F409&amp;"")="membership"),"",IF(OR($N409="",$I409="",$I409=0),"",IFERROR($N409/$I409,""))))</x:f>
      </x:c>
      <x:c r="P409" s="114" t="str">
        <x:f>IF(COUNTA($A409:$M409)=0,"",IF(OR(LOWER($F409&amp;"")="subscription",LOWER($F409&amp;"")="membership"),"",IF(LOWER($L409&amp;"")="yes",0,IF($K409&lt;&gt;"",$K409,IF($O409&lt;&gt;"",$O409,"")))))</x:f>
      </x:c>
      <x:c r="Q409" s="114" t="str">
        <x:f>IF(COUNTA($A409:$M409)=0,"",IF(OR($U409="Subscription",$U409=""),"",IF($U409="Profit",ROUND(IFERROR($P409,0)-IFERROR($H409,0),2),0)))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IF(COUNTA($A409:$M409)=0,"",IF(OR(LOWER($F409&amp;"")="subscription",LOWER($F409&amp;"")="membership"),"Subscription",IF(OR(AND($H409&lt;&gt;"",$H409=0),LOWER($F409&amp;"")="free game",LOWER($F409&amp;"")="free",LOWER($F409&amp;"")="free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IF(COUNTA($A409:$M409)=0,"",IF(OR($U409="Subscription",$U409=""),"",IF(OR($U409="Free Game",$U409="Disqualified — Free Game"),0,ROUND(IFERROR($Q409,0)-IFERROR($S409,0),2))))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455"/>
      <x:c r="H410" s="455"/>
      <x:c r="I410" s="456"/>
      <x:c r="J410" s="456"/>
      <x:c r="K410" s="455"/>
      <x:c r="L410" s="454"/>
      <x:c r="M410" s="439"/>
      <x:c r="N410" s="114" t="str">
        <x:f>IF(COUNTA($A410:$M410)=0,"",IF(OR(LOWER($F410&amp;"")="subscription",LOWER($F410&amp;"")="membership"),"",IF($G410="","",IF(ISNUMBER(SEARCH("non",LOWER($E410&amp;""))),$G410*0.85,$G410))))</x:f>
      </x:c>
      <x:c r="O410" s="114" t="str">
        <x:f>IF(COUNTA($A410:$M410)=0,"",IF(OR(LOWER($F410&amp;"")="subscription",LOWER($F410&amp;"")="membership"),"",IF(OR($N410="",$I410="",$I410=0),"",IFERROR($N410/$I410,""))))</x:f>
      </x:c>
      <x:c r="P410" s="114" t="str">
        <x:f>IF(COUNTA($A410:$M410)=0,"",IF(OR(LOWER($F410&amp;"")="subscription",LOWER($F410&amp;"")="membership"),"",IF(LOWER($L410&amp;"")="yes",0,IF($K410&lt;&gt;"",$K410,IF($O410&lt;&gt;"",$O410,"")))))</x:f>
      </x:c>
      <x:c r="Q410" s="114" t="str">
        <x:f>IF(COUNTA($A410:$M410)=0,"",IF(OR($U410="Subscription",$U410=""),"",IF($U410="Profit",ROUND(IFERROR($P410,0)-IFERROR($H410,0),2),0)))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IF(COUNTA($A410:$M410)=0,"",IF(OR(LOWER($F410&amp;"")="subscription",LOWER($F410&amp;"")="membership"),"Subscription",IF(OR(AND($H410&lt;&gt;"",$H410=0),LOWER($F410&amp;"")="free game",LOWER($F410&amp;"")="free",LOWER($F410&amp;"")="free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IF(COUNTA($A410:$M410)=0,"",IF(OR($U410="Subscription",$U410=""),"",IF(OR($U410="Free Game",$U410="Disqualified — Free Game"),0,ROUND(IFERROR($Q410,0)-IFERROR($S410,0),2))))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455"/>
      <x:c r="H411" s="455"/>
      <x:c r="I411" s="456"/>
      <x:c r="J411" s="456"/>
      <x:c r="K411" s="455"/>
      <x:c r="L411" s="454"/>
      <x:c r="M411" s="439"/>
      <x:c r="N411" s="114" t="str">
        <x:f>IF(COUNTA($A411:$M411)=0,"",IF(OR(LOWER($F411&amp;"")="subscription",LOWER($F411&amp;"")="membership"),"",IF($G411="","",IF(ISNUMBER(SEARCH("non",LOWER($E411&amp;""))),$G411*0.85,$G411))))</x:f>
      </x:c>
      <x:c r="O411" s="114" t="str">
        <x:f>IF(COUNTA($A411:$M411)=0,"",IF(OR(LOWER($F411&amp;"")="subscription",LOWER($F411&amp;"")="membership"),"",IF(OR($N411="",$I411="",$I411=0),"",IFERROR($N411/$I411,""))))</x:f>
      </x:c>
      <x:c r="P411" s="114" t="str">
        <x:f>IF(COUNTA($A411:$M411)=0,"",IF(OR(LOWER($F411&amp;"")="subscription",LOWER($F411&amp;"")="membership"),"",IF(LOWER($L411&amp;"")="yes",0,IF($K411&lt;&gt;"",$K411,IF($O411&lt;&gt;"",$O411,"")))))</x:f>
      </x:c>
      <x:c r="Q411" s="114" t="str">
        <x:f>IF(COUNTA($A411:$M411)=0,"",IF(OR($U411="Subscription",$U411=""),"",IF($U411="Profit",ROUND(IFERROR($P411,0)-IFERROR($H411,0),2),0)))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IF(COUNTA($A411:$M411)=0,"",IF(OR(LOWER($F411&amp;"")="subscription",LOWER($F411&amp;"")="membership"),"Subscription",IF(OR(AND($H411&lt;&gt;"",$H411=0),LOWER($F411&amp;"")="free game",LOWER($F411&amp;"")="free",LOWER($F411&amp;"")="free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IF(COUNTA($A411:$M411)=0,"",IF(OR($U411="Subscription",$U411=""),"",IF(OR($U411="Free Game",$U411="Disqualified — Free Game"),0,ROUND(IFERROR($Q411,0)-IFERROR($S411,0),2))))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455"/>
      <x:c r="H412" s="455"/>
      <x:c r="I412" s="456"/>
      <x:c r="J412" s="456"/>
      <x:c r="K412" s="455"/>
      <x:c r="L412" s="454"/>
      <x:c r="M412" s="439"/>
      <x:c r="N412" s="114" t="str">
        <x:f>IF(COUNTA($A412:$M412)=0,"",IF(OR(LOWER($F412&amp;"")="subscription",LOWER($F412&amp;"")="membership"),"",IF($G412="","",IF(ISNUMBER(SEARCH("non",LOWER($E412&amp;""))),$G412*0.85,$G412))))</x:f>
      </x:c>
      <x:c r="O412" s="114" t="str">
        <x:f>IF(COUNTA($A412:$M412)=0,"",IF(OR(LOWER($F412&amp;"")="subscription",LOWER($F412&amp;"")="membership"),"",IF(OR($N412="",$I412="",$I412=0),"",IFERROR($N412/$I412,""))))</x:f>
      </x:c>
      <x:c r="P412" s="114" t="str">
        <x:f>IF(COUNTA($A412:$M412)=0,"",IF(OR(LOWER($F412&amp;"")="subscription",LOWER($F412&amp;"")="membership"),"",IF(LOWER($L412&amp;"")="yes",0,IF($K412&lt;&gt;"",$K412,IF($O412&lt;&gt;"",$O412,"")))))</x:f>
      </x:c>
      <x:c r="Q412" s="114" t="str">
        <x:f>IF(COUNTA($A412:$M412)=0,"",IF(OR($U412="Subscription",$U412=""),"",IF($U412="Profit",ROUND(IFERROR($P412,0)-IFERROR($H412,0),2),0)))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IF(COUNTA($A412:$M412)=0,"",IF(OR(LOWER($F412&amp;"")="subscription",LOWER($F412&amp;"")="membership"),"Subscription",IF(OR(AND($H412&lt;&gt;"",$H412=0),LOWER($F412&amp;"")="free game",LOWER($F412&amp;"")="free",LOWER($F412&amp;"")="free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IF(COUNTA($A412:$M412)=0,"",IF(OR($U412="Subscription",$U412=""),"",IF(OR($U412="Free Game",$U412="Disqualified — Free Game"),0,ROUND(IFERROR($Q412,0)-IFERROR($S412,0),2))))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455"/>
      <x:c r="H413" s="455"/>
      <x:c r="I413" s="456"/>
      <x:c r="J413" s="456"/>
      <x:c r="K413" s="455"/>
      <x:c r="L413" s="454"/>
      <x:c r="M413" s="439"/>
      <x:c r="N413" s="114" t="str">
        <x:f>IF(COUNTA($A413:$M413)=0,"",IF(OR(LOWER($F413&amp;"")="subscription",LOWER($F413&amp;"")="membership"),"",IF($G413="","",IF(ISNUMBER(SEARCH("non",LOWER($E413&amp;""))),$G413*0.85,$G413))))</x:f>
      </x:c>
      <x:c r="O413" s="114" t="str">
        <x:f>IF(COUNTA($A413:$M413)=0,"",IF(OR(LOWER($F413&amp;"")="subscription",LOWER($F413&amp;"")="membership"),"",IF(OR($N413="",$I413="",$I413=0),"",IFERROR($N413/$I413,""))))</x:f>
      </x:c>
      <x:c r="P413" s="114" t="str">
        <x:f>IF(COUNTA($A413:$M413)=0,"",IF(OR(LOWER($F413&amp;"")="subscription",LOWER($F413&amp;"")="membership"),"",IF(LOWER($L413&amp;"")="yes",0,IF($K413&lt;&gt;"",$K413,IF($O413&lt;&gt;"",$O413,"")))))</x:f>
      </x:c>
      <x:c r="Q413" s="114" t="str">
        <x:f>IF(COUNTA($A413:$M413)=0,"",IF(OR($U413="Subscription",$U413=""),"",IF($U413="Profit",ROUND(IFERROR($P413,0)-IFERROR($H413,0),2),0)))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IF(COUNTA($A413:$M413)=0,"",IF(OR(LOWER($F413&amp;"")="subscription",LOWER($F413&amp;"")="membership"),"Subscription",IF(OR(AND($H413&lt;&gt;"",$H413=0),LOWER($F413&amp;"")="free game",LOWER($F413&amp;"")="free",LOWER($F413&amp;"")="free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IF(COUNTA($A413:$M413)=0,"",IF(OR($U413="Subscription",$U413=""),"",IF(OR($U413="Free Game",$U413="Disqualified — Free Game"),0,ROUND(IFERROR($Q413,0)-IFERROR($S413,0),2))))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455"/>
      <x:c r="H414" s="455"/>
      <x:c r="I414" s="456"/>
      <x:c r="J414" s="456"/>
      <x:c r="K414" s="455"/>
      <x:c r="L414" s="454"/>
      <x:c r="M414" s="439"/>
      <x:c r="N414" s="114" t="str">
        <x:f>IF(COUNTA($A414:$M414)=0,"",IF(OR(LOWER($F414&amp;"")="subscription",LOWER($F414&amp;"")="membership"),"",IF($G414="","",IF(ISNUMBER(SEARCH("non",LOWER($E414&amp;""))),$G414*0.85,$G414))))</x:f>
      </x:c>
      <x:c r="O414" s="114" t="str">
        <x:f>IF(COUNTA($A414:$M414)=0,"",IF(OR(LOWER($F414&amp;"")="subscription",LOWER($F414&amp;"")="membership"),"",IF(OR($N414="",$I414="",$I414=0),"",IFERROR($N414/$I414,""))))</x:f>
      </x:c>
      <x:c r="P414" s="114" t="str">
        <x:f>IF(COUNTA($A414:$M414)=0,"",IF(OR(LOWER($F414&amp;"")="subscription",LOWER($F414&amp;"")="membership"),"",IF(LOWER($L414&amp;"")="yes",0,IF($K414&lt;&gt;"",$K414,IF($O414&lt;&gt;"",$O414,"")))))</x:f>
      </x:c>
      <x:c r="Q414" s="114" t="str">
        <x:f>IF(COUNTA($A414:$M414)=0,"",IF(OR($U414="Subscription",$U414=""),"",IF($U414="Profit",ROUND(IFERROR($P414,0)-IFERROR($H414,0),2),0)))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IF(COUNTA($A414:$M414)=0,"",IF(OR(LOWER($F414&amp;"")="subscription",LOWER($F414&amp;"")="membership"),"Subscription",IF(OR(AND($H414&lt;&gt;"",$H414=0),LOWER($F414&amp;"")="free game",LOWER($F414&amp;"")="free",LOWER($F414&amp;"")="free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IF(COUNTA($A414:$M414)=0,"",IF(OR($U414="Subscription",$U414=""),"",IF(OR($U414="Free Game",$U414="Disqualified — Free Game"),0,ROUND(IFERROR($Q414,0)-IFERROR($S414,0),2))))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455"/>
      <x:c r="H415" s="455"/>
      <x:c r="I415" s="456"/>
      <x:c r="J415" s="456"/>
      <x:c r="K415" s="455"/>
      <x:c r="L415" s="454"/>
      <x:c r="M415" s="439"/>
      <x:c r="N415" s="114" t="str">
        <x:f>IF(COUNTA($A415:$M415)=0,"",IF(OR(LOWER($F415&amp;"")="subscription",LOWER($F415&amp;"")="membership"),"",IF($G415="","",IF(ISNUMBER(SEARCH("non",LOWER($E415&amp;""))),$G415*0.85,$G415))))</x:f>
      </x:c>
      <x:c r="O415" s="114" t="str">
        <x:f>IF(COUNTA($A415:$M415)=0,"",IF(OR(LOWER($F415&amp;"")="subscription",LOWER($F415&amp;"")="membership"),"",IF(OR($N415="",$I415="",$I415=0),"",IFERROR($N415/$I415,""))))</x:f>
      </x:c>
      <x:c r="P415" s="114" t="str">
        <x:f>IF(COUNTA($A415:$M415)=0,"",IF(OR(LOWER($F415&amp;"")="subscription",LOWER($F415&amp;"")="membership"),"",IF(LOWER($L415&amp;"")="yes",0,IF($K415&lt;&gt;"",$K415,IF($O415&lt;&gt;"",$O415,"")))))</x:f>
      </x:c>
      <x:c r="Q415" s="114" t="str">
        <x:f>IF(COUNTA($A415:$M415)=0,"",IF(OR($U415="Subscription",$U415=""),"",IF($U415="Profit",ROUND(IFERROR($P415,0)-IFERROR($H415,0),2),0)))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IF(COUNTA($A415:$M415)=0,"",IF(OR(LOWER($F415&amp;"")="subscription",LOWER($F415&amp;"")="membership"),"Subscription",IF(OR(AND($H415&lt;&gt;"",$H415=0),LOWER($F415&amp;"")="free game",LOWER($F415&amp;"")="free",LOWER($F415&amp;"")="free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IF(COUNTA($A415:$M415)=0,"",IF(OR($U415="Subscription",$U415=""),"",IF(OR($U415="Free Game",$U415="Disqualified — Free Game"),0,ROUND(IFERROR($Q415,0)-IFERROR($S415,0),2))))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455"/>
      <x:c r="H416" s="455"/>
      <x:c r="I416" s="456"/>
      <x:c r="J416" s="456"/>
      <x:c r="K416" s="455"/>
      <x:c r="L416" s="454"/>
      <x:c r="M416" s="439"/>
      <x:c r="N416" s="114" t="str">
        <x:f>IF(COUNTA($A416:$M416)=0,"",IF(OR(LOWER($F416&amp;"")="subscription",LOWER($F416&amp;"")="membership"),"",IF($G416="","",IF(ISNUMBER(SEARCH("non",LOWER($E416&amp;""))),$G416*0.85,$G416))))</x:f>
      </x:c>
      <x:c r="O416" s="114" t="str">
        <x:f>IF(COUNTA($A416:$M416)=0,"",IF(OR(LOWER($F416&amp;"")="subscription",LOWER($F416&amp;"")="membership"),"",IF(OR($N416="",$I416="",$I416=0),"",IFERROR($N416/$I416,""))))</x:f>
      </x:c>
      <x:c r="P416" s="114" t="str">
        <x:f>IF(COUNTA($A416:$M416)=0,"",IF(OR(LOWER($F416&amp;"")="subscription",LOWER($F416&amp;"")="membership"),"",IF(LOWER($L416&amp;"")="yes",0,IF($K416&lt;&gt;"",$K416,IF($O416&lt;&gt;"",$O416,"")))))</x:f>
      </x:c>
      <x:c r="Q416" s="114" t="str">
        <x:f>IF(COUNTA($A416:$M416)=0,"",IF(OR($U416="Subscription",$U416=""),"",IF($U416="Profit",ROUND(IFERROR($P416,0)-IFERROR($H416,0),2),0)))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IF(COUNTA($A416:$M416)=0,"",IF(OR(LOWER($F416&amp;"")="subscription",LOWER($F416&amp;"")="membership"),"Subscription",IF(OR(AND($H416&lt;&gt;"",$H416=0),LOWER($F416&amp;"")="free game",LOWER($F416&amp;"")="free",LOWER($F416&amp;"")="free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IF(COUNTA($A416:$M416)=0,"",IF(OR($U416="Subscription",$U416=""),"",IF(OR($U416="Free Game",$U416="Disqualified — Free Game"),0,ROUND(IFERROR($Q416,0)-IFERROR($S416,0),2))))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455"/>
      <x:c r="H417" s="455"/>
      <x:c r="I417" s="456"/>
      <x:c r="J417" s="456"/>
      <x:c r="K417" s="455"/>
      <x:c r="L417" s="454"/>
      <x:c r="M417" s="439"/>
      <x:c r="N417" s="114" t="str">
        <x:f>IF(COUNTA($A417:$M417)=0,"",IF(OR(LOWER($F417&amp;"")="subscription",LOWER($F417&amp;"")="membership"),"",IF($G417="","",IF(ISNUMBER(SEARCH("non",LOWER($E417&amp;""))),$G417*0.85,$G417))))</x:f>
      </x:c>
      <x:c r="O417" s="114" t="str">
        <x:f>IF(COUNTA($A417:$M417)=0,"",IF(OR(LOWER($F417&amp;"")="subscription",LOWER($F417&amp;"")="membership"),"",IF(OR($N417="",$I417="",$I417=0),"",IFERROR($N417/$I417,""))))</x:f>
      </x:c>
      <x:c r="P417" s="114" t="str">
        <x:f>IF(COUNTA($A417:$M417)=0,"",IF(OR(LOWER($F417&amp;"")="subscription",LOWER($F417&amp;"")="membership"),"",IF(LOWER($L417&amp;"")="yes",0,IF($K417&lt;&gt;"",$K417,IF($O417&lt;&gt;"",$O417,"")))))</x:f>
      </x:c>
      <x:c r="Q417" s="114" t="str">
        <x:f>IF(COUNTA($A417:$M417)=0,"",IF(OR($U417="Subscription",$U417=""),"",IF($U417="Profit",ROUND(IFERROR($P417,0)-IFERROR($H417,0),2),0)))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IF(COUNTA($A417:$M417)=0,"",IF(OR(LOWER($F417&amp;"")="subscription",LOWER($F417&amp;"")="membership"),"Subscription",IF(OR(AND($H417&lt;&gt;"",$H417=0),LOWER($F417&amp;"")="free game",LOWER($F417&amp;"")="free",LOWER($F417&amp;"")="free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IF(COUNTA($A417:$M417)=0,"",IF(OR($U417="Subscription",$U417=""),"",IF(OR($U417="Free Game",$U417="Disqualified — Free Game"),0,ROUND(IFERROR($Q417,0)-IFERROR($S417,0),2))))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455"/>
      <x:c r="H418" s="455"/>
      <x:c r="I418" s="456"/>
      <x:c r="J418" s="456"/>
      <x:c r="K418" s="455"/>
      <x:c r="L418" s="454"/>
      <x:c r="M418" s="439"/>
      <x:c r="N418" s="114" t="str">
        <x:f>IF(COUNTA($A418:$M418)=0,"",IF(OR(LOWER($F418&amp;"")="subscription",LOWER($F418&amp;"")="membership"),"",IF($G418="","",IF(ISNUMBER(SEARCH("non",LOWER($E418&amp;""))),$G418*0.85,$G418))))</x:f>
      </x:c>
      <x:c r="O418" s="114" t="str">
        <x:f>IF(COUNTA($A418:$M418)=0,"",IF(OR(LOWER($F418&amp;"")="subscription",LOWER($F418&amp;"")="membership"),"",IF(OR($N418="",$I418="",$I418=0),"",IFERROR($N418/$I418,""))))</x:f>
      </x:c>
      <x:c r="P418" s="114" t="str">
        <x:f>IF(COUNTA($A418:$M418)=0,"",IF(OR(LOWER($F418&amp;"")="subscription",LOWER($F418&amp;"")="membership"),"",IF(LOWER($L418&amp;"")="yes",0,IF($K418&lt;&gt;"",$K418,IF($O418&lt;&gt;"",$O418,"")))))</x:f>
      </x:c>
      <x:c r="Q418" s="114" t="str">
        <x:f>IF(COUNTA($A418:$M418)=0,"",IF(OR($U418="Subscription",$U418=""),"",IF($U418="Profit",ROUND(IFERROR($P418,0)-IFERROR($H418,0),2),0)))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IF(COUNTA($A418:$M418)=0,"",IF(OR(LOWER($F418&amp;"")="subscription",LOWER($F418&amp;"")="membership"),"Subscription",IF(OR(AND($H418&lt;&gt;"",$H418=0),LOWER($F418&amp;"")="free game",LOWER($F418&amp;"")="free",LOWER($F418&amp;"")="free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IF(COUNTA($A418:$M418)=0,"",IF(OR($U418="Subscription",$U418=""),"",IF(OR($U418="Free Game",$U418="Disqualified — Free Game"),0,ROUND(IFERROR($Q418,0)-IFERROR($S418,0),2))))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455"/>
      <x:c r="H419" s="455"/>
      <x:c r="I419" s="456"/>
      <x:c r="J419" s="456"/>
      <x:c r="K419" s="455"/>
      <x:c r="L419" s="454"/>
      <x:c r="M419" s="439"/>
      <x:c r="N419" s="114" t="str">
        <x:f>IF(COUNTA($A419:$M419)=0,"",IF(OR(LOWER($F419&amp;"")="subscription",LOWER($F419&amp;"")="membership"),"",IF($G419="","",IF(ISNUMBER(SEARCH("non",LOWER($E419&amp;""))),$G419*0.85,$G419))))</x:f>
      </x:c>
      <x:c r="O419" s="114" t="str">
        <x:f>IF(COUNTA($A419:$M419)=0,"",IF(OR(LOWER($F419&amp;"")="subscription",LOWER($F419&amp;"")="membership"),"",IF(OR($N419="",$I419="",$I419=0),"",IFERROR($N419/$I419,""))))</x:f>
      </x:c>
      <x:c r="P419" s="114" t="str">
        <x:f>IF(COUNTA($A419:$M419)=0,"",IF(OR(LOWER($F419&amp;"")="subscription",LOWER($F419&amp;"")="membership"),"",IF(LOWER($L419&amp;"")="yes",0,IF($K419&lt;&gt;"",$K419,IF($O419&lt;&gt;"",$O419,"")))))</x:f>
      </x:c>
      <x:c r="Q419" s="114" t="str">
        <x:f>IF(COUNTA($A419:$M419)=0,"",IF(OR($U419="Subscription",$U419=""),"",IF($U419="Profit",ROUND(IFERROR($P419,0)-IFERROR($H419,0),2),0)))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IF(COUNTA($A419:$M419)=0,"",IF(OR(LOWER($F419&amp;"")="subscription",LOWER($F419&amp;"")="membership"),"Subscription",IF(OR(AND($H419&lt;&gt;"",$H419=0),LOWER($F419&amp;"")="free game",LOWER($F419&amp;"")="free",LOWER($F419&amp;"")="free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IF(COUNTA($A419:$M419)=0,"",IF(OR($U419="Subscription",$U419=""),"",IF(OR($U419="Free Game",$U419="Disqualified — Free Game"),0,ROUND(IFERROR($Q419,0)-IFERROR($S419,0),2))))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455"/>
      <x:c r="H420" s="455"/>
      <x:c r="I420" s="456"/>
      <x:c r="J420" s="456"/>
      <x:c r="K420" s="455"/>
      <x:c r="L420" s="454"/>
      <x:c r="M420" s="439"/>
      <x:c r="N420" s="114" t="str">
        <x:f>IF(COUNTA($A420:$M420)=0,"",IF(OR(LOWER($F420&amp;"")="subscription",LOWER($F420&amp;"")="membership"),"",IF($G420="","",IF(ISNUMBER(SEARCH("non",LOWER($E420&amp;""))),$G420*0.85,$G420))))</x:f>
      </x:c>
      <x:c r="O420" s="114" t="str">
        <x:f>IF(COUNTA($A420:$M420)=0,"",IF(OR(LOWER($F420&amp;"")="subscription",LOWER($F420&amp;"")="membership"),"",IF(OR($N420="",$I420="",$I420=0),"",IFERROR($N420/$I420,""))))</x:f>
      </x:c>
      <x:c r="P420" s="114" t="str">
        <x:f>IF(COUNTA($A420:$M420)=0,"",IF(OR(LOWER($F420&amp;"")="subscription",LOWER($F420&amp;"")="membership"),"",IF(LOWER($L420&amp;"")="yes",0,IF($K420&lt;&gt;"",$K420,IF($O420&lt;&gt;"",$O420,"")))))</x:f>
      </x:c>
      <x:c r="Q420" s="114" t="str">
        <x:f>IF(COUNTA($A420:$M420)=0,"",IF(OR($U420="Subscription",$U420=""),"",IF($U420="Profit",ROUND(IFERROR($P420,0)-IFERROR($H420,0),2),0)))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IF(COUNTA($A420:$M420)=0,"",IF(OR(LOWER($F420&amp;"")="subscription",LOWER($F420&amp;"")="membership"),"Subscription",IF(OR(AND($H420&lt;&gt;"",$H420=0),LOWER($F420&amp;"")="free game",LOWER($F420&amp;"")="free",LOWER($F420&amp;"")="free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IF(COUNTA($A420:$M420)=0,"",IF(OR($U420="Subscription",$U420=""),"",IF(OR($U420="Free Game",$U420="Disqualified — Free Game"),0,ROUND(IFERROR($Q420,0)-IFERROR($S420,0),2))))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455"/>
      <x:c r="H421" s="455"/>
      <x:c r="I421" s="456"/>
      <x:c r="J421" s="456"/>
      <x:c r="K421" s="455"/>
      <x:c r="L421" s="454"/>
      <x:c r="M421" s="439"/>
      <x:c r="N421" s="114" t="str">
        <x:f>IF(COUNTA($A421:$M421)=0,"",IF(OR(LOWER($F421&amp;"")="subscription",LOWER($F421&amp;"")="membership"),"",IF($G421="","",IF(ISNUMBER(SEARCH("non",LOWER($E421&amp;""))),$G421*0.85,$G421))))</x:f>
      </x:c>
      <x:c r="O421" s="114" t="str">
        <x:f>IF(COUNTA($A421:$M421)=0,"",IF(OR(LOWER($F421&amp;"")="subscription",LOWER($F421&amp;"")="membership"),"",IF(OR($N421="",$I421="",$I421=0),"",IFERROR($N421/$I421,""))))</x:f>
      </x:c>
      <x:c r="P421" s="114" t="str">
        <x:f>IF(COUNTA($A421:$M421)=0,"",IF(OR(LOWER($F421&amp;"")="subscription",LOWER($F421&amp;"")="membership"),"",IF(LOWER($L421&amp;"")="yes",0,IF($K421&lt;&gt;"",$K421,IF($O421&lt;&gt;"",$O421,"")))))</x:f>
      </x:c>
      <x:c r="Q421" s="114" t="str">
        <x:f>IF(COUNTA($A421:$M421)=0,"",IF(OR($U421="Subscription",$U421=""),"",IF($U421="Profit",ROUND(IFERROR($P421,0)-IFERROR($H421,0),2),0)))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IF(COUNTA($A421:$M421)=0,"",IF(OR(LOWER($F421&amp;"")="subscription",LOWER($F421&amp;"")="membership"),"Subscription",IF(OR(AND($H421&lt;&gt;"",$H421=0),LOWER($F421&amp;"")="free game",LOWER($F421&amp;"")="free",LOWER($F421&amp;"")="free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IF(COUNTA($A421:$M421)=0,"",IF(OR($U421="Subscription",$U421=""),"",IF(OR($U421="Free Game",$U421="Disqualified — Free Game"),0,ROUND(IFERROR($Q421,0)-IFERROR($S421,0),2))))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455"/>
      <x:c r="H422" s="455"/>
      <x:c r="I422" s="456"/>
      <x:c r="J422" s="456"/>
      <x:c r="K422" s="455"/>
      <x:c r="L422" s="454"/>
      <x:c r="M422" s="439"/>
      <x:c r="N422" s="114" t="str">
        <x:f>IF(COUNTA($A422:$M422)=0,"",IF(OR(LOWER($F422&amp;"")="subscription",LOWER($F422&amp;"")="membership"),"",IF($G422="","",IF(ISNUMBER(SEARCH("non",LOWER($E422&amp;""))),$G422*0.85,$G422))))</x:f>
      </x:c>
      <x:c r="O422" s="114" t="str">
        <x:f>IF(COUNTA($A422:$M422)=0,"",IF(OR(LOWER($F422&amp;"")="subscription",LOWER($F422&amp;"")="membership"),"",IF(OR($N422="",$I422="",$I422=0),"",IFERROR($N422/$I422,""))))</x:f>
      </x:c>
      <x:c r="P422" s="114" t="str">
        <x:f>IF(COUNTA($A422:$M422)=0,"",IF(OR(LOWER($F422&amp;"")="subscription",LOWER($F422&amp;"")="membership"),"",IF(LOWER($L422&amp;"")="yes",0,IF($K422&lt;&gt;"",$K422,IF($O422&lt;&gt;"",$O422,"")))))</x:f>
      </x:c>
      <x:c r="Q422" s="114" t="str">
        <x:f>IF(COUNTA($A422:$M422)=0,"",IF(OR($U422="Subscription",$U422=""),"",IF($U422="Profit",ROUND(IFERROR($P422,0)-IFERROR($H422,0),2),0)))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IF(COUNTA($A422:$M422)=0,"",IF(OR(LOWER($F422&amp;"")="subscription",LOWER($F422&amp;"")="membership"),"Subscription",IF(OR(AND($H422&lt;&gt;"",$H422=0),LOWER($F422&amp;"")="free game",LOWER($F422&amp;"")="free",LOWER($F422&amp;"")="free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IF(COUNTA($A422:$M422)=0,"",IF(OR($U422="Subscription",$U422=""),"",IF(OR($U422="Free Game",$U422="Disqualified — Free Game"),0,ROUND(IFERROR($Q422,0)-IFERROR($S422,0),2))))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455"/>
      <x:c r="H423" s="455"/>
      <x:c r="I423" s="456"/>
      <x:c r="J423" s="456"/>
      <x:c r="K423" s="455"/>
      <x:c r="L423" s="454"/>
      <x:c r="M423" s="439"/>
      <x:c r="N423" s="114" t="str">
        <x:f>IF(COUNTA($A423:$M423)=0,"",IF(OR(LOWER($F423&amp;"")="subscription",LOWER($F423&amp;"")="membership"),"",IF($G423="","",IF(ISNUMBER(SEARCH("non",LOWER($E423&amp;""))),$G423*0.85,$G423))))</x:f>
      </x:c>
      <x:c r="O423" s="114" t="str">
        <x:f>IF(COUNTA($A423:$M423)=0,"",IF(OR(LOWER($F423&amp;"")="subscription",LOWER($F423&amp;"")="membership"),"",IF(OR($N423="",$I423="",$I423=0),"",IFERROR($N423/$I423,""))))</x:f>
      </x:c>
      <x:c r="P423" s="114" t="str">
        <x:f>IF(COUNTA($A423:$M423)=0,"",IF(OR(LOWER($F423&amp;"")="subscription",LOWER($F423&amp;"")="membership"),"",IF(LOWER($L423&amp;"")="yes",0,IF($K423&lt;&gt;"",$K423,IF($O423&lt;&gt;"",$O423,"")))))</x:f>
      </x:c>
      <x:c r="Q423" s="114" t="str">
        <x:f>IF(COUNTA($A423:$M423)=0,"",IF(OR($U423="Subscription",$U423=""),"",IF($U423="Profit",ROUND(IFERROR($P423,0)-IFERROR($H423,0),2),0)))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IF(COUNTA($A423:$M423)=0,"",IF(OR(LOWER($F423&amp;"")="subscription",LOWER($F423&amp;"")="membership"),"Subscription",IF(OR(AND($H423&lt;&gt;"",$H423=0),LOWER($F423&amp;"")="free game",LOWER($F423&amp;"")="free",LOWER($F423&amp;"")="free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IF(COUNTA($A423:$M423)=0,"",IF(OR($U423="Subscription",$U423=""),"",IF(OR($U423="Free Game",$U423="Disqualified — Free Game"),0,ROUND(IFERROR($Q423,0)-IFERROR($S423,0),2))))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455"/>
      <x:c r="H424" s="455"/>
      <x:c r="I424" s="456"/>
      <x:c r="J424" s="456"/>
      <x:c r="K424" s="455"/>
      <x:c r="L424" s="454"/>
      <x:c r="M424" s="439"/>
      <x:c r="N424" s="114" t="str">
        <x:f>IF(COUNTA($A424:$M424)=0,"",IF(OR(LOWER($F424&amp;"")="subscription",LOWER($F424&amp;"")="membership"),"",IF($G424="","",IF(ISNUMBER(SEARCH("non",LOWER($E424&amp;""))),$G424*0.85,$G424))))</x:f>
      </x:c>
      <x:c r="O424" s="114" t="str">
        <x:f>IF(COUNTA($A424:$M424)=0,"",IF(OR(LOWER($F424&amp;"")="subscription",LOWER($F424&amp;"")="membership"),"",IF(OR($N424="",$I424="",$I424=0),"",IFERROR($N424/$I424,""))))</x:f>
      </x:c>
      <x:c r="P424" s="114" t="str">
        <x:f>IF(COUNTA($A424:$M424)=0,"",IF(OR(LOWER($F424&amp;"")="subscription",LOWER($F424&amp;"")="membership"),"",IF(LOWER($L424&amp;"")="yes",0,IF($K424&lt;&gt;"",$K424,IF($O424&lt;&gt;"",$O424,"")))))</x:f>
      </x:c>
      <x:c r="Q424" s="114" t="str">
        <x:f>IF(COUNTA($A424:$M424)=0,"",IF(OR($U424="Subscription",$U424=""),"",IF($U424="Profit",ROUND(IFERROR($P424,0)-IFERROR($H424,0),2),0)))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IF(COUNTA($A424:$M424)=0,"",IF(OR(LOWER($F424&amp;"")="subscription",LOWER($F424&amp;"")="membership"),"Subscription",IF(OR(AND($H424&lt;&gt;"",$H424=0),LOWER($F424&amp;"")="free game",LOWER($F424&amp;"")="free",LOWER($F424&amp;"")="free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IF(COUNTA($A424:$M424)=0,"",IF(OR($U424="Subscription",$U424=""),"",IF(OR($U424="Free Game",$U424="Disqualified — Free Game"),0,ROUND(IFERROR($Q424,0)-IFERROR($S424,0),2))))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455"/>
      <x:c r="H425" s="455"/>
      <x:c r="I425" s="456"/>
      <x:c r="J425" s="456"/>
      <x:c r="K425" s="455"/>
      <x:c r="L425" s="454"/>
      <x:c r="M425" s="439"/>
      <x:c r="N425" s="114" t="str">
        <x:f>IF(COUNTA($A425:$M425)=0,"",IF(OR(LOWER($F425&amp;"")="subscription",LOWER($F425&amp;"")="membership"),"",IF($G425="","",IF(ISNUMBER(SEARCH("non",LOWER($E425&amp;""))),$G425*0.85,$G425))))</x:f>
      </x:c>
      <x:c r="O425" s="114" t="str">
        <x:f>IF(COUNTA($A425:$M425)=0,"",IF(OR(LOWER($F425&amp;"")="subscription",LOWER($F425&amp;"")="membership"),"",IF(OR($N425="",$I425="",$I425=0),"",IFERROR($N425/$I425,""))))</x:f>
      </x:c>
      <x:c r="P425" s="114" t="str">
        <x:f>IF(COUNTA($A425:$M425)=0,"",IF(OR(LOWER($F425&amp;"")="subscription",LOWER($F425&amp;"")="membership"),"",IF(LOWER($L425&amp;"")="yes",0,IF($K425&lt;&gt;"",$K425,IF($O425&lt;&gt;"",$O425,"")))))</x:f>
      </x:c>
      <x:c r="Q425" s="114" t="str">
        <x:f>IF(COUNTA($A425:$M425)=0,"",IF(OR($U425="Subscription",$U425=""),"",IF($U425="Profit",ROUND(IFERROR($P425,0)-IFERROR($H425,0),2),0)))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IF(COUNTA($A425:$M425)=0,"",IF(OR(LOWER($F425&amp;"")="subscription",LOWER($F425&amp;"")="membership"),"Subscription",IF(OR(AND($H425&lt;&gt;"",$H425=0),LOWER($F425&amp;"")="free game",LOWER($F425&amp;"")="free",LOWER($F425&amp;"")="free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IF(COUNTA($A425:$M425)=0,"",IF(OR($U425="Subscription",$U425=""),"",IF(OR($U425="Free Game",$U425="Disqualified — Free Game"),0,ROUND(IFERROR($Q425,0)-IFERROR($S425,0),2))))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455"/>
      <x:c r="H426" s="455"/>
      <x:c r="I426" s="456"/>
      <x:c r="J426" s="456"/>
      <x:c r="K426" s="455"/>
      <x:c r="L426" s="454"/>
      <x:c r="M426" s="439"/>
      <x:c r="N426" s="114" t="str">
        <x:f>IF(COUNTA($A426:$M426)=0,"",IF(OR(LOWER($F426&amp;"")="subscription",LOWER($F426&amp;"")="membership"),"",IF($G426="","",IF(ISNUMBER(SEARCH("non",LOWER($E426&amp;""))),$G426*0.85,$G426))))</x:f>
      </x:c>
      <x:c r="O426" s="114" t="str">
        <x:f>IF(COUNTA($A426:$M426)=0,"",IF(OR(LOWER($F426&amp;"")="subscription",LOWER($F426&amp;"")="membership"),"",IF(OR($N426="",$I426="",$I426=0),"",IFERROR($N426/$I426,""))))</x:f>
      </x:c>
      <x:c r="P426" s="114" t="str">
        <x:f>IF(COUNTA($A426:$M426)=0,"",IF(OR(LOWER($F426&amp;"")="subscription",LOWER($F426&amp;"")="membership"),"",IF(LOWER($L426&amp;"")="yes",0,IF($K426&lt;&gt;"",$K426,IF($O426&lt;&gt;"",$O426,"")))))</x:f>
      </x:c>
      <x:c r="Q426" s="114" t="str">
        <x:f>IF(COUNTA($A426:$M426)=0,"",IF(OR($U426="Subscription",$U426=""),"",IF($U426="Profit",ROUND(IFERROR($P426,0)-IFERROR($H426,0),2),0)))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IF(COUNTA($A426:$M426)=0,"",IF(OR(LOWER($F426&amp;"")="subscription",LOWER($F426&amp;"")="membership"),"Subscription",IF(OR(AND($H426&lt;&gt;"",$H426=0),LOWER($F426&amp;"")="free game",LOWER($F426&amp;"")="free",LOWER($F426&amp;"")="free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IF(COUNTA($A426:$M426)=0,"",IF(OR($U426="Subscription",$U426=""),"",IF(OR($U426="Free Game",$U426="Disqualified — Free Game"),0,ROUND(IFERROR($Q426,0)-IFERROR($S426,0),2))))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455"/>
      <x:c r="H427" s="455"/>
      <x:c r="I427" s="456"/>
      <x:c r="J427" s="456"/>
      <x:c r="K427" s="455"/>
      <x:c r="L427" s="454"/>
      <x:c r="M427" s="439"/>
      <x:c r="N427" s="114" t="str">
        <x:f>IF(COUNTA($A427:$M427)=0,"",IF(OR(LOWER($F427&amp;"")="subscription",LOWER($F427&amp;"")="membership"),"",IF($G427="","",IF(ISNUMBER(SEARCH("non",LOWER($E427&amp;""))),$G427*0.85,$G427))))</x:f>
      </x:c>
      <x:c r="O427" s="114" t="str">
        <x:f>IF(COUNTA($A427:$M427)=0,"",IF(OR(LOWER($F427&amp;"")="subscription",LOWER($F427&amp;"")="membership"),"",IF(OR($N427="",$I427="",$I427=0),"",IFERROR($N427/$I427,""))))</x:f>
      </x:c>
      <x:c r="P427" s="114" t="str">
        <x:f>IF(COUNTA($A427:$M427)=0,"",IF(OR(LOWER($F427&amp;"")="subscription",LOWER($F427&amp;"")="membership"),"",IF(LOWER($L427&amp;"")="yes",0,IF($K427&lt;&gt;"",$K427,IF($O427&lt;&gt;"",$O427,"")))))</x:f>
      </x:c>
      <x:c r="Q427" s="114" t="str">
        <x:f>IF(COUNTA($A427:$M427)=0,"",IF(OR($U427="Subscription",$U427=""),"",IF($U427="Profit",ROUND(IFERROR($P427,0)-IFERROR($H427,0),2),0)))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IF(COUNTA($A427:$M427)=0,"",IF(OR(LOWER($F427&amp;"")="subscription",LOWER($F427&amp;"")="membership"),"Subscription",IF(OR(AND($H427&lt;&gt;"",$H427=0),LOWER($F427&amp;"")="free game",LOWER($F427&amp;"")="free",LOWER($F427&amp;"")="free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IF(COUNTA($A427:$M427)=0,"",IF(OR($U427="Subscription",$U427=""),"",IF(OR($U427="Free Game",$U427="Disqualified — Free Game"),0,ROUND(IFERROR($Q427,0)-IFERROR($S427,0),2))))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455"/>
      <x:c r="H428" s="455"/>
      <x:c r="I428" s="456"/>
      <x:c r="J428" s="456"/>
      <x:c r="K428" s="455"/>
      <x:c r="L428" s="454"/>
      <x:c r="M428" s="439"/>
      <x:c r="N428" s="114" t="str">
        <x:f>IF(COUNTA($A428:$M428)=0,"",IF(OR(LOWER($F428&amp;"")="subscription",LOWER($F428&amp;"")="membership"),"",IF($G428="","",IF(ISNUMBER(SEARCH("non",LOWER($E428&amp;""))),$G428*0.85,$G428))))</x:f>
      </x:c>
      <x:c r="O428" s="114" t="str">
        <x:f>IF(COUNTA($A428:$M428)=0,"",IF(OR(LOWER($F428&amp;"")="subscription",LOWER($F428&amp;"")="membership"),"",IF(OR($N428="",$I428="",$I428=0),"",IFERROR($N428/$I428,""))))</x:f>
      </x:c>
      <x:c r="P428" s="114" t="str">
        <x:f>IF(COUNTA($A428:$M428)=0,"",IF(OR(LOWER($F428&amp;"")="subscription",LOWER($F428&amp;"")="membership"),"",IF(LOWER($L428&amp;"")="yes",0,IF($K428&lt;&gt;"",$K428,IF($O428&lt;&gt;"",$O428,"")))))</x:f>
      </x:c>
      <x:c r="Q428" s="114" t="str">
        <x:f>IF(COUNTA($A428:$M428)=0,"",IF(OR($U428="Subscription",$U428=""),"",IF($U428="Profit",ROUND(IFERROR($P428,0)-IFERROR($H428,0),2),0)))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IF(COUNTA($A428:$M428)=0,"",IF(OR(LOWER($F428&amp;"")="subscription",LOWER($F428&amp;"")="membership"),"Subscription",IF(OR(AND($H428&lt;&gt;"",$H428=0),LOWER($F428&amp;"")="free game",LOWER($F428&amp;"")="free",LOWER($F428&amp;"")="free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IF(COUNTA($A428:$M428)=0,"",IF(OR($U428="Subscription",$U428=""),"",IF(OR($U428="Free Game",$U428="Disqualified — Free Game"),0,ROUND(IFERROR($Q428,0)-IFERROR($S428,0),2))))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455"/>
      <x:c r="H429" s="455"/>
      <x:c r="I429" s="456"/>
      <x:c r="J429" s="456"/>
      <x:c r="K429" s="455"/>
      <x:c r="L429" s="454"/>
      <x:c r="M429" s="439"/>
      <x:c r="N429" s="114" t="str">
        <x:f>IF(COUNTA($A429:$M429)=0,"",IF(OR(LOWER($F429&amp;"")="subscription",LOWER($F429&amp;"")="membership"),"",IF($G429="","",IF(ISNUMBER(SEARCH("non",LOWER($E429&amp;""))),$G429*0.85,$G429))))</x:f>
      </x:c>
      <x:c r="O429" s="114" t="str">
        <x:f>IF(COUNTA($A429:$M429)=0,"",IF(OR(LOWER($F429&amp;"")="subscription",LOWER($F429&amp;"")="membership"),"",IF(OR($N429="",$I429="",$I429=0),"",IFERROR($N429/$I429,""))))</x:f>
      </x:c>
      <x:c r="P429" s="114" t="str">
        <x:f>IF(COUNTA($A429:$M429)=0,"",IF(OR(LOWER($F429&amp;"")="subscription",LOWER($F429&amp;"")="membership"),"",IF(LOWER($L429&amp;"")="yes",0,IF($K429&lt;&gt;"",$K429,IF($O429&lt;&gt;"",$O429,"")))))</x:f>
      </x:c>
      <x:c r="Q429" s="114" t="str">
        <x:f>IF(COUNTA($A429:$M429)=0,"",IF(OR($U429="Subscription",$U429=""),"",IF($U429="Profit",ROUND(IFERROR($P429,0)-IFERROR($H429,0),2),0)))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IF(COUNTA($A429:$M429)=0,"",IF(OR(LOWER($F429&amp;"")="subscription",LOWER($F429&amp;"")="membership"),"Subscription",IF(OR(AND($H429&lt;&gt;"",$H429=0),LOWER($F429&amp;"")="free game",LOWER($F429&amp;"")="free",LOWER($F429&amp;"")="free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IF(COUNTA($A429:$M429)=0,"",IF(OR($U429="Subscription",$U429=""),"",IF(OR($U429="Free Game",$U429="Disqualified — Free Game"),0,ROUND(IFERROR($Q429,0)-IFERROR($S429,0),2))))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455"/>
      <x:c r="H430" s="455"/>
      <x:c r="I430" s="456"/>
      <x:c r="J430" s="456"/>
      <x:c r="K430" s="455"/>
      <x:c r="L430" s="454"/>
      <x:c r="M430" s="439"/>
      <x:c r="N430" s="114" t="str">
        <x:f>IF(COUNTA($A430:$M430)=0,"",IF(OR(LOWER($F430&amp;"")="subscription",LOWER($F430&amp;"")="membership"),"",IF($G430="","",IF(ISNUMBER(SEARCH("non",LOWER($E430&amp;""))),$G430*0.85,$G430))))</x:f>
      </x:c>
      <x:c r="O430" s="114" t="str">
        <x:f>IF(COUNTA($A430:$M430)=0,"",IF(OR(LOWER($F430&amp;"")="subscription",LOWER($F430&amp;"")="membership"),"",IF(OR($N430="",$I430="",$I430=0),"",IFERROR($N430/$I430,""))))</x:f>
      </x:c>
      <x:c r="P430" s="114" t="str">
        <x:f>IF(COUNTA($A430:$M430)=0,"",IF(OR(LOWER($F430&amp;"")="subscription",LOWER($F430&amp;"")="membership"),"",IF(LOWER($L430&amp;"")="yes",0,IF($K430&lt;&gt;"",$K430,IF($O430&lt;&gt;"",$O430,"")))))</x:f>
      </x:c>
      <x:c r="Q430" s="114" t="str">
        <x:f>IF(COUNTA($A430:$M430)=0,"",IF(OR($U430="Subscription",$U430=""),"",IF($U430="Profit",ROUND(IFERROR($P430,0)-IFERROR($H430,0),2),0)))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IF(COUNTA($A430:$M430)=0,"",IF(OR(LOWER($F430&amp;"")="subscription",LOWER($F430&amp;"")="membership"),"Subscription",IF(OR(AND($H430&lt;&gt;"",$H430=0),LOWER($F430&amp;"")="free game",LOWER($F430&amp;"")="free",LOWER($F430&amp;"")="free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IF(COUNTA($A430:$M430)=0,"",IF(OR($U430="Subscription",$U430=""),"",IF(OR($U430="Free Game",$U430="Disqualified — Free Game"),0,ROUND(IFERROR($Q430,0)-IFERROR($S430,0),2))))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455"/>
      <x:c r="H431" s="455"/>
      <x:c r="I431" s="456"/>
      <x:c r="J431" s="456"/>
      <x:c r="K431" s="455"/>
      <x:c r="L431" s="454"/>
      <x:c r="M431" s="439"/>
      <x:c r="N431" s="114" t="str">
        <x:f>IF(COUNTA($A431:$M431)=0,"",IF(OR(LOWER($F431&amp;"")="subscription",LOWER($F431&amp;"")="membership"),"",IF($G431="","",IF(ISNUMBER(SEARCH("non",LOWER($E431&amp;""))),$G431*0.85,$G431))))</x:f>
      </x:c>
      <x:c r="O431" s="114" t="str">
        <x:f>IF(COUNTA($A431:$M431)=0,"",IF(OR(LOWER($F431&amp;"")="subscription",LOWER($F431&amp;"")="membership"),"",IF(OR($N431="",$I431="",$I431=0),"",IFERROR($N431/$I431,""))))</x:f>
      </x:c>
      <x:c r="P431" s="114" t="str">
        <x:f>IF(COUNTA($A431:$M431)=0,"",IF(OR(LOWER($F431&amp;"")="subscription",LOWER($F431&amp;"")="membership"),"",IF(LOWER($L431&amp;"")="yes",0,IF($K431&lt;&gt;"",$K431,IF($O431&lt;&gt;"",$O431,"")))))</x:f>
      </x:c>
      <x:c r="Q431" s="114" t="str">
        <x:f>IF(COUNTA($A431:$M431)=0,"",IF(OR($U431="Subscription",$U431=""),"",IF($U431="Profit",ROUND(IFERROR($P431,0)-IFERROR($H431,0),2),0)))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IF(COUNTA($A431:$M431)=0,"",IF(OR(LOWER($F431&amp;"")="subscription",LOWER($F431&amp;"")="membership"),"Subscription",IF(OR(AND($H431&lt;&gt;"",$H431=0),LOWER($F431&amp;"")="free game",LOWER($F431&amp;"")="free",LOWER($F431&amp;"")="free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IF(COUNTA($A431:$M431)=0,"",IF(OR($U431="Subscription",$U431=""),"",IF(OR($U431="Free Game",$U431="Disqualified — Free Game"),0,ROUND(IFERROR($Q431,0)-IFERROR($S431,0),2))))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455"/>
      <x:c r="H432" s="455"/>
      <x:c r="I432" s="456"/>
      <x:c r="J432" s="456"/>
      <x:c r="K432" s="455"/>
      <x:c r="L432" s="454"/>
      <x:c r="M432" s="439"/>
      <x:c r="N432" s="114" t="str">
        <x:f>IF(COUNTA($A432:$M432)=0,"",IF(OR(LOWER($F432&amp;"")="subscription",LOWER($F432&amp;"")="membership"),"",IF($G432="","",IF(ISNUMBER(SEARCH("non",LOWER($E432&amp;""))),$G432*0.85,$G432))))</x:f>
      </x:c>
      <x:c r="O432" s="114" t="str">
        <x:f>IF(COUNTA($A432:$M432)=0,"",IF(OR(LOWER($F432&amp;"")="subscription",LOWER($F432&amp;"")="membership"),"",IF(OR($N432="",$I432="",$I432=0),"",IFERROR($N432/$I432,""))))</x:f>
      </x:c>
      <x:c r="P432" s="114" t="str">
        <x:f>IF(COUNTA($A432:$M432)=0,"",IF(OR(LOWER($F432&amp;"")="subscription",LOWER($F432&amp;"")="membership"),"",IF(LOWER($L432&amp;"")="yes",0,IF($K432&lt;&gt;"",$K432,IF($O432&lt;&gt;"",$O432,"")))))</x:f>
      </x:c>
      <x:c r="Q432" s="114" t="str">
        <x:f>IF(COUNTA($A432:$M432)=0,"",IF(OR($U432="Subscription",$U432=""),"",IF($U432="Profit",ROUND(IFERROR($P432,0)-IFERROR($H432,0),2),0)))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IF(COUNTA($A432:$M432)=0,"",IF(OR(LOWER($F432&amp;"")="subscription",LOWER($F432&amp;"")="membership"),"Subscription",IF(OR(AND($H432&lt;&gt;"",$H432=0),LOWER($F432&amp;"")="free game",LOWER($F432&amp;"")="free",LOWER($F432&amp;"")="free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IF(COUNTA($A432:$M432)=0,"",IF(OR($U432="Subscription",$U432=""),"",IF(OR($U432="Free Game",$U432="Disqualified — Free Game"),0,ROUND(IFERROR($Q432,0)-IFERROR($S432,0),2))))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455"/>
      <x:c r="H433" s="455"/>
      <x:c r="I433" s="456"/>
      <x:c r="J433" s="456"/>
      <x:c r="K433" s="455"/>
      <x:c r="L433" s="454"/>
      <x:c r="M433" s="439"/>
      <x:c r="N433" s="114" t="str">
        <x:f>IF(COUNTA($A433:$M433)=0,"",IF(OR(LOWER($F433&amp;"")="subscription",LOWER($F433&amp;"")="membership"),"",IF($G433="","",IF(ISNUMBER(SEARCH("non",LOWER($E433&amp;""))),$G433*0.85,$G433))))</x:f>
      </x:c>
      <x:c r="O433" s="114" t="str">
        <x:f>IF(COUNTA($A433:$M433)=0,"",IF(OR(LOWER($F433&amp;"")="subscription",LOWER($F433&amp;"")="membership"),"",IF(OR($N433="",$I433="",$I433=0),"",IFERROR($N433/$I433,""))))</x:f>
      </x:c>
      <x:c r="P433" s="114" t="str">
        <x:f>IF(COUNTA($A433:$M433)=0,"",IF(OR(LOWER($F433&amp;"")="subscription",LOWER($F433&amp;"")="membership"),"",IF(LOWER($L433&amp;"")="yes",0,IF($K433&lt;&gt;"",$K433,IF($O433&lt;&gt;"",$O433,"")))))</x:f>
      </x:c>
      <x:c r="Q433" s="114" t="str">
        <x:f>IF(COUNTA($A433:$M433)=0,"",IF(OR($U433="Subscription",$U433=""),"",IF($U433="Profit",ROUND(IFERROR($P433,0)-IFERROR($H433,0),2),0)))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IF(COUNTA($A433:$M433)=0,"",IF(OR(LOWER($F433&amp;"")="subscription",LOWER($F433&amp;"")="membership"),"Subscription",IF(OR(AND($H433&lt;&gt;"",$H433=0),LOWER($F433&amp;"")="free game",LOWER($F433&amp;"")="free",LOWER($F433&amp;"")="free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IF(COUNTA($A433:$M433)=0,"",IF(OR($U433="Subscription",$U433=""),"",IF(OR($U433="Free Game",$U433="Disqualified — Free Game"),0,ROUND(IFERROR($Q433,0)-IFERROR($S433,0),2))))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455"/>
      <x:c r="H434" s="455"/>
      <x:c r="I434" s="456"/>
      <x:c r="J434" s="456"/>
      <x:c r="K434" s="455"/>
      <x:c r="L434" s="454"/>
      <x:c r="M434" s="439"/>
      <x:c r="N434" s="114" t="str">
        <x:f>IF(COUNTA($A434:$M434)=0,"",IF(OR(LOWER($F434&amp;"")="subscription",LOWER($F434&amp;"")="membership"),"",IF($G434="","",IF(ISNUMBER(SEARCH("non",LOWER($E434&amp;""))),$G434*0.85,$G434))))</x:f>
      </x:c>
      <x:c r="O434" s="114" t="str">
        <x:f>IF(COUNTA($A434:$M434)=0,"",IF(OR(LOWER($F434&amp;"")="subscription",LOWER($F434&amp;"")="membership"),"",IF(OR($N434="",$I434="",$I434=0),"",IFERROR($N434/$I434,""))))</x:f>
      </x:c>
      <x:c r="P434" s="114" t="str">
        <x:f>IF(COUNTA($A434:$M434)=0,"",IF(OR(LOWER($F434&amp;"")="subscription",LOWER($F434&amp;"")="membership"),"",IF(LOWER($L434&amp;"")="yes",0,IF($K434&lt;&gt;"",$K434,IF($O434&lt;&gt;"",$O434,"")))))</x:f>
      </x:c>
      <x:c r="Q434" s="114" t="str">
        <x:f>IF(COUNTA($A434:$M434)=0,"",IF(OR($U434="Subscription",$U434=""),"",IF($U434="Profit",ROUND(IFERROR($P434,0)-IFERROR($H434,0),2),0)))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IF(COUNTA($A434:$M434)=0,"",IF(OR(LOWER($F434&amp;"")="subscription",LOWER($F434&amp;"")="membership"),"Subscription",IF(OR(AND($H434&lt;&gt;"",$H434=0),LOWER($F434&amp;"")="free game",LOWER($F434&amp;"")="free",LOWER($F434&amp;"")="free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IF(COUNTA($A434:$M434)=0,"",IF(OR($U434="Subscription",$U434=""),"",IF(OR($U434="Free Game",$U434="Disqualified — Free Game"),0,ROUND(IFERROR($Q434,0)-IFERROR($S434,0),2))))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455"/>
      <x:c r="H435" s="455"/>
      <x:c r="I435" s="456"/>
      <x:c r="J435" s="456"/>
      <x:c r="K435" s="455"/>
      <x:c r="L435" s="454"/>
      <x:c r="M435" s="439"/>
      <x:c r="N435" s="114" t="str">
        <x:f>IF(COUNTA($A435:$M435)=0,"",IF(OR(LOWER($F435&amp;"")="subscription",LOWER($F435&amp;"")="membership"),"",IF($G435="","",IF(ISNUMBER(SEARCH("non",LOWER($E435&amp;""))),$G435*0.85,$G435))))</x:f>
      </x:c>
      <x:c r="O435" s="114" t="str">
        <x:f>IF(COUNTA($A435:$M435)=0,"",IF(OR(LOWER($F435&amp;"")="subscription",LOWER($F435&amp;"")="membership"),"",IF(OR($N435="",$I435="",$I435=0),"",IFERROR($N435/$I435,""))))</x:f>
      </x:c>
      <x:c r="P435" s="114" t="str">
        <x:f>IF(COUNTA($A435:$M435)=0,"",IF(OR(LOWER($F435&amp;"")="subscription",LOWER($F435&amp;"")="membership"),"",IF(LOWER($L435&amp;"")="yes",0,IF($K435&lt;&gt;"",$K435,IF($O435&lt;&gt;"",$O435,"")))))</x:f>
      </x:c>
      <x:c r="Q435" s="114" t="str">
        <x:f>IF(COUNTA($A435:$M435)=0,"",IF(OR($U435="Subscription",$U435=""),"",IF($U435="Profit",ROUND(IFERROR($P435,0)-IFERROR($H435,0),2),0)))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IF(COUNTA($A435:$M435)=0,"",IF(OR(LOWER($F435&amp;"")="subscription",LOWER($F435&amp;"")="membership"),"Subscription",IF(OR(AND($H435&lt;&gt;"",$H435=0),LOWER($F435&amp;"")="free game",LOWER($F435&amp;"")="free",LOWER($F435&amp;"")="free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IF(COUNTA($A435:$M435)=0,"",IF(OR($U435="Subscription",$U435=""),"",IF(OR($U435="Free Game",$U435="Disqualified — Free Game"),0,ROUND(IFERROR($Q435,0)-IFERROR($S435,0),2))))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455"/>
      <x:c r="H436" s="455"/>
      <x:c r="I436" s="456"/>
      <x:c r="J436" s="456"/>
      <x:c r="K436" s="455"/>
      <x:c r="L436" s="454"/>
      <x:c r="M436" s="439"/>
      <x:c r="N436" s="114" t="str">
        <x:f>IF(COUNTA($A436:$M436)=0,"",IF(OR(LOWER($F436&amp;"")="subscription",LOWER($F436&amp;"")="membership"),"",IF($G436="","",IF(ISNUMBER(SEARCH("non",LOWER($E436&amp;""))),$G436*0.85,$G436))))</x:f>
      </x:c>
      <x:c r="O436" s="114" t="str">
        <x:f>IF(COUNTA($A436:$M436)=0,"",IF(OR(LOWER($F436&amp;"")="subscription",LOWER($F436&amp;"")="membership"),"",IF(OR($N436="",$I436="",$I436=0),"",IFERROR($N436/$I436,""))))</x:f>
      </x:c>
      <x:c r="P436" s="114" t="str">
        <x:f>IF(COUNTA($A436:$M436)=0,"",IF(OR(LOWER($F436&amp;"")="subscription",LOWER($F436&amp;"")="membership"),"",IF(LOWER($L436&amp;"")="yes",0,IF($K436&lt;&gt;"",$K436,IF($O436&lt;&gt;"",$O436,"")))))</x:f>
      </x:c>
      <x:c r="Q436" s="114" t="str">
        <x:f>IF(COUNTA($A436:$M436)=0,"",IF(OR($U436="Subscription",$U436=""),"",IF($U436="Profit",ROUND(IFERROR($P436,0)-IFERROR($H436,0),2),0)))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IF(COUNTA($A436:$M436)=0,"",IF(OR(LOWER($F436&amp;"")="subscription",LOWER($F436&amp;"")="membership"),"Subscription",IF(OR(AND($H436&lt;&gt;"",$H436=0),LOWER($F436&amp;"")="free game",LOWER($F436&amp;"")="free",LOWER($F436&amp;"")="free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IF(COUNTA($A436:$M436)=0,"",IF(OR($U436="Subscription",$U436=""),"",IF(OR($U436="Free Game",$U436="Disqualified — Free Game"),0,ROUND(IFERROR($Q436,0)-IFERROR($S436,0),2))))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455"/>
      <x:c r="H437" s="455"/>
      <x:c r="I437" s="456"/>
      <x:c r="J437" s="456"/>
      <x:c r="K437" s="455"/>
      <x:c r="L437" s="454"/>
      <x:c r="M437" s="439"/>
      <x:c r="N437" s="114" t="str">
        <x:f>IF(COUNTA($A437:$M437)=0,"",IF(OR(LOWER($F437&amp;"")="subscription",LOWER($F437&amp;"")="membership"),"",IF($G437="","",IF(ISNUMBER(SEARCH("non",LOWER($E437&amp;""))),$G437*0.85,$G437))))</x:f>
      </x:c>
      <x:c r="O437" s="114" t="str">
        <x:f>IF(COUNTA($A437:$M437)=0,"",IF(OR(LOWER($F437&amp;"")="subscription",LOWER($F437&amp;"")="membership"),"",IF(OR($N437="",$I437="",$I437=0),"",IFERROR($N437/$I437,""))))</x:f>
      </x:c>
      <x:c r="P437" s="114" t="str">
        <x:f>IF(COUNTA($A437:$M437)=0,"",IF(OR(LOWER($F437&amp;"")="subscription",LOWER($F437&amp;"")="membership"),"",IF(LOWER($L437&amp;"")="yes",0,IF($K437&lt;&gt;"",$K437,IF($O437&lt;&gt;"",$O437,"")))))</x:f>
      </x:c>
      <x:c r="Q437" s="114" t="str">
        <x:f>IF(COUNTA($A437:$M437)=0,"",IF(OR($U437="Subscription",$U437=""),"",IF($U437="Profit",ROUND(IFERROR($P437,0)-IFERROR($H437,0),2),0)))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IF(COUNTA($A437:$M437)=0,"",IF(OR(LOWER($F437&amp;"")="subscription",LOWER($F437&amp;"")="membership"),"Subscription",IF(OR(AND($H437&lt;&gt;"",$H437=0),LOWER($F437&amp;"")="free game",LOWER($F437&amp;"")="free",LOWER($F437&amp;"")="free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IF(COUNTA($A437:$M437)=0,"",IF(OR($U437="Subscription",$U437=""),"",IF(OR($U437="Free Game",$U437="Disqualified — Free Game"),0,ROUND(IFERROR($Q437,0)-IFERROR($S437,0),2))))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455"/>
      <x:c r="H438" s="455"/>
      <x:c r="I438" s="456"/>
      <x:c r="J438" s="456"/>
      <x:c r="K438" s="455"/>
      <x:c r="L438" s="454"/>
      <x:c r="M438" s="439"/>
      <x:c r="N438" s="114" t="str">
        <x:f>IF(COUNTA($A438:$M438)=0,"",IF(OR(LOWER($F438&amp;"")="subscription",LOWER($F438&amp;"")="membership"),"",IF($G438="","",IF(ISNUMBER(SEARCH("non",LOWER($E438&amp;""))),$G438*0.85,$G438))))</x:f>
      </x:c>
      <x:c r="O438" s="114" t="str">
        <x:f>IF(COUNTA($A438:$M438)=0,"",IF(OR(LOWER($F438&amp;"")="subscription",LOWER($F438&amp;"")="membership"),"",IF(OR($N438="",$I438="",$I438=0),"",IFERROR($N438/$I438,""))))</x:f>
      </x:c>
      <x:c r="P438" s="114" t="str">
        <x:f>IF(COUNTA($A438:$M438)=0,"",IF(OR(LOWER($F438&amp;"")="subscription",LOWER($F438&amp;"")="membership"),"",IF(LOWER($L438&amp;"")="yes",0,IF($K438&lt;&gt;"",$K438,IF($O438&lt;&gt;"",$O438,"")))))</x:f>
      </x:c>
      <x:c r="Q438" s="114" t="str">
        <x:f>IF(COUNTA($A438:$M438)=0,"",IF(OR($U438="Subscription",$U438=""),"",IF($U438="Profit",ROUND(IFERROR($P438,0)-IFERROR($H438,0),2),0)))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IF(COUNTA($A438:$M438)=0,"",IF(OR(LOWER($F438&amp;"")="subscription",LOWER($F438&amp;"")="membership"),"Subscription",IF(OR(AND($H438&lt;&gt;"",$H438=0),LOWER($F438&amp;"")="free game",LOWER($F438&amp;"")="free",LOWER($F438&amp;"")="free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IF(COUNTA($A438:$M438)=0,"",IF(OR($U438="Subscription",$U438=""),"",IF(OR($U438="Free Game",$U438="Disqualified — Free Game"),0,ROUND(IFERROR($Q438,0)-IFERROR($S438,0),2))))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455"/>
      <x:c r="H439" s="455"/>
      <x:c r="I439" s="456"/>
      <x:c r="J439" s="456"/>
      <x:c r="K439" s="455"/>
      <x:c r="L439" s="454"/>
      <x:c r="M439" s="439"/>
      <x:c r="N439" s="114" t="str">
        <x:f>IF(COUNTA($A439:$M439)=0,"",IF(OR(LOWER($F439&amp;"")="subscription",LOWER($F439&amp;"")="membership"),"",IF($G439="","",IF(ISNUMBER(SEARCH("non",LOWER($E439&amp;""))),$G439*0.85,$G439))))</x:f>
      </x:c>
      <x:c r="O439" s="114" t="str">
        <x:f>IF(COUNTA($A439:$M439)=0,"",IF(OR(LOWER($F439&amp;"")="subscription",LOWER($F439&amp;"")="membership"),"",IF(OR($N439="",$I439="",$I439=0),"",IFERROR($N439/$I439,""))))</x:f>
      </x:c>
      <x:c r="P439" s="114" t="str">
        <x:f>IF(COUNTA($A439:$M439)=0,"",IF(OR(LOWER($F439&amp;"")="subscription",LOWER($F439&amp;"")="membership"),"",IF(LOWER($L439&amp;"")="yes",0,IF($K439&lt;&gt;"",$K439,IF($O439&lt;&gt;"",$O439,"")))))</x:f>
      </x:c>
      <x:c r="Q439" s="114" t="str">
        <x:f>IF(COUNTA($A439:$M439)=0,"",IF(OR($U439="Subscription",$U439=""),"",IF($U439="Profit",ROUND(IFERROR($P439,0)-IFERROR($H439,0),2),0)))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IF(COUNTA($A439:$M439)=0,"",IF(OR(LOWER($F439&amp;"")="subscription",LOWER($F439&amp;"")="membership"),"Subscription",IF(OR(AND($H439&lt;&gt;"",$H439=0),LOWER($F439&amp;"")="free game",LOWER($F439&amp;"")="free",LOWER($F439&amp;"")="free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IF(COUNTA($A439:$M439)=0,"",IF(OR($U439="Subscription",$U439=""),"",IF(OR($U439="Free Game",$U439="Disqualified — Free Game"),0,ROUND(IFERROR($Q439,0)-IFERROR($S439,0),2))))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455"/>
      <x:c r="H440" s="455"/>
      <x:c r="I440" s="456"/>
      <x:c r="J440" s="456"/>
      <x:c r="K440" s="455"/>
      <x:c r="L440" s="454"/>
      <x:c r="M440" s="439"/>
      <x:c r="N440" s="114" t="str">
        <x:f>IF(COUNTA($A440:$M440)=0,"",IF(OR(LOWER($F440&amp;"")="subscription",LOWER($F440&amp;"")="membership"),"",IF($G440="","",IF(ISNUMBER(SEARCH("non",LOWER($E440&amp;""))),$G440*0.85,$G440))))</x:f>
      </x:c>
      <x:c r="O440" s="114" t="str">
        <x:f>IF(COUNTA($A440:$M440)=0,"",IF(OR(LOWER($F440&amp;"")="subscription",LOWER($F440&amp;"")="membership"),"",IF(OR($N440="",$I440="",$I440=0),"",IFERROR($N440/$I440,""))))</x:f>
      </x:c>
      <x:c r="P440" s="114" t="str">
        <x:f>IF(COUNTA($A440:$M440)=0,"",IF(OR(LOWER($F440&amp;"")="subscription",LOWER($F440&amp;"")="membership"),"",IF(LOWER($L440&amp;"")="yes",0,IF($K440&lt;&gt;"",$K440,IF($O440&lt;&gt;"",$O440,"")))))</x:f>
      </x:c>
      <x:c r="Q440" s="114" t="str">
        <x:f>IF(COUNTA($A440:$M440)=0,"",IF(OR($U440="Subscription",$U440=""),"",IF($U440="Profit",ROUND(IFERROR($P440,0)-IFERROR($H440,0),2),0)))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IF(COUNTA($A440:$M440)=0,"",IF(OR(LOWER($F440&amp;"")="subscription",LOWER($F440&amp;"")="membership"),"Subscription",IF(OR(AND($H440&lt;&gt;"",$H440=0),LOWER($F440&amp;"")="free game",LOWER($F440&amp;"")="free",LOWER($F440&amp;"")="free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IF(COUNTA($A440:$M440)=0,"",IF(OR($U440="Subscription",$U440=""),"",IF(OR($U440="Free Game",$U440="Disqualified — Free Game"),0,ROUND(IFERROR($Q440,0)-IFERROR($S440,0),2))))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455"/>
      <x:c r="H441" s="455"/>
      <x:c r="I441" s="456"/>
      <x:c r="J441" s="456"/>
      <x:c r="K441" s="455"/>
      <x:c r="L441" s="454"/>
      <x:c r="M441" s="439"/>
      <x:c r="N441" s="114" t="str">
        <x:f>IF(COUNTA($A441:$M441)=0,"",IF(OR(LOWER($F441&amp;"")="subscription",LOWER($F441&amp;"")="membership"),"",IF($G441="","",IF(ISNUMBER(SEARCH("non",LOWER($E441&amp;""))),$G441*0.85,$G441))))</x:f>
      </x:c>
      <x:c r="O441" s="114" t="str">
        <x:f>IF(COUNTA($A441:$M441)=0,"",IF(OR(LOWER($F441&amp;"")="subscription",LOWER($F441&amp;"")="membership"),"",IF(OR($N441="",$I441="",$I441=0),"",IFERROR($N441/$I441,""))))</x:f>
      </x:c>
      <x:c r="P441" s="114" t="str">
        <x:f>IF(COUNTA($A441:$M441)=0,"",IF(OR(LOWER($F441&amp;"")="subscription",LOWER($F441&amp;"")="membership"),"",IF(LOWER($L441&amp;"")="yes",0,IF($K441&lt;&gt;"",$K441,IF($O441&lt;&gt;"",$O441,"")))))</x:f>
      </x:c>
      <x:c r="Q441" s="114" t="str">
        <x:f>IF(COUNTA($A441:$M441)=0,"",IF(OR($U441="Subscription",$U441=""),"",IF($U441="Profit",ROUND(IFERROR($P441,0)-IFERROR($H441,0),2),0)))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IF(COUNTA($A441:$M441)=0,"",IF(OR(LOWER($F441&amp;"")="subscription",LOWER($F441&amp;"")="membership"),"Subscription",IF(OR(AND($H441&lt;&gt;"",$H441=0),LOWER($F441&amp;"")="free game",LOWER($F441&amp;"")="free",LOWER($F441&amp;"")="free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IF(COUNTA($A441:$M441)=0,"",IF(OR($U441="Subscription",$U441=""),"",IF(OR($U441="Free Game",$U441="Disqualified — Free Game"),0,ROUND(IFERROR($Q441,0)-IFERROR($S441,0),2))))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455"/>
      <x:c r="H442" s="455"/>
      <x:c r="I442" s="456"/>
      <x:c r="J442" s="456"/>
      <x:c r="K442" s="455"/>
      <x:c r="L442" s="454"/>
      <x:c r="M442" s="439"/>
      <x:c r="N442" s="114" t="str">
        <x:f>IF(COUNTA($A442:$M442)=0,"",IF(OR(LOWER($F442&amp;"")="subscription",LOWER($F442&amp;"")="membership"),"",IF($G442="","",IF(ISNUMBER(SEARCH("non",LOWER($E442&amp;""))),$G442*0.85,$G442))))</x:f>
      </x:c>
      <x:c r="O442" s="114" t="str">
        <x:f>IF(COUNTA($A442:$M442)=0,"",IF(OR(LOWER($F442&amp;"")="subscription",LOWER($F442&amp;"")="membership"),"",IF(OR($N442="",$I442="",$I442=0),"",IFERROR($N442/$I442,""))))</x:f>
      </x:c>
      <x:c r="P442" s="114" t="str">
        <x:f>IF(COUNTA($A442:$M442)=0,"",IF(OR(LOWER($F442&amp;"")="subscription",LOWER($F442&amp;"")="membership"),"",IF(LOWER($L442&amp;"")="yes",0,IF($K442&lt;&gt;"",$K442,IF($O442&lt;&gt;"",$O442,"")))))</x:f>
      </x:c>
      <x:c r="Q442" s="114" t="str">
        <x:f>IF(COUNTA($A442:$M442)=0,"",IF(OR($U442="Subscription",$U442=""),"",IF($U442="Profit",ROUND(IFERROR($P442,0)-IFERROR($H442,0),2),0)))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IF(COUNTA($A442:$M442)=0,"",IF(OR(LOWER($F442&amp;"")="subscription",LOWER($F442&amp;"")="membership"),"Subscription",IF(OR(AND($H442&lt;&gt;"",$H442=0),LOWER($F442&amp;"")="free game",LOWER($F442&amp;"")="free",LOWER($F442&amp;"")="free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IF(COUNTA($A442:$M442)=0,"",IF(OR($U442="Subscription",$U442=""),"",IF(OR($U442="Free Game",$U442="Disqualified — Free Game"),0,ROUND(IFERROR($Q442,0)-IFERROR($S442,0),2))))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455"/>
      <x:c r="H443" s="455"/>
      <x:c r="I443" s="456"/>
      <x:c r="J443" s="456"/>
      <x:c r="K443" s="455"/>
      <x:c r="L443" s="454"/>
      <x:c r="M443" s="439"/>
      <x:c r="N443" s="114" t="str">
        <x:f>IF(COUNTA($A443:$M443)=0,"",IF(OR(LOWER($F443&amp;"")="subscription",LOWER($F443&amp;"")="membership"),"",IF($G443="","",IF(ISNUMBER(SEARCH("non",LOWER($E443&amp;""))),$G443*0.85,$G443))))</x:f>
      </x:c>
      <x:c r="O443" s="114" t="str">
        <x:f>IF(COUNTA($A443:$M443)=0,"",IF(OR(LOWER($F443&amp;"")="subscription",LOWER($F443&amp;"")="membership"),"",IF(OR($N443="",$I443="",$I443=0),"",IFERROR($N443/$I443,""))))</x:f>
      </x:c>
      <x:c r="P443" s="114" t="str">
        <x:f>IF(COUNTA($A443:$M443)=0,"",IF(OR(LOWER($F443&amp;"")="subscription",LOWER($F443&amp;"")="membership"),"",IF(LOWER($L443&amp;"")="yes",0,IF($K443&lt;&gt;"",$K443,IF($O443&lt;&gt;"",$O443,"")))))</x:f>
      </x:c>
      <x:c r="Q443" s="114" t="str">
        <x:f>IF(COUNTA($A443:$M443)=0,"",IF(OR($U443="Subscription",$U443=""),"",IF($U443="Profit",ROUND(IFERROR($P443,0)-IFERROR($H443,0),2),0)))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IF(COUNTA($A443:$M443)=0,"",IF(OR(LOWER($F443&amp;"")="subscription",LOWER($F443&amp;"")="membership"),"Subscription",IF(OR(AND($H443&lt;&gt;"",$H443=0),LOWER($F443&amp;"")="free game",LOWER($F443&amp;"")="free",LOWER($F443&amp;"")="free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IF(COUNTA($A443:$M443)=0,"",IF(OR($U443="Subscription",$U443=""),"",IF(OR($U443="Free Game",$U443="Disqualified — Free Game"),0,ROUND(IFERROR($Q443,0)-IFERROR($S443,0),2))))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455"/>
      <x:c r="H444" s="455"/>
      <x:c r="I444" s="456"/>
      <x:c r="J444" s="456"/>
      <x:c r="K444" s="455"/>
      <x:c r="L444" s="454"/>
      <x:c r="M444" s="439"/>
      <x:c r="N444" s="114" t="str">
        <x:f>IF(COUNTA($A444:$M444)=0,"",IF(OR(LOWER($F444&amp;"")="subscription",LOWER($F444&amp;"")="membership"),"",IF($G444="","",IF(ISNUMBER(SEARCH("non",LOWER($E444&amp;""))),$G444*0.85,$G444))))</x:f>
      </x:c>
      <x:c r="O444" s="114" t="str">
        <x:f>IF(COUNTA($A444:$M444)=0,"",IF(OR(LOWER($F444&amp;"")="subscription",LOWER($F444&amp;"")="membership"),"",IF(OR($N444="",$I444="",$I444=0),"",IFERROR($N444/$I444,""))))</x:f>
      </x:c>
      <x:c r="P444" s="114" t="str">
        <x:f>IF(COUNTA($A444:$M444)=0,"",IF(OR(LOWER($F444&amp;"")="subscription",LOWER($F444&amp;"")="membership"),"",IF(LOWER($L444&amp;"")="yes",0,IF($K444&lt;&gt;"",$K444,IF($O444&lt;&gt;"",$O444,"")))))</x:f>
      </x:c>
      <x:c r="Q444" s="114" t="str">
        <x:f>IF(COUNTA($A444:$M444)=0,"",IF(OR($U444="Subscription",$U444=""),"",IF($U444="Profit",ROUND(IFERROR($P444,0)-IFERROR($H444,0),2),0)))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IF(COUNTA($A444:$M444)=0,"",IF(OR(LOWER($F444&amp;"")="subscription",LOWER($F444&amp;"")="membership"),"Subscription",IF(OR(AND($H444&lt;&gt;"",$H444=0),LOWER($F444&amp;"")="free game",LOWER($F444&amp;"")="free",LOWER($F444&amp;"")="free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IF(COUNTA($A444:$M444)=0,"",IF(OR($U444="Subscription",$U444=""),"",IF(OR($U444="Free Game",$U444="Disqualified — Free Game"),0,ROUND(IFERROR($Q444,0)-IFERROR($S444,0),2))))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455"/>
      <x:c r="H445" s="455"/>
      <x:c r="I445" s="456"/>
      <x:c r="J445" s="456"/>
      <x:c r="K445" s="455"/>
      <x:c r="L445" s="454"/>
      <x:c r="M445" s="439"/>
      <x:c r="N445" s="114" t="str">
        <x:f>IF(COUNTA($A445:$M445)=0,"",IF(OR(LOWER($F445&amp;"")="subscription",LOWER($F445&amp;"")="membership"),"",IF($G445="","",IF(ISNUMBER(SEARCH("non",LOWER($E445&amp;""))),$G445*0.85,$G445))))</x:f>
      </x:c>
      <x:c r="O445" s="114" t="str">
        <x:f>IF(COUNTA($A445:$M445)=0,"",IF(OR(LOWER($F445&amp;"")="subscription",LOWER($F445&amp;"")="membership"),"",IF(OR($N445="",$I445="",$I445=0),"",IFERROR($N445/$I445,""))))</x:f>
      </x:c>
      <x:c r="P445" s="114" t="str">
        <x:f>IF(COUNTA($A445:$M445)=0,"",IF(OR(LOWER($F445&amp;"")="subscription",LOWER($F445&amp;"")="membership"),"",IF(LOWER($L445&amp;"")="yes",0,IF($K445&lt;&gt;"",$K445,IF($O445&lt;&gt;"",$O445,"")))))</x:f>
      </x:c>
      <x:c r="Q445" s="114" t="str">
        <x:f>IF(COUNTA($A445:$M445)=0,"",IF(OR($U445="Subscription",$U445=""),"",IF($U445="Profit",ROUND(IFERROR($P445,0)-IFERROR($H445,0),2),0)))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IF(COUNTA($A445:$M445)=0,"",IF(OR(LOWER($F445&amp;"")="subscription",LOWER($F445&amp;"")="membership"),"Subscription",IF(OR(AND($H445&lt;&gt;"",$H445=0),LOWER($F445&amp;"")="free game",LOWER($F445&amp;"")="free",LOWER($F445&amp;"")="free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IF(COUNTA($A445:$M445)=0,"",IF(OR($U445="Subscription",$U445=""),"",IF(OR($U445="Free Game",$U445="Disqualified — Free Game"),0,ROUND(IFERROR($Q445,0)-IFERROR($S445,0),2))))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455"/>
      <x:c r="H446" s="455"/>
      <x:c r="I446" s="456"/>
      <x:c r="J446" s="456"/>
      <x:c r="K446" s="455"/>
      <x:c r="L446" s="454"/>
      <x:c r="M446" s="439"/>
      <x:c r="N446" s="114" t="str">
        <x:f>IF(COUNTA($A446:$M446)=0,"",IF(OR(LOWER($F446&amp;"")="subscription",LOWER($F446&amp;"")="membership"),"",IF($G446="","",IF(ISNUMBER(SEARCH("non",LOWER($E446&amp;""))),$G446*0.85,$G446))))</x:f>
      </x:c>
      <x:c r="O446" s="114" t="str">
        <x:f>IF(COUNTA($A446:$M446)=0,"",IF(OR(LOWER($F446&amp;"")="subscription",LOWER($F446&amp;"")="membership"),"",IF(OR($N446="",$I446="",$I446=0),"",IFERROR($N446/$I446,""))))</x:f>
      </x:c>
      <x:c r="P446" s="114" t="str">
        <x:f>IF(COUNTA($A446:$M446)=0,"",IF(OR(LOWER($F446&amp;"")="subscription",LOWER($F446&amp;"")="membership"),"",IF(LOWER($L446&amp;"")="yes",0,IF($K446&lt;&gt;"",$K446,IF($O446&lt;&gt;"",$O446,"")))))</x:f>
      </x:c>
      <x:c r="Q446" s="114" t="str">
        <x:f>IF(COUNTA($A446:$M446)=0,"",IF(OR($U446="Subscription",$U446=""),"",IF($U446="Profit",ROUND(IFERROR($P446,0)-IFERROR($H446,0),2),0)))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IF(COUNTA($A446:$M446)=0,"",IF(OR(LOWER($F446&amp;"")="subscription",LOWER($F446&amp;"")="membership"),"Subscription",IF(OR(AND($H446&lt;&gt;"",$H446=0),LOWER($F446&amp;"")="free game",LOWER($F446&amp;"")="free",LOWER($F446&amp;"")="free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IF(COUNTA($A446:$M446)=0,"",IF(OR($U446="Subscription",$U446=""),"",IF(OR($U446="Free Game",$U446="Disqualified — Free Game"),0,ROUND(IFERROR($Q446,0)-IFERROR($S446,0),2))))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455"/>
      <x:c r="H447" s="455"/>
      <x:c r="I447" s="456"/>
      <x:c r="J447" s="456"/>
      <x:c r="K447" s="455"/>
      <x:c r="L447" s="454"/>
      <x:c r="M447" s="439"/>
      <x:c r="N447" s="114" t="str">
        <x:f>IF(COUNTA($A447:$M447)=0,"",IF(OR(LOWER($F447&amp;"")="subscription",LOWER($F447&amp;"")="membership"),"",IF($G447="","",IF(ISNUMBER(SEARCH("non",LOWER($E447&amp;""))),$G447*0.85,$G447))))</x:f>
      </x:c>
      <x:c r="O447" s="114" t="str">
        <x:f>IF(COUNTA($A447:$M447)=0,"",IF(OR(LOWER($F447&amp;"")="subscription",LOWER($F447&amp;"")="membership"),"",IF(OR($N447="",$I447="",$I447=0),"",IFERROR($N447/$I447,""))))</x:f>
      </x:c>
      <x:c r="P447" s="114" t="str">
        <x:f>IF(COUNTA($A447:$M447)=0,"",IF(OR(LOWER($F447&amp;"")="subscription",LOWER($F447&amp;"")="membership"),"",IF(LOWER($L447&amp;"")="yes",0,IF($K447&lt;&gt;"",$K447,IF($O447&lt;&gt;"",$O447,"")))))</x:f>
      </x:c>
      <x:c r="Q447" s="114" t="str">
        <x:f>IF(COUNTA($A447:$M447)=0,"",IF(OR($U447="Subscription",$U447=""),"",IF($U447="Profit",ROUND(IFERROR($P447,0)-IFERROR($H447,0),2),0)))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IF(COUNTA($A447:$M447)=0,"",IF(OR(LOWER($F447&amp;"")="subscription",LOWER($F447&amp;"")="membership"),"Subscription",IF(OR(AND($H447&lt;&gt;"",$H447=0),LOWER($F447&amp;"")="free game",LOWER($F447&amp;"")="free",LOWER($F447&amp;"")="free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IF(COUNTA($A447:$M447)=0,"",IF(OR($U447="Subscription",$U447=""),"",IF(OR($U447="Free Game",$U447="Disqualified — Free Game"),0,ROUND(IFERROR($Q447,0)-IFERROR($S447,0),2))))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455"/>
      <x:c r="H448" s="455"/>
      <x:c r="I448" s="456"/>
      <x:c r="J448" s="456"/>
      <x:c r="K448" s="455"/>
      <x:c r="L448" s="454"/>
      <x:c r="M448" s="439"/>
      <x:c r="N448" s="114" t="str">
        <x:f>IF(COUNTA($A448:$M448)=0,"",IF(OR(LOWER($F448&amp;"")="subscription",LOWER($F448&amp;"")="membership"),"",IF($G448="","",IF(ISNUMBER(SEARCH("non",LOWER($E448&amp;""))),$G448*0.85,$G448))))</x:f>
      </x:c>
      <x:c r="O448" s="114" t="str">
        <x:f>IF(COUNTA($A448:$M448)=0,"",IF(OR(LOWER($F448&amp;"")="subscription",LOWER($F448&amp;"")="membership"),"",IF(OR($N448="",$I448="",$I448=0),"",IFERROR($N448/$I448,""))))</x:f>
      </x:c>
      <x:c r="P448" s="114" t="str">
        <x:f>IF(COUNTA($A448:$M448)=0,"",IF(OR(LOWER($F448&amp;"")="subscription",LOWER($F448&amp;"")="membership"),"",IF(LOWER($L448&amp;"")="yes",0,IF($K448&lt;&gt;"",$K448,IF($O448&lt;&gt;"",$O448,"")))))</x:f>
      </x:c>
      <x:c r="Q448" s="114" t="str">
        <x:f>IF(COUNTA($A448:$M448)=0,"",IF(OR($U448="Subscription",$U448=""),"",IF($U448="Profit",ROUND(IFERROR($P448,0)-IFERROR($H448,0),2),0)))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IF(COUNTA($A448:$M448)=0,"",IF(OR(LOWER($F448&amp;"")="subscription",LOWER($F448&amp;"")="membership"),"Subscription",IF(OR(AND($H448&lt;&gt;"",$H448=0),LOWER($F448&amp;"")="free game",LOWER($F448&amp;"")="free",LOWER($F448&amp;"")="free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IF(COUNTA($A448:$M448)=0,"",IF(OR($U448="Subscription",$U448=""),"",IF(OR($U448="Free Game",$U448="Disqualified — Free Game"),0,ROUND(IFERROR($Q448,0)-IFERROR($S448,0),2))))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455"/>
      <x:c r="H449" s="455"/>
      <x:c r="I449" s="456"/>
      <x:c r="J449" s="456"/>
      <x:c r="K449" s="455"/>
      <x:c r="L449" s="454"/>
      <x:c r="M449" s="439"/>
      <x:c r="N449" s="114" t="str">
        <x:f>IF(COUNTA($A449:$M449)=0,"",IF(OR(LOWER($F449&amp;"")="subscription",LOWER($F449&amp;"")="membership"),"",IF($G449="","",IF(ISNUMBER(SEARCH("non",LOWER($E449&amp;""))),$G449*0.85,$G449))))</x:f>
      </x:c>
      <x:c r="O449" s="114" t="str">
        <x:f>IF(COUNTA($A449:$M449)=0,"",IF(OR(LOWER($F449&amp;"")="subscription",LOWER($F449&amp;"")="membership"),"",IF(OR($N449="",$I449="",$I449=0),"",IFERROR($N449/$I449,""))))</x:f>
      </x:c>
      <x:c r="P449" s="114" t="str">
        <x:f>IF(COUNTA($A449:$M449)=0,"",IF(OR(LOWER($F449&amp;"")="subscription",LOWER($F449&amp;"")="membership"),"",IF(LOWER($L449&amp;"")="yes",0,IF($K449&lt;&gt;"",$K449,IF($O449&lt;&gt;"",$O449,"")))))</x:f>
      </x:c>
      <x:c r="Q449" s="114" t="str">
        <x:f>IF(COUNTA($A449:$M449)=0,"",IF(OR($U449="Subscription",$U449=""),"",IF($U449="Profit",ROUND(IFERROR($P449,0)-IFERROR($H449,0),2),0)))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IF(COUNTA($A449:$M449)=0,"",IF(OR(LOWER($F449&amp;"")="subscription",LOWER($F449&amp;"")="membership"),"Subscription",IF(OR(AND($H449&lt;&gt;"",$H449=0),LOWER($F449&amp;"")="free game",LOWER($F449&amp;"")="free",LOWER($F449&amp;"")="free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IF(COUNTA($A449:$M449)=0,"",IF(OR($U449="Subscription",$U449=""),"",IF(OR($U449="Free Game",$U449="Disqualified — Free Game"),0,ROUND(IFERROR($Q449,0)-IFERROR($S449,0),2))))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455"/>
      <x:c r="H450" s="455"/>
      <x:c r="I450" s="456"/>
      <x:c r="J450" s="456"/>
      <x:c r="K450" s="455"/>
      <x:c r="L450" s="454"/>
      <x:c r="M450" s="439"/>
      <x:c r="N450" s="114" t="str">
        <x:f>IF(COUNTA($A450:$M450)=0,"",IF(OR(LOWER($F450&amp;"")="subscription",LOWER($F450&amp;"")="membership"),"",IF($G450="","",IF(ISNUMBER(SEARCH("non",LOWER($E450&amp;""))),$G450*0.85,$G450))))</x:f>
      </x:c>
      <x:c r="O450" s="114" t="str">
        <x:f>IF(COUNTA($A450:$M450)=0,"",IF(OR(LOWER($F450&amp;"")="subscription",LOWER($F450&amp;"")="membership"),"",IF(OR($N450="",$I450="",$I450=0),"",IFERROR($N450/$I450,""))))</x:f>
      </x:c>
      <x:c r="P450" s="114" t="str">
        <x:f>IF(COUNTA($A450:$M450)=0,"",IF(OR(LOWER($F450&amp;"")="subscription",LOWER($F450&amp;"")="membership"),"",IF(LOWER($L450&amp;"")="yes",0,IF($K450&lt;&gt;"",$K450,IF($O450&lt;&gt;"",$O450,"")))))</x:f>
      </x:c>
      <x:c r="Q450" s="114" t="str">
        <x:f>IF(COUNTA($A450:$M450)=0,"",IF(OR($U450="Subscription",$U450=""),"",IF($U450="Profit",ROUND(IFERROR($P450,0)-IFERROR($H450,0),2),0)))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IF(COUNTA($A450:$M450)=0,"",IF(OR(LOWER($F450&amp;"")="subscription",LOWER($F450&amp;"")="membership"),"Subscription",IF(OR(AND($H450&lt;&gt;"",$H450=0),LOWER($F450&amp;"")="free game",LOWER($F450&amp;"")="free",LOWER($F450&amp;"")="free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IF(COUNTA($A450:$M450)=0,"",IF(OR($U450="Subscription",$U450=""),"",IF(OR($U450="Free Game",$U450="Disqualified — Free Game"),0,ROUND(IFERROR($Q450,0)-IFERROR($S450,0),2))))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455"/>
      <x:c r="H451" s="455"/>
      <x:c r="I451" s="456"/>
      <x:c r="J451" s="456"/>
      <x:c r="K451" s="455"/>
      <x:c r="L451" s="454"/>
      <x:c r="M451" s="439"/>
      <x:c r="N451" s="114" t="str">
        <x:f>IF(COUNTA($A451:$M451)=0,"",IF(OR(LOWER($F451&amp;"")="subscription",LOWER($F451&amp;"")="membership"),"",IF($G451="","",IF(ISNUMBER(SEARCH("non",LOWER($E451&amp;""))),$G451*0.85,$G451))))</x:f>
      </x:c>
      <x:c r="O451" s="114" t="str">
        <x:f>IF(COUNTA($A451:$M451)=0,"",IF(OR(LOWER($F451&amp;"")="subscription",LOWER($F451&amp;"")="membership"),"",IF(OR($N451="",$I451="",$I451=0),"",IFERROR($N451/$I451,""))))</x:f>
      </x:c>
      <x:c r="P451" s="114" t="str">
        <x:f>IF(COUNTA($A451:$M451)=0,"",IF(OR(LOWER($F451&amp;"")="subscription",LOWER($F451&amp;"")="membership"),"",IF(LOWER($L451&amp;"")="yes",0,IF($K451&lt;&gt;"",$K451,IF($O451&lt;&gt;"",$O451,"")))))</x:f>
      </x:c>
      <x:c r="Q451" s="114" t="str">
        <x:f>IF(COUNTA($A451:$M451)=0,"",IF(OR($U451="Subscription",$U451=""),"",IF($U451="Profit",ROUND(IFERROR($P451,0)-IFERROR($H451,0),2),0)))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IF(COUNTA($A451:$M451)=0,"",IF(OR(LOWER($F451&amp;"")="subscription",LOWER($F451&amp;"")="membership"),"Subscription",IF(OR(AND($H451&lt;&gt;"",$H451=0),LOWER($F451&amp;"")="free game",LOWER($F451&amp;"")="free",LOWER($F451&amp;"")="free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IF(COUNTA($A451:$M451)=0,"",IF(OR($U451="Subscription",$U451=""),"",IF(OR($U451="Free Game",$U451="Disqualified — Free Game"),0,ROUND(IFERROR($Q451,0)-IFERROR($S451,0),2))))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455"/>
      <x:c r="H452" s="455"/>
      <x:c r="I452" s="456"/>
      <x:c r="J452" s="456"/>
      <x:c r="K452" s="455"/>
      <x:c r="L452" s="454"/>
      <x:c r="M452" s="439"/>
      <x:c r="N452" s="114" t="str">
        <x:f>IF(COUNTA($A452:$M452)=0,"",IF(OR(LOWER($F452&amp;"")="subscription",LOWER($F452&amp;"")="membership"),"",IF($G452="","",IF(ISNUMBER(SEARCH("non",LOWER($E452&amp;""))),$G452*0.85,$G452))))</x:f>
      </x:c>
      <x:c r="O452" s="114" t="str">
        <x:f>IF(COUNTA($A452:$M452)=0,"",IF(OR(LOWER($F452&amp;"")="subscription",LOWER($F452&amp;"")="membership"),"",IF(OR($N452="",$I452="",$I452=0),"",IFERROR($N452/$I452,""))))</x:f>
      </x:c>
      <x:c r="P452" s="114" t="str">
        <x:f>IF(COUNTA($A452:$M452)=0,"",IF(OR(LOWER($F452&amp;"")="subscription",LOWER($F452&amp;"")="membership"),"",IF(LOWER($L452&amp;"")="yes",0,IF($K452&lt;&gt;"",$K452,IF($O452&lt;&gt;"",$O452,"")))))</x:f>
      </x:c>
      <x:c r="Q452" s="114" t="str">
        <x:f>IF(COUNTA($A452:$M452)=0,"",IF(OR($U452="Subscription",$U452=""),"",IF($U452="Profit",ROUND(IFERROR($P452,0)-IFERROR($H452,0),2),0)))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IF(COUNTA($A452:$M452)=0,"",IF(OR(LOWER($F452&amp;"")="subscription",LOWER($F452&amp;"")="membership"),"Subscription",IF(OR(AND($H452&lt;&gt;"",$H452=0),LOWER($F452&amp;"")="free game",LOWER($F452&amp;"")="free",LOWER($F452&amp;"")="free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IF(COUNTA($A452:$M452)=0,"",IF(OR($U452="Subscription",$U452=""),"",IF(OR($U452="Free Game",$U452="Disqualified — Free Game"),0,ROUND(IFERROR($Q452,0)-IFERROR($S452,0),2))))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455"/>
      <x:c r="H453" s="455"/>
      <x:c r="I453" s="456"/>
      <x:c r="J453" s="456"/>
      <x:c r="K453" s="455"/>
      <x:c r="L453" s="454"/>
      <x:c r="M453" s="439"/>
      <x:c r="N453" s="114" t="str">
        <x:f>IF(COUNTA($A453:$M453)=0,"",IF(OR(LOWER($F453&amp;"")="subscription",LOWER($F453&amp;"")="membership"),"",IF($G453="","",IF(ISNUMBER(SEARCH("non",LOWER($E453&amp;""))),$G453*0.85,$G453))))</x:f>
      </x:c>
      <x:c r="O453" s="114" t="str">
        <x:f>IF(COUNTA($A453:$M453)=0,"",IF(OR(LOWER($F453&amp;"")="subscription",LOWER($F453&amp;"")="membership"),"",IF(OR($N453="",$I453="",$I453=0),"",IFERROR($N453/$I453,""))))</x:f>
      </x:c>
      <x:c r="P453" s="114" t="str">
        <x:f>IF(COUNTA($A453:$M453)=0,"",IF(OR(LOWER($F453&amp;"")="subscription",LOWER($F453&amp;"")="membership"),"",IF(LOWER($L453&amp;"")="yes",0,IF($K453&lt;&gt;"",$K453,IF($O453&lt;&gt;"",$O453,"")))))</x:f>
      </x:c>
      <x:c r="Q453" s="114" t="str">
        <x:f>IF(COUNTA($A453:$M453)=0,"",IF(OR($U453="Subscription",$U453=""),"",IF($U453="Profit",ROUND(IFERROR($P453,0)-IFERROR($H453,0),2),0)))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IF(COUNTA($A453:$M453)=0,"",IF(OR(LOWER($F453&amp;"")="subscription",LOWER($F453&amp;"")="membership"),"Subscription",IF(OR(AND($H453&lt;&gt;"",$H453=0),LOWER($F453&amp;"")="free game",LOWER($F453&amp;"")="free",LOWER($F453&amp;"")="free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IF(COUNTA($A453:$M453)=0,"",IF(OR($U453="Subscription",$U453=""),"",IF(OR($U453="Free Game",$U453="Disqualified — Free Game"),0,ROUND(IFERROR($Q453,0)-IFERROR($S453,0),2))))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455"/>
      <x:c r="H454" s="455"/>
      <x:c r="I454" s="456"/>
      <x:c r="J454" s="456"/>
      <x:c r="K454" s="455"/>
      <x:c r="L454" s="454"/>
      <x:c r="M454" s="439"/>
      <x:c r="N454" s="114" t="str">
        <x:f>IF(COUNTA($A454:$M454)=0,"",IF(OR(LOWER($F454&amp;"")="subscription",LOWER($F454&amp;"")="membership"),"",IF($G454="","",IF(ISNUMBER(SEARCH("non",LOWER($E454&amp;""))),$G454*0.85,$G454))))</x:f>
      </x:c>
      <x:c r="O454" s="114" t="str">
        <x:f>IF(COUNTA($A454:$M454)=0,"",IF(OR(LOWER($F454&amp;"")="subscription",LOWER($F454&amp;"")="membership"),"",IF(OR($N454="",$I454="",$I454=0),"",IFERROR($N454/$I454,""))))</x:f>
      </x:c>
      <x:c r="P454" s="114" t="str">
        <x:f>IF(COUNTA($A454:$M454)=0,"",IF(OR(LOWER($F454&amp;"")="subscription",LOWER($F454&amp;"")="membership"),"",IF(LOWER($L454&amp;"")="yes",0,IF($K454&lt;&gt;"",$K454,IF($O454&lt;&gt;"",$O454,"")))))</x:f>
      </x:c>
      <x:c r="Q454" s="114" t="str">
        <x:f>IF(COUNTA($A454:$M454)=0,"",IF(OR($U454="Subscription",$U454=""),"",IF($U454="Profit",ROUND(IFERROR($P454,0)-IFERROR($H454,0),2),0)))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IF(COUNTA($A454:$M454)=0,"",IF(OR(LOWER($F454&amp;"")="subscription",LOWER($F454&amp;"")="membership"),"Subscription",IF(OR(AND($H454&lt;&gt;"",$H454=0),LOWER($F454&amp;"")="free game",LOWER($F454&amp;"")="free",LOWER($F454&amp;"")="free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IF(COUNTA($A454:$M454)=0,"",IF(OR($U454="Subscription",$U454=""),"",IF(OR($U454="Free Game",$U454="Disqualified — Free Game"),0,ROUND(IFERROR($Q454,0)-IFERROR($S454,0),2))))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455"/>
      <x:c r="H455" s="455"/>
      <x:c r="I455" s="456"/>
      <x:c r="J455" s="456"/>
      <x:c r="K455" s="455"/>
      <x:c r="L455" s="454"/>
      <x:c r="M455" s="439"/>
      <x:c r="N455" s="114" t="str">
        <x:f>IF(COUNTA($A455:$M455)=0,"",IF(OR(LOWER($F455&amp;"")="subscription",LOWER($F455&amp;"")="membership"),"",IF($G455="","",IF(ISNUMBER(SEARCH("non",LOWER($E455&amp;""))),$G455*0.85,$G455))))</x:f>
      </x:c>
      <x:c r="O455" s="114" t="str">
        <x:f>IF(COUNTA($A455:$M455)=0,"",IF(OR(LOWER($F455&amp;"")="subscription",LOWER($F455&amp;"")="membership"),"",IF(OR($N455="",$I455="",$I455=0),"",IFERROR($N455/$I455,""))))</x:f>
      </x:c>
      <x:c r="P455" s="114" t="str">
        <x:f>IF(COUNTA($A455:$M455)=0,"",IF(OR(LOWER($F455&amp;"")="subscription",LOWER($F455&amp;"")="membership"),"",IF(LOWER($L455&amp;"")="yes",0,IF($K455&lt;&gt;"",$K455,IF($O455&lt;&gt;"",$O455,"")))))</x:f>
      </x:c>
      <x:c r="Q455" s="114" t="str">
        <x:f>IF(COUNTA($A455:$M455)=0,"",IF(OR($U455="Subscription",$U455=""),"",IF($U455="Profit",ROUND(IFERROR($P455,0)-IFERROR($H455,0),2),0)))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IF(COUNTA($A455:$M455)=0,"",IF(OR(LOWER($F455&amp;"")="subscription",LOWER($F455&amp;"")="membership"),"Subscription",IF(OR(AND($H455&lt;&gt;"",$H455=0),LOWER($F455&amp;"")="free game",LOWER($F455&amp;"")="free",LOWER($F455&amp;"")="free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IF(COUNTA($A455:$M455)=0,"",IF(OR($U455="Subscription",$U455=""),"",IF(OR($U455="Free Game",$U455="Disqualified — Free Game"),0,ROUND(IFERROR($Q455,0)-IFERROR($S455,0),2))))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455"/>
      <x:c r="H456" s="455"/>
      <x:c r="I456" s="456"/>
      <x:c r="J456" s="456"/>
      <x:c r="K456" s="455"/>
      <x:c r="L456" s="454"/>
      <x:c r="M456" s="439"/>
      <x:c r="N456" s="114" t="str">
        <x:f>IF(COUNTA($A456:$M456)=0,"",IF(OR(LOWER($F456&amp;"")="subscription",LOWER($F456&amp;"")="membership"),"",IF($G456="","",IF(ISNUMBER(SEARCH("non",LOWER($E456&amp;""))),$G456*0.85,$G456))))</x:f>
      </x:c>
      <x:c r="O456" s="114" t="str">
        <x:f>IF(COUNTA($A456:$M456)=0,"",IF(OR(LOWER($F456&amp;"")="subscription",LOWER($F456&amp;"")="membership"),"",IF(OR($N456="",$I456="",$I456=0),"",IFERROR($N456/$I456,""))))</x:f>
      </x:c>
      <x:c r="P456" s="114" t="str">
        <x:f>IF(COUNTA($A456:$M456)=0,"",IF(OR(LOWER($F456&amp;"")="subscription",LOWER($F456&amp;"")="membership"),"",IF(LOWER($L456&amp;"")="yes",0,IF($K456&lt;&gt;"",$K456,IF($O456&lt;&gt;"",$O456,"")))))</x:f>
      </x:c>
      <x:c r="Q456" s="114" t="str">
        <x:f>IF(COUNTA($A456:$M456)=0,"",IF(OR($U456="Subscription",$U456=""),"",IF($U456="Profit",ROUND(IFERROR($P456,0)-IFERROR($H456,0),2),0)))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IF(COUNTA($A456:$M456)=0,"",IF(OR(LOWER($F456&amp;"")="subscription",LOWER($F456&amp;"")="membership"),"Subscription",IF(OR(AND($H456&lt;&gt;"",$H456=0),LOWER($F456&amp;"")="free game",LOWER($F456&amp;"")="free",LOWER($F456&amp;"")="free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IF(COUNTA($A456:$M456)=0,"",IF(OR($U456="Subscription",$U456=""),"",IF(OR($U456="Free Game",$U456="Disqualified — Free Game"),0,ROUND(IFERROR($Q456,0)-IFERROR($S456,0),2))))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455"/>
      <x:c r="H457" s="455"/>
      <x:c r="I457" s="456"/>
      <x:c r="J457" s="456"/>
      <x:c r="K457" s="455"/>
      <x:c r="L457" s="454"/>
      <x:c r="M457" s="439"/>
      <x:c r="N457" s="114" t="str">
        <x:f>IF(COUNTA($A457:$M457)=0,"",IF(OR(LOWER($F457&amp;"")="subscription",LOWER($F457&amp;"")="membership"),"",IF($G457="","",IF(ISNUMBER(SEARCH("non",LOWER($E457&amp;""))),$G457*0.85,$G457))))</x:f>
      </x:c>
      <x:c r="O457" s="114" t="str">
        <x:f>IF(COUNTA($A457:$M457)=0,"",IF(OR(LOWER($F457&amp;"")="subscription",LOWER($F457&amp;"")="membership"),"",IF(OR($N457="",$I457="",$I457=0),"",IFERROR($N457/$I457,""))))</x:f>
      </x:c>
      <x:c r="P457" s="114" t="str">
        <x:f>IF(COUNTA($A457:$M457)=0,"",IF(OR(LOWER($F457&amp;"")="subscription",LOWER($F457&amp;"")="membership"),"",IF(LOWER($L457&amp;"")="yes",0,IF($K457&lt;&gt;"",$K457,IF($O457&lt;&gt;"",$O457,"")))))</x:f>
      </x:c>
      <x:c r="Q457" s="114" t="str">
        <x:f>IF(COUNTA($A457:$M457)=0,"",IF(OR($U457="Subscription",$U457=""),"",IF($U457="Profit",ROUND(IFERROR($P457,0)-IFERROR($H457,0),2),0)))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IF(COUNTA($A457:$M457)=0,"",IF(OR(LOWER($F457&amp;"")="subscription",LOWER($F457&amp;"")="membership"),"Subscription",IF(OR(AND($H457&lt;&gt;"",$H457=0),LOWER($F457&amp;"")="free game",LOWER($F457&amp;"")="free",LOWER($F457&amp;"")="free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IF(COUNTA($A457:$M457)=0,"",IF(OR($U457="Subscription",$U457=""),"",IF(OR($U457="Free Game",$U457="Disqualified — Free Game"),0,ROUND(IFERROR($Q457,0)-IFERROR($S457,0),2))))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455"/>
      <x:c r="H458" s="455"/>
      <x:c r="I458" s="456"/>
      <x:c r="J458" s="456"/>
      <x:c r="K458" s="455"/>
      <x:c r="L458" s="454"/>
      <x:c r="M458" s="439"/>
      <x:c r="N458" s="114" t="str">
        <x:f>IF(COUNTA($A458:$M458)=0,"",IF(OR(LOWER($F458&amp;"")="subscription",LOWER($F458&amp;"")="membership"),"",IF($G458="","",IF(ISNUMBER(SEARCH("non",LOWER($E458&amp;""))),$G458*0.85,$G458))))</x:f>
      </x:c>
      <x:c r="O458" s="114" t="str">
        <x:f>IF(COUNTA($A458:$M458)=0,"",IF(OR(LOWER($F458&amp;"")="subscription",LOWER($F458&amp;"")="membership"),"",IF(OR($N458="",$I458="",$I458=0),"",IFERROR($N458/$I458,""))))</x:f>
      </x:c>
      <x:c r="P458" s="114" t="str">
        <x:f>IF(COUNTA($A458:$M458)=0,"",IF(OR(LOWER($F458&amp;"")="subscription",LOWER($F458&amp;"")="membership"),"",IF(LOWER($L458&amp;"")="yes",0,IF($K458&lt;&gt;"",$K458,IF($O458&lt;&gt;"",$O458,"")))))</x:f>
      </x:c>
      <x:c r="Q458" s="114" t="str">
        <x:f>IF(COUNTA($A458:$M458)=0,"",IF(OR($U458="Subscription",$U458=""),"",IF($U458="Profit",ROUND(IFERROR($P458,0)-IFERROR($H458,0),2),0)))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IF(COUNTA($A458:$M458)=0,"",IF(OR(LOWER($F458&amp;"")="subscription",LOWER($F458&amp;"")="membership"),"Subscription",IF(OR(AND($H458&lt;&gt;"",$H458=0),LOWER($F458&amp;"")="free game",LOWER($F458&amp;"")="free",LOWER($F458&amp;"")="free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IF(COUNTA($A458:$M458)=0,"",IF(OR($U458="Subscription",$U458=""),"",IF(OR($U458="Free Game",$U458="Disqualified — Free Game"),0,ROUND(IFERROR($Q458,0)-IFERROR($S458,0),2))))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455"/>
      <x:c r="H459" s="455"/>
      <x:c r="I459" s="456"/>
      <x:c r="J459" s="456"/>
      <x:c r="K459" s="455"/>
      <x:c r="L459" s="454"/>
      <x:c r="M459" s="439"/>
      <x:c r="N459" s="114" t="str">
        <x:f>IF(COUNTA($A459:$M459)=0,"",IF(OR(LOWER($F459&amp;"")="subscription",LOWER($F459&amp;"")="membership"),"",IF($G459="","",IF(ISNUMBER(SEARCH("non",LOWER($E459&amp;""))),$G459*0.85,$G459))))</x:f>
      </x:c>
      <x:c r="O459" s="114" t="str">
        <x:f>IF(COUNTA($A459:$M459)=0,"",IF(OR(LOWER($F459&amp;"")="subscription",LOWER($F459&amp;"")="membership"),"",IF(OR($N459="",$I459="",$I459=0),"",IFERROR($N459/$I459,""))))</x:f>
      </x:c>
      <x:c r="P459" s="114" t="str">
        <x:f>IF(COUNTA($A459:$M459)=0,"",IF(OR(LOWER($F459&amp;"")="subscription",LOWER($F459&amp;"")="membership"),"",IF(LOWER($L459&amp;"")="yes",0,IF($K459&lt;&gt;"",$K459,IF($O459&lt;&gt;"",$O459,"")))))</x:f>
      </x:c>
      <x:c r="Q459" s="114" t="str">
        <x:f>IF(COUNTA($A459:$M459)=0,"",IF(OR($U459="Subscription",$U459=""),"",IF($U459="Profit",ROUND(IFERROR($P459,0)-IFERROR($H459,0),2),0)))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IF(COUNTA($A459:$M459)=0,"",IF(OR(LOWER($F459&amp;"")="subscription",LOWER($F459&amp;"")="membership"),"Subscription",IF(OR(AND($H459&lt;&gt;"",$H459=0),LOWER($F459&amp;"")="free game",LOWER($F459&amp;"")="free",LOWER($F459&amp;"")="free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IF(COUNTA($A459:$M459)=0,"",IF(OR($U459="Subscription",$U459=""),"",IF(OR($U459="Free Game",$U459="Disqualified — Free Game"),0,ROUND(IFERROR($Q459,0)-IFERROR($S459,0),2))))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455"/>
      <x:c r="H460" s="455"/>
      <x:c r="I460" s="456"/>
      <x:c r="J460" s="456"/>
      <x:c r="K460" s="455"/>
      <x:c r="L460" s="454"/>
      <x:c r="M460" s="439"/>
      <x:c r="N460" s="114" t="str">
        <x:f>IF(COUNTA($A460:$M460)=0,"",IF(OR(LOWER($F460&amp;"")="subscription",LOWER($F460&amp;"")="membership"),"",IF($G460="","",IF(ISNUMBER(SEARCH("non",LOWER($E460&amp;""))),$G460*0.85,$G460))))</x:f>
      </x:c>
      <x:c r="O460" s="114" t="str">
        <x:f>IF(COUNTA($A460:$M460)=0,"",IF(OR(LOWER($F460&amp;"")="subscription",LOWER($F460&amp;"")="membership"),"",IF(OR($N460="",$I460="",$I460=0),"",IFERROR($N460/$I460,""))))</x:f>
      </x:c>
      <x:c r="P460" s="114" t="str">
        <x:f>IF(COUNTA($A460:$M460)=0,"",IF(OR(LOWER($F460&amp;"")="subscription",LOWER($F460&amp;"")="membership"),"",IF(LOWER($L460&amp;"")="yes",0,IF($K460&lt;&gt;"",$K460,IF($O460&lt;&gt;"",$O460,"")))))</x:f>
      </x:c>
      <x:c r="Q460" s="114" t="str">
        <x:f>IF(COUNTA($A460:$M460)=0,"",IF(OR($U460="Subscription",$U460=""),"",IF($U460="Profit",ROUND(IFERROR($P460,0)-IFERROR($H460,0),2),0)))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IF(COUNTA($A460:$M460)=0,"",IF(OR(LOWER($F460&amp;"")="subscription",LOWER($F460&amp;"")="membership"),"Subscription",IF(OR(AND($H460&lt;&gt;"",$H460=0),LOWER($F460&amp;"")="free game",LOWER($F460&amp;"")="free",LOWER($F460&amp;"")="free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IF(COUNTA($A460:$M460)=0,"",IF(OR($U460="Subscription",$U460=""),"",IF(OR($U460="Free Game",$U460="Disqualified — Free Game"),0,ROUND(IFERROR($Q460,0)-IFERROR($S460,0),2))))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455"/>
      <x:c r="H461" s="455"/>
      <x:c r="I461" s="456"/>
      <x:c r="J461" s="456"/>
      <x:c r="K461" s="455"/>
      <x:c r="L461" s="454"/>
      <x:c r="M461" s="439"/>
      <x:c r="N461" s="114" t="str">
        <x:f>IF(COUNTA($A461:$M461)=0,"",IF(OR(LOWER($F461&amp;"")="subscription",LOWER($F461&amp;"")="membership"),"",IF($G461="","",IF(ISNUMBER(SEARCH("non",LOWER($E461&amp;""))),$G461*0.85,$G461))))</x:f>
      </x:c>
      <x:c r="O461" s="114" t="str">
        <x:f>IF(COUNTA($A461:$M461)=0,"",IF(OR(LOWER($F461&amp;"")="subscription",LOWER($F461&amp;"")="membership"),"",IF(OR($N461="",$I461="",$I461=0),"",IFERROR($N461/$I461,""))))</x:f>
      </x:c>
      <x:c r="P461" s="114" t="str">
        <x:f>IF(COUNTA($A461:$M461)=0,"",IF(OR(LOWER($F461&amp;"")="subscription",LOWER($F461&amp;"")="membership"),"",IF(LOWER($L461&amp;"")="yes",0,IF($K461&lt;&gt;"",$K461,IF($O461&lt;&gt;"",$O461,"")))))</x:f>
      </x:c>
      <x:c r="Q461" s="114" t="str">
        <x:f>IF(COUNTA($A461:$M461)=0,"",IF(OR($U461="Subscription",$U461=""),"",IF($U461="Profit",ROUND(IFERROR($P461,0)-IFERROR($H461,0),2),0)))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IF(COUNTA($A461:$M461)=0,"",IF(OR(LOWER($F461&amp;"")="subscription",LOWER($F461&amp;"")="membership"),"Subscription",IF(OR(AND($H461&lt;&gt;"",$H461=0),LOWER($F461&amp;"")="free game",LOWER($F461&amp;"")="free",LOWER($F461&amp;"")="free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IF(COUNTA($A461:$M461)=0,"",IF(OR($U461="Subscription",$U461=""),"",IF(OR($U461="Free Game",$U461="Disqualified — Free Game"),0,ROUND(IFERROR($Q461,0)-IFERROR($S461,0),2))))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455"/>
      <x:c r="H462" s="455"/>
      <x:c r="I462" s="456"/>
      <x:c r="J462" s="456"/>
      <x:c r="K462" s="455"/>
      <x:c r="L462" s="454"/>
      <x:c r="M462" s="439"/>
      <x:c r="N462" s="114" t="str">
        <x:f>IF(COUNTA($A462:$M462)=0,"",IF(OR(LOWER($F462&amp;"")="subscription",LOWER($F462&amp;"")="membership"),"",IF($G462="","",IF(ISNUMBER(SEARCH("non",LOWER($E462&amp;""))),$G462*0.85,$G462))))</x:f>
      </x:c>
      <x:c r="O462" s="114" t="str">
        <x:f>IF(COUNTA($A462:$M462)=0,"",IF(OR(LOWER($F462&amp;"")="subscription",LOWER($F462&amp;"")="membership"),"",IF(OR($N462="",$I462="",$I462=0),"",IFERROR($N462/$I462,""))))</x:f>
      </x:c>
      <x:c r="P462" s="114" t="str">
        <x:f>IF(COUNTA($A462:$M462)=0,"",IF(OR(LOWER($F462&amp;"")="subscription",LOWER($F462&amp;"")="membership"),"",IF(LOWER($L462&amp;"")="yes",0,IF($K462&lt;&gt;"",$K462,IF($O462&lt;&gt;"",$O462,"")))))</x:f>
      </x:c>
      <x:c r="Q462" s="114" t="str">
        <x:f>IF(COUNTA($A462:$M462)=0,"",IF(OR($U462="Subscription",$U462=""),"",IF($U462="Profit",ROUND(IFERROR($P462,0)-IFERROR($H462,0),2),0)))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IF(COUNTA($A462:$M462)=0,"",IF(OR(LOWER($F462&amp;"")="subscription",LOWER($F462&amp;"")="membership"),"Subscription",IF(OR(AND($H462&lt;&gt;"",$H462=0),LOWER($F462&amp;"")="free game",LOWER($F462&amp;"")="free",LOWER($F462&amp;"")="free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IF(COUNTA($A462:$M462)=0,"",IF(OR($U462="Subscription",$U462=""),"",IF(OR($U462="Free Game",$U462="Disqualified — Free Game"),0,ROUND(IFERROR($Q462,0)-IFERROR($S462,0),2))))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455"/>
      <x:c r="H463" s="455"/>
      <x:c r="I463" s="456"/>
      <x:c r="J463" s="456"/>
      <x:c r="K463" s="455"/>
      <x:c r="L463" s="454"/>
      <x:c r="M463" s="439"/>
      <x:c r="N463" s="114" t="str">
        <x:f>IF(COUNTA($A463:$M463)=0,"",IF(OR(LOWER($F463&amp;"")="subscription",LOWER($F463&amp;"")="membership"),"",IF($G463="","",IF(ISNUMBER(SEARCH("non",LOWER($E463&amp;""))),$G463*0.85,$G463))))</x:f>
      </x:c>
      <x:c r="O463" s="114" t="str">
        <x:f>IF(COUNTA($A463:$M463)=0,"",IF(OR(LOWER($F463&amp;"")="subscription",LOWER($F463&amp;"")="membership"),"",IF(OR($N463="",$I463="",$I463=0),"",IFERROR($N463/$I463,""))))</x:f>
      </x:c>
      <x:c r="P463" s="114" t="str">
        <x:f>IF(COUNTA($A463:$M463)=0,"",IF(OR(LOWER($F463&amp;"")="subscription",LOWER($F463&amp;"")="membership"),"",IF(LOWER($L463&amp;"")="yes",0,IF($K463&lt;&gt;"",$K463,IF($O463&lt;&gt;"",$O463,"")))))</x:f>
      </x:c>
      <x:c r="Q463" s="114" t="str">
        <x:f>IF(COUNTA($A463:$M463)=0,"",IF(OR($U463="Subscription",$U463=""),"",IF($U463="Profit",ROUND(IFERROR($P463,0)-IFERROR($H463,0),2),0)))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IF(COUNTA($A463:$M463)=0,"",IF(OR(LOWER($F463&amp;"")="subscription",LOWER($F463&amp;"")="membership"),"Subscription",IF(OR(AND($H463&lt;&gt;"",$H463=0),LOWER($F463&amp;"")="free game",LOWER($F463&amp;"")="free",LOWER($F463&amp;"")="free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IF(COUNTA($A463:$M463)=0,"",IF(OR($U463="Subscription",$U463=""),"",IF(OR($U463="Free Game",$U463="Disqualified — Free Game"),0,ROUND(IFERROR($Q463,0)-IFERROR($S463,0),2))))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455"/>
      <x:c r="H464" s="455"/>
      <x:c r="I464" s="456"/>
      <x:c r="J464" s="456"/>
      <x:c r="K464" s="455"/>
      <x:c r="L464" s="454"/>
      <x:c r="M464" s="439"/>
      <x:c r="N464" s="114" t="str">
        <x:f>IF(COUNTA($A464:$M464)=0,"",IF(OR(LOWER($F464&amp;"")="subscription",LOWER($F464&amp;"")="membership"),"",IF($G464="","",IF(ISNUMBER(SEARCH("non",LOWER($E464&amp;""))),$G464*0.85,$G464))))</x:f>
      </x:c>
      <x:c r="O464" s="114" t="str">
        <x:f>IF(COUNTA($A464:$M464)=0,"",IF(OR(LOWER($F464&amp;"")="subscription",LOWER($F464&amp;"")="membership"),"",IF(OR($N464="",$I464="",$I464=0),"",IFERROR($N464/$I464,""))))</x:f>
      </x:c>
      <x:c r="P464" s="114" t="str">
        <x:f>IF(COUNTA($A464:$M464)=0,"",IF(OR(LOWER($F464&amp;"")="subscription",LOWER($F464&amp;"")="membership"),"",IF(LOWER($L464&amp;"")="yes",0,IF($K464&lt;&gt;"",$K464,IF($O464&lt;&gt;"",$O464,"")))))</x:f>
      </x:c>
      <x:c r="Q464" s="114" t="str">
        <x:f>IF(COUNTA($A464:$M464)=0,"",IF(OR($U464="Subscription",$U464=""),"",IF($U464="Profit",ROUND(IFERROR($P464,0)-IFERROR($H464,0),2),0)))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IF(COUNTA($A464:$M464)=0,"",IF(OR(LOWER($F464&amp;"")="subscription",LOWER($F464&amp;"")="membership"),"Subscription",IF(OR(AND($H464&lt;&gt;"",$H464=0),LOWER($F464&amp;"")="free game",LOWER($F464&amp;"")="free",LOWER($F464&amp;"")="free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IF(COUNTA($A464:$M464)=0,"",IF(OR($U464="Subscription",$U464=""),"",IF(OR($U464="Free Game",$U464="Disqualified — Free Game"),0,ROUND(IFERROR($Q464,0)-IFERROR($S464,0),2))))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455"/>
      <x:c r="H465" s="455"/>
      <x:c r="I465" s="456"/>
      <x:c r="J465" s="456"/>
      <x:c r="K465" s="455"/>
      <x:c r="L465" s="454"/>
      <x:c r="M465" s="439"/>
      <x:c r="N465" s="114" t="str">
        <x:f>IF(COUNTA($A465:$M465)=0,"",IF(OR(LOWER($F465&amp;"")="subscription",LOWER($F465&amp;"")="membership"),"",IF($G465="","",IF(ISNUMBER(SEARCH("non",LOWER($E465&amp;""))),$G465*0.85,$G465))))</x:f>
      </x:c>
      <x:c r="O465" s="114" t="str">
        <x:f>IF(COUNTA($A465:$M465)=0,"",IF(OR(LOWER($F465&amp;"")="subscription",LOWER($F465&amp;"")="membership"),"",IF(OR($N465="",$I465="",$I465=0),"",IFERROR($N465/$I465,""))))</x:f>
      </x:c>
      <x:c r="P465" s="114" t="str">
        <x:f>IF(COUNTA($A465:$M465)=0,"",IF(OR(LOWER($F465&amp;"")="subscription",LOWER($F465&amp;"")="membership"),"",IF(LOWER($L465&amp;"")="yes",0,IF($K465&lt;&gt;"",$K465,IF($O465&lt;&gt;"",$O465,"")))))</x:f>
      </x:c>
      <x:c r="Q465" s="114" t="str">
        <x:f>IF(COUNTA($A465:$M465)=0,"",IF(OR($U465="Subscription",$U465=""),"",IF($U465="Profit",ROUND(IFERROR($P465,0)-IFERROR($H465,0),2),0)))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IF(COUNTA($A465:$M465)=0,"",IF(OR(LOWER($F465&amp;"")="subscription",LOWER($F465&amp;"")="membership"),"Subscription",IF(OR(AND($H465&lt;&gt;"",$H465=0),LOWER($F465&amp;"")="free game",LOWER($F465&amp;"")="free",LOWER($F465&amp;"")="free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IF(COUNTA($A465:$M465)=0,"",IF(OR($U465="Subscription",$U465=""),"",IF(OR($U465="Free Game",$U465="Disqualified — Free Game"),0,ROUND(IFERROR($Q465,0)-IFERROR($S465,0),2))))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455"/>
      <x:c r="H466" s="455"/>
      <x:c r="I466" s="456"/>
      <x:c r="J466" s="456"/>
      <x:c r="K466" s="455"/>
      <x:c r="L466" s="454"/>
      <x:c r="M466" s="439"/>
      <x:c r="N466" s="114" t="str">
        <x:f>IF(COUNTA($A466:$M466)=0,"",IF(OR(LOWER($F466&amp;"")="subscription",LOWER($F466&amp;"")="membership"),"",IF($G466="","",IF(ISNUMBER(SEARCH("non",LOWER($E466&amp;""))),$G466*0.85,$G466))))</x:f>
      </x:c>
      <x:c r="O466" s="114" t="str">
        <x:f>IF(COUNTA($A466:$M466)=0,"",IF(OR(LOWER($F466&amp;"")="subscription",LOWER($F466&amp;"")="membership"),"",IF(OR($N466="",$I466="",$I466=0),"",IFERROR($N466/$I466,""))))</x:f>
      </x:c>
      <x:c r="P466" s="114" t="str">
        <x:f>IF(COUNTA($A466:$M466)=0,"",IF(OR(LOWER($F466&amp;"")="subscription",LOWER($F466&amp;"")="membership"),"",IF(LOWER($L466&amp;"")="yes",0,IF($K466&lt;&gt;"",$K466,IF($O466&lt;&gt;"",$O466,"")))))</x:f>
      </x:c>
      <x:c r="Q466" s="114" t="str">
        <x:f>IF(COUNTA($A466:$M466)=0,"",IF(OR($U466="Subscription",$U466=""),"",IF($U466="Profit",ROUND(IFERROR($P466,0)-IFERROR($H466,0),2),0)))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IF(COUNTA($A466:$M466)=0,"",IF(OR(LOWER($F466&amp;"")="subscription",LOWER($F466&amp;"")="membership"),"Subscription",IF(OR(AND($H466&lt;&gt;"",$H466=0),LOWER($F466&amp;"")="free game",LOWER($F466&amp;"")="free",LOWER($F466&amp;"")="free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IF(COUNTA($A466:$M466)=0,"",IF(OR($U466="Subscription",$U466=""),"",IF(OR($U466="Free Game",$U466="Disqualified — Free Game"),0,ROUND(IFERROR($Q466,0)-IFERROR($S466,0),2))))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455"/>
      <x:c r="H467" s="455"/>
      <x:c r="I467" s="456"/>
      <x:c r="J467" s="456"/>
      <x:c r="K467" s="455"/>
      <x:c r="L467" s="454"/>
      <x:c r="M467" s="439"/>
      <x:c r="N467" s="114" t="str">
        <x:f>IF(COUNTA($A467:$M467)=0,"",IF(OR(LOWER($F467&amp;"")="subscription",LOWER($F467&amp;"")="membership"),"",IF($G467="","",IF(ISNUMBER(SEARCH("non",LOWER($E467&amp;""))),$G467*0.85,$G467))))</x:f>
      </x:c>
      <x:c r="O467" s="114" t="str">
        <x:f>IF(COUNTA($A467:$M467)=0,"",IF(OR(LOWER($F467&amp;"")="subscription",LOWER($F467&amp;"")="membership"),"",IF(OR($N467="",$I467="",$I467=0),"",IFERROR($N467/$I467,""))))</x:f>
      </x:c>
      <x:c r="P467" s="114" t="str">
        <x:f>IF(COUNTA($A467:$M467)=0,"",IF(OR(LOWER($F467&amp;"")="subscription",LOWER($F467&amp;"")="membership"),"",IF(LOWER($L467&amp;"")="yes",0,IF($K467&lt;&gt;"",$K467,IF($O467&lt;&gt;"",$O467,"")))))</x:f>
      </x:c>
      <x:c r="Q467" s="114" t="str">
        <x:f>IF(COUNTA($A467:$M467)=0,"",IF(OR($U467="Subscription",$U467=""),"",IF($U467="Profit",ROUND(IFERROR($P467,0)-IFERROR($H467,0),2),0)))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IF(COUNTA($A467:$M467)=0,"",IF(OR(LOWER($F467&amp;"")="subscription",LOWER($F467&amp;"")="membership"),"Subscription",IF(OR(AND($H467&lt;&gt;"",$H467=0),LOWER($F467&amp;"")="free game",LOWER($F467&amp;"")="free",LOWER($F467&amp;"")="free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IF(COUNTA($A467:$M467)=0,"",IF(OR($U467="Subscription",$U467=""),"",IF(OR($U467="Free Game",$U467="Disqualified — Free Game"),0,ROUND(IFERROR($Q467,0)-IFERROR($S467,0),2))))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455"/>
      <x:c r="H468" s="455"/>
      <x:c r="I468" s="456"/>
      <x:c r="J468" s="456"/>
      <x:c r="K468" s="455"/>
      <x:c r="L468" s="454"/>
      <x:c r="M468" s="439"/>
      <x:c r="N468" s="114" t="str">
        <x:f>IF(COUNTA($A468:$M468)=0,"",IF(OR(LOWER($F468&amp;"")="subscription",LOWER($F468&amp;"")="membership"),"",IF($G468="","",IF(ISNUMBER(SEARCH("non",LOWER($E468&amp;""))),$G468*0.85,$G468))))</x:f>
      </x:c>
      <x:c r="O468" s="114" t="str">
        <x:f>IF(COUNTA($A468:$M468)=0,"",IF(OR(LOWER($F468&amp;"")="subscription",LOWER($F468&amp;"")="membership"),"",IF(OR($N468="",$I468="",$I468=0),"",IFERROR($N468/$I468,""))))</x:f>
      </x:c>
      <x:c r="P468" s="114" t="str">
        <x:f>IF(COUNTA($A468:$M468)=0,"",IF(OR(LOWER($F468&amp;"")="subscription",LOWER($F468&amp;"")="membership"),"",IF(LOWER($L468&amp;"")="yes",0,IF($K468&lt;&gt;"",$K468,IF($O468&lt;&gt;"",$O468,"")))))</x:f>
      </x:c>
      <x:c r="Q468" s="114" t="str">
        <x:f>IF(COUNTA($A468:$M468)=0,"",IF(OR($U468="Subscription",$U468=""),"",IF($U468="Profit",ROUND(IFERROR($P468,0)-IFERROR($H468,0),2),0)))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IF(COUNTA($A468:$M468)=0,"",IF(OR(LOWER($F468&amp;"")="subscription",LOWER($F468&amp;"")="membership"),"Subscription",IF(OR(AND($H468&lt;&gt;"",$H468=0),LOWER($F468&amp;"")="free game",LOWER($F468&amp;"")="free",LOWER($F468&amp;"")="free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IF(COUNTA($A468:$M468)=0,"",IF(OR($U468="Subscription",$U468=""),"",IF(OR($U468="Free Game",$U468="Disqualified — Free Game"),0,ROUND(IFERROR($Q468,0)-IFERROR($S468,0),2))))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455"/>
      <x:c r="H469" s="455"/>
      <x:c r="I469" s="456"/>
      <x:c r="J469" s="456"/>
      <x:c r="K469" s="455"/>
      <x:c r="L469" s="454"/>
      <x:c r="M469" s="439"/>
      <x:c r="N469" s="114" t="str">
        <x:f>IF(COUNTA($A469:$M469)=0,"",IF(OR(LOWER($F469&amp;"")="subscription",LOWER($F469&amp;"")="membership"),"",IF($G469="","",IF(ISNUMBER(SEARCH("non",LOWER($E469&amp;""))),$G469*0.85,$G469))))</x:f>
      </x:c>
      <x:c r="O469" s="114" t="str">
        <x:f>IF(COUNTA($A469:$M469)=0,"",IF(OR(LOWER($F469&amp;"")="subscription",LOWER($F469&amp;"")="membership"),"",IF(OR($N469="",$I469="",$I469=0),"",IFERROR($N469/$I469,""))))</x:f>
      </x:c>
      <x:c r="P469" s="114" t="str">
        <x:f>IF(COUNTA($A469:$M469)=0,"",IF(OR(LOWER($F469&amp;"")="subscription",LOWER($F469&amp;"")="membership"),"",IF(LOWER($L469&amp;"")="yes",0,IF($K469&lt;&gt;"",$K469,IF($O469&lt;&gt;"",$O469,"")))))</x:f>
      </x:c>
      <x:c r="Q469" s="114" t="str">
        <x:f>IF(COUNTA($A469:$M469)=0,"",IF(OR($U469="Subscription",$U469=""),"",IF($U469="Profit",ROUND(IFERROR($P469,0)-IFERROR($H469,0),2),0)))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IF(COUNTA($A469:$M469)=0,"",IF(OR(LOWER($F469&amp;"")="subscription",LOWER($F469&amp;"")="membership"),"Subscription",IF(OR(AND($H469&lt;&gt;"",$H469=0),LOWER($F469&amp;"")="free game",LOWER($F469&amp;"")="free",LOWER($F469&amp;"")="free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IF(COUNTA($A469:$M469)=0,"",IF(OR($U469="Subscription",$U469=""),"",IF(OR($U469="Free Game",$U469="Disqualified — Free Game"),0,ROUND(IFERROR($Q469,0)-IFERROR($S469,0),2))))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455"/>
      <x:c r="H470" s="455"/>
      <x:c r="I470" s="456"/>
      <x:c r="J470" s="456"/>
      <x:c r="K470" s="455"/>
      <x:c r="L470" s="454"/>
      <x:c r="M470" s="439"/>
      <x:c r="N470" s="114" t="str">
        <x:f>IF(COUNTA($A470:$M470)=0,"",IF(OR(LOWER($F470&amp;"")="subscription",LOWER($F470&amp;"")="membership"),"",IF($G470="","",IF(ISNUMBER(SEARCH("non",LOWER($E470&amp;""))),$G470*0.85,$G470))))</x:f>
      </x:c>
      <x:c r="O470" s="114" t="str">
        <x:f>IF(COUNTA($A470:$M470)=0,"",IF(OR(LOWER($F470&amp;"")="subscription",LOWER($F470&amp;"")="membership"),"",IF(OR($N470="",$I470="",$I470=0),"",IFERROR($N470/$I470,""))))</x:f>
      </x:c>
      <x:c r="P470" s="114" t="str">
        <x:f>IF(COUNTA($A470:$M470)=0,"",IF(OR(LOWER($F470&amp;"")="subscription",LOWER($F470&amp;"")="membership"),"",IF(LOWER($L470&amp;"")="yes",0,IF($K470&lt;&gt;"",$K470,IF($O470&lt;&gt;"",$O470,"")))))</x:f>
      </x:c>
      <x:c r="Q470" s="114" t="str">
        <x:f>IF(COUNTA($A470:$M470)=0,"",IF(OR($U470="Subscription",$U470=""),"",IF($U470="Profit",ROUND(IFERROR($P470,0)-IFERROR($H470,0),2),0)))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IF(COUNTA($A470:$M470)=0,"",IF(OR(LOWER($F470&amp;"")="subscription",LOWER($F470&amp;"")="membership"),"Subscription",IF(OR(AND($H470&lt;&gt;"",$H470=0),LOWER($F470&amp;"")="free game",LOWER($F470&amp;"")="free",LOWER($F470&amp;"")="free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IF(COUNTA($A470:$M470)=0,"",IF(OR($U470="Subscription",$U470=""),"",IF(OR($U470="Free Game",$U470="Disqualified — Free Game"),0,ROUND(IFERROR($Q470,0)-IFERROR($S470,0),2))))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455"/>
      <x:c r="H471" s="455"/>
      <x:c r="I471" s="456"/>
      <x:c r="J471" s="456"/>
      <x:c r="K471" s="455"/>
      <x:c r="L471" s="454"/>
      <x:c r="M471" s="439"/>
      <x:c r="N471" s="114" t="str">
        <x:f>IF(COUNTA($A471:$M471)=0,"",IF(OR(LOWER($F471&amp;"")="subscription",LOWER($F471&amp;"")="membership"),"",IF($G471="","",IF(ISNUMBER(SEARCH("non",LOWER($E471&amp;""))),$G471*0.85,$G471))))</x:f>
      </x:c>
      <x:c r="O471" s="114" t="str">
        <x:f>IF(COUNTA($A471:$M471)=0,"",IF(OR(LOWER($F471&amp;"")="subscription",LOWER($F471&amp;"")="membership"),"",IF(OR($N471="",$I471="",$I471=0),"",IFERROR($N471/$I471,""))))</x:f>
      </x:c>
      <x:c r="P471" s="114" t="str">
        <x:f>IF(COUNTA($A471:$M471)=0,"",IF(OR(LOWER($F471&amp;"")="subscription",LOWER($F471&amp;"")="membership"),"",IF(LOWER($L471&amp;"")="yes",0,IF($K471&lt;&gt;"",$K471,IF($O471&lt;&gt;"",$O471,"")))))</x:f>
      </x:c>
      <x:c r="Q471" s="114" t="str">
        <x:f>IF(COUNTA($A471:$M471)=0,"",IF(OR($U471="Subscription",$U471=""),"",IF($U471="Profit",ROUND(IFERROR($P471,0)-IFERROR($H471,0),2),0)))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IF(COUNTA($A471:$M471)=0,"",IF(OR(LOWER($F471&amp;"")="subscription",LOWER($F471&amp;"")="membership"),"Subscription",IF(OR(AND($H471&lt;&gt;"",$H471=0),LOWER($F471&amp;"")="free game",LOWER($F471&amp;"")="free",LOWER($F471&amp;"")="free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IF(COUNTA($A471:$M471)=0,"",IF(OR($U471="Subscription",$U471=""),"",IF(OR($U471="Free Game",$U471="Disqualified — Free Game"),0,ROUND(IFERROR($Q471,0)-IFERROR($S471,0),2))))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455"/>
      <x:c r="H472" s="455"/>
      <x:c r="I472" s="456"/>
      <x:c r="J472" s="456"/>
      <x:c r="K472" s="455"/>
      <x:c r="L472" s="454"/>
      <x:c r="M472" s="439"/>
      <x:c r="N472" s="114" t="str">
        <x:f>IF(COUNTA($A472:$M472)=0,"",IF(OR(LOWER($F472&amp;"")="subscription",LOWER($F472&amp;"")="membership"),"",IF($G472="","",IF(ISNUMBER(SEARCH("non",LOWER($E472&amp;""))),$G472*0.85,$G472))))</x:f>
      </x:c>
      <x:c r="O472" s="114" t="str">
        <x:f>IF(COUNTA($A472:$M472)=0,"",IF(OR(LOWER($F472&amp;"")="subscription",LOWER($F472&amp;"")="membership"),"",IF(OR($N472="",$I472="",$I472=0),"",IFERROR($N472/$I472,""))))</x:f>
      </x:c>
      <x:c r="P472" s="114" t="str">
        <x:f>IF(COUNTA($A472:$M472)=0,"",IF(OR(LOWER($F472&amp;"")="subscription",LOWER($F472&amp;"")="membership"),"",IF(LOWER($L472&amp;"")="yes",0,IF($K472&lt;&gt;"",$K472,IF($O472&lt;&gt;"",$O472,"")))))</x:f>
      </x:c>
      <x:c r="Q472" s="114" t="str">
        <x:f>IF(COUNTA($A472:$M472)=0,"",IF(OR($U472="Subscription",$U472=""),"",IF($U472="Profit",ROUND(IFERROR($P472,0)-IFERROR($H472,0),2),0)))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IF(COUNTA($A472:$M472)=0,"",IF(OR(LOWER($F472&amp;"")="subscription",LOWER($F472&amp;"")="membership"),"Subscription",IF(OR(AND($H472&lt;&gt;"",$H472=0),LOWER($F472&amp;"")="free game",LOWER($F472&amp;"")="free",LOWER($F472&amp;"")="free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IF(COUNTA($A472:$M472)=0,"",IF(OR($U472="Subscription",$U472=""),"",IF(OR($U472="Free Game",$U472="Disqualified — Free Game"),0,ROUND(IFERROR($Q472,0)-IFERROR($S472,0),2))))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455"/>
      <x:c r="H473" s="455"/>
      <x:c r="I473" s="456"/>
      <x:c r="J473" s="456"/>
      <x:c r="K473" s="455"/>
      <x:c r="L473" s="454"/>
      <x:c r="M473" s="439"/>
      <x:c r="N473" s="114" t="str">
        <x:f>IF(COUNTA($A473:$M473)=0,"",IF(OR(LOWER($F473&amp;"")="subscription",LOWER($F473&amp;"")="membership"),"",IF($G473="","",IF(ISNUMBER(SEARCH("non",LOWER($E473&amp;""))),$G473*0.85,$G473))))</x:f>
      </x:c>
      <x:c r="O473" s="114" t="str">
        <x:f>IF(COUNTA($A473:$M473)=0,"",IF(OR(LOWER($F473&amp;"")="subscription",LOWER($F473&amp;"")="membership"),"",IF(OR($N473="",$I473="",$I473=0),"",IFERROR($N473/$I473,""))))</x:f>
      </x:c>
      <x:c r="P473" s="114" t="str">
        <x:f>IF(COUNTA($A473:$M473)=0,"",IF(OR(LOWER($F473&amp;"")="subscription",LOWER($F473&amp;"")="membership"),"",IF(LOWER($L473&amp;"")="yes",0,IF($K473&lt;&gt;"",$K473,IF($O473&lt;&gt;"",$O473,"")))))</x:f>
      </x:c>
      <x:c r="Q473" s="114" t="str">
        <x:f>IF(COUNTA($A473:$M473)=0,"",IF(OR($U473="Subscription",$U473=""),"",IF($U473="Profit",ROUND(IFERROR($P473,0)-IFERROR($H473,0),2),0)))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IF(COUNTA($A473:$M473)=0,"",IF(OR(LOWER($F473&amp;"")="subscription",LOWER($F473&amp;"")="membership"),"Subscription",IF(OR(AND($H473&lt;&gt;"",$H473=0),LOWER($F473&amp;"")="free game",LOWER($F473&amp;"")="free",LOWER($F473&amp;"")="free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IF(COUNTA($A473:$M473)=0,"",IF(OR($U473="Subscription",$U473=""),"",IF(OR($U473="Free Game",$U473="Disqualified — Free Game"),0,ROUND(IFERROR($Q473,0)-IFERROR($S473,0),2))))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455"/>
      <x:c r="H474" s="455"/>
      <x:c r="I474" s="456"/>
      <x:c r="J474" s="456"/>
      <x:c r="K474" s="455"/>
      <x:c r="L474" s="454"/>
      <x:c r="M474" s="439"/>
      <x:c r="N474" s="114" t="str">
        <x:f>IF(COUNTA($A474:$M474)=0,"",IF(OR(LOWER($F474&amp;"")="subscription",LOWER($F474&amp;"")="membership"),"",IF($G474="","",IF(ISNUMBER(SEARCH("non",LOWER($E474&amp;""))),$G474*0.85,$G474))))</x:f>
      </x:c>
      <x:c r="O474" s="114" t="str">
        <x:f>IF(COUNTA($A474:$M474)=0,"",IF(OR(LOWER($F474&amp;"")="subscription",LOWER($F474&amp;"")="membership"),"",IF(OR($N474="",$I474="",$I474=0),"",IFERROR($N474/$I474,""))))</x:f>
      </x:c>
      <x:c r="P474" s="114" t="str">
        <x:f>IF(COUNTA($A474:$M474)=0,"",IF(OR(LOWER($F474&amp;"")="subscription",LOWER($F474&amp;"")="membership"),"",IF(LOWER($L474&amp;"")="yes",0,IF($K474&lt;&gt;"",$K474,IF($O474&lt;&gt;"",$O474,"")))))</x:f>
      </x:c>
      <x:c r="Q474" s="114" t="str">
        <x:f>IF(COUNTA($A474:$M474)=0,"",IF(OR($U474="Subscription",$U474=""),"",IF($U474="Profit",ROUND(IFERROR($P474,0)-IFERROR($H474,0),2),0)))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IF(COUNTA($A474:$M474)=0,"",IF(OR(LOWER($F474&amp;"")="subscription",LOWER($F474&amp;"")="membership"),"Subscription",IF(OR(AND($H474&lt;&gt;"",$H474=0),LOWER($F474&amp;"")="free game",LOWER($F474&amp;"")="free",LOWER($F474&amp;"")="free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IF(COUNTA($A474:$M474)=0,"",IF(OR($U474="Subscription",$U474=""),"",IF(OR($U474="Free Game",$U474="Disqualified — Free Game"),0,ROUND(IFERROR($Q474,0)-IFERROR($S474,0),2))))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455"/>
      <x:c r="H475" s="455"/>
      <x:c r="I475" s="456"/>
      <x:c r="J475" s="456"/>
      <x:c r="K475" s="455"/>
      <x:c r="L475" s="454"/>
      <x:c r="M475" s="439"/>
      <x:c r="N475" s="114" t="str">
        <x:f>IF(COUNTA($A475:$M475)=0,"",IF(OR(LOWER($F475&amp;"")="subscription",LOWER($F475&amp;"")="membership"),"",IF($G475="","",IF(ISNUMBER(SEARCH("non",LOWER($E475&amp;""))),$G475*0.85,$G475))))</x:f>
      </x:c>
      <x:c r="O475" s="114" t="str">
        <x:f>IF(COUNTA($A475:$M475)=0,"",IF(OR(LOWER($F475&amp;"")="subscription",LOWER($F475&amp;"")="membership"),"",IF(OR($N475="",$I475="",$I475=0),"",IFERROR($N475/$I475,""))))</x:f>
      </x:c>
      <x:c r="P475" s="114" t="str">
        <x:f>IF(COUNTA($A475:$M475)=0,"",IF(OR(LOWER($F475&amp;"")="subscription",LOWER($F475&amp;"")="membership"),"",IF(LOWER($L475&amp;"")="yes",0,IF($K475&lt;&gt;"",$K475,IF($O475&lt;&gt;"",$O475,"")))))</x:f>
      </x:c>
      <x:c r="Q475" s="114" t="str">
        <x:f>IF(COUNTA($A475:$M475)=0,"",IF(OR($U475="Subscription",$U475=""),"",IF($U475="Profit",ROUND(IFERROR($P475,0)-IFERROR($H475,0),2),0)))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IF(COUNTA($A475:$M475)=0,"",IF(OR(LOWER($F475&amp;"")="subscription",LOWER($F475&amp;"")="membership"),"Subscription",IF(OR(AND($H475&lt;&gt;"",$H475=0),LOWER($F475&amp;"")="free game",LOWER($F475&amp;"")="free",LOWER($F475&amp;"")="free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IF(COUNTA($A475:$M475)=0,"",IF(OR($U475="Subscription",$U475=""),"",IF(OR($U475="Free Game",$U475="Disqualified — Free Game"),0,ROUND(IFERROR($Q475,0)-IFERROR($S475,0),2))))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455"/>
      <x:c r="H476" s="455"/>
      <x:c r="I476" s="456"/>
      <x:c r="J476" s="456"/>
      <x:c r="K476" s="455"/>
      <x:c r="L476" s="454"/>
      <x:c r="M476" s="439"/>
      <x:c r="N476" s="114" t="str">
        <x:f>IF(COUNTA($A476:$M476)=0,"",IF(OR(LOWER($F476&amp;"")="subscription",LOWER($F476&amp;"")="membership"),"",IF($G476="","",IF(ISNUMBER(SEARCH("non",LOWER($E476&amp;""))),$G476*0.85,$G476))))</x:f>
      </x:c>
      <x:c r="O476" s="114" t="str">
        <x:f>IF(COUNTA($A476:$M476)=0,"",IF(OR(LOWER($F476&amp;"")="subscription",LOWER($F476&amp;"")="membership"),"",IF(OR($N476="",$I476="",$I476=0),"",IFERROR($N476/$I476,""))))</x:f>
      </x:c>
      <x:c r="P476" s="114" t="str">
        <x:f>IF(COUNTA($A476:$M476)=0,"",IF(OR(LOWER($F476&amp;"")="subscription",LOWER($F476&amp;"")="membership"),"",IF(LOWER($L476&amp;"")="yes",0,IF($K476&lt;&gt;"",$K476,IF($O476&lt;&gt;"",$O476,"")))))</x:f>
      </x:c>
      <x:c r="Q476" s="114" t="str">
        <x:f>IF(COUNTA($A476:$M476)=0,"",IF(OR($U476="Subscription",$U476=""),"",IF($U476="Profit",ROUND(IFERROR($P476,0)-IFERROR($H476,0),2),0)))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IF(COUNTA($A476:$M476)=0,"",IF(OR(LOWER($F476&amp;"")="subscription",LOWER($F476&amp;"")="membership"),"Subscription",IF(OR(AND($H476&lt;&gt;"",$H476=0),LOWER($F476&amp;"")="free game",LOWER($F476&amp;"")="free",LOWER($F476&amp;"")="free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IF(COUNTA($A476:$M476)=0,"",IF(OR($U476="Subscription",$U476=""),"",IF(OR($U476="Free Game",$U476="Disqualified — Free Game"),0,ROUND(IFERROR($Q476,0)-IFERROR($S476,0),2))))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455"/>
      <x:c r="H477" s="455"/>
      <x:c r="I477" s="456"/>
      <x:c r="J477" s="456"/>
      <x:c r="K477" s="455"/>
      <x:c r="L477" s="454"/>
      <x:c r="M477" s="439"/>
      <x:c r="N477" s="114" t="str">
        <x:f>IF(COUNTA($A477:$M477)=0,"",IF(OR(LOWER($F477&amp;"")="subscription",LOWER($F477&amp;"")="membership"),"",IF($G477="","",IF(ISNUMBER(SEARCH("non",LOWER($E477&amp;""))),$G477*0.85,$G477))))</x:f>
      </x:c>
      <x:c r="O477" s="114" t="str">
        <x:f>IF(COUNTA($A477:$M477)=0,"",IF(OR(LOWER($F477&amp;"")="subscription",LOWER($F477&amp;"")="membership"),"",IF(OR($N477="",$I477="",$I477=0),"",IFERROR($N477/$I477,""))))</x:f>
      </x:c>
      <x:c r="P477" s="114" t="str">
        <x:f>IF(COUNTA($A477:$M477)=0,"",IF(OR(LOWER($F477&amp;"")="subscription",LOWER($F477&amp;"")="membership"),"",IF(LOWER($L477&amp;"")="yes",0,IF($K477&lt;&gt;"",$K477,IF($O477&lt;&gt;"",$O477,"")))))</x:f>
      </x:c>
      <x:c r="Q477" s="114" t="str">
        <x:f>IF(COUNTA($A477:$M477)=0,"",IF(OR($U477="Subscription",$U477=""),"",IF($U477="Profit",ROUND(IFERROR($P477,0)-IFERROR($H477,0),2),0)))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IF(COUNTA($A477:$M477)=0,"",IF(OR(LOWER($F477&amp;"")="subscription",LOWER($F477&amp;"")="membership"),"Subscription",IF(OR(AND($H477&lt;&gt;"",$H477=0),LOWER($F477&amp;"")="free game",LOWER($F477&amp;"")="free",LOWER($F477&amp;"")="free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IF(COUNTA($A477:$M477)=0,"",IF(OR($U477="Subscription",$U477=""),"",IF(OR($U477="Free Game",$U477="Disqualified — Free Game"),0,ROUND(IFERROR($Q477,0)-IFERROR($S477,0),2))))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455"/>
      <x:c r="H478" s="455"/>
      <x:c r="I478" s="456"/>
      <x:c r="J478" s="456"/>
      <x:c r="K478" s="455"/>
      <x:c r="L478" s="454"/>
      <x:c r="M478" s="439"/>
      <x:c r="N478" s="114" t="str">
        <x:f>IF(COUNTA($A478:$M478)=0,"",IF(OR(LOWER($F478&amp;"")="subscription",LOWER($F478&amp;"")="membership"),"",IF($G478="","",IF(ISNUMBER(SEARCH("non",LOWER($E478&amp;""))),$G478*0.85,$G478))))</x:f>
      </x:c>
      <x:c r="O478" s="114" t="str">
        <x:f>IF(COUNTA($A478:$M478)=0,"",IF(OR(LOWER($F478&amp;"")="subscription",LOWER($F478&amp;"")="membership"),"",IF(OR($N478="",$I478="",$I478=0),"",IFERROR($N478/$I478,""))))</x:f>
      </x:c>
      <x:c r="P478" s="114" t="str">
        <x:f>IF(COUNTA($A478:$M478)=0,"",IF(OR(LOWER($F478&amp;"")="subscription",LOWER($F478&amp;"")="membership"),"",IF(LOWER($L478&amp;"")="yes",0,IF($K478&lt;&gt;"",$K478,IF($O478&lt;&gt;"",$O478,"")))))</x:f>
      </x:c>
      <x:c r="Q478" s="114" t="str">
        <x:f>IF(COUNTA($A478:$M478)=0,"",IF(OR($U478="Subscription",$U478=""),"",IF($U478="Profit",ROUND(IFERROR($P478,0)-IFERROR($H478,0),2),0)))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IF(COUNTA($A478:$M478)=0,"",IF(OR(LOWER($F478&amp;"")="subscription",LOWER($F478&amp;"")="membership"),"Subscription",IF(OR(AND($H478&lt;&gt;"",$H478=0),LOWER($F478&amp;"")="free game",LOWER($F478&amp;"")="free",LOWER($F478&amp;"")="free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IF(COUNTA($A478:$M478)=0,"",IF(OR($U478="Subscription",$U478=""),"",IF(OR($U478="Free Game",$U478="Disqualified — Free Game"),0,ROUND(IFERROR($Q478,0)-IFERROR($S478,0),2))))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455"/>
      <x:c r="H479" s="455"/>
      <x:c r="I479" s="456"/>
      <x:c r="J479" s="456"/>
      <x:c r="K479" s="455"/>
      <x:c r="L479" s="454"/>
      <x:c r="M479" s="439"/>
      <x:c r="N479" s="114" t="str">
        <x:f>IF(COUNTA($A479:$M479)=0,"",IF(OR(LOWER($F479&amp;"")="subscription",LOWER($F479&amp;"")="membership"),"",IF($G479="","",IF(ISNUMBER(SEARCH("non",LOWER($E479&amp;""))),$G479*0.85,$G479))))</x:f>
      </x:c>
      <x:c r="O479" s="114" t="str">
        <x:f>IF(COUNTA($A479:$M479)=0,"",IF(OR(LOWER($F479&amp;"")="subscription",LOWER($F479&amp;"")="membership"),"",IF(OR($N479="",$I479="",$I479=0),"",IFERROR($N479/$I479,""))))</x:f>
      </x:c>
      <x:c r="P479" s="114" t="str">
        <x:f>IF(COUNTA($A479:$M479)=0,"",IF(OR(LOWER($F479&amp;"")="subscription",LOWER($F479&amp;"")="membership"),"",IF(LOWER($L479&amp;"")="yes",0,IF($K479&lt;&gt;"",$K479,IF($O479&lt;&gt;"",$O479,"")))))</x:f>
      </x:c>
      <x:c r="Q479" s="114" t="str">
        <x:f>IF(COUNTA($A479:$M479)=0,"",IF(OR($U479="Subscription",$U479=""),"",IF($U479="Profit",ROUND(IFERROR($P479,0)-IFERROR($H479,0),2),0)))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IF(COUNTA($A479:$M479)=0,"",IF(OR(LOWER($F479&amp;"")="subscription",LOWER($F479&amp;"")="membership"),"Subscription",IF(OR(AND($H479&lt;&gt;"",$H479=0),LOWER($F479&amp;"")="free game",LOWER($F479&amp;"")="free",LOWER($F479&amp;"")="free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IF(COUNTA($A479:$M479)=0,"",IF(OR($U479="Subscription",$U479=""),"",IF(OR($U479="Free Game",$U479="Disqualified — Free Game"),0,ROUND(IFERROR($Q479,0)-IFERROR($S479,0),2))))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455"/>
      <x:c r="H480" s="455"/>
      <x:c r="I480" s="456"/>
      <x:c r="J480" s="456"/>
      <x:c r="K480" s="455"/>
      <x:c r="L480" s="454"/>
      <x:c r="M480" s="439"/>
      <x:c r="N480" s="114" t="str">
        <x:f>IF(COUNTA($A480:$M480)=0,"",IF(OR(LOWER($F480&amp;"")="subscription",LOWER($F480&amp;"")="membership"),"",IF($G480="","",IF(ISNUMBER(SEARCH("non",LOWER($E480&amp;""))),$G480*0.85,$G480))))</x:f>
      </x:c>
      <x:c r="O480" s="114" t="str">
        <x:f>IF(COUNTA($A480:$M480)=0,"",IF(OR(LOWER($F480&amp;"")="subscription",LOWER($F480&amp;"")="membership"),"",IF(OR($N480="",$I480="",$I480=0),"",IFERROR($N480/$I480,""))))</x:f>
      </x:c>
      <x:c r="P480" s="114" t="str">
        <x:f>IF(COUNTA($A480:$M480)=0,"",IF(OR(LOWER($F480&amp;"")="subscription",LOWER($F480&amp;"")="membership"),"",IF(LOWER($L480&amp;"")="yes",0,IF($K480&lt;&gt;"",$K480,IF($O480&lt;&gt;"",$O480,"")))))</x:f>
      </x:c>
      <x:c r="Q480" s="114" t="str">
        <x:f>IF(COUNTA($A480:$M480)=0,"",IF(OR($U480="Subscription",$U480=""),"",IF($U480="Profit",ROUND(IFERROR($P480,0)-IFERROR($H480,0),2),0)))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IF(COUNTA($A480:$M480)=0,"",IF(OR(LOWER($F480&amp;"")="subscription",LOWER($F480&amp;"")="membership"),"Subscription",IF(OR(AND($H480&lt;&gt;"",$H480=0),LOWER($F480&amp;"")="free game",LOWER($F480&amp;"")="free",LOWER($F480&amp;"")="free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IF(COUNTA($A480:$M480)=0,"",IF(OR($U480="Subscription",$U480=""),"",IF(OR($U480="Free Game",$U480="Disqualified — Free Game"),0,ROUND(IFERROR($Q480,0)-IFERROR($S480,0),2))))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455"/>
      <x:c r="H481" s="455"/>
      <x:c r="I481" s="456"/>
      <x:c r="J481" s="456"/>
      <x:c r="K481" s="455"/>
      <x:c r="L481" s="454"/>
      <x:c r="M481" s="439"/>
      <x:c r="N481" s="114" t="str">
        <x:f>IF(COUNTA($A481:$M481)=0,"",IF(OR(LOWER($F481&amp;"")="subscription",LOWER($F481&amp;"")="membership"),"",IF($G481="","",IF(ISNUMBER(SEARCH("non",LOWER($E481&amp;""))),$G481*0.85,$G481))))</x:f>
      </x:c>
      <x:c r="O481" s="114" t="str">
        <x:f>IF(COUNTA($A481:$M481)=0,"",IF(OR(LOWER($F481&amp;"")="subscription",LOWER($F481&amp;"")="membership"),"",IF(OR($N481="",$I481="",$I481=0),"",IFERROR($N481/$I481,""))))</x:f>
      </x:c>
      <x:c r="P481" s="114" t="str">
        <x:f>IF(COUNTA($A481:$M481)=0,"",IF(OR(LOWER($F481&amp;"")="subscription",LOWER($F481&amp;"")="membership"),"",IF(LOWER($L481&amp;"")="yes",0,IF($K481&lt;&gt;"",$K481,IF($O481&lt;&gt;"",$O481,"")))))</x:f>
      </x:c>
      <x:c r="Q481" s="114" t="str">
        <x:f>IF(COUNTA($A481:$M481)=0,"",IF(OR($U481="Subscription",$U481=""),"",IF($U481="Profit",ROUND(IFERROR($P481,0)-IFERROR($H481,0),2),0)))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IF(COUNTA($A481:$M481)=0,"",IF(OR(LOWER($F481&amp;"")="subscription",LOWER($F481&amp;"")="membership"),"Subscription",IF(OR(AND($H481&lt;&gt;"",$H481=0),LOWER($F481&amp;"")="free game",LOWER($F481&amp;"")="free",LOWER($F481&amp;"")="free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IF(COUNTA($A481:$M481)=0,"",IF(OR($U481="Subscription",$U481=""),"",IF(OR($U481="Free Game",$U481="Disqualified — Free Game"),0,ROUND(IFERROR($Q481,0)-IFERROR($S481,0),2))))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455"/>
      <x:c r="H482" s="455"/>
      <x:c r="I482" s="456"/>
      <x:c r="J482" s="456"/>
      <x:c r="K482" s="455"/>
      <x:c r="L482" s="454"/>
      <x:c r="M482" s="439"/>
      <x:c r="N482" s="114" t="str">
        <x:f>IF(COUNTA($A482:$M482)=0,"",IF(OR(LOWER($F482&amp;"")="subscription",LOWER($F482&amp;"")="membership"),"",IF($G482="","",IF(ISNUMBER(SEARCH("non",LOWER($E482&amp;""))),$G482*0.85,$G482))))</x:f>
      </x:c>
      <x:c r="O482" s="114" t="str">
        <x:f>IF(COUNTA($A482:$M482)=0,"",IF(OR(LOWER($F482&amp;"")="subscription",LOWER($F482&amp;"")="membership"),"",IF(OR($N482="",$I482="",$I482=0),"",IFERROR($N482/$I482,""))))</x:f>
      </x:c>
      <x:c r="P482" s="114" t="str">
        <x:f>IF(COUNTA($A482:$M482)=0,"",IF(OR(LOWER($F482&amp;"")="subscription",LOWER($F482&amp;"")="membership"),"",IF(LOWER($L482&amp;"")="yes",0,IF($K482&lt;&gt;"",$K482,IF($O482&lt;&gt;"",$O482,"")))))</x:f>
      </x:c>
      <x:c r="Q482" s="114" t="str">
        <x:f>IF(COUNTA($A482:$M482)=0,"",IF(OR($U482="Subscription",$U482=""),"",IF($U482="Profit",ROUND(IFERROR($P482,0)-IFERROR($H482,0),2),0)))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IF(COUNTA($A482:$M482)=0,"",IF(OR(LOWER($F482&amp;"")="subscription",LOWER($F482&amp;"")="membership"),"Subscription",IF(OR(AND($H482&lt;&gt;"",$H482=0),LOWER($F482&amp;"")="free game",LOWER($F482&amp;"")="free",LOWER($F482&amp;"")="free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IF(COUNTA($A482:$M482)=0,"",IF(OR($U482="Subscription",$U482=""),"",IF(OR($U482="Free Game",$U482="Disqualified — Free Game"),0,ROUND(IFERROR($Q482,0)-IFERROR($S482,0),2))))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455"/>
      <x:c r="H483" s="455"/>
      <x:c r="I483" s="456"/>
      <x:c r="J483" s="456"/>
      <x:c r="K483" s="455"/>
      <x:c r="L483" s="454"/>
      <x:c r="M483" s="439"/>
      <x:c r="N483" s="114" t="str">
        <x:f>IF(COUNTA($A483:$M483)=0,"",IF(OR(LOWER($F483&amp;"")="subscription",LOWER($F483&amp;"")="membership"),"",IF($G483="","",IF(ISNUMBER(SEARCH("non",LOWER($E483&amp;""))),$G483*0.85,$G483))))</x:f>
      </x:c>
      <x:c r="O483" s="114" t="str">
        <x:f>IF(COUNTA($A483:$M483)=0,"",IF(OR(LOWER($F483&amp;"")="subscription",LOWER($F483&amp;"")="membership"),"",IF(OR($N483="",$I483="",$I483=0),"",IFERROR($N483/$I483,""))))</x:f>
      </x:c>
      <x:c r="P483" s="114" t="str">
        <x:f>IF(COUNTA($A483:$M483)=0,"",IF(OR(LOWER($F483&amp;"")="subscription",LOWER($F483&amp;"")="membership"),"",IF(LOWER($L483&amp;"")="yes",0,IF($K483&lt;&gt;"",$K483,IF($O483&lt;&gt;"",$O483,"")))))</x:f>
      </x:c>
      <x:c r="Q483" s="114" t="str">
        <x:f>IF(COUNTA($A483:$M483)=0,"",IF(OR($U483="Subscription",$U483=""),"",IF($U483="Profit",ROUND(IFERROR($P483,0)-IFERROR($H483,0),2),0)))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IF(COUNTA($A483:$M483)=0,"",IF(OR(LOWER($F483&amp;"")="subscription",LOWER($F483&amp;"")="membership"),"Subscription",IF(OR(AND($H483&lt;&gt;"",$H483=0),LOWER($F483&amp;"")="free game",LOWER($F483&amp;"")="free",LOWER($F483&amp;"")="free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IF(COUNTA($A483:$M483)=0,"",IF(OR($U483="Subscription",$U483=""),"",IF(OR($U483="Free Game",$U483="Disqualified — Free Game"),0,ROUND(IFERROR($Q483,0)-IFERROR($S483,0),2))))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455"/>
      <x:c r="H484" s="455"/>
      <x:c r="I484" s="456"/>
      <x:c r="J484" s="456"/>
      <x:c r="K484" s="455"/>
      <x:c r="L484" s="454"/>
      <x:c r="M484" s="439"/>
      <x:c r="N484" s="114" t="str">
        <x:f>IF(COUNTA($A484:$M484)=0,"",IF(OR(LOWER($F484&amp;"")="subscription",LOWER($F484&amp;"")="membership"),"",IF($G484="","",IF(ISNUMBER(SEARCH("non",LOWER($E484&amp;""))),$G484*0.85,$G484))))</x:f>
      </x:c>
      <x:c r="O484" s="114" t="str">
        <x:f>IF(COUNTA($A484:$M484)=0,"",IF(OR(LOWER($F484&amp;"")="subscription",LOWER($F484&amp;"")="membership"),"",IF(OR($N484="",$I484="",$I484=0),"",IFERROR($N484/$I484,""))))</x:f>
      </x:c>
      <x:c r="P484" s="114" t="str">
        <x:f>IF(COUNTA($A484:$M484)=0,"",IF(OR(LOWER($F484&amp;"")="subscription",LOWER($F484&amp;"")="membership"),"",IF(LOWER($L484&amp;"")="yes",0,IF($K484&lt;&gt;"",$K484,IF($O484&lt;&gt;"",$O484,"")))))</x:f>
      </x:c>
      <x:c r="Q484" s="114" t="str">
        <x:f>IF(COUNTA($A484:$M484)=0,"",IF(OR($U484="Subscription",$U484=""),"",IF($U484="Profit",ROUND(IFERROR($P484,0)-IFERROR($H484,0),2),0)))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IF(COUNTA($A484:$M484)=0,"",IF(OR(LOWER($F484&amp;"")="subscription",LOWER($F484&amp;"")="membership"),"Subscription",IF(OR(AND($H484&lt;&gt;"",$H484=0),LOWER($F484&amp;"")="free game",LOWER($F484&amp;"")="free",LOWER($F484&amp;"")="free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IF(COUNTA($A484:$M484)=0,"",IF(OR($U484="Subscription",$U484=""),"",IF(OR($U484="Free Game",$U484="Disqualified — Free Game"),0,ROUND(IFERROR($Q484,0)-IFERROR($S484,0),2))))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455"/>
      <x:c r="H485" s="455"/>
      <x:c r="I485" s="456"/>
      <x:c r="J485" s="456"/>
      <x:c r="K485" s="455"/>
      <x:c r="L485" s="454"/>
      <x:c r="M485" s="439"/>
      <x:c r="N485" s="114" t="str">
        <x:f>IF(COUNTA($A485:$M485)=0,"",IF(OR(LOWER($F485&amp;"")="subscription",LOWER($F485&amp;"")="membership"),"",IF($G485="","",IF(ISNUMBER(SEARCH("non",LOWER($E485&amp;""))),$G485*0.85,$G485))))</x:f>
      </x:c>
      <x:c r="O485" s="114" t="str">
        <x:f>IF(COUNTA($A485:$M485)=0,"",IF(OR(LOWER($F485&amp;"")="subscription",LOWER($F485&amp;"")="membership"),"",IF(OR($N485="",$I485="",$I485=0),"",IFERROR($N485/$I485,""))))</x:f>
      </x:c>
      <x:c r="P485" s="114" t="str">
        <x:f>IF(COUNTA($A485:$M485)=0,"",IF(OR(LOWER($F485&amp;"")="subscription",LOWER($F485&amp;"")="membership"),"",IF(LOWER($L485&amp;"")="yes",0,IF($K485&lt;&gt;"",$K485,IF($O485&lt;&gt;"",$O485,"")))))</x:f>
      </x:c>
      <x:c r="Q485" s="114" t="str">
        <x:f>IF(COUNTA($A485:$M485)=0,"",IF(OR($U485="Subscription",$U485=""),"",IF($U485="Profit",ROUND(IFERROR($P485,0)-IFERROR($H485,0),2),0)))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IF(COUNTA($A485:$M485)=0,"",IF(OR(LOWER($F485&amp;"")="subscription",LOWER($F485&amp;"")="membership"),"Subscription",IF(OR(AND($H485&lt;&gt;"",$H485=0),LOWER($F485&amp;"")="free game",LOWER($F485&amp;"")="free",LOWER($F485&amp;"")="free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IF(COUNTA($A485:$M485)=0,"",IF(OR($U485="Subscription",$U485=""),"",IF(OR($U485="Free Game",$U485="Disqualified — Free Game"),0,ROUND(IFERROR($Q485,0)-IFERROR($S485,0),2))))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455"/>
      <x:c r="H486" s="455"/>
      <x:c r="I486" s="456"/>
      <x:c r="J486" s="456"/>
      <x:c r="K486" s="455"/>
      <x:c r="L486" s="454"/>
      <x:c r="M486" s="439"/>
      <x:c r="N486" s="114" t="str">
        <x:f>IF(COUNTA($A486:$M486)=0,"",IF(OR(LOWER($F486&amp;"")="subscription",LOWER($F486&amp;"")="membership"),"",IF($G486="","",IF(ISNUMBER(SEARCH("non",LOWER($E486&amp;""))),$G486*0.85,$G486))))</x:f>
      </x:c>
      <x:c r="O486" s="114" t="str">
        <x:f>IF(COUNTA($A486:$M486)=0,"",IF(OR(LOWER($F486&amp;"")="subscription",LOWER($F486&amp;"")="membership"),"",IF(OR($N486="",$I486="",$I486=0),"",IFERROR($N486/$I486,""))))</x:f>
      </x:c>
      <x:c r="P486" s="114" t="str">
        <x:f>IF(COUNTA($A486:$M486)=0,"",IF(OR(LOWER($F486&amp;"")="subscription",LOWER($F486&amp;"")="membership"),"",IF(LOWER($L486&amp;"")="yes",0,IF($K486&lt;&gt;"",$K486,IF($O486&lt;&gt;"",$O486,"")))))</x:f>
      </x:c>
      <x:c r="Q486" s="114" t="str">
        <x:f>IF(COUNTA($A486:$M486)=0,"",IF(OR($U486="Subscription",$U486=""),"",IF($U486="Profit",ROUND(IFERROR($P486,0)-IFERROR($H486,0),2),0)))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IF(COUNTA($A486:$M486)=0,"",IF(OR(LOWER($F486&amp;"")="subscription",LOWER($F486&amp;"")="membership"),"Subscription",IF(OR(AND($H486&lt;&gt;"",$H486=0),LOWER($F486&amp;"")="free game",LOWER($F486&amp;"")="free",LOWER($F486&amp;"")="free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IF(COUNTA($A486:$M486)=0,"",IF(OR($U486="Subscription",$U486=""),"",IF(OR($U486="Free Game",$U486="Disqualified — Free Game"),0,ROUND(IFERROR($Q486,0)-IFERROR($S486,0),2))))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455"/>
      <x:c r="H487" s="455"/>
      <x:c r="I487" s="456"/>
      <x:c r="J487" s="456"/>
      <x:c r="K487" s="455"/>
      <x:c r="L487" s="454"/>
      <x:c r="M487" s="439"/>
      <x:c r="N487" s="114" t="str">
        <x:f>IF(COUNTA($A487:$M487)=0,"",IF(OR(LOWER($F487&amp;"")="subscription",LOWER($F487&amp;"")="membership"),"",IF($G487="","",IF(ISNUMBER(SEARCH("non",LOWER($E487&amp;""))),$G487*0.85,$G487))))</x:f>
      </x:c>
      <x:c r="O487" s="114" t="str">
        <x:f>IF(COUNTA($A487:$M487)=0,"",IF(OR(LOWER($F487&amp;"")="subscription",LOWER($F487&amp;"")="membership"),"",IF(OR($N487="",$I487="",$I487=0),"",IFERROR($N487/$I487,""))))</x:f>
      </x:c>
      <x:c r="P487" s="114" t="str">
        <x:f>IF(COUNTA($A487:$M487)=0,"",IF(OR(LOWER($F487&amp;"")="subscription",LOWER($F487&amp;"")="membership"),"",IF(LOWER($L487&amp;"")="yes",0,IF($K487&lt;&gt;"",$K487,IF($O487&lt;&gt;"",$O487,"")))))</x:f>
      </x:c>
      <x:c r="Q487" s="114" t="str">
        <x:f>IF(COUNTA($A487:$M487)=0,"",IF(OR($U487="Subscription",$U487=""),"",IF($U487="Profit",ROUND(IFERROR($P487,0)-IFERROR($H487,0),2),0)))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IF(COUNTA($A487:$M487)=0,"",IF(OR(LOWER($F487&amp;"")="subscription",LOWER($F487&amp;"")="membership"),"Subscription",IF(OR(AND($H487&lt;&gt;"",$H487=0),LOWER($F487&amp;"")="free game",LOWER($F487&amp;"")="free",LOWER($F487&amp;"")="free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IF(COUNTA($A487:$M487)=0,"",IF(OR($U487="Subscription",$U487=""),"",IF(OR($U487="Free Game",$U487="Disqualified — Free Game"),0,ROUND(IFERROR($Q487,0)-IFERROR($S487,0),2))))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455"/>
      <x:c r="H488" s="455"/>
      <x:c r="I488" s="456"/>
      <x:c r="J488" s="456"/>
      <x:c r="K488" s="455"/>
      <x:c r="L488" s="454"/>
      <x:c r="M488" s="439"/>
      <x:c r="N488" s="114" t="str">
        <x:f>IF(COUNTA($A488:$M488)=0,"",IF(OR(LOWER($F488&amp;"")="subscription",LOWER($F488&amp;"")="membership"),"",IF($G488="","",IF(ISNUMBER(SEARCH("non",LOWER($E488&amp;""))),$G488*0.85,$G488))))</x:f>
      </x:c>
      <x:c r="O488" s="114" t="str">
        <x:f>IF(COUNTA($A488:$M488)=0,"",IF(OR(LOWER($F488&amp;"")="subscription",LOWER($F488&amp;"")="membership"),"",IF(OR($N488="",$I488="",$I488=0),"",IFERROR($N488/$I488,""))))</x:f>
      </x:c>
      <x:c r="P488" s="114" t="str">
        <x:f>IF(COUNTA($A488:$M488)=0,"",IF(OR(LOWER($F488&amp;"")="subscription",LOWER($F488&amp;"")="membership"),"",IF(LOWER($L488&amp;"")="yes",0,IF($K488&lt;&gt;"",$K488,IF($O488&lt;&gt;"",$O488,"")))))</x:f>
      </x:c>
      <x:c r="Q488" s="114" t="str">
        <x:f>IF(COUNTA($A488:$M488)=0,"",IF(OR($U488="Subscription",$U488=""),"",IF($U488="Profit",ROUND(IFERROR($P488,0)-IFERROR($H488,0),2),0)))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IF(COUNTA($A488:$M488)=0,"",IF(OR(LOWER($F488&amp;"")="subscription",LOWER($F488&amp;"")="membership"),"Subscription",IF(OR(AND($H488&lt;&gt;"",$H488=0),LOWER($F488&amp;"")="free game",LOWER($F488&amp;"")="free",LOWER($F488&amp;"")="free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IF(COUNTA($A488:$M488)=0,"",IF(OR($U488="Subscription",$U488=""),"",IF(OR($U488="Free Game",$U488="Disqualified — Free Game"),0,ROUND(IFERROR($Q488,0)-IFERROR($S488,0),2))))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455"/>
      <x:c r="H489" s="455"/>
      <x:c r="I489" s="456"/>
      <x:c r="J489" s="456"/>
      <x:c r="K489" s="455"/>
      <x:c r="L489" s="454"/>
      <x:c r="M489" s="439"/>
      <x:c r="N489" s="114" t="str">
        <x:f>IF(COUNTA($A489:$M489)=0,"",IF(OR(LOWER($F489&amp;"")="subscription",LOWER($F489&amp;"")="membership"),"",IF($G489="","",IF(ISNUMBER(SEARCH("non",LOWER($E489&amp;""))),$G489*0.85,$G489))))</x:f>
      </x:c>
      <x:c r="O489" s="114" t="str">
        <x:f>IF(COUNTA($A489:$M489)=0,"",IF(OR(LOWER($F489&amp;"")="subscription",LOWER($F489&amp;"")="membership"),"",IF(OR($N489="",$I489="",$I489=0),"",IFERROR($N489/$I489,""))))</x:f>
      </x:c>
      <x:c r="P489" s="114" t="str">
        <x:f>IF(COUNTA($A489:$M489)=0,"",IF(OR(LOWER($F489&amp;"")="subscription",LOWER($F489&amp;"")="membership"),"",IF(LOWER($L489&amp;"")="yes",0,IF($K489&lt;&gt;"",$K489,IF($O489&lt;&gt;"",$O489,"")))))</x:f>
      </x:c>
      <x:c r="Q489" s="114" t="str">
        <x:f>IF(COUNTA($A489:$M489)=0,"",IF(OR($U489="Subscription",$U489=""),"",IF($U489="Profit",ROUND(IFERROR($P489,0)-IFERROR($H489,0),2),0)))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IF(COUNTA($A489:$M489)=0,"",IF(OR(LOWER($F489&amp;"")="subscription",LOWER($F489&amp;"")="membership"),"Subscription",IF(OR(AND($H489&lt;&gt;"",$H489=0),LOWER($F489&amp;"")="free game",LOWER($F489&amp;"")="free",LOWER($F489&amp;"")="free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IF(COUNTA($A489:$M489)=0,"",IF(OR($U489="Subscription",$U489=""),"",IF(OR($U489="Free Game",$U489="Disqualified — Free Game"),0,ROUND(IFERROR($Q489,0)-IFERROR($S489,0),2))))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455"/>
      <x:c r="H490" s="455"/>
      <x:c r="I490" s="456"/>
      <x:c r="J490" s="456"/>
      <x:c r="K490" s="455"/>
      <x:c r="L490" s="454"/>
      <x:c r="M490" s="439"/>
      <x:c r="N490" s="114" t="str">
        <x:f>IF(COUNTA($A490:$M490)=0,"",IF(OR(LOWER($F490&amp;"")="subscription",LOWER($F490&amp;"")="membership"),"",IF($G490="","",IF(ISNUMBER(SEARCH("non",LOWER($E490&amp;""))),$G490*0.85,$G490))))</x:f>
      </x:c>
      <x:c r="O490" s="114" t="str">
        <x:f>IF(COUNTA($A490:$M490)=0,"",IF(OR(LOWER($F490&amp;"")="subscription",LOWER($F490&amp;"")="membership"),"",IF(OR($N490="",$I490="",$I490=0),"",IFERROR($N490/$I490,""))))</x:f>
      </x:c>
      <x:c r="P490" s="114" t="str">
        <x:f>IF(COUNTA($A490:$M490)=0,"",IF(OR(LOWER($F490&amp;"")="subscription",LOWER($F490&amp;"")="membership"),"",IF(LOWER($L490&amp;"")="yes",0,IF($K490&lt;&gt;"",$K490,IF($O490&lt;&gt;"",$O490,"")))))</x:f>
      </x:c>
      <x:c r="Q490" s="114" t="str">
        <x:f>IF(COUNTA($A490:$M490)=0,"",IF(OR($U490="Subscription",$U490=""),"",IF($U490="Profit",ROUND(IFERROR($P490,0)-IFERROR($H490,0),2),0)))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IF(COUNTA($A490:$M490)=0,"",IF(OR(LOWER($F490&amp;"")="subscription",LOWER($F490&amp;"")="membership"),"Subscription",IF(OR(AND($H490&lt;&gt;"",$H490=0),LOWER($F490&amp;"")="free game",LOWER($F490&amp;"")="free",LOWER($F490&amp;"")="free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IF(COUNTA($A490:$M490)=0,"",IF(OR($U490="Subscription",$U490=""),"",IF(OR($U490="Free Game",$U490="Disqualified — Free Game"),0,ROUND(IFERROR($Q490,0)-IFERROR($S490,0),2))))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455"/>
      <x:c r="H491" s="455"/>
      <x:c r="I491" s="456"/>
      <x:c r="J491" s="456"/>
      <x:c r="K491" s="455"/>
      <x:c r="L491" s="454"/>
      <x:c r="M491" s="439"/>
      <x:c r="N491" s="114" t="str">
        <x:f>IF(COUNTA($A491:$M491)=0,"",IF(OR(LOWER($F491&amp;"")="subscription",LOWER($F491&amp;"")="membership"),"",IF($G491="","",IF(ISNUMBER(SEARCH("non",LOWER($E491&amp;""))),$G491*0.85,$G491))))</x:f>
      </x:c>
      <x:c r="O491" s="114" t="str">
        <x:f>IF(COUNTA($A491:$M491)=0,"",IF(OR(LOWER($F491&amp;"")="subscription",LOWER($F491&amp;"")="membership"),"",IF(OR($N491="",$I491="",$I491=0),"",IFERROR($N491/$I491,""))))</x:f>
      </x:c>
      <x:c r="P491" s="114" t="str">
        <x:f>IF(COUNTA($A491:$M491)=0,"",IF(OR(LOWER($F491&amp;"")="subscription",LOWER($F491&amp;"")="membership"),"",IF(LOWER($L491&amp;"")="yes",0,IF($K491&lt;&gt;"",$K491,IF($O491&lt;&gt;"",$O491,"")))))</x:f>
      </x:c>
      <x:c r="Q491" s="114" t="str">
        <x:f>IF(COUNTA($A491:$M491)=0,"",IF(OR($U491="Subscription",$U491=""),"",IF($U491="Profit",ROUND(IFERROR($P491,0)-IFERROR($H491,0),2),0)))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IF(COUNTA($A491:$M491)=0,"",IF(OR(LOWER($F491&amp;"")="subscription",LOWER($F491&amp;"")="membership"),"Subscription",IF(OR(AND($H491&lt;&gt;"",$H491=0),LOWER($F491&amp;"")="free game",LOWER($F491&amp;"")="free",LOWER($F491&amp;"")="free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IF(COUNTA($A491:$M491)=0,"",IF(OR($U491="Subscription",$U491=""),"",IF(OR($U491="Free Game",$U491="Disqualified — Free Game"),0,ROUND(IFERROR($Q491,0)-IFERROR($S491,0),2))))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455"/>
      <x:c r="H492" s="455"/>
      <x:c r="I492" s="456"/>
      <x:c r="J492" s="456"/>
      <x:c r="K492" s="455"/>
      <x:c r="L492" s="454"/>
      <x:c r="M492" s="439"/>
      <x:c r="N492" s="114" t="str">
        <x:f>IF(COUNTA($A492:$M492)=0,"",IF(OR(LOWER($F492&amp;"")="subscription",LOWER($F492&amp;"")="membership"),"",IF($G492="","",IF(ISNUMBER(SEARCH("non",LOWER($E492&amp;""))),$G492*0.85,$G492))))</x:f>
      </x:c>
      <x:c r="O492" s="114" t="str">
        <x:f>IF(COUNTA($A492:$M492)=0,"",IF(OR(LOWER($F492&amp;"")="subscription",LOWER($F492&amp;"")="membership"),"",IF(OR($N492="",$I492="",$I492=0),"",IFERROR($N492/$I492,""))))</x:f>
      </x:c>
      <x:c r="P492" s="114" t="str">
        <x:f>IF(COUNTA($A492:$M492)=0,"",IF(OR(LOWER($F492&amp;"")="subscription",LOWER($F492&amp;"")="membership"),"",IF(LOWER($L492&amp;"")="yes",0,IF($K492&lt;&gt;"",$K492,IF($O492&lt;&gt;"",$O492,"")))))</x:f>
      </x:c>
      <x:c r="Q492" s="114" t="str">
        <x:f>IF(COUNTA($A492:$M492)=0,"",IF(OR($U492="Subscription",$U492=""),"",IF($U492="Profit",ROUND(IFERROR($P492,0)-IFERROR($H492,0),2),0)))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IF(COUNTA($A492:$M492)=0,"",IF(OR(LOWER($F492&amp;"")="subscription",LOWER($F492&amp;"")="membership"),"Subscription",IF(OR(AND($H492&lt;&gt;"",$H492=0),LOWER($F492&amp;"")="free game",LOWER($F492&amp;"")="free",LOWER($F492&amp;"")="free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IF(COUNTA($A492:$M492)=0,"",IF(OR($U492="Subscription",$U492=""),"",IF(OR($U492="Free Game",$U492="Disqualified — Free Game"),0,ROUND(IFERROR($Q492,0)-IFERROR($S492,0),2))))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455"/>
      <x:c r="H493" s="455"/>
      <x:c r="I493" s="456"/>
      <x:c r="J493" s="456"/>
      <x:c r="K493" s="455"/>
      <x:c r="L493" s="454"/>
      <x:c r="M493" s="439"/>
      <x:c r="N493" s="114" t="str">
        <x:f>IF(COUNTA($A493:$M493)=0,"",IF(OR(LOWER($F493&amp;"")="subscription",LOWER($F493&amp;"")="membership"),"",IF($G493="","",IF(ISNUMBER(SEARCH("non",LOWER($E493&amp;""))),$G493*0.85,$G493))))</x:f>
      </x:c>
      <x:c r="O493" s="114" t="str">
        <x:f>IF(COUNTA($A493:$M493)=0,"",IF(OR(LOWER($F493&amp;"")="subscription",LOWER($F493&amp;"")="membership"),"",IF(OR($N493="",$I493="",$I493=0),"",IFERROR($N493/$I493,""))))</x:f>
      </x:c>
      <x:c r="P493" s="114" t="str">
        <x:f>IF(COUNTA($A493:$M493)=0,"",IF(OR(LOWER($F493&amp;"")="subscription",LOWER($F493&amp;"")="membership"),"",IF(LOWER($L493&amp;"")="yes",0,IF($K493&lt;&gt;"",$K493,IF($O493&lt;&gt;"",$O493,"")))))</x:f>
      </x:c>
      <x:c r="Q493" s="114" t="str">
        <x:f>IF(COUNTA($A493:$M493)=0,"",IF(OR($U493="Subscription",$U493=""),"",IF($U493="Profit",ROUND(IFERROR($P493,0)-IFERROR($H493,0),2),0)))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IF(COUNTA($A493:$M493)=0,"",IF(OR(LOWER($F493&amp;"")="subscription",LOWER($F493&amp;"")="membership"),"Subscription",IF(OR(AND($H493&lt;&gt;"",$H493=0),LOWER($F493&amp;"")="free game",LOWER($F493&amp;"")="free",LOWER($F493&amp;"")="free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IF(COUNTA($A493:$M493)=0,"",IF(OR($U493="Subscription",$U493=""),"",IF(OR($U493="Free Game",$U493="Disqualified — Free Game"),0,ROUND(IFERROR($Q493,0)-IFERROR($S493,0),2))))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455"/>
      <x:c r="H494" s="455"/>
      <x:c r="I494" s="456"/>
      <x:c r="J494" s="456"/>
      <x:c r="K494" s="455"/>
      <x:c r="L494" s="454"/>
      <x:c r="M494" s="439"/>
      <x:c r="N494" s="114" t="str">
        <x:f>IF(COUNTA($A494:$M494)=0,"",IF(OR(LOWER($F494&amp;"")="subscription",LOWER($F494&amp;"")="membership"),"",IF($G494="","",IF(ISNUMBER(SEARCH("non",LOWER($E494&amp;""))),$G494*0.85,$G494))))</x:f>
      </x:c>
      <x:c r="O494" s="114" t="str">
        <x:f>IF(COUNTA($A494:$M494)=0,"",IF(OR(LOWER($F494&amp;"")="subscription",LOWER($F494&amp;"")="membership"),"",IF(OR($N494="",$I494="",$I494=0),"",IFERROR($N494/$I494,""))))</x:f>
      </x:c>
      <x:c r="P494" s="114" t="str">
        <x:f>IF(COUNTA($A494:$M494)=0,"",IF(OR(LOWER($F494&amp;"")="subscription",LOWER($F494&amp;"")="membership"),"",IF(LOWER($L494&amp;"")="yes",0,IF($K494&lt;&gt;"",$K494,IF($O494&lt;&gt;"",$O494,"")))))</x:f>
      </x:c>
      <x:c r="Q494" s="114" t="str">
        <x:f>IF(COUNTA($A494:$M494)=0,"",IF(OR($U494="Subscription",$U494=""),"",IF($U494="Profit",ROUND(IFERROR($P494,0)-IFERROR($H494,0),2),0)))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IF(COUNTA($A494:$M494)=0,"",IF(OR(LOWER($F494&amp;"")="subscription",LOWER($F494&amp;"")="membership"),"Subscription",IF(OR(AND($H494&lt;&gt;"",$H494=0),LOWER($F494&amp;"")="free game",LOWER($F494&amp;"")="free",LOWER($F494&amp;"")="free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IF(COUNTA($A494:$M494)=0,"",IF(OR($U494="Subscription",$U494=""),"",IF(OR($U494="Free Game",$U494="Disqualified — Free Game"),0,ROUND(IFERROR($Q494,0)-IFERROR($S494,0),2))))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455"/>
      <x:c r="H495" s="455"/>
      <x:c r="I495" s="456"/>
      <x:c r="J495" s="456"/>
      <x:c r="K495" s="455"/>
      <x:c r="L495" s="454"/>
      <x:c r="M495" s="439"/>
      <x:c r="N495" s="114" t="str">
        <x:f>IF(COUNTA($A495:$M495)=0,"",IF(OR(LOWER($F495&amp;"")="subscription",LOWER($F495&amp;"")="membership"),"",IF($G495="","",IF(ISNUMBER(SEARCH("non",LOWER($E495&amp;""))),$G495*0.85,$G495))))</x:f>
      </x:c>
      <x:c r="O495" s="114" t="str">
        <x:f>IF(COUNTA($A495:$M495)=0,"",IF(OR(LOWER($F495&amp;"")="subscription",LOWER($F495&amp;"")="membership"),"",IF(OR($N495="",$I495="",$I495=0),"",IFERROR($N495/$I495,""))))</x:f>
      </x:c>
      <x:c r="P495" s="114" t="str">
        <x:f>IF(COUNTA($A495:$M495)=0,"",IF(OR(LOWER($F495&amp;"")="subscription",LOWER($F495&amp;"")="membership"),"",IF(LOWER($L495&amp;"")="yes",0,IF($K495&lt;&gt;"",$K495,IF($O495&lt;&gt;"",$O495,"")))))</x:f>
      </x:c>
      <x:c r="Q495" s="114" t="str">
        <x:f>IF(COUNTA($A495:$M495)=0,"",IF(OR($U495="Subscription",$U495=""),"",IF($U495="Profit",ROUND(IFERROR($P495,0)-IFERROR($H495,0),2),0)))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IF(COUNTA($A495:$M495)=0,"",IF(OR(LOWER($F495&amp;"")="subscription",LOWER($F495&amp;"")="membership"),"Subscription",IF(OR(AND($H495&lt;&gt;"",$H495=0),LOWER($F495&amp;"")="free game",LOWER($F495&amp;"")="free",LOWER($F495&amp;"")="free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IF(COUNTA($A495:$M495)=0,"",IF(OR($U495="Subscription",$U495=""),"",IF(OR($U495="Free Game",$U495="Disqualified — Free Game"),0,ROUND(IFERROR($Q495,0)-IFERROR($S495,0),2))))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455"/>
      <x:c r="H496" s="455"/>
      <x:c r="I496" s="456"/>
      <x:c r="J496" s="456"/>
      <x:c r="K496" s="455"/>
      <x:c r="L496" s="454"/>
      <x:c r="M496" s="439"/>
      <x:c r="N496" s="114" t="str">
        <x:f>IF(COUNTA($A496:$M496)=0,"",IF(OR(LOWER($F496&amp;"")="subscription",LOWER($F496&amp;"")="membership"),"",IF($G496="","",IF(ISNUMBER(SEARCH("non",LOWER($E496&amp;""))),$G496*0.85,$G496))))</x:f>
      </x:c>
      <x:c r="O496" s="114" t="str">
        <x:f>IF(COUNTA($A496:$M496)=0,"",IF(OR(LOWER($F496&amp;"")="subscription",LOWER($F496&amp;"")="membership"),"",IF(OR($N496="",$I496="",$I496=0),"",IFERROR($N496/$I496,""))))</x:f>
      </x:c>
      <x:c r="P496" s="114" t="str">
        <x:f>IF(COUNTA($A496:$M496)=0,"",IF(OR(LOWER($F496&amp;"")="subscription",LOWER($F496&amp;"")="membership"),"",IF(LOWER($L496&amp;"")="yes",0,IF($K496&lt;&gt;"",$K496,IF($O496&lt;&gt;"",$O496,"")))))</x:f>
      </x:c>
      <x:c r="Q496" s="114" t="str">
        <x:f>IF(COUNTA($A496:$M496)=0,"",IF(OR($U496="Subscription",$U496=""),"",IF($U496="Profit",ROUND(IFERROR($P496,0)-IFERROR($H496,0),2),0)))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IF(COUNTA($A496:$M496)=0,"",IF(OR(LOWER($F496&amp;"")="subscription",LOWER($F496&amp;"")="membership"),"Subscription",IF(OR(AND($H496&lt;&gt;"",$H496=0),LOWER($F496&amp;"")="free game",LOWER($F496&amp;"")="free",LOWER($F496&amp;"")="free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IF(COUNTA($A496:$M496)=0,"",IF(OR($U496="Subscription",$U496=""),"",IF(OR($U496="Free Game",$U496="Disqualified — Free Game"),0,ROUND(IFERROR($Q496,0)-IFERROR($S496,0),2))))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455"/>
      <x:c r="H497" s="455"/>
      <x:c r="I497" s="456"/>
      <x:c r="J497" s="456"/>
      <x:c r="K497" s="455"/>
      <x:c r="L497" s="454"/>
      <x:c r="M497" s="439"/>
      <x:c r="N497" s="114" t="str">
        <x:f>IF(COUNTA($A497:$M497)=0,"",IF(OR(LOWER($F497&amp;"")="subscription",LOWER($F497&amp;"")="membership"),"",IF($G497="","",IF(ISNUMBER(SEARCH("non",LOWER($E497&amp;""))),$G497*0.85,$G497))))</x:f>
      </x:c>
      <x:c r="O497" s="114" t="str">
        <x:f>IF(COUNTA($A497:$M497)=0,"",IF(OR(LOWER($F497&amp;"")="subscription",LOWER($F497&amp;"")="membership"),"",IF(OR($N497="",$I497="",$I497=0),"",IFERROR($N497/$I497,""))))</x:f>
      </x:c>
      <x:c r="P497" s="114" t="str">
        <x:f>IF(COUNTA($A497:$M497)=0,"",IF(OR(LOWER($F497&amp;"")="subscription",LOWER($F497&amp;"")="membership"),"",IF(LOWER($L497&amp;"")="yes",0,IF($K497&lt;&gt;"",$K497,IF($O497&lt;&gt;"",$O497,"")))))</x:f>
      </x:c>
      <x:c r="Q497" s="114" t="str">
        <x:f>IF(COUNTA($A497:$M497)=0,"",IF(OR($U497="Subscription",$U497=""),"",IF($U497="Profit",ROUND(IFERROR($P497,0)-IFERROR($H497,0),2),0)))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IF(COUNTA($A497:$M497)=0,"",IF(OR(LOWER($F497&amp;"")="subscription",LOWER($F497&amp;"")="membership"),"Subscription",IF(OR(AND($H497&lt;&gt;"",$H497=0),LOWER($F497&amp;"")="free game",LOWER($F497&amp;"")="free",LOWER($F497&amp;"")="free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IF(COUNTA($A497:$M497)=0,"",IF(OR($U497="Subscription",$U497=""),"",IF(OR($U497="Free Game",$U497="Disqualified — Free Game"),0,ROUND(IFERROR($Q497,0)-IFERROR($S497,0),2))))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455"/>
      <x:c r="H498" s="455"/>
      <x:c r="I498" s="456"/>
      <x:c r="J498" s="456"/>
      <x:c r="K498" s="455"/>
      <x:c r="L498" s="454"/>
      <x:c r="M498" s="439"/>
      <x:c r="N498" s="114" t="str">
        <x:f>IF(COUNTA($A498:$M498)=0,"",IF(OR(LOWER($F498&amp;"")="subscription",LOWER($F498&amp;"")="membership"),"",IF($G498="","",IF(ISNUMBER(SEARCH("non",LOWER($E498&amp;""))),$G498*0.85,$G498))))</x:f>
      </x:c>
      <x:c r="O498" s="114" t="str">
        <x:f>IF(COUNTA($A498:$M498)=0,"",IF(OR(LOWER($F498&amp;"")="subscription",LOWER($F498&amp;"")="membership"),"",IF(OR($N498="",$I498="",$I498=0),"",IFERROR($N498/$I498,""))))</x:f>
      </x:c>
      <x:c r="P498" s="114" t="str">
        <x:f>IF(COUNTA($A498:$M498)=0,"",IF(OR(LOWER($F498&amp;"")="subscription",LOWER($F498&amp;"")="membership"),"",IF(LOWER($L498&amp;"")="yes",0,IF($K498&lt;&gt;"",$K498,IF($O498&lt;&gt;"",$O498,"")))))</x:f>
      </x:c>
      <x:c r="Q498" s="114" t="str">
        <x:f>IF(COUNTA($A498:$M498)=0,"",IF(OR($U498="Subscription",$U498=""),"",IF($U498="Profit",ROUND(IFERROR($P498,0)-IFERROR($H498,0),2),0)))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IF(COUNTA($A498:$M498)=0,"",IF(OR(LOWER($F498&amp;"")="subscription",LOWER($F498&amp;"")="membership"),"Subscription",IF(OR(AND($H498&lt;&gt;"",$H498=0),LOWER($F498&amp;"")="free game",LOWER($F498&amp;"")="free",LOWER($F498&amp;"")="free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IF(COUNTA($A498:$M498)=0,"",IF(OR($U498="Subscription",$U498=""),"",IF(OR($U498="Free Game",$U498="Disqualified — Free Game"),0,ROUND(IFERROR($Q498,0)-IFERROR($S498,0),2))))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455"/>
      <x:c r="H499" s="455"/>
      <x:c r="I499" s="456"/>
      <x:c r="J499" s="456"/>
      <x:c r="K499" s="455"/>
      <x:c r="L499" s="454"/>
      <x:c r="M499" s="439"/>
      <x:c r="N499" s="114" t="str">
        <x:f>IF(COUNTA($A499:$M499)=0,"",IF(OR(LOWER($F499&amp;"")="subscription",LOWER($F499&amp;"")="membership"),"",IF($G499="","",IF(ISNUMBER(SEARCH("non",LOWER($E499&amp;""))),$G499*0.85,$G499))))</x:f>
      </x:c>
      <x:c r="O499" s="114" t="str">
        <x:f>IF(COUNTA($A499:$M499)=0,"",IF(OR(LOWER($F499&amp;"")="subscription",LOWER($F499&amp;"")="membership"),"",IF(OR($N499="",$I499="",$I499=0),"",IFERROR($N499/$I499,""))))</x:f>
      </x:c>
      <x:c r="P499" s="114" t="str">
        <x:f>IF(COUNTA($A499:$M499)=0,"",IF(OR(LOWER($F499&amp;"")="subscription",LOWER($F499&amp;"")="membership"),"",IF(LOWER($L499&amp;"")="yes",0,IF($K499&lt;&gt;"",$K499,IF($O499&lt;&gt;"",$O499,"")))))</x:f>
      </x:c>
      <x:c r="Q499" s="114" t="str">
        <x:f>IF(COUNTA($A499:$M499)=0,"",IF(OR($U499="Subscription",$U499=""),"",IF($U499="Profit",ROUND(IFERROR($P499,0)-IFERROR($H499,0),2),0)))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IF(COUNTA($A499:$M499)=0,"",IF(OR(LOWER($F499&amp;"")="subscription",LOWER($F499&amp;"")="membership"),"Subscription",IF(OR(AND($H499&lt;&gt;"",$H499=0),LOWER($F499&amp;"")="free game",LOWER($F499&amp;"")="free",LOWER($F499&amp;"")="free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IF(COUNTA($A499:$M499)=0,"",IF(OR($U499="Subscription",$U499=""),"",IF(OR($U499="Free Game",$U499="Disqualified — Free Game"),0,ROUND(IFERROR($Q499,0)-IFERROR($S499,0),2))))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455"/>
      <x:c r="H500" s="455"/>
      <x:c r="I500" s="456"/>
      <x:c r="J500" s="456"/>
      <x:c r="K500" s="455"/>
      <x:c r="L500" s="454"/>
      <x:c r="M500" s="439"/>
      <x:c r="N500" s="114" t="str">
        <x:f>IF(COUNTA($A500:$M500)=0,"",IF(OR(LOWER($F500&amp;"")="subscription",LOWER($F500&amp;"")="membership"),"",IF($G500="","",IF(ISNUMBER(SEARCH("non",LOWER($E500&amp;""))),$G500*0.85,$G500))))</x:f>
      </x:c>
      <x:c r="O500" s="114" t="str">
        <x:f>IF(COUNTA($A500:$M500)=0,"",IF(OR(LOWER($F500&amp;"")="subscription",LOWER($F500&amp;"")="membership"),"",IF(OR($N500="",$I500="",$I500=0),"",IFERROR($N500/$I500,""))))</x:f>
      </x:c>
      <x:c r="P500" s="114" t="str">
        <x:f>IF(COUNTA($A500:$M500)=0,"",IF(OR(LOWER($F500&amp;"")="subscription",LOWER($F500&amp;"")="membership"),"",IF(LOWER($L500&amp;"")="yes",0,IF($K500&lt;&gt;"",$K500,IF($O500&lt;&gt;"",$O500,"")))))</x:f>
      </x:c>
      <x:c r="Q500" s="114" t="str">
        <x:f>IF(COUNTA($A500:$M500)=0,"",IF(OR($U500="Subscription",$U500=""),"",IF($U500="Profit",ROUND(IFERROR($P500,0)-IFERROR($H500,0),2),0)))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IF(COUNTA($A500:$M500)=0,"",IF(OR(LOWER($F500&amp;"")="subscription",LOWER($F500&amp;"")="membership"),"Subscription",IF(OR(AND($H500&lt;&gt;"",$H500=0),LOWER($F500&amp;"")="free game",LOWER($F500&amp;"")="free",LOWER($F500&amp;"")="free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IF(COUNTA($A500:$M500)=0,"",IF(OR($U500="Subscription",$U500=""),"",IF(OR($U500="Free Game",$U500="Disqualified — Free Game"),0,ROUND(IFERROR($Q500,0)-IFERROR($S500,0),2))))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455"/>
      <x:c r="H501" s="455"/>
      <x:c r="I501" s="456"/>
      <x:c r="J501" s="456"/>
      <x:c r="K501" s="455"/>
      <x:c r="L501" s="454"/>
      <x:c r="M501" s="439"/>
      <x:c r="N501" s="958" t="str">
        <x:f>IF(COUNTA($A501:$M501)=0,"",IF(OR(LOWER($F501&amp;"")="subscription",LOWER($F501&amp;"")="membership"),"",IF($G501="","",IF(ISNUMBER(SEARCH("non",LOWER($E501&amp;""))),$G501*0.85,$G501))))</x:f>
      </x:c>
      <x:c r="O501" s="958" t="str">
        <x:f>IF(COUNTA($A501:$M501)=0,"",IF(OR(LOWER($F501&amp;"")="subscription",LOWER($F501&amp;"")="membership"),"",IF(OR($N501="",$I501="",$I501=0),"",IFERROR($N501/$I501,""))))</x:f>
      </x:c>
      <x:c r="P501" s="958" t="str">
        <x:f>IF(COUNTA($A501:$M501)=0,"",IF(OR(LOWER($F501&amp;"")="subscription",LOWER($F501&amp;"")="membership"),"",IF(LOWER($L501&amp;"")="yes",0,IF($K501&lt;&gt;"",$K501,IF($O501&lt;&gt;"",$O501,"")))))</x:f>
      </x:c>
      <x:c r="Q501" s="958" t="str">
        <x:f>IF(COUNTA($A501:$M501)=0,"",IF(OR($U501="Subscription",$U501=""),"",IF($U501="Profit",ROUND(IFERROR($P501,0)-IFERROR($H501,0),2),0)))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IF(COUNTA($A501:$M501)=0,"",IF(OR(LOWER($F501&amp;"")="subscription",LOWER($F501&amp;"")="membership"),"Subscription",IF(OR(AND($H501&lt;&gt;"",$H501=0),LOWER($F501&amp;"")="free game",LOWER($F501&amp;"")="free",LOWER($F501&amp;"")="free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IF(COUNTA($A501:$M501)=0,"",IF(OR($U501="Subscription",$U501=""),"",IF(OR($U501="Free Game",$U501="Disqualified — Free Game"),0,ROUND(IFERROR($Q501,0)-IFERROR($S501,0),2))))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455"/>
      <x:c r="H502" s="455"/>
      <x:c r="I502" s="456"/>
      <x:c r="J502" s="456"/>
      <x:c r="K502" s="455"/>
      <x:c r="L502" s="454"/>
      <x:c r="M502" s="439"/>
      <x:c r="N502" s="958" t="str">
        <x:f>IF(COUNTA($A502:$M502)=0,"",IF(OR(LOWER($F502&amp;"")="subscription",LOWER($F502&amp;"")="membership"),"",IF($G502="","",IF(ISNUMBER(SEARCH("non",LOWER($E502&amp;""))),$G502*0.85,$G502))))</x:f>
      </x:c>
      <x:c r="O502" s="958" t="str">
        <x:f>IF(COUNTA($A502:$M502)=0,"",IF(OR(LOWER($F502&amp;"")="subscription",LOWER($F502&amp;"")="membership"),"",IF(OR($N502="",$I502="",$I502=0),"",IFERROR($N502/$I502,""))))</x:f>
      </x:c>
      <x:c r="P502" s="958" t="str">
        <x:f>IF(COUNTA($A502:$M502)=0,"",IF(OR(LOWER($F502&amp;"")="subscription",LOWER($F502&amp;"")="membership"),"",IF(LOWER($L502&amp;"")="yes",0,IF($K502&lt;&gt;"",$K502,IF($O502&lt;&gt;"",$O502,"")))))</x:f>
      </x:c>
      <x:c r="Q502" s="958" t="str">
        <x:f>IF(COUNTA($A502:$M502)=0,"",IF(OR($U502="Subscription",$U502=""),"",IF($U502="Profit",ROUND(IFERROR($P502,0)-IFERROR($H502,0),2),0)))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IF(COUNTA($A502:$M502)=0,"",IF(OR(LOWER($F502&amp;"")="subscription",LOWER($F502&amp;"")="membership"),"Subscription",IF(OR(AND($H502&lt;&gt;"",$H502=0),LOWER($F502&amp;"")="free game",LOWER($F502&amp;"")="free",LOWER($F502&amp;"")="free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IF(COUNTA($A502:$M502)=0,"",IF(OR($U502="Subscription",$U502=""),"",IF(OR($U502="Free Game",$U502="Disqualified — Free Game"),0,ROUND(IFERROR($Q502,0)-IFERROR($S502,0),2))))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455"/>
      <x:c r="H503" s="455"/>
      <x:c r="I503" s="456"/>
      <x:c r="J503" s="456"/>
      <x:c r="K503" s="455"/>
      <x:c r="L503" s="454"/>
      <x:c r="M503" s="439"/>
      <x:c r="N503" s="958" t="str">
        <x:f>IF(COUNTA($A503:$M503)=0,"",IF(OR(LOWER($F503&amp;"")="subscription",LOWER($F503&amp;"")="membership"),"",IF($G503="","",IF(ISNUMBER(SEARCH("non",LOWER($E503&amp;""))),$G503*0.85,$G503))))</x:f>
      </x:c>
      <x:c r="O503" s="958" t="str">
        <x:f>IF(COUNTA($A503:$M503)=0,"",IF(OR(LOWER($F503&amp;"")="subscription",LOWER($F503&amp;"")="membership"),"",IF(OR($N503="",$I503="",$I503=0),"",IFERROR($N503/$I503,""))))</x:f>
      </x:c>
      <x:c r="P503" s="958" t="str">
        <x:f>IF(COUNTA($A503:$M503)=0,"",IF(OR(LOWER($F503&amp;"")="subscription",LOWER($F503&amp;"")="membership"),"",IF(LOWER($L503&amp;"")="yes",0,IF($K503&lt;&gt;"",$K503,IF($O503&lt;&gt;"",$O503,"")))))</x:f>
      </x:c>
      <x:c r="Q503" s="958" t="str">
        <x:f>IF(COUNTA($A503:$M503)=0,"",IF(OR($U503="Subscription",$U503=""),"",IF($U503="Profit",ROUND(IFERROR($P503,0)-IFERROR($H503,0),2),0)))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IF(COUNTA($A503:$M503)=0,"",IF(OR(LOWER($F503&amp;"")="subscription",LOWER($F503&amp;"")="membership"),"Subscription",IF(OR(AND($H503&lt;&gt;"",$H503=0),LOWER($F503&amp;"")="free game",LOWER($F503&amp;"")="free",LOWER($F503&amp;"")="free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IF(COUNTA($A503:$M503)=0,"",IF(OR($U503="Subscription",$U503=""),"",IF(OR($U503="Free Game",$U503="Disqualified — Free Game"),0,ROUND(IFERROR($Q503,0)-IFERROR($S503,0),2))))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451"/>
      <x:c r="H504" s="451"/>
      <x:c r="I504" s="452"/>
      <x:c r="J504" s="452"/>
      <x:c r="K504" s="451"/>
      <x:c r="L504" s="450"/>
      <x:c r="M504" s="439"/>
      <x:c r="N504" s="958" t="str">
        <x:f>IF(COUNTA($A504:$M504)=0,"",IF(OR(LOWER($F504&amp;"")="subscription",LOWER($F504&amp;"")="membership"),"",IF($G504="","",IF(ISNUMBER(SEARCH("non",LOWER($E504&amp;""))),$G504*0.85,$G504))))</x:f>
      </x:c>
      <x:c r="O504" s="958" t="str">
        <x:f>IF(COUNTA($A504:$M504)=0,"",IF(OR(LOWER($F504&amp;"")="subscription",LOWER($F504&amp;"")="membership"),"",IF(OR($N504="",$I504="",$I504=0),"",IFERROR($N504/$I504,""))))</x:f>
      </x:c>
      <x:c r="P504" s="958" t="str">
        <x:f>IF(COUNTA($A504:$M504)=0,"",IF(OR(LOWER($F504&amp;"")="subscription",LOWER($F504&amp;"")="membership"),"",IF(LOWER($L504&amp;"")="yes",0,IF($K504&lt;&gt;"",$K504,IF($O504&lt;&gt;"",$O504,"")))))</x:f>
      </x:c>
      <x:c r="Q504" s="958" t="str">
        <x:f>IF(COUNTA($A504:$M504)=0,"",IF(OR($U504="Subscription",$U504=""),"",IF($U504="Profit",ROUND(IFERROR($P504,0)-IFERROR($H504,0),2),0)))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IF(COUNTA($A504:$M504)=0,"",IF(OR(LOWER($F504&amp;"")="subscription",LOWER($F504&amp;"")="membership"),"Subscription",IF(OR(AND($H504&lt;&gt;"",$H504=0),LOWER($F504&amp;"")="free game",LOWER($F504&amp;"")="free",LOWER($F504&amp;"")="free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IF(COUNTA($A504:$M504)=0,"",IF(OR($U504="Subscription",$U504=""),"",IF(OR($U504="Free Game",$U504="Disqualified — Free Game"),0,ROUND(IFERROR($Q504,0)-IFERROR($S504,0),2))))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conditionalFormatting sqref="G5:G504">
    <x:cfRule type="expression" dxfId="30" priority="6">
      <x:formula>OR($U5="Free Game",$U5="Disqualified — Free Game")</x:formula>
    </x:cfRule>
  </x:conditionalFormatting>
  <x:conditionalFormatting sqref="K5:K504">
    <x:cfRule type="expression" dxfId="31" priority="7">
      <x:formula>OR($U5="Free Game",$U5="Disqualified — Free Game")</x:formula>
    </x:cfRule>
  </x:conditionalFormatting>
  <x:conditionalFormatting sqref="N5:N504">
    <x:cfRule type="expression" dxfId="32" priority="8">
      <x:formula>OR($U5="Free Game",$U5="Disqualified — Free Game")</x:formula>
    </x:cfRule>
  </x:conditionalFormatting>
  <x:conditionalFormatting sqref="O5:O504">
    <x:cfRule type="expression" dxfId="33" priority="9">
      <x:formula>OR($U5="Free Game",$U5="Disqualified — Free Game")</x:formula>
    </x:cfRule>
  </x:conditionalFormatting>
  <x:conditionalFormatting sqref="P5:P504">
    <x:cfRule type="expression" dxfId="34" priority="10">
      <x:formula>OR($U5="Free Game",$U5="Disqualified — Free Game")</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sqref="F5:F504">
      <x:formula1>"Cash,Points,Hybrid,Free Game,Subscription"</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s>
  <x:sheetData>
    <x:row r="1" ht="30" hidden="0" customHeight="1">
      <x:c r="A1" s="961" t="str">
        <x:v>Record Review — Game Index and Field Review — v246</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15" hidden="0" customHeight="1">
      <x:c r="A5" s="332" t="str">
        <x:f>IF(OR(COUNTA('Game Records'!$A5:$M5)=0,'Game Records'!$F5="Subscription"),"",IFERROR(MAX($A$4:A4),0)+1)</x:f>
      </x:c>
      <x:c r="B5" s="332" t="str">
        <x:f>IF($A5="","","G-"&amp;TEXT(ROW('Game Records'!$A5)-4,"0000"))</x:f>
      </x:c>
      <x:c r="C5" s="331" t="str">
        <x:f>IF($A5="","",IFERROR('Game Records'!$A5,""))</x:f>
      </x:c>
      <x:c r="D5" s="331" t="str">
        <x:f>IF($A5="","",IFERROR('Game Records'!$U5,""))</x:f>
      </x:c>
      <x:c r="E5" s="331" t="str">
        <x:f>IF($A5="","",IF($F5="","No Highlighted Fields","Highlighted Fields Present"))</x:f>
      </x:c>
      <x:c r="F5" s="331" t="str">
        <x:f>IF($A5="","",IF('Game Records'!$B5="","Start Date; ","")&amp;IF('Game Records'!$C5="","End Date; ","")&amp;IF(AND('Game Records'!$U5&lt;&gt;"Subscription",'Game Records'!$U5&lt;&gt;"Free Game",'Game Records'!$U5&lt;&gt;"Disqualified — Free Game",OR('Game Records'!$D5="",LOWER('Game Records'!$D5&amp;"")="n/a")),"Entry Mode; ","")&amp;IF(AND('Game Records'!$U5&lt;&gt;"Subscription",'Game Records'!$U5&lt;&gt;"Free Game",'Game Records'!$U5&lt;&gt;"Disqualified — Free Game",OR('Game Records'!$E5="",LOWER('Game Records'!$E5&amp;"")="n/a")),"Game Type; ","")&amp;IF('Game Records'!$F5="","Payment Type; ","")&amp;IF(AND('Game Records'!$U5&lt;&gt;"Subscription",'Game Records'!$U5&lt;&gt;"Free Game",'Game Records'!$U5&lt;&gt;"Disqualified — Free Game",'Game Records'!$G5=""),"Gross Pot; ","")&amp;IF(AND('Game Records'!$U5&lt;&gt;"Free Game",'Game Records'!$U5&lt;&gt;"Disqualified — Free Game",'Game Records'!$H5=""),"Entry Fee; ","")&amp;IF(AND('Game Records'!$U5&lt;&gt;"Subscription",'Game Records'!$U5&lt;&gt;"Free Game",'Game Records'!$U5&lt;&gt;"Disqualified — Free Game",'Game Records'!$I5=""),"Eligible Players; ","")&amp;IF(AND('Game Records'!$U5&lt;&gt;"Subscription",'Game Records'!$U5&lt;&gt;"Free Game",'Game Records'!$U5&lt;&gt;"Disqualified — Free Game",'Game Records'!$J5=""),"Total Players; ","")&amp;IF(AND(LOWER('Game Records'!$D5&amp;"")="finalized",LOWER('Game Records'!$L5&amp;"")&lt;&gt;"yes",'Game Records'!$U5&lt;&gt;"Subscription",'Game Records'!$U5&lt;&gt;"Free Game",'Game Records'!$U5&lt;&gt;"Disqualified — Free Game",'Game Records'!$K5=""),"Final Earned; ","")&amp;IF(AND(LOWER('Game Records'!$D5&amp;"")="finalized",'Game Records'!$U5&lt;&gt;"Subscription",'Game Records'!$U5&lt;&gt;"Free Game",'Game Records'!$U5&lt;&gt;"Disqualified — Free Game",OR('Game Records'!$L5="",LOWER('Game Records'!$L5&amp;"")="n/a")),"Disqualified Status; ",""))</x:f>
      </x:c>
      <x:c r="G5" s="331" t="str">
        <x:f>IF($A5="","",IFERROR('Game Records'!$M5,""))</x:f>
      </x:c>
      <x:c r="H5" s="104"/>
      <x:c r="I5" s="980" t="str">
        <x:v>Disqualified Games</x:v>
      </x:c>
      <x:c r="J5" s="981" t="n">
        <x:f>COUNTIF('Game Records'!$U$5:$U$504,"Disqualified")</x:f>
        <x:v>0</x:v>
      </x:c>
    </x:row>
    <x:row r="6" ht="15" hidden="0" customHeight="1">
      <x:c r="A6" s="332" t="str">
        <x:f>IF(OR(COUNTA('Game Records'!$A6:$M6)=0,'Game Records'!$F6="Subscription"),"",IFERROR(MAX($A$4:A5),0)+1)</x:f>
      </x:c>
      <x:c r="B6" s="332" t="str">
        <x:f>IF($A6="","","G-"&amp;TEXT(ROW('Game Records'!$A6)-4,"0000"))</x:f>
      </x:c>
      <x:c r="C6" s="331" t="str">
        <x:f>IF($A6="","",IFERROR('Game Records'!$A6,""))</x:f>
      </x:c>
      <x:c r="D6" s="331" t="str">
        <x:f>IF($A6="","",IFERROR('Game Records'!$U6,""))</x:f>
      </x:c>
      <x:c r="E6" s="331" t="str">
        <x:f>IF($A6="","",IF($F6="","No Highlighted Fields","Highlighted Fields Present"))</x:f>
      </x:c>
      <x:c r="F6" s="331" t="str">
        <x:f>IF($A6="","",IF('Game Records'!$B6="","Start Date; ","")&amp;IF('Game Records'!$C6="","End Date; ","")&amp;IF(AND('Game Records'!$U6&lt;&gt;"Subscription",'Game Records'!$U6&lt;&gt;"Free Game",'Game Records'!$U6&lt;&gt;"Disqualified — Free Game",OR('Game Records'!$D6="",LOWER('Game Records'!$D6&amp;"")="n/a")),"Entry Mode; ","")&amp;IF(AND('Game Records'!$U6&lt;&gt;"Subscription",'Game Records'!$U6&lt;&gt;"Free Game",'Game Records'!$U6&lt;&gt;"Disqualified — Free Game",OR('Game Records'!$E6="",LOWER('Game Records'!$E6&amp;"")="n/a")),"Game Type; ","")&amp;IF('Game Records'!$F6="","Payment Type; ","")&amp;IF(AND('Game Records'!$U6&lt;&gt;"Subscription",'Game Records'!$U6&lt;&gt;"Free Game",'Game Records'!$U6&lt;&gt;"Disqualified — Free Game",'Game Records'!$G6=""),"Gross Pot; ","")&amp;IF(AND('Game Records'!$U6&lt;&gt;"Free Game",'Game Records'!$U6&lt;&gt;"Disqualified — Free Game",'Game Records'!$H6=""),"Entry Fee; ","")&amp;IF(AND('Game Records'!$U6&lt;&gt;"Subscription",'Game Records'!$U6&lt;&gt;"Free Game",'Game Records'!$U6&lt;&gt;"Disqualified — Free Game",'Game Records'!$I6=""),"Eligible Players; ","")&amp;IF(AND('Game Records'!$U6&lt;&gt;"Subscription",'Game Records'!$U6&lt;&gt;"Free Game",'Game Records'!$U6&lt;&gt;"Disqualified — Free Game",'Game Records'!$J6=""),"Total Players; ","")&amp;IF(AND(LOWER('Game Records'!$D6&amp;"")="finalized",LOWER('Game Records'!$L6&amp;"")&lt;&gt;"yes",'Game Records'!$U6&lt;&gt;"Subscription",'Game Records'!$U6&lt;&gt;"Free Game",'Game Records'!$U6&lt;&gt;"Disqualified — Free Game",'Game Records'!$K6=""),"Final Earned; ","")&amp;IF(AND(LOWER('Game Records'!$D6&amp;"")="finalized",'Game Records'!$U6&lt;&gt;"Subscription",'Game Records'!$U6&lt;&gt;"Free Game",'Game Records'!$U6&lt;&gt;"Disqualified — Free Game",OR('Game Records'!$L6="",LOWER('Game Records'!$L6&amp;"")="n/a")),"Disqualified Status; ",""))</x:f>
      </x:c>
      <x:c r="G6" s="331" t="str">
        <x:f>IF($A6="","",IFERROR('Game Records'!$M6,""))</x:f>
      </x:c>
      <x:c r="H6" s="104"/>
      <x:c r="I6" s="980" t="str">
        <x:v>Free Games</x:v>
      </x:c>
      <x:c r="J6" s="981" t="n">
        <x:f>COUNTIF('Game Records'!$U$5:$U$504,"Free Game")+COUNTIF('Game Records'!$U$5:$U$504,"Disqualified — Free Game")</x:f>
        <x:v>0</x:v>
      </x:c>
    </x:row>
    <x:row r="7" ht="15" hidden="0" customHeight="1">
      <x:c r="A7" s="332" t="str">
        <x:f>IF(OR(COUNTA('Game Records'!$A7:$M7)=0,'Game Records'!$F7="Subscription"),"",IFERROR(MAX($A$4:A6),0)+1)</x:f>
      </x:c>
      <x:c r="B7" s="332" t="str">
        <x:f>IF($A7="","","G-"&amp;TEXT(ROW('Game Records'!$A7)-4,"0000"))</x:f>
      </x:c>
      <x:c r="C7" s="331" t="str">
        <x:f>IF($A7="","",IFERROR('Game Records'!$A7,""))</x:f>
      </x:c>
      <x:c r="D7" s="331" t="str">
        <x:f>IF($A7="","",IFERROR('Game Records'!$U7,""))</x:f>
      </x:c>
      <x:c r="E7" s="331" t="str">
        <x:f>IF($A7="","",IF($F7="","No Highlighted Fields","Highlighted Fields Present"))</x:f>
      </x:c>
      <x:c r="F7" s="331" t="str">
        <x:f>IF($A7="","",IF('Game Records'!$B7="","Start Date; ","")&amp;IF('Game Records'!$C7="","End Date; ","")&amp;IF(AND('Game Records'!$U7&lt;&gt;"Subscription",'Game Records'!$U7&lt;&gt;"Free Game",'Game Records'!$U7&lt;&gt;"Disqualified — Free Game",OR('Game Records'!$D7="",LOWER('Game Records'!$D7&amp;"")="n/a")),"Entry Mode; ","")&amp;IF(AND('Game Records'!$U7&lt;&gt;"Subscription",'Game Records'!$U7&lt;&gt;"Free Game",'Game Records'!$U7&lt;&gt;"Disqualified — Free Game",OR('Game Records'!$E7="",LOWER('Game Records'!$E7&amp;"")="n/a")),"Game Type; ","")&amp;IF('Game Records'!$F7="","Payment Type; ","")&amp;IF(AND('Game Records'!$U7&lt;&gt;"Subscription",'Game Records'!$U7&lt;&gt;"Free Game",'Game Records'!$U7&lt;&gt;"Disqualified — Free Game",'Game Records'!$G7=""),"Gross Pot; ","")&amp;IF(AND('Game Records'!$U7&lt;&gt;"Free Game",'Game Records'!$U7&lt;&gt;"Disqualified — Free Game",'Game Records'!$H7=""),"Entry Fee; ","")&amp;IF(AND('Game Records'!$U7&lt;&gt;"Subscription",'Game Records'!$U7&lt;&gt;"Free Game",'Game Records'!$U7&lt;&gt;"Disqualified — Free Game",'Game Records'!$I7=""),"Eligible Players; ","")&amp;IF(AND('Game Records'!$U7&lt;&gt;"Subscription",'Game Records'!$U7&lt;&gt;"Free Game",'Game Records'!$U7&lt;&gt;"Disqualified — Free Game",'Game Records'!$J7=""),"Total Players; ","")&amp;IF(AND(LOWER('Game Records'!$D7&amp;"")="finalized",LOWER('Game Records'!$L7&amp;"")&lt;&gt;"yes",'Game Records'!$U7&lt;&gt;"Subscription",'Game Records'!$U7&lt;&gt;"Free Game",'Game Records'!$U7&lt;&gt;"Disqualified — Free Game",'Game Records'!$K7=""),"Final Earned; ","")&amp;IF(AND(LOWER('Game Records'!$D7&amp;"")="finalized",'Game Records'!$U7&lt;&gt;"Subscription",'Game Records'!$U7&lt;&gt;"Free Game",'Game Records'!$U7&lt;&gt;"Disqualified — Free Game",OR('Game Records'!$L7="",LOWER('Game Records'!$L7&amp;"")="n/a")),"Disqualified Status; ",""))</x:f>
      </x:c>
      <x:c r="G7" s="331" t="str">
        <x:f>IF($A7="","",IFERROR('Game Records'!$M7,""))</x:f>
      </x:c>
      <x:c r="H7" s="104"/>
      <x:c r="I7" s="980" t="str">
        <x:v>Points Games</x:v>
      </x:c>
      <x:c r="J7" s="981" t="n">
        <x:f>COUNTIF('Game Records'!$F$5:$F$504,"Points")</x:f>
        <x:v>0</x:v>
      </x:c>
    </x:row>
    <x:row r="8" ht="15" hidden="0" customHeight="1">
      <x:c r="A8" s="332" t="str">
        <x:f>IF(OR(COUNTA('Game Records'!$A8:$M8)=0,'Game Records'!$F8="Subscription"),"",IFERROR(MAX($A$4:A7),0)+1)</x:f>
      </x:c>
      <x:c r="B8" s="332" t="str">
        <x:f>IF($A8="","","G-"&amp;TEXT(ROW('Game Records'!$A8)-4,"0000"))</x:f>
      </x:c>
      <x:c r="C8" s="331" t="str">
        <x:f>IF($A8="","",IFERROR('Game Records'!$A8,""))</x:f>
      </x:c>
      <x:c r="D8" s="331" t="str">
        <x:f>IF($A8="","",IFERROR('Game Records'!$U8,""))</x:f>
      </x:c>
      <x:c r="E8" s="331" t="str">
        <x:f>IF($A8="","",IF($F8="","No Highlighted Fields","Highlighted Fields Present"))</x:f>
      </x:c>
      <x:c r="F8" s="331" t="str">
        <x:f>IF($A8="","",IF('Game Records'!$B8="","Start Date; ","")&amp;IF('Game Records'!$C8="","End Date; ","")&amp;IF(AND('Game Records'!$U8&lt;&gt;"Subscription",'Game Records'!$U8&lt;&gt;"Free Game",'Game Records'!$U8&lt;&gt;"Disqualified — Free Game",OR('Game Records'!$D8="",LOWER('Game Records'!$D8&amp;"")="n/a")),"Entry Mode; ","")&amp;IF(AND('Game Records'!$U8&lt;&gt;"Subscription",'Game Records'!$U8&lt;&gt;"Free Game",'Game Records'!$U8&lt;&gt;"Disqualified — Free Game",OR('Game Records'!$E8="",LOWER('Game Records'!$E8&amp;"")="n/a")),"Game Type; ","")&amp;IF('Game Records'!$F8="","Payment Type; ","")&amp;IF(AND('Game Records'!$U8&lt;&gt;"Subscription",'Game Records'!$U8&lt;&gt;"Free Game",'Game Records'!$U8&lt;&gt;"Disqualified — Free Game",'Game Records'!$G8=""),"Gross Pot; ","")&amp;IF(AND('Game Records'!$U8&lt;&gt;"Free Game",'Game Records'!$U8&lt;&gt;"Disqualified — Free Game",'Game Records'!$H8=""),"Entry Fee; ","")&amp;IF(AND('Game Records'!$U8&lt;&gt;"Subscription",'Game Records'!$U8&lt;&gt;"Free Game",'Game Records'!$U8&lt;&gt;"Disqualified — Free Game",'Game Records'!$I8=""),"Eligible Players; ","")&amp;IF(AND('Game Records'!$U8&lt;&gt;"Subscription",'Game Records'!$U8&lt;&gt;"Free Game",'Game Records'!$U8&lt;&gt;"Disqualified — Free Game",'Game Records'!$J8=""),"Total Players; ","")&amp;IF(AND(LOWER('Game Records'!$D8&amp;"")="finalized",LOWER('Game Records'!$L8&amp;"")&lt;&gt;"yes",'Game Records'!$U8&lt;&gt;"Subscription",'Game Records'!$U8&lt;&gt;"Free Game",'Game Records'!$U8&lt;&gt;"Disqualified — Free Game",'Game Records'!$K8=""),"Final Earned; ","")&amp;IF(AND(LOWER('Game Records'!$D8&amp;"")="finalized",'Game Records'!$U8&lt;&gt;"Subscription",'Game Records'!$U8&lt;&gt;"Free Game",'Game Records'!$U8&lt;&gt;"Disqualified — Free Game",OR('Game Records'!$L8="",LOWER('Game Records'!$L8&amp;"")="n/a")),"Disqualified Status; ",""))</x:f>
      </x:c>
      <x:c r="G8" s="331" t="str">
        <x:f>IF($A8="","",IFERROR('Game Records'!$M8,""))</x:f>
      </x:c>
      <x:c r="H8" s="104"/>
      <x:c r="I8" s="980" t="str">
        <x:v>Cash / Hybrid Games</x:v>
      </x:c>
      <x:c r="J8" s="981" t="n">
        <x:f>COUNTIF('Game Records'!$F$5:$F$504,"Cash")+COUNTIF('Game Records'!$F$5:$F$504,"Hybrid")</x:f>
        <x:v>0</x:v>
      </x:c>
    </x:row>
    <x:row r="9" ht="15" hidden="0" customHeight="1">
      <x:c r="A9" s="332" t="str">
        <x:f>IF(OR(COUNTA('Game Records'!$A9:$M9)=0,'Game Records'!$F9="Subscription"),"",IFERROR(MAX($A$4:A8),0)+1)</x:f>
      </x:c>
      <x:c r="B9" s="332" t="str">
        <x:f>IF($A9="","","G-"&amp;TEXT(ROW('Game Records'!$A9)-4,"0000"))</x:f>
      </x:c>
      <x:c r="C9" s="331" t="str">
        <x:f>IF($A9="","",IFERROR('Game Records'!$A9,""))</x:f>
      </x:c>
      <x:c r="D9" s="331" t="str">
        <x:f>IF($A9="","",IFERROR('Game Records'!$U9,""))</x:f>
      </x:c>
      <x:c r="E9" s="331" t="str">
        <x:f>IF($A9="","",IF($F9="","No Highlighted Fields","Highlighted Fields Present"))</x:f>
      </x:c>
      <x:c r="F9" s="331" t="str">
        <x:f>IF($A9="","",IF('Game Records'!$B9="","Start Date; ","")&amp;IF('Game Records'!$C9="","End Date; ","")&amp;IF(AND('Game Records'!$U9&lt;&gt;"Subscription",'Game Records'!$U9&lt;&gt;"Free Game",'Game Records'!$U9&lt;&gt;"Disqualified — Free Game",OR('Game Records'!$D9="",LOWER('Game Records'!$D9&amp;"")="n/a")),"Entry Mode; ","")&amp;IF(AND('Game Records'!$U9&lt;&gt;"Subscription",'Game Records'!$U9&lt;&gt;"Free Game",'Game Records'!$U9&lt;&gt;"Disqualified — Free Game",OR('Game Records'!$E9="",LOWER('Game Records'!$E9&amp;"")="n/a")),"Game Type; ","")&amp;IF('Game Records'!$F9="","Payment Type; ","")&amp;IF(AND('Game Records'!$U9&lt;&gt;"Subscription",'Game Records'!$U9&lt;&gt;"Free Game",'Game Records'!$U9&lt;&gt;"Disqualified — Free Game",'Game Records'!$G9=""),"Gross Pot; ","")&amp;IF(AND('Game Records'!$U9&lt;&gt;"Free Game",'Game Records'!$U9&lt;&gt;"Disqualified — Free Game",'Game Records'!$H9=""),"Entry Fee; ","")&amp;IF(AND('Game Records'!$U9&lt;&gt;"Subscription",'Game Records'!$U9&lt;&gt;"Free Game",'Game Records'!$U9&lt;&gt;"Disqualified — Free Game",'Game Records'!$I9=""),"Eligible Players; ","")&amp;IF(AND('Game Records'!$U9&lt;&gt;"Subscription",'Game Records'!$U9&lt;&gt;"Free Game",'Game Records'!$U9&lt;&gt;"Disqualified — Free Game",'Game Records'!$J9=""),"Total Players; ","")&amp;IF(AND(LOWER('Game Records'!$D9&amp;"")="finalized",LOWER('Game Records'!$L9&amp;"")&lt;&gt;"yes",'Game Records'!$U9&lt;&gt;"Subscription",'Game Records'!$U9&lt;&gt;"Free Game",'Game Records'!$U9&lt;&gt;"Disqualified — Free Game",'Game Records'!$K9=""),"Final Earned; ","")&amp;IF(AND(LOWER('Game Records'!$D9&amp;"")="finalized",'Game Records'!$U9&lt;&gt;"Subscription",'Game Records'!$U9&lt;&gt;"Free Game",'Game Records'!$U9&lt;&gt;"Disqualified — Free Game",OR('Game Records'!$L9="",LOWER('Game Records'!$L9&amp;"")="n/a")),"Disqualified Status; ",""))</x:f>
      </x:c>
      <x:c r="G9" s="331" t="str">
        <x:f>IF($A9="","",IFERROR('Game Records'!$M9,""))</x:f>
      </x:c>
      <x:c r="H9" s="104"/>
      <x:c r="I9" s="104"/>
      <x:c r="J9" s="104"/>
    </x:row>
    <x:row r="10" ht="15" hidden="0" customHeight="1">
      <x:c r="A10" s="332" t="str">
        <x:f>IF(OR(COUNTA('Game Records'!$A10:$M10)=0,'Game Records'!$F10="Subscription"),"",IFERROR(MAX($A$4:A9),0)+1)</x:f>
      </x:c>
      <x:c r="B10" s="332" t="str">
        <x:f>IF($A10="","","G-"&amp;TEXT(ROW('Game Records'!$A10)-4,"0000"))</x:f>
      </x:c>
      <x:c r="C10" s="331" t="str">
        <x:f>IF($A10="","",IFERROR('Game Records'!$A10,""))</x:f>
      </x:c>
      <x:c r="D10" s="331" t="str">
        <x:f>IF($A10="","",IFERROR('Game Records'!$U10,""))</x:f>
      </x:c>
      <x:c r="E10" s="331" t="str">
        <x:f>IF($A10="","",IF($F10="","No Highlighted Fields","Highlighted Fields Present"))</x:f>
      </x:c>
      <x:c r="F10" s="331" t="str">
        <x:f>IF($A10="","",IF('Game Records'!$B10="","Start Date; ","")&amp;IF('Game Records'!$C10="","End Date; ","")&amp;IF(AND('Game Records'!$U10&lt;&gt;"Subscription",'Game Records'!$U10&lt;&gt;"Free Game",'Game Records'!$U10&lt;&gt;"Disqualified — Free Game",OR('Game Records'!$D10="",LOWER('Game Records'!$D10&amp;"")="n/a")),"Entry Mode; ","")&amp;IF(AND('Game Records'!$U10&lt;&gt;"Subscription",'Game Records'!$U10&lt;&gt;"Free Game",'Game Records'!$U10&lt;&gt;"Disqualified — Free Game",OR('Game Records'!$E10="",LOWER('Game Records'!$E10&amp;"")="n/a")),"Game Type; ","")&amp;IF('Game Records'!$F10="","Payment Type; ","")&amp;IF(AND('Game Records'!$U10&lt;&gt;"Subscription",'Game Records'!$U10&lt;&gt;"Free Game",'Game Records'!$U10&lt;&gt;"Disqualified — Free Game",'Game Records'!$G10=""),"Gross Pot; ","")&amp;IF(AND('Game Records'!$U10&lt;&gt;"Free Game",'Game Records'!$U10&lt;&gt;"Disqualified — Free Game",'Game Records'!$H10=""),"Entry Fee; ","")&amp;IF(AND('Game Records'!$U10&lt;&gt;"Subscription",'Game Records'!$U10&lt;&gt;"Free Game",'Game Records'!$U10&lt;&gt;"Disqualified — Free Game",'Game Records'!$I10=""),"Eligible Players; ","")&amp;IF(AND('Game Records'!$U10&lt;&gt;"Subscription",'Game Records'!$U10&lt;&gt;"Free Game",'Game Records'!$U10&lt;&gt;"Disqualified — Free Game",'Game Records'!$J10=""),"Total Players; ","")&amp;IF(AND(LOWER('Game Records'!$D10&amp;"")="finalized",LOWER('Game Records'!$L10&amp;"")&lt;&gt;"yes",'Game Records'!$U10&lt;&gt;"Subscription",'Game Records'!$U10&lt;&gt;"Free Game",'Game Records'!$U10&lt;&gt;"Disqualified — Free Game",'Game Records'!$K10=""),"Final Earned; ","")&amp;IF(AND(LOWER('Game Records'!$D10&amp;"")="finalized",'Game Records'!$U10&lt;&gt;"Subscription",'Game Records'!$U10&lt;&gt;"Free Game",'Game Records'!$U10&lt;&gt;"Disqualified — Free Game",OR('Game Records'!$L10="",LOWER('Game Records'!$L10&amp;"")="n/a")),"Disqualified Status; ",""))</x:f>
      </x:c>
      <x:c r="G10" s="331" t="str">
        <x:f>IF($A10="","",IFERROR('Game Records'!$M10,""))</x:f>
      </x:c>
      <x:c r="H10" s="104"/>
      <x:c r="I10" s="104"/>
      <x:c r="J10" s="104"/>
    </x:row>
    <x:row r="11" ht="15" hidden="0" customHeight="1">
      <x:c r="A11" s="332" t="str">
        <x:f>IF(OR(COUNTA('Game Records'!$A11:$M11)=0,'Game Records'!$F11="Subscription"),"",IFERROR(MAX($A$4:A10),0)+1)</x:f>
      </x:c>
      <x:c r="B11" s="332" t="str">
        <x:f>IF($A11="","","G-"&amp;TEXT(ROW('Game Records'!$A11)-4,"0000"))</x:f>
      </x:c>
      <x:c r="C11" s="331" t="str">
        <x:f>IF($A11="","",IFERROR('Game Records'!$A11,""))</x:f>
      </x:c>
      <x:c r="D11" s="331" t="str">
        <x:f>IF($A11="","",IFERROR('Game Records'!$U11,""))</x:f>
      </x:c>
      <x:c r="E11" s="331" t="str">
        <x:f>IF($A11="","",IF($F11="","No Highlighted Fields","Highlighted Fields Present"))</x:f>
      </x:c>
      <x:c r="F11" s="331" t="str">
        <x:f>IF($A11="","",IF('Game Records'!$B11="","Start Date; ","")&amp;IF('Game Records'!$C11="","End Date; ","")&amp;IF(AND('Game Records'!$U11&lt;&gt;"Subscription",'Game Records'!$U11&lt;&gt;"Free Game",'Game Records'!$U11&lt;&gt;"Disqualified — Free Game",OR('Game Records'!$D11="",LOWER('Game Records'!$D11&amp;"")="n/a")),"Entry Mode; ","")&amp;IF(AND('Game Records'!$U11&lt;&gt;"Subscription",'Game Records'!$U11&lt;&gt;"Free Game",'Game Records'!$U11&lt;&gt;"Disqualified — Free Game",OR('Game Records'!$E11="",LOWER('Game Records'!$E11&amp;"")="n/a")),"Game Type; ","")&amp;IF('Game Records'!$F11="","Payment Type; ","")&amp;IF(AND('Game Records'!$U11&lt;&gt;"Subscription",'Game Records'!$U11&lt;&gt;"Free Game",'Game Records'!$U11&lt;&gt;"Disqualified — Free Game",'Game Records'!$G11=""),"Gross Pot; ","")&amp;IF(AND('Game Records'!$U11&lt;&gt;"Free Game",'Game Records'!$U11&lt;&gt;"Disqualified — Free Game",'Game Records'!$H11=""),"Entry Fee; ","")&amp;IF(AND('Game Records'!$U11&lt;&gt;"Subscription",'Game Records'!$U11&lt;&gt;"Free Game",'Game Records'!$U11&lt;&gt;"Disqualified — Free Game",'Game Records'!$I11=""),"Eligible Players; ","")&amp;IF(AND('Game Records'!$U11&lt;&gt;"Subscription",'Game Records'!$U11&lt;&gt;"Free Game",'Game Records'!$U11&lt;&gt;"Disqualified — Free Game",'Game Records'!$J11=""),"Total Players; ","")&amp;IF(AND(LOWER('Game Records'!$D11&amp;"")="finalized",LOWER('Game Records'!$L11&amp;"")&lt;&gt;"yes",'Game Records'!$U11&lt;&gt;"Subscription",'Game Records'!$U11&lt;&gt;"Free Game",'Game Records'!$U11&lt;&gt;"Disqualified — Free Game",'Game Records'!$K11=""),"Final Earned; ","")&amp;IF(AND(LOWER('Game Records'!$D11&amp;"")="finalized",'Game Records'!$U11&lt;&gt;"Subscription",'Game Records'!$U11&lt;&gt;"Free Game",'Game Records'!$U11&lt;&gt;"Disqualified — Free Game",OR('Game Records'!$L11="",LOWER('Game Records'!$L11&amp;"")="n/a")),"Disqualified Status; ",""))</x:f>
      </x:c>
      <x:c r="G11" s="331" t="str">
        <x:f>IF($A11="","",IFERROR('Game Records'!$M11,""))</x:f>
      </x:c>
      <x:c r="H11" s="104"/>
      <x:c r="I11" s="104"/>
      <x:c r="J11" s="104"/>
    </x:row>
    <x:row r="12" ht="15" hidden="0" customHeight="1">
      <x:c r="A12" s="332" t="str">
        <x:f>IF(OR(COUNTA('Game Records'!$A12:$M12)=0,'Game Records'!$F12="Subscription"),"",IFERROR(MAX($A$4:A11),0)+1)</x:f>
      </x:c>
      <x:c r="B12" s="332" t="str">
        <x:f>IF($A12="","","G-"&amp;TEXT(ROW('Game Records'!$A12)-4,"0000"))</x:f>
      </x:c>
      <x:c r="C12" s="331" t="str">
        <x:f>IF($A12="","",IFERROR('Game Records'!$A12,""))</x:f>
      </x:c>
      <x:c r="D12" s="331" t="str">
        <x:f>IF($A12="","",IFERROR('Game Records'!$U12,""))</x:f>
      </x:c>
      <x:c r="E12" s="331" t="str">
        <x:f>IF($A12="","",IF($F12="","No Highlighted Fields","Highlighted Fields Present"))</x:f>
      </x:c>
      <x:c r="F12" s="331" t="str">
        <x:f>IF($A12="","",IF('Game Records'!$B12="","Start Date; ","")&amp;IF('Game Records'!$C12="","End Date; ","")&amp;IF(AND('Game Records'!$U12&lt;&gt;"Subscription",'Game Records'!$U12&lt;&gt;"Free Game",'Game Records'!$U12&lt;&gt;"Disqualified — Free Game",OR('Game Records'!$D12="",LOWER('Game Records'!$D12&amp;"")="n/a")),"Entry Mode; ","")&amp;IF(AND('Game Records'!$U12&lt;&gt;"Subscription",'Game Records'!$U12&lt;&gt;"Free Game",'Game Records'!$U12&lt;&gt;"Disqualified — Free Game",OR('Game Records'!$E12="",LOWER('Game Records'!$E12&amp;"")="n/a")),"Game Type; ","")&amp;IF('Game Records'!$F12="","Payment Type; ","")&amp;IF(AND('Game Records'!$U12&lt;&gt;"Subscription",'Game Records'!$U12&lt;&gt;"Free Game",'Game Records'!$U12&lt;&gt;"Disqualified — Free Game",'Game Records'!$G12=""),"Gross Pot; ","")&amp;IF(AND('Game Records'!$U12&lt;&gt;"Free Game",'Game Records'!$U12&lt;&gt;"Disqualified — Free Game",'Game Records'!$H12=""),"Entry Fee; ","")&amp;IF(AND('Game Records'!$U12&lt;&gt;"Subscription",'Game Records'!$U12&lt;&gt;"Free Game",'Game Records'!$U12&lt;&gt;"Disqualified — Free Game",'Game Records'!$I12=""),"Eligible Players; ","")&amp;IF(AND('Game Records'!$U12&lt;&gt;"Subscription",'Game Records'!$U12&lt;&gt;"Free Game",'Game Records'!$U12&lt;&gt;"Disqualified — Free Game",'Game Records'!$J12=""),"Total Players; ","")&amp;IF(AND(LOWER('Game Records'!$D12&amp;"")="finalized",LOWER('Game Records'!$L12&amp;"")&lt;&gt;"yes",'Game Records'!$U12&lt;&gt;"Subscription",'Game Records'!$U12&lt;&gt;"Free Game",'Game Records'!$U12&lt;&gt;"Disqualified — Free Game",'Game Records'!$K12=""),"Final Earned; ","")&amp;IF(AND(LOWER('Game Records'!$D12&amp;"")="finalized",'Game Records'!$U12&lt;&gt;"Subscription",'Game Records'!$U12&lt;&gt;"Free Game",'Game Records'!$U12&lt;&gt;"Disqualified — Free Game",OR('Game Records'!$L12="",LOWER('Game Records'!$L12&amp;"")="n/a")),"Disqualified Status; ",""))</x:f>
      </x:c>
      <x:c r="G12" s="331" t="str">
        <x:f>IF($A12="","",IFERROR('Game Records'!$M12,""))</x:f>
      </x:c>
      <x:c r="H12" s="104"/>
      <x:c r="I12" s="104"/>
      <x:c r="J12" s="104"/>
    </x:row>
    <x:row r="13" ht="15" hidden="0" customHeight="1">
      <x:c r="A13" s="332" t="str">
        <x:f>IF(OR(COUNTA('Game Records'!$A13:$M13)=0,'Game Records'!$F13="Subscription"),"",IFERROR(MAX($A$4:A12),0)+1)</x:f>
      </x:c>
      <x:c r="B13" s="332" t="str">
        <x:f>IF($A13="","","G-"&amp;TEXT(ROW('Game Records'!$A13)-4,"0000"))</x:f>
      </x:c>
      <x:c r="C13" s="331" t="str">
        <x:f>IF($A13="","",IFERROR('Game Records'!$A13,""))</x:f>
      </x:c>
      <x:c r="D13" s="331" t="str">
        <x:f>IF($A13="","",IFERROR('Game Records'!$U13,""))</x:f>
      </x:c>
      <x:c r="E13" s="331" t="str">
        <x:f>IF($A13="","",IF($F13="","No Highlighted Fields","Highlighted Fields Present"))</x:f>
      </x:c>
      <x:c r="F13" s="331" t="str">
        <x:f>IF($A13="","",IF('Game Records'!$B13="","Start Date; ","")&amp;IF('Game Records'!$C13="","End Date; ","")&amp;IF(AND('Game Records'!$U13&lt;&gt;"Subscription",'Game Records'!$U13&lt;&gt;"Free Game",'Game Records'!$U13&lt;&gt;"Disqualified — Free Game",OR('Game Records'!$D13="",LOWER('Game Records'!$D13&amp;"")="n/a")),"Entry Mode; ","")&amp;IF(AND('Game Records'!$U13&lt;&gt;"Subscription",'Game Records'!$U13&lt;&gt;"Free Game",'Game Records'!$U13&lt;&gt;"Disqualified — Free Game",OR('Game Records'!$E13="",LOWER('Game Records'!$E13&amp;"")="n/a")),"Game Type; ","")&amp;IF('Game Records'!$F13="","Payment Type; ","")&amp;IF(AND('Game Records'!$U13&lt;&gt;"Subscription",'Game Records'!$U13&lt;&gt;"Free Game",'Game Records'!$U13&lt;&gt;"Disqualified — Free Game",'Game Records'!$G13=""),"Gross Pot; ","")&amp;IF(AND('Game Records'!$U13&lt;&gt;"Free Game",'Game Records'!$U13&lt;&gt;"Disqualified — Free Game",'Game Records'!$H13=""),"Entry Fee; ","")&amp;IF(AND('Game Records'!$U13&lt;&gt;"Subscription",'Game Records'!$U13&lt;&gt;"Free Game",'Game Records'!$U13&lt;&gt;"Disqualified — Free Game",'Game Records'!$I13=""),"Eligible Players; ","")&amp;IF(AND('Game Records'!$U13&lt;&gt;"Subscription",'Game Records'!$U13&lt;&gt;"Free Game",'Game Records'!$U13&lt;&gt;"Disqualified — Free Game",'Game Records'!$J13=""),"Total Players; ","")&amp;IF(AND(LOWER('Game Records'!$D13&amp;"")="finalized",LOWER('Game Records'!$L13&amp;"")&lt;&gt;"yes",'Game Records'!$U13&lt;&gt;"Subscription",'Game Records'!$U13&lt;&gt;"Free Game",'Game Records'!$U13&lt;&gt;"Disqualified — Free Game",'Game Records'!$K13=""),"Final Earned; ","")&amp;IF(AND(LOWER('Game Records'!$D13&amp;"")="finalized",'Game Records'!$U13&lt;&gt;"Subscription",'Game Records'!$U13&lt;&gt;"Free Game",'Game Records'!$U13&lt;&gt;"Disqualified — Free Game",OR('Game Records'!$L13="",LOWER('Game Records'!$L13&amp;"")="n/a")),"Disqualified Status; ",""))</x:f>
      </x:c>
      <x:c r="G13" s="331" t="str">
        <x:f>IF($A13="","",IFERROR('Game Records'!$M13,""))</x:f>
      </x:c>
      <x:c r="H13" s="104"/>
      <x:c r="I13" s="104"/>
      <x:c r="J13" s="104"/>
    </x:row>
    <x:row r="14" ht="15" hidden="0" customHeight="1">
      <x:c r="A14" s="332" t="str">
        <x:f>IF(OR(COUNTA('Game Records'!$A14:$M14)=0,'Game Records'!$F14="Subscription"),"",IFERROR(MAX($A$4:A13),0)+1)</x:f>
      </x:c>
      <x:c r="B14" s="332" t="str">
        <x:f>IF($A14="","","G-"&amp;TEXT(ROW('Game Records'!$A14)-4,"0000"))</x:f>
      </x:c>
      <x:c r="C14" s="331" t="str">
        <x:f>IF($A14="","",IFERROR('Game Records'!$A14,""))</x:f>
      </x:c>
      <x:c r="D14" s="331" t="str">
        <x:f>IF($A14="","",IFERROR('Game Records'!$U14,""))</x:f>
      </x:c>
      <x:c r="E14" s="331" t="str">
        <x:f>IF($A14="","",IF($F14="","No Highlighted Fields","Highlighted Fields Present"))</x:f>
      </x:c>
      <x:c r="F14" s="331" t="str">
        <x:f>IF($A14="","",IF('Game Records'!$B14="","Start Date; ","")&amp;IF('Game Records'!$C14="","End Date; ","")&amp;IF(AND('Game Records'!$U14&lt;&gt;"Subscription",'Game Records'!$U14&lt;&gt;"Free Game",'Game Records'!$U14&lt;&gt;"Disqualified — Free Game",OR('Game Records'!$D14="",LOWER('Game Records'!$D14&amp;"")="n/a")),"Entry Mode; ","")&amp;IF(AND('Game Records'!$U14&lt;&gt;"Subscription",'Game Records'!$U14&lt;&gt;"Free Game",'Game Records'!$U14&lt;&gt;"Disqualified — Free Game",OR('Game Records'!$E14="",LOWER('Game Records'!$E14&amp;"")="n/a")),"Game Type; ","")&amp;IF('Game Records'!$F14="","Payment Type; ","")&amp;IF(AND('Game Records'!$U14&lt;&gt;"Subscription",'Game Records'!$U14&lt;&gt;"Free Game",'Game Records'!$U14&lt;&gt;"Disqualified — Free Game",'Game Records'!$G14=""),"Gross Pot; ","")&amp;IF(AND('Game Records'!$U14&lt;&gt;"Free Game",'Game Records'!$U14&lt;&gt;"Disqualified — Free Game",'Game Records'!$H14=""),"Entry Fee; ","")&amp;IF(AND('Game Records'!$U14&lt;&gt;"Subscription",'Game Records'!$U14&lt;&gt;"Free Game",'Game Records'!$U14&lt;&gt;"Disqualified — Free Game",'Game Records'!$I14=""),"Eligible Players; ","")&amp;IF(AND('Game Records'!$U14&lt;&gt;"Subscription",'Game Records'!$U14&lt;&gt;"Free Game",'Game Records'!$U14&lt;&gt;"Disqualified — Free Game",'Game Records'!$J14=""),"Total Players; ","")&amp;IF(AND(LOWER('Game Records'!$D14&amp;"")="finalized",LOWER('Game Records'!$L14&amp;"")&lt;&gt;"yes",'Game Records'!$U14&lt;&gt;"Subscription",'Game Records'!$U14&lt;&gt;"Free Game",'Game Records'!$U14&lt;&gt;"Disqualified — Free Game",'Game Records'!$K14=""),"Final Earned; ","")&amp;IF(AND(LOWER('Game Records'!$D14&amp;"")="finalized",'Game Records'!$U14&lt;&gt;"Subscription",'Game Records'!$U14&lt;&gt;"Free Game",'Game Records'!$U14&lt;&gt;"Disqualified — Free Game",OR('Game Records'!$L14="",LOWER('Game Records'!$L14&amp;"")="n/a")),"Disqualified Status; ",""))</x:f>
      </x:c>
      <x:c r="G14" s="331" t="str">
        <x:f>IF($A14="","",IFERROR('Game Records'!$M14,""))</x:f>
      </x:c>
      <x:c r="H14" s="104"/>
      <x:c r="I14" s="104"/>
      <x:c r="J14" s="104"/>
    </x:row>
    <x:row r="15" ht="15" hidden="0" customHeight="1">
      <x:c r="A15" s="332" t="str">
        <x:f>IF(OR(COUNTA('Game Records'!$A15:$M15)=0,'Game Records'!$F15="Subscription"),"",IFERROR(MAX($A$4:A14),0)+1)</x:f>
      </x:c>
      <x:c r="B15" s="332" t="str">
        <x:f>IF($A15="","","G-"&amp;TEXT(ROW('Game Records'!$A15)-4,"0000"))</x:f>
      </x:c>
      <x:c r="C15" s="331" t="str">
        <x:f>IF($A15="","",IFERROR('Game Records'!$A15,""))</x:f>
      </x:c>
      <x:c r="D15" s="331" t="str">
        <x:f>IF($A15="","",IFERROR('Game Records'!$U15,""))</x:f>
      </x:c>
      <x:c r="E15" s="331" t="str">
        <x:f>IF($A15="","",IF($F15="","No Highlighted Fields","Highlighted Fields Present"))</x:f>
      </x:c>
      <x:c r="F15" s="331" t="str">
        <x:f>IF($A15="","",IF('Game Records'!$B15="","Start Date; ","")&amp;IF('Game Records'!$C15="","End Date; ","")&amp;IF(AND('Game Records'!$U15&lt;&gt;"Subscription",'Game Records'!$U15&lt;&gt;"Free Game",'Game Records'!$U15&lt;&gt;"Disqualified — Free Game",OR('Game Records'!$D15="",LOWER('Game Records'!$D15&amp;"")="n/a")),"Entry Mode; ","")&amp;IF(AND('Game Records'!$U15&lt;&gt;"Subscription",'Game Records'!$U15&lt;&gt;"Free Game",'Game Records'!$U15&lt;&gt;"Disqualified — Free Game",OR('Game Records'!$E15="",LOWER('Game Records'!$E15&amp;"")="n/a")),"Game Type; ","")&amp;IF('Game Records'!$F15="","Payment Type; ","")&amp;IF(AND('Game Records'!$U15&lt;&gt;"Subscription",'Game Records'!$U15&lt;&gt;"Free Game",'Game Records'!$U15&lt;&gt;"Disqualified — Free Game",'Game Records'!$G15=""),"Gross Pot; ","")&amp;IF(AND('Game Records'!$U15&lt;&gt;"Free Game",'Game Records'!$U15&lt;&gt;"Disqualified — Free Game",'Game Records'!$H15=""),"Entry Fee; ","")&amp;IF(AND('Game Records'!$U15&lt;&gt;"Subscription",'Game Records'!$U15&lt;&gt;"Free Game",'Game Records'!$U15&lt;&gt;"Disqualified — Free Game",'Game Records'!$I15=""),"Eligible Players; ","")&amp;IF(AND('Game Records'!$U15&lt;&gt;"Subscription",'Game Records'!$U15&lt;&gt;"Free Game",'Game Records'!$U15&lt;&gt;"Disqualified — Free Game",'Game Records'!$J15=""),"Total Players; ","")&amp;IF(AND(LOWER('Game Records'!$D15&amp;"")="finalized",LOWER('Game Records'!$L15&amp;"")&lt;&gt;"yes",'Game Records'!$U15&lt;&gt;"Subscription",'Game Records'!$U15&lt;&gt;"Free Game",'Game Records'!$U15&lt;&gt;"Disqualified — Free Game",'Game Records'!$K15=""),"Final Earned; ","")&amp;IF(AND(LOWER('Game Records'!$D15&amp;"")="finalized",'Game Records'!$U15&lt;&gt;"Subscription",'Game Records'!$U15&lt;&gt;"Free Game",'Game Records'!$U15&lt;&gt;"Disqualified — Free Game",OR('Game Records'!$L15="",LOWER('Game Records'!$L15&amp;"")="n/a")),"Disqualified Status; ",""))</x:f>
      </x:c>
      <x:c r="G15" s="331" t="str">
        <x:f>IF($A15="","",IFERROR('Game Records'!$M15,""))</x:f>
      </x:c>
      <x:c r="H15" s="104"/>
      <x:c r="I15" s="104"/>
      <x:c r="J15" s="104"/>
    </x:row>
    <x:row r="16" ht="15" hidden="0" customHeight="1">
      <x:c r="A16" s="332" t="str">
        <x:f>IF(OR(COUNTA('Game Records'!$A16:$M16)=0,'Game Records'!$F16="Subscription"),"",IFERROR(MAX($A$4:A15),0)+1)</x:f>
      </x:c>
      <x:c r="B16" s="332" t="str">
        <x:f>IF($A16="","","G-"&amp;TEXT(ROW('Game Records'!$A16)-4,"0000"))</x:f>
      </x:c>
      <x:c r="C16" s="331" t="str">
        <x:f>IF($A16="","",IFERROR('Game Records'!$A16,""))</x:f>
      </x:c>
      <x:c r="D16" s="331" t="str">
        <x:f>IF($A16="","",IFERROR('Game Records'!$U16,""))</x:f>
      </x:c>
      <x:c r="E16" s="331" t="str">
        <x:f>IF($A16="","",IF($F16="","No Highlighted Fields","Highlighted Fields Present"))</x:f>
      </x:c>
      <x:c r="F16" s="331" t="str">
        <x:f>IF($A16="","",IF('Game Records'!$B16="","Start Date; ","")&amp;IF('Game Records'!$C16="","End Date; ","")&amp;IF(AND('Game Records'!$U16&lt;&gt;"Subscription",'Game Records'!$U16&lt;&gt;"Free Game",'Game Records'!$U16&lt;&gt;"Disqualified — Free Game",OR('Game Records'!$D16="",LOWER('Game Records'!$D16&amp;"")="n/a")),"Entry Mode; ","")&amp;IF(AND('Game Records'!$U16&lt;&gt;"Subscription",'Game Records'!$U16&lt;&gt;"Free Game",'Game Records'!$U16&lt;&gt;"Disqualified — Free Game",OR('Game Records'!$E16="",LOWER('Game Records'!$E16&amp;"")="n/a")),"Game Type; ","")&amp;IF('Game Records'!$F16="","Payment Type; ","")&amp;IF(AND('Game Records'!$U16&lt;&gt;"Subscription",'Game Records'!$U16&lt;&gt;"Free Game",'Game Records'!$U16&lt;&gt;"Disqualified — Free Game",'Game Records'!$G16=""),"Gross Pot; ","")&amp;IF(AND('Game Records'!$U16&lt;&gt;"Free Game",'Game Records'!$U16&lt;&gt;"Disqualified — Free Game",'Game Records'!$H16=""),"Entry Fee; ","")&amp;IF(AND('Game Records'!$U16&lt;&gt;"Subscription",'Game Records'!$U16&lt;&gt;"Free Game",'Game Records'!$U16&lt;&gt;"Disqualified — Free Game",'Game Records'!$I16=""),"Eligible Players; ","")&amp;IF(AND('Game Records'!$U16&lt;&gt;"Subscription",'Game Records'!$U16&lt;&gt;"Free Game",'Game Records'!$U16&lt;&gt;"Disqualified — Free Game",'Game Records'!$J16=""),"Total Players; ","")&amp;IF(AND(LOWER('Game Records'!$D16&amp;"")="finalized",LOWER('Game Records'!$L16&amp;"")&lt;&gt;"yes",'Game Records'!$U16&lt;&gt;"Subscription",'Game Records'!$U16&lt;&gt;"Free Game",'Game Records'!$U16&lt;&gt;"Disqualified — Free Game",'Game Records'!$K16=""),"Final Earned; ","")&amp;IF(AND(LOWER('Game Records'!$D16&amp;"")="finalized",'Game Records'!$U16&lt;&gt;"Subscription",'Game Records'!$U16&lt;&gt;"Free Game",'Game Records'!$U16&lt;&gt;"Disqualified — Free Game",OR('Game Records'!$L16="",LOWER('Game Records'!$L16&amp;"")="n/a")),"Disqualified Status; ",""))</x:f>
      </x:c>
      <x:c r="G16" s="331" t="str">
        <x:f>IF($A16="","",IFERROR('Game Records'!$M16,""))</x:f>
      </x:c>
      <x:c r="H16" s="104"/>
      <x:c r="I16" s="104"/>
      <x:c r="J16" s="104"/>
    </x:row>
    <x:row r="17" ht="15" hidden="0" customHeight="1">
      <x:c r="A17" s="332" t="str">
        <x:f>IF(OR(COUNTA('Game Records'!$A17:$M17)=0,'Game Records'!$F17="Subscription"),"",IFERROR(MAX($A$4:A16),0)+1)</x:f>
      </x:c>
      <x:c r="B17" s="332" t="str">
        <x:f>IF($A17="","","G-"&amp;TEXT(ROW('Game Records'!$A17)-4,"0000"))</x:f>
      </x:c>
      <x:c r="C17" s="331" t="str">
        <x:f>IF($A17="","",IFERROR('Game Records'!$A17,""))</x:f>
      </x:c>
      <x:c r="D17" s="331" t="str">
        <x:f>IF($A17="","",IFERROR('Game Records'!$U17,""))</x:f>
      </x:c>
      <x:c r="E17" s="331" t="str">
        <x:f>IF($A17="","",IF($F17="","No Highlighted Fields","Highlighted Fields Present"))</x:f>
      </x:c>
      <x:c r="F17" s="331" t="str">
        <x:f>IF($A17="","",IF('Game Records'!$B17="","Start Date; ","")&amp;IF('Game Records'!$C17="","End Date; ","")&amp;IF(AND('Game Records'!$U17&lt;&gt;"Subscription",'Game Records'!$U17&lt;&gt;"Free Game",'Game Records'!$U17&lt;&gt;"Disqualified — Free Game",OR('Game Records'!$D17="",LOWER('Game Records'!$D17&amp;"")="n/a")),"Entry Mode; ","")&amp;IF(AND('Game Records'!$U17&lt;&gt;"Subscription",'Game Records'!$U17&lt;&gt;"Free Game",'Game Records'!$U17&lt;&gt;"Disqualified — Free Game",OR('Game Records'!$E17="",LOWER('Game Records'!$E17&amp;"")="n/a")),"Game Type; ","")&amp;IF('Game Records'!$F17="","Payment Type; ","")&amp;IF(AND('Game Records'!$U17&lt;&gt;"Subscription",'Game Records'!$U17&lt;&gt;"Free Game",'Game Records'!$U17&lt;&gt;"Disqualified — Free Game",'Game Records'!$G17=""),"Gross Pot; ","")&amp;IF(AND('Game Records'!$U17&lt;&gt;"Free Game",'Game Records'!$U17&lt;&gt;"Disqualified — Free Game",'Game Records'!$H17=""),"Entry Fee; ","")&amp;IF(AND('Game Records'!$U17&lt;&gt;"Subscription",'Game Records'!$U17&lt;&gt;"Free Game",'Game Records'!$U17&lt;&gt;"Disqualified — Free Game",'Game Records'!$I17=""),"Eligible Players; ","")&amp;IF(AND('Game Records'!$U17&lt;&gt;"Subscription",'Game Records'!$U17&lt;&gt;"Free Game",'Game Records'!$U17&lt;&gt;"Disqualified — Free Game",'Game Records'!$J17=""),"Total Players; ","")&amp;IF(AND(LOWER('Game Records'!$D17&amp;"")="finalized",LOWER('Game Records'!$L17&amp;"")&lt;&gt;"yes",'Game Records'!$U17&lt;&gt;"Subscription",'Game Records'!$U17&lt;&gt;"Free Game",'Game Records'!$U17&lt;&gt;"Disqualified — Free Game",'Game Records'!$K17=""),"Final Earned; ","")&amp;IF(AND(LOWER('Game Records'!$D17&amp;"")="finalized",'Game Records'!$U17&lt;&gt;"Subscription",'Game Records'!$U17&lt;&gt;"Free Game",'Game Records'!$U17&lt;&gt;"Disqualified — Free Game",OR('Game Records'!$L17="",LOWER('Game Records'!$L17&amp;"")="n/a")),"Disqualified Status; ",""))</x:f>
      </x:c>
      <x:c r="G17" s="331" t="str">
        <x:f>IF($A17="","",IFERROR('Game Records'!$M17,""))</x:f>
      </x:c>
      <x:c r="H17" s="104"/>
      <x:c r="I17" s="104"/>
      <x:c r="J17" s="104"/>
    </x:row>
    <x:row r="18" ht="15" hidden="0" customHeight="1">
      <x:c r="A18" s="332" t="str">
        <x:f>IF(OR(COUNTA('Game Records'!$A18:$M18)=0,'Game Records'!$F18="Subscription"),"",IFERROR(MAX($A$4:A17),0)+1)</x:f>
      </x:c>
      <x:c r="B18" s="332" t="str">
        <x:f>IF($A18="","","G-"&amp;TEXT(ROW('Game Records'!$A18)-4,"0000"))</x:f>
      </x:c>
      <x:c r="C18" s="331" t="str">
        <x:f>IF($A18="","",IFERROR('Game Records'!$A18,""))</x:f>
      </x:c>
      <x:c r="D18" s="331" t="str">
        <x:f>IF($A18="","",IFERROR('Game Records'!$U18,""))</x:f>
      </x:c>
      <x:c r="E18" s="331" t="str">
        <x:f>IF($A18="","",IF($F18="","No Highlighted Fields","Highlighted Fields Present"))</x:f>
      </x:c>
      <x:c r="F18" s="331" t="str">
        <x:f>IF($A18="","",IF('Game Records'!$B18="","Start Date; ","")&amp;IF('Game Records'!$C18="","End Date; ","")&amp;IF(AND('Game Records'!$U18&lt;&gt;"Subscription",'Game Records'!$U18&lt;&gt;"Free Game",'Game Records'!$U18&lt;&gt;"Disqualified — Free Game",OR('Game Records'!$D18="",LOWER('Game Records'!$D18&amp;"")="n/a")),"Entry Mode; ","")&amp;IF(AND('Game Records'!$U18&lt;&gt;"Subscription",'Game Records'!$U18&lt;&gt;"Free Game",'Game Records'!$U18&lt;&gt;"Disqualified — Free Game",OR('Game Records'!$E18="",LOWER('Game Records'!$E18&amp;"")="n/a")),"Game Type; ","")&amp;IF('Game Records'!$F18="","Payment Type; ","")&amp;IF(AND('Game Records'!$U18&lt;&gt;"Subscription",'Game Records'!$U18&lt;&gt;"Free Game",'Game Records'!$U18&lt;&gt;"Disqualified — Free Game",'Game Records'!$G18=""),"Gross Pot; ","")&amp;IF(AND('Game Records'!$U18&lt;&gt;"Free Game",'Game Records'!$U18&lt;&gt;"Disqualified — Free Game",'Game Records'!$H18=""),"Entry Fee; ","")&amp;IF(AND('Game Records'!$U18&lt;&gt;"Subscription",'Game Records'!$U18&lt;&gt;"Free Game",'Game Records'!$U18&lt;&gt;"Disqualified — Free Game",'Game Records'!$I18=""),"Eligible Players; ","")&amp;IF(AND('Game Records'!$U18&lt;&gt;"Subscription",'Game Records'!$U18&lt;&gt;"Free Game",'Game Records'!$U18&lt;&gt;"Disqualified — Free Game",'Game Records'!$J18=""),"Total Players; ","")&amp;IF(AND(LOWER('Game Records'!$D18&amp;"")="finalized",LOWER('Game Records'!$L18&amp;"")&lt;&gt;"yes",'Game Records'!$U18&lt;&gt;"Subscription",'Game Records'!$U18&lt;&gt;"Free Game",'Game Records'!$U18&lt;&gt;"Disqualified — Free Game",'Game Records'!$K18=""),"Final Earned; ","")&amp;IF(AND(LOWER('Game Records'!$D18&amp;"")="finalized",'Game Records'!$U18&lt;&gt;"Subscription",'Game Records'!$U18&lt;&gt;"Free Game",'Game Records'!$U18&lt;&gt;"Disqualified — Free Game",OR('Game Records'!$L18="",LOWER('Game Records'!$L18&amp;"")="n/a")),"Disqualified Status; ",""))</x:f>
      </x:c>
      <x:c r="G18" s="331" t="str">
        <x:f>IF($A18="","",IFERROR('Game Records'!$M18,""))</x:f>
      </x:c>
      <x:c r="H18" s="104"/>
      <x:c r="I18" s="104"/>
      <x:c r="J18" s="104"/>
    </x:row>
    <x:row r="19" ht="15" hidden="0" customHeight="1">
      <x:c r="A19" s="332" t="str">
        <x:f>IF(OR(COUNTA('Game Records'!$A19:$M19)=0,'Game Records'!$F19="Subscription"),"",IFERROR(MAX($A$4:A18),0)+1)</x:f>
      </x:c>
      <x:c r="B19" s="332" t="str">
        <x:f>IF($A19="","","G-"&amp;TEXT(ROW('Game Records'!$A19)-4,"0000"))</x:f>
      </x:c>
      <x:c r="C19" s="331" t="str">
        <x:f>IF($A19="","",IFERROR('Game Records'!$A19,""))</x:f>
      </x:c>
      <x:c r="D19" s="331" t="str">
        <x:f>IF($A19="","",IFERROR('Game Records'!$U19,""))</x:f>
      </x:c>
      <x:c r="E19" s="331" t="str">
        <x:f>IF($A19="","",IF($F19="","No Highlighted Fields","Highlighted Fields Present"))</x:f>
      </x:c>
      <x:c r="F19" s="331" t="str">
        <x:f>IF($A19="","",IF('Game Records'!$B19="","Start Date; ","")&amp;IF('Game Records'!$C19="","End Date; ","")&amp;IF(AND('Game Records'!$U19&lt;&gt;"Subscription",'Game Records'!$U19&lt;&gt;"Free Game",'Game Records'!$U19&lt;&gt;"Disqualified — Free Game",OR('Game Records'!$D19="",LOWER('Game Records'!$D19&amp;"")="n/a")),"Entry Mode; ","")&amp;IF(AND('Game Records'!$U19&lt;&gt;"Subscription",'Game Records'!$U19&lt;&gt;"Free Game",'Game Records'!$U19&lt;&gt;"Disqualified — Free Game",OR('Game Records'!$E19="",LOWER('Game Records'!$E19&amp;"")="n/a")),"Game Type; ","")&amp;IF('Game Records'!$F19="","Payment Type; ","")&amp;IF(AND('Game Records'!$U19&lt;&gt;"Subscription",'Game Records'!$U19&lt;&gt;"Free Game",'Game Records'!$U19&lt;&gt;"Disqualified — Free Game",'Game Records'!$G19=""),"Gross Pot; ","")&amp;IF(AND('Game Records'!$U19&lt;&gt;"Free Game",'Game Records'!$U19&lt;&gt;"Disqualified — Free Game",'Game Records'!$H19=""),"Entry Fee; ","")&amp;IF(AND('Game Records'!$U19&lt;&gt;"Subscription",'Game Records'!$U19&lt;&gt;"Free Game",'Game Records'!$U19&lt;&gt;"Disqualified — Free Game",'Game Records'!$I19=""),"Eligible Players; ","")&amp;IF(AND('Game Records'!$U19&lt;&gt;"Subscription",'Game Records'!$U19&lt;&gt;"Free Game",'Game Records'!$U19&lt;&gt;"Disqualified — Free Game",'Game Records'!$J19=""),"Total Players; ","")&amp;IF(AND(LOWER('Game Records'!$D19&amp;"")="finalized",LOWER('Game Records'!$L19&amp;"")&lt;&gt;"yes",'Game Records'!$U19&lt;&gt;"Subscription",'Game Records'!$U19&lt;&gt;"Free Game",'Game Records'!$U19&lt;&gt;"Disqualified — Free Game",'Game Records'!$K19=""),"Final Earned; ","")&amp;IF(AND(LOWER('Game Records'!$D19&amp;"")="finalized",'Game Records'!$U19&lt;&gt;"Subscription",'Game Records'!$U19&lt;&gt;"Free Game",'Game Records'!$U19&lt;&gt;"Disqualified — Free Game",OR('Game Records'!$L19="",LOWER('Game Records'!$L19&amp;"")="n/a")),"Disqualified Status; ",""))</x:f>
      </x:c>
      <x:c r="G19" s="331" t="str">
        <x:f>IF($A19="","",IFERROR('Game Records'!$M19,""))</x:f>
      </x:c>
      <x:c r="H19" s="104"/>
      <x:c r="I19" s="104"/>
      <x:c r="J19" s="104"/>
    </x:row>
    <x:row r="20" ht="15" hidden="0" customHeight="1">
      <x:c r="A20" s="332" t="str">
        <x:f>IF(OR(COUNTA('Game Records'!$A20:$M20)=0,'Game Records'!$F20="Subscription"),"",IFERROR(MAX($A$4:A19),0)+1)</x:f>
      </x:c>
      <x:c r="B20" s="332" t="str">
        <x:f>IF($A20="","","G-"&amp;TEXT(ROW('Game Records'!$A20)-4,"0000"))</x:f>
      </x:c>
      <x:c r="C20" s="331" t="str">
        <x:f>IF($A20="","",IFERROR('Game Records'!$A20,""))</x:f>
      </x:c>
      <x:c r="D20" s="331" t="str">
        <x:f>IF($A20="","",IFERROR('Game Records'!$U20,""))</x:f>
      </x:c>
      <x:c r="E20" s="331" t="str">
        <x:f>IF($A20="","",IF($F20="","No Highlighted Fields","Highlighted Fields Present"))</x:f>
      </x:c>
      <x:c r="F20" s="331" t="str">
        <x:f>IF($A20="","",IF('Game Records'!$B20="","Start Date; ","")&amp;IF('Game Records'!$C20="","End Date; ","")&amp;IF(AND('Game Records'!$U20&lt;&gt;"Subscription",'Game Records'!$U20&lt;&gt;"Free Game",'Game Records'!$U20&lt;&gt;"Disqualified — Free Game",OR('Game Records'!$D20="",LOWER('Game Records'!$D20&amp;"")="n/a")),"Entry Mode; ","")&amp;IF(AND('Game Records'!$U20&lt;&gt;"Subscription",'Game Records'!$U20&lt;&gt;"Free Game",'Game Records'!$U20&lt;&gt;"Disqualified — Free Game",OR('Game Records'!$E20="",LOWER('Game Records'!$E20&amp;"")="n/a")),"Game Type; ","")&amp;IF('Game Records'!$F20="","Payment Type; ","")&amp;IF(AND('Game Records'!$U20&lt;&gt;"Subscription",'Game Records'!$U20&lt;&gt;"Free Game",'Game Records'!$U20&lt;&gt;"Disqualified — Free Game",'Game Records'!$G20=""),"Gross Pot; ","")&amp;IF(AND('Game Records'!$U20&lt;&gt;"Free Game",'Game Records'!$U20&lt;&gt;"Disqualified — Free Game",'Game Records'!$H20=""),"Entry Fee; ","")&amp;IF(AND('Game Records'!$U20&lt;&gt;"Subscription",'Game Records'!$U20&lt;&gt;"Free Game",'Game Records'!$U20&lt;&gt;"Disqualified — Free Game",'Game Records'!$I20=""),"Eligible Players; ","")&amp;IF(AND('Game Records'!$U20&lt;&gt;"Subscription",'Game Records'!$U20&lt;&gt;"Free Game",'Game Records'!$U20&lt;&gt;"Disqualified — Free Game",'Game Records'!$J20=""),"Total Players; ","")&amp;IF(AND(LOWER('Game Records'!$D20&amp;"")="finalized",LOWER('Game Records'!$L20&amp;"")&lt;&gt;"yes",'Game Records'!$U20&lt;&gt;"Subscription",'Game Records'!$U20&lt;&gt;"Free Game",'Game Records'!$U20&lt;&gt;"Disqualified — Free Game",'Game Records'!$K20=""),"Final Earned; ","")&amp;IF(AND(LOWER('Game Records'!$D20&amp;"")="finalized",'Game Records'!$U20&lt;&gt;"Subscription",'Game Records'!$U20&lt;&gt;"Free Game",'Game Records'!$U20&lt;&gt;"Disqualified — Free Game",OR('Game Records'!$L20="",LOWER('Game Records'!$L20&amp;"")="n/a")),"Disqualified Status; ",""))</x:f>
      </x:c>
      <x:c r="G20" s="331" t="str">
        <x:f>IF($A20="","",IFERROR('Game Records'!$M20,""))</x:f>
      </x:c>
      <x:c r="H20" s="104"/>
      <x:c r="I20" s="104"/>
      <x:c r="J20" s="104"/>
    </x:row>
    <x:row r="21" ht="15" hidden="0" customHeight="1">
      <x:c r="A21" s="332" t="str">
        <x:f>IF(OR(COUNTA('Game Records'!$A21:$M21)=0,'Game Records'!$F21="Subscription"),"",IFERROR(MAX($A$4:A20),0)+1)</x:f>
      </x:c>
      <x:c r="B21" s="332" t="str">
        <x:f>IF($A21="","","G-"&amp;TEXT(ROW('Game Records'!$A21)-4,"0000"))</x:f>
      </x:c>
      <x:c r="C21" s="331" t="str">
        <x:f>IF($A21="","",IFERROR('Game Records'!$A21,""))</x:f>
      </x:c>
      <x:c r="D21" s="331" t="str">
        <x:f>IF($A21="","",IFERROR('Game Records'!$U21,""))</x:f>
      </x:c>
      <x:c r="E21" s="331" t="str">
        <x:f>IF($A21="","",IF($F21="","No Highlighted Fields","Highlighted Fields Present"))</x:f>
      </x:c>
      <x:c r="F21" s="331" t="str">
        <x:f>IF($A21="","",IF('Game Records'!$B21="","Start Date; ","")&amp;IF('Game Records'!$C21="","End Date; ","")&amp;IF(AND('Game Records'!$U21&lt;&gt;"Subscription",'Game Records'!$U21&lt;&gt;"Free Game",'Game Records'!$U21&lt;&gt;"Disqualified — Free Game",OR('Game Records'!$D21="",LOWER('Game Records'!$D21&amp;"")="n/a")),"Entry Mode; ","")&amp;IF(AND('Game Records'!$U21&lt;&gt;"Subscription",'Game Records'!$U21&lt;&gt;"Free Game",'Game Records'!$U21&lt;&gt;"Disqualified — Free Game",OR('Game Records'!$E21="",LOWER('Game Records'!$E21&amp;"")="n/a")),"Game Type; ","")&amp;IF('Game Records'!$F21="","Payment Type; ","")&amp;IF(AND('Game Records'!$U21&lt;&gt;"Subscription",'Game Records'!$U21&lt;&gt;"Free Game",'Game Records'!$U21&lt;&gt;"Disqualified — Free Game",'Game Records'!$G21=""),"Gross Pot; ","")&amp;IF(AND('Game Records'!$U21&lt;&gt;"Free Game",'Game Records'!$U21&lt;&gt;"Disqualified — Free Game",'Game Records'!$H21=""),"Entry Fee; ","")&amp;IF(AND('Game Records'!$U21&lt;&gt;"Subscription",'Game Records'!$U21&lt;&gt;"Free Game",'Game Records'!$U21&lt;&gt;"Disqualified — Free Game",'Game Records'!$I21=""),"Eligible Players; ","")&amp;IF(AND('Game Records'!$U21&lt;&gt;"Subscription",'Game Records'!$U21&lt;&gt;"Free Game",'Game Records'!$U21&lt;&gt;"Disqualified — Free Game",'Game Records'!$J21=""),"Total Players; ","")&amp;IF(AND(LOWER('Game Records'!$D21&amp;"")="finalized",LOWER('Game Records'!$L21&amp;"")&lt;&gt;"yes",'Game Records'!$U21&lt;&gt;"Subscription",'Game Records'!$U21&lt;&gt;"Free Game",'Game Records'!$U21&lt;&gt;"Disqualified — Free Game",'Game Records'!$K21=""),"Final Earned; ","")&amp;IF(AND(LOWER('Game Records'!$D21&amp;"")="finalized",'Game Records'!$U21&lt;&gt;"Subscription",'Game Records'!$U21&lt;&gt;"Free Game",'Game Records'!$U21&lt;&gt;"Disqualified — Free Game",OR('Game Records'!$L21="",LOWER('Game Records'!$L21&amp;"")="n/a")),"Disqualified Status; ",""))</x:f>
      </x:c>
      <x:c r="G21" s="331" t="str">
        <x:f>IF($A21="","",IFERROR('Game Records'!$M21,""))</x:f>
      </x:c>
      <x:c r="H21" s="104"/>
      <x:c r="I21" s="104"/>
      <x:c r="J21" s="104"/>
    </x:row>
    <x:row r="22" ht="15" hidden="0" customHeight="1">
      <x:c r="A22" s="332" t="str">
        <x:f>IF(OR(COUNTA('Game Records'!$A22:$M22)=0,'Game Records'!$F22="Subscription"),"",IFERROR(MAX($A$4:A21),0)+1)</x:f>
      </x:c>
      <x:c r="B22" s="332" t="str">
        <x:f>IF($A22="","","G-"&amp;TEXT(ROW('Game Records'!$A22)-4,"0000"))</x:f>
      </x:c>
      <x:c r="C22" s="331" t="str">
        <x:f>IF($A22="","",IFERROR('Game Records'!$A22,""))</x:f>
      </x:c>
      <x:c r="D22" s="331" t="str">
        <x:f>IF($A22="","",IFERROR('Game Records'!$U22,""))</x:f>
      </x:c>
      <x:c r="E22" s="331" t="str">
        <x:f>IF($A22="","",IF($F22="","No Highlighted Fields","Highlighted Fields Present"))</x:f>
      </x:c>
      <x:c r="F22" s="331" t="str">
        <x:f>IF($A22="","",IF('Game Records'!$B22="","Start Date; ","")&amp;IF('Game Records'!$C22="","End Date; ","")&amp;IF(AND('Game Records'!$U22&lt;&gt;"Subscription",'Game Records'!$U22&lt;&gt;"Free Game",'Game Records'!$U22&lt;&gt;"Disqualified — Free Game",OR('Game Records'!$D22="",LOWER('Game Records'!$D22&amp;"")="n/a")),"Entry Mode; ","")&amp;IF(AND('Game Records'!$U22&lt;&gt;"Subscription",'Game Records'!$U22&lt;&gt;"Free Game",'Game Records'!$U22&lt;&gt;"Disqualified — Free Game",OR('Game Records'!$E22="",LOWER('Game Records'!$E22&amp;"")="n/a")),"Game Type; ","")&amp;IF('Game Records'!$F22="","Payment Type; ","")&amp;IF(AND('Game Records'!$U22&lt;&gt;"Subscription",'Game Records'!$U22&lt;&gt;"Free Game",'Game Records'!$U22&lt;&gt;"Disqualified — Free Game",'Game Records'!$G22=""),"Gross Pot; ","")&amp;IF(AND('Game Records'!$U22&lt;&gt;"Free Game",'Game Records'!$U22&lt;&gt;"Disqualified — Free Game",'Game Records'!$H22=""),"Entry Fee; ","")&amp;IF(AND('Game Records'!$U22&lt;&gt;"Subscription",'Game Records'!$U22&lt;&gt;"Free Game",'Game Records'!$U22&lt;&gt;"Disqualified — Free Game",'Game Records'!$I22=""),"Eligible Players; ","")&amp;IF(AND('Game Records'!$U22&lt;&gt;"Subscription",'Game Records'!$U22&lt;&gt;"Free Game",'Game Records'!$U22&lt;&gt;"Disqualified — Free Game",'Game Records'!$J22=""),"Total Players; ","")&amp;IF(AND(LOWER('Game Records'!$D22&amp;"")="finalized",LOWER('Game Records'!$L22&amp;"")&lt;&gt;"yes",'Game Records'!$U22&lt;&gt;"Subscription",'Game Records'!$U22&lt;&gt;"Free Game",'Game Records'!$U22&lt;&gt;"Disqualified — Free Game",'Game Records'!$K22=""),"Final Earned; ","")&amp;IF(AND(LOWER('Game Records'!$D22&amp;"")="finalized",'Game Records'!$U22&lt;&gt;"Subscription",'Game Records'!$U22&lt;&gt;"Free Game",'Game Records'!$U22&lt;&gt;"Disqualified — Free Game",OR('Game Records'!$L22="",LOWER('Game Records'!$L22&amp;"")="n/a")),"Disqualified Status; ",""))</x:f>
      </x:c>
      <x:c r="G22" s="331" t="str">
        <x:f>IF($A22="","",IFERROR('Game Records'!$M22,""))</x:f>
      </x:c>
      <x:c r="H22" s="104"/>
      <x:c r="I22" s="104"/>
      <x:c r="J22" s="104"/>
    </x:row>
    <x:row r="23" ht="15" hidden="0" customHeight="1">
      <x:c r="A23" s="332" t="str">
        <x:f>IF(OR(COUNTA('Game Records'!$A23:$M23)=0,'Game Records'!$F23="Subscription"),"",IFERROR(MAX($A$4:A22),0)+1)</x:f>
      </x:c>
      <x:c r="B23" s="332" t="str">
        <x:f>IF($A23="","","G-"&amp;TEXT(ROW('Game Records'!$A23)-4,"0000"))</x:f>
      </x:c>
      <x:c r="C23" s="331" t="str">
        <x:f>IF($A23="","",IFERROR('Game Records'!$A23,""))</x:f>
      </x:c>
      <x:c r="D23" s="331" t="str">
        <x:f>IF($A23="","",IFERROR('Game Records'!$U23,""))</x:f>
      </x:c>
      <x:c r="E23" s="331" t="str">
        <x:f>IF($A23="","",IF($F23="","No Highlighted Fields","Highlighted Fields Present"))</x:f>
      </x:c>
      <x:c r="F23" s="331" t="str">
        <x:f>IF($A23="","",IF('Game Records'!$B23="","Start Date; ","")&amp;IF('Game Records'!$C23="","End Date; ","")&amp;IF(AND('Game Records'!$U23&lt;&gt;"Subscription",'Game Records'!$U23&lt;&gt;"Free Game",'Game Records'!$U23&lt;&gt;"Disqualified — Free Game",OR('Game Records'!$D23="",LOWER('Game Records'!$D23&amp;"")="n/a")),"Entry Mode; ","")&amp;IF(AND('Game Records'!$U23&lt;&gt;"Subscription",'Game Records'!$U23&lt;&gt;"Free Game",'Game Records'!$U23&lt;&gt;"Disqualified — Free Game",OR('Game Records'!$E23="",LOWER('Game Records'!$E23&amp;"")="n/a")),"Game Type; ","")&amp;IF('Game Records'!$F23="","Payment Type; ","")&amp;IF(AND('Game Records'!$U23&lt;&gt;"Subscription",'Game Records'!$U23&lt;&gt;"Free Game",'Game Records'!$U23&lt;&gt;"Disqualified — Free Game",'Game Records'!$G23=""),"Gross Pot; ","")&amp;IF(AND('Game Records'!$U23&lt;&gt;"Free Game",'Game Records'!$U23&lt;&gt;"Disqualified — Free Game",'Game Records'!$H23=""),"Entry Fee; ","")&amp;IF(AND('Game Records'!$U23&lt;&gt;"Subscription",'Game Records'!$U23&lt;&gt;"Free Game",'Game Records'!$U23&lt;&gt;"Disqualified — Free Game",'Game Records'!$I23=""),"Eligible Players; ","")&amp;IF(AND('Game Records'!$U23&lt;&gt;"Subscription",'Game Records'!$U23&lt;&gt;"Free Game",'Game Records'!$U23&lt;&gt;"Disqualified — Free Game",'Game Records'!$J23=""),"Total Players; ","")&amp;IF(AND(LOWER('Game Records'!$D23&amp;"")="finalized",LOWER('Game Records'!$L23&amp;"")&lt;&gt;"yes",'Game Records'!$U23&lt;&gt;"Subscription",'Game Records'!$U23&lt;&gt;"Free Game",'Game Records'!$U23&lt;&gt;"Disqualified — Free Game",'Game Records'!$K23=""),"Final Earned; ","")&amp;IF(AND(LOWER('Game Records'!$D23&amp;"")="finalized",'Game Records'!$U23&lt;&gt;"Subscription",'Game Records'!$U23&lt;&gt;"Free Game",'Game Records'!$U23&lt;&gt;"Disqualified — Free Game",OR('Game Records'!$L23="",LOWER('Game Records'!$L23&amp;"")="n/a")),"Disqualified Status; ",""))</x:f>
      </x:c>
      <x:c r="G23" s="331" t="str">
        <x:f>IF($A23="","",IFERROR('Game Records'!$M23,""))</x:f>
      </x:c>
      <x:c r="H23" s="104"/>
      <x:c r="I23" s="104"/>
      <x:c r="J23" s="104"/>
    </x:row>
    <x:row r="24" ht="15" hidden="0" customHeight="1">
      <x:c r="A24" s="332" t="str">
        <x:f>IF(OR(COUNTA('Game Records'!$A24:$M24)=0,'Game Records'!$F24="Subscription"),"",IFERROR(MAX($A$4:A23),0)+1)</x:f>
      </x:c>
      <x:c r="B24" s="332" t="str">
        <x:f>IF($A24="","","G-"&amp;TEXT(ROW('Game Records'!$A24)-4,"0000"))</x:f>
      </x:c>
      <x:c r="C24" s="331" t="str">
        <x:f>IF($A24="","",IFERROR('Game Records'!$A24,""))</x:f>
      </x:c>
      <x:c r="D24" s="331" t="str">
        <x:f>IF($A24="","",IFERROR('Game Records'!$U24,""))</x:f>
      </x:c>
      <x:c r="E24" s="331" t="str">
        <x:f>IF($A24="","",IF($F24="","No Highlighted Fields","Highlighted Fields Present"))</x:f>
      </x:c>
      <x:c r="F24" s="331" t="str">
        <x:f>IF($A24="","",IF('Game Records'!$B24="","Start Date; ","")&amp;IF('Game Records'!$C24="","End Date; ","")&amp;IF(AND('Game Records'!$U24&lt;&gt;"Subscription",'Game Records'!$U24&lt;&gt;"Free Game",'Game Records'!$U24&lt;&gt;"Disqualified — Free Game",OR('Game Records'!$D24="",LOWER('Game Records'!$D24&amp;"")="n/a")),"Entry Mode; ","")&amp;IF(AND('Game Records'!$U24&lt;&gt;"Subscription",'Game Records'!$U24&lt;&gt;"Free Game",'Game Records'!$U24&lt;&gt;"Disqualified — Free Game",OR('Game Records'!$E24="",LOWER('Game Records'!$E24&amp;"")="n/a")),"Game Type; ","")&amp;IF('Game Records'!$F24="","Payment Type; ","")&amp;IF(AND('Game Records'!$U24&lt;&gt;"Subscription",'Game Records'!$U24&lt;&gt;"Free Game",'Game Records'!$U24&lt;&gt;"Disqualified — Free Game",'Game Records'!$G24=""),"Gross Pot; ","")&amp;IF(AND('Game Records'!$U24&lt;&gt;"Free Game",'Game Records'!$U24&lt;&gt;"Disqualified — Free Game",'Game Records'!$H24=""),"Entry Fee; ","")&amp;IF(AND('Game Records'!$U24&lt;&gt;"Subscription",'Game Records'!$U24&lt;&gt;"Free Game",'Game Records'!$U24&lt;&gt;"Disqualified — Free Game",'Game Records'!$I24=""),"Eligible Players; ","")&amp;IF(AND('Game Records'!$U24&lt;&gt;"Subscription",'Game Records'!$U24&lt;&gt;"Free Game",'Game Records'!$U24&lt;&gt;"Disqualified — Free Game",'Game Records'!$J24=""),"Total Players; ","")&amp;IF(AND(LOWER('Game Records'!$D24&amp;"")="finalized",LOWER('Game Records'!$L24&amp;"")&lt;&gt;"yes",'Game Records'!$U24&lt;&gt;"Subscription",'Game Records'!$U24&lt;&gt;"Free Game",'Game Records'!$U24&lt;&gt;"Disqualified — Free Game",'Game Records'!$K24=""),"Final Earned; ","")&amp;IF(AND(LOWER('Game Records'!$D24&amp;"")="finalized",'Game Records'!$U24&lt;&gt;"Subscription",'Game Records'!$U24&lt;&gt;"Free Game",'Game Records'!$U24&lt;&gt;"Disqualified — Free Game",OR('Game Records'!$L24="",LOWER('Game Records'!$L24&amp;"")="n/a")),"Disqualified Status; ",""))</x:f>
      </x:c>
      <x:c r="G24" s="331" t="str">
        <x:f>IF($A24="","",IFERROR('Game Records'!$M24,""))</x:f>
      </x:c>
      <x:c r="H24" s="104"/>
      <x:c r="I24" s="104"/>
      <x:c r="J24" s="104"/>
    </x:row>
    <x:row r="25" ht="15" hidden="0" customHeight="1">
      <x:c r="A25" s="332" t="str">
        <x:f>IF(OR(COUNTA('Game Records'!$A25:$M25)=0,'Game Records'!$F25="Subscription"),"",IFERROR(MAX($A$4:A24),0)+1)</x:f>
      </x:c>
      <x:c r="B25" s="332" t="str">
        <x:f>IF($A25="","","G-"&amp;TEXT(ROW('Game Records'!$A25)-4,"0000"))</x:f>
      </x:c>
      <x:c r="C25" s="331" t="str">
        <x:f>IF($A25="","",IFERROR('Game Records'!$A25,""))</x:f>
      </x:c>
      <x:c r="D25" s="331" t="str">
        <x:f>IF($A25="","",IFERROR('Game Records'!$U25,""))</x:f>
      </x:c>
      <x:c r="E25" s="331" t="str">
        <x:f>IF($A25="","",IF($F25="","No Highlighted Fields","Highlighted Fields Present"))</x:f>
      </x:c>
      <x:c r="F25" s="331" t="str">
        <x:f>IF($A25="","",IF('Game Records'!$B25="","Start Date; ","")&amp;IF('Game Records'!$C25="","End Date; ","")&amp;IF(AND('Game Records'!$U25&lt;&gt;"Subscription",'Game Records'!$U25&lt;&gt;"Free Game",'Game Records'!$U25&lt;&gt;"Disqualified — Free Game",OR('Game Records'!$D25="",LOWER('Game Records'!$D25&amp;"")="n/a")),"Entry Mode; ","")&amp;IF(AND('Game Records'!$U25&lt;&gt;"Subscription",'Game Records'!$U25&lt;&gt;"Free Game",'Game Records'!$U25&lt;&gt;"Disqualified — Free Game",OR('Game Records'!$E25="",LOWER('Game Records'!$E25&amp;"")="n/a")),"Game Type; ","")&amp;IF('Game Records'!$F25="","Payment Type; ","")&amp;IF(AND('Game Records'!$U25&lt;&gt;"Subscription",'Game Records'!$U25&lt;&gt;"Free Game",'Game Records'!$U25&lt;&gt;"Disqualified — Free Game",'Game Records'!$G25=""),"Gross Pot; ","")&amp;IF(AND('Game Records'!$U25&lt;&gt;"Free Game",'Game Records'!$U25&lt;&gt;"Disqualified — Free Game",'Game Records'!$H25=""),"Entry Fee; ","")&amp;IF(AND('Game Records'!$U25&lt;&gt;"Subscription",'Game Records'!$U25&lt;&gt;"Free Game",'Game Records'!$U25&lt;&gt;"Disqualified — Free Game",'Game Records'!$I25=""),"Eligible Players; ","")&amp;IF(AND('Game Records'!$U25&lt;&gt;"Subscription",'Game Records'!$U25&lt;&gt;"Free Game",'Game Records'!$U25&lt;&gt;"Disqualified — Free Game",'Game Records'!$J25=""),"Total Players; ","")&amp;IF(AND(LOWER('Game Records'!$D25&amp;"")="finalized",LOWER('Game Records'!$L25&amp;"")&lt;&gt;"yes",'Game Records'!$U25&lt;&gt;"Subscription",'Game Records'!$U25&lt;&gt;"Free Game",'Game Records'!$U25&lt;&gt;"Disqualified — Free Game",'Game Records'!$K25=""),"Final Earned; ","")&amp;IF(AND(LOWER('Game Records'!$D25&amp;"")="finalized",'Game Records'!$U25&lt;&gt;"Subscription",'Game Records'!$U25&lt;&gt;"Free Game",'Game Records'!$U25&lt;&gt;"Disqualified — Free Game",OR('Game Records'!$L25="",LOWER('Game Records'!$L25&amp;"")="n/a")),"Disqualified Status; ",""))</x:f>
      </x:c>
      <x:c r="G25" s="331" t="str">
        <x:f>IF($A25="","",IFERROR('Game Records'!$M25,""))</x:f>
      </x:c>
      <x:c r="H25" s="104"/>
      <x:c r="I25" s="104"/>
      <x:c r="J25" s="104"/>
    </x:row>
    <x:row r="26" ht="15" hidden="0" customHeight="1">
      <x:c r="A26" s="332" t="str">
        <x:f>IF(OR(COUNTA('Game Records'!$A26:$M26)=0,'Game Records'!$F26="Subscription"),"",IFERROR(MAX($A$4:A25),0)+1)</x:f>
      </x:c>
      <x:c r="B26" s="332" t="str">
        <x:f>IF($A26="","","G-"&amp;TEXT(ROW('Game Records'!$A26)-4,"0000"))</x:f>
      </x:c>
      <x:c r="C26" s="331" t="str">
        <x:f>IF($A26="","",IFERROR('Game Records'!$A26,""))</x:f>
      </x:c>
      <x:c r="D26" s="331" t="str">
        <x:f>IF($A26="","",IFERROR('Game Records'!$U26,""))</x:f>
      </x:c>
      <x:c r="E26" s="331" t="str">
        <x:f>IF($A26="","",IF($F26="","No Highlighted Fields","Highlighted Fields Present"))</x:f>
      </x:c>
      <x:c r="F26" s="331" t="str">
        <x:f>IF($A26="","",IF('Game Records'!$B26="","Start Date; ","")&amp;IF('Game Records'!$C26="","End Date; ","")&amp;IF(AND('Game Records'!$U26&lt;&gt;"Subscription",'Game Records'!$U26&lt;&gt;"Free Game",'Game Records'!$U26&lt;&gt;"Disqualified — Free Game",OR('Game Records'!$D26="",LOWER('Game Records'!$D26&amp;"")="n/a")),"Entry Mode; ","")&amp;IF(AND('Game Records'!$U26&lt;&gt;"Subscription",'Game Records'!$U26&lt;&gt;"Free Game",'Game Records'!$U26&lt;&gt;"Disqualified — Free Game",OR('Game Records'!$E26="",LOWER('Game Records'!$E26&amp;"")="n/a")),"Game Type; ","")&amp;IF('Game Records'!$F26="","Payment Type; ","")&amp;IF(AND('Game Records'!$U26&lt;&gt;"Subscription",'Game Records'!$U26&lt;&gt;"Free Game",'Game Records'!$U26&lt;&gt;"Disqualified — Free Game",'Game Records'!$G26=""),"Gross Pot; ","")&amp;IF(AND('Game Records'!$U26&lt;&gt;"Free Game",'Game Records'!$U26&lt;&gt;"Disqualified — Free Game",'Game Records'!$H26=""),"Entry Fee; ","")&amp;IF(AND('Game Records'!$U26&lt;&gt;"Subscription",'Game Records'!$U26&lt;&gt;"Free Game",'Game Records'!$U26&lt;&gt;"Disqualified — Free Game",'Game Records'!$I26=""),"Eligible Players; ","")&amp;IF(AND('Game Records'!$U26&lt;&gt;"Subscription",'Game Records'!$U26&lt;&gt;"Free Game",'Game Records'!$U26&lt;&gt;"Disqualified — Free Game",'Game Records'!$J26=""),"Total Players; ","")&amp;IF(AND(LOWER('Game Records'!$D26&amp;"")="finalized",LOWER('Game Records'!$L26&amp;"")&lt;&gt;"yes",'Game Records'!$U26&lt;&gt;"Subscription",'Game Records'!$U26&lt;&gt;"Free Game",'Game Records'!$U26&lt;&gt;"Disqualified — Free Game",'Game Records'!$K26=""),"Final Earned; ","")&amp;IF(AND(LOWER('Game Records'!$D26&amp;"")="finalized",'Game Records'!$U26&lt;&gt;"Subscription",'Game Records'!$U26&lt;&gt;"Free Game",'Game Records'!$U26&lt;&gt;"Disqualified — Free Game",OR('Game Records'!$L26="",LOWER('Game Records'!$L26&amp;"")="n/a")),"Disqualified Status; ",""))</x:f>
      </x:c>
      <x:c r="G26" s="331" t="str">
        <x:f>IF($A26="","",IFERROR('Game Records'!$M26,""))</x:f>
      </x:c>
      <x:c r="H26" s="104"/>
      <x:c r="I26" s="104"/>
      <x:c r="J26" s="104"/>
    </x:row>
    <x:row r="27" ht="15" hidden="0" customHeight="1">
      <x:c r="A27" s="332" t="str">
        <x:f>IF(OR(COUNTA('Game Records'!$A27:$M27)=0,'Game Records'!$F27="Subscription"),"",IFERROR(MAX($A$4:A26),0)+1)</x:f>
      </x:c>
      <x:c r="B27" s="332" t="str">
        <x:f>IF($A27="","","G-"&amp;TEXT(ROW('Game Records'!$A27)-4,"0000"))</x:f>
      </x:c>
      <x:c r="C27" s="331" t="str">
        <x:f>IF($A27="","",IFERROR('Game Records'!$A27,""))</x:f>
      </x:c>
      <x:c r="D27" s="331" t="str">
        <x:f>IF($A27="","",IFERROR('Game Records'!$U27,""))</x:f>
      </x:c>
      <x:c r="E27" s="331" t="str">
        <x:f>IF($A27="","",IF($F27="","No Highlighted Fields","Highlighted Fields Present"))</x:f>
      </x:c>
      <x:c r="F27" s="331" t="str">
        <x:f>IF($A27="","",IF('Game Records'!$B27="","Start Date; ","")&amp;IF('Game Records'!$C27="","End Date; ","")&amp;IF(AND('Game Records'!$U27&lt;&gt;"Subscription",'Game Records'!$U27&lt;&gt;"Free Game",'Game Records'!$U27&lt;&gt;"Disqualified — Free Game",OR('Game Records'!$D27="",LOWER('Game Records'!$D27&amp;"")="n/a")),"Entry Mode; ","")&amp;IF(AND('Game Records'!$U27&lt;&gt;"Subscription",'Game Records'!$U27&lt;&gt;"Free Game",'Game Records'!$U27&lt;&gt;"Disqualified — Free Game",OR('Game Records'!$E27="",LOWER('Game Records'!$E27&amp;"")="n/a")),"Game Type; ","")&amp;IF('Game Records'!$F27="","Payment Type; ","")&amp;IF(AND('Game Records'!$U27&lt;&gt;"Subscription",'Game Records'!$U27&lt;&gt;"Free Game",'Game Records'!$U27&lt;&gt;"Disqualified — Free Game",'Game Records'!$G27=""),"Gross Pot; ","")&amp;IF(AND('Game Records'!$U27&lt;&gt;"Free Game",'Game Records'!$U27&lt;&gt;"Disqualified — Free Game",'Game Records'!$H27=""),"Entry Fee; ","")&amp;IF(AND('Game Records'!$U27&lt;&gt;"Subscription",'Game Records'!$U27&lt;&gt;"Free Game",'Game Records'!$U27&lt;&gt;"Disqualified — Free Game",'Game Records'!$I27=""),"Eligible Players; ","")&amp;IF(AND('Game Records'!$U27&lt;&gt;"Subscription",'Game Records'!$U27&lt;&gt;"Free Game",'Game Records'!$U27&lt;&gt;"Disqualified — Free Game",'Game Records'!$J27=""),"Total Players; ","")&amp;IF(AND(LOWER('Game Records'!$D27&amp;"")="finalized",LOWER('Game Records'!$L27&amp;"")&lt;&gt;"yes",'Game Records'!$U27&lt;&gt;"Subscription",'Game Records'!$U27&lt;&gt;"Free Game",'Game Records'!$U27&lt;&gt;"Disqualified — Free Game",'Game Records'!$K27=""),"Final Earned; ","")&amp;IF(AND(LOWER('Game Records'!$D27&amp;"")="finalized",'Game Records'!$U27&lt;&gt;"Subscription",'Game Records'!$U27&lt;&gt;"Free Game",'Game Records'!$U27&lt;&gt;"Disqualified — Free Game",OR('Game Records'!$L27="",LOWER('Game Records'!$L27&amp;"")="n/a")),"Disqualified Status; ",""))</x:f>
      </x:c>
      <x:c r="G27" s="331" t="str">
        <x:f>IF($A27="","",IFERROR('Game Records'!$M27,""))</x:f>
      </x:c>
      <x:c r="H27" s="104"/>
      <x:c r="I27" s="104"/>
      <x:c r="J27" s="104"/>
    </x:row>
    <x:row r="28" ht="15" hidden="0" customHeight="1">
      <x:c r="A28" s="332" t="str">
        <x:f>IF(OR(COUNTA('Game Records'!$A28:$M28)=0,'Game Records'!$F28="Subscription"),"",IFERROR(MAX($A$4:A27),0)+1)</x:f>
      </x:c>
      <x:c r="B28" s="332" t="str">
        <x:f>IF($A28="","","G-"&amp;TEXT(ROW('Game Records'!$A28)-4,"0000"))</x:f>
      </x:c>
      <x:c r="C28" s="331" t="str">
        <x:f>IF($A28="","",IFERROR('Game Records'!$A28,""))</x:f>
      </x:c>
      <x:c r="D28" s="331" t="str">
        <x:f>IF($A28="","",IFERROR('Game Records'!$U28,""))</x:f>
      </x:c>
      <x:c r="E28" s="331" t="str">
        <x:f>IF($A28="","",IF($F28="","No Highlighted Fields","Highlighted Fields Present"))</x:f>
      </x:c>
      <x:c r="F28" s="331" t="str">
        <x:f>IF($A28="","",IF('Game Records'!$B28="","Start Date; ","")&amp;IF('Game Records'!$C28="","End Date; ","")&amp;IF(AND('Game Records'!$U28&lt;&gt;"Subscription",'Game Records'!$U28&lt;&gt;"Free Game",'Game Records'!$U28&lt;&gt;"Disqualified — Free Game",OR('Game Records'!$D28="",LOWER('Game Records'!$D28&amp;"")="n/a")),"Entry Mode; ","")&amp;IF(AND('Game Records'!$U28&lt;&gt;"Subscription",'Game Records'!$U28&lt;&gt;"Free Game",'Game Records'!$U28&lt;&gt;"Disqualified — Free Game",OR('Game Records'!$E28="",LOWER('Game Records'!$E28&amp;"")="n/a")),"Game Type; ","")&amp;IF('Game Records'!$F28="","Payment Type; ","")&amp;IF(AND('Game Records'!$U28&lt;&gt;"Subscription",'Game Records'!$U28&lt;&gt;"Free Game",'Game Records'!$U28&lt;&gt;"Disqualified — Free Game",'Game Records'!$G28=""),"Gross Pot; ","")&amp;IF(AND('Game Records'!$U28&lt;&gt;"Free Game",'Game Records'!$U28&lt;&gt;"Disqualified — Free Game",'Game Records'!$H28=""),"Entry Fee; ","")&amp;IF(AND('Game Records'!$U28&lt;&gt;"Subscription",'Game Records'!$U28&lt;&gt;"Free Game",'Game Records'!$U28&lt;&gt;"Disqualified — Free Game",'Game Records'!$I28=""),"Eligible Players; ","")&amp;IF(AND('Game Records'!$U28&lt;&gt;"Subscription",'Game Records'!$U28&lt;&gt;"Free Game",'Game Records'!$U28&lt;&gt;"Disqualified — Free Game",'Game Records'!$J28=""),"Total Players; ","")&amp;IF(AND(LOWER('Game Records'!$D28&amp;"")="finalized",LOWER('Game Records'!$L28&amp;"")&lt;&gt;"yes",'Game Records'!$U28&lt;&gt;"Subscription",'Game Records'!$U28&lt;&gt;"Free Game",'Game Records'!$U28&lt;&gt;"Disqualified — Free Game",'Game Records'!$K28=""),"Final Earned; ","")&amp;IF(AND(LOWER('Game Records'!$D28&amp;"")="finalized",'Game Records'!$U28&lt;&gt;"Subscription",'Game Records'!$U28&lt;&gt;"Free Game",'Game Records'!$U28&lt;&gt;"Disqualified — Free Game",OR('Game Records'!$L28="",LOWER('Game Records'!$L28&amp;"")="n/a")),"Disqualified Status; ",""))</x:f>
      </x:c>
      <x:c r="G28" s="331" t="str">
        <x:f>IF($A28="","",IFERROR('Game Records'!$M28,""))</x:f>
      </x:c>
      <x:c r="H28" s="104"/>
      <x:c r="I28" s="104"/>
      <x:c r="J28" s="104"/>
    </x:row>
    <x:row r="29" ht="15" hidden="0" customHeight="1">
      <x:c r="A29" s="332" t="str">
        <x:f>IF(OR(COUNTA('Game Records'!$A29:$M29)=0,'Game Records'!$F29="Subscription"),"",IFERROR(MAX($A$4:A28),0)+1)</x:f>
      </x:c>
      <x:c r="B29" s="332" t="str">
        <x:f>IF($A29="","","G-"&amp;TEXT(ROW('Game Records'!$A29)-4,"0000"))</x:f>
      </x:c>
      <x:c r="C29" s="331" t="str">
        <x:f>IF($A29="","",IFERROR('Game Records'!$A29,""))</x:f>
      </x:c>
      <x:c r="D29" s="331" t="str">
        <x:f>IF($A29="","",IFERROR('Game Records'!$U29,""))</x:f>
      </x:c>
      <x:c r="E29" s="331" t="str">
        <x:f>IF($A29="","",IF($F29="","No Highlighted Fields","Highlighted Fields Present"))</x:f>
      </x:c>
      <x:c r="F29" s="331" t="str">
        <x:f>IF($A29="","",IF('Game Records'!$B29="","Start Date; ","")&amp;IF('Game Records'!$C29="","End Date; ","")&amp;IF(AND('Game Records'!$U29&lt;&gt;"Subscription",'Game Records'!$U29&lt;&gt;"Free Game",'Game Records'!$U29&lt;&gt;"Disqualified — Free Game",OR('Game Records'!$D29="",LOWER('Game Records'!$D29&amp;"")="n/a")),"Entry Mode; ","")&amp;IF(AND('Game Records'!$U29&lt;&gt;"Subscription",'Game Records'!$U29&lt;&gt;"Free Game",'Game Records'!$U29&lt;&gt;"Disqualified — Free Game",OR('Game Records'!$E29="",LOWER('Game Records'!$E29&amp;"")="n/a")),"Game Type; ","")&amp;IF('Game Records'!$F29="","Payment Type; ","")&amp;IF(AND('Game Records'!$U29&lt;&gt;"Subscription",'Game Records'!$U29&lt;&gt;"Free Game",'Game Records'!$U29&lt;&gt;"Disqualified — Free Game",'Game Records'!$G29=""),"Gross Pot; ","")&amp;IF(AND('Game Records'!$U29&lt;&gt;"Free Game",'Game Records'!$U29&lt;&gt;"Disqualified — Free Game",'Game Records'!$H29=""),"Entry Fee; ","")&amp;IF(AND('Game Records'!$U29&lt;&gt;"Subscription",'Game Records'!$U29&lt;&gt;"Free Game",'Game Records'!$U29&lt;&gt;"Disqualified — Free Game",'Game Records'!$I29=""),"Eligible Players; ","")&amp;IF(AND('Game Records'!$U29&lt;&gt;"Subscription",'Game Records'!$U29&lt;&gt;"Free Game",'Game Records'!$U29&lt;&gt;"Disqualified — Free Game",'Game Records'!$J29=""),"Total Players; ","")&amp;IF(AND(LOWER('Game Records'!$D29&amp;"")="finalized",LOWER('Game Records'!$L29&amp;"")&lt;&gt;"yes",'Game Records'!$U29&lt;&gt;"Subscription",'Game Records'!$U29&lt;&gt;"Free Game",'Game Records'!$U29&lt;&gt;"Disqualified — Free Game",'Game Records'!$K29=""),"Final Earned; ","")&amp;IF(AND(LOWER('Game Records'!$D29&amp;"")="finalized",'Game Records'!$U29&lt;&gt;"Subscription",'Game Records'!$U29&lt;&gt;"Free Game",'Game Records'!$U29&lt;&gt;"Disqualified — Free Game",OR('Game Records'!$L29="",LOWER('Game Records'!$L29&amp;"")="n/a")),"Disqualified Status; ",""))</x:f>
      </x:c>
      <x:c r="G29" s="331" t="str">
        <x:f>IF($A29="","",IFERROR('Game Records'!$M29,""))</x:f>
      </x:c>
      <x:c r="H29" s="104"/>
      <x:c r="I29" s="104"/>
      <x:c r="J29" s="104"/>
    </x:row>
    <x:row r="30" ht="15" hidden="0" customHeight="1">
      <x:c r="A30" s="332" t="str">
        <x:f>IF(OR(COUNTA('Game Records'!$A30:$M30)=0,'Game Records'!$F30="Subscription"),"",IFERROR(MAX($A$4:A29),0)+1)</x:f>
      </x:c>
      <x:c r="B30" s="332" t="str">
        <x:f>IF($A30="","","G-"&amp;TEXT(ROW('Game Records'!$A30)-4,"0000"))</x:f>
      </x:c>
      <x:c r="C30" s="331" t="str">
        <x:f>IF($A30="","",IFERROR('Game Records'!$A30,""))</x:f>
      </x:c>
      <x:c r="D30" s="331" t="str">
        <x:f>IF($A30="","",IFERROR('Game Records'!$U30,""))</x:f>
      </x:c>
      <x:c r="E30" s="331" t="str">
        <x:f>IF($A30="","",IF($F30="","No Highlighted Fields","Highlighted Fields Present"))</x:f>
      </x:c>
      <x:c r="F30" s="331" t="str">
        <x:f>IF($A30="","",IF('Game Records'!$B30="","Start Date; ","")&amp;IF('Game Records'!$C30="","End Date; ","")&amp;IF(AND('Game Records'!$U30&lt;&gt;"Subscription",'Game Records'!$U30&lt;&gt;"Free Game",'Game Records'!$U30&lt;&gt;"Disqualified — Free Game",OR('Game Records'!$D30="",LOWER('Game Records'!$D30&amp;"")="n/a")),"Entry Mode; ","")&amp;IF(AND('Game Records'!$U30&lt;&gt;"Subscription",'Game Records'!$U30&lt;&gt;"Free Game",'Game Records'!$U30&lt;&gt;"Disqualified — Free Game",OR('Game Records'!$E30="",LOWER('Game Records'!$E30&amp;"")="n/a")),"Game Type; ","")&amp;IF('Game Records'!$F30="","Payment Type; ","")&amp;IF(AND('Game Records'!$U30&lt;&gt;"Subscription",'Game Records'!$U30&lt;&gt;"Free Game",'Game Records'!$U30&lt;&gt;"Disqualified — Free Game",'Game Records'!$G30=""),"Gross Pot; ","")&amp;IF(AND('Game Records'!$U30&lt;&gt;"Free Game",'Game Records'!$U30&lt;&gt;"Disqualified — Free Game",'Game Records'!$H30=""),"Entry Fee; ","")&amp;IF(AND('Game Records'!$U30&lt;&gt;"Subscription",'Game Records'!$U30&lt;&gt;"Free Game",'Game Records'!$U30&lt;&gt;"Disqualified — Free Game",'Game Records'!$I30=""),"Eligible Players; ","")&amp;IF(AND('Game Records'!$U30&lt;&gt;"Subscription",'Game Records'!$U30&lt;&gt;"Free Game",'Game Records'!$U30&lt;&gt;"Disqualified — Free Game",'Game Records'!$J30=""),"Total Players; ","")&amp;IF(AND(LOWER('Game Records'!$D30&amp;"")="finalized",LOWER('Game Records'!$L30&amp;"")&lt;&gt;"yes",'Game Records'!$U30&lt;&gt;"Subscription",'Game Records'!$U30&lt;&gt;"Free Game",'Game Records'!$U30&lt;&gt;"Disqualified — Free Game",'Game Records'!$K30=""),"Final Earned; ","")&amp;IF(AND(LOWER('Game Records'!$D30&amp;"")="finalized",'Game Records'!$U30&lt;&gt;"Subscription",'Game Records'!$U30&lt;&gt;"Free Game",'Game Records'!$U30&lt;&gt;"Disqualified — Free Game",OR('Game Records'!$L30="",LOWER('Game Records'!$L30&amp;"")="n/a")),"Disqualified Status; ",""))</x:f>
      </x:c>
      <x:c r="G30" s="331" t="str">
        <x:f>IF($A30="","",IFERROR('Game Records'!$M30,""))</x:f>
      </x:c>
      <x:c r="H30" s="104"/>
      <x:c r="I30" s="104"/>
      <x:c r="J30" s="104"/>
    </x:row>
    <x:row r="31" ht="15" hidden="0" customHeight="1">
      <x:c r="A31" s="332" t="str">
        <x:f>IF(OR(COUNTA('Game Records'!$A31:$M31)=0,'Game Records'!$F31="Subscription"),"",IFERROR(MAX($A$4:A30),0)+1)</x:f>
      </x:c>
      <x:c r="B31" s="332" t="str">
        <x:f>IF($A31="","","G-"&amp;TEXT(ROW('Game Records'!$A31)-4,"0000"))</x:f>
      </x:c>
      <x:c r="C31" s="331" t="str">
        <x:f>IF($A31="","",IFERROR('Game Records'!$A31,""))</x:f>
      </x:c>
      <x:c r="D31" s="331" t="str">
        <x:f>IF($A31="","",IFERROR('Game Records'!$U31,""))</x:f>
      </x:c>
      <x:c r="E31" s="331" t="str">
        <x:f>IF($A31="","",IF($F31="","No Highlighted Fields","Highlighted Fields Present"))</x:f>
      </x:c>
      <x:c r="F31" s="331" t="str">
        <x:f>IF($A31="","",IF('Game Records'!$B31="","Start Date; ","")&amp;IF('Game Records'!$C31="","End Date; ","")&amp;IF(AND('Game Records'!$U31&lt;&gt;"Subscription",'Game Records'!$U31&lt;&gt;"Free Game",'Game Records'!$U31&lt;&gt;"Disqualified — Free Game",OR('Game Records'!$D31="",LOWER('Game Records'!$D31&amp;"")="n/a")),"Entry Mode; ","")&amp;IF(AND('Game Records'!$U31&lt;&gt;"Subscription",'Game Records'!$U31&lt;&gt;"Free Game",'Game Records'!$U31&lt;&gt;"Disqualified — Free Game",OR('Game Records'!$E31="",LOWER('Game Records'!$E31&amp;"")="n/a")),"Game Type; ","")&amp;IF('Game Records'!$F31="","Payment Type; ","")&amp;IF(AND('Game Records'!$U31&lt;&gt;"Subscription",'Game Records'!$U31&lt;&gt;"Free Game",'Game Records'!$U31&lt;&gt;"Disqualified — Free Game",'Game Records'!$G31=""),"Gross Pot; ","")&amp;IF(AND('Game Records'!$U31&lt;&gt;"Free Game",'Game Records'!$U31&lt;&gt;"Disqualified — Free Game",'Game Records'!$H31=""),"Entry Fee; ","")&amp;IF(AND('Game Records'!$U31&lt;&gt;"Subscription",'Game Records'!$U31&lt;&gt;"Free Game",'Game Records'!$U31&lt;&gt;"Disqualified — Free Game",'Game Records'!$I31=""),"Eligible Players; ","")&amp;IF(AND('Game Records'!$U31&lt;&gt;"Subscription",'Game Records'!$U31&lt;&gt;"Free Game",'Game Records'!$U31&lt;&gt;"Disqualified — Free Game",'Game Records'!$J31=""),"Total Players; ","")&amp;IF(AND(LOWER('Game Records'!$D31&amp;"")="finalized",LOWER('Game Records'!$L31&amp;"")&lt;&gt;"yes",'Game Records'!$U31&lt;&gt;"Subscription",'Game Records'!$U31&lt;&gt;"Free Game",'Game Records'!$U31&lt;&gt;"Disqualified — Free Game",'Game Records'!$K31=""),"Final Earned; ","")&amp;IF(AND(LOWER('Game Records'!$D31&amp;"")="finalized",'Game Records'!$U31&lt;&gt;"Subscription",'Game Records'!$U31&lt;&gt;"Free Game",'Game Records'!$U31&lt;&gt;"Disqualified — Free Game",OR('Game Records'!$L31="",LOWER('Game Records'!$L31&amp;"")="n/a")),"Disqualified Status; ",""))</x:f>
      </x:c>
      <x:c r="G31" s="331" t="str">
        <x:f>IF($A31="","",IFERROR('Game Records'!$M31,""))</x:f>
      </x:c>
      <x:c r="H31" s="104"/>
      <x:c r="I31" s="104"/>
      <x:c r="J31" s="104"/>
    </x:row>
    <x:row r="32" ht="15" hidden="0" customHeight="1">
      <x:c r="A32" s="332" t="str">
        <x:f>IF(OR(COUNTA('Game Records'!$A32:$M32)=0,'Game Records'!$F32="Subscription"),"",IFERROR(MAX($A$4:A31),0)+1)</x:f>
      </x:c>
      <x:c r="B32" s="332" t="str">
        <x:f>IF($A32="","","G-"&amp;TEXT(ROW('Game Records'!$A32)-4,"0000"))</x:f>
      </x:c>
      <x:c r="C32" s="331" t="str">
        <x:f>IF($A32="","",IFERROR('Game Records'!$A32,""))</x:f>
      </x:c>
      <x:c r="D32" s="331" t="str">
        <x:f>IF($A32="","",IFERROR('Game Records'!$U32,""))</x:f>
      </x:c>
      <x:c r="E32" s="331" t="str">
        <x:f>IF($A32="","",IF($F32="","No Highlighted Fields","Highlighted Fields Present"))</x:f>
      </x:c>
      <x:c r="F32" s="331" t="str">
        <x:f>IF($A32="","",IF('Game Records'!$B32="","Start Date; ","")&amp;IF('Game Records'!$C32="","End Date; ","")&amp;IF(AND('Game Records'!$U32&lt;&gt;"Subscription",'Game Records'!$U32&lt;&gt;"Free Game",'Game Records'!$U32&lt;&gt;"Disqualified — Free Game",OR('Game Records'!$D32="",LOWER('Game Records'!$D32&amp;"")="n/a")),"Entry Mode; ","")&amp;IF(AND('Game Records'!$U32&lt;&gt;"Subscription",'Game Records'!$U32&lt;&gt;"Free Game",'Game Records'!$U32&lt;&gt;"Disqualified — Free Game",OR('Game Records'!$E32="",LOWER('Game Records'!$E32&amp;"")="n/a")),"Game Type; ","")&amp;IF('Game Records'!$F32="","Payment Type; ","")&amp;IF(AND('Game Records'!$U32&lt;&gt;"Subscription",'Game Records'!$U32&lt;&gt;"Free Game",'Game Records'!$U32&lt;&gt;"Disqualified — Free Game",'Game Records'!$G32=""),"Gross Pot; ","")&amp;IF(AND('Game Records'!$U32&lt;&gt;"Free Game",'Game Records'!$U32&lt;&gt;"Disqualified — Free Game",'Game Records'!$H32=""),"Entry Fee; ","")&amp;IF(AND('Game Records'!$U32&lt;&gt;"Subscription",'Game Records'!$U32&lt;&gt;"Free Game",'Game Records'!$U32&lt;&gt;"Disqualified — Free Game",'Game Records'!$I32=""),"Eligible Players; ","")&amp;IF(AND('Game Records'!$U32&lt;&gt;"Subscription",'Game Records'!$U32&lt;&gt;"Free Game",'Game Records'!$U32&lt;&gt;"Disqualified — Free Game",'Game Records'!$J32=""),"Total Players; ","")&amp;IF(AND(LOWER('Game Records'!$D32&amp;"")="finalized",LOWER('Game Records'!$L32&amp;"")&lt;&gt;"yes",'Game Records'!$U32&lt;&gt;"Subscription",'Game Records'!$U32&lt;&gt;"Free Game",'Game Records'!$U32&lt;&gt;"Disqualified — Free Game",'Game Records'!$K32=""),"Final Earned; ","")&amp;IF(AND(LOWER('Game Records'!$D32&amp;"")="finalized",'Game Records'!$U32&lt;&gt;"Subscription",'Game Records'!$U32&lt;&gt;"Free Game",'Game Records'!$U32&lt;&gt;"Disqualified — Free Game",OR('Game Records'!$L32="",LOWER('Game Records'!$L32&amp;"")="n/a")),"Disqualified Status; ",""))</x:f>
      </x:c>
      <x:c r="G32" s="331" t="str">
        <x:f>IF($A32="","",IFERROR('Game Records'!$M32,""))</x:f>
      </x:c>
      <x:c r="H32" s="104"/>
      <x:c r="I32" s="104"/>
      <x:c r="J32" s="104"/>
    </x:row>
    <x:row r="33" ht="15" hidden="0" customHeight="1">
      <x:c r="A33" s="332" t="str">
        <x:f>IF(OR(COUNTA('Game Records'!$A33:$M33)=0,'Game Records'!$F33="Subscription"),"",IFERROR(MAX($A$4:A32),0)+1)</x:f>
      </x:c>
      <x:c r="B33" s="332" t="str">
        <x:f>IF($A33="","","G-"&amp;TEXT(ROW('Game Records'!$A33)-4,"0000"))</x:f>
      </x:c>
      <x:c r="C33" s="331" t="str">
        <x:f>IF($A33="","",IFERROR('Game Records'!$A33,""))</x:f>
      </x:c>
      <x:c r="D33" s="331" t="str">
        <x:f>IF($A33="","",IFERROR('Game Records'!$U33,""))</x:f>
      </x:c>
      <x:c r="E33" s="331" t="str">
        <x:f>IF($A33="","",IF($F33="","No Highlighted Fields","Highlighted Fields Present"))</x:f>
      </x:c>
      <x:c r="F33" s="331" t="str">
        <x:f>IF($A33="","",IF('Game Records'!$B33="","Start Date; ","")&amp;IF('Game Records'!$C33="","End Date; ","")&amp;IF(AND('Game Records'!$U33&lt;&gt;"Subscription",'Game Records'!$U33&lt;&gt;"Free Game",'Game Records'!$U33&lt;&gt;"Disqualified — Free Game",OR('Game Records'!$D33="",LOWER('Game Records'!$D33&amp;"")="n/a")),"Entry Mode; ","")&amp;IF(AND('Game Records'!$U33&lt;&gt;"Subscription",'Game Records'!$U33&lt;&gt;"Free Game",'Game Records'!$U33&lt;&gt;"Disqualified — Free Game",OR('Game Records'!$E33="",LOWER('Game Records'!$E33&amp;"")="n/a")),"Game Type; ","")&amp;IF('Game Records'!$F33="","Payment Type; ","")&amp;IF(AND('Game Records'!$U33&lt;&gt;"Subscription",'Game Records'!$U33&lt;&gt;"Free Game",'Game Records'!$U33&lt;&gt;"Disqualified — Free Game",'Game Records'!$G33=""),"Gross Pot; ","")&amp;IF(AND('Game Records'!$U33&lt;&gt;"Free Game",'Game Records'!$U33&lt;&gt;"Disqualified — Free Game",'Game Records'!$H33=""),"Entry Fee; ","")&amp;IF(AND('Game Records'!$U33&lt;&gt;"Subscription",'Game Records'!$U33&lt;&gt;"Free Game",'Game Records'!$U33&lt;&gt;"Disqualified — Free Game",'Game Records'!$I33=""),"Eligible Players; ","")&amp;IF(AND('Game Records'!$U33&lt;&gt;"Subscription",'Game Records'!$U33&lt;&gt;"Free Game",'Game Records'!$U33&lt;&gt;"Disqualified — Free Game",'Game Records'!$J33=""),"Total Players; ","")&amp;IF(AND(LOWER('Game Records'!$D33&amp;"")="finalized",LOWER('Game Records'!$L33&amp;"")&lt;&gt;"yes",'Game Records'!$U33&lt;&gt;"Subscription",'Game Records'!$U33&lt;&gt;"Free Game",'Game Records'!$U33&lt;&gt;"Disqualified — Free Game",'Game Records'!$K33=""),"Final Earned; ","")&amp;IF(AND(LOWER('Game Records'!$D33&amp;"")="finalized",'Game Records'!$U33&lt;&gt;"Subscription",'Game Records'!$U33&lt;&gt;"Free Game",'Game Records'!$U33&lt;&gt;"Disqualified — Free Game",OR('Game Records'!$L33="",LOWER('Game Records'!$L33&amp;"")="n/a")),"Disqualified Status; ",""))</x:f>
      </x:c>
      <x:c r="G33" s="331" t="str">
        <x:f>IF($A33="","",IFERROR('Game Records'!$M33,""))</x:f>
      </x:c>
      <x:c r="H33" s="104"/>
      <x:c r="I33" s="104"/>
      <x:c r="J33" s="104"/>
    </x:row>
    <x:row r="34" ht="15" hidden="0" customHeight="1">
      <x:c r="A34" s="332" t="str">
        <x:f>IF(OR(COUNTA('Game Records'!$A34:$M34)=0,'Game Records'!$F34="Subscription"),"",IFERROR(MAX($A$4:A33),0)+1)</x:f>
      </x:c>
      <x:c r="B34" s="332" t="str">
        <x:f>IF($A34="","","G-"&amp;TEXT(ROW('Game Records'!$A34)-4,"0000"))</x:f>
      </x:c>
      <x:c r="C34" s="331" t="str">
        <x:f>IF($A34="","",IFERROR('Game Records'!$A34,""))</x:f>
      </x:c>
      <x:c r="D34" s="331" t="str">
        <x:f>IF($A34="","",IFERROR('Game Records'!$U34,""))</x:f>
      </x:c>
      <x:c r="E34" s="331" t="str">
        <x:f>IF($A34="","",IF($F34="","No Highlighted Fields","Highlighted Fields Present"))</x:f>
      </x:c>
      <x:c r="F34" s="331" t="str">
        <x:f>IF($A34="","",IF('Game Records'!$B34="","Start Date; ","")&amp;IF('Game Records'!$C34="","End Date; ","")&amp;IF(AND('Game Records'!$U34&lt;&gt;"Subscription",'Game Records'!$U34&lt;&gt;"Free Game",'Game Records'!$U34&lt;&gt;"Disqualified — Free Game",OR('Game Records'!$D34="",LOWER('Game Records'!$D34&amp;"")="n/a")),"Entry Mode; ","")&amp;IF(AND('Game Records'!$U34&lt;&gt;"Subscription",'Game Records'!$U34&lt;&gt;"Free Game",'Game Records'!$U34&lt;&gt;"Disqualified — Free Game",OR('Game Records'!$E34="",LOWER('Game Records'!$E34&amp;"")="n/a")),"Game Type; ","")&amp;IF('Game Records'!$F34="","Payment Type; ","")&amp;IF(AND('Game Records'!$U34&lt;&gt;"Subscription",'Game Records'!$U34&lt;&gt;"Free Game",'Game Records'!$U34&lt;&gt;"Disqualified — Free Game",'Game Records'!$G34=""),"Gross Pot; ","")&amp;IF(AND('Game Records'!$U34&lt;&gt;"Free Game",'Game Records'!$U34&lt;&gt;"Disqualified — Free Game",'Game Records'!$H34=""),"Entry Fee; ","")&amp;IF(AND('Game Records'!$U34&lt;&gt;"Subscription",'Game Records'!$U34&lt;&gt;"Free Game",'Game Records'!$U34&lt;&gt;"Disqualified — Free Game",'Game Records'!$I34=""),"Eligible Players; ","")&amp;IF(AND('Game Records'!$U34&lt;&gt;"Subscription",'Game Records'!$U34&lt;&gt;"Free Game",'Game Records'!$U34&lt;&gt;"Disqualified — Free Game",'Game Records'!$J34=""),"Total Players; ","")&amp;IF(AND(LOWER('Game Records'!$D34&amp;"")="finalized",LOWER('Game Records'!$L34&amp;"")&lt;&gt;"yes",'Game Records'!$U34&lt;&gt;"Subscription",'Game Records'!$U34&lt;&gt;"Free Game",'Game Records'!$U34&lt;&gt;"Disqualified — Free Game",'Game Records'!$K34=""),"Final Earned; ","")&amp;IF(AND(LOWER('Game Records'!$D34&amp;"")="finalized",'Game Records'!$U34&lt;&gt;"Subscription",'Game Records'!$U34&lt;&gt;"Free Game",'Game Records'!$U34&lt;&gt;"Disqualified — Free Game",OR('Game Records'!$L34="",LOWER('Game Records'!$L34&amp;"")="n/a")),"Disqualified Status; ",""))</x:f>
      </x:c>
      <x:c r="G34" s="331" t="str">
        <x:f>IF($A34="","",IFERROR('Game Records'!$M34,""))</x:f>
      </x:c>
      <x:c r="H34" s="104"/>
      <x:c r="I34" s="104"/>
      <x:c r="J34" s="104"/>
    </x:row>
    <x:row r="35" ht="15" hidden="0" customHeight="1">
      <x:c r="A35" s="332" t="str">
        <x:f>IF(OR(COUNTA('Game Records'!$A35:$M35)=0,'Game Records'!$F35="Subscription"),"",IFERROR(MAX($A$4:A34),0)+1)</x:f>
      </x:c>
      <x:c r="B35" s="332" t="str">
        <x:f>IF($A35="","","G-"&amp;TEXT(ROW('Game Records'!$A35)-4,"0000"))</x:f>
      </x:c>
      <x:c r="C35" s="331" t="str">
        <x:f>IF($A35="","",IFERROR('Game Records'!$A35,""))</x:f>
      </x:c>
      <x:c r="D35" s="331" t="str">
        <x:f>IF($A35="","",IFERROR('Game Records'!$U35,""))</x:f>
      </x:c>
      <x:c r="E35" s="331" t="str">
        <x:f>IF($A35="","",IF($F35="","No Highlighted Fields","Highlighted Fields Present"))</x:f>
      </x:c>
      <x:c r="F35" s="331" t="str">
        <x:f>IF($A35="","",IF('Game Records'!$B35="","Start Date; ","")&amp;IF('Game Records'!$C35="","End Date; ","")&amp;IF(AND('Game Records'!$U35&lt;&gt;"Subscription",'Game Records'!$U35&lt;&gt;"Free Game",'Game Records'!$U35&lt;&gt;"Disqualified — Free Game",OR('Game Records'!$D35="",LOWER('Game Records'!$D35&amp;"")="n/a")),"Entry Mode; ","")&amp;IF(AND('Game Records'!$U35&lt;&gt;"Subscription",'Game Records'!$U35&lt;&gt;"Free Game",'Game Records'!$U35&lt;&gt;"Disqualified — Free Game",OR('Game Records'!$E35="",LOWER('Game Records'!$E35&amp;"")="n/a")),"Game Type; ","")&amp;IF('Game Records'!$F35="","Payment Type; ","")&amp;IF(AND('Game Records'!$U35&lt;&gt;"Subscription",'Game Records'!$U35&lt;&gt;"Free Game",'Game Records'!$U35&lt;&gt;"Disqualified — Free Game",'Game Records'!$G35=""),"Gross Pot; ","")&amp;IF(AND('Game Records'!$U35&lt;&gt;"Free Game",'Game Records'!$U35&lt;&gt;"Disqualified — Free Game",'Game Records'!$H35=""),"Entry Fee; ","")&amp;IF(AND('Game Records'!$U35&lt;&gt;"Subscription",'Game Records'!$U35&lt;&gt;"Free Game",'Game Records'!$U35&lt;&gt;"Disqualified — Free Game",'Game Records'!$I35=""),"Eligible Players; ","")&amp;IF(AND('Game Records'!$U35&lt;&gt;"Subscription",'Game Records'!$U35&lt;&gt;"Free Game",'Game Records'!$U35&lt;&gt;"Disqualified — Free Game",'Game Records'!$J35=""),"Total Players; ","")&amp;IF(AND(LOWER('Game Records'!$D35&amp;"")="finalized",LOWER('Game Records'!$L35&amp;"")&lt;&gt;"yes",'Game Records'!$U35&lt;&gt;"Subscription",'Game Records'!$U35&lt;&gt;"Free Game",'Game Records'!$U35&lt;&gt;"Disqualified — Free Game",'Game Records'!$K35=""),"Final Earned; ","")&amp;IF(AND(LOWER('Game Records'!$D35&amp;"")="finalized",'Game Records'!$U35&lt;&gt;"Subscription",'Game Records'!$U35&lt;&gt;"Free Game",'Game Records'!$U35&lt;&gt;"Disqualified — Free Game",OR('Game Records'!$L35="",LOWER('Game Records'!$L35&amp;"")="n/a")),"Disqualified Status; ",""))</x:f>
      </x:c>
      <x:c r="G35" s="331" t="str">
        <x:f>IF($A35="","",IFERROR('Game Records'!$M35,""))</x:f>
      </x:c>
      <x:c r="H35" s="104"/>
      <x:c r="I35" s="104"/>
      <x:c r="J35" s="104"/>
    </x:row>
    <x:row r="36" ht="15" hidden="0" customHeight="1">
      <x:c r="A36" s="332" t="str">
        <x:f>IF(OR(COUNTA('Game Records'!$A36:$M36)=0,'Game Records'!$F36="Subscription"),"",IFERROR(MAX($A$4:A35),0)+1)</x:f>
      </x:c>
      <x:c r="B36" s="332" t="str">
        <x:f>IF($A36="","","G-"&amp;TEXT(ROW('Game Records'!$A36)-4,"0000"))</x:f>
      </x:c>
      <x:c r="C36" s="331" t="str">
        <x:f>IF($A36="","",IFERROR('Game Records'!$A36,""))</x:f>
      </x:c>
      <x:c r="D36" s="331" t="str">
        <x:f>IF($A36="","",IFERROR('Game Records'!$U36,""))</x:f>
      </x:c>
      <x:c r="E36" s="331" t="str">
        <x:f>IF($A36="","",IF($F36="","No Highlighted Fields","Highlighted Fields Present"))</x:f>
      </x:c>
      <x:c r="F36" s="331" t="str">
        <x:f>IF($A36="","",IF('Game Records'!$B36="","Start Date; ","")&amp;IF('Game Records'!$C36="","End Date; ","")&amp;IF(AND('Game Records'!$U36&lt;&gt;"Subscription",'Game Records'!$U36&lt;&gt;"Free Game",'Game Records'!$U36&lt;&gt;"Disqualified — Free Game",OR('Game Records'!$D36="",LOWER('Game Records'!$D36&amp;"")="n/a")),"Entry Mode; ","")&amp;IF(AND('Game Records'!$U36&lt;&gt;"Subscription",'Game Records'!$U36&lt;&gt;"Free Game",'Game Records'!$U36&lt;&gt;"Disqualified — Free Game",OR('Game Records'!$E36="",LOWER('Game Records'!$E36&amp;"")="n/a")),"Game Type; ","")&amp;IF('Game Records'!$F36="","Payment Type; ","")&amp;IF(AND('Game Records'!$U36&lt;&gt;"Subscription",'Game Records'!$U36&lt;&gt;"Free Game",'Game Records'!$U36&lt;&gt;"Disqualified — Free Game",'Game Records'!$G36=""),"Gross Pot; ","")&amp;IF(AND('Game Records'!$U36&lt;&gt;"Free Game",'Game Records'!$U36&lt;&gt;"Disqualified — Free Game",'Game Records'!$H36=""),"Entry Fee; ","")&amp;IF(AND('Game Records'!$U36&lt;&gt;"Subscription",'Game Records'!$U36&lt;&gt;"Free Game",'Game Records'!$U36&lt;&gt;"Disqualified — Free Game",'Game Records'!$I36=""),"Eligible Players; ","")&amp;IF(AND('Game Records'!$U36&lt;&gt;"Subscription",'Game Records'!$U36&lt;&gt;"Free Game",'Game Records'!$U36&lt;&gt;"Disqualified — Free Game",'Game Records'!$J36=""),"Total Players; ","")&amp;IF(AND(LOWER('Game Records'!$D36&amp;"")="finalized",LOWER('Game Records'!$L36&amp;"")&lt;&gt;"yes",'Game Records'!$U36&lt;&gt;"Subscription",'Game Records'!$U36&lt;&gt;"Free Game",'Game Records'!$U36&lt;&gt;"Disqualified — Free Game",'Game Records'!$K36=""),"Final Earned; ","")&amp;IF(AND(LOWER('Game Records'!$D36&amp;"")="finalized",'Game Records'!$U36&lt;&gt;"Subscription",'Game Records'!$U36&lt;&gt;"Free Game",'Game Records'!$U36&lt;&gt;"Disqualified — Free Game",OR('Game Records'!$L36="",LOWER('Game Records'!$L36&amp;"")="n/a")),"Disqualified Status; ",""))</x:f>
      </x:c>
      <x:c r="G36" s="331" t="str">
        <x:f>IF($A36="","",IFERROR('Game Records'!$M36,""))</x:f>
      </x:c>
      <x:c r="H36" s="104"/>
      <x:c r="I36" s="104"/>
      <x:c r="J36" s="104"/>
    </x:row>
    <x:row r="37" ht="15" hidden="0" customHeight="1">
      <x:c r="A37" s="332" t="str">
        <x:f>IF(OR(COUNTA('Game Records'!$A37:$M37)=0,'Game Records'!$F37="Subscription"),"",IFERROR(MAX($A$4:A36),0)+1)</x:f>
      </x:c>
      <x:c r="B37" s="332" t="str">
        <x:f>IF($A37="","","G-"&amp;TEXT(ROW('Game Records'!$A37)-4,"0000"))</x:f>
      </x:c>
      <x:c r="C37" s="331" t="str">
        <x:f>IF($A37="","",IFERROR('Game Records'!$A37,""))</x:f>
      </x:c>
      <x:c r="D37" s="331" t="str">
        <x:f>IF($A37="","",IFERROR('Game Records'!$U37,""))</x:f>
      </x:c>
      <x:c r="E37" s="331" t="str">
        <x:f>IF($A37="","",IF($F37="","No Highlighted Fields","Highlighted Fields Present"))</x:f>
      </x:c>
      <x:c r="F37" s="331" t="str">
        <x:f>IF($A37="","",IF('Game Records'!$B37="","Start Date; ","")&amp;IF('Game Records'!$C37="","End Date; ","")&amp;IF(AND('Game Records'!$U37&lt;&gt;"Subscription",'Game Records'!$U37&lt;&gt;"Free Game",'Game Records'!$U37&lt;&gt;"Disqualified — Free Game",OR('Game Records'!$D37="",LOWER('Game Records'!$D37&amp;"")="n/a")),"Entry Mode; ","")&amp;IF(AND('Game Records'!$U37&lt;&gt;"Subscription",'Game Records'!$U37&lt;&gt;"Free Game",'Game Records'!$U37&lt;&gt;"Disqualified — Free Game",OR('Game Records'!$E37="",LOWER('Game Records'!$E37&amp;"")="n/a")),"Game Type; ","")&amp;IF('Game Records'!$F37="","Payment Type; ","")&amp;IF(AND('Game Records'!$U37&lt;&gt;"Subscription",'Game Records'!$U37&lt;&gt;"Free Game",'Game Records'!$U37&lt;&gt;"Disqualified — Free Game",'Game Records'!$G37=""),"Gross Pot; ","")&amp;IF(AND('Game Records'!$U37&lt;&gt;"Free Game",'Game Records'!$U37&lt;&gt;"Disqualified — Free Game",'Game Records'!$H37=""),"Entry Fee; ","")&amp;IF(AND('Game Records'!$U37&lt;&gt;"Subscription",'Game Records'!$U37&lt;&gt;"Free Game",'Game Records'!$U37&lt;&gt;"Disqualified — Free Game",'Game Records'!$I37=""),"Eligible Players; ","")&amp;IF(AND('Game Records'!$U37&lt;&gt;"Subscription",'Game Records'!$U37&lt;&gt;"Free Game",'Game Records'!$U37&lt;&gt;"Disqualified — Free Game",'Game Records'!$J37=""),"Total Players; ","")&amp;IF(AND(LOWER('Game Records'!$D37&amp;"")="finalized",LOWER('Game Records'!$L37&amp;"")&lt;&gt;"yes",'Game Records'!$U37&lt;&gt;"Subscription",'Game Records'!$U37&lt;&gt;"Free Game",'Game Records'!$U37&lt;&gt;"Disqualified — Free Game",'Game Records'!$K37=""),"Final Earned; ","")&amp;IF(AND(LOWER('Game Records'!$D37&amp;"")="finalized",'Game Records'!$U37&lt;&gt;"Subscription",'Game Records'!$U37&lt;&gt;"Free Game",'Game Records'!$U37&lt;&gt;"Disqualified — Free Game",OR('Game Records'!$L37="",LOWER('Game Records'!$L37&amp;"")="n/a")),"Disqualified Status; ",""))</x:f>
      </x:c>
      <x:c r="G37" s="331" t="str">
        <x:f>IF($A37="","",IFERROR('Game Records'!$M37,""))</x:f>
      </x:c>
      <x:c r="H37" s="104"/>
      <x:c r="I37" s="104"/>
      <x:c r="J37" s="104"/>
    </x:row>
    <x:row r="38" ht="15" hidden="0" customHeight="1">
      <x:c r="A38" s="332" t="str">
        <x:f>IF(OR(COUNTA('Game Records'!$A38:$M38)=0,'Game Records'!$F38="Subscription"),"",IFERROR(MAX($A$4:A37),0)+1)</x:f>
      </x:c>
      <x:c r="B38" s="332" t="str">
        <x:f>IF($A38="","","G-"&amp;TEXT(ROW('Game Records'!$A38)-4,"0000"))</x:f>
      </x:c>
      <x:c r="C38" s="331" t="str">
        <x:f>IF($A38="","",IFERROR('Game Records'!$A38,""))</x:f>
      </x:c>
      <x:c r="D38" s="331" t="str">
        <x:f>IF($A38="","",IFERROR('Game Records'!$U38,""))</x:f>
      </x:c>
      <x:c r="E38" s="331" t="str">
        <x:f>IF($A38="","",IF($F38="","No Highlighted Fields","Highlighted Fields Present"))</x:f>
      </x:c>
      <x:c r="F38" s="331" t="str">
        <x:f>IF($A38="","",IF('Game Records'!$B38="","Start Date; ","")&amp;IF('Game Records'!$C38="","End Date; ","")&amp;IF(AND('Game Records'!$U38&lt;&gt;"Subscription",'Game Records'!$U38&lt;&gt;"Free Game",'Game Records'!$U38&lt;&gt;"Disqualified — Free Game",OR('Game Records'!$D38="",LOWER('Game Records'!$D38&amp;"")="n/a")),"Entry Mode; ","")&amp;IF(AND('Game Records'!$U38&lt;&gt;"Subscription",'Game Records'!$U38&lt;&gt;"Free Game",'Game Records'!$U38&lt;&gt;"Disqualified — Free Game",OR('Game Records'!$E38="",LOWER('Game Records'!$E38&amp;"")="n/a")),"Game Type; ","")&amp;IF('Game Records'!$F38="","Payment Type; ","")&amp;IF(AND('Game Records'!$U38&lt;&gt;"Subscription",'Game Records'!$U38&lt;&gt;"Free Game",'Game Records'!$U38&lt;&gt;"Disqualified — Free Game",'Game Records'!$G38=""),"Gross Pot; ","")&amp;IF(AND('Game Records'!$U38&lt;&gt;"Free Game",'Game Records'!$U38&lt;&gt;"Disqualified — Free Game",'Game Records'!$H38=""),"Entry Fee; ","")&amp;IF(AND('Game Records'!$U38&lt;&gt;"Subscription",'Game Records'!$U38&lt;&gt;"Free Game",'Game Records'!$U38&lt;&gt;"Disqualified — Free Game",'Game Records'!$I38=""),"Eligible Players; ","")&amp;IF(AND('Game Records'!$U38&lt;&gt;"Subscription",'Game Records'!$U38&lt;&gt;"Free Game",'Game Records'!$U38&lt;&gt;"Disqualified — Free Game",'Game Records'!$J38=""),"Total Players; ","")&amp;IF(AND(LOWER('Game Records'!$D38&amp;"")="finalized",LOWER('Game Records'!$L38&amp;"")&lt;&gt;"yes",'Game Records'!$U38&lt;&gt;"Subscription",'Game Records'!$U38&lt;&gt;"Free Game",'Game Records'!$U38&lt;&gt;"Disqualified — Free Game",'Game Records'!$K38=""),"Final Earned; ","")&amp;IF(AND(LOWER('Game Records'!$D38&amp;"")="finalized",'Game Records'!$U38&lt;&gt;"Subscription",'Game Records'!$U38&lt;&gt;"Free Game",'Game Records'!$U38&lt;&gt;"Disqualified — Free Game",OR('Game Records'!$L38="",LOWER('Game Records'!$L38&amp;"")="n/a")),"Disqualified Status; ",""))</x:f>
      </x:c>
      <x:c r="G38" s="331" t="str">
        <x:f>IF($A38="","",IFERROR('Game Records'!$M38,""))</x:f>
      </x:c>
      <x:c r="H38" s="104"/>
      <x:c r="I38" s="104"/>
      <x:c r="J38" s="104"/>
    </x:row>
    <x:row r="39" ht="15" hidden="0" customHeight="1">
      <x:c r="A39" s="332" t="str">
        <x:f>IF(OR(COUNTA('Game Records'!$A39:$M39)=0,'Game Records'!$F39="Subscription"),"",IFERROR(MAX($A$4:A38),0)+1)</x:f>
      </x:c>
      <x:c r="B39" s="332" t="str">
        <x:f>IF($A39="","","G-"&amp;TEXT(ROW('Game Records'!$A39)-4,"0000"))</x:f>
      </x:c>
      <x:c r="C39" s="331" t="str">
        <x:f>IF($A39="","",IFERROR('Game Records'!$A39,""))</x:f>
      </x:c>
      <x:c r="D39" s="331" t="str">
        <x:f>IF($A39="","",IFERROR('Game Records'!$U39,""))</x:f>
      </x:c>
      <x:c r="E39" s="331" t="str">
        <x:f>IF($A39="","",IF($F39="","No Highlighted Fields","Highlighted Fields Present"))</x:f>
      </x:c>
      <x:c r="F39" s="331" t="str">
        <x:f>IF($A39="","",IF('Game Records'!$B39="","Start Date; ","")&amp;IF('Game Records'!$C39="","End Date; ","")&amp;IF(AND('Game Records'!$U39&lt;&gt;"Subscription",'Game Records'!$U39&lt;&gt;"Free Game",'Game Records'!$U39&lt;&gt;"Disqualified — Free Game",OR('Game Records'!$D39="",LOWER('Game Records'!$D39&amp;"")="n/a")),"Entry Mode; ","")&amp;IF(AND('Game Records'!$U39&lt;&gt;"Subscription",'Game Records'!$U39&lt;&gt;"Free Game",'Game Records'!$U39&lt;&gt;"Disqualified — Free Game",OR('Game Records'!$E39="",LOWER('Game Records'!$E39&amp;"")="n/a")),"Game Type; ","")&amp;IF('Game Records'!$F39="","Payment Type; ","")&amp;IF(AND('Game Records'!$U39&lt;&gt;"Subscription",'Game Records'!$U39&lt;&gt;"Free Game",'Game Records'!$U39&lt;&gt;"Disqualified — Free Game",'Game Records'!$G39=""),"Gross Pot; ","")&amp;IF(AND('Game Records'!$U39&lt;&gt;"Free Game",'Game Records'!$U39&lt;&gt;"Disqualified — Free Game",'Game Records'!$H39=""),"Entry Fee; ","")&amp;IF(AND('Game Records'!$U39&lt;&gt;"Subscription",'Game Records'!$U39&lt;&gt;"Free Game",'Game Records'!$U39&lt;&gt;"Disqualified — Free Game",'Game Records'!$I39=""),"Eligible Players; ","")&amp;IF(AND('Game Records'!$U39&lt;&gt;"Subscription",'Game Records'!$U39&lt;&gt;"Free Game",'Game Records'!$U39&lt;&gt;"Disqualified — Free Game",'Game Records'!$J39=""),"Total Players; ","")&amp;IF(AND(LOWER('Game Records'!$D39&amp;"")="finalized",LOWER('Game Records'!$L39&amp;"")&lt;&gt;"yes",'Game Records'!$U39&lt;&gt;"Subscription",'Game Records'!$U39&lt;&gt;"Free Game",'Game Records'!$U39&lt;&gt;"Disqualified — Free Game",'Game Records'!$K39=""),"Final Earned; ","")&amp;IF(AND(LOWER('Game Records'!$D39&amp;"")="finalized",'Game Records'!$U39&lt;&gt;"Subscription",'Game Records'!$U39&lt;&gt;"Free Game",'Game Records'!$U39&lt;&gt;"Disqualified — Free Game",OR('Game Records'!$L39="",LOWER('Game Records'!$L39&amp;"")="n/a")),"Disqualified Status; ",""))</x:f>
      </x:c>
      <x:c r="G39" s="331" t="str">
        <x:f>IF($A39="","",IFERROR('Game Records'!$M39,""))</x:f>
      </x:c>
      <x:c r="H39" s="104"/>
      <x:c r="I39" s="104"/>
      <x:c r="J39" s="104"/>
    </x:row>
    <x:row r="40" ht="15" hidden="0" customHeight="1">
      <x:c r="A40" s="332" t="str">
        <x:f>IF(OR(COUNTA('Game Records'!$A40:$M40)=0,'Game Records'!$F40="Subscription"),"",IFERROR(MAX($A$4:A39),0)+1)</x:f>
      </x:c>
      <x:c r="B40" s="332" t="str">
        <x:f>IF($A40="","","G-"&amp;TEXT(ROW('Game Records'!$A40)-4,"0000"))</x:f>
      </x:c>
      <x:c r="C40" s="331" t="str">
        <x:f>IF($A40="","",IFERROR('Game Records'!$A40,""))</x:f>
      </x:c>
      <x:c r="D40" s="331" t="str">
        <x:f>IF($A40="","",IFERROR('Game Records'!$U40,""))</x:f>
      </x:c>
      <x:c r="E40" s="331" t="str">
        <x:f>IF($A40="","",IF($F40="","No Highlighted Fields","Highlighted Fields Present"))</x:f>
      </x:c>
      <x:c r="F40" s="331" t="str">
        <x:f>IF($A40="","",IF('Game Records'!$B40="","Start Date; ","")&amp;IF('Game Records'!$C40="","End Date; ","")&amp;IF(AND('Game Records'!$U40&lt;&gt;"Subscription",'Game Records'!$U40&lt;&gt;"Free Game",'Game Records'!$U40&lt;&gt;"Disqualified — Free Game",OR('Game Records'!$D40="",LOWER('Game Records'!$D40&amp;"")="n/a")),"Entry Mode; ","")&amp;IF(AND('Game Records'!$U40&lt;&gt;"Subscription",'Game Records'!$U40&lt;&gt;"Free Game",'Game Records'!$U40&lt;&gt;"Disqualified — Free Game",OR('Game Records'!$E40="",LOWER('Game Records'!$E40&amp;"")="n/a")),"Game Type; ","")&amp;IF('Game Records'!$F40="","Payment Type; ","")&amp;IF(AND('Game Records'!$U40&lt;&gt;"Subscription",'Game Records'!$U40&lt;&gt;"Free Game",'Game Records'!$U40&lt;&gt;"Disqualified — Free Game",'Game Records'!$G40=""),"Gross Pot; ","")&amp;IF(AND('Game Records'!$U40&lt;&gt;"Free Game",'Game Records'!$U40&lt;&gt;"Disqualified — Free Game",'Game Records'!$H40=""),"Entry Fee; ","")&amp;IF(AND('Game Records'!$U40&lt;&gt;"Subscription",'Game Records'!$U40&lt;&gt;"Free Game",'Game Records'!$U40&lt;&gt;"Disqualified — Free Game",'Game Records'!$I40=""),"Eligible Players; ","")&amp;IF(AND('Game Records'!$U40&lt;&gt;"Subscription",'Game Records'!$U40&lt;&gt;"Free Game",'Game Records'!$U40&lt;&gt;"Disqualified — Free Game",'Game Records'!$J40=""),"Total Players; ","")&amp;IF(AND(LOWER('Game Records'!$D40&amp;"")="finalized",LOWER('Game Records'!$L40&amp;"")&lt;&gt;"yes",'Game Records'!$U40&lt;&gt;"Subscription",'Game Records'!$U40&lt;&gt;"Free Game",'Game Records'!$U40&lt;&gt;"Disqualified — Free Game",'Game Records'!$K40=""),"Final Earned; ","")&amp;IF(AND(LOWER('Game Records'!$D40&amp;"")="finalized",'Game Records'!$U40&lt;&gt;"Subscription",'Game Records'!$U40&lt;&gt;"Free Game",'Game Records'!$U40&lt;&gt;"Disqualified — Free Game",OR('Game Records'!$L40="",LOWER('Game Records'!$L40&amp;"")="n/a")),"Disqualified Status; ",""))</x:f>
      </x:c>
      <x:c r="G40" s="331" t="str">
        <x:f>IF($A40="","",IFERROR('Game Records'!$M40,""))</x:f>
      </x:c>
      <x:c r="H40" s="104"/>
      <x:c r="I40" s="104"/>
      <x:c r="J40" s="104"/>
    </x:row>
    <x:row r="41" ht="15" hidden="0" customHeight="1">
      <x:c r="A41" s="332" t="str">
        <x:f>IF(OR(COUNTA('Game Records'!$A41:$M41)=0,'Game Records'!$F41="Subscription"),"",IFERROR(MAX($A$4:A40),0)+1)</x:f>
      </x:c>
      <x:c r="B41" s="332" t="str">
        <x:f>IF($A41="","","G-"&amp;TEXT(ROW('Game Records'!$A41)-4,"0000"))</x:f>
      </x:c>
      <x:c r="C41" s="331" t="str">
        <x:f>IF($A41="","",IFERROR('Game Records'!$A41,""))</x:f>
      </x:c>
      <x:c r="D41" s="331" t="str">
        <x:f>IF($A41="","",IFERROR('Game Records'!$U41,""))</x:f>
      </x:c>
      <x:c r="E41" s="331" t="str">
        <x:f>IF($A41="","",IF($F41="","No Highlighted Fields","Highlighted Fields Present"))</x:f>
      </x:c>
      <x:c r="F41" s="331" t="str">
        <x:f>IF($A41="","",IF('Game Records'!$B41="","Start Date; ","")&amp;IF('Game Records'!$C41="","End Date; ","")&amp;IF(AND('Game Records'!$U41&lt;&gt;"Subscription",'Game Records'!$U41&lt;&gt;"Free Game",'Game Records'!$U41&lt;&gt;"Disqualified — Free Game",OR('Game Records'!$D41="",LOWER('Game Records'!$D41&amp;"")="n/a")),"Entry Mode; ","")&amp;IF(AND('Game Records'!$U41&lt;&gt;"Subscription",'Game Records'!$U41&lt;&gt;"Free Game",'Game Records'!$U41&lt;&gt;"Disqualified — Free Game",OR('Game Records'!$E41="",LOWER('Game Records'!$E41&amp;"")="n/a")),"Game Type; ","")&amp;IF('Game Records'!$F41="","Payment Type; ","")&amp;IF(AND('Game Records'!$U41&lt;&gt;"Subscription",'Game Records'!$U41&lt;&gt;"Free Game",'Game Records'!$U41&lt;&gt;"Disqualified — Free Game",'Game Records'!$G41=""),"Gross Pot; ","")&amp;IF(AND('Game Records'!$U41&lt;&gt;"Free Game",'Game Records'!$U41&lt;&gt;"Disqualified — Free Game",'Game Records'!$H41=""),"Entry Fee; ","")&amp;IF(AND('Game Records'!$U41&lt;&gt;"Subscription",'Game Records'!$U41&lt;&gt;"Free Game",'Game Records'!$U41&lt;&gt;"Disqualified — Free Game",'Game Records'!$I41=""),"Eligible Players; ","")&amp;IF(AND('Game Records'!$U41&lt;&gt;"Subscription",'Game Records'!$U41&lt;&gt;"Free Game",'Game Records'!$U41&lt;&gt;"Disqualified — Free Game",'Game Records'!$J41=""),"Total Players; ","")&amp;IF(AND(LOWER('Game Records'!$D41&amp;"")="finalized",LOWER('Game Records'!$L41&amp;"")&lt;&gt;"yes",'Game Records'!$U41&lt;&gt;"Subscription",'Game Records'!$U41&lt;&gt;"Free Game",'Game Records'!$U41&lt;&gt;"Disqualified — Free Game",'Game Records'!$K41=""),"Final Earned; ","")&amp;IF(AND(LOWER('Game Records'!$D41&amp;"")="finalized",'Game Records'!$U41&lt;&gt;"Subscription",'Game Records'!$U41&lt;&gt;"Free Game",'Game Records'!$U41&lt;&gt;"Disqualified — Free Game",OR('Game Records'!$L41="",LOWER('Game Records'!$L41&amp;"")="n/a")),"Disqualified Status; ",""))</x:f>
      </x:c>
      <x:c r="G41" s="331" t="str">
        <x:f>IF($A41="","",IFERROR('Game Records'!$M41,""))</x:f>
      </x:c>
      <x:c r="H41" s="104"/>
      <x:c r="I41" s="104"/>
      <x:c r="J41" s="104"/>
    </x:row>
    <x:row r="42" ht="15" hidden="0" customHeight="1">
      <x:c r="A42" s="332" t="str">
        <x:f>IF(OR(COUNTA('Game Records'!$A42:$M42)=0,'Game Records'!$F42="Subscription"),"",IFERROR(MAX($A$4:A41),0)+1)</x:f>
      </x:c>
      <x:c r="B42" s="332" t="str">
        <x:f>IF($A42="","","G-"&amp;TEXT(ROW('Game Records'!$A42)-4,"0000"))</x:f>
      </x:c>
      <x:c r="C42" s="331" t="str">
        <x:f>IF($A42="","",IFERROR('Game Records'!$A42,""))</x:f>
      </x:c>
      <x:c r="D42" s="331" t="str">
        <x:f>IF($A42="","",IFERROR('Game Records'!$U42,""))</x:f>
      </x:c>
      <x:c r="E42" s="331" t="str">
        <x:f>IF($A42="","",IF($F42="","No Highlighted Fields","Highlighted Fields Present"))</x:f>
      </x:c>
      <x:c r="F42" s="331" t="str">
        <x:f>IF($A42="","",IF('Game Records'!$B42="","Start Date; ","")&amp;IF('Game Records'!$C42="","End Date; ","")&amp;IF(AND('Game Records'!$U42&lt;&gt;"Subscription",'Game Records'!$U42&lt;&gt;"Free Game",'Game Records'!$U42&lt;&gt;"Disqualified — Free Game",OR('Game Records'!$D42="",LOWER('Game Records'!$D42&amp;"")="n/a")),"Entry Mode; ","")&amp;IF(AND('Game Records'!$U42&lt;&gt;"Subscription",'Game Records'!$U42&lt;&gt;"Free Game",'Game Records'!$U42&lt;&gt;"Disqualified — Free Game",OR('Game Records'!$E42="",LOWER('Game Records'!$E42&amp;"")="n/a")),"Game Type; ","")&amp;IF('Game Records'!$F42="","Payment Type; ","")&amp;IF(AND('Game Records'!$U42&lt;&gt;"Subscription",'Game Records'!$U42&lt;&gt;"Free Game",'Game Records'!$U42&lt;&gt;"Disqualified — Free Game",'Game Records'!$G42=""),"Gross Pot; ","")&amp;IF(AND('Game Records'!$U42&lt;&gt;"Free Game",'Game Records'!$U42&lt;&gt;"Disqualified — Free Game",'Game Records'!$H42=""),"Entry Fee; ","")&amp;IF(AND('Game Records'!$U42&lt;&gt;"Subscription",'Game Records'!$U42&lt;&gt;"Free Game",'Game Records'!$U42&lt;&gt;"Disqualified — Free Game",'Game Records'!$I42=""),"Eligible Players; ","")&amp;IF(AND('Game Records'!$U42&lt;&gt;"Subscription",'Game Records'!$U42&lt;&gt;"Free Game",'Game Records'!$U42&lt;&gt;"Disqualified — Free Game",'Game Records'!$J42=""),"Total Players; ","")&amp;IF(AND(LOWER('Game Records'!$D42&amp;"")="finalized",LOWER('Game Records'!$L42&amp;"")&lt;&gt;"yes",'Game Records'!$U42&lt;&gt;"Subscription",'Game Records'!$U42&lt;&gt;"Free Game",'Game Records'!$U42&lt;&gt;"Disqualified — Free Game",'Game Records'!$K42=""),"Final Earned; ","")&amp;IF(AND(LOWER('Game Records'!$D42&amp;"")="finalized",'Game Records'!$U42&lt;&gt;"Subscription",'Game Records'!$U42&lt;&gt;"Free Game",'Game Records'!$U42&lt;&gt;"Disqualified — Free Game",OR('Game Records'!$L42="",LOWER('Game Records'!$L42&amp;"")="n/a")),"Disqualified Status; ",""))</x:f>
      </x:c>
      <x:c r="G42" s="331" t="str">
        <x:f>IF($A42="","",IFERROR('Game Records'!$M42,""))</x:f>
      </x:c>
      <x:c r="H42" s="104"/>
      <x:c r="I42" s="104"/>
      <x:c r="J42" s="104"/>
    </x:row>
    <x:row r="43" ht="15" hidden="0" customHeight="1">
      <x:c r="A43" s="332" t="str">
        <x:f>IF(OR(COUNTA('Game Records'!$A43:$M43)=0,'Game Records'!$F43="Subscription"),"",IFERROR(MAX($A$4:A42),0)+1)</x:f>
      </x:c>
      <x:c r="B43" s="332" t="str">
        <x:f>IF($A43="","","G-"&amp;TEXT(ROW('Game Records'!$A43)-4,"0000"))</x:f>
      </x:c>
      <x:c r="C43" s="331" t="str">
        <x:f>IF($A43="","",IFERROR('Game Records'!$A43,""))</x:f>
      </x:c>
      <x:c r="D43" s="331" t="str">
        <x:f>IF($A43="","",IFERROR('Game Records'!$U43,""))</x:f>
      </x:c>
      <x:c r="E43" s="331" t="str">
        <x:f>IF($A43="","",IF($F43="","No Highlighted Fields","Highlighted Fields Present"))</x:f>
      </x:c>
      <x:c r="F43" s="331" t="str">
        <x:f>IF($A43="","",IF('Game Records'!$B43="","Start Date; ","")&amp;IF('Game Records'!$C43="","End Date; ","")&amp;IF(AND('Game Records'!$U43&lt;&gt;"Subscription",'Game Records'!$U43&lt;&gt;"Free Game",'Game Records'!$U43&lt;&gt;"Disqualified — Free Game",OR('Game Records'!$D43="",LOWER('Game Records'!$D43&amp;"")="n/a")),"Entry Mode; ","")&amp;IF(AND('Game Records'!$U43&lt;&gt;"Subscription",'Game Records'!$U43&lt;&gt;"Free Game",'Game Records'!$U43&lt;&gt;"Disqualified — Free Game",OR('Game Records'!$E43="",LOWER('Game Records'!$E43&amp;"")="n/a")),"Game Type; ","")&amp;IF('Game Records'!$F43="","Payment Type; ","")&amp;IF(AND('Game Records'!$U43&lt;&gt;"Subscription",'Game Records'!$U43&lt;&gt;"Free Game",'Game Records'!$U43&lt;&gt;"Disqualified — Free Game",'Game Records'!$G43=""),"Gross Pot; ","")&amp;IF(AND('Game Records'!$U43&lt;&gt;"Free Game",'Game Records'!$U43&lt;&gt;"Disqualified — Free Game",'Game Records'!$H43=""),"Entry Fee; ","")&amp;IF(AND('Game Records'!$U43&lt;&gt;"Subscription",'Game Records'!$U43&lt;&gt;"Free Game",'Game Records'!$U43&lt;&gt;"Disqualified — Free Game",'Game Records'!$I43=""),"Eligible Players; ","")&amp;IF(AND('Game Records'!$U43&lt;&gt;"Subscription",'Game Records'!$U43&lt;&gt;"Free Game",'Game Records'!$U43&lt;&gt;"Disqualified — Free Game",'Game Records'!$J43=""),"Total Players; ","")&amp;IF(AND(LOWER('Game Records'!$D43&amp;"")="finalized",LOWER('Game Records'!$L43&amp;"")&lt;&gt;"yes",'Game Records'!$U43&lt;&gt;"Subscription",'Game Records'!$U43&lt;&gt;"Free Game",'Game Records'!$U43&lt;&gt;"Disqualified — Free Game",'Game Records'!$K43=""),"Final Earned; ","")&amp;IF(AND(LOWER('Game Records'!$D43&amp;"")="finalized",'Game Records'!$U43&lt;&gt;"Subscription",'Game Records'!$U43&lt;&gt;"Free Game",'Game Records'!$U43&lt;&gt;"Disqualified — Free Game",OR('Game Records'!$L43="",LOWER('Game Records'!$L43&amp;"")="n/a")),"Disqualified Status; ",""))</x:f>
      </x:c>
      <x:c r="G43" s="331" t="str">
        <x:f>IF($A43="","",IFERROR('Game Records'!$M43,""))</x:f>
      </x:c>
      <x:c r="H43" s="104"/>
      <x:c r="I43" s="104"/>
      <x:c r="J43" s="104"/>
    </x:row>
    <x:row r="44" ht="15" hidden="0" customHeight="1">
      <x:c r="A44" s="332" t="str">
        <x:f>IF(OR(COUNTA('Game Records'!$A44:$M44)=0,'Game Records'!$F44="Subscription"),"",IFERROR(MAX($A$4:A43),0)+1)</x:f>
      </x:c>
      <x:c r="B44" s="332" t="str">
        <x:f>IF($A44="","","G-"&amp;TEXT(ROW('Game Records'!$A44)-4,"0000"))</x:f>
      </x:c>
      <x:c r="C44" s="331" t="str">
        <x:f>IF($A44="","",IFERROR('Game Records'!$A44,""))</x:f>
      </x:c>
      <x:c r="D44" s="331" t="str">
        <x:f>IF($A44="","",IFERROR('Game Records'!$U44,""))</x:f>
      </x:c>
      <x:c r="E44" s="331" t="str">
        <x:f>IF($A44="","",IF($F44="","No Highlighted Fields","Highlighted Fields Present"))</x:f>
      </x:c>
      <x:c r="F44" s="331" t="str">
        <x:f>IF($A44="","",IF('Game Records'!$B44="","Start Date; ","")&amp;IF('Game Records'!$C44="","End Date; ","")&amp;IF(AND('Game Records'!$U44&lt;&gt;"Subscription",'Game Records'!$U44&lt;&gt;"Free Game",'Game Records'!$U44&lt;&gt;"Disqualified — Free Game",OR('Game Records'!$D44="",LOWER('Game Records'!$D44&amp;"")="n/a")),"Entry Mode; ","")&amp;IF(AND('Game Records'!$U44&lt;&gt;"Subscription",'Game Records'!$U44&lt;&gt;"Free Game",'Game Records'!$U44&lt;&gt;"Disqualified — Free Game",OR('Game Records'!$E44="",LOWER('Game Records'!$E44&amp;"")="n/a")),"Game Type; ","")&amp;IF('Game Records'!$F44="","Payment Type; ","")&amp;IF(AND('Game Records'!$U44&lt;&gt;"Subscription",'Game Records'!$U44&lt;&gt;"Free Game",'Game Records'!$U44&lt;&gt;"Disqualified — Free Game",'Game Records'!$G44=""),"Gross Pot; ","")&amp;IF(AND('Game Records'!$U44&lt;&gt;"Free Game",'Game Records'!$U44&lt;&gt;"Disqualified — Free Game",'Game Records'!$H44=""),"Entry Fee; ","")&amp;IF(AND('Game Records'!$U44&lt;&gt;"Subscription",'Game Records'!$U44&lt;&gt;"Free Game",'Game Records'!$U44&lt;&gt;"Disqualified — Free Game",'Game Records'!$I44=""),"Eligible Players; ","")&amp;IF(AND('Game Records'!$U44&lt;&gt;"Subscription",'Game Records'!$U44&lt;&gt;"Free Game",'Game Records'!$U44&lt;&gt;"Disqualified — Free Game",'Game Records'!$J44=""),"Total Players; ","")&amp;IF(AND(LOWER('Game Records'!$D44&amp;"")="finalized",LOWER('Game Records'!$L44&amp;"")&lt;&gt;"yes",'Game Records'!$U44&lt;&gt;"Subscription",'Game Records'!$U44&lt;&gt;"Free Game",'Game Records'!$U44&lt;&gt;"Disqualified — Free Game",'Game Records'!$K44=""),"Final Earned; ","")&amp;IF(AND(LOWER('Game Records'!$D44&amp;"")="finalized",'Game Records'!$U44&lt;&gt;"Subscription",'Game Records'!$U44&lt;&gt;"Free Game",'Game Records'!$U44&lt;&gt;"Disqualified — Free Game",OR('Game Records'!$L44="",LOWER('Game Records'!$L44&amp;"")="n/a")),"Disqualified Status; ",""))</x:f>
      </x:c>
      <x:c r="G44" s="331" t="str">
        <x:f>IF($A44="","",IFERROR('Game Records'!$M44,""))</x:f>
      </x:c>
      <x:c r="H44" s="104"/>
      <x:c r="I44" s="104"/>
      <x:c r="J44" s="104"/>
    </x:row>
    <x:row r="45" ht="15" hidden="0" customHeight="1">
      <x:c r="A45" s="332" t="str">
        <x:f>IF(OR(COUNTA('Game Records'!$A45:$M45)=0,'Game Records'!$F45="Subscription"),"",IFERROR(MAX($A$4:A44),0)+1)</x:f>
      </x:c>
      <x:c r="B45" s="332" t="str">
        <x:f>IF($A45="","","G-"&amp;TEXT(ROW('Game Records'!$A45)-4,"0000"))</x:f>
      </x:c>
      <x:c r="C45" s="331" t="str">
        <x:f>IF($A45="","",IFERROR('Game Records'!$A45,""))</x:f>
      </x:c>
      <x:c r="D45" s="331" t="str">
        <x:f>IF($A45="","",IFERROR('Game Records'!$U45,""))</x:f>
      </x:c>
      <x:c r="E45" s="331" t="str">
        <x:f>IF($A45="","",IF($F45="","No Highlighted Fields","Highlighted Fields Present"))</x:f>
      </x:c>
      <x:c r="F45" s="331" t="str">
        <x:f>IF($A45="","",IF('Game Records'!$B45="","Start Date; ","")&amp;IF('Game Records'!$C45="","End Date; ","")&amp;IF(AND('Game Records'!$U45&lt;&gt;"Subscription",'Game Records'!$U45&lt;&gt;"Free Game",'Game Records'!$U45&lt;&gt;"Disqualified — Free Game",OR('Game Records'!$D45="",LOWER('Game Records'!$D45&amp;"")="n/a")),"Entry Mode; ","")&amp;IF(AND('Game Records'!$U45&lt;&gt;"Subscription",'Game Records'!$U45&lt;&gt;"Free Game",'Game Records'!$U45&lt;&gt;"Disqualified — Free Game",OR('Game Records'!$E45="",LOWER('Game Records'!$E45&amp;"")="n/a")),"Game Type; ","")&amp;IF('Game Records'!$F45="","Payment Type; ","")&amp;IF(AND('Game Records'!$U45&lt;&gt;"Subscription",'Game Records'!$U45&lt;&gt;"Free Game",'Game Records'!$U45&lt;&gt;"Disqualified — Free Game",'Game Records'!$G45=""),"Gross Pot; ","")&amp;IF(AND('Game Records'!$U45&lt;&gt;"Free Game",'Game Records'!$U45&lt;&gt;"Disqualified — Free Game",'Game Records'!$H45=""),"Entry Fee; ","")&amp;IF(AND('Game Records'!$U45&lt;&gt;"Subscription",'Game Records'!$U45&lt;&gt;"Free Game",'Game Records'!$U45&lt;&gt;"Disqualified — Free Game",'Game Records'!$I45=""),"Eligible Players; ","")&amp;IF(AND('Game Records'!$U45&lt;&gt;"Subscription",'Game Records'!$U45&lt;&gt;"Free Game",'Game Records'!$U45&lt;&gt;"Disqualified — Free Game",'Game Records'!$J45=""),"Total Players; ","")&amp;IF(AND(LOWER('Game Records'!$D45&amp;"")="finalized",LOWER('Game Records'!$L45&amp;"")&lt;&gt;"yes",'Game Records'!$U45&lt;&gt;"Subscription",'Game Records'!$U45&lt;&gt;"Free Game",'Game Records'!$U45&lt;&gt;"Disqualified — Free Game",'Game Records'!$K45=""),"Final Earned; ","")&amp;IF(AND(LOWER('Game Records'!$D45&amp;"")="finalized",'Game Records'!$U45&lt;&gt;"Subscription",'Game Records'!$U45&lt;&gt;"Free Game",'Game Records'!$U45&lt;&gt;"Disqualified — Free Game",OR('Game Records'!$L45="",LOWER('Game Records'!$L45&amp;"")="n/a")),"Disqualified Status; ",""))</x:f>
      </x:c>
      <x:c r="G45" s="331" t="str">
        <x:f>IF($A45="","",IFERROR('Game Records'!$M45,""))</x:f>
      </x:c>
      <x:c r="H45" s="104"/>
      <x:c r="I45" s="104"/>
      <x:c r="J45" s="104"/>
    </x:row>
    <x:row r="46" ht="15" hidden="0" customHeight="1">
      <x:c r="A46" s="332" t="str">
        <x:f>IF(OR(COUNTA('Game Records'!$A46:$M46)=0,'Game Records'!$F46="Subscription"),"",IFERROR(MAX($A$4:A45),0)+1)</x:f>
      </x:c>
      <x:c r="B46" s="332" t="str">
        <x:f>IF($A46="","","G-"&amp;TEXT(ROW('Game Records'!$A46)-4,"0000"))</x:f>
      </x:c>
      <x:c r="C46" s="331" t="str">
        <x:f>IF($A46="","",IFERROR('Game Records'!$A46,""))</x:f>
      </x:c>
      <x:c r="D46" s="331" t="str">
        <x:f>IF($A46="","",IFERROR('Game Records'!$U46,""))</x:f>
      </x:c>
      <x:c r="E46" s="331" t="str">
        <x:f>IF($A46="","",IF($F46="","No Highlighted Fields","Highlighted Fields Present"))</x:f>
      </x:c>
      <x:c r="F46" s="331" t="str">
        <x:f>IF($A46="","",IF('Game Records'!$B46="","Start Date; ","")&amp;IF('Game Records'!$C46="","End Date; ","")&amp;IF(AND('Game Records'!$U46&lt;&gt;"Subscription",'Game Records'!$U46&lt;&gt;"Free Game",'Game Records'!$U46&lt;&gt;"Disqualified — Free Game",OR('Game Records'!$D46="",LOWER('Game Records'!$D46&amp;"")="n/a")),"Entry Mode; ","")&amp;IF(AND('Game Records'!$U46&lt;&gt;"Subscription",'Game Records'!$U46&lt;&gt;"Free Game",'Game Records'!$U46&lt;&gt;"Disqualified — Free Game",OR('Game Records'!$E46="",LOWER('Game Records'!$E46&amp;"")="n/a")),"Game Type; ","")&amp;IF('Game Records'!$F46="","Payment Type; ","")&amp;IF(AND('Game Records'!$U46&lt;&gt;"Subscription",'Game Records'!$U46&lt;&gt;"Free Game",'Game Records'!$U46&lt;&gt;"Disqualified — Free Game",'Game Records'!$G46=""),"Gross Pot; ","")&amp;IF(AND('Game Records'!$U46&lt;&gt;"Free Game",'Game Records'!$U46&lt;&gt;"Disqualified — Free Game",'Game Records'!$H46=""),"Entry Fee; ","")&amp;IF(AND('Game Records'!$U46&lt;&gt;"Subscription",'Game Records'!$U46&lt;&gt;"Free Game",'Game Records'!$U46&lt;&gt;"Disqualified — Free Game",'Game Records'!$I46=""),"Eligible Players; ","")&amp;IF(AND('Game Records'!$U46&lt;&gt;"Subscription",'Game Records'!$U46&lt;&gt;"Free Game",'Game Records'!$U46&lt;&gt;"Disqualified — Free Game",'Game Records'!$J46=""),"Total Players; ","")&amp;IF(AND(LOWER('Game Records'!$D46&amp;"")="finalized",LOWER('Game Records'!$L46&amp;"")&lt;&gt;"yes",'Game Records'!$U46&lt;&gt;"Subscription",'Game Records'!$U46&lt;&gt;"Free Game",'Game Records'!$U46&lt;&gt;"Disqualified — Free Game",'Game Records'!$K46=""),"Final Earned; ","")&amp;IF(AND(LOWER('Game Records'!$D46&amp;"")="finalized",'Game Records'!$U46&lt;&gt;"Subscription",'Game Records'!$U46&lt;&gt;"Free Game",'Game Records'!$U46&lt;&gt;"Disqualified — Free Game",OR('Game Records'!$L46="",LOWER('Game Records'!$L46&amp;"")="n/a")),"Disqualified Status; ",""))</x:f>
      </x:c>
      <x:c r="G46" s="331" t="str">
        <x:f>IF($A46="","",IFERROR('Game Records'!$M46,""))</x:f>
      </x:c>
      <x:c r="H46" s="104"/>
      <x:c r="I46" s="104"/>
      <x:c r="J46" s="104"/>
    </x:row>
    <x:row r="47" ht="15" hidden="0" customHeight="1">
      <x:c r="A47" s="332" t="str">
        <x:f>IF(OR(COUNTA('Game Records'!$A47:$M47)=0,'Game Records'!$F47="Subscription"),"",IFERROR(MAX($A$4:A46),0)+1)</x:f>
      </x:c>
      <x:c r="B47" s="332" t="str">
        <x:f>IF($A47="","","G-"&amp;TEXT(ROW('Game Records'!$A47)-4,"0000"))</x:f>
      </x:c>
      <x:c r="C47" s="331" t="str">
        <x:f>IF($A47="","",IFERROR('Game Records'!$A47,""))</x:f>
      </x:c>
      <x:c r="D47" s="331" t="str">
        <x:f>IF($A47="","",IFERROR('Game Records'!$U47,""))</x:f>
      </x:c>
      <x:c r="E47" s="331" t="str">
        <x:f>IF($A47="","",IF($F47="","No Highlighted Fields","Highlighted Fields Present"))</x:f>
      </x:c>
      <x:c r="F47" s="331" t="str">
        <x:f>IF($A47="","",IF('Game Records'!$B47="","Start Date; ","")&amp;IF('Game Records'!$C47="","End Date; ","")&amp;IF(AND('Game Records'!$U47&lt;&gt;"Subscription",'Game Records'!$U47&lt;&gt;"Free Game",'Game Records'!$U47&lt;&gt;"Disqualified — Free Game",OR('Game Records'!$D47="",LOWER('Game Records'!$D47&amp;"")="n/a")),"Entry Mode; ","")&amp;IF(AND('Game Records'!$U47&lt;&gt;"Subscription",'Game Records'!$U47&lt;&gt;"Free Game",'Game Records'!$U47&lt;&gt;"Disqualified — Free Game",OR('Game Records'!$E47="",LOWER('Game Records'!$E47&amp;"")="n/a")),"Game Type; ","")&amp;IF('Game Records'!$F47="","Payment Type; ","")&amp;IF(AND('Game Records'!$U47&lt;&gt;"Subscription",'Game Records'!$U47&lt;&gt;"Free Game",'Game Records'!$U47&lt;&gt;"Disqualified — Free Game",'Game Records'!$G47=""),"Gross Pot; ","")&amp;IF(AND('Game Records'!$U47&lt;&gt;"Free Game",'Game Records'!$U47&lt;&gt;"Disqualified — Free Game",'Game Records'!$H47=""),"Entry Fee; ","")&amp;IF(AND('Game Records'!$U47&lt;&gt;"Subscription",'Game Records'!$U47&lt;&gt;"Free Game",'Game Records'!$U47&lt;&gt;"Disqualified — Free Game",'Game Records'!$I47=""),"Eligible Players; ","")&amp;IF(AND('Game Records'!$U47&lt;&gt;"Subscription",'Game Records'!$U47&lt;&gt;"Free Game",'Game Records'!$U47&lt;&gt;"Disqualified — Free Game",'Game Records'!$J47=""),"Total Players; ","")&amp;IF(AND(LOWER('Game Records'!$D47&amp;"")="finalized",LOWER('Game Records'!$L47&amp;"")&lt;&gt;"yes",'Game Records'!$U47&lt;&gt;"Subscription",'Game Records'!$U47&lt;&gt;"Free Game",'Game Records'!$U47&lt;&gt;"Disqualified — Free Game",'Game Records'!$K47=""),"Final Earned; ","")&amp;IF(AND(LOWER('Game Records'!$D47&amp;"")="finalized",'Game Records'!$U47&lt;&gt;"Subscription",'Game Records'!$U47&lt;&gt;"Free Game",'Game Records'!$U47&lt;&gt;"Disqualified — Free Game",OR('Game Records'!$L47="",LOWER('Game Records'!$L47&amp;"")="n/a")),"Disqualified Status; ",""))</x:f>
      </x:c>
      <x:c r="G47" s="331" t="str">
        <x:f>IF($A47="","",IFERROR('Game Records'!$M47,""))</x:f>
      </x:c>
      <x:c r="H47" s="104"/>
      <x:c r="I47" s="104"/>
      <x:c r="J47" s="104"/>
    </x:row>
    <x:row r="48" ht="15" hidden="0" customHeight="1">
      <x:c r="A48" s="332" t="str">
        <x:f>IF(OR(COUNTA('Game Records'!$A48:$M48)=0,'Game Records'!$F48="Subscription"),"",IFERROR(MAX($A$4:A47),0)+1)</x:f>
      </x:c>
      <x:c r="B48" s="332" t="str">
        <x:f>IF($A48="","","G-"&amp;TEXT(ROW('Game Records'!$A48)-4,"0000"))</x:f>
      </x:c>
      <x:c r="C48" s="331" t="str">
        <x:f>IF($A48="","",IFERROR('Game Records'!$A48,""))</x:f>
      </x:c>
      <x:c r="D48" s="331" t="str">
        <x:f>IF($A48="","",IFERROR('Game Records'!$U48,""))</x:f>
      </x:c>
      <x:c r="E48" s="331" t="str">
        <x:f>IF($A48="","",IF($F48="","No Highlighted Fields","Highlighted Fields Present"))</x:f>
      </x:c>
      <x:c r="F48" s="331" t="str">
        <x:f>IF($A48="","",IF('Game Records'!$B48="","Start Date; ","")&amp;IF('Game Records'!$C48="","End Date; ","")&amp;IF(AND('Game Records'!$U48&lt;&gt;"Subscription",'Game Records'!$U48&lt;&gt;"Free Game",'Game Records'!$U48&lt;&gt;"Disqualified — Free Game",OR('Game Records'!$D48="",LOWER('Game Records'!$D48&amp;"")="n/a")),"Entry Mode; ","")&amp;IF(AND('Game Records'!$U48&lt;&gt;"Subscription",'Game Records'!$U48&lt;&gt;"Free Game",'Game Records'!$U48&lt;&gt;"Disqualified — Free Game",OR('Game Records'!$E48="",LOWER('Game Records'!$E48&amp;"")="n/a")),"Game Type; ","")&amp;IF('Game Records'!$F48="","Payment Type; ","")&amp;IF(AND('Game Records'!$U48&lt;&gt;"Subscription",'Game Records'!$U48&lt;&gt;"Free Game",'Game Records'!$U48&lt;&gt;"Disqualified — Free Game",'Game Records'!$G48=""),"Gross Pot; ","")&amp;IF(AND('Game Records'!$U48&lt;&gt;"Free Game",'Game Records'!$U48&lt;&gt;"Disqualified — Free Game",'Game Records'!$H48=""),"Entry Fee; ","")&amp;IF(AND('Game Records'!$U48&lt;&gt;"Subscription",'Game Records'!$U48&lt;&gt;"Free Game",'Game Records'!$U48&lt;&gt;"Disqualified — Free Game",'Game Records'!$I48=""),"Eligible Players; ","")&amp;IF(AND('Game Records'!$U48&lt;&gt;"Subscription",'Game Records'!$U48&lt;&gt;"Free Game",'Game Records'!$U48&lt;&gt;"Disqualified — Free Game",'Game Records'!$J48=""),"Total Players; ","")&amp;IF(AND(LOWER('Game Records'!$D48&amp;"")="finalized",LOWER('Game Records'!$L48&amp;"")&lt;&gt;"yes",'Game Records'!$U48&lt;&gt;"Subscription",'Game Records'!$U48&lt;&gt;"Free Game",'Game Records'!$U48&lt;&gt;"Disqualified — Free Game",'Game Records'!$K48=""),"Final Earned; ","")&amp;IF(AND(LOWER('Game Records'!$D48&amp;"")="finalized",'Game Records'!$U48&lt;&gt;"Subscription",'Game Records'!$U48&lt;&gt;"Free Game",'Game Records'!$U48&lt;&gt;"Disqualified — Free Game",OR('Game Records'!$L48="",LOWER('Game Records'!$L48&amp;"")="n/a")),"Disqualified Status; ",""))</x:f>
      </x:c>
      <x:c r="G48" s="331" t="str">
        <x:f>IF($A48="","",IFERROR('Game Records'!$M48,""))</x:f>
      </x:c>
      <x:c r="H48" s="104"/>
      <x:c r="I48" s="104"/>
      <x:c r="J48" s="104"/>
    </x:row>
    <x:row r="49" ht="15" hidden="0" customHeight="1">
      <x:c r="A49" s="332" t="str">
        <x:f>IF(OR(COUNTA('Game Records'!$A49:$M49)=0,'Game Records'!$F49="Subscription"),"",IFERROR(MAX($A$4:A48),0)+1)</x:f>
      </x:c>
      <x:c r="B49" s="332" t="str">
        <x:f>IF($A49="","","G-"&amp;TEXT(ROW('Game Records'!$A49)-4,"0000"))</x:f>
      </x:c>
      <x:c r="C49" s="331" t="str">
        <x:f>IF($A49="","",IFERROR('Game Records'!$A49,""))</x:f>
      </x:c>
      <x:c r="D49" s="331" t="str">
        <x:f>IF($A49="","",IFERROR('Game Records'!$U49,""))</x:f>
      </x:c>
      <x:c r="E49" s="331" t="str">
        <x:f>IF($A49="","",IF($F49="","No Highlighted Fields","Highlighted Fields Present"))</x:f>
      </x:c>
      <x:c r="F49" s="331" t="str">
        <x:f>IF($A49="","",IF('Game Records'!$B49="","Start Date; ","")&amp;IF('Game Records'!$C49="","End Date; ","")&amp;IF(AND('Game Records'!$U49&lt;&gt;"Subscription",'Game Records'!$U49&lt;&gt;"Free Game",'Game Records'!$U49&lt;&gt;"Disqualified — Free Game",OR('Game Records'!$D49="",LOWER('Game Records'!$D49&amp;"")="n/a")),"Entry Mode; ","")&amp;IF(AND('Game Records'!$U49&lt;&gt;"Subscription",'Game Records'!$U49&lt;&gt;"Free Game",'Game Records'!$U49&lt;&gt;"Disqualified — Free Game",OR('Game Records'!$E49="",LOWER('Game Records'!$E49&amp;"")="n/a")),"Game Type; ","")&amp;IF('Game Records'!$F49="","Payment Type; ","")&amp;IF(AND('Game Records'!$U49&lt;&gt;"Subscription",'Game Records'!$U49&lt;&gt;"Free Game",'Game Records'!$U49&lt;&gt;"Disqualified — Free Game",'Game Records'!$G49=""),"Gross Pot; ","")&amp;IF(AND('Game Records'!$U49&lt;&gt;"Free Game",'Game Records'!$U49&lt;&gt;"Disqualified — Free Game",'Game Records'!$H49=""),"Entry Fee; ","")&amp;IF(AND('Game Records'!$U49&lt;&gt;"Subscription",'Game Records'!$U49&lt;&gt;"Free Game",'Game Records'!$U49&lt;&gt;"Disqualified — Free Game",'Game Records'!$I49=""),"Eligible Players; ","")&amp;IF(AND('Game Records'!$U49&lt;&gt;"Subscription",'Game Records'!$U49&lt;&gt;"Free Game",'Game Records'!$U49&lt;&gt;"Disqualified — Free Game",'Game Records'!$J49=""),"Total Players; ","")&amp;IF(AND(LOWER('Game Records'!$D49&amp;"")="finalized",LOWER('Game Records'!$L49&amp;"")&lt;&gt;"yes",'Game Records'!$U49&lt;&gt;"Subscription",'Game Records'!$U49&lt;&gt;"Free Game",'Game Records'!$U49&lt;&gt;"Disqualified — Free Game",'Game Records'!$K49=""),"Final Earned; ","")&amp;IF(AND(LOWER('Game Records'!$D49&amp;"")="finalized",'Game Records'!$U49&lt;&gt;"Subscription",'Game Records'!$U49&lt;&gt;"Free Game",'Game Records'!$U49&lt;&gt;"Disqualified — Free Game",OR('Game Records'!$L49="",LOWER('Game Records'!$L49&amp;"")="n/a")),"Disqualified Status; ",""))</x:f>
      </x:c>
      <x:c r="G49" s="331" t="str">
        <x:f>IF($A49="","",IFERROR('Game Records'!$M49,""))</x:f>
      </x:c>
      <x:c r="H49" s="104"/>
      <x:c r="I49" s="104"/>
      <x:c r="J49" s="104"/>
    </x:row>
    <x:row r="50" ht="15" hidden="0" customHeight="1">
      <x:c r="A50" s="332" t="str">
        <x:f>IF(OR(COUNTA('Game Records'!$A50:$M50)=0,'Game Records'!$F50="Subscription"),"",IFERROR(MAX($A$4:A49),0)+1)</x:f>
      </x:c>
      <x:c r="B50" s="332" t="str">
        <x:f>IF($A50="","","G-"&amp;TEXT(ROW('Game Records'!$A50)-4,"0000"))</x:f>
      </x:c>
      <x:c r="C50" s="331" t="str">
        <x:f>IF($A50="","",IFERROR('Game Records'!$A50,""))</x:f>
      </x:c>
      <x:c r="D50" s="331" t="str">
        <x:f>IF($A50="","",IFERROR('Game Records'!$U50,""))</x:f>
      </x:c>
      <x:c r="E50" s="331" t="str">
        <x:f>IF($A50="","",IF($F50="","No Highlighted Fields","Highlighted Fields Present"))</x:f>
      </x:c>
      <x:c r="F50" s="331" t="str">
        <x:f>IF($A50="","",IF('Game Records'!$B50="","Start Date; ","")&amp;IF('Game Records'!$C50="","End Date; ","")&amp;IF(AND('Game Records'!$U50&lt;&gt;"Subscription",'Game Records'!$U50&lt;&gt;"Free Game",'Game Records'!$U50&lt;&gt;"Disqualified — Free Game",OR('Game Records'!$D50="",LOWER('Game Records'!$D50&amp;"")="n/a")),"Entry Mode; ","")&amp;IF(AND('Game Records'!$U50&lt;&gt;"Subscription",'Game Records'!$U50&lt;&gt;"Free Game",'Game Records'!$U50&lt;&gt;"Disqualified — Free Game",OR('Game Records'!$E50="",LOWER('Game Records'!$E50&amp;"")="n/a")),"Game Type; ","")&amp;IF('Game Records'!$F50="","Payment Type; ","")&amp;IF(AND('Game Records'!$U50&lt;&gt;"Subscription",'Game Records'!$U50&lt;&gt;"Free Game",'Game Records'!$U50&lt;&gt;"Disqualified — Free Game",'Game Records'!$G50=""),"Gross Pot; ","")&amp;IF(AND('Game Records'!$U50&lt;&gt;"Free Game",'Game Records'!$U50&lt;&gt;"Disqualified — Free Game",'Game Records'!$H50=""),"Entry Fee; ","")&amp;IF(AND('Game Records'!$U50&lt;&gt;"Subscription",'Game Records'!$U50&lt;&gt;"Free Game",'Game Records'!$U50&lt;&gt;"Disqualified — Free Game",'Game Records'!$I50=""),"Eligible Players; ","")&amp;IF(AND('Game Records'!$U50&lt;&gt;"Subscription",'Game Records'!$U50&lt;&gt;"Free Game",'Game Records'!$U50&lt;&gt;"Disqualified — Free Game",'Game Records'!$J50=""),"Total Players; ","")&amp;IF(AND(LOWER('Game Records'!$D50&amp;"")="finalized",LOWER('Game Records'!$L50&amp;"")&lt;&gt;"yes",'Game Records'!$U50&lt;&gt;"Subscription",'Game Records'!$U50&lt;&gt;"Free Game",'Game Records'!$U50&lt;&gt;"Disqualified — Free Game",'Game Records'!$K50=""),"Final Earned; ","")&amp;IF(AND(LOWER('Game Records'!$D50&amp;"")="finalized",'Game Records'!$U50&lt;&gt;"Subscription",'Game Records'!$U50&lt;&gt;"Free Game",'Game Records'!$U50&lt;&gt;"Disqualified — Free Game",OR('Game Records'!$L50="",LOWER('Game Records'!$L50&amp;"")="n/a")),"Disqualified Status; ",""))</x:f>
      </x:c>
      <x:c r="G50" s="331" t="str">
        <x:f>IF($A50="","",IFERROR('Game Records'!$M50,""))</x:f>
      </x:c>
      <x:c r="H50" s="104"/>
      <x:c r="I50" s="104"/>
      <x:c r="J50" s="104"/>
    </x:row>
    <x:row r="51" ht="15" hidden="0" customHeight="1">
      <x:c r="A51" s="332" t="str">
        <x:f>IF(OR(COUNTA('Game Records'!$A51:$M51)=0,'Game Records'!$F51="Subscription"),"",IFERROR(MAX($A$4:A50),0)+1)</x:f>
      </x:c>
      <x:c r="B51" s="332" t="str">
        <x:f>IF($A51="","","G-"&amp;TEXT(ROW('Game Records'!$A51)-4,"0000"))</x:f>
      </x:c>
      <x:c r="C51" s="331" t="str">
        <x:f>IF($A51="","",IFERROR('Game Records'!$A51,""))</x:f>
      </x:c>
      <x:c r="D51" s="331" t="str">
        <x:f>IF($A51="","",IFERROR('Game Records'!$U51,""))</x:f>
      </x:c>
      <x:c r="E51" s="331" t="str">
        <x:f>IF($A51="","",IF($F51="","No Highlighted Fields","Highlighted Fields Present"))</x:f>
      </x:c>
      <x:c r="F51" s="331" t="str">
        <x:f>IF($A51="","",IF('Game Records'!$B51="","Start Date; ","")&amp;IF('Game Records'!$C51="","End Date; ","")&amp;IF(AND('Game Records'!$U51&lt;&gt;"Subscription",'Game Records'!$U51&lt;&gt;"Free Game",'Game Records'!$U51&lt;&gt;"Disqualified — Free Game",OR('Game Records'!$D51="",LOWER('Game Records'!$D51&amp;"")="n/a")),"Entry Mode; ","")&amp;IF(AND('Game Records'!$U51&lt;&gt;"Subscription",'Game Records'!$U51&lt;&gt;"Free Game",'Game Records'!$U51&lt;&gt;"Disqualified — Free Game",OR('Game Records'!$E51="",LOWER('Game Records'!$E51&amp;"")="n/a")),"Game Type; ","")&amp;IF('Game Records'!$F51="","Payment Type; ","")&amp;IF(AND('Game Records'!$U51&lt;&gt;"Subscription",'Game Records'!$U51&lt;&gt;"Free Game",'Game Records'!$U51&lt;&gt;"Disqualified — Free Game",'Game Records'!$G51=""),"Gross Pot; ","")&amp;IF(AND('Game Records'!$U51&lt;&gt;"Free Game",'Game Records'!$U51&lt;&gt;"Disqualified — Free Game",'Game Records'!$H51=""),"Entry Fee; ","")&amp;IF(AND('Game Records'!$U51&lt;&gt;"Subscription",'Game Records'!$U51&lt;&gt;"Free Game",'Game Records'!$U51&lt;&gt;"Disqualified — Free Game",'Game Records'!$I51=""),"Eligible Players; ","")&amp;IF(AND('Game Records'!$U51&lt;&gt;"Subscription",'Game Records'!$U51&lt;&gt;"Free Game",'Game Records'!$U51&lt;&gt;"Disqualified — Free Game",'Game Records'!$J51=""),"Total Players; ","")&amp;IF(AND(LOWER('Game Records'!$D51&amp;"")="finalized",LOWER('Game Records'!$L51&amp;"")&lt;&gt;"yes",'Game Records'!$U51&lt;&gt;"Subscription",'Game Records'!$U51&lt;&gt;"Free Game",'Game Records'!$U51&lt;&gt;"Disqualified — Free Game",'Game Records'!$K51=""),"Final Earned; ","")&amp;IF(AND(LOWER('Game Records'!$D51&amp;"")="finalized",'Game Records'!$U51&lt;&gt;"Subscription",'Game Records'!$U51&lt;&gt;"Free Game",'Game Records'!$U51&lt;&gt;"Disqualified — Free Game",OR('Game Records'!$L51="",LOWER('Game Records'!$L51&amp;"")="n/a")),"Disqualified Status; ",""))</x:f>
      </x:c>
      <x:c r="G51" s="331" t="str">
        <x:f>IF($A51="","",IFERROR('Game Records'!$M51,""))</x:f>
      </x:c>
      <x:c r="H51" s="104"/>
      <x:c r="I51" s="104"/>
      <x:c r="J51" s="104"/>
    </x:row>
    <x:row r="52" ht="15" hidden="0" customHeight="1">
      <x:c r="A52" s="332" t="str">
        <x:f>IF(OR(COUNTA('Game Records'!$A52:$M52)=0,'Game Records'!$F52="Subscription"),"",IFERROR(MAX($A$4:A51),0)+1)</x:f>
      </x:c>
      <x:c r="B52" s="332" t="str">
        <x:f>IF($A52="","","G-"&amp;TEXT(ROW('Game Records'!$A52)-4,"0000"))</x:f>
      </x:c>
      <x:c r="C52" s="331" t="str">
        <x:f>IF($A52="","",IFERROR('Game Records'!$A52,""))</x:f>
      </x:c>
      <x:c r="D52" s="331" t="str">
        <x:f>IF($A52="","",IFERROR('Game Records'!$U52,""))</x:f>
      </x:c>
      <x:c r="E52" s="331" t="str">
        <x:f>IF($A52="","",IF($F52="","No Highlighted Fields","Highlighted Fields Present"))</x:f>
      </x:c>
      <x:c r="F52" s="331" t="str">
        <x:f>IF($A52="","",IF('Game Records'!$B52="","Start Date; ","")&amp;IF('Game Records'!$C52="","End Date; ","")&amp;IF(AND('Game Records'!$U52&lt;&gt;"Subscription",'Game Records'!$U52&lt;&gt;"Free Game",'Game Records'!$U52&lt;&gt;"Disqualified — Free Game",OR('Game Records'!$D52="",LOWER('Game Records'!$D52&amp;"")="n/a")),"Entry Mode; ","")&amp;IF(AND('Game Records'!$U52&lt;&gt;"Subscription",'Game Records'!$U52&lt;&gt;"Free Game",'Game Records'!$U52&lt;&gt;"Disqualified — Free Game",OR('Game Records'!$E52="",LOWER('Game Records'!$E52&amp;"")="n/a")),"Game Type; ","")&amp;IF('Game Records'!$F52="","Payment Type; ","")&amp;IF(AND('Game Records'!$U52&lt;&gt;"Subscription",'Game Records'!$U52&lt;&gt;"Free Game",'Game Records'!$U52&lt;&gt;"Disqualified — Free Game",'Game Records'!$G52=""),"Gross Pot; ","")&amp;IF(AND('Game Records'!$U52&lt;&gt;"Free Game",'Game Records'!$U52&lt;&gt;"Disqualified — Free Game",'Game Records'!$H52=""),"Entry Fee; ","")&amp;IF(AND('Game Records'!$U52&lt;&gt;"Subscription",'Game Records'!$U52&lt;&gt;"Free Game",'Game Records'!$U52&lt;&gt;"Disqualified — Free Game",'Game Records'!$I52=""),"Eligible Players; ","")&amp;IF(AND('Game Records'!$U52&lt;&gt;"Subscription",'Game Records'!$U52&lt;&gt;"Free Game",'Game Records'!$U52&lt;&gt;"Disqualified — Free Game",'Game Records'!$J52=""),"Total Players; ","")&amp;IF(AND(LOWER('Game Records'!$D52&amp;"")="finalized",LOWER('Game Records'!$L52&amp;"")&lt;&gt;"yes",'Game Records'!$U52&lt;&gt;"Subscription",'Game Records'!$U52&lt;&gt;"Free Game",'Game Records'!$U52&lt;&gt;"Disqualified — Free Game",'Game Records'!$K52=""),"Final Earned; ","")&amp;IF(AND(LOWER('Game Records'!$D52&amp;"")="finalized",'Game Records'!$U52&lt;&gt;"Subscription",'Game Records'!$U52&lt;&gt;"Free Game",'Game Records'!$U52&lt;&gt;"Disqualified — Free Game",OR('Game Records'!$L52="",LOWER('Game Records'!$L52&amp;"")="n/a")),"Disqualified Status; ",""))</x:f>
      </x:c>
      <x:c r="G52" s="331" t="str">
        <x:f>IF($A52="","",IFERROR('Game Records'!$M52,""))</x:f>
      </x:c>
      <x:c r="H52" s="104"/>
      <x:c r="I52" s="104"/>
      <x:c r="J52" s="104"/>
    </x:row>
    <x:row r="53" ht="15" hidden="0" customHeight="1">
      <x:c r="A53" s="332" t="str">
        <x:f>IF(OR(COUNTA('Game Records'!$A53:$M53)=0,'Game Records'!$F53="Subscription"),"",IFERROR(MAX($A$4:A52),0)+1)</x:f>
      </x:c>
      <x:c r="B53" s="332" t="str">
        <x:f>IF($A53="","","G-"&amp;TEXT(ROW('Game Records'!$A53)-4,"0000"))</x:f>
      </x:c>
      <x:c r="C53" s="331" t="str">
        <x:f>IF($A53="","",IFERROR('Game Records'!$A53,""))</x:f>
      </x:c>
      <x:c r="D53" s="331" t="str">
        <x:f>IF($A53="","",IFERROR('Game Records'!$U53,""))</x:f>
      </x:c>
      <x:c r="E53" s="331" t="str">
        <x:f>IF($A53="","",IF($F53="","No Highlighted Fields","Highlighted Fields Present"))</x:f>
      </x:c>
      <x:c r="F53" s="331" t="str">
        <x:f>IF($A53="","",IF('Game Records'!$B53="","Start Date; ","")&amp;IF('Game Records'!$C53="","End Date; ","")&amp;IF(AND('Game Records'!$U53&lt;&gt;"Subscription",'Game Records'!$U53&lt;&gt;"Free Game",'Game Records'!$U53&lt;&gt;"Disqualified — Free Game",OR('Game Records'!$D53="",LOWER('Game Records'!$D53&amp;"")="n/a")),"Entry Mode; ","")&amp;IF(AND('Game Records'!$U53&lt;&gt;"Subscription",'Game Records'!$U53&lt;&gt;"Free Game",'Game Records'!$U53&lt;&gt;"Disqualified — Free Game",OR('Game Records'!$E53="",LOWER('Game Records'!$E53&amp;"")="n/a")),"Game Type; ","")&amp;IF('Game Records'!$F53="","Payment Type; ","")&amp;IF(AND('Game Records'!$U53&lt;&gt;"Subscription",'Game Records'!$U53&lt;&gt;"Free Game",'Game Records'!$U53&lt;&gt;"Disqualified — Free Game",'Game Records'!$G53=""),"Gross Pot; ","")&amp;IF(AND('Game Records'!$U53&lt;&gt;"Free Game",'Game Records'!$U53&lt;&gt;"Disqualified — Free Game",'Game Records'!$H53=""),"Entry Fee; ","")&amp;IF(AND('Game Records'!$U53&lt;&gt;"Subscription",'Game Records'!$U53&lt;&gt;"Free Game",'Game Records'!$U53&lt;&gt;"Disqualified — Free Game",'Game Records'!$I53=""),"Eligible Players; ","")&amp;IF(AND('Game Records'!$U53&lt;&gt;"Subscription",'Game Records'!$U53&lt;&gt;"Free Game",'Game Records'!$U53&lt;&gt;"Disqualified — Free Game",'Game Records'!$J53=""),"Total Players; ","")&amp;IF(AND(LOWER('Game Records'!$D53&amp;"")="finalized",LOWER('Game Records'!$L53&amp;"")&lt;&gt;"yes",'Game Records'!$U53&lt;&gt;"Subscription",'Game Records'!$U53&lt;&gt;"Free Game",'Game Records'!$U53&lt;&gt;"Disqualified — Free Game",'Game Records'!$K53=""),"Final Earned; ","")&amp;IF(AND(LOWER('Game Records'!$D53&amp;"")="finalized",'Game Records'!$U53&lt;&gt;"Subscription",'Game Records'!$U53&lt;&gt;"Free Game",'Game Records'!$U53&lt;&gt;"Disqualified — Free Game",OR('Game Records'!$L53="",LOWER('Game Records'!$L53&amp;"")="n/a")),"Disqualified Status; ",""))</x:f>
      </x:c>
      <x:c r="G53" s="331" t="str">
        <x:f>IF($A53="","",IFERROR('Game Records'!$M53,""))</x:f>
      </x:c>
      <x:c r="H53" s="104"/>
      <x:c r="I53" s="104"/>
      <x:c r="J53" s="104"/>
    </x:row>
    <x:row r="54" ht="15" hidden="0" customHeight="1">
      <x:c r="A54" s="332" t="str">
        <x:f>IF(OR(COUNTA('Game Records'!$A54:$M54)=0,'Game Records'!$F54="Subscription"),"",IFERROR(MAX($A$4:A53),0)+1)</x:f>
      </x:c>
      <x:c r="B54" s="332" t="str">
        <x:f>IF($A54="","","G-"&amp;TEXT(ROW('Game Records'!$A54)-4,"0000"))</x:f>
      </x:c>
      <x:c r="C54" s="331" t="str">
        <x:f>IF($A54="","",IFERROR('Game Records'!$A54,""))</x:f>
      </x:c>
      <x:c r="D54" s="331" t="str">
        <x:f>IF($A54="","",IFERROR('Game Records'!$U54,""))</x:f>
      </x:c>
      <x:c r="E54" s="331" t="str">
        <x:f>IF($A54="","",IF($F54="","No Highlighted Fields","Highlighted Fields Present"))</x:f>
      </x:c>
      <x:c r="F54" s="331" t="str">
        <x:f>IF($A54="","",IF('Game Records'!$B54="","Start Date; ","")&amp;IF('Game Records'!$C54="","End Date; ","")&amp;IF(AND('Game Records'!$U54&lt;&gt;"Subscription",'Game Records'!$U54&lt;&gt;"Free Game",'Game Records'!$U54&lt;&gt;"Disqualified — Free Game",OR('Game Records'!$D54="",LOWER('Game Records'!$D54&amp;"")="n/a")),"Entry Mode; ","")&amp;IF(AND('Game Records'!$U54&lt;&gt;"Subscription",'Game Records'!$U54&lt;&gt;"Free Game",'Game Records'!$U54&lt;&gt;"Disqualified — Free Game",OR('Game Records'!$E54="",LOWER('Game Records'!$E54&amp;"")="n/a")),"Game Type; ","")&amp;IF('Game Records'!$F54="","Payment Type; ","")&amp;IF(AND('Game Records'!$U54&lt;&gt;"Subscription",'Game Records'!$U54&lt;&gt;"Free Game",'Game Records'!$U54&lt;&gt;"Disqualified — Free Game",'Game Records'!$G54=""),"Gross Pot; ","")&amp;IF(AND('Game Records'!$U54&lt;&gt;"Free Game",'Game Records'!$U54&lt;&gt;"Disqualified — Free Game",'Game Records'!$H54=""),"Entry Fee; ","")&amp;IF(AND('Game Records'!$U54&lt;&gt;"Subscription",'Game Records'!$U54&lt;&gt;"Free Game",'Game Records'!$U54&lt;&gt;"Disqualified — Free Game",'Game Records'!$I54=""),"Eligible Players; ","")&amp;IF(AND('Game Records'!$U54&lt;&gt;"Subscription",'Game Records'!$U54&lt;&gt;"Free Game",'Game Records'!$U54&lt;&gt;"Disqualified — Free Game",'Game Records'!$J54=""),"Total Players; ","")&amp;IF(AND(LOWER('Game Records'!$D54&amp;"")="finalized",LOWER('Game Records'!$L54&amp;"")&lt;&gt;"yes",'Game Records'!$U54&lt;&gt;"Subscription",'Game Records'!$U54&lt;&gt;"Free Game",'Game Records'!$U54&lt;&gt;"Disqualified — Free Game",'Game Records'!$K54=""),"Final Earned; ","")&amp;IF(AND(LOWER('Game Records'!$D54&amp;"")="finalized",'Game Records'!$U54&lt;&gt;"Subscription",'Game Records'!$U54&lt;&gt;"Free Game",'Game Records'!$U54&lt;&gt;"Disqualified — Free Game",OR('Game Records'!$L54="",LOWER('Game Records'!$L54&amp;"")="n/a")),"Disqualified Status; ",""))</x:f>
      </x:c>
      <x:c r="G54" s="331" t="str">
        <x:f>IF($A54="","",IFERROR('Game Records'!$M54,""))</x:f>
      </x:c>
      <x:c r="H54" s="104"/>
      <x:c r="I54" s="104"/>
      <x:c r="J54" s="104"/>
    </x:row>
    <x:row r="55" ht="15" hidden="0" customHeight="1">
      <x:c r="A55" s="332" t="str">
        <x:f>IF(OR(COUNTA('Game Records'!$A55:$M55)=0,'Game Records'!$F55="Subscription"),"",IFERROR(MAX($A$4:A54),0)+1)</x:f>
      </x:c>
      <x:c r="B55" s="332" t="str">
        <x:f>IF($A55="","","G-"&amp;TEXT(ROW('Game Records'!$A55)-4,"0000"))</x:f>
      </x:c>
      <x:c r="C55" s="331" t="str">
        <x:f>IF($A55="","",IFERROR('Game Records'!$A55,""))</x:f>
      </x:c>
      <x:c r="D55" s="331" t="str">
        <x:f>IF($A55="","",IFERROR('Game Records'!$U55,""))</x:f>
      </x:c>
      <x:c r="E55" s="331" t="str">
        <x:f>IF($A55="","",IF($F55="","No Highlighted Fields","Highlighted Fields Present"))</x:f>
      </x:c>
      <x:c r="F55" s="331" t="str">
        <x:f>IF($A55="","",IF('Game Records'!$B55="","Start Date; ","")&amp;IF('Game Records'!$C55="","End Date; ","")&amp;IF(AND('Game Records'!$U55&lt;&gt;"Subscription",'Game Records'!$U55&lt;&gt;"Free Game",'Game Records'!$U55&lt;&gt;"Disqualified — Free Game",OR('Game Records'!$D55="",LOWER('Game Records'!$D55&amp;"")="n/a")),"Entry Mode; ","")&amp;IF(AND('Game Records'!$U55&lt;&gt;"Subscription",'Game Records'!$U55&lt;&gt;"Free Game",'Game Records'!$U55&lt;&gt;"Disqualified — Free Game",OR('Game Records'!$E55="",LOWER('Game Records'!$E55&amp;"")="n/a")),"Game Type; ","")&amp;IF('Game Records'!$F55="","Payment Type; ","")&amp;IF(AND('Game Records'!$U55&lt;&gt;"Subscription",'Game Records'!$U55&lt;&gt;"Free Game",'Game Records'!$U55&lt;&gt;"Disqualified — Free Game",'Game Records'!$G55=""),"Gross Pot; ","")&amp;IF(AND('Game Records'!$U55&lt;&gt;"Free Game",'Game Records'!$U55&lt;&gt;"Disqualified — Free Game",'Game Records'!$H55=""),"Entry Fee; ","")&amp;IF(AND('Game Records'!$U55&lt;&gt;"Subscription",'Game Records'!$U55&lt;&gt;"Free Game",'Game Records'!$U55&lt;&gt;"Disqualified — Free Game",'Game Records'!$I55=""),"Eligible Players; ","")&amp;IF(AND('Game Records'!$U55&lt;&gt;"Subscription",'Game Records'!$U55&lt;&gt;"Free Game",'Game Records'!$U55&lt;&gt;"Disqualified — Free Game",'Game Records'!$J55=""),"Total Players; ","")&amp;IF(AND(LOWER('Game Records'!$D55&amp;"")="finalized",LOWER('Game Records'!$L55&amp;"")&lt;&gt;"yes",'Game Records'!$U55&lt;&gt;"Subscription",'Game Records'!$U55&lt;&gt;"Free Game",'Game Records'!$U55&lt;&gt;"Disqualified — Free Game",'Game Records'!$K55=""),"Final Earned; ","")&amp;IF(AND(LOWER('Game Records'!$D55&amp;"")="finalized",'Game Records'!$U55&lt;&gt;"Subscription",'Game Records'!$U55&lt;&gt;"Free Game",'Game Records'!$U55&lt;&gt;"Disqualified — Free Game",OR('Game Records'!$L55="",LOWER('Game Records'!$L55&amp;"")="n/a")),"Disqualified Status; ",""))</x:f>
      </x:c>
      <x:c r="G55" s="331" t="str">
        <x:f>IF($A55="","",IFERROR('Game Records'!$M55,""))</x:f>
      </x:c>
      <x:c r="H55" s="104"/>
      <x:c r="I55" s="104"/>
      <x:c r="J55" s="104"/>
    </x:row>
    <x:row r="56" ht="15" hidden="0" customHeight="1">
      <x:c r="A56" s="332" t="str">
        <x:f>IF(OR(COUNTA('Game Records'!$A56:$M56)=0,'Game Records'!$F56="Subscription"),"",IFERROR(MAX($A$4:A55),0)+1)</x:f>
      </x:c>
      <x:c r="B56" s="332" t="str">
        <x:f>IF($A56="","","G-"&amp;TEXT(ROW('Game Records'!$A56)-4,"0000"))</x:f>
      </x:c>
      <x:c r="C56" s="331" t="str">
        <x:f>IF($A56="","",IFERROR('Game Records'!$A56,""))</x:f>
      </x:c>
      <x:c r="D56" s="331" t="str">
        <x:f>IF($A56="","",IFERROR('Game Records'!$U56,""))</x:f>
      </x:c>
      <x:c r="E56" s="331" t="str">
        <x:f>IF($A56="","",IF($F56="","No Highlighted Fields","Highlighted Fields Present"))</x:f>
      </x:c>
      <x:c r="F56" s="331" t="str">
        <x:f>IF($A56="","",IF('Game Records'!$B56="","Start Date; ","")&amp;IF('Game Records'!$C56="","End Date; ","")&amp;IF(AND('Game Records'!$U56&lt;&gt;"Subscription",'Game Records'!$U56&lt;&gt;"Free Game",'Game Records'!$U56&lt;&gt;"Disqualified — Free Game",OR('Game Records'!$D56="",LOWER('Game Records'!$D56&amp;"")="n/a")),"Entry Mode; ","")&amp;IF(AND('Game Records'!$U56&lt;&gt;"Subscription",'Game Records'!$U56&lt;&gt;"Free Game",'Game Records'!$U56&lt;&gt;"Disqualified — Free Game",OR('Game Records'!$E56="",LOWER('Game Records'!$E56&amp;"")="n/a")),"Game Type; ","")&amp;IF('Game Records'!$F56="","Payment Type; ","")&amp;IF(AND('Game Records'!$U56&lt;&gt;"Subscription",'Game Records'!$U56&lt;&gt;"Free Game",'Game Records'!$U56&lt;&gt;"Disqualified — Free Game",'Game Records'!$G56=""),"Gross Pot; ","")&amp;IF(AND('Game Records'!$U56&lt;&gt;"Free Game",'Game Records'!$U56&lt;&gt;"Disqualified — Free Game",'Game Records'!$H56=""),"Entry Fee; ","")&amp;IF(AND('Game Records'!$U56&lt;&gt;"Subscription",'Game Records'!$U56&lt;&gt;"Free Game",'Game Records'!$U56&lt;&gt;"Disqualified — Free Game",'Game Records'!$I56=""),"Eligible Players; ","")&amp;IF(AND('Game Records'!$U56&lt;&gt;"Subscription",'Game Records'!$U56&lt;&gt;"Free Game",'Game Records'!$U56&lt;&gt;"Disqualified — Free Game",'Game Records'!$J56=""),"Total Players; ","")&amp;IF(AND(LOWER('Game Records'!$D56&amp;"")="finalized",LOWER('Game Records'!$L56&amp;"")&lt;&gt;"yes",'Game Records'!$U56&lt;&gt;"Subscription",'Game Records'!$U56&lt;&gt;"Free Game",'Game Records'!$U56&lt;&gt;"Disqualified — Free Game",'Game Records'!$K56=""),"Final Earned; ","")&amp;IF(AND(LOWER('Game Records'!$D56&amp;"")="finalized",'Game Records'!$U56&lt;&gt;"Subscription",'Game Records'!$U56&lt;&gt;"Free Game",'Game Records'!$U56&lt;&gt;"Disqualified — Free Game",OR('Game Records'!$L56="",LOWER('Game Records'!$L56&amp;"")="n/a")),"Disqualified Status; ",""))</x:f>
      </x:c>
      <x:c r="G56" s="331" t="str">
        <x:f>IF($A56="","",IFERROR('Game Records'!$M56,""))</x:f>
      </x:c>
      <x:c r="H56" s="104"/>
      <x:c r="I56" s="104"/>
      <x:c r="J56" s="104"/>
    </x:row>
    <x:row r="57" ht="15" hidden="0" customHeight="1">
      <x:c r="A57" s="332" t="str">
        <x:f>IF(OR(COUNTA('Game Records'!$A57:$M57)=0,'Game Records'!$F57="Subscription"),"",IFERROR(MAX($A$4:A56),0)+1)</x:f>
      </x:c>
      <x:c r="B57" s="332" t="str">
        <x:f>IF($A57="","","G-"&amp;TEXT(ROW('Game Records'!$A57)-4,"0000"))</x:f>
      </x:c>
      <x:c r="C57" s="331" t="str">
        <x:f>IF($A57="","",IFERROR('Game Records'!$A57,""))</x:f>
      </x:c>
      <x:c r="D57" s="331" t="str">
        <x:f>IF($A57="","",IFERROR('Game Records'!$U57,""))</x:f>
      </x:c>
      <x:c r="E57" s="331" t="str">
        <x:f>IF($A57="","",IF($F57="","No Highlighted Fields","Highlighted Fields Present"))</x:f>
      </x:c>
      <x:c r="F57" s="331" t="str">
        <x:f>IF($A57="","",IF('Game Records'!$B57="","Start Date; ","")&amp;IF('Game Records'!$C57="","End Date; ","")&amp;IF(AND('Game Records'!$U57&lt;&gt;"Subscription",'Game Records'!$U57&lt;&gt;"Free Game",'Game Records'!$U57&lt;&gt;"Disqualified — Free Game",OR('Game Records'!$D57="",LOWER('Game Records'!$D57&amp;"")="n/a")),"Entry Mode; ","")&amp;IF(AND('Game Records'!$U57&lt;&gt;"Subscription",'Game Records'!$U57&lt;&gt;"Free Game",'Game Records'!$U57&lt;&gt;"Disqualified — Free Game",OR('Game Records'!$E57="",LOWER('Game Records'!$E57&amp;"")="n/a")),"Game Type; ","")&amp;IF('Game Records'!$F57="","Payment Type; ","")&amp;IF(AND('Game Records'!$U57&lt;&gt;"Subscription",'Game Records'!$U57&lt;&gt;"Free Game",'Game Records'!$U57&lt;&gt;"Disqualified — Free Game",'Game Records'!$G57=""),"Gross Pot; ","")&amp;IF(AND('Game Records'!$U57&lt;&gt;"Free Game",'Game Records'!$U57&lt;&gt;"Disqualified — Free Game",'Game Records'!$H57=""),"Entry Fee; ","")&amp;IF(AND('Game Records'!$U57&lt;&gt;"Subscription",'Game Records'!$U57&lt;&gt;"Free Game",'Game Records'!$U57&lt;&gt;"Disqualified — Free Game",'Game Records'!$I57=""),"Eligible Players; ","")&amp;IF(AND('Game Records'!$U57&lt;&gt;"Subscription",'Game Records'!$U57&lt;&gt;"Free Game",'Game Records'!$U57&lt;&gt;"Disqualified — Free Game",'Game Records'!$J57=""),"Total Players; ","")&amp;IF(AND(LOWER('Game Records'!$D57&amp;"")="finalized",LOWER('Game Records'!$L57&amp;"")&lt;&gt;"yes",'Game Records'!$U57&lt;&gt;"Subscription",'Game Records'!$U57&lt;&gt;"Free Game",'Game Records'!$U57&lt;&gt;"Disqualified — Free Game",'Game Records'!$K57=""),"Final Earned; ","")&amp;IF(AND(LOWER('Game Records'!$D57&amp;"")="finalized",'Game Records'!$U57&lt;&gt;"Subscription",'Game Records'!$U57&lt;&gt;"Free Game",'Game Records'!$U57&lt;&gt;"Disqualified — Free Game",OR('Game Records'!$L57="",LOWER('Game Records'!$L57&amp;"")="n/a")),"Disqualified Status; ",""))</x:f>
      </x:c>
      <x:c r="G57" s="331" t="str">
        <x:f>IF($A57="","",IFERROR('Game Records'!$M57,""))</x:f>
      </x:c>
      <x:c r="H57" s="104"/>
      <x:c r="I57" s="104"/>
      <x:c r="J57" s="104"/>
    </x:row>
    <x:row r="58" ht="15" hidden="0" customHeight="1">
      <x:c r="A58" s="332" t="str">
        <x:f>IF(OR(COUNTA('Game Records'!$A58:$M58)=0,'Game Records'!$F58="Subscription"),"",IFERROR(MAX($A$4:A57),0)+1)</x:f>
      </x:c>
      <x:c r="B58" s="332" t="str">
        <x:f>IF($A58="","","G-"&amp;TEXT(ROW('Game Records'!$A58)-4,"0000"))</x:f>
      </x:c>
      <x:c r="C58" s="331" t="str">
        <x:f>IF($A58="","",IFERROR('Game Records'!$A58,""))</x:f>
      </x:c>
      <x:c r="D58" s="331" t="str">
        <x:f>IF($A58="","",IFERROR('Game Records'!$U58,""))</x:f>
      </x:c>
      <x:c r="E58" s="331" t="str">
        <x:f>IF($A58="","",IF($F58="","No Highlighted Fields","Highlighted Fields Present"))</x:f>
      </x:c>
      <x:c r="F58" s="331" t="str">
        <x:f>IF($A58="","",IF('Game Records'!$B58="","Start Date; ","")&amp;IF('Game Records'!$C58="","End Date; ","")&amp;IF(AND('Game Records'!$U58&lt;&gt;"Subscription",'Game Records'!$U58&lt;&gt;"Free Game",'Game Records'!$U58&lt;&gt;"Disqualified — Free Game",OR('Game Records'!$D58="",LOWER('Game Records'!$D58&amp;"")="n/a")),"Entry Mode; ","")&amp;IF(AND('Game Records'!$U58&lt;&gt;"Subscription",'Game Records'!$U58&lt;&gt;"Free Game",'Game Records'!$U58&lt;&gt;"Disqualified — Free Game",OR('Game Records'!$E58="",LOWER('Game Records'!$E58&amp;"")="n/a")),"Game Type; ","")&amp;IF('Game Records'!$F58="","Payment Type; ","")&amp;IF(AND('Game Records'!$U58&lt;&gt;"Subscription",'Game Records'!$U58&lt;&gt;"Free Game",'Game Records'!$U58&lt;&gt;"Disqualified — Free Game",'Game Records'!$G58=""),"Gross Pot; ","")&amp;IF(AND('Game Records'!$U58&lt;&gt;"Free Game",'Game Records'!$U58&lt;&gt;"Disqualified — Free Game",'Game Records'!$H58=""),"Entry Fee; ","")&amp;IF(AND('Game Records'!$U58&lt;&gt;"Subscription",'Game Records'!$U58&lt;&gt;"Free Game",'Game Records'!$U58&lt;&gt;"Disqualified — Free Game",'Game Records'!$I58=""),"Eligible Players; ","")&amp;IF(AND('Game Records'!$U58&lt;&gt;"Subscription",'Game Records'!$U58&lt;&gt;"Free Game",'Game Records'!$U58&lt;&gt;"Disqualified — Free Game",'Game Records'!$J58=""),"Total Players; ","")&amp;IF(AND(LOWER('Game Records'!$D58&amp;"")="finalized",LOWER('Game Records'!$L58&amp;"")&lt;&gt;"yes",'Game Records'!$U58&lt;&gt;"Subscription",'Game Records'!$U58&lt;&gt;"Free Game",'Game Records'!$U58&lt;&gt;"Disqualified — Free Game",'Game Records'!$K58=""),"Final Earned; ","")&amp;IF(AND(LOWER('Game Records'!$D58&amp;"")="finalized",'Game Records'!$U58&lt;&gt;"Subscription",'Game Records'!$U58&lt;&gt;"Free Game",'Game Records'!$U58&lt;&gt;"Disqualified — Free Game",OR('Game Records'!$L58="",LOWER('Game Records'!$L58&amp;"")="n/a")),"Disqualified Status; ",""))</x:f>
      </x:c>
      <x:c r="G58" s="331" t="str">
        <x:f>IF($A58="","",IFERROR('Game Records'!$M58,""))</x:f>
      </x:c>
      <x:c r="H58" s="104"/>
      <x:c r="I58" s="104"/>
      <x:c r="J58" s="104"/>
    </x:row>
    <x:row r="59" ht="15" hidden="0" customHeight="1">
      <x:c r="A59" s="332" t="str">
        <x:f>IF(OR(COUNTA('Game Records'!$A59:$M59)=0,'Game Records'!$F59="Subscription"),"",IFERROR(MAX($A$4:A58),0)+1)</x:f>
      </x:c>
      <x:c r="B59" s="332" t="str">
        <x:f>IF($A59="","","G-"&amp;TEXT(ROW('Game Records'!$A59)-4,"0000"))</x:f>
      </x:c>
      <x:c r="C59" s="331" t="str">
        <x:f>IF($A59="","",IFERROR('Game Records'!$A59,""))</x:f>
      </x:c>
      <x:c r="D59" s="331" t="str">
        <x:f>IF($A59="","",IFERROR('Game Records'!$U59,""))</x:f>
      </x:c>
      <x:c r="E59" s="331" t="str">
        <x:f>IF($A59="","",IF($F59="","No Highlighted Fields","Highlighted Fields Present"))</x:f>
      </x:c>
      <x:c r="F59" s="331" t="str">
        <x:f>IF($A59="","",IF('Game Records'!$B59="","Start Date; ","")&amp;IF('Game Records'!$C59="","End Date; ","")&amp;IF(AND('Game Records'!$U59&lt;&gt;"Subscription",'Game Records'!$U59&lt;&gt;"Free Game",'Game Records'!$U59&lt;&gt;"Disqualified — Free Game",OR('Game Records'!$D59="",LOWER('Game Records'!$D59&amp;"")="n/a")),"Entry Mode; ","")&amp;IF(AND('Game Records'!$U59&lt;&gt;"Subscription",'Game Records'!$U59&lt;&gt;"Free Game",'Game Records'!$U59&lt;&gt;"Disqualified — Free Game",OR('Game Records'!$E59="",LOWER('Game Records'!$E59&amp;"")="n/a")),"Game Type; ","")&amp;IF('Game Records'!$F59="","Payment Type; ","")&amp;IF(AND('Game Records'!$U59&lt;&gt;"Subscription",'Game Records'!$U59&lt;&gt;"Free Game",'Game Records'!$U59&lt;&gt;"Disqualified — Free Game",'Game Records'!$G59=""),"Gross Pot; ","")&amp;IF(AND('Game Records'!$U59&lt;&gt;"Free Game",'Game Records'!$U59&lt;&gt;"Disqualified — Free Game",'Game Records'!$H59=""),"Entry Fee; ","")&amp;IF(AND('Game Records'!$U59&lt;&gt;"Subscription",'Game Records'!$U59&lt;&gt;"Free Game",'Game Records'!$U59&lt;&gt;"Disqualified — Free Game",'Game Records'!$I59=""),"Eligible Players; ","")&amp;IF(AND('Game Records'!$U59&lt;&gt;"Subscription",'Game Records'!$U59&lt;&gt;"Free Game",'Game Records'!$U59&lt;&gt;"Disqualified — Free Game",'Game Records'!$J59=""),"Total Players; ","")&amp;IF(AND(LOWER('Game Records'!$D59&amp;"")="finalized",LOWER('Game Records'!$L59&amp;"")&lt;&gt;"yes",'Game Records'!$U59&lt;&gt;"Subscription",'Game Records'!$U59&lt;&gt;"Free Game",'Game Records'!$U59&lt;&gt;"Disqualified — Free Game",'Game Records'!$K59=""),"Final Earned; ","")&amp;IF(AND(LOWER('Game Records'!$D59&amp;"")="finalized",'Game Records'!$U59&lt;&gt;"Subscription",'Game Records'!$U59&lt;&gt;"Free Game",'Game Records'!$U59&lt;&gt;"Disqualified — Free Game",OR('Game Records'!$L59="",LOWER('Game Records'!$L59&amp;"")="n/a")),"Disqualified Status; ",""))</x:f>
      </x:c>
      <x:c r="G59" s="331" t="str">
        <x:f>IF($A59="","",IFERROR('Game Records'!$M59,""))</x:f>
      </x:c>
      <x:c r="H59" s="104"/>
      <x:c r="I59" s="104"/>
      <x:c r="J59" s="104"/>
    </x:row>
    <x:row r="60" ht="15" hidden="0" customHeight="1">
      <x:c r="A60" s="332" t="str">
        <x:f>IF(OR(COUNTA('Game Records'!$A60:$M60)=0,'Game Records'!$F60="Subscription"),"",IFERROR(MAX($A$4:A59),0)+1)</x:f>
      </x:c>
      <x:c r="B60" s="332" t="str">
        <x:f>IF($A60="","","G-"&amp;TEXT(ROW('Game Records'!$A60)-4,"0000"))</x:f>
      </x:c>
      <x:c r="C60" s="331" t="str">
        <x:f>IF($A60="","",IFERROR('Game Records'!$A60,""))</x:f>
      </x:c>
      <x:c r="D60" s="331" t="str">
        <x:f>IF($A60="","",IFERROR('Game Records'!$U60,""))</x:f>
      </x:c>
      <x:c r="E60" s="331" t="str">
        <x:f>IF($A60="","",IF($F60="","No Highlighted Fields","Highlighted Fields Present"))</x:f>
      </x:c>
      <x:c r="F60" s="331" t="str">
        <x:f>IF($A60="","",IF('Game Records'!$B60="","Start Date; ","")&amp;IF('Game Records'!$C60="","End Date; ","")&amp;IF(AND('Game Records'!$U60&lt;&gt;"Subscription",'Game Records'!$U60&lt;&gt;"Free Game",'Game Records'!$U60&lt;&gt;"Disqualified — Free Game",OR('Game Records'!$D60="",LOWER('Game Records'!$D60&amp;"")="n/a")),"Entry Mode; ","")&amp;IF(AND('Game Records'!$U60&lt;&gt;"Subscription",'Game Records'!$U60&lt;&gt;"Free Game",'Game Records'!$U60&lt;&gt;"Disqualified — Free Game",OR('Game Records'!$E60="",LOWER('Game Records'!$E60&amp;"")="n/a")),"Game Type; ","")&amp;IF('Game Records'!$F60="","Payment Type; ","")&amp;IF(AND('Game Records'!$U60&lt;&gt;"Subscription",'Game Records'!$U60&lt;&gt;"Free Game",'Game Records'!$U60&lt;&gt;"Disqualified — Free Game",'Game Records'!$G60=""),"Gross Pot; ","")&amp;IF(AND('Game Records'!$U60&lt;&gt;"Free Game",'Game Records'!$U60&lt;&gt;"Disqualified — Free Game",'Game Records'!$H60=""),"Entry Fee; ","")&amp;IF(AND('Game Records'!$U60&lt;&gt;"Subscription",'Game Records'!$U60&lt;&gt;"Free Game",'Game Records'!$U60&lt;&gt;"Disqualified — Free Game",'Game Records'!$I60=""),"Eligible Players; ","")&amp;IF(AND('Game Records'!$U60&lt;&gt;"Subscription",'Game Records'!$U60&lt;&gt;"Free Game",'Game Records'!$U60&lt;&gt;"Disqualified — Free Game",'Game Records'!$J60=""),"Total Players; ","")&amp;IF(AND(LOWER('Game Records'!$D60&amp;"")="finalized",LOWER('Game Records'!$L60&amp;"")&lt;&gt;"yes",'Game Records'!$U60&lt;&gt;"Subscription",'Game Records'!$U60&lt;&gt;"Free Game",'Game Records'!$U60&lt;&gt;"Disqualified — Free Game",'Game Records'!$K60=""),"Final Earned; ","")&amp;IF(AND(LOWER('Game Records'!$D60&amp;"")="finalized",'Game Records'!$U60&lt;&gt;"Subscription",'Game Records'!$U60&lt;&gt;"Free Game",'Game Records'!$U60&lt;&gt;"Disqualified — Free Game",OR('Game Records'!$L60="",LOWER('Game Records'!$L60&amp;"")="n/a")),"Disqualified Status; ",""))</x:f>
      </x:c>
      <x:c r="G60" s="331" t="str">
        <x:f>IF($A60="","",IFERROR('Game Records'!$M60,""))</x:f>
      </x:c>
      <x:c r="H60" s="104"/>
      <x:c r="I60" s="104"/>
      <x:c r="J60" s="104"/>
    </x:row>
    <x:row r="61" ht="15" hidden="0" customHeight="1">
      <x:c r="A61" s="332" t="str">
        <x:f>IF(OR(COUNTA('Game Records'!$A61:$M61)=0,'Game Records'!$F61="Subscription"),"",IFERROR(MAX($A$4:A60),0)+1)</x:f>
      </x:c>
      <x:c r="B61" s="332" t="str">
        <x:f>IF($A61="","","G-"&amp;TEXT(ROW('Game Records'!$A61)-4,"0000"))</x:f>
      </x:c>
      <x:c r="C61" s="331" t="str">
        <x:f>IF($A61="","",IFERROR('Game Records'!$A61,""))</x:f>
      </x:c>
      <x:c r="D61" s="331" t="str">
        <x:f>IF($A61="","",IFERROR('Game Records'!$U61,""))</x:f>
      </x:c>
      <x:c r="E61" s="331" t="str">
        <x:f>IF($A61="","",IF($F61="","No Highlighted Fields","Highlighted Fields Present"))</x:f>
      </x:c>
      <x:c r="F61" s="331" t="str">
        <x:f>IF($A61="","",IF('Game Records'!$B61="","Start Date; ","")&amp;IF('Game Records'!$C61="","End Date; ","")&amp;IF(AND('Game Records'!$U61&lt;&gt;"Subscription",'Game Records'!$U61&lt;&gt;"Free Game",'Game Records'!$U61&lt;&gt;"Disqualified — Free Game",OR('Game Records'!$D61="",LOWER('Game Records'!$D61&amp;"")="n/a")),"Entry Mode; ","")&amp;IF(AND('Game Records'!$U61&lt;&gt;"Subscription",'Game Records'!$U61&lt;&gt;"Free Game",'Game Records'!$U61&lt;&gt;"Disqualified — Free Game",OR('Game Records'!$E61="",LOWER('Game Records'!$E61&amp;"")="n/a")),"Game Type; ","")&amp;IF('Game Records'!$F61="","Payment Type; ","")&amp;IF(AND('Game Records'!$U61&lt;&gt;"Subscription",'Game Records'!$U61&lt;&gt;"Free Game",'Game Records'!$U61&lt;&gt;"Disqualified — Free Game",'Game Records'!$G61=""),"Gross Pot; ","")&amp;IF(AND('Game Records'!$U61&lt;&gt;"Free Game",'Game Records'!$U61&lt;&gt;"Disqualified — Free Game",'Game Records'!$H61=""),"Entry Fee; ","")&amp;IF(AND('Game Records'!$U61&lt;&gt;"Subscription",'Game Records'!$U61&lt;&gt;"Free Game",'Game Records'!$U61&lt;&gt;"Disqualified — Free Game",'Game Records'!$I61=""),"Eligible Players; ","")&amp;IF(AND('Game Records'!$U61&lt;&gt;"Subscription",'Game Records'!$U61&lt;&gt;"Free Game",'Game Records'!$U61&lt;&gt;"Disqualified — Free Game",'Game Records'!$J61=""),"Total Players; ","")&amp;IF(AND(LOWER('Game Records'!$D61&amp;"")="finalized",LOWER('Game Records'!$L61&amp;"")&lt;&gt;"yes",'Game Records'!$U61&lt;&gt;"Subscription",'Game Records'!$U61&lt;&gt;"Free Game",'Game Records'!$U61&lt;&gt;"Disqualified — Free Game",'Game Records'!$K61=""),"Final Earned; ","")&amp;IF(AND(LOWER('Game Records'!$D61&amp;"")="finalized",'Game Records'!$U61&lt;&gt;"Subscription",'Game Records'!$U61&lt;&gt;"Free Game",'Game Records'!$U61&lt;&gt;"Disqualified — Free Game",OR('Game Records'!$L61="",LOWER('Game Records'!$L61&amp;"")="n/a")),"Disqualified Status; ",""))</x:f>
      </x:c>
      <x:c r="G61" s="331" t="str">
        <x:f>IF($A61="","",IFERROR('Game Records'!$M61,""))</x:f>
      </x:c>
      <x:c r="H61" s="104"/>
      <x:c r="I61" s="104"/>
      <x:c r="J61" s="104"/>
    </x:row>
    <x:row r="62" ht="15" hidden="0" customHeight="1">
      <x:c r="A62" s="332" t="str">
        <x:f>IF(OR(COUNTA('Game Records'!$A62:$M62)=0,'Game Records'!$F62="Subscription"),"",IFERROR(MAX($A$4:A61),0)+1)</x:f>
      </x:c>
      <x:c r="B62" s="332" t="str">
        <x:f>IF($A62="","","G-"&amp;TEXT(ROW('Game Records'!$A62)-4,"0000"))</x:f>
      </x:c>
      <x:c r="C62" s="331" t="str">
        <x:f>IF($A62="","",IFERROR('Game Records'!$A62,""))</x:f>
      </x:c>
      <x:c r="D62" s="331" t="str">
        <x:f>IF($A62="","",IFERROR('Game Records'!$U62,""))</x:f>
      </x:c>
      <x:c r="E62" s="331" t="str">
        <x:f>IF($A62="","",IF($F62="","No Highlighted Fields","Highlighted Fields Present"))</x:f>
      </x:c>
      <x:c r="F62" s="331" t="str">
        <x:f>IF($A62="","",IF('Game Records'!$B62="","Start Date; ","")&amp;IF('Game Records'!$C62="","End Date; ","")&amp;IF(AND('Game Records'!$U62&lt;&gt;"Subscription",'Game Records'!$U62&lt;&gt;"Free Game",'Game Records'!$U62&lt;&gt;"Disqualified — Free Game",OR('Game Records'!$D62="",LOWER('Game Records'!$D62&amp;"")="n/a")),"Entry Mode; ","")&amp;IF(AND('Game Records'!$U62&lt;&gt;"Subscription",'Game Records'!$U62&lt;&gt;"Free Game",'Game Records'!$U62&lt;&gt;"Disqualified — Free Game",OR('Game Records'!$E62="",LOWER('Game Records'!$E62&amp;"")="n/a")),"Game Type; ","")&amp;IF('Game Records'!$F62="","Payment Type; ","")&amp;IF(AND('Game Records'!$U62&lt;&gt;"Subscription",'Game Records'!$U62&lt;&gt;"Free Game",'Game Records'!$U62&lt;&gt;"Disqualified — Free Game",'Game Records'!$G62=""),"Gross Pot; ","")&amp;IF(AND('Game Records'!$U62&lt;&gt;"Free Game",'Game Records'!$U62&lt;&gt;"Disqualified — Free Game",'Game Records'!$H62=""),"Entry Fee; ","")&amp;IF(AND('Game Records'!$U62&lt;&gt;"Subscription",'Game Records'!$U62&lt;&gt;"Free Game",'Game Records'!$U62&lt;&gt;"Disqualified — Free Game",'Game Records'!$I62=""),"Eligible Players; ","")&amp;IF(AND('Game Records'!$U62&lt;&gt;"Subscription",'Game Records'!$U62&lt;&gt;"Free Game",'Game Records'!$U62&lt;&gt;"Disqualified — Free Game",'Game Records'!$J62=""),"Total Players; ","")&amp;IF(AND(LOWER('Game Records'!$D62&amp;"")="finalized",LOWER('Game Records'!$L62&amp;"")&lt;&gt;"yes",'Game Records'!$U62&lt;&gt;"Subscription",'Game Records'!$U62&lt;&gt;"Free Game",'Game Records'!$U62&lt;&gt;"Disqualified — Free Game",'Game Records'!$K62=""),"Final Earned; ","")&amp;IF(AND(LOWER('Game Records'!$D62&amp;"")="finalized",'Game Records'!$U62&lt;&gt;"Subscription",'Game Records'!$U62&lt;&gt;"Free Game",'Game Records'!$U62&lt;&gt;"Disqualified — Free Game",OR('Game Records'!$L62="",LOWER('Game Records'!$L62&amp;"")="n/a")),"Disqualified Status; ",""))</x:f>
      </x:c>
      <x:c r="G62" s="331" t="str">
        <x:f>IF($A62="","",IFERROR('Game Records'!$M62,""))</x:f>
      </x:c>
      <x:c r="H62" s="104"/>
      <x:c r="I62" s="104"/>
      <x:c r="J62" s="104"/>
    </x:row>
    <x:row r="63" ht="15" hidden="0" customHeight="1">
      <x:c r="A63" s="332" t="str">
        <x:f>IF(OR(COUNTA('Game Records'!$A63:$M63)=0,'Game Records'!$F63="Subscription"),"",IFERROR(MAX($A$4:A62),0)+1)</x:f>
      </x:c>
      <x:c r="B63" s="332" t="str">
        <x:f>IF($A63="","","G-"&amp;TEXT(ROW('Game Records'!$A63)-4,"0000"))</x:f>
      </x:c>
      <x:c r="C63" s="331" t="str">
        <x:f>IF($A63="","",IFERROR('Game Records'!$A63,""))</x:f>
      </x:c>
      <x:c r="D63" s="331" t="str">
        <x:f>IF($A63="","",IFERROR('Game Records'!$U63,""))</x:f>
      </x:c>
      <x:c r="E63" s="331" t="str">
        <x:f>IF($A63="","",IF($F63="","No Highlighted Fields","Highlighted Fields Present"))</x:f>
      </x:c>
      <x:c r="F63" s="331" t="str">
        <x:f>IF($A63="","",IF('Game Records'!$B63="","Start Date; ","")&amp;IF('Game Records'!$C63="","End Date; ","")&amp;IF(AND('Game Records'!$U63&lt;&gt;"Subscription",'Game Records'!$U63&lt;&gt;"Free Game",'Game Records'!$U63&lt;&gt;"Disqualified — Free Game",OR('Game Records'!$D63="",LOWER('Game Records'!$D63&amp;"")="n/a")),"Entry Mode; ","")&amp;IF(AND('Game Records'!$U63&lt;&gt;"Subscription",'Game Records'!$U63&lt;&gt;"Free Game",'Game Records'!$U63&lt;&gt;"Disqualified — Free Game",OR('Game Records'!$E63="",LOWER('Game Records'!$E63&amp;"")="n/a")),"Game Type; ","")&amp;IF('Game Records'!$F63="","Payment Type; ","")&amp;IF(AND('Game Records'!$U63&lt;&gt;"Subscription",'Game Records'!$U63&lt;&gt;"Free Game",'Game Records'!$U63&lt;&gt;"Disqualified — Free Game",'Game Records'!$G63=""),"Gross Pot; ","")&amp;IF(AND('Game Records'!$U63&lt;&gt;"Free Game",'Game Records'!$U63&lt;&gt;"Disqualified — Free Game",'Game Records'!$H63=""),"Entry Fee; ","")&amp;IF(AND('Game Records'!$U63&lt;&gt;"Subscription",'Game Records'!$U63&lt;&gt;"Free Game",'Game Records'!$U63&lt;&gt;"Disqualified — Free Game",'Game Records'!$I63=""),"Eligible Players; ","")&amp;IF(AND('Game Records'!$U63&lt;&gt;"Subscription",'Game Records'!$U63&lt;&gt;"Free Game",'Game Records'!$U63&lt;&gt;"Disqualified — Free Game",'Game Records'!$J63=""),"Total Players; ","")&amp;IF(AND(LOWER('Game Records'!$D63&amp;"")="finalized",LOWER('Game Records'!$L63&amp;"")&lt;&gt;"yes",'Game Records'!$U63&lt;&gt;"Subscription",'Game Records'!$U63&lt;&gt;"Free Game",'Game Records'!$U63&lt;&gt;"Disqualified — Free Game",'Game Records'!$K63=""),"Final Earned; ","")&amp;IF(AND(LOWER('Game Records'!$D63&amp;"")="finalized",'Game Records'!$U63&lt;&gt;"Subscription",'Game Records'!$U63&lt;&gt;"Free Game",'Game Records'!$U63&lt;&gt;"Disqualified — Free Game",OR('Game Records'!$L63="",LOWER('Game Records'!$L63&amp;"")="n/a")),"Disqualified Status; ",""))</x:f>
      </x:c>
      <x:c r="G63" s="331" t="str">
        <x:f>IF($A63="","",IFERROR('Game Records'!$M63,""))</x:f>
      </x:c>
      <x:c r="H63" s="104"/>
      <x:c r="I63" s="104"/>
      <x:c r="J63" s="104"/>
    </x:row>
    <x:row r="64" ht="15" hidden="0" customHeight="1">
      <x:c r="A64" s="332" t="str">
        <x:f>IF(OR(COUNTA('Game Records'!$A64:$M64)=0,'Game Records'!$F64="Subscription"),"",IFERROR(MAX($A$4:A63),0)+1)</x:f>
      </x:c>
      <x:c r="B64" s="332" t="str">
        <x:f>IF($A64="","","G-"&amp;TEXT(ROW('Game Records'!$A64)-4,"0000"))</x:f>
      </x:c>
      <x:c r="C64" s="331" t="str">
        <x:f>IF($A64="","",IFERROR('Game Records'!$A64,""))</x:f>
      </x:c>
      <x:c r="D64" s="331" t="str">
        <x:f>IF($A64="","",IFERROR('Game Records'!$U64,""))</x:f>
      </x:c>
      <x:c r="E64" s="331" t="str">
        <x:f>IF($A64="","",IF($F64="","No Highlighted Fields","Highlighted Fields Present"))</x:f>
      </x:c>
      <x:c r="F64" s="331" t="str">
        <x:f>IF($A64="","",IF('Game Records'!$B64="","Start Date; ","")&amp;IF('Game Records'!$C64="","End Date; ","")&amp;IF(AND('Game Records'!$U64&lt;&gt;"Subscription",'Game Records'!$U64&lt;&gt;"Free Game",'Game Records'!$U64&lt;&gt;"Disqualified — Free Game",OR('Game Records'!$D64="",LOWER('Game Records'!$D64&amp;"")="n/a")),"Entry Mode; ","")&amp;IF(AND('Game Records'!$U64&lt;&gt;"Subscription",'Game Records'!$U64&lt;&gt;"Free Game",'Game Records'!$U64&lt;&gt;"Disqualified — Free Game",OR('Game Records'!$E64="",LOWER('Game Records'!$E64&amp;"")="n/a")),"Game Type; ","")&amp;IF('Game Records'!$F64="","Payment Type; ","")&amp;IF(AND('Game Records'!$U64&lt;&gt;"Subscription",'Game Records'!$U64&lt;&gt;"Free Game",'Game Records'!$U64&lt;&gt;"Disqualified — Free Game",'Game Records'!$G64=""),"Gross Pot; ","")&amp;IF(AND('Game Records'!$U64&lt;&gt;"Free Game",'Game Records'!$U64&lt;&gt;"Disqualified — Free Game",'Game Records'!$H64=""),"Entry Fee; ","")&amp;IF(AND('Game Records'!$U64&lt;&gt;"Subscription",'Game Records'!$U64&lt;&gt;"Free Game",'Game Records'!$U64&lt;&gt;"Disqualified — Free Game",'Game Records'!$I64=""),"Eligible Players; ","")&amp;IF(AND('Game Records'!$U64&lt;&gt;"Subscription",'Game Records'!$U64&lt;&gt;"Free Game",'Game Records'!$U64&lt;&gt;"Disqualified — Free Game",'Game Records'!$J64=""),"Total Players; ","")&amp;IF(AND(LOWER('Game Records'!$D64&amp;"")="finalized",LOWER('Game Records'!$L64&amp;"")&lt;&gt;"yes",'Game Records'!$U64&lt;&gt;"Subscription",'Game Records'!$U64&lt;&gt;"Free Game",'Game Records'!$U64&lt;&gt;"Disqualified — Free Game",'Game Records'!$K64=""),"Final Earned; ","")&amp;IF(AND(LOWER('Game Records'!$D64&amp;"")="finalized",'Game Records'!$U64&lt;&gt;"Subscription",'Game Records'!$U64&lt;&gt;"Free Game",'Game Records'!$U64&lt;&gt;"Disqualified — Free Game",OR('Game Records'!$L64="",LOWER('Game Records'!$L64&amp;"")="n/a")),"Disqualified Status; ",""))</x:f>
      </x:c>
      <x:c r="G64" s="331" t="str">
        <x:f>IF($A64="","",IFERROR('Game Records'!$M64,""))</x:f>
      </x:c>
      <x:c r="H64" s="104"/>
      <x:c r="I64" s="104"/>
      <x:c r="J64" s="104"/>
    </x:row>
    <x:row r="65" ht="15" hidden="0" customHeight="1">
      <x:c r="A65" s="332" t="str">
        <x:f>IF(OR(COUNTA('Game Records'!$A65:$M65)=0,'Game Records'!$F65="Subscription"),"",IFERROR(MAX($A$4:A64),0)+1)</x:f>
      </x:c>
      <x:c r="B65" s="332" t="str">
        <x:f>IF($A65="","","G-"&amp;TEXT(ROW('Game Records'!$A65)-4,"0000"))</x:f>
      </x:c>
      <x:c r="C65" s="331" t="str">
        <x:f>IF($A65="","",IFERROR('Game Records'!$A65,""))</x:f>
      </x:c>
      <x:c r="D65" s="331" t="str">
        <x:f>IF($A65="","",IFERROR('Game Records'!$U65,""))</x:f>
      </x:c>
      <x:c r="E65" s="331" t="str">
        <x:f>IF($A65="","",IF($F65="","No Highlighted Fields","Highlighted Fields Present"))</x:f>
      </x:c>
      <x:c r="F65" s="331" t="str">
        <x:f>IF($A65="","",IF('Game Records'!$B65="","Start Date; ","")&amp;IF('Game Records'!$C65="","End Date; ","")&amp;IF(AND('Game Records'!$U65&lt;&gt;"Subscription",'Game Records'!$U65&lt;&gt;"Free Game",'Game Records'!$U65&lt;&gt;"Disqualified — Free Game",OR('Game Records'!$D65="",LOWER('Game Records'!$D65&amp;"")="n/a")),"Entry Mode; ","")&amp;IF(AND('Game Records'!$U65&lt;&gt;"Subscription",'Game Records'!$U65&lt;&gt;"Free Game",'Game Records'!$U65&lt;&gt;"Disqualified — Free Game",OR('Game Records'!$E65="",LOWER('Game Records'!$E65&amp;"")="n/a")),"Game Type; ","")&amp;IF('Game Records'!$F65="","Payment Type; ","")&amp;IF(AND('Game Records'!$U65&lt;&gt;"Subscription",'Game Records'!$U65&lt;&gt;"Free Game",'Game Records'!$U65&lt;&gt;"Disqualified — Free Game",'Game Records'!$G65=""),"Gross Pot; ","")&amp;IF(AND('Game Records'!$U65&lt;&gt;"Free Game",'Game Records'!$U65&lt;&gt;"Disqualified — Free Game",'Game Records'!$H65=""),"Entry Fee; ","")&amp;IF(AND('Game Records'!$U65&lt;&gt;"Subscription",'Game Records'!$U65&lt;&gt;"Free Game",'Game Records'!$U65&lt;&gt;"Disqualified — Free Game",'Game Records'!$I65=""),"Eligible Players; ","")&amp;IF(AND('Game Records'!$U65&lt;&gt;"Subscription",'Game Records'!$U65&lt;&gt;"Free Game",'Game Records'!$U65&lt;&gt;"Disqualified — Free Game",'Game Records'!$J65=""),"Total Players; ","")&amp;IF(AND(LOWER('Game Records'!$D65&amp;"")="finalized",LOWER('Game Records'!$L65&amp;"")&lt;&gt;"yes",'Game Records'!$U65&lt;&gt;"Subscription",'Game Records'!$U65&lt;&gt;"Free Game",'Game Records'!$U65&lt;&gt;"Disqualified — Free Game",'Game Records'!$K65=""),"Final Earned; ","")&amp;IF(AND(LOWER('Game Records'!$D65&amp;"")="finalized",'Game Records'!$U65&lt;&gt;"Subscription",'Game Records'!$U65&lt;&gt;"Free Game",'Game Records'!$U65&lt;&gt;"Disqualified — Free Game",OR('Game Records'!$L65="",LOWER('Game Records'!$L65&amp;"")="n/a")),"Disqualified Status; ",""))</x:f>
      </x:c>
      <x:c r="G65" s="331" t="str">
        <x:f>IF($A65="","",IFERROR('Game Records'!$M65,""))</x:f>
      </x:c>
      <x:c r="H65" s="104"/>
      <x:c r="I65" s="104"/>
      <x:c r="J65" s="104"/>
    </x:row>
    <x:row r="66" ht="15" hidden="0" customHeight="1">
      <x:c r="A66" s="332" t="str">
        <x:f>IF(OR(COUNTA('Game Records'!$A66:$M66)=0,'Game Records'!$F66="Subscription"),"",IFERROR(MAX($A$4:A65),0)+1)</x:f>
      </x:c>
      <x:c r="B66" s="332" t="str">
        <x:f>IF($A66="","","G-"&amp;TEXT(ROW('Game Records'!$A66)-4,"0000"))</x:f>
      </x:c>
      <x:c r="C66" s="331" t="str">
        <x:f>IF($A66="","",IFERROR('Game Records'!$A66,""))</x:f>
      </x:c>
      <x:c r="D66" s="331" t="str">
        <x:f>IF($A66="","",IFERROR('Game Records'!$U66,""))</x:f>
      </x:c>
      <x:c r="E66" s="331" t="str">
        <x:f>IF($A66="","",IF($F66="","No Highlighted Fields","Highlighted Fields Present"))</x:f>
      </x:c>
      <x:c r="F66" s="331" t="str">
        <x:f>IF($A66="","",IF('Game Records'!$B66="","Start Date; ","")&amp;IF('Game Records'!$C66="","End Date; ","")&amp;IF(AND('Game Records'!$U66&lt;&gt;"Subscription",'Game Records'!$U66&lt;&gt;"Free Game",'Game Records'!$U66&lt;&gt;"Disqualified — Free Game",OR('Game Records'!$D66="",LOWER('Game Records'!$D66&amp;"")="n/a")),"Entry Mode; ","")&amp;IF(AND('Game Records'!$U66&lt;&gt;"Subscription",'Game Records'!$U66&lt;&gt;"Free Game",'Game Records'!$U66&lt;&gt;"Disqualified — Free Game",OR('Game Records'!$E66="",LOWER('Game Records'!$E66&amp;"")="n/a")),"Game Type; ","")&amp;IF('Game Records'!$F66="","Payment Type; ","")&amp;IF(AND('Game Records'!$U66&lt;&gt;"Subscription",'Game Records'!$U66&lt;&gt;"Free Game",'Game Records'!$U66&lt;&gt;"Disqualified — Free Game",'Game Records'!$G66=""),"Gross Pot; ","")&amp;IF(AND('Game Records'!$U66&lt;&gt;"Free Game",'Game Records'!$U66&lt;&gt;"Disqualified — Free Game",'Game Records'!$H66=""),"Entry Fee; ","")&amp;IF(AND('Game Records'!$U66&lt;&gt;"Subscription",'Game Records'!$U66&lt;&gt;"Free Game",'Game Records'!$U66&lt;&gt;"Disqualified — Free Game",'Game Records'!$I66=""),"Eligible Players; ","")&amp;IF(AND('Game Records'!$U66&lt;&gt;"Subscription",'Game Records'!$U66&lt;&gt;"Free Game",'Game Records'!$U66&lt;&gt;"Disqualified — Free Game",'Game Records'!$J66=""),"Total Players; ","")&amp;IF(AND(LOWER('Game Records'!$D66&amp;"")="finalized",LOWER('Game Records'!$L66&amp;"")&lt;&gt;"yes",'Game Records'!$U66&lt;&gt;"Subscription",'Game Records'!$U66&lt;&gt;"Free Game",'Game Records'!$U66&lt;&gt;"Disqualified — Free Game",'Game Records'!$K66=""),"Final Earned; ","")&amp;IF(AND(LOWER('Game Records'!$D66&amp;"")="finalized",'Game Records'!$U66&lt;&gt;"Subscription",'Game Records'!$U66&lt;&gt;"Free Game",'Game Records'!$U66&lt;&gt;"Disqualified — Free Game",OR('Game Records'!$L66="",LOWER('Game Records'!$L66&amp;"")="n/a")),"Disqualified Status; ",""))</x:f>
      </x:c>
      <x:c r="G66" s="331" t="str">
        <x:f>IF($A66="","",IFERROR('Game Records'!$M66,""))</x:f>
      </x:c>
      <x:c r="H66" s="104"/>
      <x:c r="I66" s="104"/>
      <x:c r="J66" s="104"/>
    </x:row>
    <x:row r="67" ht="15" hidden="0" customHeight="1">
      <x:c r="A67" s="332" t="str">
        <x:f>IF(OR(COUNTA('Game Records'!$A67:$M67)=0,'Game Records'!$F67="Subscription"),"",IFERROR(MAX($A$4:A66),0)+1)</x:f>
      </x:c>
      <x:c r="B67" s="332" t="str">
        <x:f>IF($A67="","","G-"&amp;TEXT(ROW('Game Records'!$A67)-4,"0000"))</x:f>
      </x:c>
      <x:c r="C67" s="331" t="str">
        <x:f>IF($A67="","",IFERROR('Game Records'!$A67,""))</x:f>
      </x:c>
      <x:c r="D67" s="331" t="str">
        <x:f>IF($A67="","",IFERROR('Game Records'!$U67,""))</x:f>
      </x:c>
      <x:c r="E67" s="331" t="str">
        <x:f>IF($A67="","",IF($F67="","No Highlighted Fields","Highlighted Fields Present"))</x:f>
      </x:c>
      <x:c r="F67" s="331" t="str">
        <x:f>IF($A67="","",IF('Game Records'!$B67="","Start Date; ","")&amp;IF('Game Records'!$C67="","End Date; ","")&amp;IF(AND('Game Records'!$U67&lt;&gt;"Subscription",'Game Records'!$U67&lt;&gt;"Free Game",'Game Records'!$U67&lt;&gt;"Disqualified — Free Game",OR('Game Records'!$D67="",LOWER('Game Records'!$D67&amp;"")="n/a")),"Entry Mode; ","")&amp;IF(AND('Game Records'!$U67&lt;&gt;"Subscription",'Game Records'!$U67&lt;&gt;"Free Game",'Game Records'!$U67&lt;&gt;"Disqualified — Free Game",OR('Game Records'!$E67="",LOWER('Game Records'!$E67&amp;"")="n/a")),"Game Type; ","")&amp;IF('Game Records'!$F67="","Payment Type; ","")&amp;IF(AND('Game Records'!$U67&lt;&gt;"Subscription",'Game Records'!$U67&lt;&gt;"Free Game",'Game Records'!$U67&lt;&gt;"Disqualified — Free Game",'Game Records'!$G67=""),"Gross Pot; ","")&amp;IF(AND('Game Records'!$U67&lt;&gt;"Free Game",'Game Records'!$U67&lt;&gt;"Disqualified — Free Game",'Game Records'!$H67=""),"Entry Fee; ","")&amp;IF(AND('Game Records'!$U67&lt;&gt;"Subscription",'Game Records'!$U67&lt;&gt;"Free Game",'Game Records'!$U67&lt;&gt;"Disqualified — Free Game",'Game Records'!$I67=""),"Eligible Players; ","")&amp;IF(AND('Game Records'!$U67&lt;&gt;"Subscription",'Game Records'!$U67&lt;&gt;"Free Game",'Game Records'!$U67&lt;&gt;"Disqualified — Free Game",'Game Records'!$J67=""),"Total Players; ","")&amp;IF(AND(LOWER('Game Records'!$D67&amp;"")="finalized",LOWER('Game Records'!$L67&amp;"")&lt;&gt;"yes",'Game Records'!$U67&lt;&gt;"Subscription",'Game Records'!$U67&lt;&gt;"Free Game",'Game Records'!$U67&lt;&gt;"Disqualified — Free Game",'Game Records'!$K67=""),"Final Earned; ","")&amp;IF(AND(LOWER('Game Records'!$D67&amp;"")="finalized",'Game Records'!$U67&lt;&gt;"Subscription",'Game Records'!$U67&lt;&gt;"Free Game",'Game Records'!$U67&lt;&gt;"Disqualified — Free Game",OR('Game Records'!$L67="",LOWER('Game Records'!$L67&amp;"")="n/a")),"Disqualified Status; ",""))</x:f>
      </x:c>
      <x:c r="G67" s="331" t="str">
        <x:f>IF($A67="","",IFERROR('Game Records'!$M67,""))</x:f>
      </x:c>
      <x:c r="H67" s="104"/>
      <x:c r="I67" s="104"/>
      <x:c r="J67" s="104"/>
    </x:row>
    <x:row r="68" ht="15" hidden="0" customHeight="1">
      <x:c r="A68" s="332" t="str">
        <x:f>IF(OR(COUNTA('Game Records'!$A68:$M68)=0,'Game Records'!$F68="Subscription"),"",IFERROR(MAX($A$4:A67),0)+1)</x:f>
      </x:c>
      <x:c r="B68" s="332" t="str">
        <x:f>IF($A68="","","G-"&amp;TEXT(ROW('Game Records'!$A68)-4,"0000"))</x:f>
      </x:c>
      <x:c r="C68" s="331" t="str">
        <x:f>IF($A68="","",IFERROR('Game Records'!$A68,""))</x:f>
      </x:c>
      <x:c r="D68" s="331" t="str">
        <x:f>IF($A68="","",IFERROR('Game Records'!$U68,""))</x:f>
      </x:c>
      <x:c r="E68" s="331" t="str">
        <x:f>IF($A68="","",IF($F68="","No Highlighted Fields","Highlighted Fields Present"))</x:f>
      </x:c>
      <x:c r="F68" s="331" t="str">
        <x:f>IF($A68="","",IF('Game Records'!$B68="","Start Date; ","")&amp;IF('Game Records'!$C68="","End Date; ","")&amp;IF(AND('Game Records'!$U68&lt;&gt;"Subscription",'Game Records'!$U68&lt;&gt;"Free Game",'Game Records'!$U68&lt;&gt;"Disqualified — Free Game",OR('Game Records'!$D68="",LOWER('Game Records'!$D68&amp;"")="n/a")),"Entry Mode; ","")&amp;IF(AND('Game Records'!$U68&lt;&gt;"Subscription",'Game Records'!$U68&lt;&gt;"Free Game",'Game Records'!$U68&lt;&gt;"Disqualified — Free Game",OR('Game Records'!$E68="",LOWER('Game Records'!$E68&amp;"")="n/a")),"Game Type; ","")&amp;IF('Game Records'!$F68="","Payment Type; ","")&amp;IF(AND('Game Records'!$U68&lt;&gt;"Subscription",'Game Records'!$U68&lt;&gt;"Free Game",'Game Records'!$U68&lt;&gt;"Disqualified — Free Game",'Game Records'!$G68=""),"Gross Pot; ","")&amp;IF(AND('Game Records'!$U68&lt;&gt;"Free Game",'Game Records'!$U68&lt;&gt;"Disqualified — Free Game",'Game Records'!$H68=""),"Entry Fee; ","")&amp;IF(AND('Game Records'!$U68&lt;&gt;"Subscription",'Game Records'!$U68&lt;&gt;"Free Game",'Game Records'!$U68&lt;&gt;"Disqualified — Free Game",'Game Records'!$I68=""),"Eligible Players; ","")&amp;IF(AND('Game Records'!$U68&lt;&gt;"Subscription",'Game Records'!$U68&lt;&gt;"Free Game",'Game Records'!$U68&lt;&gt;"Disqualified — Free Game",'Game Records'!$J68=""),"Total Players; ","")&amp;IF(AND(LOWER('Game Records'!$D68&amp;"")="finalized",LOWER('Game Records'!$L68&amp;"")&lt;&gt;"yes",'Game Records'!$U68&lt;&gt;"Subscription",'Game Records'!$U68&lt;&gt;"Free Game",'Game Records'!$U68&lt;&gt;"Disqualified — Free Game",'Game Records'!$K68=""),"Final Earned; ","")&amp;IF(AND(LOWER('Game Records'!$D68&amp;"")="finalized",'Game Records'!$U68&lt;&gt;"Subscription",'Game Records'!$U68&lt;&gt;"Free Game",'Game Records'!$U68&lt;&gt;"Disqualified — Free Game",OR('Game Records'!$L68="",LOWER('Game Records'!$L68&amp;"")="n/a")),"Disqualified Status; ",""))</x:f>
      </x:c>
      <x:c r="G68" s="331" t="str">
        <x:f>IF($A68="","",IFERROR('Game Records'!$M68,""))</x:f>
      </x:c>
      <x:c r="H68" s="104"/>
      <x:c r="I68" s="104"/>
      <x:c r="J68" s="104"/>
    </x:row>
    <x:row r="69" ht="15" hidden="0" customHeight="1">
      <x:c r="A69" s="332" t="str">
        <x:f>IF(OR(COUNTA('Game Records'!$A69:$M69)=0,'Game Records'!$F69="Subscription"),"",IFERROR(MAX($A$4:A68),0)+1)</x:f>
      </x:c>
      <x:c r="B69" s="332" t="str">
        <x:f>IF($A69="","","G-"&amp;TEXT(ROW('Game Records'!$A69)-4,"0000"))</x:f>
      </x:c>
      <x:c r="C69" s="331" t="str">
        <x:f>IF($A69="","",IFERROR('Game Records'!$A69,""))</x:f>
      </x:c>
      <x:c r="D69" s="331" t="str">
        <x:f>IF($A69="","",IFERROR('Game Records'!$U69,""))</x:f>
      </x:c>
      <x:c r="E69" s="331" t="str">
        <x:f>IF($A69="","",IF($F69="","No Highlighted Fields","Highlighted Fields Present"))</x:f>
      </x:c>
      <x:c r="F69" s="331" t="str">
        <x:f>IF($A69="","",IF('Game Records'!$B69="","Start Date; ","")&amp;IF('Game Records'!$C69="","End Date; ","")&amp;IF(AND('Game Records'!$U69&lt;&gt;"Subscription",'Game Records'!$U69&lt;&gt;"Free Game",'Game Records'!$U69&lt;&gt;"Disqualified — Free Game",OR('Game Records'!$D69="",LOWER('Game Records'!$D69&amp;"")="n/a")),"Entry Mode; ","")&amp;IF(AND('Game Records'!$U69&lt;&gt;"Subscription",'Game Records'!$U69&lt;&gt;"Free Game",'Game Records'!$U69&lt;&gt;"Disqualified — Free Game",OR('Game Records'!$E69="",LOWER('Game Records'!$E69&amp;"")="n/a")),"Game Type; ","")&amp;IF('Game Records'!$F69="","Payment Type; ","")&amp;IF(AND('Game Records'!$U69&lt;&gt;"Subscription",'Game Records'!$U69&lt;&gt;"Free Game",'Game Records'!$U69&lt;&gt;"Disqualified — Free Game",'Game Records'!$G69=""),"Gross Pot; ","")&amp;IF(AND('Game Records'!$U69&lt;&gt;"Free Game",'Game Records'!$U69&lt;&gt;"Disqualified — Free Game",'Game Records'!$H69=""),"Entry Fee; ","")&amp;IF(AND('Game Records'!$U69&lt;&gt;"Subscription",'Game Records'!$U69&lt;&gt;"Free Game",'Game Records'!$U69&lt;&gt;"Disqualified — Free Game",'Game Records'!$I69=""),"Eligible Players; ","")&amp;IF(AND('Game Records'!$U69&lt;&gt;"Subscription",'Game Records'!$U69&lt;&gt;"Free Game",'Game Records'!$U69&lt;&gt;"Disqualified — Free Game",'Game Records'!$J69=""),"Total Players; ","")&amp;IF(AND(LOWER('Game Records'!$D69&amp;"")="finalized",LOWER('Game Records'!$L69&amp;"")&lt;&gt;"yes",'Game Records'!$U69&lt;&gt;"Subscription",'Game Records'!$U69&lt;&gt;"Free Game",'Game Records'!$U69&lt;&gt;"Disqualified — Free Game",'Game Records'!$K69=""),"Final Earned; ","")&amp;IF(AND(LOWER('Game Records'!$D69&amp;"")="finalized",'Game Records'!$U69&lt;&gt;"Subscription",'Game Records'!$U69&lt;&gt;"Free Game",'Game Records'!$U69&lt;&gt;"Disqualified — Free Game",OR('Game Records'!$L69="",LOWER('Game Records'!$L69&amp;"")="n/a")),"Disqualified Status; ",""))</x:f>
      </x:c>
      <x:c r="G69" s="331" t="str">
        <x:f>IF($A69="","",IFERROR('Game Records'!$M69,""))</x:f>
      </x:c>
      <x:c r="H69" s="104"/>
      <x:c r="I69" s="104"/>
      <x:c r="J69" s="104"/>
    </x:row>
    <x:row r="70" ht="15" hidden="0" customHeight="1">
      <x:c r="A70" s="332" t="str">
        <x:f>IF(OR(COUNTA('Game Records'!$A70:$M70)=0,'Game Records'!$F70="Subscription"),"",IFERROR(MAX($A$4:A69),0)+1)</x:f>
      </x:c>
      <x:c r="B70" s="332" t="str">
        <x:f>IF($A70="","","G-"&amp;TEXT(ROW('Game Records'!$A70)-4,"0000"))</x:f>
      </x:c>
      <x:c r="C70" s="331" t="str">
        <x:f>IF($A70="","",IFERROR('Game Records'!$A70,""))</x:f>
      </x:c>
      <x:c r="D70" s="331" t="str">
        <x:f>IF($A70="","",IFERROR('Game Records'!$U70,""))</x:f>
      </x:c>
      <x:c r="E70" s="331" t="str">
        <x:f>IF($A70="","",IF($F70="","No Highlighted Fields","Highlighted Fields Present"))</x:f>
      </x:c>
      <x:c r="F70" s="331" t="str">
        <x:f>IF($A70="","",IF('Game Records'!$B70="","Start Date; ","")&amp;IF('Game Records'!$C70="","End Date; ","")&amp;IF(AND('Game Records'!$U70&lt;&gt;"Subscription",'Game Records'!$U70&lt;&gt;"Free Game",'Game Records'!$U70&lt;&gt;"Disqualified — Free Game",OR('Game Records'!$D70="",LOWER('Game Records'!$D70&amp;"")="n/a")),"Entry Mode; ","")&amp;IF(AND('Game Records'!$U70&lt;&gt;"Subscription",'Game Records'!$U70&lt;&gt;"Free Game",'Game Records'!$U70&lt;&gt;"Disqualified — Free Game",OR('Game Records'!$E70="",LOWER('Game Records'!$E70&amp;"")="n/a")),"Game Type; ","")&amp;IF('Game Records'!$F70="","Payment Type; ","")&amp;IF(AND('Game Records'!$U70&lt;&gt;"Subscription",'Game Records'!$U70&lt;&gt;"Free Game",'Game Records'!$U70&lt;&gt;"Disqualified — Free Game",'Game Records'!$G70=""),"Gross Pot; ","")&amp;IF(AND('Game Records'!$U70&lt;&gt;"Free Game",'Game Records'!$U70&lt;&gt;"Disqualified — Free Game",'Game Records'!$H70=""),"Entry Fee; ","")&amp;IF(AND('Game Records'!$U70&lt;&gt;"Subscription",'Game Records'!$U70&lt;&gt;"Free Game",'Game Records'!$U70&lt;&gt;"Disqualified — Free Game",'Game Records'!$I70=""),"Eligible Players; ","")&amp;IF(AND('Game Records'!$U70&lt;&gt;"Subscription",'Game Records'!$U70&lt;&gt;"Free Game",'Game Records'!$U70&lt;&gt;"Disqualified — Free Game",'Game Records'!$J70=""),"Total Players; ","")&amp;IF(AND(LOWER('Game Records'!$D70&amp;"")="finalized",LOWER('Game Records'!$L70&amp;"")&lt;&gt;"yes",'Game Records'!$U70&lt;&gt;"Subscription",'Game Records'!$U70&lt;&gt;"Free Game",'Game Records'!$U70&lt;&gt;"Disqualified — Free Game",'Game Records'!$K70=""),"Final Earned; ","")&amp;IF(AND(LOWER('Game Records'!$D70&amp;"")="finalized",'Game Records'!$U70&lt;&gt;"Subscription",'Game Records'!$U70&lt;&gt;"Free Game",'Game Records'!$U70&lt;&gt;"Disqualified — Free Game",OR('Game Records'!$L70="",LOWER('Game Records'!$L70&amp;"")="n/a")),"Disqualified Status; ",""))</x:f>
      </x:c>
      <x:c r="G70" s="331" t="str">
        <x:f>IF($A70="","",IFERROR('Game Records'!$M70,""))</x:f>
      </x:c>
      <x:c r="H70" s="104"/>
      <x:c r="I70" s="104"/>
      <x:c r="J70" s="104"/>
    </x:row>
    <x:row r="71" ht="15" hidden="0" customHeight="1">
      <x:c r="A71" s="332" t="str">
        <x:f>IF(OR(COUNTA('Game Records'!$A71:$M71)=0,'Game Records'!$F71="Subscription"),"",IFERROR(MAX($A$4:A70),0)+1)</x:f>
      </x:c>
      <x:c r="B71" s="332" t="str">
        <x:f>IF($A71="","","G-"&amp;TEXT(ROW('Game Records'!$A71)-4,"0000"))</x:f>
      </x:c>
      <x:c r="C71" s="331" t="str">
        <x:f>IF($A71="","",IFERROR('Game Records'!$A71,""))</x:f>
      </x:c>
      <x:c r="D71" s="331" t="str">
        <x:f>IF($A71="","",IFERROR('Game Records'!$U71,""))</x:f>
      </x:c>
      <x:c r="E71" s="331" t="str">
        <x:f>IF($A71="","",IF($F71="","No Highlighted Fields","Highlighted Fields Present"))</x:f>
      </x:c>
      <x:c r="F71" s="331" t="str">
        <x:f>IF($A71="","",IF('Game Records'!$B71="","Start Date; ","")&amp;IF('Game Records'!$C71="","End Date; ","")&amp;IF(AND('Game Records'!$U71&lt;&gt;"Subscription",'Game Records'!$U71&lt;&gt;"Free Game",'Game Records'!$U71&lt;&gt;"Disqualified — Free Game",OR('Game Records'!$D71="",LOWER('Game Records'!$D71&amp;"")="n/a")),"Entry Mode; ","")&amp;IF(AND('Game Records'!$U71&lt;&gt;"Subscription",'Game Records'!$U71&lt;&gt;"Free Game",'Game Records'!$U71&lt;&gt;"Disqualified — Free Game",OR('Game Records'!$E71="",LOWER('Game Records'!$E71&amp;"")="n/a")),"Game Type; ","")&amp;IF('Game Records'!$F71="","Payment Type; ","")&amp;IF(AND('Game Records'!$U71&lt;&gt;"Subscription",'Game Records'!$U71&lt;&gt;"Free Game",'Game Records'!$U71&lt;&gt;"Disqualified — Free Game",'Game Records'!$G71=""),"Gross Pot; ","")&amp;IF(AND('Game Records'!$U71&lt;&gt;"Free Game",'Game Records'!$U71&lt;&gt;"Disqualified — Free Game",'Game Records'!$H71=""),"Entry Fee; ","")&amp;IF(AND('Game Records'!$U71&lt;&gt;"Subscription",'Game Records'!$U71&lt;&gt;"Free Game",'Game Records'!$U71&lt;&gt;"Disqualified — Free Game",'Game Records'!$I71=""),"Eligible Players; ","")&amp;IF(AND('Game Records'!$U71&lt;&gt;"Subscription",'Game Records'!$U71&lt;&gt;"Free Game",'Game Records'!$U71&lt;&gt;"Disqualified — Free Game",'Game Records'!$J71=""),"Total Players; ","")&amp;IF(AND(LOWER('Game Records'!$D71&amp;"")="finalized",LOWER('Game Records'!$L71&amp;"")&lt;&gt;"yes",'Game Records'!$U71&lt;&gt;"Subscription",'Game Records'!$U71&lt;&gt;"Free Game",'Game Records'!$U71&lt;&gt;"Disqualified — Free Game",'Game Records'!$K71=""),"Final Earned; ","")&amp;IF(AND(LOWER('Game Records'!$D71&amp;"")="finalized",'Game Records'!$U71&lt;&gt;"Subscription",'Game Records'!$U71&lt;&gt;"Free Game",'Game Records'!$U71&lt;&gt;"Disqualified — Free Game",OR('Game Records'!$L71="",LOWER('Game Records'!$L71&amp;"")="n/a")),"Disqualified Status; ",""))</x:f>
      </x:c>
      <x:c r="G71" s="331" t="str">
        <x:f>IF($A71="","",IFERROR('Game Records'!$M71,""))</x:f>
      </x:c>
      <x:c r="H71" s="104"/>
      <x:c r="I71" s="104"/>
      <x:c r="J71" s="104"/>
    </x:row>
    <x:row r="72" ht="15" hidden="0" customHeight="1">
      <x:c r="A72" s="332" t="str">
        <x:f>IF(OR(COUNTA('Game Records'!$A72:$M72)=0,'Game Records'!$F72="Subscription"),"",IFERROR(MAX($A$4:A71),0)+1)</x:f>
      </x:c>
      <x:c r="B72" s="332" t="str">
        <x:f>IF($A72="","","G-"&amp;TEXT(ROW('Game Records'!$A72)-4,"0000"))</x:f>
      </x:c>
      <x:c r="C72" s="331" t="str">
        <x:f>IF($A72="","",IFERROR('Game Records'!$A72,""))</x:f>
      </x:c>
      <x:c r="D72" s="331" t="str">
        <x:f>IF($A72="","",IFERROR('Game Records'!$U72,""))</x:f>
      </x:c>
      <x:c r="E72" s="331" t="str">
        <x:f>IF($A72="","",IF($F72="","No Highlighted Fields","Highlighted Fields Present"))</x:f>
      </x:c>
      <x:c r="F72" s="331" t="str">
        <x:f>IF($A72="","",IF('Game Records'!$B72="","Start Date; ","")&amp;IF('Game Records'!$C72="","End Date; ","")&amp;IF(AND('Game Records'!$U72&lt;&gt;"Subscription",'Game Records'!$U72&lt;&gt;"Free Game",'Game Records'!$U72&lt;&gt;"Disqualified — Free Game",OR('Game Records'!$D72="",LOWER('Game Records'!$D72&amp;"")="n/a")),"Entry Mode; ","")&amp;IF(AND('Game Records'!$U72&lt;&gt;"Subscription",'Game Records'!$U72&lt;&gt;"Free Game",'Game Records'!$U72&lt;&gt;"Disqualified — Free Game",OR('Game Records'!$E72="",LOWER('Game Records'!$E72&amp;"")="n/a")),"Game Type; ","")&amp;IF('Game Records'!$F72="","Payment Type; ","")&amp;IF(AND('Game Records'!$U72&lt;&gt;"Subscription",'Game Records'!$U72&lt;&gt;"Free Game",'Game Records'!$U72&lt;&gt;"Disqualified — Free Game",'Game Records'!$G72=""),"Gross Pot; ","")&amp;IF(AND('Game Records'!$U72&lt;&gt;"Free Game",'Game Records'!$U72&lt;&gt;"Disqualified — Free Game",'Game Records'!$H72=""),"Entry Fee; ","")&amp;IF(AND('Game Records'!$U72&lt;&gt;"Subscription",'Game Records'!$U72&lt;&gt;"Free Game",'Game Records'!$U72&lt;&gt;"Disqualified — Free Game",'Game Records'!$I72=""),"Eligible Players; ","")&amp;IF(AND('Game Records'!$U72&lt;&gt;"Subscription",'Game Records'!$U72&lt;&gt;"Free Game",'Game Records'!$U72&lt;&gt;"Disqualified — Free Game",'Game Records'!$J72=""),"Total Players; ","")&amp;IF(AND(LOWER('Game Records'!$D72&amp;"")="finalized",LOWER('Game Records'!$L72&amp;"")&lt;&gt;"yes",'Game Records'!$U72&lt;&gt;"Subscription",'Game Records'!$U72&lt;&gt;"Free Game",'Game Records'!$U72&lt;&gt;"Disqualified — Free Game",'Game Records'!$K72=""),"Final Earned; ","")&amp;IF(AND(LOWER('Game Records'!$D72&amp;"")="finalized",'Game Records'!$U72&lt;&gt;"Subscription",'Game Records'!$U72&lt;&gt;"Free Game",'Game Records'!$U72&lt;&gt;"Disqualified — Free Game",OR('Game Records'!$L72="",LOWER('Game Records'!$L72&amp;"")="n/a")),"Disqualified Status; ",""))</x:f>
      </x:c>
      <x:c r="G72" s="331" t="str">
        <x:f>IF($A72="","",IFERROR('Game Records'!$M72,""))</x:f>
      </x:c>
      <x:c r="H72" s="104"/>
      <x:c r="I72" s="104"/>
      <x:c r="J72" s="104"/>
    </x:row>
    <x:row r="73" ht="15" hidden="0" customHeight="1">
      <x:c r="A73" s="332" t="str">
        <x:f>IF(OR(COUNTA('Game Records'!$A73:$M73)=0,'Game Records'!$F73="Subscription"),"",IFERROR(MAX($A$4:A72),0)+1)</x:f>
      </x:c>
      <x:c r="B73" s="332" t="str">
        <x:f>IF($A73="","","G-"&amp;TEXT(ROW('Game Records'!$A73)-4,"0000"))</x:f>
      </x:c>
      <x:c r="C73" s="331" t="str">
        <x:f>IF($A73="","",IFERROR('Game Records'!$A73,""))</x:f>
      </x:c>
      <x:c r="D73" s="331" t="str">
        <x:f>IF($A73="","",IFERROR('Game Records'!$U73,""))</x:f>
      </x:c>
      <x:c r="E73" s="331" t="str">
        <x:f>IF($A73="","",IF($F73="","No Highlighted Fields","Highlighted Fields Present"))</x:f>
      </x:c>
      <x:c r="F73" s="331" t="str">
        <x:f>IF($A73="","",IF('Game Records'!$B73="","Start Date; ","")&amp;IF('Game Records'!$C73="","End Date; ","")&amp;IF(AND('Game Records'!$U73&lt;&gt;"Subscription",'Game Records'!$U73&lt;&gt;"Free Game",'Game Records'!$U73&lt;&gt;"Disqualified — Free Game",OR('Game Records'!$D73="",LOWER('Game Records'!$D73&amp;"")="n/a")),"Entry Mode; ","")&amp;IF(AND('Game Records'!$U73&lt;&gt;"Subscription",'Game Records'!$U73&lt;&gt;"Free Game",'Game Records'!$U73&lt;&gt;"Disqualified — Free Game",OR('Game Records'!$E73="",LOWER('Game Records'!$E73&amp;"")="n/a")),"Game Type; ","")&amp;IF('Game Records'!$F73="","Payment Type; ","")&amp;IF(AND('Game Records'!$U73&lt;&gt;"Subscription",'Game Records'!$U73&lt;&gt;"Free Game",'Game Records'!$U73&lt;&gt;"Disqualified — Free Game",'Game Records'!$G73=""),"Gross Pot; ","")&amp;IF(AND('Game Records'!$U73&lt;&gt;"Free Game",'Game Records'!$U73&lt;&gt;"Disqualified — Free Game",'Game Records'!$H73=""),"Entry Fee; ","")&amp;IF(AND('Game Records'!$U73&lt;&gt;"Subscription",'Game Records'!$U73&lt;&gt;"Free Game",'Game Records'!$U73&lt;&gt;"Disqualified — Free Game",'Game Records'!$I73=""),"Eligible Players; ","")&amp;IF(AND('Game Records'!$U73&lt;&gt;"Subscription",'Game Records'!$U73&lt;&gt;"Free Game",'Game Records'!$U73&lt;&gt;"Disqualified — Free Game",'Game Records'!$J73=""),"Total Players; ","")&amp;IF(AND(LOWER('Game Records'!$D73&amp;"")="finalized",LOWER('Game Records'!$L73&amp;"")&lt;&gt;"yes",'Game Records'!$U73&lt;&gt;"Subscription",'Game Records'!$U73&lt;&gt;"Free Game",'Game Records'!$U73&lt;&gt;"Disqualified — Free Game",'Game Records'!$K73=""),"Final Earned; ","")&amp;IF(AND(LOWER('Game Records'!$D73&amp;"")="finalized",'Game Records'!$U73&lt;&gt;"Subscription",'Game Records'!$U73&lt;&gt;"Free Game",'Game Records'!$U73&lt;&gt;"Disqualified — Free Game",OR('Game Records'!$L73="",LOWER('Game Records'!$L73&amp;"")="n/a")),"Disqualified Status; ",""))</x:f>
      </x:c>
      <x:c r="G73" s="331" t="str">
        <x:f>IF($A73="","",IFERROR('Game Records'!$M73,""))</x:f>
      </x:c>
      <x:c r="H73" s="104"/>
      <x:c r="I73" s="104"/>
      <x:c r="J73" s="104"/>
    </x:row>
    <x:row r="74" ht="15" hidden="0" customHeight="1">
      <x:c r="A74" s="332" t="str">
        <x:f>IF(OR(COUNTA('Game Records'!$A74:$M74)=0,'Game Records'!$F74="Subscription"),"",IFERROR(MAX($A$4:A73),0)+1)</x:f>
      </x:c>
      <x:c r="B74" s="332" t="str">
        <x:f>IF($A74="","","G-"&amp;TEXT(ROW('Game Records'!$A74)-4,"0000"))</x:f>
      </x:c>
      <x:c r="C74" s="331" t="str">
        <x:f>IF($A74="","",IFERROR('Game Records'!$A74,""))</x:f>
      </x:c>
      <x:c r="D74" s="331" t="str">
        <x:f>IF($A74="","",IFERROR('Game Records'!$U74,""))</x:f>
      </x:c>
      <x:c r="E74" s="331" t="str">
        <x:f>IF($A74="","",IF($F74="","No Highlighted Fields","Highlighted Fields Present"))</x:f>
      </x:c>
      <x:c r="F74" s="331" t="str">
        <x:f>IF($A74="","",IF('Game Records'!$B74="","Start Date; ","")&amp;IF('Game Records'!$C74="","End Date; ","")&amp;IF(AND('Game Records'!$U74&lt;&gt;"Subscription",'Game Records'!$U74&lt;&gt;"Free Game",'Game Records'!$U74&lt;&gt;"Disqualified — Free Game",OR('Game Records'!$D74="",LOWER('Game Records'!$D74&amp;"")="n/a")),"Entry Mode; ","")&amp;IF(AND('Game Records'!$U74&lt;&gt;"Subscription",'Game Records'!$U74&lt;&gt;"Free Game",'Game Records'!$U74&lt;&gt;"Disqualified — Free Game",OR('Game Records'!$E74="",LOWER('Game Records'!$E74&amp;"")="n/a")),"Game Type; ","")&amp;IF('Game Records'!$F74="","Payment Type; ","")&amp;IF(AND('Game Records'!$U74&lt;&gt;"Subscription",'Game Records'!$U74&lt;&gt;"Free Game",'Game Records'!$U74&lt;&gt;"Disqualified — Free Game",'Game Records'!$G74=""),"Gross Pot; ","")&amp;IF(AND('Game Records'!$U74&lt;&gt;"Free Game",'Game Records'!$U74&lt;&gt;"Disqualified — Free Game",'Game Records'!$H74=""),"Entry Fee; ","")&amp;IF(AND('Game Records'!$U74&lt;&gt;"Subscription",'Game Records'!$U74&lt;&gt;"Free Game",'Game Records'!$U74&lt;&gt;"Disqualified — Free Game",'Game Records'!$I74=""),"Eligible Players; ","")&amp;IF(AND('Game Records'!$U74&lt;&gt;"Subscription",'Game Records'!$U74&lt;&gt;"Free Game",'Game Records'!$U74&lt;&gt;"Disqualified — Free Game",'Game Records'!$J74=""),"Total Players; ","")&amp;IF(AND(LOWER('Game Records'!$D74&amp;"")="finalized",LOWER('Game Records'!$L74&amp;"")&lt;&gt;"yes",'Game Records'!$U74&lt;&gt;"Subscription",'Game Records'!$U74&lt;&gt;"Free Game",'Game Records'!$U74&lt;&gt;"Disqualified — Free Game",'Game Records'!$K74=""),"Final Earned; ","")&amp;IF(AND(LOWER('Game Records'!$D74&amp;"")="finalized",'Game Records'!$U74&lt;&gt;"Subscription",'Game Records'!$U74&lt;&gt;"Free Game",'Game Records'!$U74&lt;&gt;"Disqualified — Free Game",OR('Game Records'!$L74="",LOWER('Game Records'!$L74&amp;"")="n/a")),"Disqualified Status; ",""))</x:f>
      </x:c>
      <x:c r="G74" s="331" t="str">
        <x:f>IF($A74="","",IFERROR('Game Records'!$M74,""))</x:f>
      </x:c>
      <x:c r="H74" s="104"/>
      <x:c r="I74" s="104"/>
      <x:c r="J74" s="104"/>
    </x:row>
    <x:row r="75" ht="15" hidden="0" customHeight="1">
      <x:c r="A75" s="332" t="str">
        <x:f>IF(OR(COUNTA('Game Records'!$A75:$M75)=0,'Game Records'!$F75="Subscription"),"",IFERROR(MAX($A$4:A74),0)+1)</x:f>
      </x:c>
      <x:c r="B75" s="332" t="str">
        <x:f>IF($A75="","","G-"&amp;TEXT(ROW('Game Records'!$A75)-4,"0000"))</x:f>
      </x:c>
      <x:c r="C75" s="331" t="str">
        <x:f>IF($A75="","",IFERROR('Game Records'!$A75,""))</x:f>
      </x:c>
      <x:c r="D75" s="331" t="str">
        <x:f>IF($A75="","",IFERROR('Game Records'!$U75,""))</x:f>
      </x:c>
      <x:c r="E75" s="331" t="str">
        <x:f>IF($A75="","",IF($F75="","No Highlighted Fields","Highlighted Fields Present"))</x:f>
      </x:c>
      <x:c r="F75" s="331" t="str">
        <x:f>IF($A75="","",IF('Game Records'!$B75="","Start Date; ","")&amp;IF('Game Records'!$C75="","End Date; ","")&amp;IF(AND('Game Records'!$U75&lt;&gt;"Subscription",'Game Records'!$U75&lt;&gt;"Free Game",'Game Records'!$U75&lt;&gt;"Disqualified — Free Game",OR('Game Records'!$D75="",LOWER('Game Records'!$D75&amp;"")="n/a")),"Entry Mode; ","")&amp;IF(AND('Game Records'!$U75&lt;&gt;"Subscription",'Game Records'!$U75&lt;&gt;"Free Game",'Game Records'!$U75&lt;&gt;"Disqualified — Free Game",OR('Game Records'!$E75="",LOWER('Game Records'!$E75&amp;"")="n/a")),"Game Type; ","")&amp;IF('Game Records'!$F75="","Payment Type; ","")&amp;IF(AND('Game Records'!$U75&lt;&gt;"Subscription",'Game Records'!$U75&lt;&gt;"Free Game",'Game Records'!$U75&lt;&gt;"Disqualified — Free Game",'Game Records'!$G75=""),"Gross Pot; ","")&amp;IF(AND('Game Records'!$U75&lt;&gt;"Free Game",'Game Records'!$U75&lt;&gt;"Disqualified — Free Game",'Game Records'!$H75=""),"Entry Fee; ","")&amp;IF(AND('Game Records'!$U75&lt;&gt;"Subscription",'Game Records'!$U75&lt;&gt;"Free Game",'Game Records'!$U75&lt;&gt;"Disqualified — Free Game",'Game Records'!$I75=""),"Eligible Players; ","")&amp;IF(AND('Game Records'!$U75&lt;&gt;"Subscription",'Game Records'!$U75&lt;&gt;"Free Game",'Game Records'!$U75&lt;&gt;"Disqualified — Free Game",'Game Records'!$J75=""),"Total Players; ","")&amp;IF(AND(LOWER('Game Records'!$D75&amp;"")="finalized",LOWER('Game Records'!$L75&amp;"")&lt;&gt;"yes",'Game Records'!$U75&lt;&gt;"Subscription",'Game Records'!$U75&lt;&gt;"Free Game",'Game Records'!$U75&lt;&gt;"Disqualified — Free Game",'Game Records'!$K75=""),"Final Earned; ","")&amp;IF(AND(LOWER('Game Records'!$D75&amp;"")="finalized",'Game Records'!$U75&lt;&gt;"Subscription",'Game Records'!$U75&lt;&gt;"Free Game",'Game Records'!$U75&lt;&gt;"Disqualified — Free Game",OR('Game Records'!$L75="",LOWER('Game Records'!$L75&amp;"")="n/a")),"Disqualified Status; ",""))</x:f>
      </x:c>
      <x:c r="G75" s="331" t="str">
        <x:f>IF($A75="","",IFERROR('Game Records'!$M75,""))</x:f>
      </x:c>
      <x:c r="H75" s="104"/>
      <x:c r="I75" s="104"/>
      <x:c r="J75" s="104"/>
    </x:row>
    <x:row r="76" ht="15" hidden="0" customHeight="1">
      <x:c r="A76" s="332" t="str">
        <x:f>IF(OR(COUNTA('Game Records'!$A76:$M76)=0,'Game Records'!$F76="Subscription"),"",IFERROR(MAX($A$4:A75),0)+1)</x:f>
      </x:c>
      <x:c r="B76" s="332" t="str">
        <x:f>IF($A76="","","G-"&amp;TEXT(ROW('Game Records'!$A76)-4,"0000"))</x:f>
      </x:c>
      <x:c r="C76" s="331" t="str">
        <x:f>IF($A76="","",IFERROR('Game Records'!$A76,""))</x:f>
      </x:c>
      <x:c r="D76" s="331" t="str">
        <x:f>IF($A76="","",IFERROR('Game Records'!$U76,""))</x:f>
      </x:c>
      <x:c r="E76" s="331" t="str">
        <x:f>IF($A76="","",IF($F76="","No Highlighted Fields","Highlighted Fields Present"))</x:f>
      </x:c>
      <x:c r="F76" s="331" t="str">
        <x:f>IF($A76="","",IF('Game Records'!$B76="","Start Date; ","")&amp;IF('Game Records'!$C76="","End Date; ","")&amp;IF(AND('Game Records'!$U76&lt;&gt;"Subscription",'Game Records'!$U76&lt;&gt;"Free Game",'Game Records'!$U76&lt;&gt;"Disqualified — Free Game",OR('Game Records'!$D76="",LOWER('Game Records'!$D76&amp;"")="n/a")),"Entry Mode; ","")&amp;IF(AND('Game Records'!$U76&lt;&gt;"Subscription",'Game Records'!$U76&lt;&gt;"Free Game",'Game Records'!$U76&lt;&gt;"Disqualified — Free Game",OR('Game Records'!$E76="",LOWER('Game Records'!$E76&amp;"")="n/a")),"Game Type; ","")&amp;IF('Game Records'!$F76="","Payment Type; ","")&amp;IF(AND('Game Records'!$U76&lt;&gt;"Subscription",'Game Records'!$U76&lt;&gt;"Free Game",'Game Records'!$U76&lt;&gt;"Disqualified — Free Game",'Game Records'!$G76=""),"Gross Pot; ","")&amp;IF(AND('Game Records'!$U76&lt;&gt;"Free Game",'Game Records'!$U76&lt;&gt;"Disqualified — Free Game",'Game Records'!$H76=""),"Entry Fee; ","")&amp;IF(AND('Game Records'!$U76&lt;&gt;"Subscription",'Game Records'!$U76&lt;&gt;"Free Game",'Game Records'!$U76&lt;&gt;"Disqualified — Free Game",'Game Records'!$I76=""),"Eligible Players; ","")&amp;IF(AND('Game Records'!$U76&lt;&gt;"Subscription",'Game Records'!$U76&lt;&gt;"Free Game",'Game Records'!$U76&lt;&gt;"Disqualified — Free Game",'Game Records'!$J76=""),"Total Players; ","")&amp;IF(AND(LOWER('Game Records'!$D76&amp;"")="finalized",LOWER('Game Records'!$L76&amp;"")&lt;&gt;"yes",'Game Records'!$U76&lt;&gt;"Subscription",'Game Records'!$U76&lt;&gt;"Free Game",'Game Records'!$U76&lt;&gt;"Disqualified — Free Game",'Game Records'!$K76=""),"Final Earned; ","")&amp;IF(AND(LOWER('Game Records'!$D76&amp;"")="finalized",'Game Records'!$U76&lt;&gt;"Subscription",'Game Records'!$U76&lt;&gt;"Free Game",'Game Records'!$U76&lt;&gt;"Disqualified — Free Game",OR('Game Records'!$L76="",LOWER('Game Records'!$L76&amp;"")="n/a")),"Disqualified Status; ",""))</x:f>
      </x:c>
      <x:c r="G76" s="331" t="str">
        <x:f>IF($A76="","",IFERROR('Game Records'!$M76,""))</x:f>
      </x:c>
      <x:c r="H76" s="104"/>
      <x:c r="I76" s="104"/>
      <x:c r="J76" s="104"/>
    </x:row>
    <x:row r="77" ht="15" hidden="0" customHeight="1">
      <x:c r="A77" s="332" t="str">
        <x:f>IF(OR(COUNTA('Game Records'!$A77:$M77)=0,'Game Records'!$F77="Subscription"),"",IFERROR(MAX($A$4:A76),0)+1)</x:f>
      </x:c>
      <x:c r="B77" s="332" t="str">
        <x:f>IF($A77="","","G-"&amp;TEXT(ROW('Game Records'!$A77)-4,"0000"))</x:f>
      </x:c>
      <x:c r="C77" s="331" t="str">
        <x:f>IF($A77="","",IFERROR('Game Records'!$A77,""))</x:f>
      </x:c>
      <x:c r="D77" s="331" t="str">
        <x:f>IF($A77="","",IFERROR('Game Records'!$U77,""))</x:f>
      </x:c>
      <x:c r="E77" s="331" t="str">
        <x:f>IF($A77="","",IF($F77="","No Highlighted Fields","Highlighted Fields Present"))</x:f>
      </x:c>
      <x:c r="F77" s="331" t="str">
        <x:f>IF($A77="","",IF('Game Records'!$B77="","Start Date; ","")&amp;IF('Game Records'!$C77="","End Date; ","")&amp;IF(AND('Game Records'!$U77&lt;&gt;"Subscription",'Game Records'!$U77&lt;&gt;"Free Game",'Game Records'!$U77&lt;&gt;"Disqualified — Free Game",OR('Game Records'!$D77="",LOWER('Game Records'!$D77&amp;"")="n/a")),"Entry Mode; ","")&amp;IF(AND('Game Records'!$U77&lt;&gt;"Subscription",'Game Records'!$U77&lt;&gt;"Free Game",'Game Records'!$U77&lt;&gt;"Disqualified — Free Game",OR('Game Records'!$E77="",LOWER('Game Records'!$E77&amp;"")="n/a")),"Game Type; ","")&amp;IF('Game Records'!$F77="","Payment Type; ","")&amp;IF(AND('Game Records'!$U77&lt;&gt;"Subscription",'Game Records'!$U77&lt;&gt;"Free Game",'Game Records'!$U77&lt;&gt;"Disqualified — Free Game",'Game Records'!$G77=""),"Gross Pot; ","")&amp;IF(AND('Game Records'!$U77&lt;&gt;"Free Game",'Game Records'!$U77&lt;&gt;"Disqualified — Free Game",'Game Records'!$H77=""),"Entry Fee; ","")&amp;IF(AND('Game Records'!$U77&lt;&gt;"Subscription",'Game Records'!$U77&lt;&gt;"Free Game",'Game Records'!$U77&lt;&gt;"Disqualified — Free Game",'Game Records'!$I77=""),"Eligible Players; ","")&amp;IF(AND('Game Records'!$U77&lt;&gt;"Subscription",'Game Records'!$U77&lt;&gt;"Free Game",'Game Records'!$U77&lt;&gt;"Disqualified — Free Game",'Game Records'!$J77=""),"Total Players; ","")&amp;IF(AND(LOWER('Game Records'!$D77&amp;"")="finalized",LOWER('Game Records'!$L77&amp;"")&lt;&gt;"yes",'Game Records'!$U77&lt;&gt;"Subscription",'Game Records'!$U77&lt;&gt;"Free Game",'Game Records'!$U77&lt;&gt;"Disqualified — Free Game",'Game Records'!$K77=""),"Final Earned; ","")&amp;IF(AND(LOWER('Game Records'!$D77&amp;"")="finalized",'Game Records'!$U77&lt;&gt;"Subscription",'Game Records'!$U77&lt;&gt;"Free Game",'Game Records'!$U77&lt;&gt;"Disqualified — Free Game",OR('Game Records'!$L77="",LOWER('Game Records'!$L77&amp;"")="n/a")),"Disqualified Status; ",""))</x:f>
      </x:c>
      <x:c r="G77" s="331" t="str">
        <x:f>IF($A77="","",IFERROR('Game Records'!$M77,""))</x:f>
      </x:c>
      <x:c r="H77" s="104"/>
      <x:c r="I77" s="104"/>
      <x:c r="J77" s="104"/>
    </x:row>
    <x:row r="78" ht="15" hidden="0" customHeight="1">
      <x:c r="A78" s="332" t="str">
        <x:f>IF(OR(COUNTA('Game Records'!$A78:$M78)=0,'Game Records'!$F78="Subscription"),"",IFERROR(MAX($A$4:A77),0)+1)</x:f>
      </x:c>
      <x:c r="B78" s="332" t="str">
        <x:f>IF($A78="","","G-"&amp;TEXT(ROW('Game Records'!$A78)-4,"0000"))</x:f>
      </x:c>
      <x:c r="C78" s="331" t="str">
        <x:f>IF($A78="","",IFERROR('Game Records'!$A78,""))</x:f>
      </x:c>
      <x:c r="D78" s="331" t="str">
        <x:f>IF($A78="","",IFERROR('Game Records'!$U78,""))</x:f>
      </x:c>
      <x:c r="E78" s="331" t="str">
        <x:f>IF($A78="","",IF($F78="","No Highlighted Fields","Highlighted Fields Present"))</x:f>
      </x:c>
      <x:c r="F78" s="331" t="str">
        <x:f>IF($A78="","",IF('Game Records'!$B78="","Start Date; ","")&amp;IF('Game Records'!$C78="","End Date; ","")&amp;IF(AND('Game Records'!$U78&lt;&gt;"Subscription",'Game Records'!$U78&lt;&gt;"Free Game",'Game Records'!$U78&lt;&gt;"Disqualified — Free Game",OR('Game Records'!$D78="",LOWER('Game Records'!$D78&amp;"")="n/a")),"Entry Mode; ","")&amp;IF(AND('Game Records'!$U78&lt;&gt;"Subscription",'Game Records'!$U78&lt;&gt;"Free Game",'Game Records'!$U78&lt;&gt;"Disqualified — Free Game",OR('Game Records'!$E78="",LOWER('Game Records'!$E78&amp;"")="n/a")),"Game Type; ","")&amp;IF('Game Records'!$F78="","Payment Type; ","")&amp;IF(AND('Game Records'!$U78&lt;&gt;"Subscription",'Game Records'!$U78&lt;&gt;"Free Game",'Game Records'!$U78&lt;&gt;"Disqualified — Free Game",'Game Records'!$G78=""),"Gross Pot; ","")&amp;IF(AND('Game Records'!$U78&lt;&gt;"Free Game",'Game Records'!$U78&lt;&gt;"Disqualified — Free Game",'Game Records'!$H78=""),"Entry Fee; ","")&amp;IF(AND('Game Records'!$U78&lt;&gt;"Subscription",'Game Records'!$U78&lt;&gt;"Free Game",'Game Records'!$U78&lt;&gt;"Disqualified — Free Game",'Game Records'!$I78=""),"Eligible Players; ","")&amp;IF(AND('Game Records'!$U78&lt;&gt;"Subscription",'Game Records'!$U78&lt;&gt;"Free Game",'Game Records'!$U78&lt;&gt;"Disqualified — Free Game",'Game Records'!$J78=""),"Total Players; ","")&amp;IF(AND(LOWER('Game Records'!$D78&amp;"")="finalized",LOWER('Game Records'!$L78&amp;"")&lt;&gt;"yes",'Game Records'!$U78&lt;&gt;"Subscription",'Game Records'!$U78&lt;&gt;"Free Game",'Game Records'!$U78&lt;&gt;"Disqualified — Free Game",'Game Records'!$K78=""),"Final Earned; ","")&amp;IF(AND(LOWER('Game Records'!$D78&amp;"")="finalized",'Game Records'!$U78&lt;&gt;"Subscription",'Game Records'!$U78&lt;&gt;"Free Game",'Game Records'!$U78&lt;&gt;"Disqualified — Free Game",OR('Game Records'!$L78="",LOWER('Game Records'!$L78&amp;"")="n/a")),"Disqualified Status; ",""))</x:f>
      </x:c>
      <x:c r="G78" s="331" t="str">
        <x:f>IF($A78="","",IFERROR('Game Records'!$M78,""))</x:f>
      </x:c>
      <x:c r="H78" s="104"/>
      <x:c r="I78" s="104"/>
      <x:c r="J78" s="104"/>
    </x:row>
    <x:row r="79" ht="15" hidden="0" customHeight="1">
      <x:c r="A79" s="332" t="str">
        <x:f>IF(OR(COUNTA('Game Records'!$A79:$M79)=0,'Game Records'!$F79="Subscription"),"",IFERROR(MAX($A$4:A78),0)+1)</x:f>
      </x:c>
      <x:c r="B79" s="332" t="str">
        <x:f>IF($A79="","","G-"&amp;TEXT(ROW('Game Records'!$A79)-4,"0000"))</x:f>
      </x:c>
      <x:c r="C79" s="331" t="str">
        <x:f>IF($A79="","",IFERROR('Game Records'!$A79,""))</x:f>
      </x:c>
      <x:c r="D79" s="331" t="str">
        <x:f>IF($A79="","",IFERROR('Game Records'!$U79,""))</x:f>
      </x:c>
      <x:c r="E79" s="331" t="str">
        <x:f>IF($A79="","",IF($F79="","No Highlighted Fields","Highlighted Fields Present"))</x:f>
      </x:c>
      <x:c r="F79" s="331" t="str">
        <x:f>IF($A79="","",IF('Game Records'!$B79="","Start Date; ","")&amp;IF('Game Records'!$C79="","End Date; ","")&amp;IF(AND('Game Records'!$U79&lt;&gt;"Subscription",'Game Records'!$U79&lt;&gt;"Free Game",'Game Records'!$U79&lt;&gt;"Disqualified — Free Game",OR('Game Records'!$D79="",LOWER('Game Records'!$D79&amp;"")="n/a")),"Entry Mode; ","")&amp;IF(AND('Game Records'!$U79&lt;&gt;"Subscription",'Game Records'!$U79&lt;&gt;"Free Game",'Game Records'!$U79&lt;&gt;"Disqualified — Free Game",OR('Game Records'!$E79="",LOWER('Game Records'!$E79&amp;"")="n/a")),"Game Type; ","")&amp;IF('Game Records'!$F79="","Payment Type; ","")&amp;IF(AND('Game Records'!$U79&lt;&gt;"Subscription",'Game Records'!$U79&lt;&gt;"Free Game",'Game Records'!$U79&lt;&gt;"Disqualified — Free Game",'Game Records'!$G79=""),"Gross Pot; ","")&amp;IF(AND('Game Records'!$U79&lt;&gt;"Free Game",'Game Records'!$U79&lt;&gt;"Disqualified — Free Game",'Game Records'!$H79=""),"Entry Fee; ","")&amp;IF(AND('Game Records'!$U79&lt;&gt;"Subscription",'Game Records'!$U79&lt;&gt;"Free Game",'Game Records'!$U79&lt;&gt;"Disqualified — Free Game",'Game Records'!$I79=""),"Eligible Players; ","")&amp;IF(AND('Game Records'!$U79&lt;&gt;"Subscription",'Game Records'!$U79&lt;&gt;"Free Game",'Game Records'!$U79&lt;&gt;"Disqualified — Free Game",'Game Records'!$J79=""),"Total Players; ","")&amp;IF(AND(LOWER('Game Records'!$D79&amp;"")="finalized",LOWER('Game Records'!$L79&amp;"")&lt;&gt;"yes",'Game Records'!$U79&lt;&gt;"Subscription",'Game Records'!$U79&lt;&gt;"Free Game",'Game Records'!$U79&lt;&gt;"Disqualified — Free Game",'Game Records'!$K79=""),"Final Earned; ","")&amp;IF(AND(LOWER('Game Records'!$D79&amp;"")="finalized",'Game Records'!$U79&lt;&gt;"Subscription",'Game Records'!$U79&lt;&gt;"Free Game",'Game Records'!$U79&lt;&gt;"Disqualified — Free Game",OR('Game Records'!$L79="",LOWER('Game Records'!$L79&amp;"")="n/a")),"Disqualified Status; ",""))</x:f>
      </x:c>
      <x:c r="G79" s="331" t="str">
        <x:f>IF($A79="","",IFERROR('Game Records'!$M79,""))</x:f>
      </x:c>
      <x:c r="H79" s="104"/>
      <x:c r="I79" s="104"/>
      <x:c r="J79" s="104"/>
    </x:row>
    <x:row r="80" ht="15" hidden="0" customHeight="1">
      <x:c r="A80" s="332" t="str">
        <x:f>IF(OR(COUNTA('Game Records'!$A80:$M80)=0,'Game Records'!$F80="Subscription"),"",IFERROR(MAX($A$4:A79),0)+1)</x:f>
      </x:c>
      <x:c r="B80" s="332" t="str">
        <x:f>IF($A80="","","G-"&amp;TEXT(ROW('Game Records'!$A80)-4,"0000"))</x:f>
      </x:c>
      <x:c r="C80" s="331" t="str">
        <x:f>IF($A80="","",IFERROR('Game Records'!$A80,""))</x:f>
      </x:c>
      <x:c r="D80" s="331" t="str">
        <x:f>IF($A80="","",IFERROR('Game Records'!$U80,""))</x:f>
      </x:c>
      <x:c r="E80" s="331" t="str">
        <x:f>IF($A80="","",IF($F80="","No Highlighted Fields","Highlighted Fields Present"))</x:f>
      </x:c>
      <x:c r="F80" s="331" t="str">
        <x:f>IF($A80="","",IF('Game Records'!$B80="","Start Date; ","")&amp;IF('Game Records'!$C80="","End Date; ","")&amp;IF(AND('Game Records'!$U80&lt;&gt;"Subscription",'Game Records'!$U80&lt;&gt;"Free Game",'Game Records'!$U80&lt;&gt;"Disqualified — Free Game",OR('Game Records'!$D80="",LOWER('Game Records'!$D80&amp;"")="n/a")),"Entry Mode; ","")&amp;IF(AND('Game Records'!$U80&lt;&gt;"Subscription",'Game Records'!$U80&lt;&gt;"Free Game",'Game Records'!$U80&lt;&gt;"Disqualified — Free Game",OR('Game Records'!$E80="",LOWER('Game Records'!$E80&amp;"")="n/a")),"Game Type; ","")&amp;IF('Game Records'!$F80="","Payment Type; ","")&amp;IF(AND('Game Records'!$U80&lt;&gt;"Subscription",'Game Records'!$U80&lt;&gt;"Free Game",'Game Records'!$U80&lt;&gt;"Disqualified — Free Game",'Game Records'!$G80=""),"Gross Pot; ","")&amp;IF(AND('Game Records'!$U80&lt;&gt;"Free Game",'Game Records'!$U80&lt;&gt;"Disqualified — Free Game",'Game Records'!$H80=""),"Entry Fee; ","")&amp;IF(AND('Game Records'!$U80&lt;&gt;"Subscription",'Game Records'!$U80&lt;&gt;"Free Game",'Game Records'!$U80&lt;&gt;"Disqualified — Free Game",'Game Records'!$I80=""),"Eligible Players; ","")&amp;IF(AND('Game Records'!$U80&lt;&gt;"Subscription",'Game Records'!$U80&lt;&gt;"Free Game",'Game Records'!$U80&lt;&gt;"Disqualified — Free Game",'Game Records'!$J80=""),"Total Players; ","")&amp;IF(AND(LOWER('Game Records'!$D80&amp;"")="finalized",LOWER('Game Records'!$L80&amp;"")&lt;&gt;"yes",'Game Records'!$U80&lt;&gt;"Subscription",'Game Records'!$U80&lt;&gt;"Free Game",'Game Records'!$U80&lt;&gt;"Disqualified — Free Game",'Game Records'!$K80=""),"Final Earned; ","")&amp;IF(AND(LOWER('Game Records'!$D80&amp;"")="finalized",'Game Records'!$U80&lt;&gt;"Subscription",'Game Records'!$U80&lt;&gt;"Free Game",'Game Records'!$U80&lt;&gt;"Disqualified — Free Game",OR('Game Records'!$L80="",LOWER('Game Records'!$L80&amp;"")="n/a")),"Disqualified Status; ",""))</x:f>
      </x:c>
      <x:c r="G80" s="331" t="str">
        <x:f>IF($A80="","",IFERROR('Game Records'!$M80,""))</x:f>
      </x:c>
      <x:c r="H80" s="104"/>
      <x:c r="I80" s="104"/>
      <x:c r="J80" s="104"/>
    </x:row>
    <x:row r="81" ht="15" hidden="0" customHeight="1">
      <x:c r="A81" s="332" t="str">
        <x:f>IF(OR(COUNTA('Game Records'!$A81:$M81)=0,'Game Records'!$F81="Subscription"),"",IFERROR(MAX($A$4:A80),0)+1)</x:f>
      </x:c>
      <x:c r="B81" s="332" t="str">
        <x:f>IF($A81="","","G-"&amp;TEXT(ROW('Game Records'!$A81)-4,"0000"))</x:f>
      </x:c>
      <x:c r="C81" s="331" t="str">
        <x:f>IF($A81="","",IFERROR('Game Records'!$A81,""))</x:f>
      </x:c>
      <x:c r="D81" s="331" t="str">
        <x:f>IF($A81="","",IFERROR('Game Records'!$U81,""))</x:f>
      </x:c>
      <x:c r="E81" s="331" t="str">
        <x:f>IF($A81="","",IF($F81="","No Highlighted Fields","Highlighted Fields Present"))</x:f>
      </x:c>
      <x:c r="F81" s="331" t="str">
        <x:f>IF($A81="","",IF('Game Records'!$B81="","Start Date; ","")&amp;IF('Game Records'!$C81="","End Date; ","")&amp;IF(AND('Game Records'!$U81&lt;&gt;"Subscription",'Game Records'!$U81&lt;&gt;"Free Game",'Game Records'!$U81&lt;&gt;"Disqualified — Free Game",OR('Game Records'!$D81="",LOWER('Game Records'!$D81&amp;"")="n/a")),"Entry Mode; ","")&amp;IF(AND('Game Records'!$U81&lt;&gt;"Subscription",'Game Records'!$U81&lt;&gt;"Free Game",'Game Records'!$U81&lt;&gt;"Disqualified — Free Game",OR('Game Records'!$E81="",LOWER('Game Records'!$E81&amp;"")="n/a")),"Game Type; ","")&amp;IF('Game Records'!$F81="","Payment Type; ","")&amp;IF(AND('Game Records'!$U81&lt;&gt;"Subscription",'Game Records'!$U81&lt;&gt;"Free Game",'Game Records'!$U81&lt;&gt;"Disqualified — Free Game",'Game Records'!$G81=""),"Gross Pot; ","")&amp;IF(AND('Game Records'!$U81&lt;&gt;"Free Game",'Game Records'!$U81&lt;&gt;"Disqualified — Free Game",'Game Records'!$H81=""),"Entry Fee; ","")&amp;IF(AND('Game Records'!$U81&lt;&gt;"Subscription",'Game Records'!$U81&lt;&gt;"Free Game",'Game Records'!$U81&lt;&gt;"Disqualified — Free Game",'Game Records'!$I81=""),"Eligible Players; ","")&amp;IF(AND('Game Records'!$U81&lt;&gt;"Subscription",'Game Records'!$U81&lt;&gt;"Free Game",'Game Records'!$U81&lt;&gt;"Disqualified — Free Game",'Game Records'!$J81=""),"Total Players; ","")&amp;IF(AND(LOWER('Game Records'!$D81&amp;"")="finalized",LOWER('Game Records'!$L81&amp;"")&lt;&gt;"yes",'Game Records'!$U81&lt;&gt;"Subscription",'Game Records'!$U81&lt;&gt;"Free Game",'Game Records'!$U81&lt;&gt;"Disqualified — Free Game",'Game Records'!$K81=""),"Final Earned; ","")&amp;IF(AND(LOWER('Game Records'!$D81&amp;"")="finalized",'Game Records'!$U81&lt;&gt;"Subscription",'Game Records'!$U81&lt;&gt;"Free Game",'Game Records'!$U81&lt;&gt;"Disqualified — Free Game",OR('Game Records'!$L81="",LOWER('Game Records'!$L81&amp;"")="n/a")),"Disqualified Status; ",""))</x:f>
      </x:c>
      <x:c r="G81" s="331" t="str">
        <x:f>IF($A81="","",IFERROR('Game Records'!$M81,""))</x:f>
      </x:c>
      <x:c r="H81" s="104"/>
      <x:c r="I81" s="104"/>
      <x:c r="J81" s="104"/>
    </x:row>
    <x:row r="82" ht="15" hidden="0" customHeight="1">
      <x:c r="A82" s="332" t="str">
        <x:f>IF(OR(COUNTA('Game Records'!$A82:$M82)=0,'Game Records'!$F82="Subscription"),"",IFERROR(MAX($A$4:A81),0)+1)</x:f>
      </x:c>
      <x:c r="B82" s="332" t="str">
        <x:f>IF($A82="","","G-"&amp;TEXT(ROW('Game Records'!$A82)-4,"0000"))</x:f>
      </x:c>
      <x:c r="C82" s="331" t="str">
        <x:f>IF($A82="","",IFERROR('Game Records'!$A82,""))</x:f>
      </x:c>
      <x:c r="D82" s="331" t="str">
        <x:f>IF($A82="","",IFERROR('Game Records'!$U82,""))</x:f>
      </x:c>
      <x:c r="E82" s="331" t="str">
        <x:f>IF($A82="","",IF($F82="","No Highlighted Fields","Highlighted Fields Present"))</x:f>
      </x:c>
      <x:c r="F82" s="331" t="str">
        <x:f>IF($A82="","",IF('Game Records'!$B82="","Start Date; ","")&amp;IF('Game Records'!$C82="","End Date; ","")&amp;IF(AND('Game Records'!$U82&lt;&gt;"Subscription",'Game Records'!$U82&lt;&gt;"Free Game",'Game Records'!$U82&lt;&gt;"Disqualified — Free Game",OR('Game Records'!$D82="",LOWER('Game Records'!$D82&amp;"")="n/a")),"Entry Mode; ","")&amp;IF(AND('Game Records'!$U82&lt;&gt;"Subscription",'Game Records'!$U82&lt;&gt;"Free Game",'Game Records'!$U82&lt;&gt;"Disqualified — Free Game",OR('Game Records'!$E82="",LOWER('Game Records'!$E82&amp;"")="n/a")),"Game Type; ","")&amp;IF('Game Records'!$F82="","Payment Type; ","")&amp;IF(AND('Game Records'!$U82&lt;&gt;"Subscription",'Game Records'!$U82&lt;&gt;"Free Game",'Game Records'!$U82&lt;&gt;"Disqualified — Free Game",'Game Records'!$G82=""),"Gross Pot; ","")&amp;IF(AND('Game Records'!$U82&lt;&gt;"Free Game",'Game Records'!$U82&lt;&gt;"Disqualified — Free Game",'Game Records'!$H82=""),"Entry Fee; ","")&amp;IF(AND('Game Records'!$U82&lt;&gt;"Subscription",'Game Records'!$U82&lt;&gt;"Free Game",'Game Records'!$U82&lt;&gt;"Disqualified — Free Game",'Game Records'!$I82=""),"Eligible Players; ","")&amp;IF(AND('Game Records'!$U82&lt;&gt;"Subscription",'Game Records'!$U82&lt;&gt;"Free Game",'Game Records'!$U82&lt;&gt;"Disqualified — Free Game",'Game Records'!$J82=""),"Total Players; ","")&amp;IF(AND(LOWER('Game Records'!$D82&amp;"")="finalized",LOWER('Game Records'!$L82&amp;"")&lt;&gt;"yes",'Game Records'!$U82&lt;&gt;"Subscription",'Game Records'!$U82&lt;&gt;"Free Game",'Game Records'!$U82&lt;&gt;"Disqualified — Free Game",'Game Records'!$K82=""),"Final Earned; ","")&amp;IF(AND(LOWER('Game Records'!$D82&amp;"")="finalized",'Game Records'!$U82&lt;&gt;"Subscription",'Game Records'!$U82&lt;&gt;"Free Game",'Game Records'!$U82&lt;&gt;"Disqualified — Free Game",OR('Game Records'!$L82="",LOWER('Game Records'!$L82&amp;"")="n/a")),"Disqualified Status; ",""))</x:f>
      </x:c>
      <x:c r="G82" s="331" t="str">
        <x:f>IF($A82="","",IFERROR('Game Records'!$M82,""))</x:f>
      </x:c>
      <x:c r="H82" s="104"/>
      <x:c r="I82" s="104"/>
      <x:c r="J82" s="104"/>
    </x:row>
    <x:row r="83" ht="15" hidden="0" customHeight="1">
      <x:c r="A83" s="332" t="str">
        <x:f>IF(OR(COUNTA('Game Records'!$A83:$M83)=0,'Game Records'!$F83="Subscription"),"",IFERROR(MAX($A$4:A82),0)+1)</x:f>
      </x:c>
      <x:c r="B83" s="332" t="str">
        <x:f>IF($A83="","","G-"&amp;TEXT(ROW('Game Records'!$A83)-4,"0000"))</x:f>
      </x:c>
      <x:c r="C83" s="331" t="str">
        <x:f>IF($A83="","",IFERROR('Game Records'!$A83,""))</x:f>
      </x:c>
      <x:c r="D83" s="331" t="str">
        <x:f>IF($A83="","",IFERROR('Game Records'!$U83,""))</x:f>
      </x:c>
      <x:c r="E83" s="331" t="str">
        <x:f>IF($A83="","",IF($F83="","No Highlighted Fields","Highlighted Fields Present"))</x:f>
      </x:c>
      <x:c r="F83" s="331" t="str">
        <x:f>IF($A83="","",IF('Game Records'!$B83="","Start Date; ","")&amp;IF('Game Records'!$C83="","End Date; ","")&amp;IF(AND('Game Records'!$U83&lt;&gt;"Subscription",'Game Records'!$U83&lt;&gt;"Free Game",'Game Records'!$U83&lt;&gt;"Disqualified — Free Game",OR('Game Records'!$D83="",LOWER('Game Records'!$D83&amp;"")="n/a")),"Entry Mode; ","")&amp;IF(AND('Game Records'!$U83&lt;&gt;"Subscription",'Game Records'!$U83&lt;&gt;"Free Game",'Game Records'!$U83&lt;&gt;"Disqualified — Free Game",OR('Game Records'!$E83="",LOWER('Game Records'!$E83&amp;"")="n/a")),"Game Type; ","")&amp;IF('Game Records'!$F83="","Payment Type; ","")&amp;IF(AND('Game Records'!$U83&lt;&gt;"Subscription",'Game Records'!$U83&lt;&gt;"Free Game",'Game Records'!$U83&lt;&gt;"Disqualified — Free Game",'Game Records'!$G83=""),"Gross Pot; ","")&amp;IF(AND('Game Records'!$U83&lt;&gt;"Free Game",'Game Records'!$U83&lt;&gt;"Disqualified — Free Game",'Game Records'!$H83=""),"Entry Fee; ","")&amp;IF(AND('Game Records'!$U83&lt;&gt;"Subscription",'Game Records'!$U83&lt;&gt;"Free Game",'Game Records'!$U83&lt;&gt;"Disqualified — Free Game",'Game Records'!$I83=""),"Eligible Players; ","")&amp;IF(AND('Game Records'!$U83&lt;&gt;"Subscription",'Game Records'!$U83&lt;&gt;"Free Game",'Game Records'!$U83&lt;&gt;"Disqualified — Free Game",'Game Records'!$J83=""),"Total Players; ","")&amp;IF(AND(LOWER('Game Records'!$D83&amp;"")="finalized",LOWER('Game Records'!$L83&amp;"")&lt;&gt;"yes",'Game Records'!$U83&lt;&gt;"Subscription",'Game Records'!$U83&lt;&gt;"Free Game",'Game Records'!$U83&lt;&gt;"Disqualified — Free Game",'Game Records'!$K83=""),"Final Earned; ","")&amp;IF(AND(LOWER('Game Records'!$D83&amp;"")="finalized",'Game Records'!$U83&lt;&gt;"Subscription",'Game Records'!$U83&lt;&gt;"Free Game",'Game Records'!$U83&lt;&gt;"Disqualified — Free Game",OR('Game Records'!$L83="",LOWER('Game Records'!$L83&amp;"")="n/a")),"Disqualified Status; ",""))</x:f>
      </x:c>
      <x:c r="G83" s="331" t="str">
        <x:f>IF($A83="","",IFERROR('Game Records'!$M83,""))</x:f>
      </x:c>
      <x:c r="H83" s="104"/>
      <x:c r="I83" s="104"/>
      <x:c r="J83" s="104"/>
    </x:row>
    <x:row r="84" ht="15" hidden="0" customHeight="1">
      <x:c r="A84" s="332" t="str">
        <x:f>IF(OR(COUNTA('Game Records'!$A84:$M84)=0,'Game Records'!$F84="Subscription"),"",IFERROR(MAX($A$4:A83),0)+1)</x:f>
      </x:c>
      <x:c r="B84" s="332" t="str">
        <x:f>IF($A84="","","G-"&amp;TEXT(ROW('Game Records'!$A84)-4,"0000"))</x:f>
      </x:c>
      <x:c r="C84" s="331" t="str">
        <x:f>IF($A84="","",IFERROR('Game Records'!$A84,""))</x:f>
      </x:c>
      <x:c r="D84" s="331" t="str">
        <x:f>IF($A84="","",IFERROR('Game Records'!$U84,""))</x:f>
      </x:c>
      <x:c r="E84" s="331" t="str">
        <x:f>IF($A84="","",IF($F84="","No Highlighted Fields","Highlighted Fields Present"))</x:f>
      </x:c>
      <x:c r="F84" s="331" t="str">
        <x:f>IF($A84="","",IF('Game Records'!$B84="","Start Date; ","")&amp;IF('Game Records'!$C84="","End Date; ","")&amp;IF(AND('Game Records'!$U84&lt;&gt;"Subscription",'Game Records'!$U84&lt;&gt;"Free Game",'Game Records'!$U84&lt;&gt;"Disqualified — Free Game",OR('Game Records'!$D84="",LOWER('Game Records'!$D84&amp;"")="n/a")),"Entry Mode; ","")&amp;IF(AND('Game Records'!$U84&lt;&gt;"Subscription",'Game Records'!$U84&lt;&gt;"Free Game",'Game Records'!$U84&lt;&gt;"Disqualified — Free Game",OR('Game Records'!$E84="",LOWER('Game Records'!$E84&amp;"")="n/a")),"Game Type; ","")&amp;IF('Game Records'!$F84="","Payment Type; ","")&amp;IF(AND('Game Records'!$U84&lt;&gt;"Subscription",'Game Records'!$U84&lt;&gt;"Free Game",'Game Records'!$U84&lt;&gt;"Disqualified — Free Game",'Game Records'!$G84=""),"Gross Pot; ","")&amp;IF(AND('Game Records'!$U84&lt;&gt;"Free Game",'Game Records'!$U84&lt;&gt;"Disqualified — Free Game",'Game Records'!$H84=""),"Entry Fee; ","")&amp;IF(AND('Game Records'!$U84&lt;&gt;"Subscription",'Game Records'!$U84&lt;&gt;"Free Game",'Game Records'!$U84&lt;&gt;"Disqualified — Free Game",'Game Records'!$I84=""),"Eligible Players; ","")&amp;IF(AND('Game Records'!$U84&lt;&gt;"Subscription",'Game Records'!$U84&lt;&gt;"Free Game",'Game Records'!$U84&lt;&gt;"Disqualified — Free Game",'Game Records'!$J84=""),"Total Players; ","")&amp;IF(AND(LOWER('Game Records'!$D84&amp;"")="finalized",LOWER('Game Records'!$L84&amp;"")&lt;&gt;"yes",'Game Records'!$U84&lt;&gt;"Subscription",'Game Records'!$U84&lt;&gt;"Free Game",'Game Records'!$U84&lt;&gt;"Disqualified — Free Game",'Game Records'!$K84=""),"Final Earned; ","")&amp;IF(AND(LOWER('Game Records'!$D84&amp;"")="finalized",'Game Records'!$U84&lt;&gt;"Subscription",'Game Records'!$U84&lt;&gt;"Free Game",'Game Records'!$U84&lt;&gt;"Disqualified — Free Game",OR('Game Records'!$L84="",LOWER('Game Records'!$L84&amp;"")="n/a")),"Disqualified Status; ",""))</x:f>
      </x:c>
      <x:c r="G84" s="331" t="str">
        <x:f>IF($A84="","",IFERROR('Game Records'!$M84,""))</x:f>
      </x:c>
      <x:c r="H84" s="104"/>
      <x:c r="I84" s="104"/>
      <x:c r="J84" s="104"/>
    </x:row>
    <x:row r="85" ht="15" hidden="0" customHeight="1">
      <x:c r="A85" s="332" t="str">
        <x:f>IF(OR(COUNTA('Game Records'!$A85:$M85)=0,'Game Records'!$F85="Subscription"),"",IFERROR(MAX($A$4:A84),0)+1)</x:f>
      </x:c>
      <x:c r="B85" s="332" t="str">
        <x:f>IF($A85="","","G-"&amp;TEXT(ROW('Game Records'!$A85)-4,"0000"))</x:f>
      </x:c>
      <x:c r="C85" s="331" t="str">
        <x:f>IF($A85="","",IFERROR('Game Records'!$A85,""))</x:f>
      </x:c>
      <x:c r="D85" s="331" t="str">
        <x:f>IF($A85="","",IFERROR('Game Records'!$U85,""))</x:f>
      </x:c>
      <x:c r="E85" s="331" t="str">
        <x:f>IF($A85="","",IF($F85="","No Highlighted Fields","Highlighted Fields Present"))</x:f>
      </x:c>
      <x:c r="F85" s="331" t="str">
        <x:f>IF($A85="","",IF('Game Records'!$B85="","Start Date; ","")&amp;IF('Game Records'!$C85="","End Date; ","")&amp;IF(AND('Game Records'!$U85&lt;&gt;"Subscription",'Game Records'!$U85&lt;&gt;"Free Game",'Game Records'!$U85&lt;&gt;"Disqualified — Free Game",OR('Game Records'!$D85="",LOWER('Game Records'!$D85&amp;"")="n/a")),"Entry Mode; ","")&amp;IF(AND('Game Records'!$U85&lt;&gt;"Subscription",'Game Records'!$U85&lt;&gt;"Free Game",'Game Records'!$U85&lt;&gt;"Disqualified — Free Game",OR('Game Records'!$E85="",LOWER('Game Records'!$E85&amp;"")="n/a")),"Game Type; ","")&amp;IF('Game Records'!$F85="","Payment Type; ","")&amp;IF(AND('Game Records'!$U85&lt;&gt;"Subscription",'Game Records'!$U85&lt;&gt;"Free Game",'Game Records'!$U85&lt;&gt;"Disqualified — Free Game",'Game Records'!$G85=""),"Gross Pot; ","")&amp;IF(AND('Game Records'!$U85&lt;&gt;"Free Game",'Game Records'!$U85&lt;&gt;"Disqualified — Free Game",'Game Records'!$H85=""),"Entry Fee; ","")&amp;IF(AND('Game Records'!$U85&lt;&gt;"Subscription",'Game Records'!$U85&lt;&gt;"Free Game",'Game Records'!$U85&lt;&gt;"Disqualified — Free Game",'Game Records'!$I85=""),"Eligible Players; ","")&amp;IF(AND('Game Records'!$U85&lt;&gt;"Subscription",'Game Records'!$U85&lt;&gt;"Free Game",'Game Records'!$U85&lt;&gt;"Disqualified — Free Game",'Game Records'!$J85=""),"Total Players; ","")&amp;IF(AND(LOWER('Game Records'!$D85&amp;"")="finalized",LOWER('Game Records'!$L85&amp;"")&lt;&gt;"yes",'Game Records'!$U85&lt;&gt;"Subscription",'Game Records'!$U85&lt;&gt;"Free Game",'Game Records'!$U85&lt;&gt;"Disqualified — Free Game",'Game Records'!$K85=""),"Final Earned; ","")&amp;IF(AND(LOWER('Game Records'!$D85&amp;"")="finalized",'Game Records'!$U85&lt;&gt;"Subscription",'Game Records'!$U85&lt;&gt;"Free Game",'Game Records'!$U85&lt;&gt;"Disqualified — Free Game",OR('Game Records'!$L85="",LOWER('Game Records'!$L85&amp;"")="n/a")),"Disqualified Status; ",""))</x:f>
      </x:c>
      <x:c r="G85" s="331" t="str">
        <x:f>IF($A85="","",IFERROR('Game Records'!$M85,""))</x:f>
      </x:c>
      <x:c r="H85" s="104"/>
      <x:c r="I85" s="104"/>
      <x:c r="J85" s="104"/>
    </x:row>
    <x:row r="86" ht="15" hidden="0" customHeight="1">
      <x:c r="A86" s="332" t="str">
        <x:f>IF(OR(COUNTA('Game Records'!$A86:$M86)=0,'Game Records'!$F86="Subscription"),"",IFERROR(MAX($A$4:A85),0)+1)</x:f>
      </x:c>
      <x:c r="B86" s="332" t="str">
        <x:f>IF($A86="","","G-"&amp;TEXT(ROW('Game Records'!$A86)-4,"0000"))</x:f>
      </x:c>
      <x:c r="C86" s="331" t="str">
        <x:f>IF($A86="","",IFERROR('Game Records'!$A86,""))</x:f>
      </x:c>
      <x:c r="D86" s="331" t="str">
        <x:f>IF($A86="","",IFERROR('Game Records'!$U86,""))</x:f>
      </x:c>
      <x:c r="E86" s="331" t="str">
        <x:f>IF($A86="","",IF($F86="","No Highlighted Fields","Highlighted Fields Present"))</x:f>
      </x:c>
      <x:c r="F86" s="331" t="str">
        <x:f>IF($A86="","",IF('Game Records'!$B86="","Start Date; ","")&amp;IF('Game Records'!$C86="","End Date; ","")&amp;IF(AND('Game Records'!$U86&lt;&gt;"Subscription",'Game Records'!$U86&lt;&gt;"Free Game",'Game Records'!$U86&lt;&gt;"Disqualified — Free Game",OR('Game Records'!$D86="",LOWER('Game Records'!$D86&amp;"")="n/a")),"Entry Mode; ","")&amp;IF(AND('Game Records'!$U86&lt;&gt;"Subscription",'Game Records'!$U86&lt;&gt;"Free Game",'Game Records'!$U86&lt;&gt;"Disqualified — Free Game",OR('Game Records'!$E86="",LOWER('Game Records'!$E86&amp;"")="n/a")),"Game Type; ","")&amp;IF('Game Records'!$F86="","Payment Type; ","")&amp;IF(AND('Game Records'!$U86&lt;&gt;"Subscription",'Game Records'!$U86&lt;&gt;"Free Game",'Game Records'!$U86&lt;&gt;"Disqualified — Free Game",'Game Records'!$G86=""),"Gross Pot; ","")&amp;IF(AND('Game Records'!$U86&lt;&gt;"Free Game",'Game Records'!$U86&lt;&gt;"Disqualified — Free Game",'Game Records'!$H86=""),"Entry Fee; ","")&amp;IF(AND('Game Records'!$U86&lt;&gt;"Subscription",'Game Records'!$U86&lt;&gt;"Free Game",'Game Records'!$U86&lt;&gt;"Disqualified — Free Game",'Game Records'!$I86=""),"Eligible Players; ","")&amp;IF(AND('Game Records'!$U86&lt;&gt;"Subscription",'Game Records'!$U86&lt;&gt;"Free Game",'Game Records'!$U86&lt;&gt;"Disqualified — Free Game",'Game Records'!$J86=""),"Total Players; ","")&amp;IF(AND(LOWER('Game Records'!$D86&amp;"")="finalized",LOWER('Game Records'!$L86&amp;"")&lt;&gt;"yes",'Game Records'!$U86&lt;&gt;"Subscription",'Game Records'!$U86&lt;&gt;"Free Game",'Game Records'!$U86&lt;&gt;"Disqualified — Free Game",'Game Records'!$K86=""),"Final Earned; ","")&amp;IF(AND(LOWER('Game Records'!$D86&amp;"")="finalized",'Game Records'!$U86&lt;&gt;"Subscription",'Game Records'!$U86&lt;&gt;"Free Game",'Game Records'!$U86&lt;&gt;"Disqualified — Free Game",OR('Game Records'!$L86="",LOWER('Game Records'!$L86&amp;"")="n/a")),"Disqualified Status; ",""))</x:f>
      </x:c>
      <x:c r="G86" s="331" t="str">
        <x:f>IF($A86="","",IFERROR('Game Records'!$M86,""))</x:f>
      </x:c>
      <x:c r="H86" s="104"/>
      <x:c r="I86" s="104"/>
      <x:c r="J86" s="104"/>
    </x:row>
    <x:row r="87" ht="15" hidden="0" customHeight="1">
      <x:c r="A87" s="332" t="str">
        <x:f>IF(OR(COUNTA('Game Records'!$A87:$M87)=0,'Game Records'!$F87="Subscription"),"",IFERROR(MAX($A$4:A86),0)+1)</x:f>
      </x:c>
      <x:c r="B87" s="332" t="str">
        <x:f>IF($A87="","","G-"&amp;TEXT(ROW('Game Records'!$A87)-4,"0000"))</x:f>
      </x:c>
      <x:c r="C87" s="331" t="str">
        <x:f>IF($A87="","",IFERROR('Game Records'!$A87,""))</x:f>
      </x:c>
      <x:c r="D87" s="331" t="str">
        <x:f>IF($A87="","",IFERROR('Game Records'!$U87,""))</x:f>
      </x:c>
      <x:c r="E87" s="331" t="str">
        <x:f>IF($A87="","",IF($F87="","No Highlighted Fields","Highlighted Fields Present"))</x:f>
      </x:c>
      <x:c r="F87" s="331" t="str">
        <x:f>IF($A87="","",IF('Game Records'!$B87="","Start Date; ","")&amp;IF('Game Records'!$C87="","End Date; ","")&amp;IF(AND('Game Records'!$U87&lt;&gt;"Subscription",'Game Records'!$U87&lt;&gt;"Free Game",'Game Records'!$U87&lt;&gt;"Disqualified — Free Game",OR('Game Records'!$D87="",LOWER('Game Records'!$D87&amp;"")="n/a")),"Entry Mode; ","")&amp;IF(AND('Game Records'!$U87&lt;&gt;"Subscription",'Game Records'!$U87&lt;&gt;"Free Game",'Game Records'!$U87&lt;&gt;"Disqualified — Free Game",OR('Game Records'!$E87="",LOWER('Game Records'!$E87&amp;"")="n/a")),"Game Type; ","")&amp;IF('Game Records'!$F87="","Payment Type; ","")&amp;IF(AND('Game Records'!$U87&lt;&gt;"Subscription",'Game Records'!$U87&lt;&gt;"Free Game",'Game Records'!$U87&lt;&gt;"Disqualified — Free Game",'Game Records'!$G87=""),"Gross Pot; ","")&amp;IF(AND('Game Records'!$U87&lt;&gt;"Free Game",'Game Records'!$U87&lt;&gt;"Disqualified — Free Game",'Game Records'!$H87=""),"Entry Fee; ","")&amp;IF(AND('Game Records'!$U87&lt;&gt;"Subscription",'Game Records'!$U87&lt;&gt;"Free Game",'Game Records'!$U87&lt;&gt;"Disqualified — Free Game",'Game Records'!$I87=""),"Eligible Players; ","")&amp;IF(AND('Game Records'!$U87&lt;&gt;"Subscription",'Game Records'!$U87&lt;&gt;"Free Game",'Game Records'!$U87&lt;&gt;"Disqualified — Free Game",'Game Records'!$J87=""),"Total Players; ","")&amp;IF(AND(LOWER('Game Records'!$D87&amp;"")="finalized",LOWER('Game Records'!$L87&amp;"")&lt;&gt;"yes",'Game Records'!$U87&lt;&gt;"Subscription",'Game Records'!$U87&lt;&gt;"Free Game",'Game Records'!$U87&lt;&gt;"Disqualified — Free Game",'Game Records'!$K87=""),"Final Earned; ","")&amp;IF(AND(LOWER('Game Records'!$D87&amp;"")="finalized",'Game Records'!$U87&lt;&gt;"Subscription",'Game Records'!$U87&lt;&gt;"Free Game",'Game Records'!$U87&lt;&gt;"Disqualified — Free Game",OR('Game Records'!$L87="",LOWER('Game Records'!$L87&amp;"")="n/a")),"Disqualified Status; ",""))</x:f>
      </x:c>
      <x:c r="G87" s="331" t="str">
        <x:f>IF($A87="","",IFERROR('Game Records'!$M87,""))</x:f>
      </x:c>
      <x:c r="H87" s="104"/>
      <x:c r="I87" s="104"/>
      <x:c r="J87" s="104"/>
    </x:row>
    <x:row r="88" ht="15" hidden="0" customHeight="1">
      <x:c r="A88" s="332" t="str">
        <x:f>IF(OR(COUNTA('Game Records'!$A88:$M88)=0,'Game Records'!$F88="Subscription"),"",IFERROR(MAX($A$4:A87),0)+1)</x:f>
      </x:c>
      <x:c r="B88" s="332" t="str">
        <x:f>IF($A88="","","G-"&amp;TEXT(ROW('Game Records'!$A88)-4,"0000"))</x:f>
      </x:c>
      <x:c r="C88" s="331" t="str">
        <x:f>IF($A88="","",IFERROR('Game Records'!$A88,""))</x:f>
      </x:c>
      <x:c r="D88" s="331" t="str">
        <x:f>IF($A88="","",IFERROR('Game Records'!$U88,""))</x:f>
      </x:c>
      <x:c r="E88" s="331" t="str">
        <x:f>IF($A88="","",IF($F88="","No Highlighted Fields","Highlighted Fields Present"))</x:f>
      </x:c>
      <x:c r="F88" s="331" t="str">
        <x:f>IF($A88="","",IF('Game Records'!$B88="","Start Date; ","")&amp;IF('Game Records'!$C88="","End Date; ","")&amp;IF(AND('Game Records'!$U88&lt;&gt;"Subscription",'Game Records'!$U88&lt;&gt;"Free Game",'Game Records'!$U88&lt;&gt;"Disqualified — Free Game",OR('Game Records'!$D88="",LOWER('Game Records'!$D88&amp;"")="n/a")),"Entry Mode; ","")&amp;IF(AND('Game Records'!$U88&lt;&gt;"Subscription",'Game Records'!$U88&lt;&gt;"Free Game",'Game Records'!$U88&lt;&gt;"Disqualified — Free Game",OR('Game Records'!$E88="",LOWER('Game Records'!$E88&amp;"")="n/a")),"Game Type; ","")&amp;IF('Game Records'!$F88="","Payment Type; ","")&amp;IF(AND('Game Records'!$U88&lt;&gt;"Subscription",'Game Records'!$U88&lt;&gt;"Free Game",'Game Records'!$U88&lt;&gt;"Disqualified — Free Game",'Game Records'!$G88=""),"Gross Pot; ","")&amp;IF(AND('Game Records'!$U88&lt;&gt;"Free Game",'Game Records'!$U88&lt;&gt;"Disqualified — Free Game",'Game Records'!$H88=""),"Entry Fee; ","")&amp;IF(AND('Game Records'!$U88&lt;&gt;"Subscription",'Game Records'!$U88&lt;&gt;"Free Game",'Game Records'!$U88&lt;&gt;"Disqualified — Free Game",'Game Records'!$I88=""),"Eligible Players; ","")&amp;IF(AND('Game Records'!$U88&lt;&gt;"Subscription",'Game Records'!$U88&lt;&gt;"Free Game",'Game Records'!$U88&lt;&gt;"Disqualified — Free Game",'Game Records'!$J88=""),"Total Players; ","")&amp;IF(AND(LOWER('Game Records'!$D88&amp;"")="finalized",LOWER('Game Records'!$L88&amp;"")&lt;&gt;"yes",'Game Records'!$U88&lt;&gt;"Subscription",'Game Records'!$U88&lt;&gt;"Free Game",'Game Records'!$U88&lt;&gt;"Disqualified — Free Game",'Game Records'!$K88=""),"Final Earned; ","")&amp;IF(AND(LOWER('Game Records'!$D88&amp;"")="finalized",'Game Records'!$U88&lt;&gt;"Subscription",'Game Records'!$U88&lt;&gt;"Free Game",'Game Records'!$U88&lt;&gt;"Disqualified — Free Game",OR('Game Records'!$L88="",LOWER('Game Records'!$L88&amp;"")="n/a")),"Disqualified Status; ",""))</x:f>
      </x:c>
      <x:c r="G88" s="331" t="str">
        <x:f>IF($A88="","",IFERROR('Game Records'!$M88,""))</x:f>
      </x:c>
      <x:c r="H88" s="104"/>
      <x:c r="I88" s="104"/>
      <x:c r="J88" s="104"/>
    </x:row>
    <x:row r="89" ht="15" hidden="0" customHeight="1">
      <x:c r="A89" s="332" t="str">
        <x:f>IF(OR(COUNTA('Game Records'!$A89:$M89)=0,'Game Records'!$F89="Subscription"),"",IFERROR(MAX($A$4:A88),0)+1)</x:f>
      </x:c>
      <x:c r="B89" s="332" t="str">
        <x:f>IF($A89="","","G-"&amp;TEXT(ROW('Game Records'!$A89)-4,"0000"))</x:f>
      </x:c>
      <x:c r="C89" s="331" t="str">
        <x:f>IF($A89="","",IFERROR('Game Records'!$A89,""))</x:f>
      </x:c>
      <x:c r="D89" s="331" t="str">
        <x:f>IF($A89="","",IFERROR('Game Records'!$U89,""))</x:f>
      </x:c>
      <x:c r="E89" s="331" t="str">
        <x:f>IF($A89="","",IF($F89="","No Highlighted Fields","Highlighted Fields Present"))</x:f>
      </x:c>
      <x:c r="F89" s="331" t="str">
        <x:f>IF($A89="","",IF('Game Records'!$B89="","Start Date; ","")&amp;IF('Game Records'!$C89="","End Date; ","")&amp;IF(AND('Game Records'!$U89&lt;&gt;"Subscription",'Game Records'!$U89&lt;&gt;"Free Game",'Game Records'!$U89&lt;&gt;"Disqualified — Free Game",OR('Game Records'!$D89="",LOWER('Game Records'!$D89&amp;"")="n/a")),"Entry Mode; ","")&amp;IF(AND('Game Records'!$U89&lt;&gt;"Subscription",'Game Records'!$U89&lt;&gt;"Free Game",'Game Records'!$U89&lt;&gt;"Disqualified — Free Game",OR('Game Records'!$E89="",LOWER('Game Records'!$E89&amp;"")="n/a")),"Game Type; ","")&amp;IF('Game Records'!$F89="","Payment Type; ","")&amp;IF(AND('Game Records'!$U89&lt;&gt;"Subscription",'Game Records'!$U89&lt;&gt;"Free Game",'Game Records'!$U89&lt;&gt;"Disqualified — Free Game",'Game Records'!$G89=""),"Gross Pot; ","")&amp;IF(AND('Game Records'!$U89&lt;&gt;"Free Game",'Game Records'!$U89&lt;&gt;"Disqualified — Free Game",'Game Records'!$H89=""),"Entry Fee; ","")&amp;IF(AND('Game Records'!$U89&lt;&gt;"Subscription",'Game Records'!$U89&lt;&gt;"Free Game",'Game Records'!$U89&lt;&gt;"Disqualified — Free Game",'Game Records'!$I89=""),"Eligible Players; ","")&amp;IF(AND('Game Records'!$U89&lt;&gt;"Subscription",'Game Records'!$U89&lt;&gt;"Free Game",'Game Records'!$U89&lt;&gt;"Disqualified — Free Game",'Game Records'!$J89=""),"Total Players; ","")&amp;IF(AND(LOWER('Game Records'!$D89&amp;"")="finalized",LOWER('Game Records'!$L89&amp;"")&lt;&gt;"yes",'Game Records'!$U89&lt;&gt;"Subscription",'Game Records'!$U89&lt;&gt;"Free Game",'Game Records'!$U89&lt;&gt;"Disqualified — Free Game",'Game Records'!$K89=""),"Final Earned; ","")&amp;IF(AND(LOWER('Game Records'!$D89&amp;"")="finalized",'Game Records'!$U89&lt;&gt;"Subscription",'Game Records'!$U89&lt;&gt;"Free Game",'Game Records'!$U89&lt;&gt;"Disqualified — Free Game",OR('Game Records'!$L89="",LOWER('Game Records'!$L89&amp;"")="n/a")),"Disqualified Status; ",""))</x:f>
      </x:c>
      <x:c r="G89" s="331" t="str">
        <x:f>IF($A89="","",IFERROR('Game Records'!$M89,""))</x:f>
      </x:c>
      <x:c r="H89" s="104"/>
      <x:c r="I89" s="104"/>
      <x:c r="J89" s="104"/>
    </x:row>
    <x:row r="90" ht="15" hidden="0" customHeight="1">
      <x:c r="A90" s="332" t="str">
        <x:f>IF(OR(COUNTA('Game Records'!$A90:$M90)=0,'Game Records'!$F90="Subscription"),"",IFERROR(MAX($A$4:A89),0)+1)</x:f>
      </x:c>
      <x:c r="B90" s="332" t="str">
        <x:f>IF($A90="","","G-"&amp;TEXT(ROW('Game Records'!$A90)-4,"0000"))</x:f>
      </x:c>
      <x:c r="C90" s="331" t="str">
        <x:f>IF($A90="","",IFERROR('Game Records'!$A90,""))</x:f>
      </x:c>
      <x:c r="D90" s="331" t="str">
        <x:f>IF($A90="","",IFERROR('Game Records'!$U90,""))</x:f>
      </x:c>
      <x:c r="E90" s="331" t="str">
        <x:f>IF($A90="","",IF($F90="","No Highlighted Fields","Highlighted Fields Present"))</x:f>
      </x:c>
      <x:c r="F90" s="331" t="str">
        <x:f>IF($A90="","",IF('Game Records'!$B90="","Start Date; ","")&amp;IF('Game Records'!$C90="","End Date; ","")&amp;IF(AND('Game Records'!$U90&lt;&gt;"Subscription",'Game Records'!$U90&lt;&gt;"Free Game",'Game Records'!$U90&lt;&gt;"Disqualified — Free Game",OR('Game Records'!$D90="",LOWER('Game Records'!$D90&amp;"")="n/a")),"Entry Mode; ","")&amp;IF(AND('Game Records'!$U90&lt;&gt;"Subscription",'Game Records'!$U90&lt;&gt;"Free Game",'Game Records'!$U90&lt;&gt;"Disqualified — Free Game",OR('Game Records'!$E90="",LOWER('Game Records'!$E90&amp;"")="n/a")),"Game Type; ","")&amp;IF('Game Records'!$F90="","Payment Type; ","")&amp;IF(AND('Game Records'!$U90&lt;&gt;"Subscription",'Game Records'!$U90&lt;&gt;"Free Game",'Game Records'!$U90&lt;&gt;"Disqualified — Free Game",'Game Records'!$G90=""),"Gross Pot; ","")&amp;IF(AND('Game Records'!$U90&lt;&gt;"Free Game",'Game Records'!$U90&lt;&gt;"Disqualified — Free Game",'Game Records'!$H90=""),"Entry Fee; ","")&amp;IF(AND('Game Records'!$U90&lt;&gt;"Subscription",'Game Records'!$U90&lt;&gt;"Free Game",'Game Records'!$U90&lt;&gt;"Disqualified — Free Game",'Game Records'!$I90=""),"Eligible Players; ","")&amp;IF(AND('Game Records'!$U90&lt;&gt;"Subscription",'Game Records'!$U90&lt;&gt;"Free Game",'Game Records'!$U90&lt;&gt;"Disqualified — Free Game",'Game Records'!$J90=""),"Total Players; ","")&amp;IF(AND(LOWER('Game Records'!$D90&amp;"")="finalized",LOWER('Game Records'!$L90&amp;"")&lt;&gt;"yes",'Game Records'!$U90&lt;&gt;"Subscription",'Game Records'!$U90&lt;&gt;"Free Game",'Game Records'!$U90&lt;&gt;"Disqualified — Free Game",'Game Records'!$K90=""),"Final Earned; ","")&amp;IF(AND(LOWER('Game Records'!$D90&amp;"")="finalized",'Game Records'!$U90&lt;&gt;"Subscription",'Game Records'!$U90&lt;&gt;"Free Game",'Game Records'!$U90&lt;&gt;"Disqualified — Free Game",OR('Game Records'!$L90="",LOWER('Game Records'!$L90&amp;"")="n/a")),"Disqualified Status; ",""))</x:f>
      </x:c>
      <x:c r="G90" s="331" t="str">
        <x:f>IF($A90="","",IFERROR('Game Records'!$M90,""))</x:f>
      </x:c>
      <x:c r="H90" s="104"/>
      <x:c r="I90" s="104"/>
      <x:c r="J90" s="104"/>
    </x:row>
    <x:row r="91" ht="15" hidden="0" customHeight="1">
      <x:c r="A91" s="332" t="str">
        <x:f>IF(OR(COUNTA('Game Records'!$A91:$M91)=0,'Game Records'!$F91="Subscription"),"",IFERROR(MAX($A$4:A90),0)+1)</x:f>
      </x:c>
      <x:c r="B91" s="332" t="str">
        <x:f>IF($A91="","","G-"&amp;TEXT(ROW('Game Records'!$A91)-4,"0000"))</x:f>
      </x:c>
      <x:c r="C91" s="331" t="str">
        <x:f>IF($A91="","",IFERROR('Game Records'!$A91,""))</x:f>
      </x:c>
      <x:c r="D91" s="331" t="str">
        <x:f>IF($A91="","",IFERROR('Game Records'!$U91,""))</x:f>
      </x:c>
      <x:c r="E91" s="331" t="str">
        <x:f>IF($A91="","",IF($F91="","No Highlighted Fields","Highlighted Fields Present"))</x:f>
      </x:c>
      <x:c r="F91" s="331" t="str">
        <x:f>IF($A91="","",IF('Game Records'!$B91="","Start Date; ","")&amp;IF('Game Records'!$C91="","End Date; ","")&amp;IF(AND('Game Records'!$U91&lt;&gt;"Subscription",'Game Records'!$U91&lt;&gt;"Free Game",'Game Records'!$U91&lt;&gt;"Disqualified — Free Game",OR('Game Records'!$D91="",LOWER('Game Records'!$D91&amp;"")="n/a")),"Entry Mode; ","")&amp;IF(AND('Game Records'!$U91&lt;&gt;"Subscription",'Game Records'!$U91&lt;&gt;"Free Game",'Game Records'!$U91&lt;&gt;"Disqualified — Free Game",OR('Game Records'!$E91="",LOWER('Game Records'!$E91&amp;"")="n/a")),"Game Type; ","")&amp;IF('Game Records'!$F91="","Payment Type; ","")&amp;IF(AND('Game Records'!$U91&lt;&gt;"Subscription",'Game Records'!$U91&lt;&gt;"Free Game",'Game Records'!$U91&lt;&gt;"Disqualified — Free Game",'Game Records'!$G91=""),"Gross Pot; ","")&amp;IF(AND('Game Records'!$U91&lt;&gt;"Free Game",'Game Records'!$U91&lt;&gt;"Disqualified — Free Game",'Game Records'!$H91=""),"Entry Fee; ","")&amp;IF(AND('Game Records'!$U91&lt;&gt;"Subscription",'Game Records'!$U91&lt;&gt;"Free Game",'Game Records'!$U91&lt;&gt;"Disqualified — Free Game",'Game Records'!$I91=""),"Eligible Players; ","")&amp;IF(AND('Game Records'!$U91&lt;&gt;"Subscription",'Game Records'!$U91&lt;&gt;"Free Game",'Game Records'!$U91&lt;&gt;"Disqualified — Free Game",'Game Records'!$J91=""),"Total Players; ","")&amp;IF(AND(LOWER('Game Records'!$D91&amp;"")="finalized",LOWER('Game Records'!$L91&amp;"")&lt;&gt;"yes",'Game Records'!$U91&lt;&gt;"Subscription",'Game Records'!$U91&lt;&gt;"Free Game",'Game Records'!$U91&lt;&gt;"Disqualified — Free Game",'Game Records'!$K91=""),"Final Earned; ","")&amp;IF(AND(LOWER('Game Records'!$D91&amp;"")="finalized",'Game Records'!$U91&lt;&gt;"Subscription",'Game Records'!$U91&lt;&gt;"Free Game",'Game Records'!$U91&lt;&gt;"Disqualified — Free Game",OR('Game Records'!$L91="",LOWER('Game Records'!$L91&amp;"")="n/a")),"Disqualified Status; ",""))</x:f>
      </x:c>
      <x:c r="G91" s="331" t="str">
        <x:f>IF($A91="","",IFERROR('Game Records'!$M91,""))</x:f>
      </x:c>
      <x:c r="H91" s="104"/>
      <x:c r="I91" s="104"/>
      <x:c r="J91" s="104"/>
    </x:row>
    <x:row r="92" ht="15" hidden="0" customHeight="1">
      <x:c r="A92" s="332" t="str">
        <x:f>IF(OR(COUNTA('Game Records'!$A92:$M92)=0,'Game Records'!$F92="Subscription"),"",IFERROR(MAX($A$4:A91),0)+1)</x:f>
      </x:c>
      <x:c r="B92" s="332" t="str">
        <x:f>IF($A92="","","G-"&amp;TEXT(ROW('Game Records'!$A92)-4,"0000"))</x:f>
      </x:c>
      <x:c r="C92" s="331" t="str">
        <x:f>IF($A92="","",IFERROR('Game Records'!$A92,""))</x:f>
      </x:c>
      <x:c r="D92" s="331" t="str">
        <x:f>IF($A92="","",IFERROR('Game Records'!$U92,""))</x:f>
      </x:c>
      <x:c r="E92" s="331" t="str">
        <x:f>IF($A92="","",IF($F92="","No Highlighted Fields","Highlighted Fields Present"))</x:f>
      </x:c>
      <x:c r="F92" s="331" t="str">
        <x:f>IF($A92="","",IF('Game Records'!$B92="","Start Date; ","")&amp;IF('Game Records'!$C92="","End Date; ","")&amp;IF(AND('Game Records'!$U92&lt;&gt;"Subscription",'Game Records'!$U92&lt;&gt;"Free Game",'Game Records'!$U92&lt;&gt;"Disqualified — Free Game",OR('Game Records'!$D92="",LOWER('Game Records'!$D92&amp;"")="n/a")),"Entry Mode; ","")&amp;IF(AND('Game Records'!$U92&lt;&gt;"Subscription",'Game Records'!$U92&lt;&gt;"Free Game",'Game Records'!$U92&lt;&gt;"Disqualified — Free Game",OR('Game Records'!$E92="",LOWER('Game Records'!$E92&amp;"")="n/a")),"Game Type; ","")&amp;IF('Game Records'!$F92="","Payment Type; ","")&amp;IF(AND('Game Records'!$U92&lt;&gt;"Subscription",'Game Records'!$U92&lt;&gt;"Free Game",'Game Records'!$U92&lt;&gt;"Disqualified — Free Game",'Game Records'!$G92=""),"Gross Pot; ","")&amp;IF(AND('Game Records'!$U92&lt;&gt;"Free Game",'Game Records'!$U92&lt;&gt;"Disqualified — Free Game",'Game Records'!$H92=""),"Entry Fee; ","")&amp;IF(AND('Game Records'!$U92&lt;&gt;"Subscription",'Game Records'!$U92&lt;&gt;"Free Game",'Game Records'!$U92&lt;&gt;"Disqualified — Free Game",'Game Records'!$I92=""),"Eligible Players; ","")&amp;IF(AND('Game Records'!$U92&lt;&gt;"Subscription",'Game Records'!$U92&lt;&gt;"Free Game",'Game Records'!$U92&lt;&gt;"Disqualified — Free Game",'Game Records'!$J92=""),"Total Players; ","")&amp;IF(AND(LOWER('Game Records'!$D92&amp;"")="finalized",LOWER('Game Records'!$L92&amp;"")&lt;&gt;"yes",'Game Records'!$U92&lt;&gt;"Subscription",'Game Records'!$U92&lt;&gt;"Free Game",'Game Records'!$U92&lt;&gt;"Disqualified — Free Game",'Game Records'!$K92=""),"Final Earned; ","")&amp;IF(AND(LOWER('Game Records'!$D92&amp;"")="finalized",'Game Records'!$U92&lt;&gt;"Subscription",'Game Records'!$U92&lt;&gt;"Free Game",'Game Records'!$U92&lt;&gt;"Disqualified — Free Game",OR('Game Records'!$L92="",LOWER('Game Records'!$L92&amp;"")="n/a")),"Disqualified Status; ",""))</x:f>
      </x:c>
      <x:c r="G92" s="331" t="str">
        <x:f>IF($A92="","",IFERROR('Game Records'!$M92,""))</x:f>
      </x:c>
      <x:c r="H92" s="104"/>
      <x:c r="I92" s="104"/>
      <x:c r="J92" s="104"/>
    </x:row>
    <x:row r="93" ht="15" hidden="0" customHeight="1">
      <x:c r="A93" s="332" t="str">
        <x:f>IF(OR(COUNTA('Game Records'!$A93:$M93)=0,'Game Records'!$F93="Subscription"),"",IFERROR(MAX($A$4:A92),0)+1)</x:f>
      </x:c>
      <x:c r="B93" s="332" t="str">
        <x:f>IF($A93="","","G-"&amp;TEXT(ROW('Game Records'!$A93)-4,"0000"))</x:f>
      </x:c>
      <x:c r="C93" s="331" t="str">
        <x:f>IF($A93="","",IFERROR('Game Records'!$A93,""))</x:f>
      </x:c>
      <x:c r="D93" s="331" t="str">
        <x:f>IF($A93="","",IFERROR('Game Records'!$U93,""))</x:f>
      </x:c>
      <x:c r="E93" s="331" t="str">
        <x:f>IF($A93="","",IF($F93="","No Highlighted Fields","Highlighted Fields Present"))</x:f>
      </x:c>
      <x:c r="F93" s="331" t="str">
        <x:f>IF($A93="","",IF('Game Records'!$B93="","Start Date; ","")&amp;IF('Game Records'!$C93="","End Date; ","")&amp;IF(AND('Game Records'!$U93&lt;&gt;"Subscription",'Game Records'!$U93&lt;&gt;"Free Game",'Game Records'!$U93&lt;&gt;"Disqualified — Free Game",OR('Game Records'!$D93="",LOWER('Game Records'!$D93&amp;"")="n/a")),"Entry Mode; ","")&amp;IF(AND('Game Records'!$U93&lt;&gt;"Subscription",'Game Records'!$U93&lt;&gt;"Free Game",'Game Records'!$U93&lt;&gt;"Disqualified — Free Game",OR('Game Records'!$E93="",LOWER('Game Records'!$E93&amp;"")="n/a")),"Game Type; ","")&amp;IF('Game Records'!$F93="","Payment Type; ","")&amp;IF(AND('Game Records'!$U93&lt;&gt;"Subscription",'Game Records'!$U93&lt;&gt;"Free Game",'Game Records'!$U93&lt;&gt;"Disqualified — Free Game",'Game Records'!$G93=""),"Gross Pot; ","")&amp;IF(AND('Game Records'!$U93&lt;&gt;"Free Game",'Game Records'!$U93&lt;&gt;"Disqualified — Free Game",'Game Records'!$H93=""),"Entry Fee; ","")&amp;IF(AND('Game Records'!$U93&lt;&gt;"Subscription",'Game Records'!$U93&lt;&gt;"Free Game",'Game Records'!$U93&lt;&gt;"Disqualified — Free Game",'Game Records'!$I93=""),"Eligible Players; ","")&amp;IF(AND('Game Records'!$U93&lt;&gt;"Subscription",'Game Records'!$U93&lt;&gt;"Free Game",'Game Records'!$U93&lt;&gt;"Disqualified — Free Game",'Game Records'!$J93=""),"Total Players; ","")&amp;IF(AND(LOWER('Game Records'!$D93&amp;"")="finalized",LOWER('Game Records'!$L93&amp;"")&lt;&gt;"yes",'Game Records'!$U93&lt;&gt;"Subscription",'Game Records'!$U93&lt;&gt;"Free Game",'Game Records'!$U93&lt;&gt;"Disqualified — Free Game",'Game Records'!$K93=""),"Final Earned; ","")&amp;IF(AND(LOWER('Game Records'!$D93&amp;"")="finalized",'Game Records'!$U93&lt;&gt;"Subscription",'Game Records'!$U93&lt;&gt;"Free Game",'Game Records'!$U93&lt;&gt;"Disqualified — Free Game",OR('Game Records'!$L93="",LOWER('Game Records'!$L93&amp;"")="n/a")),"Disqualified Status; ",""))</x:f>
      </x:c>
      <x:c r="G93" s="331" t="str">
        <x:f>IF($A93="","",IFERROR('Game Records'!$M93,""))</x:f>
      </x:c>
      <x:c r="H93" s="104"/>
      <x:c r="I93" s="104"/>
      <x:c r="J93" s="104"/>
    </x:row>
    <x:row r="94" ht="15" hidden="0" customHeight="1">
      <x:c r="A94" s="332" t="str">
        <x:f>IF(OR(COUNTA('Game Records'!$A94:$M94)=0,'Game Records'!$F94="Subscription"),"",IFERROR(MAX($A$4:A93),0)+1)</x:f>
      </x:c>
      <x:c r="B94" s="332" t="str">
        <x:f>IF($A94="","","G-"&amp;TEXT(ROW('Game Records'!$A94)-4,"0000"))</x:f>
      </x:c>
      <x:c r="C94" s="331" t="str">
        <x:f>IF($A94="","",IFERROR('Game Records'!$A94,""))</x:f>
      </x:c>
      <x:c r="D94" s="331" t="str">
        <x:f>IF($A94="","",IFERROR('Game Records'!$U94,""))</x:f>
      </x:c>
      <x:c r="E94" s="331" t="str">
        <x:f>IF($A94="","",IF($F94="","No Highlighted Fields","Highlighted Fields Present"))</x:f>
      </x:c>
      <x:c r="F94" s="331" t="str">
        <x:f>IF($A94="","",IF('Game Records'!$B94="","Start Date; ","")&amp;IF('Game Records'!$C94="","End Date; ","")&amp;IF(AND('Game Records'!$U94&lt;&gt;"Subscription",'Game Records'!$U94&lt;&gt;"Free Game",'Game Records'!$U94&lt;&gt;"Disqualified — Free Game",OR('Game Records'!$D94="",LOWER('Game Records'!$D94&amp;"")="n/a")),"Entry Mode; ","")&amp;IF(AND('Game Records'!$U94&lt;&gt;"Subscription",'Game Records'!$U94&lt;&gt;"Free Game",'Game Records'!$U94&lt;&gt;"Disqualified — Free Game",OR('Game Records'!$E94="",LOWER('Game Records'!$E94&amp;"")="n/a")),"Game Type; ","")&amp;IF('Game Records'!$F94="","Payment Type; ","")&amp;IF(AND('Game Records'!$U94&lt;&gt;"Subscription",'Game Records'!$U94&lt;&gt;"Free Game",'Game Records'!$U94&lt;&gt;"Disqualified — Free Game",'Game Records'!$G94=""),"Gross Pot; ","")&amp;IF(AND('Game Records'!$U94&lt;&gt;"Free Game",'Game Records'!$U94&lt;&gt;"Disqualified — Free Game",'Game Records'!$H94=""),"Entry Fee; ","")&amp;IF(AND('Game Records'!$U94&lt;&gt;"Subscription",'Game Records'!$U94&lt;&gt;"Free Game",'Game Records'!$U94&lt;&gt;"Disqualified — Free Game",'Game Records'!$I94=""),"Eligible Players; ","")&amp;IF(AND('Game Records'!$U94&lt;&gt;"Subscription",'Game Records'!$U94&lt;&gt;"Free Game",'Game Records'!$U94&lt;&gt;"Disqualified — Free Game",'Game Records'!$J94=""),"Total Players; ","")&amp;IF(AND(LOWER('Game Records'!$D94&amp;"")="finalized",LOWER('Game Records'!$L94&amp;"")&lt;&gt;"yes",'Game Records'!$U94&lt;&gt;"Subscription",'Game Records'!$U94&lt;&gt;"Free Game",'Game Records'!$U94&lt;&gt;"Disqualified — Free Game",'Game Records'!$K94=""),"Final Earned; ","")&amp;IF(AND(LOWER('Game Records'!$D94&amp;"")="finalized",'Game Records'!$U94&lt;&gt;"Subscription",'Game Records'!$U94&lt;&gt;"Free Game",'Game Records'!$U94&lt;&gt;"Disqualified — Free Game",OR('Game Records'!$L94="",LOWER('Game Records'!$L94&amp;"")="n/a")),"Disqualified Status; ",""))</x:f>
      </x:c>
      <x:c r="G94" s="331" t="str">
        <x:f>IF($A94="","",IFERROR('Game Records'!$M94,""))</x:f>
      </x:c>
      <x:c r="H94" s="104"/>
      <x:c r="I94" s="104"/>
      <x:c r="J94" s="104"/>
    </x:row>
    <x:row r="95" ht="15" hidden="0" customHeight="1">
      <x:c r="A95" s="332" t="str">
        <x:f>IF(OR(COUNTA('Game Records'!$A95:$M95)=0,'Game Records'!$F95="Subscription"),"",IFERROR(MAX($A$4:A94),0)+1)</x:f>
      </x:c>
      <x:c r="B95" s="332" t="str">
        <x:f>IF($A95="","","G-"&amp;TEXT(ROW('Game Records'!$A95)-4,"0000"))</x:f>
      </x:c>
      <x:c r="C95" s="331" t="str">
        <x:f>IF($A95="","",IFERROR('Game Records'!$A95,""))</x:f>
      </x:c>
      <x:c r="D95" s="331" t="str">
        <x:f>IF($A95="","",IFERROR('Game Records'!$U95,""))</x:f>
      </x:c>
      <x:c r="E95" s="331" t="str">
        <x:f>IF($A95="","",IF($F95="","No Highlighted Fields","Highlighted Fields Present"))</x:f>
      </x:c>
      <x:c r="F95" s="331" t="str">
        <x:f>IF($A95="","",IF('Game Records'!$B95="","Start Date; ","")&amp;IF('Game Records'!$C95="","End Date; ","")&amp;IF(AND('Game Records'!$U95&lt;&gt;"Subscription",'Game Records'!$U95&lt;&gt;"Free Game",'Game Records'!$U95&lt;&gt;"Disqualified — Free Game",OR('Game Records'!$D95="",LOWER('Game Records'!$D95&amp;"")="n/a")),"Entry Mode; ","")&amp;IF(AND('Game Records'!$U95&lt;&gt;"Subscription",'Game Records'!$U95&lt;&gt;"Free Game",'Game Records'!$U95&lt;&gt;"Disqualified — Free Game",OR('Game Records'!$E95="",LOWER('Game Records'!$E95&amp;"")="n/a")),"Game Type; ","")&amp;IF('Game Records'!$F95="","Payment Type; ","")&amp;IF(AND('Game Records'!$U95&lt;&gt;"Subscription",'Game Records'!$U95&lt;&gt;"Free Game",'Game Records'!$U95&lt;&gt;"Disqualified — Free Game",'Game Records'!$G95=""),"Gross Pot; ","")&amp;IF(AND('Game Records'!$U95&lt;&gt;"Free Game",'Game Records'!$U95&lt;&gt;"Disqualified — Free Game",'Game Records'!$H95=""),"Entry Fee; ","")&amp;IF(AND('Game Records'!$U95&lt;&gt;"Subscription",'Game Records'!$U95&lt;&gt;"Free Game",'Game Records'!$U95&lt;&gt;"Disqualified — Free Game",'Game Records'!$I95=""),"Eligible Players; ","")&amp;IF(AND('Game Records'!$U95&lt;&gt;"Subscription",'Game Records'!$U95&lt;&gt;"Free Game",'Game Records'!$U95&lt;&gt;"Disqualified — Free Game",'Game Records'!$J95=""),"Total Players; ","")&amp;IF(AND(LOWER('Game Records'!$D95&amp;"")="finalized",LOWER('Game Records'!$L95&amp;"")&lt;&gt;"yes",'Game Records'!$U95&lt;&gt;"Subscription",'Game Records'!$U95&lt;&gt;"Free Game",'Game Records'!$U95&lt;&gt;"Disqualified — Free Game",'Game Records'!$K95=""),"Final Earned; ","")&amp;IF(AND(LOWER('Game Records'!$D95&amp;"")="finalized",'Game Records'!$U95&lt;&gt;"Subscription",'Game Records'!$U95&lt;&gt;"Free Game",'Game Records'!$U95&lt;&gt;"Disqualified — Free Game",OR('Game Records'!$L95="",LOWER('Game Records'!$L95&amp;"")="n/a")),"Disqualified Status; ",""))</x:f>
      </x:c>
      <x:c r="G95" s="331" t="str">
        <x:f>IF($A95="","",IFERROR('Game Records'!$M95,""))</x:f>
      </x:c>
      <x:c r="H95" s="104"/>
      <x:c r="I95" s="104"/>
      <x:c r="J95" s="104"/>
    </x:row>
    <x:row r="96" ht="15" hidden="0" customHeight="1">
      <x:c r="A96" s="332" t="str">
        <x:f>IF(OR(COUNTA('Game Records'!$A96:$M96)=0,'Game Records'!$F96="Subscription"),"",IFERROR(MAX($A$4:A95),0)+1)</x:f>
      </x:c>
      <x:c r="B96" s="332" t="str">
        <x:f>IF($A96="","","G-"&amp;TEXT(ROW('Game Records'!$A96)-4,"0000"))</x:f>
      </x:c>
      <x:c r="C96" s="331" t="str">
        <x:f>IF($A96="","",IFERROR('Game Records'!$A96,""))</x:f>
      </x:c>
      <x:c r="D96" s="331" t="str">
        <x:f>IF($A96="","",IFERROR('Game Records'!$U96,""))</x:f>
      </x:c>
      <x:c r="E96" s="331" t="str">
        <x:f>IF($A96="","",IF($F96="","No Highlighted Fields","Highlighted Fields Present"))</x:f>
      </x:c>
      <x:c r="F96" s="331" t="str">
        <x:f>IF($A96="","",IF('Game Records'!$B96="","Start Date; ","")&amp;IF('Game Records'!$C96="","End Date; ","")&amp;IF(AND('Game Records'!$U96&lt;&gt;"Subscription",'Game Records'!$U96&lt;&gt;"Free Game",'Game Records'!$U96&lt;&gt;"Disqualified — Free Game",OR('Game Records'!$D96="",LOWER('Game Records'!$D96&amp;"")="n/a")),"Entry Mode; ","")&amp;IF(AND('Game Records'!$U96&lt;&gt;"Subscription",'Game Records'!$U96&lt;&gt;"Free Game",'Game Records'!$U96&lt;&gt;"Disqualified — Free Game",OR('Game Records'!$E96="",LOWER('Game Records'!$E96&amp;"")="n/a")),"Game Type; ","")&amp;IF('Game Records'!$F96="","Payment Type; ","")&amp;IF(AND('Game Records'!$U96&lt;&gt;"Subscription",'Game Records'!$U96&lt;&gt;"Free Game",'Game Records'!$U96&lt;&gt;"Disqualified — Free Game",'Game Records'!$G96=""),"Gross Pot; ","")&amp;IF(AND('Game Records'!$U96&lt;&gt;"Free Game",'Game Records'!$U96&lt;&gt;"Disqualified — Free Game",'Game Records'!$H96=""),"Entry Fee; ","")&amp;IF(AND('Game Records'!$U96&lt;&gt;"Subscription",'Game Records'!$U96&lt;&gt;"Free Game",'Game Records'!$U96&lt;&gt;"Disqualified — Free Game",'Game Records'!$I96=""),"Eligible Players; ","")&amp;IF(AND('Game Records'!$U96&lt;&gt;"Subscription",'Game Records'!$U96&lt;&gt;"Free Game",'Game Records'!$U96&lt;&gt;"Disqualified — Free Game",'Game Records'!$J96=""),"Total Players; ","")&amp;IF(AND(LOWER('Game Records'!$D96&amp;"")="finalized",LOWER('Game Records'!$L96&amp;"")&lt;&gt;"yes",'Game Records'!$U96&lt;&gt;"Subscription",'Game Records'!$U96&lt;&gt;"Free Game",'Game Records'!$U96&lt;&gt;"Disqualified — Free Game",'Game Records'!$K96=""),"Final Earned; ","")&amp;IF(AND(LOWER('Game Records'!$D96&amp;"")="finalized",'Game Records'!$U96&lt;&gt;"Subscription",'Game Records'!$U96&lt;&gt;"Free Game",'Game Records'!$U96&lt;&gt;"Disqualified — Free Game",OR('Game Records'!$L96="",LOWER('Game Records'!$L96&amp;"")="n/a")),"Disqualified Status; ",""))</x:f>
      </x:c>
      <x:c r="G96" s="331" t="str">
        <x:f>IF($A96="","",IFERROR('Game Records'!$M96,""))</x:f>
      </x:c>
      <x:c r="H96" s="104"/>
      <x:c r="I96" s="104"/>
      <x:c r="J96" s="104"/>
    </x:row>
    <x:row r="97" ht="15" hidden="0" customHeight="1">
      <x:c r="A97" s="332" t="str">
        <x:f>IF(OR(COUNTA('Game Records'!$A97:$M97)=0,'Game Records'!$F97="Subscription"),"",IFERROR(MAX($A$4:A96),0)+1)</x:f>
      </x:c>
      <x:c r="B97" s="332" t="str">
        <x:f>IF($A97="","","G-"&amp;TEXT(ROW('Game Records'!$A97)-4,"0000"))</x:f>
      </x:c>
      <x:c r="C97" s="331" t="str">
        <x:f>IF($A97="","",IFERROR('Game Records'!$A97,""))</x:f>
      </x:c>
      <x:c r="D97" s="331" t="str">
        <x:f>IF($A97="","",IFERROR('Game Records'!$U97,""))</x:f>
      </x:c>
      <x:c r="E97" s="331" t="str">
        <x:f>IF($A97="","",IF($F97="","No Highlighted Fields","Highlighted Fields Present"))</x:f>
      </x:c>
      <x:c r="F97" s="331" t="str">
        <x:f>IF($A97="","",IF('Game Records'!$B97="","Start Date; ","")&amp;IF('Game Records'!$C97="","End Date; ","")&amp;IF(AND('Game Records'!$U97&lt;&gt;"Subscription",'Game Records'!$U97&lt;&gt;"Free Game",'Game Records'!$U97&lt;&gt;"Disqualified — Free Game",OR('Game Records'!$D97="",LOWER('Game Records'!$D97&amp;"")="n/a")),"Entry Mode; ","")&amp;IF(AND('Game Records'!$U97&lt;&gt;"Subscription",'Game Records'!$U97&lt;&gt;"Free Game",'Game Records'!$U97&lt;&gt;"Disqualified — Free Game",OR('Game Records'!$E97="",LOWER('Game Records'!$E97&amp;"")="n/a")),"Game Type; ","")&amp;IF('Game Records'!$F97="","Payment Type; ","")&amp;IF(AND('Game Records'!$U97&lt;&gt;"Subscription",'Game Records'!$U97&lt;&gt;"Free Game",'Game Records'!$U97&lt;&gt;"Disqualified — Free Game",'Game Records'!$G97=""),"Gross Pot; ","")&amp;IF(AND('Game Records'!$U97&lt;&gt;"Free Game",'Game Records'!$U97&lt;&gt;"Disqualified — Free Game",'Game Records'!$H97=""),"Entry Fee; ","")&amp;IF(AND('Game Records'!$U97&lt;&gt;"Subscription",'Game Records'!$U97&lt;&gt;"Free Game",'Game Records'!$U97&lt;&gt;"Disqualified — Free Game",'Game Records'!$I97=""),"Eligible Players; ","")&amp;IF(AND('Game Records'!$U97&lt;&gt;"Subscription",'Game Records'!$U97&lt;&gt;"Free Game",'Game Records'!$U97&lt;&gt;"Disqualified — Free Game",'Game Records'!$J97=""),"Total Players; ","")&amp;IF(AND(LOWER('Game Records'!$D97&amp;"")="finalized",LOWER('Game Records'!$L97&amp;"")&lt;&gt;"yes",'Game Records'!$U97&lt;&gt;"Subscription",'Game Records'!$U97&lt;&gt;"Free Game",'Game Records'!$U97&lt;&gt;"Disqualified — Free Game",'Game Records'!$K97=""),"Final Earned; ","")&amp;IF(AND(LOWER('Game Records'!$D97&amp;"")="finalized",'Game Records'!$U97&lt;&gt;"Subscription",'Game Records'!$U97&lt;&gt;"Free Game",'Game Records'!$U97&lt;&gt;"Disqualified — Free Game",OR('Game Records'!$L97="",LOWER('Game Records'!$L97&amp;"")="n/a")),"Disqualified Status; ",""))</x:f>
      </x:c>
      <x:c r="G97" s="331" t="str">
        <x:f>IF($A97="","",IFERROR('Game Records'!$M97,""))</x:f>
      </x:c>
      <x:c r="H97" s="104"/>
      <x:c r="I97" s="104"/>
      <x:c r="J97" s="104"/>
    </x:row>
    <x:row r="98" ht="15" hidden="0" customHeight="1">
      <x:c r="A98" s="332" t="str">
        <x:f>IF(OR(COUNTA('Game Records'!$A98:$M98)=0,'Game Records'!$F98="Subscription"),"",IFERROR(MAX($A$4:A97),0)+1)</x:f>
      </x:c>
      <x:c r="B98" s="332" t="str">
        <x:f>IF($A98="","","G-"&amp;TEXT(ROW('Game Records'!$A98)-4,"0000"))</x:f>
      </x:c>
      <x:c r="C98" s="331" t="str">
        <x:f>IF($A98="","",IFERROR('Game Records'!$A98,""))</x:f>
      </x:c>
      <x:c r="D98" s="331" t="str">
        <x:f>IF($A98="","",IFERROR('Game Records'!$U98,""))</x:f>
      </x:c>
      <x:c r="E98" s="331" t="str">
        <x:f>IF($A98="","",IF($F98="","No Highlighted Fields","Highlighted Fields Present"))</x:f>
      </x:c>
      <x:c r="F98" s="331" t="str">
        <x:f>IF($A98="","",IF('Game Records'!$B98="","Start Date; ","")&amp;IF('Game Records'!$C98="","End Date; ","")&amp;IF(AND('Game Records'!$U98&lt;&gt;"Subscription",'Game Records'!$U98&lt;&gt;"Free Game",'Game Records'!$U98&lt;&gt;"Disqualified — Free Game",OR('Game Records'!$D98="",LOWER('Game Records'!$D98&amp;"")="n/a")),"Entry Mode; ","")&amp;IF(AND('Game Records'!$U98&lt;&gt;"Subscription",'Game Records'!$U98&lt;&gt;"Free Game",'Game Records'!$U98&lt;&gt;"Disqualified — Free Game",OR('Game Records'!$E98="",LOWER('Game Records'!$E98&amp;"")="n/a")),"Game Type; ","")&amp;IF('Game Records'!$F98="","Payment Type; ","")&amp;IF(AND('Game Records'!$U98&lt;&gt;"Subscription",'Game Records'!$U98&lt;&gt;"Free Game",'Game Records'!$U98&lt;&gt;"Disqualified — Free Game",'Game Records'!$G98=""),"Gross Pot; ","")&amp;IF(AND('Game Records'!$U98&lt;&gt;"Free Game",'Game Records'!$U98&lt;&gt;"Disqualified — Free Game",'Game Records'!$H98=""),"Entry Fee; ","")&amp;IF(AND('Game Records'!$U98&lt;&gt;"Subscription",'Game Records'!$U98&lt;&gt;"Free Game",'Game Records'!$U98&lt;&gt;"Disqualified — Free Game",'Game Records'!$I98=""),"Eligible Players; ","")&amp;IF(AND('Game Records'!$U98&lt;&gt;"Subscription",'Game Records'!$U98&lt;&gt;"Free Game",'Game Records'!$U98&lt;&gt;"Disqualified — Free Game",'Game Records'!$J98=""),"Total Players; ","")&amp;IF(AND(LOWER('Game Records'!$D98&amp;"")="finalized",LOWER('Game Records'!$L98&amp;"")&lt;&gt;"yes",'Game Records'!$U98&lt;&gt;"Subscription",'Game Records'!$U98&lt;&gt;"Free Game",'Game Records'!$U98&lt;&gt;"Disqualified — Free Game",'Game Records'!$K98=""),"Final Earned; ","")&amp;IF(AND(LOWER('Game Records'!$D98&amp;"")="finalized",'Game Records'!$U98&lt;&gt;"Subscription",'Game Records'!$U98&lt;&gt;"Free Game",'Game Records'!$U98&lt;&gt;"Disqualified — Free Game",OR('Game Records'!$L98="",LOWER('Game Records'!$L98&amp;"")="n/a")),"Disqualified Status; ",""))</x:f>
      </x:c>
      <x:c r="G98" s="331" t="str">
        <x:f>IF($A98="","",IFERROR('Game Records'!$M98,""))</x:f>
      </x:c>
      <x:c r="H98" s="104"/>
      <x:c r="I98" s="104"/>
      <x:c r="J98" s="104"/>
    </x:row>
    <x:row r="99" ht="15" hidden="0" customHeight="1">
      <x:c r="A99" s="332" t="str">
        <x:f>IF(OR(COUNTA('Game Records'!$A99:$M99)=0,'Game Records'!$F99="Subscription"),"",IFERROR(MAX($A$4:A98),0)+1)</x:f>
      </x:c>
      <x:c r="B99" s="332" t="str">
        <x:f>IF($A99="","","G-"&amp;TEXT(ROW('Game Records'!$A99)-4,"0000"))</x:f>
      </x:c>
      <x:c r="C99" s="331" t="str">
        <x:f>IF($A99="","",IFERROR('Game Records'!$A99,""))</x:f>
      </x:c>
      <x:c r="D99" s="331" t="str">
        <x:f>IF($A99="","",IFERROR('Game Records'!$U99,""))</x:f>
      </x:c>
      <x:c r="E99" s="331" t="str">
        <x:f>IF($A99="","",IF($F99="","No Highlighted Fields","Highlighted Fields Present"))</x:f>
      </x:c>
      <x:c r="F99" s="331" t="str">
        <x:f>IF($A99="","",IF('Game Records'!$B99="","Start Date; ","")&amp;IF('Game Records'!$C99="","End Date; ","")&amp;IF(AND('Game Records'!$U99&lt;&gt;"Subscription",'Game Records'!$U99&lt;&gt;"Free Game",'Game Records'!$U99&lt;&gt;"Disqualified — Free Game",OR('Game Records'!$D99="",LOWER('Game Records'!$D99&amp;"")="n/a")),"Entry Mode; ","")&amp;IF(AND('Game Records'!$U99&lt;&gt;"Subscription",'Game Records'!$U99&lt;&gt;"Free Game",'Game Records'!$U99&lt;&gt;"Disqualified — Free Game",OR('Game Records'!$E99="",LOWER('Game Records'!$E99&amp;"")="n/a")),"Game Type; ","")&amp;IF('Game Records'!$F99="","Payment Type; ","")&amp;IF(AND('Game Records'!$U99&lt;&gt;"Subscription",'Game Records'!$U99&lt;&gt;"Free Game",'Game Records'!$U99&lt;&gt;"Disqualified — Free Game",'Game Records'!$G99=""),"Gross Pot; ","")&amp;IF(AND('Game Records'!$U99&lt;&gt;"Free Game",'Game Records'!$U99&lt;&gt;"Disqualified — Free Game",'Game Records'!$H99=""),"Entry Fee; ","")&amp;IF(AND('Game Records'!$U99&lt;&gt;"Subscription",'Game Records'!$U99&lt;&gt;"Free Game",'Game Records'!$U99&lt;&gt;"Disqualified — Free Game",'Game Records'!$I99=""),"Eligible Players; ","")&amp;IF(AND('Game Records'!$U99&lt;&gt;"Subscription",'Game Records'!$U99&lt;&gt;"Free Game",'Game Records'!$U99&lt;&gt;"Disqualified — Free Game",'Game Records'!$J99=""),"Total Players; ","")&amp;IF(AND(LOWER('Game Records'!$D99&amp;"")="finalized",LOWER('Game Records'!$L99&amp;"")&lt;&gt;"yes",'Game Records'!$U99&lt;&gt;"Subscription",'Game Records'!$U99&lt;&gt;"Free Game",'Game Records'!$U99&lt;&gt;"Disqualified — Free Game",'Game Records'!$K99=""),"Final Earned; ","")&amp;IF(AND(LOWER('Game Records'!$D99&amp;"")="finalized",'Game Records'!$U99&lt;&gt;"Subscription",'Game Records'!$U99&lt;&gt;"Free Game",'Game Records'!$U99&lt;&gt;"Disqualified — Free Game",OR('Game Records'!$L99="",LOWER('Game Records'!$L99&amp;"")="n/a")),"Disqualified Status; ",""))</x:f>
      </x:c>
      <x:c r="G99" s="331" t="str">
        <x:f>IF($A99="","",IFERROR('Game Records'!$M99,""))</x:f>
      </x:c>
      <x:c r="H99" s="104"/>
      <x:c r="I99" s="104"/>
      <x:c r="J99" s="104"/>
    </x:row>
    <x:row r="100" ht="15" hidden="0" customHeight="1">
      <x:c r="A100" s="332" t="str">
        <x:f>IF(OR(COUNTA('Game Records'!$A100:$M100)=0,'Game Records'!$F100="Subscription"),"",IFERROR(MAX($A$4:A99),0)+1)</x:f>
      </x:c>
      <x:c r="B100" s="332" t="str">
        <x:f>IF($A100="","","G-"&amp;TEXT(ROW('Game Records'!$A100)-4,"0000"))</x:f>
      </x:c>
      <x:c r="C100" s="331" t="str">
        <x:f>IF($A100="","",IFERROR('Game Records'!$A100,""))</x:f>
      </x:c>
      <x:c r="D100" s="331" t="str">
        <x:f>IF($A100="","",IFERROR('Game Records'!$U100,""))</x:f>
      </x:c>
      <x:c r="E100" s="331" t="str">
        <x:f>IF($A100="","",IF($F100="","No Highlighted Fields","Highlighted Fields Present"))</x:f>
      </x:c>
      <x:c r="F100" s="331" t="str">
        <x:f>IF($A100="","",IF('Game Records'!$B100="","Start Date; ","")&amp;IF('Game Records'!$C100="","End Date; ","")&amp;IF(AND('Game Records'!$U100&lt;&gt;"Subscription",'Game Records'!$U100&lt;&gt;"Free Game",'Game Records'!$U100&lt;&gt;"Disqualified — Free Game",OR('Game Records'!$D100="",LOWER('Game Records'!$D100&amp;"")="n/a")),"Entry Mode; ","")&amp;IF(AND('Game Records'!$U100&lt;&gt;"Subscription",'Game Records'!$U100&lt;&gt;"Free Game",'Game Records'!$U100&lt;&gt;"Disqualified — Free Game",OR('Game Records'!$E100="",LOWER('Game Records'!$E100&amp;"")="n/a")),"Game Type; ","")&amp;IF('Game Records'!$F100="","Payment Type; ","")&amp;IF(AND('Game Records'!$U100&lt;&gt;"Subscription",'Game Records'!$U100&lt;&gt;"Free Game",'Game Records'!$U100&lt;&gt;"Disqualified — Free Game",'Game Records'!$G100=""),"Gross Pot; ","")&amp;IF(AND('Game Records'!$U100&lt;&gt;"Free Game",'Game Records'!$U100&lt;&gt;"Disqualified — Free Game",'Game Records'!$H100=""),"Entry Fee; ","")&amp;IF(AND('Game Records'!$U100&lt;&gt;"Subscription",'Game Records'!$U100&lt;&gt;"Free Game",'Game Records'!$U100&lt;&gt;"Disqualified — Free Game",'Game Records'!$I100=""),"Eligible Players; ","")&amp;IF(AND('Game Records'!$U100&lt;&gt;"Subscription",'Game Records'!$U100&lt;&gt;"Free Game",'Game Records'!$U100&lt;&gt;"Disqualified — Free Game",'Game Records'!$J100=""),"Total Players; ","")&amp;IF(AND(LOWER('Game Records'!$D100&amp;"")="finalized",LOWER('Game Records'!$L100&amp;"")&lt;&gt;"yes",'Game Records'!$U100&lt;&gt;"Subscription",'Game Records'!$U100&lt;&gt;"Free Game",'Game Records'!$U100&lt;&gt;"Disqualified — Free Game",'Game Records'!$K100=""),"Final Earned; ","")&amp;IF(AND(LOWER('Game Records'!$D100&amp;"")="finalized",'Game Records'!$U100&lt;&gt;"Subscription",'Game Records'!$U100&lt;&gt;"Free Game",'Game Records'!$U100&lt;&gt;"Disqualified — Free Game",OR('Game Records'!$L100="",LOWER('Game Records'!$L100&amp;"")="n/a")),"Disqualified Status; ",""))</x:f>
      </x:c>
      <x:c r="G100" s="331" t="str">
        <x:f>IF($A100="","",IFERROR('Game Records'!$M100,""))</x:f>
      </x:c>
      <x:c r="H100" s="104"/>
      <x:c r="I100" s="104"/>
      <x:c r="J100" s="104"/>
    </x:row>
    <x:row r="101" ht="15" hidden="0" customHeight="1">
      <x:c r="A101" s="332" t="str">
        <x:f>IF(OR(COUNTA('Game Records'!$A101:$M101)=0,'Game Records'!$F101="Subscription"),"",IFERROR(MAX($A$4:A100),0)+1)</x:f>
      </x:c>
      <x:c r="B101" s="332" t="str">
        <x:f>IF($A101="","","G-"&amp;TEXT(ROW('Game Records'!$A101)-4,"0000"))</x:f>
      </x:c>
      <x:c r="C101" s="331" t="str">
        <x:f>IF($A101="","",IFERROR('Game Records'!$A101,""))</x:f>
      </x:c>
      <x:c r="D101" s="331" t="str">
        <x:f>IF($A101="","",IFERROR('Game Records'!$U101,""))</x:f>
      </x:c>
      <x:c r="E101" s="331" t="str">
        <x:f>IF($A101="","",IF($F101="","No Highlighted Fields","Highlighted Fields Present"))</x:f>
      </x:c>
      <x:c r="F101" s="331" t="str">
        <x:f>IF($A101="","",IF('Game Records'!$B101="","Start Date; ","")&amp;IF('Game Records'!$C101="","End Date; ","")&amp;IF(AND('Game Records'!$U101&lt;&gt;"Subscription",'Game Records'!$U101&lt;&gt;"Free Game",'Game Records'!$U101&lt;&gt;"Disqualified — Free Game",OR('Game Records'!$D101="",LOWER('Game Records'!$D101&amp;"")="n/a")),"Entry Mode; ","")&amp;IF(AND('Game Records'!$U101&lt;&gt;"Subscription",'Game Records'!$U101&lt;&gt;"Free Game",'Game Records'!$U101&lt;&gt;"Disqualified — Free Game",OR('Game Records'!$E101="",LOWER('Game Records'!$E101&amp;"")="n/a")),"Game Type; ","")&amp;IF('Game Records'!$F101="","Payment Type; ","")&amp;IF(AND('Game Records'!$U101&lt;&gt;"Subscription",'Game Records'!$U101&lt;&gt;"Free Game",'Game Records'!$U101&lt;&gt;"Disqualified — Free Game",'Game Records'!$G101=""),"Gross Pot; ","")&amp;IF(AND('Game Records'!$U101&lt;&gt;"Free Game",'Game Records'!$U101&lt;&gt;"Disqualified — Free Game",'Game Records'!$H101=""),"Entry Fee; ","")&amp;IF(AND('Game Records'!$U101&lt;&gt;"Subscription",'Game Records'!$U101&lt;&gt;"Free Game",'Game Records'!$U101&lt;&gt;"Disqualified — Free Game",'Game Records'!$I101=""),"Eligible Players; ","")&amp;IF(AND('Game Records'!$U101&lt;&gt;"Subscription",'Game Records'!$U101&lt;&gt;"Free Game",'Game Records'!$U101&lt;&gt;"Disqualified — Free Game",'Game Records'!$J101=""),"Total Players; ","")&amp;IF(AND(LOWER('Game Records'!$D101&amp;"")="finalized",LOWER('Game Records'!$L101&amp;"")&lt;&gt;"yes",'Game Records'!$U101&lt;&gt;"Subscription",'Game Records'!$U101&lt;&gt;"Free Game",'Game Records'!$U101&lt;&gt;"Disqualified — Free Game",'Game Records'!$K101=""),"Final Earned; ","")&amp;IF(AND(LOWER('Game Records'!$D101&amp;"")="finalized",'Game Records'!$U101&lt;&gt;"Subscription",'Game Records'!$U101&lt;&gt;"Free Game",'Game Records'!$U101&lt;&gt;"Disqualified — Free Game",OR('Game Records'!$L101="",LOWER('Game Records'!$L101&amp;"")="n/a")),"Disqualified Status; ",""))</x:f>
      </x:c>
      <x:c r="G101" s="331" t="str">
        <x:f>IF($A101="","",IFERROR('Game Records'!$M101,""))</x:f>
      </x:c>
      <x:c r="H101" s="104"/>
      <x:c r="I101" s="104"/>
      <x:c r="J101" s="104"/>
    </x:row>
    <x:row r="102" ht="15" hidden="0" customHeight="1">
      <x:c r="A102" s="332" t="str">
        <x:f>IF(OR(COUNTA('Game Records'!$A102:$M102)=0,'Game Records'!$F102="Subscription"),"",IFERROR(MAX($A$4:A101),0)+1)</x:f>
      </x:c>
      <x:c r="B102" s="332" t="str">
        <x:f>IF($A102="","","G-"&amp;TEXT(ROW('Game Records'!$A102)-4,"0000"))</x:f>
      </x:c>
      <x:c r="C102" s="331" t="str">
        <x:f>IF($A102="","",IFERROR('Game Records'!$A102,""))</x:f>
      </x:c>
      <x:c r="D102" s="331" t="str">
        <x:f>IF($A102="","",IFERROR('Game Records'!$U102,""))</x:f>
      </x:c>
      <x:c r="E102" s="331" t="str">
        <x:f>IF($A102="","",IF($F102="","No Highlighted Fields","Highlighted Fields Present"))</x:f>
      </x:c>
      <x:c r="F102" s="331" t="str">
        <x:f>IF($A102="","",IF('Game Records'!$B102="","Start Date; ","")&amp;IF('Game Records'!$C102="","End Date; ","")&amp;IF(AND('Game Records'!$U102&lt;&gt;"Subscription",'Game Records'!$U102&lt;&gt;"Free Game",'Game Records'!$U102&lt;&gt;"Disqualified — Free Game",OR('Game Records'!$D102="",LOWER('Game Records'!$D102&amp;"")="n/a")),"Entry Mode; ","")&amp;IF(AND('Game Records'!$U102&lt;&gt;"Subscription",'Game Records'!$U102&lt;&gt;"Free Game",'Game Records'!$U102&lt;&gt;"Disqualified — Free Game",OR('Game Records'!$E102="",LOWER('Game Records'!$E102&amp;"")="n/a")),"Game Type; ","")&amp;IF('Game Records'!$F102="","Payment Type; ","")&amp;IF(AND('Game Records'!$U102&lt;&gt;"Subscription",'Game Records'!$U102&lt;&gt;"Free Game",'Game Records'!$U102&lt;&gt;"Disqualified — Free Game",'Game Records'!$G102=""),"Gross Pot; ","")&amp;IF(AND('Game Records'!$U102&lt;&gt;"Free Game",'Game Records'!$U102&lt;&gt;"Disqualified — Free Game",'Game Records'!$H102=""),"Entry Fee; ","")&amp;IF(AND('Game Records'!$U102&lt;&gt;"Subscription",'Game Records'!$U102&lt;&gt;"Free Game",'Game Records'!$U102&lt;&gt;"Disqualified — Free Game",'Game Records'!$I102=""),"Eligible Players; ","")&amp;IF(AND('Game Records'!$U102&lt;&gt;"Subscription",'Game Records'!$U102&lt;&gt;"Free Game",'Game Records'!$U102&lt;&gt;"Disqualified — Free Game",'Game Records'!$J102=""),"Total Players; ","")&amp;IF(AND(LOWER('Game Records'!$D102&amp;"")="finalized",LOWER('Game Records'!$L102&amp;"")&lt;&gt;"yes",'Game Records'!$U102&lt;&gt;"Subscription",'Game Records'!$U102&lt;&gt;"Free Game",'Game Records'!$U102&lt;&gt;"Disqualified — Free Game",'Game Records'!$K102=""),"Final Earned; ","")&amp;IF(AND(LOWER('Game Records'!$D102&amp;"")="finalized",'Game Records'!$U102&lt;&gt;"Subscription",'Game Records'!$U102&lt;&gt;"Free Game",'Game Records'!$U102&lt;&gt;"Disqualified — Free Game",OR('Game Records'!$L102="",LOWER('Game Records'!$L102&amp;"")="n/a")),"Disqualified Status; ",""))</x:f>
      </x:c>
      <x:c r="G102" s="331" t="str">
        <x:f>IF($A102="","",IFERROR('Game Records'!$M102,""))</x:f>
      </x:c>
      <x:c r="H102" s="104"/>
      <x:c r="I102" s="104"/>
      <x:c r="J102" s="104"/>
    </x:row>
    <x:row r="103" ht="15" hidden="0" customHeight="1">
      <x:c r="A103" s="332" t="str">
        <x:f>IF(OR(COUNTA('Game Records'!$A103:$M103)=0,'Game Records'!$F103="Subscription"),"",IFERROR(MAX($A$4:A102),0)+1)</x:f>
      </x:c>
      <x:c r="B103" s="332" t="str">
        <x:f>IF($A103="","","G-"&amp;TEXT(ROW('Game Records'!$A103)-4,"0000"))</x:f>
      </x:c>
      <x:c r="C103" s="331" t="str">
        <x:f>IF($A103="","",IFERROR('Game Records'!$A103,""))</x:f>
      </x:c>
      <x:c r="D103" s="331" t="str">
        <x:f>IF($A103="","",IFERROR('Game Records'!$U103,""))</x:f>
      </x:c>
      <x:c r="E103" s="331" t="str">
        <x:f>IF($A103="","",IF($F103="","No Highlighted Fields","Highlighted Fields Present"))</x:f>
      </x:c>
      <x:c r="F103" s="331" t="str">
        <x:f>IF($A103="","",IF('Game Records'!$B103="","Start Date; ","")&amp;IF('Game Records'!$C103="","End Date; ","")&amp;IF(AND('Game Records'!$U103&lt;&gt;"Subscription",'Game Records'!$U103&lt;&gt;"Free Game",'Game Records'!$U103&lt;&gt;"Disqualified — Free Game",OR('Game Records'!$D103="",LOWER('Game Records'!$D103&amp;"")="n/a")),"Entry Mode; ","")&amp;IF(AND('Game Records'!$U103&lt;&gt;"Subscription",'Game Records'!$U103&lt;&gt;"Free Game",'Game Records'!$U103&lt;&gt;"Disqualified — Free Game",OR('Game Records'!$E103="",LOWER('Game Records'!$E103&amp;"")="n/a")),"Game Type; ","")&amp;IF('Game Records'!$F103="","Payment Type; ","")&amp;IF(AND('Game Records'!$U103&lt;&gt;"Subscription",'Game Records'!$U103&lt;&gt;"Free Game",'Game Records'!$U103&lt;&gt;"Disqualified — Free Game",'Game Records'!$G103=""),"Gross Pot; ","")&amp;IF(AND('Game Records'!$U103&lt;&gt;"Free Game",'Game Records'!$U103&lt;&gt;"Disqualified — Free Game",'Game Records'!$H103=""),"Entry Fee; ","")&amp;IF(AND('Game Records'!$U103&lt;&gt;"Subscription",'Game Records'!$U103&lt;&gt;"Free Game",'Game Records'!$U103&lt;&gt;"Disqualified — Free Game",'Game Records'!$I103=""),"Eligible Players; ","")&amp;IF(AND('Game Records'!$U103&lt;&gt;"Subscription",'Game Records'!$U103&lt;&gt;"Free Game",'Game Records'!$U103&lt;&gt;"Disqualified — Free Game",'Game Records'!$J103=""),"Total Players; ","")&amp;IF(AND(LOWER('Game Records'!$D103&amp;"")="finalized",LOWER('Game Records'!$L103&amp;"")&lt;&gt;"yes",'Game Records'!$U103&lt;&gt;"Subscription",'Game Records'!$U103&lt;&gt;"Free Game",'Game Records'!$U103&lt;&gt;"Disqualified — Free Game",'Game Records'!$K103=""),"Final Earned; ","")&amp;IF(AND(LOWER('Game Records'!$D103&amp;"")="finalized",'Game Records'!$U103&lt;&gt;"Subscription",'Game Records'!$U103&lt;&gt;"Free Game",'Game Records'!$U103&lt;&gt;"Disqualified — Free Game",OR('Game Records'!$L103="",LOWER('Game Records'!$L103&amp;"")="n/a")),"Disqualified Status; ",""))</x:f>
      </x:c>
      <x:c r="G103" s="331" t="str">
        <x:f>IF($A103="","",IFERROR('Game Records'!$M103,""))</x:f>
      </x:c>
      <x:c r="H103" s="104"/>
      <x:c r="I103" s="104"/>
      <x:c r="J103" s="104"/>
    </x:row>
    <x:row r="104" ht="15" hidden="0" customHeight="1">
      <x:c r="A104" s="332" t="str">
        <x:f>IF(OR(COUNTA('Game Records'!$A104:$M104)=0,'Game Records'!$F104="Subscription"),"",IFERROR(MAX($A$4:A103),0)+1)</x:f>
      </x:c>
      <x:c r="B104" s="332" t="str">
        <x:f>IF($A104="","","G-"&amp;TEXT(ROW('Game Records'!$A104)-4,"0000"))</x:f>
      </x:c>
      <x:c r="C104" s="331" t="str">
        <x:f>IF($A104="","",IFERROR('Game Records'!$A104,""))</x:f>
      </x:c>
      <x:c r="D104" s="331" t="str">
        <x:f>IF($A104="","",IFERROR('Game Records'!$U104,""))</x:f>
      </x:c>
      <x:c r="E104" s="331" t="str">
        <x:f>IF($A104="","",IF($F104="","No Highlighted Fields","Highlighted Fields Present"))</x:f>
      </x:c>
      <x:c r="F104" s="331" t="str">
        <x:f>IF($A104="","",IF('Game Records'!$B104="","Start Date; ","")&amp;IF('Game Records'!$C104="","End Date; ","")&amp;IF(AND('Game Records'!$U104&lt;&gt;"Subscription",'Game Records'!$U104&lt;&gt;"Free Game",'Game Records'!$U104&lt;&gt;"Disqualified — Free Game",OR('Game Records'!$D104="",LOWER('Game Records'!$D104&amp;"")="n/a")),"Entry Mode; ","")&amp;IF(AND('Game Records'!$U104&lt;&gt;"Subscription",'Game Records'!$U104&lt;&gt;"Free Game",'Game Records'!$U104&lt;&gt;"Disqualified — Free Game",OR('Game Records'!$E104="",LOWER('Game Records'!$E104&amp;"")="n/a")),"Game Type; ","")&amp;IF('Game Records'!$F104="","Payment Type; ","")&amp;IF(AND('Game Records'!$U104&lt;&gt;"Subscription",'Game Records'!$U104&lt;&gt;"Free Game",'Game Records'!$U104&lt;&gt;"Disqualified — Free Game",'Game Records'!$G104=""),"Gross Pot; ","")&amp;IF(AND('Game Records'!$U104&lt;&gt;"Free Game",'Game Records'!$U104&lt;&gt;"Disqualified — Free Game",'Game Records'!$H104=""),"Entry Fee; ","")&amp;IF(AND('Game Records'!$U104&lt;&gt;"Subscription",'Game Records'!$U104&lt;&gt;"Free Game",'Game Records'!$U104&lt;&gt;"Disqualified — Free Game",'Game Records'!$I104=""),"Eligible Players; ","")&amp;IF(AND('Game Records'!$U104&lt;&gt;"Subscription",'Game Records'!$U104&lt;&gt;"Free Game",'Game Records'!$U104&lt;&gt;"Disqualified — Free Game",'Game Records'!$J104=""),"Total Players; ","")&amp;IF(AND(LOWER('Game Records'!$D104&amp;"")="finalized",LOWER('Game Records'!$L104&amp;"")&lt;&gt;"yes",'Game Records'!$U104&lt;&gt;"Subscription",'Game Records'!$U104&lt;&gt;"Free Game",'Game Records'!$U104&lt;&gt;"Disqualified — Free Game",'Game Records'!$K104=""),"Final Earned; ","")&amp;IF(AND(LOWER('Game Records'!$D104&amp;"")="finalized",'Game Records'!$U104&lt;&gt;"Subscription",'Game Records'!$U104&lt;&gt;"Free Game",'Game Records'!$U104&lt;&gt;"Disqualified — Free Game",OR('Game Records'!$L104="",LOWER('Game Records'!$L104&amp;"")="n/a")),"Disqualified Status; ",""))</x:f>
      </x:c>
      <x:c r="G104" s="331" t="str">
        <x:f>IF($A104="","",IFERROR('Game Records'!$M104,""))</x:f>
      </x:c>
      <x:c r="H104" s="104"/>
      <x:c r="I104" s="104"/>
      <x:c r="J104" s="104"/>
    </x:row>
    <x:row r="105" ht="15" hidden="0" customHeight="1">
      <x:c r="A105" s="332" t="str">
        <x:f>IF(OR(COUNTA('Game Records'!$A105:$M105)=0,'Game Records'!$F105="Subscription"),"",IFERROR(MAX($A$4:A104),0)+1)</x:f>
      </x:c>
      <x:c r="B105" s="332" t="str">
        <x:f>IF($A105="","","G-"&amp;TEXT(ROW('Game Records'!$A105)-4,"0000"))</x:f>
      </x:c>
      <x:c r="C105" s="331" t="str">
        <x:f>IF($A105="","",IFERROR('Game Records'!$A105,""))</x:f>
      </x:c>
      <x:c r="D105" s="331" t="str">
        <x:f>IF($A105="","",IFERROR('Game Records'!$U105,""))</x:f>
      </x:c>
      <x:c r="E105" s="331" t="str">
        <x:f>IF($A105="","",IF($F105="","No Highlighted Fields","Highlighted Fields Present"))</x:f>
      </x:c>
      <x:c r="F105" s="331" t="str">
        <x:f>IF($A105="","",IF('Game Records'!$B105="","Start Date; ","")&amp;IF('Game Records'!$C105="","End Date; ","")&amp;IF(AND('Game Records'!$U105&lt;&gt;"Subscription",'Game Records'!$U105&lt;&gt;"Free Game",'Game Records'!$U105&lt;&gt;"Disqualified — Free Game",OR('Game Records'!$D105="",LOWER('Game Records'!$D105&amp;"")="n/a")),"Entry Mode; ","")&amp;IF(AND('Game Records'!$U105&lt;&gt;"Subscription",'Game Records'!$U105&lt;&gt;"Free Game",'Game Records'!$U105&lt;&gt;"Disqualified — Free Game",OR('Game Records'!$E105="",LOWER('Game Records'!$E105&amp;"")="n/a")),"Game Type; ","")&amp;IF('Game Records'!$F105="","Payment Type; ","")&amp;IF(AND('Game Records'!$U105&lt;&gt;"Subscription",'Game Records'!$U105&lt;&gt;"Free Game",'Game Records'!$U105&lt;&gt;"Disqualified — Free Game",'Game Records'!$G105=""),"Gross Pot; ","")&amp;IF(AND('Game Records'!$U105&lt;&gt;"Free Game",'Game Records'!$U105&lt;&gt;"Disqualified — Free Game",'Game Records'!$H105=""),"Entry Fee; ","")&amp;IF(AND('Game Records'!$U105&lt;&gt;"Subscription",'Game Records'!$U105&lt;&gt;"Free Game",'Game Records'!$U105&lt;&gt;"Disqualified — Free Game",'Game Records'!$I105=""),"Eligible Players; ","")&amp;IF(AND('Game Records'!$U105&lt;&gt;"Subscription",'Game Records'!$U105&lt;&gt;"Free Game",'Game Records'!$U105&lt;&gt;"Disqualified — Free Game",'Game Records'!$J105=""),"Total Players; ","")&amp;IF(AND(LOWER('Game Records'!$D105&amp;"")="finalized",LOWER('Game Records'!$L105&amp;"")&lt;&gt;"yes",'Game Records'!$U105&lt;&gt;"Subscription",'Game Records'!$U105&lt;&gt;"Free Game",'Game Records'!$U105&lt;&gt;"Disqualified — Free Game",'Game Records'!$K105=""),"Final Earned; ","")&amp;IF(AND(LOWER('Game Records'!$D105&amp;"")="finalized",'Game Records'!$U105&lt;&gt;"Subscription",'Game Records'!$U105&lt;&gt;"Free Game",'Game Records'!$U105&lt;&gt;"Disqualified — Free Game",OR('Game Records'!$L105="",LOWER('Game Records'!$L105&amp;"")="n/a")),"Disqualified Status; ",""))</x:f>
      </x:c>
      <x:c r="G105" s="331" t="str">
        <x:f>IF($A105="","",IFERROR('Game Records'!$M105,""))</x:f>
      </x:c>
      <x:c r="H105" s="104"/>
      <x:c r="I105" s="104"/>
      <x:c r="J105" s="104"/>
    </x:row>
    <x:row r="106" ht="15" hidden="0" customHeight="1">
      <x:c r="A106" s="332" t="str">
        <x:f>IF(OR(COUNTA('Game Records'!$A106:$M106)=0,'Game Records'!$F106="Subscription"),"",IFERROR(MAX($A$4:A105),0)+1)</x:f>
      </x:c>
      <x:c r="B106" s="332" t="str">
        <x:f>IF($A106="","","G-"&amp;TEXT(ROW('Game Records'!$A106)-4,"0000"))</x:f>
      </x:c>
      <x:c r="C106" s="331" t="str">
        <x:f>IF($A106="","",IFERROR('Game Records'!$A106,""))</x:f>
      </x:c>
      <x:c r="D106" s="331" t="str">
        <x:f>IF($A106="","",IFERROR('Game Records'!$U106,""))</x:f>
      </x:c>
      <x:c r="E106" s="331" t="str">
        <x:f>IF($A106="","",IF($F106="","No Highlighted Fields","Highlighted Fields Present"))</x:f>
      </x:c>
      <x:c r="F106" s="331" t="str">
        <x:f>IF($A106="","",IF('Game Records'!$B106="","Start Date; ","")&amp;IF('Game Records'!$C106="","End Date; ","")&amp;IF(AND('Game Records'!$U106&lt;&gt;"Subscription",'Game Records'!$U106&lt;&gt;"Free Game",'Game Records'!$U106&lt;&gt;"Disqualified — Free Game",OR('Game Records'!$D106="",LOWER('Game Records'!$D106&amp;"")="n/a")),"Entry Mode; ","")&amp;IF(AND('Game Records'!$U106&lt;&gt;"Subscription",'Game Records'!$U106&lt;&gt;"Free Game",'Game Records'!$U106&lt;&gt;"Disqualified — Free Game",OR('Game Records'!$E106="",LOWER('Game Records'!$E106&amp;"")="n/a")),"Game Type; ","")&amp;IF('Game Records'!$F106="","Payment Type; ","")&amp;IF(AND('Game Records'!$U106&lt;&gt;"Subscription",'Game Records'!$U106&lt;&gt;"Free Game",'Game Records'!$U106&lt;&gt;"Disqualified — Free Game",'Game Records'!$G106=""),"Gross Pot; ","")&amp;IF(AND('Game Records'!$U106&lt;&gt;"Free Game",'Game Records'!$U106&lt;&gt;"Disqualified — Free Game",'Game Records'!$H106=""),"Entry Fee; ","")&amp;IF(AND('Game Records'!$U106&lt;&gt;"Subscription",'Game Records'!$U106&lt;&gt;"Free Game",'Game Records'!$U106&lt;&gt;"Disqualified — Free Game",'Game Records'!$I106=""),"Eligible Players; ","")&amp;IF(AND('Game Records'!$U106&lt;&gt;"Subscription",'Game Records'!$U106&lt;&gt;"Free Game",'Game Records'!$U106&lt;&gt;"Disqualified — Free Game",'Game Records'!$J106=""),"Total Players; ","")&amp;IF(AND(LOWER('Game Records'!$D106&amp;"")="finalized",LOWER('Game Records'!$L106&amp;"")&lt;&gt;"yes",'Game Records'!$U106&lt;&gt;"Subscription",'Game Records'!$U106&lt;&gt;"Free Game",'Game Records'!$U106&lt;&gt;"Disqualified — Free Game",'Game Records'!$K106=""),"Final Earned; ","")&amp;IF(AND(LOWER('Game Records'!$D106&amp;"")="finalized",'Game Records'!$U106&lt;&gt;"Subscription",'Game Records'!$U106&lt;&gt;"Free Game",'Game Records'!$U106&lt;&gt;"Disqualified — Free Game",OR('Game Records'!$L106="",LOWER('Game Records'!$L106&amp;"")="n/a")),"Disqualified Status; ",""))</x:f>
      </x:c>
      <x:c r="G106" s="331" t="str">
        <x:f>IF($A106="","",IFERROR('Game Records'!$M106,""))</x:f>
      </x:c>
      <x:c r="H106" s="104"/>
      <x:c r="I106" s="104"/>
      <x:c r="J106" s="104"/>
    </x:row>
    <x:row r="107" ht="15" hidden="0" customHeight="1">
      <x:c r="A107" s="332" t="str">
        <x:f>IF(OR(COUNTA('Game Records'!$A107:$M107)=0,'Game Records'!$F107="Subscription"),"",IFERROR(MAX($A$4:A106),0)+1)</x:f>
      </x:c>
      <x:c r="B107" s="332" t="str">
        <x:f>IF($A107="","","G-"&amp;TEXT(ROW('Game Records'!$A107)-4,"0000"))</x:f>
      </x:c>
      <x:c r="C107" s="331" t="str">
        <x:f>IF($A107="","",IFERROR('Game Records'!$A107,""))</x:f>
      </x:c>
      <x:c r="D107" s="331" t="str">
        <x:f>IF($A107="","",IFERROR('Game Records'!$U107,""))</x:f>
      </x:c>
      <x:c r="E107" s="331" t="str">
        <x:f>IF($A107="","",IF($F107="","No Highlighted Fields","Highlighted Fields Present"))</x:f>
      </x:c>
      <x:c r="F107" s="331" t="str">
        <x:f>IF($A107="","",IF('Game Records'!$B107="","Start Date; ","")&amp;IF('Game Records'!$C107="","End Date; ","")&amp;IF(AND('Game Records'!$U107&lt;&gt;"Subscription",'Game Records'!$U107&lt;&gt;"Free Game",'Game Records'!$U107&lt;&gt;"Disqualified — Free Game",OR('Game Records'!$D107="",LOWER('Game Records'!$D107&amp;"")="n/a")),"Entry Mode; ","")&amp;IF(AND('Game Records'!$U107&lt;&gt;"Subscription",'Game Records'!$U107&lt;&gt;"Free Game",'Game Records'!$U107&lt;&gt;"Disqualified — Free Game",OR('Game Records'!$E107="",LOWER('Game Records'!$E107&amp;"")="n/a")),"Game Type; ","")&amp;IF('Game Records'!$F107="","Payment Type; ","")&amp;IF(AND('Game Records'!$U107&lt;&gt;"Subscription",'Game Records'!$U107&lt;&gt;"Free Game",'Game Records'!$U107&lt;&gt;"Disqualified — Free Game",'Game Records'!$G107=""),"Gross Pot; ","")&amp;IF(AND('Game Records'!$U107&lt;&gt;"Free Game",'Game Records'!$U107&lt;&gt;"Disqualified — Free Game",'Game Records'!$H107=""),"Entry Fee; ","")&amp;IF(AND('Game Records'!$U107&lt;&gt;"Subscription",'Game Records'!$U107&lt;&gt;"Free Game",'Game Records'!$U107&lt;&gt;"Disqualified — Free Game",'Game Records'!$I107=""),"Eligible Players; ","")&amp;IF(AND('Game Records'!$U107&lt;&gt;"Subscription",'Game Records'!$U107&lt;&gt;"Free Game",'Game Records'!$U107&lt;&gt;"Disqualified — Free Game",'Game Records'!$J107=""),"Total Players; ","")&amp;IF(AND(LOWER('Game Records'!$D107&amp;"")="finalized",LOWER('Game Records'!$L107&amp;"")&lt;&gt;"yes",'Game Records'!$U107&lt;&gt;"Subscription",'Game Records'!$U107&lt;&gt;"Free Game",'Game Records'!$U107&lt;&gt;"Disqualified — Free Game",'Game Records'!$K107=""),"Final Earned; ","")&amp;IF(AND(LOWER('Game Records'!$D107&amp;"")="finalized",'Game Records'!$U107&lt;&gt;"Subscription",'Game Records'!$U107&lt;&gt;"Free Game",'Game Records'!$U107&lt;&gt;"Disqualified — Free Game",OR('Game Records'!$L107="",LOWER('Game Records'!$L107&amp;"")="n/a")),"Disqualified Status; ",""))</x:f>
      </x:c>
      <x:c r="G107" s="331" t="str">
        <x:f>IF($A107="","",IFERROR('Game Records'!$M107,""))</x:f>
      </x:c>
      <x:c r="H107" s="104"/>
      <x:c r="I107" s="104"/>
      <x:c r="J107" s="104"/>
    </x:row>
    <x:row r="108" ht="15" hidden="0" customHeight="1">
      <x:c r="A108" s="332" t="str">
        <x:f>IF(OR(COUNTA('Game Records'!$A108:$M108)=0,'Game Records'!$F108="Subscription"),"",IFERROR(MAX($A$4:A107),0)+1)</x:f>
      </x:c>
      <x:c r="B108" s="332" t="str">
        <x:f>IF($A108="","","G-"&amp;TEXT(ROW('Game Records'!$A108)-4,"0000"))</x:f>
      </x:c>
      <x:c r="C108" s="331" t="str">
        <x:f>IF($A108="","",IFERROR('Game Records'!$A108,""))</x:f>
      </x:c>
      <x:c r="D108" s="331" t="str">
        <x:f>IF($A108="","",IFERROR('Game Records'!$U108,""))</x:f>
      </x:c>
      <x:c r="E108" s="331" t="str">
        <x:f>IF($A108="","",IF($F108="","No Highlighted Fields","Highlighted Fields Present"))</x:f>
      </x:c>
      <x:c r="F108" s="331" t="str">
        <x:f>IF($A108="","",IF('Game Records'!$B108="","Start Date; ","")&amp;IF('Game Records'!$C108="","End Date; ","")&amp;IF(AND('Game Records'!$U108&lt;&gt;"Subscription",'Game Records'!$U108&lt;&gt;"Free Game",'Game Records'!$U108&lt;&gt;"Disqualified — Free Game",OR('Game Records'!$D108="",LOWER('Game Records'!$D108&amp;"")="n/a")),"Entry Mode; ","")&amp;IF(AND('Game Records'!$U108&lt;&gt;"Subscription",'Game Records'!$U108&lt;&gt;"Free Game",'Game Records'!$U108&lt;&gt;"Disqualified — Free Game",OR('Game Records'!$E108="",LOWER('Game Records'!$E108&amp;"")="n/a")),"Game Type; ","")&amp;IF('Game Records'!$F108="","Payment Type; ","")&amp;IF(AND('Game Records'!$U108&lt;&gt;"Subscription",'Game Records'!$U108&lt;&gt;"Free Game",'Game Records'!$U108&lt;&gt;"Disqualified — Free Game",'Game Records'!$G108=""),"Gross Pot; ","")&amp;IF(AND('Game Records'!$U108&lt;&gt;"Free Game",'Game Records'!$U108&lt;&gt;"Disqualified — Free Game",'Game Records'!$H108=""),"Entry Fee; ","")&amp;IF(AND('Game Records'!$U108&lt;&gt;"Subscription",'Game Records'!$U108&lt;&gt;"Free Game",'Game Records'!$U108&lt;&gt;"Disqualified — Free Game",'Game Records'!$I108=""),"Eligible Players; ","")&amp;IF(AND('Game Records'!$U108&lt;&gt;"Subscription",'Game Records'!$U108&lt;&gt;"Free Game",'Game Records'!$U108&lt;&gt;"Disqualified — Free Game",'Game Records'!$J108=""),"Total Players; ","")&amp;IF(AND(LOWER('Game Records'!$D108&amp;"")="finalized",LOWER('Game Records'!$L108&amp;"")&lt;&gt;"yes",'Game Records'!$U108&lt;&gt;"Subscription",'Game Records'!$U108&lt;&gt;"Free Game",'Game Records'!$U108&lt;&gt;"Disqualified — Free Game",'Game Records'!$K108=""),"Final Earned; ","")&amp;IF(AND(LOWER('Game Records'!$D108&amp;"")="finalized",'Game Records'!$U108&lt;&gt;"Subscription",'Game Records'!$U108&lt;&gt;"Free Game",'Game Records'!$U108&lt;&gt;"Disqualified — Free Game",OR('Game Records'!$L108="",LOWER('Game Records'!$L108&amp;"")="n/a")),"Disqualified Status; ",""))</x:f>
      </x:c>
      <x:c r="G108" s="331" t="str">
        <x:f>IF($A108="","",IFERROR('Game Records'!$M108,""))</x:f>
      </x:c>
      <x:c r="H108" s="104"/>
      <x:c r="I108" s="104"/>
      <x:c r="J108" s="104"/>
    </x:row>
    <x:row r="109" ht="15" hidden="0" customHeight="1">
      <x:c r="A109" s="332" t="str">
        <x:f>IF(OR(COUNTA('Game Records'!$A109:$M109)=0,'Game Records'!$F109="Subscription"),"",IFERROR(MAX($A$4:A108),0)+1)</x:f>
      </x:c>
      <x:c r="B109" s="332" t="str">
        <x:f>IF($A109="","","G-"&amp;TEXT(ROW('Game Records'!$A109)-4,"0000"))</x:f>
      </x:c>
      <x:c r="C109" s="331" t="str">
        <x:f>IF($A109="","",IFERROR('Game Records'!$A109,""))</x:f>
      </x:c>
      <x:c r="D109" s="331" t="str">
        <x:f>IF($A109="","",IFERROR('Game Records'!$U109,""))</x:f>
      </x:c>
      <x:c r="E109" s="331" t="str">
        <x:f>IF($A109="","",IF($F109="","No Highlighted Fields","Highlighted Fields Present"))</x:f>
      </x:c>
      <x:c r="F109" s="331" t="str">
        <x:f>IF($A109="","",IF('Game Records'!$B109="","Start Date; ","")&amp;IF('Game Records'!$C109="","End Date; ","")&amp;IF(AND('Game Records'!$U109&lt;&gt;"Subscription",'Game Records'!$U109&lt;&gt;"Free Game",'Game Records'!$U109&lt;&gt;"Disqualified — Free Game",OR('Game Records'!$D109="",LOWER('Game Records'!$D109&amp;"")="n/a")),"Entry Mode; ","")&amp;IF(AND('Game Records'!$U109&lt;&gt;"Subscription",'Game Records'!$U109&lt;&gt;"Free Game",'Game Records'!$U109&lt;&gt;"Disqualified — Free Game",OR('Game Records'!$E109="",LOWER('Game Records'!$E109&amp;"")="n/a")),"Game Type; ","")&amp;IF('Game Records'!$F109="","Payment Type; ","")&amp;IF(AND('Game Records'!$U109&lt;&gt;"Subscription",'Game Records'!$U109&lt;&gt;"Free Game",'Game Records'!$U109&lt;&gt;"Disqualified — Free Game",'Game Records'!$G109=""),"Gross Pot; ","")&amp;IF(AND('Game Records'!$U109&lt;&gt;"Free Game",'Game Records'!$U109&lt;&gt;"Disqualified — Free Game",'Game Records'!$H109=""),"Entry Fee; ","")&amp;IF(AND('Game Records'!$U109&lt;&gt;"Subscription",'Game Records'!$U109&lt;&gt;"Free Game",'Game Records'!$U109&lt;&gt;"Disqualified — Free Game",'Game Records'!$I109=""),"Eligible Players; ","")&amp;IF(AND('Game Records'!$U109&lt;&gt;"Subscription",'Game Records'!$U109&lt;&gt;"Free Game",'Game Records'!$U109&lt;&gt;"Disqualified — Free Game",'Game Records'!$J109=""),"Total Players; ","")&amp;IF(AND(LOWER('Game Records'!$D109&amp;"")="finalized",LOWER('Game Records'!$L109&amp;"")&lt;&gt;"yes",'Game Records'!$U109&lt;&gt;"Subscription",'Game Records'!$U109&lt;&gt;"Free Game",'Game Records'!$U109&lt;&gt;"Disqualified — Free Game",'Game Records'!$K109=""),"Final Earned; ","")&amp;IF(AND(LOWER('Game Records'!$D109&amp;"")="finalized",'Game Records'!$U109&lt;&gt;"Subscription",'Game Records'!$U109&lt;&gt;"Free Game",'Game Records'!$U109&lt;&gt;"Disqualified — Free Game",OR('Game Records'!$L109="",LOWER('Game Records'!$L109&amp;"")="n/a")),"Disqualified Status; ",""))</x:f>
      </x:c>
      <x:c r="G109" s="331" t="str">
        <x:f>IF($A109="","",IFERROR('Game Records'!$M109,""))</x:f>
      </x:c>
      <x:c r="H109" s="104"/>
      <x:c r="I109" s="104"/>
      <x:c r="J109" s="104"/>
    </x:row>
    <x:row r="110" ht="15" hidden="0" customHeight="1">
      <x:c r="A110" s="332" t="str">
        <x:f>IF(OR(COUNTA('Game Records'!$A110:$M110)=0,'Game Records'!$F110="Subscription"),"",IFERROR(MAX($A$4:A109),0)+1)</x:f>
      </x:c>
      <x:c r="B110" s="332" t="str">
        <x:f>IF($A110="","","G-"&amp;TEXT(ROW('Game Records'!$A110)-4,"0000"))</x:f>
      </x:c>
      <x:c r="C110" s="331" t="str">
        <x:f>IF($A110="","",IFERROR('Game Records'!$A110,""))</x:f>
      </x:c>
      <x:c r="D110" s="331" t="str">
        <x:f>IF($A110="","",IFERROR('Game Records'!$U110,""))</x:f>
      </x:c>
      <x:c r="E110" s="331" t="str">
        <x:f>IF($A110="","",IF($F110="","No Highlighted Fields","Highlighted Fields Present"))</x:f>
      </x:c>
      <x:c r="F110" s="331" t="str">
        <x:f>IF($A110="","",IF('Game Records'!$B110="","Start Date; ","")&amp;IF('Game Records'!$C110="","End Date; ","")&amp;IF(AND('Game Records'!$U110&lt;&gt;"Subscription",'Game Records'!$U110&lt;&gt;"Free Game",'Game Records'!$U110&lt;&gt;"Disqualified — Free Game",OR('Game Records'!$D110="",LOWER('Game Records'!$D110&amp;"")="n/a")),"Entry Mode; ","")&amp;IF(AND('Game Records'!$U110&lt;&gt;"Subscription",'Game Records'!$U110&lt;&gt;"Free Game",'Game Records'!$U110&lt;&gt;"Disqualified — Free Game",OR('Game Records'!$E110="",LOWER('Game Records'!$E110&amp;"")="n/a")),"Game Type; ","")&amp;IF('Game Records'!$F110="","Payment Type; ","")&amp;IF(AND('Game Records'!$U110&lt;&gt;"Subscription",'Game Records'!$U110&lt;&gt;"Free Game",'Game Records'!$U110&lt;&gt;"Disqualified — Free Game",'Game Records'!$G110=""),"Gross Pot; ","")&amp;IF(AND('Game Records'!$U110&lt;&gt;"Free Game",'Game Records'!$U110&lt;&gt;"Disqualified — Free Game",'Game Records'!$H110=""),"Entry Fee; ","")&amp;IF(AND('Game Records'!$U110&lt;&gt;"Subscription",'Game Records'!$U110&lt;&gt;"Free Game",'Game Records'!$U110&lt;&gt;"Disqualified — Free Game",'Game Records'!$I110=""),"Eligible Players; ","")&amp;IF(AND('Game Records'!$U110&lt;&gt;"Subscription",'Game Records'!$U110&lt;&gt;"Free Game",'Game Records'!$U110&lt;&gt;"Disqualified — Free Game",'Game Records'!$J110=""),"Total Players; ","")&amp;IF(AND(LOWER('Game Records'!$D110&amp;"")="finalized",LOWER('Game Records'!$L110&amp;"")&lt;&gt;"yes",'Game Records'!$U110&lt;&gt;"Subscription",'Game Records'!$U110&lt;&gt;"Free Game",'Game Records'!$U110&lt;&gt;"Disqualified — Free Game",'Game Records'!$K110=""),"Final Earned; ","")&amp;IF(AND(LOWER('Game Records'!$D110&amp;"")="finalized",'Game Records'!$U110&lt;&gt;"Subscription",'Game Records'!$U110&lt;&gt;"Free Game",'Game Records'!$U110&lt;&gt;"Disqualified — Free Game",OR('Game Records'!$L110="",LOWER('Game Records'!$L110&amp;"")="n/a")),"Disqualified Status; ",""))</x:f>
      </x:c>
      <x:c r="G110" s="331" t="str">
        <x:f>IF($A110="","",IFERROR('Game Records'!$M110,""))</x:f>
      </x:c>
      <x:c r="H110" s="104"/>
      <x:c r="I110" s="104"/>
      <x:c r="J110" s="104"/>
    </x:row>
    <x:row r="111" ht="15" hidden="0" customHeight="1">
      <x:c r="A111" s="332" t="str">
        <x:f>IF(OR(COUNTA('Game Records'!$A111:$M111)=0,'Game Records'!$F111="Subscription"),"",IFERROR(MAX($A$4:A110),0)+1)</x:f>
      </x:c>
      <x:c r="B111" s="332" t="str">
        <x:f>IF($A111="","","G-"&amp;TEXT(ROW('Game Records'!$A111)-4,"0000"))</x:f>
      </x:c>
      <x:c r="C111" s="331" t="str">
        <x:f>IF($A111="","",IFERROR('Game Records'!$A111,""))</x:f>
      </x:c>
      <x:c r="D111" s="331" t="str">
        <x:f>IF($A111="","",IFERROR('Game Records'!$U111,""))</x:f>
      </x:c>
      <x:c r="E111" s="331" t="str">
        <x:f>IF($A111="","",IF($F111="","No Highlighted Fields","Highlighted Fields Present"))</x:f>
      </x:c>
      <x:c r="F111" s="331" t="str">
        <x:f>IF($A111="","",IF('Game Records'!$B111="","Start Date; ","")&amp;IF('Game Records'!$C111="","End Date; ","")&amp;IF(AND('Game Records'!$U111&lt;&gt;"Subscription",'Game Records'!$U111&lt;&gt;"Free Game",'Game Records'!$U111&lt;&gt;"Disqualified — Free Game",OR('Game Records'!$D111="",LOWER('Game Records'!$D111&amp;"")="n/a")),"Entry Mode; ","")&amp;IF(AND('Game Records'!$U111&lt;&gt;"Subscription",'Game Records'!$U111&lt;&gt;"Free Game",'Game Records'!$U111&lt;&gt;"Disqualified — Free Game",OR('Game Records'!$E111="",LOWER('Game Records'!$E111&amp;"")="n/a")),"Game Type; ","")&amp;IF('Game Records'!$F111="","Payment Type; ","")&amp;IF(AND('Game Records'!$U111&lt;&gt;"Subscription",'Game Records'!$U111&lt;&gt;"Free Game",'Game Records'!$U111&lt;&gt;"Disqualified — Free Game",'Game Records'!$G111=""),"Gross Pot; ","")&amp;IF(AND('Game Records'!$U111&lt;&gt;"Free Game",'Game Records'!$U111&lt;&gt;"Disqualified — Free Game",'Game Records'!$H111=""),"Entry Fee; ","")&amp;IF(AND('Game Records'!$U111&lt;&gt;"Subscription",'Game Records'!$U111&lt;&gt;"Free Game",'Game Records'!$U111&lt;&gt;"Disqualified — Free Game",'Game Records'!$I111=""),"Eligible Players; ","")&amp;IF(AND('Game Records'!$U111&lt;&gt;"Subscription",'Game Records'!$U111&lt;&gt;"Free Game",'Game Records'!$U111&lt;&gt;"Disqualified — Free Game",'Game Records'!$J111=""),"Total Players; ","")&amp;IF(AND(LOWER('Game Records'!$D111&amp;"")="finalized",LOWER('Game Records'!$L111&amp;"")&lt;&gt;"yes",'Game Records'!$U111&lt;&gt;"Subscription",'Game Records'!$U111&lt;&gt;"Free Game",'Game Records'!$U111&lt;&gt;"Disqualified — Free Game",'Game Records'!$K111=""),"Final Earned; ","")&amp;IF(AND(LOWER('Game Records'!$D111&amp;"")="finalized",'Game Records'!$U111&lt;&gt;"Subscription",'Game Records'!$U111&lt;&gt;"Free Game",'Game Records'!$U111&lt;&gt;"Disqualified — Free Game",OR('Game Records'!$L111="",LOWER('Game Records'!$L111&amp;"")="n/a")),"Disqualified Status; ",""))</x:f>
      </x:c>
      <x:c r="G111" s="331" t="str">
        <x:f>IF($A111="","",IFERROR('Game Records'!$M111,""))</x:f>
      </x:c>
      <x:c r="H111" s="104"/>
      <x:c r="I111" s="104"/>
      <x:c r="J111" s="104"/>
    </x:row>
    <x:row r="112" ht="15" hidden="0" customHeight="1">
      <x:c r="A112" s="332" t="str">
        <x:f>IF(OR(COUNTA('Game Records'!$A112:$M112)=0,'Game Records'!$F112="Subscription"),"",IFERROR(MAX($A$4:A111),0)+1)</x:f>
      </x:c>
      <x:c r="B112" s="332" t="str">
        <x:f>IF($A112="","","G-"&amp;TEXT(ROW('Game Records'!$A112)-4,"0000"))</x:f>
      </x:c>
      <x:c r="C112" s="331" t="str">
        <x:f>IF($A112="","",IFERROR('Game Records'!$A112,""))</x:f>
      </x:c>
      <x:c r="D112" s="331" t="str">
        <x:f>IF($A112="","",IFERROR('Game Records'!$U112,""))</x:f>
      </x:c>
      <x:c r="E112" s="331" t="str">
        <x:f>IF($A112="","",IF($F112="","No Highlighted Fields","Highlighted Fields Present"))</x:f>
      </x:c>
      <x:c r="F112" s="331" t="str">
        <x:f>IF($A112="","",IF('Game Records'!$B112="","Start Date; ","")&amp;IF('Game Records'!$C112="","End Date; ","")&amp;IF(AND('Game Records'!$U112&lt;&gt;"Subscription",'Game Records'!$U112&lt;&gt;"Free Game",'Game Records'!$U112&lt;&gt;"Disqualified — Free Game",OR('Game Records'!$D112="",LOWER('Game Records'!$D112&amp;"")="n/a")),"Entry Mode; ","")&amp;IF(AND('Game Records'!$U112&lt;&gt;"Subscription",'Game Records'!$U112&lt;&gt;"Free Game",'Game Records'!$U112&lt;&gt;"Disqualified — Free Game",OR('Game Records'!$E112="",LOWER('Game Records'!$E112&amp;"")="n/a")),"Game Type; ","")&amp;IF('Game Records'!$F112="","Payment Type; ","")&amp;IF(AND('Game Records'!$U112&lt;&gt;"Subscription",'Game Records'!$U112&lt;&gt;"Free Game",'Game Records'!$U112&lt;&gt;"Disqualified — Free Game",'Game Records'!$G112=""),"Gross Pot; ","")&amp;IF(AND('Game Records'!$U112&lt;&gt;"Free Game",'Game Records'!$U112&lt;&gt;"Disqualified — Free Game",'Game Records'!$H112=""),"Entry Fee; ","")&amp;IF(AND('Game Records'!$U112&lt;&gt;"Subscription",'Game Records'!$U112&lt;&gt;"Free Game",'Game Records'!$U112&lt;&gt;"Disqualified — Free Game",'Game Records'!$I112=""),"Eligible Players; ","")&amp;IF(AND('Game Records'!$U112&lt;&gt;"Subscription",'Game Records'!$U112&lt;&gt;"Free Game",'Game Records'!$U112&lt;&gt;"Disqualified — Free Game",'Game Records'!$J112=""),"Total Players; ","")&amp;IF(AND(LOWER('Game Records'!$D112&amp;"")="finalized",LOWER('Game Records'!$L112&amp;"")&lt;&gt;"yes",'Game Records'!$U112&lt;&gt;"Subscription",'Game Records'!$U112&lt;&gt;"Free Game",'Game Records'!$U112&lt;&gt;"Disqualified — Free Game",'Game Records'!$K112=""),"Final Earned; ","")&amp;IF(AND(LOWER('Game Records'!$D112&amp;"")="finalized",'Game Records'!$U112&lt;&gt;"Subscription",'Game Records'!$U112&lt;&gt;"Free Game",'Game Records'!$U112&lt;&gt;"Disqualified — Free Game",OR('Game Records'!$L112="",LOWER('Game Records'!$L112&amp;"")="n/a")),"Disqualified Status; ",""))</x:f>
      </x:c>
      <x:c r="G112" s="331" t="str">
        <x:f>IF($A112="","",IFERROR('Game Records'!$M112,""))</x:f>
      </x:c>
      <x:c r="H112" s="104"/>
      <x:c r="I112" s="104"/>
      <x:c r="J112" s="104"/>
    </x:row>
    <x:row r="113" ht="15" hidden="0" customHeight="1">
      <x:c r="A113" s="332" t="str">
        <x:f>IF(OR(COUNTA('Game Records'!$A113:$M113)=0,'Game Records'!$F113="Subscription"),"",IFERROR(MAX($A$4:A112),0)+1)</x:f>
      </x:c>
      <x:c r="B113" s="332" t="str">
        <x:f>IF($A113="","","G-"&amp;TEXT(ROW('Game Records'!$A113)-4,"0000"))</x:f>
      </x:c>
      <x:c r="C113" s="331" t="str">
        <x:f>IF($A113="","",IFERROR('Game Records'!$A113,""))</x:f>
      </x:c>
      <x:c r="D113" s="331" t="str">
        <x:f>IF($A113="","",IFERROR('Game Records'!$U113,""))</x:f>
      </x:c>
      <x:c r="E113" s="331" t="str">
        <x:f>IF($A113="","",IF($F113="","No Highlighted Fields","Highlighted Fields Present"))</x:f>
      </x:c>
      <x:c r="F113" s="331" t="str">
        <x:f>IF($A113="","",IF('Game Records'!$B113="","Start Date; ","")&amp;IF('Game Records'!$C113="","End Date; ","")&amp;IF(AND('Game Records'!$U113&lt;&gt;"Subscription",'Game Records'!$U113&lt;&gt;"Free Game",'Game Records'!$U113&lt;&gt;"Disqualified — Free Game",OR('Game Records'!$D113="",LOWER('Game Records'!$D113&amp;"")="n/a")),"Entry Mode; ","")&amp;IF(AND('Game Records'!$U113&lt;&gt;"Subscription",'Game Records'!$U113&lt;&gt;"Free Game",'Game Records'!$U113&lt;&gt;"Disqualified — Free Game",OR('Game Records'!$E113="",LOWER('Game Records'!$E113&amp;"")="n/a")),"Game Type; ","")&amp;IF('Game Records'!$F113="","Payment Type; ","")&amp;IF(AND('Game Records'!$U113&lt;&gt;"Subscription",'Game Records'!$U113&lt;&gt;"Free Game",'Game Records'!$U113&lt;&gt;"Disqualified — Free Game",'Game Records'!$G113=""),"Gross Pot; ","")&amp;IF(AND('Game Records'!$U113&lt;&gt;"Free Game",'Game Records'!$U113&lt;&gt;"Disqualified — Free Game",'Game Records'!$H113=""),"Entry Fee; ","")&amp;IF(AND('Game Records'!$U113&lt;&gt;"Subscription",'Game Records'!$U113&lt;&gt;"Free Game",'Game Records'!$U113&lt;&gt;"Disqualified — Free Game",'Game Records'!$I113=""),"Eligible Players; ","")&amp;IF(AND('Game Records'!$U113&lt;&gt;"Subscription",'Game Records'!$U113&lt;&gt;"Free Game",'Game Records'!$U113&lt;&gt;"Disqualified — Free Game",'Game Records'!$J113=""),"Total Players; ","")&amp;IF(AND(LOWER('Game Records'!$D113&amp;"")="finalized",LOWER('Game Records'!$L113&amp;"")&lt;&gt;"yes",'Game Records'!$U113&lt;&gt;"Subscription",'Game Records'!$U113&lt;&gt;"Free Game",'Game Records'!$U113&lt;&gt;"Disqualified — Free Game",'Game Records'!$K113=""),"Final Earned; ","")&amp;IF(AND(LOWER('Game Records'!$D113&amp;"")="finalized",'Game Records'!$U113&lt;&gt;"Subscription",'Game Records'!$U113&lt;&gt;"Free Game",'Game Records'!$U113&lt;&gt;"Disqualified — Free Game",OR('Game Records'!$L113="",LOWER('Game Records'!$L113&amp;"")="n/a")),"Disqualified Status; ",""))</x:f>
      </x:c>
      <x:c r="G113" s="331" t="str">
        <x:f>IF($A113="","",IFERROR('Game Records'!$M113,""))</x:f>
      </x:c>
      <x:c r="H113" s="104"/>
      <x:c r="I113" s="104"/>
      <x:c r="J113" s="104"/>
    </x:row>
    <x:row r="114" ht="15" hidden="0" customHeight="1">
      <x:c r="A114" s="332" t="str">
        <x:f>IF(OR(COUNTA('Game Records'!$A114:$M114)=0,'Game Records'!$F114="Subscription"),"",IFERROR(MAX($A$4:A113),0)+1)</x:f>
      </x:c>
      <x:c r="B114" s="332" t="str">
        <x:f>IF($A114="","","G-"&amp;TEXT(ROW('Game Records'!$A114)-4,"0000"))</x:f>
      </x:c>
      <x:c r="C114" s="331" t="str">
        <x:f>IF($A114="","",IFERROR('Game Records'!$A114,""))</x:f>
      </x:c>
      <x:c r="D114" s="331" t="str">
        <x:f>IF($A114="","",IFERROR('Game Records'!$U114,""))</x:f>
      </x:c>
      <x:c r="E114" s="331" t="str">
        <x:f>IF($A114="","",IF($F114="","No Highlighted Fields","Highlighted Fields Present"))</x:f>
      </x:c>
      <x:c r="F114" s="331" t="str">
        <x:f>IF($A114="","",IF('Game Records'!$B114="","Start Date; ","")&amp;IF('Game Records'!$C114="","End Date; ","")&amp;IF(AND('Game Records'!$U114&lt;&gt;"Subscription",'Game Records'!$U114&lt;&gt;"Free Game",'Game Records'!$U114&lt;&gt;"Disqualified — Free Game",OR('Game Records'!$D114="",LOWER('Game Records'!$D114&amp;"")="n/a")),"Entry Mode; ","")&amp;IF(AND('Game Records'!$U114&lt;&gt;"Subscription",'Game Records'!$U114&lt;&gt;"Free Game",'Game Records'!$U114&lt;&gt;"Disqualified — Free Game",OR('Game Records'!$E114="",LOWER('Game Records'!$E114&amp;"")="n/a")),"Game Type; ","")&amp;IF('Game Records'!$F114="","Payment Type; ","")&amp;IF(AND('Game Records'!$U114&lt;&gt;"Subscription",'Game Records'!$U114&lt;&gt;"Free Game",'Game Records'!$U114&lt;&gt;"Disqualified — Free Game",'Game Records'!$G114=""),"Gross Pot; ","")&amp;IF(AND('Game Records'!$U114&lt;&gt;"Free Game",'Game Records'!$U114&lt;&gt;"Disqualified — Free Game",'Game Records'!$H114=""),"Entry Fee; ","")&amp;IF(AND('Game Records'!$U114&lt;&gt;"Subscription",'Game Records'!$U114&lt;&gt;"Free Game",'Game Records'!$U114&lt;&gt;"Disqualified — Free Game",'Game Records'!$I114=""),"Eligible Players; ","")&amp;IF(AND('Game Records'!$U114&lt;&gt;"Subscription",'Game Records'!$U114&lt;&gt;"Free Game",'Game Records'!$U114&lt;&gt;"Disqualified — Free Game",'Game Records'!$J114=""),"Total Players; ","")&amp;IF(AND(LOWER('Game Records'!$D114&amp;"")="finalized",LOWER('Game Records'!$L114&amp;"")&lt;&gt;"yes",'Game Records'!$U114&lt;&gt;"Subscription",'Game Records'!$U114&lt;&gt;"Free Game",'Game Records'!$U114&lt;&gt;"Disqualified — Free Game",'Game Records'!$K114=""),"Final Earned; ","")&amp;IF(AND(LOWER('Game Records'!$D114&amp;"")="finalized",'Game Records'!$U114&lt;&gt;"Subscription",'Game Records'!$U114&lt;&gt;"Free Game",'Game Records'!$U114&lt;&gt;"Disqualified — Free Game",OR('Game Records'!$L114="",LOWER('Game Records'!$L114&amp;"")="n/a")),"Disqualified Status; ",""))</x:f>
      </x:c>
      <x:c r="G114" s="331" t="str">
        <x:f>IF($A114="","",IFERROR('Game Records'!$M114,""))</x:f>
      </x:c>
      <x:c r="H114" s="104"/>
      <x:c r="I114" s="104"/>
      <x:c r="J114" s="104"/>
    </x:row>
    <x:row r="115" ht="15" hidden="0" customHeight="1">
      <x:c r="A115" s="332" t="str">
        <x:f>IF(OR(COUNTA('Game Records'!$A115:$M115)=0,'Game Records'!$F115="Subscription"),"",IFERROR(MAX($A$4:A114),0)+1)</x:f>
      </x:c>
      <x:c r="B115" s="332" t="str">
        <x:f>IF($A115="","","G-"&amp;TEXT(ROW('Game Records'!$A115)-4,"0000"))</x:f>
      </x:c>
      <x:c r="C115" s="331" t="str">
        <x:f>IF($A115="","",IFERROR('Game Records'!$A115,""))</x:f>
      </x:c>
      <x:c r="D115" s="331" t="str">
        <x:f>IF($A115="","",IFERROR('Game Records'!$U115,""))</x:f>
      </x:c>
      <x:c r="E115" s="331" t="str">
        <x:f>IF($A115="","",IF($F115="","No Highlighted Fields","Highlighted Fields Present"))</x:f>
      </x:c>
      <x:c r="F115" s="331" t="str">
        <x:f>IF($A115="","",IF('Game Records'!$B115="","Start Date; ","")&amp;IF('Game Records'!$C115="","End Date; ","")&amp;IF(AND('Game Records'!$U115&lt;&gt;"Subscription",'Game Records'!$U115&lt;&gt;"Free Game",'Game Records'!$U115&lt;&gt;"Disqualified — Free Game",OR('Game Records'!$D115="",LOWER('Game Records'!$D115&amp;"")="n/a")),"Entry Mode; ","")&amp;IF(AND('Game Records'!$U115&lt;&gt;"Subscription",'Game Records'!$U115&lt;&gt;"Free Game",'Game Records'!$U115&lt;&gt;"Disqualified — Free Game",OR('Game Records'!$E115="",LOWER('Game Records'!$E115&amp;"")="n/a")),"Game Type; ","")&amp;IF('Game Records'!$F115="","Payment Type; ","")&amp;IF(AND('Game Records'!$U115&lt;&gt;"Subscription",'Game Records'!$U115&lt;&gt;"Free Game",'Game Records'!$U115&lt;&gt;"Disqualified — Free Game",'Game Records'!$G115=""),"Gross Pot; ","")&amp;IF(AND('Game Records'!$U115&lt;&gt;"Free Game",'Game Records'!$U115&lt;&gt;"Disqualified — Free Game",'Game Records'!$H115=""),"Entry Fee; ","")&amp;IF(AND('Game Records'!$U115&lt;&gt;"Subscription",'Game Records'!$U115&lt;&gt;"Free Game",'Game Records'!$U115&lt;&gt;"Disqualified — Free Game",'Game Records'!$I115=""),"Eligible Players; ","")&amp;IF(AND('Game Records'!$U115&lt;&gt;"Subscription",'Game Records'!$U115&lt;&gt;"Free Game",'Game Records'!$U115&lt;&gt;"Disqualified — Free Game",'Game Records'!$J115=""),"Total Players; ","")&amp;IF(AND(LOWER('Game Records'!$D115&amp;"")="finalized",LOWER('Game Records'!$L115&amp;"")&lt;&gt;"yes",'Game Records'!$U115&lt;&gt;"Subscription",'Game Records'!$U115&lt;&gt;"Free Game",'Game Records'!$U115&lt;&gt;"Disqualified — Free Game",'Game Records'!$K115=""),"Final Earned; ","")&amp;IF(AND(LOWER('Game Records'!$D115&amp;"")="finalized",'Game Records'!$U115&lt;&gt;"Subscription",'Game Records'!$U115&lt;&gt;"Free Game",'Game Records'!$U115&lt;&gt;"Disqualified — Free Game",OR('Game Records'!$L115="",LOWER('Game Records'!$L115&amp;"")="n/a")),"Disqualified Status; ",""))</x:f>
      </x:c>
      <x:c r="G115" s="331" t="str">
        <x:f>IF($A115="","",IFERROR('Game Records'!$M115,""))</x:f>
      </x:c>
      <x:c r="H115" s="104"/>
      <x:c r="I115" s="104"/>
      <x:c r="J115" s="104"/>
    </x:row>
    <x:row r="116" ht="15" hidden="0" customHeight="1">
      <x:c r="A116" s="332" t="str">
        <x:f>IF(OR(COUNTA('Game Records'!$A116:$M116)=0,'Game Records'!$F116="Subscription"),"",IFERROR(MAX($A$4:A115),0)+1)</x:f>
      </x:c>
      <x:c r="B116" s="332" t="str">
        <x:f>IF($A116="","","G-"&amp;TEXT(ROW('Game Records'!$A116)-4,"0000"))</x:f>
      </x:c>
      <x:c r="C116" s="331" t="str">
        <x:f>IF($A116="","",IFERROR('Game Records'!$A116,""))</x:f>
      </x:c>
      <x:c r="D116" s="331" t="str">
        <x:f>IF($A116="","",IFERROR('Game Records'!$U116,""))</x:f>
      </x:c>
      <x:c r="E116" s="331" t="str">
        <x:f>IF($A116="","",IF($F116="","No Highlighted Fields","Highlighted Fields Present"))</x:f>
      </x:c>
      <x:c r="F116" s="331" t="str">
        <x:f>IF($A116="","",IF('Game Records'!$B116="","Start Date; ","")&amp;IF('Game Records'!$C116="","End Date; ","")&amp;IF(AND('Game Records'!$U116&lt;&gt;"Subscription",'Game Records'!$U116&lt;&gt;"Free Game",'Game Records'!$U116&lt;&gt;"Disqualified — Free Game",OR('Game Records'!$D116="",LOWER('Game Records'!$D116&amp;"")="n/a")),"Entry Mode; ","")&amp;IF(AND('Game Records'!$U116&lt;&gt;"Subscription",'Game Records'!$U116&lt;&gt;"Free Game",'Game Records'!$U116&lt;&gt;"Disqualified — Free Game",OR('Game Records'!$E116="",LOWER('Game Records'!$E116&amp;"")="n/a")),"Game Type; ","")&amp;IF('Game Records'!$F116="","Payment Type; ","")&amp;IF(AND('Game Records'!$U116&lt;&gt;"Subscription",'Game Records'!$U116&lt;&gt;"Free Game",'Game Records'!$U116&lt;&gt;"Disqualified — Free Game",'Game Records'!$G116=""),"Gross Pot; ","")&amp;IF(AND('Game Records'!$U116&lt;&gt;"Free Game",'Game Records'!$U116&lt;&gt;"Disqualified — Free Game",'Game Records'!$H116=""),"Entry Fee; ","")&amp;IF(AND('Game Records'!$U116&lt;&gt;"Subscription",'Game Records'!$U116&lt;&gt;"Free Game",'Game Records'!$U116&lt;&gt;"Disqualified — Free Game",'Game Records'!$I116=""),"Eligible Players; ","")&amp;IF(AND('Game Records'!$U116&lt;&gt;"Subscription",'Game Records'!$U116&lt;&gt;"Free Game",'Game Records'!$U116&lt;&gt;"Disqualified — Free Game",'Game Records'!$J116=""),"Total Players; ","")&amp;IF(AND(LOWER('Game Records'!$D116&amp;"")="finalized",LOWER('Game Records'!$L116&amp;"")&lt;&gt;"yes",'Game Records'!$U116&lt;&gt;"Subscription",'Game Records'!$U116&lt;&gt;"Free Game",'Game Records'!$U116&lt;&gt;"Disqualified — Free Game",'Game Records'!$K116=""),"Final Earned; ","")&amp;IF(AND(LOWER('Game Records'!$D116&amp;"")="finalized",'Game Records'!$U116&lt;&gt;"Subscription",'Game Records'!$U116&lt;&gt;"Free Game",'Game Records'!$U116&lt;&gt;"Disqualified — Free Game",OR('Game Records'!$L116="",LOWER('Game Records'!$L116&amp;"")="n/a")),"Disqualified Status; ",""))</x:f>
      </x:c>
      <x:c r="G116" s="331" t="str">
        <x:f>IF($A116="","",IFERROR('Game Records'!$M116,""))</x:f>
      </x:c>
      <x:c r="H116" s="104"/>
      <x:c r="I116" s="104"/>
      <x:c r="J116" s="104"/>
    </x:row>
    <x:row r="117" ht="15" hidden="0" customHeight="1">
      <x:c r="A117" s="332" t="str">
        <x:f>IF(OR(COUNTA('Game Records'!$A117:$M117)=0,'Game Records'!$F117="Subscription"),"",IFERROR(MAX($A$4:A116),0)+1)</x:f>
      </x:c>
      <x:c r="B117" s="332" t="str">
        <x:f>IF($A117="","","G-"&amp;TEXT(ROW('Game Records'!$A117)-4,"0000"))</x:f>
      </x:c>
      <x:c r="C117" s="331" t="str">
        <x:f>IF($A117="","",IFERROR('Game Records'!$A117,""))</x:f>
      </x:c>
      <x:c r="D117" s="331" t="str">
        <x:f>IF($A117="","",IFERROR('Game Records'!$U117,""))</x:f>
      </x:c>
      <x:c r="E117" s="331" t="str">
        <x:f>IF($A117="","",IF($F117="","No Highlighted Fields","Highlighted Fields Present"))</x:f>
      </x:c>
      <x:c r="F117" s="331" t="str">
        <x:f>IF($A117="","",IF('Game Records'!$B117="","Start Date; ","")&amp;IF('Game Records'!$C117="","End Date; ","")&amp;IF(AND('Game Records'!$U117&lt;&gt;"Subscription",'Game Records'!$U117&lt;&gt;"Free Game",'Game Records'!$U117&lt;&gt;"Disqualified — Free Game",OR('Game Records'!$D117="",LOWER('Game Records'!$D117&amp;"")="n/a")),"Entry Mode; ","")&amp;IF(AND('Game Records'!$U117&lt;&gt;"Subscription",'Game Records'!$U117&lt;&gt;"Free Game",'Game Records'!$U117&lt;&gt;"Disqualified — Free Game",OR('Game Records'!$E117="",LOWER('Game Records'!$E117&amp;"")="n/a")),"Game Type; ","")&amp;IF('Game Records'!$F117="","Payment Type; ","")&amp;IF(AND('Game Records'!$U117&lt;&gt;"Subscription",'Game Records'!$U117&lt;&gt;"Free Game",'Game Records'!$U117&lt;&gt;"Disqualified — Free Game",'Game Records'!$G117=""),"Gross Pot; ","")&amp;IF(AND('Game Records'!$U117&lt;&gt;"Free Game",'Game Records'!$U117&lt;&gt;"Disqualified — Free Game",'Game Records'!$H117=""),"Entry Fee; ","")&amp;IF(AND('Game Records'!$U117&lt;&gt;"Subscription",'Game Records'!$U117&lt;&gt;"Free Game",'Game Records'!$U117&lt;&gt;"Disqualified — Free Game",'Game Records'!$I117=""),"Eligible Players; ","")&amp;IF(AND('Game Records'!$U117&lt;&gt;"Subscription",'Game Records'!$U117&lt;&gt;"Free Game",'Game Records'!$U117&lt;&gt;"Disqualified — Free Game",'Game Records'!$J117=""),"Total Players; ","")&amp;IF(AND(LOWER('Game Records'!$D117&amp;"")="finalized",LOWER('Game Records'!$L117&amp;"")&lt;&gt;"yes",'Game Records'!$U117&lt;&gt;"Subscription",'Game Records'!$U117&lt;&gt;"Free Game",'Game Records'!$U117&lt;&gt;"Disqualified — Free Game",'Game Records'!$K117=""),"Final Earned; ","")&amp;IF(AND(LOWER('Game Records'!$D117&amp;"")="finalized",'Game Records'!$U117&lt;&gt;"Subscription",'Game Records'!$U117&lt;&gt;"Free Game",'Game Records'!$U117&lt;&gt;"Disqualified — Free Game",OR('Game Records'!$L117="",LOWER('Game Records'!$L117&amp;"")="n/a")),"Disqualified Status; ",""))</x:f>
      </x:c>
      <x:c r="G117" s="331" t="str">
        <x:f>IF($A117="","",IFERROR('Game Records'!$M117,""))</x:f>
      </x:c>
      <x:c r="H117" s="104"/>
      <x:c r="I117" s="104"/>
      <x:c r="J117" s="104"/>
    </x:row>
    <x:row r="118" ht="15" hidden="0" customHeight="1">
      <x:c r="A118" s="332" t="str">
        <x:f>IF(OR(COUNTA('Game Records'!$A118:$M118)=0,'Game Records'!$F118="Subscription"),"",IFERROR(MAX($A$4:A117),0)+1)</x:f>
      </x:c>
      <x:c r="B118" s="332" t="str">
        <x:f>IF($A118="","","G-"&amp;TEXT(ROW('Game Records'!$A118)-4,"0000"))</x:f>
      </x:c>
      <x:c r="C118" s="331" t="str">
        <x:f>IF($A118="","",IFERROR('Game Records'!$A118,""))</x:f>
      </x:c>
      <x:c r="D118" s="331" t="str">
        <x:f>IF($A118="","",IFERROR('Game Records'!$U118,""))</x:f>
      </x:c>
      <x:c r="E118" s="331" t="str">
        <x:f>IF($A118="","",IF($F118="","No Highlighted Fields","Highlighted Fields Present"))</x:f>
      </x:c>
      <x:c r="F118" s="331" t="str">
        <x:f>IF($A118="","",IF('Game Records'!$B118="","Start Date; ","")&amp;IF('Game Records'!$C118="","End Date; ","")&amp;IF(AND('Game Records'!$U118&lt;&gt;"Subscription",'Game Records'!$U118&lt;&gt;"Free Game",'Game Records'!$U118&lt;&gt;"Disqualified — Free Game",OR('Game Records'!$D118="",LOWER('Game Records'!$D118&amp;"")="n/a")),"Entry Mode; ","")&amp;IF(AND('Game Records'!$U118&lt;&gt;"Subscription",'Game Records'!$U118&lt;&gt;"Free Game",'Game Records'!$U118&lt;&gt;"Disqualified — Free Game",OR('Game Records'!$E118="",LOWER('Game Records'!$E118&amp;"")="n/a")),"Game Type; ","")&amp;IF('Game Records'!$F118="","Payment Type; ","")&amp;IF(AND('Game Records'!$U118&lt;&gt;"Subscription",'Game Records'!$U118&lt;&gt;"Free Game",'Game Records'!$U118&lt;&gt;"Disqualified — Free Game",'Game Records'!$G118=""),"Gross Pot; ","")&amp;IF(AND('Game Records'!$U118&lt;&gt;"Free Game",'Game Records'!$U118&lt;&gt;"Disqualified — Free Game",'Game Records'!$H118=""),"Entry Fee; ","")&amp;IF(AND('Game Records'!$U118&lt;&gt;"Subscription",'Game Records'!$U118&lt;&gt;"Free Game",'Game Records'!$U118&lt;&gt;"Disqualified — Free Game",'Game Records'!$I118=""),"Eligible Players; ","")&amp;IF(AND('Game Records'!$U118&lt;&gt;"Subscription",'Game Records'!$U118&lt;&gt;"Free Game",'Game Records'!$U118&lt;&gt;"Disqualified — Free Game",'Game Records'!$J118=""),"Total Players; ","")&amp;IF(AND(LOWER('Game Records'!$D118&amp;"")="finalized",LOWER('Game Records'!$L118&amp;"")&lt;&gt;"yes",'Game Records'!$U118&lt;&gt;"Subscription",'Game Records'!$U118&lt;&gt;"Free Game",'Game Records'!$U118&lt;&gt;"Disqualified — Free Game",'Game Records'!$K118=""),"Final Earned; ","")&amp;IF(AND(LOWER('Game Records'!$D118&amp;"")="finalized",'Game Records'!$U118&lt;&gt;"Subscription",'Game Records'!$U118&lt;&gt;"Free Game",'Game Records'!$U118&lt;&gt;"Disqualified — Free Game",OR('Game Records'!$L118="",LOWER('Game Records'!$L118&amp;"")="n/a")),"Disqualified Status; ",""))</x:f>
      </x:c>
      <x:c r="G118" s="331" t="str">
        <x:f>IF($A118="","",IFERROR('Game Records'!$M118,""))</x:f>
      </x:c>
      <x:c r="H118" s="104"/>
      <x:c r="I118" s="104"/>
      <x:c r="J118" s="104"/>
    </x:row>
    <x:row r="119" ht="15" hidden="0" customHeight="1">
      <x:c r="A119" s="332" t="str">
        <x:f>IF(OR(COUNTA('Game Records'!$A119:$M119)=0,'Game Records'!$F119="Subscription"),"",IFERROR(MAX($A$4:A118),0)+1)</x:f>
      </x:c>
      <x:c r="B119" s="332" t="str">
        <x:f>IF($A119="","","G-"&amp;TEXT(ROW('Game Records'!$A119)-4,"0000"))</x:f>
      </x:c>
      <x:c r="C119" s="331" t="str">
        <x:f>IF($A119="","",IFERROR('Game Records'!$A119,""))</x:f>
      </x:c>
      <x:c r="D119" s="331" t="str">
        <x:f>IF($A119="","",IFERROR('Game Records'!$U119,""))</x:f>
      </x:c>
      <x:c r="E119" s="331" t="str">
        <x:f>IF($A119="","",IF($F119="","No Highlighted Fields","Highlighted Fields Present"))</x:f>
      </x:c>
      <x:c r="F119" s="331" t="str">
        <x:f>IF($A119="","",IF('Game Records'!$B119="","Start Date; ","")&amp;IF('Game Records'!$C119="","End Date; ","")&amp;IF(AND('Game Records'!$U119&lt;&gt;"Subscription",'Game Records'!$U119&lt;&gt;"Free Game",'Game Records'!$U119&lt;&gt;"Disqualified — Free Game",OR('Game Records'!$D119="",LOWER('Game Records'!$D119&amp;"")="n/a")),"Entry Mode; ","")&amp;IF(AND('Game Records'!$U119&lt;&gt;"Subscription",'Game Records'!$U119&lt;&gt;"Free Game",'Game Records'!$U119&lt;&gt;"Disqualified — Free Game",OR('Game Records'!$E119="",LOWER('Game Records'!$E119&amp;"")="n/a")),"Game Type; ","")&amp;IF('Game Records'!$F119="","Payment Type; ","")&amp;IF(AND('Game Records'!$U119&lt;&gt;"Subscription",'Game Records'!$U119&lt;&gt;"Free Game",'Game Records'!$U119&lt;&gt;"Disqualified — Free Game",'Game Records'!$G119=""),"Gross Pot; ","")&amp;IF(AND('Game Records'!$U119&lt;&gt;"Free Game",'Game Records'!$U119&lt;&gt;"Disqualified — Free Game",'Game Records'!$H119=""),"Entry Fee; ","")&amp;IF(AND('Game Records'!$U119&lt;&gt;"Subscription",'Game Records'!$U119&lt;&gt;"Free Game",'Game Records'!$U119&lt;&gt;"Disqualified — Free Game",'Game Records'!$I119=""),"Eligible Players; ","")&amp;IF(AND('Game Records'!$U119&lt;&gt;"Subscription",'Game Records'!$U119&lt;&gt;"Free Game",'Game Records'!$U119&lt;&gt;"Disqualified — Free Game",'Game Records'!$J119=""),"Total Players; ","")&amp;IF(AND(LOWER('Game Records'!$D119&amp;"")="finalized",LOWER('Game Records'!$L119&amp;"")&lt;&gt;"yes",'Game Records'!$U119&lt;&gt;"Subscription",'Game Records'!$U119&lt;&gt;"Free Game",'Game Records'!$U119&lt;&gt;"Disqualified — Free Game",'Game Records'!$K119=""),"Final Earned; ","")&amp;IF(AND(LOWER('Game Records'!$D119&amp;"")="finalized",'Game Records'!$U119&lt;&gt;"Subscription",'Game Records'!$U119&lt;&gt;"Free Game",'Game Records'!$U119&lt;&gt;"Disqualified — Free Game",OR('Game Records'!$L119="",LOWER('Game Records'!$L119&amp;"")="n/a")),"Disqualified Status; ",""))</x:f>
      </x:c>
      <x:c r="G119" s="331" t="str">
        <x:f>IF($A119="","",IFERROR('Game Records'!$M119,""))</x:f>
      </x:c>
      <x:c r="H119" s="104"/>
      <x:c r="I119" s="104"/>
      <x:c r="J119" s="104"/>
    </x:row>
    <x:row r="120" ht="15" hidden="0" customHeight="1">
      <x:c r="A120" s="332" t="str">
        <x:f>IF(OR(COUNTA('Game Records'!$A120:$M120)=0,'Game Records'!$F120="Subscription"),"",IFERROR(MAX($A$4:A119),0)+1)</x:f>
      </x:c>
      <x:c r="B120" s="332" t="str">
        <x:f>IF($A120="","","G-"&amp;TEXT(ROW('Game Records'!$A120)-4,"0000"))</x:f>
      </x:c>
      <x:c r="C120" s="331" t="str">
        <x:f>IF($A120="","",IFERROR('Game Records'!$A120,""))</x:f>
      </x:c>
      <x:c r="D120" s="331" t="str">
        <x:f>IF($A120="","",IFERROR('Game Records'!$U120,""))</x:f>
      </x:c>
      <x:c r="E120" s="331" t="str">
        <x:f>IF($A120="","",IF($F120="","No Highlighted Fields","Highlighted Fields Present"))</x:f>
      </x:c>
      <x:c r="F120" s="331" t="str">
        <x:f>IF($A120="","",IF('Game Records'!$B120="","Start Date; ","")&amp;IF('Game Records'!$C120="","End Date; ","")&amp;IF(AND('Game Records'!$U120&lt;&gt;"Subscription",'Game Records'!$U120&lt;&gt;"Free Game",'Game Records'!$U120&lt;&gt;"Disqualified — Free Game",OR('Game Records'!$D120="",LOWER('Game Records'!$D120&amp;"")="n/a")),"Entry Mode; ","")&amp;IF(AND('Game Records'!$U120&lt;&gt;"Subscription",'Game Records'!$U120&lt;&gt;"Free Game",'Game Records'!$U120&lt;&gt;"Disqualified — Free Game",OR('Game Records'!$E120="",LOWER('Game Records'!$E120&amp;"")="n/a")),"Game Type; ","")&amp;IF('Game Records'!$F120="","Payment Type; ","")&amp;IF(AND('Game Records'!$U120&lt;&gt;"Subscription",'Game Records'!$U120&lt;&gt;"Free Game",'Game Records'!$U120&lt;&gt;"Disqualified — Free Game",'Game Records'!$G120=""),"Gross Pot; ","")&amp;IF(AND('Game Records'!$U120&lt;&gt;"Free Game",'Game Records'!$U120&lt;&gt;"Disqualified — Free Game",'Game Records'!$H120=""),"Entry Fee; ","")&amp;IF(AND('Game Records'!$U120&lt;&gt;"Subscription",'Game Records'!$U120&lt;&gt;"Free Game",'Game Records'!$U120&lt;&gt;"Disqualified — Free Game",'Game Records'!$I120=""),"Eligible Players; ","")&amp;IF(AND('Game Records'!$U120&lt;&gt;"Subscription",'Game Records'!$U120&lt;&gt;"Free Game",'Game Records'!$U120&lt;&gt;"Disqualified — Free Game",'Game Records'!$J120=""),"Total Players; ","")&amp;IF(AND(LOWER('Game Records'!$D120&amp;"")="finalized",LOWER('Game Records'!$L120&amp;"")&lt;&gt;"yes",'Game Records'!$U120&lt;&gt;"Subscription",'Game Records'!$U120&lt;&gt;"Free Game",'Game Records'!$U120&lt;&gt;"Disqualified — Free Game",'Game Records'!$K120=""),"Final Earned; ","")&amp;IF(AND(LOWER('Game Records'!$D120&amp;"")="finalized",'Game Records'!$U120&lt;&gt;"Subscription",'Game Records'!$U120&lt;&gt;"Free Game",'Game Records'!$U120&lt;&gt;"Disqualified — Free Game",OR('Game Records'!$L120="",LOWER('Game Records'!$L120&amp;"")="n/a")),"Disqualified Status; ",""))</x:f>
      </x:c>
      <x:c r="G120" s="331" t="str">
        <x:f>IF($A120="","",IFERROR('Game Records'!$M120,""))</x:f>
      </x:c>
      <x:c r="H120" s="104"/>
      <x:c r="I120" s="104"/>
      <x:c r="J120" s="104"/>
    </x:row>
    <x:row r="121" ht="15" hidden="0" customHeight="1">
      <x:c r="A121" s="332" t="str">
        <x:f>IF(OR(COUNTA('Game Records'!$A121:$M121)=0,'Game Records'!$F121="Subscription"),"",IFERROR(MAX($A$4:A120),0)+1)</x:f>
      </x:c>
      <x:c r="B121" s="332" t="str">
        <x:f>IF($A121="","","G-"&amp;TEXT(ROW('Game Records'!$A121)-4,"0000"))</x:f>
      </x:c>
      <x:c r="C121" s="331" t="str">
        <x:f>IF($A121="","",IFERROR('Game Records'!$A121,""))</x:f>
      </x:c>
      <x:c r="D121" s="331" t="str">
        <x:f>IF($A121="","",IFERROR('Game Records'!$U121,""))</x:f>
      </x:c>
      <x:c r="E121" s="331" t="str">
        <x:f>IF($A121="","",IF($F121="","No Highlighted Fields","Highlighted Fields Present"))</x:f>
      </x:c>
      <x:c r="F121" s="331" t="str">
        <x:f>IF($A121="","",IF('Game Records'!$B121="","Start Date; ","")&amp;IF('Game Records'!$C121="","End Date; ","")&amp;IF(AND('Game Records'!$U121&lt;&gt;"Subscription",'Game Records'!$U121&lt;&gt;"Free Game",'Game Records'!$U121&lt;&gt;"Disqualified — Free Game",OR('Game Records'!$D121="",LOWER('Game Records'!$D121&amp;"")="n/a")),"Entry Mode; ","")&amp;IF(AND('Game Records'!$U121&lt;&gt;"Subscription",'Game Records'!$U121&lt;&gt;"Free Game",'Game Records'!$U121&lt;&gt;"Disqualified — Free Game",OR('Game Records'!$E121="",LOWER('Game Records'!$E121&amp;"")="n/a")),"Game Type; ","")&amp;IF('Game Records'!$F121="","Payment Type; ","")&amp;IF(AND('Game Records'!$U121&lt;&gt;"Subscription",'Game Records'!$U121&lt;&gt;"Free Game",'Game Records'!$U121&lt;&gt;"Disqualified — Free Game",'Game Records'!$G121=""),"Gross Pot; ","")&amp;IF(AND('Game Records'!$U121&lt;&gt;"Free Game",'Game Records'!$U121&lt;&gt;"Disqualified — Free Game",'Game Records'!$H121=""),"Entry Fee; ","")&amp;IF(AND('Game Records'!$U121&lt;&gt;"Subscription",'Game Records'!$U121&lt;&gt;"Free Game",'Game Records'!$U121&lt;&gt;"Disqualified — Free Game",'Game Records'!$I121=""),"Eligible Players; ","")&amp;IF(AND('Game Records'!$U121&lt;&gt;"Subscription",'Game Records'!$U121&lt;&gt;"Free Game",'Game Records'!$U121&lt;&gt;"Disqualified — Free Game",'Game Records'!$J121=""),"Total Players; ","")&amp;IF(AND(LOWER('Game Records'!$D121&amp;"")="finalized",LOWER('Game Records'!$L121&amp;"")&lt;&gt;"yes",'Game Records'!$U121&lt;&gt;"Subscription",'Game Records'!$U121&lt;&gt;"Free Game",'Game Records'!$U121&lt;&gt;"Disqualified — Free Game",'Game Records'!$K121=""),"Final Earned; ","")&amp;IF(AND(LOWER('Game Records'!$D121&amp;"")="finalized",'Game Records'!$U121&lt;&gt;"Subscription",'Game Records'!$U121&lt;&gt;"Free Game",'Game Records'!$U121&lt;&gt;"Disqualified — Free Game",OR('Game Records'!$L121="",LOWER('Game Records'!$L121&amp;"")="n/a")),"Disqualified Status; ",""))</x:f>
      </x:c>
      <x:c r="G121" s="331" t="str">
        <x:f>IF($A121="","",IFERROR('Game Records'!$M121,""))</x:f>
      </x:c>
      <x:c r="H121" s="104"/>
      <x:c r="I121" s="104"/>
      <x:c r="J121" s="104"/>
    </x:row>
    <x:row r="122" ht="15" hidden="0" customHeight="1">
      <x:c r="A122" s="332" t="str">
        <x:f>IF(OR(COUNTA('Game Records'!$A122:$M122)=0,'Game Records'!$F122="Subscription"),"",IFERROR(MAX($A$4:A121),0)+1)</x:f>
      </x:c>
      <x:c r="B122" s="332" t="str">
        <x:f>IF($A122="","","G-"&amp;TEXT(ROW('Game Records'!$A122)-4,"0000"))</x:f>
      </x:c>
      <x:c r="C122" s="331" t="str">
        <x:f>IF($A122="","",IFERROR('Game Records'!$A122,""))</x:f>
      </x:c>
      <x:c r="D122" s="331" t="str">
        <x:f>IF($A122="","",IFERROR('Game Records'!$U122,""))</x:f>
      </x:c>
      <x:c r="E122" s="331" t="str">
        <x:f>IF($A122="","",IF($F122="","No Highlighted Fields","Highlighted Fields Present"))</x:f>
      </x:c>
      <x:c r="F122" s="331" t="str">
        <x:f>IF($A122="","",IF('Game Records'!$B122="","Start Date; ","")&amp;IF('Game Records'!$C122="","End Date; ","")&amp;IF(AND('Game Records'!$U122&lt;&gt;"Subscription",'Game Records'!$U122&lt;&gt;"Free Game",'Game Records'!$U122&lt;&gt;"Disqualified — Free Game",OR('Game Records'!$D122="",LOWER('Game Records'!$D122&amp;"")="n/a")),"Entry Mode; ","")&amp;IF(AND('Game Records'!$U122&lt;&gt;"Subscription",'Game Records'!$U122&lt;&gt;"Free Game",'Game Records'!$U122&lt;&gt;"Disqualified — Free Game",OR('Game Records'!$E122="",LOWER('Game Records'!$E122&amp;"")="n/a")),"Game Type; ","")&amp;IF('Game Records'!$F122="","Payment Type; ","")&amp;IF(AND('Game Records'!$U122&lt;&gt;"Subscription",'Game Records'!$U122&lt;&gt;"Free Game",'Game Records'!$U122&lt;&gt;"Disqualified — Free Game",'Game Records'!$G122=""),"Gross Pot; ","")&amp;IF(AND('Game Records'!$U122&lt;&gt;"Free Game",'Game Records'!$U122&lt;&gt;"Disqualified — Free Game",'Game Records'!$H122=""),"Entry Fee; ","")&amp;IF(AND('Game Records'!$U122&lt;&gt;"Subscription",'Game Records'!$U122&lt;&gt;"Free Game",'Game Records'!$U122&lt;&gt;"Disqualified — Free Game",'Game Records'!$I122=""),"Eligible Players; ","")&amp;IF(AND('Game Records'!$U122&lt;&gt;"Subscription",'Game Records'!$U122&lt;&gt;"Free Game",'Game Records'!$U122&lt;&gt;"Disqualified — Free Game",'Game Records'!$J122=""),"Total Players; ","")&amp;IF(AND(LOWER('Game Records'!$D122&amp;"")="finalized",LOWER('Game Records'!$L122&amp;"")&lt;&gt;"yes",'Game Records'!$U122&lt;&gt;"Subscription",'Game Records'!$U122&lt;&gt;"Free Game",'Game Records'!$U122&lt;&gt;"Disqualified — Free Game",'Game Records'!$K122=""),"Final Earned; ","")&amp;IF(AND(LOWER('Game Records'!$D122&amp;"")="finalized",'Game Records'!$U122&lt;&gt;"Subscription",'Game Records'!$U122&lt;&gt;"Free Game",'Game Records'!$U122&lt;&gt;"Disqualified — Free Game",OR('Game Records'!$L122="",LOWER('Game Records'!$L122&amp;"")="n/a")),"Disqualified Status; ",""))</x:f>
      </x:c>
      <x:c r="G122" s="331" t="str">
        <x:f>IF($A122="","",IFERROR('Game Records'!$M122,""))</x:f>
      </x:c>
      <x:c r="H122" s="104"/>
      <x:c r="I122" s="104"/>
      <x:c r="J122" s="104"/>
    </x:row>
    <x:row r="123" ht="15" hidden="0" customHeight="1">
      <x:c r="A123" s="332" t="str">
        <x:f>IF(OR(COUNTA('Game Records'!$A123:$M123)=0,'Game Records'!$F123="Subscription"),"",IFERROR(MAX($A$4:A122),0)+1)</x:f>
      </x:c>
      <x:c r="B123" s="332" t="str">
        <x:f>IF($A123="","","G-"&amp;TEXT(ROW('Game Records'!$A123)-4,"0000"))</x:f>
      </x:c>
      <x:c r="C123" s="331" t="str">
        <x:f>IF($A123="","",IFERROR('Game Records'!$A123,""))</x:f>
      </x:c>
      <x:c r="D123" s="331" t="str">
        <x:f>IF($A123="","",IFERROR('Game Records'!$U123,""))</x:f>
      </x:c>
      <x:c r="E123" s="331" t="str">
        <x:f>IF($A123="","",IF($F123="","No Highlighted Fields","Highlighted Fields Present"))</x:f>
      </x:c>
      <x:c r="F123" s="331" t="str">
        <x:f>IF($A123="","",IF('Game Records'!$B123="","Start Date; ","")&amp;IF('Game Records'!$C123="","End Date; ","")&amp;IF(AND('Game Records'!$U123&lt;&gt;"Subscription",'Game Records'!$U123&lt;&gt;"Free Game",'Game Records'!$U123&lt;&gt;"Disqualified — Free Game",OR('Game Records'!$D123="",LOWER('Game Records'!$D123&amp;"")="n/a")),"Entry Mode; ","")&amp;IF(AND('Game Records'!$U123&lt;&gt;"Subscription",'Game Records'!$U123&lt;&gt;"Free Game",'Game Records'!$U123&lt;&gt;"Disqualified — Free Game",OR('Game Records'!$E123="",LOWER('Game Records'!$E123&amp;"")="n/a")),"Game Type; ","")&amp;IF('Game Records'!$F123="","Payment Type; ","")&amp;IF(AND('Game Records'!$U123&lt;&gt;"Subscription",'Game Records'!$U123&lt;&gt;"Free Game",'Game Records'!$U123&lt;&gt;"Disqualified — Free Game",'Game Records'!$G123=""),"Gross Pot; ","")&amp;IF(AND('Game Records'!$U123&lt;&gt;"Free Game",'Game Records'!$U123&lt;&gt;"Disqualified — Free Game",'Game Records'!$H123=""),"Entry Fee; ","")&amp;IF(AND('Game Records'!$U123&lt;&gt;"Subscription",'Game Records'!$U123&lt;&gt;"Free Game",'Game Records'!$U123&lt;&gt;"Disqualified — Free Game",'Game Records'!$I123=""),"Eligible Players; ","")&amp;IF(AND('Game Records'!$U123&lt;&gt;"Subscription",'Game Records'!$U123&lt;&gt;"Free Game",'Game Records'!$U123&lt;&gt;"Disqualified — Free Game",'Game Records'!$J123=""),"Total Players; ","")&amp;IF(AND(LOWER('Game Records'!$D123&amp;"")="finalized",LOWER('Game Records'!$L123&amp;"")&lt;&gt;"yes",'Game Records'!$U123&lt;&gt;"Subscription",'Game Records'!$U123&lt;&gt;"Free Game",'Game Records'!$U123&lt;&gt;"Disqualified — Free Game",'Game Records'!$K123=""),"Final Earned; ","")&amp;IF(AND(LOWER('Game Records'!$D123&amp;"")="finalized",'Game Records'!$U123&lt;&gt;"Subscription",'Game Records'!$U123&lt;&gt;"Free Game",'Game Records'!$U123&lt;&gt;"Disqualified — Free Game",OR('Game Records'!$L123="",LOWER('Game Records'!$L123&amp;"")="n/a")),"Disqualified Status; ",""))</x:f>
      </x:c>
      <x:c r="G123" s="331" t="str">
        <x:f>IF($A123="","",IFERROR('Game Records'!$M123,""))</x:f>
      </x:c>
      <x:c r="H123" s="104"/>
      <x:c r="I123" s="104"/>
      <x:c r="J123" s="104"/>
    </x:row>
    <x:row r="124" ht="15" hidden="0" customHeight="1">
      <x:c r="A124" s="332" t="str">
        <x:f>IF(OR(COUNTA('Game Records'!$A124:$M124)=0,'Game Records'!$F124="Subscription"),"",IFERROR(MAX($A$4:A123),0)+1)</x:f>
      </x:c>
      <x:c r="B124" s="332" t="str">
        <x:f>IF($A124="","","G-"&amp;TEXT(ROW('Game Records'!$A124)-4,"0000"))</x:f>
      </x:c>
      <x:c r="C124" s="331" t="str">
        <x:f>IF($A124="","",IFERROR('Game Records'!$A124,""))</x:f>
      </x:c>
      <x:c r="D124" s="331" t="str">
        <x:f>IF($A124="","",IFERROR('Game Records'!$U124,""))</x:f>
      </x:c>
      <x:c r="E124" s="331" t="str">
        <x:f>IF($A124="","",IF($F124="","No Highlighted Fields","Highlighted Fields Present"))</x:f>
      </x:c>
      <x:c r="F124" s="331" t="str">
        <x:f>IF($A124="","",IF('Game Records'!$B124="","Start Date; ","")&amp;IF('Game Records'!$C124="","End Date; ","")&amp;IF(AND('Game Records'!$U124&lt;&gt;"Subscription",'Game Records'!$U124&lt;&gt;"Free Game",'Game Records'!$U124&lt;&gt;"Disqualified — Free Game",OR('Game Records'!$D124="",LOWER('Game Records'!$D124&amp;"")="n/a")),"Entry Mode; ","")&amp;IF(AND('Game Records'!$U124&lt;&gt;"Subscription",'Game Records'!$U124&lt;&gt;"Free Game",'Game Records'!$U124&lt;&gt;"Disqualified — Free Game",OR('Game Records'!$E124="",LOWER('Game Records'!$E124&amp;"")="n/a")),"Game Type; ","")&amp;IF('Game Records'!$F124="","Payment Type; ","")&amp;IF(AND('Game Records'!$U124&lt;&gt;"Subscription",'Game Records'!$U124&lt;&gt;"Free Game",'Game Records'!$U124&lt;&gt;"Disqualified — Free Game",'Game Records'!$G124=""),"Gross Pot; ","")&amp;IF(AND('Game Records'!$U124&lt;&gt;"Free Game",'Game Records'!$U124&lt;&gt;"Disqualified — Free Game",'Game Records'!$H124=""),"Entry Fee; ","")&amp;IF(AND('Game Records'!$U124&lt;&gt;"Subscription",'Game Records'!$U124&lt;&gt;"Free Game",'Game Records'!$U124&lt;&gt;"Disqualified — Free Game",'Game Records'!$I124=""),"Eligible Players; ","")&amp;IF(AND('Game Records'!$U124&lt;&gt;"Subscription",'Game Records'!$U124&lt;&gt;"Free Game",'Game Records'!$U124&lt;&gt;"Disqualified — Free Game",'Game Records'!$J124=""),"Total Players; ","")&amp;IF(AND(LOWER('Game Records'!$D124&amp;"")="finalized",LOWER('Game Records'!$L124&amp;"")&lt;&gt;"yes",'Game Records'!$U124&lt;&gt;"Subscription",'Game Records'!$U124&lt;&gt;"Free Game",'Game Records'!$U124&lt;&gt;"Disqualified — Free Game",'Game Records'!$K124=""),"Final Earned; ","")&amp;IF(AND(LOWER('Game Records'!$D124&amp;"")="finalized",'Game Records'!$U124&lt;&gt;"Subscription",'Game Records'!$U124&lt;&gt;"Free Game",'Game Records'!$U124&lt;&gt;"Disqualified — Free Game",OR('Game Records'!$L124="",LOWER('Game Records'!$L124&amp;"")="n/a")),"Disqualified Status; ",""))</x:f>
      </x:c>
      <x:c r="G124" s="331" t="str">
        <x:f>IF($A124="","",IFERROR('Game Records'!$M124,""))</x:f>
      </x:c>
      <x:c r="H124" s="104"/>
      <x:c r="I124" s="104"/>
      <x:c r="J124" s="104"/>
    </x:row>
    <x:row r="125" ht="15" hidden="0" customHeight="1">
      <x:c r="A125" s="332" t="str">
        <x:f>IF(OR(COUNTA('Game Records'!$A125:$M125)=0,'Game Records'!$F125="Subscription"),"",IFERROR(MAX($A$4:A124),0)+1)</x:f>
      </x:c>
      <x:c r="B125" s="332" t="str">
        <x:f>IF($A125="","","G-"&amp;TEXT(ROW('Game Records'!$A125)-4,"0000"))</x:f>
      </x:c>
      <x:c r="C125" s="331" t="str">
        <x:f>IF($A125="","",IFERROR('Game Records'!$A125,""))</x:f>
      </x:c>
      <x:c r="D125" s="331" t="str">
        <x:f>IF($A125="","",IFERROR('Game Records'!$U125,""))</x:f>
      </x:c>
      <x:c r="E125" s="331" t="str">
        <x:f>IF($A125="","",IF($F125="","No Highlighted Fields","Highlighted Fields Present"))</x:f>
      </x:c>
      <x:c r="F125" s="331" t="str">
        <x:f>IF($A125="","",IF('Game Records'!$B125="","Start Date; ","")&amp;IF('Game Records'!$C125="","End Date; ","")&amp;IF(AND('Game Records'!$U125&lt;&gt;"Subscription",'Game Records'!$U125&lt;&gt;"Free Game",'Game Records'!$U125&lt;&gt;"Disqualified — Free Game",OR('Game Records'!$D125="",LOWER('Game Records'!$D125&amp;"")="n/a")),"Entry Mode; ","")&amp;IF(AND('Game Records'!$U125&lt;&gt;"Subscription",'Game Records'!$U125&lt;&gt;"Free Game",'Game Records'!$U125&lt;&gt;"Disqualified — Free Game",OR('Game Records'!$E125="",LOWER('Game Records'!$E125&amp;"")="n/a")),"Game Type; ","")&amp;IF('Game Records'!$F125="","Payment Type; ","")&amp;IF(AND('Game Records'!$U125&lt;&gt;"Subscription",'Game Records'!$U125&lt;&gt;"Free Game",'Game Records'!$U125&lt;&gt;"Disqualified — Free Game",'Game Records'!$G125=""),"Gross Pot; ","")&amp;IF(AND('Game Records'!$U125&lt;&gt;"Free Game",'Game Records'!$U125&lt;&gt;"Disqualified — Free Game",'Game Records'!$H125=""),"Entry Fee; ","")&amp;IF(AND('Game Records'!$U125&lt;&gt;"Subscription",'Game Records'!$U125&lt;&gt;"Free Game",'Game Records'!$U125&lt;&gt;"Disqualified — Free Game",'Game Records'!$I125=""),"Eligible Players; ","")&amp;IF(AND('Game Records'!$U125&lt;&gt;"Subscription",'Game Records'!$U125&lt;&gt;"Free Game",'Game Records'!$U125&lt;&gt;"Disqualified — Free Game",'Game Records'!$J125=""),"Total Players; ","")&amp;IF(AND(LOWER('Game Records'!$D125&amp;"")="finalized",LOWER('Game Records'!$L125&amp;"")&lt;&gt;"yes",'Game Records'!$U125&lt;&gt;"Subscription",'Game Records'!$U125&lt;&gt;"Free Game",'Game Records'!$U125&lt;&gt;"Disqualified — Free Game",'Game Records'!$K125=""),"Final Earned; ","")&amp;IF(AND(LOWER('Game Records'!$D125&amp;"")="finalized",'Game Records'!$U125&lt;&gt;"Subscription",'Game Records'!$U125&lt;&gt;"Free Game",'Game Records'!$U125&lt;&gt;"Disqualified — Free Game",OR('Game Records'!$L125="",LOWER('Game Records'!$L125&amp;"")="n/a")),"Disqualified Status; ",""))</x:f>
      </x:c>
      <x:c r="G125" s="331" t="str">
        <x:f>IF($A125="","",IFERROR('Game Records'!$M125,""))</x:f>
      </x:c>
      <x:c r="H125" s="104"/>
      <x:c r="I125" s="104"/>
      <x:c r="J125" s="104"/>
    </x:row>
    <x:row r="126" ht="15" hidden="0" customHeight="1">
      <x:c r="A126" s="332" t="str">
        <x:f>IF(OR(COUNTA('Game Records'!$A126:$M126)=0,'Game Records'!$F126="Subscription"),"",IFERROR(MAX($A$4:A125),0)+1)</x:f>
      </x:c>
      <x:c r="B126" s="332" t="str">
        <x:f>IF($A126="","","G-"&amp;TEXT(ROW('Game Records'!$A126)-4,"0000"))</x:f>
      </x:c>
      <x:c r="C126" s="331" t="str">
        <x:f>IF($A126="","",IFERROR('Game Records'!$A126,""))</x:f>
      </x:c>
      <x:c r="D126" s="331" t="str">
        <x:f>IF($A126="","",IFERROR('Game Records'!$U126,""))</x:f>
      </x:c>
      <x:c r="E126" s="331" t="str">
        <x:f>IF($A126="","",IF($F126="","No Highlighted Fields","Highlighted Fields Present"))</x:f>
      </x:c>
      <x:c r="F126" s="331" t="str">
        <x:f>IF($A126="","",IF('Game Records'!$B126="","Start Date; ","")&amp;IF('Game Records'!$C126="","End Date; ","")&amp;IF(AND('Game Records'!$U126&lt;&gt;"Subscription",'Game Records'!$U126&lt;&gt;"Free Game",'Game Records'!$U126&lt;&gt;"Disqualified — Free Game",OR('Game Records'!$D126="",LOWER('Game Records'!$D126&amp;"")="n/a")),"Entry Mode; ","")&amp;IF(AND('Game Records'!$U126&lt;&gt;"Subscription",'Game Records'!$U126&lt;&gt;"Free Game",'Game Records'!$U126&lt;&gt;"Disqualified — Free Game",OR('Game Records'!$E126="",LOWER('Game Records'!$E126&amp;"")="n/a")),"Game Type; ","")&amp;IF('Game Records'!$F126="","Payment Type; ","")&amp;IF(AND('Game Records'!$U126&lt;&gt;"Subscription",'Game Records'!$U126&lt;&gt;"Free Game",'Game Records'!$U126&lt;&gt;"Disqualified — Free Game",'Game Records'!$G126=""),"Gross Pot; ","")&amp;IF(AND('Game Records'!$U126&lt;&gt;"Free Game",'Game Records'!$U126&lt;&gt;"Disqualified — Free Game",'Game Records'!$H126=""),"Entry Fee; ","")&amp;IF(AND('Game Records'!$U126&lt;&gt;"Subscription",'Game Records'!$U126&lt;&gt;"Free Game",'Game Records'!$U126&lt;&gt;"Disqualified — Free Game",'Game Records'!$I126=""),"Eligible Players; ","")&amp;IF(AND('Game Records'!$U126&lt;&gt;"Subscription",'Game Records'!$U126&lt;&gt;"Free Game",'Game Records'!$U126&lt;&gt;"Disqualified — Free Game",'Game Records'!$J126=""),"Total Players; ","")&amp;IF(AND(LOWER('Game Records'!$D126&amp;"")="finalized",LOWER('Game Records'!$L126&amp;"")&lt;&gt;"yes",'Game Records'!$U126&lt;&gt;"Subscription",'Game Records'!$U126&lt;&gt;"Free Game",'Game Records'!$U126&lt;&gt;"Disqualified — Free Game",'Game Records'!$K126=""),"Final Earned; ","")&amp;IF(AND(LOWER('Game Records'!$D126&amp;"")="finalized",'Game Records'!$U126&lt;&gt;"Subscription",'Game Records'!$U126&lt;&gt;"Free Game",'Game Records'!$U126&lt;&gt;"Disqualified — Free Game",OR('Game Records'!$L126="",LOWER('Game Records'!$L126&amp;"")="n/a")),"Disqualified Status; ",""))</x:f>
      </x:c>
      <x:c r="G126" s="331" t="str">
        <x:f>IF($A126="","",IFERROR('Game Records'!$M126,""))</x:f>
      </x:c>
      <x:c r="H126" s="104"/>
      <x:c r="I126" s="104"/>
      <x:c r="J126" s="104"/>
    </x:row>
    <x:row r="127" ht="15" hidden="0" customHeight="1">
      <x:c r="A127" s="332" t="str">
        <x:f>IF(OR(COUNTA('Game Records'!$A127:$M127)=0,'Game Records'!$F127="Subscription"),"",IFERROR(MAX($A$4:A126),0)+1)</x:f>
      </x:c>
      <x:c r="B127" s="332" t="str">
        <x:f>IF($A127="","","G-"&amp;TEXT(ROW('Game Records'!$A127)-4,"0000"))</x:f>
      </x:c>
      <x:c r="C127" s="331" t="str">
        <x:f>IF($A127="","",IFERROR('Game Records'!$A127,""))</x:f>
      </x:c>
      <x:c r="D127" s="331" t="str">
        <x:f>IF($A127="","",IFERROR('Game Records'!$U127,""))</x:f>
      </x:c>
      <x:c r="E127" s="331" t="str">
        <x:f>IF($A127="","",IF($F127="","No Highlighted Fields","Highlighted Fields Present"))</x:f>
      </x:c>
      <x:c r="F127" s="331" t="str">
        <x:f>IF($A127="","",IF('Game Records'!$B127="","Start Date; ","")&amp;IF('Game Records'!$C127="","End Date; ","")&amp;IF(AND('Game Records'!$U127&lt;&gt;"Subscription",'Game Records'!$U127&lt;&gt;"Free Game",'Game Records'!$U127&lt;&gt;"Disqualified — Free Game",OR('Game Records'!$D127="",LOWER('Game Records'!$D127&amp;"")="n/a")),"Entry Mode; ","")&amp;IF(AND('Game Records'!$U127&lt;&gt;"Subscription",'Game Records'!$U127&lt;&gt;"Free Game",'Game Records'!$U127&lt;&gt;"Disqualified — Free Game",OR('Game Records'!$E127="",LOWER('Game Records'!$E127&amp;"")="n/a")),"Game Type; ","")&amp;IF('Game Records'!$F127="","Payment Type; ","")&amp;IF(AND('Game Records'!$U127&lt;&gt;"Subscription",'Game Records'!$U127&lt;&gt;"Free Game",'Game Records'!$U127&lt;&gt;"Disqualified — Free Game",'Game Records'!$G127=""),"Gross Pot; ","")&amp;IF(AND('Game Records'!$U127&lt;&gt;"Free Game",'Game Records'!$U127&lt;&gt;"Disqualified — Free Game",'Game Records'!$H127=""),"Entry Fee; ","")&amp;IF(AND('Game Records'!$U127&lt;&gt;"Subscription",'Game Records'!$U127&lt;&gt;"Free Game",'Game Records'!$U127&lt;&gt;"Disqualified — Free Game",'Game Records'!$I127=""),"Eligible Players; ","")&amp;IF(AND('Game Records'!$U127&lt;&gt;"Subscription",'Game Records'!$U127&lt;&gt;"Free Game",'Game Records'!$U127&lt;&gt;"Disqualified — Free Game",'Game Records'!$J127=""),"Total Players; ","")&amp;IF(AND(LOWER('Game Records'!$D127&amp;"")="finalized",LOWER('Game Records'!$L127&amp;"")&lt;&gt;"yes",'Game Records'!$U127&lt;&gt;"Subscription",'Game Records'!$U127&lt;&gt;"Free Game",'Game Records'!$U127&lt;&gt;"Disqualified — Free Game",'Game Records'!$K127=""),"Final Earned; ","")&amp;IF(AND(LOWER('Game Records'!$D127&amp;"")="finalized",'Game Records'!$U127&lt;&gt;"Subscription",'Game Records'!$U127&lt;&gt;"Free Game",'Game Records'!$U127&lt;&gt;"Disqualified — Free Game",OR('Game Records'!$L127="",LOWER('Game Records'!$L127&amp;"")="n/a")),"Disqualified Status; ",""))</x:f>
      </x:c>
      <x:c r="G127" s="331" t="str">
        <x:f>IF($A127="","",IFERROR('Game Records'!$M127,""))</x:f>
      </x:c>
      <x:c r="H127" s="104"/>
      <x:c r="I127" s="104"/>
      <x:c r="J127" s="104"/>
    </x:row>
    <x:row r="128" ht="15" hidden="0" customHeight="1">
      <x:c r="A128" s="332" t="str">
        <x:f>IF(OR(COUNTA('Game Records'!$A128:$M128)=0,'Game Records'!$F128="Subscription"),"",IFERROR(MAX($A$4:A127),0)+1)</x:f>
      </x:c>
      <x:c r="B128" s="332" t="str">
        <x:f>IF($A128="","","G-"&amp;TEXT(ROW('Game Records'!$A128)-4,"0000"))</x:f>
      </x:c>
      <x:c r="C128" s="331" t="str">
        <x:f>IF($A128="","",IFERROR('Game Records'!$A128,""))</x:f>
      </x:c>
      <x:c r="D128" s="331" t="str">
        <x:f>IF($A128="","",IFERROR('Game Records'!$U128,""))</x:f>
      </x:c>
      <x:c r="E128" s="331" t="str">
        <x:f>IF($A128="","",IF($F128="","No Highlighted Fields","Highlighted Fields Present"))</x:f>
      </x:c>
      <x:c r="F128" s="331" t="str">
        <x:f>IF($A128="","",IF('Game Records'!$B128="","Start Date; ","")&amp;IF('Game Records'!$C128="","End Date; ","")&amp;IF(AND('Game Records'!$U128&lt;&gt;"Subscription",'Game Records'!$U128&lt;&gt;"Free Game",'Game Records'!$U128&lt;&gt;"Disqualified — Free Game",OR('Game Records'!$D128="",LOWER('Game Records'!$D128&amp;"")="n/a")),"Entry Mode; ","")&amp;IF(AND('Game Records'!$U128&lt;&gt;"Subscription",'Game Records'!$U128&lt;&gt;"Free Game",'Game Records'!$U128&lt;&gt;"Disqualified — Free Game",OR('Game Records'!$E128="",LOWER('Game Records'!$E128&amp;"")="n/a")),"Game Type; ","")&amp;IF('Game Records'!$F128="","Payment Type; ","")&amp;IF(AND('Game Records'!$U128&lt;&gt;"Subscription",'Game Records'!$U128&lt;&gt;"Free Game",'Game Records'!$U128&lt;&gt;"Disqualified — Free Game",'Game Records'!$G128=""),"Gross Pot; ","")&amp;IF(AND('Game Records'!$U128&lt;&gt;"Free Game",'Game Records'!$U128&lt;&gt;"Disqualified — Free Game",'Game Records'!$H128=""),"Entry Fee; ","")&amp;IF(AND('Game Records'!$U128&lt;&gt;"Subscription",'Game Records'!$U128&lt;&gt;"Free Game",'Game Records'!$U128&lt;&gt;"Disqualified — Free Game",'Game Records'!$I128=""),"Eligible Players; ","")&amp;IF(AND('Game Records'!$U128&lt;&gt;"Subscription",'Game Records'!$U128&lt;&gt;"Free Game",'Game Records'!$U128&lt;&gt;"Disqualified — Free Game",'Game Records'!$J128=""),"Total Players; ","")&amp;IF(AND(LOWER('Game Records'!$D128&amp;"")="finalized",LOWER('Game Records'!$L128&amp;"")&lt;&gt;"yes",'Game Records'!$U128&lt;&gt;"Subscription",'Game Records'!$U128&lt;&gt;"Free Game",'Game Records'!$U128&lt;&gt;"Disqualified — Free Game",'Game Records'!$K128=""),"Final Earned; ","")&amp;IF(AND(LOWER('Game Records'!$D128&amp;"")="finalized",'Game Records'!$U128&lt;&gt;"Subscription",'Game Records'!$U128&lt;&gt;"Free Game",'Game Records'!$U128&lt;&gt;"Disqualified — Free Game",OR('Game Records'!$L128="",LOWER('Game Records'!$L128&amp;"")="n/a")),"Disqualified Status; ",""))</x:f>
      </x:c>
      <x:c r="G128" s="331" t="str">
        <x:f>IF($A128="","",IFERROR('Game Records'!$M128,""))</x:f>
      </x:c>
      <x:c r="H128" s="104"/>
      <x:c r="I128" s="104"/>
      <x:c r="J128" s="104"/>
    </x:row>
    <x:row r="129" ht="15" hidden="0" customHeight="1">
      <x:c r="A129" s="332" t="str">
        <x:f>IF(OR(COUNTA('Game Records'!$A129:$M129)=0,'Game Records'!$F129="Subscription"),"",IFERROR(MAX($A$4:A128),0)+1)</x:f>
      </x:c>
      <x:c r="B129" s="332" t="str">
        <x:f>IF($A129="","","G-"&amp;TEXT(ROW('Game Records'!$A129)-4,"0000"))</x:f>
      </x:c>
      <x:c r="C129" s="331" t="str">
        <x:f>IF($A129="","",IFERROR('Game Records'!$A129,""))</x:f>
      </x:c>
      <x:c r="D129" s="331" t="str">
        <x:f>IF($A129="","",IFERROR('Game Records'!$U129,""))</x:f>
      </x:c>
      <x:c r="E129" s="331" t="str">
        <x:f>IF($A129="","",IF($F129="","No Highlighted Fields","Highlighted Fields Present"))</x:f>
      </x:c>
      <x:c r="F129" s="331" t="str">
        <x:f>IF($A129="","",IF('Game Records'!$B129="","Start Date; ","")&amp;IF('Game Records'!$C129="","End Date; ","")&amp;IF(AND('Game Records'!$U129&lt;&gt;"Subscription",'Game Records'!$U129&lt;&gt;"Free Game",'Game Records'!$U129&lt;&gt;"Disqualified — Free Game",OR('Game Records'!$D129="",LOWER('Game Records'!$D129&amp;"")="n/a")),"Entry Mode; ","")&amp;IF(AND('Game Records'!$U129&lt;&gt;"Subscription",'Game Records'!$U129&lt;&gt;"Free Game",'Game Records'!$U129&lt;&gt;"Disqualified — Free Game",OR('Game Records'!$E129="",LOWER('Game Records'!$E129&amp;"")="n/a")),"Game Type; ","")&amp;IF('Game Records'!$F129="","Payment Type; ","")&amp;IF(AND('Game Records'!$U129&lt;&gt;"Subscription",'Game Records'!$U129&lt;&gt;"Free Game",'Game Records'!$U129&lt;&gt;"Disqualified — Free Game",'Game Records'!$G129=""),"Gross Pot; ","")&amp;IF(AND('Game Records'!$U129&lt;&gt;"Free Game",'Game Records'!$U129&lt;&gt;"Disqualified — Free Game",'Game Records'!$H129=""),"Entry Fee; ","")&amp;IF(AND('Game Records'!$U129&lt;&gt;"Subscription",'Game Records'!$U129&lt;&gt;"Free Game",'Game Records'!$U129&lt;&gt;"Disqualified — Free Game",'Game Records'!$I129=""),"Eligible Players; ","")&amp;IF(AND('Game Records'!$U129&lt;&gt;"Subscription",'Game Records'!$U129&lt;&gt;"Free Game",'Game Records'!$U129&lt;&gt;"Disqualified — Free Game",'Game Records'!$J129=""),"Total Players; ","")&amp;IF(AND(LOWER('Game Records'!$D129&amp;"")="finalized",LOWER('Game Records'!$L129&amp;"")&lt;&gt;"yes",'Game Records'!$U129&lt;&gt;"Subscription",'Game Records'!$U129&lt;&gt;"Free Game",'Game Records'!$U129&lt;&gt;"Disqualified — Free Game",'Game Records'!$K129=""),"Final Earned; ","")&amp;IF(AND(LOWER('Game Records'!$D129&amp;"")="finalized",'Game Records'!$U129&lt;&gt;"Subscription",'Game Records'!$U129&lt;&gt;"Free Game",'Game Records'!$U129&lt;&gt;"Disqualified — Free Game",OR('Game Records'!$L129="",LOWER('Game Records'!$L129&amp;"")="n/a")),"Disqualified Status; ",""))</x:f>
      </x:c>
      <x:c r="G129" s="331" t="str">
        <x:f>IF($A129="","",IFERROR('Game Records'!$M129,""))</x:f>
      </x:c>
      <x:c r="H129" s="104"/>
      <x:c r="I129" s="104"/>
      <x:c r="J129" s="104"/>
    </x:row>
    <x:row r="130" ht="15" hidden="0" customHeight="1">
      <x:c r="A130" s="332" t="str">
        <x:f>IF(OR(COUNTA('Game Records'!$A130:$M130)=0,'Game Records'!$F130="Subscription"),"",IFERROR(MAX($A$4:A129),0)+1)</x:f>
      </x:c>
      <x:c r="B130" s="332" t="str">
        <x:f>IF($A130="","","G-"&amp;TEXT(ROW('Game Records'!$A130)-4,"0000"))</x:f>
      </x:c>
      <x:c r="C130" s="331" t="str">
        <x:f>IF($A130="","",IFERROR('Game Records'!$A130,""))</x:f>
      </x:c>
      <x:c r="D130" s="331" t="str">
        <x:f>IF($A130="","",IFERROR('Game Records'!$U130,""))</x:f>
      </x:c>
      <x:c r="E130" s="331" t="str">
        <x:f>IF($A130="","",IF($F130="","No Highlighted Fields","Highlighted Fields Present"))</x:f>
      </x:c>
      <x:c r="F130" s="331" t="str">
        <x:f>IF($A130="","",IF('Game Records'!$B130="","Start Date; ","")&amp;IF('Game Records'!$C130="","End Date; ","")&amp;IF(AND('Game Records'!$U130&lt;&gt;"Subscription",'Game Records'!$U130&lt;&gt;"Free Game",'Game Records'!$U130&lt;&gt;"Disqualified — Free Game",OR('Game Records'!$D130="",LOWER('Game Records'!$D130&amp;"")="n/a")),"Entry Mode; ","")&amp;IF(AND('Game Records'!$U130&lt;&gt;"Subscription",'Game Records'!$U130&lt;&gt;"Free Game",'Game Records'!$U130&lt;&gt;"Disqualified — Free Game",OR('Game Records'!$E130="",LOWER('Game Records'!$E130&amp;"")="n/a")),"Game Type; ","")&amp;IF('Game Records'!$F130="","Payment Type; ","")&amp;IF(AND('Game Records'!$U130&lt;&gt;"Subscription",'Game Records'!$U130&lt;&gt;"Free Game",'Game Records'!$U130&lt;&gt;"Disqualified — Free Game",'Game Records'!$G130=""),"Gross Pot; ","")&amp;IF(AND('Game Records'!$U130&lt;&gt;"Free Game",'Game Records'!$U130&lt;&gt;"Disqualified — Free Game",'Game Records'!$H130=""),"Entry Fee; ","")&amp;IF(AND('Game Records'!$U130&lt;&gt;"Subscription",'Game Records'!$U130&lt;&gt;"Free Game",'Game Records'!$U130&lt;&gt;"Disqualified — Free Game",'Game Records'!$I130=""),"Eligible Players; ","")&amp;IF(AND('Game Records'!$U130&lt;&gt;"Subscription",'Game Records'!$U130&lt;&gt;"Free Game",'Game Records'!$U130&lt;&gt;"Disqualified — Free Game",'Game Records'!$J130=""),"Total Players; ","")&amp;IF(AND(LOWER('Game Records'!$D130&amp;"")="finalized",LOWER('Game Records'!$L130&amp;"")&lt;&gt;"yes",'Game Records'!$U130&lt;&gt;"Subscription",'Game Records'!$U130&lt;&gt;"Free Game",'Game Records'!$U130&lt;&gt;"Disqualified — Free Game",'Game Records'!$K130=""),"Final Earned; ","")&amp;IF(AND(LOWER('Game Records'!$D130&amp;"")="finalized",'Game Records'!$U130&lt;&gt;"Subscription",'Game Records'!$U130&lt;&gt;"Free Game",'Game Records'!$U130&lt;&gt;"Disqualified — Free Game",OR('Game Records'!$L130="",LOWER('Game Records'!$L130&amp;"")="n/a")),"Disqualified Status; ",""))</x:f>
      </x:c>
      <x:c r="G130" s="331" t="str">
        <x:f>IF($A130="","",IFERROR('Game Records'!$M130,""))</x:f>
      </x:c>
      <x:c r="H130" s="104"/>
      <x:c r="I130" s="104"/>
      <x:c r="J130" s="104"/>
    </x:row>
    <x:row r="131" ht="15" hidden="0" customHeight="1">
      <x:c r="A131" s="332" t="str">
        <x:f>IF(OR(COUNTA('Game Records'!$A131:$M131)=0,'Game Records'!$F131="Subscription"),"",IFERROR(MAX($A$4:A130),0)+1)</x:f>
      </x:c>
      <x:c r="B131" s="332" t="str">
        <x:f>IF($A131="","","G-"&amp;TEXT(ROW('Game Records'!$A131)-4,"0000"))</x:f>
      </x:c>
      <x:c r="C131" s="331" t="str">
        <x:f>IF($A131="","",IFERROR('Game Records'!$A131,""))</x:f>
      </x:c>
      <x:c r="D131" s="331" t="str">
        <x:f>IF($A131="","",IFERROR('Game Records'!$U131,""))</x:f>
      </x:c>
      <x:c r="E131" s="331" t="str">
        <x:f>IF($A131="","",IF($F131="","No Highlighted Fields","Highlighted Fields Present"))</x:f>
      </x:c>
      <x:c r="F131" s="331" t="str">
        <x:f>IF($A131="","",IF('Game Records'!$B131="","Start Date; ","")&amp;IF('Game Records'!$C131="","End Date; ","")&amp;IF(AND('Game Records'!$U131&lt;&gt;"Subscription",'Game Records'!$U131&lt;&gt;"Free Game",'Game Records'!$U131&lt;&gt;"Disqualified — Free Game",OR('Game Records'!$D131="",LOWER('Game Records'!$D131&amp;"")="n/a")),"Entry Mode; ","")&amp;IF(AND('Game Records'!$U131&lt;&gt;"Subscription",'Game Records'!$U131&lt;&gt;"Free Game",'Game Records'!$U131&lt;&gt;"Disqualified — Free Game",OR('Game Records'!$E131="",LOWER('Game Records'!$E131&amp;"")="n/a")),"Game Type; ","")&amp;IF('Game Records'!$F131="","Payment Type; ","")&amp;IF(AND('Game Records'!$U131&lt;&gt;"Subscription",'Game Records'!$U131&lt;&gt;"Free Game",'Game Records'!$U131&lt;&gt;"Disqualified — Free Game",'Game Records'!$G131=""),"Gross Pot; ","")&amp;IF(AND('Game Records'!$U131&lt;&gt;"Free Game",'Game Records'!$U131&lt;&gt;"Disqualified — Free Game",'Game Records'!$H131=""),"Entry Fee; ","")&amp;IF(AND('Game Records'!$U131&lt;&gt;"Subscription",'Game Records'!$U131&lt;&gt;"Free Game",'Game Records'!$U131&lt;&gt;"Disqualified — Free Game",'Game Records'!$I131=""),"Eligible Players; ","")&amp;IF(AND('Game Records'!$U131&lt;&gt;"Subscription",'Game Records'!$U131&lt;&gt;"Free Game",'Game Records'!$U131&lt;&gt;"Disqualified — Free Game",'Game Records'!$J131=""),"Total Players; ","")&amp;IF(AND(LOWER('Game Records'!$D131&amp;"")="finalized",LOWER('Game Records'!$L131&amp;"")&lt;&gt;"yes",'Game Records'!$U131&lt;&gt;"Subscription",'Game Records'!$U131&lt;&gt;"Free Game",'Game Records'!$U131&lt;&gt;"Disqualified — Free Game",'Game Records'!$K131=""),"Final Earned; ","")&amp;IF(AND(LOWER('Game Records'!$D131&amp;"")="finalized",'Game Records'!$U131&lt;&gt;"Subscription",'Game Records'!$U131&lt;&gt;"Free Game",'Game Records'!$U131&lt;&gt;"Disqualified — Free Game",OR('Game Records'!$L131="",LOWER('Game Records'!$L131&amp;"")="n/a")),"Disqualified Status; ",""))</x:f>
      </x:c>
      <x:c r="G131" s="331" t="str">
        <x:f>IF($A131="","",IFERROR('Game Records'!$M131,""))</x:f>
      </x:c>
      <x:c r="H131" s="104"/>
      <x:c r="I131" s="104"/>
      <x:c r="J131" s="104"/>
    </x:row>
    <x:row r="132" ht="15" hidden="0" customHeight="1">
      <x:c r="A132" s="332" t="str">
        <x:f>IF(OR(COUNTA('Game Records'!$A132:$M132)=0,'Game Records'!$F132="Subscription"),"",IFERROR(MAX($A$4:A131),0)+1)</x:f>
      </x:c>
      <x:c r="B132" s="332" t="str">
        <x:f>IF($A132="","","G-"&amp;TEXT(ROW('Game Records'!$A132)-4,"0000"))</x:f>
      </x:c>
      <x:c r="C132" s="331" t="str">
        <x:f>IF($A132="","",IFERROR('Game Records'!$A132,""))</x:f>
      </x:c>
      <x:c r="D132" s="331" t="str">
        <x:f>IF($A132="","",IFERROR('Game Records'!$U132,""))</x:f>
      </x:c>
      <x:c r="E132" s="331" t="str">
        <x:f>IF($A132="","",IF($F132="","No Highlighted Fields","Highlighted Fields Present"))</x:f>
      </x:c>
      <x:c r="F132" s="331" t="str">
        <x:f>IF($A132="","",IF('Game Records'!$B132="","Start Date; ","")&amp;IF('Game Records'!$C132="","End Date; ","")&amp;IF(AND('Game Records'!$U132&lt;&gt;"Subscription",'Game Records'!$U132&lt;&gt;"Free Game",'Game Records'!$U132&lt;&gt;"Disqualified — Free Game",OR('Game Records'!$D132="",LOWER('Game Records'!$D132&amp;"")="n/a")),"Entry Mode; ","")&amp;IF(AND('Game Records'!$U132&lt;&gt;"Subscription",'Game Records'!$U132&lt;&gt;"Free Game",'Game Records'!$U132&lt;&gt;"Disqualified — Free Game",OR('Game Records'!$E132="",LOWER('Game Records'!$E132&amp;"")="n/a")),"Game Type; ","")&amp;IF('Game Records'!$F132="","Payment Type; ","")&amp;IF(AND('Game Records'!$U132&lt;&gt;"Subscription",'Game Records'!$U132&lt;&gt;"Free Game",'Game Records'!$U132&lt;&gt;"Disqualified — Free Game",'Game Records'!$G132=""),"Gross Pot; ","")&amp;IF(AND('Game Records'!$U132&lt;&gt;"Free Game",'Game Records'!$U132&lt;&gt;"Disqualified — Free Game",'Game Records'!$H132=""),"Entry Fee; ","")&amp;IF(AND('Game Records'!$U132&lt;&gt;"Subscription",'Game Records'!$U132&lt;&gt;"Free Game",'Game Records'!$U132&lt;&gt;"Disqualified — Free Game",'Game Records'!$I132=""),"Eligible Players; ","")&amp;IF(AND('Game Records'!$U132&lt;&gt;"Subscription",'Game Records'!$U132&lt;&gt;"Free Game",'Game Records'!$U132&lt;&gt;"Disqualified — Free Game",'Game Records'!$J132=""),"Total Players; ","")&amp;IF(AND(LOWER('Game Records'!$D132&amp;"")="finalized",LOWER('Game Records'!$L132&amp;"")&lt;&gt;"yes",'Game Records'!$U132&lt;&gt;"Subscription",'Game Records'!$U132&lt;&gt;"Free Game",'Game Records'!$U132&lt;&gt;"Disqualified — Free Game",'Game Records'!$K132=""),"Final Earned; ","")&amp;IF(AND(LOWER('Game Records'!$D132&amp;"")="finalized",'Game Records'!$U132&lt;&gt;"Subscription",'Game Records'!$U132&lt;&gt;"Free Game",'Game Records'!$U132&lt;&gt;"Disqualified — Free Game",OR('Game Records'!$L132="",LOWER('Game Records'!$L132&amp;"")="n/a")),"Disqualified Status; ",""))</x:f>
      </x:c>
      <x:c r="G132" s="331" t="str">
        <x:f>IF($A132="","",IFERROR('Game Records'!$M132,""))</x:f>
      </x:c>
      <x:c r="H132" s="104"/>
      <x:c r="I132" s="104"/>
      <x:c r="J132" s="104"/>
    </x:row>
    <x:row r="133" ht="15" hidden="0" customHeight="1">
      <x:c r="A133" s="332" t="str">
        <x:f>IF(OR(COUNTA('Game Records'!$A133:$M133)=0,'Game Records'!$F133="Subscription"),"",IFERROR(MAX($A$4:A132),0)+1)</x:f>
      </x:c>
      <x:c r="B133" s="332" t="str">
        <x:f>IF($A133="","","G-"&amp;TEXT(ROW('Game Records'!$A133)-4,"0000"))</x:f>
      </x:c>
      <x:c r="C133" s="331" t="str">
        <x:f>IF($A133="","",IFERROR('Game Records'!$A133,""))</x:f>
      </x:c>
      <x:c r="D133" s="331" t="str">
        <x:f>IF($A133="","",IFERROR('Game Records'!$U133,""))</x:f>
      </x:c>
      <x:c r="E133" s="331" t="str">
        <x:f>IF($A133="","",IF($F133="","No Highlighted Fields","Highlighted Fields Present"))</x:f>
      </x:c>
      <x:c r="F133" s="331" t="str">
        <x:f>IF($A133="","",IF('Game Records'!$B133="","Start Date; ","")&amp;IF('Game Records'!$C133="","End Date; ","")&amp;IF(AND('Game Records'!$U133&lt;&gt;"Subscription",'Game Records'!$U133&lt;&gt;"Free Game",'Game Records'!$U133&lt;&gt;"Disqualified — Free Game",OR('Game Records'!$D133="",LOWER('Game Records'!$D133&amp;"")="n/a")),"Entry Mode; ","")&amp;IF(AND('Game Records'!$U133&lt;&gt;"Subscription",'Game Records'!$U133&lt;&gt;"Free Game",'Game Records'!$U133&lt;&gt;"Disqualified — Free Game",OR('Game Records'!$E133="",LOWER('Game Records'!$E133&amp;"")="n/a")),"Game Type; ","")&amp;IF('Game Records'!$F133="","Payment Type; ","")&amp;IF(AND('Game Records'!$U133&lt;&gt;"Subscription",'Game Records'!$U133&lt;&gt;"Free Game",'Game Records'!$U133&lt;&gt;"Disqualified — Free Game",'Game Records'!$G133=""),"Gross Pot; ","")&amp;IF(AND('Game Records'!$U133&lt;&gt;"Free Game",'Game Records'!$U133&lt;&gt;"Disqualified — Free Game",'Game Records'!$H133=""),"Entry Fee; ","")&amp;IF(AND('Game Records'!$U133&lt;&gt;"Subscription",'Game Records'!$U133&lt;&gt;"Free Game",'Game Records'!$U133&lt;&gt;"Disqualified — Free Game",'Game Records'!$I133=""),"Eligible Players; ","")&amp;IF(AND('Game Records'!$U133&lt;&gt;"Subscription",'Game Records'!$U133&lt;&gt;"Free Game",'Game Records'!$U133&lt;&gt;"Disqualified — Free Game",'Game Records'!$J133=""),"Total Players; ","")&amp;IF(AND(LOWER('Game Records'!$D133&amp;"")="finalized",LOWER('Game Records'!$L133&amp;"")&lt;&gt;"yes",'Game Records'!$U133&lt;&gt;"Subscription",'Game Records'!$U133&lt;&gt;"Free Game",'Game Records'!$U133&lt;&gt;"Disqualified — Free Game",'Game Records'!$K133=""),"Final Earned; ","")&amp;IF(AND(LOWER('Game Records'!$D133&amp;"")="finalized",'Game Records'!$U133&lt;&gt;"Subscription",'Game Records'!$U133&lt;&gt;"Free Game",'Game Records'!$U133&lt;&gt;"Disqualified — Free Game",OR('Game Records'!$L133="",LOWER('Game Records'!$L133&amp;"")="n/a")),"Disqualified Status; ",""))</x:f>
      </x:c>
      <x:c r="G133" s="331" t="str">
        <x:f>IF($A133="","",IFERROR('Game Records'!$M133,""))</x:f>
      </x:c>
      <x:c r="H133" s="104"/>
      <x:c r="I133" s="104"/>
      <x:c r="J133" s="104"/>
    </x:row>
    <x:row r="134" ht="15" hidden="0" customHeight="1">
      <x:c r="A134" s="332" t="str">
        <x:f>IF(OR(COUNTA('Game Records'!$A134:$M134)=0,'Game Records'!$F134="Subscription"),"",IFERROR(MAX($A$4:A133),0)+1)</x:f>
      </x:c>
      <x:c r="B134" s="332" t="str">
        <x:f>IF($A134="","","G-"&amp;TEXT(ROW('Game Records'!$A134)-4,"0000"))</x:f>
      </x:c>
      <x:c r="C134" s="331" t="str">
        <x:f>IF($A134="","",IFERROR('Game Records'!$A134,""))</x:f>
      </x:c>
      <x:c r="D134" s="331" t="str">
        <x:f>IF($A134="","",IFERROR('Game Records'!$U134,""))</x:f>
      </x:c>
      <x:c r="E134" s="331" t="str">
        <x:f>IF($A134="","",IF($F134="","No Highlighted Fields","Highlighted Fields Present"))</x:f>
      </x:c>
      <x:c r="F134" s="331" t="str">
        <x:f>IF($A134="","",IF('Game Records'!$B134="","Start Date; ","")&amp;IF('Game Records'!$C134="","End Date; ","")&amp;IF(AND('Game Records'!$U134&lt;&gt;"Subscription",'Game Records'!$U134&lt;&gt;"Free Game",'Game Records'!$U134&lt;&gt;"Disqualified — Free Game",OR('Game Records'!$D134="",LOWER('Game Records'!$D134&amp;"")="n/a")),"Entry Mode; ","")&amp;IF(AND('Game Records'!$U134&lt;&gt;"Subscription",'Game Records'!$U134&lt;&gt;"Free Game",'Game Records'!$U134&lt;&gt;"Disqualified — Free Game",OR('Game Records'!$E134="",LOWER('Game Records'!$E134&amp;"")="n/a")),"Game Type; ","")&amp;IF('Game Records'!$F134="","Payment Type; ","")&amp;IF(AND('Game Records'!$U134&lt;&gt;"Subscription",'Game Records'!$U134&lt;&gt;"Free Game",'Game Records'!$U134&lt;&gt;"Disqualified — Free Game",'Game Records'!$G134=""),"Gross Pot; ","")&amp;IF(AND('Game Records'!$U134&lt;&gt;"Free Game",'Game Records'!$U134&lt;&gt;"Disqualified — Free Game",'Game Records'!$H134=""),"Entry Fee; ","")&amp;IF(AND('Game Records'!$U134&lt;&gt;"Subscription",'Game Records'!$U134&lt;&gt;"Free Game",'Game Records'!$U134&lt;&gt;"Disqualified — Free Game",'Game Records'!$I134=""),"Eligible Players; ","")&amp;IF(AND('Game Records'!$U134&lt;&gt;"Subscription",'Game Records'!$U134&lt;&gt;"Free Game",'Game Records'!$U134&lt;&gt;"Disqualified — Free Game",'Game Records'!$J134=""),"Total Players; ","")&amp;IF(AND(LOWER('Game Records'!$D134&amp;"")="finalized",LOWER('Game Records'!$L134&amp;"")&lt;&gt;"yes",'Game Records'!$U134&lt;&gt;"Subscription",'Game Records'!$U134&lt;&gt;"Free Game",'Game Records'!$U134&lt;&gt;"Disqualified — Free Game",'Game Records'!$K134=""),"Final Earned; ","")&amp;IF(AND(LOWER('Game Records'!$D134&amp;"")="finalized",'Game Records'!$U134&lt;&gt;"Subscription",'Game Records'!$U134&lt;&gt;"Free Game",'Game Records'!$U134&lt;&gt;"Disqualified — Free Game",OR('Game Records'!$L134="",LOWER('Game Records'!$L134&amp;"")="n/a")),"Disqualified Status; ",""))</x:f>
      </x:c>
      <x:c r="G134" s="331" t="str">
        <x:f>IF($A134="","",IFERROR('Game Records'!$M134,""))</x:f>
      </x:c>
      <x:c r="H134" s="104"/>
      <x:c r="I134" s="104"/>
      <x:c r="J134" s="104"/>
    </x:row>
    <x:row r="135" ht="15" hidden="0" customHeight="1">
      <x:c r="A135" s="332" t="str">
        <x:f>IF(OR(COUNTA('Game Records'!$A135:$M135)=0,'Game Records'!$F135="Subscription"),"",IFERROR(MAX($A$4:A134),0)+1)</x:f>
      </x:c>
      <x:c r="B135" s="332" t="str">
        <x:f>IF($A135="","","G-"&amp;TEXT(ROW('Game Records'!$A135)-4,"0000"))</x:f>
      </x:c>
      <x:c r="C135" s="331" t="str">
        <x:f>IF($A135="","",IFERROR('Game Records'!$A135,""))</x:f>
      </x:c>
      <x:c r="D135" s="331" t="str">
        <x:f>IF($A135="","",IFERROR('Game Records'!$U135,""))</x:f>
      </x:c>
      <x:c r="E135" s="331" t="str">
        <x:f>IF($A135="","",IF($F135="","No Highlighted Fields","Highlighted Fields Present"))</x:f>
      </x:c>
      <x:c r="F135" s="331" t="str">
        <x:f>IF($A135="","",IF('Game Records'!$B135="","Start Date; ","")&amp;IF('Game Records'!$C135="","End Date; ","")&amp;IF(AND('Game Records'!$U135&lt;&gt;"Subscription",'Game Records'!$U135&lt;&gt;"Free Game",'Game Records'!$U135&lt;&gt;"Disqualified — Free Game",OR('Game Records'!$D135="",LOWER('Game Records'!$D135&amp;"")="n/a")),"Entry Mode; ","")&amp;IF(AND('Game Records'!$U135&lt;&gt;"Subscription",'Game Records'!$U135&lt;&gt;"Free Game",'Game Records'!$U135&lt;&gt;"Disqualified — Free Game",OR('Game Records'!$E135="",LOWER('Game Records'!$E135&amp;"")="n/a")),"Game Type; ","")&amp;IF('Game Records'!$F135="","Payment Type; ","")&amp;IF(AND('Game Records'!$U135&lt;&gt;"Subscription",'Game Records'!$U135&lt;&gt;"Free Game",'Game Records'!$U135&lt;&gt;"Disqualified — Free Game",'Game Records'!$G135=""),"Gross Pot; ","")&amp;IF(AND('Game Records'!$U135&lt;&gt;"Free Game",'Game Records'!$U135&lt;&gt;"Disqualified — Free Game",'Game Records'!$H135=""),"Entry Fee; ","")&amp;IF(AND('Game Records'!$U135&lt;&gt;"Subscription",'Game Records'!$U135&lt;&gt;"Free Game",'Game Records'!$U135&lt;&gt;"Disqualified — Free Game",'Game Records'!$I135=""),"Eligible Players; ","")&amp;IF(AND('Game Records'!$U135&lt;&gt;"Subscription",'Game Records'!$U135&lt;&gt;"Free Game",'Game Records'!$U135&lt;&gt;"Disqualified — Free Game",'Game Records'!$J135=""),"Total Players; ","")&amp;IF(AND(LOWER('Game Records'!$D135&amp;"")="finalized",LOWER('Game Records'!$L135&amp;"")&lt;&gt;"yes",'Game Records'!$U135&lt;&gt;"Subscription",'Game Records'!$U135&lt;&gt;"Free Game",'Game Records'!$U135&lt;&gt;"Disqualified — Free Game",'Game Records'!$K135=""),"Final Earned; ","")&amp;IF(AND(LOWER('Game Records'!$D135&amp;"")="finalized",'Game Records'!$U135&lt;&gt;"Subscription",'Game Records'!$U135&lt;&gt;"Free Game",'Game Records'!$U135&lt;&gt;"Disqualified — Free Game",OR('Game Records'!$L135="",LOWER('Game Records'!$L135&amp;"")="n/a")),"Disqualified Status; ",""))</x:f>
      </x:c>
      <x:c r="G135" s="331" t="str">
        <x:f>IF($A135="","",IFERROR('Game Records'!$M135,""))</x:f>
      </x:c>
      <x:c r="H135" s="104"/>
      <x:c r="I135" s="104"/>
      <x:c r="J135" s="104"/>
    </x:row>
    <x:row r="136" ht="15" hidden="0" customHeight="1">
      <x:c r="A136" s="332" t="str">
        <x:f>IF(OR(COUNTA('Game Records'!$A136:$M136)=0,'Game Records'!$F136="Subscription"),"",IFERROR(MAX($A$4:A135),0)+1)</x:f>
      </x:c>
      <x:c r="B136" s="332" t="str">
        <x:f>IF($A136="","","G-"&amp;TEXT(ROW('Game Records'!$A136)-4,"0000"))</x:f>
      </x:c>
      <x:c r="C136" s="331" t="str">
        <x:f>IF($A136="","",IFERROR('Game Records'!$A136,""))</x:f>
      </x:c>
      <x:c r="D136" s="331" t="str">
        <x:f>IF($A136="","",IFERROR('Game Records'!$U136,""))</x:f>
      </x:c>
      <x:c r="E136" s="331" t="str">
        <x:f>IF($A136="","",IF($F136="","No Highlighted Fields","Highlighted Fields Present"))</x:f>
      </x:c>
      <x:c r="F136" s="331" t="str">
        <x:f>IF($A136="","",IF('Game Records'!$B136="","Start Date; ","")&amp;IF('Game Records'!$C136="","End Date; ","")&amp;IF(AND('Game Records'!$U136&lt;&gt;"Subscription",'Game Records'!$U136&lt;&gt;"Free Game",'Game Records'!$U136&lt;&gt;"Disqualified — Free Game",OR('Game Records'!$D136="",LOWER('Game Records'!$D136&amp;"")="n/a")),"Entry Mode; ","")&amp;IF(AND('Game Records'!$U136&lt;&gt;"Subscription",'Game Records'!$U136&lt;&gt;"Free Game",'Game Records'!$U136&lt;&gt;"Disqualified — Free Game",OR('Game Records'!$E136="",LOWER('Game Records'!$E136&amp;"")="n/a")),"Game Type; ","")&amp;IF('Game Records'!$F136="","Payment Type; ","")&amp;IF(AND('Game Records'!$U136&lt;&gt;"Subscription",'Game Records'!$U136&lt;&gt;"Free Game",'Game Records'!$U136&lt;&gt;"Disqualified — Free Game",'Game Records'!$G136=""),"Gross Pot; ","")&amp;IF(AND('Game Records'!$U136&lt;&gt;"Free Game",'Game Records'!$U136&lt;&gt;"Disqualified — Free Game",'Game Records'!$H136=""),"Entry Fee; ","")&amp;IF(AND('Game Records'!$U136&lt;&gt;"Subscription",'Game Records'!$U136&lt;&gt;"Free Game",'Game Records'!$U136&lt;&gt;"Disqualified — Free Game",'Game Records'!$I136=""),"Eligible Players; ","")&amp;IF(AND('Game Records'!$U136&lt;&gt;"Subscription",'Game Records'!$U136&lt;&gt;"Free Game",'Game Records'!$U136&lt;&gt;"Disqualified — Free Game",'Game Records'!$J136=""),"Total Players; ","")&amp;IF(AND(LOWER('Game Records'!$D136&amp;"")="finalized",LOWER('Game Records'!$L136&amp;"")&lt;&gt;"yes",'Game Records'!$U136&lt;&gt;"Subscription",'Game Records'!$U136&lt;&gt;"Free Game",'Game Records'!$U136&lt;&gt;"Disqualified — Free Game",'Game Records'!$K136=""),"Final Earned; ","")&amp;IF(AND(LOWER('Game Records'!$D136&amp;"")="finalized",'Game Records'!$U136&lt;&gt;"Subscription",'Game Records'!$U136&lt;&gt;"Free Game",'Game Records'!$U136&lt;&gt;"Disqualified — Free Game",OR('Game Records'!$L136="",LOWER('Game Records'!$L136&amp;"")="n/a")),"Disqualified Status; ",""))</x:f>
      </x:c>
      <x:c r="G136" s="331" t="str">
        <x:f>IF($A136="","",IFERROR('Game Records'!$M136,""))</x:f>
      </x:c>
      <x:c r="H136" s="104"/>
      <x:c r="I136" s="104"/>
      <x:c r="J136" s="104"/>
    </x:row>
    <x:row r="137" ht="15" hidden="0" customHeight="1">
      <x:c r="A137" s="332" t="str">
        <x:f>IF(OR(COUNTA('Game Records'!$A137:$M137)=0,'Game Records'!$F137="Subscription"),"",IFERROR(MAX($A$4:A136),0)+1)</x:f>
      </x:c>
      <x:c r="B137" s="332" t="str">
        <x:f>IF($A137="","","G-"&amp;TEXT(ROW('Game Records'!$A137)-4,"0000"))</x:f>
      </x:c>
      <x:c r="C137" s="331" t="str">
        <x:f>IF($A137="","",IFERROR('Game Records'!$A137,""))</x:f>
      </x:c>
      <x:c r="D137" s="331" t="str">
        <x:f>IF($A137="","",IFERROR('Game Records'!$U137,""))</x:f>
      </x:c>
      <x:c r="E137" s="331" t="str">
        <x:f>IF($A137="","",IF($F137="","No Highlighted Fields","Highlighted Fields Present"))</x:f>
      </x:c>
      <x:c r="F137" s="331" t="str">
        <x:f>IF($A137="","",IF('Game Records'!$B137="","Start Date; ","")&amp;IF('Game Records'!$C137="","End Date; ","")&amp;IF(AND('Game Records'!$U137&lt;&gt;"Subscription",'Game Records'!$U137&lt;&gt;"Free Game",'Game Records'!$U137&lt;&gt;"Disqualified — Free Game",OR('Game Records'!$D137="",LOWER('Game Records'!$D137&amp;"")="n/a")),"Entry Mode; ","")&amp;IF(AND('Game Records'!$U137&lt;&gt;"Subscription",'Game Records'!$U137&lt;&gt;"Free Game",'Game Records'!$U137&lt;&gt;"Disqualified — Free Game",OR('Game Records'!$E137="",LOWER('Game Records'!$E137&amp;"")="n/a")),"Game Type; ","")&amp;IF('Game Records'!$F137="","Payment Type; ","")&amp;IF(AND('Game Records'!$U137&lt;&gt;"Subscription",'Game Records'!$U137&lt;&gt;"Free Game",'Game Records'!$U137&lt;&gt;"Disqualified — Free Game",'Game Records'!$G137=""),"Gross Pot; ","")&amp;IF(AND('Game Records'!$U137&lt;&gt;"Free Game",'Game Records'!$U137&lt;&gt;"Disqualified — Free Game",'Game Records'!$H137=""),"Entry Fee; ","")&amp;IF(AND('Game Records'!$U137&lt;&gt;"Subscription",'Game Records'!$U137&lt;&gt;"Free Game",'Game Records'!$U137&lt;&gt;"Disqualified — Free Game",'Game Records'!$I137=""),"Eligible Players; ","")&amp;IF(AND('Game Records'!$U137&lt;&gt;"Subscription",'Game Records'!$U137&lt;&gt;"Free Game",'Game Records'!$U137&lt;&gt;"Disqualified — Free Game",'Game Records'!$J137=""),"Total Players; ","")&amp;IF(AND(LOWER('Game Records'!$D137&amp;"")="finalized",LOWER('Game Records'!$L137&amp;"")&lt;&gt;"yes",'Game Records'!$U137&lt;&gt;"Subscription",'Game Records'!$U137&lt;&gt;"Free Game",'Game Records'!$U137&lt;&gt;"Disqualified — Free Game",'Game Records'!$K137=""),"Final Earned; ","")&amp;IF(AND(LOWER('Game Records'!$D137&amp;"")="finalized",'Game Records'!$U137&lt;&gt;"Subscription",'Game Records'!$U137&lt;&gt;"Free Game",'Game Records'!$U137&lt;&gt;"Disqualified — Free Game",OR('Game Records'!$L137="",LOWER('Game Records'!$L137&amp;"")="n/a")),"Disqualified Status; ",""))</x:f>
      </x:c>
      <x:c r="G137" s="331" t="str">
        <x:f>IF($A137="","",IFERROR('Game Records'!$M137,""))</x:f>
      </x:c>
      <x:c r="H137" s="104"/>
      <x:c r="I137" s="104"/>
      <x:c r="J137" s="104"/>
    </x:row>
    <x:row r="138" ht="15" hidden="0" customHeight="1">
      <x:c r="A138" s="332" t="str">
        <x:f>IF(OR(COUNTA('Game Records'!$A138:$M138)=0,'Game Records'!$F138="Subscription"),"",IFERROR(MAX($A$4:A137),0)+1)</x:f>
      </x:c>
      <x:c r="B138" s="332" t="str">
        <x:f>IF($A138="","","G-"&amp;TEXT(ROW('Game Records'!$A138)-4,"0000"))</x:f>
      </x:c>
      <x:c r="C138" s="331" t="str">
        <x:f>IF($A138="","",IFERROR('Game Records'!$A138,""))</x:f>
      </x:c>
      <x:c r="D138" s="331" t="str">
        <x:f>IF($A138="","",IFERROR('Game Records'!$U138,""))</x:f>
      </x:c>
      <x:c r="E138" s="331" t="str">
        <x:f>IF($A138="","",IF($F138="","No Highlighted Fields","Highlighted Fields Present"))</x:f>
      </x:c>
      <x:c r="F138" s="331" t="str">
        <x:f>IF($A138="","",IF('Game Records'!$B138="","Start Date; ","")&amp;IF('Game Records'!$C138="","End Date; ","")&amp;IF(AND('Game Records'!$U138&lt;&gt;"Subscription",'Game Records'!$U138&lt;&gt;"Free Game",'Game Records'!$U138&lt;&gt;"Disqualified — Free Game",OR('Game Records'!$D138="",LOWER('Game Records'!$D138&amp;"")="n/a")),"Entry Mode; ","")&amp;IF(AND('Game Records'!$U138&lt;&gt;"Subscription",'Game Records'!$U138&lt;&gt;"Free Game",'Game Records'!$U138&lt;&gt;"Disqualified — Free Game",OR('Game Records'!$E138="",LOWER('Game Records'!$E138&amp;"")="n/a")),"Game Type; ","")&amp;IF('Game Records'!$F138="","Payment Type; ","")&amp;IF(AND('Game Records'!$U138&lt;&gt;"Subscription",'Game Records'!$U138&lt;&gt;"Free Game",'Game Records'!$U138&lt;&gt;"Disqualified — Free Game",'Game Records'!$G138=""),"Gross Pot; ","")&amp;IF(AND('Game Records'!$U138&lt;&gt;"Free Game",'Game Records'!$U138&lt;&gt;"Disqualified — Free Game",'Game Records'!$H138=""),"Entry Fee; ","")&amp;IF(AND('Game Records'!$U138&lt;&gt;"Subscription",'Game Records'!$U138&lt;&gt;"Free Game",'Game Records'!$U138&lt;&gt;"Disqualified — Free Game",'Game Records'!$I138=""),"Eligible Players; ","")&amp;IF(AND('Game Records'!$U138&lt;&gt;"Subscription",'Game Records'!$U138&lt;&gt;"Free Game",'Game Records'!$U138&lt;&gt;"Disqualified — Free Game",'Game Records'!$J138=""),"Total Players; ","")&amp;IF(AND(LOWER('Game Records'!$D138&amp;"")="finalized",LOWER('Game Records'!$L138&amp;"")&lt;&gt;"yes",'Game Records'!$U138&lt;&gt;"Subscription",'Game Records'!$U138&lt;&gt;"Free Game",'Game Records'!$U138&lt;&gt;"Disqualified — Free Game",'Game Records'!$K138=""),"Final Earned; ","")&amp;IF(AND(LOWER('Game Records'!$D138&amp;"")="finalized",'Game Records'!$U138&lt;&gt;"Subscription",'Game Records'!$U138&lt;&gt;"Free Game",'Game Records'!$U138&lt;&gt;"Disqualified — Free Game",OR('Game Records'!$L138="",LOWER('Game Records'!$L138&amp;"")="n/a")),"Disqualified Status; ",""))</x:f>
      </x:c>
      <x:c r="G138" s="331" t="str">
        <x:f>IF($A138="","",IFERROR('Game Records'!$M138,""))</x:f>
      </x:c>
      <x:c r="H138" s="104"/>
      <x:c r="I138" s="104"/>
      <x:c r="J138" s="104"/>
    </x:row>
    <x:row r="139" ht="15" hidden="0" customHeight="1">
      <x:c r="A139" s="332" t="str">
        <x:f>IF(OR(COUNTA('Game Records'!$A139:$M139)=0,'Game Records'!$F139="Subscription"),"",IFERROR(MAX($A$4:A138),0)+1)</x:f>
      </x:c>
      <x:c r="B139" s="332" t="str">
        <x:f>IF($A139="","","G-"&amp;TEXT(ROW('Game Records'!$A139)-4,"0000"))</x:f>
      </x:c>
      <x:c r="C139" s="331" t="str">
        <x:f>IF($A139="","",IFERROR('Game Records'!$A139,""))</x:f>
      </x:c>
      <x:c r="D139" s="331" t="str">
        <x:f>IF($A139="","",IFERROR('Game Records'!$U139,""))</x:f>
      </x:c>
      <x:c r="E139" s="331" t="str">
        <x:f>IF($A139="","",IF($F139="","No Highlighted Fields","Highlighted Fields Present"))</x:f>
      </x:c>
      <x:c r="F139" s="331" t="str">
        <x:f>IF($A139="","",IF('Game Records'!$B139="","Start Date; ","")&amp;IF('Game Records'!$C139="","End Date; ","")&amp;IF(AND('Game Records'!$U139&lt;&gt;"Subscription",'Game Records'!$U139&lt;&gt;"Free Game",'Game Records'!$U139&lt;&gt;"Disqualified — Free Game",OR('Game Records'!$D139="",LOWER('Game Records'!$D139&amp;"")="n/a")),"Entry Mode; ","")&amp;IF(AND('Game Records'!$U139&lt;&gt;"Subscription",'Game Records'!$U139&lt;&gt;"Free Game",'Game Records'!$U139&lt;&gt;"Disqualified — Free Game",OR('Game Records'!$E139="",LOWER('Game Records'!$E139&amp;"")="n/a")),"Game Type; ","")&amp;IF('Game Records'!$F139="","Payment Type; ","")&amp;IF(AND('Game Records'!$U139&lt;&gt;"Subscription",'Game Records'!$U139&lt;&gt;"Free Game",'Game Records'!$U139&lt;&gt;"Disqualified — Free Game",'Game Records'!$G139=""),"Gross Pot; ","")&amp;IF(AND('Game Records'!$U139&lt;&gt;"Free Game",'Game Records'!$U139&lt;&gt;"Disqualified — Free Game",'Game Records'!$H139=""),"Entry Fee; ","")&amp;IF(AND('Game Records'!$U139&lt;&gt;"Subscription",'Game Records'!$U139&lt;&gt;"Free Game",'Game Records'!$U139&lt;&gt;"Disqualified — Free Game",'Game Records'!$I139=""),"Eligible Players; ","")&amp;IF(AND('Game Records'!$U139&lt;&gt;"Subscription",'Game Records'!$U139&lt;&gt;"Free Game",'Game Records'!$U139&lt;&gt;"Disqualified — Free Game",'Game Records'!$J139=""),"Total Players; ","")&amp;IF(AND(LOWER('Game Records'!$D139&amp;"")="finalized",LOWER('Game Records'!$L139&amp;"")&lt;&gt;"yes",'Game Records'!$U139&lt;&gt;"Subscription",'Game Records'!$U139&lt;&gt;"Free Game",'Game Records'!$U139&lt;&gt;"Disqualified — Free Game",'Game Records'!$K139=""),"Final Earned; ","")&amp;IF(AND(LOWER('Game Records'!$D139&amp;"")="finalized",'Game Records'!$U139&lt;&gt;"Subscription",'Game Records'!$U139&lt;&gt;"Free Game",'Game Records'!$U139&lt;&gt;"Disqualified — Free Game",OR('Game Records'!$L139="",LOWER('Game Records'!$L139&amp;"")="n/a")),"Disqualified Status; ",""))</x:f>
      </x:c>
      <x:c r="G139" s="331" t="str">
        <x:f>IF($A139="","",IFERROR('Game Records'!$M139,""))</x:f>
      </x:c>
      <x:c r="H139" s="104"/>
      <x:c r="I139" s="104"/>
      <x:c r="J139" s="104"/>
    </x:row>
    <x:row r="140" ht="15" hidden="0" customHeight="1">
      <x:c r="A140" s="332" t="str">
        <x:f>IF(OR(COUNTA('Game Records'!$A140:$M140)=0,'Game Records'!$F140="Subscription"),"",IFERROR(MAX($A$4:A139),0)+1)</x:f>
      </x:c>
      <x:c r="B140" s="332" t="str">
        <x:f>IF($A140="","","G-"&amp;TEXT(ROW('Game Records'!$A140)-4,"0000"))</x:f>
      </x:c>
      <x:c r="C140" s="331" t="str">
        <x:f>IF($A140="","",IFERROR('Game Records'!$A140,""))</x:f>
      </x:c>
      <x:c r="D140" s="331" t="str">
        <x:f>IF($A140="","",IFERROR('Game Records'!$U140,""))</x:f>
      </x:c>
      <x:c r="E140" s="331" t="str">
        <x:f>IF($A140="","",IF($F140="","No Highlighted Fields","Highlighted Fields Present"))</x:f>
      </x:c>
      <x:c r="F140" s="331" t="str">
        <x:f>IF($A140="","",IF('Game Records'!$B140="","Start Date; ","")&amp;IF('Game Records'!$C140="","End Date; ","")&amp;IF(AND('Game Records'!$U140&lt;&gt;"Subscription",'Game Records'!$U140&lt;&gt;"Free Game",'Game Records'!$U140&lt;&gt;"Disqualified — Free Game",OR('Game Records'!$D140="",LOWER('Game Records'!$D140&amp;"")="n/a")),"Entry Mode; ","")&amp;IF(AND('Game Records'!$U140&lt;&gt;"Subscription",'Game Records'!$U140&lt;&gt;"Free Game",'Game Records'!$U140&lt;&gt;"Disqualified — Free Game",OR('Game Records'!$E140="",LOWER('Game Records'!$E140&amp;"")="n/a")),"Game Type; ","")&amp;IF('Game Records'!$F140="","Payment Type; ","")&amp;IF(AND('Game Records'!$U140&lt;&gt;"Subscription",'Game Records'!$U140&lt;&gt;"Free Game",'Game Records'!$U140&lt;&gt;"Disqualified — Free Game",'Game Records'!$G140=""),"Gross Pot; ","")&amp;IF(AND('Game Records'!$U140&lt;&gt;"Free Game",'Game Records'!$U140&lt;&gt;"Disqualified — Free Game",'Game Records'!$H140=""),"Entry Fee; ","")&amp;IF(AND('Game Records'!$U140&lt;&gt;"Subscription",'Game Records'!$U140&lt;&gt;"Free Game",'Game Records'!$U140&lt;&gt;"Disqualified — Free Game",'Game Records'!$I140=""),"Eligible Players; ","")&amp;IF(AND('Game Records'!$U140&lt;&gt;"Subscription",'Game Records'!$U140&lt;&gt;"Free Game",'Game Records'!$U140&lt;&gt;"Disqualified — Free Game",'Game Records'!$J140=""),"Total Players; ","")&amp;IF(AND(LOWER('Game Records'!$D140&amp;"")="finalized",LOWER('Game Records'!$L140&amp;"")&lt;&gt;"yes",'Game Records'!$U140&lt;&gt;"Subscription",'Game Records'!$U140&lt;&gt;"Free Game",'Game Records'!$U140&lt;&gt;"Disqualified — Free Game",'Game Records'!$K140=""),"Final Earned; ","")&amp;IF(AND(LOWER('Game Records'!$D140&amp;"")="finalized",'Game Records'!$U140&lt;&gt;"Subscription",'Game Records'!$U140&lt;&gt;"Free Game",'Game Records'!$U140&lt;&gt;"Disqualified — Free Game",OR('Game Records'!$L140="",LOWER('Game Records'!$L140&amp;"")="n/a")),"Disqualified Status; ",""))</x:f>
      </x:c>
      <x:c r="G140" s="331" t="str">
        <x:f>IF($A140="","",IFERROR('Game Records'!$M140,""))</x:f>
      </x:c>
      <x:c r="H140" s="104"/>
      <x:c r="I140" s="104"/>
      <x:c r="J140" s="104"/>
    </x:row>
    <x:row r="141" ht="15" hidden="0" customHeight="1">
      <x:c r="A141" s="332" t="str">
        <x:f>IF(OR(COUNTA('Game Records'!$A141:$M141)=0,'Game Records'!$F141="Subscription"),"",IFERROR(MAX($A$4:A140),0)+1)</x:f>
      </x:c>
      <x:c r="B141" s="332" t="str">
        <x:f>IF($A141="","","G-"&amp;TEXT(ROW('Game Records'!$A141)-4,"0000"))</x:f>
      </x:c>
      <x:c r="C141" s="331" t="str">
        <x:f>IF($A141="","",IFERROR('Game Records'!$A141,""))</x:f>
      </x:c>
      <x:c r="D141" s="331" t="str">
        <x:f>IF($A141="","",IFERROR('Game Records'!$U141,""))</x:f>
      </x:c>
      <x:c r="E141" s="331" t="str">
        <x:f>IF($A141="","",IF($F141="","No Highlighted Fields","Highlighted Fields Present"))</x:f>
      </x:c>
      <x:c r="F141" s="331" t="str">
        <x:f>IF($A141="","",IF('Game Records'!$B141="","Start Date; ","")&amp;IF('Game Records'!$C141="","End Date; ","")&amp;IF(AND('Game Records'!$U141&lt;&gt;"Subscription",'Game Records'!$U141&lt;&gt;"Free Game",'Game Records'!$U141&lt;&gt;"Disqualified — Free Game",OR('Game Records'!$D141="",LOWER('Game Records'!$D141&amp;"")="n/a")),"Entry Mode; ","")&amp;IF(AND('Game Records'!$U141&lt;&gt;"Subscription",'Game Records'!$U141&lt;&gt;"Free Game",'Game Records'!$U141&lt;&gt;"Disqualified — Free Game",OR('Game Records'!$E141="",LOWER('Game Records'!$E141&amp;"")="n/a")),"Game Type; ","")&amp;IF('Game Records'!$F141="","Payment Type; ","")&amp;IF(AND('Game Records'!$U141&lt;&gt;"Subscription",'Game Records'!$U141&lt;&gt;"Free Game",'Game Records'!$U141&lt;&gt;"Disqualified — Free Game",'Game Records'!$G141=""),"Gross Pot; ","")&amp;IF(AND('Game Records'!$U141&lt;&gt;"Free Game",'Game Records'!$U141&lt;&gt;"Disqualified — Free Game",'Game Records'!$H141=""),"Entry Fee; ","")&amp;IF(AND('Game Records'!$U141&lt;&gt;"Subscription",'Game Records'!$U141&lt;&gt;"Free Game",'Game Records'!$U141&lt;&gt;"Disqualified — Free Game",'Game Records'!$I141=""),"Eligible Players; ","")&amp;IF(AND('Game Records'!$U141&lt;&gt;"Subscription",'Game Records'!$U141&lt;&gt;"Free Game",'Game Records'!$U141&lt;&gt;"Disqualified — Free Game",'Game Records'!$J141=""),"Total Players; ","")&amp;IF(AND(LOWER('Game Records'!$D141&amp;"")="finalized",LOWER('Game Records'!$L141&amp;"")&lt;&gt;"yes",'Game Records'!$U141&lt;&gt;"Subscription",'Game Records'!$U141&lt;&gt;"Free Game",'Game Records'!$U141&lt;&gt;"Disqualified — Free Game",'Game Records'!$K141=""),"Final Earned; ","")&amp;IF(AND(LOWER('Game Records'!$D141&amp;"")="finalized",'Game Records'!$U141&lt;&gt;"Subscription",'Game Records'!$U141&lt;&gt;"Free Game",'Game Records'!$U141&lt;&gt;"Disqualified — Free Game",OR('Game Records'!$L141="",LOWER('Game Records'!$L141&amp;"")="n/a")),"Disqualified Status; ",""))</x:f>
      </x:c>
      <x:c r="G141" s="331" t="str">
        <x:f>IF($A141="","",IFERROR('Game Records'!$M141,""))</x:f>
      </x:c>
      <x:c r="H141" s="104"/>
      <x:c r="I141" s="104"/>
      <x:c r="J141" s="104"/>
    </x:row>
    <x:row r="142" ht="15" hidden="0" customHeight="1">
      <x:c r="A142" s="332" t="str">
        <x:f>IF(OR(COUNTA('Game Records'!$A142:$M142)=0,'Game Records'!$F142="Subscription"),"",IFERROR(MAX($A$4:A141),0)+1)</x:f>
      </x:c>
      <x:c r="B142" s="332" t="str">
        <x:f>IF($A142="","","G-"&amp;TEXT(ROW('Game Records'!$A142)-4,"0000"))</x:f>
      </x:c>
      <x:c r="C142" s="331" t="str">
        <x:f>IF($A142="","",IFERROR('Game Records'!$A142,""))</x:f>
      </x:c>
      <x:c r="D142" s="331" t="str">
        <x:f>IF($A142="","",IFERROR('Game Records'!$U142,""))</x:f>
      </x:c>
      <x:c r="E142" s="331" t="str">
        <x:f>IF($A142="","",IF($F142="","No Highlighted Fields","Highlighted Fields Present"))</x:f>
      </x:c>
      <x:c r="F142" s="331" t="str">
        <x:f>IF($A142="","",IF('Game Records'!$B142="","Start Date; ","")&amp;IF('Game Records'!$C142="","End Date; ","")&amp;IF(AND('Game Records'!$U142&lt;&gt;"Subscription",'Game Records'!$U142&lt;&gt;"Free Game",'Game Records'!$U142&lt;&gt;"Disqualified — Free Game",OR('Game Records'!$D142="",LOWER('Game Records'!$D142&amp;"")="n/a")),"Entry Mode; ","")&amp;IF(AND('Game Records'!$U142&lt;&gt;"Subscription",'Game Records'!$U142&lt;&gt;"Free Game",'Game Records'!$U142&lt;&gt;"Disqualified — Free Game",OR('Game Records'!$E142="",LOWER('Game Records'!$E142&amp;"")="n/a")),"Game Type; ","")&amp;IF('Game Records'!$F142="","Payment Type; ","")&amp;IF(AND('Game Records'!$U142&lt;&gt;"Subscription",'Game Records'!$U142&lt;&gt;"Free Game",'Game Records'!$U142&lt;&gt;"Disqualified — Free Game",'Game Records'!$G142=""),"Gross Pot; ","")&amp;IF(AND('Game Records'!$U142&lt;&gt;"Free Game",'Game Records'!$U142&lt;&gt;"Disqualified — Free Game",'Game Records'!$H142=""),"Entry Fee; ","")&amp;IF(AND('Game Records'!$U142&lt;&gt;"Subscription",'Game Records'!$U142&lt;&gt;"Free Game",'Game Records'!$U142&lt;&gt;"Disqualified — Free Game",'Game Records'!$I142=""),"Eligible Players; ","")&amp;IF(AND('Game Records'!$U142&lt;&gt;"Subscription",'Game Records'!$U142&lt;&gt;"Free Game",'Game Records'!$U142&lt;&gt;"Disqualified — Free Game",'Game Records'!$J142=""),"Total Players; ","")&amp;IF(AND(LOWER('Game Records'!$D142&amp;"")="finalized",LOWER('Game Records'!$L142&amp;"")&lt;&gt;"yes",'Game Records'!$U142&lt;&gt;"Subscription",'Game Records'!$U142&lt;&gt;"Free Game",'Game Records'!$U142&lt;&gt;"Disqualified — Free Game",'Game Records'!$K142=""),"Final Earned; ","")&amp;IF(AND(LOWER('Game Records'!$D142&amp;"")="finalized",'Game Records'!$U142&lt;&gt;"Subscription",'Game Records'!$U142&lt;&gt;"Free Game",'Game Records'!$U142&lt;&gt;"Disqualified — Free Game",OR('Game Records'!$L142="",LOWER('Game Records'!$L142&amp;"")="n/a")),"Disqualified Status; ",""))</x:f>
      </x:c>
      <x:c r="G142" s="331" t="str">
        <x:f>IF($A142="","",IFERROR('Game Records'!$M142,""))</x:f>
      </x:c>
      <x:c r="H142" s="104"/>
      <x:c r="I142" s="104"/>
      <x:c r="J142" s="104"/>
    </x:row>
    <x:row r="143" ht="15" hidden="0" customHeight="1">
      <x:c r="A143" s="332" t="str">
        <x:f>IF(OR(COUNTA('Game Records'!$A143:$M143)=0,'Game Records'!$F143="Subscription"),"",IFERROR(MAX($A$4:A142),0)+1)</x:f>
      </x:c>
      <x:c r="B143" s="332" t="str">
        <x:f>IF($A143="","","G-"&amp;TEXT(ROW('Game Records'!$A143)-4,"0000"))</x:f>
      </x:c>
      <x:c r="C143" s="331" t="str">
        <x:f>IF($A143="","",IFERROR('Game Records'!$A143,""))</x:f>
      </x:c>
      <x:c r="D143" s="331" t="str">
        <x:f>IF($A143="","",IFERROR('Game Records'!$U143,""))</x:f>
      </x:c>
      <x:c r="E143" s="331" t="str">
        <x:f>IF($A143="","",IF($F143="","No Highlighted Fields","Highlighted Fields Present"))</x:f>
      </x:c>
      <x:c r="F143" s="331" t="str">
        <x:f>IF($A143="","",IF('Game Records'!$B143="","Start Date; ","")&amp;IF('Game Records'!$C143="","End Date; ","")&amp;IF(AND('Game Records'!$U143&lt;&gt;"Subscription",'Game Records'!$U143&lt;&gt;"Free Game",'Game Records'!$U143&lt;&gt;"Disqualified — Free Game",OR('Game Records'!$D143="",LOWER('Game Records'!$D143&amp;"")="n/a")),"Entry Mode; ","")&amp;IF(AND('Game Records'!$U143&lt;&gt;"Subscription",'Game Records'!$U143&lt;&gt;"Free Game",'Game Records'!$U143&lt;&gt;"Disqualified — Free Game",OR('Game Records'!$E143="",LOWER('Game Records'!$E143&amp;"")="n/a")),"Game Type; ","")&amp;IF('Game Records'!$F143="","Payment Type; ","")&amp;IF(AND('Game Records'!$U143&lt;&gt;"Subscription",'Game Records'!$U143&lt;&gt;"Free Game",'Game Records'!$U143&lt;&gt;"Disqualified — Free Game",'Game Records'!$G143=""),"Gross Pot; ","")&amp;IF(AND('Game Records'!$U143&lt;&gt;"Free Game",'Game Records'!$U143&lt;&gt;"Disqualified — Free Game",'Game Records'!$H143=""),"Entry Fee; ","")&amp;IF(AND('Game Records'!$U143&lt;&gt;"Subscription",'Game Records'!$U143&lt;&gt;"Free Game",'Game Records'!$U143&lt;&gt;"Disqualified — Free Game",'Game Records'!$I143=""),"Eligible Players; ","")&amp;IF(AND('Game Records'!$U143&lt;&gt;"Subscription",'Game Records'!$U143&lt;&gt;"Free Game",'Game Records'!$U143&lt;&gt;"Disqualified — Free Game",'Game Records'!$J143=""),"Total Players; ","")&amp;IF(AND(LOWER('Game Records'!$D143&amp;"")="finalized",LOWER('Game Records'!$L143&amp;"")&lt;&gt;"yes",'Game Records'!$U143&lt;&gt;"Subscription",'Game Records'!$U143&lt;&gt;"Free Game",'Game Records'!$U143&lt;&gt;"Disqualified — Free Game",'Game Records'!$K143=""),"Final Earned; ","")&amp;IF(AND(LOWER('Game Records'!$D143&amp;"")="finalized",'Game Records'!$U143&lt;&gt;"Subscription",'Game Records'!$U143&lt;&gt;"Free Game",'Game Records'!$U143&lt;&gt;"Disqualified — Free Game",OR('Game Records'!$L143="",LOWER('Game Records'!$L143&amp;"")="n/a")),"Disqualified Status; ",""))</x:f>
      </x:c>
      <x:c r="G143" s="331" t="str">
        <x:f>IF($A143="","",IFERROR('Game Records'!$M143,""))</x:f>
      </x:c>
      <x:c r="H143" s="104"/>
      <x:c r="I143" s="104"/>
      <x:c r="J143" s="104"/>
    </x:row>
    <x:row r="144" ht="15" hidden="0" customHeight="1">
      <x:c r="A144" s="332" t="str">
        <x:f>IF(OR(COUNTA('Game Records'!$A144:$M144)=0,'Game Records'!$F144="Subscription"),"",IFERROR(MAX($A$4:A143),0)+1)</x:f>
      </x:c>
      <x:c r="B144" s="332" t="str">
        <x:f>IF($A144="","","G-"&amp;TEXT(ROW('Game Records'!$A144)-4,"0000"))</x:f>
      </x:c>
      <x:c r="C144" s="331" t="str">
        <x:f>IF($A144="","",IFERROR('Game Records'!$A144,""))</x:f>
      </x:c>
      <x:c r="D144" s="331" t="str">
        <x:f>IF($A144="","",IFERROR('Game Records'!$U144,""))</x:f>
      </x:c>
      <x:c r="E144" s="331" t="str">
        <x:f>IF($A144="","",IF($F144="","No Highlighted Fields","Highlighted Fields Present"))</x:f>
      </x:c>
      <x:c r="F144" s="331" t="str">
        <x:f>IF($A144="","",IF('Game Records'!$B144="","Start Date; ","")&amp;IF('Game Records'!$C144="","End Date; ","")&amp;IF(AND('Game Records'!$U144&lt;&gt;"Subscription",'Game Records'!$U144&lt;&gt;"Free Game",'Game Records'!$U144&lt;&gt;"Disqualified — Free Game",OR('Game Records'!$D144="",LOWER('Game Records'!$D144&amp;"")="n/a")),"Entry Mode; ","")&amp;IF(AND('Game Records'!$U144&lt;&gt;"Subscription",'Game Records'!$U144&lt;&gt;"Free Game",'Game Records'!$U144&lt;&gt;"Disqualified — Free Game",OR('Game Records'!$E144="",LOWER('Game Records'!$E144&amp;"")="n/a")),"Game Type; ","")&amp;IF('Game Records'!$F144="","Payment Type; ","")&amp;IF(AND('Game Records'!$U144&lt;&gt;"Subscription",'Game Records'!$U144&lt;&gt;"Free Game",'Game Records'!$U144&lt;&gt;"Disqualified — Free Game",'Game Records'!$G144=""),"Gross Pot; ","")&amp;IF(AND('Game Records'!$U144&lt;&gt;"Free Game",'Game Records'!$U144&lt;&gt;"Disqualified — Free Game",'Game Records'!$H144=""),"Entry Fee; ","")&amp;IF(AND('Game Records'!$U144&lt;&gt;"Subscription",'Game Records'!$U144&lt;&gt;"Free Game",'Game Records'!$U144&lt;&gt;"Disqualified — Free Game",'Game Records'!$I144=""),"Eligible Players; ","")&amp;IF(AND('Game Records'!$U144&lt;&gt;"Subscription",'Game Records'!$U144&lt;&gt;"Free Game",'Game Records'!$U144&lt;&gt;"Disqualified — Free Game",'Game Records'!$J144=""),"Total Players; ","")&amp;IF(AND(LOWER('Game Records'!$D144&amp;"")="finalized",LOWER('Game Records'!$L144&amp;"")&lt;&gt;"yes",'Game Records'!$U144&lt;&gt;"Subscription",'Game Records'!$U144&lt;&gt;"Free Game",'Game Records'!$U144&lt;&gt;"Disqualified — Free Game",'Game Records'!$K144=""),"Final Earned; ","")&amp;IF(AND(LOWER('Game Records'!$D144&amp;"")="finalized",'Game Records'!$U144&lt;&gt;"Subscription",'Game Records'!$U144&lt;&gt;"Free Game",'Game Records'!$U144&lt;&gt;"Disqualified — Free Game",OR('Game Records'!$L144="",LOWER('Game Records'!$L144&amp;"")="n/a")),"Disqualified Status; ",""))</x:f>
      </x:c>
      <x:c r="G144" s="331" t="str">
        <x:f>IF($A144="","",IFERROR('Game Records'!$M144,""))</x:f>
      </x:c>
      <x:c r="H144" s="104"/>
      <x:c r="I144" s="104"/>
      <x:c r="J144" s="104"/>
    </x:row>
    <x:row r="145" ht="15" hidden="0" customHeight="1">
      <x:c r="A145" s="332" t="str">
        <x:f>IF(OR(COUNTA('Game Records'!$A145:$M145)=0,'Game Records'!$F145="Subscription"),"",IFERROR(MAX($A$4:A144),0)+1)</x:f>
      </x:c>
      <x:c r="B145" s="332" t="str">
        <x:f>IF($A145="","","G-"&amp;TEXT(ROW('Game Records'!$A145)-4,"0000"))</x:f>
      </x:c>
      <x:c r="C145" s="331" t="str">
        <x:f>IF($A145="","",IFERROR('Game Records'!$A145,""))</x:f>
      </x:c>
      <x:c r="D145" s="331" t="str">
        <x:f>IF($A145="","",IFERROR('Game Records'!$U145,""))</x:f>
      </x:c>
      <x:c r="E145" s="331" t="str">
        <x:f>IF($A145="","",IF($F145="","No Highlighted Fields","Highlighted Fields Present"))</x:f>
      </x:c>
      <x:c r="F145" s="331" t="str">
        <x:f>IF($A145="","",IF('Game Records'!$B145="","Start Date; ","")&amp;IF('Game Records'!$C145="","End Date; ","")&amp;IF(AND('Game Records'!$U145&lt;&gt;"Subscription",'Game Records'!$U145&lt;&gt;"Free Game",'Game Records'!$U145&lt;&gt;"Disqualified — Free Game",OR('Game Records'!$D145="",LOWER('Game Records'!$D145&amp;"")="n/a")),"Entry Mode; ","")&amp;IF(AND('Game Records'!$U145&lt;&gt;"Subscription",'Game Records'!$U145&lt;&gt;"Free Game",'Game Records'!$U145&lt;&gt;"Disqualified — Free Game",OR('Game Records'!$E145="",LOWER('Game Records'!$E145&amp;"")="n/a")),"Game Type; ","")&amp;IF('Game Records'!$F145="","Payment Type; ","")&amp;IF(AND('Game Records'!$U145&lt;&gt;"Subscription",'Game Records'!$U145&lt;&gt;"Free Game",'Game Records'!$U145&lt;&gt;"Disqualified — Free Game",'Game Records'!$G145=""),"Gross Pot; ","")&amp;IF(AND('Game Records'!$U145&lt;&gt;"Free Game",'Game Records'!$U145&lt;&gt;"Disqualified — Free Game",'Game Records'!$H145=""),"Entry Fee; ","")&amp;IF(AND('Game Records'!$U145&lt;&gt;"Subscription",'Game Records'!$U145&lt;&gt;"Free Game",'Game Records'!$U145&lt;&gt;"Disqualified — Free Game",'Game Records'!$I145=""),"Eligible Players; ","")&amp;IF(AND('Game Records'!$U145&lt;&gt;"Subscription",'Game Records'!$U145&lt;&gt;"Free Game",'Game Records'!$U145&lt;&gt;"Disqualified — Free Game",'Game Records'!$J145=""),"Total Players; ","")&amp;IF(AND(LOWER('Game Records'!$D145&amp;"")="finalized",LOWER('Game Records'!$L145&amp;"")&lt;&gt;"yes",'Game Records'!$U145&lt;&gt;"Subscription",'Game Records'!$U145&lt;&gt;"Free Game",'Game Records'!$U145&lt;&gt;"Disqualified — Free Game",'Game Records'!$K145=""),"Final Earned; ","")&amp;IF(AND(LOWER('Game Records'!$D145&amp;"")="finalized",'Game Records'!$U145&lt;&gt;"Subscription",'Game Records'!$U145&lt;&gt;"Free Game",'Game Records'!$U145&lt;&gt;"Disqualified — Free Game",OR('Game Records'!$L145="",LOWER('Game Records'!$L145&amp;"")="n/a")),"Disqualified Status; ",""))</x:f>
      </x:c>
      <x:c r="G145" s="331" t="str">
        <x:f>IF($A145="","",IFERROR('Game Records'!$M145,""))</x:f>
      </x:c>
      <x:c r="H145" s="104"/>
      <x:c r="I145" s="104"/>
      <x:c r="J145" s="104"/>
    </x:row>
    <x:row r="146" ht="15" hidden="0" customHeight="1">
      <x:c r="A146" s="332" t="str">
        <x:f>IF(OR(COUNTA('Game Records'!$A146:$M146)=0,'Game Records'!$F146="Subscription"),"",IFERROR(MAX($A$4:A145),0)+1)</x:f>
      </x:c>
      <x:c r="B146" s="332" t="str">
        <x:f>IF($A146="","","G-"&amp;TEXT(ROW('Game Records'!$A146)-4,"0000"))</x:f>
      </x:c>
      <x:c r="C146" s="331" t="str">
        <x:f>IF($A146="","",IFERROR('Game Records'!$A146,""))</x:f>
      </x:c>
      <x:c r="D146" s="331" t="str">
        <x:f>IF($A146="","",IFERROR('Game Records'!$U146,""))</x:f>
      </x:c>
      <x:c r="E146" s="331" t="str">
        <x:f>IF($A146="","",IF($F146="","No Highlighted Fields","Highlighted Fields Present"))</x:f>
      </x:c>
      <x:c r="F146" s="331" t="str">
        <x:f>IF($A146="","",IF('Game Records'!$B146="","Start Date; ","")&amp;IF('Game Records'!$C146="","End Date; ","")&amp;IF(AND('Game Records'!$U146&lt;&gt;"Subscription",'Game Records'!$U146&lt;&gt;"Free Game",'Game Records'!$U146&lt;&gt;"Disqualified — Free Game",OR('Game Records'!$D146="",LOWER('Game Records'!$D146&amp;"")="n/a")),"Entry Mode; ","")&amp;IF(AND('Game Records'!$U146&lt;&gt;"Subscription",'Game Records'!$U146&lt;&gt;"Free Game",'Game Records'!$U146&lt;&gt;"Disqualified — Free Game",OR('Game Records'!$E146="",LOWER('Game Records'!$E146&amp;"")="n/a")),"Game Type; ","")&amp;IF('Game Records'!$F146="","Payment Type; ","")&amp;IF(AND('Game Records'!$U146&lt;&gt;"Subscription",'Game Records'!$U146&lt;&gt;"Free Game",'Game Records'!$U146&lt;&gt;"Disqualified — Free Game",'Game Records'!$G146=""),"Gross Pot; ","")&amp;IF(AND('Game Records'!$U146&lt;&gt;"Free Game",'Game Records'!$U146&lt;&gt;"Disqualified — Free Game",'Game Records'!$H146=""),"Entry Fee; ","")&amp;IF(AND('Game Records'!$U146&lt;&gt;"Subscription",'Game Records'!$U146&lt;&gt;"Free Game",'Game Records'!$U146&lt;&gt;"Disqualified — Free Game",'Game Records'!$I146=""),"Eligible Players; ","")&amp;IF(AND('Game Records'!$U146&lt;&gt;"Subscription",'Game Records'!$U146&lt;&gt;"Free Game",'Game Records'!$U146&lt;&gt;"Disqualified — Free Game",'Game Records'!$J146=""),"Total Players; ","")&amp;IF(AND(LOWER('Game Records'!$D146&amp;"")="finalized",LOWER('Game Records'!$L146&amp;"")&lt;&gt;"yes",'Game Records'!$U146&lt;&gt;"Subscription",'Game Records'!$U146&lt;&gt;"Free Game",'Game Records'!$U146&lt;&gt;"Disqualified — Free Game",'Game Records'!$K146=""),"Final Earned; ","")&amp;IF(AND(LOWER('Game Records'!$D146&amp;"")="finalized",'Game Records'!$U146&lt;&gt;"Subscription",'Game Records'!$U146&lt;&gt;"Free Game",'Game Records'!$U146&lt;&gt;"Disqualified — Free Game",OR('Game Records'!$L146="",LOWER('Game Records'!$L146&amp;"")="n/a")),"Disqualified Status; ",""))</x:f>
      </x:c>
      <x:c r="G146" s="331" t="str">
        <x:f>IF($A146="","",IFERROR('Game Records'!$M146,""))</x:f>
      </x:c>
      <x:c r="H146" s="104"/>
      <x:c r="I146" s="104"/>
      <x:c r="J146" s="104"/>
    </x:row>
    <x:row r="147" ht="15" hidden="0" customHeight="1">
      <x:c r="A147" s="332" t="str">
        <x:f>IF(OR(COUNTA('Game Records'!$A147:$M147)=0,'Game Records'!$F147="Subscription"),"",IFERROR(MAX($A$4:A146),0)+1)</x:f>
      </x:c>
      <x:c r="B147" s="332" t="str">
        <x:f>IF($A147="","","G-"&amp;TEXT(ROW('Game Records'!$A147)-4,"0000"))</x:f>
      </x:c>
      <x:c r="C147" s="331" t="str">
        <x:f>IF($A147="","",IFERROR('Game Records'!$A147,""))</x:f>
      </x:c>
      <x:c r="D147" s="331" t="str">
        <x:f>IF($A147="","",IFERROR('Game Records'!$U147,""))</x:f>
      </x:c>
      <x:c r="E147" s="331" t="str">
        <x:f>IF($A147="","",IF($F147="","No Highlighted Fields","Highlighted Fields Present"))</x:f>
      </x:c>
      <x:c r="F147" s="331" t="str">
        <x:f>IF($A147="","",IF('Game Records'!$B147="","Start Date; ","")&amp;IF('Game Records'!$C147="","End Date; ","")&amp;IF(AND('Game Records'!$U147&lt;&gt;"Subscription",'Game Records'!$U147&lt;&gt;"Free Game",'Game Records'!$U147&lt;&gt;"Disqualified — Free Game",OR('Game Records'!$D147="",LOWER('Game Records'!$D147&amp;"")="n/a")),"Entry Mode; ","")&amp;IF(AND('Game Records'!$U147&lt;&gt;"Subscription",'Game Records'!$U147&lt;&gt;"Free Game",'Game Records'!$U147&lt;&gt;"Disqualified — Free Game",OR('Game Records'!$E147="",LOWER('Game Records'!$E147&amp;"")="n/a")),"Game Type; ","")&amp;IF('Game Records'!$F147="","Payment Type; ","")&amp;IF(AND('Game Records'!$U147&lt;&gt;"Subscription",'Game Records'!$U147&lt;&gt;"Free Game",'Game Records'!$U147&lt;&gt;"Disqualified — Free Game",'Game Records'!$G147=""),"Gross Pot; ","")&amp;IF(AND('Game Records'!$U147&lt;&gt;"Free Game",'Game Records'!$U147&lt;&gt;"Disqualified — Free Game",'Game Records'!$H147=""),"Entry Fee; ","")&amp;IF(AND('Game Records'!$U147&lt;&gt;"Subscription",'Game Records'!$U147&lt;&gt;"Free Game",'Game Records'!$U147&lt;&gt;"Disqualified — Free Game",'Game Records'!$I147=""),"Eligible Players; ","")&amp;IF(AND('Game Records'!$U147&lt;&gt;"Subscription",'Game Records'!$U147&lt;&gt;"Free Game",'Game Records'!$U147&lt;&gt;"Disqualified — Free Game",'Game Records'!$J147=""),"Total Players; ","")&amp;IF(AND(LOWER('Game Records'!$D147&amp;"")="finalized",LOWER('Game Records'!$L147&amp;"")&lt;&gt;"yes",'Game Records'!$U147&lt;&gt;"Subscription",'Game Records'!$U147&lt;&gt;"Free Game",'Game Records'!$U147&lt;&gt;"Disqualified — Free Game",'Game Records'!$K147=""),"Final Earned; ","")&amp;IF(AND(LOWER('Game Records'!$D147&amp;"")="finalized",'Game Records'!$U147&lt;&gt;"Subscription",'Game Records'!$U147&lt;&gt;"Free Game",'Game Records'!$U147&lt;&gt;"Disqualified — Free Game",OR('Game Records'!$L147="",LOWER('Game Records'!$L147&amp;"")="n/a")),"Disqualified Status; ",""))</x:f>
      </x:c>
      <x:c r="G147" s="331" t="str">
        <x:f>IF($A147="","",IFERROR('Game Records'!$M147,""))</x:f>
      </x:c>
      <x:c r="H147" s="104"/>
      <x:c r="I147" s="104"/>
      <x:c r="J147" s="104"/>
    </x:row>
    <x:row r="148" ht="15" hidden="0" customHeight="1">
      <x:c r="A148" s="332" t="str">
        <x:f>IF(OR(COUNTA('Game Records'!$A148:$M148)=0,'Game Records'!$F148="Subscription"),"",IFERROR(MAX($A$4:A147),0)+1)</x:f>
      </x:c>
      <x:c r="B148" s="332" t="str">
        <x:f>IF($A148="","","G-"&amp;TEXT(ROW('Game Records'!$A148)-4,"0000"))</x:f>
      </x:c>
      <x:c r="C148" s="331" t="str">
        <x:f>IF($A148="","",IFERROR('Game Records'!$A148,""))</x:f>
      </x:c>
      <x:c r="D148" s="331" t="str">
        <x:f>IF($A148="","",IFERROR('Game Records'!$U148,""))</x:f>
      </x:c>
      <x:c r="E148" s="331" t="str">
        <x:f>IF($A148="","",IF($F148="","No Highlighted Fields","Highlighted Fields Present"))</x:f>
      </x:c>
      <x:c r="F148" s="331" t="str">
        <x:f>IF($A148="","",IF('Game Records'!$B148="","Start Date; ","")&amp;IF('Game Records'!$C148="","End Date; ","")&amp;IF(AND('Game Records'!$U148&lt;&gt;"Subscription",'Game Records'!$U148&lt;&gt;"Free Game",'Game Records'!$U148&lt;&gt;"Disqualified — Free Game",OR('Game Records'!$D148="",LOWER('Game Records'!$D148&amp;"")="n/a")),"Entry Mode; ","")&amp;IF(AND('Game Records'!$U148&lt;&gt;"Subscription",'Game Records'!$U148&lt;&gt;"Free Game",'Game Records'!$U148&lt;&gt;"Disqualified — Free Game",OR('Game Records'!$E148="",LOWER('Game Records'!$E148&amp;"")="n/a")),"Game Type; ","")&amp;IF('Game Records'!$F148="","Payment Type; ","")&amp;IF(AND('Game Records'!$U148&lt;&gt;"Subscription",'Game Records'!$U148&lt;&gt;"Free Game",'Game Records'!$U148&lt;&gt;"Disqualified — Free Game",'Game Records'!$G148=""),"Gross Pot; ","")&amp;IF(AND('Game Records'!$U148&lt;&gt;"Free Game",'Game Records'!$U148&lt;&gt;"Disqualified — Free Game",'Game Records'!$H148=""),"Entry Fee; ","")&amp;IF(AND('Game Records'!$U148&lt;&gt;"Subscription",'Game Records'!$U148&lt;&gt;"Free Game",'Game Records'!$U148&lt;&gt;"Disqualified — Free Game",'Game Records'!$I148=""),"Eligible Players; ","")&amp;IF(AND('Game Records'!$U148&lt;&gt;"Subscription",'Game Records'!$U148&lt;&gt;"Free Game",'Game Records'!$U148&lt;&gt;"Disqualified — Free Game",'Game Records'!$J148=""),"Total Players; ","")&amp;IF(AND(LOWER('Game Records'!$D148&amp;"")="finalized",LOWER('Game Records'!$L148&amp;"")&lt;&gt;"yes",'Game Records'!$U148&lt;&gt;"Subscription",'Game Records'!$U148&lt;&gt;"Free Game",'Game Records'!$U148&lt;&gt;"Disqualified — Free Game",'Game Records'!$K148=""),"Final Earned; ","")&amp;IF(AND(LOWER('Game Records'!$D148&amp;"")="finalized",'Game Records'!$U148&lt;&gt;"Subscription",'Game Records'!$U148&lt;&gt;"Free Game",'Game Records'!$U148&lt;&gt;"Disqualified — Free Game",OR('Game Records'!$L148="",LOWER('Game Records'!$L148&amp;"")="n/a")),"Disqualified Status; ",""))</x:f>
      </x:c>
      <x:c r="G148" s="331" t="str">
        <x:f>IF($A148="","",IFERROR('Game Records'!$M148,""))</x:f>
      </x:c>
      <x:c r="H148" s="104"/>
      <x:c r="I148" s="104"/>
      <x:c r="J148" s="104"/>
    </x:row>
    <x:row r="149" ht="15" hidden="0" customHeight="1">
      <x:c r="A149" s="332" t="str">
        <x:f>IF(OR(COUNTA('Game Records'!$A149:$M149)=0,'Game Records'!$F149="Subscription"),"",IFERROR(MAX($A$4:A148),0)+1)</x:f>
      </x:c>
      <x:c r="B149" s="332" t="str">
        <x:f>IF($A149="","","G-"&amp;TEXT(ROW('Game Records'!$A149)-4,"0000"))</x:f>
      </x:c>
      <x:c r="C149" s="331" t="str">
        <x:f>IF($A149="","",IFERROR('Game Records'!$A149,""))</x:f>
      </x:c>
      <x:c r="D149" s="331" t="str">
        <x:f>IF($A149="","",IFERROR('Game Records'!$U149,""))</x:f>
      </x:c>
      <x:c r="E149" s="331" t="str">
        <x:f>IF($A149="","",IF($F149="","No Highlighted Fields","Highlighted Fields Present"))</x:f>
      </x:c>
      <x:c r="F149" s="331" t="str">
        <x:f>IF($A149="","",IF('Game Records'!$B149="","Start Date; ","")&amp;IF('Game Records'!$C149="","End Date; ","")&amp;IF(AND('Game Records'!$U149&lt;&gt;"Subscription",'Game Records'!$U149&lt;&gt;"Free Game",'Game Records'!$U149&lt;&gt;"Disqualified — Free Game",OR('Game Records'!$D149="",LOWER('Game Records'!$D149&amp;"")="n/a")),"Entry Mode; ","")&amp;IF(AND('Game Records'!$U149&lt;&gt;"Subscription",'Game Records'!$U149&lt;&gt;"Free Game",'Game Records'!$U149&lt;&gt;"Disqualified — Free Game",OR('Game Records'!$E149="",LOWER('Game Records'!$E149&amp;"")="n/a")),"Game Type; ","")&amp;IF('Game Records'!$F149="","Payment Type; ","")&amp;IF(AND('Game Records'!$U149&lt;&gt;"Subscription",'Game Records'!$U149&lt;&gt;"Free Game",'Game Records'!$U149&lt;&gt;"Disqualified — Free Game",'Game Records'!$G149=""),"Gross Pot; ","")&amp;IF(AND('Game Records'!$U149&lt;&gt;"Free Game",'Game Records'!$U149&lt;&gt;"Disqualified — Free Game",'Game Records'!$H149=""),"Entry Fee; ","")&amp;IF(AND('Game Records'!$U149&lt;&gt;"Subscription",'Game Records'!$U149&lt;&gt;"Free Game",'Game Records'!$U149&lt;&gt;"Disqualified — Free Game",'Game Records'!$I149=""),"Eligible Players; ","")&amp;IF(AND('Game Records'!$U149&lt;&gt;"Subscription",'Game Records'!$U149&lt;&gt;"Free Game",'Game Records'!$U149&lt;&gt;"Disqualified — Free Game",'Game Records'!$J149=""),"Total Players; ","")&amp;IF(AND(LOWER('Game Records'!$D149&amp;"")="finalized",LOWER('Game Records'!$L149&amp;"")&lt;&gt;"yes",'Game Records'!$U149&lt;&gt;"Subscription",'Game Records'!$U149&lt;&gt;"Free Game",'Game Records'!$U149&lt;&gt;"Disqualified — Free Game",'Game Records'!$K149=""),"Final Earned; ","")&amp;IF(AND(LOWER('Game Records'!$D149&amp;"")="finalized",'Game Records'!$U149&lt;&gt;"Subscription",'Game Records'!$U149&lt;&gt;"Free Game",'Game Records'!$U149&lt;&gt;"Disqualified — Free Game",OR('Game Records'!$L149="",LOWER('Game Records'!$L149&amp;"")="n/a")),"Disqualified Status; ",""))</x:f>
      </x:c>
      <x:c r="G149" s="331" t="str">
        <x:f>IF($A149="","",IFERROR('Game Records'!$M149,""))</x:f>
      </x:c>
      <x:c r="H149" s="104"/>
      <x:c r="I149" s="104"/>
      <x:c r="J149" s="104"/>
    </x:row>
    <x:row r="150" ht="15" hidden="0" customHeight="1">
      <x:c r="A150" s="332" t="str">
        <x:f>IF(OR(COUNTA('Game Records'!$A150:$M150)=0,'Game Records'!$F150="Subscription"),"",IFERROR(MAX($A$4:A149),0)+1)</x:f>
      </x:c>
      <x:c r="B150" s="332" t="str">
        <x:f>IF($A150="","","G-"&amp;TEXT(ROW('Game Records'!$A150)-4,"0000"))</x:f>
      </x:c>
      <x:c r="C150" s="331" t="str">
        <x:f>IF($A150="","",IFERROR('Game Records'!$A150,""))</x:f>
      </x:c>
      <x:c r="D150" s="331" t="str">
        <x:f>IF($A150="","",IFERROR('Game Records'!$U150,""))</x:f>
      </x:c>
      <x:c r="E150" s="331" t="str">
        <x:f>IF($A150="","",IF($F150="","No Highlighted Fields","Highlighted Fields Present"))</x:f>
      </x:c>
      <x:c r="F150" s="331" t="str">
        <x:f>IF($A150="","",IF('Game Records'!$B150="","Start Date; ","")&amp;IF('Game Records'!$C150="","End Date; ","")&amp;IF(AND('Game Records'!$U150&lt;&gt;"Subscription",'Game Records'!$U150&lt;&gt;"Free Game",'Game Records'!$U150&lt;&gt;"Disqualified — Free Game",OR('Game Records'!$D150="",LOWER('Game Records'!$D150&amp;"")="n/a")),"Entry Mode; ","")&amp;IF(AND('Game Records'!$U150&lt;&gt;"Subscription",'Game Records'!$U150&lt;&gt;"Free Game",'Game Records'!$U150&lt;&gt;"Disqualified — Free Game",OR('Game Records'!$E150="",LOWER('Game Records'!$E150&amp;"")="n/a")),"Game Type; ","")&amp;IF('Game Records'!$F150="","Payment Type; ","")&amp;IF(AND('Game Records'!$U150&lt;&gt;"Subscription",'Game Records'!$U150&lt;&gt;"Free Game",'Game Records'!$U150&lt;&gt;"Disqualified — Free Game",'Game Records'!$G150=""),"Gross Pot; ","")&amp;IF(AND('Game Records'!$U150&lt;&gt;"Free Game",'Game Records'!$U150&lt;&gt;"Disqualified — Free Game",'Game Records'!$H150=""),"Entry Fee; ","")&amp;IF(AND('Game Records'!$U150&lt;&gt;"Subscription",'Game Records'!$U150&lt;&gt;"Free Game",'Game Records'!$U150&lt;&gt;"Disqualified — Free Game",'Game Records'!$I150=""),"Eligible Players; ","")&amp;IF(AND('Game Records'!$U150&lt;&gt;"Subscription",'Game Records'!$U150&lt;&gt;"Free Game",'Game Records'!$U150&lt;&gt;"Disqualified — Free Game",'Game Records'!$J150=""),"Total Players; ","")&amp;IF(AND(LOWER('Game Records'!$D150&amp;"")="finalized",LOWER('Game Records'!$L150&amp;"")&lt;&gt;"yes",'Game Records'!$U150&lt;&gt;"Subscription",'Game Records'!$U150&lt;&gt;"Free Game",'Game Records'!$U150&lt;&gt;"Disqualified — Free Game",'Game Records'!$K150=""),"Final Earned; ","")&amp;IF(AND(LOWER('Game Records'!$D150&amp;"")="finalized",'Game Records'!$U150&lt;&gt;"Subscription",'Game Records'!$U150&lt;&gt;"Free Game",'Game Records'!$U150&lt;&gt;"Disqualified — Free Game",OR('Game Records'!$L150="",LOWER('Game Records'!$L150&amp;"")="n/a")),"Disqualified Status; ",""))</x:f>
      </x:c>
      <x:c r="G150" s="331" t="str">
        <x:f>IF($A150="","",IFERROR('Game Records'!$M150,""))</x:f>
      </x:c>
      <x:c r="H150" s="104"/>
      <x:c r="I150" s="104"/>
      <x:c r="J150" s="104"/>
    </x:row>
    <x:row r="151" ht="15" hidden="0" customHeight="1">
      <x:c r="A151" s="332" t="str">
        <x:f>IF(OR(COUNTA('Game Records'!$A151:$M151)=0,'Game Records'!$F151="Subscription"),"",IFERROR(MAX($A$4:A150),0)+1)</x:f>
      </x:c>
      <x:c r="B151" s="332" t="str">
        <x:f>IF($A151="","","G-"&amp;TEXT(ROW('Game Records'!$A151)-4,"0000"))</x:f>
      </x:c>
      <x:c r="C151" s="331" t="str">
        <x:f>IF($A151="","",IFERROR('Game Records'!$A151,""))</x:f>
      </x:c>
      <x:c r="D151" s="331" t="str">
        <x:f>IF($A151="","",IFERROR('Game Records'!$U151,""))</x:f>
      </x:c>
      <x:c r="E151" s="331" t="str">
        <x:f>IF($A151="","",IF($F151="","No Highlighted Fields","Highlighted Fields Present"))</x:f>
      </x:c>
      <x:c r="F151" s="331" t="str">
        <x:f>IF($A151="","",IF('Game Records'!$B151="","Start Date; ","")&amp;IF('Game Records'!$C151="","End Date; ","")&amp;IF(AND('Game Records'!$U151&lt;&gt;"Subscription",'Game Records'!$U151&lt;&gt;"Free Game",'Game Records'!$U151&lt;&gt;"Disqualified — Free Game",OR('Game Records'!$D151="",LOWER('Game Records'!$D151&amp;"")="n/a")),"Entry Mode; ","")&amp;IF(AND('Game Records'!$U151&lt;&gt;"Subscription",'Game Records'!$U151&lt;&gt;"Free Game",'Game Records'!$U151&lt;&gt;"Disqualified — Free Game",OR('Game Records'!$E151="",LOWER('Game Records'!$E151&amp;"")="n/a")),"Game Type; ","")&amp;IF('Game Records'!$F151="","Payment Type; ","")&amp;IF(AND('Game Records'!$U151&lt;&gt;"Subscription",'Game Records'!$U151&lt;&gt;"Free Game",'Game Records'!$U151&lt;&gt;"Disqualified — Free Game",'Game Records'!$G151=""),"Gross Pot; ","")&amp;IF(AND('Game Records'!$U151&lt;&gt;"Free Game",'Game Records'!$U151&lt;&gt;"Disqualified — Free Game",'Game Records'!$H151=""),"Entry Fee; ","")&amp;IF(AND('Game Records'!$U151&lt;&gt;"Subscription",'Game Records'!$U151&lt;&gt;"Free Game",'Game Records'!$U151&lt;&gt;"Disqualified — Free Game",'Game Records'!$I151=""),"Eligible Players; ","")&amp;IF(AND('Game Records'!$U151&lt;&gt;"Subscription",'Game Records'!$U151&lt;&gt;"Free Game",'Game Records'!$U151&lt;&gt;"Disqualified — Free Game",'Game Records'!$J151=""),"Total Players; ","")&amp;IF(AND(LOWER('Game Records'!$D151&amp;"")="finalized",LOWER('Game Records'!$L151&amp;"")&lt;&gt;"yes",'Game Records'!$U151&lt;&gt;"Subscription",'Game Records'!$U151&lt;&gt;"Free Game",'Game Records'!$U151&lt;&gt;"Disqualified — Free Game",'Game Records'!$K151=""),"Final Earned; ","")&amp;IF(AND(LOWER('Game Records'!$D151&amp;"")="finalized",'Game Records'!$U151&lt;&gt;"Subscription",'Game Records'!$U151&lt;&gt;"Free Game",'Game Records'!$U151&lt;&gt;"Disqualified — Free Game",OR('Game Records'!$L151="",LOWER('Game Records'!$L151&amp;"")="n/a")),"Disqualified Status; ",""))</x:f>
      </x:c>
      <x:c r="G151" s="331" t="str">
        <x:f>IF($A151="","",IFERROR('Game Records'!$M151,""))</x:f>
      </x:c>
      <x:c r="H151" s="104"/>
      <x:c r="I151" s="104"/>
      <x:c r="J151" s="104"/>
    </x:row>
    <x:row r="152" ht="15" hidden="0" customHeight="1">
      <x:c r="A152" s="332" t="str">
        <x:f>IF(OR(COUNTA('Game Records'!$A152:$M152)=0,'Game Records'!$F152="Subscription"),"",IFERROR(MAX($A$4:A151),0)+1)</x:f>
      </x:c>
      <x:c r="B152" s="332" t="str">
        <x:f>IF($A152="","","G-"&amp;TEXT(ROW('Game Records'!$A152)-4,"0000"))</x:f>
      </x:c>
      <x:c r="C152" s="331" t="str">
        <x:f>IF($A152="","",IFERROR('Game Records'!$A152,""))</x:f>
      </x:c>
      <x:c r="D152" s="331" t="str">
        <x:f>IF($A152="","",IFERROR('Game Records'!$U152,""))</x:f>
      </x:c>
      <x:c r="E152" s="331" t="str">
        <x:f>IF($A152="","",IF($F152="","No Highlighted Fields","Highlighted Fields Present"))</x:f>
      </x:c>
      <x:c r="F152" s="331" t="str">
        <x:f>IF($A152="","",IF('Game Records'!$B152="","Start Date; ","")&amp;IF('Game Records'!$C152="","End Date; ","")&amp;IF(AND('Game Records'!$U152&lt;&gt;"Subscription",'Game Records'!$U152&lt;&gt;"Free Game",'Game Records'!$U152&lt;&gt;"Disqualified — Free Game",OR('Game Records'!$D152="",LOWER('Game Records'!$D152&amp;"")="n/a")),"Entry Mode; ","")&amp;IF(AND('Game Records'!$U152&lt;&gt;"Subscription",'Game Records'!$U152&lt;&gt;"Free Game",'Game Records'!$U152&lt;&gt;"Disqualified — Free Game",OR('Game Records'!$E152="",LOWER('Game Records'!$E152&amp;"")="n/a")),"Game Type; ","")&amp;IF('Game Records'!$F152="","Payment Type; ","")&amp;IF(AND('Game Records'!$U152&lt;&gt;"Subscription",'Game Records'!$U152&lt;&gt;"Free Game",'Game Records'!$U152&lt;&gt;"Disqualified — Free Game",'Game Records'!$G152=""),"Gross Pot; ","")&amp;IF(AND('Game Records'!$U152&lt;&gt;"Free Game",'Game Records'!$U152&lt;&gt;"Disqualified — Free Game",'Game Records'!$H152=""),"Entry Fee; ","")&amp;IF(AND('Game Records'!$U152&lt;&gt;"Subscription",'Game Records'!$U152&lt;&gt;"Free Game",'Game Records'!$U152&lt;&gt;"Disqualified — Free Game",'Game Records'!$I152=""),"Eligible Players; ","")&amp;IF(AND('Game Records'!$U152&lt;&gt;"Subscription",'Game Records'!$U152&lt;&gt;"Free Game",'Game Records'!$U152&lt;&gt;"Disqualified — Free Game",'Game Records'!$J152=""),"Total Players; ","")&amp;IF(AND(LOWER('Game Records'!$D152&amp;"")="finalized",LOWER('Game Records'!$L152&amp;"")&lt;&gt;"yes",'Game Records'!$U152&lt;&gt;"Subscription",'Game Records'!$U152&lt;&gt;"Free Game",'Game Records'!$U152&lt;&gt;"Disqualified — Free Game",'Game Records'!$K152=""),"Final Earned; ","")&amp;IF(AND(LOWER('Game Records'!$D152&amp;"")="finalized",'Game Records'!$U152&lt;&gt;"Subscription",'Game Records'!$U152&lt;&gt;"Free Game",'Game Records'!$U152&lt;&gt;"Disqualified — Free Game",OR('Game Records'!$L152="",LOWER('Game Records'!$L152&amp;"")="n/a")),"Disqualified Status; ",""))</x:f>
      </x:c>
      <x:c r="G152" s="331" t="str">
        <x:f>IF($A152="","",IFERROR('Game Records'!$M152,""))</x:f>
      </x:c>
      <x:c r="H152" s="104"/>
      <x:c r="I152" s="104"/>
      <x:c r="J152" s="104"/>
    </x:row>
    <x:row r="153" ht="15" hidden="0" customHeight="1">
      <x:c r="A153" s="332" t="str">
        <x:f>IF(OR(COUNTA('Game Records'!$A153:$M153)=0,'Game Records'!$F153="Subscription"),"",IFERROR(MAX($A$4:A152),0)+1)</x:f>
      </x:c>
      <x:c r="B153" s="332" t="str">
        <x:f>IF($A153="","","G-"&amp;TEXT(ROW('Game Records'!$A153)-4,"0000"))</x:f>
      </x:c>
      <x:c r="C153" s="331" t="str">
        <x:f>IF($A153="","",IFERROR('Game Records'!$A153,""))</x:f>
      </x:c>
      <x:c r="D153" s="331" t="str">
        <x:f>IF($A153="","",IFERROR('Game Records'!$U153,""))</x:f>
      </x:c>
      <x:c r="E153" s="331" t="str">
        <x:f>IF($A153="","",IF($F153="","No Highlighted Fields","Highlighted Fields Present"))</x:f>
      </x:c>
      <x:c r="F153" s="331" t="str">
        <x:f>IF($A153="","",IF('Game Records'!$B153="","Start Date; ","")&amp;IF('Game Records'!$C153="","End Date; ","")&amp;IF(AND('Game Records'!$U153&lt;&gt;"Subscription",'Game Records'!$U153&lt;&gt;"Free Game",'Game Records'!$U153&lt;&gt;"Disqualified — Free Game",OR('Game Records'!$D153="",LOWER('Game Records'!$D153&amp;"")="n/a")),"Entry Mode; ","")&amp;IF(AND('Game Records'!$U153&lt;&gt;"Subscription",'Game Records'!$U153&lt;&gt;"Free Game",'Game Records'!$U153&lt;&gt;"Disqualified — Free Game",OR('Game Records'!$E153="",LOWER('Game Records'!$E153&amp;"")="n/a")),"Game Type; ","")&amp;IF('Game Records'!$F153="","Payment Type; ","")&amp;IF(AND('Game Records'!$U153&lt;&gt;"Subscription",'Game Records'!$U153&lt;&gt;"Free Game",'Game Records'!$U153&lt;&gt;"Disqualified — Free Game",'Game Records'!$G153=""),"Gross Pot; ","")&amp;IF(AND('Game Records'!$U153&lt;&gt;"Free Game",'Game Records'!$U153&lt;&gt;"Disqualified — Free Game",'Game Records'!$H153=""),"Entry Fee; ","")&amp;IF(AND('Game Records'!$U153&lt;&gt;"Subscription",'Game Records'!$U153&lt;&gt;"Free Game",'Game Records'!$U153&lt;&gt;"Disqualified — Free Game",'Game Records'!$I153=""),"Eligible Players; ","")&amp;IF(AND('Game Records'!$U153&lt;&gt;"Subscription",'Game Records'!$U153&lt;&gt;"Free Game",'Game Records'!$U153&lt;&gt;"Disqualified — Free Game",'Game Records'!$J153=""),"Total Players; ","")&amp;IF(AND(LOWER('Game Records'!$D153&amp;"")="finalized",LOWER('Game Records'!$L153&amp;"")&lt;&gt;"yes",'Game Records'!$U153&lt;&gt;"Subscription",'Game Records'!$U153&lt;&gt;"Free Game",'Game Records'!$U153&lt;&gt;"Disqualified — Free Game",'Game Records'!$K153=""),"Final Earned; ","")&amp;IF(AND(LOWER('Game Records'!$D153&amp;"")="finalized",'Game Records'!$U153&lt;&gt;"Subscription",'Game Records'!$U153&lt;&gt;"Free Game",'Game Records'!$U153&lt;&gt;"Disqualified — Free Game",OR('Game Records'!$L153="",LOWER('Game Records'!$L153&amp;"")="n/a")),"Disqualified Status; ",""))</x:f>
      </x:c>
      <x:c r="G153" s="331" t="str">
        <x:f>IF($A153="","",IFERROR('Game Records'!$M153,""))</x:f>
      </x:c>
      <x:c r="H153" s="104"/>
      <x:c r="I153" s="104"/>
      <x:c r="J153" s="104"/>
    </x:row>
    <x:row r="154" ht="15" hidden="0" customHeight="1">
      <x:c r="A154" s="332" t="str">
        <x:f>IF(OR(COUNTA('Game Records'!$A154:$M154)=0,'Game Records'!$F154="Subscription"),"",IFERROR(MAX($A$4:A153),0)+1)</x:f>
      </x:c>
      <x:c r="B154" s="332" t="str">
        <x:f>IF($A154="","","G-"&amp;TEXT(ROW('Game Records'!$A154)-4,"0000"))</x:f>
      </x:c>
      <x:c r="C154" s="331" t="str">
        <x:f>IF($A154="","",IFERROR('Game Records'!$A154,""))</x:f>
      </x:c>
      <x:c r="D154" s="331" t="str">
        <x:f>IF($A154="","",IFERROR('Game Records'!$U154,""))</x:f>
      </x:c>
      <x:c r="E154" s="331" t="str">
        <x:f>IF($A154="","",IF($F154="","No Highlighted Fields","Highlighted Fields Present"))</x:f>
      </x:c>
      <x:c r="F154" s="331" t="str">
        <x:f>IF($A154="","",IF('Game Records'!$B154="","Start Date; ","")&amp;IF('Game Records'!$C154="","End Date; ","")&amp;IF(AND('Game Records'!$U154&lt;&gt;"Subscription",'Game Records'!$U154&lt;&gt;"Free Game",'Game Records'!$U154&lt;&gt;"Disqualified — Free Game",OR('Game Records'!$D154="",LOWER('Game Records'!$D154&amp;"")="n/a")),"Entry Mode; ","")&amp;IF(AND('Game Records'!$U154&lt;&gt;"Subscription",'Game Records'!$U154&lt;&gt;"Free Game",'Game Records'!$U154&lt;&gt;"Disqualified — Free Game",OR('Game Records'!$E154="",LOWER('Game Records'!$E154&amp;"")="n/a")),"Game Type; ","")&amp;IF('Game Records'!$F154="","Payment Type; ","")&amp;IF(AND('Game Records'!$U154&lt;&gt;"Subscription",'Game Records'!$U154&lt;&gt;"Free Game",'Game Records'!$U154&lt;&gt;"Disqualified — Free Game",'Game Records'!$G154=""),"Gross Pot; ","")&amp;IF(AND('Game Records'!$U154&lt;&gt;"Free Game",'Game Records'!$U154&lt;&gt;"Disqualified — Free Game",'Game Records'!$H154=""),"Entry Fee; ","")&amp;IF(AND('Game Records'!$U154&lt;&gt;"Subscription",'Game Records'!$U154&lt;&gt;"Free Game",'Game Records'!$U154&lt;&gt;"Disqualified — Free Game",'Game Records'!$I154=""),"Eligible Players; ","")&amp;IF(AND('Game Records'!$U154&lt;&gt;"Subscription",'Game Records'!$U154&lt;&gt;"Free Game",'Game Records'!$U154&lt;&gt;"Disqualified — Free Game",'Game Records'!$J154=""),"Total Players; ","")&amp;IF(AND(LOWER('Game Records'!$D154&amp;"")="finalized",LOWER('Game Records'!$L154&amp;"")&lt;&gt;"yes",'Game Records'!$U154&lt;&gt;"Subscription",'Game Records'!$U154&lt;&gt;"Free Game",'Game Records'!$U154&lt;&gt;"Disqualified — Free Game",'Game Records'!$K154=""),"Final Earned; ","")&amp;IF(AND(LOWER('Game Records'!$D154&amp;"")="finalized",'Game Records'!$U154&lt;&gt;"Subscription",'Game Records'!$U154&lt;&gt;"Free Game",'Game Records'!$U154&lt;&gt;"Disqualified — Free Game",OR('Game Records'!$L154="",LOWER('Game Records'!$L154&amp;"")="n/a")),"Disqualified Status; ",""))</x:f>
      </x:c>
      <x:c r="G154" s="331" t="str">
        <x:f>IF($A154="","",IFERROR('Game Records'!$M154,""))</x:f>
      </x:c>
      <x:c r="H154" s="104"/>
      <x:c r="I154" s="104"/>
      <x:c r="J154" s="104"/>
    </x:row>
    <x:row r="155" ht="15" hidden="0" customHeight="1">
      <x:c r="A155" s="332" t="str">
        <x:f>IF(OR(COUNTA('Game Records'!$A155:$M155)=0,'Game Records'!$F155="Subscription"),"",IFERROR(MAX($A$4:A154),0)+1)</x:f>
      </x:c>
      <x:c r="B155" s="332" t="str">
        <x:f>IF($A155="","","G-"&amp;TEXT(ROW('Game Records'!$A155)-4,"0000"))</x:f>
      </x:c>
      <x:c r="C155" s="331" t="str">
        <x:f>IF($A155="","",IFERROR('Game Records'!$A155,""))</x:f>
      </x:c>
      <x:c r="D155" s="331" t="str">
        <x:f>IF($A155="","",IFERROR('Game Records'!$U155,""))</x:f>
      </x:c>
      <x:c r="E155" s="331" t="str">
        <x:f>IF($A155="","",IF($F155="","No Highlighted Fields","Highlighted Fields Present"))</x:f>
      </x:c>
      <x:c r="F155" s="331" t="str">
        <x:f>IF($A155="","",IF('Game Records'!$B155="","Start Date; ","")&amp;IF('Game Records'!$C155="","End Date; ","")&amp;IF(AND('Game Records'!$U155&lt;&gt;"Subscription",'Game Records'!$U155&lt;&gt;"Free Game",'Game Records'!$U155&lt;&gt;"Disqualified — Free Game",OR('Game Records'!$D155="",LOWER('Game Records'!$D155&amp;"")="n/a")),"Entry Mode; ","")&amp;IF(AND('Game Records'!$U155&lt;&gt;"Subscription",'Game Records'!$U155&lt;&gt;"Free Game",'Game Records'!$U155&lt;&gt;"Disqualified — Free Game",OR('Game Records'!$E155="",LOWER('Game Records'!$E155&amp;"")="n/a")),"Game Type; ","")&amp;IF('Game Records'!$F155="","Payment Type; ","")&amp;IF(AND('Game Records'!$U155&lt;&gt;"Subscription",'Game Records'!$U155&lt;&gt;"Free Game",'Game Records'!$U155&lt;&gt;"Disqualified — Free Game",'Game Records'!$G155=""),"Gross Pot; ","")&amp;IF(AND('Game Records'!$U155&lt;&gt;"Free Game",'Game Records'!$U155&lt;&gt;"Disqualified — Free Game",'Game Records'!$H155=""),"Entry Fee; ","")&amp;IF(AND('Game Records'!$U155&lt;&gt;"Subscription",'Game Records'!$U155&lt;&gt;"Free Game",'Game Records'!$U155&lt;&gt;"Disqualified — Free Game",'Game Records'!$I155=""),"Eligible Players; ","")&amp;IF(AND('Game Records'!$U155&lt;&gt;"Subscription",'Game Records'!$U155&lt;&gt;"Free Game",'Game Records'!$U155&lt;&gt;"Disqualified — Free Game",'Game Records'!$J155=""),"Total Players; ","")&amp;IF(AND(LOWER('Game Records'!$D155&amp;"")="finalized",LOWER('Game Records'!$L155&amp;"")&lt;&gt;"yes",'Game Records'!$U155&lt;&gt;"Subscription",'Game Records'!$U155&lt;&gt;"Free Game",'Game Records'!$U155&lt;&gt;"Disqualified — Free Game",'Game Records'!$K155=""),"Final Earned; ","")&amp;IF(AND(LOWER('Game Records'!$D155&amp;"")="finalized",'Game Records'!$U155&lt;&gt;"Subscription",'Game Records'!$U155&lt;&gt;"Free Game",'Game Records'!$U155&lt;&gt;"Disqualified — Free Game",OR('Game Records'!$L155="",LOWER('Game Records'!$L155&amp;"")="n/a")),"Disqualified Status; ",""))</x:f>
      </x:c>
      <x:c r="G155" s="331" t="str">
        <x:f>IF($A155="","",IFERROR('Game Records'!$M155,""))</x:f>
      </x:c>
      <x:c r="H155" s="104"/>
      <x:c r="I155" s="104"/>
      <x:c r="J155" s="104"/>
    </x:row>
    <x:row r="156" ht="15" hidden="0" customHeight="1">
      <x:c r="A156" s="332" t="str">
        <x:f>IF(OR(COUNTA('Game Records'!$A156:$M156)=0,'Game Records'!$F156="Subscription"),"",IFERROR(MAX($A$4:A155),0)+1)</x:f>
      </x:c>
      <x:c r="B156" s="332" t="str">
        <x:f>IF($A156="","","G-"&amp;TEXT(ROW('Game Records'!$A156)-4,"0000"))</x:f>
      </x:c>
      <x:c r="C156" s="331" t="str">
        <x:f>IF($A156="","",IFERROR('Game Records'!$A156,""))</x:f>
      </x:c>
      <x:c r="D156" s="331" t="str">
        <x:f>IF($A156="","",IFERROR('Game Records'!$U156,""))</x:f>
      </x:c>
      <x:c r="E156" s="331" t="str">
        <x:f>IF($A156="","",IF($F156="","No Highlighted Fields","Highlighted Fields Present"))</x:f>
      </x:c>
      <x:c r="F156" s="331" t="str">
        <x:f>IF($A156="","",IF('Game Records'!$B156="","Start Date; ","")&amp;IF('Game Records'!$C156="","End Date; ","")&amp;IF(AND('Game Records'!$U156&lt;&gt;"Subscription",'Game Records'!$U156&lt;&gt;"Free Game",'Game Records'!$U156&lt;&gt;"Disqualified — Free Game",OR('Game Records'!$D156="",LOWER('Game Records'!$D156&amp;"")="n/a")),"Entry Mode; ","")&amp;IF(AND('Game Records'!$U156&lt;&gt;"Subscription",'Game Records'!$U156&lt;&gt;"Free Game",'Game Records'!$U156&lt;&gt;"Disqualified — Free Game",OR('Game Records'!$E156="",LOWER('Game Records'!$E156&amp;"")="n/a")),"Game Type; ","")&amp;IF('Game Records'!$F156="","Payment Type; ","")&amp;IF(AND('Game Records'!$U156&lt;&gt;"Subscription",'Game Records'!$U156&lt;&gt;"Free Game",'Game Records'!$U156&lt;&gt;"Disqualified — Free Game",'Game Records'!$G156=""),"Gross Pot; ","")&amp;IF(AND('Game Records'!$U156&lt;&gt;"Free Game",'Game Records'!$U156&lt;&gt;"Disqualified — Free Game",'Game Records'!$H156=""),"Entry Fee; ","")&amp;IF(AND('Game Records'!$U156&lt;&gt;"Subscription",'Game Records'!$U156&lt;&gt;"Free Game",'Game Records'!$U156&lt;&gt;"Disqualified — Free Game",'Game Records'!$I156=""),"Eligible Players; ","")&amp;IF(AND('Game Records'!$U156&lt;&gt;"Subscription",'Game Records'!$U156&lt;&gt;"Free Game",'Game Records'!$U156&lt;&gt;"Disqualified — Free Game",'Game Records'!$J156=""),"Total Players; ","")&amp;IF(AND(LOWER('Game Records'!$D156&amp;"")="finalized",LOWER('Game Records'!$L156&amp;"")&lt;&gt;"yes",'Game Records'!$U156&lt;&gt;"Subscription",'Game Records'!$U156&lt;&gt;"Free Game",'Game Records'!$U156&lt;&gt;"Disqualified — Free Game",'Game Records'!$K156=""),"Final Earned; ","")&amp;IF(AND(LOWER('Game Records'!$D156&amp;"")="finalized",'Game Records'!$U156&lt;&gt;"Subscription",'Game Records'!$U156&lt;&gt;"Free Game",'Game Records'!$U156&lt;&gt;"Disqualified — Free Game",OR('Game Records'!$L156="",LOWER('Game Records'!$L156&amp;"")="n/a")),"Disqualified Status; ",""))</x:f>
      </x:c>
      <x:c r="G156" s="331" t="str">
        <x:f>IF($A156="","",IFERROR('Game Records'!$M156,""))</x:f>
      </x:c>
      <x:c r="H156" s="104"/>
      <x:c r="I156" s="104"/>
      <x:c r="J156" s="104"/>
    </x:row>
    <x:row r="157" ht="15" hidden="0" customHeight="1">
      <x:c r="A157" s="332" t="str">
        <x:f>IF(OR(COUNTA('Game Records'!$A157:$M157)=0,'Game Records'!$F157="Subscription"),"",IFERROR(MAX($A$4:A156),0)+1)</x:f>
      </x:c>
      <x:c r="B157" s="332" t="str">
        <x:f>IF($A157="","","G-"&amp;TEXT(ROW('Game Records'!$A157)-4,"0000"))</x:f>
      </x:c>
      <x:c r="C157" s="331" t="str">
        <x:f>IF($A157="","",IFERROR('Game Records'!$A157,""))</x:f>
      </x:c>
      <x:c r="D157" s="331" t="str">
        <x:f>IF($A157="","",IFERROR('Game Records'!$U157,""))</x:f>
      </x:c>
      <x:c r="E157" s="331" t="str">
        <x:f>IF($A157="","",IF($F157="","No Highlighted Fields","Highlighted Fields Present"))</x:f>
      </x:c>
      <x:c r="F157" s="331" t="str">
        <x:f>IF($A157="","",IF('Game Records'!$B157="","Start Date; ","")&amp;IF('Game Records'!$C157="","End Date; ","")&amp;IF(AND('Game Records'!$U157&lt;&gt;"Subscription",'Game Records'!$U157&lt;&gt;"Free Game",'Game Records'!$U157&lt;&gt;"Disqualified — Free Game",OR('Game Records'!$D157="",LOWER('Game Records'!$D157&amp;"")="n/a")),"Entry Mode; ","")&amp;IF(AND('Game Records'!$U157&lt;&gt;"Subscription",'Game Records'!$U157&lt;&gt;"Free Game",'Game Records'!$U157&lt;&gt;"Disqualified — Free Game",OR('Game Records'!$E157="",LOWER('Game Records'!$E157&amp;"")="n/a")),"Game Type; ","")&amp;IF('Game Records'!$F157="","Payment Type; ","")&amp;IF(AND('Game Records'!$U157&lt;&gt;"Subscription",'Game Records'!$U157&lt;&gt;"Free Game",'Game Records'!$U157&lt;&gt;"Disqualified — Free Game",'Game Records'!$G157=""),"Gross Pot; ","")&amp;IF(AND('Game Records'!$U157&lt;&gt;"Free Game",'Game Records'!$U157&lt;&gt;"Disqualified — Free Game",'Game Records'!$H157=""),"Entry Fee; ","")&amp;IF(AND('Game Records'!$U157&lt;&gt;"Subscription",'Game Records'!$U157&lt;&gt;"Free Game",'Game Records'!$U157&lt;&gt;"Disqualified — Free Game",'Game Records'!$I157=""),"Eligible Players; ","")&amp;IF(AND('Game Records'!$U157&lt;&gt;"Subscription",'Game Records'!$U157&lt;&gt;"Free Game",'Game Records'!$U157&lt;&gt;"Disqualified — Free Game",'Game Records'!$J157=""),"Total Players; ","")&amp;IF(AND(LOWER('Game Records'!$D157&amp;"")="finalized",LOWER('Game Records'!$L157&amp;"")&lt;&gt;"yes",'Game Records'!$U157&lt;&gt;"Subscription",'Game Records'!$U157&lt;&gt;"Free Game",'Game Records'!$U157&lt;&gt;"Disqualified — Free Game",'Game Records'!$K157=""),"Final Earned; ","")&amp;IF(AND(LOWER('Game Records'!$D157&amp;"")="finalized",'Game Records'!$U157&lt;&gt;"Subscription",'Game Records'!$U157&lt;&gt;"Free Game",'Game Records'!$U157&lt;&gt;"Disqualified — Free Game",OR('Game Records'!$L157="",LOWER('Game Records'!$L157&amp;"")="n/a")),"Disqualified Status; ",""))</x:f>
      </x:c>
      <x:c r="G157" s="331" t="str">
        <x:f>IF($A157="","",IFERROR('Game Records'!$M157,""))</x:f>
      </x:c>
      <x:c r="H157" s="104"/>
      <x:c r="I157" s="104"/>
      <x:c r="J157" s="104"/>
    </x:row>
    <x:row r="158" ht="15" hidden="0" customHeight="1">
      <x:c r="A158" s="332" t="str">
        <x:f>IF(OR(COUNTA('Game Records'!$A158:$M158)=0,'Game Records'!$F158="Subscription"),"",IFERROR(MAX($A$4:A157),0)+1)</x:f>
      </x:c>
      <x:c r="B158" s="332" t="str">
        <x:f>IF($A158="","","G-"&amp;TEXT(ROW('Game Records'!$A158)-4,"0000"))</x:f>
      </x:c>
      <x:c r="C158" s="331" t="str">
        <x:f>IF($A158="","",IFERROR('Game Records'!$A158,""))</x:f>
      </x:c>
      <x:c r="D158" s="331" t="str">
        <x:f>IF($A158="","",IFERROR('Game Records'!$U158,""))</x:f>
      </x:c>
      <x:c r="E158" s="331" t="str">
        <x:f>IF($A158="","",IF($F158="","No Highlighted Fields","Highlighted Fields Present"))</x:f>
      </x:c>
      <x:c r="F158" s="331" t="str">
        <x:f>IF($A158="","",IF('Game Records'!$B158="","Start Date; ","")&amp;IF('Game Records'!$C158="","End Date; ","")&amp;IF(AND('Game Records'!$U158&lt;&gt;"Subscription",'Game Records'!$U158&lt;&gt;"Free Game",'Game Records'!$U158&lt;&gt;"Disqualified — Free Game",OR('Game Records'!$D158="",LOWER('Game Records'!$D158&amp;"")="n/a")),"Entry Mode; ","")&amp;IF(AND('Game Records'!$U158&lt;&gt;"Subscription",'Game Records'!$U158&lt;&gt;"Free Game",'Game Records'!$U158&lt;&gt;"Disqualified — Free Game",OR('Game Records'!$E158="",LOWER('Game Records'!$E158&amp;"")="n/a")),"Game Type; ","")&amp;IF('Game Records'!$F158="","Payment Type; ","")&amp;IF(AND('Game Records'!$U158&lt;&gt;"Subscription",'Game Records'!$U158&lt;&gt;"Free Game",'Game Records'!$U158&lt;&gt;"Disqualified — Free Game",'Game Records'!$G158=""),"Gross Pot; ","")&amp;IF(AND('Game Records'!$U158&lt;&gt;"Free Game",'Game Records'!$U158&lt;&gt;"Disqualified — Free Game",'Game Records'!$H158=""),"Entry Fee; ","")&amp;IF(AND('Game Records'!$U158&lt;&gt;"Subscription",'Game Records'!$U158&lt;&gt;"Free Game",'Game Records'!$U158&lt;&gt;"Disqualified — Free Game",'Game Records'!$I158=""),"Eligible Players; ","")&amp;IF(AND('Game Records'!$U158&lt;&gt;"Subscription",'Game Records'!$U158&lt;&gt;"Free Game",'Game Records'!$U158&lt;&gt;"Disqualified — Free Game",'Game Records'!$J158=""),"Total Players; ","")&amp;IF(AND(LOWER('Game Records'!$D158&amp;"")="finalized",LOWER('Game Records'!$L158&amp;"")&lt;&gt;"yes",'Game Records'!$U158&lt;&gt;"Subscription",'Game Records'!$U158&lt;&gt;"Free Game",'Game Records'!$U158&lt;&gt;"Disqualified — Free Game",'Game Records'!$K158=""),"Final Earned; ","")&amp;IF(AND(LOWER('Game Records'!$D158&amp;"")="finalized",'Game Records'!$U158&lt;&gt;"Subscription",'Game Records'!$U158&lt;&gt;"Free Game",'Game Records'!$U158&lt;&gt;"Disqualified — Free Game",OR('Game Records'!$L158="",LOWER('Game Records'!$L158&amp;"")="n/a")),"Disqualified Status; ",""))</x:f>
      </x:c>
      <x:c r="G158" s="331" t="str">
        <x:f>IF($A158="","",IFERROR('Game Records'!$M158,""))</x:f>
      </x:c>
      <x:c r="H158" s="104"/>
      <x:c r="I158" s="104"/>
      <x:c r="J158" s="104"/>
    </x:row>
    <x:row r="159" ht="15" hidden="0" customHeight="1">
      <x:c r="A159" s="332" t="str">
        <x:f>IF(OR(COUNTA('Game Records'!$A159:$M159)=0,'Game Records'!$F159="Subscription"),"",IFERROR(MAX($A$4:A158),0)+1)</x:f>
      </x:c>
      <x:c r="B159" s="332" t="str">
        <x:f>IF($A159="","","G-"&amp;TEXT(ROW('Game Records'!$A159)-4,"0000"))</x:f>
      </x:c>
      <x:c r="C159" s="331" t="str">
        <x:f>IF($A159="","",IFERROR('Game Records'!$A159,""))</x:f>
      </x:c>
      <x:c r="D159" s="331" t="str">
        <x:f>IF($A159="","",IFERROR('Game Records'!$U159,""))</x:f>
      </x:c>
      <x:c r="E159" s="331" t="str">
        <x:f>IF($A159="","",IF($F159="","No Highlighted Fields","Highlighted Fields Present"))</x:f>
      </x:c>
      <x:c r="F159" s="331" t="str">
        <x:f>IF($A159="","",IF('Game Records'!$B159="","Start Date; ","")&amp;IF('Game Records'!$C159="","End Date; ","")&amp;IF(AND('Game Records'!$U159&lt;&gt;"Subscription",'Game Records'!$U159&lt;&gt;"Free Game",'Game Records'!$U159&lt;&gt;"Disqualified — Free Game",OR('Game Records'!$D159="",LOWER('Game Records'!$D159&amp;"")="n/a")),"Entry Mode; ","")&amp;IF(AND('Game Records'!$U159&lt;&gt;"Subscription",'Game Records'!$U159&lt;&gt;"Free Game",'Game Records'!$U159&lt;&gt;"Disqualified — Free Game",OR('Game Records'!$E159="",LOWER('Game Records'!$E159&amp;"")="n/a")),"Game Type; ","")&amp;IF('Game Records'!$F159="","Payment Type; ","")&amp;IF(AND('Game Records'!$U159&lt;&gt;"Subscription",'Game Records'!$U159&lt;&gt;"Free Game",'Game Records'!$U159&lt;&gt;"Disqualified — Free Game",'Game Records'!$G159=""),"Gross Pot; ","")&amp;IF(AND('Game Records'!$U159&lt;&gt;"Free Game",'Game Records'!$U159&lt;&gt;"Disqualified — Free Game",'Game Records'!$H159=""),"Entry Fee; ","")&amp;IF(AND('Game Records'!$U159&lt;&gt;"Subscription",'Game Records'!$U159&lt;&gt;"Free Game",'Game Records'!$U159&lt;&gt;"Disqualified — Free Game",'Game Records'!$I159=""),"Eligible Players; ","")&amp;IF(AND('Game Records'!$U159&lt;&gt;"Subscription",'Game Records'!$U159&lt;&gt;"Free Game",'Game Records'!$U159&lt;&gt;"Disqualified — Free Game",'Game Records'!$J159=""),"Total Players; ","")&amp;IF(AND(LOWER('Game Records'!$D159&amp;"")="finalized",LOWER('Game Records'!$L159&amp;"")&lt;&gt;"yes",'Game Records'!$U159&lt;&gt;"Subscription",'Game Records'!$U159&lt;&gt;"Free Game",'Game Records'!$U159&lt;&gt;"Disqualified — Free Game",'Game Records'!$K159=""),"Final Earned; ","")&amp;IF(AND(LOWER('Game Records'!$D159&amp;"")="finalized",'Game Records'!$U159&lt;&gt;"Subscription",'Game Records'!$U159&lt;&gt;"Free Game",'Game Records'!$U159&lt;&gt;"Disqualified — Free Game",OR('Game Records'!$L159="",LOWER('Game Records'!$L159&amp;"")="n/a")),"Disqualified Status; ",""))</x:f>
      </x:c>
      <x:c r="G159" s="331" t="str">
        <x:f>IF($A159="","",IFERROR('Game Records'!$M159,""))</x:f>
      </x:c>
      <x:c r="H159" s="104"/>
      <x:c r="I159" s="104"/>
      <x:c r="J159" s="104"/>
    </x:row>
    <x:row r="160" ht="15" hidden="0" customHeight="1">
      <x:c r="A160" s="332" t="str">
        <x:f>IF(OR(COUNTA('Game Records'!$A160:$M160)=0,'Game Records'!$F160="Subscription"),"",IFERROR(MAX($A$4:A159),0)+1)</x:f>
      </x:c>
      <x:c r="B160" s="332" t="str">
        <x:f>IF($A160="","","G-"&amp;TEXT(ROW('Game Records'!$A160)-4,"0000"))</x:f>
      </x:c>
      <x:c r="C160" s="331" t="str">
        <x:f>IF($A160="","",IFERROR('Game Records'!$A160,""))</x:f>
      </x:c>
      <x:c r="D160" s="331" t="str">
        <x:f>IF($A160="","",IFERROR('Game Records'!$U160,""))</x:f>
      </x:c>
      <x:c r="E160" s="331" t="str">
        <x:f>IF($A160="","",IF($F160="","No Highlighted Fields","Highlighted Fields Present"))</x:f>
      </x:c>
      <x:c r="F160" s="331" t="str">
        <x:f>IF($A160="","",IF('Game Records'!$B160="","Start Date; ","")&amp;IF('Game Records'!$C160="","End Date; ","")&amp;IF(AND('Game Records'!$U160&lt;&gt;"Subscription",'Game Records'!$U160&lt;&gt;"Free Game",'Game Records'!$U160&lt;&gt;"Disqualified — Free Game",OR('Game Records'!$D160="",LOWER('Game Records'!$D160&amp;"")="n/a")),"Entry Mode; ","")&amp;IF(AND('Game Records'!$U160&lt;&gt;"Subscription",'Game Records'!$U160&lt;&gt;"Free Game",'Game Records'!$U160&lt;&gt;"Disqualified — Free Game",OR('Game Records'!$E160="",LOWER('Game Records'!$E160&amp;"")="n/a")),"Game Type; ","")&amp;IF('Game Records'!$F160="","Payment Type; ","")&amp;IF(AND('Game Records'!$U160&lt;&gt;"Subscription",'Game Records'!$U160&lt;&gt;"Free Game",'Game Records'!$U160&lt;&gt;"Disqualified — Free Game",'Game Records'!$G160=""),"Gross Pot; ","")&amp;IF(AND('Game Records'!$U160&lt;&gt;"Free Game",'Game Records'!$U160&lt;&gt;"Disqualified — Free Game",'Game Records'!$H160=""),"Entry Fee; ","")&amp;IF(AND('Game Records'!$U160&lt;&gt;"Subscription",'Game Records'!$U160&lt;&gt;"Free Game",'Game Records'!$U160&lt;&gt;"Disqualified — Free Game",'Game Records'!$I160=""),"Eligible Players; ","")&amp;IF(AND('Game Records'!$U160&lt;&gt;"Subscription",'Game Records'!$U160&lt;&gt;"Free Game",'Game Records'!$U160&lt;&gt;"Disqualified — Free Game",'Game Records'!$J160=""),"Total Players; ","")&amp;IF(AND(LOWER('Game Records'!$D160&amp;"")="finalized",LOWER('Game Records'!$L160&amp;"")&lt;&gt;"yes",'Game Records'!$U160&lt;&gt;"Subscription",'Game Records'!$U160&lt;&gt;"Free Game",'Game Records'!$U160&lt;&gt;"Disqualified — Free Game",'Game Records'!$K160=""),"Final Earned; ","")&amp;IF(AND(LOWER('Game Records'!$D160&amp;"")="finalized",'Game Records'!$U160&lt;&gt;"Subscription",'Game Records'!$U160&lt;&gt;"Free Game",'Game Records'!$U160&lt;&gt;"Disqualified — Free Game",OR('Game Records'!$L160="",LOWER('Game Records'!$L160&amp;"")="n/a")),"Disqualified Status; ",""))</x:f>
      </x:c>
      <x:c r="G160" s="331" t="str">
        <x:f>IF($A160="","",IFERROR('Game Records'!$M160,""))</x:f>
      </x:c>
      <x:c r="H160" s="104"/>
      <x:c r="I160" s="104"/>
      <x:c r="J160" s="104"/>
    </x:row>
    <x:row r="161" ht="15" hidden="0" customHeight="1">
      <x:c r="A161" s="332" t="str">
        <x:f>IF(OR(COUNTA('Game Records'!$A161:$M161)=0,'Game Records'!$F161="Subscription"),"",IFERROR(MAX($A$4:A160),0)+1)</x:f>
      </x:c>
      <x:c r="B161" s="332" t="str">
        <x:f>IF($A161="","","G-"&amp;TEXT(ROW('Game Records'!$A161)-4,"0000"))</x:f>
      </x:c>
      <x:c r="C161" s="331" t="str">
        <x:f>IF($A161="","",IFERROR('Game Records'!$A161,""))</x:f>
      </x:c>
      <x:c r="D161" s="331" t="str">
        <x:f>IF($A161="","",IFERROR('Game Records'!$U161,""))</x:f>
      </x:c>
      <x:c r="E161" s="331" t="str">
        <x:f>IF($A161="","",IF($F161="","No Highlighted Fields","Highlighted Fields Present"))</x:f>
      </x:c>
      <x:c r="F161" s="331" t="str">
        <x:f>IF($A161="","",IF('Game Records'!$B161="","Start Date; ","")&amp;IF('Game Records'!$C161="","End Date; ","")&amp;IF(AND('Game Records'!$U161&lt;&gt;"Subscription",'Game Records'!$U161&lt;&gt;"Free Game",'Game Records'!$U161&lt;&gt;"Disqualified — Free Game",OR('Game Records'!$D161="",LOWER('Game Records'!$D161&amp;"")="n/a")),"Entry Mode; ","")&amp;IF(AND('Game Records'!$U161&lt;&gt;"Subscription",'Game Records'!$U161&lt;&gt;"Free Game",'Game Records'!$U161&lt;&gt;"Disqualified — Free Game",OR('Game Records'!$E161="",LOWER('Game Records'!$E161&amp;"")="n/a")),"Game Type; ","")&amp;IF('Game Records'!$F161="","Payment Type; ","")&amp;IF(AND('Game Records'!$U161&lt;&gt;"Subscription",'Game Records'!$U161&lt;&gt;"Free Game",'Game Records'!$U161&lt;&gt;"Disqualified — Free Game",'Game Records'!$G161=""),"Gross Pot; ","")&amp;IF(AND('Game Records'!$U161&lt;&gt;"Free Game",'Game Records'!$U161&lt;&gt;"Disqualified — Free Game",'Game Records'!$H161=""),"Entry Fee; ","")&amp;IF(AND('Game Records'!$U161&lt;&gt;"Subscription",'Game Records'!$U161&lt;&gt;"Free Game",'Game Records'!$U161&lt;&gt;"Disqualified — Free Game",'Game Records'!$I161=""),"Eligible Players; ","")&amp;IF(AND('Game Records'!$U161&lt;&gt;"Subscription",'Game Records'!$U161&lt;&gt;"Free Game",'Game Records'!$U161&lt;&gt;"Disqualified — Free Game",'Game Records'!$J161=""),"Total Players; ","")&amp;IF(AND(LOWER('Game Records'!$D161&amp;"")="finalized",LOWER('Game Records'!$L161&amp;"")&lt;&gt;"yes",'Game Records'!$U161&lt;&gt;"Subscription",'Game Records'!$U161&lt;&gt;"Free Game",'Game Records'!$U161&lt;&gt;"Disqualified — Free Game",'Game Records'!$K161=""),"Final Earned; ","")&amp;IF(AND(LOWER('Game Records'!$D161&amp;"")="finalized",'Game Records'!$U161&lt;&gt;"Subscription",'Game Records'!$U161&lt;&gt;"Free Game",'Game Records'!$U161&lt;&gt;"Disqualified — Free Game",OR('Game Records'!$L161="",LOWER('Game Records'!$L161&amp;"")="n/a")),"Disqualified Status; ",""))</x:f>
      </x:c>
      <x:c r="G161" s="331" t="str">
        <x:f>IF($A161="","",IFERROR('Game Records'!$M161,""))</x:f>
      </x:c>
      <x:c r="H161" s="104"/>
      <x:c r="I161" s="104"/>
      <x:c r="J161" s="104"/>
    </x:row>
    <x:row r="162" ht="15" hidden="0" customHeight="1">
      <x:c r="A162" s="332" t="str">
        <x:f>IF(OR(COUNTA('Game Records'!$A162:$M162)=0,'Game Records'!$F162="Subscription"),"",IFERROR(MAX($A$4:A161),0)+1)</x:f>
      </x:c>
      <x:c r="B162" s="332" t="str">
        <x:f>IF($A162="","","G-"&amp;TEXT(ROW('Game Records'!$A162)-4,"0000"))</x:f>
      </x:c>
      <x:c r="C162" s="331" t="str">
        <x:f>IF($A162="","",IFERROR('Game Records'!$A162,""))</x:f>
      </x:c>
      <x:c r="D162" s="331" t="str">
        <x:f>IF($A162="","",IFERROR('Game Records'!$U162,""))</x:f>
      </x:c>
      <x:c r="E162" s="331" t="str">
        <x:f>IF($A162="","",IF($F162="","No Highlighted Fields","Highlighted Fields Present"))</x:f>
      </x:c>
      <x:c r="F162" s="331" t="str">
        <x:f>IF($A162="","",IF('Game Records'!$B162="","Start Date; ","")&amp;IF('Game Records'!$C162="","End Date; ","")&amp;IF(AND('Game Records'!$U162&lt;&gt;"Subscription",'Game Records'!$U162&lt;&gt;"Free Game",'Game Records'!$U162&lt;&gt;"Disqualified — Free Game",OR('Game Records'!$D162="",LOWER('Game Records'!$D162&amp;"")="n/a")),"Entry Mode; ","")&amp;IF(AND('Game Records'!$U162&lt;&gt;"Subscription",'Game Records'!$U162&lt;&gt;"Free Game",'Game Records'!$U162&lt;&gt;"Disqualified — Free Game",OR('Game Records'!$E162="",LOWER('Game Records'!$E162&amp;"")="n/a")),"Game Type; ","")&amp;IF('Game Records'!$F162="","Payment Type; ","")&amp;IF(AND('Game Records'!$U162&lt;&gt;"Subscription",'Game Records'!$U162&lt;&gt;"Free Game",'Game Records'!$U162&lt;&gt;"Disqualified — Free Game",'Game Records'!$G162=""),"Gross Pot; ","")&amp;IF(AND('Game Records'!$U162&lt;&gt;"Free Game",'Game Records'!$U162&lt;&gt;"Disqualified — Free Game",'Game Records'!$H162=""),"Entry Fee; ","")&amp;IF(AND('Game Records'!$U162&lt;&gt;"Subscription",'Game Records'!$U162&lt;&gt;"Free Game",'Game Records'!$U162&lt;&gt;"Disqualified — Free Game",'Game Records'!$I162=""),"Eligible Players; ","")&amp;IF(AND('Game Records'!$U162&lt;&gt;"Subscription",'Game Records'!$U162&lt;&gt;"Free Game",'Game Records'!$U162&lt;&gt;"Disqualified — Free Game",'Game Records'!$J162=""),"Total Players; ","")&amp;IF(AND(LOWER('Game Records'!$D162&amp;"")="finalized",LOWER('Game Records'!$L162&amp;"")&lt;&gt;"yes",'Game Records'!$U162&lt;&gt;"Subscription",'Game Records'!$U162&lt;&gt;"Free Game",'Game Records'!$U162&lt;&gt;"Disqualified — Free Game",'Game Records'!$K162=""),"Final Earned; ","")&amp;IF(AND(LOWER('Game Records'!$D162&amp;"")="finalized",'Game Records'!$U162&lt;&gt;"Subscription",'Game Records'!$U162&lt;&gt;"Free Game",'Game Records'!$U162&lt;&gt;"Disqualified — Free Game",OR('Game Records'!$L162="",LOWER('Game Records'!$L162&amp;"")="n/a")),"Disqualified Status; ",""))</x:f>
      </x:c>
      <x:c r="G162" s="331" t="str">
        <x:f>IF($A162="","",IFERROR('Game Records'!$M162,""))</x:f>
      </x:c>
      <x:c r="H162" s="104"/>
      <x:c r="I162" s="104"/>
      <x:c r="J162" s="104"/>
    </x:row>
    <x:row r="163" ht="15" hidden="0" customHeight="1">
      <x:c r="A163" s="332" t="str">
        <x:f>IF(OR(COUNTA('Game Records'!$A163:$M163)=0,'Game Records'!$F163="Subscription"),"",IFERROR(MAX($A$4:A162),0)+1)</x:f>
      </x:c>
      <x:c r="B163" s="332" t="str">
        <x:f>IF($A163="","","G-"&amp;TEXT(ROW('Game Records'!$A163)-4,"0000"))</x:f>
      </x:c>
      <x:c r="C163" s="331" t="str">
        <x:f>IF($A163="","",IFERROR('Game Records'!$A163,""))</x:f>
      </x:c>
      <x:c r="D163" s="331" t="str">
        <x:f>IF($A163="","",IFERROR('Game Records'!$U163,""))</x:f>
      </x:c>
      <x:c r="E163" s="331" t="str">
        <x:f>IF($A163="","",IF($F163="","No Highlighted Fields","Highlighted Fields Present"))</x:f>
      </x:c>
      <x:c r="F163" s="331" t="str">
        <x:f>IF($A163="","",IF('Game Records'!$B163="","Start Date; ","")&amp;IF('Game Records'!$C163="","End Date; ","")&amp;IF(AND('Game Records'!$U163&lt;&gt;"Subscription",'Game Records'!$U163&lt;&gt;"Free Game",'Game Records'!$U163&lt;&gt;"Disqualified — Free Game",OR('Game Records'!$D163="",LOWER('Game Records'!$D163&amp;"")="n/a")),"Entry Mode; ","")&amp;IF(AND('Game Records'!$U163&lt;&gt;"Subscription",'Game Records'!$U163&lt;&gt;"Free Game",'Game Records'!$U163&lt;&gt;"Disqualified — Free Game",OR('Game Records'!$E163="",LOWER('Game Records'!$E163&amp;"")="n/a")),"Game Type; ","")&amp;IF('Game Records'!$F163="","Payment Type; ","")&amp;IF(AND('Game Records'!$U163&lt;&gt;"Subscription",'Game Records'!$U163&lt;&gt;"Free Game",'Game Records'!$U163&lt;&gt;"Disqualified — Free Game",'Game Records'!$G163=""),"Gross Pot; ","")&amp;IF(AND('Game Records'!$U163&lt;&gt;"Free Game",'Game Records'!$U163&lt;&gt;"Disqualified — Free Game",'Game Records'!$H163=""),"Entry Fee; ","")&amp;IF(AND('Game Records'!$U163&lt;&gt;"Subscription",'Game Records'!$U163&lt;&gt;"Free Game",'Game Records'!$U163&lt;&gt;"Disqualified — Free Game",'Game Records'!$I163=""),"Eligible Players; ","")&amp;IF(AND('Game Records'!$U163&lt;&gt;"Subscription",'Game Records'!$U163&lt;&gt;"Free Game",'Game Records'!$U163&lt;&gt;"Disqualified — Free Game",'Game Records'!$J163=""),"Total Players; ","")&amp;IF(AND(LOWER('Game Records'!$D163&amp;"")="finalized",LOWER('Game Records'!$L163&amp;"")&lt;&gt;"yes",'Game Records'!$U163&lt;&gt;"Subscription",'Game Records'!$U163&lt;&gt;"Free Game",'Game Records'!$U163&lt;&gt;"Disqualified — Free Game",'Game Records'!$K163=""),"Final Earned; ","")&amp;IF(AND(LOWER('Game Records'!$D163&amp;"")="finalized",'Game Records'!$U163&lt;&gt;"Subscription",'Game Records'!$U163&lt;&gt;"Free Game",'Game Records'!$U163&lt;&gt;"Disqualified — Free Game",OR('Game Records'!$L163="",LOWER('Game Records'!$L163&amp;"")="n/a")),"Disqualified Status; ",""))</x:f>
      </x:c>
      <x:c r="G163" s="331" t="str">
        <x:f>IF($A163="","",IFERROR('Game Records'!$M163,""))</x:f>
      </x:c>
      <x:c r="H163" s="104"/>
      <x:c r="I163" s="104"/>
      <x:c r="J163" s="104"/>
    </x:row>
    <x:row r="164" ht="15" hidden="0" customHeight="1">
      <x:c r="A164" s="332" t="str">
        <x:f>IF(OR(COUNTA('Game Records'!$A164:$M164)=0,'Game Records'!$F164="Subscription"),"",IFERROR(MAX($A$4:A163),0)+1)</x:f>
      </x:c>
      <x:c r="B164" s="332" t="str">
        <x:f>IF($A164="","","G-"&amp;TEXT(ROW('Game Records'!$A164)-4,"0000"))</x:f>
      </x:c>
      <x:c r="C164" s="331" t="str">
        <x:f>IF($A164="","",IFERROR('Game Records'!$A164,""))</x:f>
      </x:c>
      <x:c r="D164" s="331" t="str">
        <x:f>IF($A164="","",IFERROR('Game Records'!$U164,""))</x:f>
      </x:c>
      <x:c r="E164" s="331" t="str">
        <x:f>IF($A164="","",IF($F164="","No Highlighted Fields","Highlighted Fields Present"))</x:f>
      </x:c>
      <x:c r="F164" s="331" t="str">
        <x:f>IF($A164="","",IF('Game Records'!$B164="","Start Date; ","")&amp;IF('Game Records'!$C164="","End Date; ","")&amp;IF(AND('Game Records'!$U164&lt;&gt;"Subscription",'Game Records'!$U164&lt;&gt;"Free Game",'Game Records'!$U164&lt;&gt;"Disqualified — Free Game",OR('Game Records'!$D164="",LOWER('Game Records'!$D164&amp;"")="n/a")),"Entry Mode; ","")&amp;IF(AND('Game Records'!$U164&lt;&gt;"Subscription",'Game Records'!$U164&lt;&gt;"Free Game",'Game Records'!$U164&lt;&gt;"Disqualified — Free Game",OR('Game Records'!$E164="",LOWER('Game Records'!$E164&amp;"")="n/a")),"Game Type; ","")&amp;IF('Game Records'!$F164="","Payment Type; ","")&amp;IF(AND('Game Records'!$U164&lt;&gt;"Subscription",'Game Records'!$U164&lt;&gt;"Free Game",'Game Records'!$U164&lt;&gt;"Disqualified — Free Game",'Game Records'!$G164=""),"Gross Pot; ","")&amp;IF(AND('Game Records'!$U164&lt;&gt;"Free Game",'Game Records'!$U164&lt;&gt;"Disqualified — Free Game",'Game Records'!$H164=""),"Entry Fee; ","")&amp;IF(AND('Game Records'!$U164&lt;&gt;"Subscription",'Game Records'!$U164&lt;&gt;"Free Game",'Game Records'!$U164&lt;&gt;"Disqualified — Free Game",'Game Records'!$I164=""),"Eligible Players; ","")&amp;IF(AND('Game Records'!$U164&lt;&gt;"Subscription",'Game Records'!$U164&lt;&gt;"Free Game",'Game Records'!$U164&lt;&gt;"Disqualified — Free Game",'Game Records'!$J164=""),"Total Players; ","")&amp;IF(AND(LOWER('Game Records'!$D164&amp;"")="finalized",LOWER('Game Records'!$L164&amp;"")&lt;&gt;"yes",'Game Records'!$U164&lt;&gt;"Subscription",'Game Records'!$U164&lt;&gt;"Free Game",'Game Records'!$U164&lt;&gt;"Disqualified — Free Game",'Game Records'!$K164=""),"Final Earned; ","")&amp;IF(AND(LOWER('Game Records'!$D164&amp;"")="finalized",'Game Records'!$U164&lt;&gt;"Subscription",'Game Records'!$U164&lt;&gt;"Free Game",'Game Records'!$U164&lt;&gt;"Disqualified — Free Game",OR('Game Records'!$L164="",LOWER('Game Records'!$L164&amp;"")="n/a")),"Disqualified Status; ",""))</x:f>
      </x:c>
      <x:c r="G164" s="331" t="str">
        <x:f>IF($A164="","",IFERROR('Game Records'!$M164,""))</x:f>
      </x:c>
      <x:c r="H164" s="104"/>
      <x:c r="I164" s="104"/>
      <x:c r="J164" s="104"/>
    </x:row>
    <x:row r="165" ht="15" hidden="0" customHeight="1">
      <x:c r="A165" s="332" t="str">
        <x:f>IF(OR(COUNTA('Game Records'!$A165:$M165)=0,'Game Records'!$F165="Subscription"),"",IFERROR(MAX($A$4:A164),0)+1)</x:f>
      </x:c>
      <x:c r="B165" s="332" t="str">
        <x:f>IF($A165="","","G-"&amp;TEXT(ROW('Game Records'!$A165)-4,"0000"))</x:f>
      </x:c>
      <x:c r="C165" s="331" t="str">
        <x:f>IF($A165="","",IFERROR('Game Records'!$A165,""))</x:f>
      </x:c>
      <x:c r="D165" s="331" t="str">
        <x:f>IF($A165="","",IFERROR('Game Records'!$U165,""))</x:f>
      </x:c>
      <x:c r="E165" s="331" t="str">
        <x:f>IF($A165="","",IF($F165="","No Highlighted Fields","Highlighted Fields Present"))</x:f>
      </x:c>
      <x:c r="F165" s="331" t="str">
        <x:f>IF($A165="","",IF('Game Records'!$B165="","Start Date; ","")&amp;IF('Game Records'!$C165="","End Date; ","")&amp;IF(AND('Game Records'!$U165&lt;&gt;"Subscription",'Game Records'!$U165&lt;&gt;"Free Game",'Game Records'!$U165&lt;&gt;"Disqualified — Free Game",OR('Game Records'!$D165="",LOWER('Game Records'!$D165&amp;"")="n/a")),"Entry Mode; ","")&amp;IF(AND('Game Records'!$U165&lt;&gt;"Subscription",'Game Records'!$U165&lt;&gt;"Free Game",'Game Records'!$U165&lt;&gt;"Disqualified — Free Game",OR('Game Records'!$E165="",LOWER('Game Records'!$E165&amp;"")="n/a")),"Game Type; ","")&amp;IF('Game Records'!$F165="","Payment Type; ","")&amp;IF(AND('Game Records'!$U165&lt;&gt;"Subscription",'Game Records'!$U165&lt;&gt;"Free Game",'Game Records'!$U165&lt;&gt;"Disqualified — Free Game",'Game Records'!$G165=""),"Gross Pot; ","")&amp;IF(AND('Game Records'!$U165&lt;&gt;"Free Game",'Game Records'!$U165&lt;&gt;"Disqualified — Free Game",'Game Records'!$H165=""),"Entry Fee; ","")&amp;IF(AND('Game Records'!$U165&lt;&gt;"Subscription",'Game Records'!$U165&lt;&gt;"Free Game",'Game Records'!$U165&lt;&gt;"Disqualified — Free Game",'Game Records'!$I165=""),"Eligible Players; ","")&amp;IF(AND('Game Records'!$U165&lt;&gt;"Subscription",'Game Records'!$U165&lt;&gt;"Free Game",'Game Records'!$U165&lt;&gt;"Disqualified — Free Game",'Game Records'!$J165=""),"Total Players; ","")&amp;IF(AND(LOWER('Game Records'!$D165&amp;"")="finalized",LOWER('Game Records'!$L165&amp;"")&lt;&gt;"yes",'Game Records'!$U165&lt;&gt;"Subscription",'Game Records'!$U165&lt;&gt;"Free Game",'Game Records'!$U165&lt;&gt;"Disqualified — Free Game",'Game Records'!$K165=""),"Final Earned; ","")&amp;IF(AND(LOWER('Game Records'!$D165&amp;"")="finalized",'Game Records'!$U165&lt;&gt;"Subscription",'Game Records'!$U165&lt;&gt;"Free Game",'Game Records'!$U165&lt;&gt;"Disqualified — Free Game",OR('Game Records'!$L165="",LOWER('Game Records'!$L165&amp;"")="n/a")),"Disqualified Status; ",""))</x:f>
      </x:c>
      <x:c r="G165" s="331" t="str">
        <x:f>IF($A165="","",IFERROR('Game Records'!$M165,""))</x:f>
      </x:c>
      <x:c r="H165" s="104"/>
      <x:c r="I165" s="104"/>
      <x:c r="J165" s="104"/>
    </x:row>
    <x:row r="166" ht="15" hidden="0" customHeight="1">
      <x:c r="A166" s="332" t="str">
        <x:f>IF(OR(COUNTA('Game Records'!$A166:$M166)=0,'Game Records'!$F166="Subscription"),"",IFERROR(MAX($A$4:A165),0)+1)</x:f>
      </x:c>
      <x:c r="B166" s="332" t="str">
        <x:f>IF($A166="","","G-"&amp;TEXT(ROW('Game Records'!$A166)-4,"0000"))</x:f>
      </x:c>
      <x:c r="C166" s="331" t="str">
        <x:f>IF($A166="","",IFERROR('Game Records'!$A166,""))</x:f>
      </x:c>
      <x:c r="D166" s="331" t="str">
        <x:f>IF($A166="","",IFERROR('Game Records'!$U166,""))</x:f>
      </x:c>
      <x:c r="E166" s="331" t="str">
        <x:f>IF($A166="","",IF($F166="","No Highlighted Fields","Highlighted Fields Present"))</x:f>
      </x:c>
      <x:c r="F166" s="331" t="str">
        <x:f>IF($A166="","",IF('Game Records'!$B166="","Start Date; ","")&amp;IF('Game Records'!$C166="","End Date; ","")&amp;IF(AND('Game Records'!$U166&lt;&gt;"Subscription",'Game Records'!$U166&lt;&gt;"Free Game",'Game Records'!$U166&lt;&gt;"Disqualified — Free Game",OR('Game Records'!$D166="",LOWER('Game Records'!$D166&amp;"")="n/a")),"Entry Mode; ","")&amp;IF(AND('Game Records'!$U166&lt;&gt;"Subscription",'Game Records'!$U166&lt;&gt;"Free Game",'Game Records'!$U166&lt;&gt;"Disqualified — Free Game",OR('Game Records'!$E166="",LOWER('Game Records'!$E166&amp;"")="n/a")),"Game Type; ","")&amp;IF('Game Records'!$F166="","Payment Type; ","")&amp;IF(AND('Game Records'!$U166&lt;&gt;"Subscription",'Game Records'!$U166&lt;&gt;"Free Game",'Game Records'!$U166&lt;&gt;"Disqualified — Free Game",'Game Records'!$G166=""),"Gross Pot; ","")&amp;IF(AND('Game Records'!$U166&lt;&gt;"Free Game",'Game Records'!$U166&lt;&gt;"Disqualified — Free Game",'Game Records'!$H166=""),"Entry Fee; ","")&amp;IF(AND('Game Records'!$U166&lt;&gt;"Subscription",'Game Records'!$U166&lt;&gt;"Free Game",'Game Records'!$U166&lt;&gt;"Disqualified — Free Game",'Game Records'!$I166=""),"Eligible Players; ","")&amp;IF(AND('Game Records'!$U166&lt;&gt;"Subscription",'Game Records'!$U166&lt;&gt;"Free Game",'Game Records'!$U166&lt;&gt;"Disqualified — Free Game",'Game Records'!$J166=""),"Total Players; ","")&amp;IF(AND(LOWER('Game Records'!$D166&amp;"")="finalized",LOWER('Game Records'!$L166&amp;"")&lt;&gt;"yes",'Game Records'!$U166&lt;&gt;"Subscription",'Game Records'!$U166&lt;&gt;"Free Game",'Game Records'!$U166&lt;&gt;"Disqualified — Free Game",'Game Records'!$K166=""),"Final Earned; ","")&amp;IF(AND(LOWER('Game Records'!$D166&amp;"")="finalized",'Game Records'!$U166&lt;&gt;"Subscription",'Game Records'!$U166&lt;&gt;"Free Game",'Game Records'!$U166&lt;&gt;"Disqualified — Free Game",OR('Game Records'!$L166="",LOWER('Game Records'!$L166&amp;"")="n/a")),"Disqualified Status; ",""))</x:f>
      </x:c>
      <x:c r="G166" s="331" t="str">
        <x:f>IF($A166="","",IFERROR('Game Records'!$M166,""))</x:f>
      </x:c>
      <x:c r="H166" s="104"/>
      <x:c r="I166" s="104"/>
      <x:c r="J166" s="104"/>
    </x:row>
    <x:row r="167" ht="15" hidden="0" customHeight="1">
      <x:c r="A167" s="332" t="str">
        <x:f>IF(OR(COUNTA('Game Records'!$A167:$M167)=0,'Game Records'!$F167="Subscription"),"",IFERROR(MAX($A$4:A166),0)+1)</x:f>
      </x:c>
      <x:c r="B167" s="332" t="str">
        <x:f>IF($A167="","","G-"&amp;TEXT(ROW('Game Records'!$A167)-4,"0000"))</x:f>
      </x:c>
      <x:c r="C167" s="331" t="str">
        <x:f>IF($A167="","",IFERROR('Game Records'!$A167,""))</x:f>
      </x:c>
      <x:c r="D167" s="331" t="str">
        <x:f>IF($A167="","",IFERROR('Game Records'!$U167,""))</x:f>
      </x:c>
      <x:c r="E167" s="331" t="str">
        <x:f>IF($A167="","",IF($F167="","No Highlighted Fields","Highlighted Fields Present"))</x:f>
      </x:c>
      <x:c r="F167" s="331" t="str">
        <x:f>IF($A167="","",IF('Game Records'!$B167="","Start Date; ","")&amp;IF('Game Records'!$C167="","End Date; ","")&amp;IF(AND('Game Records'!$U167&lt;&gt;"Subscription",'Game Records'!$U167&lt;&gt;"Free Game",'Game Records'!$U167&lt;&gt;"Disqualified — Free Game",OR('Game Records'!$D167="",LOWER('Game Records'!$D167&amp;"")="n/a")),"Entry Mode; ","")&amp;IF(AND('Game Records'!$U167&lt;&gt;"Subscription",'Game Records'!$U167&lt;&gt;"Free Game",'Game Records'!$U167&lt;&gt;"Disqualified — Free Game",OR('Game Records'!$E167="",LOWER('Game Records'!$E167&amp;"")="n/a")),"Game Type; ","")&amp;IF('Game Records'!$F167="","Payment Type; ","")&amp;IF(AND('Game Records'!$U167&lt;&gt;"Subscription",'Game Records'!$U167&lt;&gt;"Free Game",'Game Records'!$U167&lt;&gt;"Disqualified — Free Game",'Game Records'!$G167=""),"Gross Pot; ","")&amp;IF(AND('Game Records'!$U167&lt;&gt;"Free Game",'Game Records'!$U167&lt;&gt;"Disqualified — Free Game",'Game Records'!$H167=""),"Entry Fee; ","")&amp;IF(AND('Game Records'!$U167&lt;&gt;"Subscription",'Game Records'!$U167&lt;&gt;"Free Game",'Game Records'!$U167&lt;&gt;"Disqualified — Free Game",'Game Records'!$I167=""),"Eligible Players; ","")&amp;IF(AND('Game Records'!$U167&lt;&gt;"Subscription",'Game Records'!$U167&lt;&gt;"Free Game",'Game Records'!$U167&lt;&gt;"Disqualified — Free Game",'Game Records'!$J167=""),"Total Players; ","")&amp;IF(AND(LOWER('Game Records'!$D167&amp;"")="finalized",LOWER('Game Records'!$L167&amp;"")&lt;&gt;"yes",'Game Records'!$U167&lt;&gt;"Subscription",'Game Records'!$U167&lt;&gt;"Free Game",'Game Records'!$U167&lt;&gt;"Disqualified — Free Game",'Game Records'!$K167=""),"Final Earned; ","")&amp;IF(AND(LOWER('Game Records'!$D167&amp;"")="finalized",'Game Records'!$U167&lt;&gt;"Subscription",'Game Records'!$U167&lt;&gt;"Free Game",'Game Records'!$U167&lt;&gt;"Disqualified — Free Game",OR('Game Records'!$L167="",LOWER('Game Records'!$L167&amp;"")="n/a")),"Disqualified Status; ",""))</x:f>
      </x:c>
      <x:c r="G167" s="331" t="str">
        <x:f>IF($A167="","",IFERROR('Game Records'!$M167,""))</x:f>
      </x:c>
      <x:c r="H167" s="104"/>
      <x:c r="I167" s="104"/>
      <x:c r="J167" s="104"/>
    </x:row>
    <x:row r="168" ht="15" hidden="0" customHeight="1">
      <x:c r="A168" s="332" t="str">
        <x:f>IF(OR(COUNTA('Game Records'!$A168:$M168)=0,'Game Records'!$F168="Subscription"),"",IFERROR(MAX($A$4:A167),0)+1)</x:f>
      </x:c>
      <x:c r="B168" s="332" t="str">
        <x:f>IF($A168="","","G-"&amp;TEXT(ROW('Game Records'!$A168)-4,"0000"))</x:f>
      </x:c>
      <x:c r="C168" s="331" t="str">
        <x:f>IF($A168="","",IFERROR('Game Records'!$A168,""))</x:f>
      </x:c>
      <x:c r="D168" s="331" t="str">
        <x:f>IF($A168="","",IFERROR('Game Records'!$U168,""))</x:f>
      </x:c>
      <x:c r="E168" s="331" t="str">
        <x:f>IF($A168="","",IF($F168="","No Highlighted Fields","Highlighted Fields Present"))</x:f>
      </x:c>
      <x:c r="F168" s="331" t="str">
        <x:f>IF($A168="","",IF('Game Records'!$B168="","Start Date; ","")&amp;IF('Game Records'!$C168="","End Date; ","")&amp;IF(AND('Game Records'!$U168&lt;&gt;"Subscription",'Game Records'!$U168&lt;&gt;"Free Game",'Game Records'!$U168&lt;&gt;"Disqualified — Free Game",OR('Game Records'!$D168="",LOWER('Game Records'!$D168&amp;"")="n/a")),"Entry Mode; ","")&amp;IF(AND('Game Records'!$U168&lt;&gt;"Subscription",'Game Records'!$U168&lt;&gt;"Free Game",'Game Records'!$U168&lt;&gt;"Disqualified — Free Game",OR('Game Records'!$E168="",LOWER('Game Records'!$E168&amp;"")="n/a")),"Game Type; ","")&amp;IF('Game Records'!$F168="","Payment Type; ","")&amp;IF(AND('Game Records'!$U168&lt;&gt;"Subscription",'Game Records'!$U168&lt;&gt;"Free Game",'Game Records'!$U168&lt;&gt;"Disqualified — Free Game",'Game Records'!$G168=""),"Gross Pot; ","")&amp;IF(AND('Game Records'!$U168&lt;&gt;"Free Game",'Game Records'!$U168&lt;&gt;"Disqualified — Free Game",'Game Records'!$H168=""),"Entry Fee; ","")&amp;IF(AND('Game Records'!$U168&lt;&gt;"Subscription",'Game Records'!$U168&lt;&gt;"Free Game",'Game Records'!$U168&lt;&gt;"Disqualified — Free Game",'Game Records'!$I168=""),"Eligible Players; ","")&amp;IF(AND('Game Records'!$U168&lt;&gt;"Subscription",'Game Records'!$U168&lt;&gt;"Free Game",'Game Records'!$U168&lt;&gt;"Disqualified — Free Game",'Game Records'!$J168=""),"Total Players; ","")&amp;IF(AND(LOWER('Game Records'!$D168&amp;"")="finalized",LOWER('Game Records'!$L168&amp;"")&lt;&gt;"yes",'Game Records'!$U168&lt;&gt;"Subscription",'Game Records'!$U168&lt;&gt;"Free Game",'Game Records'!$U168&lt;&gt;"Disqualified — Free Game",'Game Records'!$K168=""),"Final Earned; ","")&amp;IF(AND(LOWER('Game Records'!$D168&amp;"")="finalized",'Game Records'!$U168&lt;&gt;"Subscription",'Game Records'!$U168&lt;&gt;"Free Game",'Game Records'!$U168&lt;&gt;"Disqualified — Free Game",OR('Game Records'!$L168="",LOWER('Game Records'!$L168&amp;"")="n/a")),"Disqualified Status; ",""))</x:f>
      </x:c>
      <x:c r="G168" s="331" t="str">
        <x:f>IF($A168="","",IFERROR('Game Records'!$M168,""))</x:f>
      </x:c>
      <x:c r="H168" s="104"/>
      <x:c r="I168" s="104"/>
      <x:c r="J168" s="104"/>
    </x:row>
    <x:row r="169" ht="15" hidden="0" customHeight="1">
      <x:c r="A169" s="332" t="str">
        <x:f>IF(OR(COUNTA('Game Records'!$A169:$M169)=0,'Game Records'!$F169="Subscription"),"",IFERROR(MAX($A$4:A168),0)+1)</x:f>
      </x:c>
      <x:c r="B169" s="332" t="str">
        <x:f>IF($A169="","","G-"&amp;TEXT(ROW('Game Records'!$A169)-4,"0000"))</x:f>
      </x:c>
      <x:c r="C169" s="331" t="str">
        <x:f>IF($A169="","",IFERROR('Game Records'!$A169,""))</x:f>
      </x:c>
      <x:c r="D169" s="331" t="str">
        <x:f>IF($A169="","",IFERROR('Game Records'!$U169,""))</x:f>
      </x:c>
      <x:c r="E169" s="331" t="str">
        <x:f>IF($A169="","",IF($F169="","No Highlighted Fields","Highlighted Fields Present"))</x:f>
      </x:c>
      <x:c r="F169" s="331" t="str">
        <x:f>IF($A169="","",IF('Game Records'!$B169="","Start Date; ","")&amp;IF('Game Records'!$C169="","End Date; ","")&amp;IF(AND('Game Records'!$U169&lt;&gt;"Subscription",'Game Records'!$U169&lt;&gt;"Free Game",'Game Records'!$U169&lt;&gt;"Disqualified — Free Game",OR('Game Records'!$D169="",LOWER('Game Records'!$D169&amp;"")="n/a")),"Entry Mode; ","")&amp;IF(AND('Game Records'!$U169&lt;&gt;"Subscription",'Game Records'!$U169&lt;&gt;"Free Game",'Game Records'!$U169&lt;&gt;"Disqualified — Free Game",OR('Game Records'!$E169="",LOWER('Game Records'!$E169&amp;"")="n/a")),"Game Type; ","")&amp;IF('Game Records'!$F169="","Payment Type; ","")&amp;IF(AND('Game Records'!$U169&lt;&gt;"Subscription",'Game Records'!$U169&lt;&gt;"Free Game",'Game Records'!$U169&lt;&gt;"Disqualified — Free Game",'Game Records'!$G169=""),"Gross Pot; ","")&amp;IF(AND('Game Records'!$U169&lt;&gt;"Free Game",'Game Records'!$U169&lt;&gt;"Disqualified — Free Game",'Game Records'!$H169=""),"Entry Fee; ","")&amp;IF(AND('Game Records'!$U169&lt;&gt;"Subscription",'Game Records'!$U169&lt;&gt;"Free Game",'Game Records'!$U169&lt;&gt;"Disqualified — Free Game",'Game Records'!$I169=""),"Eligible Players; ","")&amp;IF(AND('Game Records'!$U169&lt;&gt;"Subscription",'Game Records'!$U169&lt;&gt;"Free Game",'Game Records'!$U169&lt;&gt;"Disqualified — Free Game",'Game Records'!$J169=""),"Total Players; ","")&amp;IF(AND(LOWER('Game Records'!$D169&amp;"")="finalized",LOWER('Game Records'!$L169&amp;"")&lt;&gt;"yes",'Game Records'!$U169&lt;&gt;"Subscription",'Game Records'!$U169&lt;&gt;"Free Game",'Game Records'!$U169&lt;&gt;"Disqualified — Free Game",'Game Records'!$K169=""),"Final Earned; ","")&amp;IF(AND(LOWER('Game Records'!$D169&amp;"")="finalized",'Game Records'!$U169&lt;&gt;"Subscription",'Game Records'!$U169&lt;&gt;"Free Game",'Game Records'!$U169&lt;&gt;"Disqualified — Free Game",OR('Game Records'!$L169="",LOWER('Game Records'!$L169&amp;"")="n/a")),"Disqualified Status; ",""))</x:f>
      </x:c>
      <x:c r="G169" s="331" t="str">
        <x:f>IF($A169="","",IFERROR('Game Records'!$M169,""))</x:f>
      </x:c>
      <x:c r="H169" s="104"/>
      <x:c r="I169" s="104"/>
      <x:c r="J169" s="104"/>
    </x:row>
    <x:row r="170" ht="15" hidden="0" customHeight="1">
      <x:c r="A170" s="332" t="str">
        <x:f>IF(OR(COUNTA('Game Records'!$A170:$M170)=0,'Game Records'!$F170="Subscription"),"",IFERROR(MAX($A$4:A169),0)+1)</x:f>
      </x:c>
      <x:c r="B170" s="332" t="str">
        <x:f>IF($A170="","","G-"&amp;TEXT(ROW('Game Records'!$A170)-4,"0000"))</x:f>
      </x:c>
      <x:c r="C170" s="331" t="str">
        <x:f>IF($A170="","",IFERROR('Game Records'!$A170,""))</x:f>
      </x:c>
      <x:c r="D170" s="331" t="str">
        <x:f>IF($A170="","",IFERROR('Game Records'!$U170,""))</x:f>
      </x:c>
      <x:c r="E170" s="331" t="str">
        <x:f>IF($A170="","",IF($F170="","No Highlighted Fields","Highlighted Fields Present"))</x:f>
      </x:c>
      <x:c r="F170" s="331" t="str">
        <x:f>IF($A170="","",IF('Game Records'!$B170="","Start Date; ","")&amp;IF('Game Records'!$C170="","End Date; ","")&amp;IF(AND('Game Records'!$U170&lt;&gt;"Subscription",'Game Records'!$U170&lt;&gt;"Free Game",'Game Records'!$U170&lt;&gt;"Disqualified — Free Game",OR('Game Records'!$D170="",LOWER('Game Records'!$D170&amp;"")="n/a")),"Entry Mode; ","")&amp;IF(AND('Game Records'!$U170&lt;&gt;"Subscription",'Game Records'!$U170&lt;&gt;"Free Game",'Game Records'!$U170&lt;&gt;"Disqualified — Free Game",OR('Game Records'!$E170="",LOWER('Game Records'!$E170&amp;"")="n/a")),"Game Type; ","")&amp;IF('Game Records'!$F170="","Payment Type; ","")&amp;IF(AND('Game Records'!$U170&lt;&gt;"Subscription",'Game Records'!$U170&lt;&gt;"Free Game",'Game Records'!$U170&lt;&gt;"Disqualified — Free Game",'Game Records'!$G170=""),"Gross Pot; ","")&amp;IF(AND('Game Records'!$U170&lt;&gt;"Free Game",'Game Records'!$U170&lt;&gt;"Disqualified — Free Game",'Game Records'!$H170=""),"Entry Fee; ","")&amp;IF(AND('Game Records'!$U170&lt;&gt;"Subscription",'Game Records'!$U170&lt;&gt;"Free Game",'Game Records'!$U170&lt;&gt;"Disqualified — Free Game",'Game Records'!$I170=""),"Eligible Players; ","")&amp;IF(AND('Game Records'!$U170&lt;&gt;"Subscription",'Game Records'!$U170&lt;&gt;"Free Game",'Game Records'!$U170&lt;&gt;"Disqualified — Free Game",'Game Records'!$J170=""),"Total Players; ","")&amp;IF(AND(LOWER('Game Records'!$D170&amp;"")="finalized",LOWER('Game Records'!$L170&amp;"")&lt;&gt;"yes",'Game Records'!$U170&lt;&gt;"Subscription",'Game Records'!$U170&lt;&gt;"Free Game",'Game Records'!$U170&lt;&gt;"Disqualified — Free Game",'Game Records'!$K170=""),"Final Earned; ","")&amp;IF(AND(LOWER('Game Records'!$D170&amp;"")="finalized",'Game Records'!$U170&lt;&gt;"Subscription",'Game Records'!$U170&lt;&gt;"Free Game",'Game Records'!$U170&lt;&gt;"Disqualified — Free Game",OR('Game Records'!$L170="",LOWER('Game Records'!$L170&amp;"")="n/a")),"Disqualified Status; ",""))</x:f>
      </x:c>
      <x:c r="G170" s="331" t="str">
        <x:f>IF($A170="","",IFERROR('Game Records'!$M170,""))</x:f>
      </x:c>
      <x:c r="H170" s="104"/>
      <x:c r="I170" s="104"/>
      <x:c r="J170" s="104"/>
    </x:row>
    <x:row r="171" ht="15" hidden="0" customHeight="1">
      <x:c r="A171" s="332" t="str">
        <x:f>IF(OR(COUNTA('Game Records'!$A171:$M171)=0,'Game Records'!$F171="Subscription"),"",IFERROR(MAX($A$4:A170),0)+1)</x:f>
      </x:c>
      <x:c r="B171" s="332" t="str">
        <x:f>IF($A171="","","G-"&amp;TEXT(ROW('Game Records'!$A171)-4,"0000"))</x:f>
      </x:c>
      <x:c r="C171" s="331" t="str">
        <x:f>IF($A171="","",IFERROR('Game Records'!$A171,""))</x:f>
      </x:c>
      <x:c r="D171" s="331" t="str">
        <x:f>IF($A171="","",IFERROR('Game Records'!$U171,""))</x:f>
      </x:c>
      <x:c r="E171" s="331" t="str">
        <x:f>IF($A171="","",IF($F171="","No Highlighted Fields","Highlighted Fields Present"))</x:f>
      </x:c>
      <x:c r="F171" s="331" t="str">
        <x:f>IF($A171="","",IF('Game Records'!$B171="","Start Date; ","")&amp;IF('Game Records'!$C171="","End Date; ","")&amp;IF(AND('Game Records'!$U171&lt;&gt;"Subscription",'Game Records'!$U171&lt;&gt;"Free Game",'Game Records'!$U171&lt;&gt;"Disqualified — Free Game",OR('Game Records'!$D171="",LOWER('Game Records'!$D171&amp;"")="n/a")),"Entry Mode; ","")&amp;IF(AND('Game Records'!$U171&lt;&gt;"Subscription",'Game Records'!$U171&lt;&gt;"Free Game",'Game Records'!$U171&lt;&gt;"Disqualified — Free Game",OR('Game Records'!$E171="",LOWER('Game Records'!$E171&amp;"")="n/a")),"Game Type; ","")&amp;IF('Game Records'!$F171="","Payment Type; ","")&amp;IF(AND('Game Records'!$U171&lt;&gt;"Subscription",'Game Records'!$U171&lt;&gt;"Free Game",'Game Records'!$U171&lt;&gt;"Disqualified — Free Game",'Game Records'!$G171=""),"Gross Pot; ","")&amp;IF(AND('Game Records'!$U171&lt;&gt;"Free Game",'Game Records'!$U171&lt;&gt;"Disqualified — Free Game",'Game Records'!$H171=""),"Entry Fee; ","")&amp;IF(AND('Game Records'!$U171&lt;&gt;"Subscription",'Game Records'!$U171&lt;&gt;"Free Game",'Game Records'!$U171&lt;&gt;"Disqualified — Free Game",'Game Records'!$I171=""),"Eligible Players; ","")&amp;IF(AND('Game Records'!$U171&lt;&gt;"Subscription",'Game Records'!$U171&lt;&gt;"Free Game",'Game Records'!$U171&lt;&gt;"Disqualified — Free Game",'Game Records'!$J171=""),"Total Players; ","")&amp;IF(AND(LOWER('Game Records'!$D171&amp;"")="finalized",LOWER('Game Records'!$L171&amp;"")&lt;&gt;"yes",'Game Records'!$U171&lt;&gt;"Subscription",'Game Records'!$U171&lt;&gt;"Free Game",'Game Records'!$U171&lt;&gt;"Disqualified — Free Game",'Game Records'!$K171=""),"Final Earned; ","")&amp;IF(AND(LOWER('Game Records'!$D171&amp;"")="finalized",'Game Records'!$U171&lt;&gt;"Subscription",'Game Records'!$U171&lt;&gt;"Free Game",'Game Records'!$U171&lt;&gt;"Disqualified — Free Game",OR('Game Records'!$L171="",LOWER('Game Records'!$L171&amp;"")="n/a")),"Disqualified Status; ",""))</x:f>
      </x:c>
      <x:c r="G171" s="331" t="str">
        <x:f>IF($A171="","",IFERROR('Game Records'!$M171,""))</x:f>
      </x:c>
      <x:c r="H171" s="104"/>
      <x:c r="I171" s="104"/>
      <x:c r="J171" s="104"/>
    </x:row>
    <x:row r="172" ht="15" hidden="0" customHeight="1">
      <x:c r="A172" s="332" t="str">
        <x:f>IF(OR(COUNTA('Game Records'!$A172:$M172)=0,'Game Records'!$F172="Subscription"),"",IFERROR(MAX($A$4:A171),0)+1)</x:f>
      </x:c>
      <x:c r="B172" s="332" t="str">
        <x:f>IF($A172="","","G-"&amp;TEXT(ROW('Game Records'!$A172)-4,"0000"))</x:f>
      </x:c>
      <x:c r="C172" s="331" t="str">
        <x:f>IF($A172="","",IFERROR('Game Records'!$A172,""))</x:f>
      </x:c>
      <x:c r="D172" s="331" t="str">
        <x:f>IF($A172="","",IFERROR('Game Records'!$U172,""))</x:f>
      </x:c>
      <x:c r="E172" s="331" t="str">
        <x:f>IF($A172="","",IF($F172="","No Highlighted Fields","Highlighted Fields Present"))</x:f>
      </x:c>
      <x:c r="F172" s="331" t="str">
        <x:f>IF($A172="","",IF('Game Records'!$B172="","Start Date; ","")&amp;IF('Game Records'!$C172="","End Date; ","")&amp;IF(AND('Game Records'!$U172&lt;&gt;"Subscription",'Game Records'!$U172&lt;&gt;"Free Game",'Game Records'!$U172&lt;&gt;"Disqualified — Free Game",OR('Game Records'!$D172="",LOWER('Game Records'!$D172&amp;"")="n/a")),"Entry Mode; ","")&amp;IF(AND('Game Records'!$U172&lt;&gt;"Subscription",'Game Records'!$U172&lt;&gt;"Free Game",'Game Records'!$U172&lt;&gt;"Disqualified — Free Game",OR('Game Records'!$E172="",LOWER('Game Records'!$E172&amp;"")="n/a")),"Game Type; ","")&amp;IF('Game Records'!$F172="","Payment Type; ","")&amp;IF(AND('Game Records'!$U172&lt;&gt;"Subscription",'Game Records'!$U172&lt;&gt;"Free Game",'Game Records'!$U172&lt;&gt;"Disqualified — Free Game",'Game Records'!$G172=""),"Gross Pot; ","")&amp;IF(AND('Game Records'!$U172&lt;&gt;"Free Game",'Game Records'!$U172&lt;&gt;"Disqualified — Free Game",'Game Records'!$H172=""),"Entry Fee; ","")&amp;IF(AND('Game Records'!$U172&lt;&gt;"Subscription",'Game Records'!$U172&lt;&gt;"Free Game",'Game Records'!$U172&lt;&gt;"Disqualified — Free Game",'Game Records'!$I172=""),"Eligible Players; ","")&amp;IF(AND('Game Records'!$U172&lt;&gt;"Subscription",'Game Records'!$U172&lt;&gt;"Free Game",'Game Records'!$U172&lt;&gt;"Disqualified — Free Game",'Game Records'!$J172=""),"Total Players; ","")&amp;IF(AND(LOWER('Game Records'!$D172&amp;"")="finalized",LOWER('Game Records'!$L172&amp;"")&lt;&gt;"yes",'Game Records'!$U172&lt;&gt;"Subscription",'Game Records'!$U172&lt;&gt;"Free Game",'Game Records'!$U172&lt;&gt;"Disqualified — Free Game",'Game Records'!$K172=""),"Final Earned; ","")&amp;IF(AND(LOWER('Game Records'!$D172&amp;"")="finalized",'Game Records'!$U172&lt;&gt;"Subscription",'Game Records'!$U172&lt;&gt;"Free Game",'Game Records'!$U172&lt;&gt;"Disqualified — Free Game",OR('Game Records'!$L172="",LOWER('Game Records'!$L172&amp;"")="n/a")),"Disqualified Status; ",""))</x:f>
      </x:c>
      <x:c r="G172" s="331" t="str">
        <x:f>IF($A172="","",IFERROR('Game Records'!$M172,""))</x:f>
      </x:c>
      <x:c r="H172" s="104"/>
      <x:c r="I172" s="104"/>
      <x:c r="J172" s="104"/>
    </x:row>
    <x:row r="173" ht="15" hidden="0" customHeight="1">
      <x:c r="A173" s="332" t="str">
        <x:f>IF(OR(COUNTA('Game Records'!$A173:$M173)=0,'Game Records'!$F173="Subscription"),"",IFERROR(MAX($A$4:A172),0)+1)</x:f>
      </x:c>
      <x:c r="B173" s="332" t="str">
        <x:f>IF($A173="","","G-"&amp;TEXT(ROW('Game Records'!$A173)-4,"0000"))</x:f>
      </x:c>
      <x:c r="C173" s="331" t="str">
        <x:f>IF($A173="","",IFERROR('Game Records'!$A173,""))</x:f>
      </x:c>
      <x:c r="D173" s="331" t="str">
        <x:f>IF($A173="","",IFERROR('Game Records'!$U173,""))</x:f>
      </x:c>
      <x:c r="E173" s="331" t="str">
        <x:f>IF($A173="","",IF($F173="","No Highlighted Fields","Highlighted Fields Present"))</x:f>
      </x:c>
      <x:c r="F173" s="331" t="str">
        <x:f>IF($A173="","",IF('Game Records'!$B173="","Start Date; ","")&amp;IF('Game Records'!$C173="","End Date; ","")&amp;IF(AND('Game Records'!$U173&lt;&gt;"Subscription",'Game Records'!$U173&lt;&gt;"Free Game",'Game Records'!$U173&lt;&gt;"Disqualified — Free Game",OR('Game Records'!$D173="",LOWER('Game Records'!$D173&amp;"")="n/a")),"Entry Mode; ","")&amp;IF(AND('Game Records'!$U173&lt;&gt;"Subscription",'Game Records'!$U173&lt;&gt;"Free Game",'Game Records'!$U173&lt;&gt;"Disqualified — Free Game",OR('Game Records'!$E173="",LOWER('Game Records'!$E173&amp;"")="n/a")),"Game Type; ","")&amp;IF('Game Records'!$F173="","Payment Type; ","")&amp;IF(AND('Game Records'!$U173&lt;&gt;"Subscription",'Game Records'!$U173&lt;&gt;"Free Game",'Game Records'!$U173&lt;&gt;"Disqualified — Free Game",'Game Records'!$G173=""),"Gross Pot; ","")&amp;IF(AND('Game Records'!$U173&lt;&gt;"Free Game",'Game Records'!$U173&lt;&gt;"Disqualified — Free Game",'Game Records'!$H173=""),"Entry Fee; ","")&amp;IF(AND('Game Records'!$U173&lt;&gt;"Subscription",'Game Records'!$U173&lt;&gt;"Free Game",'Game Records'!$U173&lt;&gt;"Disqualified — Free Game",'Game Records'!$I173=""),"Eligible Players; ","")&amp;IF(AND('Game Records'!$U173&lt;&gt;"Subscription",'Game Records'!$U173&lt;&gt;"Free Game",'Game Records'!$U173&lt;&gt;"Disqualified — Free Game",'Game Records'!$J173=""),"Total Players; ","")&amp;IF(AND(LOWER('Game Records'!$D173&amp;"")="finalized",LOWER('Game Records'!$L173&amp;"")&lt;&gt;"yes",'Game Records'!$U173&lt;&gt;"Subscription",'Game Records'!$U173&lt;&gt;"Free Game",'Game Records'!$U173&lt;&gt;"Disqualified — Free Game",'Game Records'!$K173=""),"Final Earned; ","")&amp;IF(AND(LOWER('Game Records'!$D173&amp;"")="finalized",'Game Records'!$U173&lt;&gt;"Subscription",'Game Records'!$U173&lt;&gt;"Free Game",'Game Records'!$U173&lt;&gt;"Disqualified — Free Game",OR('Game Records'!$L173="",LOWER('Game Records'!$L173&amp;"")="n/a")),"Disqualified Status; ",""))</x:f>
      </x:c>
      <x:c r="G173" s="331" t="str">
        <x:f>IF($A173="","",IFERROR('Game Records'!$M173,""))</x:f>
      </x:c>
      <x:c r="H173" s="104"/>
      <x:c r="I173" s="104"/>
      <x:c r="J173" s="104"/>
    </x:row>
    <x:row r="174" ht="15" hidden="0" customHeight="1">
      <x:c r="A174" s="332" t="str">
        <x:f>IF(OR(COUNTA('Game Records'!$A174:$M174)=0,'Game Records'!$F174="Subscription"),"",IFERROR(MAX($A$4:A173),0)+1)</x:f>
      </x:c>
      <x:c r="B174" s="332" t="str">
        <x:f>IF($A174="","","G-"&amp;TEXT(ROW('Game Records'!$A174)-4,"0000"))</x:f>
      </x:c>
      <x:c r="C174" s="331" t="str">
        <x:f>IF($A174="","",IFERROR('Game Records'!$A174,""))</x:f>
      </x:c>
      <x:c r="D174" s="331" t="str">
        <x:f>IF($A174="","",IFERROR('Game Records'!$U174,""))</x:f>
      </x:c>
      <x:c r="E174" s="331" t="str">
        <x:f>IF($A174="","",IF($F174="","No Highlighted Fields","Highlighted Fields Present"))</x:f>
      </x:c>
      <x:c r="F174" s="331" t="str">
        <x:f>IF($A174="","",IF('Game Records'!$B174="","Start Date; ","")&amp;IF('Game Records'!$C174="","End Date; ","")&amp;IF(AND('Game Records'!$U174&lt;&gt;"Subscription",'Game Records'!$U174&lt;&gt;"Free Game",'Game Records'!$U174&lt;&gt;"Disqualified — Free Game",OR('Game Records'!$D174="",LOWER('Game Records'!$D174&amp;"")="n/a")),"Entry Mode; ","")&amp;IF(AND('Game Records'!$U174&lt;&gt;"Subscription",'Game Records'!$U174&lt;&gt;"Free Game",'Game Records'!$U174&lt;&gt;"Disqualified — Free Game",OR('Game Records'!$E174="",LOWER('Game Records'!$E174&amp;"")="n/a")),"Game Type; ","")&amp;IF('Game Records'!$F174="","Payment Type; ","")&amp;IF(AND('Game Records'!$U174&lt;&gt;"Subscription",'Game Records'!$U174&lt;&gt;"Free Game",'Game Records'!$U174&lt;&gt;"Disqualified — Free Game",'Game Records'!$G174=""),"Gross Pot; ","")&amp;IF(AND('Game Records'!$U174&lt;&gt;"Free Game",'Game Records'!$U174&lt;&gt;"Disqualified — Free Game",'Game Records'!$H174=""),"Entry Fee; ","")&amp;IF(AND('Game Records'!$U174&lt;&gt;"Subscription",'Game Records'!$U174&lt;&gt;"Free Game",'Game Records'!$U174&lt;&gt;"Disqualified — Free Game",'Game Records'!$I174=""),"Eligible Players; ","")&amp;IF(AND('Game Records'!$U174&lt;&gt;"Subscription",'Game Records'!$U174&lt;&gt;"Free Game",'Game Records'!$U174&lt;&gt;"Disqualified — Free Game",'Game Records'!$J174=""),"Total Players; ","")&amp;IF(AND(LOWER('Game Records'!$D174&amp;"")="finalized",LOWER('Game Records'!$L174&amp;"")&lt;&gt;"yes",'Game Records'!$U174&lt;&gt;"Subscription",'Game Records'!$U174&lt;&gt;"Free Game",'Game Records'!$U174&lt;&gt;"Disqualified — Free Game",'Game Records'!$K174=""),"Final Earned; ","")&amp;IF(AND(LOWER('Game Records'!$D174&amp;"")="finalized",'Game Records'!$U174&lt;&gt;"Subscription",'Game Records'!$U174&lt;&gt;"Free Game",'Game Records'!$U174&lt;&gt;"Disqualified — Free Game",OR('Game Records'!$L174="",LOWER('Game Records'!$L174&amp;"")="n/a")),"Disqualified Status; ",""))</x:f>
      </x:c>
      <x:c r="G174" s="331" t="str">
        <x:f>IF($A174="","",IFERROR('Game Records'!$M174,""))</x:f>
      </x:c>
      <x:c r="H174" s="104"/>
      <x:c r="I174" s="104"/>
      <x:c r="J174" s="104"/>
    </x:row>
    <x:row r="175" ht="15" hidden="0" customHeight="1">
      <x:c r="A175" s="332" t="str">
        <x:f>IF(OR(COUNTA('Game Records'!$A175:$M175)=0,'Game Records'!$F175="Subscription"),"",IFERROR(MAX($A$4:A174),0)+1)</x:f>
      </x:c>
      <x:c r="B175" s="332" t="str">
        <x:f>IF($A175="","","G-"&amp;TEXT(ROW('Game Records'!$A175)-4,"0000"))</x:f>
      </x:c>
      <x:c r="C175" s="331" t="str">
        <x:f>IF($A175="","",IFERROR('Game Records'!$A175,""))</x:f>
      </x:c>
      <x:c r="D175" s="331" t="str">
        <x:f>IF($A175="","",IFERROR('Game Records'!$U175,""))</x:f>
      </x:c>
      <x:c r="E175" s="331" t="str">
        <x:f>IF($A175="","",IF($F175="","No Highlighted Fields","Highlighted Fields Present"))</x:f>
      </x:c>
      <x:c r="F175" s="331" t="str">
        <x:f>IF($A175="","",IF('Game Records'!$B175="","Start Date; ","")&amp;IF('Game Records'!$C175="","End Date; ","")&amp;IF(AND('Game Records'!$U175&lt;&gt;"Subscription",'Game Records'!$U175&lt;&gt;"Free Game",'Game Records'!$U175&lt;&gt;"Disqualified — Free Game",OR('Game Records'!$D175="",LOWER('Game Records'!$D175&amp;"")="n/a")),"Entry Mode; ","")&amp;IF(AND('Game Records'!$U175&lt;&gt;"Subscription",'Game Records'!$U175&lt;&gt;"Free Game",'Game Records'!$U175&lt;&gt;"Disqualified — Free Game",OR('Game Records'!$E175="",LOWER('Game Records'!$E175&amp;"")="n/a")),"Game Type; ","")&amp;IF('Game Records'!$F175="","Payment Type; ","")&amp;IF(AND('Game Records'!$U175&lt;&gt;"Subscription",'Game Records'!$U175&lt;&gt;"Free Game",'Game Records'!$U175&lt;&gt;"Disqualified — Free Game",'Game Records'!$G175=""),"Gross Pot; ","")&amp;IF(AND('Game Records'!$U175&lt;&gt;"Free Game",'Game Records'!$U175&lt;&gt;"Disqualified — Free Game",'Game Records'!$H175=""),"Entry Fee; ","")&amp;IF(AND('Game Records'!$U175&lt;&gt;"Subscription",'Game Records'!$U175&lt;&gt;"Free Game",'Game Records'!$U175&lt;&gt;"Disqualified — Free Game",'Game Records'!$I175=""),"Eligible Players; ","")&amp;IF(AND('Game Records'!$U175&lt;&gt;"Subscription",'Game Records'!$U175&lt;&gt;"Free Game",'Game Records'!$U175&lt;&gt;"Disqualified — Free Game",'Game Records'!$J175=""),"Total Players; ","")&amp;IF(AND(LOWER('Game Records'!$D175&amp;"")="finalized",LOWER('Game Records'!$L175&amp;"")&lt;&gt;"yes",'Game Records'!$U175&lt;&gt;"Subscription",'Game Records'!$U175&lt;&gt;"Free Game",'Game Records'!$U175&lt;&gt;"Disqualified — Free Game",'Game Records'!$K175=""),"Final Earned; ","")&amp;IF(AND(LOWER('Game Records'!$D175&amp;"")="finalized",'Game Records'!$U175&lt;&gt;"Subscription",'Game Records'!$U175&lt;&gt;"Free Game",'Game Records'!$U175&lt;&gt;"Disqualified — Free Game",OR('Game Records'!$L175="",LOWER('Game Records'!$L175&amp;"")="n/a")),"Disqualified Status; ",""))</x:f>
      </x:c>
      <x:c r="G175" s="331" t="str">
        <x:f>IF($A175="","",IFERROR('Game Records'!$M175,""))</x:f>
      </x:c>
      <x:c r="H175" s="104"/>
      <x:c r="I175" s="104"/>
      <x:c r="J175" s="104"/>
    </x:row>
    <x:row r="176" ht="15" hidden="0" customHeight="1">
      <x:c r="A176" s="332" t="str">
        <x:f>IF(OR(COUNTA('Game Records'!$A176:$M176)=0,'Game Records'!$F176="Subscription"),"",IFERROR(MAX($A$4:A175),0)+1)</x:f>
      </x:c>
      <x:c r="B176" s="332" t="str">
        <x:f>IF($A176="","","G-"&amp;TEXT(ROW('Game Records'!$A176)-4,"0000"))</x:f>
      </x:c>
      <x:c r="C176" s="331" t="str">
        <x:f>IF($A176="","",IFERROR('Game Records'!$A176,""))</x:f>
      </x:c>
      <x:c r="D176" s="331" t="str">
        <x:f>IF($A176="","",IFERROR('Game Records'!$U176,""))</x:f>
      </x:c>
      <x:c r="E176" s="331" t="str">
        <x:f>IF($A176="","",IF($F176="","No Highlighted Fields","Highlighted Fields Present"))</x:f>
      </x:c>
      <x:c r="F176" s="331" t="str">
        <x:f>IF($A176="","",IF('Game Records'!$B176="","Start Date; ","")&amp;IF('Game Records'!$C176="","End Date; ","")&amp;IF(AND('Game Records'!$U176&lt;&gt;"Subscription",'Game Records'!$U176&lt;&gt;"Free Game",'Game Records'!$U176&lt;&gt;"Disqualified — Free Game",OR('Game Records'!$D176="",LOWER('Game Records'!$D176&amp;"")="n/a")),"Entry Mode; ","")&amp;IF(AND('Game Records'!$U176&lt;&gt;"Subscription",'Game Records'!$U176&lt;&gt;"Free Game",'Game Records'!$U176&lt;&gt;"Disqualified — Free Game",OR('Game Records'!$E176="",LOWER('Game Records'!$E176&amp;"")="n/a")),"Game Type; ","")&amp;IF('Game Records'!$F176="","Payment Type; ","")&amp;IF(AND('Game Records'!$U176&lt;&gt;"Subscription",'Game Records'!$U176&lt;&gt;"Free Game",'Game Records'!$U176&lt;&gt;"Disqualified — Free Game",'Game Records'!$G176=""),"Gross Pot; ","")&amp;IF(AND('Game Records'!$U176&lt;&gt;"Free Game",'Game Records'!$U176&lt;&gt;"Disqualified — Free Game",'Game Records'!$H176=""),"Entry Fee; ","")&amp;IF(AND('Game Records'!$U176&lt;&gt;"Subscription",'Game Records'!$U176&lt;&gt;"Free Game",'Game Records'!$U176&lt;&gt;"Disqualified — Free Game",'Game Records'!$I176=""),"Eligible Players; ","")&amp;IF(AND('Game Records'!$U176&lt;&gt;"Subscription",'Game Records'!$U176&lt;&gt;"Free Game",'Game Records'!$U176&lt;&gt;"Disqualified — Free Game",'Game Records'!$J176=""),"Total Players; ","")&amp;IF(AND(LOWER('Game Records'!$D176&amp;"")="finalized",LOWER('Game Records'!$L176&amp;"")&lt;&gt;"yes",'Game Records'!$U176&lt;&gt;"Subscription",'Game Records'!$U176&lt;&gt;"Free Game",'Game Records'!$U176&lt;&gt;"Disqualified — Free Game",'Game Records'!$K176=""),"Final Earned; ","")&amp;IF(AND(LOWER('Game Records'!$D176&amp;"")="finalized",'Game Records'!$U176&lt;&gt;"Subscription",'Game Records'!$U176&lt;&gt;"Free Game",'Game Records'!$U176&lt;&gt;"Disqualified — Free Game",OR('Game Records'!$L176="",LOWER('Game Records'!$L176&amp;"")="n/a")),"Disqualified Status; ",""))</x:f>
      </x:c>
      <x:c r="G176" s="331" t="str">
        <x:f>IF($A176="","",IFERROR('Game Records'!$M176,""))</x:f>
      </x:c>
      <x:c r="H176" s="104"/>
      <x:c r="I176" s="104"/>
      <x:c r="J176" s="104"/>
    </x:row>
    <x:row r="177" ht="15" hidden="0" customHeight="1">
      <x:c r="A177" s="332" t="str">
        <x:f>IF(OR(COUNTA('Game Records'!$A177:$M177)=0,'Game Records'!$F177="Subscription"),"",IFERROR(MAX($A$4:A176),0)+1)</x:f>
      </x:c>
      <x:c r="B177" s="332" t="str">
        <x:f>IF($A177="","","G-"&amp;TEXT(ROW('Game Records'!$A177)-4,"0000"))</x:f>
      </x:c>
      <x:c r="C177" s="331" t="str">
        <x:f>IF($A177="","",IFERROR('Game Records'!$A177,""))</x:f>
      </x:c>
      <x:c r="D177" s="331" t="str">
        <x:f>IF($A177="","",IFERROR('Game Records'!$U177,""))</x:f>
      </x:c>
      <x:c r="E177" s="331" t="str">
        <x:f>IF($A177="","",IF($F177="","No Highlighted Fields","Highlighted Fields Present"))</x:f>
      </x:c>
      <x:c r="F177" s="331" t="str">
        <x:f>IF($A177="","",IF('Game Records'!$B177="","Start Date; ","")&amp;IF('Game Records'!$C177="","End Date; ","")&amp;IF(AND('Game Records'!$U177&lt;&gt;"Subscription",'Game Records'!$U177&lt;&gt;"Free Game",'Game Records'!$U177&lt;&gt;"Disqualified — Free Game",OR('Game Records'!$D177="",LOWER('Game Records'!$D177&amp;"")="n/a")),"Entry Mode; ","")&amp;IF(AND('Game Records'!$U177&lt;&gt;"Subscription",'Game Records'!$U177&lt;&gt;"Free Game",'Game Records'!$U177&lt;&gt;"Disqualified — Free Game",OR('Game Records'!$E177="",LOWER('Game Records'!$E177&amp;"")="n/a")),"Game Type; ","")&amp;IF('Game Records'!$F177="","Payment Type; ","")&amp;IF(AND('Game Records'!$U177&lt;&gt;"Subscription",'Game Records'!$U177&lt;&gt;"Free Game",'Game Records'!$U177&lt;&gt;"Disqualified — Free Game",'Game Records'!$G177=""),"Gross Pot; ","")&amp;IF(AND('Game Records'!$U177&lt;&gt;"Free Game",'Game Records'!$U177&lt;&gt;"Disqualified — Free Game",'Game Records'!$H177=""),"Entry Fee; ","")&amp;IF(AND('Game Records'!$U177&lt;&gt;"Subscription",'Game Records'!$U177&lt;&gt;"Free Game",'Game Records'!$U177&lt;&gt;"Disqualified — Free Game",'Game Records'!$I177=""),"Eligible Players; ","")&amp;IF(AND('Game Records'!$U177&lt;&gt;"Subscription",'Game Records'!$U177&lt;&gt;"Free Game",'Game Records'!$U177&lt;&gt;"Disqualified — Free Game",'Game Records'!$J177=""),"Total Players; ","")&amp;IF(AND(LOWER('Game Records'!$D177&amp;"")="finalized",LOWER('Game Records'!$L177&amp;"")&lt;&gt;"yes",'Game Records'!$U177&lt;&gt;"Subscription",'Game Records'!$U177&lt;&gt;"Free Game",'Game Records'!$U177&lt;&gt;"Disqualified — Free Game",'Game Records'!$K177=""),"Final Earned; ","")&amp;IF(AND(LOWER('Game Records'!$D177&amp;"")="finalized",'Game Records'!$U177&lt;&gt;"Subscription",'Game Records'!$U177&lt;&gt;"Free Game",'Game Records'!$U177&lt;&gt;"Disqualified — Free Game",OR('Game Records'!$L177="",LOWER('Game Records'!$L177&amp;"")="n/a")),"Disqualified Status; ",""))</x:f>
      </x:c>
      <x:c r="G177" s="331" t="str">
        <x:f>IF($A177="","",IFERROR('Game Records'!$M177,""))</x:f>
      </x:c>
      <x:c r="H177" s="104"/>
      <x:c r="I177" s="104"/>
      <x:c r="J177" s="104"/>
    </x:row>
    <x:row r="178" ht="15" hidden="0" customHeight="1">
      <x:c r="A178" s="332" t="str">
        <x:f>IF(OR(COUNTA('Game Records'!$A178:$M178)=0,'Game Records'!$F178="Subscription"),"",IFERROR(MAX($A$4:A177),0)+1)</x:f>
      </x:c>
      <x:c r="B178" s="332" t="str">
        <x:f>IF($A178="","","G-"&amp;TEXT(ROW('Game Records'!$A178)-4,"0000"))</x:f>
      </x:c>
      <x:c r="C178" s="331" t="str">
        <x:f>IF($A178="","",IFERROR('Game Records'!$A178,""))</x:f>
      </x:c>
      <x:c r="D178" s="331" t="str">
        <x:f>IF($A178="","",IFERROR('Game Records'!$U178,""))</x:f>
      </x:c>
      <x:c r="E178" s="331" t="str">
        <x:f>IF($A178="","",IF($F178="","No Highlighted Fields","Highlighted Fields Present"))</x:f>
      </x:c>
      <x:c r="F178" s="331" t="str">
        <x:f>IF($A178="","",IF('Game Records'!$B178="","Start Date; ","")&amp;IF('Game Records'!$C178="","End Date; ","")&amp;IF(AND('Game Records'!$U178&lt;&gt;"Subscription",'Game Records'!$U178&lt;&gt;"Free Game",'Game Records'!$U178&lt;&gt;"Disqualified — Free Game",OR('Game Records'!$D178="",LOWER('Game Records'!$D178&amp;"")="n/a")),"Entry Mode; ","")&amp;IF(AND('Game Records'!$U178&lt;&gt;"Subscription",'Game Records'!$U178&lt;&gt;"Free Game",'Game Records'!$U178&lt;&gt;"Disqualified — Free Game",OR('Game Records'!$E178="",LOWER('Game Records'!$E178&amp;"")="n/a")),"Game Type; ","")&amp;IF('Game Records'!$F178="","Payment Type; ","")&amp;IF(AND('Game Records'!$U178&lt;&gt;"Subscription",'Game Records'!$U178&lt;&gt;"Free Game",'Game Records'!$U178&lt;&gt;"Disqualified — Free Game",'Game Records'!$G178=""),"Gross Pot; ","")&amp;IF(AND('Game Records'!$U178&lt;&gt;"Free Game",'Game Records'!$U178&lt;&gt;"Disqualified — Free Game",'Game Records'!$H178=""),"Entry Fee; ","")&amp;IF(AND('Game Records'!$U178&lt;&gt;"Subscription",'Game Records'!$U178&lt;&gt;"Free Game",'Game Records'!$U178&lt;&gt;"Disqualified — Free Game",'Game Records'!$I178=""),"Eligible Players; ","")&amp;IF(AND('Game Records'!$U178&lt;&gt;"Subscription",'Game Records'!$U178&lt;&gt;"Free Game",'Game Records'!$U178&lt;&gt;"Disqualified — Free Game",'Game Records'!$J178=""),"Total Players; ","")&amp;IF(AND(LOWER('Game Records'!$D178&amp;"")="finalized",LOWER('Game Records'!$L178&amp;"")&lt;&gt;"yes",'Game Records'!$U178&lt;&gt;"Subscription",'Game Records'!$U178&lt;&gt;"Free Game",'Game Records'!$U178&lt;&gt;"Disqualified — Free Game",'Game Records'!$K178=""),"Final Earned; ","")&amp;IF(AND(LOWER('Game Records'!$D178&amp;"")="finalized",'Game Records'!$U178&lt;&gt;"Subscription",'Game Records'!$U178&lt;&gt;"Free Game",'Game Records'!$U178&lt;&gt;"Disqualified — Free Game",OR('Game Records'!$L178="",LOWER('Game Records'!$L178&amp;"")="n/a")),"Disqualified Status; ",""))</x:f>
      </x:c>
      <x:c r="G178" s="331" t="str">
        <x:f>IF($A178="","",IFERROR('Game Records'!$M178,""))</x:f>
      </x:c>
      <x:c r="H178" s="104"/>
      <x:c r="I178" s="104"/>
      <x:c r="J178" s="104"/>
    </x:row>
    <x:row r="179" ht="15" hidden="0" customHeight="1">
      <x:c r="A179" s="332" t="str">
        <x:f>IF(OR(COUNTA('Game Records'!$A179:$M179)=0,'Game Records'!$F179="Subscription"),"",IFERROR(MAX($A$4:A178),0)+1)</x:f>
      </x:c>
      <x:c r="B179" s="332" t="str">
        <x:f>IF($A179="","","G-"&amp;TEXT(ROW('Game Records'!$A179)-4,"0000"))</x:f>
      </x:c>
      <x:c r="C179" s="331" t="str">
        <x:f>IF($A179="","",IFERROR('Game Records'!$A179,""))</x:f>
      </x:c>
      <x:c r="D179" s="331" t="str">
        <x:f>IF($A179="","",IFERROR('Game Records'!$U179,""))</x:f>
      </x:c>
      <x:c r="E179" s="331" t="str">
        <x:f>IF($A179="","",IF($F179="","No Highlighted Fields","Highlighted Fields Present"))</x:f>
      </x:c>
      <x:c r="F179" s="331" t="str">
        <x:f>IF($A179="","",IF('Game Records'!$B179="","Start Date; ","")&amp;IF('Game Records'!$C179="","End Date; ","")&amp;IF(AND('Game Records'!$U179&lt;&gt;"Subscription",'Game Records'!$U179&lt;&gt;"Free Game",'Game Records'!$U179&lt;&gt;"Disqualified — Free Game",OR('Game Records'!$D179="",LOWER('Game Records'!$D179&amp;"")="n/a")),"Entry Mode; ","")&amp;IF(AND('Game Records'!$U179&lt;&gt;"Subscription",'Game Records'!$U179&lt;&gt;"Free Game",'Game Records'!$U179&lt;&gt;"Disqualified — Free Game",OR('Game Records'!$E179="",LOWER('Game Records'!$E179&amp;"")="n/a")),"Game Type; ","")&amp;IF('Game Records'!$F179="","Payment Type; ","")&amp;IF(AND('Game Records'!$U179&lt;&gt;"Subscription",'Game Records'!$U179&lt;&gt;"Free Game",'Game Records'!$U179&lt;&gt;"Disqualified — Free Game",'Game Records'!$G179=""),"Gross Pot; ","")&amp;IF(AND('Game Records'!$U179&lt;&gt;"Free Game",'Game Records'!$U179&lt;&gt;"Disqualified — Free Game",'Game Records'!$H179=""),"Entry Fee; ","")&amp;IF(AND('Game Records'!$U179&lt;&gt;"Subscription",'Game Records'!$U179&lt;&gt;"Free Game",'Game Records'!$U179&lt;&gt;"Disqualified — Free Game",'Game Records'!$I179=""),"Eligible Players; ","")&amp;IF(AND('Game Records'!$U179&lt;&gt;"Subscription",'Game Records'!$U179&lt;&gt;"Free Game",'Game Records'!$U179&lt;&gt;"Disqualified — Free Game",'Game Records'!$J179=""),"Total Players; ","")&amp;IF(AND(LOWER('Game Records'!$D179&amp;"")="finalized",LOWER('Game Records'!$L179&amp;"")&lt;&gt;"yes",'Game Records'!$U179&lt;&gt;"Subscription",'Game Records'!$U179&lt;&gt;"Free Game",'Game Records'!$U179&lt;&gt;"Disqualified — Free Game",'Game Records'!$K179=""),"Final Earned; ","")&amp;IF(AND(LOWER('Game Records'!$D179&amp;"")="finalized",'Game Records'!$U179&lt;&gt;"Subscription",'Game Records'!$U179&lt;&gt;"Free Game",'Game Records'!$U179&lt;&gt;"Disqualified — Free Game",OR('Game Records'!$L179="",LOWER('Game Records'!$L179&amp;"")="n/a")),"Disqualified Status; ",""))</x:f>
      </x:c>
      <x:c r="G179" s="331" t="str">
        <x:f>IF($A179="","",IFERROR('Game Records'!$M179,""))</x:f>
      </x:c>
      <x:c r="H179" s="104"/>
      <x:c r="I179" s="104"/>
      <x:c r="J179" s="104"/>
    </x:row>
    <x:row r="180" ht="15" hidden="0" customHeight="1">
      <x:c r="A180" s="332" t="str">
        <x:f>IF(OR(COUNTA('Game Records'!$A180:$M180)=0,'Game Records'!$F180="Subscription"),"",IFERROR(MAX($A$4:A179),0)+1)</x:f>
      </x:c>
      <x:c r="B180" s="332" t="str">
        <x:f>IF($A180="","","G-"&amp;TEXT(ROW('Game Records'!$A180)-4,"0000"))</x:f>
      </x:c>
      <x:c r="C180" s="331" t="str">
        <x:f>IF($A180="","",IFERROR('Game Records'!$A180,""))</x:f>
      </x:c>
      <x:c r="D180" s="331" t="str">
        <x:f>IF($A180="","",IFERROR('Game Records'!$U180,""))</x:f>
      </x:c>
      <x:c r="E180" s="331" t="str">
        <x:f>IF($A180="","",IF($F180="","No Highlighted Fields","Highlighted Fields Present"))</x:f>
      </x:c>
      <x:c r="F180" s="331" t="str">
        <x:f>IF($A180="","",IF('Game Records'!$B180="","Start Date; ","")&amp;IF('Game Records'!$C180="","End Date; ","")&amp;IF(AND('Game Records'!$U180&lt;&gt;"Subscription",'Game Records'!$U180&lt;&gt;"Free Game",'Game Records'!$U180&lt;&gt;"Disqualified — Free Game",OR('Game Records'!$D180="",LOWER('Game Records'!$D180&amp;"")="n/a")),"Entry Mode; ","")&amp;IF(AND('Game Records'!$U180&lt;&gt;"Subscription",'Game Records'!$U180&lt;&gt;"Free Game",'Game Records'!$U180&lt;&gt;"Disqualified — Free Game",OR('Game Records'!$E180="",LOWER('Game Records'!$E180&amp;"")="n/a")),"Game Type; ","")&amp;IF('Game Records'!$F180="","Payment Type; ","")&amp;IF(AND('Game Records'!$U180&lt;&gt;"Subscription",'Game Records'!$U180&lt;&gt;"Free Game",'Game Records'!$U180&lt;&gt;"Disqualified — Free Game",'Game Records'!$G180=""),"Gross Pot; ","")&amp;IF(AND('Game Records'!$U180&lt;&gt;"Free Game",'Game Records'!$U180&lt;&gt;"Disqualified — Free Game",'Game Records'!$H180=""),"Entry Fee; ","")&amp;IF(AND('Game Records'!$U180&lt;&gt;"Subscription",'Game Records'!$U180&lt;&gt;"Free Game",'Game Records'!$U180&lt;&gt;"Disqualified — Free Game",'Game Records'!$I180=""),"Eligible Players; ","")&amp;IF(AND('Game Records'!$U180&lt;&gt;"Subscription",'Game Records'!$U180&lt;&gt;"Free Game",'Game Records'!$U180&lt;&gt;"Disqualified — Free Game",'Game Records'!$J180=""),"Total Players; ","")&amp;IF(AND(LOWER('Game Records'!$D180&amp;"")="finalized",LOWER('Game Records'!$L180&amp;"")&lt;&gt;"yes",'Game Records'!$U180&lt;&gt;"Subscription",'Game Records'!$U180&lt;&gt;"Free Game",'Game Records'!$U180&lt;&gt;"Disqualified — Free Game",'Game Records'!$K180=""),"Final Earned; ","")&amp;IF(AND(LOWER('Game Records'!$D180&amp;"")="finalized",'Game Records'!$U180&lt;&gt;"Subscription",'Game Records'!$U180&lt;&gt;"Free Game",'Game Records'!$U180&lt;&gt;"Disqualified — Free Game",OR('Game Records'!$L180="",LOWER('Game Records'!$L180&amp;"")="n/a")),"Disqualified Status; ",""))</x:f>
      </x:c>
      <x:c r="G180" s="331" t="str">
        <x:f>IF($A180="","",IFERROR('Game Records'!$M180,""))</x:f>
      </x:c>
      <x:c r="H180" s="104"/>
      <x:c r="I180" s="104"/>
      <x:c r="J180" s="104"/>
    </x:row>
    <x:row r="181" ht="15" hidden="0" customHeight="1">
      <x:c r="A181" s="332" t="str">
        <x:f>IF(OR(COUNTA('Game Records'!$A181:$M181)=0,'Game Records'!$F181="Subscription"),"",IFERROR(MAX($A$4:A180),0)+1)</x:f>
      </x:c>
      <x:c r="B181" s="332" t="str">
        <x:f>IF($A181="","","G-"&amp;TEXT(ROW('Game Records'!$A181)-4,"0000"))</x:f>
      </x:c>
      <x:c r="C181" s="331" t="str">
        <x:f>IF($A181="","",IFERROR('Game Records'!$A181,""))</x:f>
      </x:c>
      <x:c r="D181" s="331" t="str">
        <x:f>IF($A181="","",IFERROR('Game Records'!$U181,""))</x:f>
      </x:c>
      <x:c r="E181" s="331" t="str">
        <x:f>IF($A181="","",IF($F181="","No Highlighted Fields","Highlighted Fields Present"))</x:f>
      </x:c>
      <x:c r="F181" s="331" t="str">
        <x:f>IF($A181="","",IF('Game Records'!$B181="","Start Date; ","")&amp;IF('Game Records'!$C181="","End Date; ","")&amp;IF(AND('Game Records'!$U181&lt;&gt;"Subscription",'Game Records'!$U181&lt;&gt;"Free Game",'Game Records'!$U181&lt;&gt;"Disqualified — Free Game",OR('Game Records'!$D181="",LOWER('Game Records'!$D181&amp;"")="n/a")),"Entry Mode; ","")&amp;IF(AND('Game Records'!$U181&lt;&gt;"Subscription",'Game Records'!$U181&lt;&gt;"Free Game",'Game Records'!$U181&lt;&gt;"Disqualified — Free Game",OR('Game Records'!$E181="",LOWER('Game Records'!$E181&amp;"")="n/a")),"Game Type; ","")&amp;IF('Game Records'!$F181="","Payment Type; ","")&amp;IF(AND('Game Records'!$U181&lt;&gt;"Subscription",'Game Records'!$U181&lt;&gt;"Free Game",'Game Records'!$U181&lt;&gt;"Disqualified — Free Game",'Game Records'!$G181=""),"Gross Pot; ","")&amp;IF(AND('Game Records'!$U181&lt;&gt;"Free Game",'Game Records'!$U181&lt;&gt;"Disqualified — Free Game",'Game Records'!$H181=""),"Entry Fee; ","")&amp;IF(AND('Game Records'!$U181&lt;&gt;"Subscription",'Game Records'!$U181&lt;&gt;"Free Game",'Game Records'!$U181&lt;&gt;"Disqualified — Free Game",'Game Records'!$I181=""),"Eligible Players; ","")&amp;IF(AND('Game Records'!$U181&lt;&gt;"Subscription",'Game Records'!$U181&lt;&gt;"Free Game",'Game Records'!$U181&lt;&gt;"Disqualified — Free Game",'Game Records'!$J181=""),"Total Players; ","")&amp;IF(AND(LOWER('Game Records'!$D181&amp;"")="finalized",LOWER('Game Records'!$L181&amp;"")&lt;&gt;"yes",'Game Records'!$U181&lt;&gt;"Subscription",'Game Records'!$U181&lt;&gt;"Free Game",'Game Records'!$U181&lt;&gt;"Disqualified — Free Game",'Game Records'!$K181=""),"Final Earned; ","")&amp;IF(AND(LOWER('Game Records'!$D181&amp;"")="finalized",'Game Records'!$U181&lt;&gt;"Subscription",'Game Records'!$U181&lt;&gt;"Free Game",'Game Records'!$U181&lt;&gt;"Disqualified — Free Game",OR('Game Records'!$L181="",LOWER('Game Records'!$L181&amp;"")="n/a")),"Disqualified Status; ",""))</x:f>
      </x:c>
      <x:c r="G181" s="331" t="str">
        <x:f>IF($A181="","",IFERROR('Game Records'!$M181,""))</x:f>
      </x:c>
      <x:c r="H181" s="104"/>
      <x:c r="I181" s="104"/>
      <x:c r="J181" s="104"/>
    </x:row>
    <x:row r="182" ht="15" hidden="0" customHeight="1">
      <x:c r="A182" s="332" t="str">
        <x:f>IF(OR(COUNTA('Game Records'!$A182:$M182)=0,'Game Records'!$F182="Subscription"),"",IFERROR(MAX($A$4:A181),0)+1)</x:f>
      </x:c>
      <x:c r="B182" s="332" t="str">
        <x:f>IF($A182="","","G-"&amp;TEXT(ROW('Game Records'!$A182)-4,"0000"))</x:f>
      </x:c>
      <x:c r="C182" s="331" t="str">
        <x:f>IF($A182="","",IFERROR('Game Records'!$A182,""))</x:f>
      </x:c>
      <x:c r="D182" s="331" t="str">
        <x:f>IF($A182="","",IFERROR('Game Records'!$U182,""))</x:f>
      </x:c>
      <x:c r="E182" s="331" t="str">
        <x:f>IF($A182="","",IF($F182="","No Highlighted Fields","Highlighted Fields Present"))</x:f>
      </x:c>
      <x:c r="F182" s="331" t="str">
        <x:f>IF($A182="","",IF('Game Records'!$B182="","Start Date; ","")&amp;IF('Game Records'!$C182="","End Date; ","")&amp;IF(AND('Game Records'!$U182&lt;&gt;"Subscription",'Game Records'!$U182&lt;&gt;"Free Game",'Game Records'!$U182&lt;&gt;"Disqualified — Free Game",OR('Game Records'!$D182="",LOWER('Game Records'!$D182&amp;"")="n/a")),"Entry Mode; ","")&amp;IF(AND('Game Records'!$U182&lt;&gt;"Subscription",'Game Records'!$U182&lt;&gt;"Free Game",'Game Records'!$U182&lt;&gt;"Disqualified — Free Game",OR('Game Records'!$E182="",LOWER('Game Records'!$E182&amp;"")="n/a")),"Game Type; ","")&amp;IF('Game Records'!$F182="","Payment Type; ","")&amp;IF(AND('Game Records'!$U182&lt;&gt;"Subscription",'Game Records'!$U182&lt;&gt;"Free Game",'Game Records'!$U182&lt;&gt;"Disqualified — Free Game",'Game Records'!$G182=""),"Gross Pot; ","")&amp;IF(AND('Game Records'!$U182&lt;&gt;"Free Game",'Game Records'!$U182&lt;&gt;"Disqualified — Free Game",'Game Records'!$H182=""),"Entry Fee; ","")&amp;IF(AND('Game Records'!$U182&lt;&gt;"Subscription",'Game Records'!$U182&lt;&gt;"Free Game",'Game Records'!$U182&lt;&gt;"Disqualified — Free Game",'Game Records'!$I182=""),"Eligible Players; ","")&amp;IF(AND('Game Records'!$U182&lt;&gt;"Subscription",'Game Records'!$U182&lt;&gt;"Free Game",'Game Records'!$U182&lt;&gt;"Disqualified — Free Game",'Game Records'!$J182=""),"Total Players; ","")&amp;IF(AND(LOWER('Game Records'!$D182&amp;"")="finalized",LOWER('Game Records'!$L182&amp;"")&lt;&gt;"yes",'Game Records'!$U182&lt;&gt;"Subscription",'Game Records'!$U182&lt;&gt;"Free Game",'Game Records'!$U182&lt;&gt;"Disqualified — Free Game",'Game Records'!$K182=""),"Final Earned; ","")&amp;IF(AND(LOWER('Game Records'!$D182&amp;"")="finalized",'Game Records'!$U182&lt;&gt;"Subscription",'Game Records'!$U182&lt;&gt;"Free Game",'Game Records'!$U182&lt;&gt;"Disqualified — Free Game",OR('Game Records'!$L182="",LOWER('Game Records'!$L182&amp;"")="n/a")),"Disqualified Status; ",""))</x:f>
      </x:c>
      <x:c r="G182" s="331" t="str">
        <x:f>IF($A182="","",IFERROR('Game Records'!$M182,""))</x:f>
      </x:c>
      <x:c r="H182" s="104"/>
      <x:c r="I182" s="104"/>
      <x:c r="J182" s="104"/>
    </x:row>
    <x:row r="183" ht="15" hidden="0" customHeight="1">
      <x:c r="A183" s="332" t="str">
        <x:f>IF(OR(COUNTA('Game Records'!$A183:$M183)=0,'Game Records'!$F183="Subscription"),"",IFERROR(MAX($A$4:A182),0)+1)</x:f>
      </x:c>
      <x:c r="B183" s="332" t="str">
        <x:f>IF($A183="","","G-"&amp;TEXT(ROW('Game Records'!$A183)-4,"0000"))</x:f>
      </x:c>
      <x:c r="C183" s="331" t="str">
        <x:f>IF($A183="","",IFERROR('Game Records'!$A183,""))</x:f>
      </x:c>
      <x:c r="D183" s="331" t="str">
        <x:f>IF($A183="","",IFERROR('Game Records'!$U183,""))</x:f>
      </x:c>
      <x:c r="E183" s="331" t="str">
        <x:f>IF($A183="","",IF($F183="","No Highlighted Fields","Highlighted Fields Present"))</x:f>
      </x:c>
      <x:c r="F183" s="331" t="str">
        <x:f>IF($A183="","",IF('Game Records'!$B183="","Start Date; ","")&amp;IF('Game Records'!$C183="","End Date; ","")&amp;IF(AND('Game Records'!$U183&lt;&gt;"Subscription",'Game Records'!$U183&lt;&gt;"Free Game",'Game Records'!$U183&lt;&gt;"Disqualified — Free Game",OR('Game Records'!$D183="",LOWER('Game Records'!$D183&amp;"")="n/a")),"Entry Mode; ","")&amp;IF(AND('Game Records'!$U183&lt;&gt;"Subscription",'Game Records'!$U183&lt;&gt;"Free Game",'Game Records'!$U183&lt;&gt;"Disqualified — Free Game",OR('Game Records'!$E183="",LOWER('Game Records'!$E183&amp;"")="n/a")),"Game Type; ","")&amp;IF('Game Records'!$F183="","Payment Type; ","")&amp;IF(AND('Game Records'!$U183&lt;&gt;"Subscription",'Game Records'!$U183&lt;&gt;"Free Game",'Game Records'!$U183&lt;&gt;"Disqualified — Free Game",'Game Records'!$G183=""),"Gross Pot; ","")&amp;IF(AND('Game Records'!$U183&lt;&gt;"Free Game",'Game Records'!$U183&lt;&gt;"Disqualified — Free Game",'Game Records'!$H183=""),"Entry Fee; ","")&amp;IF(AND('Game Records'!$U183&lt;&gt;"Subscription",'Game Records'!$U183&lt;&gt;"Free Game",'Game Records'!$U183&lt;&gt;"Disqualified — Free Game",'Game Records'!$I183=""),"Eligible Players; ","")&amp;IF(AND('Game Records'!$U183&lt;&gt;"Subscription",'Game Records'!$U183&lt;&gt;"Free Game",'Game Records'!$U183&lt;&gt;"Disqualified — Free Game",'Game Records'!$J183=""),"Total Players; ","")&amp;IF(AND(LOWER('Game Records'!$D183&amp;"")="finalized",LOWER('Game Records'!$L183&amp;"")&lt;&gt;"yes",'Game Records'!$U183&lt;&gt;"Subscription",'Game Records'!$U183&lt;&gt;"Free Game",'Game Records'!$U183&lt;&gt;"Disqualified — Free Game",'Game Records'!$K183=""),"Final Earned; ","")&amp;IF(AND(LOWER('Game Records'!$D183&amp;"")="finalized",'Game Records'!$U183&lt;&gt;"Subscription",'Game Records'!$U183&lt;&gt;"Free Game",'Game Records'!$U183&lt;&gt;"Disqualified — Free Game",OR('Game Records'!$L183="",LOWER('Game Records'!$L183&amp;"")="n/a")),"Disqualified Status; ",""))</x:f>
      </x:c>
      <x:c r="G183" s="331" t="str">
        <x:f>IF($A183="","",IFERROR('Game Records'!$M183,""))</x:f>
      </x:c>
      <x:c r="H183" s="104"/>
      <x:c r="I183" s="104"/>
      <x:c r="J183" s="104"/>
    </x:row>
    <x:row r="184" ht="15" hidden="0" customHeight="1">
      <x:c r="A184" s="332" t="str">
        <x:f>IF(OR(COUNTA('Game Records'!$A184:$M184)=0,'Game Records'!$F184="Subscription"),"",IFERROR(MAX($A$4:A183),0)+1)</x:f>
      </x:c>
      <x:c r="B184" s="332" t="str">
        <x:f>IF($A184="","","G-"&amp;TEXT(ROW('Game Records'!$A184)-4,"0000"))</x:f>
      </x:c>
      <x:c r="C184" s="331" t="str">
        <x:f>IF($A184="","",IFERROR('Game Records'!$A184,""))</x:f>
      </x:c>
      <x:c r="D184" s="331" t="str">
        <x:f>IF($A184="","",IFERROR('Game Records'!$U184,""))</x:f>
      </x:c>
      <x:c r="E184" s="331" t="str">
        <x:f>IF($A184="","",IF($F184="","No Highlighted Fields","Highlighted Fields Present"))</x:f>
      </x:c>
      <x:c r="F184" s="331" t="str">
        <x:f>IF($A184="","",IF('Game Records'!$B184="","Start Date; ","")&amp;IF('Game Records'!$C184="","End Date; ","")&amp;IF(AND('Game Records'!$U184&lt;&gt;"Subscription",'Game Records'!$U184&lt;&gt;"Free Game",'Game Records'!$U184&lt;&gt;"Disqualified — Free Game",OR('Game Records'!$D184="",LOWER('Game Records'!$D184&amp;"")="n/a")),"Entry Mode; ","")&amp;IF(AND('Game Records'!$U184&lt;&gt;"Subscription",'Game Records'!$U184&lt;&gt;"Free Game",'Game Records'!$U184&lt;&gt;"Disqualified — Free Game",OR('Game Records'!$E184="",LOWER('Game Records'!$E184&amp;"")="n/a")),"Game Type; ","")&amp;IF('Game Records'!$F184="","Payment Type; ","")&amp;IF(AND('Game Records'!$U184&lt;&gt;"Subscription",'Game Records'!$U184&lt;&gt;"Free Game",'Game Records'!$U184&lt;&gt;"Disqualified — Free Game",'Game Records'!$G184=""),"Gross Pot; ","")&amp;IF(AND('Game Records'!$U184&lt;&gt;"Free Game",'Game Records'!$U184&lt;&gt;"Disqualified — Free Game",'Game Records'!$H184=""),"Entry Fee; ","")&amp;IF(AND('Game Records'!$U184&lt;&gt;"Subscription",'Game Records'!$U184&lt;&gt;"Free Game",'Game Records'!$U184&lt;&gt;"Disqualified — Free Game",'Game Records'!$I184=""),"Eligible Players; ","")&amp;IF(AND('Game Records'!$U184&lt;&gt;"Subscription",'Game Records'!$U184&lt;&gt;"Free Game",'Game Records'!$U184&lt;&gt;"Disqualified — Free Game",'Game Records'!$J184=""),"Total Players; ","")&amp;IF(AND(LOWER('Game Records'!$D184&amp;"")="finalized",LOWER('Game Records'!$L184&amp;"")&lt;&gt;"yes",'Game Records'!$U184&lt;&gt;"Subscription",'Game Records'!$U184&lt;&gt;"Free Game",'Game Records'!$U184&lt;&gt;"Disqualified — Free Game",'Game Records'!$K184=""),"Final Earned; ","")&amp;IF(AND(LOWER('Game Records'!$D184&amp;"")="finalized",'Game Records'!$U184&lt;&gt;"Subscription",'Game Records'!$U184&lt;&gt;"Free Game",'Game Records'!$U184&lt;&gt;"Disqualified — Free Game",OR('Game Records'!$L184="",LOWER('Game Records'!$L184&amp;"")="n/a")),"Disqualified Status; ",""))</x:f>
      </x:c>
      <x:c r="G184" s="331" t="str">
        <x:f>IF($A184="","",IFERROR('Game Records'!$M184,""))</x:f>
      </x:c>
      <x:c r="H184" s="104"/>
      <x:c r="I184" s="104"/>
      <x:c r="J184" s="104"/>
    </x:row>
    <x:row r="185" ht="15" hidden="0" customHeight="1">
      <x:c r="A185" s="332" t="str">
        <x:f>IF(OR(COUNTA('Game Records'!$A185:$M185)=0,'Game Records'!$F185="Subscription"),"",IFERROR(MAX($A$4:A184),0)+1)</x:f>
      </x:c>
      <x:c r="B185" s="332" t="str">
        <x:f>IF($A185="","","G-"&amp;TEXT(ROW('Game Records'!$A185)-4,"0000"))</x:f>
      </x:c>
      <x:c r="C185" s="331" t="str">
        <x:f>IF($A185="","",IFERROR('Game Records'!$A185,""))</x:f>
      </x:c>
      <x:c r="D185" s="331" t="str">
        <x:f>IF($A185="","",IFERROR('Game Records'!$U185,""))</x:f>
      </x:c>
      <x:c r="E185" s="331" t="str">
        <x:f>IF($A185="","",IF($F185="","No Highlighted Fields","Highlighted Fields Present"))</x:f>
      </x:c>
      <x:c r="F185" s="331" t="str">
        <x:f>IF($A185="","",IF('Game Records'!$B185="","Start Date; ","")&amp;IF('Game Records'!$C185="","End Date; ","")&amp;IF(AND('Game Records'!$U185&lt;&gt;"Subscription",'Game Records'!$U185&lt;&gt;"Free Game",'Game Records'!$U185&lt;&gt;"Disqualified — Free Game",OR('Game Records'!$D185="",LOWER('Game Records'!$D185&amp;"")="n/a")),"Entry Mode; ","")&amp;IF(AND('Game Records'!$U185&lt;&gt;"Subscription",'Game Records'!$U185&lt;&gt;"Free Game",'Game Records'!$U185&lt;&gt;"Disqualified — Free Game",OR('Game Records'!$E185="",LOWER('Game Records'!$E185&amp;"")="n/a")),"Game Type; ","")&amp;IF('Game Records'!$F185="","Payment Type; ","")&amp;IF(AND('Game Records'!$U185&lt;&gt;"Subscription",'Game Records'!$U185&lt;&gt;"Free Game",'Game Records'!$U185&lt;&gt;"Disqualified — Free Game",'Game Records'!$G185=""),"Gross Pot; ","")&amp;IF(AND('Game Records'!$U185&lt;&gt;"Free Game",'Game Records'!$U185&lt;&gt;"Disqualified — Free Game",'Game Records'!$H185=""),"Entry Fee; ","")&amp;IF(AND('Game Records'!$U185&lt;&gt;"Subscription",'Game Records'!$U185&lt;&gt;"Free Game",'Game Records'!$U185&lt;&gt;"Disqualified — Free Game",'Game Records'!$I185=""),"Eligible Players; ","")&amp;IF(AND('Game Records'!$U185&lt;&gt;"Subscription",'Game Records'!$U185&lt;&gt;"Free Game",'Game Records'!$U185&lt;&gt;"Disqualified — Free Game",'Game Records'!$J185=""),"Total Players; ","")&amp;IF(AND(LOWER('Game Records'!$D185&amp;"")="finalized",LOWER('Game Records'!$L185&amp;"")&lt;&gt;"yes",'Game Records'!$U185&lt;&gt;"Subscription",'Game Records'!$U185&lt;&gt;"Free Game",'Game Records'!$U185&lt;&gt;"Disqualified — Free Game",'Game Records'!$K185=""),"Final Earned; ","")&amp;IF(AND(LOWER('Game Records'!$D185&amp;"")="finalized",'Game Records'!$U185&lt;&gt;"Subscription",'Game Records'!$U185&lt;&gt;"Free Game",'Game Records'!$U185&lt;&gt;"Disqualified — Free Game",OR('Game Records'!$L185="",LOWER('Game Records'!$L185&amp;"")="n/a")),"Disqualified Status; ",""))</x:f>
      </x:c>
      <x:c r="G185" s="331" t="str">
        <x:f>IF($A185="","",IFERROR('Game Records'!$M185,""))</x:f>
      </x:c>
      <x:c r="H185" s="104"/>
      <x:c r="I185" s="104"/>
      <x:c r="J185" s="104"/>
    </x:row>
    <x:row r="186" ht="15" hidden="0" customHeight="1">
      <x:c r="A186" s="332" t="str">
        <x:f>IF(OR(COUNTA('Game Records'!$A186:$M186)=0,'Game Records'!$F186="Subscription"),"",IFERROR(MAX($A$4:A185),0)+1)</x:f>
      </x:c>
      <x:c r="B186" s="332" t="str">
        <x:f>IF($A186="","","G-"&amp;TEXT(ROW('Game Records'!$A186)-4,"0000"))</x:f>
      </x:c>
      <x:c r="C186" s="331" t="str">
        <x:f>IF($A186="","",IFERROR('Game Records'!$A186,""))</x:f>
      </x:c>
      <x:c r="D186" s="331" t="str">
        <x:f>IF($A186="","",IFERROR('Game Records'!$U186,""))</x:f>
      </x:c>
      <x:c r="E186" s="331" t="str">
        <x:f>IF($A186="","",IF($F186="","No Highlighted Fields","Highlighted Fields Present"))</x:f>
      </x:c>
      <x:c r="F186" s="331" t="str">
        <x:f>IF($A186="","",IF('Game Records'!$B186="","Start Date; ","")&amp;IF('Game Records'!$C186="","End Date; ","")&amp;IF(AND('Game Records'!$U186&lt;&gt;"Subscription",'Game Records'!$U186&lt;&gt;"Free Game",'Game Records'!$U186&lt;&gt;"Disqualified — Free Game",OR('Game Records'!$D186="",LOWER('Game Records'!$D186&amp;"")="n/a")),"Entry Mode; ","")&amp;IF(AND('Game Records'!$U186&lt;&gt;"Subscription",'Game Records'!$U186&lt;&gt;"Free Game",'Game Records'!$U186&lt;&gt;"Disqualified — Free Game",OR('Game Records'!$E186="",LOWER('Game Records'!$E186&amp;"")="n/a")),"Game Type; ","")&amp;IF('Game Records'!$F186="","Payment Type; ","")&amp;IF(AND('Game Records'!$U186&lt;&gt;"Subscription",'Game Records'!$U186&lt;&gt;"Free Game",'Game Records'!$U186&lt;&gt;"Disqualified — Free Game",'Game Records'!$G186=""),"Gross Pot; ","")&amp;IF(AND('Game Records'!$U186&lt;&gt;"Free Game",'Game Records'!$U186&lt;&gt;"Disqualified — Free Game",'Game Records'!$H186=""),"Entry Fee; ","")&amp;IF(AND('Game Records'!$U186&lt;&gt;"Subscription",'Game Records'!$U186&lt;&gt;"Free Game",'Game Records'!$U186&lt;&gt;"Disqualified — Free Game",'Game Records'!$I186=""),"Eligible Players; ","")&amp;IF(AND('Game Records'!$U186&lt;&gt;"Subscription",'Game Records'!$U186&lt;&gt;"Free Game",'Game Records'!$U186&lt;&gt;"Disqualified — Free Game",'Game Records'!$J186=""),"Total Players; ","")&amp;IF(AND(LOWER('Game Records'!$D186&amp;"")="finalized",LOWER('Game Records'!$L186&amp;"")&lt;&gt;"yes",'Game Records'!$U186&lt;&gt;"Subscription",'Game Records'!$U186&lt;&gt;"Free Game",'Game Records'!$U186&lt;&gt;"Disqualified — Free Game",'Game Records'!$K186=""),"Final Earned; ","")&amp;IF(AND(LOWER('Game Records'!$D186&amp;"")="finalized",'Game Records'!$U186&lt;&gt;"Subscription",'Game Records'!$U186&lt;&gt;"Free Game",'Game Records'!$U186&lt;&gt;"Disqualified — Free Game",OR('Game Records'!$L186="",LOWER('Game Records'!$L186&amp;"")="n/a")),"Disqualified Status; ",""))</x:f>
      </x:c>
      <x:c r="G186" s="331" t="str">
        <x:f>IF($A186="","",IFERROR('Game Records'!$M186,""))</x:f>
      </x:c>
      <x:c r="H186" s="104"/>
      <x:c r="I186" s="104"/>
      <x:c r="J186" s="104"/>
    </x:row>
    <x:row r="187" ht="15" hidden="0" customHeight="1">
      <x:c r="A187" s="332" t="str">
        <x:f>IF(OR(COUNTA('Game Records'!$A187:$M187)=0,'Game Records'!$F187="Subscription"),"",IFERROR(MAX($A$4:A186),0)+1)</x:f>
      </x:c>
      <x:c r="B187" s="332" t="str">
        <x:f>IF($A187="","","G-"&amp;TEXT(ROW('Game Records'!$A187)-4,"0000"))</x:f>
      </x:c>
      <x:c r="C187" s="331" t="str">
        <x:f>IF($A187="","",IFERROR('Game Records'!$A187,""))</x:f>
      </x:c>
      <x:c r="D187" s="331" t="str">
        <x:f>IF($A187="","",IFERROR('Game Records'!$U187,""))</x:f>
      </x:c>
      <x:c r="E187" s="331" t="str">
        <x:f>IF($A187="","",IF($F187="","No Highlighted Fields","Highlighted Fields Present"))</x:f>
      </x:c>
      <x:c r="F187" s="331" t="str">
        <x:f>IF($A187="","",IF('Game Records'!$B187="","Start Date; ","")&amp;IF('Game Records'!$C187="","End Date; ","")&amp;IF(AND('Game Records'!$U187&lt;&gt;"Subscription",'Game Records'!$U187&lt;&gt;"Free Game",'Game Records'!$U187&lt;&gt;"Disqualified — Free Game",OR('Game Records'!$D187="",LOWER('Game Records'!$D187&amp;"")="n/a")),"Entry Mode; ","")&amp;IF(AND('Game Records'!$U187&lt;&gt;"Subscription",'Game Records'!$U187&lt;&gt;"Free Game",'Game Records'!$U187&lt;&gt;"Disqualified — Free Game",OR('Game Records'!$E187="",LOWER('Game Records'!$E187&amp;"")="n/a")),"Game Type; ","")&amp;IF('Game Records'!$F187="","Payment Type; ","")&amp;IF(AND('Game Records'!$U187&lt;&gt;"Subscription",'Game Records'!$U187&lt;&gt;"Free Game",'Game Records'!$U187&lt;&gt;"Disqualified — Free Game",'Game Records'!$G187=""),"Gross Pot; ","")&amp;IF(AND('Game Records'!$U187&lt;&gt;"Free Game",'Game Records'!$U187&lt;&gt;"Disqualified — Free Game",'Game Records'!$H187=""),"Entry Fee; ","")&amp;IF(AND('Game Records'!$U187&lt;&gt;"Subscription",'Game Records'!$U187&lt;&gt;"Free Game",'Game Records'!$U187&lt;&gt;"Disqualified — Free Game",'Game Records'!$I187=""),"Eligible Players; ","")&amp;IF(AND('Game Records'!$U187&lt;&gt;"Subscription",'Game Records'!$U187&lt;&gt;"Free Game",'Game Records'!$U187&lt;&gt;"Disqualified — Free Game",'Game Records'!$J187=""),"Total Players; ","")&amp;IF(AND(LOWER('Game Records'!$D187&amp;"")="finalized",LOWER('Game Records'!$L187&amp;"")&lt;&gt;"yes",'Game Records'!$U187&lt;&gt;"Subscription",'Game Records'!$U187&lt;&gt;"Free Game",'Game Records'!$U187&lt;&gt;"Disqualified — Free Game",'Game Records'!$K187=""),"Final Earned; ","")&amp;IF(AND(LOWER('Game Records'!$D187&amp;"")="finalized",'Game Records'!$U187&lt;&gt;"Subscription",'Game Records'!$U187&lt;&gt;"Free Game",'Game Records'!$U187&lt;&gt;"Disqualified — Free Game",OR('Game Records'!$L187="",LOWER('Game Records'!$L187&amp;"")="n/a")),"Disqualified Status; ",""))</x:f>
      </x:c>
      <x:c r="G187" s="331" t="str">
        <x:f>IF($A187="","",IFERROR('Game Records'!$M187,""))</x:f>
      </x:c>
      <x:c r="H187" s="104"/>
      <x:c r="I187" s="104"/>
      <x:c r="J187" s="104"/>
    </x:row>
    <x:row r="188" ht="15" hidden="0" customHeight="1">
      <x:c r="A188" s="332" t="str">
        <x:f>IF(OR(COUNTA('Game Records'!$A188:$M188)=0,'Game Records'!$F188="Subscription"),"",IFERROR(MAX($A$4:A187),0)+1)</x:f>
      </x:c>
      <x:c r="B188" s="332" t="str">
        <x:f>IF($A188="","","G-"&amp;TEXT(ROW('Game Records'!$A188)-4,"0000"))</x:f>
      </x:c>
      <x:c r="C188" s="331" t="str">
        <x:f>IF($A188="","",IFERROR('Game Records'!$A188,""))</x:f>
      </x:c>
      <x:c r="D188" s="331" t="str">
        <x:f>IF($A188="","",IFERROR('Game Records'!$U188,""))</x:f>
      </x:c>
      <x:c r="E188" s="331" t="str">
        <x:f>IF($A188="","",IF($F188="","No Highlighted Fields","Highlighted Fields Present"))</x:f>
      </x:c>
      <x:c r="F188" s="331" t="str">
        <x:f>IF($A188="","",IF('Game Records'!$B188="","Start Date; ","")&amp;IF('Game Records'!$C188="","End Date; ","")&amp;IF(AND('Game Records'!$U188&lt;&gt;"Subscription",'Game Records'!$U188&lt;&gt;"Free Game",'Game Records'!$U188&lt;&gt;"Disqualified — Free Game",OR('Game Records'!$D188="",LOWER('Game Records'!$D188&amp;"")="n/a")),"Entry Mode; ","")&amp;IF(AND('Game Records'!$U188&lt;&gt;"Subscription",'Game Records'!$U188&lt;&gt;"Free Game",'Game Records'!$U188&lt;&gt;"Disqualified — Free Game",OR('Game Records'!$E188="",LOWER('Game Records'!$E188&amp;"")="n/a")),"Game Type; ","")&amp;IF('Game Records'!$F188="","Payment Type; ","")&amp;IF(AND('Game Records'!$U188&lt;&gt;"Subscription",'Game Records'!$U188&lt;&gt;"Free Game",'Game Records'!$U188&lt;&gt;"Disqualified — Free Game",'Game Records'!$G188=""),"Gross Pot; ","")&amp;IF(AND('Game Records'!$U188&lt;&gt;"Free Game",'Game Records'!$U188&lt;&gt;"Disqualified — Free Game",'Game Records'!$H188=""),"Entry Fee; ","")&amp;IF(AND('Game Records'!$U188&lt;&gt;"Subscription",'Game Records'!$U188&lt;&gt;"Free Game",'Game Records'!$U188&lt;&gt;"Disqualified — Free Game",'Game Records'!$I188=""),"Eligible Players; ","")&amp;IF(AND('Game Records'!$U188&lt;&gt;"Subscription",'Game Records'!$U188&lt;&gt;"Free Game",'Game Records'!$U188&lt;&gt;"Disqualified — Free Game",'Game Records'!$J188=""),"Total Players; ","")&amp;IF(AND(LOWER('Game Records'!$D188&amp;"")="finalized",LOWER('Game Records'!$L188&amp;"")&lt;&gt;"yes",'Game Records'!$U188&lt;&gt;"Subscription",'Game Records'!$U188&lt;&gt;"Free Game",'Game Records'!$U188&lt;&gt;"Disqualified — Free Game",'Game Records'!$K188=""),"Final Earned; ","")&amp;IF(AND(LOWER('Game Records'!$D188&amp;"")="finalized",'Game Records'!$U188&lt;&gt;"Subscription",'Game Records'!$U188&lt;&gt;"Free Game",'Game Records'!$U188&lt;&gt;"Disqualified — Free Game",OR('Game Records'!$L188="",LOWER('Game Records'!$L188&amp;"")="n/a")),"Disqualified Status; ",""))</x:f>
      </x:c>
      <x:c r="G188" s="331" t="str">
        <x:f>IF($A188="","",IFERROR('Game Records'!$M188,""))</x:f>
      </x:c>
      <x:c r="H188" s="104"/>
      <x:c r="I188" s="104"/>
      <x:c r="J188" s="104"/>
    </x:row>
    <x:row r="189" ht="15" hidden="0" customHeight="1">
      <x:c r="A189" s="332" t="str">
        <x:f>IF(OR(COUNTA('Game Records'!$A189:$M189)=0,'Game Records'!$F189="Subscription"),"",IFERROR(MAX($A$4:A188),0)+1)</x:f>
      </x:c>
      <x:c r="B189" s="332" t="str">
        <x:f>IF($A189="","","G-"&amp;TEXT(ROW('Game Records'!$A189)-4,"0000"))</x:f>
      </x:c>
      <x:c r="C189" s="331" t="str">
        <x:f>IF($A189="","",IFERROR('Game Records'!$A189,""))</x:f>
      </x:c>
      <x:c r="D189" s="331" t="str">
        <x:f>IF($A189="","",IFERROR('Game Records'!$U189,""))</x:f>
      </x:c>
      <x:c r="E189" s="331" t="str">
        <x:f>IF($A189="","",IF($F189="","No Highlighted Fields","Highlighted Fields Present"))</x:f>
      </x:c>
      <x:c r="F189" s="331" t="str">
        <x:f>IF($A189="","",IF('Game Records'!$B189="","Start Date; ","")&amp;IF('Game Records'!$C189="","End Date; ","")&amp;IF(AND('Game Records'!$U189&lt;&gt;"Subscription",'Game Records'!$U189&lt;&gt;"Free Game",'Game Records'!$U189&lt;&gt;"Disqualified — Free Game",OR('Game Records'!$D189="",LOWER('Game Records'!$D189&amp;"")="n/a")),"Entry Mode; ","")&amp;IF(AND('Game Records'!$U189&lt;&gt;"Subscription",'Game Records'!$U189&lt;&gt;"Free Game",'Game Records'!$U189&lt;&gt;"Disqualified — Free Game",OR('Game Records'!$E189="",LOWER('Game Records'!$E189&amp;"")="n/a")),"Game Type; ","")&amp;IF('Game Records'!$F189="","Payment Type; ","")&amp;IF(AND('Game Records'!$U189&lt;&gt;"Subscription",'Game Records'!$U189&lt;&gt;"Free Game",'Game Records'!$U189&lt;&gt;"Disqualified — Free Game",'Game Records'!$G189=""),"Gross Pot; ","")&amp;IF(AND('Game Records'!$U189&lt;&gt;"Free Game",'Game Records'!$U189&lt;&gt;"Disqualified — Free Game",'Game Records'!$H189=""),"Entry Fee; ","")&amp;IF(AND('Game Records'!$U189&lt;&gt;"Subscription",'Game Records'!$U189&lt;&gt;"Free Game",'Game Records'!$U189&lt;&gt;"Disqualified — Free Game",'Game Records'!$I189=""),"Eligible Players; ","")&amp;IF(AND('Game Records'!$U189&lt;&gt;"Subscription",'Game Records'!$U189&lt;&gt;"Free Game",'Game Records'!$U189&lt;&gt;"Disqualified — Free Game",'Game Records'!$J189=""),"Total Players; ","")&amp;IF(AND(LOWER('Game Records'!$D189&amp;"")="finalized",LOWER('Game Records'!$L189&amp;"")&lt;&gt;"yes",'Game Records'!$U189&lt;&gt;"Subscription",'Game Records'!$U189&lt;&gt;"Free Game",'Game Records'!$U189&lt;&gt;"Disqualified — Free Game",'Game Records'!$K189=""),"Final Earned; ","")&amp;IF(AND(LOWER('Game Records'!$D189&amp;"")="finalized",'Game Records'!$U189&lt;&gt;"Subscription",'Game Records'!$U189&lt;&gt;"Free Game",'Game Records'!$U189&lt;&gt;"Disqualified — Free Game",OR('Game Records'!$L189="",LOWER('Game Records'!$L189&amp;"")="n/a")),"Disqualified Status; ",""))</x:f>
      </x:c>
      <x:c r="G189" s="331" t="str">
        <x:f>IF($A189="","",IFERROR('Game Records'!$M189,""))</x:f>
      </x:c>
      <x:c r="H189" s="104"/>
      <x:c r="I189" s="104"/>
      <x:c r="J189" s="104"/>
    </x:row>
    <x:row r="190" ht="15" hidden="0" customHeight="1">
      <x:c r="A190" s="332" t="str">
        <x:f>IF(OR(COUNTA('Game Records'!$A190:$M190)=0,'Game Records'!$F190="Subscription"),"",IFERROR(MAX($A$4:A189),0)+1)</x:f>
      </x:c>
      <x:c r="B190" s="332" t="str">
        <x:f>IF($A190="","","G-"&amp;TEXT(ROW('Game Records'!$A190)-4,"0000"))</x:f>
      </x:c>
      <x:c r="C190" s="331" t="str">
        <x:f>IF($A190="","",IFERROR('Game Records'!$A190,""))</x:f>
      </x:c>
      <x:c r="D190" s="331" t="str">
        <x:f>IF($A190="","",IFERROR('Game Records'!$U190,""))</x:f>
      </x:c>
      <x:c r="E190" s="331" t="str">
        <x:f>IF($A190="","",IF($F190="","No Highlighted Fields","Highlighted Fields Present"))</x:f>
      </x:c>
      <x:c r="F190" s="331" t="str">
        <x:f>IF($A190="","",IF('Game Records'!$B190="","Start Date; ","")&amp;IF('Game Records'!$C190="","End Date; ","")&amp;IF(AND('Game Records'!$U190&lt;&gt;"Subscription",'Game Records'!$U190&lt;&gt;"Free Game",'Game Records'!$U190&lt;&gt;"Disqualified — Free Game",OR('Game Records'!$D190="",LOWER('Game Records'!$D190&amp;"")="n/a")),"Entry Mode; ","")&amp;IF(AND('Game Records'!$U190&lt;&gt;"Subscription",'Game Records'!$U190&lt;&gt;"Free Game",'Game Records'!$U190&lt;&gt;"Disqualified — Free Game",OR('Game Records'!$E190="",LOWER('Game Records'!$E190&amp;"")="n/a")),"Game Type; ","")&amp;IF('Game Records'!$F190="","Payment Type; ","")&amp;IF(AND('Game Records'!$U190&lt;&gt;"Subscription",'Game Records'!$U190&lt;&gt;"Free Game",'Game Records'!$U190&lt;&gt;"Disqualified — Free Game",'Game Records'!$G190=""),"Gross Pot; ","")&amp;IF(AND('Game Records'!$U190&lt;&gt;"Free Game",'Game Records'!$U190&lt;&gt;"Disqualified — Free Game",'Game Records'!$H190=""),"Entry Fee; ","")&amp;IF(AND('Game Records'!$U190&lt;&gt;"Subscription",'Game Records'!$U190&lt;&gt;"Free Game",'Game Records'!$U190&lt;&gt;"Disqualified — Free Game",'Game Records'!$I190=""),"Eligible Players; ","")&amp;IF(AND('Game Records'!$U190&lt;&gt;"Subscription",'Game Records'!$U190&lt;&gt;"Free Game",'Game Records'!$U190&lt;&gt;"Disqualified — Free Game",'Game Records'!$J190=""),"Total Players; ","")&amp;IF(AND(LOWER('Game Records'!$D190&amp;"")="finalized",LOWER('Game Records'!$L190&amp;"")&lt;&gt;"yes",'Game Records'!$U190&lt;&gt;"Subscription",'Game Records'!$U190&lt;&gt;"Free Game",'Game Records'!$U190&lt;&gt;"Disqualified — Free Game",'Game Records'!$K190=""),"Final Earned; ","")&amp;IF(AND(LOWER('Game Records'!$D190&amp;"")="finalized",'Game Records'!$U190&lt;&gt;"Subscription",'Game Records'!$U190&lt;&gt;"Free Game",'Game Records'!$U190&lt;&gt;"Disqualified — Free Game",OR('Game Records'!$L190="",LOWER('Game Records'!$L190&amp;"")="n/a")),"Disqualified Status; ",""))</x:f>
      </x:c>
      <x:c r="G190" s="331" t="str">
        <x:f>IF($A190="","",IFERROR('Game Records'!$M190,""))</x:f>
      </x:c>
      <x:c r="H190" s="104"/>
      <x:c r="I190" s="104"/>
      <x:c r="J190" s="104"/>
    </x:row>
    <x:row r="191" ht="15" hidden="0" customHeight="1">
      <x:c r="A191" s="332" t="str">
        <x:f>IF(OR(COUNTA('Game Records'!$A191:$M191)=0,'Game Records'!$F191="Subscription"),"",IFERROR(MAX($A$4:A190),0)+1)</x:f>
      </x:c>
      <x:c r="B191" s="332" t="str">
        <x:f>IF($A191="","","G-"&amp;TEXT(ROW('Game Records'!$A191)-4,"0000"))</x:f>
      </x:c>
      <x:c r="C191" s="331" t="str">
        <x:f>IF($A191="","",IFERROR('Game Records'!$A191,""))</x:f>
      </x:c>
      <x:c r="D191" s="331" t="str">
        <x:f>IF($A191="","",IFERROR('Game Records'!$U191,""))</x:f>
      </x:c>
      <x:c r="E191" s="331" t="str">
        <x:f>IF($A191="","",IF($F191="","No Highlighted Fields","Highlighted Fields Present"))</x:f>
      </x:c>
      <x:c r="F191" s="331" t="str">
        <x:f>IF($A191="","",IF('Game Records'!$B191="","Start Date; ","")&amp;IF('Game Records'!$C191="","End Date; ","")&amp;IF(AND('Game Records'!$U191&lt;&gt;"Subscription",'Game Records'!$U191&lt;&gt;"Free Game",'Game Records'!$U191&lt;&gt;"Disqualified — Free Game",OR('Game Records'!$D191="",LOWER('Game Records'!$D191&amp;"")="n/a")),"Entry Mode; ","")&amp;IF(AND('Game Records'!$U191&lt;&gt;"Subscription",'Game Records'!$U191&lt;&gt;"Free Game",'Game Records'!$U191&lt;&gt;"Disqualified — Free Game",OR('Game Records'!$E191="",LOWER('Game Records'!$E191&amp;"")="n/a")),"Game Type; ","")&amp;IF('Game Records'!$F191="","Payment Type; ","")&amp;IF(AND('Game Records'!$U191&lt;&gt;"Subscription",'Game Records'!$U191&lt;&gt;"Free Game",'Game Records'!$U191&lt;&gt;"Disqualified — Free Game",'Game Records'!$G191=""),"Gross Pot; ","")&amp;IF(AND('Game Records'!$U191&lt;&gt;"Free Game",'Game Records'!$U191&lt;&gt;"Disqualified — Free Game",'Game Records'!$H191=""),"Entry Fee; ","")&amp;IF(AND('Game Records'!$U191&lt;&gt;"Subscription",'Game Records'!$U191&lt;&gt;"Free Game",'Game Records'!$U191&lt;&gt;"Disqualified — Free Game",'Game Records'!$I191=""),"Eligible Players; ","")&amp;IF(AND('Game Records'!$U191&lt;&gt;"Subscription",'Game Records'!$U191&lt;&gt;"Free Game",'Game Records'!$U191&lt;&gt;"Disqualified — Free Game",'Game Records'!$J191=""),"Total Players; ","")&amp;IF(AND(LOWER('Game Records'!$D191&amp;"")="finalized",LOWER('Game Records'!$L191&amp;"")&lt;&gt;"yes",'Game Records'!$U191&lt;&gt;"Subscription",'Game Records'!$U191&lt;&gt;"Free Game",'Game Records'!$U191&lt;&gt;"Disqualified — Free Game",'Game Records'!$K191=""),"Final Earned; ","")&amp;IF(AND(LOWER('Game Records'!$D191&amp;"")="finalized",'Game Records'!$U191&lt;&gt;"Subscription",'Game Records'!$U191&lt;&gt;"Free Game",'Game Records'!$U191&lt;&gt;"Disqualified — Free Game",OR('Game Records'!$L191="",LOWER('Game Records'!$L191&amp;"")="n/a")),"Disqualified Status; ",""))</x:f>
      </x:c>
      <x:c r="G191" s="331" t="str">
        <x:f>IF($A191="","",IFERROR('Game Records'!$M191,""))</x:f>
      </x:c>
      <x:c r="H191" s="104"/>
      <x:c r="I191" s="104"/>
      <x:c r="J191" s="104"/>
    </x:row>
    <x:row r="192" ht="15" hidden="0" customHeight="1">
      <x:c r="A192" s="332" t="str">
        <x:f>IF(OR(COUNTA('Game Records'!$A192:$M192)=0,'Game Records'!$F192="Subscription"),"",IFERROR(MAX($A$4:A191),0)+1)</x:f>
      </x:c>
      <x:c r="B192" s="332" t="str">
        <x:f>IF($A192="","","G-"&amp;TEXT(ROW('Game Records'!$A192)-4,"0000"))</x:f>
      </x:c>
      <x:c r="C192" s="331" t="str">
        <x:f>IF($A192="","",IFERROR('Game Records'!$A192,""))</x:f>
      </x:c>
      <x:c r="D192" s="331" t="str">
        <x:f>IF($A192="","",IFERROR('Game Records'!$U192,""))</x:f>
      </x:c>
      <x:c r="E192" s="331" t="str">
        <x:f>IF($A192="","",IF($F192="","No Highlighted Fields","Highlighted Fields Present"))</x:f>
      </x:c>
      <x:c r="F192" s="331" t="str">
        <x:f>IF($A192="","",IF('Game Records'!$B192="","Start Date; ","")&amp;IF('Game Records'!$C192="","End Date; ","")&amp;IF(AND('Game Records'!$U192&lt;&gt;"Subscription",'Game Records'!$U192&lt;&gt;"Free Game",'Game Records'!$U192&lt;&gt;"Disqualified — Free Game",OR('Game Records'!$D192="",LOWER('Game Records'!$D192&amp;"")="n/a")),"Entry Mode; ","")&amp;IF(AND('Game Records'!$U192&lt;&gt;"Subscription",'Game Records'!$U192&lt;&gt;"Free Game",'Game Records'!$U192&lt;&gt;"Disqualified — Free Game",OR('Game Records'!$E192="",LOWER('Game Records'!$E192&amp;"")="n/a")),"Game Type; ","")&amp;IF('Game Records'!$F192="","Payment Type; ","")&amp;IF(AND('Game Records'!$U192&lt;&gt;"Subscription",'Game Records'!$U192&lt;&gt;"Free Game",'Game Records'!$U192&lt;&gt;"Disqualified — Free Game",'Game Records'!$G192=""),"Gross Pot; ","")&amp;IF(AND('Game Records'!$U192&lt;&gt;"Free Game",'Game Records'!$U192&lt;&gt;"Disqualified — Free Game",'Game Records'!$H192=""),"Entry Fee; ","")&amp;IF(AND('Game Records'!$U192&lt;&gt;"Subscription",'Game Records'!$U192&lt;&gt;"Free Game",'Game Records'!$U192&lt;&gt;"Disqualified — Free Game",'Game Records'!$I192=""),"Eligible Players; ","")&amp;IF(AND('Game Records'!$U192&lt;&gt;"Subscription",'Game Records'!$U192&lt;&gt;"Free Game",'Game Records'!$U192&lt;&gt;"Disqualified — Free Game",'Game Records'!$J192=""),"Total Players; ","")&amp;IF(AND(LOWER('Game Records'!$D192&amp;"")="finalized",LOWER('Game Records'!$L192&amp;"")&lt;&gt;"yes",'Game Records'!$U192&lt;&gt;"Subscription",'Game Records'!$U192&lt;&gt;"Free Game",'Game Records'!$U192&lt;&gt;"Disqualified — Free Game",'Game Records'!$K192=""),"Final Earned; ","")&amp;IF(AND(LOWER('Game Records'!$D192&amp;"")="finalized",'Game Records'!$U192&lt;&gt;"Subscription",'Game Records'!$U192&lt;&gt;"Free Game",'Game Records'!$U192&lt;&gt;"Disqualified — Free Game",OR('Game Records'!$L192="",LOWER('Game Records'!$L192&amp;"")="n/a")),"Disqualified Status; ",""))</x:f>
      </x:c>
      <x:c r="G192" s="331" t="str">
        <x:f>IF($A192="","",IFERROR('Game Records'!$M192,""))</x:f>
      </x:c>
      <x:c r="H192" s="104"/>
      <x:c r="I192" s="104"/>
      <x:c r="J192" s="104"/>
    </x:row>
    <x:row r="193" ht="15" hidden="0" customHeight="1">
      <x:c r="A193" s="332" t="str">
        <x:f>IF(OR(COUNTA('Game Records'!$A193:$M193)=0,'Game Records'!$F193="Subscription"),"",IFERROR(MAX($A$4:A192),0)+1)</x:f>
      </x:c>
      <x:c r="B193" s="332" t="str">
        <x:f>IF($A193="","","G-"&amp;TEXT(ROW('Game Records'!$A193)-4,"0000"))</x:f>
      </x:c>
      <x:c r="C193" s="331" t="str">
        <x:f>IF($A193="","",IFERROR('Game Records'!$A193,""))</x:f>
      </x:c>
      <x:c r="D193" s="331" t="str">
        <x:f>IF($A193="","",IFERROR('Game Records'!$U193,""))</x:f>
      </x:c>
      <x:c r="E193" s="331" t="str">
        <x:f>IF($A193="","",IF($F193="","No Highlighted Fields","Highlighted Fields Present"))</x:f>
      </x:c>
      <x:c r="F193" s="331" t="str">
        <x:f>IF($A193="","",IF('Game Records'!$B193="","Start Date; ","")&amp;IF('Game Records'!$C193="","End Date; ","")&amp;IF(AND('Game Records'!$U193&lt;&gt;"Subscription",'Game Records'!$U193&lt;&gt;"Free Game",'Game Records'!$U193&lt;&gt;"Disqualified — Free Game",OR('Game Records'!$D193="",LOWER('Game Records'!$D193&amp;"")="n/a")),"Entry Mode; ","")&amp;IF(AND('Game Records'!$U193&lt;&gt;"Subscription",'Game Records'!$U193&lt;&gt;"Free Game",'Game Records'!$U193&lt;&gt;"Disqualified — Free Game",OR('Game Records'!$E193="",LOWER('Game Records'!$E193&amp;"")="n/a")),"Game Type; ","")&amp;IF('Game Records'!$F193="","Payment Type; ","")&amp;IF(AND('Game Records'!$U193&lt;&gt;"Subscription",'Game Records'!$U193&lt;&gt;"Free Game",'Game Records'!$U193&lt;&gt;"Disqualified — Free Game",'Game Records'!$G193=""),"Gross Pot; ","")&amp;IF(AND('Game Records'!$U193&lt;&gt;"Free Game",'Game Records'!$U193&lt;&gt;"Disqualified — Free Game",'Game Records'!$H193=""),"Entry Fee; ","")&amp;IF(AND('Game Records'!$U193&lt;&gt;"Subscription",'Game Records'!$U193&lt;&gt;"Free Game",'Game Records'!$U193&lt;&gt;"Disqualified — Free Game",'Game Records'!$I193=""),"Eligible Players; ","")&amp;IF(AND('Game Records'!$U193&lt;&gt;"Subscription",'Game Records'!$U193&lt;&gt;"Free Game",'Game Records'!$U193&lt;&gt;"Disqualified — Free Game",'Game Records'!$J193=""),"Total Players; ","")&amp;IF(AND(LOWER('Game Records'!$D193&amp;"")="finalized",LOWER('Game Records'!$L193&amp;"")&lt;&gt;"yes",'Game Records'!$U193&lt;&gt;"Subscription",'Game Records'!$U193&lt;&gt;"Free Game",'Game Records'!$U193&lt;&gt;"Disqualified — Free Game",'Game Records'!$K193=""),"Final Earned; ","")&amp;IF(AND(LOWER('Game Records'!$D193&amp;"")="finalized",'Game Records'!$U193&lt;&gt;"Subscription",'Game Records'!$U193&lt;&gt;"Free Game",'Game Records'!$U193&lt;&gt;"Disqualified — Free Game",OR('Game Records'!$L193="",LOWER('Game Records'!$L193&amp;"")="n/a")),"Disqualified Status; ",""))</x:f>
      </x:c>
      <x:c r="G193" s="331" t="str">
        <x:f>IF($A193="","",IFERROR('Game Records'!$M193,""))</x:f>
      </x:c>
      <x:c r="H193" s="104"/>
      <x:c r="I193" s="104"/>
      <x:c r="J193" s="104"/>
    </x:row>
    <x:row r="194" ht="15" hidden="0" customHeight="1">
      <x:c r="A194" s="332" t="str">
        <x:f>IF(OR(COUNTA('Game Records'!$A194:$M194)=0,'Game Records'!$F194="Subscription"),"",IFERROR(MAX($A$4:A193),0)+1)</x:f>
      </x:c>
      <x:c r="B194" s="332" t="str">
        <x:f>IF($A194="","","G-"&amp;TEXT(ROW('Game Records'!$A194)-4,"0000"))</x:f>
      </x:c>
      <x:c r="C194" s="331" t="str">
        <x:f>IF($A194="","",IFERROR('Game Records'!$A194,""))</x:f>
      </x:c>
      <x:c r="D194" s="331" t="str">
        <x:f>IF($A194="","",IFERROR('Game Records'!$U194,""))</x:f>
      </x:c>
      <x:c r="E194" s="331" t="str">
        <x:f>IF($A194="","",IF($F194="","No Highlighted Fields","Highlighted Fields Present"))</x:f>
      </x:c>
      <x:c r="F194" s="331" t="str">
        <x:f>IF($A194="","",IF('Game Records'!$B194="","Start Date; ","")&amp;IF('Game Records'!$C194="","End Date; ","")&amp;IF(AND('Game Records'!$U194&lt;&gt;"Subscription",'Game Records'!$U194&lt;&gt;"Free Game",'Game Records'!$U194&lt;&gt;"Disqualified — Free Game",OR('Game Records'!$D194="",LOWER('Game Records'!$D194&amp;"")="n/a")),"Entry Mode; ","")&amp;IF(AND('Game Records'!$U194&lt;&gt;"Subscription",'Game Records'!$U194&lt;&gt;"Free Game",'Game Records'!$U194&lt;&gt;"Disqualified — Free Game",OR('Game Records'!$E194="",LOWER('Game Records'!$E194&amp;"")="n/a")),"Game Type; ","")&amp;IF('Game Records'!$F194="","Payment Type; ","")&amp;IF(AND('Game Records'!$U194&lt;&gt;"Subscription",'Game Records'!$U194&lt;&gt;"Free Game",'Game Records'!$U194&lt;&gt;"Disqualified — Free Game",'Game Records'!$G194=""),"Gross Pot; ","")&amp;IF(AND('Game Records'!$U194&lt;&gt;"Free Game",'Game Records'!$U194&lt;&gt;"Disqualified — Free Game",'Game Records'!$H194=""),"Entry Fee; ","")&amp;IF(AND('Game Records'!$U194&lt;&gt;"Subscription",'Game Records'!$U194&lt;&gt;"Free Game",'Game Records'!$U194&lt;&gt;"Disqualified — Free Game",'Game Records'!$I194=""),"Eligible Players; ","")&amp;IF(AND('Game Records'!$U194&lt;&gt;"Subscription",'Game Records'!$U194&lt;&gt;"Free Game",'Game Records'!$U194&lt;&gt;"Disqualified — Free Game",'Game Records'!$J194=""),"Total Players; ","")&amp;IF(AND(LOWER('Game Records'!$D194&amp;"")="finalized",LOWER('Game Records'!$L194&amp;"")&lt;&gt;"yes",'Game Records'!$U194&lt;&gt;"Subscription",'Game Records'!$U194&lt;&gt;"Free Game",'Game Records'!$U194&lt;&gt;"Disqualified — Free Game",'Game Records'!$K194=""),"Final Earned; ","")&amp;IF(AND(LOWER('Game Records'!$D194&amp;"")="finalized",'Game Records'!$U194&lt;&gt;"Subscription",'Game Records'!$U194&lt;&gt;"Free Game",'Game Records'!$U194&lt;&gt;"Disqualified — Free Game",OR('Game Records'!$L194="",LOWER('Game Records'!$L194&amp;"")="n/a")),"Disqualified Status; ",""))</x:f>
      </x:c>
      <x:c r="G194" s="331" t="str">
        <x:f>IF($A194="","",IFERROR('Game Records'!$M194,""))</x:f>
      </x:c>
      <x:c r="H194" s="104"/>
      <x:c r="I194" s="104"/>
      <x:c r="J194" s="104"/>
    </x:row>
    <x:row r="195" ht="15" hidden="0" customHeight="1">
      <x:c r="A195" s="332" t="str">
        <x:f>IF(OR(COUNTA('Game Records'!$A195:$M195)=0,'Game Records'!$F195="Subscription"),"",IFERROR(MAX($A$4:A194),0)+1)</x:f>
      </x:c>
      <x:c r="B195" s="332" t="str">
        <x:f>IF($A195="","","G-"&amp;TEXT(ROW('Game Records'!$A195)-4,"0000"))</x:f>
      </x:c>
      <x:c r="C195" s="331" t="str">
        <x:f>IF($A195="","",IFERROR('Game Records'!$A195,""))</x:f>
      </x:c>
      <x:c r="D195" s="331" t="str">
        <x:f>IF($A195="","",IFERROR('Game Records'!$U195,""))</x:f>
      </x:c>
      <x:c r="E195" s="331" t="str">
        <x:f>IF($A195="","",IF($F195="","No Highlighted Fields","Highlighted Fields Present"))</x:f>
      </x:c>
      <x:c r="F195" s="331" t="str">
        <x:f>IF($A195="","",IF('Game Records'!$B195="","Start Date; ","")&amp;IF('Game Records'!$C195="","End Date; ","")&amp;IF(AND('Game Records'!$U195&lt;&gt;"Subscription",'Game Records'!$U195&lt;&gt;"Free Game",'Game Records'!$U195&lt;&gt;"Disqualified — Free Game",OR('Game Records'!$D195="",LOWER('Game Records'!$D195&amp;"")="n/a")),"Entry Mode; ","")&amp;IF(AND('Game Records'!$U195&lt;&gt;"Subscription",'Game Records'!$U195&lt;&gt;"Free Game",'Game Records'!$U195&lt;&gt;"Disqualified — Free Game",OR('Game Records'!$E195="",LOWER('Game Records'!$E195&amp;"")="n/a")),"Game Type; ","")&amp;IF('Game Records'!$F195="","Payment Type; ","")&amp;IF(AND('Game Records'!$U195&lt;&gt;"Subscription",'Game Records'!$U195&lt;&gt;"Free Game",'Game Records'!$U195&lt;&gt;"Disqualified — Free Game",'Game Records'!$G195=""),"Gross Pot; ","")&amp;IF(AND('Game Records'!$U195&lt;&gt;"Free Game",'Game Records'!$U195&lt;&gt;"Disqualified — Free Game",'Game Records'!$H195=""),"Entry Fee; ","")&amp;IF(AND('Game Records'!$U195&lt;&gt;"Subscription",'Game Records'!$U195&lt;&gt;"Free Game",'Game Records'!$U195&lt;&gt;"Disqualified — Free Game",'Game Records'!$I195=""),"Eligible Players; ","")&amp;IF(AND('Game Records'!$U195&lt;&gt;"Subscription",'Game Records'!$U195&lt;&gt;"Free Game",'Game Records'!$U195&lt;&gt;"Disqualified — Free Game",'Game Records'!$J195=""),"Total Players; ","")&amp;IF(AND(LOWER('Game Records'!$D195&amp;"")="finalized",LOWER('Game Records'!$L195&amp;"")&lt;&gt;"yes",'Game Records'!$U195&lt;&gt;"Subscription",'Game Records'!$U195&lt;&gt;"Free Game",'Game Records'!$U195&lt;&gt;"Disqualified — Free Game",'Game Records'!$K195=""),"Final Earned; ","")&amp;IF(AND(LOWER('Game Records'!$D195&amp;"")="finalized",'Game Records'!$U195&lt;&gt;"Subscription",'Game Records'!$U195&lt;&gt;"Free Game",'Game Records'!$U195&lt;&gt;"Disqualified — Free Game",OR('Game Records'!$L195="",LOWER('Game Records'!$L195&amp;"")="n/a")),"Disqualified Status; ",""))</x:f>
      </x:c>
      <x:c r="G195" s="331" t="str">
        <x:f>IF($A195="","",IFERROR('Game Records'!$M195,""))</x:f>
      </x:c>
      <x:c r="H195" s="104"/>
      <x:c r="I195" s="104"/>
      <x:c r="J195" s="104"/>
    </x:row>
    <x:row r="196" ht="15" hidden="0" customHeight="1">
      <x:c r="A196" s="332" t="str">
        <x:f>IF(OR(COUNTA('Game Records'!$A196:$M196)=0,'Game Records'!$F196="Subscription"),"",IFERROR(MAX($A$4:A195),0)+1)</x:f>
      </x:c>
      <x:c r="B196" s="332" t="str">
        <x:f>IF($A196="","","G-"&amp;TEXT(ROW('Game Records'!$A196)-4,"0000"))</x:f>
      </x:c>
      <x:c r="C196" s="331" t="str">
        <x:f>IF($A196="","",IFERROR('Game Records'!$A196,""))</x:f>
      </x:c>
      <x:c r="D196" s="331" t="str">
        <x:f>IF($A196="","",IFERROR('Game Records'!$U196,""))</x:f>
      </x:c>
      <x:c r="E196" s="331" t="str">
        <x:f>IF($A196="","",IF($F196="","No Highlighted Fields","Highlighted Fields Present"))</x:f>
      </x:c>
      <x:c r="F196" s="331" t="str">
        <x:f>IF($A196="","",IF('Game Records'!$B196="","Start Date; ","")&amp;IF('Game Records'!$C196="","End Date; ","")&amp;IF(AND('Game Records'!$U196&lt;&gt;"Subscription",'Game Records'!$U196&lt;&gt;"Free Game",'Game Records'!$U196&lt;&gt;"Disqualified — Free Game",OR('Game Records'!$D196="",LOWER('Game Records'!$D196&amp;"")="n/a")),"Entry Mode; ","")&amp;IF(AND('Game Records'!$U196&lt;&gt;"Subscription",'Game Records'!$U196&lt;&gt;"Free Game",'Game Records'!$U196&lt;&gt;"Disqualified — Free Game",OR('Game Records'!$E196="",LOWER('Game Records'!$E196&amp;"")="n/a")),"Game Type; ","")&amp;IF('Game Records'!$F196="","Payment Type; ","")&amp;IF(AND('Game Records'!$U196&lt;&gt;"Subscription",'Game Records'!$U196&lt;&gt;"Free Game",'Game Records'!$U196&lt;&gt;"Disqualified — Free Game",'Game Records'!$G196=""),"Gross Pot; ","")&amp;IF(AND('Game Records'!$U196&lt;&gt;"Free Game",'Game Records'!$U196&lt;&gt;"Disqualified — Free Game",'Game Records'!$H196=""),"Entry Fee; ","")&amp;IF(AND('Game Records'!$U196&lt;&gt;"Subscription",'Game Records'!$U196&lt;&gt;"Free Game",'Game Records'!$U196&lt;&gt;"Disqualified — Free Game",'Game Records'!$I196=""),"Eligible Players; ","")&amp;IF(AND('Game Records'!$U196&lt;&gt;"Subscription",'Game Records'!$U196&lt;&gt;"Free Game",'Game Records'!$U196&lt;&gt;"Disqualified — Free Game",'Game Records'!$J196=""),"Total Players; ","")&amp;IF(AND(LOWER('Game Records'!$D196&amp;"")="finalized",LOWER('Game Records'!$L196&amp;"")&lt;&gt;"yes",'Game Records'!$U196&lt;&gt;"Subscription",'Game Records'!$U196&lt;&gt;"Free Game",'Game Records'!$U196&lt;&gt;"Disqualified — Free Game",'Game Records'!$K196=""),"Final Earned; ","")&amp;IF(AND(LOWER('Game Records'!$D196&amp;"")="finalized",'Game Records'!$U196&lt;&gt;"Subscription",'Game Records'!$U196&lt;&gt;"Free Game",'Game Records'!$U196&lt;&gt;"Disqualified — Free Game",OR('Game Records'!$L196="",LOWER('Game Records'!$L196&amp;"")="n/a")),"Disqualified Status; ",""))</x:f>
      </x:c>
      <x:c r="G196" s="331" t="str">
        <x:f>IF($A196="","",IFERROR('Game Records'!$M196,""))</x:f>
      </x:c>
      <x:c r="H196" s="104"/>
      <x:c r="I196" s="104"/>
      <x:c r="J196" s="104"/>
    </x:row>
    <x:row r="197" ht="15" hidden="0" customHeight="1">
      <x:c r="A197" s="332" t="str">
        <x:f>IF(OR(COUNTA('Game Records'!$A197:$M197)=0,'Game Records'!$F197="Subscription"),"",IFERROR(MAX($A$4:A196),0)+1)</x:f>
      </x:c>
      <x:c r="B197" s="332" t="str">
        <x:f>IF($A197="","","G-"&amp;TEXT(ROW('Game Records'!$A197)-4,"0000"))</x:f>
      </x:c>
      <x:c r="C197" s="331" t="str">
        <x:f>IF($A197="","",IFERROR('Game Records'!$A197,""))</x:f>
      </x:c>
      <x:c r="D197" s="331" t="str">
        <x:f>IF($A197="","",IFERROR('Game Records'!$U197,""))</x:f>
      </x:c>
      <x:c r="E197" s="331" t="str">
        <x:f>IF($A197="","",IF($F197="","No Highlighted Fields","Highlighted Fields Present"))</x:f>
      </x:c>
      <x:c r="F197" s="331" t="str">
        <x:f>IF($A197="","",IF('Game Records'!$B197="","Start Date; ","")&amp;IF('Game Records'!$C197="","End Date; ","")&amp;IF(AND('Game Records'!$U197&lt;&gt;"Subscription",'Game Records'!$U197&lt;&gt;"Free Game",'Game Records'!$U197&lt;&gt;"Disqualified — Free Game",OR('Game Records'!$D197="",LOWER('Game Records'!$D197&amp;"")="n/a")),"Entry Mode; ","")&amp;IF(AND('Game Records'!$U197&lt;&gt;"Subscription",'Game Records'!$U197&lt;&gt;"Free Game",'Game Records'!$U197&lt;&gt;"Disqualified — Free Game",OR('Game Records'!$E197="",LOWER('Game Records'!$E197&amp;"")="n/a")),"Game Type; ","")&amp;IF('Game Records'!$F197="","Payment Type; ","")&amp;IF(AND('Game Records'!$U197&lt;&gt;"Subscription",'Game Records'!$U197&lt;&gt;"Free Game",'Game Records'!$U197&lt;&gt;"Disqualified — Free Game",'Game Records'!$G197=""),"Gross Pot; ","")&amp;IF(AND('Game Records'!$U197&lt;&gt;"Free Game",'Game Records'!$U197&lt;&gt;"Disqualified — Free Game",'Game Records'!$H197=""),"Entry Fee; ","")&amp;IF(AND('Game Records'!$U197&lt;&gt;"Subscription",'Game Records'!$U197&lt;&gt;"Free Game",'Game Records'!$U197&lt;&gt;"Disqualified — Free Game",'Game Records'!$I197=""),"Eligible Players; ","")&amp;IF(AND('Game Records'!$U197&lt;&gt;"Subscription",'Game Records'!$U197&lt;&gt;"Free Game",'Game Records'!$U197&lt;&gt;"Disqualified — Free Game",'Game Records'!$J197=""),"Total Players; ","")&amp;IF(AND(LOWER('Game Records'!$D197&amp;"")="finalized",LOWER('Game Records'!$L197&amp;"")&lt;&gt;"yes",'Game Records'!$U197&lt;&gt;"Subscription",'Game Records'!$U197&lt;&gt;"Free Game",'Game Records'!$U197&lt;&gt;"Disqualified — Free Game",'Game Records'!$K197=""),"Final Earned; ","")&amp;IF(AND(LOWER('Game Records'!$D197&amp;"")="finalized",'Game Records'!$U197&lt;&gt;"Subscription",'Game Records'!$U197&lt;&gt;"Free Game",'Game Records'!$U197&lt;&gt;"Disqualified — Free Game",OR('Game Records'!$L197="",LOWER('Game Records'!$L197&amp;"")="n/a")),"Disqualified Status; ",""))</x:f>
      </x:c>
      <x:c r="G197" s="331" t="str">
        <x:f>IF($A197="","",IFERROR('Game Records'!$M197,""))</x:f>
      </x:c>
      <x:c r="H197" s="104"/>
      <x:c r="I197" s="104"/>
      <x:c r="J197" s="104"/>
    </x:row>
    <x:row r="198" ht="15" hidden="0" customHeight="1">
      <x:c r="A198" s="332" t="str">
        <x:f>IF(OR(COUNTA('Game Records'!$A198:$M198)=0,'Game Records'!$F198="Subscription"),"",IFERROR(MAX($A$4:A197),0)+1)</x:f>
      </x:c>
      <x:c r="B198" s="332" t="str">
        <x:f>IF($A198="","","G-"&amp;TEXT(ROW('Game Records'!$A198)-4,"0000"))</x:f>
      </x:c>
      <x:c r="C198" s="331" t="str">
        <x:f>IF($A198="","",IFERROR('Game Records'!$A198,""))</x:f>
      </x:c>
      <x:c r="D198" s="331" t="str">
        <x:f>IF($A198="","",IFERROR('Game Records'!$U198,""))</x:f>
      </x:c>
      <x:c r="E198" s="331" t="str">
        <x:f>IF($A198="","",IF($F198="","No Highlighted Fields","Highlighted Fields Present"))</x:f>
      </x:c>
      <x:c r="F198" s="331" t="str">
        <x:f>IF($A198="","",IF('Game Records'!$B198="","Start Date; ","")&amp;IF('Game Records'!$C198="","End Date; ","")&amp;IF(AND('Game Records'!$U198&lt;&gt;"Subscription",'Game Records'!$U198&lt;&gt;"Free Game",'Game Records'!$U198&lt;&gt;"Disqualified — Free Game",OR('Game Records'!$D198="",LOWER('Game Records'!$D198&amp;"")="n/a")),"Entry Mode; ","")&amp;IF(AND('Game Records'!$U198&lt;&gt;"Subscription",'Game Records'!$U198&lt;&gt;"Free Game",'Game Records'!$U198&lt;&gt;"Disqualified — Free Game",OR('Game Records'!$E198="",LOWER('Game Records'!$E198&amp;"")="n/a")),"Game Type; ","")&amp;IF('Game Records'!$F198="","Payment Type; ","")&amp;IF(AND('Game Records'!$U198&lt;&gt;"Subscription",'Game Records'!$U198&lt;&gt;"Free Game",'Game Records'!$U198&lt;&gt;"Disqualified — Free Game",'Game Records'!$G198=""),"Gross Pot; ","")&amp;IF(AND('Game Records'!$U198&lt;&gt;"Free Game",'Game Records'!$U198&lt;&gt;"Disqualified — Free Game",'Game Records'!$H198=""),"Entry Fee; ","")&amp;IF(AND('Game Records'!$U198&lt;&gt;"Subscription",'Game Records'!$U198&lt;&gt;"Free Game",'Game Records'!$U198&lt;&gt;"Disqualified — Free Game",'Game Records'!$I198=""),"Eligible Players; ","")&amp;IF(AND('Game Records'!$U198&lt;&gt;"Subscription",'Game Records'!$U198&lt;&gt;"Free Game",'Game Records'!$U198&lt;&gt;"Disqualified — Free Game",'Game Records'!$J198=""),"Total Players; ","")&amp;IF(AND(LOWER('Game Records'!$D198&amp;"")="finalized",LOWER('Game Records'!$L198&amp;"")&lt;&gt;"yes",'Game Records'!$U198&lt;&gt;"Subscription",'Game Records'!$U198&lt;&gt;"Free Game",'Game Records'!$U198&lt;&gt;"Disqualified — Free Game",'Game Records'!$K198=""),"Final Earned; ","")&amp;IF(AND(LOWER('Game Records'!$D198&amp;"")="finalized",'Game Records'!$U198&lt;&gt;"Subscription",'Game Records'!$U198&lt;&gt;"Free Game",'Game Records'!$U198&lt;&gt;"Disqualified — Free Game",OR('Game Records'!$L198="",LOWER('Game Records'!$L198&amp;"")="n/a")),"Disqualified Status; ",""))</x:f>
      </x:c>
      <x:c r="G198" s="331" t="str">
        <x:f>IF($A198="","",IFERROR('Game Records'!$M198,""))</x:f>
      </x:c>
      <x:c r="H198" s="104"/>
      <x:c r="I198" s="104"/>
      <x:c r="J198" s="104"/>
    </x:row>
    <x:row r="199" ht="15" hidden="0" customHeight="1">
      <x:c r="A199" s="332" t="str">
        <x:f>IF(OR(COUNTA('Game Records'!$A199:$M199)=0,'Game Records'!$F199="Subscription"),"",IFERROR(MAX($A$4:A198),0)+1)</x:f>
      </x:c>
      <x:c r="B199" s="332" t="str">
        <x:f>IF($A199="","","G-"&amp;TEXT(ROW('Game Records'!$A199)-4,"0000"))</x:f>
      </x:c>
      <x:c r="C199" s="331" t="str">
        <x:f>IF($A199="","",IFERROR('Game Records'!$A199,""))</x:f>
      </x:c>
      <x:c r="D199" s="331" t="str">
        <x:f>IF($A199="","",IFERROR('Game Records'!$U199,""))</x:f>
      </x:c>
      <x:c r="E199" s="331" t="str">
        <x:f>IF($A199="","",IF($F199="","No Highlighted Fields","Highlighted Fields Present"))</x:f>
      </x:c>
      <x:c r="F199" s="331" t="str">
        <x:f>IF($A199="","",IF('Game Records'!$B199="","Start Date; ","")&amp;IF('Game Records'!$C199="","End Date; ","")&amp;IF(AND('Game Records'!$U199&lt;&gt;"Subscription",'Game Records'!$U199&lt;&gt;"Free Game",'Game Records'!$U199&lt;&gt;"Disqualified — Free Game",OR('Game Records'!$D199="",LOWER('Game Records'!$D199&amp;"")="n/a")),"Entry Mode; ","")&amp;IF(AND('Game Records'!$U199&lt;&gt;"Subscription",'Game Records'!$U199&lt;&gt;"Free Game",'Game Records'!$U199&lt;&gt;"Disqualified — Free Game",OR('Game Records'!$E199="",LOWER('Game Records'!$E199&amp;"")="n/a")),"Game Type; ","")&amp;IF('Game Records'!$F199="","Payment Type; ","")&amp;IF(AND('Game Records'!$U199&lt;&gt;"Subscription",'Game Records'!$U199&lt;&gt;"Free Game",'Game Records'!$U199&lt;&gt;"Disqualified — Free Game",'Game Records'!$G199=""),"Gross Pot; ","")&amp;IF(AND('Game Records'!$U199&lt;&gt;"Free Game",'Game Records'!$U199&lt;&gt;"Disqualified — Free Game",'Game Records'!$H199=""),"Entry Fee; ","")&amp;IF(AND('Game Records'!$U199&lt;&gt;"Subscription",'Game Records'!$U199&lt;&gt;"Free Game",'Game Records'!$U199&lt;&gt;"Disqualified — Free Game",'Game Records'!$I199=""),"Eligible Players; ","")&amp;IF(AND('Game Records'!$U199&lt;&gt;"Subscription",'Game Records'!$U199&lt;&gt;"Free Game",'Game Records'!$U199&lt;&gt;"Disqualified — Free Game",'Game Records'!$J199=""),"Total Players; ","")&amp;IF(AND(LOWER('Game Records'!$D199&amp;"")="finalized",LOWER('Game Records'!$L199&amp;"")&lt;&gt;"yes",'Game Records'!$U199&lt;&gt;"Subscription",'Game Records'!$U199&lt;&gt;"Free Game",'Game Records'!$U199&lt;&gt;"Disqualified — Free Game",'Game Records'!$K199=""),"Final Earned; ","")&amp;IF(AND(LOWER('Game Records'!$D199&amp;"")="finalized",'Game Records'!$U199&lt;&gt;"Subscription",'Game Records'!$U199&lt;&gt;"Free Game",'Game Records'!$U199&lt;&gt;"Disqualified — Free Game",OR('Game Records'!$L199="",LOWER('Game Records'!$L199&amp;"")="n/a")),"Disqualified Status; ",""))</x:f>
      </x:c>
      <x:c r="G199" s="331" t="str">
        <x:f>IF($A199="","",IFERROR('Game Records'!$M199,""))</x:f>
      </x:c>
      <x:c r="H199" s="104"/>
      <x:c r="I199" s="104"/>
      <x:c r="J199" s="104"/>
    </x:row>
    <x:row r="200" ht="15" hidden="0" customHeight="1">
      <x:c r="A200" s="332" t="str">
        <x:f>IF(OR(COUNTA('Game Records'!$A200:$M200)=0,'Game Records'!$F200="Subscription"),"",IFERROR(MAX($A$4:A199),0)+1)</x:f>
      </x:c>
      <x:c r="B200" s="332" t="str">
        <x:f>IF($A200="","","G-"&amp;TEXT(ROW('Game Records'!$A200)-4,"0000"))</x:f>
      </x:c>
      <x:c r="C200" s="331" t="str">
        <x:f>IF($A200="","",IFERROR('Game Records'!$A200,""))</x:f>
      </x:c>
      <x:c r="D200" s="331" t="str">
        <x:f>IF($A200="","",IFERROR('Game Records'!$U200,""))</x:f>
      </x:c>
      <x:c r="E200" s="331" t="str">
        <x:f>IF($A200="","",IF($F200="","No Highlighted Fields","Highlighted Fields Present"))</x:f>
      </x:c>
      <x:c r="F200" s="331" t="str">
        <x:f>IF($A200="","",IF('Game Records'!$B200="","Start Date; ","")&amp;IF('Game Records'!$C200="","End Date; ","")&amp;IF(AND('Game Records'!$U200&lt;&gt;"Subscription",'Game Records'!$U200&lt;&gt;"Free Game",'Game Records'!$U200&lt;&gt;"Disqualified — Free Game",OR('Game Records'!$D200="",LOWER('Game Records'!$D200&amp;"")="n/a")),"Entry Mode; ","")&amp;IF(AND('Game Records'!$U200&lt;&gt;"Subscription",'Game Records'!$U200&lt;&gt;"Free Game",'Game Records'!$U200&lt;&gt;"Disqualified — Free Game",OR('Game Records'!$E200="",LOWER('Game Records'!$E200&amp;"")="n/a")),"Game Type; ","")&amp;IF('Game Records'!$F200="","Payment Type; ","")&amp;IF(AND('Game Records'!$U200&lt;&gt;"Subscription",'Game Records'!$U200&lt;&gt;"Free Game",'Game Records'!$U200&lt;&gt;"Disqualified — Free Game",'Game Records'!$G200=""),"Gross Pot; ","")&amp;IF(AND('Game Records'!$U200&lt;&gt;"Free Game",'Game Records'!$U200&lt;&gt;"Disqualified — Free Game",'Game Records'!$H200=""),"Entry Fee; ","")&amp;IF(AND('Game Records'!$U200&lt;&gt;"Subscription",'Game Records'!$U200&lt;&gt;"Free Game",'Game Records'!$U200&lt;&gt;"Disqualified — Free Game",'Game Records'!$I200=""),"Eligible Players; ","")&amp;IF(AND('Game Records'!$U200&lt;&gt;"Subscription",'Game Records'!$U200&lt;&gt;"Free Game",'Game Records'!$U200&lt;&gt;"Disqualified — Free Game",'Game Records'!$J200=""),"Total Players; ","")&amp;IF(AND(LOWER('Game Records'!$D200&amp;"")="finalized",LOWER('Game Records'!$L200&amp;"")&lt;&gt;"yes",'Game Records'!$U200&lt;&gt;"Subscription",'Game Records'!$U200&lt;&gt;"Free Game",'Game Records'!$U200&lt;&gt;"Disqualified — Free Game",'Game Records'!$K200=""),"Final Earned; ","")&amp;IF(AND(LOWER('Game Records'!$D200&amp;"")="finalized",'Game Records'!$U200&lt;&gt;"Subscription",'Game Records'!$U200&lt;&gt;"Free Game",'Game Records'!$U200&lt;&gt;"Disqualified — Free Game",OR('Game Records'!$L200="",LOWER('Game Records'!$L200&amp;"")="n/a")),"Disqualified Status; ",""))</x:f>
      </x:c>
      <x:c r="G200" s="331" t="str">
        <x:f>IF($A200="","",IFERROR('Game Records'!$M200,""))</x:f>
      </x:c>
      <x:c r="H200" s="104"/>
      <x:c r="I200" s="104"/>
      <x:c r="J200" s="104"/>
    </x:row>
    <x:row r="201">
      <x:c r="A201" s="332" t="str">
        <x:f>IF(OR(COUNTA('Game Records'!$A201:$M201)=0,'Game Records'!$F201="Subscription"),"",IFERROR(MAX($A$4:A200),0)+1)</x:f>
      </x:c>
      <x:c r="B201" s="332" t="str">
        <x:f>IF($A201="","","G-"&amp;TEXT(ROW('Game Records'!$A201)-4,"0000"))</x:f>
      </x:c>
      <x:c r="C201" s="331" t="str">
        <x:f>IF($A201="","",IFERROR('Game Records'!$A201,""))</x:f>
      </x:c>
      <x:c r="D201" s="331" t="str">
        <x:f>IF($A201="","",IFERROR('Game Records'!$U201,""))</x:f>
      </x:c>
      <x:c r="E201" s="331" t="str">
        <x:f>IF($A201="","",IF($F201="","No Highlighted Fields","Highlighted Fields Present"))</x:f>
      </x:c>
      <x:c r="F201" s="331" t="str">
        <x:f>IF($A201="","",IF('Game Records'!$B201="","Start Date; ","")&amp;IF('Game Records'!$C201="","End Date; ","")&amp;IF(AND('Game Records'!$U201&lt;&gt;"Subscription",'Game Records'!$U201&lt;&gt;"Free Game",'Game Records'!$U201&lt;&gt;"Disqualified — Free Game",OR('Game Records'!$D201="",LOWER('Game Records'!$D201&amp;"")="n/a")),"Entry Mode; ","")&amp;IF(AND('Game Records'!$U201&lt;&gt;"Subscription",'Game Records'!$U201&lt;&gt;"Free Game",'Game Records'!$U201&lt;&gt;"Disqualified — Free Game",OR('Game Records'!$E201="",LOWER('Game Records'!$E201&amp;"")="n/a")),"Game Type; ","")&amp;IF('Game Records'!$F201="","Payment Type; ","")&amp;IF(AND('Game Records'!$U201&lt;&gt;"Subscription",'Game Records'!$U201&lt;&gt;"Free Game",'Game Records'!$U201&lt;&gt;"Disqualified — Free Game",'Game Records'!$G201=""),"Gross Pot; ","")&amp;IF(AND('Game Records'!$U201&lt;&gt;"Free Game",'Game Records'!$U201&lt;&gt;"Disqualified — Free Game",'Game Records'!$H201=""),"Entry Fee; ","")&amp;IF(AND('Game Records'!$U201&lt;&gt;"Subscription",'Game Records'!$U201&lt;&gt;"Free Game",'Game Records'!$U201&lt;&gt;"Disqualified — Free Game",'Game Records'!$I201=""),"Eligible Players; ","")&amp;IF(AND('Game Records'!$U201&lt;&gt;"Subscription",'Game Records'!$U201&lt;&gt;"Free Game",'Game Records'!$U201&lt;&gt;"Disqualified — Free Game",'Game Records'!$J201=""),"Total Players; ","")&amp;IF(AND(LOWER('Game Records'!$D201&amp;"")="finalized",LOWER('Game Records'!$L201&amp;"")&lt;&gt;"yes",'Game Records'!$U201&lt;&gt;"Subscription",'Game Records'!$U201&lt;&gt;"Free Game",'Game Records'!$U201&lt;&gt;"Disqualified — Free Game",'Game Records'!$K201=""),"Final Earned; ","")&amp;IF(AND(LOWER('Game Records'!$D201&amp;"")="finalized",'Game Records'!$U201&lt;&gt;"Subscription",'Game Records'!$U201&lt;&gt;"Free Game",'Game Records'!$U201&lt;&gt;"Disqualified — Free Game",OR('Game Records'!$L201="",LOWER('Game Records'!$L201&amp;"")="n/a")),"Disqualified Status; ",""))</x:f>
      </x:c>
      <x:c r="G201" s="331" t="str">
        <x:f>IF($A201="","",IFERROR('Game Records'!$M201,""))</x:f>
      </x:c>
    </x:row>
    <x:row r="202">
      <x:c r="A202" s="332" t="str">
        <x:f>IF(OR(COUNTA('Game Records'!$A202:$M202)=0,'Game Records'!$F202="Subscription"),"",IFERROR(MAX($A$4:A201),0)+1)</x:f>
      </x:c>
      <x:c r="B202" s="332" t="str">
        <x:f>IF($A202="","","G-"&amp;TEXT(ROW('Game Records'!$A202)-4,"0000"))</x:f>
      </x:c>
      <x:c r="C202" s="331" t="str">
        <x:f>IF($A202="","",IFERROR('Game Records'!$A202,""))</x:f>
      </x:c>
      <x:c r="D202" s="331" t="str">
        <x:f>IF($A202="","",IFERROR('Game Records'!$U202,""))</x:f>
      </x:c>
      <x:c r="E202" s="331" t="str">
        <x:f>IF($A202="","",IF($F202="","No Highlighted Fields","Highlighted Fields Present"))</x:f>
      </x:c>
      <x:c r="F202" s="331" t="str">
        <x:f>IF($A202="","",IF('Game Records'!$B202="","Start Date; ","")&amp;IF('Game Records'!$C202="","End Date; ","")&amp;IF(AND('Game Records'!$U202&lt;&gt;"Subscription",'Game Records'!$U202&lt;&gt;"Free Game",'Game Records'!$U202&lt;&gt;"Disqualified — Free Game",OR('Game Records'!$D202="",LOWER('Game Records'!$D202&amp;"")="n/a")),"Entry Mode; ","")&amp;IF(AND('Game Records'!$U202&lt;&gt;"Subscription",'Game Records'!$U202&lt;&gt;"Free Game",'Game Records'!$U202&lt;&gt;"Disqualified — Free Game",OR('Game Records'!$E202="",LOWER('Game Records'!$E202&amp;"")="n/a")),"Game Type; ","")&amp;IF('Game Records'!$F202="","Payment Type; ","")&amp;IF(AND('Game Records'!$U202&lt;&gt;"Subscription",'Game Records'!$U202&lt;&gt;"Free Game",'Game Records'!$U202&lt;&gt;"Disqualified — Free Game",'Game Records'!$G202=""),"Gross Pot; ","")&amp;IF(AND('Game Records'!$U202&lt;&gt;"Free Game",'Game Records'!$U202&lt;&gt;"Disqualified — Free Game",'Game Records'!$H202=""),"Entry Fee; ","")&amp;IF(AND('Game Records'!$U202&lt;&gt;"Subscription",'Game Records'!$U202&lt;&gt;"Free Game",'Game Records'!$U202&lt;&gt;"Disqualified — Free Game",'Game Records'!$I202=""),"Eligible Players; ","")&amp;IF(AND('Game Records'!$U202&lt;&gt;"Subscription",'Game Records'!$U202&lt;&gt;"Free Game",'Game Records'!$U202&lt;&gt;"Disqualified — Free Game",'Game Records'!$J202=""),"Total Players; ","")&amp;IF(AND(LOWER('Game Records'!$D202&amp;"")="finalized",LOWER('Game Records'!$L202&amp;"")&lt;&gt;"yes",'Game Records'!$U202&lt;&gt;"Subscription",'Game Records'!$U202&lt;&gt;"Free Game",'Game Records'!$U202&lt;&gt;"Disqualified — Free Game",'Game Records'!$K202=""),"Final Earned; ","")&amp;IF(AND(LOWER('Game Records'!$D202&amp;"")="finalized",'Game Records'!$U202&lt;&gt;"Subscription",'Game Records'!$U202&lt;&gt;"Free Game",'Game Records'!$U202&lt;&gt;"Disqualified — Free Game",OR('Game Records'!$L202="",LOWER('Game Records'!$L202&amp;"")="n/a")),"Disqualified Status; ",""))</x:f>
      </x:c>
      <x:c r="G202" s="331" t="str">
        <x:f>IF($A202="","",IFERROR('Game Records'!$M202,""))</x:f>
      </x:c>
    </x:row>
    <x:row r="203">
      <x:c r="A203" s="332" t="str">
        <x:f>IF(OR(COUNTA('Game Records'!$A203:$M203)=0,'Game Records'!$F203="Subscription"),"",IFERROR(MAX($A$4:A202),0)+1)</x:f>
      </x:c>
      <x:c r="B203" s="332" t="str">
        <x:f>IF($A203="","","G-"&amp;TEXT(ROW('Game Records'!$A203)-4,"0000"))</x:f>
      </x:c>
      <x:c r="C203" s="331" t="str">
        <x:f>IF($A203="","",IFERROR('Game Records'!$A203,""))</x:f>
      </x:c>
      <x:c r="D203" s="331" t="str">
        <x:f>IF($A203="","",IFERROR('Game Records'!$U203,""))</x:f>
      </x:c>
      <x:c r="E203" s="331" t="str">
        <x:f>IF($A203="","",IF($F203="","No Highlighted Fields","Highlighted Fields Present"))</x:f>
      </x:c>
      <x:c r="F203" s="331" t="str">
        <x:f>IF($A203="","",IF('Game Records'!$B203="","Start Date; ","")&amp;IF('Game Records'!$C203="","End Date; ","")&amp;IF(AND('Game Records'!$U203&lt;&gt;"Subscription",'Game Records'!$U203&lt;&gt;"Free Game",'Game Records'!$U203&lt;&gt;"Disqualified — Free Game",OR('Game Records'!$D203="",LOWER('Game Records'!$D203&amp;"")="n/a")),"Entry Mode; ","")&amp;IF(AND('Game Records'!$U203&lt;&gt;"Subscription",'Game Records'!$U203&lt;&gt;"Free Game",'Game Records'!$U203&lt;&gt;"Disqualified — Free Game",OR('Game Records'!$E203="",LOWER('Game Records'!$E203&amp;"")="n/a")),"Game Type; ","")&amp;IF('Game Records'!$F203="","Payment Type; ","")&amp;IF(AND('Game Records'!$U203&lt;&gt;"Subscription",'Game Records'!$U203&lt;&gt;"Free Game",'Game Records'!$U203&lt;&gt;"Disqualified — Free Game",'Game Records'!$G203=""),"Gross Pot; ","")&amp;IF(AND('Game Records'!$U203&lt;&gt;"Free Game",'Game Records'!$U203&lt;&gt;"Disqualified — Free Game",'Game Records'!$H203=""),"Entry Fee; ","")&amp;IF(AND('Game Records'!$U203&lt;&gt;"Subscription",'Game Records'!$U203&lt;&gt;"Free Game",'Game Records'!$U203&lt;&gt;"Disqualified — Free Game",'Game Records'!$I203=""),"Eligible Players; ","")&amp;IF(AND('Game Records'!$U203&lt;&gt;"Subscription",'Game Records'!$U203&lt;&gt;"Free Game",'Game Records'!$U203&lt;&gt;"Disqualified — Free Game",'Game Records'!$J203=""),"Total Players; ","")&amp;IF(AND(LOWER('Game Records'!$D203&amp;"")="finalized",LOWER('Game Records'!$L203&amp;"")&lt;&gt;"yes",'Game Records'!$U203&lt;&gt;"Subscription",'Game Records'!$U203&lt;&gt;"Free Game",'Game Records'!$U203&lt;&gt;"Disqualified — Free Game",'Game Records'!$K203=""),"Final Earned; ","")&amp;IF(AND(LOWER('Game Records'!$D203&amp;"")="finalized",'Game Records'!$U203&lt;&gt;"Subscription",'Game Records'!$U203&lt;&gt;"Free Game",'Game Records'!$U203&lt;&gt;"Disqualified — Free Game",OR('Game Records'!$L203="",LOWER('Game Records'!$L203&amp;"")="n/a")),"Disqualified Status; ",""))</x:f>
      </x:c>
      <x:c r="G203" s="331" t="str">
        <x:f>IF($A203="","",IFERROR('Game Records'!$M203,""))</x:f>
      </x:c>
    </x:row>
    <x:row r="204">
      <x:c r="A204" s="332" t="str">
        <x:f>IF(OR(COUNTA('Game Records'!$A204:$M204)=0,'Game Records'!$F204="Subscription"),"",IFERROR(MAX($A$4:A203),0)+1)</x:f>
      </x:c>
      <x:c r="B204" s="332" t="str">
        <x:f>IF($A204="","","G-"&amp;TEXT(ROW('Game Records'!$A204)-4,"0000"))</x:f>
      </x:c>
      <x:c r="C204" s="331" t="str">
        <x:f>IF($A204="","",IFERROR('Game Records'!$A204,""))</x:f>
      </x:c>
      <x:c r="D204" s="331" t="str">
        <x:f>IF($A204="","",IFERROR('Game Records'!$U204,""))</x:f>
      </x:c>
      <x:c r="E204" s="331" t="str">
        <x:f>IF($A204="","",IF($F204="","No Highlighted Fields","Highlighted Fields Present"))</x:f>
      </x:c>
      <x:c r="F204" s="331" t="str">
        <x:f>IF($A204="","",IF('Game Records'!$B204="","Start Date; ","")&amp;IF('Game Records'!$C204="","End Date; ","")&amp;IF(AND('Game Records'!$U204&lt;&gt;"Subscription",'Game Records'!$U204&lt;&gt;"Free Game",'Game Records'!$U204&lt;&gt;"Disqualified — Free Game",OR('Game Records'!$D204="",LOWER('Game Records'!$D204&amp;"")="n/a")),"Entry Mode; ","")&amp;IF(AND('Game Records'!$U204&lt;&gt;"Subscription",'Game Records'!$U204&lt;&gt;"Free Game",'Game Records'!$U204&lt;&gt;"Disqualified — Free Game",OR('Game Records'!$E204="",LOWER('Game Records'!$E204&amp;"")="n/a")),"Game Type; ","")&amp;IF('Game Records'!$F204="","Payment Type; ","")&amp;IF(AND('Game Records'!$U204&lt;&gt;"Subscription",'Game Records'!$U204&lt;&gt;"Free Game",'Game Records'!$U204&lt;&gt;"Disqualified — Free Game",'Game Records'!$G204=""),"Gross Pot; ","")&amp;IF(AND('Game Records'!$U204&lt;&gt;"Free Game",'Game Records'!$U204&lt;&gt;"Disqualified — Free Game",'Game Records'!$H204=""),"Entry Fee; ","")&amp;IF(AND('Game Records'!$U204&lt;&gt;"Subscription",'Game Records'!$U204&lt;&gt;"Free Game",'Game Records'!$U204&lt;&gt;"Disqualified — Free Game",'Game Records'!$I204=""),"Eligible Players; ","")&amp;IF(AND('Game Records'!$U204&lt;&gt;"Subscription",'Game Records'!$U204&lt;&gt;"Free Game",'Game Records'!$U204&lt;&gt;"Disqualified — Free Game",'Game Records'!$J204=""),"Total Players; ","")&amp;IF(AND(LOWER('Game Records'!$D204&amp;"")="finalized",LOWER('Game Records'!$L204&amp;"")&lt;&gt;"yes",'Game Records'!$U204&lt;&gt;"Subscription",'Game Records'!$U204&lt;&gt;"Free Game",'Game Records'!$U204&lt;&gt;"Disqualified — Free Game",'Game Records'!$K204=""),"Final Earned; ","")&amp;IF(AND(LOWER('Game Records'!$D204&amp;"")="finalized",'Game Records'!$U204&lt;&gt;"Subscription",'Game Records'!$U204&lt;&gt;"Free Game",'Game Records'!$U204&lt;&gt;"Disqualified — Free Game",OR('Game Records'!$L204="",LOWER('Game Records'!$L204&amp;"")="n/a")),"Disqualified Status; ",""))</x:f>
      </x:c>
      <x:c r="G204" s="331" t="str">
        <x:f>IF($A204="","",IFERROR('Game Records'!$M204,""))</x:f>
      </x:c>
    </x:row>
    <x:row r="205">
      <x:c r="A205" s="332" t="str">
        <x:f>IF(OR(COUNTA('Game Records'!$A205:$M205)=0,'Game Records'!$F205="Subscription"),"",IFERROR(MAX($A$4:A204),0)+1)</x:f>
      </x:c>
      <x:c r="B205" s="332" t="str">
        <x:f>IF($A205="","","G-"&amp;TEXT(ROW('Game Records'!$A205)-4,"0000"))</x:f>
      </x:c>
      <x:c r="C205" s="331" t="str">
        <x:f>IF($A205="","",IFERROR('Game Records'!$A205,""))</x:f>
      </x:c>
      <x:c r="D205" s="331" t="str">
        <x:f>IF($A205="","",IFERROR('Game Records'!$U205,""))</x:f>
      </x:c>
      <x:c r="E205" s="331" t="str">
        <x:f>IF($A205="","",IF($F205="","No Highlighted Fields","Highlighted Fields Present"))</x:f>
      </x:c>
      <x:c r="F205" s="331" t="str">
        <x:f>IF($A205="","",IF('Game Records'!$B205="","Start Date; ","")&amp;IF('Game Records'!$C205="","End Date; ","")&amp;IF(AND('Game Records'!$U205&lt;&gt;"Subscription",'Game Records'!$U205&lt;&gt;"Free Game",'Game Records'!$U205&lt;&gt;"Disqualified — Free Game",OR('Game Records'!$D205="",LOWER('Game Records'!$D205&amp;"")="n/a")),"Entry Mode; ","")&amp;IF(AND('Game Records'!$U205&lt;&gt;"Subscription",'Game Records'!$U205&lt;&gt;"Free Game",'Game Records'!$U205&lt;&gt;"Disqualified — Free Game",OR('Game Records'!$E205="",LOWER('Game Records'!$E205&amp;"")="n/a")),"Game Type; ","")&amp;IF('Game Records'!$F205="","Payment Type; ","")&amp;IF(AND('Game Records'!$U205&lt;&gt;"Subscription",'Game Records'!$U205&lt;&gt;"Free Game",'Game Records'!$U205&lt;&gt;"Disqualified — Free Game",'Game Records'!$G205=""),"Gross Pot; ","")&amp;IF(AND('Game Records'!$U205&lt;&gt;"Free Game",'Game Records'!$U205&lt;&gt;"Disqualified — Free Game",'Game Records'!$H205=""),"Entry Fee; ","")&amp;IF(AND('Game Records'!$U205&lt;&gt;"Subscription",'Game Records'!$U205&lt;&gt;"Free Game",'Game Records'!$U205&lt;&gt;"Disqualified — Free Game",'Game Records'!$I205=""),"Eligible Players; ","")&amp;IF(AND('Game Records'!$U205&lt;&gt;"Subscription",'Game Records'!$U205&lt;&gt;"Free Game",'Game Records'!$U205&lt;&gt;"Disqualified — Free Game",'Game Records'!$J205=""),"Total Players; ","")&amp;IF(AND(LOWER('Game Records'!$D205&amp;"")="finalized",LOWER('Game Records'!$L205&amp;"")&lt;&gt;"yes",'Game Records'!$U205&lt;&gt;"Subscription",'Game Records'!$U205&lt;&gt;"Free Game",'Game Records'!$U205&lt;&gt;"Disqualified — Free Game",'Game Records'!$K205=""),"Final Earned; ","")&amp;IF(AND(LOWER('Game Records'!$D205&amp;"")="finalized",'Game Records'!$U205&lt;&gt;"Subscription",'Game Records'!$U205&lt;&gt;"Free Game",'Game Records'!$U205&lt;&gt;"Disqualified — Free Game",OR('Game Records'!$L205="",LOWER('Game Records'!$L205&amp;"")="n/a")),"Disqualified Status; ",""))</x:f>
      </x:c>
      <x:c r="G205" s="331" t="str">
        <x:f>IF($A205="","",IFERROR('Game Records'!$M205,""))</x:f>
      </x:c>
    </x:row>
    <x:row r="206">
      <x:c r="A206" s="332" t="str">
        <x:f>IF(OR(COUNTA('Game Records'!$A206:$M206)=0,'Game Records'!$F206="Subscription"),"",IFERROR(MAX($A$4:A205),0)+1)</x:f>
      </x:c>
      <x:c r="B206" s="332" t="str">
        <x:f>IF($A206="","","G-"&amp;TEXT(ROW('Game Records'!$A206)-4,"0000"))</x:f>
      </x:c>
      <x:c r="C206" s="331" t="str">
        <x:f>IF($A206="","",IFERROR('Game Records'!$A206,""))</x:f>
      </x:c>
      <x:c r="D206" s="331" t="str">
        <x:f>IF($A206="","",IFERROR('Game Records'!$U206,""))</x:f>
      </x:c>
      <x:c r="E206" s="331" t="str">
        <x:f>IF($A206="","",IF($F206="","No Highlighted Fields","Highlighted Fields Present"))</x:f>
      </x:c>
      <x:c r="F206" s="331" t="str">
        <x:f>IF($A206="","",IF('Game Records'!$B206="","Start Date; ","")&amp;IF('Game Records'!$C206="","End Date; ","")&amp;IF(AND('Game Records'!$U206&lt;&gt;"Subscription",'Game Records'!$U206&lt;&gt;"Free Game",'Game Records'!$U206&lt;&gt;"Disqualified — Free Game",OR('Game Records'!$D206="",LOWER('Game Records'!$D206&amp;"")="n/a")),"Entry Mode; ","")&amp;IF(AND('Game Records'!$U206&lt;&gt;"Subscription",'Game Records'!$U206&lt;&gt;"Free Game",'Game Records'!$U206&lt;&gt;"Disqualified — Free Game",OR('Game Records'!$E206="",LOWER('Game Records'!$E206&amp;"")="n/a")),"Game Type; ","")&amp;IF('Game Records'!$F206="","Payment Type; ","")&amp;IF(AND('Game Records'!$U206&lt;&gt;"Subscription",'Game Records'!$U206&lt;&gt;"Free Game",'Game Records'!$U206&lt;&gt;"Disqualified — Free Game",'Game Records'!$G206=""),"Gross Pot; ","")&amp;IF(AND('Game Records'!$U206&lt;&gt;"Free Game",'Game Records'!$U206&lt;&gt;"Disqualified — Free Game",'Game Records'!$H206=""),"Entry Fee; ","")&amp;IF(AND('Game Records'!$U206&lt;&gt;"Subscription",'Game Records'!$U206&lt;&gt;"Free Game",'Game Records'!$U206&lt;&gt;"Disqualified — Free Game",'Game Records'!$I206=""),"Eligible Players; ","")&amp;IF(AND('Game Records'!$U206&lt;&gt;"Subscription",'Game Records'!$U206&lt;&gt;"Free Game",'Game Records'!$U206&lt;&gt;"Disqualified — Free Game",'Game Records'!$J206=""),"Total Players; ","")&amp;IF(AND(LOWER('Game Records'!$D206&amp;"")="finalized",LOWER('Game Records'!$L206&amp;"")&lt;&gt;"yes",'Game Records'!$U206&lt;&gt;"Subscription",'Game Records'!$U206&lt;&gt;"Free Game",'Game Records'!$U206&lt;&gt;"Disqualified — Free Game",'Game Records'!$K206=""),"Final Earned; ","")&amp;IF(AND(LOWER('Game Records'!$D206&amp;"")="finalized",'Game Records'!$U206&lt;&gt;"Subscription",'Game Records'!$U206&lt;&gt;"Free Game",'Game Records'!$U206&lt;&gt;"Disqualified — Free Game",OR('Game Records'!$L206="",LOWER('Game Records'!$L206&amp;"")="n/a")),"Disqualified Status; ",""))</x:f>
      </x:c>
      <x:c r="G206" s="331" t="str">
        <x:f>IF($A206="","",IFERROR('Game Records'!$M206,""))</x:f>
      </x:c>
    </x:row>
    <x:row r="207">
      <x:c r="A207" s="332" t="str">
        <x:f>IF(OR(COUNTA('Game Records'!$A207:$M207)=0,'Game Records'!$F207="Subscription"),"",IFERROR(MAX($A$4:A206),0)+1)</x:f>
      </x:c>
      <x:c r="B207" s="332" t="str">
        <x:f>IF($A207="","","G-"&amp;TEXT(ROW('Game Records'!$A207)-4,"0000"))</x:f>
      </x:c>
      <x:c r="C207" s="331" t="str">
        <x:f>IF($A207="","",IFERROR('Game Records'!$A207,""))</x:f>
      </x:c>
      <x:c r="D207" s="331" t="str">
        <x:f>IF($A207="","",IFERROR('Game Records'!$U207,""))</x:f>
      </x:c>
      <x:c r="E207" s="331" t="str">
        <x:f>IF($A207="","",IF($F207="","No Highlighted Fields","Highlighted Fields Present"))</x:f>
      </x:c>
      <x:c r="F207" s="331" t="str">
        <x:f>IF($A207="","",IF('Game Records'!$B207="","Start Date; ","")&amp;IF('Game Records'!$C207="","End Date; ","")&amp;IF(AND('Game Records'!$U207&lt;&gt;"Subscription",'Game Records'!$U207&lt;&gt;"Free Game",'Game Records'!$U207&lt;&gt;"Disqualified — Free Game",OR('Game Records'!$D207="",LOWER('Game Records'!$D207&amp;"")="n/a")),"Entry Mode; ","")&amp;IF(AND('Game Records'!$U207&lt;&gt;"Subscription",'Game Records'!$U207&lt;&gt;"Free Game",'Game Records'!$U207&lt;&gt;"Disqualified — Free Game",OR('Game Records'!$E207="",LOWER('Game Records'!$E207&amp;"")="n/a")),"Game Type; ","")&amp;IF('Game Records'!$F207="","Payment Type; ","")&amp;IF(AND('Game Records'!$U207&lt;&gt;"Subscription",'Game Records'!$U207&lt;&gt;"Free Game",'Game Records'!$U207&lt;&gt;"Disqualified — Free Game",'Game Records'!$G207=""),"Gross Pot; ","")&amp;IF(AND('Game Records'!$U207&lt;&gt;"Free Game",'Game Records'!$U207&lt;&gt;"Disqualified — Free Game",'Game Records'!$H207=""),"Entry Fee; ","")&amp;IF(AND('Game Records'!$U207&lt;&gt;"Subscription",'Game Records'!$U207&lt;&gt;"Free Game",'Game Records'!$U207&lt;&gt;"Disqualified — Free Game",'Game Records'!$I207=""),"Eligible Players; ","")&amp;IF(AND('Game Records'!$U207&lt;&gt;"Subscription",'Game Records'!$U207&lt;&gt;"Free Game",'Game Records'!$U207&lt;&gt;"Disqualified — Free Game",'Game Records'!$J207=""),"Total Players; ","")&amp;IF(AND(LOWER('Game Records'!$D207&amp;"")="finalized",LOWER('Game Records'!$L207&amp;"")&lt;&gt;"yes",'Game Records'!$U207&lt;&gt;"Subscription",'Game Records'!$U207&lt;&gt;"Free Game",'Game Records'!$U207&lt;&gt;"Disqualified — Free Game",'Game Records'!$K207=""),"Final Earned; ","")&amp;IF(AND(LOWER('Game Records'!$D207&amp;"")="finalized",'Game Records'!$U207&lt;&gt;"Subscription",'Game Records'!$U207&lt;&gt;"Free Game",'Game Records'!$U207&lt;&gt;"Disqualified — Free Game",OR('Game Records'!$L207="",LOWER('Game Records'!$L207&amp;"")="n/a")),"Disqualified Status; ",""))</x:f>
      </x:c>
      <x:c r="G207" s="331" t="str">
        <x:f>IF($A207="","",IFERROR('Game Records'!$M207,""))</x:f>
      </x:c>
    </x:row>
    <x:row r="208">
      <x:c r="A208" s="332" t="str">
        <x:f>IF(OR(COUNTA('Game Records'!$A208:$M208)=0,'Game Records'!$F208="Subscription"),"",IFERROR(MAX($A$4:A207),0)+1)</x:f>
      </x:c>
      <x:c r="B208" s="332" t="str">
        <x:f>IF($A208="","","G-"&amp;TEXT(ROW('Game Records'!$A208)-4,"0000"))</x:f>
      </x:c>
      <x:c r="C208" s="331" t="str">
        <x:f>IF($A208="","",IFERROR('Game Records'!$A208,""))</x:f>
      </x:c>
      <x:c r="D208" s="331" t="str">
        <x:f>IF($A208="","",IFERROR('Game Records'!$U208,""))</x:f>
      </x:c>
      <x:c r="E208" s="331" t="str">
        <x:f>IF($A208="","",IF($F208="","No Highlighted Fields","Highlighted Fields Present"))</x:f>
      </x:c>
      <x:c r="F208" s="331" t="str">
        <x:f>IF($A208="","",IF('Game Records'!$B208="","Start Date; ","")&amp;IF('Game Records'!$C208="","End Date; ","")&amp;IF(AND('Game Records'!$U208&lt;&gt;"Subscription",'Game Records'!$U208&lt;&gt;"Free Game",'Game Records'!$U208&lt;&gt;"Disqualified — Free Game",OR('Game Records'!$D208="",LOWER('Game Records'!$D208&amp;"")="n/a")),"Entry Mode; ","")&amp;IF(AND('Game Records'!$U208&lt;&gt;"Subscription",'Game Records'!$U208&lt;&gt;"Free Game",'Game Records'!$U208&lt;&gt;"Disqualified — Free Game",OR('Game Records'!$E208="",LOWER('Game Records'!$E208&amp;"")="n/a")),"Game Type; ","")&amp;IF('Game Records'!$F208="","Payment Type; ","")&amp;IF(AND('Game Records'!$U208&lt;&gt;"Subscription",'Game Records'!$U208&lt;&gt;"Free Game",'Game Records'!$U208&lt;&gt;"Disqualified — Free Game",'Game Records'!$G208=""),"Gross Pot; ","")&amp;IF(AND('Game Records'!$U208&lt;&gt;"Free Game",'Game Records'!$U208&lt;&gt;"Disqualified — Free Game",'Game Records'!$H208=""),"Entry Fee; ","")&amp;IF(AND('Game Records'!$U208&lt;&gt;"Subscription",'Game Records'!$U208&lt;&gt;"Free Game",'Game Records'!$U208&lt;&gt;"Disqualified — Free Game",'Game Records'!$I208=""),"Eligible Players; ","")&amp;IF(AND('Game Records'!$U208&lt;&gt;"Subscription",'Game Records'!$U208&lt;&gt;"Free Game",'Game Records'!$U208&lt;&gt;"Disqualified — Free Game",'Game Records'!$J208=""),"Total Players; ","")&amp;IF(AND(LOWER('Game Records'!$D208&amp;"")="finalized",LOWER('Game Records'!$L208&amp;"")&lt;&gt;"yes",'Game Records'!$U208&lt;&gt;"Subscription",'Game Records'!$U208&lt;&gt;"Free Game",'Game Records'!$U208&lt;&gt;"Disqualified — Free Game",'Game Records'!$K208=""),"Final Earned; ","")&amp;IF(AND(LOWER('Game Records'!$D208&amp;"")="finalized",'Game Records'!$U208&lt;&gt;"Subscription",'Game Records'!$U208&lt;&gt;"Free Game",'Game Records'!$U208&lt;&gt;"Disqualified — Free Game",OR('Game Records'!$L208="",LOWER('Game Records'!$L208&amp;"")="n/a")),"Disqualified Status; ",""))</x:f>
      </x:c>
      <x:c r="G208" s="331" t="str">
        <x:f>IF($A208="","",IFERROR('Game Records'!$M208,""))</x:f>
      </x:c>
    </x:row>
    <x:row r="209">
      <x:c r="A209" s="332" t="str">
        <x:f>IF(OR(COUNTA('Game Records'!$A209:$M209)=0,'Game Records'!$F209="Subscription"),"",IFERROR(MAX($A$4:A208),0)+1)</x:f>
      </x:c>
      <x:c r="B209" s="332" t="str">
        <x:f>IF($A209="","","G-"&amp;TEXT(ROW('Game Records'!$A209)-4,"0000"))</x:f>
      </x:c>
      <x:c r="C209" s="331" t="str">
        <x:f>IF($A209="","",IFERROR('Game Records'!$A209,""))</x:f>
      </x:c>
      <x:c r="D209" s="331" t="str">
        <x:f>IF($A209="","",IFERROR('Game Records'!$U209,""))</x:f>
      </x:c>
      <x:c r="E209" s="331" t="str">
        <x:f>IF($A209="","",IF($F209="","No Highlighted Fields","Highlighted Fields Present"))</x:f>
      </x:c>
      <x:c r="F209" s="331" t="str">
        <x:f>IF($A209="","",IF('Game Records'!$B209="","Start Date; ","")&amp;IF('Game Records'!$C209="","End Date; ","")&amp;IF(AND('Game Records'!$U209&lt;&gt;"Subscription",'Game Records'!$U209&lt;&gt;"Free Game",'Game Records'!$U209&lt;&gt;"Disqualified — Free Game",OR('Game Records'!$D209="",LOWER('Game Records'!$D209&amp;"")="n/a")),"Entry Mode; ","")&amp;IF(AND('Game Records'!$U209&lt;&gt;"Subscription",'Game Records'!$U209&lt;&gt;"Free Game",'Game Records'!$U209&lt;&gt;"Disqualified — Free Game",OR('Game Records'!$E209="",LOWER('Game Records'!$E209&amp;"")="n/a")),"Game Type; ","")&amp;IF('Game Records'!$F209="","Payment Type; ","")&amp;IF(AND('Game Records'!$U209&lt;&gt;"Subscription",'Game Records'!$U209&lt;&gt;"Free Game",'Game Records'!$U209&lt;&gt;"Disqualified — Free Game",'Game Records'!$G209=""),"Gross Pot; ","")&amp;IF(AND('Game Records'!$U209&lt;&gt;"Free Game",'Game Records'!$U209&lt;&gt;"Disqualified — Free Game",'Game Records'!$H209=""),"Entry Fee; ","")&amp;IF(AND('Game Records'!$U209&lt;&gt;"Subscription",'Game Records'!$U209&lt;&gt;"Free Game",'Game Records'!$U209&lt;&gt;"Disqualified — Free Game",'Game Records'!$I209=""),"Eligible Players; ","")&amp;IF(AND('Game Records'!$U209&lt;&gt;"Subscription",'Game Records'!$U209&lt;&gt;"Free Game",'Game Records'!$U209&lt;&gt;"Disqualified — Free Game",'Game Records'!$J209=""),"Total Players; ","")&amp;IF(AND(LOWER('Game Records'!$D209&amp;"")="finalized",LOWER('Game Records'!$L209&amp;"")&lt;&gt;"yes",'Game Records'!$U209&lt;&gt;"Subscription",'Game Records'!$U209&lt;&gt;"Free Game",'Game Records'!$U209&lt;&gt;"Disqualified — Free Game",'Game Records'!$K209=""),"Final Earned; ","")&amp;IF(AND(LOWER('Game Records'!$D209&amp;"")="finalized",'Game Records'!$U209&lt;&gt;"Subscription",'Game Records'!$U209&lt;&gt;"Free Game",'Game Records'!$U209&lt;&gt;"Disqualified — Free Game",OR('Game Records'!$L209="",LOWER('Game Records'!$L209&amp;"")="n/a")),"Disqualified Status; ",""))</x:f>
      </x:c>
      <x:c r="G209" s="331" t="str">
        <x:f>IF($A209="","",IFERROR('Game Records'!$M209,""))</x:f>
      </x:c>
    </x:row>
    <x:row r="210">
      <x:c r="A210" s="332" t="str">
        <x:f>IF(OR(COUNTA('Game Records'!$A210:$M210)=0,'Game Records'!$F210="Subscription"),"",IFERROR(MAX($A$4:A209),0)+1)</x:f>
      </x:c>
      <x:c r="B210" s="332" t="str">
        <x:f>IF($A210="","","G-"&amp;TEXT(ROW('Game Records'!$A210)-4,"0000"))</x:f>
      </x:c>
      <x:c r="C210" s="331" t="str">
        <x:f>IF($A210="","",IFERROR('Game Records'!$A210,""))</x:f>
      </x:c>
      <x:c r="D210" s="331" t="str">
        <x:f>IF($A210="","",IFERROR('Game Records'!$U210,""))</x:f>
      </x:c>
      <x:c r="E210" s="331" t="str">
        <x:f>IF($A210="","",IF($F210="","No Highlighted Fields","Highlighted Fields Present"))</x:f>
      </x:c>
      <x:c r="F210" s="331" t="str">
        <x:f>IF($A210="","",IF('Game Records'!$B210="","Start Date; ","")&amp;IF('Game Records'!$C210="","End Date; ","")&amp;IF(AND('Game Records'!$U210&lt;&gt;"Subscription",'Game Records'!$U210&lt;&gt;"Free Game",'Game Records'!$U210&lt;&gt;"Disqualified — Free Game",OR('Game Records'!$D210="",LOWER('Game Records'!$D210&amp;"")="n/a")),"Entry Mode; ","")&amp;IF(AND('Game Records'!$U210&lt;&gt;"Subscription",'Game Records'!$U210&lt;&gt;"Free Game",'Game Records'!$U210&lt;&gt;"Disqualified — Free Game",OR('Game Records'!$E210="",LOWER('Game Records'!$E210&amp;"")="n/a")),"Game Type; ","")&amp;IF('Game Records'!$F210="","Payment Type; ","")&amp;IF(AND('Game Records'!$U210&lt;&gt;"Subscription",'Game Records'!$U210&lt;&gt;"Free Game",'Game Records'!$U210&lt;&gt;"Disqualified — Free Game",'Game Records'!$G210=""),"Gross Pot; ","")&amp;IF(AND('Game Records'!$U210&lt;&gt;"Free Game",'Game Records'!$U210&lt;&gt;"Disqualified — Free Game",'Game Records'!$H210=""),"Entry Fee; ","")&amp;IF(AND('Game Records'!$U210&lt;&gt;"Subscription",'Game Records'!$U210&lt;&gt;"Free Game",'Game Records'!$U210&lt;&gt;"Disqualified — Free Game",'Game Records'!$I210=""),"Eligible Players; ","")&amp;IF(AND('Game Records'!$U210&lt;&gt;"Subscription",'Game Records'!$U210&lt;&gt;"Free Game",'Game Records'!$U210&lt;&gt;"Disqualified — Free Game",'Game Records'!$J210=""),"Total Players; ","")&amp;IF(AND(LOWER('Game Records'!$D210&amp;"")="finalized",LOWER('Game Records'!$L210&amp;"")&lt;&gt;"yes",'Game Records'!$U210&lt;&gt;"Subscription",'Game Records'!$U210&lt;&gt;"Free Game",'Game Records'!$U210&lt;&gt;"Disqualified — Free Game",'Game Records'!$K210=""),"Final Earned; ","")&amp;IF(AND(LOWER('Game Records'!$D210&amp;"")="finalized",'Game Records'!$U210&lt;&gt;"Subscription",'Game Records'!$U210&lt;&gt;"Free Game",'Game Records'!$U210&lt;&gt;"Disqualified — Free Game",OR('Game Records'!$L210="",LOWER('Game Records'!$L210&amp;"")="n/a")),"Disqualified Status; ",""))</x:f>
      </x:c>
      <x:c r="G210" s="331" t="str">
        <x:f>IF($A210="","",IFERROR('Game Records'!$M210,""))</x:f>
      </x:c>
    </x:row>
    <x:row r="211">
      <x:c r="A211" s="332" t="str">
        <x:f>IF(OR(COUNTA('Game Records'!$A211:$M211)=0,'Game Records'!$F211="Subscription"),"",IFERROR(MAX($A$4:A210),0)+1)</x:f>
      </x:c>
      <x:c r="B211" s="332" t="str">
        <x:f>IF($A211="","","G-"&amp;TEXT(ROW('Game Records'!$A211)-4,"0000"))</x:f>
      </x:c>
      <x:c r="C211" s="331" t="str">
        <x:f>IF($A211="","",IFERROR('Game Records'!$A211,""))</x:f>
      </x:c>
      <x:c r="D211" s="331" t="str">
        <x:f>IF($A211="","",IFERROR('Game Records'!$U211,""))</x:f>
      </x:c>
      <x:c r="E211" s="331" t="str">
        <x:f>IF($A211="","",IF($F211="","No Highlighted Fields","Highlighted Fields Present"))</x:f>
      </x:c>
      <x:c r="F211" s="331" t="str">
        <x:f>IF($A211="","",IF('Game Records'!$B211="","Start Date; ","")&amp;IF('Game Records'!$C211="","End Date; ","")&amp;IF(AND('Game Records'!$U211&lt;&gt;"Subscription",'Game Records'!$U211&lt;&gt;"Free Game",'Game Records'!$U211&lt;&gt;"Disqualified — Free Game",OR('Game Records'!$D211="",LOWER('Game Records'!$D211&amp;"")="n/a")),"Entry Mode; ","")&amp;IF(AND('Game Records'!$U211&lt;&gt;"Subscription",'Game Records'!$U211&lt;&gt;"Free Game",'Game Records'!$U211&lt;&gt;"Disqualified — Free Game",OR('Game Records'!$E211="",LOWER('Game Records'!$E211&amp;"")="n/a")),"Game Type; ","")&amp;IF('Game Records'!$F211="","Payment Type; ","")&amp;IF(AND('Game Records'!$U211&lt;&gt;"Subscription",'Game Records'!$U211&lt;&gt;"Free Game",'Game Records'!$U211&lt;&gt;"Disqualified — Free Game",'Game Records'!$G211=""),"Gross Pot; ","")&amp;IF(AND('Game Records'!$U211&lt;&gt;"Free Game",'Game Records'!$U211&lt;&gt;"Disqualified — Free Game",'Game Records'!$H211=""),"Entry Fee; ","")&amp;IF(AND('Game Records'!$U211&lt;&gt;"Subscription",'Game Records'!$U211&lt;&gt;"Free Game",'Game Records'!$U211&lt;&gt;"Disqualified — Free Game",'Game Records'!$I211=""),"Eligible Players; ","")&amp;IF(AND('Game Records'!$U211&lt;&gt;"Subscription",'Game Records'!$U211&lt;&gt;"Free Game",'Game Records'!$U211&lt;&gt;"Disqualified — Free Game",'Game Records'!$J211=""),"Total Players; ","")&amp;IF(AND(LOWER('Game Records'!$D211&amp;"")="finalized",LOWER('Game Records'!$L211&amp;"")&lt;&gt;"yes",'Game Records'!$U211&lt;&gt;"Subscription",'Game Records'!$U211&lt;&gt;"Free Game",'Game Records'!$U211&lt;&gt;"Disqualified — Free Game",'Game Records'!$K211=""),"Final Earned; ","")&amp;IF(AND(LOWER('Game Records'!$D211&amp;"")="finalized",'Game Records'!$U211&lt;&gt;"Subscription",'Game Records'!$U211&lt;&gt;"Free Game",'Game Records'!$U211&lt;&gt;"Disqualified — Free Game",OR('Game Records'!$L211="",LOWER('Game Records'!$L211&amp;"")="n/a")),"Disqualified Status; ",""))</x:f>
      </x:c>
      <x:c r="G211" s="331" t="str">
        <x:f>IF($A211="","",IFERROR('Game Records'!$M211,""))</x:f>
      </x:c>
    </x:row>
    <x:row r="212">
      <x:c r="A212" s="332" t="str">
        <x:f>IF(OR(COUNTA('Game Records'!$A212:$M212)=0,'Game Records'!$F212="Subscription"),"",IFERROR(MAX($A$4:A211),0)+1)</x:f>
      </x:c>
      <x:c r="B212" s="332" t="str">
        <x:f>IF($A212="","","G-"&amp;TEXT(ROW('Game Records'!$A212)-4,"0000"))</x:f>
      </x:c>
      <x:c r="C212" s="331" t="str">
        <x:f>IF($A212="","",IFERROR('Game Records'!$A212,""))</x:f>
      </x:c>
      <x:c r="D212" s="331" t="str">
        <x:f>IF($A212="","",IFERROR('Game Records'!$U212,""))</x:f>
      </x:c>
      <x:c r="E212" s="331" t="str">
        <x:f>IF($A212="","",IF($F212="","No Highlighted Fields","Highlighted Fields Present"))</x:f>
      </x:c>
      <x:c r="F212" s="331" t="str">
        <x:f>IF($A212="","",IF('Game Records'!$B212="","Start Date; ","")&amp;IF('Game Records'!$C212="","End Date; ","")&amp;IF(AND('Game Records'!$U212&lt;&gt;"Subscription",'Game Records'!$U212&lt;&gt;"Free Game",'Game Records'!$U212&lt;&gt;"Disqualified — Free Game",OR('Game Records'!$D212="",LOWER('Game Records'!$D212&amp;"")="n/a")),"Entry Mode; ","")&amp;IF(AND('Game Records'!$U212&lt;&gt;"Subscription",'Game Records'!$U212&lt;&gt;"Free Game",'Game Records'!$U212&lt;&gt;"Disqualified — Free Game",OR('Game Records'!$E212="",LOWER('Game Records'!$E212&amp;"")="n/a")),"Game Type; ","")&amp;IF('Game Records'!$F212="","Payment Type; ","")&amp;IF(AND('Game Records'!$U212&lt;&gt;"Subscription",'Game Records'!$U212&lt;&gt;"Free Game",'Game Records'!$U212&lt;&gt;"Disqualified — Free Game",'Game Records'!$G212=""),"Gross Pot; ","")&amp;IF(AND('Game Records'!$U212&lt;&gt;"Free Game",'Game Records'!$U212&lt;&gt;"Disqualified — Free Game",'Game Records'!$H212=""),"Entry Fee; ","")&amp;IF(AND('Game Records'!$U212&lt;&gt;"Subscription",'Game Records'!$U212&lt;&gt;"Free Game",'Game Records'!$U212&lt;&gt;"Disqualified — Free Game",'Game Records'!$I212=""),"Eligible Players; ","")&amp;IF(AND('Game Records'!$U212&lt;&gt;"Subscription",'Game Records'!$U212&lt;&gt;"Free Game",'Game Records'!$U212&lt;&gt;"Disqualified — Free Game",'Game Records'!$J212=""),"Total Players; ","")&amp;IF(AND(LOWER('Game Records'!$D212&amp;"")="finalized",LOWER('Game Records'!$L212&amp;"")&lt;&gt;"yes",'Game Records'!$U212&lt;&gt;"Subscription",'Game Records'!$U212&lt;&gt;"Free Game",'Game Records'!$U212&lt;&gt;"Disqualified — Free Game",'Game Records'!$K212=""),"Final Earned; ","")&amp;IF(AND(LOWER('Game Records'!$D212&amp;"")="finalized",'Game Records'!$U212&lt;&gt;"Subscription",'Game Records'!$U212&lt;&gt;"Free Game",'Game Records'!$U212&lt;&gt;"Disqualified — Free Game",OR('Game Records'!$L212="",LOWER('Game Records'!$L212&amp;"")="n/a")),"Disqualified Status; ",""))</x:f>
      </x:c>
      <x:c r="G212" s="331" t="str">
        <x:f>IF($A212="","",IFERROR('Game Records'!$M212,""))</x:f>
      </x:c>
    </x:row>
    <x:row r="213">
      <x:c r="A213" s="332" t="str">
        <x:f>IF(OR(COUNTA('Game Records'!$A213:$M213)=0,'Game Records'!$F213="Subscription"),"",IFERROR(MAX($A$4:A212),0)+1)</x:f>
      </x:c>
      <x:c r="B213" s="332" t="str">
        <x:f>IF($A213="","","G-"&amp;TEXT(ROW('Game Records'!$A213)-4,"0000"))</x:f>
      </x:c>
      <x:c r="C213" s="331" t="str">
        <x:f>IF($A213="","",IFERROR('Game Records'!$A213,""))</x:f>
      </x:c>
      <x:c r="D213" s="331" t="str">
        <x:f>IF($A213="","",IFERROR('Game Records'!$U213,""))</x:f>
      </x:c>
      <x:c r="E213" s="331" t="str">
        <x:f>IF($A213="","",IF($F213="","No Highlighted Fields","Highlighted Fields Present"))</x:f>
      </x:c>
      <x:c r="F213" s="331" t="str">
        <x:f>IF($A213="","",IF('Game Records'!$B213="","Start Date; ","")&amp;IF('Game Records'!$C213="","End Date; ","")&amp;IF(AND('Game Records'!$U213&lt;&gt;"Subscription",'Game Records'!$U213&lt;&gt;"Free Game",'Game Records'!$U213&lt;&gt;"Disqualified — Free Game",OR('Game Records'!$D213="",LOWER('Game Records'!$D213&amp;"")="n/a")),"Entry Mode; ","")&amp;IF(AND('Game Records'!$U213&lt;&gt;"Subscription",'Game Records'!$U213&lt;&gt;"Free Game",'Game Records'!$U213&lt;&gt;"Disqualified — Free Game",OR('Game Records'!$E213="",LOWER('Game Records'!$E213&amp;"")="n/a")),"Game Type; ","")&amp;IF('Game Records'!$F213="","Payment Type; ","")&amp;IF(AND('Game Records'!$U213&lt;&gt;"Subscription",'Game Records'!$U213&lt;&gt;"Free Game",'Game Records'!$U213&lt;&gt;"Disqualified — Free Game",'Game Records'!$G213=""),"Gross Pot; ","")&amp;IF(AND('Game Records'!$U213&lt;&gt;"Free Game",'Game Records'!$U213&lt;&gt;"Disqualified — Free Game",'Game Records'!$H213=""),"Entry Fee; ","")&amp;IF(AND('Game Records'!$U213&lt;&gt;"Subscription",'Game Records'!$U213&lt;&gt;"Free Game",'Game Records'!$U213&lt;&gt;"Disqualified — Free Game",'Game Records'!$I213=""),"Eligible Players; ","")&amp;IF(AND('Game Records'!$U213&lt;&gt;"Subscription",'Game Records'!$U213&lt;&gt;"Free Game",'Game Records'!$U213&lt;&gt;"Disqualified — Free Game",'Game Records'!$J213=""),"Total Players; ","")&amp;IF(AND(LOWER('Game Records'!$D213&amp;"")="finalized",LOWER('Game Records'!$L213&amp;"")&lt;&gt;"yes",'Game Records'!$U213&lt;&gt;"Subscription",'Game Records'!$U213&lt;&gt;"Free Game",'Game Records'!$U213&lt;&gt;"Disqualified — Free Game",'Game Records'!$K213=""),"Final Earned; ","")&amp;IF(AND(LOWER('Game Records'!$D213&amp;"")="finalized",'Game Records'!$U213&lt;&gt;"Subscription",'Game Records'!$U213&lt;&gt;"Free Game",'Game Records'!$U213&lt;&gt;"Disqualified — Free Game",OR('Game Records'!$L213="",LOWER('Game Records'!$L213&amp;"")="n/a")),"Disqualified Status; ",""))</x:f>
      </x:c>
      <x:c r="G213" s="331" t="str">
        <x:f>IF($A213="","",IFERROR('Game Records'!$M213,""))</x:f>
      </x:c>
    </x:row>
    <x:row r="214">
      <x:c r="A214" s="332" t="str">
        <x:f>IF(OR(COUNTA('Game Records'!$A214:$M214)=0,'Game Records'!$F214="Subscription"),"",IFERROR(MAX($A$4:A213),0)+1)</x:f>
      </x:c>
      <x:c r="B214" s="332" t="str">
        <x:f>IF($A214="","","G-"&amp;TEXT(ROW('Game Records'!$A214)-4,"0000"))</x:f>
      </x:c>
      <x:c r="C214" s="331" t="str">
        <x:f>IF($A214="","",IFERROR('Game Records'!$A214,""))</x:f>
      </x:c>
      <x:c r="D214" s="331" t="str">
        <x:f>IF($A214="","",IFERROR('Game Records'!$U214,""))</x:f>
      </x:c>
      <x:c r="E214" s="331" t="str">
        <x:f>IF($A214="","",IF($F214="","No Highlighted Fields","Highlighted Fields Present"))</x:f>
      </x:c>
      <x:c r="F214" s="331" t="str">
        <x:f>IF($A214="","",IF('Game Records'!$B214="","Start Date; ","")&amp;IF('Game Records'!$C214="","End Date; ","")&amp;IF(AND('Game Records'!$U214&lt;&gt;"Subscription",'Game Records'!$U214&lt;&gt;"Free Game",'Game Records'!$U214&lt;&gt;"Disqualified — Free Game",OR('Game Records'!$D214="",LOWER('Game Records'!$D214&amp;"")="n/a")),"Entry Mode; ","")&amp;IF(AND('Game Records'!$U214&lt;&gt;"Subscription",'Game Records'!$U214&lt;&gt;"Free Game",'Game Records'!$U214&lt;&gt;"Disqualified — Free Game",OR('Game Records'!$E214="",LOWER('Game Records'!$E214&amp;"")="n/a")),"Game Type; ","")&amp;IF('Game Records'!$F214="","Payment Type; ","")&amp;IF(AND('Game Records'!$U214&lt;&gt;"Subscription",'Game Records'!$U214&lt;&gt;"Free Game",'Game Records'!$U214&lt;&gt;"Disqualified — Free Game",'Game Records'!$G214=""),"Gross Pot; ","")&amp;IF(AND('Game Records'!$U214&lt;&gt;"Free Game",'Game Records'!$U214&lt;&gt;"Disqualified — Free Game",'Game Records'!$H214=""),"Entry Fee; ","")&amp;IF(AND('Game Records'!$U214&lt;&gt;"Subscription",'Game Records'!$U214&lt;&gt;"Free Game",'Game Records'!$U214&lt;&gt;"Disqualified — Free Game",'Game Records'!$I214=""),"Eligible Players; ","")&amp;IF(AND('Game Records'!$U214&lt;&gt;"Subscription",'Game Records'!$U214&lt;&gt;"Free Game",'Game Records'!$U214&lt;&gt;"Disqualified — Free Game",'Game Records'!$J214=""),"Total Players; ","")&amp;IF(AND(LOWER('Game Records'!$D214&amp;"")="finalized",LOWER('Game Records'!$L214&amp;"")&lt;&gt;"yes",'Game Records'!$U214&lt;&gt;"Subscription",'Game Records'!$U214&lt;&gt;"Free Game",'Game Records'!$U214&lt;&gt;"Disqualified — Free Game",'Game Records'!$K214=""),"Final Earned; ","")&amp;IF(AND(LOWER('Game Records'!$D214&amp;"")="finalized",'Game Records'!$U214&lt;&gt;"Subscription",'Game Records'!$U214&lt;&gt;"Free Game",'Game Records'!$U214&lt;&gt;"Disqualified — Free Game",OR('Game Records'!$L214="",LOWER('Game Records'!$L214&amp;"")="n/a")),"Disqualified Status; ",""))</x:f>
      </x:c>
      <x:c r="G214" s="331" t="str">
        <x:f>IF($A214="","",IFERROR('Game Records'!$M214,""))</x:f>
      </x:c>
    </x:row>
    <x:row r="215">
      <x:c r="A215" s="332" t="str">
        <x:f>IF(OR(COUNTA('Game Records'!$A215:$M215)=0,'Game Records'!$F215="Subscription"),"",IFERROR(MAX($A$4:A214),0)+1)</x:f>
      </x:c>
      <x:c r="B215" s="332" t="str">
        <x:f>IF($A215="","","G-"&amp;TEXT(ROW('Game Records'!$A215)-4,"0000"))</x:f>
      </x:c>
      <x:c r="C215" s="331" t="str">
        <x:f>IF($A215="","",IFERROR('Game Records'!$A215,""))</x:f>
      </x:c>
      <x:c r="D215" s="331" t="str">
        <x:f>IF($A215="","",IFERROR('Game Records'!$U215,""))</x:f>
      </x:c>
      <x:c r="E215" s="331" t="str">
        <x:f>IF($A215="","",IF($F215="","No Highlighted Fields","Highlighted Fields Present"))</x:f>
      </x:c>
      <x:c r="F215" s="331" t="str">
        <x:f>IF($A215="","",IF('Game Records'!$B215="","Start Date; ","")&amp;IF('Game Records'!$C215="","End Date; ","")&amp;IF(AND('Game Records'!$U215&lt;&gt;"Subscription",'Game Records'!$U215&lt;&gt;"Free Game",'Game Records'!$U215&lt;&gt;"Disqualified — Free Game",OR('Game Records'!$D215="",LOWER('Game Records'!$D215&amp;"")="n/a")),"Entry Mode; ","")&amp;IF(AND('Game Records'!$U215&lt;&gt;"Subscription",'Game Records'!$U215&lt;&gt;"Free Game",'Game Records'!$U215&lt;&gt;"Disqualified — Free Game",OR('Game Records'!$E215="",LOWER('Game Records'!$E215&amp;"")="n/a")),"Game Type; ","")&amp;IF('Game Records'!$F215="","Payment Type; ","")&amp;IF(AND('Game Records'!$U215&lt;&gt;"Subscription",'Game Records'!$U215&lt;&gt;"Free Game",'Game Records'!$U215&lt;&gt;"Disqualified — Free Game",'Game Records'!$G215=""),"Gross Pot; ","")&amp;IF(AND('Game Records'!$U215&lt;&gt;"Free Game",'Game Records'!$U215&lt;&gt;"Disqualified — Free Game",'Game Records'!$H215=""),"Entry Fee; ","")&amp;IF(AND('Game Records'!$U215&lt;&gt;"Subscription",'Game Records'!$U215&lt;&gt;"Free Game",'Game Records'!$U215&lt;&gt;"Disqualified — Free Game",'Game Records'!$I215=""),"Eligible Players; ","")&amp;IF(AND('Game Records'!$U215&lt;&gt;"Subscription",'Game Records'!$U215&lt;&gt;"Free Game",'Game Records'!$U215&lt;&gt;"Disqualified — Free Game",'Game Records'!$J215=""),"Total Players; ","")&amp;IF(AND(LOWER('Game Records'!$D215&amp;"")="finalized",LOWER('Game Records'!$L215&amp;"")&lt;&gt;"yes",'Game Records'!$U215&lt;&gt;"Subscription",'Game Records'!$U215&lt;&gt;"Free Game",'Game Records'!$U215&lt;&gt;"Disqualified — Free Game",'Game Records'!$K215=""),"Final Earned; ","")&amp;IF(AND(LOWER('Game Records'!$D215&amp;"")="finalized",'Game Records'!$U215&lt;&gt;"Subscription",'Game Records'!$U215&lt;&gt;"Free Game",'Game Records'!$U215&lt;&gt;"Disqualified — Free Game",OR('Game Records'!$L215="",LOWER('Game Records'!$L215&amp;"")="n/a")),"Disqualified Status; ",""))</x:f>
      </x:c>
      <x:c r="G215" s="331" t="str">
        <x:f>IF($A215="","",IFERROR('Game Records'!$M215,""))</x:f>
      </x:c>
    </x:row>
    <x:row r="216">
      <x:c r="A216" s="332" t="str">
        <x:f>IF(OR(COUNTA('Game Records'!$A216:$M216)=0,'Game Records'!$F216="Subscription"),"",IFERROR(MAX($A$4:A215),0)+1)</x:f>
      </x:c>
      <x:c r="B216" s="332" t="str">
        <x:f>IF($A216="","","G-"&amp;TEXT(ROW('Game Records'!$A216)-4,"0000"))</x:f>
      </x:c>
      <x:c r="C216" s="331" t="str">
        <x:f>IF($A216="","",IFERROR('Game Records'!$A216,""))</x:f>
      </x:c>
      <x:c r="D216" s="331" t="str">
        <x:f>IF($A216="","",IFERROR('Game Records'!$U216,""))</x:f>
      </x:c>
      <x:c r="E216" s="331" t="str">
        <x:f>IF($A216="","",IF($F216="","No Highlighted Fields","Highlighted Fields Present"))</x:f>
      </x:c>
      <x:c r="F216" s="331" t="str">
        <x:f>IF($A216="","",IF('Game Records'!$B216="","Start Date; ","")&amp;IF('Game Records'!$C216="","End Date; ","")&amp;IF(AND('Game Records'!$U216&lt;&gt;"Subscription",'Game Records'!$U216&lt;&gt;"Free Game",'Game Records'!$U216&lt;&gt;"Disqualified — Free Game",OR('Game Records'!$D216="",LOWER('Game Records'!$D216&amp;"")="n/a")),"Entry Mode; ","")&amp;IF(AND('Game Records'!$U216&lt;&gt;"Subscription",'Game Records'!$U216&lt;&gt;"Free Game",'Game Records'!$U216&lt;&gt;"Disqualified — Free Game",OR('Game Records'!$E216="",LOWER('Game Records'!$E216&amp;"")="n/a")),"Game Type; ","")&amp;IF('Game Records'!$F216="","Payment Type; ","")&amp;IF(AND('Game Records'!$U216&lt;&gt;"Subscription",'Game Records'!$U216&lt;&gt;"Free Game",'Game Records'!$U216&lt;&gt;"Disqualified — Free Game",'Game Records'!$G216=""),"Gross Pot; ","")&amp;IF(AND('Game Records'!$U216&lt;&gt;"Free Game",'Game Records'!$U216&lt;&gt;"Disqualified — Free Game",'Game Records'!$H216=""),"Entry Fee; ","")&amp;IF(AND('Game Records'!$U216&lt;&gt;"Subscription",'Game Records'!$U216&lt;&gt;"Free Game",'Game Records'!$U216&lt;&gt;"Disqualified — Free Game",'Game Records'!$I216=""),"Eligible Players; ","")&amp;IF(AND('Game Records'!$U216&lt;&gt;"Subscription",'Game Records'!$U216&lt;&gt;"Free Game",'Game Records'!$U216&lt;&gt;"Disqualified — Free Game",'Game Records'!$J216=""),"Total Players; ","")&amp;IF(AND(LOWER('Game Records'!$D216&amp;"")="finalized",LOWER('Game Records'!$L216&amp;"")&lt;&gt;"yes",'Game Records'!$U216&lt;&gt;"Subscription",'Game Records'!$U216&lt;&gt;"Free Game",'Game Records'!$U216&lt;&gt;"Disqualified — Free Game",'Game Records'!$K216=""),"Final Earned; ","")&amp;IF(AND(LOWER('Game Records'!$D216&amp;"")="finalized",'Game Records'!$U216&lt;&gt;"Subscription",'Game Records'!$U216&lt;&gt;"Free Game",'Game Records'!$U216&lt;&gt;"Disqualified — Free Game",OR('Game Records'!$L216="",LOWER('Game Records'!$L216&amp;"")="n/a")),"Disqualified Status; ",""))</x:f>
      </x:c>
      <x:c r="G216" s="331" t="str">
        <x:f>IF($A216="","",IFERROR('Game Records'!$M216,""))</x:f>
      </x:c>
    </x:row>
    <x:row r="217">
      <x:c r="A217" s="332" t="str">
        <x:f>IF(OR(COUNTA('Game Records'!$A217:$M217)=0,'Game Records'!$F217="Subscription"),"",IFERROR(MAX($A$4:A216),0)+1)</x:f>
      </x:c>
      <x:c r="B217" s="332" t="str">
        <x:f>IF($A217="","","G-"&amp;TEXT(ROW('Game Records'!$A217)-4,"0000"))</x:f>
      </x:c>
      <x:c r="C217" s="331" t="str">
        <x:f>IF($A217="","",IFERROR('Game Records'!$A217,""))</x:f>
      </x:c>
      <x:c r="D217" s="331" t="str">
        <x:f>IF($A217="","",IFERROR('Game Records'!$U217,""))</x:f>
      </x:c>
      <x:c r="E217" s="331" t="str">
        <x:f>IF($A217="","",IF($F217="","No Highlighted Fields","Highlighted Fields Present"))</x:f>
      </x:c>
      <x:c r="F217" s="331" t="str">
        <x:f>IF($A217="","",IF('Game Records'!$B217="","Start Date; ","")&amp;IF('Game Records'!$C217="","End Date; ","")&amp;IF(AND('Game Records'!$U217&lt;&gt;"Subscription",'Game Records'!$U217&lt;&gt;"Free Game",'Game Records'!$U217&lt;&gt;"Disqualified — Free Game",OR('Game Records'!$D217="",LOWER('Game Records'!$D217&amp;"")="n/a")),"Entry Mode; ","")&amp;IF(AND('Game Records'!$U217&lt;&gt;"Subscription",'Game Records'!$U217&lt;&gt;"Free Game",'Game Records'!$U217&lt;&gt;"Disqualified — Free Game",OR('Game Records'!$E217="",LOWER('Game Records'!$E217&amp;"")="n/a")),"Game Type; ","")&amp;IF('Game Records'!$F217="","Payment Type; ","")&amp;IF(AND('Game Records'!$U217&lt;&gt;"Subscription",'Game Records'!$U217&lt;&gt;"Free Game",'Game Records'!$U217&lt;&gt;"Disqualified — Free Game",'Game Records'!$G217=""),"Gross Pot; ","")&amp;IF(AND('Game Records'!$U217&lt;&gt;"Free Game",'Game Records'!$U217&lt;&gt;"Disqualified — Free Game",'Game Records'!$H217=""),"Entry Fee; ","")&amp;IF(AND('Game Records'!$U217&lt;&gt;"Subscription",'Game Records'!$U217&lt;&gt;"Free Game",'Game Records'!$U217&lt;&gt;"Disqualified — Free Game",'Game Records'!$I217=""),"Eligible Players; ","")&amp;IF(AND('Game Records'!$U217&lt;&gt;"Subscription",'Game Records'!$U217&lt;&gt;"Free Game",'Game Records'!$U217&lt;&gt;"Disqualified — Free Game",'Game Records'!$J217=""),"Total Players; ","")&amp;IF(AND(LOWER('Game Records'!$D217&amp;"")="finalized",LOWER('Game Records'!$L217&amp;"")&lt;&gt;"yes",'Game Records'!$U217&lt;&gt;"Subscription",'Game Records'!$U217&lt;&gt;"Free Game",'Game Records'!$U217&lt;&gt;"Disqualified — Free Game",'Game Records'!$K217=""),"Final Earned; ","")&amp;IF(AND(LOWER('Game Records'!$D217&amp;"")="finalized",'Game Records'!$U217&lt;&gt;"Subscription",'Game Records'!$U217&lt;&gt;"Free Game",'Game Records'!$U217&lt;&gt;"Disqualified — Free Game",OR('Game Records'!$L217="",LOWER('Game Records'!$L217&amp;"")="n/a")),"Disqualified Status; ",""))</x:f>
      </x:c>
      <x:c r="G217" s="331" t="str">
        <x:f>IF($A217="","",IFERROR('Game Records'!$M217,""))</x:f>
      </x:c>
    </x:row>
    <x:row r="218">
      <x:c r="A218" s="332" t="str">
        <x:f>IF(OR(COUNTA('Game Records'!$A218:$M218)=0,'Game Records'!$F218="Subscription"),"",IFERROR(MAX($A$4:A217),0)+1)</x:f>
      </x:c>
      <x:c r="B218" s="332" t="str">
        <x:f>IF($A218="","","G-"&amp;TEXT(ROW('Game Records'!$A218)-4,"0000"))</x:f>
      </x:c>
      <x:c r="C218" s="331" t="str">
        <x:f>IF($A218="","",IFERROR('Game Records'!$A218,""))</x:f>
      </x:c>
      <x:c r="D218" s="331" t="str">
        <x:f>IF($A218="","",IFERROR('Game Records'!$U218,""))</x:f>
      </x:c>
      <x:c r="E218" s="331" t="str">
        <x:f>IF($A218="","",IF($F218="","No Highlighted Fields","Highlighted Fields Present"))</x:f>
      </x:c>
      <x:c r="F218" s="331" t="str">
        <x:f>IF($A218="","",IF('Game Records'!$B218="","Start Date; ","")&amp;IF('Game Records'!$C218="","End Date; ","")&amp;IF(AND('Game Records'!$U218&lt;&gt;"Subscription",'Game Records'!$U218&lt;&gt;"Free Game",'Game Records'!$U218&lt;&gt;"Disqualified — Free Game",OR('Game Records'!$D218="",LOWER('Game Records'!$D218&amp;"")="n/a")),"Entry Mode; ","")&amp;IF(AND('Game Records'!$U218&lt;&gt;"Subscription",'Game Records'!$U218&lt;&gt;"Free Game",'Game Records'!$U218&lt;&gt;"Disqualified — Free Game",OR('Game Records'!$E218="",LOWER('Game Records'!$E218&amp;"")="n/a")),"Game Type; ","")&amp;IF('Game Records'!$F218="","Payment Type; ","")&amp;IF(AND('Game Records'!$U218&lt;&gt;"Subscription",'Game Records'!$U218&lt;&gt;"Free Game",'Game Records'!$U218&lt;&gt;"Disqualified — Free Game",'Game Records'!$G218=""),"Gross Pot; ","")&amp;IF(AND('Game Records'!$U218&lt;&gt;"Free Game",'Game Records'!$U218&lt;&gt;"Disqualified — Free Game",'Game Records'!$H218=""),"Entry Fee; ","")&amp;IF(AND('Game Records'!$U218&lt;&gt;"Subscription",'Game Records'!$U218&lt;&gt;"Free Game",'Game Records'!$U218&lt;&gt;"Disqualified — Free Game",'Game Records'!$I218=""),"Eligible Players; ","")&amp;IF(AND('Game Records'!$U218&lt;&gt;"Subscription",'Game Records'!$U218&lt;&gt;"Free Game",'Game Records'!$U218&lt;&gt;"Disqualified — Free Game",'Game Records'!$J218=""),"Total Players; ","")&amp;IF(AND(LOWER('Game Records'!$D218&amp;"")="finalized",LOWER('Game Records'!$L218&amp;"")&lt;&gt;"yes",'Game Records'!$U218&lt;&gt;"Subscription",'Game Records'!$U218&lt;&gt;"Free Game",'Game Records'!$U218&lt;&gt;"Disqualified — Free Game",'Game Records'!$K218=""),"Final Earned; ","")&amp;IF(AND(LOWER('Game Records'!$D218&amp;"")="finalized",'Game Records'!$U218&lt;&gt;"Subscription",'Game Records'!$U218&lt;&gt;"Free Game",'Game Records'!$U218&lt;&gt;"Disqualified — Free Game",OR('Game Records'!$L218="",LOWER('Game Records'!$L218&amp;"")="n/a")),"Disqualified Status; ",""))</x:f>
      </x:c>
      <x:c r="G218" s="331" t="str">
        <x:f>IF($A218="","",IFERROR('Game Records'!$M218,""))</x:f>
      </x:c>
    </x:row>
    <x:row r="219">
      <x:c r="A219" s="332" t="str">
        <x:f>IF(OR(COUNTA('Game Records'!$A219:$M219)=0,'Game Records'!$F219="Subscription"),"",IFERROR(MAX($A$4:A218),0)+1)</x:f>
      </x:c>
      <x:c r="B219" s="332" t="str">
        <x:f>IF($A219="","","G-"&amp;TEXT(ROW('Game Records'!$A219)-4,"0000"))</x:f>
      </x:c>
      <x:c r="C219" s="331" t="str">
        <x:f>IF($A219="","",IFERROR('Game Records'!$A219,""))</x:f>
      </x:c>
      <x:c r="D219" s="331" t="str">
        <x:f>IF($A219="","",IFERROR('Game Records'!$U219,""))</x:f>
      </x:c>
      <x:c r="E219" s="331" t="str">
        <x:f>IF($A219="","",IF($F219="","No Highlighted Fields","Highlighted Fields Present"))</x:f>
      </x:c>
      <x:c r="F219" s="331" t="str">
        <x:f>IF($A219="","",IF('Game Records'!$B219="","Start Date; ","")&amp;IF('Game Records'!$C219="","End Date; ","")&amp;IF(AND('Game Records'!$U219&lt;&gt;"Subscription",'Game Records'!$U219&lt;&gt;"Free Game",'Game Records'!$U219&lt;&gt;"Disqualified — Free Game",OR('Game Records'!$D219="",LOWER('Game Records'!$D219&amp;"")="n/a")),"Entry Mode; ","")&amp;IF(AND('Game Records'!$U219&lt;&gt;"Subscription",'Game Records'!$U219&lt;&gt;"Free Game",'Game Records'!$U219&lt;&gt;"Disqualified — Free Game",OR('Game Records'!$E219="",LOWER('Game Records'!$E219&amp;"")="n/a")),"Game Type; ","")&amp;IF('Game Records'!$F219="","Payment Type; ","")&amp;IF(AND('Game Records'!$U219&lt;&gt;"Subscription",'Game Records'!$U219&lt;&gt;"Free Game",'Game Records'!$U219&lt;&gt;"Disqualified — Free Game",'Game Records'!$G219=""),"Gross Pot; ","")&amp;IF(AND('Game Records'!$U219&lt;&gt;"Free Game",'Game Records'!$U219&lt;&gt;"Disqualified — Free Game",'Game Records'!$H219=""),"Entry Fee; ","")&amp;IF(AND('Game Records'!$U219&lt;&gt;"Subscription",'Game Records'!$U219&lt;&gt;"Free Game",'Game Records'!$U219&lt;&gt;"Disqualified — Free Game",'Game Records'!$I219=""),"Eligible Players; ","")&amp;IF(AND('Game Records'!$U219&lt;&gt;"Subscription",'Game Records'!$U219&lt;&gt;"Free Game",'Game Records'!$U219&lt;&gt;"Disqualified — Free Game",'Game Records'!$J219=""),"Total Players; ","")&amp;IF(AND(LOWER('Game Records'!$D219&amp;"")="finalized",LOWER('Game Records'!$L219&amp;"")&lt;&gt;"yes",'Game Records'!$U219&lt;&gt;"Subscription",'Game Records'!$U219&lt;&gt;"Free Game",'Game Records'!$U219&lt;&gt;"Disqualified — Free Game",'Game Records'!$K219=""),"Final Earned; ","")&amp;IF(AND(LOWER('Game Records'!$D219&amp;"")="finalized",'Game Records'!$U219&lt;&gt;"Subscription",'Game Records'!$U219&lt;&gt;"Free Game",'Game Records'!$U219&lt;&gt;"Disqualified — Free Game",OR('Game Records'!$L219="",LOWER('Game Records'!$L219&amp;"")="n/a")),"Disqualified Status; ",""))</x:f>
      </x:c>
      <x:c r="G219" s="331" t="str">
        <x:f>IF($A219="","",IFERROR('Game Records'!$M219,""))</x:f>
      </x:c>
    </x:row>
    <x:row r="220">
      <x:c r="A220" s="332" t="str">
        <x:f>IF(OR(COUNTA('Game Records'!$A220:$M220)=0,'Game Records'!$F220="Subscription"),"",IFERROR(MAX($A$4:A219),0)+1)</x:f>
      </x:c>
      <x:c r="B220" s="332" t="str">
        <x:f>IF($A220="","","G-"&amp;TEXT(ROW('Game Records'!$A220)-4,"0000"))</x:f>
      </x:c>
      <x:c r="C220" s="331" t="str">
        <x:f>IF($A220="","",IFERROR('Game Records'!$A220,""))</x:f>
      </x:c>
      <x:c r="D220" s="331" t="str">
        <x:f>IF($A220="","",IFERROR('Game Records'!$U220,""))</x:f>
      </x:c>
      <x:c r="E220" s="331" t="str">
        <x:f>IF($A220="","",IF($F220="","No Highlighted Fields","Highlighted Fields Present"))</x:f>
      </x:c>
      <x:c r="F220" s="331" t="str">
        <x:f>IF($A220="","",IF('Game Records'!$B220="","Start Date; ","")&amp;IF('Game Records'!$C220="","End Date; ","")&amp;IF(AND('Game Records'!$U220&lt;&gt;"Subscription",'Game Records'!$U220&lt;&gt;"Free Game",'Game Records'!$U220&lt;&gt;"Disqualified — Free Game",OR('Game Records'!$D220="",LOWER('Game Records'!$D220&amp;"")="n/a")),"Entry Mode; ","")&amp;IF(AND('Game Records'!$U220&lt;&gt;"Subscription",'Game Records'!$U220&lt;&gt;"Free Game",'Game Records'!$U220&lt;&gt;"Disqualified — Free Game",OR('Game Records'!$E220="",LOWER('Game Records'!$E220&amp;"")="n/a")),"Game Type; ","")&amp;IF('Game Records'!$F220="","Payment Type; ","")&amp;IF(AND('Game Records'!$U220&lt;&gt;"Subscription",'Game Records'!$U220&lt;&gt;"Free Game",'Game Records'!$U220&lt;&gt;"Disqualified — Free Game",'Game Records'!$G220=""),"Gross Pot; ","")&amp;IF(AND('Game Records'!$U220&lt;&gt;"Free Game",'Game Records'!$U220&lt;&gt;"Disqualified — Free Game",'Game Records'!$H220=""),"Entry Fee; ","")&amp;IF(AND('Game Records'!$U220&lt;&gt;"Subscription",'Game Records'!$U220&lt;&gt;"Free Game",'Game Records'!$U220&lt;&gt;"Disqualified — Free Game",'Game Records'!$I220=""),"Eligible Players; ","")&amp;IF(AND('Game Records'!$U220&lt;&gt;"Subscription",'Game Records'!$U220&lt;&gt;"Free Game",'Game Records'!$U220&lt;&gt;"Disqualified — Free Game",'Game Records'!$J220=""),"Total Players; ","")&amp;IF(AND(LOWER('Game Records'!$D220&amp;"")="finalized",LOWER('Game Records'!$L220&amp;"")&lt;&gt;"yes",'Game Records'!$U220&lt;&gt;"Subscription",'Game Records'!$U220&lt;&gt;"Free Game",'Game Records'!$U220&lt;&gt;"Disqualified — Free Game",'Game Records'!$K220=""),"Final Earned; ","")&amp;IF(AND(LOWER('Game Records'!$D220&amp;"")="finalized",'Game Records'!$U220&lt;&gt;"Subscription",'Game Records'!$U220&lt;&gt;"Free Game",'Game Records'!$U220&lt;&gt;"Disqualified — Free Game",OR('Game Records'!$L220="",LOWER('Game Records'!$L220&amp;"")="n/a")),"Disqualified Status; ",""))</x:f>
      </x:c>
      <x:c r="G220" s="331" t="str">
        <x:f>IF($A220="","",IFERROR('Game Records'!$M220,""))</x:f>
      </x:c>
    </x:row>
    <x:row r="221">
      <x:c r="A221" s="332" t="str">
        <x:f>IF(OR(COUNTA('Game Records'!$A221:$M221)=0,'Game Records'!$F221="Subscription"),"",IFERROR(MAX($A$4:A220),0)+1)</x:f>
      </x:c>
      <x:c r="B221" s="332" t="str">
        <x:f>IF($A221="","","G-"&amp;TEXT(ROW('Game Records'!$A221)-4,"0000"))</x:f>
      </x:c>
      <x:c r="C221" s="331" t="str">
        <x:f>IF($A221="","",IFERROR('Game Records'!$A221,""))</x:f>
      </x:c>
      <x:c r="D221" s="331" t="str">
        <x:f>IF($A221="","",IFERROR('Game Records'!$U221,""))</x:f>
      </x:c>
      <x:c r="E221" s="331" t="str">
        <x:f>IF($A221="","",IF($F221="","No Highlighted Fields","Highlighted Fields Present"))</x:f>
      </x:c>
      <x:c r="F221" s="331" t="str">
        <x:f>IF($A221="","",IF('Game Records'!$B221="","Start Date; ","")&amp;IF('Game Records'!$C221="","End Date; ","")&amp;IF(AND('Game Records'!$U221&lt;&gt;"Subscription",'Game Records'!$U221&lt;&gt;"Free Game",'Game Records'!$U221&lt;&gt;"Disqualified — Free Game",OR('Game Records'!$D221="",LOWER('Game Records'!$D221&amp;"")="n/a")),"Entry Mode; ","")&amp;IF(AND('Game Records'!$U221&lt;&gt;"Subscription",'Game Records'!$U221&lt;&gt;"Free Game",'Game Records'!$U221&lt;&gt;"Disqualified — Free Game",OR('Game Records'!$E221="",LOWER('Game Records'!$E221&amp;"")="n/a")),"Game Type; ","")&amp;IF('Game Records'!$F221="","Payment Type; ","")&amp;IF(AND('Game Records'!$U221&lt;&gt;"Subscription",'Game Records'!$U221&lt;&gt;"Free Game",'Game Records'!$U221&lt;&gt;"Disqualified — Free Game",'Game Records'!$G221=""),"Gross Pot; ","")&amp;IF(AND('Game Records'!$U221&lt;&gt;"Free Game",'Game Records'!$U221&lt;&gt;"Disqualified — Free Game",'Game Records'!$H221=""),"Entry Fee; ","")&amp;IF(AND('Game Records'!$U221&lt;&gt;"Subscription",'Game Records'!$U221&lt;&gt;"Free Game",'Game Records'!$U221&lt;&gt;"Disqualified — Free Game",'Game Records'!$I221=""),"Eligible Players; ","")&amp;IF(AND('Game Records'!$U221&lt;&gt;"Subscription",'Game Records'!$U221&lt;&gt;"Free Game",'Game Records'!$U221&lt;&gt;"Disqualified — Free Game",'Game Records'!$J221=""),"Total Players; ","")&amp;IF(AND(LOWER('Game Records'!$D221&amp;"")="finalized",LOWER('Game Records'!$L221&amp;"")&lt;&gt;"yes",'Game Records'!$U221&lt;&gt;"Subscription",'Game Records'!$U221&lt;&gt;"Free Game",'Game Records'!$U221&lt;&gt;"Disqualified — Free Game",'Game Records'!$K221=""),"Final Earned; ","")&amp;IF(AND(LOWER('Game Records'!$D221&amp;"")="finalized",'Game Records'!$U221&lt;&gt;"Subscription",'Game Records'!$U221&lt;&gt;"Free Game",'Game Records'!$U221&lt;&gt;"Disqualified — Free Game",OR('Game Records'!$L221="",LOWER('Game Records'!$L221&amp;"")="n/a")),"Disqualified Status; ",""))</x:f>
      </x:c>
      <x:c r="G221" s="331" t="str">
        <x:f>IF($A221="","",IFERROR('Game Records'!$M221,""))</x:f>
      </x:c>
    </x:row>
    <x:row r="222">
      <x:c r="A222" s="332" t="str">
        <x:f>IF(OR(COUNTA('Game Records'!$A222:$M222)=0,'Game Records'!$F222="Subscription"),"",IFERROR(MAX($A$4:A221),0)+1)</x:f>
      </x:c>
      <x:c r="B222" s="332" t="str">
        <x:f>IF($A222="","","G-"&amp;TEXT(ROW('Game Records'!$A222)-4,"0000"))</x:f>
      </x:c>
      <x:c r="C222" s="331" t="str">
        <x:f>IF($A222="","",IFERROR('Game Records'!$A222,""))</x:f>
      </x:c>
      <x:c r="D222" s="331" t="str">
        <x:f>IF($A222="","",IFERROR('Game Records'!$U222,""))</x:f>
      </x:c>
      <x:c r="E222" s="331" t="str">
        <x:f>IF($A222="","",IF($F222="","No Highlighted Fields","Highlighted Fields Present"))</x:f>
      </x:c>
      <x:c r="F222" s="331" t="str">
        <x:f>IF($A222="","",IF('Game Records'!$B222="","Start Date; ","")&amp;IF('Game Records'!$C222="","End Date; ","")&amp;IF(AND('Game Records'!$U222&lt;&gt;"Subscription",'Game Records'!$U222&lt;&gt;"Free Game",'Game Records'!$U222&lt;&gt;"Disqualified — Free Game",OR('Game Records'!$D222="",LOWER('Game Records'!$D222&amp;"")="n/a")),"Entry Mode; ","")&amp;IF(AND('Game Records'!$U222&lt;&gt;"Subscription",'Game Records'!$U222&lt;&gt;"Free Game",'Game Records'!$U222&lt;&gt;"Disqualified — Free Game",OR('Game Records'!$E222="",LOWER('Game Records'!$E222&amp;"")="n/a")),"Game Type; ","")&amp;IF('Game Records'!$F222="","Payment Type; ","")&amp;IF(AND('Game Records'!$U222&lt;&gt;"Subscription",'Game Records'!$U222&lt;&gt;"Free Game",'Game Records'!$U222&lt;&gt;"Disqualified — Free Game",'Game Records'!$G222=""),"Gross Pot; ","")&amp;IF(AND('Game Records'!$U222&lt;&gt;"Free Game",'Game Records'!$U222&lt;&gt;"Disqualified — Free Game",'Game Records'!$H222=""),"Entry Fee; ","")&amp;IF(AND('Game Records'!$U222&lt;&gt;"Subscription",'Game Records'!$U222&lt;&gt;"Free Game",'Game Records'!$U222&lt;&gt;"Disqualified — Free Game",'Game Records'!$I222=""),"Eligible Players; ","")&amp;IF(AND('Game Records'!$U222&lt;&gt;"Subscription",'Game Records'!$U222&lt;&gt;"Free Game",'Game Records'!$U222&lt;&gt;"Disqualified — Free Game",'Game Records'!$J222=""),"Total Players; ","")&amp;IF(AND(LOWER('Game Records'!$D222&amp;"")="finalized",LOWER('Game Records'!$L222&amp;"")&lt;&gt;"yes",'Game Records'!$U222&lt;&gt;"Subscription",'Game Records'!$U222&lt;&gt;"Free Game",'Game Records'!$U222&lt;&gt;"Disqualified — Free Game",'Game Records'!$K222=""),"Final Earned; ","")&amp;IF(AND(LOWER('Game Records'!$D222&amp;"")="finalized",'Game Records'!$U222&lt;&gt;"Subscription",'Game Records'!$U222&lt;&gt;"Free Game",'Game Records'!$U222&lt;&gt;"Disqualified — Free Game",OR('Game Records'!$L222="",LOWER('Game Records'!$L222&amp;"")="n/a")),"Disqualified Status; ",""))</x:f>
      </x:c>
      <x:c r="G222" s="331" t="str">
        <x:f>IF($A222="","",IFERROR('Game Records'!$M222,""))</x:f>
      </x:c>
    </x:row>
    <x:row r="223">
      <x:c r="A223" s="332" t="str">
        <x:f>IF(OR(COUNTA('Game Records'!$A223:$M223)=0,'Game Records'!$F223="Subscription"),"",IFERROR(MAX($A$4:A222),0)+1)</x:f>
      </x:c>
      <x:c r="B223" s="332" t="str">
        <x:f>IF($A223="","","G-"&amp;TEXT(ROW('Game Records'!$A223)-4,"0000"))</x:f>
      </x:c>
      <x:c r="C223" s="331" t="str">
        <x:f>IF($A223="","",IFERROR('Game Records'!$A223,""))</x:f>
      </x:c>
      <x:c r="D223" s="331" t="str">
        <x:f>IF($A223="","",IFERROR('Game Records'!$U223,""))</x:f>
      </x:c>
      <x:c r="E223" s="331" t="str">
        <x:f>IF($A223="","",IF($F223="","No Highlighted Fields","Highlighted Fields Present"))</x:f>
      </x:c>
      <x:c r="F223" s="331" t="str">
        <x:f>IF($A223="","",IF('Game Records'!$B223="","Start Date; ","")&amp;IF('Game Records'!$C223="","End Date; ","")&amp;IF(AND('Game Records'!$U223&lt;&gt;"Subscription",'Game Records'!$U223&lt;&gt;"Free Game",'Game Records'!$U223&lt;&gt;"Disqualified — Free Game",OR('Game Records'!$D223="",LOWER('Game Records'!$D223&amp;"")="n/a")),"Entry Mode; ","")&amp;IF(AND('Game Records'!$U223&lt;&gt;"Subscription",'Game Records'!$U223&lt;&gt;"Free Game",'Game Records'!$U223&lt;&gt;"Disqualified — Free Game",OR('Game Records'!$E223="",LOWER('Game Records'!$E223&amp;"")="n/a")),"Game Type; ","")&amp;IF('Game Records'!$F223="","Payment Type; ","")&amp;IF(AND('Game Records'!$U223&lt;&gt;"Subscription",'Game Records'!$U223&lt;&gt;"Free Game",'Game Records'!$U223&lt;&gt;"Disqualified — Free Game",'Game Records'!$G223=""),"Gross Pot; ","")&amp;IF(AND('Game Records'!$U223&lt;&gt;"Free Game",'Game Records'!$U223&lt;&gt;"Disqualified — Free Game",'Game Records'!$H223=""),"Entry Fee; ","")&amp;IF(AND('Game Records'!$U223&lt;&gt;"Subscription",'Game Records'!$U223&lt;&gt;"Free Game",'Game Records'!$U223&lt;&gt;"Disqualified — Free Game",'Game Records'!$I223=""),"Eligible Players; ","")&amp;IF(AND('Game Records'!$U223&lt;&gt;"Subscription",'Game Records'!$U223&lt;&gt;"Free Game",'Game Records'!$U223&lt;&gt;"Disqualified — Free Game",'Game Records'!$J223=""),"Total Players; ","")&amp;IF(AND(LOWER('Game Records'!$D223&amp;"")="finalized",LOWER('Game Records'!$L223&amp;"")&lt;&gt;"yes",'Game Records'!$U223&lt;&gt;"Subscription",'Game Records'!$U223&lt;&gt;"Free Game",'Game Records'!$U223&lt;&gt;"Disqualified — Free Game",'Game Records'!$K223=""),"Final Earned; ","")&amp;IF(AND(LOWER('Game Records'!$D223&amp;"")="finalized",'Game Records'!$U223&lt;&gt;"Subscription",'Game Records'!$U223&lt;&gt;"Free Game",'Game Records'!$U223&lt;&gt;"Disqualified — Free Game",OR('Game Records'!$L223="",LOWER('Game Records'!$L223&amp;"")="n/a")),"Disqualified Status; ",""))</x:f>
      </x:c>
      <x:c r="G223" s="331" t="str">
        <x:f>IF($A223="","",IFERROR('Game Records'!$M223,""))</x:f>
      </x:c>
    </x:row>
    <x:row r="224">
      <x:c r="A224" s="332" t="str">
        <x:f>IF(OR(COUNTA('Game Records'!$A224:$M224)=0,'Game Records'!$F224="Subscription"),"",IFERROR(MAX($A$4:A223),0)+1)</x:f>
      </x:c>
      <x:c r="B224" s="332" t="str">
        <x:f>IF($A224="","","G-"&amp;TEXT(ROW('Game Records'!$A224)-4,"0000"))</x:f>
      </x:c>
      <x:c r="C224" s="331" t="str">
        <x:f>IF($A224="","",IFERROR('Game Records'!$A224,""))</x:f>
      </x:c>
      <x:c r="D224" s="331" t="str">
        <x:f>IF($A224="","",IFERROR('Game Records'!$U224,""))</x:f>
      </x:c>
      <x:c r="E224" s="331" t="str">
        <x:f>IF($A224="","",IF($F224="","No Highlighted Fields","Highlighted Fields Present"))</x:f>
      </x:c>
      <x:c r="F224" s="331" t="str">
        <x:f>IF($A224="","",IF('Game Records'!$B224="","Start Date; ","")&amp;IF('Game Records'!$C224="","End Date; ","")&amp;IF(AND('Game Records'!$U224&lt;&gt;"Subscription",'Game Records'!$U224&lt;&gt;"Free Game",'Game Records'!$U224&lt;&gt;"Disqualified — Free Game",OR('Game Records'!$D224="",LOWER('Game Records'!$D224&amp;"")="n/a")),"Entry Mode; ","")&amp;IF(AND('Game Records'!$U224&lt;&gt;"Subscription",'Game Records'!$U224&lt;&gt;"Free Game",'Game Records'!$U224&lt;&gt;"Disqualified — Free Game",OR('Game Records'!$E224="",LOWER('Game Records'!$E224&amp;"")="n/a")),"Game Type; ","")&amp;IF('Game Records'!$F224="","Payment Type; ","")&amp;IF(AND('Game Records'!$U224&lt;&gt;"Subscription",'Game Records'!$U224&lt;&gt;"Free Game",'Game Records'!$U224&lt;&gt;"Disqualified — Free Game",'Game Records'!$G224=""),"Gross Pot; ","")&amp;IF(AND('Game Records'!$U224&lt;&gt;"Free Game",'Game Records'!$U224&lt;&gt;"Disqualified — Free Game",'Game Records'!$H224=""),"Entry Fee; ","")&amp;IF(AND('Game Records'!$U224&lt;&gt;"Subscription",'Game Records'!$U224&lt;&gt;"Free Game",'Game Records'!$U224&lt;&gt;"Disqualified — Free Game",'Game Records'!$I224=""),"Eligible Players; ","")&amp;IF(AND('Game Records'!$U224&lt;&gt;"Subscription",'Game Records'!$U224&lt;&gt;"Free Game",'Game Records'!$U224&lt;&gt;"Disqualified — Free Game",'Game Records'!$J224=""),"Total Players; ","")&amp;IF(AND(LOWER('Game Records'!$D224&amp;"")="finalized",LOWER('Game Records'!$L224&amp;"")&lt;&gt;"yes",'Game Records'!$U224&lt;&gt;"Subscription",'Game Records'!$U224&lt;&gt;"Free Game",'Game Records'!$U224&lt;&gt;"Disqualified — Free Game",'Game Records'!$K224=""),"Final Earned; ","")&amp;IF(AND(LOWER('Game Records'!$D224&amp;"")="finalized",'Game Records'!$U224&lt;&gt;"Subscription",'Game Records'!$U224&lt;&gt;"Free Game",'Game Records'!$U224&lt;&gt;"Disqualified — Free Game",OR('Game Records'!$L224="",LOWER('Game Records'!$L224&amp;"")="n/a")),"Disqualified Status; ",""))</x:f>
      </x:c>
      <x:c r="G224" s="331" t="str">
        <x:f>IF($A224="","",IFERROR('Game Records'!$M224,""))</x:f>
      </x:c>
    </x:row>
    <x:row r="225">
      <x:c r="A225" s="332" t="str">
        <x:f>IF(OR(COUNTA('Game Records'!$A225:$M225)=0,'Game Records'!$F225="Subscription"),"",IFERROR(MAX($A$4:A224),0)+1)</x:f>
      </x:c>
      <x:c r="B225" s="332" t="str">
        <x:f>IF($A225="","","G-"&amp;TEXT(ROW('Game Records'!$A225)-4,"0000"))</x:f>
      </x:c>
      <x:c r="C225" s="331" t="str">
        <x:f>IF($A225="","",IFERROR('Game Records'!$A225,""))</x:f>
      </x:c>
      <x:c r="D225" s="331" t="str">
        <x:f>IF($A225="","",IFERROR('Game Records'!$U225,""))</x:f>
      </x:c>
      <x:c r="E225" s="331" t="str">
        <x:f>IF($A225="","",IF($F225="","No Highlighted Fields","Highlighted Fields Present"))</x:f>
      </x:c>
      <x:c r="F225" s="331" t="str">
        <x:f>IF($A225="","",IF('Game Records'!$B225="","Start Date; ","")&amp;IF('Game Records'!$C225="","End Date; ","")&amp;IF(AND('Game Records'!$U225&lt;&gt;"Subscription",'Game Records'!$U225&lt;&gt;"Free Game",'Game Records'!$U225&lt;&gt;"Disqualified — Free Game",OR('Game Records'!$D225="",LOWER('Game Records'!$D225&amp;"")="n/a")),"Entry Mode; ","")&amp;IF(AND('Game Records'!$U225&lt;&gt;"Subscription",'Game Records'!$U225&lt;&gt;"Free Game",'Game Records'!$U225&lt;&gt;"Disqualified — Free Game",OR('Game Records'!$E225="",LOWER('Game Records'!$E225&amp;"")="n/a")),"Game Type; ","")&amp;IF('Game Records'!$F225="","Payment Type; ","")&amp;IF(AND('Game Records'!$U225&lt;&gt;"Subscription",'Game Records'!$U225&lt;&gt;"Free Game",'Game Records'!$U225&lt;&gt;"Disqualified — Free Game",'Game Records'!$G225=""),"Gross Pot; ","")&amp;IF(AND('Game Records'!$U225&lt;&gt;"Free Game",'Game Records'!$U225&lt;&gt;"Disqualified — Free Game",'Game Records'!$H225=""),"Entry Fee; ","")&amp;IF(AND('Game Records'!$U225&lt;&gt;"Subscription",'Game Records'!$U225&lt;&gt;"Free Game",'Game Records'!$U225&lt;&gt;"Disqualified — Free Game",'Game Records'!$I225=""),"Eligible Players; ","")&amp;IF(AND('Game Records'!$U225&lt;&gt;"Subscription",'Game Records'!$U225&lt;&gt;"Free Game",'Game Records'!$U225&lt;&gt;"Disqualified — Free Game",'Game Records'!$J225=""),"Total Players; ","")&amp;IF(AND(LOWER('Game Records'!$D225&amp;"")="finalized",LOWER('Game Records'!$L225&amp;"")&lt;&gt;"yes",'Game Records'!$U225&lt;&gt;"Subscription",'Game Records'!$U225&lt;&gt;"Free Game",'Game Records'!$U225&lt;&gt;"Disqualified — Free Game",'Game Records'!$K225=""),"Final Earned; ","")&amp;IF(AND(LOWER('Game Records'!$D225&amp;"")="finalized",'Game Records'!$U225&lt;&gt;"Subscription",'Game Records'!$U225&lt;&gt;"Free Game",'Game Records'!$U225&lt;&gt;"Disqualified — Free Game",OR('Game Records'!$L225="",LOWER('Game Records'!$L225&amp;"")="n/a")),"Disqualified Status; ",""))</x:f>
      </x:c>
      <x:c r="G225" s="331" t="str">
        <x:f>IF($A225="","",IFERROR('Game Records'!$M225,""))</x:f>
      </x:c>
    </x:row>
    <x:row r="226">
      <x:c r="A226" s="332" t="str">
        <x:f>IF(OR(COUNTA('Game Records'!$A226:$M226)=0,'Game Records'!$F226="Subscription"),"",IFERROR(MAX($A$4:A225),0)+1)</x:f>
      </x:c>
      <x:c r="B226" s="332" t="str">
        <x:f>IF($A226="","","G-"&amp;TEXT(ROW('Game Records'!$A226)-4,"0000"))</x:f>
      </x:c>
      <x:c r="C226" s="331" t="str">
        <x:f>IF($A226="","",IFERROR('Game Records'!$A226,""))</x:f>
      </x:c>
      <x:c r="D226" s="331" t="str">
        <x:f>IF($A226="","",IFERROR('Game Records'!$U226,""))</x:f>
      </x:c>
      <x:c r="E226" s="331" t="str">
        <x:f>IF($A226="","",IF($F226="","No Highlighted Fields","Highlighted Fields Present"))</x:f>
      </x:c>
      <x:c r="F226" s="331" t="str">
        <x:f>IF($A226="","",IF('Game Records'!$B226="","Start Date; ","")&amp;IF('Game Records'!$C226="","End Date; ","")&amp;IF(AND('Game Records'!$U226&lt;&gt;"Subscription",'Game Records'!$U226&lt;&gt;"Free Game",'Game Records'!$U226&lt;&gt;"Disqualified — Free Game",OR('Game Records'!$D226="",LOWER('Game Records'!$D226&amp;"")="n/a")),"Entry Mode; ","")&amp;IF(AND('Game Records'!$U226&lt;&gt;"Subscription",'Game Records'!$U226&lt;&gt;"Free Game",'Game Records'!$U226&lt;&gt;"Disqualified — Free Game",OR('Game Records'!$E226="",LOWER('Game Records'!$E226&amp;"")="n/a")),"Game Type; ","")&amp;IF('Game Records'!$F226="","Payment Type; ","")&amp;IF(AND('Game Records'!$U226&lt;&gt;"Subscription",'Game Records'!$U226&lt;&gt;"Free Game",'Game Records'!$U226&lt;&gt;"Disqualified — Free Game",'Game Records'!$G226=""),"Gross Pot; ","")&amp;IF(AND('Game Records'!$U226&lt;&gt;"Free Game",'Game Records'!$U226&lt;&gt;"Disqualified — Free Game",'Game Records'!$H226=""),"Entry Fee; ","")&amp;IF(AND('Game Records'!$U226&lt;&gt;"Subscription",'Game Records'!$U226&lt;&gt;"Free Game",'Game Records'!$U226&lt;&gt;"Disqualified — Free Game",'Game Records'!$I226=""),"Eligible Players; ","")&amp;IF(AND('Game Records'!$U226&lt;&gt;"Subscription",'Game Records'!$U226&lt;&gt;"Free Game",'Game Records'!$U226&lt;&gt;"Disqualified — Free Game",'Game Records'!$J226=""),"Total Players; ","")&amp;IF(AND(LOWER('Game Records'!$D226&amp;"")="finalized",LOWER('Game Records'!$L226&amp;"")&lt;&gt;"yes",'Game Records'!$U226&lt;&gt;"Subscription",'Game Records'!$U226&lt;&gt;"Free Game",'Game Records'!$U226&lt;&gt;"Disqualified — Free Game",'Game Records'!$K226=""),"Final Earned; ","")&amp;IF(AND(LOWER('Game Records'!$D226&amp;"")="finalized",'Game Records'!$U226&lt;&gt;"Subscription",'Game Records'!$U226&lt;&gt;"Free Game",'Game Records'!$U226&lt;&gt;"Disqualified — Free Game",OR('Game Records'!$L226="",LOWER('Game Records'!$L226&amp;"")="n/a")),"Disqualified Status; ",""))</x:f>
      </x:c>
      <x:c r="G226" s="331" t="str">
        <x:f>IF($A226="","",IFERROR('Game Records'!$M226,""))</x:f>
      </x:c>
    </x:row>
    <x:row r="227">
      <x:c r="A227" s="332" t="str">
        <x:f>IF(OR(COUNTA('Game Records'!$A227:$M227)=0,'Game Records'!$F227="Subscription"),"",IFERROR(MAX($A$4:A226),0)+1)</x:f>
      </x:c>
      <x:c r="B227" s="332" t="str">
        <x:f>IF($A227="","","G-"&amp;TEXT(ROW('Game Records'!$A227)-4,"0000"))</x:f>
      </x:c>
      <x:c r="C227" s="331" t="str">
        <x:f>IF($A227="","",IFERROR('Game Records'!$A227,""))</x:f>
      </x:c>
      <x:c r="D227" s="331" t="str">
        <x:f>IF($A227="","",IFERROR('Game Records'!$U227,""))</x:f>
      </x:c>
      <x:c r="E227" s="331" t="str">
        <x:f>IF($A227="","",IF($F227="","No Highlighted Fields","Highlighted Fields Present"))</x:f>
      </x:c>
      <x:c r="F227" s="331" t="str">
        <x:f>IF($A227="","",IF('Game Records'!$B227="","Start Date; ","")&amp;IF('Game Records'!$C227="","End Date; ","")&amp;IF(AND('Game Records'!$U227&lt;&gt;"Subscription",'Game Records'!$U227&lt;&gt;"Free Game",'Game Records'!$U227&lt;&gt;"Disqualified — Free Game",OR('Game Records'!$D227="",LOWER('Game Records'!$D227&amp;"")="n/a")),"Entry Mode; ","")&amp;IF(AND('Game Records'!$U227&lt;&gt;"Subscription",'Game Records'!$U227&lt;&gt;"Free Game",'Game Records'!$U227&lt;&gt;"Disqualified — Free Game",OR('Game Records'!$E227="",LOWER('Game Records'!$E227&amp;"")="n/a")),"Game Type; ","")&amp;IF('Game Records'!$F227="","Payment Type; ","")&amp;IF(AND('Game Records'!$U227&lt;&gt;"Subscription",'Game Records'!$U227&lt;&gt;"Free Game",'Game Records'!$U227&lt;&gt;"Disqualified — Free Game",'Game Records'!$G227=""),"Gross Pot; ","")&amp;IF(AND('Game Records'!$U227&lt;&gt;"Free Game",'Game Records'!$U227&lt;&gt;"Disqualified — Free Game",'Game Records'!$H227=""),"Entry Fee; ","")&amp;IF(AND('Game Records'!$U227&lt;&gt;"Subscription",'Game Records'!$U227&lt;&gt;"Free Game",'Game Records'!$U227&lt;&gt;"Disqualified — Free Game",'Game Records'!$I227=""),"Eligible Players; ","")&amp;IF(AND('Game Records'!$U227&lt;&gt;"Subscription",'Game Records'!$U227&lt;&gt;"Free Game",'Game Records'!$U227&lt;&gt;"Disqualified — Free Game",'Game Records'!$J227=""),"Total Players; ","")&amp;IF(AND(LOWER('Game Records'!$D227&amp;"")="finalized",LOWER('Game Records'!$L227&amp;"")&lt;&gt;"yes",'Game Records'!$U227&lt;&gt;"Subscription",'Game Records'!$U227&lt;&gt;"Free Game",'Game Records'!$U227&lt;&gt;"Disqualified — Free Game",'Game Records'!$K227=""),"Final Earned; ","")&amp;IF(AND(LOWER('Game Records'!$D227&amp;"")="finalized",'Game Records'!$U227&lt;&gt;"Subscription",'Game Records'!$U227&lt;&gt;"Free Game",'Game Records'!$U227&lt;&gt;"Disqualified — Free Game",OR('Game Records'!$L227="",LOWER('Game Records'!$L227&amp;"")="n/a")),"Disqualified Status; ",""))</x:f>
      </x:c>
      <x:c r="G227" s="331" t="str">
        <x:f>IF($A227="","",IFERROR('Game Records'!$M227,""))</x:f>
      </x:c>
    </x:row>
    <x:row r="228">
      <x:c r="A228" s="332" t="str">
        <x:f>IF(OR(COUNTA('Game Records'!$A228:$M228)=0,'Game Records'!$F228="Subscription"),"",IFERROR(MAX($A$4:A227),0)+1)</x:f>
      </x:c>
      <x:c r="B228" s="332" t="str">
        <x:f>IF($A228="","","G-"&amp;TEXT(ROW('Game Records'!$A228)-4,"0000"))</x:f>
      </x:c>
      <x:c r="C228" s="331" t="str">
        <x:f>IF($A228="","",IFERROR('Game Records'!$A228,""))</x:f>
      </x:c>
      <x:c r="D228" s="331" t="str">
        <x:f>IF($A228="","",IFERROR('Game Records'!$U228,""))</x:f>
      </x:c>
      <x:c r="E228" s="331" t="str">
        <x:f>IF($A228="","",IF($F228="","No Highlighted Fields","Highlighted Fields Present"))</x:f>
      </x:c>
      <x:c r="F228" s="331" t="str">
        <x:f>IF($A228="","",IF('Game Records'!$B228="","Start Date; ","")&amp;IF('Game Records'!$C228="","End Date; ","")&amp;IF(AND('Game Records'!$U228&lt;&gt;"Subscription",'Game Records'!$U228&lt;&gt;"Free Game",'Game Records'!$U228&lt;&gt;"Disqualified — Free Game",OR('Game Records'!$D228="",LOWER('Game Records'!$D228&amp;"")="n/a")),"Entry Mode; ","")&amp;IF(AND('Game Records'!$U228&lt;&gt;"Subscription",'Game Records'!$U228&lt;&gt;"Free Game",'Game Records'!$U228&lt;&gt;"Disqualified — Free Game",OR('Game Records'!$E228="",LOWER('Game Records'!$E228&amp;"")="n/a")),"Game Type; ","")&amp;IF('Game Records'!$F228="","Payment Type; ","")&amp;IF(AND('Game Records'!$U228&lt;&gt;"Subscription",'Game Records'!$U228&lt;&gt;"Free Game",'Game Records'!$U228&lt;&gt;"Disqualified — Free Game",'Game Records'!$G228=""),"Gross Pot; ","")&amp;IF(AND('Game Records'!$U228&lt;&gt;"Free Game",'Game Records'!$U228&lt;&gt;"Disqualified — Free Game",'Game Records'!$H228=""),"Entry Fee; ","")&amp;IF(AND('Game Records'!$U228&lt;&gt;"Subscription",'Game Records'!$U228&lt;&gt;"Free Game",'Game Records'!$U228&lt;&gt;"Disqualified — Free Game",'Game Records'!$I228=""),"Eligible Players; ","")&amp;IF(AND('Game Records'!$U228&lt;&gt;"Subscription",'Game Records'!$U228&lt;&gt;"Free Game",'Game Records'!$U228&lt;&gt;"Disqualified — Free Game",'Game Records'!$J228=""),"Total Players; ","")&amp;IF(AND(LOWER('Game Records'!$D228&amp;"")="finalized",LOWER('Game Records'!$L228&amp;"")&lt;&gt;"yes",'Game Records'!$U228&lt;&gt;"Subscription",'Game Records'!$U228&lt;&gt;"Free Game",'Game Records'!$U228&lt;&gt;"Disqualified — Free Game",'Game Records'!$K228=""),"Final Earned; ","")&amp;IF(AND(LOWER('Game Records'!$D228&amp;"")="finalized",'Game Records'!$U228&lt;&gt;"Subscription",'Game Records'!$U228&lt;&gt;"Free Game",'Game Records'!$U228&lt;&gt;"Disqualified — Free Game",OR('Game Records'!$L228="",LOWER('Game Records'!$L228&amp;"")="n/a")),"Disqualified Status; ",""))</x:f>
      </x:c>
      <x:c r="G228" s="331" t="str">
        <x:f>IF($A228="","",IFERROR('Game Records'!$M228,""))</x:f>
      </x:c>
    </x:row>
    <x:row r="229">
      <x:c r="A229" s="332" t="str">
        <x:f>IF(OR(COUNTA('Game Records'!$A229:$M229)=0,'Game Records'!$F229="Subscription"),"",IFERROR(MAX($A$4:A228),0)+1)</x:f>
      </x:c>
      <x:c r="B229" s="332" t="str">
        <x:f>IF($A229="","","G-"&amp;TEXT(ROW('Game Records'!$A229)-4,"0000"))</x:f>
      </x:c>
      <x:c r="C229" s="331" t="str">
        <x:f>IF($A229="","",IFERROR('Game Records'!$A229,""))</x:f>
      </x:c>
      <x:c r="D229" s="331" t="str">
        <x:f>IF($A229="","",IFERROR('Game Records'!$U229,""))</x:f>
      </x:c>
      <x:c r="E229" s="331" t="str">
        <x:f>IF($A229="","",IF($F229="","No Highlighted Fields","Highlighted Fields Present"))</x:f>
      </x:c>
      <x:c r="F229" s="331" t="str">
        <x:f>IF($A229="","",IF('Game Records'!$B229="","Start Date; ","")&amp;IF('Game Records'!$C229="","End Date; ","")&amp;IF(AND('Game Records'!$U229&lt;&gt;"Subscription",'Game Records'!$U229&lt;&gt;"Free Game",'Game Records'!$U229&lt;&gt;"Disqualified — Free Game",OR('Game Records'!$D229="",LOWER('Game Records'!$D229&amp;"")="n/a")),"Entry Mode; ","")&amp;IF(AND('Game Records'!$U229&lt;&gt;"Subscription",'Game Records'!$U229&lt;&gt;"Free Game",'Game Records'!$U229&lt;&gt;"Disqualified — Free Game",OR('Game Records'!$E229="",LOWER('Game Records'!$E229&amp;"")="n/a")),"Game Type; ","")&amp;IF('Game Records'!$F229="","Payment Type; ","")&amp;IF(AND('Game Records'!$U229&lt;&gt;"Subscription",'Game Records'!$U229&lt;&gt;"Free Game",'Game Records'!$U229&lt;&gt;"Disqualified — Free Game",'Game Records'!$G229=""),"Gross Pot; ","")&amp;IF(AND('Game Records'!$U229&lt;&gt;"Free Game",'Game Records'!$U229&lt;&gt;"Disqualified — Free Game",'Game Records'!$H229=""),"Entry Fee; ","")&amp;IF(AND('Game Records'!$U229&lt;&gt;"Subscription",'Game Records'!$U229&lt;&gt;"Free Game",'Game Records'!$U229&lt;&gt;"Disqualified — Free Game",'Game Records'!$I229=""),"Eligible Players; ","")&amp;IF(AND('Game Records'!$U229&lt;&gt;"Subscription",'Game Records'!$U229&lt;&gt;"Free Game",'Game Records'!$U229&lt;&gt;"Disqualified — Free Game",'Game Records'!$J229=""),"Total Players; ","")&amp;IF(AND(LOWER('Game Records'!$D229&amp;"")="finalized",LOWER('Game Records'!$L229&amp;"")&lt;&gt;"yes",'Game Records'!$U229&lt;&gt;"Subscription",'Game Records'!$U229&lt;&gt;"Free Game",'Game Records'!$U229&lt;&gt;"Disqualified — Free Game",'Game Records'!$K229=""),"Final Earned; ","")&amp;IF(AND(LOWER('Game Records'!$D229&amp;"")="finalized",'Game Records'!$U229&lt;&gt;"Subscription",'Game Records'!$U229&lt;&gt;"Free Game",'Game Records'!$U229&lt;&gt;"Disqualified — Free Game",OR('Game Records'!$L229="",LOWER('Game Records'!$L229&amp;"")="n/a")),"Disqualified Status; ",""))</x:f>
      </x:c>
      <x:c r="G229" s="331" t="str">
        <x:f>IF($A229="","",IFERROR('Game Records'!$M229,""))</x:f>
      </x:c>
    </x:row>
    <x:row r="230">
      <x:c r="A230" s="332" t="str">
        <x:f>IF(OR(COUNTA('Game Records'!$A230:$M230)=0,'Game Records'!$F230="Subscription"),"",IFERROR(MAX($A$4:A229),0)+1)</x:f>
      </x:c>
      <x:c r="B230" s="332" t="str">
        <x:f>IF($A230="","","G-"&amp;TEXT(ROW('Game Records'!$A230)-4,"0000"))</x:f>
      </x:c>
      <x:c r="C230" s="331" t="str">
        <x:f>IF($A230="","",IFERROR('Game Records'!$A230,""))</x:f>
      </x:c>
      <x:c r="D230" s="331" t="str">
        <x:f>IF($A230="","",IFERROR('Game Records'!$U230,""))</x:f>
      </x:c>
      <x:c r="E230" s="331" t="str">
        <x:f>IF($A230="","",IF($F230="","No Highlighted Fields","Highlighted Fields Present"))</x:f>
      </x:c>
      <x:c r="F230" s="331" t="str">
        <x:f>IF($A230="","",IF('Game Records'!$B230="","Start Date; ","")&amp;IF('Game Records'!$C230="","End Date; ","")&amp;IF(AND('Game Records'!$U230&lt;&gt;"Subscription",'Game Records'!$U230&lt;&gt;"Free Game",'Game Records'!$U230&lt;&gt;"Disqualified — Free Game",OR('Game Records'!$D230="",LOWER('Game Records'!$D230&amp;"")="n/a")),"Entry Mode; ","")&amp;IF(AND('Game Records'!$U230&lt;&gt;"Subscription",'Game Records'!$U230&lt;&gt;"Free Game",'Game Records'!$U230&lt;&gt;"Disqualified — Free Game",OR('Game Records'!$E230="",LOWER('Game Records'!$E230&amp;"")="n/a")),"Game Type; ","")&amp;IF('Game Records'!$F230="","Payment Type; ","")&amp;IF(AND('Game Records'!$U230&lt;&gt;"Subscription",'Game Records'!$U230&lt;&gt;"Free Game",'Game Records'!$U230&lt;&gt;"Disqualified — Free Game",'Game Records'!$G230=""),"Gross Pot; ","")&amp;IF(AND('Game Records'!$U230&lt;&gt;"Free Game",'Game Records'!$U230&lt;&gt;"Disqualified — Free Game",'Game Records'!$H230=""),"Entry Fee; ","")&amp;IF(AND('Game Records'!$U230&lt;&gt;"Subscription",'Game Records'!$U230&lt;&gt;"Free Game",'Game Records'!$U230&lt;&gt;"Disqualified — Free Game",'Game Records'!$I230=""),"Eligible Players; ","")&amp;IF(AND('Game Records'!$U230&lt;&gt;"Subscription",'Game Records'!$U230&lt;&gt;"Free Game",'Game Records'!$U230&lt;&gt;"Disqualified — Free Game",'Game Records'!$J230=""),"Total Players; ","")&amp;IF(AND(LOWER('Game Records'!$D230&amp;"")="finalized",LOWER('Game Records'!$L230&amp;"")&lt;&gt;"yes",'Game Records'!$U230&lt;&gt;"Subscription",'Game Records'!$U230&lt;&gt;"Free Game",'Game Records'!$U230&lt;&gt;"Disqualified — Free Game",'Game Records'!$K230=""),"Final Earned; ","")&amp;IF(AND(LOWER('Game Records'!$D230&amp;"")="finalized",'Game Records'!$U230&lt;&gt;"Subscription",'Game Records'!$U230&lt;&gt;"Free Game",'Game Records'!$U230&lt;&gt;"Disqualified — Free Game",OR('Game Records'!$L230="",LOWER('Game Records'!$L230&amp;"")="n/a")),"Disqualified Status; ",""))</x:f>
      </x:c>
      <x:c r="G230" s="331" t="str">
        <x:f>IF($A230="","",IFERROR('Game Records'!$M230,""))</x:f>
      </x:c>
    </x:row>
    <x:row r="231">
      <x:c r="A231" s="332" t="str">
        <x:f>IF(OR(COUNTA('Game Records'!$A231:$M231)=0,'Game Records'!$F231="Subscription"),"",IFERROR(MAX($A$4:A230),0)+1)</x:f>
      </x:c>
      <x:c r="B231" s="332" t="str">
        <x:f>IF($A231="","","G-"&amp;TEXT(ROW('Game Records'!$A231)-4,"0000"))</x:f>
      </x:c>
      <x:c r="C231" s="331" t="str">
        <x:f>IF($A231="","",IFERROR('Game Records'!$A231,""))</x:f>
      </x:c>
      <x:c r="D231" s="331" t="str">
        <x:f>IF($A231="","",IFERROR('Game Records'!$U231,""))</x:f>
      </x:c>
      <x:c r="E231" s="331" t="str">
        <x:f>IF($A231="","",IF($F231="","No Highlighted Fields","Highlighted Fields Present"))</x:f>
      </x:c>
      <x:c r="F231" s="331" t="str">
        <x:f>IF($A231="","",IF('Game Records'!$B231="","Start Date; ","")&amp;IF('Game Records'!$C231="","End Date; ","")&amp;IF(AND('Game Records'!$U231&lt;&gt;"Subscription",'Game Records'!$U231&lt;&gt;"Free Game",'Game Records'!$U231&lt;&gt;"Disqualified — Free Game",OR('Game Records'!$D231="",LOWER('Game Records'!$D231&amp;"")="n/a")),"Entry Mode; ","")&amp;IF(AND('Game Records'!$U231&lt;&gt;"Subscription",'Game Records'!$U231&lt;&gt;"Free Game",'Game Records'!$U231&lt;&gt;"Disqualified — Free Game",OR('Game Records'!$E231="",LOWER('Game Records'!$E231&amp;"")="n/a")),"Game Type; ","")&amp;IF('Game Records'!$F231="","Payment Type; ","")&amp;IF(AND('Game Records'!$U231&lt;&gt;"Subscription",'Game Records'!$U231&lt;&gt;"Free Game",'Game Records'!$U231&lt;&gt;"Disqualified — Free Game",'Game Records'!$G231=""),"Gross Pot; ","")&amp;IF(AND('Game Records'!$U231&lt;&gt;"Free Game",'Game Records'!$U231&lt;&gt;"Disqualified — Free Game",'Game Records'!$H231=""),"Entry Fee; ","")&amp;IF(AND('Game Records'!$U231&lt;&gt;"Subscription",'Game Records'!$U231&lt;&gt;"Free Game",'Game Records'!$U231&lt;&gt;"Disqualified — Free Game",'Game Records'!$I231=""),"Eligible Players; ","")&amp;IF(AND('Game Records'!$U231&lt;&gt;"Subscription",'Game Records'!$U231&lt;&gt;"Free Game",'Game Records'!$U231&lt;&gt;"Disqualified — Free Game",'Game Records'!$J231=""),"Total Players; ","")&amp;IF(AND(LOWER('Game Records'!$D231&amp;"")="finalized",LOWER('Game Records'!$L231&amp;"")&lt;&gt;"yes",'Game Records'!$U231&lt;&gt;"Subscription",'Game Records'!$U231&lt;&gt;"Free Game",'Game Records'!$U231&lt;&gt;"Disqualified — Free Game",'Game Records'!$K231=""),"Final Earned; ","")&amp;IF(AND(LOWER('Game Records'!$D231&amp;"")="finalized",'Game Records'!$U231&lt;&gt;"Subscription",'Game Records'!$U231&lt;&gt;"Free Game",'Game Records'!$U231&lt;&gt;"Disqualified — Free Game",OR('Game Records'!$L231="",LOWER('Game Records'!$L231&amp;"")="n/a")),"Disqualified Status; ",""))</x:f>
      </x:c>
      <x:c r="G231" s="331" t="str">
        <x:f>IF($A231="","",IFERROR('Game Records'!$M231,""))</x:f>
      </x:c>
    </x:row>
    <x:row r="232">
      <x:c r="A232" s="332" t="str">
        <x:f>IF(OR(COUNTA('Game Records'!$A232:$M232)=0,'Game Records'!$F232="Subscription"),"",IFERROR(MAX($A$4:A231),0)+1)</x:f>
      </x:c>
      <x:c r="B232" s="332" t="str">
        <x:f>IF($A232="","","G-"&amp;TEXT(ROW('Game Records'!$A232)-4,"0000"))</x:f>
      </x:c>
      <x:c r="C232" s="331" t="str">
        <x:f>IF($A232="","",IFERROR('Game Records'!$A232,""))</x:f>
      </x:c>
      <x:c r="D232" s="331" t="str">
        <x:f>IF($A232="","",IFERROR('Game Records'!$U232,""))</x:f>
      </x:c>
      <x:c r="E232" s="331" t="str">
        <x:f>IF($A232="","",IF($F232="","No Highlighted Fields","Highlighted Fields Present"))</x:f>
      </x:c>
      <x:c r="F232" s="331" t="str">
        <x:f>IF($A232="","",IF('Game Records'!$B232="","Start Date; ","")&amp;IF('Game Records'!$C232="","End Date; ","")&amp;IF(AND('Game Records'!$U232&lt;&gt;"Subscription",'Game Records'!$U232&lt;&gt;"Free Game",'Game Records'!$U232&lt;&gt;"Disqualified — Free Game",OR('Game Records'!$D232="",LOWER('Game Records'!$D232&amp;"")="n/a")),"Entry Mode; ","")&amp;IF(AND('Game Records'!$U232&lt;&gt;"Subscription",'Game Records'!$U232&lt;&gt;"Free Game",'Game Records'!$U232&lt;&gt;"Disqualified — Free Game",OR('Game Records'!$E232="",LOWER('Game Records'!$E232&amp;"")="n/a")),"Game Type; ","")&amp;IF('Game Records'!$F232="","Payment Type; ","")&amp;IF(AND('Game Records'!$U232&lt;&gt;"Subscription",'Game Records'!$U232&lt;&gt;"Free Game",'Game Records'!$U232&lt;&gt;"Disqualified — Free Game",'Game Records'!$G232=""),"Gross Pot; ","")&amp;IF(AND('Game Records'!$U232&lt;&gt;"Free Game",'Game Records'!$U232&lt;&gt;"Disqualified — Free Game",'Game Records'!$H232=""),"Entry Fee; ","")&amp;IF(AND('Game Records'!$U232&lt;&gt;"Subscription",'Game Records'!$U232&lt;&gt;"Free Game",'Game Records'!$U232&lt;&gt;"Disqualified — Free Game",'Game Records'!$I232=""),"Eligible Players; ","")&amp;IF(AND('Game Records'!$U232&lt;&gt;"Subscription",'Game Records'!$U232&lt;&gt;"Free Game",'Game Records'!$U232&lt;&gt;"Disqualified — Free Game",'Game Records'!$J232=""),"Total Players; ","")&amp;IF(AND(LOWER('Game Records'!$D232&amp;"")="finalized",LOWER('Game Records'!$L232&amp;"")&lt;&gt;"yes",'Game Records'!$U232&lt;&gt;"Subscription",'Game Records'!$U232&lt;&gt;"Free Game",'Game Records'!$U232&lt;&gt;"Disqualified — Free Game",'Game Records'!$K232=""),"Final Earned; ","")&amp;IF(AND(LOWER('Game Records'!$D232&amp;"")="finalized",'Game Records'!$U232&lt;&gt;"Subscription",'Game Records'!$U232&lt;&gt;"Free Game",'Game Records'!$U232&lt;&gt;"Disqualified — Free Game",OR('Game Records'!$L232="",LOWER('Game Records'!$L232&amp;"")="n/a")),"Disqualified Status; ",""))</x:f>
      </x:c>
      <x:c r="G232" s="331" t="str">
        <x:f>IF($A232="","",IFERROR('Game Records'!$M232,""))</x:f>
      </x:c>
    </x:row>
    <x:row r="233">
      <x:c r="A233" s="332" t="str">
        <x:f>IF(OR(COUNTA('Game Records'!$A233:$M233)=0,'Game Records'!$F233="Subscription"),"",IFERROR(MAX($A$4:A232),0)+1)</x:f>
      </x:c>
      <x:c r="B233" s="332" t="str">
        <x:f>IF($A233="","","G-"&amp;TEXT(ROW('Game Records'!$A233)-4,"0000"))</x:f>
      </x:c>
      <x:c r="C233" s="331" t="str">
        <x:f>IF($A233="","",IFERROR('Game Records'!$A233,""))</x:f>
      </x:c>
      <x:c r="D233" s="331" t="str">
        <x:f>IF($A233="","",IFERROR('Game Records'!$U233,""))</x:f>
      </x:c>
      <x:c r="E233" s="331" t="str">
        <x:f>IF($A233="","",IF($F233="","No Highlighted Fields","Highlighted Fields Present"))</x:f>
      </x:c>
      <x:c r="F233" s="331" t="str">
        <x:f>IF($A233="","",IF('Game Records'!$B233="","Start Date; ","")&amp;IF('Game Records'!$C233="","End Date; ","")&amp;IF(AND('Game Records'!$U233&lt;&gt;"Subscription",'Game Records'!$U233&lt;&gt;"Free Game",'Game Records'!$U233&lt;&gt;"Disqualified — Free Game",OR('Game Records'!$D233="",LOWER('Game Records'!$D233&amp;"")="n/a")),"Entry Mode; ","")&amp;IF(AND('Game Records'!$U233&lt;&gt;"Subscription",'Game Records'!$U233&lt;&gt;"Free Game",'Game Records'!$U233&lt;&gt;"Disqualified — Free Game",OR('Game Records'!$E233="",LOWER('Game Records'!$E233&amp;"")="n/a")),"Game Type; ","")&amp;IF('Game Records'!$F233="","Payment Type; ","")&amp;IF(AND('Game Records'!$U233&lt;&gt;"Subscription",'Game Records'!$U233&lt;&gt;"Free Game",'Game Records'!$U233&lt;&gt;"Disqualified — Free Game",'Game Records'!$G233=""),"Gross Pot; ","")&amp;IF(AND('Game Records'!$U233&lt;&gt;"Free Game",'Game Records'!$U233&lt;&gt;"Disqualified — Free Game",'Game Records'!$H233=""),"Entry Fee; ","")&amp;IF(AND('Game Records'!$U233&lt;&gt;"Subscription",'Game Records'!$U233&lt;&gt;"Free Game",'Game Records'!$U233&lt;&gt;"Disqualified — Free Game",'Game Records'!$I233=""),"Eligible Players; ","")&amp;IF(AND('Game Records'!$U233&lt;&gt;"Subscription",'Game Records'!$U233&lt;&gt;"Free Game",'Game Records'!$U233&lt;&gt;"Disqualified — Free Game",'Game Records'!$J233=""),"Total Players; ","")&amp;IF(AND(LOWER('Game Records'!$D233&amp;"")="finalized",LOWER('Game Records'!$L233&amp;"")&lt;&gt;"yes",'Game Records'!$U233&lt;&gt;"Subscription",'Game Records'!$U233&lt;&gt;"Free Game",'Game Records'!$U233&lt;&gt;"Disqualified — Free Game",'Game Records'!$K233=""),"Final Earned; ","")&amp;IF(AND(LOWER('Game Records'!$D233&amp;"")="finalized",'Game Records'!$U233&lt;&gt;"Subscription",'Game Records'!$U233&lt;&gt;"Free Game",'Game Records'!$U233&lt;&gt;"Disqualified — Free Game",OR('Game Records'!$L233="",LOWER('Game Records'!$L233&amp;"")="n/a")),"Disqualified Status; ",""))</x:f>
      </x:c>
      <x:c r="G233" s="331" t="str">
        <x:f>IF($A233="","",IFERROR('Game Records'!$M233,""))</x:f>
      </x:c>
    </x:row>
    <x:row r="234">
      <x:c r="A234" s="332" t="str">
        <x:f>IF(OR(COUNTA('Game Records'!$A234:$M234)=0,'Game Records'!$F234="Subscription"),"",IFERROR(MAX($A$4:A233),0)+1)</x:f>
      </x:c>
      <x:c r="B234" s="332" t="str">
        <x:f>IF($A234="","","G-"&amp;TEXT(ROW('Game Records'!$A234)-4,"0000"))</x:f>
      </x:c>
      <x:c r="C234" s="331" t="str">
        <x:f>IF($A234="","",IFERROR('Game Records'!$A234,""))</x:f>
      </x:c>
      <x:c r="D234" s="331" t="str">
        <x:f>IF($A234="","",IFERROR('Game Records'!$U234,""))</x:f>
      </x:c>
      <x:c r="E234" s="331" t="str">
        <x:f>IF($A234="","",IF($F234="","No Highlighted Fields","Highlighted Fields Present"))</x:f>
      </x:c>
      <x:c r="F234" s="331" t="str">
        <x:f>IF($A234="","",IF('Game Records'!$B234="","Start Date; ","")&amp;IF('Game Records'!$C234="","End Date; ","")&amp;IF(AND('Game Records'!$U234&lt;&gt;"Subscription",'Game Records'!$U234&lt;&gt;"Free Game",'Game Records'!$U234&lt;&gt;"Disqualified — Free Game",OR('Game Records'!$D234="",LOWER('Game Records'!$D234&amp;"")="n/a")),"Entry Mode; ","")&amp;IF(AND('Game Records'!$U234&lt;&gt;"Subscription",'Game Records'!$U234&lt;&gt;"Free Game",'Game Records'!$U234&lt;&gt;"Disqualified — Free Game",OR('Game Records'!$E234="",LOWER('Game Records'!$E234&amp;"")="n/a")),"Game Type; ","")&amp;IF('Game Records'!$F234="","Payment Type; ","")&amp;IF(AND('Game Records'!$U234&lt;&gt;"Subscription",'Game Records'!$U234&lt;&gt;"Free Game",'Game Records'!$U234&lt;&gt;"Disqualified — Free Game",'Game Records'!$G234=""),"Gross Pot; ","")&amp;IF(AND('Game Records'!$U234&lt;&gt;"Free Game",'Game Records'!$U234&lt;&gt;"Disqualified — Free Game",'Game Records'!$H234=""),"Entry Fee; ","")&amp;IF(AND('Game Records'!$U234&lt;&gt;"Subscription",'Game Records'!$U234&lt;&gt;"Free Game",'Game Records'!$U234&lt;&gt;"Disqualified — Free Game",'Game Records'!$I234=""),"Eligible Players; ","")&amp;IF(AND('Game Records'!$U234&lt;&gt;"Subscription",'Game Records'!$U234&lt;&gt;"Free Game",'Game Records'!$U234&lt;&gt;"Disqualified — Free Game",'Game Records'!$J234=""),"Total Players; ","")&amp;IF(AND(LOWER('Game Records'!$D234&amp;"")="finalized",LOWER('Game Records'!$L234&amp;"")&lt;&gt;"yes",'Game Records'!$U234&lt;&gt;"Subscription",'Game Records'!$U234&lt;&gt;"Free Game",'Game Records'!$U234&lt;&gt;"Disqualified — Free Game",'Game Records'!$K234=""),"Final Earned; ","")&amp;IF(AND(LOWER('Game Records'!$D234&amp;"")="finalized",'Game Records'!$U234&lt;&gt;"Subscription",'Game Records'!$U234&lt;&gt;"Free Game",'Game Records'!$U234&lt;&gt;"Disqualified — Free Game",OR('Game Records'!$L234="",LOWER('Game Records'!$L234&amp;"")="n/a")),"Disqualified Status; ",""))</x:f>
      </x:c>
      <x:c r="G234" s="331" t="str">
        <x:f>IF($A234="","",IFERROR('Game Records'!$M234,""))</x:f>
      </x:c>
    </x:row>
    <x:row r="235">
      <x:c r="A235" s="332" t="str">
        <x:f>IF(OR(COUNTA('Game Records'!$A235:$M235)=0,'Game Records'!$F235="Subscription"),"",IFERROR(MAX($A$4:A234),0)+1)</x:f>
      </x:c>
      <x:c r="B235" s="332" t="str">
        <x:f>IF($A235="","","G-"&amp;TEXT(ROW('Game Records'!$A235)-4,"0000"))</x:f>
      </x:c>
      <x:c r="C235" s="331" t="str">
        <x:f>IF($A235="","",IFERROR('Game Records'!$A235,""))</x:f>
      </x:c>
      <x:c r="D235" s="331" t="str">
        <x:f>IF($A235="","",IFERROR('Game Records'!$U235,""))</x:f>
      </x:c>
      <x:c r="E235" s="331" t="str">
        <x:f>IF($A235="","",IF($F235="","No Highlighted Fields","Highlighted Fields Present"))</x:f>
      </x:c>
      <x:c r="F235" s="331" t="str">
        <x:f>IF($A235="","",IF('Game Records'!$B235="","Start Date; ","")&amp;IF('Game Records'!$C235="","End Date; ","")&amp;IF(AND('Game Records'!$U235&lt;&gt;"Subscription",'Game Records'!$U235&lt;&gt;"Free Game",'Game Records'!$U235&lt;&gt;"Disqualified — Free Game",OR('Game Records'!$D235="",LOWER('Game Records'!$D235&amp;"")="n/a")),"Entry Mode; ","")&amp;IF(AND('Game Records'!$U235&lt;&gt;"Subscription",'Game Records'!$U235&lt;&gt;"Free Game",'Game Records'!$U235&lt;&gt;"Disqualified — Free Game",OR('Game Records'!$E235="",LOWER('Game Records'!$E235&amp;"")="n/a")),"Game Type; ","")&amp;IF('Game Records'!$F235="","Payment Type; ","")&amp;IF(AND('Game Records'!$U235&lt;&gt;"Subscription",'Game Records'!$U235&lt;&gt;"Free Game",'Game Records'!$U235&lt;&gt;"Disqualified — Free Game",'Game Records'!$G235=""),"Gross Pot; ","")&amp;IF(AND('Game Records'!$U235&lt;&gt;"Free Game",'Game Records'!$U235&lt;&gt;"Disqualified — Free Game",'Game Records'!$H235=""),"Entry Fee; ","")&amp;IF(AND('Game Records'!$U235&lt;&gt;"Subscription",'Game Records'!$U235&lt;&gt;"Free Game",'Game Records'!$U235&lt;&gt;"Disqualified — Free Game",'Game Records'!$I235=""),"Eligible Players; ","")&amp;IF(AND('Game Records'!$U235&lt;&gt;"Subscription",'Game Records'!$U235&lt;&gt;"Free Game",'Game Records'!$U235&lt;&gt;"Disqualified — Free Game",'Game Records'!$J235=""),"Total Players; ","")&amp;IF(AND(LOWER('Game Records'!$D235&amp;"")="finalized",LOWER('Game Records'!$L235&amp;"")&lt;&gt;"yes",'Game Records'!$U235&lt;&gt;"Subscription",'Game Records'!$U235&lt;&gt;"Free Game",'Game Records'!$U235&lt;&gt;"Disqualified — Free Game",'Game Records'!$K235=""),"Final Earned; ","")&amp;IF(AND(LOWER('Game Records'!$D235&amp;"")="finalized",'Game Records'!$U235&lt;&gt;"Subscription",'Game Records'!$U235&lt;&gt;"Free Game",'Game Records'!$U235&lt;&gt;"Disqualified — Free Game",OR('Game Records'!$L235="",LOWER('Game Records'!$L235&amp;"")="n/a")),"Disqualified Status; ",""))</x:f>
      </x:c>
      <x:c r="G235" s="331" t="str">
        <x:f>IF($A235="","",IFERROR('Game Records'!$M235,""))</x:f>
      </x:c>
    </x:row>
    <x:row r="236">
      <x:c r="A236" s="332" t="str">
        <x:f>IF(OR(COUNTA('Game Records'!$A236:$M236)=0,'Game Records'!$F236="Subscription"),"",IFERROR(MAX($A$4:A235),0)+1)</x:f>
      </x:c>
      <x:c r="B236" s="332" t="str">
        <x:f>IF($A236="","","G-"&amp;TEXT(ROW('Game Records'!$A236)-4,"0000"))</x:f>
      </x:c>
      <x:c r="C236" s="331" t="str">
        <x:f>IF($A236="","",IFERROR('Game Records'!$A236,""))</x:f>
      </x:c>
      <x:c r="D236" s="331" t="str">
        <x:f>IF($A236="","",IFERROR('Game Records'!$U236,""))</x:f>
      </x:c>
      <x:c r="E236" s="331" t="str">
        <x:f>IF($A236="","",IF($F236="","No Highlighted Fields","Highlighted Fields Present"))</x:f>
      </x:c>
      <x:c r="F236" s="331" t="str">
        <x:f>IF($A236="","",IF('Game Records'!$B236="","Start Date; ","")&amp;IF('Game Records'!$C236="","End Date; ","")&amp;IF(AND('Game Records'!$U236&lt;&gt;"Subscription",'Game Records'!$U236&lt;&gt;"Free Game",'Game Records'!$U236&lt;&gt;"Disqualified — Free Game",OR('Game Records'!$D236="",LOWER('Game Records'!$D236&amp;"")="n/a")),"Entry Mode; ","")&amp;IF(AND('Game Records'!$U236&lt;&gt;"Subscription",'Game Records'!$U236&lt;&gt;"Free Game",'Game Records'!$U236&lt;&gt;"Disqualified — Free Game",OR('Game Records'!$E236="",LOWER('Game Records'!$E236&amp;"")="n/a")),"Game Type; ","")&amp;IF('Game Records'!$F236="","Payment Type; ","")&amp;IF(AND('Game Records'!$U236&lt;&gt;"Subscription",'Game Records'!$U236&lt;&gt;"Free Game",'Game Records'!$U236&lt;&gt;"Disqualified — Free Game",'Game Records'!$G236=""),"Gross Pot; ","")&amp;IF(AND('Game Records'!$U236&lt;&gt;"Free Game",'Game Records'!$U236&lt;&gt;"Disqualified — Free Game",'Game Records'!$H236=""),"Entry Fee; ","")&amp;IF(AND('Game Records'!$U236&lt;&gt;"Subscription",'Game Records'!$U236&lt;&gt;"Free Game",'Game Records'!$U236&lt;&gt;"Disqualified — Free Game",'Game Records'!$I236=""),"Eligible Players; ","")&amp;IF(AND('Game Records'!$U236&lt;&gt;"Subscription",'Game Records'!$U236&lt;&gt;"Free Game",'Game Records'!$U236&lt;&gt;"Disqualified — Free Game",'Game Records'!$J236=""),"Total Players; ","")&amp;IF(AND(LOWER('Game Records'!$D236&amp;"")="finalized",LOWER('Game Records'!$L236&amp;"")&lt;&gt;"yes",'Game Records'!$U236&lt;&gt;"Subscription",'Game Records'!$U236&lt;&gt;"Free Game",'Game Records'!$U236&lt;&gt;"Disqualified — Free Game",'Game Records'!$K236=""),"Final Earned; ","")&amp;IF(AND(LOWER('Game Records'!$D236&amp;"")="finalized",'Game Records'!$U236&lt;&gt;"Subscription",'Game Records'!$U236&lt;&gt;"Free Game",'Game Records'!$U236&lt;&gt;"Disqualified — Free Game",OR('Game Records'!$L236="",LOWER('Game Records'!$L236&amp;"")="n/a")),"Disqualified Status; ",""))</x:f>
      </x:c>
      <x:c r="G236" s="331" t="str">
        <x:f>IF($A236="","",IFERROR('Game Records'!$M236,""))</x:f>
      </x:c>
    </x:row>
    <x:row r="237">
      <x:c r="A237" s="332" t="str">
        <x:f>IF(OR(COUNTA('Game Records'!$A237:$M237)=0,'Game Records'!$F237="Subscription"),"",IFERROR(MAX($A$4:A236),0)+1)</x:f>
      </x:c>
      <x:c r="B237" s="332" t="str">
        <x:f>IF($A237="","","G-"&amp;TEXT(ROW('Game Records'!$A237)-4,"0000"))</x:f>
      </x:c>
      <x:c r="C237" s="331" t="str">
        <x:f>IF($A237="","",IFERROR('Game Records'!$A237,""))</x:f>
      </x:c>
      <x:c r="D237" s="331" t="str">
        <x:f>IF($A237="","",IFERROR('Game Records'!$U237,""))</x:f>
      </x:c>
      <x:c r="E237" s="331" t="str">
        <x:f>IF($A237="","",IF($F237="","No Highlighted Fields","Highlighted Fields Present"))</x:f>
      </x:c>
      <x:c r="F237" s="331" t="str">
        <x:f>IF($A237="","",IF('Game Records'!$B237="","Start Date; ","")&amp;IF('Game Records'!$C237="","End Date; ","")&amp;IF(AND('Game Records'!$U237&lt;&gt;"Subscription",'Game Records'!$U237&lt;&gt;"Free Game",'Game Records'!$U237&lt;&gt;"Disqualified — Free Game",OR('Game Records'!$D237="",LOWER('Game Records'!$D237&amp;"")="n/a")),"Entry Mode; ","")&amp;IF(AND('Game Records'!$U237&lt;&gt;"Subscription",'Game Records'!$U237&lt;&gt;"Free Game",'Game Records'!$U237&lt;&gt;"Disqualified — Free Game",OR('Game Records'!$E237="",LOWER('Game Records'!$E237&amp;"")="n/a")),"Game Type; ","")&amp;IF('Game Records'!$F237="","Payment Type; ","")&amp;IF(AND('Game Records'!$U237&lt;&gt;"Subscription",'Game Records'!$U237&lt;&gt;"Free Game",'Game Records'!$U237&lt;&gt;"Disqualified — Free Game",'Game Records'!$G237=""),"Gross Pot; ","")&amp;IF(AND('Game Records'!$U237&lt;&gt;"Free Game",'Game Records'!$U237&lt;&gt;"Disqualified — Free Game",'Game Records'!$H237=""),"Entry Fee; ","")&amp;IF(AND('Game Records'!$U237&lt;&gt;"Subscription",'Game Records'!$U237&lt;&gt;"Free Game",'Game Records'!$U237&lt;&gt;"Disqualified — Free Game",'Game Records'!$I237=""),"Eligible Players; ","")&amp;IF(AND('Game Records'!$U237&lt;&gt;"Subscription",'Game Records'!$U237&lt;&gt;"Free Game",'Game Records'!$U237&lt;&gt;"Disqualified — Free Game",'Game Records'!$J237=""),"Total Players; ","")&amp;IF(AND(LOWER('Game Records'!$D237&amp;"")="finalized",LOWER('Game Records'!$L237&amp;"")&lt;&gt;"yes",'Game Records'!$U237&lt;&gt;"Subscription",'Game Records'!$U237&lt;&gt;"Free Game",'Game Records'!$U237&lt;&gt;"Disqualified — Free Game",'Game Records'!$K237=""),"Final Earned; ","")&amp;IF(AND(LOWER('Game Records'!$D237&amp;"")="finalized",'Game Records'!$U237&lt;&gt;"Subscription",'Game Records'!$U237&lt;&gt;"Free Game",'Game Records'!$U237&lt;&gt;"Disqualified — Free Game",OR('Game Records'!$L237="",LOWER('Game Records'!$L237&amp;"")="n/a")),"Disqualified Status; ",""))</x:f>
      </x:c>
      <x:c r="G237" s="331" t="str">
        <x:f>IF($A237="","",IFERROR('Game Records'!$M237,""))</x:f>
      </x:c>
    </x:row>
    <x:row r="238">
      <x:c r="A238" s="332" t="str">
        <x:f>IF(OR(COUNTA('Game Records'!$A238:$M238)=0,'Game Records'!$F238="Subscription"),"",IFERROR(MAX($A$4:A237),0)+1)</x:f>
      </x:c>
      <x:c r="B238" s="332" t="str">
        <x:f>IF($A238="","","G-"&amp;TEXT(ROW('Game Records'!$A238)-4,"0000"))</x:f>
      </x:c>
      <x:c r="C238" s="331" t="str">
        <x:f>IF($A238="","",IFERROR('Game Records'!$A238,""))</x:f>
      </x:c>
      <x:c r="D238" s="331" t="str">
        <x:f>IF($A238="","",IFERROR('Game Records'!$U238,""))</x:f>
      </x:c>
      <x:c r="E238" s="331" t="str">
        <x:f>IF($A238="","",IF($F238="","No Highlighted Fields","Highlighted Fields Present"))</x:f>
      </x:c>
      <x:c r="F238" s="331" t="str">
        <x:f>IF($A238="","",IF('Game Records'!$B238="","Start Date; ","")&amp;IF('Game Records'!$C238="","End Date; ","")&amp;IF(AND('Game Records'!$U238&lt;&gt;"Subscription",'Game Records'!$U238&lt;&gt;"Free Game",'Game Records'!$U238&lt;&gt;"Disqualified — Free Game",OR('Game Records'!$D238="",LOWER('Game Records'!$D238&amp;"")="n/a")),"Entry Mode; ","")&amp;IF(AND('Game Records'!$U238&lt;&gt;"Subscription",'Game Records'!$U238&lt;&gt;"Free Game",'Game Records'!$U238&lt;&gt;"Disqualified — Free Game",OR('Game Records'!$E238="",LOWER('Game Records'!$E238&amp;"")="n/a")),"Game Type; ","")&amp;IF('Game Records'!$F238="","Payment Type; ","")&amp;IF(AND('Game Records'!$U238&lt;&gt;"Subscription",'Game Records'!$U238&lt;&gt;"Free Game",'Game Records'!$U238&lt;&gt;"Disqualified — Free Game",'Game Records'!$G238=""),"Gross Pot; ","")&amp;IF(AND('Game Records'!$U238&lt;&gt;"Free Game",'Game Records'!$U238&lt;&gt;"Disqualified — Free Game",'Game Records'!$H238=""),"Entry Fee; ","")&amp;IF(AND('Game Records'!$U238&lt;&gt;"Subscription",'Game Records'!$U238&lt;&gt;"Free Game",'Game Records'!$U238&lt;&gt;"Disqualified — Free Game",'Game Records'!$I238=""),"Eligible Players; ","")&amp;IF(AND('Game Records'!$U238&lt;&gt;"Subscription",'Game Records'!$U238&lt;&gt;"Free Game",'Game Records'!$U238&lt;&gt;"Disqualified — Free Game",'Game Records'!$J238=""),"Total Players; ","")&amp;IF(AND(LOWER('Game Records'!$D238&amp;"")="finalized",LOWER('Game Records'!$L238&amp;"")&lt;&gt;"yes",'Game Records'!$U238&lt;&gt;"Subscription",'Game Records'!$U238&lt;&gt;"Free Game",'Game Records'!$U238&lt;&gt;"Disqualified — Free Game",'Game Records'!$K238=""),"Final Earned; ","")&amp;IF(AND(LOWER('Game Records'!$D238&amp;"")="finalized",'Game Records'!$U238&lt;&gt;"Subscription",'Game Records'!$U238&lt;&gt;"Free Game",'Game Records'!$U238&lt;&gt;"Disqualified — Free Game",OR('Game Records'!$L238="",LOWER('Game Records'!$L238&amp;"")="n/a")),"Disqualified Status; ",""))</x:f>
      </x:c>
      <x:c r="G238" s="331" t="str">
        <x:f>IF($A238="","",IFERROR('Game Records'!$M238,""))</x:f>
      </x:c>
    </x:row>
    <x:row r="239">
      <x:c r="A239" s="332" t="str">
        <x:f>IF(OR(COUNTA('Game Records'!$A239:$M239)=0,'Game Records'!$F239="Subscription"),"",IFERROR(MAX($A$4:A238),0)+1)</x:f>
      </x:c>
      <x:c r="B239" s="332" t="str">
        <x:f>IF($A239="","","G-"&amp;TEXT(ROW('Game Records'!$A239)-4,"0000"))</x:f>
      </x:c>
      <x:c r="C239" s="331" t="str">
        <x:f>IF($A239="","",IFERROR('Game Records'!$A239,""))</x:f>
      </x:c>
      <x:c r="D239" s="331" t="str">
        <x:f>IF($A239="","",IFERROR('Game Records'!$U239,""))</x:f>
      </x:c>
      <x:c r="E239" s="331" t="str">
        <x:f>IF($A239="","",IF($F239="","No Highlighted Fields","Highlighted Fields Present"))</x:f>
      </x:c>
      <x:c r="F239" s="331" t="str">
        <x:f>IF($A239="","",IF('Game Records'!$B239="","Start Date; ","")&amp;IF('Game Records'!$C239="","End Date; ","")&amp;IF(AND('Game Records'!$U239&lt;&gt;"Subscription",'Game Records'!$U239&lt;&gt;"Free Game",'Game Records'!$U239&lt;&gt;"Disqualified — Free Game",OR('Game Records'!$D239="",LOWER('Game Records'!$D239&amp;"")="n/a")),"Entry Mode; ","")&amp;IF(AND('Game Records'!$U239&lt;&gt;"Subscription",'Game Records'!$U239&lt;&gt;"Free Game",'Game Records'!$U239&lt;&gt;"Disqualified — Free Game",OR('Game Records'!$E239="",LOWER('Game Records'!$E239&amp;"")="n/a")),"Game Type; ","")&amp;IF('Game Records'!$F239="","Payment Type; ","")&amp;IF(AND('Game Records'!$U239&lt;&gt;"Subscription",'Game Records'!$U239&lt;&gt;"Free Game",'Game Records'!$U239&lt;&gt;"Disqualified — Free Game",'Game Records'!$G239=""),"Gross Pot; ","")&amp;IF(AND('Game Records'!$U239&lt;&gt;"Free Game",'Game Records'!$U239&lt;&gt;"Disqualified — Free Game",'Game Records'!$H239=""),"Entry Fee; ","")&amp;IF(AND('Game Records'!$U239&lt;&gt;"Subscription",'Game Records'!$U239&lt;&gt;"Free Game",'Game Records'!$U239&lt;&gt;"Disqualified — Free Game",'Game Records'!$I239=""),"Eligible Players; ","")&amp;IF(AND('Game Records'!$U239&lt;&gt;"Subscription",'Game Records'!$U239&lt;&gt;"Free Game",'Game Records'!$U239&lt;&gt;"Disqualified — Free Game",'Game Records'!$J239=""),"Total Players; ","")&amp;IF(AND(LOWER('Game Records'!$D239&amp;"")="finalized",LOWER('Game Records'!$L239&amp;"")&lt;&gt;"yes",'Game Records'!$U239&lt;&gt;"Subscription",'Game Records'!$U239&lt;&gt;"Free Game",'Game Records'!$U239&lt;&gt;"Disqualified — Free Game",'Game Records'!$K239=""),"Final Earned; ","")&amp;IF(AND(LOWER('Game Records'!$D239&amp;"")="finalized",'Game Records'!$U239&lt;&gt;"Subscription",'Game Records'!$U239&lt;&gt;"Free Game",'Game Records'!$U239&lt;&gt;"Disqualified — Free Game",OR('Game Records'!$L239="",LOWER('Game Records'!$L239&amp;"")="n/a")),"Disqualified Status; ",""))</x:f>
      </x:c>
      <x:c r="G239" s="331" t="str">
        <x:f>IF($A239="","",IFERROR('Game Records'!$M239,""))</x:f>
      </x:c>
    </x:row>
    <x:row r="240">
      <x:c r="A240" s="332" t="str">
        <x:f>IF(OR(COUNTA('Game Records'!$A240:$M240)=0,'Game Records'!$F240="Subscription"),"",IFERROR(MAX($A$4:A239),0)+1)</x:f>
      </x:c>
      <x:c r="B240" s="332" t="str">
        <x:f>IF($A240="","","G-"&amp;TEXT(ROW('Game Records'!$A240)-4,"0000"))</x:f>
      </x:c>
      <x:c r="C240" s="331" t="str">
        <x:f>IF($A240="","",IFERROR('Game Records'!$A240,""))</x:f>
      </x:c>
      <x:c r="D240" s="331" t="str">
        <x:f>IF($A240="","",IFERROR('Game Records'!$U240,""))</x:f>
      </x:c>
      <x:c r="E240" s="331" t="str">
        <x:f>IF($A240="","",IF($F240="","No Highlighted Fields","Highlighted Fields Present"))</x:f>
      </x:c>
      <x:c r="F240" s="331" t="str">
        <x:f>IF($A240="","",IF('Game Records'!$B240="","Start Date; ","")&amp;IF('Game Records'!$C240="","End Date; ","")&amp;IF(AND('Game Records'!$U240&lt;&gt;"Subscription",'Game Records'!$U240&lt;&gt;"Free Game",'Game Records'!$U240&lt;&gt;"Disqualified — Free Game",OR('Game Records'!$D240="",LOWER('Game Records'!$D240&amp;"")="n/a")),"Entry Mode; ","")&amp;IF(AND('Game Records'!$U240&lt;&gt;"Subscription",'Game Records'!$U240&lt;&gt;"Free Game",'Game Records'!$U240&lt;&gt;"Disqualified — Free Game",OR('Game Records'!$E240="",LOWER('Game Records'!$E240&amp;"")="n/a")),"Game Type; ","")&amp;IF('Game Records'!$F240="","Payment Type; ","")&amp;IF(AND('Game Records'!$U240&lt;&gt;"Subscription",'Game Records'!$U240&lt;&gt;"Free Game",'Game Records'!$U240&lt;&gt;"Disqualified — Free Game",'Game Records'!$G240=""),"Gross Pot; ","")&amp;IF(AND('Game Records'!$U240&lt;&gt;"Free Game",'Game Records'!$U240&lt;&gt;"Disqualified — Free Game",'Game Records'!$H240=""),"Entry Fee; ","")&amp;IF(AND('Game Records'!$U240&lt;&gt;"Subscription",'Game Records'!$U240&lt;&gt;"Free Game",'Game Records'!$U240&lt;&gt;"Disqualified — Free Game",'Game Records'!$I240=""),"Eligible Players; ","")&amp;IF(AND('Game Records'!$U240&lt;&gt;"Subscription",'Game Records'!$U240&lt;&gt;"Free Game",'Game Records'!$U240&lt;&gt;"Disqualified — Free Game",'Game Records'!$J240=""),"Total Players; ","")&amp;IF(AND(LOWER('Game Records'!$D240&amp;"")="finalized",LOWER('Game Records'!$L240&amp;"")&lt;&gt;"yes",'Game Records'!$U240&lt;&gt;"Subscription",'Game Records'!$U240&lt;&gt;"Free Game",'Game Records'!$U240&lt;&gt;"Disqualified — Free Game",'Game Records'!$K240=""),"Final Earned; ","")&amp;IF(AND(LOWER('Game Records'!$D240&amp;"")="finalized",'Game Records'!$U240&lt;&gt;"Subscription",'Game Records'!$U240&lt;&gt;"Free Game",'Game Records'!$U240&lt;&gt;"Disqualified — Free Game",OR('Game Records'!$L240="",LOWER('Game Records'!$L240&amp;"")="n/a")),"Disqualified Status; ",""))</x:f>
      </x:c>
      <x:c r="G240" s="331" t="str">
        <x:f>IF($A240="","",IFERROR('Game Records'!$M240,""))</x:f>
      </x:c>
    </x:row>
    <x:row r="241">
      <x:c r="A241" s="332" t="str">
        <x:f>IF(OR(COUNTA('Game Records'!$A241:$M241)=0,'Game Records'!$F241="Subscription"),"",IFERROR(MAX($A$4:A240),0)+1)</x:f>
      </x:c>
      <x:c r="B241" s="332" t="str">
        <x:f>IF($A241="","","G-"&amp;TEXT(ROW('Game Records'!$A241)-4,"0000"))</x:f>
      </x:c>
      <x:c r="C241" s="331" t="str">
        <x:f>IF($A241="","",IFERROR('Game Records'!$A241,""))</x:f>
      </x:c>
      <x:c r="D241" s="331" t="str">
        <x:f>IF($A241="","",IFERROR('Game Records'!$U241,""))</x:f>
      </x:c>
      <x:c r="E241" s="331" t="str">
        <x:f>IF($A241="","",IF($F241="","No Highlighted Fields","Highlighted Fields Present"))</x:f>
      </x:c>
      <x:c r="F241" s="331" t="str">
        <x:f>IF($A241="","",IF('Game Records'!$B241="","Start Date; ","")&amp;IF('Game Records'!$C241="","End Date; ","")&amp;IF(AND('Game Records'!$U241&lt;&gt;"Subscription",'Game Records'!$U241&lt;&gt;"Free Game",'Game Records'!$U241&lt;&gt;"Disqualified — Free Game",OR('Game Records'!$D241="",LOWER('Game Records'!$D241&amp;"")="n/a")),"Entry Mode; ","")&amp;IF(AND('Game Records'!$U241&lt;&gt;"Subscription",'Game Records'!$U241&lt;&gt;"Free Game",'Game Records'!$U241&lt;&gt;"Disqualified — Free Game",OR('Game Records'!$E241="",LOWER('Game Records'!$E241&amp;"")="n/a")),"Game Type; ","")&amp;IF('Game Records'!$F241="","Payment Type; ","")&amp;IF(AND('Game Records'!$U241&lt;&gt;"Subscription",'Game Records'!$U241&lt;&gt;"Free Game",'Game Records'!$U241&lt;&gt;"Disqualified — Free Game",'Game Records'!$G241=""),"Gross Pot; ","")&amp;IF(AND('Game Records'!$U241&lt;&gt;"Free Game",'Game Records'!$U241&lt;&gt;"Disqualified — Free Game",'Game Records'!$H241=""),"Entry Fee; ","")&amp;IF(AND('Game Records'!$U241&lt;&gt;"Subscription",'Game Records'!$U241&lt;&gt;"Free Game",'Game Records'!$U241&lt;&gt;"Disqualified — Free Game",'Game Records'!$I241=""),"Eligible Players; ","")&amp;IF(AND('Game Records'!$U241&lt;&gt;"Subscription",'Game Records'!$U241&lt;&gt;"Free Game",'Game Records'!$U241&lt;&gt;"Disqualified — Free Game",'Game Records'!$J241=""),"Total Players; ","")&amp;IF(AND(LOWER('Game Records'!$D241&amp;"")="finalized",LOWER('Game Records'!$L241&amp;"")&lt;&gt;"yes",'Game Records'!$U241&lt;&gt;"Subscription",'Game Records'!$U241&lt;&gt;"Free Game",'Game Records'!$U241&lt;&gt;"Disqualified — Free Game",'Game Records'!$K241=""),"Final Earned; ","")&amp;IF(AND(LOWER('Game Records'!$D241&amp;"")="finalized",'Game Records'!$U241&lt;&gt;"Subscription",'Game Records'!$U241&lt;&gt;"Free Game",'Game Records'!$U241&lt;&gt;"Disqualified — Free Game",OR('Game Records'!$L241="",LOWER('Game Records'!$L241&amp;"")="n/a")),"Disqualified Status; ",""))</x:f>
      </x:c>
      <x:c r="G241" s="331" t="str">
        <x:f>IF($A241="","",IFERROR('Game Records'!$M241,""))</x:f>
      </x:c>
    </x:row>
    <x:row r="242">
      <x:c r="A242" s="332" t="str">
        <x:f>IF(OR(COUNTA('Game Records'!$A242:$M242)=0,'Game Records'!$F242="Subscription"),"",IFERROR(MAX($A$4:A241),0)+1)</x:f>
      </x:c>
      <x:c r="B242" s="332" t="str">
        <x:f>IF($A242="","","G-"&amp;TEXT(ROW('Game Records'!$A242)-4,"0000"))</x:f>
      </x:c>
      <x:c r="C242" s="331" t="str">
        <x:f>IF($A242="","",IFERROR('Game Records'!$A242,""))</x:f>
      </x:c>
      <x:c r="D242" s="331" t="str">
        <x:f>IF($A242="","",IFERROR('Game Records'!$U242,""))</x:f>
      </x:c>
      <x:c r="E242" s="331" t="str">
        <x:f>IF($A242="","",IF($F242="","No Highlighted Fields","Highlighted Fields Present"))</x:f>
      </x:c>
      <x:c r="F242" s="331" t="str">
        <x:f>IF($A242="","",IF('Game Records'!$B242="","Start Date; ","")&amp;IF('Game Records'!$C242="","End Date; ","")&amp;IF(AND('Game Records'!$U242&lt;&gt;"Subscription",'Game Records'!$U242&lt;&gt;"Free Game",'Game Records'!$U242&lt;&gt;"Disqualified — Free Game",OR('Game Records'!$D242="",LOWER('Game Records'!$D242&amp;"")="n/a")),"Entry Mode; ","")&amp;IF(AND('Game Records'!$U242&lt;&gt;"Subscription",'Game Records'!$U242&lt;&gt;"Free Game",'Game Records'!$U242&lt;&gt;"Disqualified — Free Game",OR('Game Records'!$E242="",LOWER('Game Records'!$E242&amp;"")="n/a")),"Game Type; ","")&amp;IF('Game Records'!$F242="","Payment Type; ","")&amp;IF(AND('Game Records'!$U242&lt;&gt;"Subscription",'Game Records'!$U242&lt;&gt;"Free Game",'Game Records'!$U242&lt;&gt;"Disqualified — Free Game",'Game Records'!$G242=""),"Gross Pot; ","")&amp;IF(AND('Game Records'!$U242&lt;&gt;"Free Game",'Game Records'!$U242&lt;&gt;"Disqualified — Free Game",'Game Records'!$H242=""),"Entry Fee; ","")&amp;IF(AND('Game Records'!$U242&lt;&gt;"Subscription",'Game Records'!$U242&lt;&gt;"Free Game",'Game Records'!$U242&lt;&gt;"Disqualified — Free Game",'Game Records'!$I242=""),"Eligible Players; ","")&amp;IF(AND('Game Records'!$U242&lt;&gt;"Subscription",'Game Records'!$U242&lt;&gt;"Free Game",'Game Records'!$U242&lt;&gt;"Disqualified — Free Game",'Game Records'!$J242=""),"Total Players; ","")&amp;IF(AND(LOWER('Game Records'!$D242&amp;"")="finalized",LOWER('Game Records'!$L242&amp;"")&lt;&gt;"yes",'Game Records'!$U242&lt;&gt;"Subscription",'Game Records'!$U242&lt;&gt;"Free Game",'Game Records'!$U242&lt;&gt;"Disqualified — Free Game",'Game Records'!$K242=""),"Final Earned; ","")&amp;IF(AND(LOWER('Game Records'!$D242&amp;"")="finalized",'Game Records'!$U242&lt;&gt;"Subscription",'Game Records'!$U242&lt;&gt;"Free Game",'Game Records'!$U242&lt;&gt;"Disqualified — Free Game",OR('Game Records'!$L242="",LOWER('Game Records'!$L242&amp;"")="n/a")),"Disqualified Status; ",""))</x:f>
      </x:c>
      <x:c r="G242" s="331" t="str">
        <x:f>IF($A242="","",IFERROR('Game Records'!$M242,""))</x:f>
      </x:c>
    </x:row>
    <x:row r="243">
      <x:c r="A243" s="332" t="str">
        <x:f>IF(OR(COUNTA('Game Records'!$A243:$M243)=0,'Game Records'!$F243="Subscription"),"",IFERROR(MAX($A$4:A242),0)+1)</x:f>
      </x:c>
      <x:c r="B243" s="332" t="str">
        <x:f>IF($A243="","","G-"&amp;TEXT(ROW('Game Records'!$A243)-4,"0000"))</x:f>
      </x:c>
      <x:c r="C243" s="331" t="str">
        <x:f>IF($A243="","",IFERROR('Game Records'!$A243,""))</x:f>
      </x:c>
      <x:c r="D243" s="331" t="str">
        <x:f>IF($A243="","",IFERROR('Game Records'!$U243,""))</x:f>
      </x:c>
      <x:c r="E243" s="331" t="str">
        <x:f>IF($A243="","",IF($F243="","No Highlighted Fields","Highlighted Fields Present"))</x:f>
      </x:c>
      <x:c r="F243" s="331" t="str">
        <x:f>IF($A243="","",IF('Game Records'!$B243="","Start Date; ","")&amp;IF('Game Records'!$C243="","End Date; ","")&amp;IF(AND('Game Records'!$U243&lt;&gt;"Subscription",'Game Records'!$U243&lt;&gt;"Free Game",'Game Records'!$U243&lt;&gt;"Disqualified — Free Game",OR('Game Records'!$D243="",LOWER('Game Records'!$D243&amp;"")="n/a")),"Entry Mode; ","")&amp;IF(AND('Game Records'!$U243&lt;&gt;"Subscription",'Game Records'!$U243&lt;&gt;"Free Game",'Game Records'!$U243&lt;&gt;"Disqualified — Free Game",OR('Game Records'!$E243="",LOWER('Game Records'!$E243&amp;"")="n/a")),"Game Type; ","")&amp;IF('Game Records'!$F243="","Payment Type; ","")&amp;IF(AND('Game Records'!$U243&lt;&gt;"Subscription",'Game Records'!$U243&lt;&gt;"Free Game",'Game Records'!$U243&lt;&gt;"Disqualified — Free Game",'Game Records'!$G243=""),"Gross Pot; ","")&amp;IF(AND('Game Records'!$U243&lt;&gt;"Free Game",'Game Records'!$U243&lt;&gt;"Disqualified — Free Game",'Game Records'!$H243=""),"Entry Fee; ","")&amp;IF(AND('Game Records'!$U243&lt;&gt;"Subscription",'Game Records'!$U243&lt;&gt;"Free Game",'Game Records'!$U243&lt;&gt;"Disqualified — Free Game",'Game Records'!$I243=""),"Eligible Players; ","")&amp;IF(AND('Game Records'!$U243&lt;&gt;"Subscription",'Game Records'!$U243&lt;&gt;"Free Game",'Game Records'!$U243&lt;&gt;"Disqualified — Free Game",'Game Records'!$J243=""),"Total Players; ","")&amp;IF(AND(LOWER('Game Records'!$D243&amp;"")="finalized",LOWER('Game Records'!$L243&amp;"")&lt;&gt;"yes",'Game Records'!$U243&lt;&gt;"Subscription",'Game Records'!$U243&lt;&gt;"Free Game",'Game Records'!$U243&lt;&gt;"Disqualified — Free Game",'Game Records'!$K243=""),"Final Earned; ","")&amp;IF(AND(LOWER('Game Records'!$D243&amp;"")="finalized",'Game Records'!$U243&lt;&gt;"Subscription",'Game Records'!$U243&lt;&gt;"Free Game",'Game Records'!$U243&lt;&gt;"Disqualified — Free Game",OR('Game Records'!$L243="",LOWER('Game Records'!$L243&amp;"")="n/a")),"Disqualified Status; ",""))</x:f>
      </x:c>
      <x:c r="G243" s="331" t="str">
        <x:f>IF($A243="","",IFERROR('Game Records'!$M243,""))</x:f>
      </x:c>
    </x:row>
    <x:row r="244">
      <x:c r="A244" s="332" t="str">
        <x:f>IF(OR(COUNTA('Game Records'!$A244:$M244)=0,'Game Records'!$F244="Subscription"),"",IFERROR(MAX($A$4:A243),0)+1)</x:f>
      </x:c>
      <x:c r="B244" s="332" t="str">
        <x:f>IF($A244="","","G-"&amp;TEXT(ROW('Game Records'!$A244)-4,"0000"))</x:f>
      </x:c>
      <x:c r="C244" s="331" t="str">
        <x:f>IF($A244="","",IFERROR('Game Records'!$A244,""))</x:f>
      </x:c>
      <x:c r="D244" s="331" t="str">
        <x:f>IF($A244="","",IFERROR('Game Records'!$U244,""))</x:f>
      </x:c>
      <x:c r="E244" s="331" t="str">
        <x:f>IF($A244="","",IF($F244="","No Highlighted Fields","Highlighted Fields Present"))</x:f>
      </x:c>
      <x:c r="F244" s="331" t="str">
        <x:f>IF($A244="","",IF('Game Records'!$B244="","Start Date; ","")&amp;IF('Game Records'!$C244="","End Date; ","")&amp;IF(AND('Game Records'!$U244&lt;&gt;"Subscription",'Game Records'!$U244&lt;&gt;"Free Game",'Game Records'!$U244&lt;&gt;"Disqualified — Free Game",OR('Game Records'!$D244="",LOWER('Game Records'!$D244&amp;"")="n/a")),"Entry Mode; ","")&amp;IF(AND('Game Records'!$U244&lt;&gt;"Subscription",'Game Records'!$U244&lt;&gt;"Free Game",'Game Records'!$U244&lt;&gt;"Disqualified — Free Game",OR('Game Records'!$E244="",LOWER('Game Records'!$E244&amp;"")="n/a")),"Game Type; ","")&amp;IF('Game Records'!$F244="","Payment Type; ","")&amp;IF(AND('Game Records'!$U244&lt;&gt;"Subscription",'Game Records'!$U244&lt;&gt;"Free Game",'Game Records'!$U244&lt;&gt;"Disqualified — Free Game",'Game Records'!$G244=""),"Gross Pot; ","")&amp;IF(AND('Game Records'!$U244&lt;&gt;"Free Game",'Game Records'!$U244&lt;&gt;"Disqualified — Free Game",'Game Records'!$H244=""),"Entry Fee; ","")&amp;IF(AND('Game Records'!$U244&lt;&gt;"Subscription",'Game Records'!$U244&lt;&gt;"Free Game",'Game Records'!$U244&lt;&gt;"Disqualified — Free Game",'Game Records'!$I244=""),"Eligible Players; ","")&amp;IF(AND('Game Records'!$U244&lt;&gt;"Subscription",'Game Records'!$U244&lt;&gt;"Free Game",'Game Records'!$U244&lt;&gt;"Disqualified — Free Game",'Game Records'!$J244=""),"Total Players; ","")&amp;IF(AND(LOWER('Game Records'!$D244&amp;"")="finalized",LOWER('Game Records'!$L244&amp;"")&lt;&gt;"yes",'Game Records'!$U244&lt;&gt;"Subscription",'Game Records'!$U244&lt;&gt;"Free Game",'Game Records'!$U244&lt;&gt;"Disqualified — Free Game",'Game Records'!$K244=""),"Final Earned; ","")&amp;IF(AND(LOWER('Game Records'!$D244&amp;"")="finalized",'Game Records'!$U244&lt;&gt;"Subscription",'Game Records'!$U244&lt;&gt;"Free Game",'Game Records'!$U244&lt;&gt;"Disqualified — Free Game",OR('Game Records'!$L244="",LOWER('Game Records'!$L244&amp;"")="n/a")),"Disqualified Status; ",""))</x:f>
      </x:c>
      <x:c r="G244" s="331" t="str">
        <x:f>IF($A244="","",IFERROR('Game Records'!$M244,""))</x:f>
      </x:c>
    </x:row>
    <x:row r="245">
      <x:c r="A245" s="332" t="str">
        <x:f>IF(OR(COUNTA('Game Records'!$A245:$M245)=0,'Game Records'!$F245="Subscription"),"",IFERROR(MAX($A$4:A244),0)+1)</x:f>
      </x:c>
      <x:c r="B245" s="332" t="str">
        <x:f>IF($A245="","","G-"&amp;TEXT(ROW('Game Records'!$A245)-4,"0000"))</x:f>
      </x:c>
      <x:c r="C245" s="331" t="str">
        <x:f>IF($A245="","",IFERROR('Game Records'!$A245,""))</x:f>
      </x:c>
      <x:c r="D245" s="331" t="str">
        <x:f>IF($A245="","",IFERROR('Game Records'!$U245,""))</x:f>
      </x:c>
      <x:c r="E245" s="331" t="str">
        <x:f>IF($A245="","",IF($F245="","No Highlighted Fields","Highlighted Fields Present"))</x:f>
      </x:c>
      <x:c r="F245" s="331" t="str">
        <x:f>IF($A245="","",IF('Game Records'!$B245="","Start Date; ","")&amp;IF('Game Records'!$C245="","End Date; ","")&amp;IF(AND('Game Records'!$U245&lt;&gt;"Subscription",'Game Records'!$U245&lt;&gt;"Free Game",'Game Records'!$U245&lt;&gt;"Disqualified — Free Game",OR('Game Records'!$D245="",LOWER('Game Records'!$D245&amp;"")="n/a")),"Entry Mode; ","")&amp;IF(AND('Game Records'!$U245&lt;&gt;"Subscription",'Game Records'!$U245&lt;&gt;"Free Game",'Game Records'!$U245&lt;&gt;"Disqualified — Free Game",OR('Game Records'!$E245="",LOWER('Game Records'!$E245&amp;"")="n/a")),"Game Type; ","")&amp;IF('Game Records'!$F245="","Payment Type; ","")&amp;IF(AND('Game Records'!$U245&lt;&gt;"Subscription",'Game Records'!$U245&lt;&gt;"Free Game",'Game Records'!$U245&lt;&gt;"Disqualified — Free Game",'Game Records'!$G245=""),"Gross Pot; ","")&amp;IF(AND('Game Records'!$U245&lt;&gt;"Free Game",'Game Records'!$U245&lt;&gt;"Disqualified — Free Game",'Game Records'!$H245=""),"Entry Fee; ","")&amp;IF(AND('Game Records'!$U245&lt;&gt;"Subscription",'Game Records'!$U245&lt;&gt;"Free Game",'Game Records'!$U245&lt;&gt;"Disqualified — Free Game",'Game Records'!$I245=""),"Eligible Players; ","")&amp;IF(AND('Game Records'!$U245&lt;&gt;"Subscription",'Game Records'!$U245&lt;&gt;"Free Game",'Game Records'!$U245&lt;&gt;"Disqualified — Free Game",'Game Records'!$J245=""),"Total Players; ","")&amp;IF(AND(LOWER('Game Records'!$D245&amp;"")="finalized",LOWER('Game Records'!$L245&amp;"")&lt;&gt;"yes",'Game Records'!$U245&lt;&gt;"Subscription",'Game Records'!$U245&lt;&gt;"Free Game",'Game Records'!$U245&lt;&gt;"Disqualified — Free Game",'Game Records'!$K245=""),"Final Earned; ","")&amp;IF(AND(LOWER('Game Records'!$D245&amp;"")="finalized",'Game Records'!$U245&lt;&gt;"Subscription",'Game Records'!$U245&lt;&gt;"Free Game",'Game Records'!$U245&lt;&gt;"Disqualified — Free Game",OR('Game Records'!$L245="",LOWER('Game Records'!$L245&amp;"")="n/a")),"Disqualified Status; ",""))</x:f>
      </x:c>
      <x:c r="G245" s="331" t="str">
        <x:f>IF($A245="","",IFERROR('Game Records'!$M245,""))</x:f>
      </x:c>
    </x:row>
    <x:row r="246">
      <x:c r="A246" s="332" t="str">
        <x:f>IF(OR(COUNTA('Game Records'!$A246:$M246)=0,'Game Records'!$F246="Subscription"),"",IFERROR(MAX($A$4:A245),0)+1)</x:f>
      </x:c>
      <x:c r="B246" s="332" t="str">
        <x:f>IF($A246="","","G-"&amp;TEXT(ROW('Game Records'!$A246)-4,"0000"))</x:f>
      </x:c>
      <x:c r="C246" s="331" t="str">
        <x:f>IF($A246="","",IFERROR('Game Records'!$A246,""))</x:f>
      </x:c>
      <x:c r="D246" s="331" t="str">
        <x:f>IF($A246="","",IFERROR('Game Records'!$U246,""))</x:f>
      </x:c>
      <x:c r="E246" s="331" t="str">
        <x:f>IF($A246="","",IF($F246="","No Highlighted Fields","Highlighted Fields Present"))</x:f>
      </x:c>
      <x:c r="F246" s="331" t="str">
        <x:f>IF($A246="","",IF('Game Records'!$B246="","Start Date; ","")&amp;IF('Game Records'!$C246="","End Date; ","")&amp;IF(AND('Game Records'!$U246&lt;&gt;"Subscription",'Game Records'!$U246&lt;&gt;"Free Game",'Game Records'!$U246&lt;&gt;"Disqualified — Free Game",OR('Game Records'!$D246="",LOWER('Game Records'!$D246&amp;"")="n/a")),"Entry Mode; ","")&amp;IF(AND('Game Records'!$U246&lt;&gt;"Subscription",'Game Records'!$U246&lt;&gt;"Free Game",'Game Records'!$U246&lt;&gt;"Disqualified — Free Game",OR('Game Records'!$E246="",LOWER('Game Records'!$E246&amp;"")="n/a")),"Game Type; ","")&amp;IF('Game Records'!$F246="","Payment Type; ","")&amp;IF(AND('Game Records'!$U246&lt;&gt;"Subscription",'Game Records'!$U246&lt;&gt;"Free Game",'Game Records'!$U246&lt;&gt;"Disqualified — Free Game",'Game Records'!$G246=""),"Gross Pot; ","")&amp;IF(AND('Game Records'!$U246&lt;&gt;"Free Game",'Game Records'!$U246&lt;&gt;"Disqualified — Free Game",'Game Records'!$H246=""),"Entry Fee; ","")&amp;IF(AND('Game Records'!$U246&lt;&gt;"Subscription",'Game Records'!$U246&lt;&gt;"Free Game",'Game Records'!$U246&lt;&gt;"Disqualified — Free Game",'Game Records'!$I246=""),"Eligible Players; ","")&amp;IF(AND('Game Records'!$U246&lt;&gt;"Subscription",'Game Records'!$U246&lt;&gt;"Free Game",'Game Records'!$U246&lt;&gt;"Disqualified — Free Game",'Game Records'!$J246=""),"Total Players; ","")&amp;IF(AND(LOWER('Game Records'!$D246&amp;"")="finalized",LOWER('Game Records'!$L246&amp;"")&lt;&gt;"yes",'Game Records'!$U246&lt;&gt;"Subscription",'Game Records'!$U246&lt;&gt;"Free Game",'Game Records'!$U246&lt;&gt;"Disqualified — Free Game",'Game Records'!$K246=""),"Final Earned; ","")&amp;IF(AND(LOWER('Game Records'!$D246&amp;"")="finalized",'Game Records'!$U246&lt;&gt;"Subscription",'Game Records'!$U246&lt;&gt;"Free Game",'Game Records'!$U246&lt;&gt;"Disqualified — Free Game",OR('Game Records'!$L246="",LOWER('Game Records'!$L246&amp;"")="n/a")),"Disqualified Status; ",""))</x:f>
      </x:c>
      <x:c r="G246" s="331" t="str">
        <x:f>IF($A246="","",IFERROR('Game Records'!$M246,""))</x:f>
      </x:c>
    </x:row>
    <x:row r="247">
      <x:c r="A247" s="332" t="str">
        <x:f>IF(OR(COUNTA('Game Records'!$A247:$M247)=0,'Game Records'!$F247="Subscription"),"",IFERROR(MAX($A$4:A246),0)+1)</x:f>
      </x:c>
      <x:c r="B247" s="332" t="str">
        <x:f>IF($A247="","","G-"&amp;TEXT(ROW('Game Records'!$A247)-4,"0000"))</x:f>
      </x:c>
      <x:c r="C247" s="331" t="str">
        <x:f>IF($A247="","",IFERROR('Game Records'!$A247,""))</x:f>
      </x:c>
      <x:c r="D247" s="331" t="str">
        <x:f>IF($A247="","",IFERROR('Game Records'!$U247,""))</x:f>
      </x:c>
      <x:c r="E247" s="331" t="str">
        <x:f>IF($A247="","",IF($F247="","No Highlighted Fields","Highlighted Fields Present"))</x:f>
      </x:c>
      <x:c r="F247" s="331" t="str">
        <x:f>IF($A247="","",IF('Game Records'!$B247="","Start Date; ","")&amp;IF('Game Records'!$C247="","End Date; ","")&amp;IF(AND('Game Records'!$U247&lt;&gt;"Subscription",'Game Records'!$U247&lt;&gt;"Free Game",'Game Records'!$U247&lt;&gt;"Disqualified — Free Game",OR('Game Records'!$D247="",LOWER('Game Records'!$D247&amp;"")="n/a")),"Entry Mode; ","")&amp;IF(AND('Game Records'!$U247&lt;&gt;"Subscription",'Game Records'!$U247&lt;&gt;"Free Game",'Game Records'!$U247&lt;&gt;"Disqualified — Free Game",OR('Game Records'!$E247="",LOWER('Game Records'!$E247&amp;"")="n/a")),"Game Type; ","")&amp;IF('Game Records'!$F247="","Payment Type; ","")&amp;IF(AND('Game Records'!$U247&lt;&gt;"Subscription",'Game Records'!$U247&lt;&gt;"Free Game",'Game Records'!$U247&lt;&gt;"Disqualified — Free Game",'Game Records'!$G247=""),"Gross Pot; ","")&amp;IF(AND('Game Records'!$U247&lt;&gt;"Free Game",'Game Records'!$U247&lt;&gt;"Disqualified — Free Game",'Game Records'!$H247=""),"Entry Fee; ","")&amp;IF(AND('Game Records'!$U247&lt;&gt;"Subscription",'Game Records'!$U247&lt;&gt;"Free Game",'Game Records'!$U247&lt;&gt;"Disqualified — Free Game",'Game Records'!$I247=""),"Eligible Players; ","")&amp;IF(AND('Game Records'!$U247&lt;&gt;"Subscription",'Game Records'!$U247&lt;&gt;"Free Game",'Game Records'!$U247&lt;&gt;"Disqualified — Free Game",'Game Records'!$J247=""),"Total Players; ","")&amp;IF(AND(LOWER('Game Records'!$D247&amp;"")="finalized",LOWER('Game Records'!$L247&amp;"")&lt;&gt;"yes",'Game Records'!$U247&lt;&gt;"Subscription",'Game Records'!$U247&lt;&gt;"Free Game",'Game Records'!$U247&lt;&gt;"Disqualified — Free Game",'Game Records'!$K247=""),"Final Earned; ","")&amp;IF(AND(LOWER('Game Records'!$D247&amp;"")="finalized",'Game Records'!$U247&lt;&gt;"Subscription",'Game Records'!$U247&lt;&gt;"Free Game",'Game Records'!$U247&lt;&gt;"Disqualified — Free Game",OR('Game Records'!$L247="",LOWER('Game Records'!$L247&amp;"")="n/a")),"Disqualified Status; ",""))</x:f>
      </x:c>
      <x:c r="G247" s="331" t="str">
        <x:f>IF($A247="","",IFERROR('Game Records'!$M247,""))</x:f>
      </x:c>
    </x:row>
    <x:row r="248">
      <x:c r="A248" s="332" t="str">
        <x:f>IF(OR(COUNTA('Game Records'!$A248:$M248)=0,'Game Records'!$F248="Subscription"),"",IFERROR(MAX($A$4:A247),0)+1)</x:f>
      </x:c>
      <x:c r="B248" s="332" t="str">
        <x:f>IF($A248="","","G-"&amp;TEXT(ROW('Game Records'!$A248)-4,"0000"))</x:f>
      </x:c>
      <x:c r="C248" s="331" t="str">
        <x:f>IF($A248="","",IFERROR('Game Records'!$A248,""))</x:f>
      </x:c>
      <x:c r="D248" s="331" t="str">
        <x:f>IF($A248="","",IFERROR('Game Records'!$U248,""))</x:f>
      </x:c>
      <x:c r="E248" s="331" t="str">
        <x:f>IF($A248="","",IF($F248="","No Highlighted Fields","Highlighted Fields Present"))</x:f>
      </x:c>
      <x:c r="F248" s="331" t="str">
        <x:f>IF($A248="","",IF('Game Records'!$B248="","Start Date; ","")&amp;IF('Game Records'!$C248="","End Date; ","")&amp;IF(AND('Game Records'!$U248&lt;&gt;"Subscription",'Game Records'!$U248&lt;&gt;"Free Game",'Game Records'!$U248&lt;&gt;"Disqualified — Free Game",OR('Game Records'!$D248="",LOWER('Game Records'!$D248&amp;"")="n/a")),"Entry Mode; ","")&amp;IF(AND('Game Records'!$U248&lt;&gt;"Subscription",'Game Records'!$U248&lt;&gt;"Free Game",'Game Records'!$U248&lt;&gt;"Disqualified — Free Game",OR('Game Records'!$E248="",LOWER('Game Records'!$E248&amp;"")="n/a")),"Game Type; ","")&amp;IF('Game Records'!$F248="","Payment Type; ","")&amp;IF(AND('Game Records'!$U248&lt;&gt;"Subscription",'Game Records'!$U248&lt;&gt;"Free Game",'Game Records'!$U248&lt;&gt;"Disqualified — Free Game",'Game Records'!$G248=""),"Gross Pot; ","")&amp;IF(AND('Game Records'!$U248&lt;&gt;"Free Game",'Game Records'!$U248&lt;&gt;"Disqualified — Free Game",'Game Records'!$H248=""),"Entry Fee; ","")&amp;IF(AND('Game Records'!$U248&lt;&gt;"Subscription",'Game Records'!$U248&lt;&gt;"Free Game",'Game Records'!$U248&lt;&gt;"Disqualified — Free Game",'Game Records'!$I248=""),"Eligible Players; ","")&amp;IF(AND('Game Records'!$U248&lt;&gt;"Subscription",'Game Records'!$U248&lt;&gt;"Free Game",'Game Records'!$U248&lt;&gt;"Disqualified — Free Game",'Game Records'!$J248=""),"Total Players; ","")&amp;IF(AND(LOWER('Game Records'!$D248&amp;"")="finalized",LOWER('Game Records'!$L248&amp;"")&lt;&gt;"yes",'Game Records'!$U248&lt;&gt;"Subscription",'Game Records'!$U248&lt;&gt;"Free Game",'Game Records'!$U248&lt;&gt;"Disqualified — Free Game",'Game Records'!$K248=""),"Final Earned; ","")&amp;IF(AND(LOWER('Game Records'!$D248&amp;"")="finalized",'Game Records'!$U248&lt;&gt;"Subscription",'Game Records'!$U248&lt;&gt;"Free Game",'Game Records'!$U248&lt;&gt;"Disqualified — Free Game",OR('Game Records'!$L248="",LOWER('Game Records'!$L248&amp;"")="n/a")),"Disqualified Status; ",""))</x:f>
      </x:c>
      <x:c r="G248" s="331" t="str">
        <x:f>IF($A248="","",IFERROR('Game Records'!$M248,""))</x:f>
      </x:c>
    </x:row>
    <x:row r="249">
      <x:c r="A249" s="332" t="str">
        <x:f>IF(OR(COUNTA('Game Records'!$A249:$M249)=0,'Game Records'!$F249="Subscription"),"",IFERROR(MAX($A$4:A248),0)+1)</x:f>
      </x:c>
      <x:c r="B249" s="332" t="str">
        <x:f>IF($A249="","","G-"&amp;TEXT(ROW('Game Records'!$A249)-4,"0000"))</x:f>
      </x:c>
      <x:c r="C249" s="331" t="str">
        <x:f>IF($A249="","",IFERROR('Game Records'!$A249,""))</x:f>
      </x:c>
      <x:c r="D249" s="331" t="str">
        <x:f>IF($A249="","",IFERROR('Game Records'!$U249,""))</x:f>
      </x:c>
      <x:c r="E249" s="331" t="str">
        <x:f>IF($A249="","",IF($F249="","No Highlighted Fields","Highlighted Fields Present"))</x:f>
      </x:c>
      <x:c r="F249" s="331" t="str">
        <x:f>IF($A249="","",IF('Game Records'!$B249="","Start Date; ","")&amp;IF('Game Records'!$C249="","End Date; ","")&amp;IF(AND('Game Records'!$U249&lt;&gt;"Subscription",'Game Records'!$U249&lt;&gt;"Free Game",'Game Records'!$U249&lt;&gt;"Disqualified — Free Game",OR('Game Records'!$D249="",LOWER('Game Records'!$D249&amp;"")="n/a")),"Entry Mode; ","")&amp;IF(AND('Game Records'!$U249&lt;&gt;"Subscription",'Game Records'!$U249&lt;&gt;"Free Game",'Game Records'!$U249&lt;&gt;"Disqualified — Free Game",OR('Game Records'!$E249="",LOWER('Game Records'!$E249&amp;"")="n/a")),"Game Type; ","")&amp;IF('Game Records'!$F249="","Payment Type; ","")&amp;IF(AND('Game Records'!$U249&lt;&gt;"Subscription",'Game Records'!$U249&lt;&gt;"Free Game",'Game Records'!$U249&lt;&gt;"Disqualified — Free Game",'Game Records'!$G249=""),"Gross Pot; ","")&amp;IF(AND('Game Records'!$U249&lt;&gt;"Free Game",'Game Records'!$U249&lt;&gt;"Disqualified — Free Game",'Game Records'!$H249=""),"Entry Fee; ","")&amp;IF(AND('Game Records'!$U249&lt;&gt;"Subscription",'Game Records'!$U249&lt;&gt;"Free Game",'Game Records'!$U249&lt;&gt;"Disqualified — Free Game",'Game Records'!$I249=""),"Eligible Players; ","")&amp;IF(AND('Game Records'!$U249&lt;&gt;"Subscription",'Game Records'!$U249&lt;&gt;"Free Game",'Game Records'!$U249&lt;&gt;"Disqualified — Free Game",'Game Records'!$J249=""),"Total Players; ","")&amp;IF(AND(LOWER('Game Records'!$D249&amp;"")="finalized",LOWER('Game Records'!$L249&amp;"")&lt;&gt;"yes",'Game Records'!$U249&lt;&gt;"Subscription",'Game Records'!$U249&lt;&gt;"Free Game",'Game Records'!$U249&lt;&gt;"Disqualified — Free Game",'Game Records'!$K249=""),"Final Earned; ","")&amp;IF(AND(LOWER('Game Records'!$D249&amp;"")="finalized",'Game Records'!$U249&lt;&gt;"Subscription",'Game Records'!$U249&lt;&gt;"Free Game",'Game Records'!$U249&lt;&gt;"Disqualified — Free Game",OR('Game Records'!$L249="",LOWER('Game Records'!$L249&amp;"")="n/a")),"Disqualified Status; ",""))</x:f>
      </x:c>
      <x:c r="G249" s="331" t="str">
        <x:f>IF($A249="","",IFERROR('Game Records'!$M249,""))</x:f>
      </x:c>
    </x:row>
    <x:row r="250">
      <x:c r="A250" s="332" t="str">
        <x:f>IF(OR(COUNTA('Game Records'!$A250:$M250)=0,'Game Records'!$F250="Subscription"),"",IFERROR(MAX($A$4:A249),0)+1)</x:f>
      </x:c>
      <x:c r="B250" s="332" t="str">
        <x:f>IF($A250="","","G-"&amp;TEXT(ROW('Game Records'!$A250)-4,"0000"))</x:f>
      </x:c>
      <x:c r="C250" s="331" t="str">
        <x:f>IF($A250="","",IFERROR('Game Records'!$A250,""))</x:f>
      </x:c>
      <x:c r="D250" s="331" t="str">
        <x:f>IF($A250="","",IFERROR('Game Records'!$U250,""))</x:f>
      </x:c>
      <x:c r="E250" s="331" t="str">
        <x:f>IF($A250="","",IF($F250="","No Highlighted Fields","Highlighted Fields Present"))</x:f>
      </x:c>
      <x:c r="F250" s="331" t="str">
        <x:f>IF($A250="","",IF('Game Records'!$B250="","Start Date; ","")&amp;IF('Game Records'!$C250="","End Date; ","")&amp;IF(AND('Game Records'!$U250&lt;&gt;"Subscription",'Game Records'!$U250&lt;&gt;"Free Game",'Game Records'!$U250&lt;&gt;"Disqualified — Free Game",OR('Game Records'!$D250="",LOWER('Game Records'!$D250&amp;"")="n/a")),"Entry Mode; ","")&amp;IF(AND('Game Records'!$U250&lt;&gt;"Subscription",'Game Records'!$U250&lt;&gt;"Free Game",'Game Records'!$U250&lt;&gt;"Disqualified — Free Game",OR('Game Records'!$E250="",LOWER('Game Records'!$E250&amp;"")="n/a")),"Game Type; ","")&amp;IF('Game Records'!$F250="","Payment Type; ","")&amp;IF(AND('Game Records'!$U250&lt;&gt;"Subscription",'Game Records'!$U250&lt;&gt;"Free Game",'Game Records'!$U250&lt;&gt;"Disqualified — Free Game",'Game Records'!$G250=""),"Gross Pot; ","")&amp;IF(AND('Game Records'!$U250&lt;&gt;"Free Game",'Game Records'!$U250&lt;&gt;"Disqualified — Free Game",'Game Records'!$H250=""),"Entry Fee; ","")&amp;IF(AND('Game Records'!$U250&lt;&gt;"Subscription",'Game Records'!$U250&lt;&gt;"Free Game",'Game Records'!$U250&lt;&gt;"Disqualified — Free Game",'Game Records'!$I250=""),"Eligible Players; ","")&amp;IF(AND('Game Records'!$U250&lt;&gt;"Subscription",'Game Records'!$U250&lt;&gt;"Free Game",'Game Records'!$U250&lt;&gt;"Disqualified — Free Game",'Game Records'!$J250=""),"Total Players; ","")&amp;IF(AND(LOWER('Game Records'!$D250&amp;"")="finalized",LOWER('Game Records'!$L250&amp;"")&lt;&gt;"yes",'Game Records'!$U250&lt;&gt;"Subscription",'Game Records'!$U250&lt;&gt;"Free Game",'Game Records'!$U250&lt;&gt;"Disqualified — Free Game",'Game Records'!$K250=""),"Final Earned; ","")&amp;IF(AND(LOWER('Game Records'!$D250&amp;"")="finalized",'Game Records'!$U250&lt;&gt;"Subscription",'Game Records'!$U250&lt;&gt;"Free Game",'Game Records'!$U250&lt;&gt;"Disqualified — Free Game",OR('Game Records'!$L250="",LOWER('Game Records'!$L250&amp;"")="n/a")),"Disqualified Status; ",""))</x:f>
      </x:c>
      <x:c r="G250" s="331" t="str">
        <x:f>IF($A250="","",IFERROR('Game Records'!$M250,""))</x:f>
      </x:c>
    </x:row>
    <x:row r="251">
      <x:c r="A251" s="332" t="str">
        <x:f>IF(OR(COUNTA('Game Records'!$A251:$M251)=0,'Game Records'!$F251="Subscription"),"",IFERROR(MAX($A$4:A250),0)+1)</x:f>
      </x:c>
      <x:c r="B251" s="332" t="str">
        <x:f>IF($A251="","","G-"&amp;TEXT(ROW('Game Records'!$A251)-4,"0000"))</x:f>
      </x:c>
      <x:c r="C251" s="331" t="str">
        <x:f>IF($A251="","",IFERROR('Game Records'!$A251,""))</x:f>
      </x:c>
      <x:c r="D251" s="331" t="str">
        <x:f>IF($A251="","",IFERROR('Game Records'!$U251,""))</x:f>
      </x:c>
      <x:c r="E251" s="331" t="str">
        <x:f>IF($A251="","",IF($F251="","No Highlighted Fields","Highlighted Fields Present"))</x:f>
      </x:c>
      <x:c r="F251" s="331" t="str">
        <x:f>IF($A251="","",IF('Game Records'!$B251="","Start Date; ","")&amp;IF('Game Records'!$C251="","End Date; ","")&amp;IF(AND('Game Records'!$U251&lt;&gt;"Subscription",'Game Records'!$U251&lt;&gt;"Free Game",'Game Records'!$U251&lt;&gt;"Disqualified — Free Game",OR('Game Records'!$D251="",LOWER('Game Records'!$D251&amp;"")="n/a")),"Entry Mode; ","")&amp;IF(AND('Game Records'!$U251&lt;&gt;"Subscription",'Game Records'!$U251&lt;&gt;"Free Game",'Game Records'!$U251&lt;&gt;"Disqualified — Free Game",OR('Game Records'!$E251="",LOWER('Game Records'!$E251&amp;"")="n/a")),"Game Type; ","")&amp;IF('Game Records'!$F251="","Payment Type; ","")&amp;IF(AND('Game Records'!$U251&lt;&gt;"Subscription",'Game Records'!$U251&lt;&gt;"Free Game",'Game Records'!$U251&lt;&gt;"Disqualified — Free Game",'Game Records'!$G251=""),"Gross Pot; ","")&amp;IF(AND('Game Records'!$U251&lt;&gt;"Free Game",'Game Records'!$U251&lt;&gt;"Disqualified — Free Game",'Game Records'!$H251=""),"Entry Fee; ","")&amp;IF(AND('Game Records'!$U251&lt;&gt;"Subscription",'Game Records'!$U251&lt;&gt;"Free Game",'Game Records'!$U251&lt;&gt;"Disqualified — Free Game",'Game Records'!$I251=""),"Eligible Players; ","")&amp;IF(AND('Game Records'!$U251&lt;&gt;"Subscription",'Game Records'!$U251&lt;&gt;"Free Game",'Game Records'!$U251&lt;&gt;"Disqualified — Free Game",'Game Records'!$J251=""),"Total Players; ","")&amp;IF(AND(LOWER('Game Records'!$D251&amp;"")="finalized",LOWER('Game Records'!$L251&amp;"")&lt;&gt;"yes",'Game Records'!$U251&lt;&gt;"Subscription",'Game Records'!$U251&lt;&gt;"Free Game",'Game Records'!$U251&lt;&gt;"Disqualified — Free Game",'Game Records'!$K251=""),"Final Earned; ","")&amp;IF(AND(LOWER('Game Records'!$D251&amp;"")="finalized",'Game Records'!$U251&lt;&gt;"Subscription",'Game Records'!$U251&lt;&gt;"Free Game",'Game Records'!$U251&lt;&gt;"Disqualified — Free Game",OR('Game Records'!$L251="",LOWER('Game Records'!$L251&amp;"")="n/a")),"Disqualified Status; ",""))</x:f>
      </x:c>
      <x:c r="G251" s="331" t="str">
        <x:f>IF($A251="","",IFERROR('Game Records'!$M251,""))</x:f>
      </x:c>
    </x:row>
    <x:row r="252">
      <x:c r="A252" s="332" t="str">
        <x:f>IF(OR(COUNTA('Game Records'!$A252:$M252)=0,'Game Records'!$F252="Subscription"),"",IFERROR(MAX($A$4:A251),0)+1)</x:f>
      </x:c>
      <x:c r="B252" s="332" t="str">
        <x:f>IF($A252="","","G-"&amp;TEXT(ROW('Game Records'!$A252)-4,"0000"))</x:f>
      </x:c>
      <x:c r="C252" s="331" t="str">
        <x:f>IF($A252="","",IFERROR('Game Records'!$A252,""))</x:f>
      </x:c>
      <x:c r="D252" s="331" t="str">
        <x:f>IF($A252="","",IFERROR('Game Records'!$U252,""))</x:f>
      </x:c>
      <x:c r="E252" s="331" t="str">
        <x:f>IF($A252="","",IF($F252="","No Highlighted Fields","Highlighted Fields Present"))</x:f>
      </x:c>
      <x:c r="F252" s="331" t="str">
        <x:f>IF($A252="","",IF('Game Records'!$B252="","Start Date; ","")&amp;IF('Game Records'!$C252="","End Date; ","")&amp;IF(AND('Game Records'!$U252&lt;&gt;"Subscription",'Game Records'!$U252&lt;&gt;"Free Game",'Game Records'!$U252&lt;&gt;"Disqualified — Free Game",OR('Game Records'!$D252="",LOWER('Game Records'!$D252&amp;"")="n/a")),"Entry Mode; ","")&amp;IF(AND('Game Records'!$U252&lt;&gt;"Subscription",'Game Records'!$U252&lt;&gt;"Free Game",'Game Records'!$U252&lt;&gt;"Disqualified — Free Game",OR('Game Records'!$E252="",LOWER('Game Records'!$E252&amp;"")="n/a")),"Game Type; ","")&amp;IF('Game Records'!$F252="","Payment Type; ","")&amp;IF(AND('Game Records'!$U252&lt;&gt;"Subscription",'Game Records'!$U252&lt;&gt;"Free Game",'Game Records'!$U252&lt;&gt;"Disqualified — Free Game",'Game Records'!$G252=""),"Gross Pot; ","")&amp;IF(AND('Game Records'!$U252&lt;&gt;"Free Game",'Game Records'!$U252&lt;&gt;"Disqualified — Free Game",'Game Records'!$H252=""),"Entry Fee; ","")&amp;IF(AND('Game Records'!$U252&lt;&gt;"Subscription",'Game Records'!$U252&lt;&gt;"Free Game",'Game Records'!$U252&lt;&gt;"Disqualified — Free Game",'Game Records'!$I252=""),"Eligible Players; ","")&amp;IF(AND('Game Records'!$U252&lt;&gt;"Subscription",'Game Records'!$U252&lt;&gt;"Free Game",'Game Records'!$U252&lt;&gt;"Disqualified — Free Game",'Game Records'!$J252=""),"Total Players; ","")&amp;IF(AND(LOWER('Game Records'!$D252&amp;"")="finalized",LOWER('Game Records'!$L252&amp;"")&lt;&gt;"yes",'Game Records'!$U252&lt;&gt;"Subscription",'Game Records'!$U252&lt;&gt;"Free Game",'Game Records'!$U252&lt;&gt;"Disqualified — Free Game",'Game Records'!$K252=""),"Final Earned; ","")&amp;IF(AND(LOWER('Game Records'!$D252&amp;"")="finalized",'Game Records'!$U252&lt;&gt;"Subscription",'Game Records'!$U252&lt;&gt;"Free Game",'Game Records'!$U252&lt;&gt;"Disqualified — Free Game",OR('Game Records'!$L252="",LOWER('Game Records'!$L252&amp;"")="n/a")),"Disqualified Status; ",""))</x:f>
      </x:c>
      <x:c r="G252" s="331" t="str">
        <x:f>IF($A252="","",IFERROR('Game Records'!$M252,""))</x:f>
      </x:c>
    </x:row>
    <x:row r="253">
      <x:c r="A253" s="332" t="str">
        <x:f>IF(OR(COUNTA('Game Records'!$A253:$M253)=0,'Game Records'!$F253="Subscription"),"",IFERROR(MAX($A$4:A252),0)+1)</x:f>
      </x:c>
      <x:c r="B253" s="332" t="str">
        <x:f>IF($A253="","","G-"&amp;TEXT(ROW('Game Records'!$A253)-4,"0000"))</x:f>
      </x:c>
      <x:c r="C253" s="331" t="str">
        <x:f>IF($A253="","",IFERROR('Game Records'!$A253,""))</x:f>
      </x:c>
      <x:c r="D253" s="331" t="str">
        <x:f>IF($A253="","",IFERROR('Game Records'!$U253,""))</x:f>
      </x:c>
      <x:c r="E253" s="331" t="str">
        <x:f>IF($A253="","",IF($F253="","No Highlighted Fields","Highlighted Fields Present"))</x:f>
      </x:c>
      <x:c r="F253" s="331" t="str">
        <x:f>IF($A253="","",IF('Game Records'!$B253="","Start Date; ","")&amp;IF('Game Records'!$C253="","End Date; ","")&amp;IF(AND('Game Records'!$U253&lt;&gt;"Subscription",'Game Records'!$U253&lt;&gt;"Free Game",'Game Records'!$U253&lt;&gt;"Disqualified — Free Game",OR('Game Records'!$D253="",LOWER('Game Records'!$D253&amp;"")="n/a")),"Entry Mode; ","")&amp;IF(AND('Game Records'!$U253&lt;&gt;"Subscription",'Game Records'!$U253&lt;&gt;"Free Game",'Game Records'!$U253&lt;&gt;"Disqualified — Free Game",OR('Game Records'!$E253="",LOWER('Game Records'!$E253&amp;"")="n/a")),"Game Type; ","")&amp;IF('Game Records'!$F253="","Payment Type; ","")&amp;IF(AND('Game Records'!$U253&lt;&gt;"Subscription",'Game Records'!$U253&lt;&gt;"Free Game",'Game Records'!$U253&lt;&gt;"Disqualified — Free Game",'Game Records'!$G253=""),"Gross Pot; ","")&amp;IF(AND('Game Records'!$U253&lt;&gt;"Free Game",'Game Records'!$U253&lt;&gt;"Disqualified — Free Game",'Game Records'!$H253=""),"Entry Fee; ","")&amp;IF(AND('Game Records'!$U253&lt;&gt;"Subscription",'Game Records'!$U253&lt;&gt;"Free Game",'Game Records'!$U253&lt;&gt;"Disqualified — Free Game",'Game Records'!$I253=""),"Eligible Players; ","")&amp;IF(AND('Game Records'!$U253&lt;&gt;"Subscription",'Game Records'!$U253&lt;&gt;"Free Game",'Game Records'!$U253&lt;&gt;"Disqualified — Free Game",'Game Records'!$J253=""),"Total Players; ","")&amp;IF(AND(LOWER('Game Records'!$D253&amp;"")="finalized",LOWER('Game Records'!$L253&amp;"")&lt;&gt;"yes",'Game Records'!$U253&lt;&gt;"Subscription",'Game Records'!$U253&lt;&gt;"Free Game",'Game Records'!$U253&lt;&gt;"Disqualified — Free Game",'Game Records'!$K253=""),"Final Earned; ","")&amp;IF(AND(LOWER('Game Records'!$D253&amp;"")="finalized",'Game Records'!$U253&lt;&gt;"Subscription",'Game Records'!$U253&lt;&gt;"Free Game",'Game Records'!$U253&lt;&gt;"Disqualified — Free Game",OR('Game Records'!$L253="",LOWER('Game Records'!$L253&amp;"")="n/a")),"Disqualified Status; ",""))</x:f>
      </x:c>
      <x:c r="G253" s="331" t="str">
        <x:f>IF($A253="","",IFERROR('Game Records'!$M253,""))</x:f>
      </x:c>
    </x:row>
    <x:row r="254">
      <x:c r="A254" s="332" t="str">
        <x:f>IF(OR(COUNTA('Game Records'!$A254:$M254)=0,'Game Records'!$F254="Subscription"),"",IFERROR(MAX($A$4:A253),0)+1)</x:f>
      </x:c>
      <x:c r="B254" s="332" t="str">
        <x:f>IF($A254="","","G-"&amp;TEXT(ROW('Game Records'!$A254)-4,"0000"))</x:f>
      </x:c>
      <x:c r="C254" s="331" t="str">
        <x:f>IF($A254="","",IFERROR('Game Records'!$A254,""))</x:f>
      </x:c>
      <x:c r="D254" s="331" t="str">
        <x:f>IF($A254="","",IFERROR('Game Records'!$U254,""))</x:f>
      </x:c>
      <x:c r="E254" s="331" t="str">
        <x:f>IF($A254="","",IF($F254="","No Highlighted Fields","Highlighted Fields Present"))</x:f>
      </x:c>
      <x:c r="F254" s="331" t="str">
        <x:f>IF($A254="","",IF('Game Records'!$B254="","Start Date; ","")&amp;IF('Game Records'!$C254="","End Date; ","")&amp;IF(AND('Game Records'!$U254&lt;&gt;"Subscription",'Game Records'!$U254&lt;&gt;"Free Game",'Game Records'!$U254&lt;&gt;"Disqualified — Free Game",OR('Game Records'!$D254="",LOWER('Game Records'!$D254&amp;"")="n/a")),"Entry Mode; ","")&amp;IF(AND('Game Records'!$U254&lt;&gt;"Subscription",'Game Records'!$U254&lt;&gt;"Free Game",'Game Records'!$U254&lt;&gt;"Disqualified — Free Game",OR('Game Records'!$E254="",LOWER('Game Records'!$E254&amp;"")="n/a")),"Game Type; ","")&amp;IF('Game Records'!$F254="","Payment Type; ","")&amp;IF(AND('Game Records'!$U254&lt;&gt;"Subscription",'Game Records'!$U254&lt;&gt;"Free Game",'Game Records'!$U254&lt;&gt;"Disqualified — Free Game",'Game Records'!$G254=""),"Gross Pot; ","")&amp;IF(AND('Game Records'!$U254&lt;&gt;"Free Game",'Game Records'!$U254&lt;&gt;"Disqualified — Free Game",'Game Records'!$H254=""),"Entry Fee; ","")&amp;IF(AND('Game Records'!$U254&lt;&gt;"Subscription",'Game Records'!$U254&lt;&gt;"Free Game",'Game Records'!$U254&lt;&gt;"Disqualified — Free Game",'Game Records'!$I254=""),"Eligible Players; ","")&amp;IF(AND('Game Records'!$U254&lt;&gt;"Subscription",'Game Records'!$U254&lt;&gt;"Free Game",'Game Records'!$U254&lt;&gt;"Disqualified — Free Game",'Game Records'!$J254=""),"Total Players; ","")&amp;IF(AND(LOWER('Game Records'!$D254&amp;"")="finalized",LOWER('Game Records'!$L254&amp;"")&lt;&gt;"yes",'Game Records'!$U254&lt;&gt;"Subscription",'Game Records'!$U254&lt;&gt;"Free Game",'Game Records'!$U254&lt;&gt;"Disqualified — Free Game",'Game Records'!$K254=""),"Final Earned; ","")&amp;IF(AND(LOWER('Game Records'!$D254&amp;"")="finalized",'Game Records'!$U254&lt;&gt;"Subscription",'Game Records'!$U254&lt;&gt;"Free Game",'Game Records'!$U254&lt;&gt;"Disqualified — Free Game",OR('Game Records'!$L254="",LOWER('Game Records'!$L254&amp;"")="n/a")),"Disqualified Status; ",""))</x:f>
      </x:c>
      <x:c r="G254" s="331" t="str">
        <x:f>IF($A254="","",IFERROR('Game Records'!$M254,""))</x:f>
      </x:c>
    </x:row>
    <x:row r="255">
      <x:c r="A255" s="332" t="str">
        <x:f>IF(OR(COUNTA('Game Records'!$A255:$M255)=0,'Game Records'!$F255="Subscription"),"",IFERROR(MAX($A$4:A254),0)+1)</x:f>
      </x:c>
      <x:c r="B255" s="332" t="str">
        <x:f>IF($A255="","","G-"&amp;TEXT(ROW('Game Records'!$A255)-4,"0000"))</x:f>
      </x:c>
      <x:c r="C255" s="331" t="str">
        <x:f>IF($A255="","",IFERROR('Game Records'!$A255,""))</x:f>
      </x:c>
      <x:c r="D255" s="331" t="str">
        <x:f>IF($A255="","",IFERROR('Game Records'!$U255,""))</x:f>
      </x:c>
      <x:c r="E255" s="331" t="str">
        <x:f>IF($A255="","",IF($F255="","No Highlighted Fields","Highlighted Fields Present"))</x:f>
      </x:c>
      <x:c r="F255" s="331" t="str">
        <x:f>IF($A255="","",IF('Game Records'!$B255="","Start Date; ","")&amp;IF('Game Records'!$C255="","End Date; ","")&amp;IF(AND('Game Records'!$U255&lt;&gt;"Subscription",'Game Records'!$U255&lt;&gt;"Free Game",'Game Records'!$U255&lt;&gt;"Disqualified — Free Game",OR('Game Records'!$D255="",LOWER('Game Records'!$D255&amp;"")="n/a")),"Entry Mode; ","")&amp;IF(AND('Game Records'!$U255&lt;&gt;"Subscription",'Game Records'!$U255&lt;&gt;"Free Game",'Game Records'!$U255&lt;&gt;"Disqualified — Free Game",OR('Game Records'!$E255="",LOWER('Game Records'!$E255&amp;"")="n/a")),"Game Type; ","")&amp;IF('Game Records'!$F255="","Payment Type; ","")&amp;IF(AND('Game Records'!$U255&lt;&gt;"Subscription",'Game Records'!$U255&lt;&gt;"Free Game",'Game Records'!$U255&lt;&gt;"Disqualified — Free Game",'Game Records'!$G255=""),"Gross Pot; ","")&amp;IF(AND('Game Records'!$U255&lt;&gt;"Free Game",'Game Records'!$U255&lt;&gt;"Disqualified — Free Game",'Game Records'!$H255=""),"Entry Fee; ","")&amp;IF(AND('Game Records'!$U255&lt;&gt;"Subscription",'Game Records'!$U255&lt;&gt;"Free Game",'Game Records'!$U255&lt;&gt;"Disqualified — Free Game",'Game Records'!$I255=""),"Eligible Players; ","")&amp;IF(AND('Game Records'!$U255&lt;&gt;"Subscription",'Game Records'!$U255&lt;&gt;"Free Game",'Game Records'!$U255&lt;&gt;"Disqualified — Free Game",'Game Records'!$J255=""),"Total Players; ","")&amp;IF(AND(LOWER('Game Records'!$D255&amp;"")="finalized",LOWER('Game Records'!$L255&amp;"")&lt;&gt;"yes",'Game Records'!$U255&lt;&gt;"Subscription",'Game Records'!$U255&lt;&gt;"Free Game",'Game Records'!$U255&lt;&gt;"Disqualified — Free Game",'Game Records'!$K255=""),"Final Earned; ","")&amp;IF(AND(LOWER('Game Records'!$D255&amp;"")="finalized",'Game Records'!$U255&lt;&gt;"Subscription",'Game Records'!$U255&lt;&gt;"Free Game",'Game Records'!$U255&lt;&gt;"Disqualified — Free Game",OR('Game Records'!$L255="",LOWER('Game Records'!$L255&amp;"")="n/a")),"Disqualified Status; ",""))</x:f>
      </x:c>
      <x:c r="G255" s="331" t="str">
        <x:f>IF($A255="","",IFERROR('Game Records'!$M255,""))</x:f>
      </x:c>
    </x:row>
    <x:row r="256">
      <x:c r="A256" s="332" t="str">
        <x:f>IF(OR(COUNTA('Game Records'!$A256:$M256)=0,'Game Records'!$F256="Subscription"),"",IFERROR(MAX($A$4:A255),0)+1)</x:f>
      </x:c>
      <x:c r="B256" s="332" t="str">
        <x:f>IF($A256="","","G-"&amp;TEXT(ROW('Game Records'!$A256)-4,"0000"))</x:f>
      </x:c>
      <x:c r="C256" s="331" t="str">
        <x:f>IF($A256="","",IFERROR('Game Records'!$A256,""))</x:f>
      </x:c>
      <x:c r="D256" s="331" t="str">
        <x:f>IF($A256="","",IFERROR('Game Records'!$U256,""))</x:f>
      </x:c>
      <x:c r="E256" s="331" t="str">
        <x:f>IF($A256="","",IF($F256="","No Highlighted Fields","Highlighted Fields Present"))</x:f>
      </x:c>
      <x:c r="F256" s="331" t="str">
        <x:f>IF($A256="","",IF('Game Records'!$B256="","Start Date; ","")&amp;IF('Game Records'!$C256="","End Date; ","")&amp;IF(AND('Game Records'!$U256&lt;&gt;"Subscription",'Game Records'!$U256&lt;&gt;"Free Game",'Game Records'!$U256&lt;&gt;"Disqualified — Free Game",OR('Game Records'!$D256="",LOWER('Game Records'!$D256&amp;"")="n/a")),"Entry Mode; ","")&amp;IF(AND('Game Records'!$U256&lt;&gt;"Subscription",'Game Records'!$U256&lt;&gt;"Free Game",'Game Records'!$U256&lt;&gt;"Disqualified — Free Game",OR('Game Records'!$E256="",LOWER('Game Records'!$E256&amp;"")="n/a")),"Game Type; ","")&amp;IF('Game Records'!$F256="","Payment Type; ","")&amp;IF(AND('Game Records'!$U256&lt;&gt;"Subscription",'Game Records'!$U256&lt;&gt;"Free Game",'Game Records'!$U256&lt;&gt;"Disqualified — Free Game",'Game Records'!$G256=""),"Gross Pot; ","")&amp;IF(AND('Game Records'!$U256&lt;&gt;"Free Game",'Game Records'!$U256&lt;&gt;"Disqualified — Free Game",'Game Records'!$H256=""),"Entry Fee; ","")&amp;IF(AND('Game Records'!$U256&lt;&gt;"Subscription",'Game Records'!$U256&lt;&gt;"Free Game",'Game Records'!$U256&lt;&gt;"Disqualified — Free Game",'Game Records'!$I256=""),"Eligible Players; ","")&amp;IF(AND('Game Records'!$U256&lt;&gt;"Subscription",'Game Records'!$U256&lt;&gt;"Free Game",'Game Records'!$U256&lt;&gt;"Disqualified — Free Game",'Game Records'!$J256=""),"Total Players; ","")&amp;IF(AND(LOWER('Game Records'!$D256&amp;"")="finalized",LOWER('Game Records'!$L256&amp;"")&lt;&gt;"yes",'Game Records'!$U256&lt;&gt;"Subscription",'Game Records'!$U256&lt;&gt;"Free Game",'Game Records'!$U256&lt;&gt;"Disqualified — Free Game",'Game Records'!$K256=""),"Final Earned; ","")&amp;IF(AND(LOWER('Game Records'!$D256&amp;"")="finalized",'Game Records'!$U256&lt;&gt;"Subscription",'Game Records'!$U256&lt;&gt;"Free Game",'Game Records'!$U256&lt;&gt;"Disqualified — Free Game",OR('Game Records'!$L256="",LOWER('Game Records'!$L256&amp;"")="n/a")),"Disqualified Status; ",""))</x:f>
      </x:c>
      <x:c r="G256" s="331" t="str">
        <x:f>IF($A256="","",IFERROR('Game Records'!$M256,""))</x:f>
      </x:c>
    </x:row>
    <x:row r="257">
      <x:c r="A257" s="332" t="str">
        <x:f>IF(OR(COUNTA('Game Records'!$A257:$M257)=0,'Game Records'!$F257="Subscription"),"",IFERROR(MAX($A$4:A256),0)+1)</x:f>
      </x:c>
      <x:c r="B257" s="332" t="str">
        <x:f>IF($A257="","","G-"&amp;TEXT(ROW('Game Records'!$A257)-4,"0000"))</x:f>
      </x:c>
      <x:c r="C257" s="331" t="str">
        <x:f>IF($A257="","",IFERROR('Game Records'!$A257,""))</x:f>
      </x:c>
      <x:c r="D257" s="331" t="str">
        <x:f>IF($A257="","",IFERROR('Game Records'!$U257,""))</x:f>
      </x:c>
      <x:c r="E257" s="331" t="str">
        <x:f>IF($A257="","",IF($F257="","No Highlighted Fields","Highlighted Fields Present"))</x:f>
      </x:c>
      <x:c r="F257" s="331" t="str">
        <x:f>IF($A257="","",IF('Game Records'!$B257="","Start Date; ","")&amp;IF('Game Records'!$C257="","End Date; ","")&amp;IF(AND('Game Records'!$U257&lt;&gt;"Subscription",'Game Records'!$U257&lt;&gt;"Free Game",'Game Records'!$U257&lt;&gt;"Disqualified — Free Game",OR('Game Records'!$D257="",LOWER('Game Records'!$D257&amp;"")="n/a")),"Entry Mode; ","")&amp;IF(AND('Game Records'!$U257&lt;&gt;"Subscription",'Game Records'!$U257&lt;&gt;"Free Game",'Game Records'!$U257&lt;&gt;"Disqualified — Free Game",OR('Game Records'!$E257="",LOWER('Game Records'!$E257&amp;"")="n/a")),"Game Type; ","")&amp;IF('Game Records'!$F257="","Payment Type; ","")&amp;IF(AND('Game Records'!$U257&lt;&gt;"Subscription",'Game Records'!$U257&lt;&gt;"Free Game",'Game Records'!$U257&lt;&gt;"Disqualified — Free Game",'Game Records'!$G257=""),"Gross Pot; ","")&amp;IF(AND('Game Records'!$U257&lt;&gt;"Free Game",'Game Records'!$U257&lt;&gt;"Disqualified — Free Game",'Game Records'!$H257=""),"Entry Fee; ","")&amp;IF(AND('Game Records'!$U257&lt;&gt;"Subscription",'Game Records'!$U257&lt;&gt;"Free Game",'Game Records'!$U257&lt;&gt;"Disqualified — Free Game",'Game Records'!$I257=""),"Eligible Players; ","")&amp;IF(AND('Game Records'!$U257&lt;&gt;"Subscription",'Game Records'!$U257&lt;&gt;"Free Game",'Game Records'!$U257&lt;&gt;"Disqualified — Free Game",'Game Records'!$J257=""),"Total Players; ","")&amp;IF(AND(LOWER('Game Records'!$D257&amp;"")="finalized",LOWER('Game Records'!$L257&amp;"")&lt;&gt;"yes",'Game Records'!$U257&lt;&gt;"Subscription",'Game Records'!$U257&lt;&gt;"Free Game",'Game Records'!$U257&lt;&gt;"Disqualified — Free Game",'Game Records'!$K257=""),"Final Earned; ","")&amp;IF(AND(LOWER('Game Records'!$D257&amp;"")="finalized",'Game Records'!$U257&lt;&gt;"Subscription",'Game Records'!$U257&lt;&gt;"Free Game",'Game Records'!$U257&lt;&gt;"Disqualified — Free Game",OR('Game Records'!$L257="",LOWER('Game Records'!$L257&amp;"")="n/a")),"Disqualified Status; ",""))</x:f>
      </x:c>
      <x:c r="G257" s="331" t="str">
        <x:f>IF($A257="","",IFERROR('Game Records'!$M257,""))</x:f>
      </x:c>
    </x:row>
    <x:row r="258">
      <x:c r="A258" s="332" t="str">
        <x:f>IF(OR(COUNTA('Game Records'!$A258:$M258)=0,'Game Records'!$F258="Subscription"),"",IFERROR(MAX($A$4:A257),0)+1)</x:f>
      </x:c>
      <x:c r="B258" s="332" t="str">
        <x:f>IF($A258="","","G-"&amp;TEXT(ROW('Game Records'!$A258)-4,"0000"))</x:f>
      </x:c>
      <x:c r="C258" s="331" t="str">
        <x:f>IF($A258="","",IFERROR('Game Records'!$A258,""))</x:f>
      </x:c>
      <x:c r="D258" s="331" t="str">
        <x:f>IF($A258="","",IFERROR('Game Records'!$U258,""))</x:f>
      </x:c>
      <x:c r="E258" s="331" t="str">
        <x:f>IF($A258="","",IF($F258="","No Highlighted Fields","Highlighted Fields Present"))</x:f>
      </x:c>
      <x:c r="F258" s="331" t="str">
        <x:f>IF($A258="","",IF('Game Records'!$B258="","Start Date; ","")&amp;IF('Game Records'!$C258="","End Date; ","")&amp;IF(AND('Game Records'!$U258&lt;&gt;"Subscription",'Game Records'!$U258&lt;&gt;"Free Game",'Game Records'!$U258&lt;&gt;"Disqualified — Free Game",OR('Game Records'!$D258="",LOWER('Game Records'!$D258&amp;"")="n/a")),"Entry Mode; ","")&amp;IF(AND('Game Records'!$U258&lt;&gt;"Subscription",'Game Records'!$U258&lt;&gt;"Free Game",'Game Records'!$U258&lt;&gt;"Disqualified — Free Game",OR('Game Records'!$E258="",LOWER('Game Records'!$E258&amp;"")="n/a")),"Game Type; ","")&amp;IF('Game Records'!$F258="","Payment Type; ","")&amp;IF(AND('Game Records'!$U258&lt;&gt;"Subscription",'Game Records'!$U258&lt;&gt;"Free Game",'Game Records'!$U258&lt;&gt;"Disqualified — Free Game",'Game Records'!$G258=""),"Gross Pot; ","")&amp;IF(AND('Game Records'!$U258&lt;&gt;"Free Game",'Game Records'!$U258&lt;&gt;"Disqualified — Free Game",'Game Records'!$H258=""),"Entry Fee; ","")&amp;IF(AND('Game Records'!$U258&lt;&gt;"Subscription",'Game Records'!$U258&lt;&gt;"Free Game",'Game Records'!$U258&lt;&gt;"Disqualified — Free Game",'Game Records'!$I258=""),"Eligible Players; ","")&amp;IF(AND('Game Records'!$U258&lt;&gt;"Subscription",'Game Records'!$U258&lt;&gt;"Free Game",'Game Records'!$U258&lt;&gt;"Disqualified — Free Game",'Game Records'!$J258=""),"Total Players; ","")&amp;IF(AND(LOWER('Game Records'!$D258&amp;"")="finalized",LOWER('Game Records'!$L258&amp;"")&lt;&gt;"yes",'Game Records'!$U258&lt;&gt;"Subscription",'Game Records'!$U258&lt;&gt;"Free Game",'Game Records'!$U258&lt;&gt;"Disqualified — Free Game",'Game Records'!$K258=""),"Final Earned; ","")&amp;IF(AND(LOWER('Game Records'!$D258&amp;"")="finalized",'Game Records'!$U258&lt;&gt;"Subscription",'Game Records'!$U258&lt;&gt;"Free Game",'Game Records'!$U258&lt;&gt;"Disqualified — Free Game",OR('Game Records'!$L258="",LOWER('Game Records'!$L258&amp;"")="n/a")),"Disqualified Status; ",""))</x:f>
      </x:c>
      <x:c r="G258" s="331" t="str">
        <x:f>IF($A258="","",IFERROR('Game Records'!$M258,""))</x:f>
      </x:c>
    </x:row>
    <x:row r="259">
      <x:c r="A259" s="332" t="str">
        <x:f>IF(OR(COUNTA('Game Records'!$A259:$M259)=0,'Game Records'!$F259="Subscription"),"",IFERROR(MAX($A$4:A258),0)+1)</x:f>
      </x:c>
      <x:c r="B259" s="332" t="str">
        <x:f>IF($A259="","","G-"&amp;TEXT(ROW('Game Records'!$A259)-4,"0000"))</x:f>
      </x:c>
      <x:c r="C259" s="331" t="str">
        <x:f>IF($A259="","",IFERROR('Game Records'!$A259,""))</x:f>
      </x:c>
      <x:c r="D259" s="331" t="str">
        <x:f>IF($A259="","",IFERROR('Game Records'!$U259,""))</x:f>
      </x:c>
      <x:c r="E259" s="331" t="str">
        <x:f>IF($A259="","",IF($F259="","No Highlighted Fields","Highlighted Fields Present"))</x:f>
      </x:c>
      <x:c r="F259" s="331" t="str">
        <x:f>IF($A259="","",IF('Game Records'!$B259="","Start Date; ","")&amp;IF('Game Records'!$C259="","End Date; ","")&amp;IF(AND('Game Records'!$U259&lt;&gt;"Subscription",'Game Records'!$U259&lt;&gt;"Free Game",'Game Records'!$U259&lt;&gt;"Disqualified — Free Game",OR('Game Records'!$D259="",LOWER('Game Records'!$D259&amp;"")="n/a")),"Entry Mode; ","")&amp;IF(AND('Game Records'!$U259&lt;&gt;"Subscription",'Game Records'!$U259&lt;&gt;"Free Game",'Game Records'!$U259&lt;&gt;"Disqualified — Free Game",OR('Game Records'!$E259="",LOWER('Game Records'!$E259&amp;"")="n/a")),"Game Type; ","")&amp;IF('Game Records'!$F259="","Payment Type; ","")&amp;IF(AND('Game Records'!$U259&lt;&gt;"Subscription",'Game Records'!$U259&lt;&gt;"Free Game",'Game Records'!$U259&lt;&gt;"Disqualified — Free Game",'Game Records'!$G259=""),"Gross Pot; ","")&amp;IF(AND('Game Records'!$U259&lt;&gt;"Free Game",'Game Records'!$U259&lt;&gt;"Disqualified — Free Game",'Game Records'!$H259=""),"Entry Fee; ","")&amp;IF(AND('Game Records'!$U259&lt;&gt;"Subscription",'Game Records'!$U259&lt;&gt;"Free Game",'Game Records'!$U259&lt;&gt;"Disqualified — Free Game",'Game Records'!$I259=""),"Eligible Players; ","")&amp;IF(AND('Game Records'!$U259&lt;&gt;"Subscription",'Game Records'!$U259&lt;&gt;"Free Game",'Game Records'!$U259&lt;&gt;"Disqualified — Free Game",'Game Records'!$J259=""),"Total Players; ","")&amp;IF(AND(LOWER('Game Records'!$D259&amp;"")="finalized",LOWER('Game Records'!$L259&amp;"")&lt;&gt;"yes",'Game Records'!$U259&lt;&gt;"Subscription",'Game Records'!$U259&lt;&gt;"Free Game",'Game Records'!$U259&lt;&gt;"Disqualified — Free Game",'Game Records'!$K259=""),"Final Earned; ","")&amp;IF(AND(LOWER('Game Records'!$D259&amp;"")="finalized",'Game Records'!$U259&lt;&gt;"Subscription",'Game Records'!$U259&lt;&gt;"Free Game",'Game Records'!$U259&lt;&gt;"Disqualified — Free Game",OR('Game Records'!$L259="",LOWER('Game Records'!$L259&amp;"")="n/a")),"Disqualified Status; ",""))</x:f>
      </x:c>
      <x:c r="G259" s="331" t="str">
        <x:f>IF($A259="","",IFERROR('Game Records'!$M259,""))</x:f>
      </x:c>
    </x:row>
    <x:row r="260">
      <x:c r="A260" s="332" t="str">
        <x:f>IF(OR(COUNTA('Game Records'!$A260:$M260)=0,'Game Records'!$F260="Subscription"),"",IFERROR(MAX($A$4:A259),0)+1)</x:f>
      </x:c>
      <x:c r="B260" s="332" t="str">
        <x:f>IF($A260="","","G-"&amp;TEXT(ROW('Game Records'!$A260)-4,"0000"))</x:f>
      </x:c>
      <x:c r="C260" s="331" t="str">
        <x:f>IF($A260="","",IFERROR('Game Records'!$A260,""))</x:f>
      </x:c>
      <x:c r="D260" s="331" t="str">
        <x:f>IF($A260="","",IFERROR('Game Records'!$U260,""))</x:f>
      </x:c>
      <x:c r="E260" s="331" t="str">
        <x:f>IF($A260="","",IF($F260="","No Highlighted Fields","Highlighted Fields Present"))</x:f>
      </x:c>
      <x:c r="F260" s="331" t="str">
        <x:f>IF($A260="","",IF('Game Records'!$B260="","Start Date; ","")&amp;IF('Game Records'!$C260="","End Date; ","")&amp;IF(AND('Game Records'!$U260&lt;&gt;"Subscription",'Game Records'!$U260&lt;&gt;"Free Game",'Game Records'!$U260&lt;&gt;"Disqualified — Free Game",OR('Game Records'!$D260="",LOWER('Game Records'!$D260&amp;"")="n/a")),"Entry Mode; ","")&amp;IF(AND('Game Records'!$U260&lt;&gt;"Subscription",'Game Records'!$U260&lt;&gt;"Free Game",'Game Records'!$U260&lt;&gt;"Disqualified — Free Game",OR('Game Records'!$E260="",LOWER('Game Records'!$E260&amp;"")="n/a")),"Game Type; ","")&amp;IF('Game Records'!$F260="","Payment Type; ","")&amp;IF(AND('Game Records'!$U260&lt;&gt;"Subscription",'Game Records'!$U260&lt;&gt;"Free Game",'Game Records'!$U260&lt;&gt;"Disqualified — Free Game",'Game Records'!$G260=""),"Gross Pot; ","")&amp;IF(AND('Game Records'!$U260&lt;&gt;"Free Game",'Game Records'!$U260&lt;&gt;"Disqualified — Free Game",'Game Records'!$H260=""),"Entry Fee; ","")&amp;IF(AND('Game Records'!$U260&lt;&gt;"Subscription",'Game Records'!$U260&lt;&gt;"Free Game",'Game Records'!$U260&lt;&gt;"Disqualified — Free Game",'Game Records'!$I260=""),"Eligible Players; ","")&amp;IF(AND('Game Records'!$U260&lt;&gt;"Subscription",'Game Records'!$U260&lt;&gt;"Free Game",'Game Records'!$U260&lt;&gt;"Disqualified — Free Game",'Game Records'!$J260=""),"Total Players; ","")&amp;IF(AND(LOWER('Game Records'!$D260&amp;"")="finalized",LOWER('Game Records'!$L260&amp;"")&lt;&gt;"yes",'Game Records'!$U260&lt;&gt;"Subscription",'Game Records'!$U260&lt;&gt;"Free Game",'Game Records'!$U260&lt;&gt;"Disqualified — Free Game",'Game Records'!$K260=""),"Final Earned; ","")&amp;IF(AND(LOWER('Game Records'!$D260&amp;"")="finalized",'Game Records'!$U260&lt;&gt;"Subscription",'Game Records'!$U260&lt;&gt;"Free Game",'Game Records'!$U260&lt;&gt;"Disqualified — Free Game",OR('Game Records'!$L260="",LOWER('Game Records'!$L260&amp;"")="n/a")),"Disqualified Status; ",""))</x:f>
      </x:c>
      <x:c r="G260" s="331" t="str">
        <x:f>IF($A260="","",IFERROR('Game Records'!$M260,""))</x:f>
      </x:c>
    </x:row>
    <x:row r="261">
      <x:c r="A261" s="332" t="str">
        <x:f>IF(OR(COUNTA('Game Records'!$A261:$M261)=0,'Game Records'!$F261="Subscription"),"",IFERROR(MAX($A$4:A260),0)+1)</x:f>
      </x:c>
      <x:c r="B261" s="332" t="str">
        <x:f>IF($A261="","","G-"&amp;TEXT(ROW('Game Records'!$A261)-4,"0000"))</x:f>
      </x:c>
      <x:c r="C261" s="331" t="str">
        <x:f>IF($A261="","",IFERROR('Game Records'!$A261,""))</x:f>
      </x:c>
      <x:c r="D261" s="331" t="str">
        <x:f>IF($A261="","",IFERROR('Game Records'!$U261,""))</x:f>
      </x:c>
      <x:c r="E261" s="331" t="str">
        <x:f>IF($A261="","",IF($F261="","No Highlighted Fields","Highlighted Fields Present"))</x:f>
      </x:c>
      <x:c r="F261" s="331" t="str">
        <x:f>IF($A261="","",IF('Game Records'!$B261="","Start Date; ","")&amp;IF('Game Records'!$C261="","End Date; ","")&amp;IF(AND('Game Records'!$U261&lt;&gt;"Subscription",'Game Records'!$U261&lt;&gt;"Free Game",'Game Records'!$U261&lt;&gt;"Disqualified — Free Game",OR('Game Records'!$D261="",LOWER('Game Records'!$D261&amp;"")="n/a")),"Entry Mode; ","")&amp;IF(AND('Game Records'!$U261&lt;&gt;"Subscription",'Game Records'!$U261&lt;&gt;"Free Game",'Game Records'!$U261&lt;&gt;"Disqualified — Free Game",OR('Game Records'!$E261="",LOWER('Game Records'!$E261&amp;"")="n/a")),"Game Type; ","")&amp;IF('Game Records'!$F261="","Payment Type; ","")&amp;IF(AND('Game Records'!$U261&lt;&gt;"Subscription",'Game Records'!$U261&lt;&gt;"Free Game",'Game Records'!$U261&lt;&gt;"Disqualified — Free Game",'Game Records'!$G261=""),"Gross Pot; ","")&amp;IF(AND('Game Records'!$U261&lt;&gt;"Free Game",'Game Records'!$U261&lt;&gt;"Disqualified — Free Game",'Game Records'!$H261=""),"Entry Fee; ","")&amp;IF(AND('Game Records'!$U261&lt;&gt;"Subscription",'Game Records'!$U261&lt;&gt;"Free Game",'Game Records'!$U261&lt;&gt;"Disqualified — Free Game",'Game Records'!$I261=""),"Eligible Players; ","")&amp;IF(AND('Game Records'!$U261&lt;&gt;"Subscription",'Game Records'!$U261&lt;&gt;"Free Game",'Game Records'!$U261&lt;&gt;"Disqualified — Free Game",'Game Records'!$J261=""),"Total Players; ","")&amp;IF(AND(LOWER('Game Records'!$D261&amp;"")="finalized",LOWER('Game Records'!$L261&amp;"")&lt;&gt;"yes",'Game Records'!$U261&lt;&gt;"Subscription",'Game Records'!$U261&lt;&gt;"Free Game",'Game Records'!$U261&lt;&gt;"Disqualified — Free Game",'Game Records'!$K261=""),"Final Earned; ","")&amp;IF(AND(LOWER('Game Records'!$D261&amp;"")="finalized",'Game Records'!$U261&lt;&gt;"Subscription",'Game Records'!$U261&lt;&gt;"Free Game",'Game Records'!$U261&lt;&gt;"Disqualified — Free Game",OR('Game Records'!$L261="",LOWER('Game Records'!$L261&amp;"")="n/a")),"Disqualified Status; ",""))</x:f>
      </x:c>
      <x:c r="G261" s="331" t="str">
        <x:f>IF($A261="","",IFERROR('Game Records'!$M261,""))</x:f>
      </x:c>
    </x:row>
    <x:row r="262">
      <x:c r="A262" s="332" t="str">
        <x:f>IF(OR(COUNTA('Game Records'!$A262:$M262)=0,'Game Records'!$F262="Subscription"),"",IFERROR(MAX($A$4:A261),0)+1)</x:f>
      </x:c>
      <x:c r="B262" s="332" t="str">
        <x:f>IF($A262="","","G-"&amp;TEXT(ROW('Game Records'!$A262)-4,"0000"))</x:f>
      </x:c>
      <x:c r="C262" s="331" t="str">
        <x:f>IF($A262="","",IFERROR('Game Records'!$A262,""))</x:f>
      </x:c>
      <x:c r="D262" s="331" t="str">
        <x:f>IF($A262="","",IFERROR('Game Records'!$U262,""))</x:f>
      </x:c>
      <x:c r="E262" s="331" t="str">
        <x:f>IF($A262="","",IF($F262="","No Highlighted Fields","Highlighted Fields Present"))</x:f>
      </x:c>
      <x:c r="F262" s="331" t="str">
        <x:f>IF($A262="","",IF('Game Records'!$B262="","Start Date; ","")&amp;IF('Game Records'!$C262="","End Date; ","")&amp;IF(AND('Game Records'!$U262&lt;&gt;"Subscription",'Game Records'!$U262&lt;&gt;"Free Game",'Game Records'!$U262&lt;&gt;"Disqualified — Free Game",OR('Game Records'!$D262="",LOWER('Game Records'!$D262&amp;"")="n/a")),"Entry Mode; ","")&amp;IF(AND('Game Records'!$U262&lt;&gt;"Subscription",'Game Records'!$U262&lt;&gt;"Free Game",'Game Records'!$U262&lt;&gt;"Disqualified — Free Game",OR('Game Records'!$E262="",LOWER('Game Records'!$E262&amp;"")="n/a")),"Game Type; ","")&amp;IF('Game Records'!$F262="","Payment Type; ","")&amp;IF(AND('Game Records'!$U262&lt;&gt;"Subscription",'Game Records'!$U262&lt;&gt;"Free Game",'Game Records'!$U262&lt;&gt;"Disqualified — Free Game",'Game Records'!$G262=""),"Gross Pot; ","")&amp;IF(AND('Game Records'!$U262&lt;&gt;"Free Game",'Game Records'!$U262&lt;&gt;"Disqualified — Free Game",'Game Records'!$H262=""),"Entry Fee; ","")&amp;IF(AND('Game Records'!$U262&lt;&gt;"Subscription",'Game Records'!$U262&lt;&gt;"Free Game",'Game Records'!$U262&lt;&gt;"Disqualified — Free Game",'Game Records'!$I262=""),"Eligible Players; ","")&amp;IF(AND('Game Records'!$U262&lt;&gt;"Subscription",'Game Records'!$U262&lt;&gt;"Free Game",'Game Records'!$U262&lt;&gt;"Disqualified — Free Game",'Game Records'!$J262=""),"Total Players; ","")&amp;IF(AND(LOWER('Game Records'!$D262&amp;"")="finalized",LOWER('Game Records'!$L262&amp;"")&lt;&gt;"yes",'Game Records'!$U262&lt;&gt;"Subscription",'Game Records'!$U262&lt;&gt;"Free Game",'Game Records'!$U262&lt;&gt;"Disqualified — Free Game",'Game Records'!$K262=""),"Final Earned; ","")&amp;IF(AND(LOWER('Game Records'!$D262&amp;"")="finalized",'Game Records'!$U262&lt;&gt;"Subscription",'Game Records'!$U262&lt;&gt;"Free Game",'Game Records'!$U262&lt;&gt;"Disqualified — Free Game",OR('Game Records'!$L262="",LOWER('Game Records'!$L262&amp;"")="n/a")),"Disqualified Status; ",""))</x:f>
      </x:c>
      <x:c r="G262" s="331" t="str">
        <x:f>IF($A262="","",IFERROR('Game Records'!$M262,""))</x:f>
      </x:c>
    </x:row>
    <x:row r="263">
      <x:c r="A263" s="332" t="str">
        <x:f>IF(OR(COUNTA('Game Records'!$A263:$M263)=0,'Game Records'!$F263="Subscription"),"",IFERROR(MAX($A$4:A262),0)+1)</x:f>
      </x:c>
      <x:c r="B263" s="332" t="str">
        <x:f>IF($A263="","","G-"&amp;TEXT(ROW('Game Records'!$A263)-4,"0000"))</x:f>
      </x:c>
      <x:c r="C263" s="331" t="str">
        <x:f>IF($A263="","",IFERROR('Game Records'!$A263,""))</x:f>
      </x:c>
      <x:c r="D263" s="331" t="str">
        <x:f>IF($A263="","",IFERROR('Game Records'!$U263,""))</x:f>
      </x:c>
      <x:c r="E263" s="331" t="str">
        <x:f>IF($A263="","",IF($F263="","No Highlighted Fields","Highlighted Fields Present"))</x:f>
      </x:c>
      <x:c r="F263" s="331" t="str">
        <x:f>IF($A263="","",IF('Game Records'!$B263="","Start Date; ","")&amp;IF('Game Records'!$C263="","End Date; ","")&amp;IF(AND('Game Records'!$U263&lt;&gt;"Subscription",'Game Records'!$U263&lt;&gt;"Free Game",'Game Records'!$U263&lt;&gt;"Disqualified — Free Game",OR('Game Records'!$D263="",LOWER('Game Records'!$D263&amp;"")="n/a")),"Entry Mode; ","")&amp;IF(AND('Game Records'!$U263&lt;&gt;"Subscription",'Game Records'!$U263&lt;&gt;"Free Game",'Game Records'!$U263&lt;&gt;"Disqualified — Free Game",OR('Game Records'!$E263="",LOWER('Game Records'!$E263&amp;"")="n/a")),"Game Type; ","")&amp;IF('Game Records'!$F263="","Payment Type; ","")&amp;IF(AND('Game Records'!$U263&lt;&gt;"Subscription",'Game Records'!$U263&lt;&gt;"Free Game",'Game Records'!$U263&lt;&gt;"Disqualified — Free Game",'Game Records'!$G263=""),"Gross Pot; ","")&amp;IF(AND('Game Records'!$U263&lt;&gt;"Free Game",'Game Records'!$U263&lt;&gt;"Disqualified — Free Game",'Game Records'!$H263=""),"Entry Fee; ","")&amp;IF(AND('Game Records'!$U263&lt;&gt;"Subscription",'Game Records'!$U263&lt;&gt;"Free Game",'Game Records'!$U263&lt;&gt;"Disqualified — Free Game",'Game Records'!$I263=""),"Eligible Players; ","")&amp;IF(AND('Game Records'!$U263&lt;&gt;"Subscription",'Game Records'!$U263&lt;&gt;"Free Game",'Game Records'!$U263&lt;&gt;"Disqualified — Free Game",'Game Records'!$J263=""),"Total Players; ","")&amp;IF(AND(LOWER('Game Records'!$D263&amp;"")="finalized",LOWER('Game Records'!$L263&amp;"")&lt;&gt;"yes",'Game Records'!$U263&lt;&gt;"Subscription",'Game Records'!$U263&lt;&gt;"Free Game",'Game Records'!$U263&lt;&gt;"Disqualified — Free Game",'Game Records'!$K263=""),"Final Earned; ","")&amp;IF(AND(LOWER('Game Records'!$D263&amp;"")="finalized",'Game Records'!$U263&lt;&gt;"Subscription",'Game Records'!$U263&lt;&gt;"Free Game",'Game Records'!$U263&lt;&gt;"Disqualified — Free Game",OR('Game Records'!$L263="",LOWER('Game Records'!$L263&amp;"")="n/a")),"Disqualified Status; ",""))</x:f>
      </x:c>
      <x:c r="G263" s="331" t="str">
        <x:f>IF($A263="","",IFERROR('Game Records'!$M263,""))</x:f>
      </x:c>
    </x:row>
    <x:row r="264">
      <x:c r="A264" s="332" t="str">
        <x:f>IF(OR(COUNTA('Game Records'!$A264:$M264)=0,'Game Records'!$F264="Subscription"),"",IFERROR(MAX($A$4:A263),0)+1)</x:f>
      </x:c>
      <x:c r="B264" s="332" t="str">
        <x:f>IF($A264="","","G-"&amp;TEXT(ROW('Game Records'!$A264)-4,"0000"))</x:f>
      </x:c>
      <x:c r="C264" s="331" t="str">
        <x:f>IF($A264="","",IFERROR('Game Records'!$A264,""))</x:f>
      </x:c>
      <x:c r="D264" s="331" t="str">
        <x:f>IF($A264="","",IFERROR('Game Records'!$U264,""))</x:f>
      </x:c>
      <x:c r="E264" s="331" t="str">
        <x:f>IF($A264="","",IF($F264="","No Highlighted Fields","Highlighted Fields Present"))</x:f>
      </x:c>
      <x:c r="F264" s="331" t="str">
        <x:f>IF($A264="","",IF('Game Records'!$B264="","Start Date; ","")&amp;IF('Game Records'!$C264="","End Date; ","")&amp;IF(AND('Game Records'!$U264&lt;&gt;"Subscription",'Game Records'!$U264&lt;&gt;"Free Game",'Game Records'!$U264&lt;&gt;"Disqualified — Free Game",OR('Game Records'!$D264="",LOWER('Game Records'!$D264&amp;"")="n/a")),"Entry Mode; ","")&amp;IF(AND('Game Records'!$U264&lt;&gt;"Subscription",'Game Records'!$U264&lt;&gt;"Free Game",'Game Records'!$U264&lt;&gt;"Disqualified — Free Game",OR('Game Records'!$E264="",LOWER('Game Records'!$E264&amp;"")="n/a")),"Game Type; ","")&amp;IF('Game Records'!$F264="","Payment Type; ","")&amp;IF(AND('Game Records'!$U264&lt;&gt;"Subscription",'Game Records'!$U264&lt;&gt;"Free Game",'Game Records'!$U264&lt;&gt;"Disqualified — Free Game",'Game Records'!$G264=""),"Gross Pot; ","")&amp;IF(AND('Game Records'!$U264&lt;&gt;"Free Game",'Game Records'!$U264&lt;&gt;"Disqualified — Free Game",'Game Records'!$H264=""),"Entry Fee; ","")&amp;IF(AND('Game Records'!$U264&lt;&gt;"Subscription",'Game Records'!$U264&lt;&gt;"Free Game",'Game Records'!$U264&lt;&gt;"Disqualified — Free Game",'Game Records'!$I264=""),"Eligible Players; ","")&amp;IF(AND('Game Records'!$U264&lt;&gt;"Subscription",'Game Records'!$U264&lt;&gt;"Free Game",'Game Records'!$U264&lt;&gt;"Disqualified — Free Game",'Game Records'!$J264=""),"Total Players; ","")&amp;IF(AND(LOWER('Game Records'!$D264&amp;"")="finalized",LOWER('Game Records'!$L264&amp;"")&lt;&gt;"yes",'Game Records'!$U264&lt;&gt;"Subscription",'Game Records'!$U264&lt;&gt;"Free Game",'Game Records'!$U264&lt;&gt;"Disqualified — Free Game",'Game Records'!$K264=""),"Final Earned; ","")&amp;IF(AND(LOWER('Game Records'!$D264&amp;"")="finalized",'Game Records'!$U264&lt;&gt;"Subscription",'Game Records'!$U264&lt;&gt;"Free Game",'Game Records'!$U264&lt;&gt;"Disqualified — Free Game",OR('Game Records'!$L264="",LOWER('Game Records'!$L264&amp;"")="n/a")),"Disqualified Status; ",""))</x:f>
      </x:c>
      <x:c r="G264" s="331" t="str">
        <x:f>IF($A264="","",IFERROR('Game Records'!$M264,""))</x:f>
      </x:c>
    </x:row>
    <x:row r="265">
      <x:c r="A265" s="332" t="str">
        <x:f>IF(OR(COUNTA('Game Records'!$A265:$M265)=0,'Game Records'!$F265="Subscription"),"",IFERROR(MAX($A$4:A264),0)+1)</x:f>
      </x:c>
      <x:c r="B265" s="332" t="str">
        <x:f>IF($A265="","","G-"&amp;TEXT(ROW('Game Records'!$A265)-4,"0000"))</x:f>
      </x:c>
      <x:c r="C265" s="331" t="str">
        <x:f>IF($A265="","",IFERROR('Game Records'!$A265,""))</x:f>
      </x:c>
      <x:c r="D265" s="331" t="str">
        <x:f>IF($A265="","",IFERROR('Game Records'!$U265,""))</x:f>
      </x:c>
      <x:c r="E265" s="331" t="str">
        <x:f>IF($A265="","",IF($F265="","No Highlighted Fields","Highlighted Fields Present"))</x:f>
      </x:c>
      <x:c r="F265" s="331" t="str">
        <x:f>IF($A265="","",IF('Game Records'!$B265="","Start Date; ","")&amp;IF('Game Records'!$C265="","End Date; ","")&amp;IF(AND('Game Records'!$U265&lt;&gt;"Subscription",'Game Records'!$U265&lt;&gt;"Free Game",'Game Records'!$U265&lt;&gt;"Disqualified — Free Game",OR('Game Records'!$D265="",LOWER('Game Records'!$D265&amp;"")="n/a")),"Entry Mode; ","")&amp;IF(AND('Game Records'!$U265&lt;&gt;"Subscription",'Game Records'!$U265&lt;&gt;"Free Game",'Game Records'!$U265&lt;&gt;"Disqualified — Free Game",OR('Game Records'!$E265="",LOWER('Game Records'!$E265&amp;"")="n/a")),"Game Type; ","")&amp;IF('Game Records'!$F265="","Payment Type; ","")&amp;IF(AND('Game Records'!$U265&lt;&gt;"Subscription",'Game Records'!$U265&lt;&gt;"Free Game",'Game Records'!$U265&lt;&gt;"Disqualified — Free Game",'Game Records'!$G265=""),"Gross Pot; ","")&amp;IF(AND('Game Records'!$U265&lt;&gt;"Free Game",'Game Records'!$U265&lt;&gt;"Disqualified — Free Game",'Game Records'!$H265=""),"Entry Fee; ","")&amp;IF(AND('Game Records'!$U265&lt;&gt;"Subscription",'Game Records'!$U265&lt;&gt;"Free Game",'Game Records'!$U265&lt;&gt;"Disqualified — Free Game",'Game Records'!$I265=""),"Eligible Players; ","")&amp;IF(AND('Game Records'!$U265&lt;&gt;"Subscription",'Game Records'!$U265&lt;&gt;"Free Game",'Game Records'!$U265&lt;&gt;"Disqualified — Free Game",'Game Records'!$J265=""),"Total Players; ","")&amp;IF(AND(LOWER('Game Records'!$D265&amp;"")="finalized",LOWER('Game Records'!$L265&amp;"")&lt;&gt;"yes",'Game Records'!$U265&lt;&gt;"Subscription",'Game Records'!$U265&lt;&gt;"Free Game",'Game Records'!$U265&lt;&gt;"Disqualified — Free Game",'Game Records'!$K265=""),"Final Earned; ","")&amp;IF(AND(LOWER('Game Records'!$D265&amp;"")="finalized",'Game Records'!$U265&lt;&gt;"Subscription",'Game Records'!$U265&lt;&gt;"Free Game",'Game Records'!$U265&lt;&gt;"Disqualified — Free Game",OR('Game Records'!$L265="",LOWER('Game Records'!$L265&amp;"")="n/a")),"Disqualified Status; ",""))</x:f>
      </x:c>
      <x:c r="G265" s="331" t="str">
        <x:f>IF($A265="","",IFERROR('Game Records'!$M265,""))</x:f>
      </x:c>
    </x:row>
    <x:row r="266">
      <x:c r="A266" s="332" t="str">
        <x:f>IF(OR(COUNTA('Game Records'!$A266:$M266)=0,'Game Records'!$F266="Subscription"),"",IFERROR(MAX($A$4:A265),0)+1)</x:f>
      </x:c>
      <x:c r="B266" s="332" t="str">
        <x:f>IF($A266="","","G-"&amp;TEXT(ROW('Game Records'!$A266)-4,"0000"))</x:f>
      </x:c>
      <x:c r="C266" s="331" t="str">
        <x:f>IF($A266="","",IFERROR('Game Records'!$A266,""))</x:f>
      </x:c>
      <x:c r="D266" s="331" t="str">
        <x:f>IF($A266="","",IFERROR('Game Records'!$U266,""))</x:f>
      </x:c>
      <x:c r="E266" s="331" t="str">
        <x:f>IF($A266="","",IF($F266="","No Highlighted Fields","Highlighted Fields Present"))</x:f>
      </x:c>
      <x:c r="F266" s="331" t="str">
        <x:f>IF($A266="","",IF('Game Records'!$B266="","Start Date; ","")&amp;IF('Game Records'!$C266="","End Date; ","")&amp;IF(AND('Game Records'!$U266&lt;&gt;"Subscription",'Game Records'!$U266&lt;&gt;"Free Game",'Game Records'!$U266&lt;&gt;"Disqualified — Free Game",OR('Game Records'!$D266="",LOWER('Game Records'!$D266&amp;"")="n/a")),"Entry Mode; ","")&amp;IF(AND('Game Records'!$U266&lt;&gt;"Subscription",'Game Records'!$U266&lt;&gt;"Free Game",'Game Records'!$U266&lt;&gt;"Disqualified — Free Game",OR('Game Records'!$E266="",LOWER('Game Records'!$E266&amp;"")="n/a")),"Game Type; ","")&amp;IF('Game Records'!$F266="","Payment Type; ","")&amp;IF(AND('Game Records'!$U266&lt;&gt;"Subscription",'Game Records'!$U266&lt;&gt;"Free Game",'Game Records'!$U266&lt;&gt;"Disqualified — Free Game",'Game Records'!$G266=""),"Gross Pot; ","")&amp;IF(AND('Game Records'!$U266&lt;&gt;"Free Game",'Game Records'!$U266&lt;&gt;"Disqualified — Free Game",'Game Records'!$H266=""),"Entry Fee; ","")&amp;IF(AND('Game Records'!$U266&lt;&gt;"Subscription",'Game Records'!$U266&lt;&gt;"Free Game",'Game Records'!$U266&lt;&gt;"Disqualified — Free Game",'Game Records'!$I266=""),"Eligible Players; ","")&amp;IF(AND('Game Records'!$U266&lt;&gt;"Subscription",'Game Records'!$U266&lt;&gt;"Free Game",'Game Records'!$U266&lt;&gt;"Disqualified — Free Game",'Game Records'!$J266=""),"Total Players; ","")&amp;IF(AND(LOWER('Game Records'!$D266&amp;"")="finalized",LOWER('Game Records'!$L266&amp;"")&lt;&gt;"yes",'Game Records'!$U266&lt;&gt;"Subscription",'Game Records'!$U266&lt;&gt;"Free Game",'Game Records'!$U266&lt;&gt;"Disqualified — Free Game",'Game Records'!$K266=""),"Final Earned; ","")&amp;IF(AND(LOWER('Game Records'!$D266&amp;"")="finalized",'Game Records'!$U266&lt;&gt;"Subscription",'Game Records'!$U266&lt;&gt;"Free Game",'Game Records'!$U266&lt;&gt;"Disqualified — Free Game",OR('Game Records'!$L266="",LOWER('Game Records'!$L266&amp;"")="n/a")),"Disqualified Status; ",""))</x:f>
      </x:c>
      <x:c r="G266" s="331" t="str">
        <x:f>IF($A266="","",IFERROR('Game Records'!$M266,""))</x:f>
      </x:c>
    </x:row>
    <x:row r="267">
      <x:c r="A267" s="332" t="str">
        <x:f>IF(OR(COUNTA('Game Records'!$A267:$M267)=0,'Game Records'!$F267="Subscription"),"",IFERROR(MAX($A$4:A266),0)+1)</x:f>
      </x:c>
      <x:c r="B267" s="332" t="str">
        <x:f>IF($A267="","","G-"&amp;TEXT(ROW('Game Records'!$A267)-4,"0000"))</x:f>
      </x:c>
      <x:c r="C267" s="331" t="str">
        <x:f>IF($A267="","",IFERROR('Game Records'!$A267,""))</x:f>
      </x:c>
      <x:c r="D267" s="331" t="str">
        <x:f>IF($A267="","",IFERROR('Game Records'!$U267,""))</x:f>
      </x:c>
      <x:c r="E267" s="331" t="str">
        <x:f>IF($A267="","",IF($F267="","No Highlighted Fields","Highlighted Fields Present"))</x:f>
      </x:c>
      <x:c r="F267" s="331" t="str">
        <x:f>IF($A267="","",IF('Game Records'!$B267="","Start Date; ","")&amp;IF('Game Records'!$C267="","End Date; ","")&amp;IF(AND('Game Records'!$U267&lt;&gt;"Subscription",'Game Records'!$U267&lt;&gt;"Free Game",'Game Records'!$U267&lt;&gt;"Disqualified — Free Game",OR('Game Records'!$D267="",LOWER('Game Records'!$D267&amp;"")="n/a")),"Entry Mode; ","")&amp;IF(AND('Game Records'!$U267&lt;&gt;"Subscription",'Game Records'!$U267&lt;&gt;"Free Game",'Game Records'!$U267&lt;&gt;"Disqualified — Free Game",OR('Game Records'!$E267="",LOWER('Game Records'!$E267&amp;"")="n/a")),"Game Type; ","")&amp;IF('Game Records'!$F267="","Payment Type; ","")&amp;IF(AND('Game Records'!$U267&lt;&gt;"Subscription",'Game Records'!$U267&lt;&gt;"Free Game",'Game Records'!$U267&lt;&gt;"Disqualified — Free Game",'Game Records'!$G267=""),"Gross Pot; ","")&amp;IF(AND('Game Records'!$U267&lt;&gt;"Free Game",'Game Records'!$U267&lt;&gt;"Disqualified — Free Game",'Game Records'!$H267=""),"Entry Fee; ","")&amp;IF(AND('Game Records'!$U267&lt;&gt;"Subscription",'Game Records'!$U267&lt;&gt;"Free Game",'Game Records'!$U267&lt;&gt;"Disqualified — Free Game",'Game Records'!$I267=""),"Eligible Players; ","")&amp;IF(AND('Game Records'!$U267&lt;&gt;"Subscription",'Game Records'!$U267&lt;&gt;"Free Game",'Game Records'!$U267&lt;&gt;"Disqualified — Free Game",'Game Records'!$J267=""),"Total Players; ","")&amp;IF(AND(LOWER('Game Records'!$D267&amp;"")="finalized",LOWER('Game Records'!$L267&amp;"")&lt;&gt;"yes",'Game Records'!$U267&lt;&gt;"Subscription",'Game Records'!$U267&lt;&gt;"Free Game",'Game Records'!$U267&lt;&gt;"Disqualified — Free Game",'Game Records'!$K267=""),"Final Earned; ","")&amp;IF(AND(LOWER('Game Records'!$D267&amp;"")="finalized",'Game Records'!$U267&lt;&gt;"Subscription",'Game Records'!$U267&lt;&gt;"Free Game",'Game Records'!$U267&lt;&gt;"Disqualified — Free Game",OR('Game Records'!$L267="",LOWER('Game Records'!$L267&amp;"")="n/a")),"Disqualified Status; ",""))</x:f>
      </x:c>
      <x:c r="G267" s="331" t="str">
        <x:f>IF($A267="","",IFERROR('Game Records'!$M267,""))</x:f>
      </x:c>
    </x:row>
    <x:row r="268">
      <x:c r="A268" s="332" t="str">
        <x:f>IF(OR(COUNTA('Game Records'!$A268:$M268)=0,'Game Records'!$F268="Subscription"),"",IFERROR(MAX($A$4:A267),0)+1)</x:f>
      </x:c>
      <x:c r="B268" s="332" t="str">
        <x:f>IF($A268="","","G-"&amp;TEXT(ROW('Game Records'!$A268)-4,"0000"))</x:f>
      </x:c>
      <x:c r="C268" s="331" t="str">
        <x:f>IF($A268="","",IFERROR('Game Records'!$A268,""))</x:f>
      </x:c>
      <x:c r="D268" s="331" t="str">
        <x:f>IF($A268="","",IFERROR('Game Records'!$U268,""))</x:f>
      </x:c>
      <x:c r="E268" s="331" t="str">
        <x:f>IF($A268="","",IF($F268="","No Highlighted Fields","Highlighted Fields Present"))</x:f>
      </x:c>
      <x:c r="F268" s="331" t="str">
        <x:f>IF($A268="","",IF('Game Records'!$B268="","Start Date; ","")&amp;IF('Game Records'!$C268="","End Date; ","")&amp;IF(AND('Game Records'!$U268&lt;&gt;"Subscription",'Game Records'!$U268&lt;&gt;"Free Game",'Game Records'!$U268&lt;&gt;"Disqualified — Free Game",OR('Game Records'!$D268="",LOWER('Game Records'!$D268&amp;"")="n/a")),"Entry Mode; ","")&amp;IF(AND('Game Records'!$U268&lt;&gt;"Subscription",'Game Records'!$U268&lt;&gt;"Free Game",'Game Records'!$U268&lt;&gt;"Disqualified — Free Game",OR('Game Records'!$E268="",LOWER('Game Records'!$E268&amp;"")="n/a")),"Game Type; ","")&amp;IF('Game Records'!$F268="","Payment Type; ","")&amp;IF(AND('Game Records'!$U268&lt;&gt;"Subscription",'Game Records'!$U268&lt;&gt;"Free Game",'Game Records'!$U268&lt;&gt;"Disqualified — Free Game",'Game Records'!$G268=""),"Gross Pot; ","")&amp;IF(AND('Game Records'!$U268&lt;&gt;"Free Game",'Game Records'!$U268&lt;&gt;"Disqualified — Free Game",'Game Records'!$H268=""),"Entry Fee; ","")&amp;IF(AND('Game Records'!$U268&lt;&gt;"Subscription",'Game Records'!$U268&lt;&gt;"Free Game",'Game Records'!$U268&lt;&gt;"Disqualified — Free Game",'Game Records'!$I268=""),"Eligible Players; ","")&amp;IF(AND('Game Records'!$U268&lt;&gt;"Subscription",'Game Records'!$U268&lt;&gt;"Free Game",'Game Records'!$U268&lt;&gt;"Disqualified — Free Game",'Game Records'!$J268=""),"Total Players; ","")&amp;IF(AND(LOWER('Game Records'!$D268&amp;"")="finalized",LOWER('Game Records'!$L268&amp;"")&lt;&gt;"yes",'Game Records'!$U268&lt;&gt;"Subscription",'Game Records'!$U268&lt;&gt;"Free Game",'Game Records'!$U268&lt;&gt;"Disqualified — Free Game",'Game Records'!$K268=""),"Final Earned; ","")&amp;IF(AND(LOWER('Game Records'!$D268&amp;"")="finalized",'Game Records'!$U268&lt;&gt;"Subscription",'Game Records'!$U268&lt;&gt;"Free Game",'Game Records'!$U268&lt;&gt;"Disqualified — Free Game",OR('Game Records'!$L268="",LOWER('Game Records'!$L268&amp;"")="n/a")),"Disqualified Status; ",""))</x:f>
      </x:c>
      <x:c r="G268" s="331" t="str">
        <x:f>IF($A268="","",IFERROR('Game Records'!$M268,""))</x:f>
      </x:c>
    </x:row>
    <x:row r="269">
      <x:c r="A269" s="332" t="str">
        <x:f>IF(OR(COUNTA('Game Records'!$A269:$M269)=0,'Game Records'!$F269="Subscription"),"",IFERROR(MAX($A$4:A268),0)+1)</x:f>
      </x:c>
      <x:c r="B269" s="332" t="str">
        <x:f>IF($A269="","","G-"&amp;TEXT(ROW('Game Records'!$A269)-4,"0000"))</x:f>
      </x:c>
      <x:c r="C269" s="331" t="str">
        <x:f>IF($A269="","",IFERROR('Game Records'!$A269,""))</x:f>
      </x:c>
      <x:c r="D269" s="331" t="str">
        <x:f>IF($A269="","",IFERROR('Game Records'!$U269,""))</x:f>
      </x:c>
      <x:c r="E269" s="331" t="str">
        <x:f>IF($A269="","",IF($F269="","No Highlighted Fields","Highlighted Fields Present"))</x:f>
      </x:c>
      <x:c r="F269" s="331" t="str">
        <x:f>IF($A269="","",IF('Game Records'!$B269="","Start Date; ","")&amp;IF('Game Records'!$C269="","End Date; ","")&amp;IF(AND('Game Records'!$U269&lt;&gt;"Subscription",'Game Records'!$U269&lt;&gt;"Free Game",'Game Records'!$U269&lt;&gt;"Disqualified — Free Game",OR('Game Records'!$D269="",LOWER('Game Records'!$D269&amp;"")="n/a")),"Entry Mode; ","")&amp;IF(AND('Game Records'!$U269&lt;&gt;"Subscription",'Game Records'!$U269&lt;&gt;"Free Game",'Game Records'!$U269&lt;&gt;"Disqualified — Free Game",OR('Game Records'!$E269="",LOWER('Game Records'!$E269&amp;"")="n/a")),"Game Type; ","")&amp;IF('Game Records'!$F269="","Payment Type; ","")&amp;IF(AND('Game Records'!$U269&lt;&gt;"Subscription",'Game Records'!$U269&lt;&gt;"Free Game",'Game Records'!$U269&lt;&gt;"Disqualified — Free Game",'Game Records'!$G269=""),"Gross Pot; ","")&amp;IF(AND('Game Records'!$U269&lt;&gt;"Free Game",'Game Records'!$U269&lt;&gt;"Disqualified — Free Game",'Game Records'!$H269=""),"Entry Fee; ","")&amp;IF(AND('Game Records'!$U269&lt;&gt;"Subscription",'Game Records'!$U269&lt;&gt;"Free Game",'Game Records'!$U269&lt;&gt;"Disqualified — Free Game",'Game Records'!$I269=""),"Eligible Players; ","")&amp;IF(AND('Game Records'!$U269&lt;&gt;"Subscription",'Game Records'!$U269&lt;&gt;"Free Game",'Game Records'!$U269&lt;&gt;"Disqualified — Free Game",'Game Records'!$J269=""),"Total Players; ","")&amp;IF(AND(LOWER('Game Records'!$D269&amp;"")="finalized",LOWER('Game Records'!$L269&amp;"")&lt;&gt;"yes",'Game Records'!$U269&lt;&gt;"Subscription",'Game Records'!$U269&lt;&gt;"Free Game",'Game Records'!$U269&lt;&gt;"Disqualified — Free Game",'Game Records'!$K269=""),"Final Earned; ","")&amp;IF(AND(LOWER('Game Records'!$D269&amp;"")="finalized",'Game Records'!$U269&lt;&gt;"Subscription",'Game Records'!$U269&lt;&gt;"Free Game",'Game Records'!$U269&lt;&gt;"Disqualified — Free Game",OR('Game Records'!$L269="",LOWER('Game Records'!$L269&amp;"")="n/a")),"Disqualified Status; ",""))</x:f>
      </x:c>
      <x:c r="G269" s="331" t="str">
        <x:f>IF($A269="","",IFERROR('Game Records'!$M269,""))</x:f>
      </x:c>
    </x:row>
    <x:row r="270">
      <x:c r="A270" s="332" t="str">
        <x:f>IF(OR(COUNTA('Game Records'!$A270:$M270)=0,'Game Records'!$F270="Subscription"),"",IFERROR(MAX($A$4:A269),0)+1)</x:f>
      </x:c>
      <x:c r="B270" s="332" t="str">
        <x:f>IF($A270="","","G-"&amp;TEXT(ROW('Game Records'!$A270)-4,"0000"))</x:f>
      </x:c>
      <x:c r="C270" s="331" t="str">
        <x:f>IF($A270="","",IFERROR('Game Records'!$A270,""))</x:f>
      </x:c>
      <x:c r="D270" s="331" t="str">
        <x:f>IF($A270="","",IFERROR('Game Records'!$U270,""))</x:f>
      </x:c>
      <x:c r="E270" s="331" t="str">
        <x:f>IF($A270="","",IF($F270="","No Highlighted Fields","Highlighted Fields Present"))</x:f>
      </x:c>
      <x:c r="F270" s="331" t="str">
        <x:f>IF($A270="","",IF('Game Records'!$B270="","Start Date; ","")&amp;IF('Game Records'!$C270="","End Date; ","")&amp;IF(AND('Game Records'!$U270&lt;&gt;"Subscription",'Game Records'!$U270&lt;&gt;"Free Game",'Game Records'!$U270&lt;&gt;"Disqualified — Free Game",OR('Game Records'!$D270="",LOWER('Game Records'!$D270&amp;"")="n/a")),"Entry Mode; ","")&amp;IF(AND('Game Records'!$U270&lt;&gt;"Subscription",'Game Records'!$U270&lt;&gt;"Free Game",'Game Records'!$U270&lt;&gt;"Disqualified — Free Game",OR('Game Records'!$E270="",LOWER('Game Records'!$E270&amp;"")="n/a")),"Game Type; ","")&amp;IF('Game Records'!$F270="","Payment Type; ","")&amp;IF(AND('Game Records'!$U270&lt;&gt;"Subscription",'Game Records'!$U270&lt;&gt;"Free Game",'Game Records'!$U270&lt;&gt;"Disqualified — Free Game",'Game Records'!$G270=""),"Gross Pot; ","")&amp;IF(AND('Game Records'!$U270&lt;&gt;"Free Game",'Game Records'!$U270&lt;&gt;"Disqualified — Free Game",'Game Records'!$H270=""),"Entry Fee; ","")&amp;IF(AND('Game Records'!$U270&lt;&gt;"Subscription",'Game Records'!$U270&lt;&gt;"Free Game",'Game Records'!$U270&lt;&gt;"Disqualified — Free Game",'Game Records'!$I270=""),"Eligible Players; ","")&amp;IF(AND('Game Records'!$U270&lt;&gt;"Subscription",'Game Records'!$U270&lt;&gt;"Free Game",'Game Records'!$U270&lt;&gt;"Disqualified — Free Game",'Game Records'!$J270=""),"Total Players; ","")&amp;IF(AND(LOWER('Game Records'!$D270&amp;"")="finalized",LOWER('Game Records'!$L270&amp;"")&lt;&gt;"yes",'Game Records'!$U270&lt;&gt;"Subscription",'Game Records'!$U270&lt;&gt;"Free Game",'Game Records'!$U270&lt;&gt;"Disqualified — Free Game",'Game Records'!$K270=""),"Final Earned; ","")&amp;IF(AND(LOWER('Game Records'!$D270&amp;"")="finalized",'Game Records'!$U270&lt;&gt;"Subscription",'Game Records'!$U270&lt;&gt;"Free Game",'Game Records'!$U270&lt;&gt;"Disqualified — Free Game",OR('Game Records'!$L270="",LOWER('Game Records'!$L270&amp;"")="n/a")),"Disqualified Status; ",""))</x:f>
      </x:c>
      <x:c r="G270" s="331" t="str">
        <x:f>IF($A270="","",IFERROR('Game Records'!$M270,""))</x:f>
      </x:c>
    </x:row>
    <x:row r="271">
      <x:c r="A271" s="332" t="str">
        <x:f>IF(OR(COUNTA('Game Records'!$A271:$M271)=0,'Game Records'!$F271="Subscription"),"",IFERROR(MAX($A$4:A270),0)+1)</x:f>
      </x:c>
      <x:c r="B271" s="332" t="str">
        <x:f>IF($A271="","","G-"&amp;TEXT(ROW('Game Records'!$A271)-4,"0000"))</x:f>
      </x:c>
      <x:c r="C271" s="331" t="str">
        <x:f>IF($A271="","",IFERROR('Game Records'!$A271,""))</x:f>
      </x:c>
      <x:c r="D271" s="331" t="str">
        <x:f>IF($A271="","",IFERROR('Game Records'!$U271,""))</x:f>
      </x:c>
      <x:c r="E271" s="331" t="str">
        <x:f>IF($A271="","",IF($F271="","No Highlighted Fields","Highlighted Fields Present"))</x:f>
      </x:c>
      <x:c r="F271" s="331" t="str">
        <x:f>IF($A271="","",IF('Game Records'!$B271="","Start Date; ","")&amp;IF('Game Records'!$C271="","End Date; ","")&amp;IF(AND('Game Records'!$U271&lt;&gt;"Subscription",'Game Records'!$U271&lt;&gt;"Free Game",'Game Records'!$U271&lt;&gt;"Disqualified — Free Game",OR('Game Records'!$D271="",LOWER('Game Records'!$D271&amp;"")="n/a")),"Entry Mode; ","")&amp;IF(AND('Game Records'!$U271&lt;&gt;"Subscription",'Game Records'!$U271&lt;&gt;"Free Game",'Game Records'!$U271&lt;&gt;"Disqualified — Free Game",OR('Game Records'!$E271="",LOWER('Game Records'!$E271&amp;"")="n/a")),"Game Type; ","")&amp;IF('Game Records'!$F271="","Payment Type; ","")&amp;IF(AND('Game Records'!$U271&lt;&gt;"Subscription",'Game Records'!$U271&lt;&gt;"Free Game",'Game Records'!$U271&lt;&gt;"Disqualified — Free Game",'Game Records'!$G271=""),"Gross Pot; ","")&amp;IF(AND('Game Records'!$U271&lt;&gt;"Free Game",'Game Records'!$U271&lt;&gt;"Disqualified — Free Game",'Game Records'!$H271=""),"Entry Fee; ","")&amp;IF(AND('Game Records'!$U271&lt;&gt;"Subscription",'Game Records'!$U271&lt;&gt;"Free Game",'Game Records'!$U271&lt;&gt;"Disqualified — Free Game",'Game Records'!$I271=""),"Eligible Players; ","")&amp;IF(AND('Game Records'!$U271&lt;&gt;"Subscription",'Game Records'!$U271&lt;&gt;"Free Game",'Game Records'!$U271&lt;&gt;"Disqualified — Free Game",'Game Records'!$J271=""),"Total Players; ","")&amp;IF(AND(LOWER('Game Records'!$D271&amp;"")="finalized",LOWER('Game Records'!$L271&amp;"")&lt;&gt;"yes",'Game Records'!$U271&lt;&gt;"Subscription",'Game Records'!$U271&lt;&gt;"Free Game",'Game Records'!$U271&lt;&gt;"Disqualified — Free Game",'Game Records'!$K271=""),"Final Earned; ","")&amp;IF(AND(LOWER('Game Records'!$D271&amp;"")="finalized",'Game Records'!$U271&lt;&gt;"Subscription",'Game Records'!$U271&lt;&gt;"Free Game",'Game Records'!$U271&lt;&gt;"Disqualified — Free Game",OR('Game Records'!$L271="",LOWER('Game Records'!$L271&amp;"")="n/a")),"Disqualified Status; ",""))</x:f>
      </x:c>
      <x:c r="G271" s="331" t="str">
        <x:f>IF($A271="","",IFERROR('Game Records'!$M271,""))</x:f>
      </x:c>
    </x:row>
    <x:row r="272">
      <x:c r="A272" s="332" t="str">
        <x:f>IF(OR(COUNTA('Game Records'!$A272:$M272)=0,'Game Records'!$F272="Subscription"),"",IFERROR(MAX($A$4:A271),0)+1)</x:f>
      </x:c>
      <x:c r="B272" s="332" t="str">
        <x:f>IF($A272="","","G-"&amp;TEXT(ROW('Game Records'!$A272)-4,"0000"))</x:f>
      </x:c>
      <x:c r="C272" s="331" t="str">
        <x:f>IF($A272="","",IFERROR('Game Records'!$A272,""))</x:f>
      </x:c>
      <x:c r="D272" s="331" t="str">
        <x:f>IF($A272="","",IFERROR('Game Records'!$U272,""))</x:f>
      </x:c>
      <x:c r="E272" s="331" t="str">
        <x:f>IF($A272="","",IF($F272="","No Highlighted Fields","Highlighted Fields Present"))</x:f>
      </x:c>
      <x:c r="F272" s="331" t="str">
        <x:f>IF($A272="","",IF('Game Records'!$B272="","Start Date; ","")&amp;IF('Game Records'!$C272="","End Date; ","")&amp;IF(AND('Game Records'!$U272&lt;&gt;"Subscription",'Game Records'!$U272&lt;&gt;"Free Game",'Game Records'!$U272&lt;&gt;"Disqualified — Free Game",OR('Game Records'!$D272="",LOWER('Game Records'!$D272&amp;"")="n/a")),"Entry Mode; ","")&amp;IF(AND('Game Records'!$U272&lt;&gt;"Subscription",'Game Records'!$U272&lt;&gt;"Free Game",'Game Records'!$U272&lt;&gt;"Disqualified — Free Game",OR('Game Records'!$E272="",LOWER('Game Records'!$E272&amp;"")="n/a")),"Game Type; ","")&amp;IF('Game Records'!$F272="","Payment Type; ","")&amp;IF(AND('Game Records'!$U272&lt;&gt;"Subscription",'Game Records'!$U272&lt;&gt;"Free Game",'Game Records'!$U272&lt;&gt;"Disqualified — Free Game",'Game Records'!$G272=""),"Gross Pot; ","")&amp;IF(AND('Game Records'!$U272&lt;&gt;"Free Game",'Game Records'!$U272&lt;&gt;"Disqualified — Free Game",'Game Records'!$H272=""),"Entry Fee; ","")&amp;IF(AND('Game Records'!$U272&lt;&gt;"Subscription",'Game Records'!$U272&lt;&gt;"Free Game",'Game Records'!$U272&lt;&gt;"Disqualified — Free Game",'Game Records'!$I272=""),"Eligible Players; ","")&amp;IF(AND('Game Records'!$U272&lt;&gt;"Subscription",'Game Records'!$U272&lt;&gt;"Free Game",'Game Records'!$U272&lt;&gt;"Disqualified — Free Game",'Game Records'!$J272=""),"Total Players; ","")&amp;IF(AND(LOWER('Game Records'!$D272&amp;"")="finalized",LOWER('Game Records'!$L272&amp;"")&lt;&gt;"yes",'Game Records'!$U272&lt;&gt;"Subscription",'Game Records'!$U272&lt;&gt;"Free Game",'Game Records'!$U272&lt;&gt;"Disqualified — Free Game",'Game Records'!$K272=""),"Final Earned; ","")&amp;IF(AND(LOWER('Game Records'!$D272&amp;"")="finalized",'Game Records'!$U272&lt;&gt;"Subscription",'Game Records'!$U272&lt;&gt;"Free Game",'Game Records'!$U272&lt;&gt;"Disqualified — Free Game",OR('Game Records'!$L272="",LOWER('Game Records'!$L272&amp;"")="n/a")),"Disqualified Status; ",""))</x:f>
      </x:c>
      <x:c r="G272" s="331" t="str">
        <x:f>IF($A272="","",IFERROR('Game Records'!$M272,""))</x:f>
      </x:c>
    </x:row>
    <x:row r="273">
      <x:c r="A273" s="332" t="str">
        <x:f>IF(OR(COUNTA('Game Records'!$A273:$M273)=0,'Game Records'!$F273="Subscription"),"",IFERROR(MAX($A$4:A272),0)+1)</x:f>
      </x:c>
      <x:c r="B273" s="332" t="str">
        <x:f>IF($A273="","","G-"&amp;TEXT(ROW('Game Records'!$A273)-4,"0000"))</x:f>
      </x:c>
      <x:c r="C273" s="331" t="str">
        <x:f>IF($A273="","",IFERROR('Game Records'!$A273,""))</x:f>
      </x:c>
      <x:c r="D273" s="331" t="str">
        <x:f>IF($A273="","",IFERROR('Game Records'!$U273,""))</x:f>
      </x:c>
      <x:c r="E273" s="331" t="str">
        <x:f>IF($A273="","",IF($F273="","No Highlighted Fields","Highlighted Fields Present"))</x:f>
      </x:c>
      <x:c r="F273" s="331" t="str">
        <x:f>IF($A273="","",IF('Game Records'!$B273="","Start Date; ","")&amp;IF('Game Records'!$C273="","End Date; ","")&amp;IF(AND('Game Records'!$U273&lt;&gt;"Subscription",'Game Records'!$U273&lt;&gt;"Free Game",'Game Records'!$U273&lt;&gt;"Disqualified — Free Game",OR('Game Records'!$D273="",LOWER('Game Records'!$D273&amp;"")="n/a")),"Entry Mode; ","")&amp;IF(AND('Game Records'!$U273&lt;&gt;"Subscription",'Game Records'!$U273&lt;&gt;"Free Game",'Game Records'!$U273&lt;&gt;"Disqualified — Free Game",OR('Game Records'!$E273="",LOWER('Game Records'!$E273&amp;"")="n/a")),"Game Type; ","")&amp;IF('Game Records'!$F273="","Payment Type; ","")&amp;IF(AND('Game Records'!$U273&lt;&gt;"Subscription",'Game Records'!$U273&lt;&gt;"Free Game",'Game Records'!$U273&lt;&gt;"Disqualified — Free Game",'Game Records'!$G273=""),"Gross Pot; ","")&amp;IF(AND('Game Records'!$U273&lt;&gt;"Free Game",'Game Records'!$U273&lt;&gt;"Disqualified — Free Game",'Game Records'!$H273=""),"Entry Fee; ","")&amp;IF(AND('Game Records'!$U273&lt;&gt;"Subscription",'Game Records'!$U273&lt;&gt;"Free Game",'Game Records'!$U273&lt;&gt;"Disqualified — Free Game",'Game Records'!$I273=""),"Eligible Players; ","")&amp;IF(AND('Game Records'!$U273&lt;&gt;"Subscription",'Game Records'!$U273&lt;&gt;"Free Game",'Game Records'!$U273&lt;&gt;"Disqualified — Free Game",'Game Records'!$J273=""),"Total Players; ","")&amp;IF(AND(LOWER('Game Records'!$D273&amp;"")="finalized",LOWER('Game Records'!$L273&amp;"")&lt;&gt;"yes",'Game Records'!$U273&lt;&gt;"Subscription",'Game Records'!$U273&lt;&gt;"Free Game",'Game Records'!$U273&lt;&gt;"Disqualified — Free Game",'Game Records'!$K273=""),"Final Earned; ","")&amp;IF(AND(LOWER('Game Records'!$D273&amp;"")="finalized",'Game Records'!$U273&lt;&gt;"Subscription",'Game Records'!$U273&lt;&gt;"Free Game",'Game Records'!$U273&lt;&gt;"Disqualified — Free Game",OR('Game Records'!$L273="",LOWER('Game Records'!$L273&amp;"")="n/a")),"Disqualified Status; ",""))</x:f>
      </x:c>
      <x:c r="G273" s="331" t="str">
        <x:f>IF($A273="","",IFERROR('Game Records'!$M273,""))</x:f>
      </x:c>
    </x:row>
    <x:row r="274">
      <x:c r="A274" s="332" t="str">
        <x:f>IF(OR(COUNTA('Game Records'!$A274:$M274)=0,'Game Records'!$F274="Subscription"),"",IFERROR(MAX($A$4:A273),0)+1)</x:f>
      </x:c>
      <x:c r="B274" s="332" t="str">
        <x:f>IF($A274="","","G-"&amp;TEXT(ROW('Game Records'!$A274)-4,"0000"))</x:f>
      </x:c>
      <x:c r="C274" s="331" t="str">
        <x:f>IF($A274="","",IFERROR('Game Records'!$A274,""))</x:f>
      </x:c>
      <x:c r="D274" s="331" t="str">
        <x:f>IF($A274="","",IFERROR('Game Records'!$U274,""))</x:f>
      </x:c>
      <x:c r="E274" s="331" t="str">
        <x:f>IF($A274="","",IF($F274="","No Highlighted Fields","Highlighted Fields Present"))</x:f>
      </x:c>
      <x:c r="F274" s="331" t="str">
        <x:f>IF($A274="","",IF('Game Records'!$B274="","Start Date; ","")&amp;IF('Game Records'!$C274="","End Date; ","")&amp;IF(AND('Game Records'!$U274&lt;&gt;"Subscription",'Game Records'!$U274&lt;&gt;"Free Game",'Game Records'!$U274&lt;&gt;"Disqualified — Free Game",OR('Game Records'!$D274="",LOWER('Game Records'!$D274&amp;"")="n/a")),"Entry Mode; ","")&amp;IF(AND('Game Records'!$U274&lt;&gt;"Subscription",'Game Records'!$U274&lt;&gt;"Free Game",'Game Records'!$U274&lt;&gt;"Disqualified — Free Game",OR('Game Records'!$E274="",LOWER('Game Records'!$E274&amp;"")="n/a")),"Game Type; ","")&amp;IF('Game Records'!$F274="","Payment Type; ","")&amp;IF(AND('Game Records'!$U274&lt;&gt;"Subscription",'Game Records'!$U274&lt;&gt;"Free Game",'Game Records'!$U274&lt;&gt;"Disqualified — Free Game",'Game Records'!$G274=""),"Gross Pot; ","")&amp;IF(AND('Game Records'!$U274&lt;&gt;"Free Game",'Game Records'!$U274&lt;&gt;"Disqualified — Free Game",'Game Records'!$H274=""),"Entry Fee; ","")&amp;IF(AND('Game Records'!$U274&lt;&gt;"Subscription",'Game Records'!$U274&lt;&gt;"Free Game",'Game Records'!$U274&lt;&gt;"Disqualified — Free Game",'Game Records'!$I274=""),"Eligible Players; ","")&amp;IF(AND('Game Records'!$U274&lt;&gt;"Subscription",'Game Records'!$U274&lt;&gt;"Free Game",'Game Records'!$U274&lt;&gt;"Disqualified — Free Game",'Game Records'!$J274=""),"Total Players; ","")&amp;IF(AND(LOWER('Game Records'!$D274&amp;"")="finalized",LOWER('Game Records'!$L274&amp;"")&lt;&gt;"yes",'Game Records'!$U274&lt;&gt;"Subscription",'Game Records'!$U274&lt;&gt;"Free Game",'Game Records'!$U274&lt;&gt;"Disqualified — Free Game",'Game Records'!$K274=""),"Final Earned; ","")&amp;IF(AND(LOWER('Game Records'!$D274&amp;"")="finalized",'Game Records'!$U274&lt;&gt;"Subscription",'Game Records'!$U274&lt;&gt;"Free Game",'Game Records'!$U274&lt;&gt;"Disqualified — Free Game",OR('Game Records'!$L274="",LOWER('Game Records'!$L274&amp;"")="n/a")),"Disqualified Status; ",""))</x:f>
      </x:c>
      <x:c r="G274" s="331" t="str">
        <x:f>IF($A274="","",IFERROR('Game Records'!$M274,""))</x:f>
      </x:c>
    </x:row>
    <x:row r="275">
      <x:c r="A275" s="332" t="str">
        <x:f>IF(OR(COUNTA('Game Records'!$A275:$M275)=0,'Game Records'!$F275="Subscription"),"",IFERROR(MAX($A$4:A274),0)+1)</x:f>
      </x:c>
      <x:c r="B275" s="332" t="str">
        <x:f>IF($A275="","","G-"&amp;TEXT(ROW('Game Records'!$A275)-4,"0000"))</x:f>
      </x:c>
      <x:c r="C275" s="331" t="str">
        <x:f>IF($A275="","",IFERROR('Game Records'!$A275,""))</x:f>
      </x:c>
      <x:c r="D275" s="331" t="str">
        <x:f>IF($A275="","",IFERROR('Game Records'!$U275,""))</x:f>
      </x:c>
      <x:c r="E275" s="331" t="str">
        <x:f>IF($A275="","",IF($F275="","No Highlighted Fields","Highlighted Fields Present"))</x:f>
      </x:c>
      <x:c r="F275" s="331" t="str">
        <x:f>IF($A275="","",IF('Game Records'!$B275="","Start Date; ","")&amp;IF('Game Records'!$C275="","End Date; ","")&amp;IF(AND('Game Records'!$U275&lt;&gt;"Subscription",'Game Records'!$U275&lt;&gt;"Free Game",'Game Records'!$U275&lt;&gt;"Disqualified — Free Game",OR('Game Records'!$D275="",LOWER('Game Records'!$D275&amp;"")="n/a")),"Entry Mode; ","")&amp;IF(AND('Game Records'!$U275&lt;&gt;"Subscription",'Game Records'!$U275&lt;&gt;"Free Game",'Game Records'!$U275&lt;&gt;"Disqualified — Free Game",OR('Game Records'!$E275="",LOWER('Game Records'!$E275&amp;"")="n/a")),"Game Type; ","")&amp;IF('Game Records'!$F275="","Payment Type; ","")&amp;IF(AND('Game Records'!$U275&lt;&gt;"Subscription",'Game Records'!$U275&lt;&gt;"Free Game",'Game Records'!$U275&lt;&gt;"Disqualified — Free Game",'Game Records'!$G275=""),"Gross Pot; ","")&amp;IF(AND('Game Records'!$U275&lt;&gt;"Free Game",'Game Records'!$U275&lt;&gt;"Disqualified — Free Game",'Game Records'!$H275=""),"Entry Fee; ","")&amp;IF(AND('Game Records'!$U275&lt;&gt;"Subscription",'Game Records'!$U275&lt;&gt;"Free Game",'Game Records'!$U275&lt;&gt;"Disqualified — Free Game",'Game Records'!$I275=""),"Eligible Players; ","")&amp;IF(AND('Game Records'!$U275&lt;&gt;"Subscription",'Game Records'!$U275&lt;&gt;"Free Game",'Game Records'!$U275&lt;&gt;"Disqualified — Free Game",'Game Records'!$J275=""),"Total Players; ","")&amp;IF(AND(LOWER('Game Records'!$D275&amp;"")="finalized",LOWER('Game Records'!$L275&amp;"")&lt;&gt;"yes",'Game Records'!$U275&lt;&gt;"Subscription",'Game Records'!$U275&lt;&gt;"Free Game",'Game Records'!$U275&lt;&gt;"Disqualified — Free Game",'Game Records'!$K275=""),"Final Earned; ","")&amp;IF(AND(LOWER('Game Records'!$D275&amp;"")="finalized",'Game Records'!$U275&lt;&gt;"Subscription",'Game Records'!$U275&lt;&gt;"Free Game",'Game Records'!$U275&lt;&gt;"Disqualified — Free Game",OR('Game Records'!$L275="",LOWER('Game Records'!$L275&amp;"")="n/a")),"Disqualified Status; ",""))</x:f>
      </x:c>
      <x:c r="G275" s="331" t="str">
        <x:f>IF($A275="","",IFERROR('Game Records'!$M275,""))</x:f>
      </x:c>
    </x:row>
    <x:row r="276">
      <x:c r="A276" s="332" t="str">
        <x:f>IF(OR(COUNTA('Game Records'!$A276:$M276)=0,'Game Records'!$F276="Subscription"),"",IFERROR(MAX($A$4:A275),0)+1)</x:f>
      </x:c>
      <x:c r="B276" s="332" t="str">
        <x:f>IF($A276="","","G-"&amp;TEXT(ROW('Game Records'!$A276)-4,"0000"))</x:f>
      </x:c>
      <x:c r="C276" s="331" t="str">
        <x:f>IF($A276="","",IFERROR('Game Records'!$A276,""))</x:f>
      </x:c>
      <x:c r="D276" s="331" t="str">
        <x:f>IF($A276="","",IFERROR('Game Records'!$U276,""))</x:f>
      </x:c>
      <x:c r="E276" s="331" t="str">
        <x:f>IF($A276="","",IF($F276="","No Highlighted Fields","Highlighted Fields Present"))</x:f>
      </x:c>
      <x:c r="F276" s="331" t="str">
        <x:f>IF($A276="","",IF('Game Records'!$B276="","Start Date; ","")&amp;IF('Game Records'!$C276="","End Date; ","")&amp;IF(AND('Game Records'!$U276&lt;&gt;"Subscription",'Game Records'!$U276&lt;&gt;"Free Game",'Game Records'!$U276&lt;&gt;"Disqualified — Free Game",OR('Game Records'!$D276="",LOWER('Game Records'!$D276&amp;"")="n/a")),"Entry Mode; ","")&amp;IF(AND('Game Records'!$U276&lt;&gt;"Subscription",'Game Records'!$U276&lt;&gt;"Free Game",'Game Records'!$U276&lt;&gt;"Disqualified — Free Game",OR('Game Records'!$E276="",LOWER('Game Records'!$E276&amp;"")="n/a")),"Game Type; ","")&amp;IF('Game Records'!$F276="","Payment Type; ","")&amp;IF(AND('Game Records'!$U276&lt;&gt;"Subscription",'Game Records'!$U276&lt;&gt;"Free Game",'Game Records'!$U276&lt;&gt;"Disqualified — Free Game",'Game Records'!$G276=""),"Gross Pot; ","")&amp;IF(AND('Game Records'!$U276&lt;&gt;"Free Game",'Game Records'!$U276&lt;&gt;"Disqualified — Free Game",'Game Records'!$H276=""),"Entry Fee; ","")&amp;IF(AND('Game Records'!$U276&lt;&gt;"Subscription",'Game Records'!$U276&lt;&gt;"Free Game",'Game Records'!$U276&lt;&gt;"Disqualified — Free Game",'Game Records'!$I276=""),"Eligible Players; ","")&amp;IF(AND('Game Records'!$U276&lt;&gt;"Subscription",'Game Records'!$U276&lt;&gt;"Free Game",'Game Records'!$U276&lt;&gt;"Disqualified — Free Game",'Game Records'!$J276=""),"Total Players; ","")&amp;IF(AND(LOWER('Game Records'!$D276&amp;"")="finalized",LOWER('Game Records'!$L276&amp;"")&lt;&gt;"yes",'Game Records'!$U276&lt;&gt;"Subscription",'Game Records'!$U276&lt;&gt;"Free Game",'Game Records'!$U276&lt;&gt;"Disqualified — Free Game",'Game Records'!$K276=""),"Final Earned; ","")&amp;IF(AND(LOWER('Game Records'!$D276&amp;"")="finalized",'Game Records'!$U276&lt;&gt;"Subscription",'Game Records'!$U276&lt;&gt;"Free Game",'Game Records'!$U276&lt;&gt;"Disqualified — Free Game",OR('Game Records'!$L276="",LOWER('Game Records'!$L276&amp;"")="n/a")),"Disqualified Status; ",""))</x:f>
      </x:c>
      <x:c r="G276" s="331" t="str">
        <x:f>IF($A276="","",IFERROR('Game Records'!$M276,""))</x:f>
      </x:c>
    </x:row>
    <x:row r="277">
      <x:c r="A277" s="332" t="str">
        <x:f>IF(OR(COUNTA('Game Records'!$A277:$M277)=0,'Game Records'!$F277="Subscription"),"",IFERROR(MAX($A$4:A276),0)+1)</x:f>
      </x:c>
      <x:c r="B277" s="332" t="str">
        <x:f>IF($A277="","","G-"&amp;TEXT(ROW('Game Records'!$A277)-4,"0000"))</x:f>
      </x:c>
      <x:c r="C277" s="331" t="str">
        <x:f>IF($A277="","",IFERROR('Game Records'!$A277,""))</x:f>
      </x:c>
      <x:c r="D277" s="331" t="str">
        <x:f>IF($A277="","",IFERROR('Game Records'!$U277,""))</x:f>
      </x:c>
      <x:c r="E277" s="331" t="str">
        <x:f>IF($A277="","",IF($F277="","No Highlighted Fields","Highlighted Fields Present"))</x:f>
      </x:c>
      <x:c r="F277" s="331" t="str">
        <x:f>IF($A277="","",IF('Game Records'!$B277="","Start Date; ","")&amp;IF('Game Records'!$C277="","End Date; ","")&amp;IF(AND('Game Records'!$U277&lt;&gt;"Subscription",'Game Records'!$U277&lt;&gt;"Free Game",'Game Records'!$U277&lt;&gt;"Disqualified — Free Game",OR('Game Records'!$D277="",LOWER('Game Records'!$D277&amp;"")="n/a")),"Entry Mode; ","")&amp;IF(AND('Game Records'!$U277&lt;&gt;"Subscription",'Game Records'!$U277&lt;&gt;"Free Game",'Game Records'!$U277&lt;&gt;"Disqualified — Free Game",OR('Game Records'!$E277="",LOWER('Game Records'!$E277&amp;"")="n/a")),"Game Type; ","")&amp;IF('Game Records'!$F277="","Payment Type; ","")&amp;IF(AND('Game Records'!$U277&lt;&gt;"Subscription",'Game Records'!$U277&lt;&gt;"Free Game",'Game Records'!$U277&lt;&gt;"Disqualified — Free Game",'Game Records'!$G277=""),"Gross Pot; ","")&amp;IF(AND('Game Records'!$U277&lt;&gt;"Free Game",'Game Records'!$U277&lt;&gt;"Disqualified — Free Game",'Game Records'!$H277=""),"Entry Fee; ","")&amp;IF(AND('Game Records'!$U277&lt;&gt;"Subscription",'Game Records'!$U277&lt;&gt;"Free Game",'Game Records'!$U277&lt;&gt;"Disqualified — Free Game",'Game Records'!$I277=""),"Eligible Players; ","")&amp;IF(AND('Game Records'!$U277&lt;&gt;"Subscription",'Game Records'!$U277&lt;&gt;"Free Game",'Game Records'!$U277&lt;&gt;"Disqualified — Free Game",'Game Records'!$J277=""),"Total Players; ","")&amp;IF(AND(LOWER('Game Records'!$D277&amp;"")="finalized",LOWER('Game Records'!$L277&amp;"")&lt;&gt;"yes",'Game Records'!$U277&lt;&gt;"Subscription",'Game Records'!$U277&lt;&gt;"Free Game",'Game Records'!$U277&lt;&gt;"Disqualified — Free Game",'Game Records'!$K277=""),"Final Earned; ","")&amp;IF(AND(LOWER('Game Records'!$D277&amp;"")="finalized",'Game Records'!$U277&lt;&gt;"Subscription",'Game Records'!$U277&lt;&gt;"Free Game",'Game Records'!$U277&lt;&gt;"Disqualified — Free Game",OR('Game Records'!$L277="",LOWER('Game Records'!$L277&amp;"")="n/a")),"Disqualified Status; ",""))</x:f>
      </x:c>
      <x:c r="G277" s="331" t="str">
        <x:f>IF($A277="","",IFERROR('Game Records'!$M277,""))</x:f>
      </x:c>
    </x:row>
    <x:row r="278">
      <x:c r="A278" s="332" t="str">
        <x:f>IF(OR(COUNTA('Game Records'!$A278:$M278)=0,'Game Records'!$F278="Subscription"),"",IFERROR(MAX($A$4:A277),0)+1)</x:f>
      </x:c>
      <x:c r="B278" s="332" t="str">
        <x:f>IF($A278="","","G-"&amp;TEXT(ROW('Game Records'!$A278)-4,"0000"))</x:f>
      </x:c>
      <x:c r="C278" s="331" t="str">
        <x:f>IF($A278="","",IFERROR('Game Records'!$A278,""))</x:f>
      </x:c>
      <x:c r="D278" s="331" t="str">
        <x:f>IF($A278="","",IFERROR('Game Records'!$U278,""))</x:f>
      </x:c>
      <x:c r="E278" s="331" t="str">
        <x:f>IF($A278="","",IF($F278="","No Highlighted Fields","Highlighted Fields Present"))</x:f>
      </x:c>
      <x:c r="F278" s="331" t="str">
        <x:f>IF($A278="","",IF('Game Records'!$B278="","Start Date; ","")&amp;IF('Game Records'!$C278="","End Date; ","")&amp;IF(AND('Game Records'!$U278&lt;&gt;"Subscription",'Game Records'!$U278&lt;&gt;"Free Game",'Game Records'!$U278&lt;&gt;"Disqualified — Free Game",OR('Game Records'!$D278="",LOWER('Game Records'!$D278&amp;"")="n/a")),"Entry Mode; ","")&amp;IF(AND('Game Records'!$U278&lt;&gt;"Subscription",'Game Records'!$U278&lt;&gt;"Free Game",'Game Records'!$U278&lt;&gt;"Disqualified — Free Game",OR('Game Records'!$E278="",LOWER('Game Records'!$E278&amp;"")="n/a")),"Game Type; ","")&amp;IF('Game Records'!$F278="","Payment Type; ","")&amp;IF(AND('Game Records'!$U278&lt;&gt;"Subscription",'Game Records'!$U278&lt;&gt;"Free Game",'Game Records'!$U278&lt;&gt;"Disqualified — Free Game",'Game Records'!$G278=""),"Gross Pot; ","")&amp;IF(AND('Game Records'!$U278&lt;&gt;"Free Game",'Game Records'!$U278&lt;&gt;"Disqualified — Free Game",'Game Records'!$H278=""),"Entry Fee; ","")&amp;IF(AND('Game Records'!$U278&lt;&gt;"Subscription",'Game Records'!$U278&lt;&gt;"Free Game",'Game Records'!$U278&lt;&gt;"Disqualified — Free Game",'Game Records'!$I278=""),"Eligible Players; ","")&amp;IF(AND('Game Records'!$U278&lt;&gt;"Subscription",'Game Records'!$U278&lt;&gt;"Free Game",'Game Records'!$U278&lt;&gt;"Disqualified — Free Game",'Game Records'!$J278=""),"Total Players; ","")&amp;IF(AND(LOWER('Game Records'!$D278&amp;"")="finalized",LOWER('Game Records'!$L278&amp;"")&lt;&gt;"yes",'Game Records'!$U278&lt;&gt;"Subscription",'Game Records'!$U278&lt;&gt;"Free Game",'Game Records'!$U278&lt;&gt;"Disqualified — Free Game",'Game Records'!$K278=""),"Final Earned; ","")&amp;IF(AND(LOWER('Game Records'!$D278&amp;"")="finalized",'Game Records'!$U278&lt;&gt;"Subscription",'Game Records'!$U278&lt;&gt;"Free Game",'Game Records'!$U278&lt;&gt;"Disqualified — Free Game",OR('Game Records'!$L278="",LOWER('Game Records'!$L278&amp;"")="n/a")),"Disqualified Status; ",""))</x:f>
      </x:c>
      <x:c r="G278" s="331" t="str">
        <x:f>IF($A278="","",IFERROR('Game Records'!$M278,""))</x:f>
      </x:c>
    </x:row>
    <x:row r="279">
      <x:c r="A279" s="332" t="str">
        <x:f>IF(OR(COUNTA('Game Records'!$A279:$M279)=0,'Game Records'!$F279="Subscription"),"",IFERROR(MAX($A$4:A278),0)+1)</x:f>
      </x:c>
      <x:c r="B279" s="332" t="str">
        <x:f>IF($A279="","","G-"&amp;TEXT(ROW('Game Records'!$A279)-4,"0000"))</x:f>
      </x:c>
      <x:c r="C279" s="331" t="str">
        <x:f>IF($A279="","",IFERROR('Game Records'!$A279,""))</x:f>
      </x:c>
      <x:c r="D279" s="331" t="str">
        <x:f>IF($A279="","",IFERROR('Game Records'!$U279,""))</x:f>
      </x:c>
      <x:c r="E279" s="331" t="str">
        <x:f>IF($A279="","",IF($F279="","No Highlighted Fields","Highlighted Fields Present"))</x:f>
      </x:c>
      <x:c r="F279" s="331" t="str">
        <x:f>IF($A279="","",IF('Game Records'!$B279="","Start Date; ","")&amp;IF('Game Records'!$C279="","End Date; ","")&amp;IF(AND('Game Records'!$U279&lt;&gt;"Subscription",'Game Records'!$U279&lt;&gt;"Free Game",'Game Records'!$U279&lt;&gt;"Disqualified — Free Game",OR('Game Records'!$D279="",LOWER('Game Records'!$D279&amp;"")="n/a")),"Entry Mode; ","")&amp;IF(AND('Game Records'!$U279&lt;&gt;"Subscription",'Game Records'!$U279&lt;&gt;"Free Game",'Game Records'!$U279&lt;&gt;"Disqualified — Free Game",OR('Game Records'!$E279="",LOWER('Game Records'!$E279&amp;"")="n/a")),"Game Type; ","")&amp;IF('Game Records'!$F279="","Payment Type; ","")&amp;IF(AND('Game Records'!$U279&lt;&gt;"Subscription",'Game Records'!$U279&lt;&gt;"Free Game",'Game Records'!$U279&lt;&gt;"Disqualified — Free Game",'Game Records'!$G279=""),"Gross Pot; ","")&amp;IF(AND('Game Records'!$U279&lt;&gt;"Free Game",'Game Records'!$U279&lt;&gt;"Disqualified — Free Game",'Game Records'!$H279=""),"Entry Fee; ","")&amp;IF(AND('Game Records'!$U279&lt;&gt;"Subscription",'Game Records'!$U279&lt;&gt;"Free Game",'Game Records'!$U279&lt;&gt;"Disqualified — Free Game",'Game Records'!$I279=""),"Eligible Players; ","")&amp;IF(AND('Game Records'!$U279&lt;&gt;"Subscription",'Game Records'!$U279&lt;&gt;"Free Game",'Game Records'!$U279&lt;&gt;"Disqualified — Free Game",'Game Records'!$J279=""),"Total Players; ","")&amp;IF(AND(LOWER('Game Records'!$D279&amp;"")="finalized",LOWER('Game Records'!$L279&amp;"")&lt;&gt;"yes",'Game Records'!$U279&lt;&gt;"Subscription",'Game Records'!$U279&lt;&gt;"Free Game",'Game Records'!$U279&lt;&gt;"Disqualified — Free Game",'Game Records'!$K279=""),"Final Earned; ","")&amp;IF(AND(LOWER('Game Records'!$D279&amp;"")="finalized",'Game Records'!$U279&lt;&gt;"Subscription",'Game Records'!$U279&lt;&gt;"Free Game",'Game Records'!$U279&lt;&gt;"Disqualified — Free Game",OR('Game Records'!$L279="",LOWER('Game Records'!$L279&amp;"")="n/a")),"Disqualified Status; ",""))</x:f>
      </x:c>
      <x:c r="G279" s="331" t="str">
        <x:f>IF($A279="","",IFERROR('Game Records'!$M279,""))</x:f>
      </x:c>
    </x:row>
    <x:row r="280">
      <x:c r="A280" s="332" t="str">
        <x:f>IF(OR(COUNTA('Game Records'!$A280:$M280)=0,'Game Records'!$F280="Subscription"),"",IFERROR(MAX($A$4:A279),0)+1)</x:f>
      </x:c>
      <x:c r="B280" s="332" t="str">
        <x:f>IF($A280="","","G-"&amp;TEXT(ROW('Game Records'!$A280)-4,"0000"))</x:f>
      </x:c>
      <x:c r="C280" s="331" t="str">
        <x:f>IF($A280="","",IFERROR('Game Records'!$A280,""))</x:f>
      </x:c>
      <x:c r="D280" s="331" t="str">
        <x:f>IF($A280="","",IFERROR('Game Records'!$U280,""))</x:f>
      </x:c>
      <x:c r="E280" s="331" t="str">
        <x:f>IF($A280="","",IF($F280="","No Highlighted Fields","Highlighted Fields Present"))</x:f>
      </x:c>
      <x:c r="F280" s="331" t="str">
        <x:f>IF($A280="","",IF('Game Records'!$B280="","Start Date; ","")&amp;IF('Game Records'!$C280="","End Date; ","")&amp;IF(AND('Game Records'!$U280&lt;&gt;"Subscription",'Game Records'!$U280&lt;&gt;"Free Game",'Game Records'!$U280&lt;&gt;"Disqualified — Free Game",OR('Game Records'!$D280="",LOWER('Game Records'!$D280&amp;"")="n/a")),"Entry Mode; ","")&amp;IF(AND('Game Records'!$U280&lt;&gt;"Subscription",'Game Records'!$U280&lt;&gt;"Free Game",'Game Records'!$U280&lt;&gt;"Disqualified — Free Game",OR('Game Records'!$E280="",LOWER('Game Records'!$E280&amp;"")="n/a")),"Game Type; ","")&amp;IF('Game Records'!$F280="","Payment Type; ","")&amp;IF(AND('Game Records'!$U280&lt;&gt;"Subscription",'Game Records'!$U280&lt;&gt;"Free Game",'Game Records'!$U280&lt;&gt;"Disqualified — Free Game",'Game Records'!$G280=""),"Gross Pot; ","")&amp;IF(AND('Game Records'!$U280&lt;&gt;"Free Game",'Game Records'!$U280&lt;&gt;"Disqualified — Free Game",'Game Records'!$H280=""),"Entry Fee; ","")&amp;IF(AND('Game Records'!$U280&lt;&gt;"Subscription",'Game Records'!$U280&lt;&gt;"Free Game",'Game Records'!$U280&lt;&gt;"Disqualified — Free Game",'Game Records'!$I280=""),"Eligible Players; ","")&amp;IF(AND('Game Records'!$U280&lt;&gt;"Subscription",'Game Records'!$U280&lt;&gt;"Free Game",'Game Records'!$U280&lt;&gt;"Disqualified — Free Game",'Game Records'!$J280=""),"Total Players; ","")&amp;IF(AND(LOWER('Game Records'!$D280&amp;"")="finalized",LOWER('Game Records'!$L280&amp;"")&lt;&gt;"yes",'Game Records'!$U280&lt;&gt;"Subscription",'Game Records'!$U280&lt;&gt;"Free Game",'Game Records'!$U280&lt;&gt;"Disqualified — Free Game",'Game Records'!$K280=""),"Final Earned; ","")&amp;IF(AND(LOWER('Game Records'!$D280&amp;"")="finalized",'Game Records'!$U280&lt;&gt;"Subscription",'Game Records'!$U280&lt;&gt;"Free Game",'Game Records'!$U280&lt;&gt;"Disqualified — Free Game",OR('Game Records'!$L280="",LOWER('Game Records'!$L280&amp;"")="n/a")),"Disqualified Status; ",""))</x:f>
      </x:c>
      <x:c r="G280" s="331" t="str">
        <x:f>IF($A280="","",IFERROR('Game Records'!$M280,""))</x:f>
      </x:c>
    </x:row>
    <x:row r="281">
      <x:c r="A281" s="332" t="str">
        <x:f>IF(OR(COUNTA('Game Records'!$A281:$M281)=0,'Game Records'!$F281="Subscription"),"",IFERROR(MAX($A$4:A280),0)+1)</x:f>
      </x:c>
      <x:c r="B281" s="332" t="str">
        <x:f>IF($A281="","","G-"&amp;TEXT(ROW('Game Records'!$A281)-4,"0000"))</x:f>
      </x:c>
      <x:c r="C281" s="331" t="str">
        <x:f>IF($A281="","",IFERROR('Game Records'!$A281,""))</x:f>
      </x:c>
      <x:c r="D281" s="331" t="str">
        <x:f>IF($A281="","",IFERROR('Game Records'!$U281,""))</x:f>
      </x:c>
      <x:c r="E281" s="331" t="str">
        <x:f>IF($A281="","",IF($F281="","No Highlighted Fields","Highlighted Fields Present"))</x:f>
      </x:c>
      <x:c r="F281" s="331" t="str">
        <x:f>IF($A281="","",IF('Game Records'!$B281="","Start Date; ","")&amp;IF('Game Records'!$C281="","End Date; ","")&amp;IF(AND('Game Records'!$U281&lt;&gt;"Subscription",'Game Records'!$U281&lt;&gt;"Free Game",'Game Records'!$U281&lt;&gt;"Disqualified — Free Game",OR('Game Records'!$D281="",LOWER('Game Records'!$D281&amp;"")="n/a")),"Entry Mode; ","")&amp;IF(AND('Game Records'!$U281&lt;&gt;"Subscription",'Game Records'!$U281&lt;&gt;"Free Game",'Game Records'!$U281&lt;&gt;"Disqualified — Free Game",OR('Game Records'!$E281="",LOWER('Game Records'!$E281&amp;"")="n/a")),"Game Type; ","")&amp;IF('Game Records'!$F281="","Payment Type; ","")&amp;IF(AND('Game Records'!$U281&lt;&gt;"Subscription",'Game Records'!$U281&lt;&gt;"Free Game",'Game Records'!$U281&lt;&gt;"Disqualified — Free Game",'Game Records'!$G281=""),"Gross Pot; ","")&amp;IF(AND('Game Records'!$U281&lt;&gt;"Free Game",'Game Records'!$U281&lt;&gt;"Disqualified — Free Game",'Game Records'!$H281=""),"Entry Fee; ","")&amp;IF(AND('Game Records'!$U281&lt;&gt;"Subscription",'Game Records'!$U281&lt;&gt;"Free Game",'Game Records'!$U281&lt;&gt;"Disqualified — Free Game",'Game Records'!$I281=""),"Eligible Players; ","")&amp;IF(AND('Game Records'!$U281&lt;&gt;"Subscription",'Game Records'!$U281&lt;&gt;"Free Game",'Game Records'!$U281&lt;&gt;"Disqualified — Free Game",'Game Records'!$J281=""),"Total Players; ","")&amp;IF(AND(LOWER('Game Records'!$D281&amp;"")="finalized",LOWER('Game Records'!$L281&amp;"")&lt;&gt;"yes",'Game Records'!$U281&lt;&gt;"Subscription",'Game Records'!$U281&lt;&gt;"Free Game",'Game Records'!$U281&lt;&gt;"Disqualified — Free Game",'Game Records'!$K281=""),"Final Earned; ","")&amp;IF(AND(LOWER('Game Records'!$D281&amp;"")="finalized",'Game Records'!$U281&lt;&gt;"Subscription",'Game Records'!$U281&lt;&gt;"Free Game",'Game Records'!$U281&lt;&gt;"Disqualified — Free Game",OR('Game Records'!$L281="",LOWER('Game Records'!$L281&amp;"")="n/a")),"Disqualified Status; ",""))</x:f>
      </x:c>
      <x:c r="G281" s="331" t="str">
        <x:f>IF($A281="","",IFERROR('Game Records'!$M281,""))</x:f>
      </x:c>
    </x:row>
    <x:row r="282">
      <x:c r="A282" s="332" t="str">
        <x:f>IF(OR(COUNTA('Game Records'!$A282:$M282)=0,'Game Records'!$F282="Subscription"),"",IFERROR(MAX($A$4:A281),0)+1)</x:f>
      </x:c>
      <x:c r="B282" s="332" t="str">
        <x:f>IF($A282="","","G-"&amp;TEXT(ROW('Game Records'!$A282)-4,"0000"))</x:f>
      </x:c>
      <x:c r="C282" s="331" t="str">
        <x:f>IF($A282="","",IFERROR('Game Records'!$A282,""))</x:f>
      </x:c>
      <x:c r="D282" s="331" t="str">
        <x:f>IF($A282="","",IFERROR('Game Records'!$U282,""))</x:f>
      </x:c>
      <x:c r="E282" s="331" t="str">
        <x:f>IF($A282="","",IF($F282="","No Highlighted Fields","Highlighted Fields Present"))</x:f>
      </x:c>
      <x:c r="F282" s="331" t="str">
        <x:f>IF($A282="","",IF('Game Records'!$B282="","Start Date; ","")&amp;IF('Game Records'!$C282="","End Date; ","")&amp;IF(AND('Game Records'!$U282&lt;&gt;"Subscription",'Game Records'!$U282&lt;&gt;"Free Game",'Game Records'!$U282&lt;&gt;"Disqualified — Free Game",OR('Game Records'!$D282="",LOWER('Game Records'!$D282&amp;"")="n/a")),"Entry Mode; ","")&amp;IF(AND('Game Records'!$U282&lt;&gt;"Subscription",'Game Records'!$U282&lt;&gt;"Free Game",'Game Records'!$U282&lt;&gt;"Disqualified — Free Game",OR('Game Records'!$E282="",LOWER('Game Records'!$E282&amp;"")="n/a")),"Game Type; ","")&amp;IF('Game Records'!$F282="","Payment Type; ","")&amp;IF(AND('Game Records'!$U282&lt;&gt;"Subscription",'Game Records'!$U282&lt;&gt;"Free Game",'Game Records'!$U282&lt;&gt;"Disqualified — Free Game",'Game Records'!$G282=""),"Gross Pot; ","")&amp;IF(AND('Game Records'!$U282&lt;&gt;"Free Game",'Game Records'!$U282&lt;&gt;"Disqualified — Free Game",'Game Records'!$H282=""),"Entry Fee; ","")&amp;IF(AND('Game Records'!$U282&lt;&gt;"Subscription",'Game Records'!$U282&lt;&gt;"Free Game",'Game Records'!$U282&lt;&gt;"Disqualified — Free Game",'Game Records'!$I282=""),"Eligible Players; ","")&amp;IF(AND('Game Records'!$U282&lt;&gt;"Subscription",'Game Records'!$U282&lt;&gt;"Free Game",'Game Records'!$U282&lt;&gt;"Disqualified — Free Game",'Game Records'!$J282=""),"Total Players; ","")&amp;IF(AND(LOWER('Game Records'!$D282&amp;"")="finalized",LOWER('Game Records'!$L282&amp;"")&lt;&gt;"yes",'Game Records'!$U282&lt;&gt;"Subscription",'Game Records'!$U282&lt;&gt;"Free Game",'Game Records'!$U282&lt;&gt;"Disqualified — Free Game",'Game Records'!$K282=""),"Final Earned; ","")&amp;IF(AND(LOWER('Game Records'!$D282&amp;"")="finalized",'Game Records'!$U282&lt;&gt;"Subscription",'Game Records'!$U282&lt;&gt;"Free Game",'Game Records'!$U282&lt;&gt;"Disqualified — Free Game",OR('Game Records'!$L282="",LOWER('Game Records'!$L282&amp;"")="n/a")),"Disqualified Status; ",""))</x:f>
      </x:c>
      <x:c r="G282" s="331" t="str">
        <x:f>IF($A282="","",IFERROR('Game Records'!$M282,""))</x:f>
      </x:c>
    </x:row>
    <x:row r="283">
      <x:c r="A283" s="332" t="str">
        <x:f>IF(OR(COUNTA('Game Records'!$A283:$M283)=0,'Game Records'!$F283="Subscription"),"",IFERROR(MAX($A$4:A282),0)+1)</x:f>
      </x:c>
      <x:c r="B283" s="332" t="str">
        <x:f>IF($A283="","","G-"&amp;TEXT(ROW('Game Records'!$A283)-4,"0000"))</x:f>
      </x:c>
      <x:c r="C283" s="331" t="str">
        <x:f>IF($A283="","",IFERROR('Game Records'!$A283,""))</x:f>
      </x:c>
      <x:c r="D283" s="331" t="str">
        <x:f>IF($A283="","",IFERROR('Game Records'!$U283,""))</x:f>
      </x:c>
      <x:c r="E283" s="331" t="str">
        <x:f>IF($A283="","",IF($F283="","No Highlighted Fields","Highlighted Fields Present"))</x:f>
      </x:c>
      <x:c r="F283" s="331" t="str">
        <x:f>IF($A283="","",IF('Game Records'!$B283="","Start Date; ","")&amp;IF('Game Records'!$C283="","End Date; ","")&amp;IF(AND('Game Records'!$U283&lt;&gt;"Subscription",'Game Records'!$U283&lt;&gt;"Free Game",'Game Records'!$U283&lt;&gt;"Disqualified — Free Game",OR('Game Records'!$D283="",LOWER('Game Records'!$D283&amp;"")="n/a")),"Entry Mode; ","")&amp;IF(AND('Game Records'!$U283&lt;&gt;"Subscription",'Game Records'!$U283&lt;&gt;"Free Game",'Game Records'!$U283&lt;&gt;"Disqualified — Free Game",OR('Game Records'!$E283="",LOWER('Game Records'!$E283&amp;"")="n/a")),"Game Type; ","")&amp;IF('Game Records'!$F283="","Payment Type; ","")&amp;IF(AND('Game Records'!$U283&lt;&gt;"Subscription",'Game Records'!$U283&lt;&gt;"Free Game",'Game Records'!$U283&lt;&gt;"Disqualified — Free Game",'Game Records'!$G283=""),"Gross Pot; ","")&amp;IF(AND('Game Records'!$U283&lt;&gt;"Free Game",'Game Records'!$U283&lt;&gt;"Disqualified — Free Game",'Game Records'!$H283=""),"Entry Fee; ","")&amp;IF(AND('Game Records'!$U283&lt;&gt;"Subscription",'Game Records'!$U283&lt;&gt;"Free Game",'Game Records'!$U283&lt;&gt;"Disqualified — Free Game",'Game Records'!$I283=""),"Eligible Players; ","")&amp;IF(AND('Game Records'!$U283&lt;&gt;"Subscription",'Game Records'!$U283&lt;&gt;"Free Game",'Game Records'!$U283&lt;&gt;"Disqualified — Free Game",'Game Records'!$J283=""),"Total Players; ","")&amp;IF(AND(LOWER('Game Records'!$D283&amp;"")="finalized",LOWER('Game Records'!$L283&amp;"")&lt;&gt;"yes",'Game Records'!$U283&lt;&gt;"Subscription",'Game Records'!$U283&lt;&gt;"Free Game",'Game Records'!$U283&lt;&gt;"Disqualified — Free Game",'Game Records'!$K283=""),"Final Earned; ","")&amp;IF(AND(LOWER('Game Records'!$D283&amp;"")="finalized",'Game Records'!$U283&lt;&gt;"Subscription",'Game Records'!$U283&lt;&gt;"Free Game",'Game Records'!$U283&lt;&gt;"Disqualified — Free Game",OR('Game Records'!$L283="",LOWER('Game Records'!$L283&amp;"")="n/a")),"Disqualified Status; ",""))</x:f>
      </x:c>
      <x:c r="G283" s="331" t="str">
        <x:f>IF($A283="","",IFERROR('Game Records'!$M283,""))</x:f>
      </x:c>
    </x:row>
    <x:row r="284">
      <x:c r="A284" s="332" t="str">
        <x:f>IF(OR(COUNTA('Game Records'!$A284:$M284)=0,'Game Records'!$F284="Subscription"),"",IFERROR(MAX($A$4:A283),0)+1)</x:f>
      </x:c>
      <x:c r="B284" s="332" t="str">
        <x:f>IF($A284="","","G-"&amp;TEXT(ROW('Game Records'!$A284)-4,"0000"))</x:f>
      </x:c>
      <x:c r="C284" s="331" t="str">
        <x:f>IF($A284="","",IFERROR('Game Records'!$A284,""))</x:f>
      </x:c>
      <x:c r="D284" s="331" t="str">
        <x:f>IF($A284="","",IFERROR('Game Records'!$U284,""))</x:f>
      </x:c>
      <x:c r="E284" s="331" t="str">
        <x:f>IF($A284="","",IF($F284="","No Highlighted Fields","Highlighted Fields Present"))</x:f>
      </x:c>
      <x:c r="F284" s="331" t="str">
        <x:f>IF($A284="","",IF('Game Records'!$B284="","Start Date; ","")&amp;IF('Game Records'!$C284="","End Date; ","")&amp;IF(AND('Game Records'!$U284&lt;&gt;"Subscription",'Game Records'!$U284&lt;&gt;"Free Game",'Game Records'!$U284&lt;&gt;"Disqualified — Free Game",OR('Game Records'!$D284="",LOWER('Game Records'!$D284&amp;"")="n/a")),"Entry Mode; ","")&amp;IF(AND('Game Records'!$U284&lt;&gt;"Subscription",'Game Records'!$U284&lt;&gt;"Free Game",'Game Records'!$U284&lt;&gt;"Disqualified — Free Game",OR('Game Records'!$E284="",LOWER('Game Records'!$E284&amp;"")="n/a")),"Game Type; ","")&amp;IF('Game Records'!$F284="","Payment Type; ","")&amp;IF(AND('Game Records'!$U284&lt;&gt;"Subscription",'Game Records'!$U284&lt;&gt;"Free Game",'Game Records'!$U284&lt;&gt;"Disqualified — Free Game",'Game Records'!$G284=""),"Gross Pot; ","")&amp;IF(AND('Game Records'!$U284&lt;&gt;"Free Game",'Game Records'!$U284&lt;&gt;"Disqualified — Free Game",'Game Records'!$H284=""),"Entry Fee; ","")&amp;IF(AND('Game Records'!$U284&lt;&gt;"Subscription",'Game Records'!$U284&lt;&gt;"Free Game",'Game Records'!$U284&lt;&gt;"Disqualified — Free Game",'Game Records'!$I284=""),"Eligible Players; ","")&amp;IF(AND('Game Records'!$U284&lt;&gt;"Subscription",'Game Records'!$U284&lt;&gt;"Free Game",'Game Records'!$U284&lt;&gt;"Disqualified — Free Game",'Game Records'!$J284=""),"Total Players; ","")&amp;IF(AND(LOWER('Game Records'!$D284&amp;"")="finalized",LOWER('Game Records'!$L284&amp;"")&lt;&gt;"yes",'Game Records'!$U284&lt;&gt;"Subscription",'Game Records'!$U284&lt;&gt;"Free Game",'Game Records'!$U284&lt;&gt;"Disqualified — Free Game",'Game Records'!$K284=""),"Final Earned; ","")&amp;IF(AND(LOWER('Game Records'!$D284&amp;"")="finalized",'Game Records'!$U284&lt;&gt;"Subscription",'Game Records'!$U284&lt;&gt;"Free Game",'Game Records'!$U284&lt;&gt;"Disqualified — Free Game",OR('Game Records'!$L284="",LOWER('Game Records'!$L284&amp;"")="n/a")),"Disqualified Status; ",""))</x:f>
      </x:c>
      <x:c r="G284" s="331" t="str">
        <x:f>IF($A284="","",IFERROR('Game Records'!$M284,""))</x:f>
      </x:c>
    </x:row>
    <x:row r="285">
      <x:c r="A285" s="332" t="str">
        <x:f>IF(OR(COUNTA('Game Records'!$A285:$M285)=0,'Game Records'!$F285="Subscription"),"",IFERROR(MAX($A$4:A284),0)+1)</x:f>
      </x:c>
      <x:c r="B285" s="332" t="str">
        <x:f>IF($A285="","","G-"&amp;TEXT(ROW('Game Records'!$A285)-4,"0000"))</x:f>
      </x:c>
      <x:c r="C285" s="331" t="str">
        <x:f>IF($A285="","",IFERROR('Game Records'!$A285,""))</x:f>
      </x:c>
      <x:c r="D285" s="331" t="str">
        <x:f>IF($A285="","",IFERROR('Game Records'!$U285,""))</x:f>
      </x:c>
      <x:c r="E285" s="331" t="str">
        <x:f>IF($A285="","",IF($F285="","No Highlighted Fields","Highlighted Fields Present"))</x:f>
      </x:c>
      <x:c r="F285" s="331" t="str">
        <x:f>IF($A285="","",IF('Game Records'!$B285="","Start Date; ","")&amp;IF('Game Records'!$C285="","End Date; ","")&amp;IF(AND('Game Records'!$U285&lt;&gt;"Subscription",'Game Records'!$U285&lt;&gt;"Free Game",'Game Records'!$U285&lt;&gt;"Disqualified — Free Game",OR('Game Records'!$D285="",LOWER('Game Records'!$D285&amp;"")="n/a")),"Entry Mode; ","")&amp;IF(AND('Game Records'!$U285&lt;&gt;"Subscription",'Game Records'!$U285&lt;&gt;"Free Game",'Game Records'!$U285&lt;&gt;"Disqualified — Free Game",OR('Game Records'!$E285="",LOWER('Game Records'!$E285&amp;"")="n/a")),"Game Type; ","")&amp;IF('Game Records'!$F285="","Payment Type; ","")&amp;IF(AND('Game Records'!$U285&lt;&gt;"Subscription",'Game Records'!$U285&lt;&gt;"Free Game",'Game Records'!$U285&lt;&gt;"Disqualified — Free Game",'Game Records'!$G285=""),"Gross Pot; ","")&amp;IF(AND('Game Records'!$U285&lt;&gt;"Free Game",'Game Records'!$U285&lt;&gt;"Disqualified — Free Game",'Game Records'!$H285=""),"Entry Fee; ","")&amp;IF(AND('Game Records'!$U285&lt;&gt;"Subscription",'Game Records'!$U285&lt;&gt;"Free Game",'Game Records'!$U285&lt;&gt;"Disqualified — Free Game",'Game Records'!$I285=""),"Eligible Players; ","")&amp;IF(AND('Game Records'!$U285&lt;&gt;"Subscription",'Game Records'!$U285&lt;&gt;"Free Game",'Game Records'!$U285&lt;&gt;"Disqualified — Free Game",'Game Records'!$J285=""),"Total Players; ","")&amp;IF(AND(LOWER('Game Records'!$D285&amp;"")="finalized",LOWER('Game Records'!$L285&amp;"")&lt;&gt;"yes",'Game Records'!$U285&lt;&gt;"Subscription",'Game Records'!$U285&lt;&gt;"Free Game",'Game Records'!$U285&lt;&gt;"Disqualified — Free Game",'Game Records'!$K285=""),"Final Earned; ","")&amp;IF(AND(LOWER('Game Records'!$D285&amp;"")="finalized",'Game Records'!$U285&lt;&gt;"Subscription",'Game Records'!$U285&lt;&gt;"Free Game",'Game Records'!$U285&lt;&gt;"Disqualified — Free Game",OR('Game Records'!$L285="",LOWER('Game Records'!$L285&amp;"")="n/a")),"Disqualified Status; ",""))</x:f>
      </x:c>
      <x:c r="G285" s="331" t="str">
        <x:f>IF($A285="","",IFERROR('Game Records'!$M285,""))</x:f>
      </x:c>
    </x:row>
    <x:row r="286">
      <x:c r="A286" s="332" t="str">
        <x:f>IF(OR(COUNTA('Game Records'!$A286:$M286)=0,'Game Records'!$F286="Subscription"),"",IFERROR(MAX($A$4:A285),0)+1)</x:f>
      </x:c>
      <x:c r="B286" s="332" t="str">
        <x:f>IF($A286="","","G-"&amp;TEXT(ROW('Game Records'!$A286)-4,"0000"))</x:f>
      </x:c>
      <x:c r="C286" s="331" t="str">
        <x:f>IF($A286="","",IFERROR('Game Records'!$A286,""))</x:f>
      </x:c>
      <x:c r="D286" s="331" t="str">
        <x:f>IF($A286="","",IFERROR('Game Records'!$U286,""))</x:f>
      </x:c>
      <x:c r="E286" s="331" t="str">
        <x:f>IF($A286="","",IF($F286="","No Highlighted Fields","Highlighted Fields Present"))</x:f>
      </x:c>
      <x:c r="F286" s="331" t="str">
        <x:f>IF($A286="","",IF('Game Records'!$B286="","Start Date; ","")&amp;IF('Game Records'!$C286="","End Date; ","")&amp;IF(AND('Game Records'!$U286&lt;&gt;"Subscription",'Game Records'!$U286&lt;&gt;"Free Game",'Game Records'!$U286&lt;&gt;"Disqualified — Free Game",OR('Game Records'!$D286="",LOWER('Game Records'!$D286&amp;"")="n/a")),"Entry Mode; ","")&amp;IF(AND('Game Records'!$U286&lt;&gt;"Subscription",'Game Records'!$U286&lt;&gt;"Free Game",'Game Records'!$U286&lt;&gt;"Disqualified — Free Game",OR('Game Records'!$E286="",LOWER('Game Records'!$E286&amp;"")="n/a")),"Game Type; ","")&amp;IF('Game Records'!$F286="","Payment Type; ","")&amp;IF(AND('Game Records'!$U286&lt;&gt;"Subscription",'Game Records'!$U286&lt;&gt;"Free Game",'Game Records'!$U286&lt;&gt;"Disqualified — Free Game",'Game Records'!$G286=""),"Gross Pot; ","")&amp;IF(AND('Game Records'!$U286&lt;&gt;"Free Game",'Game Records'!$U286&lt;&gt;"Disqualified — Free Game",'Game Records'!$H286=""),"Entry Fee; ","")&amp;IF(AND('Game Records'!$U286&lt;&gt;"Subscription",'Game Records'!$U286&lt;&gt;"Free Game",'Game Records'!$U286&lt;&gt;"Disqualified — Free Game",'Game Records'!$I286=""),"Eligible Players; ","")&amp;IF(AND('Game Records'!$U286&lt;&gt;"Subscription",'Game Records'!$U286&lt;&gt;"Free Game",'Game Records'!$U286&lt;&gt;"Disqualified — Free Game",'Game Records'!$J286=""),"Total Players; ","")&amp;IF(AND(LOWER('Game Records'!$D286&amp;"")="finalized",LOWER('Game Records'!$L286&amp;"")&lt;&gt;"yes",'Game Records'!$U286&lt;&gt;"Subscription",'Game Records'!$U286&lt;&gt;"Free Game",'Game Records'!$U286&lt;&gt;"Disqualified — Free Game",'Game Records'!$K286=""),"Final Earned; ","")&amp;IF(AND(LOWER('Game Records'!$D286&amp;"")="finalized",'Game Records'!$U286&lt;&gt;"Subscription",'Game Records'!$U286&lt;&gt;"Free Game",'Game Records'!$U286&lt;&gt;"Disqualified — Free Game",OR('Game Records'!$L286="",LOWER('Game Records'!$L286&amp;"")="n/a")),"Disqualified Status; ",""))</x:f>
      </x:c>
      <x:c r="G286" s="331" t="str">
        <x:f>IF($A286="","",IFERROR('Game Records'!$M286,""))</x:f>
      </x:c>
    </x:row>
    <x:row r="287">
      <x:c r="A287" s="332" t="str">
        <x:f>IF(OR(COUNTA('Game Records'!$A287:$M287)=0,'Game Records'!$F287="Subscription"),"",IFERROR(MAX($A$4:A286),0)+1)</x:f>
      </x:c>
      <x:c r="B287" s="332" t="str">
        <x:f>IF($A287="","","G-"&amp;TEXT(ROW('Game Records'!$A287)-4,"0000"))</x:f>
      </x:c>
      <x:c r="C287" s="331" t="str">
        <x:f>IF($A287="","",IFERROR('Game Records'!$A287,""))</x:f>
      </x:c>
      <x:c r="D287" s="331" t="str">
        <x:f>IF($A287="","",IFERROR('Game Records'!$U287,""))</x:f>
      </x:c>
      <x:c r="E287" s="331" t="str">
        <x:f>IF($A287="","",IF($F287="","No Highlighted Fields","Highlighted Fields Present"))</x:f>
      </x:c>
      <x:c r="F287" s="331" t="str">
        <x:f>IF($A287="","",IF('Game Records'!$B287="","Start Date; ","")&amp;IF('Game Records'!$C287="","End Date; ","")&amp;IF(AND('Game Records'!$U287&lt;&gt;"Subscription",'Game Records'!$U287&lt;&gt;"Free Game",'Game Records'!$U287&lt;&gt;"Disqualified — Free Game",OR('Game Records'!$D287="",LOWER('Game Records'!$D287&amp;"")="n/a")),"Entry Mode; ","")&amp;IF(AND('Game Records'!$U287&lt;&gt;"Subscription",'Game Records'!$U287&lt;&gt;"Free Game",'Game Records'!$U287&lt;&gt;"Disqualified — Free Game",OR('Game Records'!$E287="",LOWER('Game Records'!$E287&amp;"")="n/a")),"Game Type; ","")&amp;IF('Game Records'!$F287="","Payment Type; ","")&amp;IF(AND('Game Records'!$U287&lt;&gt;"Subscription",'Game Records'!$U287&lt;&gt;"Free Game",'Game Records'!$U287&lt;&gt;"Disqualified — Free Game",'Game Records'!$G287=""),"Gross Pot; ","")&amp;IF(AND('Game Records'!$U287&lt;&gt;"Free Game",'Game Records'!$U287&lt;&gt;"Disqualified — Free Game",'Game Records'!$H287=""),"Entry Fee; ","")&amp;IF(AND('Game Records'!$U287&lt;&gt;"Subscription",'Game Records'!$U287&lt;&gt;"Free Game",'Game Records'!$U287&lt;&gt;"Disqualified — Free Game",'Game Records'!$I287=""),"Eligible Players; ","")&amp;IF(AND('Game Records'!$U287&lt;&gt;"Subscription",'Game Records'!$U287&lt;&gt;"Free Game",'Game Records'!$U287&lt;&gt;"Disqualified — Free Game",'Game Records'!$J287=""),"Total Players; ","")&amp;IF(AND(LOWER('Game Records'!$D287&amp;"")="finalized",LOWER('Game Records'!$L287&amp;"")&lt;&gt;"yes",'Game Records'!$U287&lt;&gt;"Subscription",'Game Records'!$U287&lt;&gt;"Free Game",'Game Records'!$U287&lt;&gt;"Disqualified — Free Game",'Game Records'!$K287=""),"Final Earned; ","")&amp;IF(AND(LOWER('Game Records'!$D287&amp;"")="finalized",'Game Records'!$U287&lt;&gt;"Subscription",'Game Records'!$U287&lt;&gt;"Free Game",'Game Records'!$U287&lt;&gt;"Disqualified — Free Game",OR('Game Records'!$L287="",LOWER('Game Records'!$L287&amp;"")="n/a")),"Disqualified Status; ",""))</x:f>
      </x:c>
      <x:c r="G287" s="331" t="str">
        <x:f>IF($A287="","",IFERROR('Game Records'!$M287,""))</x:f>
      </x:c>
    </x:row>
    <x:row r="288">
      <x:c r="A288" s="332" t="str">
        <x:f>IF(OR(COUNTA('Game Records'!$A288:$M288)=0,'Game Records'!$F288="Subscription"),"",IFERROR(MAX($A$4:A287),0)+1)</x:f>
      </x:c>
      <x:c r="B288" s="332" t="str">
        <x:f>IF($A288="","","G-"&amp;TEXT(ROW('Game Records'!$A288)-4,"0000"))</x:f>
      </x:c>
      <x:c r="C288" s="331" t="str">
        <x:f>IF($A288="","",IFERROR('Game Records'!$A288,""))</x:f>
      </x:c>
      <x:c r="D288" s="331" t="str">
        <x:f>IF($A288="","",IFERROR('Game Records'!$U288,""))</x:f>
      </x:c>
      <x:c r="E288" s="331" t="str">
        <x:f>IF($A288="","",IF($F288="","No Highlighted Fields","Highlighted Fields Present"))</x:f>
      </x:c>
      <x:c r="F288" s="331" t="str">
        <x:f>IF($A288="","",IF('Game Records'!$B288="","Start Date; ","")&amp;IF('Game Records'!$C288="","End Date; ","")&amp;IF(AND('Game Records'!$U288&lt;&gt;"Subscription",'Game Records'!$U288&lt;&gt;"Free Game",'Game Records'!$U288&lt;&gt;"Disqualified — Free Game",OR('Game Records'!$D288="",LOWER('Game Records'!$D288&amp;"")="n/a")),"Entry Mode; ","")&amp;IF(AND('Game Records'!$U288&lt;&gt;"Subscription",'Game Records'!$U288&lt;&gt;"Free Game",'Game Records'!$U288&lt;&gt;"Disqualified — Free Game",OR('Game Records'!$E288="",LOWER('Game Records'!$E288&amp;"")="n/a")),"Game Type; ","")&amp;IF('Game Records'!$F288="","Payment Type; ","")&amp;IF(AND('Game Records'!$U288&lt;&gt;"Subscription",'Game Records'!$U288&lt;&gt;"Free Game",'Game Records'!$U288&lt;&gt;"Disqualified — Free Game",'Game Records'!$G288=""),"Gross Pot; ","")&amp;IF(AND('Game Records'!$U288&lt;&gt;"Free Game",'Game Records'!$U288&lt;&gt;"Disqualified — Free Game",'Game Records'!$H288=""),"Entry Fee; ","")&amp;IF(AND('Game Records'!$U288&lt;&gt;"Subscription",'Game Records'!$U288&lt;&gt;"Free Game",'Game Records'!$U288&lt;&gt;"Disqualified — Free Game",'Game Records'!$I288=""),"Eligible Players; ","")&amp;IF(AND('Game Records'!$U288&lt;&gt;"Subscription",'Game Records'!$U288&lt;&gt;"Free Game",'Game Records'!$U288&lt;&gt;"Disqualified — Free Game",'Game Records'!$J288=""),"Total Players; ","")&amp;IF(AND(LOWER('Game Records'!$D288&amp;"")="finalized",LOWER('Game Records'!$L288&amp;"")&lt;&gt;"yes",'Game Records'!$U288&lt;&gt;"Subscription",'Game Records'!$U288&lt;&gt;"Free Game",'Game Records'!$U288&lt;&gt;"Disqualified — Free Game",'Game Records'!$K288=""),"Final Earned; ","")&amp;IF(AND(LOWER('Game Records'!$D288&amp;"")="finalized",'Game Records'!$U288&lt;&gt;"Subscription",'Game Records'!$U288&lt;&gt;"Free Game",'Game Records'!$U288&lt;&gt;"Disqualified — Free Game",OR('Game Records'!$L288="",LOWER('Game Records'!$L288&amp;"")="n/a")),"Disqualified Status; ",""))</x:f>
      </x:c>
      <x:c r="G288" s="331" t="str">
        <x:f>IF($A288="","",IFERROR('Game Records'!$M288,""))</x:f>
      </x:c>
    </x:row>
    <x:row r="289">
      <x:c r="A289" s="332" t="str">
        <x:f>IF(OR(COUNTA('Game Records'!$A289:$M289)=0,'Game Records'!$F289="Subscription"),"",IFERROR(MAX($A$4:A288),0)+1)</x:f>
      </x:c>
      <x:c r="B289" s="332" t="str">
        <x:f>IF($A289="","","G-"&amp;TEXT(ROW('Game Records'!$A289)-4,"0000"))</x:f>
      </x:c>
      <x:c r="C289" s="331" t="str">
        <x:f>IF($A289="","",IFERROR('Game Records'!$A289,""))</x:f>
      </x:c>
      <x:c r="D289" s="331" t="str">
        <x:f>IF($A289="","",IFERROR('Game Records'!$U289,""))</x:f>
      </x:c>
      <x:c r="E289" s="331" t="str">
        <x:f>IF($A289="","",IF($F289="","No Highlighted Fields","Highlighted Fields Present"))</x:f>
      </x:c>
      <x:c r="F289" s="331" t="str">
        <x:f>IF($A289="","",IF('Game Records'!$B289="","Start Date; ","")&amp;IF('Game Records'!$C289="","End Date; ","")&amp;IF(AND('Game Records'!$U289&lt;&gt;"Subscription",'Game Records'!$U289&lt;&gt;"Free Game",'Game Records'!$U289&lt;&gt;"Disqualified — Free Game",OR('Game Records'!$D289="",LOWER('Game Records'!$D289&amp;"")="n/a")),"Entry Mode; ","")&amp;IF(AND('Game Records'!$U289&lt;&gt;"Subscription",'Game Records'!$U289&lt;&gt;"Free Game",'Game Records'!$U289&lt;&gt;"Disqualified — Free Game",OR('Game Records'!$E289="",LOWER('Game Records'!$E289&amp;"")="n/a")),"Game Type; ","")&amp;IF('Game Records'!$F289="","Payment Type; ","")&amp;IF(AND('Game Records'!$U289&lt;&gt;"Subscription",'Game Records'!$U289&lt;&gt;"Free Game",'Game Records'!$U289&lt;&gt;"Disqualified — Free Game",'Game Records'!$G289=""),"Gross Pot; ","")&amp;IF(AND('Game Records'!$U289&lt;&gt;"Free Game",'Game Records'!$U289&lt;&gt;"Disqualified — Free Game",'Game Records'!$H289=""),"Entry Fee; ","")&amp;IF(AND('Game Records'!$U289&lt;&gt;"Subscription",'Game Records'!$U289&lt;&gt;"Free Game",'Game Records'!$U289&lt;&gt;"Disqualified — Free Game",'Game Records'!$I289=""),"Eligible Players; ","")&amp;IF(AND('Game Records'!$U289&lt;&gt;"Subscription",'Game Records'!$U289&lt;&gt;"Free Game",'Game Records'!$U289&lt;&gt;"Disqualified — Free Game",'Game Records'!$J289=""),"Total Players; ","")&amp;IF(AND(LOWER('Game Records'!$D289&amp;"")="finalized",LOWER('Game Records'!$L289&amp;"")&lt;&gt;"yes",'Game Records'!$U289&lt;&gt;"Subscription",'Game Records'!$U289&lt;&gt;"Free Game",'Game Records'!$U289&lt;&gt;"Disqualified — Free Game",'Game Records'!$K289=""),"Final Earned; ","")&amp;IF(AND(LOWER('Game Records'!$D289&amp;"")="finalized",'Game Records'!$U289&lt;&gt;"Subscription",'Game Records'!$U289&lt;&gt;"Free Game",'Game Records'!$U289&lt;&gt;"Disqualified — Free Game",OR('Game Records'!$L289="",LOWER('Game Records'!$L289&amp;"")="n/a")),"Disqualified Status; ",""))</x:f>
      </x:c>
      <x:c r="G289" s="331" t="str">
        <x:f>IF($A289="","",IFERROR('Game Records'!$M289,""))</x:f>
      </x:c>
    </x:row>
    <x:row r="290">
      <x:c r="A290" s="332" t="str">
        <x:f>IF(OR(COUNTA('Game Records'!$A290:$M290)=0,'Game Records'!$F290="Subscription"),"",IFERROR(MAX($A$4:A289),0)+1)</x:f>
      </x:c>
      <x:c r="B290" s="332" t="str">
        <x:f>IF($A290="","","G-"&amp;TEXT(ROW('Game Records'!$A290)-4,"0000"))</x:f>
      </x:c>
      <x:c r="C290" s="331" t="str">
        <x:f>IF($A290="","",IFERROR('Game Records'!$A290,""))</x:f>
      </x:c>
      <x:c r="D290" s="331" t="str">
        <x:f>IF($A290="","",IFERROR('Game Records'!$U290,""))</x:f>
      </x:c>
      <x:c r="E290" s="331" t="str">
        <x:f>IF($A290="","",IF($F290="","No Highlighted Fields","Highlighted Fields Present"))</x:f>
      </x:c>
      <x:c r="F290" s="331" t="str">
        <x:f>IF($A290="","",IF('Game Records'!$B290="","Start Date; ","")&amp;IF('Game Records'!$C290="","End Date; ","")&amp;IF(AND('Game Records'!$U290&lt;&gt;"Subscription",'Game Records'!$U290&lt;&gt;"Free Game",'Game Records'!$U290&lt;&gt;"Disqualified — Free Game",OR('Game Records'!$D290="",LOWER('Game Records'!$D290&amp;"")="n/a")),"Entry Mode; ","")&amp;IF(AND('Game Records'!$U290&lt;&gt;"Subscription",'Game Records'!$U290&lt;&gt;"Free Game",'Game Records'!$U290&lt;&gt;"Disqualified — Free Game",OR('Game Records'!$E290="",LOWER('Game Records'!$E290&amp;"")="n/a")),"Game Type; ","")&amp;IF('Game Records'!$F290="","Payment Type; ","")&amp;IF(AND('Game Records'!$U290&lt;&gt;"Subscription",'Game Records'!$U290&lt;&gt;"Free Game",'Game Records'!$U290&lt;&gt;"Disqualified — Free Game",'Game Records'!$G290=""),"Gross Pot; ","")&amp;IF(AND('Game Records'!$U290&lt;&gt;"Free Game",'Game Records'!$U290&lt;&gt;"Disqualified — Free Game",'Game Records'!$H290=""),"Entry Fee; ","")&amp;IF(AND('Game Records'!$U290&lt;&gt;"Subscription",'Game Records'!$U290&lt;&gt;"Free Game",'Game Records'!$U290&lt;&gt;"Disqualified — Free Game",'Game Records'!$I290=""),"Eligible Players; ","")&amp;IF(AND('Game Records'!$U290&lt;&gt;"Subscription",'Game Records'!$U290&lt;&gt;"Free Game",'Game Records'!$U290&lt;&gt;"Disqualified — Free Game",'Game Records'!$J290=""),"Total Players; ","")&amp;IF(AND(LOWER('Game Records'!$D290&amp;"")="finalized",LOWER('Game Records'!$L290&amp;"")&lt;&gt;"yes",'Game Records'!$U290&lt;&gt;"Subscription",'Game Records'!$U290&lt;&gt;"Free Game",'Game Records'!$U290&lt;&gt;"Disqualified — Free Game",'Game Records'!$K290=""),"Final Earned; ","")&amp;IF(AND(LOWER('Game Records'!$D290&amp;"")="finalized",'Game Records'!$U290&lt;&gt;"Subscription",'Game Records'!$U290&lt;&gt;"Free Game",'Game Records'!$U290&lt;&gt;"Disqualified — Free Game",OR('Game Records'!$L290="",LOWER('Game Records'!$L290&amp;"")="n/a")),"Disqualified Status; ",""))</x:f>
      </x:c>
      <x:c r="G290" s="331" t="str">
        <x:f>IF($A290="","",IFERROR('Game Records'!$M290,""))</x:f>
      </x:c>
    </x:row>
    <x:row r="291">
      <x:c r="A291" s="332" t="str">
        <x:f>IF(OR(COUNTA('Game Records'!$A291:$M291)=0,'Game Records'!$F291="Subscription"),"",IFERROR(MAX($A$4:A290),0)+1)</x:f>
      </x:c>
      <x:c r="B291" s="332" t="str">
        <x:f>IF($A291="","","G-"&amp;TEXT(ROW('Game Records'!$A291)-4,"0000"))</x:f>
      </x:c>
      <x:c r="C291" s="331" t="str">
        <x:f>IF($A291="","",IFERROR('Game Records'!$A291,""))</x:f>
      </x:c>
      <x:c r="D291" s="331" t="str">
        <x:f>IF($A291="","",IFERROR('Game Records'!$U291,""))</x:f>
      </x:c>
      <x:c r="E291" s="331" t="str">
        <x:f>IF($A291="","",IF($F291="","No Highlighted Fields","Highlighted Fields Present"))</x:f>
      </x:c>
      <x:c r="F291" s="331" t="str">
        <x:f>IF($A291="","",IF('Game Records'!$B291="","Start Date; ","")&amp;IF('Game Records'!$C291="","End Date; ","")&amp;IF(AND('Game Records'!$U291&lt;&gt;"Subscription",'Game Records'!$U291&lt;&gt;"Free Game",'Game Records'!$U291&lt;&gt;"Disqualified — Free Game",OR('Game Records'!$D291="",LOWER('Game Records'!$D291&amp;"")="n/a")),"Entry Mode; ","")&amp;IF(AND('Game Records'!$U291&lt;&gt;"Subscription",'Game Records'!$U291&lt;&gt;"Free Game",'Game Records'!$U291&lt;&gt;"Disqualified — Free Game",OR('Game Records'!$E291="",LOWER('Game Records'!$E291&amp;"")="n/a")),"Game Type; ","")&amp;IF('Game Records'!$F291="","Payment Type; ","")&amp;IF(AND('Game Records'!$U291&lt;&gt;"Subscription",'Game Records'!$U291&lt;&gt;"Free Game",'Game Records'!$U291&lt;&gt;"Disqualified — Free Game",'Game Records'!$G291=""),"Gross Pot; ","")&amp;IF(AND('Game Records'!$U291&lt;&gt;"Free Game",'Game Records'!$U291&lt;&gt;"Disqualified — Free Game",'Game Records'!$H291=""),"Entry Fee; ","")&amp;IF(AND('Game Records'!$U291&lt;&gt;"Subscription",'Game Records'!$U291&lt;&gt;"Free Game",'Game Records'!$U291&lt;&gt;"Disqualified — Free Game",'Game Records'!$I291=""),"Eligible Players; ","")&amp;IF(AND('Game Records'!$U291&lt;&gt;"Subscription",'Game Records'!$U291&lt;&gt;"Free Game",'Game Records'!$U291&lt;&gt;"Disqualified — Free Game",'Game Records'!$J291=""),"Total Players; ","")&amp;IF(AND(LOWER('Game Records'!$D291&amp;"")="finalized",LOWER('Game Records'!$L291&amp;"")&lt;&gt;"yes",'Game Records'!$U291&lt;&gt;"Subscription",'Game Records'!$U291&lt;&gt;"Free Game",'Game Records'!$U291&lt;&gt;"Disqualified — Free Game",'Game Records'!$K291=""),"Final Earned; ","")&amp;IF(AND(LOWER('Game Records'!$D291&amp;"")="finalized",'Game Records'!$U291&lt;&gt;"Subscription",'Game Records'!$U291&lt;&gt;"Free Game",'Game Records'!$U291&lt;&gt;"Disqualified — Free Game",OR('Game Records'!$L291="",LOWER('Game Records'!$L291&amp;"")="n/a")),"Disqualified Status; ",""))</x:f>
      </x:c>
      <x:c r="G291" s="331" t="str">
        <x:f>IF($A291="","",IFERROR('Game Records'!$M291,""))</x:f>
      </x:c>
    </x:row>
    <x:row r="292">
      <x:c r="A292" s="332" t="str">
        <x:f>IF(OR(COUNTA('Game Records'!$A292:$M292)=0,'Game Records'!$F292="Subscription"),"",IFERROR(MAX($A$4:A291),0)+1)</x:f>
      </x:c>
      <x:c r="B292" s="332" t="str">
        <x:f>IF($A292="","","G-"&amp;TEXT(ROW('Game Records'!$A292)-4,"0000"))</x:f>
      </x:c>
      <x:c r="C292" s="331" t="str">
        <x:f>IF($A292="","",IFERROR('Game Records'!$A292,""))</x:f>
      </x:c>
      <x:c r="D292" s="331" t="str">
        <x:f>IF($A292="","",IFERROR('Game Records'!$U292,""))</x:f>
      </x:c>
      <x:c r="E292" s="331" t="str">
        <x:f>IF($A292="","",IF($F292="","No Highlighted Fields","Highlighted Fields Present"))</x:f>
      </x:c>
      <x:c r="F292" s="331" t="str">
        <x:f>IF($A292="","",IF('Game Records'!$B292="","Start Date; ","")&amp;IF('Game Records'!$C292="","End Date; ","")&amp;IF(AND('Game Records'!$U292&lt;&gt;"Subscription",'Game Records'!$U292&lt;&gt;"Free Game",'Game Records'!$U292&lt;&gt;"Disqualified — Free Game",OR('Game Records'!$D292="",LOWER('Game Records'!$D292&amp;"")="n/a")),"Entry Mode; ","")&amp;IF(AND('Game Records'!$U292&lt;&gt;"Subscription",'Game Records'!$U292&lt;&gt;"Free Game",'Game Records'!$U292&lt;&gt;"Disqualified — Free Game",OR('Game Records'!$E292="",LOWER('Game Records'!$E292&amp;"")="n/a")),"Game Type; ","")&amp;IF('Game Records'!$F292="","Payment Type; ","")&amp;IF(AND('Game Records'!$U292&lt;&gt;"Subscription",'Game Records'!$U292&lt;&gt;"Free Game",'Game Records'!$U292&lt;&gt;"Disqualified — Free Game",'Game Records'!$G292=""),"Gross Pot; ","")&amp;IF(AND('Game Records'!$U292&lt;&gt;"Free Game",'Game Records'!$U292&lt;&gt;"Disqualified — Free Game",'Game Records'!$H292=""),"Entry Fee; ","")&amp;IF(AND('Game Records'!$U292&lt;&gt;"Subscription",'Game Records'!$U292&lt;&gt;"Free Game",'Game Records'!$U292&lt;&gt;"Disqualified — Free Game",'Game Records'!$I292=""),"Eligible Players; ","")&amp;IF(AND('Game Records'!$U292&lt;&gt;"Subscription",'Game Records'!$U292&lt;&gt;"Free Game",'Game Records'!$U292&lt;&gt;"Disqualified — Free Game",'Game Records'!$J292=""),"Total Players; ","")&amp;IF(AND(LOWER('Game Records'!$D292&amp;"")="finalized",LOWER('Game Records'!$L292&amp;"")&lt;&gt;"yes",'Game Records'!$U292&lt;&gt;"Subscription",'Game Records'!$U292&lt;&gt;"Free Game",'Game Records'!$U292&lt;&gt;"Disqualified — Free Game",'Game Records'!$K292=""),"Final Earned; ","")&amp;IF(AND(LOWER('Game Records'!$D292&amp;"")="finalized",'Game Records'!$U292&lt;&gt;"Subscription",'Game Records'!$U292&lt;&gt;"Free Game",'Game Records'!$U292&lt;&gt;"Disqualified — Free Game",OR('Game Records'!$L292="",LOWER('Game Records'!$L292&amp;"")="n/a")),"Disqualified Status; ",""))</x:f>
      </x:c>
      <x:c r="G292" s="331" t="str">
        <x:f>IF($A292="","",IFERROR('Game Records'!$M292,""))</x:f>
      </x:c>
    </x:row>
    <x:row r="293">
      <x:c r="A293" s="332" t="str">
        <x:f>IF(OR(COUNTA('Game Records'!$A293:$M293)=0,'Game Records'!$F293="Subscription"),"",IFERROR(MAX($A$4:A292),0)+1)</x:f>
      </x:c>
      <x:c r="B293" s="332" t="str">
        <x:f>IF($A293="","","G-"&amp;TEXT(ROW('Game Records'!$A293)-4,"0000"))</x:f>
      </x:c>
      <x:c r="C293" s="331" t="str">
        <x:f>IF($A293="","",IFERROR('Game Records'!$A293,""))</x:f>
      </x:c>
      <x:c r="D293" s="331" t="str">
        <x:f>IF($A293="","",IFERROR('Game Records'!$U293,""))</x:f>
      </x:c>
      <x:c r="E293" s="331" t="str">
        <x:f>IF($A293="","",IF($F293="","No Highlighted Fields","Highlighted Fields Present"))</x:f>
      </x:c>
      <x:c r="F293" s="331" t="str">
        <x:f>IF($A293="","",IF('Game Records'!$B293="","Start Date; ","")&amp;IF('Game Records'!$C293="","End Date; ","")&amp;IF(AND('Game Records'!$U293&lt;&gt;"Subscription",'Game Records'!$U293&lt;&gt;"Free Game",'Game Records'!$U293&lt;&gt;"Disqualified — Free Game",OR('Game Records'!$D293="",LOWER('Game Records'!$D293&amp;"")="n/a")),"Entry Mode; ","")&amp;IF(AND('Game Records'!$U293&lt;&gt;"Subscription",'Game Records'!$U293&lt;&gt;"Free Game",'Game Records'!$U293&lt;&gt;"Disqualified — Free Game",OR('Game Records'!$E293="",LOWER('Game Records'!$E293&amp;"")="n/a")),"Game Type; ","")&amp;IF('Game Records'!$F293="","Payment Type; ","")&amp;IF(AND('Game Records'!$U293&lt;&gt;"Subscription",'Game Records'!$U293&lt;&gt;"Free Game",'Game Records'!$U293&lt;&gt;"Disqualified — Free Game",'Game Records'!$G293=""),"Gross Pot; ","")&amp;IF(AND('Game Records'!$U293&lt;&gt;"Free Game",'Game Records'!$U293&lt;&gt;"Disqualified — Free Game",'Game Records'!$H293=""),"Entry Fee; ","")&amp;IF(AND('Game Records'!$U293&lt;&gt;"Subscription",'Game Records'!$U293&lt;&gt;"Free Game",'Game Records'!$U293&lt;&gt;"Disqualified — Free Game",'Game Records'!$I293=""),"Eligible Players; ","")&amp;IF(AND('Game Records'!$U293&lt;&gt;"Subscription",'Game Records'!$U293&lt;&gt;"Free Game",'Game Records'!$U293&lt;&gt;"Disqualified — Free Game",'Game Records'!$J293=""),"Total Players; ","")&amp;IF(AND(LOWER('Game Records'!$D293&amp;"")="finalized",LOWER('Game Records'!$L293&amp;"")&lt;&gt;"yes",'Game Records'!$U293&lt;&gt;"Subscription",'Game Records'!$U293&lt;&gt;"Free Game",'Game Records'!$U293&lt;&gt;"Disqualified — Free Game",'Game Records'!$K293=""),"Final Earned; ","")&amp;IF(AND(LOWER('Game Records'!$D293&amp;"")="finalized",'Game Records'!$U293&lt;&gt;"Subscription",'Game Records'!$U293&lt;&gt;"Free Game",'Game Records'!$U293&lt;&gt;"Disqualified — Free Game",OR('Game Records'!$L293="",LOWER('Game Records'!$L293&amp;"")="n/a")),"Disqualified Status; ",""))</x:f>
      </x:c>
      <x:c r="G293" s="331" t="str">
        <x:f>IF($A293="","",IFERROR('Game Records'!$M293,""))</x:f>
      </x:c>
    </x:row>
    <x:row r="294">
      <x:c r="A294" s="332" t="str">
        <x:f>IF(OR(COUNTA('Game Records'!$A294:$M294)=0,'Game Records'!$F294="Subscription"),"",IFERROR(MAX($A$4:A293),0)+1)</x:f>
      </x:c>
      <x:c r="B294" s="332" t="str">
        <x:f>IF($A294="","","G-"&amp;TEXT(ROW('Game Records'!$A294)-4,"0000"))</x:f>
      </x:c>
      <x:c r="C294" s="331" t="str">
        <x:f>IF($A294="","",IFERROR('Game Records'!$A294,""))</x:f>
      </x:c>
      <x:c r="D294" s="331" t="str">
        <x:f>IF($A294="","",IFERROR('Game Records'!$U294,""))</x:f>
      </x:c>
      <x:c r="E294" s="331" t="str">
        <x:f>IF($A294="","",IF($F294="","No Highlighted Fields","Highlighted Fields Present"))</x:f>
      </x:c>
      <x:c r="F294" s="331" t="str">
        <x:f>IF($A294="","",IF('Game Records'!$B294="","Start Date; ","")&amp;IF('Game Records'!$C294="","End Date; ","")&amp;IF(AND('Game Records'!$U294&lt;&gt;"Subscription",'Game Records'!$U294&lt;&gt;"Free Game",'Game Records'!$U294&lt;&gt;"Disqualified — Free Game",OR('Game Records'!$D294="",LOWER('Game Records'!$D294&amp;"")="n/a")),"Entry Mode; ","")&amp;IF(AND('Game Records'!$U294&lt;&gt;"Subscription",'Game Records'!$U294&lt;&gt;"Free Game",'Game Records'!$U294&lt;&gt;"Disqualified — Free Game",OR('Game Records'!$E294="",LOWER('Game Records'!$E294&amp;"")="n/a")),"Game Type; ","")&amp;IF('Game Records'!$F294="","Payment Type; ","")&amp;IF(AND('Game Records'!$U294&lt;&gt;"Subscription",'Game Records'!$U294&lt;&gt;"Free Game",'Game Records'!$U294&lt;&gt;"Disqualified — Free Game",'Game Records'!$G294=""),"Gross Pot; ","")&amp;IF(AND('Game Records'!$U294&lt;&gt;"Free Game",'Game Records'!$U294&lt;&gt;"Disqualified — Free Game",'Game Records'!$H294=""),"Entry Fee; ","")&amp;IF(AND('Game Records'!$U294&lt;&gt;"Subscription",'Game Records'!$U294&lt;&gt;"Free Game",'Game Records'!$U294&lt;&gt;"Disqualified — Free Game",'Game Records'!$I294=""),"Eligible Players; ","")&amp;IF(AND('Game Records'!$U294&lt;&gt;"Subscription",'Game Records'!$U294&lt;&gt;"Free Game",'Game Records'!$U294&lt;&gt;"Disqualified — Free Game",'Game Records'!$J294=""),"Total Players; ","")&amp;IF(AND(LOWER('Game Records'!$D294&amp;"")="finalized",LOWER('Game Records'!$L294&amp;"")&lt;&gt;"yes",'Game Records'!$U294&lt;&gt;"Subscription",'Game Records'!$U294&lt;&gt;"Free Game",'Game Records'!$U294&lt;&gt;"Disqualified — Free Game",'Game Records'!$K294=""),"Final Earned; ","")&amp;IF(AND(LOWER('Game Records'!$D294&amp;"")="finalized",'Game Records'!$U294&lt;&gt;"Subscription",'Game Records'!$U294&lt;&gt;"Free Game",'Game Records'!$U294&lt;&gt;"Disqualified — Free Game",OR('Game Records'!$L294="",LOWER('Game Records'!$L294&amp;"")="n/a")),"Disqualified Status; ",""))</x:f>
      </x:c>
      <x:c r="G294" s="331" t="str">
        <x:f>IF($A294="","",IFERROR('Game Records'!$M294,""))</x:f>
      </x:c>
    </x:row>
    <x:row r="295">
      <x:c r="A295" s="332" t="str">
        <x:f>IF(OR(COUNTA('Game Records'!$A295:$M295)=0,'Game Records'!$F295="Subscription"),"",IFERROR(MAX($A$4:A294),0)+1)</x:f>
      </x:c>
      <x:c r="B295" s="332" t="str">
        <x:f>IF($A295="","","G-"&amp;TEXT(ROW('Game Records'!$A295)-4,"0000"))</x:f>
      </x:c>
      <x:c r="C295" s="331" t="str">
        <x:f>IF($A295="","",IFERROR('Game Records'!$A295,""))</x:f>
      </x:c>
      <x:c r="D295" s="331" t="str">
        <x:f>IF($A295="","",IFERROR('Game Records'!$U295,""))</x:f>
      </x:c>
      <x:c r="E295" s="331" t="str">
        <x:f>IF($A295="","",IF($F295="","No Highlighted Fields","Highlighted Fields Present"))</x:f>
      </x:c>
      <x:c r="F295" s="331" t="str">
        <x:f>IF($A295="","",IF('Game Records'!$B295="","Start Date; ","")&amp;IF('Game Records'!$C295="","End Date; ","")&amp;IF(AND('Game Records'!$U295&lt;&gt;"Subscription",'Game Records'!$U295&lt;&gt;"Free Game",'Game Records'!$U295&lt;&gt;"Disqualified — Free Game",OR('Game Records'!$D295="",LOWER('Game Records'!$D295&amp;"")="n/a")),"Entry Mode; ","")&amp;IF(AND('Game Records'!$U295&lt;&gt;"Subscription",'Game Records'!$U295&lt;&gt;"Free Game",'Game Records'!$U295&lt;&gt;"Disqualified — Free Game",OR('Game Records'!$E295="",LOWER('Game Records'!$E295&amp;"")="n/a")),"Game Type; ","")&amp;IF('Game Records'!$F295="","Payment Type; ","")&amp;IF(AND('Game Records'!$U295&lt;&gt;"Subscription",'Game Records'!$U295&lt;&gt;"Free Game",'Game Records'!$U295&lt;&gt;"Disqualified — Free Game",'Game Records'!$G295=""),"Gross Pot; ","")&amp;IF(AND('Game Records'!$U295&lt;&gt;"Free Game",'Game Records'!$U295&lt;&gt;"Disqualified — Free Game",'Game Records'!$H295=""),"Entry Fee; ","")&amp;IF(AND('Game Records'!$U295&lt;&gt;"Subscription",'Game Records'!$U295&lt;&gt;"Free Game",'Game Records'!$U295&lt;&gt;"Disqualified — Free Game",'Game Records'!$I295=""),"Eligible Players; ","")&amp;IF(AND('Game Records'!$U295&lt;&gt;"Subscription",'Game Records'!$U295&lt;&gt;"Free Game",'Game Records'!$U295&lt;&gt;"Disqualified — Free Game",'Game Records'!$J295=""),"Total Players; ","")&amp;IF(AND(LOWER('Game Records'!$D295&amp;"")="finalized",LOWER('Game Records'!$L295&amp;"")&lt;&gt;"yes",'Game Records'!$U295&lt;&gt;"Subscription",'Game Records'!$U295&lt;&gt;"Free Game",'Game Records'!$U295&lt;&gt;"Disqualified — Free Game",'Game Records'!$K295=""),"Final Earned; ","")&amp;IF(AND(LOWER('Game Records'!$D295&amp;"")="finalized",'Game Records'!$U295&lt;&gt;"Subscription",'Game Records'!$U295&lt;&gt;"Free Game",'Game Records'!$U295&lt;&gt;"Disqualified — Free Game",OR('Game Records'!$L295="",LOWER('Game Records'!$L295&amp;"")="n/a")),"Disqualified Status; ",""))</x:f>
      </x:c>
      <x:c r="G295" s="331" t="str">
        <x:f>IF($A295="","",IFERROR('Game Records'!$M295,""))</x:f>
      </x:c>
    </x:row>
    <x:row r="296">
      <x:c r="A296" s="332" t="str">
        <x:f>IF(OR(COUNTA('Game Records'!$A296:$M296)=0,'Game Records'!$F296="Subscription"),"",IFERROR(MAX($A$4:A295),0)+1)</x:f>
      </x:c>
      <x:c r="B296" s="332" t="str">
        <x:f>IF($A296="","","G-"&amp;TEXT(ROW('Game Records'!$A296)-4,"0000"))</x:f>
      </x:c>
      <x:c r="C296" s="331" t="str">
        <x:f>IF($A296="","",IFERROR('Game Records'!$A296,""))</x:f>
      </x:c>
      <x:c r="D296" s="331" t="str">
        <x:f>IF($A296="","",IFERROR('Game Records'!$U296,""))</x:f>
      </x:c>
      <x:c r="E296" s="331" t="str">
        <x:f>IF($A296="","",IF($F296="","No Highlighted Fields","Highlighted Fields Present"))</x:f>
      </x:c>
      <x:c r="F296" s="331" t="str">
        <x:f>IF($A296="","",IF('Game Records'!$B296="","Start Date; ","")&amp;IF('Game Records'!$C296="","End Date; ","")&amp;IF(AND('Game Records'!$U296&lt;&gt;"Subscription",'Game Records'!$U296&lt;&gt;"Free Game",'Game Records'!$U296&lt;&gt;"Disqualified — Free Game",OR('Game Records'!$D296="",LOWER('Game Records'!$D296&amp;"")="n/a")),"Entry Mode; ","")&amp;IF(AND('Game Records'!$U296&lt;&gt;"Subscription",'Game Records'!$U296&lt;&gt;"Free Game",'Game Records'!$U296&lt;&gt;"Disqualified — Free Game",OR('Game Records'!$E296="",LOWER('Game Records'!$E296&amp;"")="n/a")),"Game Type; ","")&amp;IF('Game Records'!$F296="","Payment Type; ","")&amp;IF(AND('Game Records'!$U296&lt;&gt;"Subscription",'Game Records'!$U296&lt;&gt;"Free Game",'Game Records'!$U296&lt;&gt;"Disqualified — Free Game",'Game Records'!$G296=""),"Gross Pot; ","")&amp;IF(AND('Game Records'!$U296&lt;&gt;"Free Game",'Game Records'!$U296&lt;&gt;"Disqualified — Free Game",'Game Records'!$H296=""),"Entry Fee; ","")&amp;IF(AND('Game Records'!$U296&lt;&gt;"Subscription",'Game Records'!$U296&lt;&gt;"Free Game",'Game Records'!$U296&lt;&gt;"Disqualified — Free Game",'Game Records'!$I296=""),"Eligible Players; ","")&amp;IF(AND('Game Records'!$U296&lt;&gt;"Subscription",'Game Records'!$U296&lt;&gt;"Free Game",'Game Records'!$U296&lt;&gt;"Disqualified — Free Game",'Game Records'!$J296=""),"Total Players; ","")&amp;IF(AND(LOWER('Game Records'!$D296&amp;"")="finalized",LOWER('Game Records'!$L296&amp;"")&lt;&gt;"yes",'Game Records'!$U296&lt;&gt;"Subscription",'Game Records'!$U296&lt;&gt;"Free Game",'Game Records'!$U296&lt;&gt;"Disqualified — Free Game",'Game Records'!$K296=""),"Final Earned; ","")&amp;IF(AND(LOWER('Game Records'!$D296&amp;"")="finalized",'Game Records'!$U296&lt;&gt;"Subscription",'Game Records'!$U296&lt;&gt;"Free Game",'Game Records'!$U296&lt;&gt;"Disqualified — Free Game",OR('Game Records'!$L296="",LOWER('Game Records'!$L296&amp;"")="n/a")),"Disqualified Status; ",""))</x:f>
      </x:c>
      <x:c r="G296" s="331" t="str">
        <x:f>IF($A296="","",IFERROR('Game Records'!$M296,""))</x:f>
      </x:c>
    </x:row>
    <x:row r="297">
      <x:c r="A297" s="332" t="str">
        <x:f>IF(OR(COUNTA('Game Records'!$A297:$M297)=0,'Game Records'!$F297="Subscription"),"",IFERROR(MAX($A$4:A296),0)+1)</x:f>
      </x:c>
      <x:c r="B297" s="332" t="str">
        <x:f>IF($A297="","","G-"&amp;TEXT(ROW('Game Records'!$A297)-4,"0000"))</x:f>
      </x:c>
      <x:c r="C297" s="331" t="str">
        <x:f>IF($A297="","",IFERROR('Game Records'!$A297,""))</x:f>
      </x:c>
      <x:c r="D297" s="331" t="str">
        <x:f>IF($A297="","",IFERROR('Game Records'!$U297,""))</x:f>
      </x:c>
      <x:c r="E297" s="331" t="str">
        <x:f>IF($A297="","",IF($F297="","No Highlighted Fields","Highlighted Fields Present"))</x:f>
      </x:c>
      <x:c r="F297" s="331" t="str">
        <x:f>IF($A297="","",IF('Game Records'!$B297="","Start Date; ","")&amp;IF('Game Records'!$C297="","End Date; ","")&amp;IF(AND('Game Records'!$U297&lt;&gt;"Subscription",'Game Records'!$U297&lt;&gt;"Free Game",'Game Records'!$U297&lt;&gt;"Disqualified — Free Game",OR('Game Records'!$D297="",LOWER('Game Records'!$D297&amp;"")="n/a")),"Entry Mode; ","")&amp;IF(AND('Game Records'!$U297&lt;&gt;"Subscription",'Game Records'!$U297&lt;&gt;"Free Game",'Game Records'!$U297&lt;&gt;"Disqualified — Free Game",OR('Game Records'!$E297="",LOWER('Game Records'!$E297&amp;"")="n/a")),"Game Type; ","")&amp;IF('Game Records'!$F297="","Payment Type; ","")&amp;IF(AND('Game Records'!$U297&lt;&gt;"Subscription",'Game Records'!$U297&lt;&gt;"Free Game",'Game Records'!$U297&lt;&gt;"Disqualified — Free Game",'Game Records'!$G297=""),"Gross Pot; ","")&amp;IF(AND('Game Records'!$U297&lt;&gt;"Free Game",'Game Records'!$U297&lt;&gt;"Disqualified — Free Game",'Game Records'!$H297=""),"Entry Fee; ","")&amp;IF(AND('Game Records'!$U297&lt;&gt;"Subscription",'Game Records'!$U297&lt;&gt;"Free Game",'Game Records'!$U297&lt;&gt;"Disqualified — Free Game",'Game Records'!$I297=""),"Eligible Players; ","")&amp;IF(AND('Game Records'!$U297&lt;&gt;"Subscription",'Game Records'!$U297&lt;&gt;"Free Game",'Game Records'!$U297&lt;&gt;"Disqualified — Free Game",'Game Records'!$J297=""),"Total Players; ","")&amp;IF(AND(LOWER('Game Records'!$D297&amp;"")="finalized",LOWER('Game Records'!$L297&amp;"")&lt;&gt;"yes",'Game Records'!$U297&lt;&gt;"Subscription",'Game Records'!$U297&lt;&gt;"Free Game",'Game Records'!$U297&lt;&gt;"Disqualified — Free Game",'Game Records'!$K297=""),"Final Earned; ","")&amp;IF(AND(LOWER('Game Records'!$D297&amp;"")="finalized",'Game Records'!$U297&lt;&gt;"Subscription",'Game Records'!$U297&lt;&gt;"Free Game",'Game Records'!$U297&lt;&gt;"Disqualified — Free Game",OR('Game Records'!$L297="",LOWER('Game Records'!$L297&amp;"")="n/a")),"Disqualified Status; ",""))</x:f>
      </x:c>
      <x:c r="G297" s="331" t="str">
        <x:f>IF($A297="","",IFERROR('Game Records'!$M297,""))</x:f>
      </x:c>
    </x:row>
    <x:row r="298">
      <x:c r="A298" s="332" t="str">
        <x:f>IF(OR(COUNTA('Game Records'!$A298:$M298)=0,'Game Records'!$F298="Subscription"),"",IFERROR(MAX($A$4:A297),0)+1)</x:f>
      </x:c>
      <x:c r="B298" s="332" t="str">
        <x:f>IF($A298="","","G-"&amp;TEXT(ROW('Game Records'!$A298)-4,"0000"))</x:f>
      </x:c>
      <x:c r="C298" s="331" t="str">
        <x:f>IF($A298="","",IFERROR('Game Records'!$A298,""))</x:f>
      </x:c>
      <x:c r="D298" s="331" t="str">
        <x:f>IF($A298="","",IFERROR('Game Records'!$U298,""))</x:f>
      </x:c>
      <x:c r="E298" s="331" t="str">
        <x:f>IF($A298="","",IF($F298="","No Highlighted Fields","Highlighted Fields Present"))</x:f>
      </x:c>
      <x:c r="F298" s="331" t="str">
        <x:f>IF($A298="","",IF('Game Records'!$B298="","Start Date; ","")&amp;IF('Game Records'!$C298="","End Date; ","")&amp;IF(AND('Game Records'!$U298&lt;&gt;"Subscription",'Game Records'!$U298&lt;&gt;"Free Game",'Game Records'!$U298&lt;&gt;"Disqualified — Free Game",OR('Game Records'!$D298="",LOWER('Game Records'!$D298&amp;"")="n/a")),"Entry Mode; ","")&amp;IF(AND('Game Records'!$U298&lt;&gt;"Subscription",'Game Records'!$U298&lt;&gt;"Free Game",'Game Records'!$U298&lt;&gt;"Disqualified — Free Game",OR('Game Records'!$E298="",LOWER('Game Records'!$E298&amp;"")="n/a")),"Game Type; ","")&amp;IF('Game Records'!$F298="","Payment Type; ","")&amp;IF(AND('Game Records'!$U298&lt;&gt;"Subscription",'Game Records'!$U298&lt;&gt;"Free Game",'Game Records'!$U298&lt;&gt;"Disqualified — Free Game",'Game Records'!$G298=""),"Gross Pot; ","")&amp;IF(AND('Game Records'!$U298&lt;&gt;"Free Game",'Game Records'!$U298&lt;&gt;"Disqualified — Free Game",'Game Records'!$H298=""),"Entry Fee; ","")&amp;IF(AND('Game Records'!$U298&lt;&gt;"Subscription",'Game Records'!$U298&lt;&gt;"Free Game",'Game Records'!$U298&lt;&gt;"Disqualified — Free Game",'Game Records'!$I298=""),"Eligible Players; ","")&amp;IF(AND('Game Records'!$U298&lt;&gt;"Subscription",'Game Records'!$U298&lt;&gt;"Free Game",'Game Records'!$U298&lt;&gt;"Disqualified — Free Game",'Game Records'!$J298=""),"Total Players; ","")&amp;IF(AND(LOWER('Game Records'!$D298&amp;"")="finalized",LOWER('Game Records'!$L298&amp;"")&lt;&gt;"yes",'Game Records'!$U298&lt;&gt;"Subscription",'Game Records'!$U298&lt;&gt;"Free Game",'Game Records'!$U298&lt;&gt;"Disqualified — Free Game",'Game Records'!$K298=""),"Final Earned; ","")&amp;IF(AND(LOWER('Game Records'!$D298&amp;"")="finalized",'Game Records'!$U298&lt;&gt;"Subscription",'Game Records'!$U298&lt;&gt;"Free Game",'Game Records'!$U298&lt;&gt;"Disqualified — Free Game",OR('Game Records'!$L298="",LOWER('Game Records'!$L298&amp;"")="n/a")),"Disqualified Status; ",""))</x:f>
      </x:c>
      <x:c r="G298" s="331" t="str">
        <x:f>IF($A298="","",IFERROR('Game Records'!$M298,""))</x:f>
      </x:c>
    </x:row>
    <x:row r="299">
      <x:c r="A299" s="332" t="str">
        <x:f>IF(OR(COUNTA('Game Records'!$A299:$M299)=0,'Game Records'!$F299="Subscription"),"",IFERROR(MAX($A$4:A298),0)+1)</x:f>
      </x:c>
      <x:c r="B299" s="332" t="str">
        <x:f>IF($A299="","","G-"&amp;TEXT(ROW('Game Records'!$A299)-4,"0000"))</x:f>
      </x:c>
      <x:c r="C299" s="331" t="str">
        <x:f>IF($A299="","",IFERROR('Game Records'!$A299,""))</x:f>
      </x:c>
      <x:c r="D299" s="331" t="str">
        <x:f>IF($A299="","",IFERROR('Game Records'!$U299,""))</x:f>
      </x:c>
      <x:c r="E299" s="331" t="str">
        <x:f>IF($A299="","",IF($F299="","No Highlighted Fields","Highlighted Fields Present"))</x:f>
      </x:c>
      <x:c r="F299" s="331" t="str">
        <x:f>IF($A299="","",IF('Game Records'!$B299="","Start Date; ","")&amp;IF('Game Records'!$C299="","End Date; ","")&amp;IF(AND('Game Records'!$U299&lt;&gt;"Subscription",'Game Records'!$U299&lt;&gt;"Free Game",'Game Records'!$U299&lt;&gt;"Disqualified — Free Game",OR('Game Records'!$D299="",LOWER('Game Records'!$D299&amp;"")="n/a")),"Entry Mode; ","")&amp;IF(AND('Game Records'!$U299&lt;&gt;"Subscription",'Game Records'!$U299&lt;&gt;"Free Game",'Game Records'!$U299&lt;&gt;"Disqualified — Free Game",OR('Game Records'!$E299="",LOWER('Game Records'!$E299&amp;"")="n/a")),"Game Type; ","")&amp;IF('Game Records'!$F299="","Payment Type; ","")&amp;IF(AND('Game Records'!$U299&lt;&gt;"Subscription",'Game Records'!$U299&lt;&gt;"Free Game",'Game Records'!$U299&lt;&gt;"Disqualified — Free Game",'Game Records'!$G299=""),"Gross Pot; ","")&amp;IF(AND('Game Records'!$U299&lt;&gt;"Free Game",'Game Records'!$U299&lt;&gt;"Disqualified — Free Game",'Game Records'!$H299=""),"Entry Fee; ","")&amp;IF(AND('Game Records'!$U299&lt;&gt;"Subscription",'Game Records'!$U299&lt;&gt;"Free Game",'Game Records'!$U299&lt;&gt;"Disqualified — Free Game",'Game Records'!$I299=""),"Eligible Players; ","")&amp;IF(AND('Game Records'!$U299&lt;&gt;"Subscription",'Game Records'!$U299&lt;&gt;"Free Game",'Game Records'!$U299&lt;&gt;"Disqualified — Free Game",'Game Records'!$J299=""),"Total Players; ","")&amp;IF(AND(LOWER('Game Records'!$D299&amp;"")="finalized",LOWER('Game Records'!$L299&amp;"")&lt;&gt;"yes",'Game Records'!$U299&lt;&gt;"Subscription",'Game Records'!$U299&lt;&gt;"Free Game",'Game Records'!$U299&lt;&gt;"Disqualified — Free Game",'Game Records'!$K299=""),"Final Earned; ","")&amp;IF(AND(LOWER('Game Records'!$D299&amp;"")="finalized",'Game Records'!$U299&lt;&gt;"Subscription",'Game Records'!$U299&lt;&gt;"Free Game",'Game Records'!$U299&lt;&gt;"Disqualified — Free Game",OR('Game Records'!$L299="",LOWER('Game Records'!$L299&amp;"")="n/a")),"Disqualified Status; ",""))</x:f>
      </x:c>
      <x:c r="G299" s="331" t="str">
        <x:f>IF($A299="","",IFERROR('Game Records'!$M299,""))</x:f>
      </x:c>
    </x:row>
    <x:row r="300">
      <x:c r="A300" s="332" t="str">
        <x:f>IF(OR(COUNTA('Game Records'!$A300:$M300)=0,'Game Records'!$F300="Subscription"),"",IFERROR(MAX($A$4:A299),0)+1)</x:f>
      </x:c>
      <x:c r="B300" s="332" t="str">
        <x:f>IF($A300="","","G-"&amp;TEXT(ROW('Game Records'!$A300)-4,"0000"))</x:f>
      </x:c>
      <x:c r="C300" s="331" t="str">
        <x:f>IF($A300="","",IFERROR('Game Records'!$A300,""))</x:f>
      </x:c>
      <x:c r="D300" s="331" t="str">
        <x:f>IF($A300="","",IFERROR('Game Records'!$U300,""))</x:f>
      </x:c>
      <x:c r="E300" s="331" t="str">
        <x:f>IF($A300="","",IF($F300="","No Highlighted Fields","Highlighted Fields Present"))</x:f>
      </x:c>
      <x:c r="F300" s="331" t="str">
        <x:f>IF($A300="","",IF('Game Records'!$B300="","Start Date; ","")&amp;IF('Game Records'!$C300="","End Date; ","")&amp;IF(AND('Game Records'!$U300&lt;&gt;"Subscription",'Game Records'!$U300&lt;&gt;"Free Game",'Game Records'!$U300&lt;&gt;"Disqualified — Free Game",OR('Game Records'!$D300="",LOWER('Game Records'!$D300&amp;"")="n/a")),"Entry Mode; ","")&amp;IF(AND('Game Records'!$U300&lt;&gt;"Subscription",'Game Records'!$U300&lt;&gt;"Free Game",'Game Records'!$U300&lt;&gt;"Disqualified — Free Game",OR('Game Records'!$E300="",LOWER('Game Records'!$E300&amp;"")="n/a")),"Game Type; ","")&amp;IF('Game Records'!$F300="","Payment Type; ","")&amp;IF(AND('Game Records'!$U300&lt;&gt;"Subscription",'Game Records'!$U300&lt;&gt;"Free Game",'Game Records'!$U300&lt;&gt;"Disqualified — Free Game",'Game Records'!$G300=""),"Gross Pot; ","")&amp;IF(AND('Game Records'!$U300&lt;&gt;"Free Game",'Game Records'!$U300&lt;&gt;"Disqualified — Free Game",'Game Records'!$H300=""),"Entry Fee; ","")&amp;IF(AND('Game Records'!$U300&lt;&gt;"Subscription",'Game Records'!$U300&lt;&gt;"Free Game",'Game Records'!$U300&lt;&gt;"Disqualified — Free Game",'Game Records'!$I300=""),"Eligible Players; ","")&amp;IF(AND('Game Records'!$U300&lt;&gt;"Subscription",'Game Records'!$U300&lt;&gt;"Free Game",'Game Records'!$U300&lt;&gt;"Disqualified — Free Game",'Game Records'!$J300=""),"Total Players; ","")&amp;IF(AND(LOWER('Game Records'!$D300&amp;"")="finalized",LOWER('Game Records'!$L300&amp;"")&lt;&gt;"yes",'Game Records'!$U300&lt;&gt;"Subscription",'Game Records'!$U300&lt;&gt;"Free Game",'Game Records'!$U300&lt;&gt;"Disqualified — Free Game",'Game Records'!$K300=""),"Final Earned; ","")&amp;IF(AND(LOWER('Game Records'!$D300&amp;"")="finalized",'Game Records'!$U300&lt;&gt;"Subscription",'Game Records'!$U300&lt;&gt;"Free Game",'Game Records'!$U300&lt;&gt;"Disqualified — Free Game",OR('Game Records'!$L300="",LOWER('Game Records'!$L300&amp;"")="n/a")),"Disqualified Status; ",""))</x:f>
      </x:c>
      <x:c r="G300" s="331" t="str">
        <x:f>IF($A300="","",IFERROR('Game Records'!$M300,""))</x:f>
      </x:c>
    </x:row>
    <x:row r="301">
      <x:c r="A301" s="332" t="str">
        <x:f>IF(OR(COUNTA('Game Records'!$A301:$M301)=0,'Game Records'!$F301="Subscription"),"",IFERROR(MAX($A$4:A300),0)+1)</x:f>
      </x:c>
      <x:c r="B301" s="332" t="str">
        <x:f>IF($A301="","","G-"&amp;TEXT(ROW('Game Records'!$A301)-4,"0000"))</x:f>
      </x:c>
      <x:c r="C301" s="331" t="str">
        <x:f>IF($A301="","",IFERROR('Game Records'!$A301,""))</x:f>
      </x:c>
      <x:c r="D301" s="331" t="str">
        <x:f>IF($A301="","",IFERROR('Game Records'!$U301,""))</x:f>
      </x:c>
      <x:c r="E301" s="331" t="str">
        <x:f>IF($A301="","",IF($F301="","No Highlighted Fields","Highlighted Fields Present"))</x:f>
      </x:c>
      <x:c r="F301" s="331" t="str">
        <x:f>IF($A301="","",IF('Game Records'!$B301="","Start Date; ","")&amp;IF('Game Records'!$C301="","End Date; ","")&amp;IF(AND('Game Records'!$U301&lt;&gt;"Subscription",'Game Records'!$U301&lt;&gt;"Free Game",'Game Records'!$U301&lt;&gt;"Disqualified — Free Game",OR('Game Records'!$D301="",LOWER('Game Records'!$D301&amp;"")="n/a")),"Entry Mode; ","")&amp;IF(AND('Game Records'!$U301&lt;&gt;"Subscription",'Game Records'!$U301&lt;&gt;"Free Game",'Game Records'!$U301&lt;&gt;"Disqualified — Free Game",OR('Game Records'!$E301="",LOWER('Game Records'!$E301&amp;"")="n/a")),"Game Type; ","")&amp;IF('Game Records'!$F301="","Payment Type; ","")&amp;IF(AND('Game Records'!$U301&lt;&gt;"Subscription",'Game Records'!$U301&lt;&gt;"Free Game",'Game Records'!$U301&lt;&gt;"Disqualified — Free Game",'Game Records'!$G301=""),"Gross Pot; ","")&amp;IF(AND('Game Records'!$U301&lt;&gt;"Free Game",'Game Records'!$U301&lt;&gt;"Disqualified — Free Game",'Game Records'!$H301=""),"Entry Fee; ","")&amp;IF(AND('Game Records'!$U301&lt;&gt;"Subscription",'Game Records'!$U301&lt;&gt;"Free Game",'Game Records'!$U301&lt;&gt;"Disqualified — Free Game",'Game Records'!$I301=""),"Eligible Players; ","")&amp;IF(AND('Game Records'!$U301&lt;&gt;"Subscription",'Game Records'!$U301&lt;&gt;"Free Game",'Game Records'!$U301&lt;&gt;"Disqualified — Free Game",'Game Records'!$J301=""),"Total Players; ","")&amp;IF(AND(LOWER('Game Records'!$D301&amp;"")="finalized",LOWER('Game Records'!$L301&amp;"")&lt;&gt;"yes",'Game Records'!$U301&lt;&gt;"Subscription",'Game Records'!$U301&lt;&gt;"Free Game",'Game Records'!$U301&lt;&gt;"Disqualified — Free Game",'Game Records'!$K301=""),"Final Earned; ","")&amp;IF(AND(LOWER('Game Records'!$D301&amp;"")="finalized",'Game Records'!$U301&lt;&gt;"Subscription",'Game Records'!$U301&lt;&gt;"Free Game",'Game Records'!$U301&lt;&gt;"Disqualified — Free Game",OR('Game Records'!$L301="",LOWER('Game Records'!$L301&amp;"")="n/a")),"Disqualified Status; ",""))</x:f>
      </x:c>
      <x:c r="G301" s="331" t="str">
        <x:f>IF($A301="","",IFERROR('Game Records'!$M301,""))</x:f>
      </x:c>
    </x:row>
    <x:row r="302">
      <x:c r="A302" s="332" t="str">
        <x:f>IF(OR(COUNTA('Game Records'!$A302:$M302)=0,'Game Records'!$F302="Subscription"),"",IFERROR(MAX($A$4:A301),0)+1)</x:f>
      </x:c>
      <x:c r="B302" s="332" t="str">
        <x:f>IF($A302="","","G-"&amp;TEXT(ROW('Game Records'!$A302)-4,"0000"))</x:f>
      </x:c>
      <x:c r="C302" s="331" t="str">
        <x:f>IF($A302="","",IFERROR('Game Records'!$A302,""))</x:f>
      </x:c>
      <x:c r="D302" s="331" t="str">
        <x:f>IF($A302="","",IFERROR('Game Records'!$U302,""))</x:f>
      </x:c>
      <x:c r="E302" s="331" t="str">
        <x:f>IF($A302="","",IF($F302="","No Highlighted Fields","Highlighted Fields Present"))</x:f>
      </x:c>
      <x:c r="F302" s="331" t="str">
        <x:f>IF($A302="","",IF('Game Records'!$B302="","Start Date; ","")&amp;IF('Game Records'!$C302="","End Date; ","")&amp;IF(AND('Game Records'!$U302&lt;&gt;"Subscription",'Game Records'!$U302&lt;&gt;"Free Game",'Game Records'!$U302&lt;&gt;"Disqualified — Free Game",OR('Game Records'!$D302="",LOWER('Game Records'!$D302&amp;"")="n/a")),"Entry Mode; ","")&amp;IF(AND('Game Records'!$U302&lt;&gt;"Subscription",'Game Records'!$U302&lt;&gt;"Free Game",'Game Records'!$U302&lt;&gt;"Disqualified — Free Game",OR('Game Records'!$E302="",LOWER('Game Records'!$E302&amp;"")="n/a")),"Game Type; ","")&amp;IF('Game Records'!$F302="","Payment Type; ","")&amp;IF(AND('Game Records'!$U302&lt;&gt;"Subscription",'Game Records'!$U302&lt;&gt;"Free Game",'Game Records'!$U302&lt;&gt;"Disqualified — Free Game",'Game Records'!$G302=""),"Gross Pot; ","")&amp;IF(AND('Game Records'!$U302&lt;&gt;"Free Game",'Game Records'!$U302&lt;&gt;"Disqualified — Free Game",'Game Records'!$H302=""),"Entry Fee; ","")&amp;IF(AND('Game Records'!$U302&lt;&gt;"Subscription",'Game Records'!$U302&lt;&gt;"Free Game",'Game Records'!$U302&lt;&gt;"Disqualified — Free Game",'Game Records'!$I302=""),"Eligible Players; ","")&amp;IF(AND('Game Records'!$U302&lt;&gt;"Subscription",'Game Records'!$U302&lt;&gt;"Free Game",'Game Records'!$U302&lt;&gt;"Disqualified — Free Game",'Game Records'!$J302=""),"Total Players; ","")&amp;IF(AND(LOWER('Game Records'!$D302&amp;"")="finalized",LOWER('Game Records'!$L302&amp;"")&lt;&gt;"yes",'Game Records'!$U302&lt;&gt;"Subscription",'Game Records'!$U302&lt;&gt;"Free Game",'Game Records'!$U302&lt;&gt;"Disqualified — Free Game",'Game Records'!$K302=""),"Final Earned; ","")&amp;IF(AND(LOWER('Game Records'!$D302&amp;"")="finalized",'Game Records'!$U302&lt;&gt;"Subscription",'Game Records'!$U302&lt;&gt;"Free Game",'Game Records'!$U302&lt;&gt;"Disqualified — Free Game",OR('Game Records'!$L302="",LOWER('Game Records'!$L302&amp;"")="n/a")),"Disqualified Status; ",""))</x:f>
      </x:c>
      <x:c r="G302" s="331" t="str">
        <x:f>IF($A302="","",IFERROR('Game Records'!$M302,""))</x:f>
      </x:c>
    </x:row>
    <x:row r="303">
      <x:c r="A303" s="332" t="str">
        <x:f>IF(OR(COUNTA('Game Records'!$A303:$M303)=0,'Game Records'!$F303="Subscription"),"",IFERROR(MAX($A$4:A302),0)+1)</x:f>
      </x:c>
      <x:c r="B303" s="332" t="str">
        <x:f>IF($A303="","","G-"&amp;TEXT(ROW('Game Records'!$A303)-4,"0000"))</x:f>
      </x:c>
      <x:c r="C303" s="331" t="str">
        <x:f>IF($A303="","",IFERROR('Game Records'!$A303,""))</x:f>
      </x:c>
      <x:c r="D303" s="331" t="str">
        <x:f>IF($A303="","",IFERROR('Game Records'!$U303,""))</x:f>
      </x:c>
      <x:c r="E303" s="331" t="str">
        <x:f>IF($A303="","",IF($F303="","No Highlighted Fields","Highlighted Fields Present"))</x:f>
      </x:c>
      <x:c r="F303" s="331" t="str">
        <x:f>IF($A303="","",IF('Game Records'!$B303="","Start Date; ","")&amp;IF('Game Records'!$C303="","End Date; ","")&amp;IF(AND('Game Records'!$U303&lt;&gt;"Subscription",'Game Records'!$U303&lt;&gt;"Free Game",'Game Records'!$U303&lt;&gt;"Disqualified — Free Game",OR('Game Records'!$D303="",LOWER('Game Records'!$D303&amp;"")="n/a")),"Entry Mode; ","")&amp;IF(AND('Game Records'!$U303&lt;&gt;"Subscription",'Game Records'!$U303&lt;&gt;"Free Game",'Game Records'!$U303&lt;&gt;"Disqualified — Free Game",OR('Game Records'!$E303="",LOWER('Game Records'!$E303&amp;"")="n/a")),"Game Type; ","")&amp;IF('Game Records'!$F303="","Payment Type; ","")&amp;IF(AND('Game Records'!$U303&lt;&gt;"Subscription",'Game Records'!$U303&lt;&gt;"Free Game",'Game Records'!$U303&lt;&gt;"Disqualified — Free Game",'Game Records'!$G303=""),"Gross Pot; ","")&amp;IF(AND('Game Records'!$U303&lt;&gt;"Free Game",'Game Records'!$U303&lt;&gt;"Disqualified — Free Game",'Game Records'!$H303=""),"Entry Fee; ","")&amp;IF(AND('Game Records'!$U303&lt;&gt;"Subscription",'Game Records'!$U303&lt;&gt;"Free Game",'Game Records'!$U303&lt;&gt;"Disqualified — Free Game",'Game Records'!$I303=""),"Eligible Players; ","")&amp;IF(AND('Game Records'!$U303&lt;&gt;"Subscription",'Game Records'!$U303&lt;&gt;"Free Game",'Game Records'!$U303&lt;&gt;"Disqualified — Free Game",'Game Records'!$J303=""),"Total Players; ","")&amp;IF(AND(LOWER('Game Records'!$D303&amp;"")="finalized",LOWER('Game Records'!$L303&amp;"")&lt;&gt;"yes",'Game Records'!$U303&lt;&gt;"Subscription",'Game Records'!$U303&lt;&gt;"Free Game",'Game Records'!$U303&lt;&gt;"Disqualified — Free Game",'Game Records'!$K303=""),"Final Earned; ","")&amp;IF(AND(LOWER('Game Records'!$D303&amp;"")="finalized",'Game Records'!$U303&lt;&gt;"Subscription",'Game Records'!$U303&lt;&gt;"Free Game",'Game Records'!$U303&lt;&gt;"Disqualified — Free Game",OR('Game Records'!$L303="",LOWER('Game Records'!$L303&amp;"")="n/a")),"Disqualified Status; ",""))</x:f>
      </x:c>
      <x:c r="G303" s="331" t="str">
        <x:f>IF($A303="","",IFERROR('Game Records'!$M303,""))</x:f>
      </x:c>
    </x:row>
    <x:row r="304">
      <x:c r="A304" s="332" t="str">
        <x:f>IF(OR(COUNTA('Game Records'!$A304:$M304)=0,'Game Records'!$F304="Subscription"),"",IFERROR(MAX($A$4:A303),0)+1)</x:f>
      </x:c>
      <x:c r="B304" s="332" t="str">
        <x:f>IF($A304="","","G-"&amp;TEXT(ROW('Game Records'!$A304)-4,"0000"))</x:f>
      </x:c>
      <x:c r="C304" s="331" t="str">
        <x:f>IF($A304="","",IFERROR('Game Records'!$A304,""))</x:f>
      </x:c>
      <x:c r="D304" s="331" t="str">
        <x:f>IF($A304="","",IFERROR('Game Records'!$U304,""))</x:f>
      </x:c>
      <x:c r="E304" s="331" t="str">
        <x:f>IF($A304="","",IF($F304="","No Highlighted Fields","Highlighted Fields Present"))</x:f>
      </x:c>
      <x:c r="F304" s="331" t="str">
        <x:f>IF($A304="","",IF('Game Records'!$B304="","Start Date; ","")&amp;IF('Game Records'!$C304="","End Date; ","")&amp;IF(AND('Game Records'!$U304&lt;&gt;"Subscription",'Game Records'!$U304&lt;&gt;"Free Game",'Game Records'!$U304&lt;&gt;"Disqualified — Free Game",OR('Game Records'!$D304="",LOWER('Game Records'!$D304&amp;"")="n/a")),"Entry Mode; ","")&amp;IF(AND('Game Records'!$U304&lt;&gt;"Subscription",'Game Records'!$U304&lt;&gt;"Free Game",'Game Records'!$U304&lt;&gt;"Disqualified — Free Game",OR('Game Records'!$E304="",LOWER('Game Records'!$E304&amp;"")="n/a")),"Game Type; ","")&amp;IF('Game Records'!$F304="","Payment Type; ","")&amp;IF(AND('Game Records'!$U304&lt;&gt;"Subscription",'Game Records'!$U304&lt;&gt;"Free Game",'Game Records'!$U304&lt;&gt;"Disqualified — Free Game",'Game Records'!$G304=""),"Gross Pot; ","")&amp;IF(AND('Game Records'!$U304&lt;&gt;"Free Game",'Game Records'!$U304&lt;&gt;"Disqualified — Free Game",'Game Records'!$H304=""),"Entry Fee; ","")&amp;IF(AND('Game Records'!$U304&lt;&gt;"Subscription",'Game Records'!$U304&lt;&gt;"Free Game",'Game Records'!$U304&lt;&gt;"Disqualified — Free Game",'Game Records'!$I304=""),"Eligible Players; ","")&amp;IF(AND('Game Records'!$U304&lt;&gt;"Subscription",'Game Records'!$U304&lt;&gt;"Free Game",'Game Records'!$U304&lt;&gt;"Disqualified — Free Game",'Game Records'!$J304=""),"Total Players; ","")&amp;IF(AND(LOWER('Game Records'!$D304&amp;"")="finalized",LOWER('Game Records'!$L304&amp;"")&lt;&gt;"yes",'Game Records'!$U304&lt;&gt;"Subscription",'Game Records'!$U304&lt;&gt;"Free Game",'Game Records'!$U304&lt;&gt;"Disqualified — Free Game",'Game Records'!$K304=""),"Final Earned; ","")&amp;IF(AND(LOWER('Game Records'!$D304&amp;"")="finalized",'Game Records'!$U304&lt;&gt;"Subscription",'Game Records'!$U304&lt;&gt;"Free Game",'Game Records'!$U304&lt;&gt;"Disqualified — Free Game",OR('Game Records'!$L304="",LOWER('Game Records'!$L304&amp;"")="n/a")),"Disqualified Status; ",""))</x:f>
      </x:c>
      <x:c r="G304" s="331" t="str">
        <x:f>IF($A304="","",IFERROR('Game Records'!$M304,""))</x:f>
      </x:c>
    </x:row>
    <x:row r="305">
      <x:c r="A305" s="332" t="str">
        <x:f>IF(OR(COUNTA('Game Records'!$A305:$M305)=0,'Game Records'!$F305="Subscription"),"",IFERROR(MAX($A$4:A304),0)+1)</x:f>
      </x:c>
      <x:c r="B305" s="332" t="str">
        <x:f>IF($A305="","","G-"&amp;TEXT(ROW('Game Records'!$A305)-4,"0000"))</x:f>
      </x:c>
      <x:c r="C305" s="331" t="str">
        <x:f>IF($A305="","",IFERROR('Game Records'!$A305,""))</x:f>
      </x:c>
      <x:c r="D305" s="331" t="str">
        <x:f>IF($A305="","",IFERROR('Game Records'!$U305,""))</x:f>
      </x:c>
      <x:c r="E305" s="331" t="str">
        <x:f>IF($A305="","",IF($F305="","No Highlighted Fields","Highlighted Fields Present"))</x:f>
      </x:c>
      <x:c r="F305" s="331" t="str">
        <x:f>IF($A305="","",IF('Game Records'!$B305="","Start Date; ","")&amp;IF('Game Records'!$C305="","End Date; ","")&amp;IF(AND('Game Records'!$U305&lt;&gt;"Subscription",'Game Records'!$U305&lt;&gt;"Free Game",'Game Records'!$U305&lt;&gt;"Disqualified — Free Game",OR('Game Records'!$D305="",LOWER('Game Records'!$D305&amp;"")="n/a")),"Entry Mode; ","")&amp;IF(AND('Game Records'!$U305&lt;&gt;"Subscription",'Game Records'!$U305&lt;&gt;"Free Game",'Game Records'!$U305&lt;&gt;"Disqualified — Free Game",OR('Game Records'!$E305="",LOWER('Game Records'!$E305&amp;"")="n/a")),"Game Type; ","")&amp;IF('Game Records'!$F305="","Payment Type; ","")&amp;IF(AND('Game Records'!$U305&lt;&gt;"Subscription",'Game Records'!$U305&lt;&gt;"Free Game",'Game Records'!$U305&lt;&gt;"Disqualified — Free Game",'Game Records'!$G305=""),"Gross Pot; ","")&amp;IF(AND('Game Records'!$U305&lt;&gt;"Free Game",'Game Records'!$U305&lt;&gt;"Disqualified — Free Game",'Game Records'!$H305=""),"Entry Fee; ","")&amp;IF(AND('Game Records'!$U305&lt;&gt;"Subscription",'Game Records'!$U305&lt;&gt;"Free Game",'Game Records'!$U305&lt;&gt;"Disqualified — Free Game",'Game Records'!$I305=""),"Eligible Players; ","")&amp;IF(AND('Game Records'!$U305&lt;&gt;"Subscription",'Game Records'!$U305&lt;&gt;"Free Game",'Game Records'!$U305&lt;&gt;"Disqualified — Free Game",'Game Records'!$J305=""),"Total Players; ","")&amp;IF(AND(LOWER('Game Records'!$D305&amp;"")="finalized",LOWER('Game Records'!$L305&amp;"")&lt;&gt;"yes",'Game Records'!$U305&lt;&gt;"Subscription",'Game Records'!$U305&lt;&gt;"Free Game",'Game Records'!$U305&lt;&gt;"Disqualified — Free Game",'Game Records'!$K305=""),"Final Earned; ","")&amp;IF(AND(LOWER('Game Records'!$D305&amp;"")="finalized",'Game Records'!$U305&lt;&gt;"Subscription",'Game Records'!$U305&lt;&gt;"Free Game",'Game Records'!$U305&lt;&gt;"Disqualified — Free Game",OR('Game Records'!$L305="",LOWER('Game Records'!$L305&amp;"")="n/a")),"Disqualified Status; ",""))</x:f>
      </x:c>
      <x:c r="G305" s="331" t="str">
        <x:f>IF($A305="","",IFERROR('Game Records'!$M305,""))</x:f>
      </x:c>
    </x:row>
    <x:row r="306">
      <x:c r="A306" s="332" t="str">
        <x:f>IF(OR(COUNTA('Game Records'!$A306:$M306)=0,'Game Records'!$F306="Subscription"),"",IFERROR(MAX($A$4:A305),0)+1)</x:f>
      </x:c>
      <x:c r="B306" s="332" t="str">
        <x:f>IF($A306="","","G-"&amp;TEXT(ROW('Game Records'!$A306)-4,"0000"))</x:f>
      </x:c>
      <x:c r="C306" s="331" t="str">
        <x:f>IF($A306="","",IFERROR('Game Records'!$A306,""))</x:f>
      </x:c>
      <x:c r="D306" s="331" t="str">
        <x:f>IF($A306="","",IFERROR('Game Records'!$U306,""))</x:f>
      </x:c>
      <x:c r="E306" s="331" t="str">
        <x:f>IF($A306="","",IF($F306="","No Highlighted Fields","Highlighted Fields Present"))</x:f>
      </x:c>
      <x:c r="F306" s="331" t="str">
        <x:f>IF($A306="","",IF('Game Records'!$B306="","Start Date; ","")&amp;IF('Game Records'!$C306="","End Date; ","")&amp;IF(AND('Game Records'!$U306&lt;&gt;"Subscription",'Game Records'!$U306&lt;&gt;"Free Game",'Game Records'!$U306&lt;&gt;"Disqualified — Free Game",OR('Game Records'!$D306="",LOWER('Game Records'!$D306&amp;"")="n/a")),"Entry Mode; ","")&amp;IF(AND('Game Records'!$U306&lt;&gt;"Subscription",'Game Records'!$U306&lt;&gt;"Free Game",'Game Records'!$U306&lt;&gt;"Disqualified — Free Game",OR('Game Records'!$E306="",LOWER('Game Records'!$E306&amp;"")="n/a")),"Game Type; ","")&amp;IF('Game Records'!$F306="","Payment Type; ","")&amp;IF(AND('Game Records'!$U306&lt;&gt;"Subscription",'Game Records'!$U306&lt;&gt;"Free Game",'Game Records'!$U306&lt;&gt;"Disqualified — Free Game",'Game Records'!$G306=""),"Gross Pot; ","")&amp;IF(AND('Game Records'!$U306&lt;&gt;"Free Game",'Game Records'!$U306&lt;&gt;"Disqualified — Free Game",'Game Records'!$H306=""),"Entry Fee; ","")&amp;IF(AND('Game Records'!$U306&lt;&gt;"Subscription",'Game Records'!$U306&lt;&gt;"Free Game",'Game Records'!$U306&lt;&gt;"Disqualified — Free Game",'Game Records'!$I306=""),"Eligible Players; ","")&amp;IF(AND('Game Records'!$U306&lt;&gt;"Subscription",'Game Records'!$U306&lt;&gt;"Free Game",'Game Records'!$U306&lt;&gt;"Disqualified — Free Game",'Game Records'!$J306=""),"Total Players; ","")&amp;IF(AND(LOWER('Game Records'!$D306&amp;"")="finalized",LOWER('Game Records'!$L306&amp;"")&lt;&gt;"yes",'Game Records'!$U306&lt;&gt;"Subscription",'Game Records'!$U306&lt;&gt;"Free Game",'Game Records'!$U306&lt;&gt;"Disqualified — Free Game",'Game Records'!$K306=""),"Final Earned; ","")&amp;IF(AND(LOWER('Game Records'!$D306&amp;"")="finalized",'Game Records'!$U306&lt;&gt;"Subscription",'Game Records'!$U306&lt;&gt;"Free Game",'Game Records'!$U306&lt;&gt;"Disqualified — Free Game",OR('Game Records'!$L306="",LOWER('Game Records'!$L306&amp;"")="n/a")),"Disqualified Status; ",""))</x:f>
      </x:c>
      <x:c r="G306" s="331" t="str">
        <x:f>IF($A306="","",IFERROR('Game Records'!$M306,""))</x:f>
      </x:c>
    </x:row>
    <x:row r="307">
      <x:c r="A307" s="332" t="str">
        <x:f>IF(OR(COUNTA('Game Records'!$A307:$M307)=0,'Game Records'!$F307="Subscription"),"",IFERROR(MAX($A$4:A306),0)+1)</x:f>
      </x:c>
      <x:c r="B307" s="332" t="str">
        <x:f>IF($A307="","","G-"&amp;TEXT(ROW('Game Records'!$A307)-4,"0000"))</x:f>
      </x:c>
      <x:c r="C307" s="331" t="str">
        <x:f>IF($A307="","",IFERROR('Game Records'!$A307,""))</x:f>
      </x:c>
      <x:c r="D307" s="331" t="str">
        <x:f>IF($A307="","",IFERROR('Game Records'!$U307,""))</x:f>
      </x:c>
      <x:c r="E307" s="331" t="str">
        <x:f>IF($A307="","",IF($F307="","No Highlighted Fields","Highlighted Fields Present"))</x:f>
      </x:c>
      <x:c r="F307" s="331" t="str">
        <x:f>IF($A307="","",IF('Game Records'!$B307="","Start Date; ","")&amp;IF('Game Records'!$C307="","End Date; ","")&amp;IF(AND('Game Records'!$U307&lt;&gt;"Subscription",'Game Records'!$U307&lt;&gt;"Free Game",'Game Records'!$U307&lt;&gt;"Disqualified — Free Game",OR('Game Records'!$D307="",LOWER('Game Records'!$D307&amp;"")="n/a")),"Entry Mode; ","")&amp;IF(AND('Game Records'!$U307&lt;&gt;"Subscription",'Game Records'!$U307&lt;&gt;"Free Game",'Game Records'!$U307&lt;&gt;"Disqualified — Free Game",OR('Game Records'!$E307="",LOWER('Game Records'!$E307&amp;"")="n/a")),"Game Type; ","")&amp;IF('Game Records'!$F307="","Payment Type; ","")&amp;IF(AND('Game Records'!$U307&lt;&gt;"Subscription",'Game Records'!$U307&lt;&gt;"Free Game",'Game Records'!$U307&lt;&gt;"Disqualified — Free Game",'Game Records'!$G307=""),"Gross Pot; ","")&amp;IF(AND('Game Records'!$U307&lt;&gt;"Free Game",'Game Records'!$U307&lt;&gt;"Disqualified — Free Game",'Game Records'!$H307=""),"Entry Fee; ","")&amp;IF(AND('Game Records'!$U307&lt;&gt;"Subscription",'Game Records'!$U307&lt;&gt;"Free Game",'Game Records'!$U307&lt;&gt;"Disqualified — Free Game",'Game Records'!$I307=""),"Eligible Players; ","")&amp;IF(AND('Game Records'!$U307&lt;&gt;"Subscription",'Game Records'!$U307&lt;&gt;"Free Game",'Game Records'!$U307&lt;&gt;"Disqualified — Free Game",'Game Records'!$J307=""),"Total Players; ","")&amp;IF(AND(LOWER('Game Records'!$D307&amp;"")="finalized",LOWER('Game Records'!$L307&amp;"")&lt;&gt;"yes",'Game Records'!$U307&lt;&gt;"Subscription",'Game Records'!$U307&lt;&gt;"Free Game",'Game Records'!$U307&lt;&gt;"Disqualified — Free Game",'Game Records'!$K307=""),"Final Earned; ","")&amp;IF(AND(LOWER('Game Records'!$D307&amp;"")="finalized",'Game Records'!$U307&lt;&gt;"Subscription",'Game Records'!$U307&lt;&gt;"Free Game",'Game Records'!$U307&lt;&gt;"Disqualified — Free Game",OR('Game Records'!$L307="",LOWER('Game Records'!$L307&amp;"")="n/a")),"Disqualified Status; ",""))</x:f>
      </x:c>
      <x:c r="G307" s="331" t="str">
        <x:f>IF($A307="","",IFERROR('Game Records'!$M307,""))</x:f>
      </x:c>
    </x:row>
    <x:row r="308">
      <x:c r="A308" s="332" t="str">
        <x:f>IF(OR(COUNTA('Game Records'!$A308:$M308)=0,'Game Records'!$F308="Subscription"),"",IFERROR(MAX($A$4:A307),0)+1)</x:f>
      </x:c>
      <x:c r="B308" s="332" t="str">
        <x:f>IF($A308="","","G-"&amp;TEXT(ROW('Game Records'!$A308)-4,"0000"))</x:f>
      </x:c>
      <x:c r="C308" s="331" t="str">
        <x:f>IF($A308="","",IFERROR('Game Records'!$A308,""))</x:f>
      </x:c>
      <x:c r="D308" s="331" t="str">
        <x:f>IF($A308="","",IFERROR('Game Records'!$U308,""))</x:f>
      </x:c>
      <x:c r="E308" s="331" t="str">
        <x:f>IF($A308="","",IF($F308="","No Highlighted Fields","Highlighted Fields Present"))</x:f>
      </x:c>
      <x:c r="F308" s="331" t="str">
        <x:f>IF($A308="","",IF('Game Records'!$B308="","Start Date; ","")&amp;IF('Game Records'!$C308="","End Date; ","")&amp;IF(AND('Game Records'!$U308&lt;&gt;"Subscription",'Game Records'!$U308&lt;&gt;"Free Game",'Game Records'!$U308&lt;&gt;"Disqualified — Free Game",OR('Game Records'!$D308="",LOWER('Game Records'!$D308&amp;"")="n/a")),"Entry Mode; ","")&amp;IF(AND('Game Records'!$U308&lt;&gt;"Subscription",'Game Records'!$U308&lt;&gt;"Free Game",'Game Records'!$U308&lt;&gt;"Disqualified — Free Game",OR('Game Records'!$E308="",LOWER('Game Records'!$E308&amp;"")="n/a")),"Game Type; ","")&amp;IF('Game Records'!$F308="","Payment Type; ","")&amp;IF(AND('Game Records'!$U308&lt;&gt;"Subscription",'Game Records'!$U308&lt;&gt;"Free Game",'Game Records'!$U308&lt;&gt;"Disqualified — Free Game",'Game Records'!$G308=""),"Gross Pot; ","")&amp;IF(AND('Game Records'!$U308&lt;&gt;"Free Game",'Game Records'!$U308&lt;&gt;"Disqualified — Free Game",'Game Records'!$H308=""),"Entry Fee; ","")&amp;IF(AND('Game Records'!$U308&lt;&gt;"Subscription",'Game Records'!$U308&lt;&gt;"Free Game",'Game Records'!$U308&lt;&gt;"Disqualified — Free Game",'Game Records'!$I308=""),"Eligible Players; ","")&amp;IF(AND('Game Records'!$U308&lt;&gt;"Subscription",'Game Records'!$U308&lt;&gt;"Free Game",'Game Records'!$U308&lt;&gt;"Disqualified — Free Game",'Game Records'!$J308=""),"Total Players; ","")&amp;IF(AND(LOWER('Game Records'!$D308&amp;"")="finalized",LOWER('Game Records'!$L308&amp;"")&lt;&gt;"yes",'Game Records'!$U308&lt;&gt;"Subscription",'Game Records'!$U308&lt;&gt;"Free Game",'Game Records'!$U308&lt;&gt;"Disqualified — Free Game",'Game Records'!$K308=""),"Final Earned; ","")&amp;IF(AND(LOWER('Game Records'!$D308&amp;"")="finalized",'Game Records'!$U308&lt;&gt;"Subscription",'Game Records'!$U308&lt;&gt;"Free Game",'Game Records'!$U308&lt;&gt;"Disqualified — Free Game",OR('Game Records'!$L308="",LOWER('Game Records'!$L308&amp;"")="n/a")),"Disqualified Status; ",""))</x:f>
      </x:c>
      <x:c r="G308" s="331" t="str">
        <x:f>IF($A308="","",IFERROR('Game Records'!$M308,""))</x:f>
      </x:c>
    </x:row>
    <x:row r="309">
      <x:c r="A309" s="332" t="str">
        <x:f>IF(OR(COUNTA('Game Records'!$A309:$M309)=0,'Game Records'!$F309="Subscription"),"",IFERROR(MAX($A$4:A308),0)+1)</x:f>
      </x:c>
      <x:c r="B309" s="332" t="str">
        <x:f>IF($A309="","","G-"&amp;TEXT(ROW('Game Records'!$A309)-4,"0000"))</x:f>
      </x:c>
      <x:c r="C309" s="331" t="str">
        <x:f>IF($A309="","",IFERROR('Game Records'!$A309,""))</x:f>
      </x:c>
      <x:c r="D309" s="331" t="str">
        <x:f>IF($A309="","",IFERROR('Game Records'!$U309,""))</x:f>
      </x:c>
      <x:c r="E309" s="331" t="str">
        <x:f>IF($A309="","",IF($F309="","No Highlighted Fields","Highlighted Fields Present"))</x:f>
      </x:c>
      <x:c r="F309" s="331" t="str">
        <x:f>IF($A309="","",IF('Game Records'!$B309="","Start Date; ","")&amp;IF('Game Records'!$C309="","End Date; ","")&amp;IF(AND('Game Records'!$U309&lt;&gt;"Subscription",'Game Records'!$U309&lt;&gt;"Free Game",'Game Records'!$U309&lt;&gt;"Disqualified — Free Game",OR('Game Records'!$D309="",LOWER('Game Records'!$D309&amp;"")="n/a")),"Entry Mode; ","")&amp;IF(AND('Game Records'!$U309&lt;&gt;"Subscription",'Game Records'!$U309&lt;&gt;"Free Game",'Game Records'!$U309&lt;&gt;"Disqualified — Free Game",OR('Game Records'!$E309="",LOWER('Game Records'!$E309&amp;"")="n/a")),"Game Type; ","")&amp;IF('Game Records'!$F309="","Payment Type; ","")&amp;IF(AND('Game Records'!$U309&lt;&gt;"Subscription",'Game Records'!$U309&lt;&gt;"Free Game",'Game Records'!$U309&lt;&gt;"Disqualified — Free Game",'Game Records'!$G309=""),"Gross Pot; ","")&amp;IF(AND('Game Records'!$U309&lt;&gt;"Free Game",'Game Records'!$U309&lt;&gt;"Disqualified — Free Game",'Game Records'!$H309=""),"Entry Fee; ","")&amp;IF(AND('Game Records'!$U309&lt;&gt;"Subscription",'Game Records'!$U309&lt;&gt;"Free Game",'Game Records'!$U309&lt;&gt;"Disqualified — Free Game",'Game Records'!$I309=""),"Eligible Players; ","")&amp;IF(AND('Game Records'!$U309&lt;&gt;"Subscription",'Game Records'!$U309&lt;&gt;"Free Game",'Game Records'!$U309&lt;&gt;"Disqualified — Free Game",'Game Records'!$J309=""),"Total Players; ","")&amp;IF(AND(LOWER('Game Records'!$D309&amp;"")="finalized",LOWER('Game Records'!$L309&amp;"")&lt;&gt;"yes",'Game Records'!$U309&lt;&gt;"Subscription",'Game Records'!$U309&lt;&gt;"Free Game",'Game Records'!$U309&lt;&gt;"Disqualified — Free Game",'Game Records'!$K309=""),"Final Earned; ","")&amp;IF(AND(LOWER('Game Records'!$D309&amp;"")="finalized",'Game Records'!$U309&lt;&gt;"Subscription",'Game Records'!$U309&lt;&gt;"Free Game",'Game Records'!$U309&lt;&gt;"Disqualified — Free Game",OR('Game Records'!$L309="",LOWER('Game Records'!$L309&amp;"")="n/a")),"Disqualified Status; ",""))</x:f>
      </x:c>
      <x:c r="G309" s="331" t="str">
        <x:f>IF($A309="","",IFERROR('Game Records'!$M309,""))</x:f>
      </x:c>
    </x:row>
    <x:row r="310">
      <x:c r="A310" s="332" t="str">
        <x:f>IF(OR(COUNTA('Game Records'!$A310:$M310)=0,'Game Records'!$F310="Subscription"),"",IFERROR(MAX($A$4:A309),0)+1)</x:f>
      </x:c>
      <x:c r="B310" s="332" t="str">
        <x:f>IF($A310="","","G-"&amp;TEXT(ROW('Game Records'!$A310)-4,"0000"))</x:f>
      </x:c>
      <x:c r="C310" s="331" t="str">
        <x:f>IF($A310="","",IFERROR('Game Records'!$A310,""))</x:f>
      </x:c>
      <x:c r="D310" s="331" t="str">
        <x:f>IF($A310="","",IFERROR('Game Records'!$U310,""))</x:f>
      </x:c>
      <x:c r="E310" s="331" t="str">
        <x:f>IF($A310="","",IF($F310="","No Highlighted Fields","Highlighted Fields Present"))</x:f>
      </x:c>
      <x:c r="F310" s="331" t="str">
        <x:f>IF($A310="","",IF('Game Records'!$B310="","Start Date; ","")&amp;IF('Game Records'!$C310="","End Date; ","")&amp;IF(AND('Game Records'!$U310&lt;&gt;"Subscription",'Game Records'!$U310&lt;&gt;"Free Game",'Game Records'!$U310&lt;&gt;"Disqualified — Free Game",OR('Game Records'!$D310="",LOWER('Game Records'!$D310&amp;"")="n/a")),"Entry Mode; ","")&amp;IF(AND('Game Records'!$U310&lt;&gt;"Subscription",'Game Records'!$U310&lt;&gt;"Free Game",'Game Records'!$U310&lt;&gt;"Disqualified — Free Game",OR('Game Records'!$E310="",LOWER('Game Records'!$E310&amp;"")="n/a")),"Game Type; ","")&amp;IF('Game Records'!$F310="","Payment Type; ","")&amp;IF(AND('Game Records'!$U310&lt;&gt;"Subscription",'Game Records'!$U310&lt;&gt;"Free Game",'Game Records'!$U310&lt;&gt;"Disqualified — Free Game",'Game Records'!$G310=""),"Gross Pot; ","")&amp;IF(AND('Game Records'!$U310&lt;&gt;"Free Game",'Game Records'!$U310&lt;&gt;"Disqualified — Free Game",'Game Records'!$H310=""),"Entry Fee; ","")&amp;IF(AND('Game Records'!$U310&lt;&gt;"Subscription",'Game Records'!$U310&lt;&gt;"Free Game",'Game Records'!$U310&lt;&gt;"Disqualified — Free Game",'Game Records'!$I310=""),"Eligible Players; ","")&amp;IF(AND('Game Records'!$U310&lt;&gt;"Subscription",'Game Records'!$U310&lt;&gt;"Free Game",'Game Records'!$U310&lt;&gt;"Disqualified — Free Game",'Game Records'!$J310=""),"Total Players; ","")&amp;IF(AND(LOWER('Game Records'!$D310&amp;"")="finalized",LOWER('Game Records'!$L310&amp;"")&lt;&gt;"yes",'Game Records'!$U310&lt;&gt;"Subscription",'Game Records'!$U310&lt;&gt;"Free Game",'Game Records'!$U310&lt;&gt;"Disqualified — Free Game",'Game Records'!$K310=""),"Final Earned; ","")&amp;IF(AND(LOWER('Game Records'!$D310&amp;"")="finalized",'Game Records'!$U310&lt;&gt;"Subscription",'Game Records'!$U310&lt;&gt;"Free Game",'Game Records'!$U310&lt;&gt;"Disqualified — Free Game",OR('Game Records'!$L310="",LOWER('Game Records'!$L310&amp;"")="n/a")),"Disqualified Status; ",""))</x:f>
      </x:c>
      <x:c r="G310" s="331" t="str">
        <x:f>IF($A310="","",IFERROR('Game Records'!$M310,""))</x:f>
      </x:c>
    </x:row>
    <x:row r="311">
      <x:c r="A311" s="332" t="str">
        <x:f>IF(OR(COUNTA('Game Records'!$A311:$M311)=0,'Game Records'!$F311="Subscription"),"",IFERROR(MAX($A$4:A310),0)+1)</x:f>
      </x:c>
      <x:c r="B311" s="332" t="str">
        <x:f>IF($A311="","","G-"&amp;TEXT(ROW('Game Records'!$A311)-4,"0000"))</x:f>
      </x:c>
      <x:c r="C311" s="331" t="str">
        <x:f>IF($A311="","",IFERROR('Game Records'!$A311,""))</x:f>
      </x:c>
      <x:c r="D311" s="331" t="str">
        <x:f>IF($A311="","",IFERROR('Game Records'!$U311,""))</x:f>
      </x:c>
      <x:c r="E311" s="331" t="str">
        <x:f>IF($A311="","",IF($F311="","No Highlighted Fields","Highlighted Fields Present"))</x:f>
      </x:c>
      <x:c r="F311" s="331" t="str">
        <x:f>IF($A311="","",IF('Game Records'!$B311="","Start Date; ","")&amp;IF('Game Records'!$C311="","End Date; ","")&amp;IF(AND('Game Records'!$U311&lt;&gt;"Subscription",'Game Records'!$U311&lt;&gt;"Free Game",'Game Records'!$U311&lt;&gt;"Disqualified — Free Game",OR('Game Records'!$D311="",LOWER('Game Records'!$D311&amp;"")="n/a")),"Entry Mode; ","")&amp;IF(AND('Game Records'!$U311&lt;&gt;"Subscription",'Game Records'!$U311&lt;&gt;"Free Game",'Game Records'!$U311&lt;&gt;"Disqualified — Free Game",OR('Game Records'!$E311="",LOWER('Game Records'!$E311&amp;"")="n/a")),"Game Type; ","")&amp;IF('Game Records'!$F311="","Payment Type; ","")&amp;IF(AND('Game Records'!$U311&lt;&gt;"Subscription",'Game Records'!$U311&lt;&gt;"Free Game",'Game Records'!$U311&lt;&gt;"Disqualified — Free Game",'Game Records'!$G311=""),"Gross Pot; ","")&amp;IF(AND('Game Records'!$U311&lt;&gt;"Free Game",'Game Records'!$U311&lt;&gt;"Disqualified — Free Game",'Game Records'!$H311=""),"Entry Fee; ","")&amp;IF(AND('Game Records'!$U311&lt;&gt;"Subscription",'Game Records'!$U311&lt;&gt;"Free Game",'Game Records'!$U311&lt;&gt;"Disqualified — Free Game",'Game Records'!$I311=""),"Eligible Players; ","")&amp;IF(AND('Game Records'!$U311&lt;&gt;"Subscription",'Game Records'!$U311&lt;&gt;"Free Game",'Game Records'!$U311&lt;&gt;"Disqualified — Free Game",'Game Records'!$J311=""),"Total Players; ","")&amp;IF(AND(LOWER('Game Records'!$D311&amp;"")="finalized",LOWER('Game Records'!$L311&amp;"")&lt;&gt;"yes",'Game Records'!$U311&lt;&gt;"Subscription",'Game Records'!$U311&lt;&gt;"Free Game",'Game Records'!$U311&lt;&gt;"Disqualified — Free Game",'Game Records'!$K311=""),"Final Earned; ","")&amp;IF(AND(LOWER('Game Records'!$D311&amp;"")="finalized",'Game Records'!$U311&lt;&gt;"Subscription",'Game Records'!$U311&lt;&gt;"Free Game",'Game Records'!$U311&lt;&gt;"Disqualified — Free Game",OR('Game Records'!$L311="",LOWER('Game Records'!$L311&amp;"")="n/a")),"Disqualified Status; ",""))</x:f>
      </x:c>
      <x:c r="G311" s="331" t="str">
        <x:f>IF($A311="","",IFERROR('Game Records'!$M311,""))</x:f>
      </x:c>
    </x:row>
    <x:row r="312">
      <x:c r="A312" s="332" t="str">
        <x:f>IF(OR(COUNTA('Game Records'!$A312:$M312)=0,'Game Records'!$F312="Subscription"),"",IFERROR(MAX($A$4:A311),0)+1)</x:f>
      </x:c>
      <x:c r="B312" s="332" t="str">
        <x:f>IF($A312="","","G-"&amp;TEXT(ROW('Game Records'!$A312)-4,"0000"))</x:f>
      </x:c>
      <x:c r="C312" s="331" t="str">
        <x:f>IF($A312="","",IFERROR('Game Records'!$A312,""))</x:f>
      </x:c>
      <x:c r="D312" s="331" t="str">
        <x:f>IF($A312="","",IFERROR('Game Records'!$U312,""))</x:f>
      </x:c>
      <x:c r="E312" s="331" t="str">
        <x:f>IF($A312="","",IF($F312="","No Highlighted Fields","Highlighted Fields Present"))</x:f>
      </x:c>
      <x:c r="F312" s="331" t="str">
        <x:f>IF($A312="","",IF('Game Records'!$B312="","Start Date; ","")&amp;IF('Game Records'!$C312="","End Date; ","")&amp;IF(AND('Game Records'!$U312&lt;&gt;"Subscription",'Game Records'!$U312&lt;&gt;"Free Game",'Game Records'!$U312&lt;&gt;"Disqualified — Free Game",OR('Game Records'!$D312="",LOWER('Game Records'!$D312&amp;"")="n/a")),"Entry Mode; ","")&amp;IF(AND('Game Records'!$U312&lt;&gt;"Subscription",'Game Records'!$U312&lt;&gt;"Free Game",'Game Records'!$U312&lt;&gt;"Disqualified — Free Game",OR('Game Records'!$E312="",LOWER('Game Records'!$E312&amp;"")="n/a")),"Game Type; ","")&amp;IF('Game Records'!$F312="","Payment Type; ","")&amp;IF(AND('Game Records'!$U312&lt;&gt;"Subscription",'Game Records'!$U312&lt;&gt;"Free Game",'Game Records'!$U312&lt;&gt;"Disqualified — Free Game",'Game Records'!$G312=""),"Gross Pot; ","")&amp;IF(AND('Game Records'!$U312&lt;&gt;"Free Game",'Game Records'!$U312&lt;&gt;"Disqualified — Free Game",'Game Records'!$H312=""),"Entry Fee; ","")&amp;IF(AND('Game Records'!$U312&lt;&gt;"Subscription",'Game Records'!$U312&lt;&gt;"Free Game",'Game Records'!$U312&lt;&gt;"Disqualified — Free Game",'Game Records'!$I312=""),"Eligible Players; ","")&amp;IF(AND('Game Records'!$U312&lt;&gt;"Subscription",'Game Records'!$U312&lt;&gt;"Free Game",'Game Records'!$U312&lt;&gt;"Disqualified — Free Game",'Game Records'!$J312=""),"Total Players; ","")&amp;IF(AND(LOWER('Game Records'!$D312&amp;"")="finalized",LOWER('Game Records'!$L312&amp;"")&lt;&gt;"yes",'Game Records'!$U312&lt;&gt;"Subscription",'Game Records'!$U312&lt;&gt;"Free Game",'Game Records'!$U312&lt;&gt;"Disqualified — Free Game",'Game Records'!$K312=""),"Final Earned; ","")&amp;IF(AND(LOWER('Game Records'!$D312&amp;"")="finalized",'Game Records'!$U312&lt;&gt;"Subscription",'Game Records'!$U312&lt;&gt;"Free Game",'Game Records'!$U312&lt;&gt;"Disqualified — Free Game",OR('Game Records'!$L312="",LOWER('Game Records'!$L312&amp;"")="n/a")),"Disqualified Status; ",""))</x:f>
      </x:c>
      <x:c r="G312" s="331" t="str">
        <x:f>IF($A312="","",IFERROR('Game Records'!$M312,""))</x:f>
      </x:c>
    </x:row>
    <x:row r="313">
      <x:c r="A313" s="332" t="str">
        <x:f>IF(OR(COUNTA('Game Records'!$A313:$M313)=0,'Game Records'!$F313="Subscription"),"",IFERROR(MAX($A$4:A312),0)+1)</x:f>
      </x:c>
      <x:c r="B313" s="332" t="str">
        <x:f>IF($A313="","","G-"&amp;TEXT(ROW('Game Records'!$A313)-4,"0000"))</x:f>
      </x:c>
      <x:c r="C313" s="331" t="str">
        <x:f>IF($A313="","",IFERROR('Game Records'!$A313,""))</x:f>
      </x:c>
      <x:c r="D313" s="331" t="str">
        <x:f>IF($A313="","",IFERROR('Game Records'!$U313,""))</x:f>
      </x:c>
      <x:c r="E313" s="331" t="str">
        <x:f>IF($A313="","",IF($F313="","No Highlighted Fields","Highlighted Fields Present"))</x:f>
      </x:c>
      <x:c r="F313" s="331" t="str">
        <x:f>IF($A313="","",IF('Game Records'!$B313="","Start Date; ","")&amp;IF('Game Records'!$C313="","End Date; ","")&amp;IF(AND('Game Records'!$U313&lt;&gt;"Subscription",'Game Records'!$U313&lt;&gt;"Free Game",'Game Records'!$U313&lt;&gt;"Disqualified — Free Game",OR('Game Records'!$D313="",LOWER('Game Records'!$D313&amp;"")="n/a")),"Entry Mode; ","")&amp;IF(AND('Game Records'!$U313&lt;&gt;"Subscription",'Game Records'!$U313&lt;&gt;"Free Game",'Game Records'!$U313&lt;&gt;"Disqualified — Free Game",OR('Game Records'!$E313="",LOWER('Game Records'!$E313&amp;"")="n/a")),"Game Type; ","")&amp;IF('Game Records'!$F313="","Payment Type; ","")&amp;IF(AND('Game Records'!$U313&lt;&gt;"Subscription",'Game Records'!$U313&lt;&gt;"Free Game",'Game Records'!$U313&lt;&gt;"Disqualified — Free Game",'Game Records'!$G313=""),"Gross Pot; ","")&amp;IF(AND('Game Records'!$U313&lt;&gt;"Free Game",'Game Records'!$U313&lt;&gt;"Disqualified — Free Game",'Game Records'!$H313=""),"Entry Fee; ","")&amp;IF(AND('Game Records'!$U313&lt;&gt;"Subscription",'Game Records'!$U313&lt;&gt;"Free Game",'Game Records'!$U313&lt;&gt;"Disqualified — Free Game",'Game Records'!$I313=""),"Eligible Players; ","")&amp;IF(AND('Game Records'!$U313&lt;&gt;"Subscription",'Game Records'!$U313&lt;&gt;"Free Game",'Game Records'!$U313&lt;&gt;"Disqualified — Free Game",'Game Records'!$J313=""),"Total Players; ","")&amp;IF(AND(LOWER('Game Records'!$D313&amp;"")="finalized",LOWER('Game Records'!$L313&amp;"")&lt;&gt;"yes",'Game Records'!$U313&lt;&gt;"Subscription",'Game Records'!$U313&lt;&gt;"Free Game",'Game Records'!$U313&lt;&gt;"Disqualified — Free Game",'Game Records'!$K313=""),"Final Earned; ","")&amp;IF(AND(LOWER('Game Records'!$D313&amp;"")="finalized",'Game Records'!$U313&lt;&gt;"Subscription",'Game Records'!$U313&lt;&gt;"Free Game",'Game Records'!$U313&lt;&gt;"Disqualified — Free Game",OR('Game Records'!$L313="",LOWER('Game Records'!$L313&amp;"")="n/a")),"Disqualified Status; ",""))</x:f>
      </x:c>
      <x:c r="G313" s="331" t="str">
        <x:f>IF($A313="","",IFERROR('Game Records'!$M313,""))</x:f>
      </x:c>
    </x:row>
    <x:row r="314">
      <x:c r="A314" s="332" t="str">
        <x:f>IF(OR(COUNTA('Game Records'!$A314:$M314)=0,'Game Records'!$F314="Subscription"),"",IFERROR(MAX($A$4:A313),0)+1)</x:f>
      </x:c>
      <x:c r="B314" s="332" t="str">
        <x:f>IF($A314="","","G-"&amp;TEXT(ROW('Game Records'!$A314)-4,"0000"))</x:f>
      </x:c>
      <x:c r="C314" s="331" t="str">
        <x:f>IF($A314="","",IFERROR('Game Records'!$A314,""))</x:f>
      </x:c>
      <x:c r="D314" s="331" t="str">
        <x:f>IF($A314="","",IFERROR('Game Records'!$U314,""))</x:f>
      </x:c>
      <x:c r="E314" s="331" t="str">
        <x:f>IF($A314="","",IF($F314="","No Highlighted Fields","Highlighted Fields Present"))</x:f>
      </x:c>
      <x:c r="F314" s="331" t="str">
        <x:f>IF($A314="","",IF('Game Records'!$B314="","Start Date; ","")&amp;IF('Game Records'!$C314="","End Date; ","")&amp;IF(AND('Game Records'!$U314&lt;&gt;"Subscription",'Game Records'!$U314&lt;&gt;"Free Game",'Game Records'!$U314&lt;&gt;"Disqualified — Free Game",OR('Game Records'!$D314="",LOWER('Game Records'!$D314&amp;"")="n/a")),"Entry Mode; ","")&amp;IF(AND('Game Records'!$U314&lt;&gt;"Subscription",'Game Records'!$U314&lt;&gt;"Free Game",'Game Records'!$U314&lt;&gt;"Disqualified — Free Game",OR('Game Records'!$E314="",LOWER('Game Records'!$E314&amp;"")="n/a")),"Game Type; ","")&amp;IF('Game Records'!$F314="","Payment Type; ","")&amp;IF(AND('Game Records'!$U314&lt;&gt;"Subscription",'Game Records'!$U314&lt;&gt;"Free Game",'Game Records'!$U314&lt;&gt;"Disqualified — Free Game",'Game Records'!$G314=""),"Gross Pot; ","")&amp;IF(AND('Game Records'!$U314&lt;&gt;"Free Game",'Game Records'!$U314&lt;&gt;"Disqualified — Free Game",'Game Records'!$H314=""),"Entry Fee; ","")&amp;IF(AND('Game Records'!$U314&lt;&gt;"Subscription",'Game Records'!$U314&lt;&gt;"Free Game",'Game Records'!$U314&lt;&gt;"Disqualified — Free Game",'Game Records'!$I314=""),"Eligible Players; ","")&amp;IF(AND('Game Records'!$U314&lt;&gt;"Subscription",'Game Records'!$U314&lt;&gt;"Free Game",'Game Records'!$U314&lt;&gt;"Disqualified — Free Game",'Game Records'!$J314=""),"Total Players; ","")&amp;IF(AND(LOWER('Game Records'!$D314&amp;"")="finalized",LOWER('Game Records'!$L314&amp;"")&lt;&gt;"yes",'Game Records'!$U314&lt;&gt;"Subscription",'Game Records'!$U314&lt;&gt;"Free Game",'Game Records'!$U314&lt;&gt;"Disqualified — Free Game",'Game Records'!$K314=""),"Final Earned; ","")&amp;IF(AND(LOWER('Game Records'!$D314&amp;"")="finalized",'Game Records'!$U314&lt;&gt;"Subscription",'Game Records'!$U314&lt;&gt;"Free Game",'Game Records'!$U314&lt;&gt;"Disqualified — Free Game",OR('Game Records'!$L314="",LOWER('Game Records'!$L314&amp;"")="n/a")),"Disqualified Status; ",""))</x:f>
      </x:c>
      <x:c r="G314" s="331" t="str">
        <x:f>IF($A314="","",IFERROR('Game Records'!$M314,""))</x:f>
      </x:c>
    </x:row>
    <x:row r="315">
      <x:c r="A315" s="332" t="str">
        <x:f>IF(OR(COUNTA('Game Records'!$A315:$M315)=0,'Game Records'!$F315="Subscription"),"",IFERROR(MAX($A$4:A314),0)+1)</x:f>
      </x:c>
      <x:c r="B315" s="332" t="str">
        <x:f>IF($A315="","","G-"&amp;TEXT(ROW('Game Records'!$A315)-4,"0000"))</x:f>
      </x:c>
      <x:c r="C315" s="331" t="str">
        <x:f>IF($A315="","",IFERROR('Game Records'!$A315,""))</x:f>
      </x:c>
      <x:c r="D315" s="331" t="str">
        <x:f>IF($A315="","",IFERROR('Game Records'!$U315,""))</x:f>
      </x:c>
      <x:c r="E315" s="331" t="str">
        <x:f>IF($A315="","",IF($F315="","No Highlighted Fields","Highlighted Fields Present"))</x:f>
      </x:c>
      <x:c r="F315" s="331" t="str">
        <x:f>IF($A315="","",IF('Game Records'!$B315="","Start Date; ","")&amp;IF('Game Records'!$C315="","End Date; ","")&amp;IF(AND('Game Records'!$U315&lt;&gt;"Subscription",'Game Records'!$U315&lt;&gt;"Free Game",'Game Records'!$U315&lt;&gt;"Disqualified — Free Game",OR('Game Records'!$D315="",LOWER('Game Records'!$D315&amp;"")="n/a")),"Entry Mode; ","")&amp;IF(AND('Game Records'!$U315&lt;&gt;"Subscription",'Game Records'!$U315&lt;&gt;"Free Game",'Game Records'!$U315&lt;&gt;"Disqualified — Free Game",OR('Game Records'!$E315="",LOWER('Game Records'!$E315&amp;"")="n/a")),"Game Type; ","")&amp;IF('Game Records'!$F315="","Payment Type; ","")&amp;IF(AND('Game Records'!$U315&lt;&gt;"Subscription",'Game Records'!$U315&lt;&gt;"Free Game",'Game Records'!$U315&lt;&gt;"Disqualified — Free Game",'Game Records'!$G315=""),"Gross Pot; ","")&amp;IF(AND('Game Records'!$U315&lt;&gt;"Free Game",'Game Records'!$U315&lt;&gt;"Disqualified — Free Game",'Game Records'!$H315=""),"Entry Fee; ","")&amp;IF(AND('Game Records'!$U315&lt;&gt;"Subscription",'Game Records'!$U315&lt;&gt;"Free Game",'Game Records'!$U315&lt;&gt;"Disqualified — Free Game",'Game Records'!$I315=""),"Eligible Players; ","")&amp;IF(AND('Game Records'!$U315&lt;&gt;"Subscription",'Game Records'!$U315&lt;&gt;"Free Game",'Game Records'!$U315&lt;&gt;"Disqualified — Free Game",'Game Records'!$J315=""),"Total Players; ","")&amp;IF(AND(LOWER('Game Records'!$D315&amp;"")="finalized",LOWER('Game Records'!$L315&amp;"")&lt;&gt;"yes",'Game Records'!$U315&lt;&gt;"Subscription",'Game Records'!$U315&lt;&gt;"Free Game",'Game Records'!$U315&lt;&gt;"Disqualified — Free Game",'Game Records'!$K315=""),"Final Earned; ","")&amp;IF(AND(LOWER('Game Records'!$D315&amp;"")="finalized",'Game Records'!$U315&lt;&gt;"Subscription",'Game Records'!$U315&lt;&gt;"Free Game",'Game Records'!$U315&lt;&gt;"Disqualified — Free Game",OR('Game Records'!$L315="",LOWER('Game Records'!$L315&amp;"")="n/a")),"Disqualified Status; ",""))</x:f>
      </x:c>
      <x:c r="G315" s="331" t="str">
        <x:f>IF($A315="","",IFERROR('Game Records'!$M315,""))</x:f>
      </x:c>
    </x:row>
    <x:row r="316">
      <x:c r="A316" s="332" t="str">
        <x:f>IF(OR(COUNTA('Game Records'!$A316:$M316)=0,'Game Records'!$F316="Subscription"),"",IFERROR(MAX($A$4:A315),0)+1)</x:f>
      </x:c>
      <x:c r="B316" s="332" t="str">
        <x:f>IF($A316="","","G-"&amp;TEXT(ROW('Game Records'!$A316)-4,"0000"))</x:f>
      </x:c>
      <x:c r="C316" s="331" t="str">
        <x:f>IF($A316="","",IFERROR('Game Records'!$A316,""))</x:f>
      </x:c>
      <x:c r="D316" s="331" t="str">
        <x:f>IF($A316="","",IFERROR('Game Records'!$U316,""))</x:f>
      </x:c>
      <x:c r="E316" s="331" t="str">
        <x:f>IF($A316="","",IF($F316="","No Highlighted Fields","Highlighted Fields Present"))</x:f>
      </x:c>
      <x:c r="F316" s="331" t="str">
        <x:f>IF($A316="","",IF('Game Records'!$B316="","Start Date; ","")&amp;IF('Game Records'!$C316="","End Date; ","")&amp;IF(AND('Game Records'!$U316&lt;&gt;"Subscription",'Game Records'!$U316&lt;&gt;"Free Game",'Game Records'!$U316&lt;&gt;"Disqualified — Free Game",OR('Game Records'!$D316="",LOWER('Game Records'!$D316&amp;"")="n/a")),"Entry Mode; ","")&amp;IF(AND('Game Records'!$U316&lt;&gt;"Subscription",'Game Records'!$U316&lt;&gt;"Free Game",'Game Records'!$U316&lt;&gt;"Disqualified — Free Game",OR('Game Records'!$E316="",LOWER('Game Records'!$E316&amp;"")="n/a")),"Game Type; ","")&amp;IF('Game Records'!$F316="","Payment Type; ","")&amp;IF(AND('Game Records'!$U316&lt;&gt;"Subscription",'Game Records'!$U316&lt;&gt;"Free Game",'Game Records'!$U316&lt;&gt;"Disqualified — Free Game",'Game Records'!$G316=""),"Gross Pot; ","")&amp;IF(AND('Game Records'!$U316&lt;&gt;"Free Game",'Game Records'!$U316&lt;&gt;"Disqualified — Free Game",'Game Records'!$H316=""),"Entry Fee; ","")&amp;IF(AND('Game Records'!$U316&lt;&gt;"Subscription",'Game Records'!$U316&lt;&gt;"Free Game",'Game Records'!$U316&lt;&gt;"Disqualified — Free Game",'Game Records'!$I316=""),"Eligible Players; ","")&amp;IF(AND('Game Records'!$U316&lt;&gt;"Subscription",'Game Records'!$U316&lt;&gt;"Free Game",'Game Records'!$U316&lt;&gt;"Disqualified — Free Game",'Game Records'!$J316=""),"Total Players; ","")&amp;IF(AND(LOWER('Game Records'!$D316&amp;"")="finalized",LOWER('Game Records'!$L316&amp;"")&lt;&gt;"yes",'Game Records'!$U316&lt;&gt;"Subscription",'Game Records'!$U316&lt;&gt;"Free Game",'Game Records'!$U316&lt;&gt;"Disqualified — Free Game",'Game Records'!$K316=""),"Final Earned; ","")&amp;IF(AND(LOWER('Game Records'!$D316&amp;"")="finalized",'Game Records'!$U316&lt;&gt;"Subscription",'Game Records'!$U316&lt;&gt;"Free Game",'Game Records'!$U316&lt;&gt;"Disqualified — Free Game",OR('Game Records'!$L316="",LOWER('Game Records'!$L316&amp;"")="n/a")),"Disqualified Status; ",""))</x:f>
      </x:c>
      <x:c r="G316" s="331" t="str">
        <x:f>IF($A316="","",IFERROR('Game Records'!$M316,""))</x:f>
      </x:c>
    </x:row>
    <x:row r="317">
      <x:c r="A317" s="332" t="str">
        <x:f>IF(OR(COUNTA('Game Records'!$A317:$M317)=0,'Game Records'!$F317="Subscription"),"",IFERROR(MAX($A$4:A316),0)+1)</x:f>
      </x:c>
      <x:c r="B317" s="332" t="str">
        <x:f>IF($A317="","","G-"&amp;TEXT(ROW('Game Records'!$A317)-4,"0000"))</x:f>
      </x:c>
      <x:c r="C317" s="331" t="str">
        <x:f>IF($A317="","",IFERROR('Game Records'!$A317,""))</x:f>
      </x:c>
      <x:c r="D317" s="331" t="str">
        <x:f>IF($A317="","",IFERROR('Game Records'!$U317,""))</x:f>
      </x:c>
      <x:c r="E317" s="331" t="str">
        <x:f>IF($A317="","",IF($F317="","No Highlighted Fields","Highlighted Fields Present"))</x:f>
      </x:c>
      <x:c r="F317" s="331" t="str">
        <x:f>IF($A317="","",IF('Game Records'!$B317="","Start Date; ","")&amp;IF('Game Records'!$C317="","End Date; ","")&amp;IF(AND('Game Records'!$U317&lt;&gt;"Subscription",'Game Records'!$U317&lt;&gt;"Free Game",'Game Records'!$U317&lt;&gt;"Disqualified — Free Game",OR('Game Records'!$D317="",LOWER('Game Records'!$D317&amp;"")="n/a")),"Entry Mode; ","")&amp;IF(AND('Game Records'!$U317&lt;&gt;"Subscription",'Game Records'!$U317&lt;&gt;"Free Game",'Game Records'!$U317&lt;&gt;"Disqualified — Free Game",OR('Game Records'!$E317="",LOWER('Game Records'!$E317&amp;"")="n/a")),"Game Type; ","")&amp;IF('Game Records'!$F317="","Payment Type; ","")&amp;IF(AND('Game Records'!$U317&lt;&gt;"Subscription",'Game Records'!$U317&lt;&gt;"Free Game",'Game Records'!$U317&lt;&gt;"Disqualified — Free Game",'Game Records'!$G317=""),"Gross Pot; ","")&amp;IF(AND('Game Records'!$U317&lt;&gt;"Free Game",'Game Records'!$U317&lt;&gt;"Disqualified — Free Game",'Game Records'!$H317=""),"Entry Fee; ","")&amp;IF(AND('Game Records'!$U317&lt;&gt;"Subscription",'Game Records'!$U317&lt;&gt;"Free Game",'Game Records'!$U317&lt;&gt;"Disqualified — Free Game",'Game Records'!$I317=""),"Eligible Players; ","")&amp;IF(AND('Game Records'!$U317&lt;&gt;"Subscription",'Game Records'!$U317&lt;&gt;"Free Game",'Game Records'!$U317&lt;&gt;"Disqualified — Free Game",'Game Records'!$J317=""),"Total Players; ","")&amp;IF(AND(LOWER('Game Records'!$D317&amp;"")="finalized",LOWER('Game Records'!$L317&amp;"")&lt;&gt;"yes",'Game Records'!$U317&lt;&gt;"Subscription",'Game Records'!$U317&lt;&gt;"Free Game",'Game Records'!$U317&lt;&gt;"Disqualified — Free Game",'Game Records'!$K317=""),"Final Earned; ","")&amp;IF(AND(LOWER('Game Records'!$D317&amp;"")="finalized",'Game Records'!$U317&lt;&gt;"Subscription",'Game Records'!$U317&lt;&gt;"Free Game",'Game Records'!$U317&lt;&gt;"Disqualified — Free Game",OR('Game Records'!$L317="",LOWER('Game Records'!$L317&amp;"")="n/a")),"Disqualified Status; ",""))</x:f>
      </x:c>
      <x:c r="G317" s="331" t="str">
        <x:f>IF($A317="","",IFERROR('Game Records'!$M317,""))</x:f>
      </x:c>
    </x:row>
    <x:row r="318">
      <x:c r="A318" s="332" t="str">
        <x:f>IF(OR(COUNTA('Game Records'!$A318:$M318)=0,'Game Records'!$F318="Subscription"),"",IFERROR(MAX($A$4:A317),0)+1)</x:f>
      </x:c>
      <x:c r="B318" s="332" t="str">
        <x:f>IF($A318="","","G-"&amp;TEXT(ROW('Game Records'!$A318)-4,"0000"))</x:f>
      </x:c>
      <x:c r="C318" s="331" t="str">
        <x:f>IF($A318="","",IFERROR('Game Records'!$A318,""))</x:f>
      </x:c>
      <x:c r="D318" s="331" t="str">
        <x:f>IF($A318="","",IFERROR('Game Records'!$U318,""))</x:f>
      </x:c>
      <x:c r="E318" s="331" t="str">
        <x:f>IF($A318="","",IF($F318="","No Highlighted Fields","Highlighted Fields Present"))</x:f>
      </x:c>
      <x:c r="F318" s="331" t="str">
        <x:f>IF($A318="","",IF('Game Records'!$B318="","Start Date; ","")&amp;IF('Game Records'!$C318="","End Date; ","")&amp;IF(AND('Game Records'!$U318&lt;&gt;"Subscription",'Game Records'!$U318&lt;&gt;"Free Game",'Game Records'!$U318&lt;&gt;"Disqualified — Free Game",OR('Game Records'!$D318="",LOWER('Game Records'!$D318&amp;"")="n/a")),"Entry Mode; ","")&amp;IF(AND('Game Records'!$U318&lt;&gt;"Subscription",'Game Records'!$U318&lt;&gt;"Free Game",'Game Records'!$U318&lt;&gt;"Disqualified — Free Game",OR('Game Records'!$E318="",LOWER('Game Records'!$E318&amp;"")="n/a")),"Game Type; ","")&amp;IF('Game Records'!$F318="","Payment Type; ","")&amp;IF(AND('Game Records'!$U318&lt;&gt;"Subscription",'Game Records'!$U318&lt;&gt;"Free Game",'Game Records'!$U318&lt;&gt;"Disqualified — Free Game",'Game Records'!$G318=""),"Gross Pot; ","")&amp;IF(AND('Game Records'!$U318&lt;&gt;"Free Game",'Game Records'!$U318&lt;&gt;"Disqualified — Free Game",'Game Records'!$H318=""),"Entry Fee; ","")&amp;IF(AND('Game Records'!$U318&lt;&gt;"Subscription",'Game Records'!$U318&lt;&gt;"Free Game",'Game Records'!$U318&lt;&gt;"Disqualified — Free Game",'Game Records'!$I318=""),"Eligible Players; ","")&amp;IF(AND('Game Records'!$U318&lt;&gt;"Subscription",'Game Records'!$U318&lt;&gt;"Free Game",'Game Records'!$U318&lt;&gt;"Disqualified — Free Game",'Game Records'!$J318=""),"Total Players; ","")&amp;IF(AND(LOWER('Game Records'!$D318&amp;"")="finalized",LOWER('Game Records'!$L318&amp;"")&lt;&gt;"yes",'Game Records'!$U318&lt;&gt;"Subscription",'Game Records'!$U318&lt;&gt;"Free Game",'Game Records'!$U318&lt;&gt;"Disqualified — Free Game",'Game Records'!$K318=""),"Final Earned; ","")&amp;IF(AND(LOWER('Game Records'!$D318&amp;"")="finalized",'Game Records'!$U318&lt;&gt;"Subscription",'Game Records'!$U318&lt;&gt;"Free Game",'Game Records'!$U318&lt;&gt;"Disqualified — Free Game",OR('Game Records'!$L318="",LOWER('Game Records'!$L318&amp;"")="n/a")),"Disqualified Status; ",""))</x:f>
      </x:c>
      <x:c r="G318" s="331" t="str">
        <x:f>IF($A318="","",IFERROR('Game Records'!$M318,""))</x:f>
      </x:c>
    </x:row>
    <x:row r="319">
      <x:c r="A319" s="332" t="str">
        <x:f>IF(OR(COUNTA('Game Records'!$A319:$M319)=0,'Game Records'!$F319="Subscription"),"",IFERROR(MAX($A$4:A318),0)+1)</x:f>
      </x:c>
      <x:c r="B319" s="332" t="str">
        <x:f>IF($A319="","","G-"&amp;TEXT(ROW('Game Records'!$A319)-4,"0000"))</x:f>
      </x:c>
      <x:c r="C319" s="331" t="str">
        <x:f>IF($A319="","",IFERROR('Game Records'!$A319,""))</x:f>
      </x:c>
      <x:c r="D319" s="331" t="str">
        <x:f>IF($A319="","",IFERROR('Game Records'!$U319,""))</x:f>
      </x:c>
      <x:c r="E319" s="331" t="str">
        <x:f>IF($A319="","",IF($F319="","No Highlighted Fields","Highlighted Fields Present"))</x:f>
      </x:c>
      <x:c r="F319" s="331" t="str">
        <x:f>IF($A319="","",IF('Game Records'!$B319="","Start Date; ","")&amp;IF('Game Records'!$C319="","End Date; ","")&amp;IF(AND('Game Records'!$U319&lt;&gt;"Subscription",'Game Records'!$U319&lt;&gt;"Free Game",'Game Records'!$U319&lt;&gt;"Disqualified — Free Game",OR('Game Records'!$D319="",LOWER('Game Records'!$D319&amp;"")="n/a")),"Entry Mode; ","")&amp;IF(AND('Game Records'!$U319&lt;&gt;"Subscription",'Game Records'!$U319&lt;&gt;"Free Game",'Game Records'!$U319&lt;&gt;"Disqualified — Free Game",OR('Game Records'!$E319="",LOWER('Game Records'!$E319&amp;"")="n/a")),"Game Type; ","")&amp;IF('Game Records'!$F319="","Payment Type; ","")&amp;IF(AND('Game Records'!$U319&lt;&gt;"Subscription",'Game Records'!$U319&lt;&gt;"Free Game",'Game Records'!$U319&lt;&gt;"Disqualified — Free Game",'Game Records'!$G319=""),"Gross Pot; ","")&amp;IF(AND('Game Records'!$U319&lt;&gt;"Free Game",'Game Records'!$U319&lt;&gt;"Disqualified — Free Game",'Game Records'!$H319=""),"Entry Fee; ","")&amp;IF(AND('Game Records'!$U319&lt;&gt;"Subscription",'Game Records'!$U319&lt;&gt;"Free Game",'Game Records'!$U319&lt;&gt;"Disqualified — Free Game",'Game Records'!$I319=""),"Eligible Players; ","")&amp;IF(AND('Game Records'!$U319&lt;&gt;"Subscription",'Game Records'!$U319&lt;&gt;"Free Game",'Game Records'!$U319&lt;&gt;"Disqualified — Free Game",'Game Records'!$J319=""),"Total Players; ","")&amp;IF(AND(LOWER('Game Records'!$D319&amp;"")="finalized",LOWER('Game Records'!$L319&amp;"")&lt;&gt;"yes",'Game Records'!$U319&lt;&gt;"Subscription",'Game Records'!$U319&lt;&gt;"Free Game",'Game Records'!$U319&lt;&gt;"Disqualified — Free Game",'Game Records'!$K319=""),"Final Earned; ","")&amp;IF(AND(LOWER('Game Records'!$D319&amp;"")="finalized",'Game Records'!$U319&lt;&gt;"Subscription",'Game Records'!$U319&lt;&gt;"Free Game",'Game Records'!$U319&lt;&gt;"Disqualified — Free Game",OR('Game Records'!$L319="",LOWER('Game Records'!$L319&amp;"")="n/a")),"Disqualified Status; ",""))</x:f>
      </x:c>
      <x:c r="G319" s="331" t="str">
        <x:f>IF($A319="","",IFERROR('Game Records'!$M319,""))</x:f>
      </x:c>
    </x:row>
    <x:row r="320">
      <x:c r="A320" s="332" t="str">
        <x:f>IF(OR(COUNTA('Game Records'!$A320:$M320)=0,'Game Records'!$F320="Subscription"),"",IFERROR(MAX($A$4:A319),0)+1)</x:f>
      </x:c>
      <x:c r="B320" s="332" t="str">
        <x:f>IF($A320="","","G-"&amp;TEXT(ROW('Game Records'!$A320)-4,"0000"))</x:f>
      </x:c>
      <x:c r="C320" s="331" t="str">
        <x:f>IF($A320="","",IFERROR('Game Records'!$A320,""))</x:f>
      </x:c>
      <x:c r="D320" s="331" t="str">
        <x:f>IF($A320="","",IFERROR('Game Records'!$U320,""))</x:f>
      </x:c>
      <x:c r="E320" s="331" t="str">
        <x:f>IF($A320="","",IF($F320="","No Highlighted Fields","Highlighted Fields Present"))</x:f>
      </x:c>
      <x:c r="F320" s="331" t="str">
        <x:f>IF($A320="","",IF('Game Records'!$B320="","Start Date; ","")&amp;IF('Game Records'!$C320="","End Date; ","")&amp;IF(AND('Game Records'!$U320&lt;&gt;"Subscription",'Game Records'!$U320&lt;&gt;"Free Game",'Game Records'!$U320&lt;&gt;"Disqualified — Free Game",OR('Game Records'!$D320="",LOWER('Game Records'!$D320&amp;"")="n/a")),"Entry Mode; ","")&amp;IF(AND('Game Records'!$U320&lt;&gt;"Subscription",'Game Records'!$U320&lt;&gt;"Free Game",'Game Records'!$U320&lt;&gt;"Disqualified — Free Game",OR('Game Records'!$E320="",LOWER('Game Records'!$E320&amp;"")="n/a")),"Game Type; ","")&amp;IF('Game Records'!$F320="","Payment Type; ","")&amp;IF(AND('Game Records'!$U320&lt;&gt;"Subscription",'Game Records'!$U320&lt;&gt;"Free Game",'Game Records'!$U320&lt;&gt;"Disqualified — Free Game",'Game Records'!$G320=""),"Gross Pot; ","")&amp;IF(AND('Game Records'!$U320&lt;&gt;"Free Game",'Game Records'!$U320&lt;&gt;"Disqualified — Free Game",'Game Records'!$H320=""),"Entry Fee; ","")&amp;IF(AND('Game Records'!$U320&lt;&gt;"Subscription",'Game Records'!$U320&lt;&gt;"Free Game",'Game Records'!$U320&lt;&gt;"Disqualified — Free Game",'Game Records'!$I320=""),"Eligible Players; ","")&amp;IF(AND('Game Records'!$U320&lt;&gt;"Subscription",'Game Records'!$U320&lt;&gt;"Free Game",'Game Records'!$U320&lt;&gt;"Disqualified — Free Game",'Game Records'!$J320=""),"Total Players; ","")&amp;IF(AND(LOWER('Game Records'!$D320&amp;"")="finalized",LOWER('Game Records'!$L320&amp;"")&lt;&gt;"yes",'Game Records'!$U320&lt;&gt;"Subscription",'Game Records'!$U320&lt;&gt;"Free Game",'Game Records'!$U320&lt;&gt;"Disqualified — Free Game",'Game Records'!$K320=""),"Final Earned; ","")&amp;IF(AND(LOWER('Game Records'!$D320&amp;"")="finalized",'Game Records'!$U320&lt;&gt;"Subscription",'Game Records'!$U320&lt;&gt;"Free Game",'Game Records'!$U320&lt;&gt;"Disqualified — Free Game",OR('Game Records'!$L320="",LOWER('Game Records'!$L320&amp;"")="n/a")),"Disqualified Status; ",""))</x:f>
      </x:c>
      <x:c r="G320" s="331" t="str">
        <x:f>IF($A320="","",IFERROR('Game Records'!$M320,""))</x:f>
      </x:c>
    </x:row>
    <x:row r="321">
      <x:c r="A321" s="332" t="str">
        <x:f>IF(OR(COUNTA('Game Records'!$A321:$M321)=0,'Game Records'!$F321="Subscription"),"",IFERROR(MAX($A$4:A320),0)+1)</x:f>
      </x:c>
      <x:c r="B321" s="332" t="str">
        <x:f>IF($A321="","","G-"&amp;TEXT(ROW('Game Records'!$A321)-4,"0000"))</x:f>
      </x:c>
      <x:c r="C321" s="331" t="str">
        <x:f>IF($A321="","",IFERROR('Game Records'!$A321,""))</x:f>
      </x:c>
      <x:c r="D321" s="331" t="str">
        <x:f>IF($A321="","",IFERROR('Game Records'!$U321,""))</x:f>
      </x:c>
      <x:c r="E321" s="331" t="str">
        <x:f>IF($A321="","",IF($F321="","No Highlighted Fields","Highlighted Fields Present"))</x:f>
      </x:c>
      <x:c r="F321" s="331" t="str">
        <x:f>IF($A321="","",IF('Game Records'!$B321="","Start Date; ","")&amp;IF('Game Records'!$C321="","End Date; ","")&amp;IF(AND('Game Records'!$U321&lt;&gt;"Subscription",'Game Records'!$U321&lt;&gt;"Free Game",'Game Records'!$U321&lt;&gt;"Disqualified — Free Game",OR('Game Records'!$D321="",LOWER('Game Records'!$D321&amp;"")="n/a")),"Entry Mode; ","")&amp;IF(AND('Game Records'!$U321&lt;&gt;"Subscription",'Game Records'!$U321&lt;&gt;"Free Game",'Game Records'!$U321&lt;&gt;"Disqualified — Free Game",OR('Game Records'!$E321="",LOWER('Game Records'!$E321&amp;"")="n/a")),"Game Type; ","")&amp;IF('Game Records'!$F321="","Payment Type; ","")&amp;IF(AND('Game Records'!$U321&lt;&gt;"Subscription",'Game Records'!$U321&lt;&gt;"Free Game",'Game Records'!$U321&lt;&gt;"Disqualified — Free Game",'Game Records'!$G321=""),"Gross Pot; ","")&amp;IF(AND('Game Records'!$U321&lt;&gt;"Free Game",'Game Records'!$U321&lt;&gt;"Disqualified — Free Game",'Game Records'!$H321=""),"Entry Fee; ","")&amp;IF(AND('Game Records'!$U321&lt;&gt;"Subscription",'Game Records'!$U321&lt;&gt;"Free Game",'Game Records'!$U321&lt;&gt;"Disqualified — Free Game",'Game Records'!$I321=""),"Eligible Players; ","")&amp;IF(AND('Game Records'!$U321&lt;&gt;"Subscription",'Game Records'!$U321&lt;&gt;"Free Game",'Game Records'!$U321&lt;&gt;"Disqualified — Free Game",'Game Records'!$J321=""),"Total Players; ","")&amp;IF(AND(LOWER('Game Records'!$D321&amp;"")="finalized",LOWER('Game Records'!$L321&amp;"")&lt;&gt;"yes",'Game Records'!$U321&lt;&gt;"Subscription",'Game Records'!$U321&lt;&gt;"Free Game",'Game Records'!$U321&lt;&gt;"Disqualified — Free Game",'Game Records'!$K321=""),"Final Earned; ","")&amp;IF(AND(LOWER('Game Records'!$D321&amp;"")="finalized",'Game Records'!$U321&lt;&gt;"Subscription",'Game Records'!$U321&lt;&gt;"Free Game",'Game Records'!$U321&lt;&gt;"Disqualified — Free Game",OR('Game Records'!$L321="",LOWER('Game Records'!$L321&amp;"")="n/a")),"Disqualified Status; ",""))</x:f>
      </x:c>
      <x:c r="G321" s="331" t="str">
        <x:f>IF($A321="","",IFERROR('Game Records'!$M321,""))</x:f>
      </x:c>
    </x:row>
    <x:row r="322">
      <x:c r="A322" s="332" t="str">
        <x:f>IF(OR(COUNTA('Game Records'!$A322:$M322)=0,'Game Records'!$F322="Subscription"),"",IFERROR(MAX($A$4:A321),0)+1)</x:f>
      </x:c>
      <x:c r="B322" s="332" t="str">
        <x:f>IF($A322="","","G-"&amp;TEXT(ROW('Game Records'!$A322)-4,"0000"))</x:f>
      </x:c>
      <x:c r="C322" s="331" t="str">
        <x:f>IF($A322="","",IFERROR('Game Records'!$A322,""))</x:f>
      </x:c>
      <x:c r="D322" s="331" t="str">
        <x:f>IF($A322="","",IFERROR('Game Records'!$U322,""))</x:f>
      </x:c>
      <x:c r="E322" s="331" t="str">
        <x:f>IF($A322="","",IF($F322="","No Highlighted Fields","Highlighted Fields Present"))</x:f>
      </x:c>
      <x:c r="F322" s="331" t="str">
        <x:f>IF($A322="","",IF('Game Records'!$B322="","Start Date; ","")&amp;IF('Game Records'!$C322="","End Date; ","")&amp;IF(AND('Game Records'!$U322&lt;&gt;"Subscription",'Game Records'!$U322&lt;&gt;"Free Game",'Game Records'!$U322&lt;&gt;"Disqualified — Free Game",OR('Game Records'!$D322="",LOWER('Game Records'!$D322&amp;"")="n/a")),"Entry Mode; ","")&amp;IF(AND('Game Records'!$U322&lt;&gt;"Subscription",'Game Records'!$U322&lt;&gt;"Free Game",'Game Records'!$U322&lt;&gt;"Disqualified — Free Game",OR('Game Records'!$E322="",LOWER('Game Records'!$E322&amp;"")="n/a")),"Game Type; ","")&amp;IF('Game Records'!$F322="","Payment Type; ","")&amp;IF(AND('Game Records'!$U322&lt;&gt;"Subscription",'Game Records'!$U322&lt;&gt;"Free Game",'Game Records'!$U322&lt;&gt;"Disqualified — Free Game",'Game Records'!$G322=""),"Gross Pot; ","")&amp;IF(AND('Game Records'!$U322&lt;&gt;"Free Game",'Game Records'!$U322&lt;&gt;"Disqualified — Free Game",'Game Records'!$H322=""),"Entry Fee; ","")&amp;IF(AND('Game Records'!$U322&lt;&gt;"Subscription",'Game Records'!$U322&lt;&gt;"Free Game",'Game Records'!$U322&lt;&gt;"Disqualified — Free Game",'Game Records'!$I322=""),"Eligible Players; ","")&amp;IF(AND('Game Records'!$U322&lt;&gt;"Subscription",'Game Records'!$U322&lt;&gt;"Free Game",'Game Records'!$U322&lt;&gt;"Disqualified — Free Game",'Game Records'!$J322=""),"Total Players; ","")&amp;IF(AND(LOWER('Game Records'!$D322&amp;"")="finalized",LOWER('Game Records'!$L322&amp;"")&lt;&gt;"yes",'Game Records'!$U322&lt;&gt;"Subscription",'Game Records'!$U322&lt;&gt;"Free Game",'Game Records'!$U322&lt;&gt;"Disqualified — Free Game",'Game Records'!$K322=""),"Final Earned; ","")&amp;IF(AND(LOWER('Game Records'!$D322&amp;"")="finalized",'Game Records'!$U322&lt;&gt;"Subscription",'Game Records'!$U322&lt;&gt;"Free Game",'Game Records'!$U322&lt;&gt;"Disqualified — Free Game",OR('Game Records'!$L322="",LOWER('Game Records'!$L322&amp;"")="n/a")),"Disqualified Status; ",""))</x:f>
      </x:c>
      <x:c r="G322" s="331" t="str">
        <x:f>IF($A322="","",IFERROR('Game Records'!$M322,""))</x:f>
      </x:c>
    </x:row>
    <x:row r="323">
      <x:c r="A323" s="332" t="str">
        <x:f>IF(OR(COUNTA('Game Records'!$A323:$M323)=0,'Game Records'!$F323="Subscription"),"",IFERROR(MAX($A$4:A322),0)+1)</x:f>
      </x:c>
      <x:c r="B323" s="332" t="str">
        <x:f>IF($A323="","","G-"&amp;TEXT(ROW('Game Records'!$A323)-4,"0000"))</x:f>
      </x:c>
      <x:c r="C323" s="331" t="str">
        <x:f>IF($A323="","",IFERROR('Game Records'!$A323,""))</x:f>
      </x:c>
      <x:c r="D323" s="331" t="str">
        <x:f>IF($A323="","",IFERROR('Game Records'!$U323,""))</x:f>
      </x:c>
      <x:c r="E323" s="331" t="str">
        <x:f>IF($A323="","",IF($F323="","No Highlighted Fields","Highlighted Fields Present"))</x:f>
      </x:c>
      <x:c r="F323" s="331" t="str">
        <x:f>IF($A323="","",IF('Game Records'!$B323="","Start Date; ","")&amp;IF('Game Records'!$C323="","End Date; ","")&amp;IF(AND('Game Records'!$U323&lt;&gt;"Subscription",'Game Records'!$U323&lt;&gt;"Free Game",'Game Records'!$U323&lt;&gt;"Disqualified — Free Game",OR('Game Records'!$D323="",LOWER('Game Records'!$D323&amp;"")="n/a")),"Entry Mode; ","")&amp;IF(AND('Game Records'!$U323&lt;&gt;"Subscription",'Game Records'!$U323&lt;&gt;"Free Game",'Game Records'!$U323&lt;&gt;"Disqualified — Free Game",OR('Game Records'!$E323="",LOWER('Game Records'!$E323&amp;"")="n/a")),"Game Type; ","")&amp;IF('Game Records'!$F323="","Payment Type; ","")&amp;IF(AND('Game Records'!$U323&lt;&gt;"Subscription",'Game Records'!$U323&lt;&gt;"Free Game",'Game Records'!$U323&lt;&gt;"Disqualified — Free Game",'Game Records'!$G323=""),"Gross Pot; ","")&amp;IF(AND('Game Records'!$U323&lt;&gt;"Free Game",'Game Records'!$U323&lt;&gt;"Disqualified — Free Game",'Game Records'!$H323=""),"Entry Fee; ","")&amp;IF(AND('Game Records'!$U323&lt;&gt;"Subscription",'Game Records'!$U323&lt;&gt;"Free Game",'Game Records'!$U323&lt;&gt;"Disqualified — Free Game",'Game Records'!$I323=""),"Eligible Players; ","")&amp;IF(AND('Game Records'!$U323&lt;&gt;"Subscription",'Game Records'!$U323&lt;&gt;"Free Game",'Game Records'!$U323&lt;&gt;"Disqualified — Free Game",'Game Records'!$J323=""),"Total Players; ","")&amp;IF(AND(LOWER('Game Records'!$D323&amp;"")="finalized",LOWER('Game Records'!$L323&amp;"")&lt;&gt;"yes",'Game Records'!$U323&lt;&gt;"Subscription",'Game Records'!$U323&lt;&gt;"Free Game",'Game Records'!$U323&lt;&gt;"Disqualified — Free Game",'Game Records'!$K323=""),"Final Earned; ","")&amp;IF(AND(LOWER('Game Records'!$D323&amp;"")="finalized",'Game Records'!$U323&lt;&gt;"Subscription",'Game Records'!$U323&lt;&gt;"Free Game",'Game Records'!$U323&lt;&gt;"Disqualified — Free Game",OR('Game Records'!$L323="",LOWER('Game Records'!$L323&amp;"")="n/a")),"Disqualified Status; ",""))</x:f>
      </x:c>
      <x:c r="G323" s="331" t="str">
        <x:f>IF($A323="","",IFERROR('Game Records'!$M323,""))</x:f>
      </x:c>
    </x:row>
    <x:row r="324">
      <x:c r="A324" s="332" t="str">
        <x:f>IF(OR(COUNTA('Game Records'!$A324:$M324)=0,'Game Records'!$F324="Subscription"),"",IFERROR(MAX($A$4:A323),0)+1)</x:f>
      </x:c>
      <x:c r="B324" s="332" t="str">
        <x:f>IF($A324="","","G-"&amp;TEXT(ROW('Game Records'!$A324)-4,"0000"))</x:f>
      </x:c>
      <x:c r="C324" s="331" t="str">
        <x:f>IF($A324="","",IFERROR('Game Records'!$A324,""))</x:f>
      </x:c>
      <x:c r="D324" s="331" t="str">
        <x:f>IF($A324="","",IFERROR('Game Records'!$U324,""))</x:f>
      </x:c>
      <x:c r="E324" s="331" t="str">
        <x:f>IF($A324="","",IF($F324="","No Highlighted Fields","Highlighted Fields Present"))</x:f>
      </x:c>
      <x:c r="F324" s="331" t="str">
        <x:f>IF($A324="","",IF('Game Records'!$B324="","Start Date; ","")&amp;IF('Game Records'!$C324="","End Date; ","")&amp;IF(AND('Game Records'!$U324&lt;&gt;"Subscription",'Game Records'!$U324&lt;&gt;"Free Game",'Game Records'!$U324&lt;&gt;"Disqualified — Free Game",OR('Game Records'!$D324="",LOWER('Game Records'!$D324&amp;"")="n/a")),"Entry Mode; ","")&amp;IF(AND('Game Records'!$U324&lt;&gt;"Subscription",'Game Records'!$U324&lt;&gt;"Free Game",'Game Records'!$U324&lt;&gt;"Disqualified — Free Game",OR('Game Records'!$E324="",LOWER('Game Records'!$E324&amp;"")="n/a")),"Game Type; ","")&amp;IF('Game Records'!$F324="","Payment Type; ","")&amp;IF(AND('Game Records'!$U324&lt;&gt;"Subscription",'Game Records'!$U324&lt;&gt;"Free Game",'Game Records'!$U324&lt;&gt;"Disqualified — Free Game",'Game Records'!$G324=""),"Gross Pot; ","")&amp;IF(AND('Game Records'!$U324&lt;&gt;"Free Game",'Game Records'!$U324&lt;&gt;"Disqualified — Free Game",'Game Records'!$H324=""),"Entry Fee; ","")&amp;IF(AND('Game Records'!$U324&lt;&gt;"Subscription",'Game Records'!$U324&lt;&gt;"Free Game",'Game Records'!$U324&lt;&gt;"Disqualified — Free Game",'Game Records'!$I324=""),"Eligible Players; ","")&amp;IF(AND('Game Records'!$U324&lt;&gt;"Subscription",'Game Records'!$U324&lt;&gt;"Free Game",'Game Records'!$U324&lt;&gt;"Disqualified — Free Game",'Game Records'!$J324=""),"Total Players; ","")&amp;IF(AND(LOWER('Game Records'!$D324&amp;"")="finalized",LOWER('Game Records'!$L324&amp;"")&lt;&gt;"yes",'Game Records'!$U324&lt;&gt;"Subscription",'Game Records'!$U324&lt;&gt;"Free Game",'Game Records'!$U324&lt;&gt;"Disqualified — Free Game",'Game Records'!$K324=""),"Final Earned; ","")&amp;IF(AND(LOWER('Game Records'!$D324&amp;"")="finalized",'Game Records'!$U324&lt;&gt;"Subscription",'Game Records'!$U324&lt;&gt;"Free Game",'Game Records'!$U324&lt;&gt;"Disqualified — Free Game",OR('Game Records'!$L324="",LOWER('Game Records'!$L324&amp;"")="n/a")),"Disqualified Status; ",""))</x:f>
      </x:c>
      <x:c r="G324" s="331" t="str">
        <x:f>IF($A324="","",IFERROR('Game Records'!$M324,""))</x:f>
      </x:c>
    </x:row>
    <x:row r="325">
      <x:c r="A325" s="332" t="str">
        <x:f>IF(OR(COUNTA('Game Records'!$A325:$M325)=0,'Game Records'!$F325="Subscription"),"",IFERROR(MAX($A$4:A324),0)+1)</x:f>
      </x:c>
      <x:c r="B325" s="332" t="str">
        <x:f>IF($A325="","","G-"&amp;TEXT(ROW('Game Records'!$A325)-4,"0000"))</x:f>
      </x:c>
      <x:c r="C325" s="331" t="str">
        <x:f>IF($A325="","",IFERROR('Game Records'!$A325,""))</x:f>
      </x:c>
      <x:c r="D325" s="331" t="str">
        <x:f>IF($A325="","",IFERROR('Game Records'!$U325,""))</x:f>
      </x:c>
      <x:c r="E325" s="331" t="str">
        <x:f>IF($A325="","",IF($F325="","No Highlighted Fields","Highlighted Fields Present"))</x:f>
      </x:c>
      <x:c r="F325" s="331" t="str">
        <x:f>IF($A325="","",IF('Game Records'!$B325="","Start Date; ","")&amp;IF('Game Records'!$C325="","End Date; ","")&amp;IF(AND('Game Records'!$U325&lt;&gt;"Subscription",'Game Records'!$U325&lt;&gt;"Free Game",'Game Records'!$U325&lt;&gt;"Disqualified — Free Game",OR('Game Records'!$D325="",LOWER('Game Records'!$D325&amp;"")="n/a")),"Entry Mode; ","")&amp;IF(AND('Game Records'!$U325&lt;&gt;"Subscription",'Game Records'!$U325&lt;&gt;"Free Game",'Game Records'!$U325&lt;&gt;"Disqualified — Free Game",OR('Game Records'!$E325="",LOWER('Game Records'!$E325&amp;"")="n/a")),"Game Type; ","")&amp;IF('Game Records'!$F325="","Payment Type; ","")&amp;IF(AND('Game Records'!$U325&lt;&gt;"Subscription",'Game Records'!$U325&lt;&gt;"Free Game",'Game Records'!$U325&lt;&gt;"Disqualified — Free Game",'Game Records'!$G325=""),"Gross Pot; ","")&amp;IF(AND('Game Records'!$U325&lt;&gt;"Free Game",'Game Records'!$U325&lt;&gt;"Disqualified — Free Game",'Game Records'!$H325=""),"Entry Fee; ","")&amp;IF(AND('Game Records'!$U325&lt;&gt;"Subscription",'Game Records'!$U325&lt;&gt;"Free Game",'Game Records'!$U325&lt;&gt;"Disqualified — Free Game",'Game Records'!$I325=""),"Eligible Players; ","")&amp;IF(AND('Game Records'!$U325&lt;&gt;"Subscription",'Game Records'!$U325&lt;&gt;"Free Game",'Game Records'!$U325&lt;&gt;"Disqualified — Free Game",'Game Records'!$J325=""),"Total Players; ","")&amp;IF(AND(LOWER('Game Records'!$D325&amp;"")="finalized",LOWER('Game Records'!$L325&amp;"")&lt;&gt;"yes",'Game Records'!$U325&lt;&gt;"Subscription",'Game Records'!$U325&lt;&gt;"Free Game",'Game Records'!$U325&lt;&gt;"Disqualified — Free Game",'Game Records'!$K325=""),"Final Earned; ","")&amp;IF(AND(LOWER('Game Records'!$D325&amp;"")="finalized",'Game Records'!$U325&lt;&gt;"Subscription",'Game Records'!$U325&lt;&gt;"Free Game",'Game Records'!$U325&lt;&gt;"Disqualified — Free Game",OR('Game Records'!$L325="",LOWER('Game Records'!$L325&amp;"")="n/a")),"Disqualified Status; ",""))</x:f>
      </x:c>
      <x:c r="G325" s="331" t="str">
        <x:f>IF($A325="","",IFERROR('Game Records'!$M325,""))</x:f>
      </x:c>
    </x:row>
    <x:row r="326">
      <x:c r="A326" s="332" t="str">
        <x:f>IF(OR(COUNTA('Game Records'!$A326:$M326)=0,'Game Records'!$F326="Subscription"),"",IFERROR(MAX($A$4:A325),0)+1)</x:f>
      </x:c>
      <x:c r="B326" s="332" t="str">
        <x:f>IF($A326="","","G-"&amp;TEXT(ROW('Game Records'!$A326)-4,"0000"))</x:f>
      </x:c>
      <x:c r="C326" s="331" t="str">
        <x:f>IF($A326="","",IFERROR('Game Records'!$A326,""))</x:f>
      </x:c>
      <x:c r="D326" s="331" t="str">
        <x:f>IF($A326="","",IFERROR('Game Records'!$U326,""))</x:f>
      </x:c>
      <x:c r="E326" s="331" t="str">
        <x:f>IF($A326="","",IF($F326="","No Highlighted Fields","Highlighted Fields Present"))</x:f>
      </x:c>
      <x:c r="F326" s="331" t="str">
        <x:f>IF($A326="","",IF('Game Records'!$B326="","Start Date; ","")&amp;IF('Game Records'!$C326="","End Date; ","")&amp;IF(AND('Game Records'!$U326&lt;&gt;"Subscription",'Game Records'!$U326&lt;&gt;"Free Game",'Game Records'!$U326&lt;&gt;"Disqualified — Free Game",OR('Game Records'!$D326="",LOWER('Game Records'!$D326&amp;"")="n/a")),"Entry Mode; ","")&amp;IF(AND('Game Records'!$U326&lt;&gt;"Subscription",'Game Records'!$U326&lt;&gt;"Free Game",'Game Records'!$U326&lt;&gt;"Disqualified — Free Game",OR('Game Records'!$E326="",LOWER('Game Records'!$E326&amp;"")="n/a")),"Game Type; ","")&amp;IF('Game Records'!$F326="","Payment Type; ","")&amp;IF(AND('Game Records'!$U326&lt;&gt;"Subscription",'Game Records'!$U326&lt;&gt;"Free Game",'Game Records'!$U326&lt;&gt;"Disqualified — Free Game",'Game Records'!$G326=""),"Gross Pot; ","")&amp;IF(AND('Game Records'!$U326&lt;&gt;"Free Game",'Game Records'!$U326&lt;&gt;"Disqualified — Free Game",'Game Records'!$H326=""),"Entry Fee; ","")&amp;IF(AND('Game Records'!$U326&lt;&gt;"Subscription",'Game Records'!$U326&lt;&gt;"Free Game",'Game Records'!$U326&lt;&gt;"Disqualified — Free Game",'Game Records'!$I326=""),"Eligible Players; ","")&amp;IF(AND('Game Records'!$U326&lt;&gt;"Subscription",'Game Records'!$U326&lt;&gt;"Free Game",'Game Records'!$U326&lt;&gt;"Disqualified — Free Game",'Game Records'!$J326=""),"Total Players; ","")&amp;IF(AND(LOWER('Game Records'!$D326&amp;"")="finalized",LOWER('Game Records'!$L326&amp;"")&lt;&gt;"yes",'Game Records'!$U326&lt;&gt;"Subscription",'Game Records'!$U326&lt;&gt;"Free Game",'Game Records'!$U326&lt;&gt;"Disqualified — Free Game",'Game Records'!$K326=""),"Final Earned; ","")&amp;IF(AND(LOWER('Game Records'!$D326&amp;"")="finalized",'Game Records'!$U326&lt;&gt;"Subscription",'Game Records'!$U326&lt;&gt;"Free Game",'Game Records'!$U326&lt;&gt;"Disqualified — Free Game",OR('Game Records'!$L326="",LOWER('Game Records'!$L326&amp;"")="n/a")),"Disqualified Status; ",""))</x:f>
      </x:c>
      <x:c r="G326" s="331" t="str">
        <x:f>IF($A326="","",IFERROR('Game Records'!$M326,""))</x:f>
      </x:c>
    </x:row>
    <x:row r="327">
      <x:c r="A327" s="332" t="str">
        <x:f>IF(OR(COUNTA('Game Records'!$A327:$M327)=0,'Game Records'!$F327="Subscription"),"",IFERROR(MAX($A$4:A326),0)+1)</x:f>
      </x:c>
      <x:c r="B327" s="332" t="str">
        <x:f>IF($A327="","","G-"&amp;TEXT(ROW('Game Records'!$A327)-4,"0000"))</x:f>
      </x:c>
      <x:c r="C327" s="331" t="str">
        <x:f>IF($A327="","",IFERROR('Game Records'!$A327,""))</x:f>
      </x:c>
      <x:c r="D327" s="331" t="str">
        <x:f>IF($A327="","",IFERROR('Game Records'!$U327,""))</x:f>
      </x:c>
      <x:c r="E327" s="331" t="str">
        <x:f>IF($A327="","",IF($F327="","No Highlighted Fields","Highlighted Fields Present"))</x:f>
      </x:c>
      <x:c r="F327" s="331" t="str">
        <x:f>IF($A327="","",IF('Game Records'!$B327="","Start Date; ","")&amp;IF('Game Records'!$C327="","End Date; ","")&amp;IF(AND('Game Records'!$U327&lt;&gt;"Subscription",'Game Records'!$U327&lt;&gt;"Free Game",'Game Records'!$U327&lt;&gt;"Disqualified — Free Game",OR('Game Records'!$D327="",LOWER('Game Records'!$D327&amp;"")="n/a")),"Entry Mode; ","")&amp;IF(AND('Game Records'!$U327&lt;&gt;"Subscription",'Game Records'!$U327&lt;&gt;"Free Game",'Game Records'!$U327&lt;&gt;"Disqualified — Free Game",OR('Game Records'!$E327="",LOWER('Game Records'!$E327&amp;"")="n/a")),"Game Type; ","")&amp;IF('Game Records'!$F327="","Payment Type; ","")&amp;IF(AND('Game Records'!$U327&lt;&gt;"Subscription",'Game Records'!$U327&lt;&gt;"Free Game",'Game Records'!$U327&lt;&gt;"Disqualified — Free Game",'Game Records'!$G327=""),"Gross Pot; ","")&amp;IF(AND('Game Records'!$U327&lt;&gt;"Free Game",'Game Records'!$U327&lt;&gt;"Disqualified — Free Game",'Game Records'!$H327=""),"Entry Fee; ","")&amp;IF(AND('Game Records'!$U327&lt;&gt;"Subscription",'Game Records'!$U327&lt;&gt;"Free Game",'Game Records'!$U327&lt;&gt;"Disqualified — Free Game",'Game Records'!$I327=""),"Eligible Players; ","")&amp;IF(AND('Game Records'!$U327&lt;&gt;"Subscription",'Game Records'!$U327&lt;&gt;"Free Game",'Game Records'!$U327&lt;&gt;"Disqualified — Free Game",'Game Records'!$J327=""),"Total Players; ","")&amp;IF(AND(LOWER('Game Records'!$D327&amp;"")="finalized",LOWER('Game Records'!$L327&amp;"")&lt;&gt;"yes",'Game Records'!$U327&lt;&gt;"Subscription",'Game Records'!$U327&lt;&gt;"Free Game",'Game Records'!$U327&lt;&gt;"Disqualified — Free Game",'Game Records'!$K327=""),"Final Earned; ","")&amp;IF(AND(LOWER('Game Records'!$D327&amp;"")="finalized",'Game Records'!$U327&lt;&gt;"Subscription",'Game Records'!$U327&lt;&gt;"Free Game",'Game Records'!$U327&lt;&gt;"Disqualified — Free Game",OR('Game Records'!$L327="",LOWER('Game Records'!$L327&amp;"")="n/a")),"Disqualified Status; ",""))</x:f>
      </x:c>
      <x:c r="G327" s="331" t="str">
        <x:f>IF($A327="","",IFERROR('Game Records'!$M327,""))</x:f>
      </x:c>
    </x:row>
    <x:row r="328">
      <x:c r="A328" s="332" t="str">
        <x:f>IF(OR(COUNTA('Game Records'!$A328:$M328)=0,'Game Records'!$F328="Subscription"),"",IFERROR(MAX($A$4:A327),0)+1)</x:f>
      </x:c>
      <x:c r="B328" s="332" t="str">
        <x:f>IF($A328="","","G-"&amp;TEXT(ROW('Game Records'!$A328)-4,"0000"))</x:f>
      </x:c>
      <x:c r="C328" s="331" t="str">
        <x:f>IF($A328="","",IFERROR('Game Records'!$A328,""))</x:f>
      </x:c>
      <x:c r="D328" s="331" t="str">
        <x:f>IF($A328="","",IFERROR('Game Records'!$U328,""))</x:f>
      </x:c>
      <x:c r="E328" s="331" t="str">
        <x:f>IF($A328="","",IF($F328="","No Highlighted Fields","Highlighted Fields Present"))</x:f>
      </x:c>
      <x:c r="F328" s="331" t="str">
        <x:f>IF($A328="","",IF('Game Records'!$B328="","Start Date; ","")&amp;IF('Game Records'!$C328="","End Date; ","")&amp;IF(AND('Game Records'!$U328&lt;&gt;"Subscription",'Game Records'!$U328&lt;&gt;"Free Game",'Game Records'!$U328&lt;&gt;"Disqualified — Free Game",OR('Game Records'!$D328="",LOWER('Game Records'!$D328&amp;"")="n/a")),"Entry Mode; ","")&amp;IF(AND('Game Records'!$U328&lt;&gt;"Subscription",'Game Records'!$U328&lt;&gt;"Free Game",'Game Records'!$U328&lt;&gt;"Disqualified — Free Game",OR('Game Records'!$E328="",LOWER('Game Records'!$E328&amp;"")="n/a")),"Game Type; ","")&amp;IF('Game Records'!$F328="","Payment Type; ","")&amp;IF(AND('Game Records'!$U328&lt;&gt;"Subscription",'Game Records'!$U328&lt;&gt;"Free Game",'Game Records'!$U328&lt;&gt;"Disqualified — Free Game",'Game Records'!$G328=""),"Gross Pot; ","")&amp;IF(AND('Game Records'!$U328&lt;&gt;"Free Game",'Game Records'!$U328&lt;&gt;"Disqualified — Free Game",'Game Records'!$H328=""),"Entry Fee; ","")&amp;IF(AND('Game Records'!$U328&lt;&gt;"Subscription",'Game Records'!$U328&lt;&gt;"Free Game",'Game Records'!$U328&lt;&gt;"Disqualified — Free Game",'Game Records'!$I328=""),"Eligible Players; ","")&amp;IF(AND('Game Records'!$U328&lt;&gt;"Subscription",'Game Records'!$U328&lt;&gt;"Free Game",'Game Records'!$U328&lt;&gt;"Disqualified — Free Game",'Game Records'!$J328=""),"Total Players; ","")&amp;IF(AND(LOWER('Game Records'!$D328&amp;"")="finalized",LOWER('Game Records'!$L328&amp;"")&lt;&gt;"yes",'Game Records'!$U328&lt;&gt;"Subscription",'Game Records'!$U328&lt;&gt;"Free Game",'Game Records'!$U328&lt;&gt;"Disqualified — Free Game",'Game Records'!$K328=""),"Final Earned; ","")&amp;IF(AND(LOWER('Game Records'!$D328&amp;"")="finalized",'Game Records'!$U328&lt;&gt;"Subscription",'Game Records'!$U328&lt;&gt;"Free Game",'Game Records'!$U328&lt;&gt;"Disqualified — Free Game",OR('Game Records'!$L328="",LOWER('Game Records'!$L328&amp;"")="n/a")),"Disqualified Status; ",""))</x:f>
      </x:c>
      <x:c r="G328" s="331" t="str">
        <x:f>IF($A328="","",IFERROR('Game Records'!$M328,""))</x:f>
      </x:c>
    </x:row>
    <x:row r="329">
      <x:c r="A329" s="332" t="str">
        <x:f>IF(OR(COUNTA('Game Records'!$A329:$M329)=0,'Game Records'!$F329="Subscription"),"",IFERROR(MAX($A$4:A328),0)+1)</x:f>
      </x:c>
      <x:c r="B329" s="332" t="str">
        <x:f>IF($A329="","","G-"&amp;TEXT(ROW('Game Records'!$A329)-4,"0000"))</x:f>
      </x:c>
      <x:c r="C329" s="331" t="str">
        <x:f>IF($A329="","",IFERROR('Game Records'!$A329,""))</x:f>
      </x:c>
      <x:c r="D329" s="331" t="str">
        <x:f>IF($A329="","",IFERROR('Game Records'!$U329,""))</x:f>
      </x:c>
      <x:c r="E329" s="331" t="str">
        <x:f>IF($A329="","",IF($F329="","No Highlighted Fields","Highlighted Fields Present"))</x:f>
      </x:c>
      <x:c r="F329" s="331" t="str">
        <x:f>IF($A329="","",IF('Game Records'!$B329="","Start Date; ","")&amp;IF('Game Records'!$C329="","End Date; ","")&amp;IF(AND('Game Records'!$U329&lt;&gt;"Subscription",'Game Records'!$U329&lt;&gt;"Free Game",'Game Records'!$U329&lt;&gt;"Disqualified — Free Game",OR('Game Records'!$D329="",LOWER('Game Records'!$D329&amp;"")="n/a")),"Entry Mode; ","")&amp;IF(AND('Game Records'!$U329&lt;&gt;"Subscription",'Game Records'!$U329&lt;&gt;"Free Game",'Game Records'!$U329&lt;&gt;"Disqualified — Free Game",OR('Game Records'!$E329="",LOWER('Game Records'!$E329&amp;"")="n/a")),"Game Type; ","")&amp;IF('Game Records'!$F329="","Payment Type; ","")&amp;IF(AND('Game Records'!$U329&lt;&gt;"Subscription",'Game Records'!$U329&lt;&gt;"Free Game",'Game Records'!$U329&lt;&gt;"Disqualified — Free Game",'Game Records'!$G329=""),"Gross Pot; ","")&amp;IF(AND('Game Records'!$U329&lt;&gt;"Free Game",'Game Records'!$U329&lt;&gt;"Disqualified — Free Game",'Game Records'!$H329=""),"Entry Fee; ","")&amp;IF(AND('Game Records'!$U329&lt;&gt;"Subscription",'Game Records'!$U329&lt;&gt;"Free Game",'Game Records'!$U329&lt;&gt;"Disqualified — Free Game",'Game Records'!$I329=""),"Eligible Players; ","")&amp;IF(AND('Game Records'!$U329&lt;&gt;"Subscription",'Game Records'!$U329&lt;&gt;"Free Game",'Game Records'!$U329&lt;&gt;"Disqualified — Free Game",'Game Records'!$J329=""),"Total Players; ","")&amp;IF(AND(LOWER('Game Records'!$D329&amp;"")="finalized",LOWER('Game Records'!$L329&amp;"")&lt;&gt;"yes",'Game Records'!$U329&lt;&gt;"Subscription",'Game Records'!$U329&lt;&gt;"Free Game",'Game Records'!$U329&lt;&gt;"Disqualified — Free Game",'Game Records'!$K329=""),"Final Earned; ","")&amp;IF(AND(LOWER('Game Records'!$D329&amp;"")="finalized",'Game Records'!$U329&lt;&gt;"Subscription",'Game Records'!$U329&lt;&gt;"Free Game",'Game Records'!$U329&lt;&gt;"Disqualified — Free Game",OR('Game Records'!$L329="",LOWER('Game Records'!$L329&amp;"")="n/a")),"Disqualified Status; ",""))</x:f>
      </x:c>
      <x:c r="G329" s="331" t="str">
        <x:f>IF($A329="","",IFERROR('Game Records'!$M329,""))</x:f>
      </x:c>
    </x:row>
    <x:row r="330">
      <x:c r="A330" s="332" t="str">
        <x:f>IF(OR(COUNTA('Game Records'!$A330:$M330)=0,'Game Records'!$F330="Subscription"),"",IFERROR(MAX($A$4:A329),0)+1)</x:f>
      </x:c>
      <x:c r="B330" s="332" t="str">
        <x:f>IF($A330="","","G-"&amp;TEXT(ROW('Game Records'!$A330)-4,"0000"))</x:f>
      </x:c>
      <x:c r="C330" s="331" t="str">
        <x:f>IF($A330="","",IFERROR('Game Records'!$A330,""))</x:f>
      </x:c>
      <x:c r="D330" s="331" t="str">
        <x:f>IF($A330="","",IFERROR('Game Records'!$U330,""))</x:f>
      </x:c>
      <x:c r="E330" s="331" t="str">
        <x:f>IF($A330="","",IF($F330="","No Highlighted Fields","Highlighted Fields Present"))</x:f>
      </x:c>
      <x:c r="F330" s="331" t="str">
        <x:f>IF($A330="","",IF('Game Records'!$B330="","Start Date; ","")&amp;IF('Game Records'!$C330="","End Date; ","")&amp;IF(AND('Game Records'!$U330&lt;&gt;"Subscription",'Game Records'!$U330&lt;&gt;"Free Game",'Game Records'!$U330&lt;&gt;"Disqualified — Free Game",OR('Game Records'!$D330="",LOWER('Game Records'!$D330&amp;"")="n/a")),"Entry Mode; ","")&amp;IF(AND('Game Records'!$U330&lt;&gt;"Subscription",'Game Records'!$U330&lt;&gt;"Free Game",'Game Records'!$U330&lt;&gt;"Disqualified — Free Game",OR('Game Records'!$E330="",LOWER('Game Records'!$E330&amp;"")="n/a")),"Game Type; ","")&amp;IF('Game Records'!$F330="","Payment Type; ","")&amp;IF(AND('Game Records'!$U330&lt;&gt;"Subscription",'Game Records'!$U330&lt;&gt;"Free Game",'Game Records'!$U330&lt;&gt;"Disqualified — Free Game",'Game Records'!$G330=""),"Gross Pot; ","")&amp;IF(AND('Game Records'!$U330&lt;&gt;"Free Game",'Game Records'!$U330&lt;&gt;"Disqualified — Free Game",'Game Records'!$H330=""),"Entry Fee; ","")&amp;IF(AND('Game Records'!$U330&lt;&gt;"Subscription",'Game Records'!$U330&lt;&gt;"Free Game",'Game Records'!$U330&lt;&gt;"Disqualified — Free Game",'Game Records'!$I330=""),"Eligible Players; ","")&amp;IF(AND('Game Records'!$U330&lt;&gt;"Subscription",'Game Records'!$U330&lt;&gt;"Free Game",'Game Records'!$U330&lt;&gt;"Disqualified — Free Game",'Game Records'!$J330=""),"Total Players; ","")&amp;IF(AND(LOWER('Game Records'!$D330&amp;"")="finalized",LOWER('Game Records'!$L330&amp;"")&lt;&gt;"yes",'Game Records'!$U330&lt;&gt;"Subscription",'Game Records'!$U330&lt;&gt;"Free Game",'Game Records'!$U330&lt;&gt;"Disqualified — Free Game",'Game Records'!$K330=""),"Final Earned; ","")&amp;IF(AND(LOWER('Game Records'!$D330&amp;"")="finalized",'Game Records'!$U330&lt;&gt;"Subscription",'Game Records'!$U330&lt;&gt;"Free Game",'Game Records'!$U330&lt;&gt;"Disqualified — Free Game",OR('Game Records'!$L330="",LOWER('Game Records'!$L330&amp;"")="n/a")),"Disqualified Status; ",""))</x:f>
      </x:c>
      <x:c r="G330" s="331" t="str">
        <x:f>IF($A330="","",IFERROR('Game Records'!$M330,""))</x:f>
      </x:c>
    </x:row>
    <x:row r="331">
      <x:c r="A331" s="332" t="str">
        <x:f>IF(OR(COUNTA('Game Records'!$A331:$M331)=0,'Game Records'!$F331="Subscription"),"",IFERROR(MAX($A$4:A330),0)+1)</x:f>
      </x:c>
      <x:c r="B331" s="332" t="str">
        <x:f>IF($A331="","","G-"&amp;TEXT(ROW('Game Records'!$A331)-4,"0000"))</x:f>
      </x:c>
      <x:c r="C331" s="331" t="str">
        <x:f>IF($A331="","",IFERROR('Game Records'!$A331,""))</x:f>
      </x:c>
      <x:c r="D331" s="331" t="str">
        <x:f>IF($A331="","",IFERROR('Game Records'!$U331,""))</x:f>
      </x:c>
      <x:c r="E331" s="331" t="str">
        <x:f>IF($A331="","",IF($F331="","No Highlighted Fields","Highlighted Fields Present"))</x:f>
      </x:c>
      <x:c r="F331" s="331" t="str">
        <x:f>IF($A331="","",IF('Game Records'!$B331="","Start Date; ","")&amp;IF('Game Records'!$C331="","End Date; ","")&amp;IF(AND('Game Records'!$U331&lt;&gt;"Subscription",'Game Records'!$U331&lt;&gt;"Free Game",'Game Records'!$U331&lt;&gt;"Disqualified — Free Game",OR('Game Records'!$D331="",LOWER('Game Records'!$D331&amp;"")="n/a")),"Entry Mode; ","")&amp;IF(AND('Game Records'!$U331&lt;&gt;"Subscription",'Game Records'!$U331&lt;&gt;"Free Game",'Game Records'!$U331&lt;&gt;"Disqualified — Free Game",OR('Game Records'!$E331="",LOWER('Game Records'!$E331&amp;"")="n/a")),"Game Type; ","")&amp;IF('Game Records'!$F331="","Payment Type; ","")&amp;IF(AND('Game Records'!$U331&lt;&gt;"Subscription",'Game Records'!$U331&lt;&gt;"Free Game",'Game Records'!$U331&lt;&gt;"Disqualified — Free Game",'Game Records'!$G331=""),"Gross Pot; ","")&amp;IF(AND('Game Records'!$U331&lt;&gt;"Free Game",'Game Records'!$U331&lt;&gt;"Disqualified — Free Game",'Game Records'!$H331=""),"Entry Fee; ","")&amp;IF(AND('Game Records'!$U331&lt;&gt;"Subscription",'Game Records'!$U331&lt;&gt;"Free Game",'Game Records'!$U331&lt;&gt;"Disqualified — Free Game",'Game Records'!$I331=""),"Eligible Players; ","")&amp;IF(AND('Game Records'!$U331&lt;&gt;"Subscription",'Game Records'!$U331&lt;&gt;"Free Game",'Game Records'!$U331&lt;&gt;"Disqualified — Free Game",'Game Records'!$J331=""),"Total Players; ","")&amp;IF(AND(LOWER('Game Records'!$D331&amp;"")="finalized",LOWER('Game Records'!$L331&amp;"")&lt;&gt;"yes",'Game Records'!$U331&lt;&gt;"Subscription",'Game Records'!$U331&lt;&gt;"Free Game",'Game Records'!$U331&lt;&gt;"Disqualified — Free Game",'Game Records'!$K331=""),"Final Earned; ","")&amp;IF(AND(LOWER('Game Records'!$D331&amp;"")="finalized",'Game Records'!$U331&lt;&gt;"Subscription",'Game Records'!$U331&lt;&gt;"Free Game",'Game Records'!$U331&lt;&gt;"Disqualified — Free Game",OR('Game Records'!$L331="",LOWER('Game Records'!$L331&amp;"")="n/a")),"Disqualified Status; ",""))</x:f>
      </x:c>
      <x:c r="G331" s="331" t="str">
        <x:f>IF($A331="","",IFERROR('Game Records'!$M331,""))</x:f>
      </x:c>
    </x:row>
    <x:row r="332">
      <x:c r="A332" s="332" t="str">
        <x:f>IF(OR(COUNTA('Game Records'!$A332:$M332)=0,'Game Records'!$F332="Subscription"),"",IFERROR(MAX($A$4:A331),0)+1)</x:f>
      </x:c>
      <x:c r="B332" s="332" t="str">
        <x:f>IF($A332="","","G-"&amp;TEXT(ROW('Game Records'!$A332)-4,"0000"))</x:f>
      </x:c>
      <x:c r="C332" s="331" t="str">
        <x:f>IF($A332="","",IFERROR('Game Records'!$A332,""))</x:f>
      </x:c>
      <x:c r="D332" s="331" t="str">
        <x:f>IF($A332="","",IFERROR('Game Records'!$U332,""))</x:f>
      </x:c>
      <x:c r="E332" s="331" t="str">
        <x:f>IF($A332="","",IF($F332="","No Highlighted Fields","Highlighted Fields Present"))</x:f>
      </x:c>
      <x:c r="F332" s="331" t="str">
        <x:f>IF($A332="","",IF('Game Records'!$B332="","Start Date; ","")&amp;IF('Game Records'!$C332="","End Date; ","")&amp;IF(AND('Game Records'!$U332&lt;&gt;"Subscription",'Game Records'!$U332&lt;&gt;"Free Game",'Game Records'!$U332&lt;&gt;"Disqualified — Free Game",OR('Game Records'!$D332="",LOWER('Game Records'!$D332&amp;"")="n/a")),"Entry Mode; ","")&amp;IF(AND('Game Records'!$U332&lt;&gt;"Subscription",'Game Records'!$U332&lt;&gt;"Free Game",'Game Records'!$U332&lt;&gt;"Disqualified — Free Game",OR('Game Records'!$E332="",LOWER('Game Records'!$E332&amp;"")="n/a")),"Game Type; ","")&amp;IF('Game Records'!$F332="","Payment Type; ","")&amp;IF(AND('Game Records'!$U332&lt;&gt;"Subscription",'Game Records'!$U332&lt;&gt;"Free Game",'Game Records'!$U332&lt;&gt;"Disqualified — Free Game",'Game Records'!$G332=""),"Gross Pot; ","")&amp;IF(AND('Game Records'!$U332&lt;&gt;"Free Game",'Game Records'!$U332&lt;&gt;"Disqualified — Free Game",'Game Records'!$H332=""),"Entry Fee; ","")&amp;IF(AND('Game Records'!$U332&lt;&gt;"Subscription",'Game Records'!$U332&lt;&gt;"Free Game",'Game Records'!$U332&lt;&gt;"Disqualified — Free Game",'Game Records'!$I332=""),"Eligible Players; ","")&amp;IF(AND('Game Records'!$U332&lt;&gt;"Subscription",'Game Records'!$U332&lt;&gt;"Free Game",'Game Records'!$U332&lt;&gt;"Disqualified — Free Game",'Game Records'!$J332=""),"Total Players; ","")&amp;IF(AND(LOWER('Game Records'!$D332&amp;"")="finalized",LOWER('Game Records'!$L332&amp;"")&lt;&gt;"yes",'Game Records'!$U332&lt;&gt;"Subscription",'Game Records'!$U332&lt;&gt;"Free Game",'Game Records'!$U332&lt;&gt;"Disqualified — Free Game",'Game Records'!$K332=""),"Final Earned; ","")&amp;IF(AND(LOWER('Game Records'!$D332&amp;"")="finalized",'Game Records'!$U332&lt;&gt;"Subscription",'Game Records'!$U332&lt;&gt;"Free Game",'Game Records'!$U332&lt;&gt;"Disqualified — Free Game",OR('Game Records'!$L332="",LOWER('Game Records'!$L332&amp;"")="n/a")),"Disqualified Status; ",""))</x:f>
      </x:c>
      <x:c r="G332" s="331" t="str">
        <x:f>IF($A332="","",IFERROR('Game Records'!$M332,""))</x:f>
      </x:c>
    </x:row>
    <x:row r="333">
      <x:c r="A333" s="332" t="str">
        <x:f>IF(OR(COUNTA('Game Records'!$A333:$M333)=0,'Game Records'!$F333="Subscription"),"",IFERROR(MAX($A$4:A332),0)+1)</x:f>
      </x:c>
      <x:c r="B333" s="332" t="str">
        <x:f>IF($A333="","","G-"&amp;TEXT(ROW('Game Records'!$A333)-4,"0000"))</x:f>
      </x:c>
      <x:c r="C333" s="331" t="str">
        <x:f>IF($A333="","",IFERROR('Game Records'!$A333,""))</x:f>
      </x:c>
      <x:c r="D333" s="331" t="str">
        <x:f>IF($A333="","",IFERROR('Game Records'!$U333,""))</x:f>
      </x:c>
      <x:c r="E333" s="331" t="str">
        <x:f>IF($A333="","",IF($F333="","No Highlighted Fields","Highlighted Fields Present"))</x:f>
      </x:c>
      <x:c r="F333" s="331" t="str">
        <x:f>IF($A333="","",IF('Game Records'!$B333="","Start Date; ","")&amp;IF('Game Records'!$C333="","End Date; ","")&amp;IF(AND('Game Records'!$U333&lt;&gt;"Subscription",'Game Records'!$U333&lt;&gt;"Free Game",'Game Records'!$U333&lt;&gt;"Disqualified — Free Game",OR('Game Records'!$D333="",LOWER('Game Records'!$D333&amp;"")="n/a")),"Entry Mode; ","")&amp;IF(AND('Game Records'!$U333&lt;&gt;"Subscription",'Game Records'!$U333&lt;&gt;"Free Game",'Game Records'!$U333&lt;&gt;"Disqualified — Free Game",OR('Game Records'!$E333="",LOWER('Game Records'!$E333&amp;"")="n/a")),"Game Type; ","")&amp;IF('Game Records'!$F333="","Payment Type; ","")&amp;IF(AND('Game Records'!$U333&lt;&gt;"Subscription",'Game Records'!$U333&lt;&gt;"Free Game",'Game Records'!$U333&lt;&gt;"Disqualified — Free Game",'Game Records'!$G333=""),"Gross Pot; ","")&amp;IF(AND('Game Records'!$U333&lt;&gt;"Free Game",'Game Records'!$U333&lt;&gt;"Disqualified — Free Game",'Game Records'!$H333=""),"Entry Fee; ","")&amp;IF(AND('Game Records'!$U333&lt;&gt;"Subscription",'Game Records'!$U333&lt;&gt;"Free Game",'Game Records'!$U333&lt;&gt;"Disqualified — Free Game",'Game Records'!$I333=""),"Eligible Players; ","")&amp;IF(AND('Game Records'!$U333&lt;&gt;"Subscription",'Game Records'!$U333&lt;&gt;"Free Game",'Game Records'!$U333&lt;&gt;"Disqualified — Free Game",'Game Records'!$J333=""),"Total Players; ","")&amp;IF(AND(LOWER('Game Records'!$D333&amp;"")="finalized",LOWER('Game Records'!$L333&amp;"")&lt;&gt;"yes",'Game Records'!$U333&lt;&gt;"Subscription",'Game Records'!$U333&lt;&gt;"Free Game",'Game Records'!$U333&lt;&gt;"Disqualified — Free Game",'Game Records'!$K333=""),"Final Earned; ","")&amp;IF(AND(LOWER('Game Records'!$D333&amp;"")="finalized",'Game Records'!$U333&lt;&gt;"Subscription",'Game Records'!$U333&lt;&gt;"Free Game",'Game Records'!$U333&lt;&gt;"Disqualified — Free Game",OR('Game Records'!$L333="",LOWER('Game Records'!$L333&amp;"")="n/a")),"Disqualified Status; ",""))</x:f>
      </x:c>
      <x:c r="G333" s="331" t="str">
        <x:f>IF($A333="","",IFERROR('Game Records'!$M333,""))</x:f>
      </x:c>
    </x:row>
    <x:row r="334">
      <x:c r="A334" s="332" t="str">
        <x:f>IF(OR(COUNTA('Game Records'!$A334:$M334)=0,'Game Records'!$F334="Subscription"),"",IFERROR(MAX($A$4:A333),0)+1)</x:f>
      </x:c>
      <x:c r="B334" s="332" t="str">
        <x:f>IF($A334="","","G-"&amp;TEXT(ROW('Game Records'!$A334)-4,"0000"))</x:f>
      </x:c>
      <x:c r="C334" s="331" t="str">
        <x:f>IF($A334="","",IFERROR('Game Records'!$A334,""))</x:f>
      </x:c>
      <x:c r="D334" s="331" t="str">
        <x:f>IF($A334="","",IFERROR('Game Records'!$U334,""))</x:f>
      </x:c>
      <x:c r="E334" s="331" t="str">
        <x:f>IF($A334="","",IF($F334="","No Highlighted Fields","Highlighted Fields Present"))</x:f>
      </x:c>
      <x:c r="F334" s="331" t="str">
        <x:f>IF($A334="","",IF('Game Records'!$B334="","Start Date; ","")&amp;IF('Game Records'!$C334="","End Date; ","")&amp;IF(AND('Game Records'!$U334&lt;&gt;"Subscription",'Game Records'!$U334&lt;&gt;"Free Game",'Game Records'!$U334&lt;&gt;"Disqualified — Free Game",OR('Game Records'!$D334="",LOWER('Game Records'!$D334&amp;"")="n/a")),"Entry Mode; ","")&amp;IF(AND('Game Records'!$U334&lt;&gt;"Subscription",'Game Records'!$U334&lt;&gt;"Free Game",'Game Records'!$U334&lt;&gt;"Disqualified — Free Game",OR('Game Records'!$E334="",LOWER('Game Records'!$E334&amp;"")="n/a")),"Game Type; ","")&amp;IF('Game Records'!$F334="","Payment Type; ","")&amp;IF(AND('Game Records'!$U334&lt;&gt;"Subscription",'Game Records'!$U334&lt;&gt;"Free Game",'Game Records'!$U334&lt;&gt;"Disqualified — Free Game",'Game Records'!$G334=""),"Gross Pot; ","")&amp;IF(AND('Game Records'!$U334&lt;&gt;"Free Game",'Game Records'!$U334&lt;&gt;"Disqualified — Free Game",'Game Records'!$H334=""),"Entry Fee; ","")&amp;IF(AND('Game Records'!$U334&lt;&gt;"Subscription",'Game Records'!$U334&lt;&gt;"Free Game",'Game Records'!$U334&lt;&gt;"Disqualified — Free Game",'Game Records'!$I334=""),"Eligible Players; ","")&amp;IF(AND('Game Records'!$U334&lt;&gt;"Subscription",'Game Records'!$U334&lt;&gt;"Free Game",'Game Records'!$U334&lt;&gt;"Disqualified — Free Game",'Game Records'!$J334=""),"Total Players; ","")&amp;IF(AND(LOWER('Game Records'!$D334&amp;"")="finalized",LOWER('Game Records'!$L334&amp;"")&lt;&gt;"yes",'Game Records'!$U334&lt;&gt;"Subscription",'Game Records'!$U334&lt;&gt;"Free Game",'Game Records'!$U334&lt;&gt;"Disqualified — Free Game",'Game Records'!$K334=""),"Final Earned; ","")&amp;IF(AND(LOWER('Game Records'!$D334&amp;"")="finalized",'Game Records'!$U334&lt;&gt;"Subscription",'Game Records'!$U334&lt;&gt;"Free Game",'Game Records'!$U334&lt;&gt;"Disqualified — Free Game",OR('Game Records'!$L334="",LOWER('Game Records'!$L334&amp;"")="n/a")),"Disqualified Status; ",""))</x:f>
      </x:c>
      <x:c r="G334" s="331" t="str">
        <x:f>IF($A334="","",IFERROR('Game Records'!$M334,""))</x:f>
      </x:c>
    </x:row>
    <x:row r="335">
      <x:c r="A335" s="332" t="str">
        <x:f>IF(OR(COUNTA('Game Records'!$A335:$M335)=0,'Game Records'!$F335="Subscription"),"",IFERROR(MAX($A$4:A334),0)+1)</x:f>
      </x:c>
      <x:c r="B335" s="332" t="str">
        <x:f>IF($A335="","","G-"&amp;TEXT(ROW('Game Records'!$A335)-4,"0000"))</x:f>
      </x:c>
      <x:c r="C335" s="331" t="str">
        <x:f>IF($A335="","",IFERROR('Game Records'!$A335,""))</x:f>
      </x:c>
      <x:c r="D335" s="331" t="str">
        <x:f>IF($A335="","",IFERROR('Game Records'!$U335,""))</x:f>
      </x:c>
      <x:c r="E335" s="331" t="str">
        <x:f>IF($A335="","",IF($F335="","No Highlighted Fields","Highlighted Fields Present"))</x:f>
      </x:c>
      <x:c r="F335" s="331" t="str">
        <x:f>IF($A335="","",IF('Game Records'!$B335="","Start Date; ","")&amp;IF('Game Records'!$C335="","End Date; ","")&amp;IF(AND('Game Records'!$U335&lt;&gt;"Subscription",'Game Records'!$U335&lt;&gt;"Free Game",'Game Records'!$U335&lt;&gt;"Disqualified — Free Game",OR('Game Records'!$D335="",LOWER('Game Records'!$D335&amp;"")="n/a")),"Entry Mode; ","")&amp;IF(AND('Game Records'!$U335&lt;&gt;"Subscription",'Game Records'!$U335&lt;&gt;"Free Game",'Game Records'!$U335&lt;&gt;"Disqualified — Free Game",OR('Game Records'!$E335="",LOWER('Game Records'!$E335&amp;"")="n/a")),"Game Type; ","")&amp;IF('Game Records'!$F335="","Payment Type; ","")&amp;IF(AND('Game Records'!$U335&lt;&gt;"Subscription",'Game Records'!$U335&lt;&gt;"Free Game",'Game Records'!$U335&lt;&gt;"Disqualified — Free Game",'Game Records'!$G335=""),"Gross Pot; ","")&amp;IF(AND('Game Records'!$U335&lt;&gt;"Free Game",'Game Records'!$U335&lt;&gt;"Disqualified — Free Game",'Game Records'!$H335=""),"Entry Fee; ","")&amp;IF(AND('Game Records'!$U335&lt;&gt;"Subscription",'Game Records'!$U335&lt;&gt;"Free Game",'Game Records'!$U335&lt;&gt;"Disqualified — Free Game",'Game Records'!$I335=""),"Eligible Players; ","")&amp;IF(AND('Game Records'!$U335&lt;&gt;"Subscription",'Game Records'!$U335&lt;&gt;"Free Game",'Game Records'!$U335&lt;&gt;"Disqualified — Free Game",'Game Records'!$J335=""),"Total Players; ","")&amp;IF(AND(LOWER('Game Records'!$D335&amp;"")="finalized",LOWER('Game Records'!$L335&amp;"")&lt;&gt;"yes",'Game Records'!$U335&lt;&gt;"Subscription",'Game Records'!$U335&lt;&gt;"Free Game",'Game Records'!$U335&lt;&gt;"Disqualified — Free Game",'Game Records'!$K335=""),"Final Earned; ","")&amp;IF(AND(LOWER('Game Records'!$D335&amp;"")="finalized",'Game Records'!$U335&lt;&gt;"Subscription",'Game Records'!$U335&lt;&gt;"Free Game",'Game Records'!$U335&lt;&gt;"Disqualified — Free Game",OR('Game Records'!$L335="",LOWER('Game Records'!$L335&amp;"")="n/a")),"Disqualified Status; ",""))</x:f>
      </x:c>
      <x:c r="G335" s="331" t="str">
        <x:f>IF($A335="","",IFERROR('Game Records'!$M335,""))</x:f>
      </x:c>
    </x:row>
    <x:row r="336">
      <x:c r="A336" s="332" t="str">
        <x:f>IF(OR(COUNTA('Game Records'!$A336:$M336)=0,'Game Records'!$F336="Subscription"),"",IFERROR(MAX($A$4:A335),0)+1)</x:f>
      </x:c>
      <x:c r="B336" s="332" t="str">
        <x:f>IF($A336="","","G-"&amp;TEXT(ROW('Game Records'!$A336)-4,"0000"))</x:f>
      </x:c>
      <x:c r="C336" s="331" t="str">
        <x:f>IF($A336="","",IFERROR('Game Records'!$A336,""))</x:f>
      </x:c>
      <x:c r="D336" s="331" t="str">
        <x:f>IF($A336="","",IFERROR('Game Records'!$U336,""))</x:f>
      </x:c>
      <x:c r="E336" s="331" t="str">
        <x:f>IF($A336="","",IF($F336="","No Highlighted Fields","Highlighted Fields Present"))</x:f>
      </x:c>
      <x:c r="F336" s="331" t="str">
        <x:f>IF($A336="","",IF('Game Records'!$B336="","Start Date; ","")&amp;IF('Game Records'!$C336="","End Date; ","")&amp;IF(AND('Game Records'!$U336&lt;&gt;"Subscription",'Game Records'!$U336&lt;&gt;"Free Game",'Game Records'!$U336&lt;&gt;"Disqualified — Free Game",OR('Game Records'!$D336="",LOWER('Game Records'!$D336&amp;"")="n/a")),"Entry Mode; ","")&amp;IF(AND('Game Records'!$U336&lt;&gt;"Subscription",'Game Records'!$U336&lt;&gt;"Free Game",'Game Records'!$U336&lt;&gt;"Disqualified — Free Game",OR('Game Records'!$E336="",LOWER('Game Records'!$E336&amp;"")="n/a")),"Game Type; ","")&amp;IF('Game Records'!$F336="","Payment Type; ","")&amp;IF(AND('Game Records'!$U336&lt;&gt;"Subscription",'Game Records'!$U336&lt;&gt;"Free Game",'Game Records'!$U336&lt;&gt;"Disqualified — Free Game",'Game Records'!$G336=""),"Gross Pot; ","")&amp;IF(AND('Game Records'!$U336&lt;&gt;"Free Game",'Game Records'!$U336&lt;&gt;"Disqualified — Free Game",'Game Records'!$H336=""),"Entry Fee; ","")&amp;IF(AND('Game Records'!$U336&lt;&gt;"Subscription",'Game Records'!$U336&lt;&gt;"Free Game",'Game Records'!$U336&lt;&gt;"Disqualified — Free Game",'Game Records'!$I336=""),"Eligible Players; ","")&amp;IF(AND('Game Records'!$U336&lt;&gt;"Subscription",'Game Records'!$U336&lt;&gt;"Free Game",'Game Records'!$U336&lt;&gt;"Disqualified — Free Game",'Game Records'!$J336=""),"Total Players; ","")&amp;IF(AND(LOWER('Game Records'!$D336&amp;"")="finalized",LOWER('Game Records'!$L336&amp;"")&lt;&gt;"yes",'Game Records'!$U336&lt;&gt;"Subscription",'Game Records'!$U336&lt;&gt;"Free Game",'Game Records'!$U336&lt;&gt;"Disqualified — Free Game",'Game Records'!$K336=""),"Final Earned; ","")&amp;IF(AND(LOWER('Game Records'!$D336&amp;"")="finalized",'Game Records'!$U336&lt;&gt;"Subscription",'Game Records'!$U336&lt;&gt;"Free Game",'Game Records'!$U336&lt;&gt;"Disqualified — Free Game",OR('Game Records'!$L336="",LOWER('Game Records'!$L336&amp;"")="n/a")),"Disqualified Status; ",""))</x:f>
      </x:c>
      <x:c r="G336" s="331" t="str">
        <x:f>IF($A336="","",IFERROR('Game Records'!$M336,""))</x:f>
      </x:c>
    </x:row>
    <x:row r="337">
      <x:c r="A337" s="332" t="str">
        <x:f>IF(OR(COUNTA('Game Records'!$A337:$M337)=0,'Game Records'!$F337="Subscription"),"",IFERROR(MAX($A$4:A336),0)+1)</x:f>
      </x:c>
      <x:c r="B337" s="332" t="str">
        <x:f>IF($A337="","","G-"&amp;TEXT(ROW('Game Records'!$A337)-4,"0000"))</x:f>
      </x:c>
      <x:c r="C337" s="331" t="str">
        <x:f>IF($A337="","",IFERROR('Game Records'!$A337,""))</x:f>
      </x:c>
      <x:c r="D337" s="331" t="str">
        <x:f>IF($A337="","",IFERROR('Game Records'!$U337,""))</x:f>
      </x:c>
      <x:c r="E337" s="331" t="str">
        <x:f>IF($A337="","",IF($F337="","No Highlighted Fields","Highlighted Fields Present"))</x:f>
      </x:c>
      <x:c r="F337" s="331" t="str">
        <x:f>IF($A337="","",IF('Game Records'!$B337="","Start Date; ","")&amp;IF('Game Records'!$C337="","End Date; ","")&amp;IF(AND('Game Records'!$U337&lt;&gt;"Subscription",'Game Records'!$U337&lt;&gt;"Free Game",'Game Records'!$U337&lt;&gt;"Disqualified — Free Game",OR('Game Records'!$D337="",LOWER('Game Records'!$D337&amp;"")="n/a")),"Entry Mode; ","")&amp;IF(AND('Game Records'!$U337&lt;&gt;"Subscription",'Game Records'!$U337&lt;&gt;"Free Game",'Game Records'!$U337&lt;&gt;"Disqualified — Free Game",OR('Game Records'!$E337="",LOWER('Game Records'!$E337&amp;"")="n/a")),"Game Type; ","")&amp;IF('Game Records'!$F337="","Payment Type; ","")&amp;IF(AND('Game Records'!$U337&lt;&gt;"Subscription",'Game Records'!$U337&lt;&gt;"Free Game",'Game Records'!$U337&lt;&gt;"Disqualified — Free Game",'Game Records'!$G337=""),"Gross Pot; ","")&amp;IF(AND('Game Records'!$U337&lt;&gt;"Free Game",'Game Records'!$U337&lt;&gt;"Disqualified — Free Game",'Game Records'!$H337=""),"Entry Fee; ","")&amp;IF(AND('Game Records'!$U337&lt;&gt;"Subscription",'Game Records'!$U337&lt;&gt;"Free Game",'Game Records'!$U337&lt;&gt;"Disqualified — Free Game",'Game Records'!$I337=""),"Eligible Players; ","")&amp;IF(AND('Game Records'!$U337&lt;&gt;"Subscription",'Game Records'!$U337&lt;&gt;"Free Game",'Game Records'!$U337&lt;&gt;"Disqualified — Free Game",'Game Records'!$J337=""),"Total Players; ","")&amp;IF(AND(LOWER('Game Records'!$D337&amp;"")="finalized",LOWER('Game Records'!$L337&amp;"")&lt;&gt;"yes",'Game Records'!$U337&lt;&gt;"Subscription",'Game Records'!$U337&lt;&gt;"Free Game",'Game Records'!$U337&lt;&gt;"Disqualified — Free Game",'Game Records'!$K337=""),"Final Earned; ","")&amp;IF(AND(LOWER('Game Records'!$D337&amp;"")="finalized",'Game Records'!$U337&lt;&gt;"Subscription",'Game Records'!$U337&lt;&gt;"Free Game",'Game Records'!$U337&lt;&gt;"Disqualified — Free Game",OR('Game Records'!$L337="",LOWER('Game Records'!$L337&amp;"")="n/a")),"Disqualified Status; ",""))</x:f>
      </x:c>
      <x:c r="G337" s="331" t="str">
        <x:f>IF($A337="","",IFERROR('Game Records'!$M337,""))</x:f>
      </x:c>
    </x:row>
    <x:row r="338">
      <x:c r="A338" s="332" t="str">
        <x:f>IF(OR(COUNTA('Game Records'!$A338:$M338)=0,'Game Records'!$F338="Subscription"),"",IFERROR(MAX($A$4:A337),0)+1)</x:f>
      </x:c>
      <x:c r="B338" s="332" t="str">
        <x:f>IF($A338="","","G-"&amp;TEXT(ROW('Game Records'!$A338)-4,"0000"))</x:f>
      </x:c>
      <x:c r="C338" s="331" t="str">
        <x:f>IF($A338="","",IFERROR('Game Records'!$A338,""))</x:f>
      </x:c>
      <x:c r="D338" s="331" t="str">
        <x:f>IF($A338="","",IFERROR('Game Records'!$U338,""))</x:f>
      </x:c>
      <x:c r="E338" s="331" t="str">
        <x:f>IF($A338="","",IF($F338="","No Highlighted Fields","Highlighted Fields Present"))</x:f>
      </x:c>
      <x:c r="F338" s="331" t="str">
        <x:f>IF($A338="","",IF('Game Records'!$B338="","Start Date; ","")&amp;IF('Game Records'!$C338="","End Date; ","")&amp;IF(AND('Game Records'!$U338&lt;&gt;"Subscription",'Game Records'!$U338&lt;&gt;"Free Game",'Game Records'!$U338&lt;&gt;"Disqualified — Free Game",OR('Game Records'!$D338="",LOWER('Game Records'!$D338&amp;"")="n/a")),"Entry Mode; ","")&amp;IF(AND('Game Records'!$U338&lt;&gt;"Subscription",'Game Records'!$U338&lt;&gt;"Free Game",'Game Records'!$U338&lt;&gt;"Disqualified — Free Game",OR('Game Records'!$E338="",LOWER('Game Records'!$E338&amp;"")="n/a")),"Game Type; ","")&amp;IF('Game Records'!$F338="","Payment Type; ","")&amp;IF(AND('Game Records'!$U338&lt;&gt;"Subscription",'Game Records'!$U338&lt;&gt;"Free Game",'Game Records'!$U338&lt;&gt;"Disqualified — Free Game",'Game Records'!$G338=""),"Gross Pot; ","")&amp;IF(AND('Game Records'!$U338&lt;&gt;"Free Game",'Game Records'!$U338&lt;&gt;"Disqualified — Free Game",'Game Records'!$H338=""),"Entry Fee; ","")&amp;IF(AND('Game Records'!$U338&lt;&gt;"Subscription",'Game Records'!$U338&lt;&gt;"Free Game",'Game Records'!$U338&lt;&gt;"Disqualified — Free Game",'Game Records'!$I338=""),"Eligible Players; ","")&amp;IF(AND('Game Records'!$U338&lt;&gt;"Subscription",'Game Records'!$U338&lt;&gt;"Free Game",'Game Records'!$U338&lt;&gt;"Disqualified — Free Game",'Game Records'!$J338=""),"Total Players; ","")&amp;IF(AND(LOWER('Game Records'!$D338&amp;"")="finalized",LOWER('Game Records'!$L338&amp;"")&lt;&gt;"yes",'Game Records'!$U338&lt;&gt;"Subscription",'Game Records'!$U338&lt;&gt;"Free Game",'Game Records'!$U338&lt;&gt;"Disqualified — Free Game",'Game Records'!$K338=""),"Final Earned; ","")&amp;IF(AND(LOWER('Game Records'!$D338&amp;"")="finalized",'Game Records'!$U338&lt;&gt;"Subscription",'Game Records'!$U338&lt;&gt;"Free Game",'Game Records'!$U338&lt;&gt;"Disqualified — Free Game",OR('Game Records'!$L338="",LOWER('Game Records'!$L338&amp;"")="n/a")),"Disqualified Status; ",""))</x:f>
      </x:c>
      <x:c r="G338" s="331" t="str">
        <x:f>IF($A338="","",IFERROR('Game Records'!$M338,""))</x:f>
      </x:c>
    </x:row>
    <x:row r="339">
      <x:c r="A339" s="332" t="str">
        <x:f>IF(OR(COUNTA('Game Records'!$A339:$M339)=0,'Game Records'!$F339="Subscription"),"",IFERROR(MAX($A$4:A338),0)+1)</x:f>
      </x:c>
      <x:c r="B339" s="332" t="str">
        <x:f>IF($A339="","","G-"&amp;TEXT(ROW('Game Records'!$A339)-4,"0000"))</x:f>
      </x:c>
      <x:c r="C339" s="331" t="str">
        <x:f>IF($A339="","",IFERROR('Game Records'!$A339,""))</x:f>
      </x:c>
      <x:c r="D339" s="331" t="str">
        <x:f>IF($A339="","",IFERROR('Game Records'!$U339,""))</x:f>
      </x:c>
      <x:c r="E339" s="331" t="str">
        <x:f>IF($A339="","",IF($F339="","No Highlighted Fields","Highlighted Fields Present"))</x:f>
      </x:c>
      <x:c r="F339" s="331" t="str">
        <x:f>IF($A339="","",IF('Game Records'!$B339="","Start Date; ","")&amp;IF('Game Records'!$C339="","End Date; ","")&amp;IF(AND('Game Records'!$U339&lt;&gt;"Subscription",'Game Records'!$U339&lt;&gt;"Free Game",'Game Records'!$U339&lt;&gt;"Disqualified — Free Game",OR('Game Records'!$D339="",LOWER('Game Records'!$D339&amp;"")="n/a")),"Entry Mode; ","")&amp;IF(AND('Game Records'!$U339&lt;&gt;"Subscription",'Game Records'!$U339&lt;&gt;"Free Game",'Game Records'!$U339&lt;&gt;"Disqualified — Free Game",OR('Game Records'!$E339="",LOWER('Game Records'!$E339&amp;"")="n/a")),"Game Type; ","")&amp;IF('Game Records'!$F339="","Payment Type; ","")&amp;IF(AND('Game Records'!$U339&lt;&gt;"Subscription",'Game Records'!$U339&lt;&gt;"Free Game",'Game Records'!$U339&lt;&gt;"Disqualified — Free Game",'Game Records'!$G339=""),"Gross Pot; ","")&amp;IF(AND('Game Records'!$U339&lt;&gt;"Free Game",'Game Records'!$U339&lt;&gt;"Disqualified — Free Game",'Game Records'!$H339=""),"Entry Fee; ","")&amp;IF(AND('Game Records'!$U339&lt;&gt;"Subscription",'Game Records'!$U339&lt;&gt;"Free Game",'Game Records'!$U339&lt;&gt;"Disqualified — Free Game",'Game Records'!$I339=""),"Eligible Players; ","")&amp;IF(AND('Game Records'!$U339&lt;&gt;"Subscription",'Game Records'!$U339&lt;&gt;"Free Game",'Game Records'!$U339&lt;&gt;"Disqualified — Free Game",'Game Records'!$J339=""),"Total Players; ","")&amp;IF(AND(LOWER('Game Records'!$D339&amp;"")="finalized",LOWER('Game Records'!$L339&amp;"")&lt;&gt;"yes",'Game Records'!$U339&lt;&gt;"Subscription",'Game Records'!$U339&lt;&gt;"Free Game",'Game Records'!$U339&lt;&gt;"Disqualified — Free Game",'Game Records'!$K339=""),"Final Earned; ","")&amp;IF(AND(LOWER('Game Records'!$D339&amp;"")="finalized",'Game Records'!$U339&lt;&gt;"Subscription",'Game Records'!$U339&lt;&gt;"Free Game",'Game Records'!$U339&lt;&gt;"Disqualified — Free Game",OR('Game Records'!$L339="",LOWER('Game Records'!$L339&amp;"")="n/a")),"Disqualified Status; ",""))</x:f>
      </x:c>
      <x:c r="G339" s="331" t="str">
        <x:f>IF($A339="","",IFERROR('Game Records'!$M339,""))</x:f>
      </x:c>
    </x:row>
    <x:row r="340">
      <x:c r="A340" s="332" t="str">
        <x:f>IF(OR(COUNTA('Game Records'!$A340:$M340)=0,'Game Records'!$F340="Subscription"),"",IFERROR(MAX($A$4:A339),0)+1)</x:f>
      </x:c>
      <x:c r="B340" s="332" t="str">
        <x:f>IF($A340="","","G-"&amp;TEXT(ROW('Game Records'!$A340)-4,"0000"))</x:f>
      </x:c>
      <x:c r="C340" s="331" t="str">
        <x:f>IF($A340="","",IFERROR('Game Records'!$A340,""))</x:f>
      </x:c>
      <x:c r="D340" s="331" t="str">
        <x:f>IF($A340="","",IFERROR('Game Records'!$U340,""))</x:f>
      </x:c>
      <x:c r="E340" s="331" t="str">
        <x:f>IF($A340="","",IF($F340="","No Highlighted Fields","Highlighted Fields Present"))</x:f>
      </x:c>
      <x:c r="F340" s="331" t="str">
        <x:f>IF($A340="","",IF('Game Records'!$B340="","Start Date; ","")&amp;IF('Game Records'!$C340="","End Date; ","")&amp;IF(AND('Game Records'!$U340&lt;&gt;"Subscription",'Game Records'!$U340&lt;&gt;"Free Game",'Game Records'!$U340&lt;&gt;"Disqualified — Free Game",OR('Game Records'!$D340="",LOWER('Game Records'!$D340&amp;"")="n/a")),"Entry Mode; ","")&amp;IF(AND('Game Records'!$U340&lt;&gt;"Subscription",'Game Records'!$U340&lt;&gt;"Free Game",'Game Records'!$U340&lt;&gt;"Disqualified — Free Game",OR('Game Records'!$E340="",LOWER('Game Records'!$E340&amp;"")="n/a")),"Game Type; ","")&amp;IF('Game Records'!$F340="","Payment Type; ","")&amp;IF(AND('Game Records'!$U340&lt;&gt;"Subscription",'Game Records'!$U340&lt;&gt;"Free Game",'Game Records'!$U340&lt;&gt;"Disqualified — Free Game",'Game Records'!$G340=""),"Gross Pot; ","")&amp;IF(AND('Game Records'!$U340&lt;&gt;"Free Game",'Game Records'!$U340&lt;&gt;"Disqualified — Free Game",'Game Records'!$H340=""),"Entry Fee; ","")&amp;IF(AND('Game Records'!$U340&lt;&gt;"Subscription",'Game Records'!$U340&lt;&gt;"Free Game",'Game Records'!$U340&lt;&gt;"Disqualified — Free Game",'Game Records'!$I340=""),"Eligible Players; ","")&amp;IF(AND('Game Records'!$U340&lt;&gt;"Subscription",'Game Records'!$U340&lt;&gt;"Free Game",'Game Records'!$U340&lt;&gt;"Disqualified — Free Game",'Game Records'!$J340=""),"Total Players; ","")&amp;IF(AND(LOWER('Game Records'!$D340&amp;"")="finalized",LOWER('Game Records'!$L340&amp;"")&lt;&gt;"yes",'Game Records'!$U340&lt;&gt;"Subscription",'Game Records'!$U340&lt;&gt;"Free Game",'Game Records'!$U340&lt;&gt;"Disqualified — Free Game",'Game Records'!$K340=""),"Final Earned; ","")&amp;IF(AND(LOWER('Game Records'!$D340&amp;"")="finalized",'Game Records'!$U340&lt;&gt;"Subscription",'Game Records'!$U340&lt;&gt;"Free Game",'Game Records'!$U340&lt;&gt;"Disqualified — Free Game",OR('Game Records'!$L340="",LOWER('Game Records'!$L340&amp;"")="n/a")),"Disqualified Status; ",""))</x:f>
      </x:c>
      <x:c r="G340" s="331" t="str">
        <x:f>IF($A340="","",IFERROR('Game Records'!$M340,""))</x:f>
      </x:c>
    </x:row>
    <x:row r="341">
      <x:c r="A341" s="332" t="str">
        <x:f>IF(OR(COUNTA('Game Records'!$A341:$M341)=0,'Game Records'!$F341="Subscription"),"",IFERROR(MAX($A$4:A340),0)+1)</x:f>
      </x:c>
      <x:c r="B341" s="332" t="str">
        <x:f>IF($A341="","","G-"&amp;TEXT(ROW('Game Records'!$A341)-4,"0000"))</x:f>
      </x:c>
      <x:c r="C341" s="331" t="str">
        <x:f>IF($A341="","",IFERROR('Game Records'!$A341,""))</x:f>
      </x:c>
      <x:c r="D341" s="331" t="str">
        <x:f>IF($A341="","",IFERROR('Game Records'!$U341,""))</x:f>
      </x:c>
      <x:c r="E341" s="331" t="str">
        <x:f>IF($A341="","",IF($F341="","No Highlighted Fields","Highlighted Fields Present"))</x:f>
      </x:c>
      <x:c r="F341" s="331" t="str">
        <x:f>IF($A341="","",IF('Game Records'!$B341="","Start Date; ","")&amp;IF('Game Records'!$C341="","End Date; ","")&amp;IF(AND('Game Records'!$U341&lt;&gt;"Subscription",'Game Records'!$U341&lt;&gt;"Free Game",'Game Records'!$U341&lt;&gt;"Disqualified — Free Game",OR('Game Records'!$D341="",LOWER('Game Records'!$D341&amp;"")="n/a")),"Entry Mode; ","")&amp;IF(AND('Game Records'!$U341&lt;&gt;"Subscription",'Game Records'!$U341&lt;&gt;"Free Game",'Game Records'!$U341&lt;&gt;"Disqualified — Free Game",OR('Game Records'!$E341="",LOWER('Game Records'!$E341&amp;"")="n/a")),"Game Type; ","")&amp;IF('Game Records'!$F341="","Payment Type; ","")&amp;IF(AND('Game Records'!$U341&lt;&gt;"Subscription",'Game Records'!$U341&lt;&gt;"Free Game",'Game Records'!$U341&lt;&gt;"Disqualified — Free Game",'Game Records'!$G341=""),"Gross Pot; ","")&amp;IF(AND('Game Records'!$U341&lt;&gt;"Free Game",'Game Records'!$U341&lt;&gt;"Disqualified — Free Game",'Game Records'!$H341=""),"Entry Fee; ","")&amp;IF(AND('Game Records'!$U341&lt;&gt;"Subscription",'Game Records'!$U341&lt;&gt;"Free Game",'Game Records'!$U341&lt;&gt;"Disqualified — Free Game",'Game Records'!$I341=""),"Eligible Players; ","")&amp;IF(AND('Game Records'!$U341&lt;&gt;"Subscription",'Game Records'!$U341&lt;&gt;"Free Game",'Game Records'!$U341&lt;&gt;"Disqualified — Free Game",'Game Records'!$J341=""),"Total Players; ","")&amp;IF(AND(LOWER('Game Records'!$D341&amp;"")="finalized",LOWER('Game Records'!$L341&amp;"")&lt;&gt;"yes",'Game Records'!$U341&lt;&gt;"Subscription",'Game Records'!$U341&lt;&gt;"Free Game",'Game Records'!$U341&lt;&gt;"Disqualified — Free Game",'Game Records'!$K341=""),"Final Earned; ","")&amp;IF(AND(LOWER('Game Records'!$D341&amp;"")="finalized",'Game Records'!$U341&lt;&gt;"Subscription",'Game Records'!$U341&lt;&gt;"Free Game",'Game Records'!$U341&lt;&gt;"Disqualified — Free Game",OR('Game Records'!$L341="",LOWER('Game Records'!$L341&amp;"")="n/a")),"Disqualified Status; ",""))</x:f>
      </x:c>
      <x:c r="G341" s="331" t="str">
        <x:f>IF($A341="","",IFERROR('Game Records'!$M341,""))</x:f>
      </x:c>
    </x:row>
    <x:row r="342">
      <x:c r="A342" s="332" t="str">
        <x:f>IF(OR(COUNTA('Game Records'!$A342:$M342)=0,'Game Records'!$F342="Subscription"),"",IFERROR(MAX($A$4:A341),0)+1)</x:f>
      </x:c>
      <x:c r="B342" s="332" t="str">
        <x:f>IF($A342="","","G-"&amp;TEXT(ROW('Game Records'!$A342)-4,"0000"))</x:f>
      </x:c>
      <x:c r="C342" s="331" t="str">
        <x:f>IF($A342="","",IFERROR('Game Records'!$A342,""))</x:f>
      </x:c>
      <x:c r="D342" s="331" t="str">
        <x:f>IF($A342="","",IFERROR('Game Records'!$U342,""))</x:f>
      </x:c>
      <x:c r="E342" s="331" t="str">
        <x:f>IF($A342="","",IF($F342="","No Highlighted Fields","Highlighted Fields Present"))</x:f>
      </x:c>
      <x:c r="F342" s="331" t="str">
        <x:f>IF($A342="","",IF('Game Records'!$B342="","Start Date; ","")&amp;IF('Game Records'!$C342="","End Date; ","")&amp;IF(AND('Game Records'!$U342&lt;&gt;"Subscription",'Game Records'!$U342&lt;&gt;"Free Game",'Game Records'!$U342&lt;&gt;"Disqualified — Free Game",OR('Game Records'!$D342="",LOWER('Game Records'!$D342&amp;"")="n/a")),"Entry Mode; ","")&amp;IF(AND('Game Records'!$U342&lt;&gt;"Subscription",'Game Records'!$U342&lt;&gt;"Free Game",'Game Records'!$U342&lt;&gt;"Disqualified — Free Game",OR('Game Records'!$E342="",LOWER('Game Records'!$E342&amp;"")="n/a")),"Game Type; ","")&amp;IF('Game Records'!$F342="","Payment Type; ","")&amp;IF(AND('Game Records'!$U342&lt;&gt;"Subscription",'Game Records'!$U342&lt;&gt;"Free Game",'Game Records'!$U342&lt;&gt;"Disqualified — Free Game",'Game Records'!$G342=""),"Gross Pot; ","")&amp;IF(AND('Game Records'!$U342&lt;&gt;"Free Game",'Game Records'!$U342&lt;&gt;"Disqualified — Free Game",'Game Records'!$H342=""),"Entry Fee; ","")&amp;IF(AND('Game Records'!$U342&lt;&gt;"Subscription",'Game Records'!$U342&lt;&gt;"Free Game",'Game Records'!$U342&lt;&gt;"Disqualified — Free Game",'Game Records'!$I342=""),"Eligible Players; ","")&amp;IF(AND('Game Records'!$U342&lt;&gt;"Subscription",'Game Records'!$U342&lt;&gt;"Free Game",'Game Records'!$U342&lt;&gt;"Disqualified — Free Game",'Game Records'!$J342=""),"Total Players; ","")&amp;IF(AND(LOWER('Game Records'!$D342&amp;"")="finalized",LOWER('Game Records'!$L342&amp;"")&lt;&gt;"yes",'Game Records'!$U342&lt;&gt;"Subscription",'Game Records'!$U342&lt;&gt;"Free Game",'Game Records'!$U342&lt;&gt;"Disqualified — Free Game",'Game Records'!$K342=""),"Final Earned; ","")&amp;IF(AND(LOWER('Game Records'!$D342&amp;"")="finalized",'Game Records'!$U342&lt;&gt;"Subscription",'Game Records'!$U342&lt;&gt;"Free Game",'Game Records'!$U342&lt;&gt;"Disqualified — Free Game",OR('Game Records'!$L342="",LOWER('Game Records'!$L342&amp;"")="n/a")),"Disqualified Status; ",""))</x:f>
      </x:c>
      <x:c r="G342" s="331" t="str">
        <x:f>IF($A342="","",IFERROR('Game Records'!$M342,""))</x:f>
      </x:c>
    </x:row>
    <x:row r="343">
      <x:c r="A343" s="332" t="str">
        <x:f>IF(OR(COUNTA('Game Records'!$A343:$M343)=0,'Game Records'!$F343="Subscription"),"",IFERROR(MAX($A$4:A342),0)+1)</x:f>
      </x:c>
      <x:c r="B343" s="332" t="str">
        <x:f>IF($A343="","","G-"&amp;TEXT(ROW('Game Records'!$A343)-4,"0000"))</x:f>
      </x:c>
      <x:c r="C343" s="331" t="str">
        <x:f>IF($A343="","",IFERROR('Game Records'!$A343,""))</x:f>
      </x:c>
      <x:c r="D343" s="331" t="str">
        <x:f>IF($A343="","",IFERROR('Game Records'!$U343,""))</x:f>
      </x:c>
      <x:c r="E343" s="331" t="str">
        <x:f>IF($A343="","",IF($F343="","No Highlighted Fields","Highlighted Fields Present"))</x:f>
      </x:c>
      <x:c r="F343" s="331" t="str">
        <x:f>IF($A343="","",IF('Game Records'!$B343="","Start Date; ","")&amp;IF('Game Records'!$C343="","End Date; ","")&amp;IF(AND('Game Records'!$U343&lt;&gt;"Subscription",'Game Records'!$U343&lt;&gt;"Free Game",'Game Records'!$U343&lt;&gt;"Disqualified — Free Game",OR('Game Records'!$D343="",LOWER('Game Records'!$D343&amp;"")="n/a")),"Entry Mode; ","")&amp;IF(AND('Game Records'!$U343&lt;&gt;"Subscription",'Game Records'!$U343&lt;&gt;"Free Game",'Game Records'!$U343&lt;&gt;"Disqualified — Free Game",OR('Game Records'!$E343="",LOWER('Game Records'!$E343&amp;"")="n/a")),"Game Type; ","")&amp;IF('Game Records'!$F343="","Payment Type; ","")&amp;IF(AND('Game Records'!$U343&lt;&gt;"Subscription",'Game Records'!$U343&lt;&gt;"Free Game",'Game Records'!$U343&lt;&gt;"Disqualified — Free Game",'Game Records'!$G343=""),"Gross Pot; ","")&amp;IF(AND('Game Records'!$U343&lt;&gt;"Free Game",'Game Records'!$U343&lt;&gt;"Disqualified — Free Game",'Game Records'!$H343=""),"Entry Fee; ","")&amp;IF(AND('Game Records'!$U343&lt;&gt;"Subscription",'Game Records'!$U343&lt;&gt;"Free Game",'Game Records'!$U343&lt;&gt;"Disqualified — Free Game",'Game Records'!$I343=""),"Eligible Players; ","")&amp;IF(AND('Game Records'!$U343&lt;&gt;"Subscription",'Game Records'!$U343&lt;&gt;"Free Game",'Game Records'!$U343&lt;&gt;"Disqualified — Free Game",'Game Records'!$J343=""),"Total Players; ","")&amp;IF(AND(LOWER('Game Records'!$D343&amp;"")="finalized",LOWER('Game Records'!$L343&amp;"")&lt;&gt;"yes",'Game Records'!$U343&lt;&gt;"Subscription",'Game Records'!$U343&lt;&gt;"Free Game",'Game Records'!$U343&lt;&gt;"Disqualified — Free Game",'Game Records'!$K343=""),"Final Earned; ","")&amp;IF(AND(LOWER('Game Records'!$D343&amp;"")="finalized",'Game Records'!$U343&lt;&gt;"Subscription",'Game Records'!$U343&lt;&gt;"Free Game",'Game Records'!$U343&lt;&gt;"Disqualified — Free Game",OR('Game Records'!$L343="",LOWER('Game Records'!$L343&amp;"")="n/a")),"Disqualified Status; ",""))</x:f>
      </x:c>
      <x:c r="G343" s="331" t="str">
        <x:f>IF($A343="","",IFERROR('Game Records'!$M343,""))</x:f>
      </x:c>
    </x:row>
    <x:row r="344">
      <x:c r="A344" s="332" t="str">
        <x:f>IF(OR(COUNTA('Game Records'!$A344:$M344)=0,'Game Records'!$F344="Subscription"),"",IFERROR(MAX($A$4:A343),0)+1)</x:f>
      </x:c>
      <x:c r="B344" s="332" t="str">
        <x:f>IF($A344="","","G-"&amp;TEXT(ROW('Game Records'!$A344)-4,"0000"))</x:f>
      </x:c>
      <x:c r="C344" s="331" t="str">
        <x:f>IF($A344="","",IFERROR('Game Records'!$A344,""))</x:f>
      </x:c>
      <x:c r="D344" s="331" t="str">
        <x:f>IF($A344="","",IFERROR('Game Records'!$U344,""))</x:f>
      </x:c>
      <x:c r="E344" s="331" t="str">
        <x:f>IF($A344="","",IF($F344="","No Highlighted Fields","Highlighted Fields Present"))</x:f>
      </x:c>
      <x:c r="F344" s="331" t="str">
        <x:f>IF($A344="","",IF('Game Records'!$B344="","Start Date; ","")&amp;IF('Game Records'!$C344="","End Date; ","")&amp;IF(AND('Game Records'!$U344&lt;&gt;"Subscription",'Game Records'!$U344&lt;&gt;"Free Game",'Game Records'!$U344&lt;&gt;"Disqualified — Free Game",OR('Game Records'!$D344="",LOWER('Game Records'!$D344&amp;"")="n/a")),"Entry Mode; ","")&amp;IF(AND('Game Records'!$U344&lt;&gt;"Subscription",'Game Records'!$U344&lt;&gt;"Free Game",'Game Records'!$U344&lt;&gt;"Disqualified — Free Game",OR('Game Records'!$E344="",LOWER('Game Records'!$E344&amp;"")="n/a")),"Game Type; ","")&amp;IF('Game Records'!$F344="","Payment Type; ","")&amp;IF(AND('Game Records'!$U344&lt;&gt;"Subscription",'Game Records'!$U344&lt;&gt;"Free Game",'Game Records'!$U344&lt;&gt;"Disqualified — Free Game",'Game Records'!$G344=""),"Gross Pot; ","")&amp;IF(AND('Game Records'!$U344&lt;&gt;"Free Game",'Game Records'!$U344&lt;&gt;"Disqualified — Free Game",'Game Records'!$H344=""),"Entry Fee; ","")&amp;IF(AND('Game Records'!$U344&lt;&gt;"Subscription",'Game Records'!$U344&lt;&gt;"Free Game",'Game Records'!$U344&lt;&gt;"Disqualified — Free Game",'Game Records'!$I344=""),"Eligible Players; ","")&amp;IF(AND('Game Records'!$U344&lt;&gt;"Subscription",'Game Records'!$U344&lt;&gt;"Free Game",'Game Records'!$U344&lt;&gt;"Disqualified — Free Game",'Game Records'!$J344=""),"Total Players; ","")&amp;IF(AND(LOWER('Game Records'!$D344&amp;"")="finalized",LOWER('Game Records'!$L344&amp;"")&lt;&gt;"yes",'Game Records'!$U344&lt;&gt;"Subscription",'Game Records'!$U344&lt;&gt;"Free Game",'Game Records'!$U344&lt;&gt;"Disqualified — Free Game",'Game Records'!$K344=""),"Final Earned; ","")&amp;IF(AND(LOWER('Game Records'!$D344&amp;"")="finalized",'Game Records'!$U344&lt;&gt;"Subscription",'Game Records'!$U344&lt;&gt;"Free Game",'Game Records'!$U344&lt;&gt;"Disqualified — Free Game",OR('Game Records'!$L344="",LOWER('Game Records'!$L344&amp;"")="n/a")),"Disqualified Status; ",""))</x:f>
      </x:c>
      <x:c r="G344" s="331" t="str">
        <x:f>IF($A344="","",IFERROR('Game Records'!$M344,""))</x:f>
      </x:c>
    </x:row>
    <x:row r="345">
      <x:c r="A345" s="332" t="str">
        <x:f>IF(OR(COUNTA('Game Records'!$A345:$M345)=0,'Game Records'!$F345="Subscription"),"",IFERROR(MAX($A$4:A344),0)+1)</x:f>
      </x:c>
      <x:c r="B345" s="332" t="str">
        <x:f>IF($A345="","","G-"&amp;TEXT(ROW('Game Records'!$A345)-4,"0000"))</x:f>
      </x:c>
      <x:c r="C345" s="331" t="str">
        <x:f>IF($A345="","",IFERROR('Game Records'!$A345,""))</x:f>
      </x:c>
      <x:c r="D345" s="331" t="str">
        <x:f>IF($A345="","",IFERROR('Game Records'!$U345,""))</x:f>
      </x:c>
      <x:c r="E345" s="331" t="str">
        <x:f>IF($A345="","",IF($F345="","No Highlighted Fields","Highlighted Fields Present"))</x:f>
      </x:c>
      <x:c r="F345" s="331" t="str">
        <x:f>IF($A345="","",IF('Game Records'!$B345="","Start Date; ","")&amp;IF('Game Records'!$C345="","End Date; ","")&amp;IF(AND('Game Records'!$U345&lt;&gt;"Subscription",'Game Records'!$U345&lt;&gt;"Free Game",'Game Records'!$U345&lt;&gt;"Disqualified — Free Game",OR('Game Records'!$D345="",LOWER('Game Records'!$D345&amp;"")="n/a")),"Entry Mode; ","")&amp;IF(AND('Game Records'!$U345&lt;&gt;"Subscription",'Game Records'!$U345&lt;&gt;"Free Game",'Game Records'!$U345&lt;&gt;"Disqualified — Free Game",OR('Game Records'!$E345="",LOWER('Game Records'!$E345&amp;"")="n/a")),"Game Type; ","")&amp;IF('Game Records'!$F345="","Payment Type; ","")&amp;IF(AND('Game Records'!$U345&lt;&gt;"Subscription",'Game Records'!$U345&lt;&gt;"Free Game",'Game Records'!$U345&lt;&gt;"Disqualified — Free Game",'Game Records'!$G345=""),"Gross Pot; ","")&amp;IF(AND('Game Records'!$U345&lt;&gt;"Free Game",'Game Records'!$U345&lt;&gt;"Disqualified — Free Game",'Game Records'!$H345=""),"Entry Fee; ","")&amp;IF(AND('Game Records'!$U345&lt;&gt;"Subscription",'Game Records'!$U345&lt;&gt;"Free Game",'Game Records'!$U345&lt;&gt;"Disqualified — Free Game",'Game Records'!$I345=""),"Eligible Players; ","")&amp;IF(AND('Game Records'!$U345&lt;&gt;"Subscription",'Game Records'!$U345&lt;&gt;"Free Game",'Game Records'!$U345&lt;&gt;"Disqualified — Free Game",'Game Records'!$J345=""),"Total Players; ","")&amp;IF(AND(LOWER('Game Records'!$D345&amp;"")="finalized",LOWER('Game Records'!$L345&amp;"")&lt;&gt;"yes",'Game Records'!$U345&lt;&gt;"Subscription",'Game Records'!$U345&lt;&gt;"Free Game",'Game Records'!$U345&lt;&gt;"Disqualified — Free Game",'Game Records'!$K345=""),"Final Earned; ","")&amp;IF(AND(LOWER('Game Records'!$D345&amp;"")="finalized",'Game Records'!$U345&lt;&gt;"Subscription",'Game Records'!$U345&lt;&gt;"Free Game",'Game Records'!$U345&lt;&gt;"Disqualified — Free Game",OR('Game Records'!$L345="",LOWER('Game Records'!$L345&amp;"")="n/a")),"Disqualified Status; ",""))</x:f>
      </x:c>
      <x:c r="G345" s="331" t="str">
        <x:f>IF($A345="","",IFERROR('Game Records'!$M345,""))</x:f>
      </x:c>
    </x:row>
    <x:row r="346">
      <x:c r="A346" s="332" t="str">
        <x:f>IF(OR(COUNTA('Game Records'!$A346:$M346)=0,'Game Records'!$F346="Subscription"),"",IFERROR(MAX($A$4:A345),0)+1)</x:f>
      </x:c>
      <x:c r="B346" s="332" t="str">
        <x:f>IF($A346="","","G-"&amp;TEXT(ROW('Game Records'!$A346)-4,"0000"))</x:f>
      </x:c>
      <x:c r="C346" s="331" t="str">
        <x:f>IF($A346="","",IFERROR('Game Records'!$A346,""))</x:f>
      </x:c>
      <x:c r="D346" s="331" t="str">
        <x:f>IF($A346="","",IFERROR('Game Records'!$U346,""))</x:f>
      </x:c>
      <x:c r="E346" s="331" t="str">
        <x:f>IF($A346="","",IF($F346="","No Highlighted Fields","Highlighted Fields Present"))</x:f>
      </x:c>
      <x:c r="F346" s="331" t="str">
        <x:f>IF($A346="","",IF('Game Records'!$B346="","Start Date; ","")&amp;IF('Game Records'!$C346="","End Date; ","")&amp;IF(AND('Game Records'!$U346&lt;&gt;"Subscription",'Game Records'!$U346&lt;&gt;"Free Game",'Game Records'!$U346&lt;&gt;"Disqualified — Free Game",OR('Game Records'!$D346="",LOWER('Game Records'!$D346&amp;"")="n/a")),"Entry Mode; ","")&amp;IF(AND('Game Records'!$U346&lt;&gt;"Subscription",'Game Records'!$U346&lt;&gt;"Free Game",'Game Records'!$U346&lt;&gt;"Disqualified — Free Game",OR('Game Records'!$E346="",LOWER('Game Records'!$E346&amp;"")="n/a")),"Game Type; ","")&amp;IF('Game Records'!$F346="","Payment Type; ","")&amp;IF(AND('Game Records'!$U346&lt;&gt;"Subscription",'Game Records'!$U346&lt;&gt;"Free Game",'Game Records'!$U346&lt;&gt;"Disqualified — Free Game",'Game Records'!$G346=""),"Gross Pot; ","")&amp;IF(AND('Game Records'!$U346&lt;&gt;"Free Game",'Game Records'!$U346&lt;&gt;"Disqualified — Free Game",'Game Records'!$H346=""),"Entry Fee; ","")&amp;IF(AND('Game Records'!$U346&lt;&gt;"Subscription",'Game Records'!$U346&lt;&gt;"Free Game",'Game Records'!$U346&lt;&gt;"Disqualified — Free Game",'Game Records'!$I346=""),"Eligible Players; ","")&amp;IF(AND('Game Records'!$U346&lt;&gt;"Subscription",'Game Records'!$U346&lt;&gt;"Free Game",'Game Records'!$U346&lt;&gt;"Disqualified — Free Game",'Game Records'!$J346=""),"Total Players; ","")&amp;IF(AND(LOWER('Game Records'!$D346&amp;"")="finalized",LOWER('Game Records'!$L346&amp;"")&lt;&gt;"yes",'Game Records'!$U346&lt;&gt;"Subscription",'Game Records'!$U346&lt;&gt;"Free Game",'Game Records'!$U346&lt;&gt;"Disqualified — Free Game",'Game Records'!$K346=""),"Final Earned; ","")&amp;IF(AND(LOWER('Game Records'!$D346&amp;"")="finalized",'Game Records'!$U346&lt;&gt;"Subscription",'Game Records'!$U346&lt;&gt;"Free Game",'Game Records'!$U346&lt;&gt;"Disqualified — Free Game",OR('Game Records'!$L346="",LOWER('Game Records'!$L346&amp;"")="n/a")),"Disqualified Status; ",""))</x:f>
      </x:c>
      <x:c r="G346" s="331" t="str">
        <x:f>IF($A346="","",IFERROR('Game Records'!$M346,""))</x:f>
      </x:c>
    </x:row>
    <x:row r="347">
      <x:c r="A347" s="332" t="str">
        <x:f>IF(OR(COUNTA('Game Records'!$A347:$M347)=0,'Game Records'!$F347="Subscription"),"",IFERROR(MAX($A$4:A346),0)+1)</x:f>
      </x:c>
      <x:c r="B347" s="332" t="str">
        <x:f>IF($A347="","","G-"&amp;TEXT(ROW('Game Records'!$A347)-4,"0000"))</x:f>
      </x:c>
      <x:c r="C347" s="331" t="str">
        <x:f>IF($A347="","",IFERROR('Game Records'!$A347,""))</x:f>
      </x:c>
      <x:c r="D347" s="331" t="str">
        <x:f>IF($A347="","",IFERROR('Game Records'!$U347,""))</x:f>
      </x:c>
      <x:c r="E347" s="331" t="str">
        <x:f>IF($A347="","",IF($F347="","No Highlighted Fields","Highlighted Fields Present"))</x:f>
      </x:c>
      <x:c r="F347" s="331" t="str">
        <x:f>IF($A347="","",IF('Game Records'!$B347="","Start Date; ","")&amp;IF('Game Records'!$C347="","End Date; ","")&amp;IF(AND('Game Records'!$U347&lt;&gt;"Subscription",'Game Records'!$U347&lt;&gt;"Free Game",'Game Records'!$U347&lt;&gt;"Disqualified — Free Game",OR('Game Records'!$D347="",LOWER('Game Records'!$D347&amp;"")="n/a")),"Entry Mode; ","")&amp;IF(AND('Game Records'!$U347&lt;&gt;"Subscription",'Game Records'!$U347&lt;&gt;"Free Game",'Game Records'!$U347&lt;&gt;"Disqualified — Free Game",OR('Game Records'!$E347="",LOWER('Game Records'!$E347&amp;"")="n/a")),"Game Type; ","")&amp;IF('Game Records'!$F347="","Payment Type; ","")&amp;IF(AND('Game Records'!$U347&lt;&gt;"Subscription",'Game Records'!$U347&lt;&gt;"Free Game",'Game Records'!$U347&lt;&gt;"Disqualified — Free Game",'Game Records'!$G347=""),"Gross Pot; ","")&amp;IF(AND('Game Records'!$U347&lt;&gt;"Free Game",'Game Records'!$U347&lt;&gt;"Disqualified — Free Game",'Game Records'!$H347=""),"Entry Fee; ","")&amp;IF(AND('Game Records'!$U347&lt;&gt;"Subscription",'Game Records'!$U347&lt;&gt;"Free Game",'Game Records'!$U347&lt;&gt;"Disqualified — Free Game",'Game Records'!$I347=""),"Eligible Players; ","")&amp;IF(AND('Game Records'!$U347&lt;&gt;"Subscription",'Game Records'!$U347&lt;&gt;"Free Game",'Game Records'!$U347&lt;&gt;"Disqualified — Free Game",'Game Records'!$J347=""),"Total Players; ","")&amp;IF(AND(LOWER('Game Records'!$D347&amp;"")="finalized",LOWER('Game Records'!$L347&amp;"")&lt;&gt;"yes",'Game Records'!$U347&lt;&gt;"Subscription",'Game Records'!$U347&lt;&gt;"Free Game",'Game Records'!$U347&lt;&gt;"Disqualified — Free Game",'Game Records'!$K347=""),"Final Earned; ","")&amp;IF(AND(LOWER('Game Records'!$D347&amp;"")="finalized",'Game Records'!$U347&lt;&gt;"Subscription",'Game Records'!$U347&lt;&gt;"Free Game",'Game Records'!$U347&lt;&gt;"Disqualified — Free Game",OR('Game Records'!$L347="",LOWER('Game Records'!$L347&amp;"")="n/a")),"Disqualified Status; ",""))</x:f>
      </x:c>
      <x:c r="G347" s="331" t="str">
        <x:f>IF($A347="","",IFERROR('Game Records'!$M347,""))</x:f>
      </x:c>
    </x:row>
    <x:row r="348">
      <x:c r="A348" s="332" t="str">
        <x:f>IF(OR(COUNTA('Game Records'!$A348:$M348)=0,'Game Records'!$F348="Subscription"),"",IFERROR(MAX($A$4:A347),0)+1)</x:f>
      </x:c>
      <x:c r="B348" s="332" t="str">
        <x:f>IF($A348="","","G-"&amp;TEXT(ROW('Game Records'!$A348)-4,"0000"))</x:f>
      </x:c>
      <x:c r="C348" s="331" t="str">
        <x:f>IF($A348="","",IFERROR('Game Records'!$A348,""))</x:f>
      </x:c>
      <x:c r="D348" s="331" t="str">
        <x:f>IF($A348="","",IFERROR('Game Records'!$U348,""))</x:f>
      </x:c>
      <x:c r="E348" s="331" t="str">
        <x:f>IF($A348="","",IF($F348="","No Highlighted Fields","Highlighted Fields Present"))</x:f>
      </x:c>
      <x:c r="F348" s="331" t="str">
        <x:f>IF($A348="","",IF('Game Records'!$B348="","Start Date; ","")&amp;IF('Game Records'!$C348="","End Date; ","")&amp;IF(AND('Game Records'!$U348&lt;&gt;"Subscription",'Game Records'!$U348&lt;&gt;"Free Game",'Game Records'!$U348&lt;&gt;"Disqualified — Free Game",OR('Game Records'!$D348="",LOWER('Game Records'!$D348&amp;"")="n/a")),"Entry Mode; ","")&amp;IF(AND('Game Records'!$U348&lt;&gt;"Subscription",'Game Records'!$U348&lt;&gt;"Free Game",'Game Records'!$U348&lt;&gt;"Disqualified — Free Game",OR('Game Records'!$E348="",LOWER('Game Records'!$E348&amp;"")="n/a")),"Game Type; ","")&amp;IF('Game Records'!$F348="","Payment Type; ","")&amp;IF(AND('Game Records'!$U348&lt;&gt;"Subscription",'Game Records'!$U348&lt;&gt;"Free Game",'Game Records'!$U348&lt;&gt;"Disqualified — Free Game",'Game Records'!$G348=""),"Gross Pot; ","")&amp;IF(AND('Game Records'!$U348&lt;&gt;"Free Game",'Game Records'!$U348&lt;&gt;"Disqualified — Free Game",'Game Records'!$H348=""),"Entry Fee; ","")&amp;IF(AND('Game Records'!$U348&lt;&gt;"Subscription",'Game Records'!$U348&lt;&gt;"Free Game",'Game Records'!$U348&lt;&gt;"Disqualified — Free Game",'Game Records'!$I348=""),"Eligible Players; ","")&amp;IF(AND('Game Records'!$U348&lt;&gt;"Subscription",'Game Records'!$U348&lt;&gt;"Free Game",'Game Records'!$U348&lt;&gt;"Disqualified — Free Game",'Game Records'!$J348=""),"Total Players; ","")&amp;IF(AND(LOWER('Game Records'!$D348&amp;"")="finalized",LOWER('Game Records'!$L348&amp;"")&lt;&gt;"yes",'Game Records'!$U348&lt;&gt;"Subscription",'Game Records'!$U348&lt;&gt;"Free Game",'Game Records'!$U348&lt;&gt;"Disqualified — Free Game",'Game Records'!$K348=""),"Final Earned; ","")&amp;IF(AND(LOWER('Game Records'!$D348&amp;"")="finalized",'Game Records'!$U348&lt;&gt;"Subscription",'Game Records'!$U348&lt;&gt;"Free Game",'Game Records'!$U348&lt;&gt;"Disqualified — Free Game",OR('Game Records'!$L348="",LOWER('Game Records'!$L348&amp;"")="n/a")),"Disqualified Status; ",""))</x:f>
      </x:c>
      <x:c r="G348" s="331" t="str">
        <x:f>IF($A348="","",IFERROR('Game Records'!$M348,""))</x:f>
      </x:c>
    </x:row>
    <x:row r="349">
      <x:c r="A349" s="332" t="str">
        <x:f>IF(OR(COUNTA('Game Records'!$A349:$M349)=0,'Game Records'!$F349="Subscription"),"",IFERROR(MAX($A$4:A348),0)+1)</x:f>
      </x:c>
      <x:c r="B349" s="332" t="str">
        <x:f>IF($A349="","","G-"&amp;TEXT(ROW('Game Records'!$A349)-4,"0000"))</x:f>
      </x:c>
      <x:c r="C349" s="331" t="str">
        <x:f>IF($A349="","",IFERROR('Game Records'!$A349,""))</x:f>
      </x:c>
      <x:c r="D349" s="331" t="str">
        <x:f>IF($A349="","",IFERROR('Game Records'!$U349,""))</x:f>
      </x:c>
      <x:c r="E349" s="331" t="str">
        <x:f>IF($A349="","",IF($F349="","No Highlighted Fields","Highlighted Fields Present"))</x:f>
      </x:c>
      <x:c r="F349" s="331" t="str">
        <x:f>IF($A349="","",IF('Game Records'!$B349="","Start Date; ","")&amp;IF('Game Records'!$C349="","End Date; ","")&amp;IF(AND('Game Records'!$U349&lt;&gt;"Subscription",'Game Records'!$U349&lt;&gt;"Free Game",'Game Records'!$U349&lt;&gt;"Disqualified — Free Game",OR('Game Records'!$D349="",LOWER('Game Records'!$D349&amp;"")="n/a")),"Entry Mode; ","")&amp;IF(AND('Game Records'!$U349&lt;&gt;"Subscription",'Game Records'!$U349&lt;&gt;"Free Game",'Game Records'!$U349&lt;&gt;"Disqualified — Free Game",OR('Game Records'!$E349="",LOWER('Game Records'!$E349&amp;"")="n/a")),"Game Type; ","")&amp;IF('Game Records'!$F349="","Payment Type; ","")&amp;IF(AND('Game Records'!$U349&lt;&gt;"Subscription",'Game Records'!$U349&lt;&gt;"Free Game",'Game Records'!$U349&lt;&gt;"Disqualified — Free Game",'Game Records'!$G349=""),"Gross Pot; ","")&amp;IF(AND('Game Records'!$U349&lt;&gt;"Free Game",'Game Records'!$U349&lt;&gt;"Disqualified — Free Game",'Game Records'!$H349=""),"Entry Fee; ","")&amp;IF(AND('Game Records'!$U349&lt;&gt;"Subscription",'Game Records'!$U349&lt;&gt;"Free Game",'Game Records'!$U349&lt;&gt;"Disqualified — Free Game",'Game Records'!$I349=""),"Eligible Players; ","")&amp;IF(AND('Game Records'!$U349&lt;&gt;"Subscription",'Game Records'!$U349&lt;&gt;"Free Game",'Game Records'!$U349&lt;&gt;"Disqualified — Free Game",'Game Records'!$J349=""),"Total Players; ","")&amp;IF(AND(LOWER('Game Records'!$D349&amp;"")="finalized",LOWER('Game Records'!$L349&amp;"")&lt;&gt;"yes",'Game Records'!$U349&lt;&gt;"Subscription",'Game Records'!$U349&lt;&gt;"Free Game",'Game Records'!$U349&lt;&gt;"Disqualified — Free Game",'Game Records'!$K349=""),"Final Earned; ","")&amp;IF(AND(LOWER('Game Records'!$D349&amp;"")="finalized",'Game Records'!$U349&lt;&gt;"Subscription",'Game Records'!$U349&lt;&gt;"Free Game",'Game Records'!$U349&lt;&gt;"Disqualified — Free Game",OR('Game Records'!$L349="",LOWER('Game Records'!$L349&amp;"")="n/a")),"Disqualified Status; ",""))</x:f>
      </x:c>
      <x:c r="G349" s="331" t="str">
        <x:f>IF($A349="","",IFERROR('Game Records'!$M349,""))</x:f>
      </x:c>
    </x:row>
    <x:row r="350">
      <x:c r="A350" s="332" t="str">
        <x:f>IF(OR(COUNTA('Game Records'!$A350:$M350)=0,'Game Records'!$F350="Subscription"),"",IFERROR(MAX($A$4:A349),0)+1)</x:f>
      </x:c>
      <x:c r="B350" s="332" t="str">
        <x:f>IF($A350="","","G-"&amp;TEXT(ROW('Game Records'!$A350)-4,"0000"))</x:f>
      </x:c>
      <x:c r="C350" s="331" t="str">
        <x:f>IF($A350="","",IFERROR('Game Records'!$A350,""))</x:f>
      </x:c>
      <x:c r="D350" s="331" t="str">
        <x:f>IF($A350="","",IFERROR('Game Records'!$U350,""))</x:f>
      </x:c>
      <x:c r="E350" s="331" t="str">
        <x:f>IF($A350="","",IF($F350="","No Highlighted Fields","Highlighted Fields Present"))</x:f>
      </x:c>
      <x:c r="F350" s="331" t="str">
        <x:f>IF($A350="","",IF('Game Records'!$B350="","Start Date; ","")&amp;IF('Game Records'!$C350="","End Date; ","")&amp;IF(AND('Game Records'!$U350&lt;&gt;"Subscription",'Game Records'!$U350&lt;&gt;"Free Game",'Game Records'!$U350&lt;&gt;"Disqualified — Free Game",OR('Game Records'!$D350="",LOWER('Game Records'!$D350&amp;"")="n/a")),"Entry Mode; ","")&amp;IF(AND('Game Records'!$U350&lt;&gt;"Subscription",'Game Records'!$U350&lt;&gt;"Free Game",'Game Records'!$U350&lt;&gt;"Disqualified — Free Game",OR('Game Records'!$E350="",LOWER('Game Records'!$E350&amp;"")="n/a")),"Game Type; ","")&amp;IF('Game Records'!$F350="","Payment Type; ","")&amp;IF(AND('Game Records'!$U350&lt;&gt;"Subscription",'Game Records'!$U350&lt;&gt;"Free Game",'Game Records'!$U350&lt;&gt;"Disqualified — Free Game",'Game Records'!$G350=""),"Gross Pot; ","")&amp;IF(AND('Game Records'!$U350&lt;&gt;"Free Game",'Game Records'!$U350&lt;&gt;"Disqualified — Free Game",'Game Records'!$H350=""),"Entry Fee; ","")&amp;IF(AND('Game Records'!$U350&lt;&gt;"Subscription",'Game Records'!$U350&lt;&gt;"Free Game",'Game Records'!$U350&lt;&gt;"Disqualified — Free Game",'Game Records'!$I350=""),"Eligible Players; ","")&amp;IF(AND('Game Records'!$U350&lt;&gt;"Subscription",'Game Records'!$U350&lt;&gt;"Free Game",'Game Records'!$U350&lt;&gt;"Disqualified — Free Game",'Game Records'!$J350=""),"Total Players; ","")&amp;IF(AND(LOWER('Game Records'!$D350&amp;"")="finalized",LOWER('Game Records'!$L350&amp;"")&lt;&gt;"yes",'Game Records'!$U350&lt;&gt;"Subscription",'Game Records'!$U350&lt;&gt;"Free Game",'Game Records'!$U350&lt;&gt;"Disqualified — Free Game",'Game Records'!$K350=""),"Final Earned; ","")&amp;IF(AND(LOWER('Game Records'!$D350&amp;"")="finalized",'Game Records'!$U350&lt;&gt;"Subscription",'Game Records'!$U350&lt;&gt;"Free Game",'Game Records'!$U350&lt;&gt;"Disqualified — Free Game",OR('Game Records'!$L350="",LOWER('Game Records'!$L350&amp;"")="n/a")),"Disqualified Status; ",""))</x:f>
      </x:c>
      <x:c r="G350" s="331" t="str">
        <x:f>IF($A350="","",IFERROR('Game Records'!$M350,""))</x:f>
      </x:c>
    </x:row>
    <x:row r="351">
      <x:c r="A351" s="332" t="str">
        <x:f>IF(OR(COUNTA('Game Records'!$A351:$M351)=0,'Game Records'!$F351="Subscription"),"",IFERROR(MAX($A$4:A350),0)+1)</x:f>
      </x:c>
      <x:c r="B351" s="332" t="str">
        <x:f>IF($A351="","","G-"&amp;TEXT(ROW('Game Records'!$A351)-4,"0000"))</x:f>
      </x:c>
      <x:c r="C351" s="331" t="str">
        <x:f>IF($A351="","",IFERROR('Game Records'!$A351,""))</x:f>
      </x:c>
      <x:c r="D351" s="331" t="str">
        <x:f>IF($A351="","",IFERROR('Game Records'!$U351,""))</x:f>
      </x:c>
      <x:c r="E351" s="331" t="str">
        <x:f>IF($A351="","",IF($F351="","No Highlighted Fields","Highlighted Fields Present"))</x:f>
      </x:c>
      <x:c r="F351" s="331" t="str">
        <x:f>IF($A351="","",IF('Game Records'!$B351="","Start Date; ","")&amp;IF('Game Records'!$C351="","End Date; ","")&amp;IF(AND('Game Records'!$U351&lt;&gt;"Subscription",'Game Records'!$U351&lt;&gt;"Free Game",'Game Records'!$U351&lt;&gt;"Disqualified — Free Game",OR('Game Records'!$D351="",LOWER('Game Records'!$D351&amp;"")="n/a")),"Entry Mode; ","")&amp;IF(AND('Game Records'!$U351&lt;&gt;"Subscription",'Game Records'!$U351&lt;&gt;"Free Game",'Game Records'!$U351&lt;&gt;"Disqualified — Free Game",OR('Game Records'!$E351="",LOWER('Game Records'!$E351&amp;"")="n/a")),"Game Type; ","")&amp;IF('Game Records'!$F351="","Payment Type; ","")&amp;IF(AND('Game Records'!$U351&lt;&gt;"Subscription",'Game Records'!$U351&lt;&gt;"Free Game",'Game Records'!$U351&lt;&gt;"Disqualified — Free Game",'Game Records'!$G351=""),"Gross Pot; ","")&amp;IF(AND('Game Records'!$U351&lt;&gt;"Free Game",'Game Records'!$U351&lt;&gt;"Disqualified — Free Game",'Game Records'!$H351=""),"Entry Fee; ","")&amp;IF(AND('Game Records'!$U351&lt;&gt;"Subscription",'Game Records'!$U351&lt;&gt;"Free Game",'Game Records'!$U351&lt;&gt;"Disqualified — Free Game",'Game Records'!$I351=""),"Eligible Players; ","")&amp;IF(AND('Game Records'!$U351&lt;&gt;"Subscription",'Game Records'!$U351&lt;&gt;"Free Game",'Game Records'!$U351&lt;&gt;"Disqualified — Free Game",'Game Records'!$J351=""),"Total Players; ","")&amp;IF(AND(LOWER('Game Records'!$D351&amp;"")="finalized",LOWER('Game Records'!$L351&amp;"")&lt;&gt;"yes",'Game Records'!$U351&lt;&gt;"Subscription",'Game Records'!$U351&lt;&gt;"Free Game",'Game Records'!$U351&lt;&gt;"Disqualified — Free Game",'Game Records'!$K351=""),"Final Earned; ","")&amp;IF(AND(LOWER('Game Records'!$D351&amp;"")="finalized",'Game Records'!$U351&lt;&gt;"Subscription",'Game Records'!$U351&lt;&gt;"Free Game",'Game Records'!$U351&lt;&gt;"Disqualified — Free Game",OR('Game Records'!$L351="",LOWER('Game Records'!$L351&amp;"")="n/a")),"Disqualified Status; ",""))</x:f>
      </x:c>
      <x:c r="G351" s="331" t="str">
        <x:f>IF($A351="","",IFERROR('Game Records'!$M351,""))</x:f>
      </x:c>
    </x:row>
    <x:row r="352">
      <x:c r="A352" s="332" t="str">
        <x:f>IF(OR(COUNTA('Game Records'!$A352:$M352)=0,'Game Records'!$F352="Subscription"),"",IFERROR(MAX($A$4:A351),0)+1)</x:f>
      </x:c>
      <x:c r="B352" s="332" t="str">
        <x:f>IF($A352="","","G-"&amp;TEXT(ROW('Game Records'!$A352)-4,"0000"))</x:f>
      </x:c>
      <x:c r="C352" s="331" t="str">
        <x:f>IF($A352="","",IFERROR('Game Records'!$A352,""))</x:f>
      </x:c>
      <x:c r="D352" s="331" t="str">
        <x:f>IF($A352="","",IFERROR('Game Records'!$U352,""))</x:f>
      </x:c>
      <x:c r="E352" s="331" t="str">
        <x:f>IF($A352="","",IF($F352="","No Highlighted Fields","Highlighted Fields Present"))</x:f>
      </x:c>
      <x:c r="F352" s="331" t="str">
        <x:f>IF($A352="","",IF('Game Records'!$B352="","Start Date; ","")&amp;IF('Game Records'!$C352="","End Date; ","")&amp;IF(AND('Game Records'!$U352&lt;&gt;"Subscription",'Game Records'!$U352&lt;&gt;"Free Game",'Game Records'!$U352&lt;&gt;"Disqualified — Free Game",OR('Game Records'!$D352="",LOWER('Game Records'!$D352&amp;"")="n/a")),"Entry Mode; ","")&amp;IF(AND('Game Records'!$U352&lt;&gt;"Subscription",'Game Records'!$U352&lt;&gt;"Free Game",'Game Records'!$U352&lt;&gt;"Disqualified — Free Game",OR('Game Records'!$E352="",LOWER('Game Records'!$E352&amp;"")="n/a")),"Game Type; ","")&amp;IF('Game Records'!$F352="","Payment Type; ","")&amp;IF(AND('Game Records'!$U352&lt;&gt;"Subscription",'Game Records'!$U352&lt;&gt;"Free Game",'Game Records'!$U352&lt;&gt;"Disqualified — Free Game",'Game Records'!$G352=""),"Gross Pot; ","")&amp;IF(AND('Game Records'!$U352&lt;&gt;"Free Game",'Game Records'!$U352&lt;&gt;"Disqualified — Free Game",'Game Records'!$H352=""),"Entry Fee; ","")&amp;IF(AND('Game Records'!$U352&lt;&gt;"Subscription",'Game Records'!$U352&lt;&gt;"Free Game",'Game Records'!$U352&lt;&gt;"Disqualified — Free Game",'Game Records'!$I352=""),"Eligible Players; ","")&amp;IF(AND('Game Records'!$U352&lt;&gt;"Subscription",'Game Records'!$U352&lt;&gt;"Free Game",'Game Records'!$U352&lt;&gt;"Disqualified — Free Game",'Game Records'!$J352=""),"Total Players; ","")&amp;IF(AND(LOWER('Game Records'!$D352&amp;"")="finalized",LOWER('Game Records'!$L352&amp;"")&lt;&gt;"yes",'Game Records'!$U352&lt;&gt;"Subscription",'Game Records'!$U352&lt;&gt;"Free Game",'Game Records'!$U352&lt;&gt;"Disqualified — Free Game",'Game Records'!$K352=""),"Final Earned; ","")&amp;IF(AND(LOWER('Game Records'!$D352&amp;"")="finalized",'Game Records'!$U352&lt;&gt;"Subscription",'Game Records'!$U352&lt;&gt;"Free Game",'Game Records'!$U352&lt;&gt;"Disqualified — Free Game",OR('Game Records'!$L352="",LOWER('Game Records'!$L352&amp;"")="n/a")),"Disqualified Status; ",""))</x:f>
      </x:c>
      <x:c r="G352" s="331" t="str">
        <x:f>IF($A352="","",IFERROR('Game Records'!$M352,""))</x:f>
      </x:c>
    </x:row>
    <x:row r="353">
      <x:c r="A353" s="332" t="str">
        <x:f>IF(OR(COUNTA('Game Records'!$A353:$M353)=0,'Game Records'!$F353="Subscription"),"",IFERROR(MAX($A$4:A352),0)+1)</x:f>
      </x:c>
      <x:c r="B353" s="332" t="str">
        <x:f>IF($A353="","","G-"&amp;TEXT(ROW('Game Records'!$A353)-4,"0000"))</x:f>
      </x:c>
      <x:c r="C353" s="331" t="str">
        <x:f>IF($A353="","",IFERROR('Game Records'!$A353,""))</x:f>
      </x:c>
      <x:c r="D353" s="331" t="str">
        <x:f>IF($A353="","",IFERROR('Game Records'!$U353,""))</x:f>
      </x:c>
      <x:c r="E353" s="331" t="str">
        <x:f>IF($A353="","",IF($F353="","No Highlighted Fields","Highlighted Fields Present"))</x:f>
      </x:c>
      <x:c r="F353" s="331" t="str">
        <x:f>IF($A353="","",IF('Game Records'!$B353="","Start Date; ","")&amp;IF('Game Records'!$C353="","End Date; ","")&amp;IF(AND('Game Records'!$U353&lt;&gt;"Subscription",'Game Records'!$U353&lt;&gt;"Free Game",'Game Records'!$U353&lt;&gt;"Disqualified — Free Game",OR('Game Records'!$D353="",LOWER('Game Records'!$D353&amp;"")="n/a")),"Entry Mode; ","")&amp;IF(AND('Game Records'!$U353&lt;&gt;"Subscription",'Game Records'!$U353&lt;&gt;"Free Game",'Game Records'!$U353&lt;&gt;"Disqualified — Free Game",OR('Game Records'!$E353="",LOWER('Game Records'!$E353&amp;"")="n/a")),"Game Type; ","")&amp;IF('Game Records'!$F353="","Payment Type; ","")&amp;IF(AND('Game Records'!$U353&lt;&gt;"Subscription",'Game Records'!$U353&lt;&gt;"Free Game",'Game Records'!$U353&lt;&gt;"Disqualified — Free Game",'Game Records'!$G353=""),"Gross Pot; ","")&amp;IF(AND('Game Records'!$U353&lt;&gt;"Free Game",'Game Records'!$U353&lt;&gt;"Disqualified — Free Game",'Game Records'!$H353=""),"Entry Fee; ","")&amp;IF(AND('Game Records'!$U353&lt;&gt;"Subscription",'Game Records'!$U353&lt;&gt;"Free Game",'Game Records'!$U353&lt;&gt;"Disqualified — Free Game",'Game Records'!$I353=""),"Eligible Players; ","")&amp;IF(AND('Game Records'!$U353&lt;&gt;"Subscription",'Game Records'!$U353&lt;&gt;"Free Game",'Game Records'!$U353&lt;&gt;"Disqualified — Free Game",'Game Records'!$J353=""),"Total Players; ","")&amp;IF(AND(LOWER('Game Records'!$D353&amp;"")="finalized",LOWER('Game Records'!$L353&amp;"")&lt;&gt;"yes",'Game Records'!$U353&lt;&gt;"Subscription",'Game Records'!$U353&lt;&gt;"Free Game",'Game Records'!$U353&lt;&gt;"Disqualified — Free Game",'Game Records'!$K353=""),"Final Earned; ","")&amp;IF(AND(LOWER('Game Records'!$D353&amp;"")="finalized",'Game Records'!$U353&lt;&gt;"Subscription",'Game Records'!$U353&lt;&gt;"Free Game",'Game Records'!$U353&lt;&gt;"Disqualified — Free Game",OR('Game Records'!$L353="",LOWER('Game Records'!$L353&amp;"")="n/a")),"Disqualified Status; ",""))</x:f>
      </x:c>
      <x:c r="G353" s="331" t="str">
        <x:f>IF($A353="","",IFERROR('Game Records'!$M353,""))</x:f>
      </x:c>
    </x:row>
    <x:row r="354">
      <x:c r="A354" s="332" t="str">
        <x:f>IF(OR(COUNTA('Game Records'!$A354:$M354)=0,'Game Records'!$F354="Subscription"),"",IFERROR(MAX($A$4:A353),0)+1)</x:f>
      </x:c>
      <x:c r="B354" s="332" t="str">
        <x:f>IF($A354="","","G-"&amp;TEXT(ROW('Game Records'!$A354)-4,"0000"))</x:f>
      </x:c>
      <x:c r="C354" s="331" t="str">
        <x:f>IF($A354="","",IFERROR('Game Records'!$A354,""))</x:f>
      </x:c>
      <x:c r="D354" s="331" t="str">
        <x:f>IF($A354="","",IFERROR('Game Records'!$U354,""))</x:f>
      </x:c>
      <x:c r="E354" s="331" t="str">
        <x:f>IF($A354="","",IF($F354="","No Highlighted Fields","Highlighted Fields Present"))</x:f>
      </x:c>
      <x:c r="F354" s="331" t="str">
        <x:f>IF($A354="","",IF('Game Records'!$B354="","Start Date; ","")&amp;IF('Game Records'!$C354="","End Date; ","")&amp;IF(AND('Game Records'!$U354&lt;&gt;"Subscription",'Game Records'!$U354&lt;&gt;"Free Game",'Game Records'!$U354&lt;&gt;"Disqualified — Free Game",OR('Game Records'!$D354="",LOWER('Game Records'!$D354&amp;"")="n/a")),"Entry Mode; ","")&amp;IF(AND('Game Records'!$U354&lt;&gt;"Subscription",'Game Records'!$U354&lt;&gt;"Free Game",'Game Records'!$U354&lt;&gt;"Disqualified — Free Game",OR('Game Records'!$E354="",LOWER('Game Records'!$E354&amp;"")="n/a")),"Game Type; ","")&amp;IF('Game Records'!$F354="","Payment Type; ","")&amp;IF(AND('Game Records'!$U354&lt;&gt;"Subscription",'Game Records'!$U354&lt;&gt;"Free Game",'Game Records'!$U354&lt;&gt;"Disqualified — Free Game",'Game Records'!$G354=""),"Gross Pot; ","")&amp;IF(AND('Game Records'!$U354&lt;&gt;"Free Game",'Game Records'!$U354&lt;&gt;"Disqualified — Free Game",'Game Records'!$H354=""),"Entry Fee; ","")&amp;IF(AND('Game Records'!$U354&lt;&gt;"Subscription",'Game Records'!$U354&lt;&gt;"Free Game",'Game Records'!$U354&lt;&gt;"Disqualified — Free Game",'Game Records'!$I354=""),"Eligible Players; ","")&amp;IF(AND('Game Records'!$U354&lt;&gt;"Subscription",'Game Records'!$U354&lt;&gt;"Free Game",'Game Records'!$U354&lt;&gt;"Disqualified — Free Game",'Game Records'!$J354=""),"Total Players; ","")&amp;IF(AND(LOWER('Game Records'!$D354&amp;"")="finalized",LOWER('Game Records'!$L354&amp;"")&lt;&gt;"yes",'Game Records'!$U354&lt;&gt;"Subscription",'Game Records'!$U354&lt;&gt;"Free Game",'Game Records'!$U354&lt;&gt;"Disqualified — Free Game",'Game Records'!$K354=""),"Final Earned; ","")&amp;IF(AND(LOWER('Game Records'!$D354&amp;"")="finalized",'Game Records'!$U354&lt;&gt;"Subscription",'Game Records'!$U354&lt;&gt;"Free Game",'Game Records'!$U354&lt;&gt;"Disqualified — Free Game",OR('Game Records'!$L354="",LOWER('Game Records'!$L354&amp;"")="n/a")),"Disqualified Status; ",""))</x:f>
      </x:c>
      <x:c r="G354" s="331" t="str">
        <x:f>IF($A354="","",IFERROR('Game Records'!$M354,""))</x:f>
      </x:c>
    </x:row>
    <x:row r="355">
      <x:c r="A355" s="332" t="str">
        <x:f>IF(OR(COUNTA('Game Records'!$A355:$M355)=0,'Game Records'!$F355="Subscription"),"",IFERROR(MAX($A$4:A354),0)+1)</x:f>
      </x:c>
      <x:c r="B355" s="332" t="str">
        <x:f>IF($A355="","","G-"&amp;TEXT(ROW('Game Records'!$A355)-4,"0000"))</x:f>
      </x:c>
      <x:c r="C355" s="331" t="str">
        <x:f>IF($A355="","",IFERROR('Game Records'!$A355,""))</x:f>
      </x:c>
      <x:c r="D355" s="331" t="str">
        <x:f>IF($A355="","",IFERROR('Game Records'!$U355,""))</x:f>
      </x:c>
      <x:c r="E355" s="331" t="str">
        <x:f>IF($A355="","",IF($F355="","No Highlighted Fields","Highlighted Fields Present"))</x:f>
      </x:c>
      <x:c r="F355" s="331" t="str">
        <x:f>IF($A355="","",IF('Game Records'!$B355="","Start Date; ","")&amp;IF('Game Records'!$C355="","End Date; ","")&amp;IF(AND('Game Records'!$U355&lt;&gt;"Subscription",'Game Records'!$U355&lt;&gt;"Free Game",'Game Records'!$U355&lt;&gt;"Disqualified — Free Game",OR('Game Records'!$D355="",LOWER('Game Records'!$D355&amp;"")="n/a")),"Entry Mode; ","")&amp;IF(AND('Game Records'!$U355&lt;&gt;"Subscription",'Game Records'!$U355&lt;&gt;"Free Game",'Game Records'!$U355&lt;&gt;"Disqualified — Free Game",OR('Game Records'!$E355="",LOWER('Game Records'!$E355&amp;"")="n/a")),"Game Type; ","")&amp;IF('Game Records'!$F355="","Payment Type; ","")&amp;IF(AND('Game Records'!$U355&lt;&gt;"Subscription",'Game Records'!$U355&lt;&gt;"Free Game",'Game Records'!$U355&lt;&gt;"Disqualified — Free Game",'Game Records'!$G355=""),"Gross Pot; ","")&amp;IF(AND('Game Records'!$U355&lt;&gt;"Free Game",'Game Records'!$U355&lt;&gt;"Disqualified — Free Game",'Game Records'!$H355=""),"Entry Fee; ","")&amp;IF(AND('Game Records'!$U355&lt;&gt;"Subscription",'Game Records'!$U355&lt;&gt;"Free Game",'Game Records'!$U355&lt;&gt;"Disqualified — Free Game",'Game Records'!$I355=""),"Eligible Players; ","")&amp;IF(AND('Game Records'!$U355&lt;&gt;"Subscription",'Game Records'!$U355&lt;&gt;"Free Game",'Game Records'!$U355&lt;&gt;"Disqualified — Free Game",'Game Records'!$J355=""),"Total Players; ","")&amp;IF(AND(LOWER('Game Records'!$D355&amp;"")="finalized",LOWER('Game Records'!$L355&amp;"")&lt;&gt;"yes",'Game Records'!$U355&lt;&gt;"Subscription",'Game Records'!$U355&lt;&gt;"Free Game",'Game Records'!$U355&lt;&gt;"Disqualified — Free Game",'Game Records'!$K355=""),"Final Earned; ","")&amp;IF(AND(LOWER('Game Records'!$D355&amp;"")="finalized",'Game Records'!$U355&lt;&gt;"Subscription",'Game Records'!$U355&lt;&gt;"Free Game",'Game Records'!$U355&lt;&gt;"Disqualified — Free Game",OR('Game Records'!$L355="",LOWER('Game Records'!$L355&amp;"")="n/a")),"Disqualified Status; ",""))</x:f>
      </x:c>
      <x:c r="G355" s="331" t="str">
        <x:f>IF($A355="","",IFERROR('Game Records'!$M355,""))</x:f>
      </x:c>
    </x:row>
    <x:row r="356">
      <x:c r="A356" s="332" t="str">
        <x:f>IF(OR(COUNTA('Game Records'!$A356:$M356)=0,'Game Records'!$F356="Subscription"),"",IFERROR(MAX($A$4:A355),0)+1)</x:f>
      </x:c>
      <x:c r="B356" s="332" t="str">
        <x:f>IF($A356="","","G-"&amp;TEXT(ROW('Game Records'!$A356)-4,"0000"))</x:f>
      </x:c>
      <x:c r="C356" s="331" t="str">
        <x:f>IF($A356="","",IFERROR('Game Records'!$A356,""))</x:f>
      </x:c>
      <x:c r="D356" s="331" t="str">
        <x:f>IF($A356="","",IFERROR('Game Records'!$U356,""))</x:f>
      </x:c>
      <x:c r="E356" s="331" t="str">
        <x:f>IF($A356="","",IF($F356="","No Highlighted Fields","Highlighted Fields Present"))</x:f>
      </x:c>
      <x:c r="F356" s="331" t="str">
        <x:f>IF($A356="","",IF('Game Records'!$B356="","Start Date; ","")&amp;IF('Game Records'!$C356="","End Date; ","")&amp;IF(AND('Game Records'!$U356&lt;&gt;"Subscription",'Game Records'!$U356&lt;&gt;"Free Game",'Game Records'!$U356&lt;&gt;"Disqualified — Free Game",OR('Game Records'!$D356="",LOWER('Game Records'!$D356&amp;"")="n/a")),"Entry Mode; ","")&amp;IF(AND('Game Records'!$U356&lt;&gt;"Subscription",'Game Records'!$U356&lt;&gt;"Free Game",'Game Records'!$U356&lt;&gt;"Disqualified — Free Game",OR('Game Records'!$E356="",LOWER('Game Records'!$E356&amp;"")="n/a")),"Game Type; ","")&amp;IF('Game Records'!$F356="","Payment Type; ","")&amp;IF(AND('Game Records'!$U356&lt;&gt;"Subscription",'Game Records'!$U356&lt;&gt;"Free Game",'Game Records'!$U356&lt;&gt;"Disqualified — Free Game",'Game Records'!$G356=""),"Gross Pot; ","")&amp;IF(AND('Game Records'!$U356&lt;&gt;"Free Game",'Game Records'!$U356&lt;&gt;"Disqualified — Free Game",'Game Records'!$H356=""),"Entry Fee; ","")&amp;IF(AND('Game Records'!$U356&lt;&gt;"Subscription",'Game Records'!$U356&lt;&gt;"Free Game",'Game Records'!$U356&lt;&gt;"Disqualified — Free Game",'Game Records'!$I356=""),"Eligible Players; ","")&amp;IF(AND('Game Records'!$U356&lt;&gt;"Subscription",'Game Records'!$U356&lt;&gt;"Free Game",'Game Records'!$U356&lt;&gt;"Disqualified — Free Game",'Game Records'!$J356=""),"Total Players; ","")&amp;IF(AND(LOWER('Game Records'!$D356&amp;"")="finalized",LOWER('Game Records'!$L356&amp;"")&lt;&gt;"yes",'Game Records'!$U356&lt;&gt;"Subscription",'Game Records'!$U356&lt;&gt;"Free Game",'Game Records'!$U356&lt;&gt;"Disqualified — Free Game",'Game Records'!$K356=""),"Final Earned; ","")&amp;IF(AND(LOWER('Game Records'!$D356&amp;"")="finalized",'Game Records'!$U356&lt;&gt;"Subscription",'Game Records'!$U356&lt;&gt;"Free Game",'Game Records'!$U356&lt;&gt;"Disqualified — Free Game",OR('Game Records'!$L356="",LOWER('Game Records'!$L356&amp;"")="n/a")),"Disqualified Status; ",""))</x:f>
      </x:c>
      <x:c r="G356" s="331" t="str">
        <x:f>IF($A356="","",IFERROR('Game Records'!$M356,""))</x:f>
      </x:c>
    </x:row>
    <x:row r="357">
      <x:c r="A357" s="332" t="str">
        <x:f>IF(OR(COUNTA('Game Records'!$A357:$M357)=0,'Game Records'!$F357="Subscription"),"",IFERROR(MAX($A$4:A356),0)+1)</x:f>
      </x:c>
      <x:c r="B357" s="332" t="str">
        <x:f>IF($A357="","","G-"&amp;TEXT(ROW('Game Records'!$A357)-4,"0000"))</x:f>
      </x:c>
      <x:c r="C357" s="331" t="str">
        <x:f>IF($A357="","",IFERROR('Game Records'!$A357,""))</x:f>
      </x:c>
      <x:c r="D357" s="331" t="str">
        <x:f>IF($A357="","",IFERROR('Game Records'!$U357,""))</x:f>
      </x:c>
      <x:c r="E357" s="331" t="str">
        <x:f>IF($A357="","",IF($F357="","No Highlighted Fields","Highlighted Fields Present"))</x:f>
      </x:c>
      <x:c r="F357" s="331" t="str">
        <x:f>IF($A357="","",IF('Game Records'!$B357="","Start Date; ","")&amp;IF('Game Records'!$C357="","End Date; ","")&amp;IF(AND('Game Records'!$U357&lt;&gt;"Subscription",'Game Records'!$U357&lt;&gt;"Free Game",'Game Records'!$U357&lt;&gt;"Disqualified — Free Game",OR('Game Records'!$D357="",LOWER('Game Records'!$D357&amp;"")="n/a")),"Entry Mode; ","")&amp;IF(AND('Game Records'!$U357&lt;&gt;"Subscription",'Game Records'!$U357&lt;&gt;"Free Game",'Game Records'!$U357&lt;&gt;"Disqualified — Free Game",OR('Game Records'!$E357="",LOWER('Game Records'!$E357&amp;"")="n/a")),"Game Type; ","")&amp;IF('Game Records'!$F357="","Payment Type; ","")&amp;IF(AND('Game Records'!$U357&lt;&gt;"Subscription",'Game Records'!$U357&lt;&gt;"Free Game",'Game Records'!$U357&lt;&gt;"Disqualified — Free Game",'Game Records'!$G357=""),"Gross Pot; ","")&amp;IF(AND('Game Records'!$U357&lt;&gt;"Free Game",'Game Records'!$U357&lt;&gt;"Disqualified — Free Game",'Game Records'!$H357=""),"Entry Fee; ","")&amp;IF(AND('Game Records'!$U357&lt;&gt;"Subscription",'Game Records'!$U357&lt;&gt;"Free Game",'Game Records'!$U357&lt;&gt;"Disqualified — Free Game",'Game Records'!$I357=""),"Eligible Players; ","")&amp;IF(AND('Game Records'!$U357&lt;&gt;"Subscription",'Game Records'!$U357&lt;&gt;"Free Game",'Game Records'!$U357&lt;&gt;"Disqualified — Free Game",'Game Records'!$J357=""),"Total Players; ","")&amp;IF(AND(LOWER('Game Records'!$D357&amp;"")="finalized",LOWER('Game Records'!$L357&amp;"")&lt;&gt;"yes",'Game Records'!$U357&lt;&gt;"Subscription",'Game Records'!$U357&lt;&gt;"Free Game",'Game Records'!$U357&lt;&gt;"Disqualified — Free Game",'Game Records'!$K357=""),"Final Earned; ","")&amp;IF(AND(LOWER('Game Records'!$D357&amp;"")="finalized",'Game Records'!$U357&lt;&gt;"Subscription",'Game Records'!$U357&lt;&gt;"Free Game",'Game Records'!$U357&lt;&gt;"Disqualified — Free Game",OR('Game Records'!$L357="",LOWER('Game Records'!$L357&amp;"")="n/a")),"Disqualified Status; ",""))</x:f>
      </x:c>
      <x:c r="G357" s="331" t="str">
        <x:f>IF($A357="","",IFERROR('Game Records'!$M357,""))</x:f>
      </x:c>
    </x:row>
    <x:row r="358">
      <x:c r="A358" s="332" t="str">
        <x:f>IF(OR(COUNTA('Game Records'!$A358:$M358)=0,'Game Records'!$F358="Subscription"),"",IFERROR(MAX($A$4:A357),0)+1)</x:f>
      </x:c>
      <x:c r="B358" s="332" t="str">
        <x:f>IF($A358="","","G-"&amp;TEXT(ROW('Game Records'!$A358)-4,"0000"))</x:f>
      </x:c>
      <x:c r="C358" s="331" t="str">
        <x:f>IF($A358="","",IFERROR('Game Records'!$A358,""))</x:f>
      </x:c>
      <x:c r="D358" s="331" t="str">
        <x:f>IF($A358="","",IFERROR('Game Records'!$U358,""))</x:f>
      </x:c>
      <x:c r="E358" s="331" t="str">
        <x:f>IF($A358="","",IF($F358="","No Highlighted Fields","Highlighted Fields Present"))</x:f>
      </x:c>
      <x:c r="F358" s="331" t="str">
        <x:f>IF($A358="","",IF('Game Records'!$B358="","Start Date; ","")&amp;IF('Game Records'!$C358="","End Date; ","")&amp;IF(AND('Game Records'!$U358&lt;&gt;"Subscription",'Game Records'!$U358&lt;&gt;"Free Game",'Game Records'!$U358&lt;&gt;"Disqualified — Free Game",OR('Game Records'!$D358="",LOWER('Game Records'!$D358&amp;"")="n/a")),"Entry Mode; ","")&amp;IF(AND('Game Records'!$U358&lt;&gt;"Subscription",'Game Records'!$U358&lt;&gt;"Free Game",'Game Records'!$U358&lt;&gt;"Disqualified — Free Game",OR('Game Records'!$E358="",LOWER('Game Records'!$E358&amp;"")="n/a")),"Game Type; ","")&amp;IF('Game Records'!$F358="","Payment Type; ","")&amp;IF(AND('Game Records'!$U358&lt;&gt;"Subscription",'Game Records'!$U358&lt;&gt;"Free Game",'Game Records'!$U358&lt;&gt;"Disqualified — Free Game",'Game Records'!$G358=""),"Gross Pot; ","")&amp;IF(AND('Game Records'!$U358&lt;&gt;"Free Game",'Game Records'!$U358&lt;&gt;"Disqualified — Free Game",'Game Records'!$H358=""),"Entry Fee; ","")&amp;IF(AND('Game Records'!$U358&lt;&gt;"Subscription",'Game Records'!$U358&lt;&gt;"Free Game",'Game Records'!$U358&lt;&gt;"Disqualified — Free Game",'Game Records'!$I358=""),"Eligible Players; ","")&amp;IF(AND('Game Records'!$U358&lt;&gt;"Subscription",'Game Records'!$U358&lt;&gt;"Free Game",'Game Records'!$U358&lt;&gt;"Disqualified — Free Game",'Game Records'!$J358=""),"Total Players; ","")&amp;IF(AND(LOWER('Game Records'!$D358&amp;"")="finalized",LOWER('Game Records'!$L358&amp;"")&lt;&gt;"yes",'Game Records'!$U358&lt;&gt;"Subscription",'Game Records'!$U358&lt;&gt;"Free Game",'Game Records'!$U358&lt;&gt;"Disqualified — Free Game",'Game Records'!$K358=""),"Final Earned; ","")&amp;IF(AND(LOWER('Game Records'!$D358&amp;"")="finalized",'Game Records'!$U358&lt;&gt;"Subscription",'Game Records'!$U358&lt;&gt;"Free Game",'Game Records'!$U358&lt;&gt;"Disqualified — Free Game",OR('Game Records'!$L358="",LOWER('Game Records'!$L358&amp;"")="n/a")),"Disqualified Status; ",""))</x:f>
      </x:c>
      <x:c r="G358" s="331" t="str">
        <x:f>IF($A358="","",IFERROR('Game Records'!$M358,""))</x:f>
      </x:c>
    </x:row>
    <x:row r="359">
      <x:c r="A359" s="332" t="str">
        <x:f>IF(OR(COUNTA('Game Records'!$A359:$M359)=0,'Game Records'!$F359="Subscription"),"",IFERROR(MAX($A$4:A358),0)+1)</x:f>
      </x:c>
      <x:c r="B359" s="332" t="str">
        <x:f>IF($A359="","","G-"&amp;TEXT(ROW('Game Records'!$A359)-4,"0000"))</x:f>
      </x:c>
      <x:c r="C359" s="331" t="str">
        <x:f>IF($A359="","",IFERROR('Game Records'!$A359,""))</x:f>
      </x:c>
      <x:c r="D359" s="331" t="str">
        <x:f>IF($A359="","",IFERROR('Game Records'!$U359,""))</x:f>
      </x:c>
      <x:c r="E359" s="331" t="str">
        <x:f>IF($A359="","",IF($F359="","No Highlighted Fields","Highlighted Fields Present"))</x:f>
      </x:c>
      <x:c r="F359" s="331" t="str">
        <x:f>IF($A359="","",IF('Game Records'!$B359="","Start Date; ","")&amp;IF('Game Records'!$C359="","End Date; ","")&amp;IF(AND('Game Records'!$U359&lt;&gt;"Subscription",'Game Records'!$U359&lt;&gt;"Free Game",'Game Records'!$U359&lt;&gt;"Disqualified — Free Game",OR('Game Records'!$D359="",LOWER('Game Records'!$D359&amp;"")="n/a")),"Entry Mode; ","")&amp;IF(AND('Game Records'!$U359&lt;&gt;"Subscription",'Game Records'!$U359&lt;&gt;"Free Game",'Game Records'!$U359&lt;&gt;"Disqualified — Free Game",OR('Game Records'!$E359="",LOWER('Game Records'!$E359&amp;"")="n/a")),"Game Type; ","")&amp;IF('Game Records'!$F359="","Payment Type; ","")&amp;IF(AND('Game Records'!$U359&lt;&gt;"Subscription",'Game Records'!$U359&lt;&gt;"Free Game",'Game Records'!$U359&lt;&gt;"Disqualified — Free Game",'Game Records'!$G359=""),"Gross Pot; ","")&amp;IF(AND('Game Records'!$U359&lt;&gt;"Free Game",'Game Records'!$U359&lt;&gt;"Disqualified — Free Game",'Game Records'!$H359=""),"Entry Fee; ","")&amp;IF(AND('Game Records'!$U359&lt;&gt;"Subscription",'Game Records'!$U359&lt;&gt;"Free Game",'Game Records'!$U359&lt;&gt;"Disqualified — Free Game",'Game Records'!$I359=""),"Eligible Players; ","")&amp;IF(AND('Game Records'!$U359&lt;&gt;"Subscription",'Game Records'!$U359&lt;&gt;"Free Game",'Game Records'!$U359&lt;&gt;"Disqualified — Free Game",'Game Records'!$J359=""),"Total Players; ","")&amp;IF(AND(LOWER('Game Records'!$D359&amp;"")="finalized",LOWER('Game Records'!$L359&amp;"")&lt;&gt;"yes",'Game Records'!$U359&lt;&gt;"Subscription",'Game Records'!$U359&lt;&gt;"Free Game",'Game Records'!$U359&lt;&gt;"Disqualified — Free Game",'Game Records'!$K359=""),"Final Earned; ","")&amp;IF(AND(LOWER('Game Records'!$D359&amp;"")="finalized",'Game Records'!$U359&lt;&gt;"Subscription",'Game Records'!$U359&lt;&gt;"Free Game",'Game Records'!$U359&lt;&gt;"Disqualified — Free Game",OR('Game Records'!$L359="",LOWER('Game Records'!$L359&amp;"")="n/a")),"Disqualified Status; ",""))</x:f>
      </x:c>
      <x:c r="G359" s="331" t="str">
        <x:f>IF($A359="","",IFERROR('Game Records'!$M359,""))</x:f>
      </x:c>
    </x:row>
    <x:row r="360">
      <x:c r="A360" s="332" t="str">
        <x:f>IF(OR(COUNTA('Game Records'!$A360:$M360)=0,'Game Records'!$F360="Subscription"),"",IFERROR(MAX($A$4:A359),0)+1)</x:f>
      </x:c>
      <x:c r="B360" s="332" t="str">
        <x:f>IF($A360="","","G-"&amp;TEXT(ROW('Game Records'!$A360)-4,"0000"))</x:f>
      </x:c>
      <x:c r="C360" s="331" t="str">
        <x:f>IF($A360="","",IFERROR('Game Records'!$A360,""))</x:f>
      </x:c>
      <x:c r="D360" s="331" t="str">
        <x:f>IF($A360="","",IFERROR('Game Records'!$U360,""))</x:f>
      </x:c>
      <x:c r="E360" s="331" t="str">
        <x:f>IF($A360="","",IF($F360="","No Highlighted Fields","Highlighted Fields Present"))</x:f>
      </x:c>
      <x:c r="F360" s="331" t="str">
        <x:f>IF($A360="","",IF('Game Records'!$B360="","Start Date; ","")&amp;IF('Game Records'!$C360="","End Date; ","")&amp;IF(AND('Game Records'!$U360&lt;&gt;"Subscription",'Game Records'!$U360&lt;&gt;"Free Game",'Game Records'!$U360&lt;&gt;"Disqualified — Free Game",OR('Game Records'!$D360="",LOWER('Game Records'!$D360&amp;"")="n/a")),"Entry Mode; ","")&amp;IF(AND('Game Records'!$U360&lt;&gt;"Subscription",'Game Records'!$U360&lt;&gt;"Free Game",'Game Records'!$U360&lt;&gt;"Disqualified — Free Game",OR('Game Records'!$E360="",LOWER('Game Records'!$E360&amp;"")="n/a")),"Game Type; ","")&amp;IF('Game Records'!$F360="","Payment Type; ","")&amp;IF(AND('Game Records'!$U360&lt;&gt;"Subscription",'Game Records'!$U360&lt;&gt;"Free Game",'Game Records'!$U360&lt;&gt;"Disqualified — Free Game",'Game Records'!$G360=""),"Gross Pot; ","")&amp;IF(AND('Game Records'!$U360&lt;&gt;"Free Game",'Game Records'!$U360&lt;&gt;"Disqualified — Free Game",'Game Records'!$H360=""),"Entry Fee; ","")&amp;IF(AND('Game Records'!$U360&lt;&gt;"Subscription",'Game Records'!$U360&lt;&gt;"Free Game",'Game Records'!$U360&lt;&gt;"Disqualified — Free Game",'Game Records'!$I360=""),"Eligible Players; ","")&amp;IF(AND('Game Records'!$U360&lt;&gt;"Subscription",'Game Records'!$U360&lt;&gt;"Free Game",'Game Records'!$U360&lt;&gt;"Disqualified — Free Game",'Game Records'!$J360=""),"Total Players; ","")&amp;IF(AND(LOWER('Game Records'!$D360&amp;"")="finalized",LOWER('Game Records'!$L360&amp;"")&lt;&gt;"yes",'Game Records'!$U360&lt;&gt;"Subscription",'Game Records'!$U360&lt;&gt;"Free Game",'Game Records'!$U360&lt;&gt;"Disqualified — Free Game",'Game Records'!$K360=""),"Final Earned; ","")&amp;IF(AND(LOWER('Game Records'!$D360&amp;"")="finalized",'Game Records'!$U360&lt;&gt;"Subscription",'Game Records'!$U360&lt;&gt;"Free Game",'Game Records'!$U360&lt;&gt;"Disqualified — Free Game",OR('Game Records'!$L360="",LOWER('Game Records'!$L360&amp;"")="n/a")),"Disqualified Status; ",""))</x:f>
      </x:c>
      <x:c r="G360" s="331" t="str">
        <x:f>IF($A360="","",IFERROR('Game Records'!$M360,""))</x:f>
      </x:c>
    </x:row>
    <x:row r="361">
      <x:c r="A361" s="332" t="str">
        <x:f>IF(OR(COUNTA('Game Records'!$A361:$M361)=0,'Game Records'!$F361="Subscription"),"",IFERROR(MAX($A$4:A360),0)+1)</x:f>
      </x:c>
      <x:c r="B361" s="332" t="str">
        <x:f>IF($A361="","","G-"&amp;TEXT(ROW('Game Records'!$A361)-4,"0000"))</x:f>
      </x:c>
      <x:c r="C361" s="331" t="str">
        <x:f>IF($A361="","",IFERROR('Game Records'!$A361,""))</x:f>
      </x:c>
      <x:c r="D361" s="331" t="str">
        <x:f>IF($A361="","",IFERROR('Game Records'!$U361,""))</x:f>
      </x:c>
      <x:c r="E361" s="331" t="str">
        <x:f>IF($A361="","",IF($F361="","No Highlighted Fields","Highlighted Fields Present"))</x:f>
      </x:c>
      <x:c r="F361" s="331" t="str">
        <x:f>IF($A361="","",IF('Game Records'!$B361="","Start Date; ","")&amp;IF('Game Records'!$C361="","End Date; ","")&amp;IF(AND('Game Records'!$U361&lt;&gt;"Subscription",'Game Records'!$U361&lt;&gt;"Free Game",'Game Records'!$U361&lt;&gt;"Disqualified — Free Game",OR('Game Records'!$D361="",LOWER('Game Records'!$D361&amp;"")="n/a")),"Entry Mode; ","")&amp;IF(AND('Game Records'!$U361&lt;&gt;"Subscription",'Game Records'!$U361&lt;&gt;"Free Game",'Game Records'!$U361&lt;&gt;"Disqualified — Free Game",OR('Game Records'!$E361="",LOWER('Game Records'!$E361&amp;"")="n/a")),"Game Type; ","")&amp;IF('Game Records'!$F361="","Payment Type; ","")&amp;IF(AND('Game Records'!$U361&lt;&gt;"Subscription",'Game Records'!$U361&lt;&gt;"Free Game",'Game Records'!$U361&lt;&gt;"Disqualified — Free Game",'Game Records'!$G361=""),"Gross Pot; ","")&amp;IF(AND('Game Records'!$U361&lt;&gt;"Free Game",'Game Records'!$U361&lt;&gt;"Disqualified — Free Game",'Game Records'!$H361=""),"Entry Fee; ","")&amp;IF(AND('Game Records'!$U361&lt;&gt;"Subscription",'Game Records'!$U361&lt;&gt;"Free Game",'Game Records'!$U361&lt;&gt;"Disqualified — Free Game",'Game Records'!$I361=""),"Eligible Players; ","")&amp;IF(AND('Game Records'!$U361&lt;&gt;"Subscription",'Game Records'!$U361&lt;&gt;"Free Game",'Game Records'!$U361&lt;&gt;"Disqualified — Free Game",'Game Records'!$J361=""),"Total Players; ","")&amp;IF(AND(LOWER('Game Records'!$D361&amp;"")="finalized",LOWER('Game Records'!$L361&amp;"")&lt;&gt;"yes",'Game Records'!$U361&lt;&gt;"Subscription",'Game Records'!$U361&lt;&gt;"Free Game",'Game Records'!$U361&lt;&gt;"Disqualified — Free Game",'Game Records'!$K361=""),"Final Earned; ","")&amp;IF(AND(LOWER('Game Records'!$D361&amp;"")="finalized",'Game Records'!$U361&lt;&gt;"Subscription",'Game Records'!$U361&lt;&gt;"Free Game",'Game Records'!$U361&lt;&gt;"Disqualified — Free Game",OR('Game Records'!$L361="",LOWER('Game Records'!$L361&amp;"")="n/a")),"Disqualified Status; ",""))</x:f>
      </x:c>
      <x:c r="G361" s="331" t="str">
        <x:f>IF($A361="","",IFERROR('Game Records'!$M361,""))</x:f>
      </x:c>
    </x:row>
    <x:row r="362">
      <x:c r="A362" s="332" t="str">
        <x:f>IF(OR(COUNTA('Game Records'!$A362:$M362)=0,'Game Records'!$F362="Subscription"),"",IFERROR(MAX($A$4:A361),0)+1)</x:f>
      </x:c>
      <x:c r="B362" s="332" t="str">
        <x:f>IF($A362="","","G-"&amp;TEXT(ROW('Game Records'!$A362)-4,"0000"))</x:f>
      </x:c>
      <x:c r="C362" s="331" t="str">
        <x:f>IF($A362="","",IFERROR('Game Records'!$A362,""))</x:f>
      </x:c>
      <x:c r="D362" s="331" t="str">
        <x:f>IF($A362="","",IFERROR('Game Records'!$U362,""))</x:f>
      </x:c>
      <x:c r="E362" s="331" t="str">
        <x:f>IF($A362="","",IF($F362="","No Highlighted Fields","Highlighted Fields Present"))</x:f>
      </x:c>
      <x:c r="F362" s="331" t="str">
        <x:f>IF($A362="","",IF('Game Records'!$B362="","Start Date; ","")&amp;IF('Game Records'!$C362="","End Date; ","")&amp;IF(AND('Game Records'!$U362&lt;&gt;"Subscription",'Game Records'!$U362&lt;&gt;"Free Game",'Game Records'!$U362&lt;&gt;"Disqualified — Free Game",OR('Game Records'!$D362="",LOWER('Game Records'!$D362&amp;"")="n/a")),"Entry Mode; ","")&amp;IF(AND('Game Records'!$U362&lt;&gt;"Subscription",'Game Records'!$U362&lt;&gt;"Free Game",'Game Records'!$U362&lt;&gt;"Disqualified — Free Game",OR('Game Records'!$E362="",LOWER('Game Records'!$E362&amp;"")="n/a")),"Game Type; ","")&amp;IF('Game Records'!$F362="","Payment Type; ","")&amp;IF(AND('Game Records'!$U362&lt;&gt;"Subscription",'Game Records'!$U362&lt;&gt;"Free Game",'Game Records'!$U362&lt;&gt;"Disqualified — Free Game",'Game Records'!$G362=""),"Gross Pot; ","")&amp;IF(AND('Game Records'!$U362&lt;&gt;"Free Game",'Game Records'!$U362&lt;&gt;"Disqualified — Free Game",'Game Records'!$H362=""),"Entry Fee; ","")&amp;IF(AND('Game Records'!$U362&lt;&gt;"Subscription",'Game Records'!$U362&lt;&gt;"Free Game",'Game Records'!$U362&lt;&gt;"Disqualified — Free Game",'Game Records'!$I362=""),"Eligible Players; ","")&amp;IF(AND('Game Records'!$U362&lt;&gt;"Subscription",'Game Records'!$U362&lt;&gt;"Free Game",'Game Records'!$U362&lt;&gt;"Disqualified — Free Game",'Game Records'!$J362=""),"Total Players; ","")&amp;IF(AND(LOWER('Game Records'!$D362&amp;"")="finalized",LOWER('Game Records'!$L362&amp;"")&lt;&gt;"yes",'Game Records'!$U362&lt;&gt;"Subscription",'Game Records'!$U362&lt;&gt;"Free Game",'Game Records'!$U362&lt;&gt;"Disqualified — Free Game",'Game Records'!$K362=""),"Final Earned; ","")&amp;IF(AND(LOWER('Game Records'!$D362&amp;"")="finalized",'Game Records'!$U362&lt;&gt;"Subscription",'Game Records'!$U362&lt;&gt;"Free Game",'Game Records'!$U362&lt;&gt;"Disqualified — Free Game",OR('Game Records'!$L362="",LOWER('Game Records'!$L362&amp;"")="n/a")),"Disqualified Status; ",""))</x:f>
      </x:c>
      <x:c r="G362" s="331" t="str">
        <x:f>IF($A362="","",IFERROR('Game Records'!$M362,""))</x:f>
      </x:c>
    </x:row>
    <x:row r="363">
      <x:c r="A363" s="332" t="str">
        <x:f>IF(OR(COUNTA('Game Records'!$A363:$M363)=0,'Game Records'!$F363="Subscription"),"",IFERROR(MAX($A$4:A362),0)+1)</x:f>
      </x:c>
      <x:c r="B363" s="332" t="str">
        <x:f>IF($A363="","","G-"&amp;TEXT(ROW('Game Records'!$A363)-4,"0000"))</x:f>
      </x:c>
      <x:c r="C363" s="331" t="str">
        <x:f>IF($A363="","",IFERROR('Game Records'!$A363,""))</x:f>
      </x:c>
      <x:c r="D363" s="331" t="str">
        <x:f>IF($A363="","",IFERROR('Game Records'!$U363,""))</x:f>
      </x:c>
      <x:c r="E363" s="331" t="str">
        <x:f>IF($A363="","",IF($F363="","No Highlighted Fields","Highlighted Fields Present"))</x:f>
      </x:c>
      <x:c r="F363" s="331" t="str">
        <x:f>IF($A363="","",IF('Game Records'!$B363="","Start Date; ","")&amp;IF('Game Records'!$C363="","End Date; ","")&amp;IF(AND('Game Records'!$U363&lt;&gt;"Subscription",'Game Records'!$U363&lt;&gt;"Free Game",'Game Records'!$U363&lt;&gt;"Disqualified — Free Game",OR('Game Records'!$D363="",LOWER('Game Records'!$D363&amp;"")="n/a")),"Entry Mode; ","")&amp;IF(AND('Game Records'!$U363&lt;&gt;"Subscription",'Game Records'!$U363&lt;&gt;"Free Game",'Game Records'!$U363&lt;&gt;"Disqualified — Free Game",OR('Game Records'!$E363="",LOWER('Game Records'!$E363&amp;"")="n/a")),"Game Type; ","")&amp;IF('Game Records'!$F363="","Payment Type; ","")&amp;IF(AND('Game Records'!$U363&lt;&gt;"Subscription",'Game Records'!$U363&lt;&gt;"Free Game",'Game Records'!$U363&lt;&gt;"Disqualified — Free Game",'Game Records'!$G363=""),"Gross Pot; ","")&amp;IF(AND('Game Records'!$U363&lt;&gt;"Free Game",'Game Records'!$U363&lt;&gt;"Disqualified — Free Game",'Game Records'!$H363=""),"Entry Fee; ","")&amp;IF(AND('Game Records'!$U363&lt;&gt;"Subscription",'Game Records'!$U363&lt;&gt;"Free Game",'Game Records'!$U363&lt;&gt;"Disqualified — Free Game",'Game Records'!$I363=""),"Eligible Players; ","")&amp;IF(AND('Game Records'!$U363&lt;&gt;"Subscription",'Game Records'!$U363&lt;&gt;"Free Game",'Game Records'!$U363&lt;&gt;"Disqualified — Free Game",'Game Records'!$J363=""),"Total Players; ","")&amp;IF(AND(LOWER('Game Records'!$D363&amp;"")="finalized",LOWER('Game Records'!$L363&amp;"")&lt;&gt;"yes",'Game Records'!$U363&lt;&gt;"Subscription",'Game Records'!$U363&lt;&gt;"Free Game",'Game Records'!$U363&lt;&gt;"Disqualified — Free Game",'Game Records'!$K363=""),"Final Earned; ","")&amp;IF(AND(LOWER('Game Records'!$D363&amp;"")="finalized",'Game Records'!$U363&lt;&gt;"Subscription",'Game Records'!$U363&lt;&gt;"Free Game",'Game Records'!$U363&lt;&gt;"Disqualified — Free Game",OR('Game Records'!$L363="",LOWER('Game Records'!$L363&amp;"")="n/a")),"Disqualified Status; ",""))</x:f>
      </x:c>
      <x:c r="G363" s="331" t="str">
        <x:f>IF($A363="","",IFERROR('Game Records'!$M363,""))</x:f>
      </x:c>
    </x:row>
    <x:row r="364">
      <x:c r="A364" s="332" t="str">
        <x:f>IF(OR(COUNTA('Game Records'!$A364:$M364)=0,'Game Records'!$F364="Subscription"),"",IFERROR(MAX($A$4:A363),0)+1)</x:f>
      </x:c>
      <x:c r="B364" s="332" t="str">
        <x:f>IF($A364="","","G-"&amp;TEXT(ROW('Game Records'!$A364)-4,"0000"))</x:f>
      </x:c>
      <x:c r="C364" s="331" t="str">
        <x:f>IF($A364="","",IFERROR('Game Records'!$A364,""))</x:f>
      </x:c>
      <x:c r="D364" s="331" t="str">
        <x:f>IF($A364="","",IFERROR('Game Records'!$U364,""))</x:f>
      </x:c>
      <x:c r="E364" s="331" t="str">
        <x:f>IF($A364="","",IF($F364="","No Highlighted Fields","Highlighted Fields Present"))</x:f>
      </x:c>
      <x:c r="F364" s="331" t="str">
        <x:f>IF($A364="","",IF('Game Records'!$B364="","Start Date; ","")&amp;IF('Game Records'!$C364="","End Date; ","")&amp;IF(AND('Game Records'!$U364&lt;&gt;"Subscription",'Game Records'!$U364&lt;&gt;"Free Game",'Game Records'!$U364&lt;&gt;"Disqualified — Free Game",OR('Game Records'!$D364="",LOWER('Game Records'!$D364&amp;"")="n/a")),"Entry Mode; ","")&amp;IF(AND('Game Records'!$U364&lt;&gt;"Subscription",'Game Records'!$U364&lt;&gt;"Free Game",'Game Records'!$U364&lt;&gt;"Disqualified — Free Game",OR('Game Records'!$E364="",LOWER('Game Records'!$E364&amp;"")="n/a")),"Game Type; ","")&amp;IF('Game Records'!$F364="","Payment Type; ","")&amp;IF(AND('Game Records'!$U364&lt;&gt;"Subscription",'Game Records'!$U364&lt;&gt;"Free Game",'Game Records'!$U364&lt;&gt;"Disqualified — Free Game",'Game Records'!$G364=""),"Gross Pot; ","")&amp;IF(AND('Game Records'!$U364&lt;&gt;"Free Game",'Game Records'!$U364&lt;&gt;"Disqualified — Free Game",'Game Records'!$H364=""),"Entry Fee; ","")&amp;IF(AND('Game Records'!$U364&lt;&gt;"Subscription",'Game Records'!$U364&lt;&gt;"Free Game",'Game Records'!$U364&lt;&gt;"Disqualified — Free Game",'Game Records'!$I364=""),"Eligible Players; ","")&amp;IF(AND('Game Records'!$U364&lt;&gt;"Subscription",'Game Records'!$U364&lt;&gt;"Free Game",'Game Records'!$U364&lt;&gt;"Disqualified — Free Game",'Game Records'!$J364=""),"Total Players; ","")&amp;IF(AND(LOWER('Game Records'!$D364&amp;"")="finalized",LOWER('Game Records'!$L364&amp;"")&lt;&gt;"yes",'Game Records'!$U364&lt;&gt;"Subscription",'Game Records'!$U364&lt;&gt;"Free Game",'Game Records'!$U364&lt;&gt;"Disqualified — Free Game",'Game Records'!$K364=""),"Final Earned; ","")&amp;IF(AND(LOWER('Game Records'!$D364&amp;"")="finalized",'Game Records'!$U364&lt;&gt;"Subscription",'Game Records'!$U364&lt;&gt;"Free Game",'Game Records'!$U364&lt;&gt;"Disqualified — Free Game",OR('Game Records'!$L364="",LOWER('Game Records'!$L364&amp;"")="n/a")),"Disqualified Status; ",""))</x:f>
      </x:c>
      <x:c r="G364" s="331" t="str">
        <x:f>IF($A364="","",IFERROR('Game Records'!$M364,""))</x:f>
      </x:c>
    </x:row>
    <x:row r="365">
      <x:c r="A365" s="332" t="str">
        <x:f>IF(OR(COUNTA('Game Records'!$A365:$M365)=0,'Game Records'!$F365="Subscription"),"",IFERROR(MAX($A$4:A364),0)+1)</x:f>
      </x:c>
      <x:c r="B365" s="332" t="str">
        <x:f>IF($A365="","","G-"&amp;TEXT(ROW('Game Records'!$A365)-4,"0000"))</x:f>
      </x:c>
      <x:c r="C365" s="331" t="str">
        <x:f>IF($A365="","",IFERROR('Game Records'!$A365,""))</x:f>
      </x:c>
      <x:c r="D365" s="331" t="str">
        <x:f>IF($A365="","",IFERROR('Game Records'!$U365,""))</x:f>
      </x:c>
      <x:c r="E365" s="331" t="str">
        <x:f>IF($A365="","",IF($F365="","No Highlighted Fields","Highlighted Fields Present"))</x:f>
      </x:c>
      <x:c r="F365" s="331" t="str">
        <x:f>IF($A365="","",IF('Game Records'!$B365="","Start Date; ","")&amp;IF('Game Records'!$C365="","End Date; ","")&amp;IF(AND('Game Records'!$U365&lt;&gt;"Subscription",'Game Records'!$U365&lt;&gt;"Free Game",'Game Records'!$U365&lt;&gt;"Disqualified — Free Game",OR('Game Records'!$D365="",LOWER('Game Records'!$D365&amp;"")="n/a")),"Entry Mode; ","")&amp;IF(AND('Game Records'!$U365&lt;&gt;"Subscription",'Game Records'!$U365&lt;&gt;"Free Game",'Game Records'!$U365&lt;&gt;"Disqualified — Free Game",OR('Game Records'!$E365="",LOWER('Game Records'!$E365&amp;"")="n/a")),"Game Type; ","")&amp;IF('Game Records'!$F365="","Payment Type; ","")&amp;IF(AND('Game Records'!$U365&lt;&gt;"Subscription",'Game Records'!$U365&lt;&gt;"Free Game",'Game Records'!$U365&lt;&gt;"Disqualified — Free Game",'Game Records'!$G365=""),"Gross Pot; ","")&amp;IF(AND('Game Records'!$U365&lt;&gt;"Free Game",'Game Records'!$U365&lt;&gt;"Disqualified — Free Game",'Game Records'!$H365=""),"Entry Fee; ","")&amp;IF(AND('Game Records'!$U365&lt;&gt;"Subscription",'Game Records'!$U365&lt;&gt;"Free Game",'Game Records'!$U365&lt;&gt;"Disqualified — Free Game",'Game Records'!$I365=""),"Eligible Players; ","")&amp;IF(AND('Game Records'!$U365&lt;&gt;"Subscription",'Game Records'!$U365&lt;&gt;"Free Game",'Game Records'!$U365&lt;&gt;"Disqualified — Free Game",'Game Records'!$J365=""),"Total Players; ","")&amp;IF(AND(LOWER('Game Records'!$D365&amp;"")="finalized",LOWER('Game Records'!$L365&amp;"")&lt;&gt;"yes",'Game Records'!$U365&lt;&gt;"Subscription",'Game Records'!$U365&lt;&gt;"Free Game",'Game Records'!$U365&lt;&gt;"Disqualified — Free Game",'Game Records'!$K365=""),"Final Earned; ","")&amp;IF(AND(LOWER('Game Records'!$D365&amp;"")="finalized",'Game Records'!$U365&lt;&gt;"Subscription",'Game Records'!$U365&lt;&gt;"Free Game",'Game Records'!$U365&lt;&gt;"Disqualified — Free Game",OR('Game Records'!$L365="",LOWER('Game Records'!$L365&amp;"")="n/a")),"Disqualified Status; ",""))</x:f>
      </x:c>
      <x:c r="G365" s="331" t="str">
        <x:f>IF($A365="","",IFERROR('Game Records'!$M365,""))</x:f>
      </x:c>
    </x:row>
    <x:row r="366">
      <x:c r="A366" s="332" t="str">
        <x:f>IF(OR(COUNTA('Game Records'!$A366:$M366)=0,'Game Records'!$F366="Subscription"),"",IFERROR(MAX($A$4:A365),0)+1)</x:f>
      </x:c>
      <x:c r="B366" s="332" t="str">
        <x:f>IF($A366="","","G-"&amp;TEXT(ROW('Game Records'!$A366)-4,"0000"))</x:f>
      </x:c>
      <x:c r="C366" s="331" t="str">
        <x:f>IF($A366="","",IFERROR('Game Records'!$A366,""))</x:f>
      </x:c>
      <x:c r="D366" s="331" t="str">
        <x:f>IF($A366="","",IFERROR('Game Records'!$U366,""))</x:f>
      </x:c>
      <x:c r="E366" s="331" t="str">
        <x:f>IF($A366="","",IF($F366="","No Highlighted Fields","Highlighted Fields Present"))</x:f>
      </x:c>
      <x:c r="F366" s="331" t="str">
        <x:f>IF($A366="","",IF('Game Records'!$B366="","Start Date; ","")&amp;IF('Game Records'!$C366="","End Date; ","")&amp;IF(AND('Game Records'!$U366&lt;&gt;"Subscription",'Game Records'!$U366&lt;&gt;"Free Game",'Game Records'!$U366&lt;&gt;"Disqualified — Free Game",OR('Game Records'!$D366="",LOWER('Game Records'!$D366&amp;"")="n/a")),"Entry Mode; ","")&amp;IF(AND('Game Records'!$U366&lt;&gt;"Subscription",'Game Records'!$U366&lt;&gt;"Free Game",'Game Records'!$U366&lt;&gt;"Disqualified — Free Game",OR('Game Records'!$E366="",LOWER('Game Records'!$E366&amp;"")="n/a")),"Game Type; ","")&amp;IF('Game Records'!$F366="","Payment Type; ","")&amp;IF(AND('Game Records'!$U366&lt;&gt;"Subscription",'Game Records'!$U366&lt;&gt;"Free Game",'Game Records'!$U366&lt;&gt;"Disqualified — Free Game",'Game Records'!$G366=""),"Gross Pot; ","")&amp;IF(AND('Game Records'!$U366&lt;&gt;"Free Game",'Game Records'!$U366&lt;&gt;"Disqualified — Free Game",'Game Records'!$H366=""),"Entry Fee; ","")&amp;IF(AND('Game Records'!$U366&lt;&gt;"Subscription",'Game Records'!$U366&lt;&gt;"Free Game",'Game Records'!$U366&lt;&gt;"Disqualified — Free Game",'Game Records'!$I366=""),"Eligible Players; ","")&amp;IF(AND('Game Records'!$U366&lt;&gt;"Subscription",'Game Records'!$U366&lt;&gt;"Free Game",'Game Records'!$U366&lt;&gt;"Disqualified — Free Game",'Game Records'!$J366=""),"Total Players; ","")&amp;IF(AND(LOWER('Game Records'!$D366&amp;"")="finalized",LOWER('Game Records'!$L366&amp;"")&lt;&gt;"yes",'Game Records'!$U366&lt;&gt;"Subscription",'Game Records'!$U366&lt;&gt;"Free Game",'Game Records'!$U366&lt;&gt;"Disqualified — Free Game",'Game Records'!$K366=""),"Final Earned; ","")&amp;IF(AND(LOWER('Game Records'!$D366&amp;"")="finalized",'Game Records'!$U366&lt;&gt;"Subscription",'Game Records'!$U366&lt;&gt;"Free Game",'Game Records'!$U366&lt;&gt;"Disqualified — Free Game",OR('Game Records'!$L366="",LOWER('Game Records'!$L366&amp;"")="n/a")),"Disqualified Status; ",""))</x:f>
      </x:c>
      <x:c r="G366" s="331" t="str">
        <x:f>IF($A366="","",IFERROR('Game Records'!$M366,""))</x:f>
      </x:c>
    </x:row>
    <x:row r="367">
      <x:c r="A367" s="332" t="str">
        <x:f>IF(OR(COUNTA('Game Records'!$A367:$M367)=0,'Game Records'!$F367="Subscription"),"",IFERROR(MAX($A$4:A366),0)+1)</x:f>
      </x:c>
      <x:c r="B367" s="332" t="str">
        <x:f>IF($A367="","","G-"&amp;TEXT(ROW('Game Records'!$A367)-4,"0000"))</x:f>
      </x:c>
      <x:c r="C367" s="331" t="str">
        <x:f>IF($A367="","",IFERROR('Game Records'!$A367,""))</x:f>
      </x:c>
      <x:c r="D367" s="331" t="str">
        <x:f>IF($A367="","",IFERROR('Game Records'!$U367,""))</x:f>
      </x:c>
      <x:c r="E367" s="331" t="str">
        <x:f>IF($A367="","",IF($F367="","No Highlighted Fields","Highlighted Fields Present"))</x:f>
      </x:c>
      <x:c r="F367" s="331" t="str">
        <x:f>IF($A367="","",IF('Game Records'!$B367="","Start Date; ","")&amp;IF('Game Records'!$C367="","End Date; ","")&amp;IF(AND('Game Records'!$U367&lt;&gt;"Subscription",'Game Records'!$U367&lt;&gt;"Free Game",'Game Records'!$U367&lt;&gt;"Disqualified — Free Game",OR('Game Records'!$D367="",LOWER('Game Records'!$D367&amp;"")="n/a")),"Entry Mode; ","")&amp;IF(AND('Game Records'!$U367&lt;&gt;"Subscription",'Game Records'!$U367&lt;&gt;"Free Game",'Game Records'!$U367&lt;&gt;"Disqualified — Free Game",OR('Game Records'!$E367="",LOWER('Game Records'!$E367&amp;"")="n/a")),"Game Type; ","")&amp;IF('Game Records'!$F367="","Payment Type; ","")&amp;IF(AND('Game Records'!$U367&lt;&gt;"Subscription",'Game Records'!$U367&lt;&gt;"Free Game",'Game Records'!$U367&lt;&gt;"Disqualified — Free Game",'Game Records'!$G367=""),"Gross Pot; ","")&amp;IF(AND('Game Records'!$U367&lt;&gt;"Free Game",'Game Records'!$U367&lt;&gt;"Disqualified — Free Game",'Game Records'!$H367=""),"Entry Fee; ","")&amp;IF(AND('Game Records'!$U367&lt;&gt;"Subscription",'Game Records'!$U367&lt;&gt;"Free Game",'Game Records'!$U367&lt;&gt;"Disqualified — Free Game",'Game Records'!$I367=""),"Eligible Players; ","")&amp;IF(AND('Game Records'!$U367&lt;&gt;"Subscription",'Game Records'!$U367&lt;&gt;"Free Game",'Game Records'!$U367&lt;&gt;"Disqualified — Free Game",'Game Records'!$J367=""),"Total Players; ","")&amp;IF(AND(LOWER('Game Records'!$D367&amp;"")="finalized",LOWER('Game Records'!$L367&amp;"")&lt;&gt;"yes",'Game Records'!$U367&lt;&gt;"Subscription",'Game Records'!$U367&lt;&gt;"Free Game",'Game Records'!$U367&lt;&gt;"Disqualified — Free Game",'Game Records'!$K367=""),"Final Earned; ","")&amp;IF(AND(LOWER('Game Records'!$D367&amp;"")="finalized",'Game Records'!$U367&lt;&gt;"Subscription",'Game Records'!$U367&lt;&gt;"Free Game",'Game Records'!$U367&lt;&gt;"Disqualified — Free Game",OR('Game Records'!$L367="",LOWER('Game Records'!$L367&amp;"")="n/a")),"Disqualified Status; ",""))</x:f>
      </x:c>
      <x:c r="G367" s="331" t="str">
        <x:f>IF($A367="","",IFERROR('Game Records'!$M367,""))</x:f>
      </x:c>
    </x:row>
    <x:row r="368">
      <x:c r="A368" s="332" t="str">
        <x:f>IF(OR(COUNTA('Game Records'!$A368:$M368)=0,'Game Records'!$F368="Subscription"),"",IFERROR(MAX($A$4:A367),0)+1)</x:f>
      </x:c>
      <x:c r="B368" s="332" t="str">
        <x:f>IF($A368="","","G-"&amp;TEXT(ROW('Game Records'!$A368)-4,"0000"))</x:f>
      </x:c>
      <x:c r="C368" s="331" t="str">
        <x:f>IF($A368="","",IFERROR('Game Records'!$A368,""))</x:f>
      </x:c>
      <x:c r="D368" s="331" t="str">
        <x:f>IF($A368="","",IFERROR('Game Records'!$U368,""))</x:f>
      </x:c>
      <x:c r="E368" s="331" t="str">
        <x:f>IF($A368="","",IF($F368="","No Highlighted Fields","Highlighted Fields Present"))</x:f>
      </x:c>
      <x:c r="F368" s="331" t="str">
        <x:f>IF($A368="","",IF('Game Records'!$B368="","Start Date; ","")&amp;IF('Game Records'!$C368="","End Date; ","")&amp;IF(AND('Game Records'!$U368&lt;&gt;"Subscription",'Game Records'!$U368&lt;&gt;"Free Game",'Game Records'!$U368&lt;&gt;"Disqualified — Free Game",OR('Game Records'!$D368="",LOWER('Game Records'!$D368&amp;"")="n/a")),"Entry Mode; ","")&amp;IF(AND('Game Records'!$U368&lt;&gt;"Subscription",'Game Records'!$U368&lt;&gt;"Free Game",'Game Records'!$U368&lt;&gt;"Disqualified — Free Game",OR('Game Records'!$E368="",LOWER('Game Records'!$E368&amp;"")="n/a")),"Game Type; ","")&amp;IF('Game Records'!$F368="","Payment Type; ","")&amp;IF(AND('Game Records'!$U368&lt;&gt;"Subscription",'Game Records'!$U368&lt;&gt;"Free Game",'Game Records'!$U368&lt;&gt;"Disqualified — Free Game",'Game Records'!$G368=""),"Gross Pot; ","")&amp;IF(AND('Game Records'!$U368&lt;&gt;"Free Game",'Game Records'!$U368&lt;&gt;"Disqualified — Free Game",'Game Records'!$H368=""),"Entry Fee; ","")&amp;IF(AND('Game Records'!$U368&lt;&gt;"Subscription",'Game Records'!$U368&lt;&gt;"Free Game",'Game Records'!$U368&lt;&gt;"Disqualified — Free Game",'Game Records'!$I368=""),"Eligible Players; ","")&amp;IF(AND('Game Records'!$U368&lt;&gt;"Subscription",'Game Records'!$U368&lt;&gt;"Free Game",'Game Records'!$U368&lt;&gt;"Disqualified — Free Game",'Game Records'!$J368=""),"Total Players; ","")&amp;IF(AND(LOWER('Game Records'!$D368&amp;"")="finalized",LOWER('Game Records'!$L368&amp;"")&lt;&gt;"yes",'Game Records'!$U368&lt;&gt;"Subscription",'Game Records'!$U368&lt;&gt;"Free Game",'Game Records'!$U368&lt;&gt;"Disqualified — Free Game",'Game Records'!$K368=""),"Final Earned; ","")&amp;IF(AND(LOWER('Game Records'!$D368&amp;"")="finalized",'Game Records'!$U368&lt;&gt;"Subscription",'Game Records'!$U368&lt;&gt;"Free Game",'Game Records'!$U368&lt;&gt;"Disqualified — Free Game",OR('Game Records'!$L368="",LOWER('Game Records'!$L368&amp;"")="n/a")),"Disqualified Status; ",""))</x:f>
      </x:c>
      <x:c r="G368" s="331" t="str">
        <x:f>IF($A368="","",IFERROR('Game Records'!$M368,""))</x:f>
      </x:c>
    </x:row>
    <x:row r="369">
      <x:c r="A369" s="332" t="str">
        <x:f>IF(OR(COUNTA('Game Records'!$A369:$M369)=0,'Game Records'!$F369="Subscription"),"",IFERROR(MAX($A$4:A368),0)+1)</x:f>
      </x:c>
      <x:c r="B369" s="332" t="str">
        <x:f>IF($A369="","","G-"&amp;TEXT(ROW('Game Records'!$A369)-4,"0000"))</x:f>
      </x:c>
      <x:c r="C369" s="331" t="str">
        <x:f>IF($A369="","",IFERROR('Game Records'!$A369,""))</x:f>
      </x:c>
      <x:c r="D369" s="331" t="str">
        <x:f>IF($A369="","",IFERROR('Game Records'!$U369,""))</x:f>
      </x:c>
      <x:c r="E369" s="331" t="str">
        <x:f>IF($A369="","",IF($F369="","No Highlighted Fields","Highlighted Fields Present"))</x:f>
      </x:c>
      <x:c r="F369" s="331" t="str">
        <x:f>IF($A369="","",IF('Game Records'!$B369="","Start Date; ","")&amp;IF('Game Records'!$C369="","End Date; ","")&amp;IF(AND('Game Records'!$U369&lt;&gt;"Subscription",'Game Records'!$U369&lt;&gt;"Free Game",'Game Records'!$U369&lt;&gt;"Disqualified — Free Game",OR('Game Records'!$D369="",LOWER('Game Records'!$D369&amp;"")="n/a")),"Entry Mode; ","")&amp;IF(AND('Game Records'!$U369&lt;&gt;"Subscription",'Game Records'!$U369&lt;&gt;"Free Game",'Game Records'!$U369&lt;&gt;"Disqualified — Free Game",OR('Game Records'!$E369="",LOWER('Game Records'!$E369&amp;"")="n/a")),"Game Type; ","")&amp;IF('Game Records'!$F369="","Payment Type; ","")&amp;IF(AND('Game Records'!$U369&lt;&gt;"Subscription",'Game Records'!$U369&lt;&gt;"Free Game",'Game Records'!$U369&lt;&gt;"Disqualified — Free Game",'Game Records'!$G369=""),"Gross Pot; ","")&amp;IF(AND('Game Records'!$U369&lt;&gt;"Free Game",'Game Records'!$U369&lt;&gt;"Disqualified — Free Game",'Game Records'!$H369=""),"Entry Fee; ","")&amp;IF(AND('Game Records'!$U369&lt;&gt;"Subscription",'Game Records'!$U369&lt;&gt;"Free Game",'Game Records'!$U369&lt;&gt;"Disqualified — Free Game",'Game Records'!$I369=""),"Eligible Players; ","")&amp;IF(AND('Game Records'!$U369&lt;&gt;"Subscription",'Game Records'!$U369&lt;&gt;"Free Game",'Game Records'!$U369&lt;&gt;"Disqualified — Free Game",'Game Records'!$J369=""),"Total Players; ","")&amp;IF(AND(LOWER('Game Records'!$D369&amp;"")="finalized",LOWER('Game Records'!$L369&amp;"")&lt;&gt;"yes",'Game Records'!$U369&lt;&gt;"Subscription",'Game Records'!$U369&lt;&gt;"Free Game",'Game Records'!$U369&lt;&gt;"Disqualified — Free Game",'Game Records'!$K369=""),"Final Earned; ","")&amp;IF(AND(LOWER('Game Records'!$D369&amp;"")="finalized",'Game Records'!$U369&lt;&gt;"Subscription",'Game Records'!$U369&lt;&gt;"Free Game",'Game Records'!$U369&lt;&gt;"Disqualified — Free Game",OR('Game Records'!$L369="",LOWER('Game Records'!$L369&amp;"")="n/a")),"Disqualified Status; ",""))</x:f>
      </x:c>
      <x:c r="G369" s="331" t="str">
        <x:f>IF($A369="","",IFERROR('Game Records'!$M369,""))</x:f>
      </x:c>
    </x:row>
    <x:row r="370">
      <x:c r="A370" s="332" t="str">
        <x:f>IF(OR(COUNTA('Game Records'!$A370:$M370)=0,'Game Records'!$F370="Subscription"),"",IFERROR(MAX($A$4:A369),0)+1)</x:f>
      </x:c>
      <x:c r="B370" s="332" t="str">
        <x:f>IF($A370="","","G-"&amp;TEXT(ROW('Game Records'!$A370)-4,"0000"))</x:f>
      </x:c>
      <x:c r="C370" s="331" t="str">
        <x:f>IF($A370="","",IFERROR('Game Records'!$A370,""))</x:f>
      </x:c>
      <x:c r="D370" s="331" t="str">
        <x:f>IF($A370="","",IFERROR('Game Records'!$U370,""))</x:f>
      </x:c>
      <x:c r="E370" s="331" t="str">
        <x:f>IF($A370="","",IF($F370="","No Highlighted Fields","Highlighted Fields Present"))</x:f>
      </x:c>
      <x:c r="F370" s="331" t="str">
        <x:f>IF($A370="","",IF('Game Records'!$B370="","Start Date; ","")&amp;IF('Game Records'!$C370="","End Date; ","")&amp;IF(AND('Game Records'!$U370&lt;&gt;"Subscription",'Game Records'!$U370&lt;&gt;"Free Game",'Game Records'!$U370&lt;&gt;"Disqualified — Free Game",OR('Game Records'!$D370="",LOWER('Game Records'!$D370&amp;"")="n/a")),"Entry Mode; ","")&amp;IF(AND('Game Records'!$U370&lt;&gt;"Subscription",'Game Records'!$U370&lt;&gt;"Free Game",'Game Records'!$U370&lt;&gt;"Disqualified — Free Game",OR('Game Records'!$E370="",LOWER('Game Records'!$E370&amp;"")="n/a")),"Game Type; ","")&amp;IF('Game Records'!$F370="","Payment Type; ","")&amp;IF(AND('Game Records'!$U370&lt;&gt;"Subscription",'Game Records'!$U370&lt;&gt;"Free Game",'Game Records'!$U370&lt;&gt;"Disqualified — Free Game",'Game Records'!$G370=""),"Gross Pot; ","")&amp;IF(AND('Game Records'!$U370&lt;&gt;"Free Game",'Game Records'!$U370&lt;&gt;"Disqualified — Free Game",'Game Records'!$H370=""),"Entry Fee; ","")&amp;IF(AND('Game Records'!$U370&lt;&gt;"Subscription",'Game Records'!$U370&lt;&gt;"Free Game",'Game Records'!$U370&lt;&gt;"Disqualified — Free Game",'Game Records'!$I370=""),"Eligible Players; ","")&amp;IF(AND('Game Records'!$U370&lt;&gt;"Subscription",'Game Records'!$U370&lt;&gt;"Free Game",'Game Records'!$U370&lt;&gt;"Disqualified — Free Game",'Game Records'!$J370=""),"Total Players; ","")&amp;IF(AND(LOWER('Game Records'!$D370&amp;"")="finalized",LOWER('Game Records'!$L370&amp;"")&lt;&gt;"yes",'Game Records'!$U370&lt;&gt;"Subscription",'Game Records'!$U370&lt;&gt;"Free Game",'Game Records'!$U370&lt;&gt;"Disqualified — Free Game",'Game Records'!$K370=""),"Final Earned; ","")&amp;IF(AND(LOWER('Game Records'!$D370&amp;"")="finalized",'Game Records'!$U370&lt;&gt;"Subscription",'Game Records'!$U370&lt;&gt;"Free Game",'Game Records'!$U370&lt;&gt;"Disqualified — Free Game",OR('Game Records'!$L370="",LOWER('Game Records'!$L370&amp;"")="n/a")),"Disqualified Status; ",""))</x:f>
      </x:c>
      <x:c r="G370" s="331" t="str">
        <x:f>IF($A370="","",IFERROR('Game Records'!$M370,""))</x:f>
      </x:c>
    </x:row>
    <x:row r="371">
      <x:c r="A371" s="332" t="str">
        <x:f>IF(OR(COUNTA('Game Records'!$A371:$M371)=0,'Game Records'!$F371="Subscription"),"",IFERROR(MAX($A$4:A370),0)+1)</x:f>
      </x:c>
      <x:c r="B371" s="332" t="str">
        <x:f>IF($A371="","","G-"&amp;TEXT(ROW('Game Records'!$A371)-4,"0000"))</x:f>
      </x:c>
      <x:c r="C371" s="331" t="str">
        <x:f>IF($A371="","",IFERROR('Game Records'!$A371,""))</x:f>
      </x:c>
      <x:c r="D371" s="331" t="str">
        <x:f>IF($A371="","",IFERROR('Game Records'!$U371,""))</x:f>
      </x:c>
      <x:c r="E371" s="331" t="str">
        <x:f>IF($A371="","",IF($F371="","No Highlighted Fields","Highlighted Fields Present"))</x:f>
      </x:c>
      <x:c r="F371" s="331" t="str">
        <x:f>IF($A371="","",IF('Game Records'!$B371="","Start Date; ","")&amp;IF('Game Records'!$C371="","End Date; ","")&amp;IF(AND('Game Records'!$U371&lt;&gt;"Subscription",'Game Records'!$U371&lt;&gt;"Free Game",'Game Records'!$U371&lt;&gt;"Disqualified — Free Game",OR('Game Records'!$D371="",LOWER('Game Records'!$D371&amp;"")="n/a")),"Entry Mode; ","")&amp;IF(AND('Game Records'!$U371&lt;&gt;"Subscription",'Game Records'!$U371&lt;&gt;"Free Game",'Game Records'!$U371&lt;&gt;"Disqualified — Free Game",OR('Game Records'!$E371="",LOWER('Game Records'!$E371&amp;"")="n/a")),"Game Type; ","")&amp;IF('Game Records'!$F371="","Payment Type; ","")&amp;IF(AND('Game Records'!$U371&lt;&gt;"Subscription",'Game Records'!$U371&lt;&gt;"Free Game",'Game Records'!$U371&lt;&gt;"Disqualified — Free Game",'Game Records'!$G371=""),"Gross Pot; ","")&amp;IF(AND('Game Records'!$U371&lt;&gt;"Free Game",'Game Records'!$U371&lt;&gt;"Disqualified — Free Game",'Game Records'!$H371=""),"Entry Fee; ","")&amp;IF(AND('Game Records'!$U371&lt;&gt;"Subscription",'Game Records'!$U371&lt;&gt;"Free Game",'Game Records'!$U371&lt;&gt;"Disqualified — Free Game",'Game Records'!$I371=""),"Eligible Players; ","")&amp;IF(AND('Game Records'!$U371&lt;&gt;"Subscription",'Game Records'!$U371&lt;&gt;"Free Game",'Game Records'!$U371&lt;&gt;"Disqualified — Free Game",'Game Records'!$J371=""),"Total Players; ","")&amp;IF(AND(LOWER('Game Records'!$D371&amp;"")="finalized",LOWER('Game Records'!$L371&amp;"")&lt;&gt;"yes",'Game Records'!$U371&lt;&gt;"Subscription",'Game Records'!$U371&lt;&gt;"Free Game",'Game Records'!$U371&lt;&gt;"Disqualified — Free Game",'Game Records'!$K371=""),"Final Earned; ","")&amp;IF(AND(LOWER('Game Records'!$D371&amp;"")="finalized",'Game Records'!$U371&lt;&gt;"Subscription",'Game Records'!$U371&lt;&gt;"Free Game",'Game Records'!$U371&lt;&gt;"Disqualified — Free Game",OR('Game Records'!$L371="",LOWER('Game Records'!$L371&amp;"")="n/a")),"Disqualified Status; ",""))</x:f>
      </x:c>
      <x:c r="G371" s="331" t="str">
        <x:f>IF($A371="","",IFERROR('Game Records'!$M371,""))</x:f>
      </x:c>
    </x:row>
    <x:row r="372">
      <x:c r="A372" s="332" t="str">
        <x:f>IF(OR(COUNTA('Game Records'!$A372:$M372)=0,'Game Records'!$F372="Subscription"),"",IFERROR(MAX($A$4:A371),0)+1)</x:f>
      </x:c>
      <x:c r="B372" s="332" t="str">
        <x:f>IF($A372="","","G-"&amp;TEXT(ROW('Game Records'!$A372)-4,"0000"))</x:f>
      </x:c>
      <x:c r="C372" s="331" t="str">
        <x:f>IF($A372="","",IFERROR('Game Records'!$A372,""))</x:f>
      </x:c>
      <x:c r="D372" s="331" t="str">
        <x:f>IF($A372="","",IFERROR('Game Records'!$U372,""))</x:f>
      </x:c>
      <x:c r="E372" s="331" t="str">
        <x:f>IF($A372="","",IF($F372="","No Highlighted Fields","Highlighted Fields Present"))</x:f>
      </x:c>
      <x:c r="F372" s="331" t="str">
        <x:f>IF($A372="","",IF('Game Records'!$B372="","Start Date; ","")&amp;IF('Game Records'!$C372="","End Date; ","")&amp;IF(AND('Game Records'!$U372&lt;&gt;"Subscription",'Game Records'!$U372&lt;&gt;"Free Game",'Game Records'!$U372&lt;&gt;"Disqualified — Free Game",OR('Game Records'!$D372="",LOWER('Game Records'!$D372&amp;"")="n/a")),"Entry Mode; ","")&amp;IF(AND('Game Records'!$U372&lt;&gt;"Subscription",'Game Records'!$U372&lt;&gt;"Free Game",'Game Records'!$U372&lt;&gt;"Disqualified — Free Game",OR('Game Records'!$E372="",LOWER('Game Records'!$E372&amp;"")="n/a")),"Game Type; ","")&amp;IF('Game Records'!$F372="","Payment Type; ","")&amp;IF(AND('Game Records'!$U372&lt;&gt;"Subscription",'Game Records'!$U372&lt;&gt;"Free Game",'Game Records'!$U372&lt;&gt;"Disqualified — Free Game",'Game Records'!$G372=""),"Gross Pot; ","")&amp;IF(AND('Game Records'!$U372&lt;&gt;"Free Game",'Game Records'!$U372&lt;&gt;"Disqualified — Free Game",'Game Records'!$H372=""),"Entry Fee; ","")&amp;IF(AND('Game Records'!$U372&lt;&gt;"Subscription",'Game Records'!$U372&lt;&gt;"Free Game",'Game Records'!$U372&lt;&gt;"Disqualified — Free Game",'Game Records'!$I372=""),"Eligible Players; ","")&amp;IF(AND('Game Records'!$U372&lt;&gt;"Subscription",'Game Records'!$U372&lt;&gt;"Free Game",'Game Records'!$U372&lt;&gt;"Disqualified — Free Game",'Game Records'!$J372=""),"Total Players; ","")&amp;IF(AND(LOWER('Game Records'!$D372&amp;"")="finalized",LOWER('Game Records'!$L372&amp;"")&lt;&gt;"yes",'Game Records'!$U372&lt;&gt;"Subscription",'Game Records'!$U372&lt;&gt;"Free Game",'Game Records'!$U372&lt;&gt;"Disqualified — Free Game",'Game Records'!$K372=""),"Final Earned; ","")&amp;IF(AND(LOWER('Game Records'!$D372&amp;"")="finalized",'Game Records'!$U372&lt;&gt;"Subscription",'Game Records'!$U372&lt;&gt;"Free Game",'Game Records'!$U372&lt;&gt;"Disqualified — Free Game",OR('Game Records'!$L372="",LOWER('Game Records'!$L372&amp;"")="n/a")),"Disqualified Status; ",""))</x:f>
      </x:c>
      <x:c r="G372" s="331" t="str">
        <x:f>IF($A372="","",IFERROR('Game Records'!$M372,""))</x:f>
      </x:c>
    </x:row>
    <x:row r="373">
      <x:c r="A373" s="332" t="str">
        <x:f>IF(OR(COUNTA('Game Records'!$A373:$M373)=0,'Game Records'!$F373="Subscription"),"",IFERROR(MAX($A$4:A372),0)+1)</x:f>
      </x:c>
      <x:c r="B373" s="332" t="str">
        <x:f>IF($A373="","","G-"&amp;TEXT(ROW('Game Records'!$A373)-4,"0000"))</x:f>
      </x:c>
      <x:c r="C373" s="331" t="str">
        <x:f>IF($A373="","",IFERROR('Game Records'!$A373,""))</x:f>
      </x:c>
      <x:c r="D373" s="331" t="str">
        <x:f>IF($A373="","",IFERROR('Game Records'!$U373,""))</x:f>
      </x:c>
      <x:c r="E373" s="331" t="str">
        <x:f>IF($A373="","",IF($F373="","No Highlighted Fields","Highlighted Fields Present"))</x:f>
      </x:c>
      <x:c r="F373" s="331" t="str">
        <x:f>IF($A373="","",IF('Game Records'!$B373="","Start Date; ","")&amp;IF('Game Records'!$C373="","End Date; ","")&amp;IF(AND('Game Records'!$U373&lt;&gt;"Subscription",'Game Records'!$U373&lt;&gt;"Free Game",'Game Records'!$U373&lt;&gt;"Disqualified — Free Game",OR('Game Records'!$D373="",LOWER('Game Records'!$D373&amp;"")="n/a")),"Entry Mode; ","")&amp;IF(AND('Game Records'!$U373&lt;&gt;"Subscription",'Game Records'!$U373&lt;&gt;"Free Game",'Game Records'!$U373&lt;&gt;"Disqualified — Free Game",OR('Game Records'!$E373="",LOWER('Game Records'!$E373&amp;"")="n/a")),"Game Type; ","")&amp;IF('Game Records'!$F373="","Payment Type; ","")&amp;IF(AND('Game Records'!$U373&lt;&gt;"Subscription",'Game Records'!$U373&lt;&gt;"Free Game",'Game Records'!$U373&lt;&gt;"Disqualified — Free Game",'Game Records'!$G373=""),"Gross Pot; ","")&amp;IF(AND('Game Records'!$U373&lt;&gt;"Free Game",'Game Records'!$U373&lt;&gt;"Disqualified — Free Game",'Game Records'!$H373=""),"Entry Fee; ","")&amp;IF(AND('Game Records'!$U373&lt;&gt;"Subscription",'Game Records'!$U373&lt;&gt;"Free Game",'Game Records'!$U373&lt;&gt;"Disqualified — Free Game",'Game Records'!$I373=""),"Eligible Players; ","")&amp;IF(AND('Game Records'!$U373&lt;&gt;"Subscription",'Game Records'!$U373&lt;&gt;"Free Game",'Game Records'!$U373&lt;&gt;"Disqualified — Free Game",'Game Records'!$J373=""),"Total Players; ","")&amp;IF(AND(LOWER('Game Records'!$D373&amp;"")="finalized",LOWER('Game Records'!$L373&amp;"")&lt;&gt;"yes",'Game Records'!$U373&lt;&gt;"Subscription",'Game Records'!$U373&lt;&gt;"Free Game",'Game Records'!$U373&lt;&gt;"Disqualified — Free Game",'Game Records'!$K373=""),"Final Earned; ","")&amp;IF(AND(LOWER('Game Records'!$D373&amp;"")="finalized",'Game Records'!$U373&lt;&gt;"Subscription",'Game Records'!$U373&lt;&gt;"Free Game",'Game Records'!$U373&lt;&gt;"Disqualified — Free Game",OR('Game Records'!$L373="",LOWER('Game Records'!$L373&amp;"")="n/a")),"Disqualified Status; ",""))</x:f>
      </x:c>
      <x:c r="G373" s="331" t="str">
        <x:f>IF($A373="","",IFERROR('Game Records'!$M373,""))</x:f>
      </x:c>
    </x:row>
    <x:row r="374">
      <x:c r="A374" s="332" t="str">
        <x:f>IF(OR(COUNTA('Game Records'!$A374:$M374)=0,'Game Records'!$F374="Subscription"),"",IFERROR(MAX($A$4:A373),0)+1)</x:f>
      </x:c>
      <x:c r="B374" s="332" t="str">
        <x:f>IF($A374="","","G-"&amp;TEXT(ROW('Game Records'!$A374)-4,"0000"))</x:f>
      </x:c>
      <x:c r="C374" s="331" t="str">
        <x:f>IF($A374="","",IFERROR('Game Records'!$A374,""))</x:f>
      </x:c>
      <x:c r="D374" s="331" t="str">
        <x:f>IF($A374="","",IFERROR('Game Records'!$U374,""))</x:f>
      </x:c>
      <x:c r="E374" s="331" t="str">
        <x:f>IF($A374="","",IF($F374="","No Highlighted Fields","Highlighted Fields Present"))</x:f>
      </x:c>
      <x:c r="F374" s="331" t="str">
        <x:f>IF($A374="","",IF('Game Records'!$B374="","Start Date; ","")&amp;IF('Game Records'!$C374="","End Date; ","")&amp;IF(AND('Game Records'!$U374&lt;&gt;"Subscription",'Game Records'!$U374&lt;&gt;"Free Game",'Game Records'!$U374&lt;&gt;"Disqualified — Free Game",OR('Game Records'!$D374="",LOWER('Game Records'!$D374&amp;"")="n/a")),"Entry Mode; ","")&amp;IF(AND('Game Records'!$U374&lt;&gt;"Subscription",'Game Records'!$U374&lt;&gt;"Free Game",'Game Records'!$U374&lt;&gt;"Disqualified — Free Game",OR('Game Records'!$E374="",LOWER('Game Records'!$E374&amp;"")="n/a")),"Game Type; ","")&amp;IF('Game Records'!$F374="","Payment Type; ","")&amp;IF(AND('Game Records'!$U374&lt;&gt;"Subscription",'Game Records'!$U374&lt;&gt;"Free Game",'Game Records'!$U374&lt;&gt;"Disqualified — Free Game",'Game Records'!$G374=""),"Gross Pot; ","")&amp;IF(AND('Game Records'!$U374&lt;&gt;"Free Game",'Game Records'!$U374&lt;&gt;"Disqualified — Free Game",'Game Records'!$H374=""),"Entry Fee; ","")&amp;IF(AND('Game Records'!$U374&lt;&gt;"Subscription",'Game Records'!$U374&lt;&gt;"Free Game",'Game Records'!$U374&lt;&gt;"Disqualified — Free Game",'Game Records'!$I374=""),"Eligible Players; ","")&amp;IF(AND('Game Records'!$U374&lt;&gt;"Subscription",'Game Records'!$U374&lt;&gt;"Free Game",'Game Records'!$U374&lt;&gt;"Disqualified — Free Game",'Game Records'!$J374=""),"Total Players; ","")&amp;IF(AND(LOWER('Game Records'!$D374&amp;"")="finalized",LOWER('Game Records'!$L374&amp;"")&lt;&gt;"yes",'Game Records'!$U374&lt;&gt;"Subscription",'Game Records'!$U374&lt;&gt;"Free Game",'Game Records'!$U374&lt;&gt;"Disqualified — Free Game",'Game Records'!$K374=""),"Final Earned; ","")&amp;IF(AND(LOWER('Game Records'!$D374&amp;"")="finalized",'Game Records'!$U374&lt;&gt;"Subscription",'Game Records'!$U374&lt;&gt;"Free Game",'Game Records'!$U374&lt;&gt;"Disqualified — Free Game",OR('Game Records'!$L374="",LOWER('Game Records'!$L374&amp;"")="n/a")),"Disqualified Status; ",""))</x:f>
      </x:c>
      <x:c r="G374" s="331" t="str">
        <x:f>IF($A374="","",IFERROR('Game Records'!$M374,""))</x:f>
      </x:c>
    </x:row>
    <x:row r="375">
      <x:c r="A375" s="332" t="str">
        <x:f>IF(OR(COUNTA('Game Records'!$A375:$M375)=0,'Game Records'!$F375="Subscription"),"",IFERROR(MAX($A$4:A374),0)+1)</x:f>
      </x:c>
      <x:c r="B375" s="332" t="str">
        <x:f>IF($A375="","","G-"&amp;TEXT(ROW('Game Records'!$A375)-4,"0000"))</x:f>
      </x:c>
      <x:c r="C375" s="331" t="str">
        <x:f>IF($A375="","",IFERROR('Game Records'!$A375,""))</x:f>
      </x:c>
      <x:c r="D375" s="331" t="str">
        <x:f>IF($A375="","",IFERROR('Game Records'!$U375,""))</x:f>
      </x:c>
      <x:c r="E375" s="331" t="str">
        <x:f>IF($A375="","",IF($F375="","No Highlighted Fields","Highlighted Fields Present"))</x:f>
      </x:c>
      <x:c r="F375" s="331" t="str">
        <x:f>IF($A375="","",IF('Game Records'!$B375="","Start Date; ","")&amp;IF('Game Records'!$C375="","End Date; ","")&amp;IF(AND('Game Records'!$U375&lt;&gt;"Subscription",'Game Records'!$U375&lt;&gt;"Free Game",'Game Records'!$U375&lt;&gt;"Disqualified — Free Game",OR('Game Records'!$D375="",LOWER('Game Records'!$D375&amp;"")="n/a")),"Entry Mode; ","")&amp;IF(AND('Game Records'!$U375&lt;&gt;"Subscription",'Game Records'!$U375&lt;&gt;"Free Game",'Game Records'!$U375&lt;&gt;"Disqualified — Free Game",OR('Game Records'!$E375="",LOWER('Game Records'!$E375&amp;"")="n/a")),"Game Type; ","")&amp;IF('Game Records'!$F375="","Payment Type; ","")&amp;IF(AND('Game Records'!$U375&lt;&gt;"Subscription",'Game Records'!$U375&lt;&gt;"Free Game",'Game Records'!$U375&lt;&gt;"Disqualified — Free Game",'Game Records'!$G375=""),"Gross Pot; ","")&amp;IF(AND('Game Records'!$U375&lt;&gt;"Free Game",'Game Records'!$U375&lt;&gt;"Disqualified — Free Game",'Game Records'!$H375=""),"Entry Fee; ","")&amp;IF(AND('Game Records'!$U375&lt;&gt;"Subscription",'Game Records'!$U375&lt;&gt;"Free Game",'Game Records'!$U375&lt;&gt;"Disqualified — Free Game",'Game Records'!$I375=""),"Eligible Players; ","")&amp;IF(AND('Game Records'!$U375&lt;&gt;"Subscription",'Game Records'!$U375&lt;&gt;"Free Game",'Game Records'!$U375&lt;&gt;"Disqualified — Free Game",'Game Records'!$J375=""),"Total Players; ","")&amp;IF(AND(LOWER('Game Records'!$D375&amp;"")="finalized",LOWER('Game Records'!$L375&amp;"")&lt;&gt;"yes",'Game Records'!$U375&lt;&gt;"Subscription",'Game Records'!$U375&lt;&gt;"Free Game",'Game Records'!$U375&lt;&gt;"Disqualified — Free Game",'Game Records'!$K375=""),"Final Earned; ","")&amp;IF(AND(LOWER('Game Records'!$D375&amp;"")="finalized",'Game Records'!$U375&lt;&gt;"Subscription",'Game Records'!$U375&lt;&gt;"Free Game",'Game Records'!$U375&lt;&gt;"Disqualified — Free Game",OR('Game Records'!$L375="",LOWER('Game Records'!$L375&amp;"")="n/a")),"Disqualified Status; ",""))</x:f>
      </x:c>
      <x:c r="G375" s="331" t="str">
        <x:f>IF($A375="","",IFERROR('Game Records'!$M375,""))</x:f>
      </x:c>
    </x:row>
    <x:row r="376">
      <x:c r="A376" s="332" t="str">
        <x:f>IF(OR(COUNTA('Game Records'!$A376:$M376)=0,'Game Records'!$F376="Subscription"),"",IFERROR(MAX($A$4:A375),0)+1)</x:f>
      </x:c>
      <x:c r="B376" s="332" t="str">
        <x:f>IF($A376="","","G-"&amp;TEXT(ROW('Game Records'!$A376)-4,"0000"))</x:f>
      </x:c>
      <x:c r="C376" s="331" t="str">
        <x:f>IF($A376="","",IFERROR('Game Records'!$A376,""))</x:f>
      </x:c>
      <x:c r="D376" s="331" t="str">
        <x:f>IF($A376="","",IFERROR('Game Records'!$U376,""))</x:f>
      </x:c>
      <x:c r="E376" s="331" t="str">
        <x:f>IF($A376="","",IF($F376="","No Highlighted Fields","Highlighted Fields Present"))</x:f>
      </x:c>
      <x:c r="F376" s="331" t="str">
        <x:f>IF($A376="","",IF('Game Records'!$B376="","Start Date; ","")&amp;IF('Game Records'!$C376="","End Date; ","")&amp;IF(AND('Game Records'!$U376&lt;&gt;"Subscription",'Game Records'!$U376&lt;&gt;"Free Game",'Game Records'!$U376&lt;&gt;"Disqualified — Free Game",OR('Game Records'!$D376="",LOWER('Game Records'!$D376&amp;"")="n/a")),"Entry Mode; ","")&amp;IF(AND('Game Records'!$U376&lt;&gt;"Subscription",'Game Records'!$U376&lt;&gt;"Free Game",'Game Records'!$U376&lt;&gt;"Disqualified — Free Game",OR('Game Records'!$E376="",LOWER('Game Records'!$E376&amp;"")="n/a")),"Game Type; ","")&amp;IF('Game Records'!$F376="","Payment Type; ","")&amp;IF(AND('Game Records'!$U376&lt;&gt;"Subscription",'Game Records'!$U376&lt;&gt;"Free Game",'Game Records'!$U376&lt;&gt;"Disqualified — Free Game",'Game Records'!$G376=""),"Gross Pot; ","")&amp;IF(AND('Game Records'!$U376&lt;&gt;"Free Game",'Game Records'!$U376&lt;&gt;"Disqualified — Free Game",'Game Records'!$H376=""),"Entry Fee; ","")&amp;IF(AND('Game Records'!$U376&lt;&gt;"Subscription",'Game Records'!$U376&lt;&gt;"Free Game",'Game Records'!$U376&lt;&gt;"Disqualified — Free Game",'Game Records'!$I376=""),"Eligible Players; ","")&amp;IF(AND('Game Records'!$U376&lt;&gt;"Subscription",'Game Records'!$U376&lt;&gt;"Free Game",'Game Records'!$U376&lt;&gt;"Disqualified — Free Game",'Game Records'!$J376=""),"Total Players; ","")&amp;IF(AND(LOWER('Game Records'!$D376&amp;"")="finalized",LOWER('Game Records'!$L376&amp;"")&lt;&gt;"yes",'Game Records'!$U376&lt;&gt;"Subscription",'Game Records'!$U376&lt;&gt;"Free Game",'Game Records'!$U376&lt;&gt;"Disqualified — Free Game",'Game Records'!$K376=""),"Final Earned; ","")&amp;IF(AND(LOWER('Game Records'!$D376&amp;"")="finalized",'Game Records'!$U376&lt;&gt;"Subscription",'Game Records'!$U376&lt;&gt;"Free Game",'Game Records'!$U376&lt;&gt;"Disqualified — Free Game",OR('Game Records'!$L376="",LOWER('Game Records'!$L376&amp;"")="n/a")),"Disqualified Status; ",""))</x:f>
      </x:c>
      <x:c r="G376" s="331" t="str">
        <x:f>IF($A376="","",IFERROR('Game Records'!$M376,""))</x:f>
      </x:c>
    </x:row>
    <x:row r="377">
      <x:c r="A377" s="332" t="str">
        <x:f>IF(OR(COUNTA('Game Records'!$A377:$M377)=0,'Game Records'!$F377="Subscription"),"",IFERROR(MAX($A$4:A376),0)+1)</x:f>
      </x:c>
      <x:c r="B377" s="332" t="str">
        <x:f>IF($A377="","","G-"&amp;TEXT(ROW('Game Records'!$A377)-4,"0000"))</x:f>
      </x:c>
      <x:c r="C377" s="331" t="str">
        <x:f>IF($A377="","",IFERROR('Game Records'!$A377,""))</x:f>
      </x:c>
      <x:c r="D377" s="331" t="str">
        <x:f>IF($A377="","",IFERROR('Game Records'!$U377,""))</x:f>
      </x:c>
      <x:c r="E377" s="331" t="str">
        <x:f>IF($A377="","",IF($F377="","No Highlighted Fields","Highlighted Fields Present"))</x:f>
      </x:c>
      <x:c r="F377" s="331" t="str">
        <x:f>IF($A377="","",IF('Game Records'!$B377="","Start Date; ","")&amp;IF('Game Records'!$C377="","End Date; ","")&amp;IF(AND('Game Records'!$U377&lt;&gt;"Subscription",'Game Records'!$U377&lt;&gt;"Free Game",'Game Records'!$U377&lt;&gt;"Disqualified — Free Game",OR('Game Records'!$D377="",LOWER('Game Records'!$D377&amp;"")="n/a")),"Entry Mode; ","")&amp;IF(AND('Game Records'!$U377&lt;&gt;"Subscription",'Game Records'!$U377&lt;&gt;"Free Game",'Game Records'!$U377&lt;&gt;"Disqualified — Free Game",OR('Game Records'!$E377="",LOWER('Game Records'!$E377&amp;"")="n/a")),"Game Type; ","")&amp;IF('Game Records'!$F377="","Payment Type; ","")&amp;IF(AND('Game Records'!$U377&lt;&gt;"Subscription",'Game Records'!$U377&lt;&gt;"Free Game",'Game Records'!$U377&lt;&gt;"Disqualified — Free Game",'Game Records'!$G377=""),"Gross Pot; ","")&amp;IF(AND('Game Records'!$U377&lt;&gt;"Free Game",'Game Records'!$U377&lt;&gt;"Disqualified — Free Game",'Game Records'!$H377=""),"Entry Fee; ","")&amp;IF(AND('Game Records'!$U377&lt;&gt;"Subscription",'Game Records'!$U377&lt;&gt;"Free Game",'Game Records'!$U377&lt;&gt;"Disqualified — Free Game",'Game Records'!$I377=""),"Eligible Players; ","")&amp;IF(AND('Game Records'!$U377&lt;&gt;"Subscription",'Game Records'!$U377&lt;&gt;"Free Game",'Game Records'!$U377&lt;&gt;"Disqualified — Free Game",'Game Records'!$J377=""),"Total Players; ","")&amp;IF(AND(LOWER('Game Records'!$D377&amp;"")="finalized",LOWER('Game Records'!$L377&amp;"")&lt;&gt;"yes",'Game Records'!$U377&lt;&gt;"Subscription",'Game Records'!$U377&lt;&gt;"Free Game",'Game Records'!$U377&lt;&gt;"Disqualified — Free Game",'Game Records'!$K377=""),"Final Earned; ","")&amp;IF(AND(LOWER('Game Records'!$D377&amp;"")="finalized",'Game Records'!$U377&lt;&gt;"Subscription",'Game Records'!$U377&lt;&gt;"Free Game",'Game Records'!$U377&lt;&gt;"Disqualified — Free Game",OR('Game Records'!$L377="",LOWER('Game Records'!$L377&amp;"")="n/a")),"Disqualified Status; ",""))</x:f>
      </x:c>
      <x:c r="G377" s="331" t="str">
        <x:f>IF($A377="","",IFERROR('Game Records'!$M377,""))</x:f>
      </x:c>
    </x:row>
    <x:row r="378">
      <x:c r="A378" s="332" t="str">
        <x:f>IF(OR(COUNTA('Game Records'!$A378:$M378)=0,'Game Records'!$F378="Subscription"),"",IFERROR(MAX($A$4:A377),0)+1)</x:f>
      </x:c>
      <x:c r="B378" s="332" t="str">
        <x:f>IF($A378="","","G-"&amp;TEXT(ROW('Game Records'!$A378)-4,"0000"))</x:f>
      </x:c>
      <x:c r="C378" s="331" t="str">
        <x:f>IF($A378="","",IFERROR('Game Records'!$A378,""))</x:f>
      </x:c>
      <x:c r="D378" s="331" t="str">
        <x:f>IF($A378="","",IFERROR('Game Records'!$U378,""))</x:f>
      </x:c>
      <x:c r="E378" s="331" t="str">
        <x:f>IF($A378="","",IF($F378="","No Highlighted Fields","Highlighted Fields Present"))</x:f>
      </x:c>
      <x:c r="F378" s="331" t="str">
        <x:f>IF($A378="","",IF('Game Records'!$B378="","Start Date; ","")&amp;IF('Game Records'!$C378="","End Date; ","")&amp;IF(AND('Game Records'!$U378&lt;&gt;"Subscription",'Game Records'!$U378&lt;&gt;"Free Game",'Game Records'!$U378&lt;&gt;"Disqualified — Free Game",OR('Game Records'!$D378="",LOWER('Game Records'!$D378&amp;"")="n/a")),"Entry Mode; ","")&amp;IF(AND('Game Records'!$U378&lt;&gt;"Subscription",'Game Records'!$U378&lt;&gt;"Free Game",'Game Records'!$U378&lt;&gt;"Disqualified — Free Game",OR('Game Records'!$E378="",LOWER('Game Records'!$E378&amp;"")="n/a")),"Game Type; ","")&amp;IF('Game Records'!$F378="","Payment Type; ","")&amp;IF(AND('Game Records'!$U378&lt;&gt;"Subscription",'Game Records'!$U378&lt;&gt;"Free Game",'Game Records'!$U378&lt;&gt;"Disqualified — Free Game",'Game Records'!$G378=""),"Gross Pot; ","")&amp;IF(AND('Game Records'!$U378&lt;&gt;"Free Game",'Game Records'!$U378&lt;&gt;"Disqualified — Free Game",'Game Records'!$H378=""),"Entry Fee; ","")&amp;IF(AND('Game Records'!$U378&lt;&gt;"Subscription",'Game Records'!$U378&lt;&gt;"Free Game",'Game Records'!$U378&lt;&gt;"Disqualified — Free Game",'Game Records'!$I378=""),"Eligible Players; ","")&amp;IF(AND('Game Records'!$U378&lt;&gt;"Subscription",'Game Records'!$U378&lt;&gt;"Free Game",'Game Records'!$U378&lt;&gt;"Disqualified — Free Game",'Game Records'!$J378=""),"Total Players; ","")&amp;IF(AND(LOWER('Game Records'!$D378&amp;"")="finalized",LOWER('Game Records'!$L378&amp;"")&lt;&gt;"yes",'Game Records'!$U378&lt;&gt;"Subscription",'Game Records'!$U378&lt;&gt;"Free Game",'Game Records'!$U378&lt;&gt;"Disqualified — Free Game",'Game Records'!$K378=""),"Final Earned; ","")&amp;IF(AND(LOWER('Game Records'!$D378&amp;"")="finalized",'Game Records'!$U378&lt;&gt;"Subscription",'Game Records'!$U378&lt;&gt;"Free Game",'Game Records'!$U378&lt;&gt;"Disqualified — Free Game",OR('Game Records'!$L378="",LOWER('Game Records'!$L378&amp;"")="n/a")),"Disqualified Status; ",""))</x:f>
      </x:c>
      <x:c r="G378" s="331" t="str">
        <x:f>IF($A378="","",IFERROR('Game Records'!$M378,""))</x:f>
      </x:c>
    </x:row>
    <x:row r="379">
      <x:c r="A379" s="332" t="str">
        <x:f>IF(OR(COUNTA('Game Records'!$A379:$M379)=0,'Game Records'!$F379="Subscription"),"",IFERROR(MAX($A$4:A378),0)+1)</x:f>
      </x:c>
      <x:c r="B379" s="332" t="str">
        <x:f>IF($A379="","","G-"&amp;TEXT(ROW('Game Records'!$A379)-4,"0000"))</x:f>
      </x:c>
      <x:c r="C379" s="331" t="str">
        <x:f>IF($A379="","",IFERROR('Game Records'!$A379,""))</x:f>
      </x:c>
      <x:c r="D379" s="331" t="str">
        <x:f>IF($A379="","",IFERROR('Game Records'!$U379,""))</x:f>
      </x:c>
      <x:c r="E379" s="331" t="str">
        <x:f>IF($A379="","",IF($F379="","No Highlighted Fields","Highlighted Fields Present"))</x:f>
      </x:c>
      <x:c r="F379" s="331" t="str">
        <x:f>IF($A379="","",IF('Game Records'!$B379="","Start Date; ","")&amp;IF('Game Records'!$C379="","End Date; ","")&amp;IF(AND('Game Records'!$U379&lt;&gt;"Subscription",'Game Records'!$U379&lt;&gt;"Free Game",'Game Records'!$U379&lt;&gt;"Disqualified — Free Game",OR('Game Records'!$D379="",LOWER('Game Records'!$D379&amp;"")="n/a")),"Entry Mode; ","")&amp;IF(AND('Game Records'!$U379&lt;&gt;"Subscription",'Game Records'!$U379&lt;&gt;"Free Game",'Game Records'!$U379&lt;&gt;"Disqualified — Free Game",OR('Game Records'!$E379="",LOWER('Game Records'!$E379&amp;"")="n/a")),"Game Type; ","")&amp;IF('Game Records'!$F379="","Payment Type; ","")&amp;IF(AND('Game Records'!$U379&lt;&gt;"Subscription",'Game Records'!$U379&lt;&gt;"Free Game",'Game Records'!$U379&lt;&gt;"Disqualified — Free Game",'Game Records'!$G379=""),"Gross Pot; ","")&amp;IF(AND('Game Records'!$U379&lt;&gt;"Free Game",'Game Records'!$U379&lt;&gt;"Disqualified — Free Game",'Game Records'!$H379=""),"Entry Fee; ","")&amp;IF(AND('Game Records'!$U379&lt;&gt;"Subscription",'Game Records'!$U379&lt;&gt;"Free Game",'Game Records'!$U379&lt;&gt;"Disqualified — Free Game",'Game Records'!$I379=""),"Eligible Players; ","")&amp;IF(AND('Game Records'!$U379&lt;&gt;"Subscription",'Game Records'!$U379&lt;&gt;"Free Game",'Game Records'!$U379&lt;&gt;"Disqualified — Free Game",'Game Records'!$J379=""),"Total Players; ","")&amp;IF(AND(LOWER('Game Records'!$D379&amp;"")="finalized",LOWER('Game Records'!$L379&amp;"")&lt;&gt;"yes",'Game Records'!$U379&lt;&gt;"Subscription",'Game Records'!$U379&lt;&gt;"Free Game",'Game Records'!$U379&lt;&gt;"Disqualified — Free Game",'Game Records'!$K379=""),"Final Earned; ","")&amp;IF(AND(LOWER('Game Records'!$D379&amp;"")="finalized",'Game Records'!$U379&lt;&gt;"Subscription",'Game Records'!$U379&lt;&gt;"Free Game",'Game Records'!$U379&lt;&gt;"Disqualified — Free Game",OR('Game Records'!$L379="",LOWER('Game Records'!$L379&amp;"")="n/a")),"Disqualified Status; ",""))</x:f>
      </x:c>
      <x:c r="G379" s="331" t="str">
        <x:f>IF($A379="","",IFERROR('Game Records'!$M379,""))</x:f>
      </x:c>
    </x:row>
    <x:row r="380">
      <x:c r="A380" s="332" t="str">
        <x:f>IF(OR(COUNTA('Game Records'!$A380:$M380)=0,'Game Records'!$F380="Subscription"),"",IFERROR(MAX($A$4:A379),0)+1)</x:f>
      </x:c>
      <x:c r="B380" s="332" t="str">
        <x:f>IF($A380="","","G-"&amp;TEXT(ROW('Game Records'!$A380)-4,"0000"))</x:f>
      </x:c>
      <x:c r="C380" s="331" t="str">
        <x:f>IF($A380="","",IFERROR('Game Records'!$A380,""))</x:f>
      </x:c>
      <x:c r="D380" s="331" t="str">
        <x:f>IF($A380="","",IFERROR('Game Records'!$U380,""))</x:f>
      </x:c>
      <x:c r="E380" s="331" t="str">
        <x:f>IF($A380="","",IF($F380="","No Highlighted Fields","Highlighted Fields Present"))</x:f>
      </x:c>
      <x:c r="F380" s="331" t="str">
        <x:f>IF($A380="","",IF('Game Records'!$B380="","Start Date; ","")&amp;IF('Game Records'!$C380="","End Date; ","")&amp;IF(AND('Game Records'!$U380&lt;&gt;"Subscription",'Game Records'!$U380&lt;&gt;"Free Game",'Game Records'!$U380&lt;&gt;"Disqualified — Free Game",OR('Game Records'!$D380="",LOWER('Game Records'!$D380&amp;"")="n/a")),"Entry Mode; ","")&amp;IF(AND('Game Records'!$U380&lt;&gt;"Subscription",'Game Records'!$U380&lt;&gt;"Free Game",'Game Records'!$U380&lt;&gt;"Disqualified — Free Game",OR('Game Records'!$E380="",LOWER('Game Records'!$E380&amp;"")="n/a")),"Game Type; ","")&amp;IF('Game Records'!$F380="","Payment Type; ","")&amp;IF(AND('Game Records'!$U380&lt;&gt;"Subscription",'Game Records'!$U380&lt;&gt;"Free Game",'Game Records'!$U380&lt;&gt;"Disqualified — Free Game",'Game Records'!$G380=""),"Gross Pot; ","")&amp;IF(AND('Game Records'!$U380&lt;&gt;"Free Game",'Game Records'!$U380&lt;&gt;"Disqualified — Free Game",'Game Records'!$H380=""),"Entry Fee; ","")&amp;IF(AND('Game Records'!$U380&lt;&gt;"Subscription",'Game Records'!$U380&lt;&gt;"Free Game",'Game Records'!$U380&lt;&gt;"Disqualified — Free Game",'Game Records'!$I380=""),"Eligible Players; ","")&amp;IF(AND('Game Records'!$U380&lt;&gt;"Subscription",'Game Records'!$U380&lt;&gt;"Free Game",'Game Records'!$U380&lt;&gt;"Disqualified — Free Game",'Game Records'!$J380=""),"Total Players; ","")&amp;IF(AND(LOWER('Game Records'!$D380&amp;"")="finalized",LOWER('Game Records'!$L380&amp;"")&lt;&gt;"yes",'Game Records'!$U380&lt;&gt;"Subscription",'Game Records'!$U380&lt;&gt;"Free Game",'Game Records'!$U380&lt;&gt;"Disqualified — Free Game",'Game Records'!$K380=""),"Final Earned; ","")&amp;IF(AND(LOWER('Game Records'!$D380&amp;"")="finalized",'Game Records'!$U380&lt;&gt;"Subscription",'Game Records'!$U380&lt;&gt;"Free Game",'Game Records'!$U380&lt;&gt;"Disqualified — Free Game",OR('Game Records'!$L380="",LOWER('Game Records'!$L380&amp;"")="n/a")),"Disqualified Status; ",""))</x:f>
      </x:c>
      <x:c r="G380" s="331" t="str">
        <x:f>IF($A380="","",IFERROR('Game Records'!$M380,""))</x:f>
      </x:c>
    </x:row>
    <x:row r="381">
      <x:c r="A381" s="332" t="str">
        <x:f>IF(OR(COUNTA('Game Records'!$A381:$M381)=0,'Game Records'!$F381="Subscription"),"",IFERROR(MAX($A$4:A380),0)+1)</x:f>
      </x:c>
      <x:c r="B381" s="332" t="str">
        <x:f>IF($A381="","","G-"&amp;TEXT(ROW('Game Records'!$A381)-4,"0000"))</x:f>
      </x:c>
      <x:c r="C381" s="331" t="str">
        <x:f>IF($A381="","",IFERROR('Game Records'!$A381,""))</x:f>
      </x:c>
      <x:c r="D381" s="331" t="str">
        <x:f>IF($A381="","",IFERROR('Game Records'!$U381,""))</x:f>
      </x:c>
      <x:c r="E381" s="331" t="str">
        <x:f>IF($A381="","",IF($F381="","No Highlighted Fields","Highlighted Fields Present"))</x:f>
      </x:c>
      <x:c r="F381" s="331" t="str">
        <x:f>IF($A381="","",IF('Game Records'!$B381="","Start Date; ","")&amp;IF('Game Records'!$C381="","End Date; ","")&amp;IF(AND('Game Records'!$U381&lt;&gt;"Subscription",'Game Records'!$U381&lt;&gt;"Free Game",'Game Records'!$U381&lt;&gt;"Disqualified — Free Game",OR('Game Records'!$D381="",LOWER('Game Records'!$D381&amp;"")="n/a")),"Entry Mode; ","")&amp;IF(AND('Game Records'!$U381&lt;&gt;"Subscription",'Game Records'!$U381&lt;&gt;"Free Game",'Game Records'!$U381&lt;&gt;"Disqualified — Free Game",OR('Game Records'!$E381="",LOWER('Game Records'!$E381&amp;"")="n/a")),"Game Type; ","")&amp;IF('Game Records'!$F381="","Payment Type; ","")&amp;IF(AND('Game Records'!$U381&lt;&gt;"Subscription",'Game Records'!$U381&lt;&gt;"Free Game",'Game Records'!$U381&lt;&gt;"Disqualified — Free Game",'Game Records'!$G381=""),"Gross Pot; ","")&amp;IF(AND('Game Records'!$U381&lt;&gt;"Free Game",'Game Records'!$U381&lt;&gt;"Disqualified — Free Game",'Game Records'!$H381=""),"Entry Fee; ","")&amp;IF(AND('Game Records'!$U381&lt;&gt;"Subscription",'Game Records'!$U381&lt;&gt;"Free Game",'Game Records'!$U381&lt;&gt;"Disqualified — Free Game",'Game Records'!$I381=""),"Eligible Players; ","")&amp;IF(AND('Game Records'!$U381&lt;&gt;"Subscription",'Game Records'!$U381&lt;&gt;"Free Game",'Game Records'!$U381&lt;&gt;"Disqualified — Free Game",'Game Records'!$J381=""),"Total Players; ","")&amp;IF(AND(LOWER('Game Records'!$D381&amp;"")="finalized",LOWER('Game Records'!$L381&amp;"")&lt;&gt;"yes",'Game Records'!$U381&lt;&gt;"Subscription",'Game Records'!$U381&lt;&gt;"Free Game",'Game Records'!$U381&lt;&gt;"Disqualified — Free Game",'Game Records'!$K381=""),"Final Earned; ","")&amp;IF(AND(LOWER('Game Records'!$D381&amp;"")="finalized",'Game Records'!$U381&lt;&gt;"Subscription",'Game Records'!$U381&lt;&gt;"Free Game",'Game Records'!$U381&lt;&gt;"Disqualified — Free Game",OR('Game Records'!$L381="",LOWER('Game Records'!$L381&amp;"")="n/a")),"Disqualified Status; ",""))</x:f>
      </x:c>
      <x:c r="G381" s="331" t="str">
        <x:f>IF($A381="","",IFERROR('Game Records'!$M381,""))</x:f>
      </x:c>
    </x:row>
    <x:row r="382">
      <x:c r="A382" s="332" t="str">
        <x:f>IF(OR(COUNTA('Game Records'!$A382:$M382)=0,'Game Records'!$F382="Subscription"),"",IFERROR(MAX($A$4:A381),0)+1)</x:f>
      </x:c>
      <x:c r="B382" s="332" t="str">
        <x:f>IF($A382="","","G-"&amp;TEXT(ROW('Game Records'!$A382)-4,"0000"))</x:f>
      </x:c>
      <x:c r="C382" s="331" t="str">
        <x:f>IF($A382="","",IFERROR('Game Records'!$A382,""))</x:f>
      </x:c>
      <x:c r="D382" s="331" t="str">
        <x:f>IF($A382="","",IFERROR('Game Records'!$U382,""))</x:f>
      </x:c>
      <x:c r="E382" s="331" t="str">
        <x:f>IF($A382="","",IF($F382="","No Highlighted Fields","Highlighted Fields Present"))</x:f>
      </x:c>
      <x:c r="F382" s="331" t="str">
        <x:f>IF($A382="","",IF('Game Records'!$B382="","Start Date; ","")&amp;IF('Game Records'!$C382="","End Date; ","")&amp;IF(AND('Game Records'!$U382&lt;&gt;"Subscription",'Game Records'!$U382&lt;&gt;"Free Game",'Game Records'!$U382&lt;&gt;"Disqualified — Free Game",OR('Game Records'!$D382="",LOWER('Game Records'!$D382&amp;"")="n/a")),"Entry Mode; ","")&amp;IF(AND('Game Records'!$U382&lt;&gt;"Subscription",'Game Records'!$U382&lt;&gt;"Free Game",'Game Records'!$U382&lt;&gt;"Disqualified — Free Game",OR('Game Records'!$E382="",LOWER('Game Records'!$E382&amp;"")="n/a")),"Game Type; ","")&amp;IF('Game Records'!$F382="","Payment Type; ","")&amp;IF(AND('Game Records'!$U382&lt;&gt;"Subscription",'Game Records'!$U382&lt;&gt;"Free Game",'Game Records'!$U382&lt;&gt;"Disqualified — Free Game",'Game Records'!$G382=""),"Gross Pot; ","")&amp;IF(AND('Game Records'!$U382&lt;&gt;"Free Game",'Game Records'!$U382&lt;&gt;"Disqualified — Free Game",'Game Records'!$H382=""),"Entry Fee; ","")&amp;IF(AND('Game Records'!$U382&lt;&gt;"Subscription",'Game Records'!$U382&lt;&gt;"Free Game",'Game Records'!$U382&lt;&gt;"Disqualified — Free Game",'Game Records'!$I382=""),"Eligible Players; ","")&amp;IF(AND('Game Records'!$U382&lt;&gt;"Subscription",'Game Records'!$U382&lt;&gt;"Free Game",'Game Records'!$U382&lt;&gt;"Disqualified — Free Game",'Game Records'!$J382=""),"Total Players; ","")&amp;IF(AND(LOWER('Game Records'!$D382&amp;"")="finalized",LOWER('Game Records'!$L382&amp;"")&lt;&gt;"yes",'Game Records'!$U382&lt;&gt;"Subscription",'Game Records'!$U382&lt;&gt;"Free Game",'Game Records'!$U382&lt;&gt;"Disqualified — Free Game",'Game Records'!$K382=""),"Final Earned; ","")&amp;IF(AND(LOWER('Game Records'!$D382&amp;"")="finalized",'Game Records'!$U382&lt;&gt;"Subscription",'Game Records'!$U382&lt;&gt;"Free Game",'Game Records'!$U382&lt;&gt;"Disqualified — Free Game",OR('Game Records'!$L382="",LOWER('Game Records'!$L382&amp;"")="n/a")),"Disqualified Status; ",""))</x:f>
      </x:c>
      <x:c r="G382" s="331" t="str">
        <x:f>IF($A382="","",IFERROR('Game Records'!$M382,""))</x:f>
      </x:c>
    </x:row>
    <x:row r="383">
      <x:c r="A383" s="332" t="str">
        <x:f>IF(OR(COUNTA('Game Records'!$A383:$M383)=0,'Game Records'!$F383="Subscription"),"",IFERROR(MAX($A$4:A382),0)+1)</x:f>
      </x:c>
      <x:c r="B383" s="332" t="str">
        <x:f>IF($A383="","","G-"&amp;TEXT(ROW('Game Records'!$A383)-4,"0000"))</x:f>
      </x:c>
      <x:c r="C383" s="331" t="str">
        <x:f>IF($A383="","",IFERROR('Game Records'!$A383,""))</x:f>
      </x:c>
      <x:c r="D383" s="331" t="str">
        <x:f>IF($A383="","",IFERROR('Game Records'!$U383,""))</x:f>
      </x:c>
      <x:c r="E383" s="331" t="str">
        <x:f>IF($A383="","",IF($F383="","No Highlighted Fields","Highlighted Fields Present"))</x:f>
      </x:c>
      <x:c r="F383" s="331" t="str">
        <x:f>IF($A383="","",IF('Game Records'!$B383="","Start Date; ","")&amp;IF('Game Records'!$C383="","End Date; ","")&amp;IF(AND('Game Records'!$U383&lt;&gt;"Subscription",'Game Records'!$U383&lt;&gt;"Free Game",'Game Records'!$U383&lt;&gt;"Disqualified — Free Game",OR('Game Records'!$D383="",LOWER('Game Records'!$D383&amp;"")="n/a")),"Entry Mode; ","")&amp;IF(AND('Game Records'!$U383&lt;&gt;"Subscription",'Game Records'!$U383&lt;&gt;"Free Game",'Game Records'!$U383&lt;&gt;"Disqualified — Free Game",OR('Game Records'!$E383="",LOWER('Game Records'!$E383&amp;"")="n/a")),"Game Type; ","")&amp;IF('Game Records'!$F383="","Payment Type; ","")&amp;IF(AND('Game Records'!$U383&lt;&gt;"Subscription",'Game Records'!$U383&lt;&gt;"Free Game",'Game Records'!$U383&lt;&gt;"Disqualified — Free Game",'Game Records'!$G383=""),"Gross Pot; ","")&amp;IF(AND('Game Records'!$U383&lt;&gt;"Free Game",'Game Records'!$U383&lt;&gt;"Disqualified — Free Game",'Game Records'!$H383=""),"Entry Fee; ","")&amp;IF(AND('Game Records'!$U383&lt;&gt;"Subscription",'Game Records'!$U383&lt;&gt;"Free Game",'Game Records'!$U383&lt;&gt;"Disqualified — Free Game",'Game Records'!$I383=""),"Eligible Players; ","")&amp;IF(AND('Game Records'!$U383&lt;&gt;"Subscription",'Game Records'!$U383&lt;&gt;"Free Game",'Game Records'!$U383&lt;&gt;"Disqualified — Free Game",'Game Records'!$J383=""),"Total Players; ","")&amp;IF(AND(LOWER('Game Records'!$D383&amp;"")="finalized",LOWER('Game Records'!$L383&amp;"")&lt;&gt;"yes",'Game Records'!$U383&lt;&gt;"Subscription",'Game Records'!$U383&lt;&gt;"Free Game",'Game Records'!$U383&lt;&gt;"Disqualified — Free Game",'Game Records'!$K383=""),"Final Earned; ","")&amp;IF(AND(LOWER('Game Records'!$D383&amp;"")="finalized",'Game Records'!$U383&lt;&gt;"Subscription",'Game Records'!$U383&lt;&gt;"Free Game",'Game Records'!$U383&lt;&gt;"Disqualified — Free Game",OR('Game Records'!$L383="",LOWER('Game Records'!$L383&amp;"")="n/a")),"Disqualified Status; ",""))</x:f>
      </x:c>
      <x:c r="G383" s="331" t="str">
        <x:f>IF($A383="","",IFERROR('Game Records'!$M383,""))</x:f>
      </x:c>
    </x:row>
    <x:row r="384">
      <x:c r="A384" s="332" t="str">
        <x:f>IF(OR(COUNTA('Game Records'!$A384:$M384)=0,'Game Records'!$F384="Subscription"),"",IFERROR(MAX($A$4:A383),0)+1)</x:f>
      </x:c>
      <x:c r="B384" s="332" t="str">
        <x:f>IF($A384="","","G-"&amp;TEXT(ROW('Game Records'!$A384)-4,"0000"))</x:f>
      </x:c>
      <x:c r="C384" s="331" t="str">
        <x:f>IF($A384="","",IFERROR('Game Records'!$A384,""))</x:f>
      </x:c>
      <x:c r="D384" s="331" t="str">
        <x:f>IF($A384="","",IFERROR('Game Records'!$U384,""))</x:f>
      </x:c>
      <x:c r="E384" s="331" t="str">
        <x:f>IF($A384="","",IF($F384="","No Highlighted Fields","Highlighted Fields Present"))</x:f>
      </x:c>
      <x:c r="F384" s="331" t="str">
        <x:f>IF($A384="","",IF('Game Records'!$B384="","Start Date; ","")&amp;IF('Game Records'!$C384="","End Date; ","")&amp;IF(AND('Game Records'!$U384&lt;&gt;"Subscription",'Game Records'!$U384&lt;&gt;"Free Game",'Game Records'!$U384&lt;&gt;"Disqualified — Free Game",OR('Game Records'!$D384="",LOWER('Game Records'!$D384&amp;"")="n/a")),"Entry Mode; ","")&amp;IF(AND('Game Records'!$U384&lt;&gt;"Subscription",'Game Records'!$U384&lt;&gt;"Free Game",'Game Records'!$U384&lt;&gt;"Disqualified — Free Game",OR('Game Records'!$E384="",LOWER('Game Records'!$E384&amp;"")="n/a")),"Game Type; ","")&amp;IF('Game Records'!$F384="","Payment Type; ","")&amp;IF(AND('Game Records'!$U384&lt;&gt;"Subscription",'Game Records'!$U384&lt;&gt;"Free Game",'Game Records'!$U384&lt;&gt;"Disqualified — Free Game",'Game Records'!$G384=""),"Gross Pot; ","")&amp;IF(AND('Game Records'!$U384&lt;&gt;"Free Game",'Game Records'!$U384&lt;&gt;"Disqualified — Free Game",'Game Records'!$H384=""),"Entry Fee; ","")&amp;IF(AND('Game Records'!$U384&lt;&gt;"Subscription",'Game Records'!$U384&lt;&gt;"Free Game",'Game Records'!$U384&lt;&gt;"Disqualified — Free Game",'Game Records'!$I384=""),"Eligible Players; ","")&amp;IF(AND('Game Records'!$U384&lt;&gt;"Subscription",'Game Records'!$U384&lt;&gt;"Free Game",'Game Records'!$U384&lt;&gt;"Disqualified — Free Game",'Game Records'!$J384=""),"Total Players; ","")&amp;IF(AND(LOWER('Game Records'!$D384&amp;"")="finalized",LOWER('Game Records'!$L384&amp;"")&lt;&gt;"yes",'Game Records'!$U384&lt;&gt;"Subscription",'Game Records'!$U384&lt;&gt;"Free Game",'Game Records'!$U384&lt;&gt;"Disqualified — Free Game",'Game Records'!$K384=""),"Final Earned; ","")&amp;IF(AND(LOWER('Game Records'!$D384&amp;"")="finalized",'Game Records'!$U384&lt;&gt;"Subscription",'Game Records'!$U384&lt;&gt;"Free Game",'Game Records'!$U384&lt;&gt;"Disqualified — Free Game",OR('Game Records'!$L384="",LOWER('Game Records'!$L384&amp;"")="n/a")),"Disqualified Status; ",""))</x:f>
      </x:c>
      <x:c r="G384" s="331" t="str">
        <x:f>IF($A384="","",IFERROR('Game Records'!$M384,""))</x:f>
      </x:c>
    </x:row>
    <x:row r="385">
      <x:c r="A385" s="332" t="str">
        <x:f>IF(OR(COUNTA('Game Records'!$A385:$M385)=0,'Game Records'!$F385="Subscription"),"",IFERROR(MAX($A$4:A384),0)+1)</x:f>
      </x:c>
      <x:c r="B385" s="332" t="str">
        <x:f>IF($A385="","","G-"&amp;TEXT(ROW('Game Records'!$A385)-4,"0000"))</x:f>
      </x:c>
      <x:c r="C385" s="331" t="str">
        <x:f>IF($A385="","",IFERROR('Game Records'!$A385,""))</x:f>
      </x:c>
      <x:c r="D385" s="331" t="str">
        <x:f>IF($A385="","",IFERROR('Game Records'!$U385,""))</x:f>
      </x:c>
      <x:c r="E385" s="331" t="str">
        <x:f>IF($A385="","",IF($F385="","No Highlighted Fields","Highlighted Fields Present"))</x:f>
      </x:c>
      <x:c r="F385" s="331" t="str">
        <x:f>IF($A385="","",IF('Game Records'!$B385="","Start Date; ","")&amp;IF('Game Records'!$C385="","End Date; ","")&amp;IF(AND('Game Records'!$U385&lt;&gt;"Subscription",'Game Records'!$U385&lt;&gt;"Free Game",'Game Records'!$U385&lt;&gt;"Disqualified — Free Game",OR('Game Records'!$D385="",LOWER('Game Records'!$D385&amp;"")="n/a")),"Entry Mode; ","")&amp;IF(AND('Game Records'!$U385&lt;&gt;"Subscription",'Game Records'!$U385&lt;&gt;"Free Game",'Game Records'!$U385&lt;&gt;"Disqualified — Free Game",OR('Game Records'!$E385="",LOWER('Game Records'!$E385&amp;"")="n/a")),"Game Type; ","")&amp;IF('Game Records'!$F385="","Payment Type; ","")&amp;IF(AND('Game Records'!$U385&lt;&gt;"Subscription",'Game Records'!$U385&lt;&gt;"Free Game",'Game Records'!$U385&lt;&gt;"Disqualified — Free Game",'Game Records'!$G385=""),"Gross Pot; ","")&amp;IF(AND('Game Records'!$U385&lt;&gt;"Free Game",'Game Records'!$U385&lt;&gt;"Disqualified — Free Game",'Game Records'!$H385=""),"Entry Fee; ","")&amp;IF(AND('Game Records'!$U385&lt;&gt;"Subscription",'Game Records'!$U385&lt;&gt;"Free Game",'Game Records'!$U385&lt;&gt;"Disqualified — Free Game",'Game Records'!$I385=""),"Eligible Players; ","")&amp;IF(AND('Game Records'!$U385&lt;&gt;"Subscription",'Game Records'!$U385&lt;&gt;"Free Game",'Game Records'!$U385&lt;&gt;"Disqualified — Free Game",'Game Records'!$J385=""),"Total Players; ","")&amp;IF(AND(LOWER('Game Records'!$D385&amp;"")="finalized",LOWER('Game Records'!$L385&amp;"")&lt;&gt;"yes",'Game Records'!$U385&lt;&gt;"Subscription",'Game Records'!$U385&lt;&gt;"Free Game",'Game Records'!$U385&lt;&gt;"Disqualified — Free Game",'Game Records'!$K385=""),"Final Earned; ","")&amp;IF(AND(LOWER('Game Records'!$D385&amp;"")="finalized",'Game Records'!$U385&lt;&gt;"Subscription",'Game Records'!$U385&lt;&gt;"Free Game",'Game Records'!$U385&lt;&gt;"Disqualified — Free Game",OR('Game Records'!$L385="",LOWER('Game Records'!$L385&amp;"")="n/a")),"Disqualified Status; ",""))</x:f>
      </x:c>
      <x:c r="G385" s="331" t="str">
        <x:f>IF($A385="","",IFERROR('Game Records'!$M385,""))</x:f>
      </x:c>
    </x:row>
    <x:row r="386">
      <x:c r="A386" s="332" t="str">
        <x:f>IF(OR(COUNTA('Game Records'!$A386:$M386)=0,'Game Records'!$F386="Subscription"),"",IFERROR(MAX($A$4:A385),0)+1)</x:f>
      </x:c>
      <x:c r="B386" s="332" t="str">
        <x:f>IF($A386="","","G-"&amp;TEXT(ROW('Game Records'!$A386)-4,"0000"))</x:f>
      </x:c>
      <x:c r="C386" s="331" t="str">
        <x:f>IF($A386="","",IFERROR('Game Records'!$A386,""))</x:f>
      </x:c>
      <x:c r="D386" s="331" t="str">
        <x:f>IF($A386="","",IFERROR('Game Records'!$U386,""))</x:f>
      </x:c>
      <x:c r="E386" s="331" t="str">
        <x:f>IF($A386="","",IF($F386="","No Highlighted Fields","Highlighted Fields Present"))</x:f>
      </x:c>
      <x:c r="F386" s="331" t="str">
        <x:f>IF($A386="","",IF('Game Records'!$B386="","Start Date; ","")&amp;IF('Game Records'!$C386="","End Date; ","")&amp;IF(AND('Game Records'!$U386&lt;&gt;"Subscription",'Game Records'!$U386&lt;&gt;"Free Game",'Game Records'!$U386&lt;&gt;"Disqualified — Free Game",OR('Game Records'!$D386="",LOWER('Game Records'!$D386&amp;"")="n/a")),"Entry Mode; ","")&amp;IF(AND('Game Records'!$U386&lt;&gt;"Subscription",'Game Records'!$U386&lt;&gt;"Free Game",'Game Records'!$U386&lt;&gt;"Disqualified — Free Game",OR('Game Records'!$E386="",LOWER('Game Records'!$E386&amp;"")="n/a")),"Game Type; ","")&amp;IF('Game Records'!$F386="","Payment Type; ","")&amp;IF(AND('Game Records'!$U386&lt;&gt;"Subscription",'Game Records'!$U386&lt;&gt;"Free Game",'Game Records'!$U386&lt;&gt;"Disqualified — Free Game",'Game Records'!$G386=""),"Gross Pot; ","")&amp;IF(AND('Game Records'!$U386&lt;&gt;"Free Game",'Game Records'!$U386&lt;&gt;"Disqualified — Free Game",'Game Records'!$H386=""),"Entry Fee; ","")&amp;IF(AND('Game Records'!$U386&lt;&gt;"Subscription",'Game Records'!$U386&lt;&gt;"Free Game",'Game Records'!$U386&lt;&gt;"Disqualified — Free Game",'Game Records'!$I386=""),"Eligible Players; ","")&amp;IF(AND('Game Records'!$U386&lt;&gt;"Subscription",'Game Records'!$U386&lt;&gt;"Free Game",'Game Records'!$U386&lt;&gt;"Disqualified — Free Game",'Game Records'!$J386=""),"Total Players; ","")&amp;IF(AND(LOWER('Game Records'!$D386&amp;"")="finalized",LOWER('Game Records'!$L386&amp;"")&lt;&gt;"yes",'Game Records'!$U386&lt;&gt;"Subscription",'Game Records'!$U386&lt;&gt;"Free Game",'Game Records'!$U386&lt;&gt;"Disqualified — Free Game",'Game Records'!$K386=""),"Final Earned; ","")&amp;IF(AND(LOWER('Game Records'!$D386&amp;"")="finalized",'Game Records'!$U386&lt;&gt;"Subscription",'Game Records'!$U386&lt;&gt;"Free Game",'Game Records'!$U386&lt;&gt;"Disqualified — Free Game",OR('Game Records'!$L386="",LOWER('Game Records'!$L386&amp;"")="n/a")),"Disqualified Status; ",""))</x:f>
      </x:c>
      <x:c r="G386" s="331" t="str">
        <x:f>IF($A386="","",IFERROR('Game Records'!$M386,""))</x:f>
      </x:c>
    </x:row>
    <x:row r="387">
      <x:c r="A387" s="332" t="str">
        <x:f>IF(OR(COUNTA('Game Records'!$A387:$M387)=0,'Game Records'!$F387="Subscription"),"",IFERROR(MAX($A$4:A386),0)+1)</x:f>
      </x:c>
      <x:c r="B387" s="332" t="str">
        <x:f>IF($A387="","","G-"&amp;TEXT(ROW('Game Records'!$A387)-4,"0000"))</x:f>
      </x:c>
      <x:c r="C387" s="331" t="str">
        <x:f>IF($A387="","",IFERROR('Game Records'!$A387,""))</x:f>
      </x:c>
      <x:c r="D387" s="331" t="str">
        <x:f>IF($A387="","",IFERROR('Game Records'!$U387,""))</x:f>
      </x:c>
      <x:c r="E387" s="331" t="str">
        <x:f>IF($A387="","",IF($F387="","No Highlighted Fields","Highlighted Fields Present"))</x:f>
      </x:c>
      <x:c r="F387" s="331" t="str">
        <x:f>IF($A387="","",IF('Game Records'!$B387="","Start Date; ","")&amp;IF('Game Records'!$C387="","End Date; ","")&amp;IF(AND('Game Records'!$U387&lt;&gt;"Subscription",'Game Records'!$U387&lt;&gt;"Free Game",'Game Records'!$U387&lt;&gt;"Disqualified — Free Game",OR('Game Records'!$D387="",LOWER('Game Records'!$D387&amp;"")="n/a")),"Entry Mode; ","")&amp;IF(AND('Game Records'!$U387&lt;&gt;"Subscription",'Game Records'!$U387&lt;&gt;"Free Game",'Game Records'!$U387&lt;&gt;"Disqualified — Free Game",OR('Game Records'!$E387="",LOWER('Game Records'!$E387&amp;"")="n/a")),"Game Type; ","")&amp;IF('Game Records'!$F387="","Payment Type; ","")&amp;IF(AND('Game Records'!$U387&lt;&gt;"Subscription",'Game Records'!$U387&lt;&gt;"Free Game",'Game Records'!$U387&lt;&gt;"Disqualified — Free Game",'Game Records'!$G387=""),"Gross Pot; ","")&amp;IF(AND('Game Records'!$U387&lt;&gt;"Free Game",'Game Records'!$U387&lt;&gt;"Disqualified — Free Game",'Game Records'!$H387=""),"Entry Fee; ","")&amp;IF(AND('Game Records'!$U387&lt;&gt;"Subscription",'Game Records'!$U387&lt;&gt;"Free Game",'Game Records'!$U387&lt;&gt;"Disqualified — Free Game",'Game Records'!$I387=""),"Eligible Players; ","")&amp;IF(AND('Game Records'!$U387&lt;&gt;"Subscription",'Game Records'!$U387&lt;&gt;"Free Game",'Game Records'!$U387&lt;&gt;"Disqualified — Free Game",'Game Records'!$J387=""),"Total Players; ","")&amp;IF(AND(LOWER('Game Records'!$D387&amp;"")="finalized",LOWER('Game Records'!$L387&amp;"")&lt;&gt;"yes",'Game Records'!$U387&lt;&gt;"Subscription",'Game Records'!$U387&lt;&gt;"Free Game",'Game Records'!$U387&lt;&gt;"Disqualified — Free Game",'Game Records'!$K387=""),"Final Earned; ","")&amp;IF(AND(LOWER('Game Records'!$D387&amp;"")="finalized",'Game Records'!$U387&lt;&gt;"Subscription",'Game Records'!$U387&lt;&gt;"Free Game",'Game Records'!$U387&lt;&gt;"Disqualified — Free Game",OR('Game Records'!$L387="",LOWER('Game Records'!$L387&amp;"")="n/a")),"Disqualified Status; ",""))</x:f>
      </x:c>
      <x:c r="G387" s="331" t="str">
        <x:f>IF($A387="","",IFERROR('Game Records'!$M387,""))</x:f>
      </x:c>
    </x:row>
    <x:row r="388">
      <x:c r="A388" s="332" t="str">
        <x:f>IF(OR(COUNTA('Game Records'!$A388:$M388)=0,'Game Records'!$F388="Subscription"),"",IFERROR(MAX($A$4:A387),0)+1)</x:f>
      </x:c>
      <x:c r="B388" s="332" t="str">
        <x:f>IF($A388="","","G-"&amp;TEXT(ROW('Game Records'!$A388)-4,"0000"))</x:f>
      </x:c>
      <x:c r="C388" s="331" t="str">
        <x:f>IF($A388="","",IFERROR('Game Records'!$A388,""))</x:f>
      </x:c>
      <x:c r="D388" s="331" t="str">
        <x:f>IF($A388="","",IFERROR('Game Records'!$U388,""))</x:f>
      </x:c>
      <x:c r="E388" s="331" t="str">
        <x:f>IF($A388="","",IF($F388="","No Highlighted Fields","Highlighted Fields Present"))</x:f>
      </x:c>
      <x:c r="F388" s="331" t="str">
        <x:f>IF($A388="","",IF('Game Records'!$B388="","Start Date; ","")&amp;IF('Game Records'!$C388="","End Date; ","")&amp;IF(AND('Game Records'!$U388&lt;&gt;"Subscription",'Game Records'!$U388&lt;&gt;"Free Game",'Game Records'!$U388&lt;&gt;"Disqualified — Free Game",OR('Game Records'!$D388="",LOWER('Game Records'!$D388&amp;"")="n/a")),"Entry Mode; ","")&amp;IF(AND('Game Records'!$U388&lt;&gt;"Subscription",'Game Records'!$U388&lt;&gt;"Free Game",'Game Records'!$U388&lt;&gt;"Disqualified — Free Game",OR('Game Records'!$E388="",LOWER('Game Records'!$E388&amp;"")="n/a")),"Game Type; ","")&amp;IF('Game Records'!$F388="","Payment Type; ","")&amp;IF(AND('Game Records'!$U388&lt;&gt;"Subscription",'Game Records'!$U388&lt;&gt;"Free Game",'Game Records'!$U388&lt;&gt;"Disqualified — Free Game",'Game Records'!$G388=""),"Gross Pot; ","")&amp;IF(AND('Game Records'!$U388&lt;&gt;"Free Game",'Game Records'!$U388&lt;&gt;"Disqualified — Free Game",'Game Records'!$H388=""),"Entry Fee; ","")&amp;IF(AND('Game Records'!$U388&lt;&gt;"Subscription",'Game Records'!$U388&lt;&gt;"Free Game",'Game Records'!$U388&lt;&gt;"Disqualified — Free Game",'Game Records'!$I388=""),"Eligible Players; ","")&amp;IF(AND('Game Records'!$U388&lt;&gt;"Subscription",'Game Records'!$U388&lt;&gt;"Free Game",'Game Records'!$U388&lt;&gt;"Disqualified — Free Game",'Game Records'!$J388=""),"Total Players; ","")&amp;IF(AND(LOWER('Game Records'!$D388&amp;"")="finalized",LOWER('Game Records'!$L388&amp;"")&lt;&gt;"yes",'Game Records'!$U388&lt;&gt;"Subscription",'Game Records'!$U388&lt;&gt;"Free Game",'Game Records'!$U388&lt;&gt;"Disqualified — Free Game",'Game Records'!$K388=""),"Final Earned; ","")&amp;IF(AND(LOWER('Game Records'!$D388&amp;"")="finalized",'Game Records'!$U388&lt;&gt;"Subscription",'Game Records'!$U388&lt;&gt;"Free Game",'Game Records'!$U388&lt;&gt;"Disqualified — Free Game",OR('Game Records'!$L388="",LOWER('Game Records'!$L388&amp;"")="n/a")),"Disqualified Status; ",""))</x:f>
      </x:c>
      <x:c r="G388" s="331" t="str">
        <x:f>IF($A388="","",IFERROR('Game Records'!$M388,""))</x:f>
      </x:c>
    </x:row>
    <x:row r="389">
      <x:c r="A389" s="332" t="str">
        <x:f>IF(OR(COUNTA('Game Records'!$A389:$M389)=0,'Game Records'!$F389="Subscription"),"",IFERROR(MAX($A$4:A388),0)+1)</x:f>
      </x:c>
      <x:c r="B389" s="332" t="str">
        <x:f>IF($A389="","","G-"&amp;TEXT(ROW('Game Records'!$A389)-4,"0000"))</x:f>
      </x:c>
      <x:c r="C389" s="331" t="str">
        <x:f>IF($A389="","",IFERROR('Game Records'!$A389,""))</x:f>
      </x:c>
      <x:c r="D389" s="331" t="str">
        <x:f>IF($A389="","",IFERROR('Game Records'!$U389,""))</x:f>
      </x:c>
      <x:c r="E389" s="331" t="str">
        <x:f>IF($A389="","",IF($F389="","No Highlighted Fields","Highlighted Fields Present"))</x:f>
      </x:c>
      <x:c r="F389" s="331" t="str">
        <x:f>IF($A389="","",IF('Game Records'!$B389="","Start Date; ","")&amp;IF('Game Records'!$C389="","End Date; ","")&amp;IF(AND('Game Records'!$U389&lt;&gt;"Subscription",'Game Records'!$U389&lt;&gt;"Free Game",'Game Records'!$U389&lt;&gt;"Disqualified — Free Game",OR('Game Records'!$D389="",LOWER('Game Records'!$D389&amp;"")="n/a")),"Entry Mode; ","")&amp;IF(AND('Game Records'!$U389&lt;&gt;"Subscription",'Game Records'!$U389&lt;&gt;"Free Game",'Game Records'!$U389&lt;&gt;"Disqualified — Free Game",OR('Game Records'!$E389="",LOWER('Game Records'!$E389&amp;"")="n/a")),"Game Type; ","")&amp;IF('Game Records'!$F389="","Payment Type; ","")&amp;IF(AND('Game Records'!$U389&lt;&gt;"Subscription",'Game Records'!$U389&lt;&gt;"Free Game",'Game Records'!$U389&lt;&gt;"Disqualified — Free Game",'Game Records'!$G389=""),"Gross Pot; ","")&amp;IF(AND('Game Records'!$U389&lt;&gt;"Free Game",'Game Records'!$U389&lt;&gt;"Disqualified — Free Game",'Game Records'!$H389=""),"Entry Fee; ","")&amp;IF(AND('Game Records'!$U389&lt;&gt;"Subscription",'Game Records'!$U389&lt;&gt;"Free Game",'Game Records'!$U389&lt;&gt;"Disqualified — Free Game",'Game Records'!$I389=""),"Eligible Players; ","")&amp;IF(AND('Game Records'!$U389&lt;&gt;"Subscription",'Game Records'!$U389&lt;&gt;"Free Game",'Game Records'!$U389&lt;&gt;"Disqualified — Free Game",'Game Records'!$J389=""),"Total Players; ","")&amp;IF(AND(LOWER('Game Records'!$D389&amp;"")="finalized",LOWER('Game Records'!$L389&amp;"")&lt;&gt;"yes",'Game Records'!$U389&lt;&gt;"Subscription",'Game Records'!$U389&lt;&gt;"Free Game",'Game Records'!$U389&lt;&gt;"Disqualified — Free Game",'Game Records'!$K389=""),"Final Earned; ","")&amp;IF(AND(LOWER('Game Records'!$D389&amp;"")="finalized",'Game Records'!$U389&lt;&gt;"Subscription",'Game Records'!$U389&lt;&gt;"Free Game",'Game Records'!$U389&lt;&gt;"Disqualified — Free Game",OR('Game Records'!$L389="",LOWER('Game Records'!$L389&amp;"")="n/a")),"Disqualified Status; ",""))</x:f>
      </x:c>
      <x:c r="G389" s="331" t="str">
        <x:f>IF($A389="","",IFERROR('Game Records'!$M389,""))</x:f>
      </x:c>
    </x:row>
    <x:row r="390">
      <x:c r="A390" s="332" t="str">
        <x:f>IF(OR(COUNTA('Game Records'!$A390:$M390)=0,'Game Records'!$F390="Subscription"),"",IFERROR(MAX($A$4:A389),0)+1)</x:f>
      </x:c>
      <x:c r="B390" s="332" t="str">
        <x:f>IF($A390="","","G-"&amp;TEXT(ROW('Game Records'!$A390)-4,"0000"))</x:f>
      </x:c>
      <x:c r="C390" s="331" t="str">
        <x:f>IF($A390="","",IFERROR('Game Records'!$A390,""))</x:f>
      </x:c>
      <x:c r="D390" s="331" t="str">
        <x:f>IF($A390="","",IFERROR('Game Records'!$U390,""))</x:f>
      </x:c>
      <x:c r="E390" s="331" t="str">
        <x:f>IF($A390="","",IF($F390="","No Highlighted Fields","Highlighted Fields Present"))</x:f>
      </x:c>
      <x:c r="F390" s="331" t="str">
        <x:f>IF($A390="","",IF('Game Records'!$B390="","Start Date; ","")&amp;IF('Game Records'!$C390="","End Date; ","")&amp;IF(AND('Game Records'!$U390&lt;&gt;"Subscription",'Game Records'!$U390&lt;&gt;"Free Game",'Game Records'!$U390&lt;&gt;"Disqualified — Free Game",OR('Game Records'!$D390="",LOWER('Game Records'!$D390&amp;"")="n/a")),"Entry Mode; ","")&amp;IF(AND('Game Records'!$U390&lt;&gt;"Subscription",'Game Records'!$U390&lt;&gt;"Free Game",'Game Records'!$U390&lt;&gt;"Disqualified — Free Game",OR('Game Records'!$E390="",LOWER('Game Records'!$E390&amp;"")="n/a")),"Game Type; ","")&amp;IF('Game Records'!$F390="","Payment Type; ","")&amp;IF(AND('Game Records'!$U390&lt;&gt;"Subscription",'Game Records'!$U390&lt;&gt;"Free Game",'Game Records'!$U390&lt;&gt;"Disqualified — Free Game",'Game Records'!$G390=""),"Gross Pot; ","")&amp;IF(AND('Game Records'!$U390&lt;&gt;"Free Game",'Game Records'!$U390&lt;&gt;"Disqualified — Free Game",'Game Records'!$H390=""),"Entry Fee; ","")&amp;IF(AND('Game Records'!$U390&lt;&gt;"Subscription",'Game Records'!$U390&lt;&gt;"Free Game",'Game Records'!$U390&lt;&gt;"Disqualified — Free Game",'Game Records'!$I390=""),"Eligible Players; ","")&amp;IF(AND('Game Records'!$U390&lt;&gt;"Subscription",'Game Records'!$U390&lt;&gt;"Free Game",'Game Records'!$U390&lt;&gt;"Disqualified — Free Game",'Game Records'!$J390=""),"Total Players; ","")&amp;IF(AND(LOWER('Game Records'!$D390&amp;"")="finalized",LOWER('Game Records'!$L390&amp;"")&lt;&gt;"yes",'Game Records'!$U390&lt;&gt;"Subscription",'Game Records'!$U390&lt;&gt;"Free Game",'Game Records'!$U390&lt;&gt;"Disqualified — Free Game",'Game Records'!$K390=""),"Final Earned; ","")&amp;IF(AND(LOWER('Game Records'!$D390&amp;"")="finalized",'Game Records'!$U390&lt;&gt;"Subscription",'Game Records'!$U390&lt;&gt;"Free Game",'Game Records'!$U390&lt;&gt;"Disqualified — Free Game",OR('Game Records'!$L390="",LOWER('Game Records'!$L390&amp;"")="n/a")),"Disqualified Status; ",""))</x:f>
      </x:c>
      <x:c r="G390" s="331" t="str">
        <x:f>IF($A390="","",IFERROR('Game Records'!$M390,""))</x:f>
      </x:c>
    </x:row>
    <x:row r="391">
      <x:c r="A391" s="332" t="str">
        <x:f>IF(OR(COUNTA('Game Records'!$A391:$M391)=0,'Game Records'!$F391="Subscription"),"",IFERROR(MAX($A$4:A390),0)+1)</x:f>
      </x:c>
      <x:c r="B391" s="332" t="str">
        <x:f>IF($A391="","","G-"&amp;TEXT(ROW('Game Records'!$A391)-4,"0000"))</x:f>
      </x:c>
      <x:c r="C391" s="331" t="str">
        <x:f>IF($A391="","",IFERROR('Game Records'!$A391,""))</x:f>
      </x:c>
      <x:c r="D391" s="331" t="str">
        <x:f>IF($A391="","",IFERROR('Game Records'!$U391,""))</x:f>
      </x:c>
      <x:c r="E391" s="331" t="str">
        <x:f>IF($A391="","",IF($F391="","No Highlighted Fields","Highlighted Fields Present"))</x:f>
      </x:c>
      <x:c r="F391" s="331" t="str">
        <x:f>IF($A391="","",IF('Game Records'!$B391="","Start Date; ","")&amp;IF('Game Records'!$C391="","End Date; ","")&amp;IF(AND('Game Records'!$U391&lt;&gt;"Subscription",'Game Records'!$U391&lt;&gt;"Free Game",'Game Records'!$U391&lt;&gt;"Disqualified — Free Game",OR('Game Records'!$D391="",LOWER('Game Records'!$D391&amp;"")="n/a")),"Entry Mode; ","")&amp;IF(AND('Game Records'!$U391&lt;&gt;"Subscription",'Game Records'!$U391&lt;&gt;"Free Game",'Game Records'!$U391&lt;&gt;"Disqualified — Free Game",OR('Game Records'!$E391="",LOWER('Game Records'!$E391&amp;"")="n/a")),"Game Type; ","")&amp;IF('Game Records'!$F391="","Payment Type; ","")&amp;IF(AND('Game Records'!$U391&lt;&gt;"Subscription",'Game Records'!$U391&lt;&gt;"Free Game",'Game Records'!$U391&lt;&gt;"Disqualified — Free Game",'Game Records'!$G391=""),"Gross Pot; ","")&amp;IF(AND('Game Records'!$U391&lt;&gt;"Free Game",'Game Records'!$U391&lt;&gt;"Disqualified — Free Game",'Game Records'!$H391=""),"Entry Fee; ","")&amp;IF(AND('Game Records'!$U391&lt;&gt;"Subscription",'Game Records'!$U391&lt;&gt;"Free Game",'Game Records'!$U391&lt;&gt;"Disqualified — Free Game",'Game Records'!$I391=""),"Eligible Players; ","")&amp;IF(AND('Game Records'!$U391&lt;&gt;"Subscription",'Game Records'!$U391&lt;&gt;"Free Game",'Game Records'!$U391&lt;&gt;"Disqualified — Free Game",'Game Records'!$J391=""),"Total Players; ","")&amp;IF(AND(LOWER('Game Records'!$D391&amp;"")="finalized",LOWER('Game Records'!$L391&amp;"")&lt;&gt;"yes",'Game Records'!$U391&lt;&gt;"Subscription",'Game Records'!$U391&lt;&gt;"Free Game",'Game Records'!$U391&lt;&gt;"Disqualified — Free Game",'Game Records'!$K391=""),"Final Earned; ","")&amp;IF(AND(LOWER('Game Records'!$D391&amp;"")="finalized",'Game Records'!$U391&lt;&gt;"Subscription",'Game Records'!$U391&lt;&gt;"Free Game",'Game Records'!$U391&lt;&gt;"Disqualified — Free Game",OR('Game Records'!$L391="",LOWER('Game Records'!$L391&amp;"")="n/a")),"Disqualified Status; ",""))</x:f>
      </x:c>
      <x:c r="G391" s="331" t="str">
        <x:f>IF($A391="","",IFERROR('Game Records'!$M391,""))</x:f>
      </x:c>
    </x:row>
    <x:row r="392">
      <x:c r="A392" s="332" t="str">
        <x:f>IF(OR(COUNTA('Game Records'!$A392:$M392)=0,'Game Records'!$F392="Subscription"),"",IFERROR(MAX($A$4:A391),0)+1)</x:f>
      </x:c>
      <x:c r="B392" s="332" t="str">
        <x:f>IF($A392="","","G-"&amp;TEXT(ROW('Game Records'!$A392)-4,"0000"))</x:f>
      </x:c>
      <x:c r="C392" s="331" t="str">
        <x:f>IF($A392="","",IFERROR('Game Records'!$A392,""))</x:f>
      </x:c>
      <x:c r="D392" s="331" t="str">
        <x:f>IF($A392="","",IFERROR('Game Records'!$U392,""))</x:f>
      </x:c>
      <x:c r="E392" s="331" t="str">
        <x:f>IF($A392="","",IF($F392="","No Highlighted Fields","Highlighted Fields Present"))</x:f>
      </x:c>
      <x:c r="F392" s="331" t="str">
        <x:f>IF($A392="","",IF('Game Records'!$B392="","Start Date; ","")&amp;IF('Game Records'!$C392="","End Date; ","")&amp;IF(AND('Game Records'!$U392&lt;&gt;"Subscription",'Game Records'!$U392&lt;&gt;"Free Game",'Game Records'!$U392&lt;&gt;"Disqualified — Free Game",OR('Game Records'!$D392="",LOWER('Game Records'!$D392&amp;"")="n/a")),"Entry Mode; ","")&amp;IF(AND('Game Records'!$U392&lt;&gt;"Subscription",'Game Records'!$U392&lt;&gt;"Free Game",'Game Records'!$U392&lt;&gt;"Disqualified — Free Game",OR('Game Records'!$E392="",LOWER('Game Records'!$E392&amp;"")="n/a")),"Game Type; ","")&amp;IF('Game Records'!$F392="","Payment Type; ","")&amp;IF(AND('Game Records'!$U392&lt;&gt;"Subscription",'Game Records'!$U392&lt;&gt;"Free Game",'Game Records'!$U392&lt;&gt;"Disqualified — Free Game",'Game Records'!$G392=""),"Gross Pot; ","")&amp;IF(AND('Game Records'!$U392&lt;&gt;"Free Game",'Game Records'!$U392&lt;&gt;"Disqualified — Free Game",'Game Records'!$H392=""),"Entry Fee; ","")&amp;IF(AND('Game Records'!$U392&lt;&gt;"Subscription",'Game Records'!$U392&lt;&gt;"Free Game",'Game Records'!$U392&lt;&gt;"Disqualified — Free Game",'Game Records'!$I392=""),"Eligible Players; ","")&amp;IF(AND('Game Records'!$U392&lt;&gt;"Subscription",'Game Records'!$U392&lt;&gt;"Free Game",'Game Records'!$U392&lt;&gt;"Disqualified — Free Game",'Game Records'!$J392=""),"Total Players; ","")&amp;IF(AND(LOWER('Game Records'!$D392&amp;"")="finalized",LOWER('Game Records'!$L392&amp;"")&lt;&gt;"yes",'Game Records'!$U392&lt;&gt;"Subscription",'Game Records'!$U392&lt;&gt;"Free Game",'Game Records'!$U392&lt;&gt;"Disqualified — Free Game",'Game Records'!$K392=""),"Final Earned; ","")&amp;IF(AND(LOWER('Game Records'!$D392&amp;"")="finalized",'Game Records'!$U392&lt;&gt;"Subscription",'Game Records'!$U392&lt;&gt;"Free Game",'Game Records'!$U392&lt;&gt;"Disqualified — Free Game",OR('Game Records'!$L392="",LOWER('Game Records'!$L392&amp;"")="n/a")),"Disqualified Status; ",""))</x:f>
      </x:c>
      <x:c r="G392" s="331" t="str">
        <x:f>IF($A392="","",IFERROR('Game Records'!$M392,""))</x:f>
      </x:c>
    </x:row>
    <x:row r="393">
      <x:c r="A393" s="332" t="str">
        <x:f>IF(OR(COUNTA('Game Records'!$A393:$M393)=0,'Game Records'!$F393="Subscription"),"",IFERROR(MAX($A$4:A392),0)+1)</x:f>
      </x:c>
      <x:c r="B393" s="332" t="str">
        <x:f>IF($A393="","","G-"&amp;TEXT(ROW('Game Records'!$A393)-4,"0000"))</x:f>
      </x:c>
      <x:c r="C393" s="331" t="str">
        <x:f>IF($A393="","",IFERROR('Game Records'!$A393,""))</x:f>
      </x:c>
      <x:c r="D393" s="331" t="str">
        <x:f>IF($A393="","",IFERROR('Game Records'!$U393,""))</x:f>
      </x:c>
      <x:c r="E393" s="331" t="str">
        <x:f>IF($A393="","",IF($F393="","No Highlighted Fields","Highlighted Fields Present"))</x:f>
      </x:c>
      <x:c r="F393" s="331" t="str">
        <x:f>IF($A393="","",IF('Game Records'!$B393="","Start Date; ","")&amp;IF('Game Records'!$C393="","End Date; ","")&amp;IF(AND('Game Records'!$U393&lt;&gt;"Subscription",'Game Records'!$U393&lt;&gt;"Free Game",'Game Records'!$U393&lt;&gt;"Disqualified — Free Game",OR('Game Records'!$D393="",LOWER('Game Records'!$D393&amp;"")="n/a")),"Entry Mode; ","")&amp;IF(AND('Game Records'!$U393&lt;&gt;"Subscription",'Game Records'!$U393&lt;&gt;"Free Game",'Game Records'!$U393&lt;&gt;"Disqualified — Free Game",OR('Game Records'!$E393="",LOWER('Game Records'!$E393&amp;"")="n/a")),"Game Type; ","")&amp;IF('Game Records'!$F393="","Payment Type; ","")&amp;IF(AND('Game Records'!$U393&lt;&gt;"Subscription",'Game Records'!$U393&lt;&gt;"Free Game",'Game Records'!$U393&lt;&gt;"Disqualified — Free Game",'Game Records'!$G393=""),"Gross Pot; ","")&amp;IF(AND('Game Records'!$U393&lt;&gt;"Free Game",'Game Records'!$U393&lt;&gt;"Disqualified — Free Game",'Game Records'!$H393=""),"Entry Fee; ","")&amp;IF(AND('Game Records'!$U393&lt;&gt;"Subscription",'Game Records'!$U393&lt;&gt;"Free Game",'Game Records'!$U393&lt;&gt;"Disqualified — Free Game",'Game Records'!$I393=""),"Eligible Players; ","")&amp;IF(AND('Game Records'!$U393&lt;&gt;"Subscription",'Game Records'!$U393&lt;&gt;"Free Game",'Game Records'!$U393&lt;&gt;"Disqualified — Free Game",'Game Records'!$J393=""),"Total Players; ","")&amp;IF(AND(LOWER('Game Records'!$D393&amp;"")="finalized",LOWER('Game Records'!$L393&amp;"")&lt;&gt;"yes",'Game Records'!$U393&lt;&gt;"Subscription",'Game Records'!$U393&lt;&gt;"Free Game",'Game Records'!$U393&lt;&gt;"Disqualified — Free Game",'Game Records'!$K393=""),"Final Earned; ","")&amp;IF(AND(LOWER('Game Records'!$D393&amp;"")="finalized",'Game Records'!$U393&lt;&gt;"Subscription",'Game Records'!$U393&lt;&gt;"Free Game",'Game Records'!$U393&lt;&gt;"Disqualified — Free Game",OR('Game Records'!$L393="",LOWER('Game Records'!$L393&amp;"")="n/a")),"Disqualified Status; ",""))</x:f>
      </x:c>
      <x:c r="G393" s="331" t="str">
        <x:f>IF($A393="","",IFERROR('Game Records'!$M393,""))</x:f>
      </x:c>
    </x:row>
    <x:row r="394">
      <x:c r="A394" s="332" t="str">
        <x:f>IF(OR(COUNTA('Game Records'!$A394:$M394)=0,'Game Records'!$F394="Subscription"),"",IFERROR(MAX($A$4:A393),0)+1)</x:f>
      </x:c>
      <x:c r="B394" s="332" t="str">
        <x:f>IF($A394="","","G-"&amp;TEXT(ROW('Game Records'!$A394)-4,"0000"))</x:f>
      </x:c>
      <x:c r="C394" s="331" t="str">
        <x:f>IF($A394="","",IFERROR('Game Records'!$A394,""))</x:f>
      </x:c>
      <x:c r="D394" s="331" t="str">
        <x:f>IF($A394="","",IFERROR('Game Records'!$U394,""))</x:f>
      </x:c>
      <x:c r="E394" s="331" t="str">
        <x:f>IF($A394="","",IF($F394="","No Highlighted Fields","Highlighted Fields Present"))</x:f>
      </x:c>
      <x:c r="F394" s="331" t="str">
        <x:f>IF($A394="","",IF('Game Records'!$B394="","Start Date; ","")&amp;IF('Game Records'!$C394="","End Date; ","")&amp;IF(AND('Game Records'!$U394&lt;&gt;"Subscription",'Game Records'!$U394&lt;&gt;"Free Game",'Game Records'!$U394&lt;&gt;"Disqualified — Free Game",OR('Game Records'!$D394="",LOWER('Game Records'!$D394&amp;"")="n/a")),"Entry Mode; ","")&amp;IF(AND('Game Records'!$U394&lt;&gt;"Subscription",'Game Records'!$U394&lt;&gt;"Free Game",'Game Records'!$U394&lt;&gt;"Disqualified — Free Game",OR('Game Records'!$E394="",LOWER('Game Records'!$E394&amp;"")="n/a")),"Game Type; ","")&amp;IF('Game Records'!$F394="","Payment Type; ","")&amp;IF(AND('Game Records'!$U394&lt;&gt;"Subscription",'Game Records'!$U394&lt;&gt;"Free Game",'Game Records'!$U394&lt;&gt;"Disqualified — Free Game",'Game Records'!$G394=""),"Gross Pot; ","")&amp;IF(AND('Game Records'!$U394&lt;&gt;"Free Game",'Game Records'!$U394&lt;&gt;"Disqualified — Free Game",'Game Records'!$H394=""),"Entry Fee; ","")&amp;IF(AND('Game Records'!$U394&lt;&gt;"Subscription",'Game Records'!$U394&lt;&gt;"Free Game",'Game Records'!$U394&lt;&gt;"Disqualified — Free Game",'Game Records'!$I394=""),"Eligible Players; ","")&amp;IF(AND('Game Records'!$U394&lt;&gt;"Subscription",'Game Records'!$U394&lt;&gt;"Free Game",'Game Records'!$U394&lt;&gt;"Disqualified — Free Game",'Game Records'!$J394=""),"Total Players; ","")&amp;IF(AND(LOWER('Game Records'!$D394&amp;"")="finalized",LOWER('Game Records'!$L394&amp;"")&lt;&gt;"yes",'Game Records'!$U394&lt;&gt;"Subscription",'Game Records'!$U394&lt;&gt;"Free Game",'Game Records'!$U394&lt;&gt;"Disqualified — Free Game",'Game Records'!$K394=""),"Final Earned; ","")&amp;IF(AND(LOWER('Game Records'!$D394&amp;"")="finalized",'Game Records'!$U394&lt;&gt;"Subscription",'Game Records'!$U394&lt;&gt;"Free Game",'Game Records'!$U394&lt;&gt;"Disqualified — Free Game",OR('Game Records'!$L394="",LOWER('Game Records'!$L394&amp;"")="n/a")),"Disqualified Status; ",""))</x:f>
      </x:c>
      <x:c r="G394" s="331" t="str">
        <x:f>IF($A394="","",IFERROR('Game Records'!$M394,""))</x:f>
      </x:c>
    </x:row>
    <x:row r="395">
      <x:c r="A395" s="332" t="str">
        <x:f>IF(OR(COUNTA('Game Records'!$A395:$M395)=0,'Game Records'!$F395="Subscription"),"",IFERROR(MAX($A$4:A394),0)+1)</x:f>
      </x:c>
      <x:c r="B395" s="332" t="str">
        <x:f>IF($A395="","","G-"&amp;TEXT(ROW('Game Records'!$A395)-4,"0000"))</x:f>
      </x:c>
      <x:c r="C395" s="331" t="str">
        <x:f>IF($A395="","",IFERROR('Game Records'!$A395,""))</x:f>
      </x:c>
      <x:c r="D395" s="331" t="str">
        <x:f>IF($A395="","",IFERROR('Game Records'!$U395,""))</x:f>
      </x:c>
      <x:c r="E395" s="331" t="str">
        <x:f>IF($A395="","",IF($F395="","No Highlighted Fields","Highlighted Fields Present"))</x:f>
      </x:c>
      <x:c r="F395" s="331" t="str">
        <x:f>IF($A395="","",IF('Game Records'!$B395="","Start Date; ","")&amp;IF('Game Records'!$C395="","End Date; ","")&amp;IF(AND('Game Records'!$U395&lt;&gt;"Subscription",'Game Records'!$U395&lt;&gt;"Free Game",'Game Records'!$U395&lt;&gt;"Disqualified — Free Game",OR('Game Records'!$D395="",LOWER('Game Records'!$D395&amp;"")="n/a")),"Entry Mode; ","")&amp;IF(AND('Game Records'!$U395&lt;&gt;"Subscription",'Game Records'!$U395&lt;&gt;"Free Game",'Game Records'!$U395&lt;&gt;"Disqualified — Free Game",OR('Game Records'!$E395="",LOWER('Game Records'!$E395&amp;"")="n/a")),"Game Type; ","")&amp;IF('Game Records'!$F395="","Payment Type; ","")&amp;IF(AND('Game Records'!$U395&lt;&gt;"Subscription",'Game Records'!$U395&lt;&gt;"Free Game",'Game Records'!$U395&lt;&gt;"Disqualified — Free Game",'Game Records'!$G395=""),"Gross Pot; ","")&amp;IF(AND('Game Records'!$U395&lt;&gt;"Free Game",'Game Records'!$U395&lt;&gt;"Disqualified — Free Game",'Game Records'!$H395=""),"Entry Fee; ","")&amp;IF(AND('Game Records'!$U395&lt;&gt;"Subscription",'Game Records'!$U395&lt;&gt;"Free Game",'Game Records'!$U395&lt;&gt;"Disqualified — Free Game",'Game Records'!$I395=""),"Eligible Players; ","")&amp;IF(AND('Game Records'!$U395&lt;&gt;"Subscription",'Game Records'!$U395&lt;&gt;"Free Game",'Game Records'!$U395&lt;&gt;"Disqualified — Free Game",'Game Records'!$J395=""),"Total Players; ","")&amp;IF(AND(LOWER('Game Records'!$D395&amp;"")="finalized",LOWER('Game Records'!$L395&amp;"")&lt;&gt;"yes",'Game Records'!$U395&lt;&gt;"Subscription",'Game Records'!$U395&lt;&gt;"Free Game",'Game Records'!$U395&lt;&gt;"Disqualified — Free Game",'Game Records'!$K395=""),"Final Earned; ","")&amp;IF(AND(LOWER('Game Records'!$D395&amp;"")="finalized",'Game Records'!$U395&lt;&gt;"Subscription",'Game Records'!$U395&lt;&gt;"Free Game",'Game Records'!$U395&lt;&gt;"Disqualified — Free Game",OR('Game Records'!$L395="",LOWER('Game Records'!$L395&amp;"")="n/a")),"Disqualified Status; ",""))</x:f>
      </x:c>
      <x:c r="G395" s="331" t="str">
        <x:f>IF($A395="","",IFERROR('Game Records'!$M395,""))</x:f>
      </x:c>
    </x:row>
    <x:row r="396">
      <x:c r="A396" s="332" t="str">
        <x:f>IF(OR(COUNTA('Game Records'!$A396:$M396)=0,'Game Records'!$F396="Subscription"),"",IFERROR(MAX($A$4:A395),0)+1)</x:f>
      </x:c>
      <x:c r="B396" s="332" t="str">
        <x:f>IF($A396="","","G-"&amp;TEXT(ROW('Game Records'!$A396)-4,"0000"))</x:f>
      </x:c>
      <x:c r="C396" s="331" t="str">
        <x:f>IF($A396="","",IFERROR('Game Records'!$A396,""))</x:f>
      </x:c>
      <x:c r="D396" s="331" t="str">
        <x:f>IF($A396="","",IFERROR('Game Records'!$U396,""))</x:f>
      </x:c>
      <x:c r="E396" s="331" t="str">
        <x:f>IF($A396="","",IF($F396="","No Highlighted Fields","Highlighted Fields Present"))</x:f>
      </x:c>
      <x:c r="F396" s="331" t="str">
        <x:f>IF($A396="","",IF('Game Records'!$B396="","Start Date; ","")&amp;IF('Game Records'!$C396="","End Date; ","")&amp;IF(AND('Game Records'!$U396&lt;&gt;"Subscription",'Game Records'!$U396&lt;&gt;"Free Game",'Game Records'!$U396&lt;&gt;"Disqualified — Free Game",OR('Game Records'!$D396="",LOWER('Game Records'!$D396&amp;"")="n/a")),"Entry Mode; ","")&amp;IF(AND('Game Records'!$U396&lt;&gt;"Subscription",'Game Records'!$U396&lt;&gt;"Free Game",'Game Records'!$U396&lt;&gt;"Disqualified — Free Game",OR('Game Records'!$E396="",LOWER('Game Records'!$E396&amp;"")="n/a")),"Game Type; ","")&amp;IF('Game Records'!$F396="","Payment Type; ","")&amp;IF(AND('Game Records'!$U396&lt;&gt;"Subscription",'Game Records'!$U396&lt;&gt;"Free Game",'Game Records'!$U396&lt;&gt;"Disqualified — Free Game",'Game Records'!$G396=""),"Gross Pot; ","")&amp;IF(AND('Game Records'!$U396&lt;&gt;"Free Game",'Game Records'!$U396&lt;&gt;"Disqualified — Free Game",'Game Records'!$H396=""),"Entry Fee; ","")&amp;IF(AND('Game Records'!$U396&lt;&gt;"Subscription",'Game Records'!$U396&lt;&gt;"Free Game",'Game Records'!$U396&lt;&gt;"Disqualified — Free Game",'Game Records'!$I396=""),"Eligible Players; ","")&amp;IF(AND('Game Records'!$U396&lt;&gt;"Subscription",'Game Records'!$U396&lt;&gt;"Free Game",'Game Records'!$U396&lt;&gt;"Disqualified — Free Game",'Game Records'!$J396=""),"Total Players; ","")&amp;IF(AND(LOWER('Game Records'!$D396&amp;"")="finalized",LOWER('Game Records'!$L396&amp;"")&lt;&gt;"yes",'Game Records'!$U396&lt;&gt;"Subscription",'Game Records'!$U396&lt;&gt;"Free Game",'Game Records'!$U396&lt;&gt;"Disqualified — Free Game",'Game Records'!$K396=""),"Final Earned; ","")&amp;IF(AND(LOWER('Game Records'!$D396&amp;"")="finalized",'Game Records'!$U396&lt;&gt;"Subscription",'Game Records'!$U396&lt;&gt;"Free Game",'Game Records'!$U396&lt;&gt;"Disqualified — Free Game",OR('Game Records'!$L396="",LOWER('Game Records'!$L396&amp;"")="n/a")),"Disqualified Status; ",""))</x:f>
      </x:c>
      <x:c r="G396" s="331" t="str">
        <x:f>IF($A396="","",IFERROR('Game Records'!$M396,""))</x:f>
      </x:c>
    </x:row>
    <x:row r="397">
      <x:c r="A397" s="332" t="str">
        <x:f>IF(OR(COUNTA('Game Records'!$A397:$M397)=0,'Game Records'!$F397="Subscription"),"",IFERROR(MAX($A$4:A396),0)+1)</x:f>
      </x:c>
      <x:c r="B397" s="332" t="str">
        <x:f>IF($A397="","","G-"&amp;TEXT(ROW('Game Records'!$A397)-4,"0000"))</x:f>
      </x:c>
      <x:c r="C397" s="331" t="str">
        <x:f>IF($A397="","",IFERROR('Game Records'!$A397,""))</x:f>
      </x:c>
      <x:c r="D397" s="331" t="str">
        <x:f>IF($A397="","",IFERROR('Game Records'!$U397,""))</x:f>
      </x:c>
      <x:c r="E397" s="331" t="str">
        <x:f>IF($A397="","",IF($F397="","No Highlighted Fields","Highlighted Fields Present"))</x:f>
      </x:c>
      <x:c r="F397" s="331" t="str">
        <x:f>IF($A397="","",IF('Game Records'!$B397="","Start Date; ","")&amp;IF('Game Records'!$C397="","End Date; ","")&amp;IF(AND('Game Records'!$U397&lt;&gt;"Subscription",'Game Records'!$U397&lt;&gt;"Free Game",'Game Records'!$U397&lt;&gt;"Disqualified — Free Game",OR('Game Records'!$D397="",LOWER('Game Records'!$D397&amp;"")="n/a")),"Entry Mode; ","")&amp;IF(AND('Game Records'!$U397&lt;&gt;"Subscription",'Game Records'!$U397&lt;&gt;"Free Game",'Game Records'!$U397&lt;&gt;"Disqualified — Free Game",OR('Game Records'!$E397="",LOWER('Game Records'!$E397&amp;"")="n/a")),"Game Type; ","")&amp;IF('Game Records'!$F397="","Payment Type; ","")&amp;IF(AND('Game Records'!$U397&lt;&gt;"Subscription",'Game Records'!$U397&lt;&gt;"Free Game",'Game Records'!$U397&lt;&gt;"Disqualified — Free Game",'Game Records'!$G397=""),"Gross Pot; ","")&amp;IF(AND('Game Records'!$U397&lt;&gt;"Free Game",'Game Records'!$U397&lt;&gt;"Disqualified — Free Game",'Game Records'!$H397=""),"Entry Fee; ","")&amp;IF(AND('Game Records'!$U397&lt;&gt;"Subscription",'Game Records'!$U397&lt;&gt;"Free Game",'Game Records'!$U397&lt;&gt;"Disqualified — Free Game",'Game Records'!$I397=""),"Eligible Players; ","")&amp;IF(AND('Game Records'!$U397&lt;&gt;"Subscription",'Game Records'!$U397&lt;&gt;"Free Game",'Game Records'!$U397&lt;&gt;"Disqualified — Free Game",'Game Records'!$J397=""),"Total Players; ","")&amp;IF(AND(LOWER('Game Records'!$D397&amp;"")="finalized",LOWER('Game Records'!$L397&amp;"")&lt;&gt;"yes",'Game Records'!$U397&lt;&gt;"Subscription",'Game Records'!$U397&lt;&gt;"Free Game",'Game Records'!$U397&lt;&gt;"Disqualified — Free Game",'Game Records'!$K397=""),"Final Earned; ","")&amp;IF(AND(LOWER('Game Records'!$D397&amp;"")="finalized",'Game Records'!$U397&lt;&gt;"Subscription",'Game Records'!$U397&lt;&gt;"Free Game",'Game Records'!$U397&lt;&gt;"Disqualified — Free Game",OR('Game Records'!$L397="",LOWER('Game Records'!$L397&amp;"")="n/a")),"Disqualified Status; ",""))</x:f>
      </x:c>
      <x:c r="G397" s="331" t="str">
        <x:f>IF($A397="","",IFERROR('Game Records'!$M397,""))</x:f>
      </x:c>
    </x:row>
    <x:row r="398">
      <x:c r="A398" s="332" t="str">
        <x:f>IF(OR(COUNTA('Game Records'!$A398:$M398)=0,'Game Records'!$F398="Subscription"),"",IFERROR(MAX($A$4:A397),0)+1)</x:f>
      </x:c>
      <x:c r="B398" s="332" t="str">
        <x:f>IF($A398="","","G-"&amp;TEXT(ROW('Game Records'!$A398)-4,"0000"))</x:f>
      </x:c>
      <x:c r="C398" s="331" t="str">
        <x:f>IF($A398="","",IFERROR('Game Records'!$A398,""))</x:f>
      </x:c>
      <x:c r="D398" s="331" t="str">
        <x:f>IF($A398="","",IFERROR('Game Records'!$U398,""))</x:f>
      </x:c>
      <x:c r="E398" s="331" t="str">
        <x:f>IF($A398="","",IF($F398="","No Highlighted Fields","Highlighted Fields Present"))</x:f>
      </x:c>
      <x:c r="F398" s="331" t="str">
        <x:f>IF($A398="","",IF('Game Records'!$B398="","Start Date; ","")&amp;IF('Game Records'!$C398="","End Date; ","")&amp;IF(AND('Game Records'!$U398&lt;&gt;"Subscription",'Game Records'!$U398&lt;&gt;"Free Game",'Game Records'!$U398&lt;&gt;"Disqualified — Free Game",OR('Game Records'!$D398="",LOWER('Game Records'!$D398&amp;"")="n/a")),"Entry Mode; ","")&amp;IF(AND('Game Records'!$U398&lt;&gt;"Subscription",'Game Records'!$U398&lt;&gt;"Free Game",'Game Records'!$U398&lt;&gt;"Disqualified — Free Game",OR('Game Records'!$E398="",LOWER('Game Records'!$E398&amp;"")="n/a")),"Game Type; ","")&amp;IF('Game Records'!$F398="","Payment Type; ","")&amp;IF(AND('Game Records'!$U398&lt;&gt;"Subscription",'Game Records'!$U398&lt;&gt;"Free Game",'Game Records'!$U398&lt;&gt;"Disqualified — Free Game",'Game Records'!$G398=""),"Gross Pot; ","")&amp;IF(AND('Game Records'!$U398&lt;&gt;"Free Game",'Game Records'!$U398&lt;&gt;"Disqualified — Free Game",'Game Records'!$H398=""),"Entry Fee; ","")&amp;IF(AND('Game Records'!$U398&lt;&gt;"Subscription",'Game Records'!$U398&lt;&gt;"Free Game",'Game Records'!$U398&lt;&gt;"Disqualified — Free Game",'Game Records'!$I398=""),"Eligible Players; ","")&amp;IF(AND('Game Records'!$U398&lt;&gt;"Subscription",'Game Records'!$U398&lt;&gt;"Free Game",'Game Records'!$U398&lt;&gt;"Disqualified — Free Game",'Game Records'!$J398=""),"Total Players; ","")&amp;IF(AND(LOWER('Game Records'!$D398&amp;"")="finalized",LOWER('Game Records'!$L398&amp;"")&lt;&gt;"yes",'Game Records'!$U398&lt;&gt;"Subscription",'Game Records'!$U398&lt;&gt;"Free Game",'Game Records'!$U398&lt;&gt;"Disqualified — Free Game",'Game Records'!$K398=""),"Final Earned; ","")&amp;IF(AND(LOWER('Game Records'!$D398&amp;"")="finalized",'Game Records'!$U398&lt;&gt;"Subscription",'Game Records'!$U398&lt;&gt;"Free Game",'Game Records'!$U398&lt;&gt;"Disqualified — Free Game",OR('Game Records'!$L398="",LOWER('Game Records'!$L398&amp;"")="n/a")),"Disqualified Status; ",""))</x:f>
      </x:c>
      <x:c r="G398" s="331" t="str">
        <x:f>IF($A398="","",IFERROR('Game Records'!$M398,""))</x:f>
      </x:c>
    </x:row>
    <x:row r="399">
      <x:c r="A399" s="332" t="str">
        <x:f>IF(OR(COUNTA('Game Records'!$A399:$M399)=0,'Game Records'!$F399="Subscription"),"",IFERROR(MAX($A$4:A398),0)+1)</x:f>
      </x:c>
      <x:c r="B399" s="332" t="str">
        <x:f>IF($A399="","","G-"&amp;TEXT(ROW('Game Records'!$A399)-4,"0000"))</x:f>
      </x:c>
      <x:c r="C399" s="331" t="str">
        <x:f>IF($A399="","",IFERROR('Game Records'!$A399,""))</x:f>
      </x:c>
      <x:c r="D399" s="331" t="str">
        <x:f>IF($A399="","",IFERROR('Game Records'!$U399,""))</x:f>
      </x:c>
      <x:c r="E399" s="331" t="str">
        <x:f>IF($A399="","",IF($F399="","No Highlighted Fields","Highlighted Fields Present"))</x:f>
      </x:c>
      <x:c r="F399" s="331" t="str">
        <x:f>IF($A399="","",IF('Game Records'!$B399="","Start Date; ","")&amp;IF('Game Records'!$C399="","End Date; ","")&amp;IF(AND('Game Records'!$U399&lt;&gt;"Subscription",'Game Records'!$U399&lt;&gt;"Free Game",'Game Records'!$U399&lt;&gt;"Disqualified — Free Game",OR('Game Records'!$D399="",LOWER('Game Records'!$D399&amp;"")="n/a")),"Entry Mode; ","")&amp;IF(AND('Game Records'!$U399&lt;&gt;"Subscription",'Game Records'!$U399&lt;&gt;"Free Game",'Game Records'!$U399&lt;&gt;"Disqualified — Free Game",OR('Game Records'!$E399="",LOWER('Game Records'!$E399&amp;"")="n/a")),"Game Type; ","")&amp;IF('Game Records'!$F399="","Payment Type; ","")&amp;IF(AND('Game Records'!$U399&lt;&gt;"Subscription",'Game Records'!$U399&lt;&gt;"Free Game",'Game Records'!$U399&lt;&gt;"Disqualified — Free Game",'Game Records'!$G399=""),"Gross Pot; ","")&amp;IF(AND('Game Records'!$U399&lt;&gt;"Free Game",'Game Records'!$U399&lt;&gt;"Disqualified — Free Game",'Game Records'!$H399=""),"Entry Fee; ","")&amp;IF(AND('Game Records'!$U399&lt;&gt;"Subscription",'Game Records'!$U399&lt;&gt;"Free Game",'Game Records'!$U399&lt;&gt;"Disqualified — Free Game",'Game Records'!$I399=""),"Eligible Players; ","")&amp;IF(AND('Game Records'!$U399&lt;&gt;"Subscription",'Game Records'!$U399&lt;&gt;"Free Game",'Game Records'!$U399&lt;&gt;"Disqualified — Free Game",'Game Records'!$J399=""),"Total Players; ","")&amp;IF(AND(LOWER('Game Records'!$D399&amp;"")="finalized",LOWER('Game Records'!$L399&amp;"")&lt;&gt;"yes",'Game Records'!$U399&lt;&gt;"Subscription",'Game Records'!$U399&lt;&gt;"Free Game",'Game Records'!$U399&lt;&gt;"Disqualified — Free Game",'Game Records'!$K399=""),"Final Earned; ","")&amp;IF(AND(LOWER('Game Records'!$D399&amp;"")="finalized",'Game Records'!$U399&lt;&gt;"Subscription",'Game Records'!$U399&lt;&gt;"Free Game",'Game Records'!$U399&lt;&gt;"Disqualified — Free Game",OR('Game Records'!$L399="",LOWER('Game Records'!$L399&amp;"")="n/a")),"Disqualified Status; ",""))</x:f>
      </x:c>
      <x:c r="G399" s="331" t="str">
        <x:f>IF($A399="","",IFERROR('Game Records'!$M399,""))</x:f>
      </x:c>
    </x:row>
    <x:row r="400">
      <x:c r="A400" s="332" t="str">
        <x:f>IF(OR(COUNTA('Game Records'!$A400:$M400)=0,'Game Records'!$F400="Subscription"),"",IFERROR(MAX($A$4:A399),0)+1)</x:f>
      </x:c>
      <x:c r="B400" s="332" t="str">
        <x:f>IF($A400="","","G-"&amp;TEXT(ROW('Game Records'!$A400)-4,"0000"))</x:f>
      </x:c>
      <x:c r="C400" s="331" t="str">
        <x:f>IF($A400="","",IFERROR('Game Records'!$A400,""))</x:f>
      </x:c>
      <x:c r="D400" s="331" t="str">
        <x:f>IF($A400="","",IFERROR('Game Records'!$U400,""))</x:f>
      </x:c>
      <x:c r="E400" s="331" t="str">
        <x:f>IF($A400="","",IF($F400="","No Highlighted Fields","Highlighted Fields Present"))</x:f>
      </x:c>
      <x:c r="F400" s="331" t="str">
        <x:f>IF($A400="","",IF('Game Records'!$B400="","Start Date; ","")&amp;IF('Game Records'!$C400="","End Date; ","")&amp;IF(AND('Game Records'!$U400&lt;&gt;"Subscription",'Game Records'!$U400&lt;&gt;"Free Game",'Game Records'!$U400&lt;&gt;"Disqualified — Free Game",OR('Game Records'!$D400="",LOWER('Game Records'!$D400&amp;"")="n/a")),"Entry Mode; ","")&amp;IF(AND('Game Records'!$U400&lt;&gt;"Subscription",'Game Records'!$U400&lt;&gt;"Free Game",'Game Records'!$U400&lt;&gt;"Disqualified — Free Game",OR('Game Records'!$E400="",LOWER('Game Records'!$E400&amp;"")="n/a")),"Game Type; ","")&amp;IF('Game Records'!$F400="","Payment Type; ","")&amp;IF(AND('Game Records'!$U400&lt;&gt;"Subscription",'Game Records'!$U400&lt;&gt;"Free Game",'Game Records'!$U400&lt;&gt;"Disqualified — Free Game",'Game Records'!$G400=""),"Gross Pot; ","")&amp;IF(AND('Game Records'!$U400&lt;&gt;"Free Game",'Game Records'!$U400&lt;&gt;"Disqualified — Free Game",'Game Records'!$H400=""),"Entry Fee; ","")&amp;IF(AND('Game Records'!$U400&lt;&gt;"Subscription",'Game Records'!$U400&lt;&gt;"Free Game",'Game Records'!$U400&lt;&gt;"Disqualified — Free Game",'Game Records'!$I400=""),"Eligible Players; ","")&amp;IF(AND('Game Records'!$U400&lt;&gt;"Subscription",'Game Records'!$U400&lt;&gt;"Free Game",'Game Records'!$U400&lt;&gt;"Disqualified — Free Game",'Game Records'!$J400=""),"Total Players; ","")&amp;IF(AND(LOWER('Game Records'!$D400&amp;"")="finalized",LOWER('Game Records'!$L400&amp;"")&lt;&gt;"yes",'Game Records'!$U400&lt;&gt;"Subscription",'Game Records'!$U400&lt;&gt;"Free Game",'Game Records'!$U400&lt;&gt;"Disqualified — Free Game",'Game Records'!$K400=""),"Final Earned; ","")&amp;IF(AND(LOWER('Game Records'!$D400&amp;"")="finalized",'Game Records'!$U400&lt;&gt;"Subscription",'Game Records'!$U400&lt;&gt;"Free Game",'Game Records'!$U400&lt;&gt;"Disqualified — Free Game",OR('Game Records'!$L400="",LOWER('Game Records'!$L400&amp;"")="n/a")),"Disqualified Status; ",""))</x:f>
      </x:c>
      <x:c r="G400" s="331" t="str">
        <x:f>IF($A400="","",IFERROR('Game Records'!$M400,""))</x:f>
      </x:c>
    </x:row>
    <x:row r="401">
      <x:c r="A401" s="332" t="str">
        <x:f>IF(OR(COUNTA('Game Records'!$A401:$M401)=0,'Game Records'!$F401="Subscription"),"",IFERROR(MAX($A$4:A400),0)+1)</x:f>
      </x:c>
      <x:c r="B401" s="332" t="str">
        <x:f>IF($A401="","","G-"&amp;TEXT(ROW('Game Records'!$A401)-4,"0000"))</x:f>
      </x:c>
      <x:c r="C401" s="331" t="str">
        <x:f>IF($A401="","",IFERROR('Game Records'!$A401,""))</x:f>
      </x:c>
      <x:c r="D401" s="331" t="str">
        <x:f>IF($A401="","",IFERROR('Game Records'!$U401,""))</x:f>
      </x:c>
      <x:c r="E401" s="331" t="str">
        <x:f>IF($A401="","",IF($F401="","No Highlighted Fields","Highlighted Fields Present"))</x:f>
      </x:c>
      <x:c r="F401" s="331" t="str">
        <x:f>IF($A401="","",IF('Game Records'!$B401="","Start Date; ","")&amp;IF('Game Records'!$C401="","End Date; ","")&amp;IF(AND('Game Records'!$U401&lt;&gt;"Subscription",'Game Records'!$U401&lt;&gt;"Free Game",'Game Records'!$U401&lt;&gt;"Disqualified — Free Game",OR('Game Records'!$D401="",LOWER('Game Records'!$D401&amp;"")="n/a")),"Entry Mode; ","")&amp;IF(AND('Game Records'!$U401&lt;&gt;"Subscription",'Game Records'!$U401&lt;&gt;"Free Game",'Game Records'!$U401&lt;&gt;"Disqualified — Free Game",OR('Game Records'!$E401="",LOWER('Game Records'!$E401&amp;"")="n/a")),"Game Type; ","")&amp;IF('Game Records'!$F401="","Payment Type; ","")&amp;IF(AND('Game Records'!$U401&lt;&gt;"Subscription",'Game Records'!$U401&lt;&gt;"Free Game",'Game Records'!$U401&lt;&gt;"Disqualified — Free Game",'Game Records'!$G401=""),"Gross Pot; ","")&amp;IF(AND('Game Records'!$U401&lt;&gt;"Free Game",'Game Records'!$U401&lt;&gt;"Disqualified — Free Game",'Game Records'!$H401=""),"Entry Fee; ","")&amp;IF(AND('Game Records'!$U401&lt;&gt;"Subscription",'Game Records'!$U401&lt;&gt;"Free Game",'Game Records'!$U401&lt;&gt;"Disqualified — Free Game",'Game Records'!$I401=""),"Eligible Players; ","")&amp;IF(AND('Game Records'!$U401&lt;&gt;"Subscription",'Game Records'!$U401&lt;&gt;"Free Game",'Game Records'!$U401&lt;&gt;"Disqualified — Free Game",'Game Records'!$J401=""),"Total Players; ","")&amp;IF(AND(LOWER('Game Records'!$D401&amp;"")="finalized",LOWER('Game Records'!$L401&amp;"")&lt;&gt;"yes",'Game Records'!$U401&lt;&gt;"Subscription",'Game Records'!$U401&lt;&gt;"Free Game",'Game Records'!$U401&lt;&gt;"Disqualified — Free Game",'Game Records'!$K401=""),"Final Earned; ","")&amp;IF(AND(LOWER('Game Records'!$D401&amp;"")="finalized",'Game Records'!$U401&lt;&gt;"Subscription",'Game Records'!$U401&lt;&gt;"Free Game",'Game Records'!$U401&lt;&gt;"Disqualified — Free Game",OR('Game Records'!$L401="",LOWER('Game Records'!$L401&amp;"")="n/a")),"Disqualified Status; ",""))</x:f>
      </x:c>
      <x:c r="G401" s="331" t="str">
        <x:f>IF($A401="","",IFERROR('Game Records'!$M401,""))</x:f>
      </x:c>
    </x:row>
    <x:row r="402">
      <x:c r="A402" s="332" t="str">
        <x:f>IF(OR(COUNTA('Game Records'!$A402:$M402)=0,'Game Records'!$F402="Subscription"),"",IFERROR(MAX($A$4:A401),0)+1)</x:f>
      </x:c>
      <x:c r="B402" s="332" t="str">
        <x:f>IF($A402="","","G-"&amp;TEXT(ROW('Game Records'!$A402)-4,"0000"))</x:f>
      </x:c>
      <x:c r="C402" s="331" t="str">
        <x:f>IF($A402="","",IFERROR('Game Records'!$A402,""))</x:f>
      </x:c>
      <x:c r="D402" s="331" t="str">
        <x:f>IF($A402="","",IFERROR('Game Records'!$U402,""))</x:f>
      </x:c>
      <x:c r="E402" s="331" t="str">
        <x:f>IF($A402="","",IF($F402="","No Highlighted Fields","Highlighted Fields Present"))</x:f>
      </x:c>
      <x:c r="F402" s="331" t="str">
        <x:f>IF($A402="","",IF('Game Records'!$B402="","Start Date; ","")&amp;IF('Game Records'!$C402="","End Date; ","")&amp;IF(AND('Game Records'!$U402&lt;&gt;"Subscription",'Game Records'!$U402&lt;&gt;"Free Game",'Game Records'!$U402&lt;&gt;"Disqualified — Free Game",OR('Game Records'!$D402="",LOWER('Game Records'!$D402&amp;"")="n/a")),"Entry Mode; ","")&amp;IF(AND('Game Records'!$U402&lt;&gt;"Subscription",'Game Records'!$U402&lt;&gt;"Free Game",'Game Records'!$U402&lt;&gt;"Disqualified — Free Game",OR('Game Records'!$E402="",LOWER('Game Records'!$E402&amp;"")="n/a")),"Game Type; ","")&amp;IF('Game Records'!$F402="","Payment Type; ","")&amp;IF(AND('Game Records'!$U402&lt;&gt;"Subscription",'Game Records'!$U402&lt;&gt;"Free Game",'Game Records'!$U402&lt;&gt;"Disqualified — Free Game",'Game Records'!$G402=""),"Gross Pot; ","")&amp;IF(AND('Game Records'!$U402&lt;&gt;"Free Game",'Game Records'!$U402&lt;&gt;"Disqualified — Free Game",'Game Records'!$H402=""),"Entry Fee; ","")&amp;IF(AND('Game Records'!$U402&lt;&gt;"Subscription",'Game Records'!$U402&lt;&gt;"Free Game",'Game Records'!$U402&lt;&gt;"Disqualified — Free Game",'Game Records'!$I402=""),"Eligible Players; ","")&amp;IF(AND('Game Records'!$U402&lt;&gt;"Subscription",'Game Records'!$U402&lt;&gt;"Free Game",'Game Records'!$U402&lt;&gt;"Disqualified — Free Game",'Game Records'!$J402=""),"Total Players; ","")&amp;IF(AND(LOWER('Game Records'!$D402&amp;"")="finalized",LOWER('Game Records'!$L402&amp;"")&lt;&gt;"yes",'Game Records'!$U402&lt;&gt;"Subscription",'Game Records'!$U402&lt;&gt;"Free Game",'Game Records'!$U402&lt;&gt;"Disqualified — Free Game",'Game Records'!$K402=""),"Final Earned; ","")&amp;IF(AND(LOWER('Game Records'!$D402&amp;"")="finalized",'Game Records'!$U402&lt;&gt;"Subscription",'Game Records'!$U402&lt;&gt;"Free Game",'Game Records'!$U402&lt;&gt;"Disqualified — Free Game",OR('Game Records'!$L402="",LOWER('Game Records'!$L402&amp;"")="n/a")),"Disqualified Status; ",""))</x:f>
      </x:c>
      <x:c r="G402" s="331" t="str">
        <x:f>IF($A402="","",IFERROR('Game Records'!$M402,""))</x:f>
      </x:c>
    </x:row>
    <x:row r="403">
      <x:c r="A403" s="332" t="str">
        <x:f>IF(OR(COUNTA('Game Records'!$A403:$M403)=0,'Game Records'!$F403="Subscription"),"",IFERROR(MAX($A$4:A402),0)+1)</x:f>
      </x:c>
      <x:c r="B403" s="332" t="str">
        <x:f>IF($A403="","","G-"&amp;TEXT(ROW('Game Records'!$A403)-4,"0000"))</x:f>
      </x:c>
      <x:c r="C403" s="331" t="str">
        <x:f>IF($A403="","",IFERROR('Game Records'!$A403,""))</x:f>
      </x:c>
      <x:c r="D403" s="331" t="str">
        <x:f>IF($A403="","",IFERROR('Game Records'!$U403,""))</x:f>
      </x:c>
      <x:c r="E403" s="331" t="str">
        <x:f>IF($A403="","",IF($F403="","No Highlighted Fields","Highlighted Fields Present"))</x:f>
      </x:c>
      <x:c r="F403" s="331" t="str">
        <x:f>IF($A403="","",IF('Game Records'!$B403="","Start Date; ","")&amp;IF('Game Records'!$C403="","End Date; ","")&amp;IF(AND('Game Records'!$U403&lt;&gt;"Subscription",'Game Records'!$U403&lt;&gt;"Free Game",'Game Records'!$U403&lt;&gt;"Disqualified — Free Game",OR('Game Records'!$D403="",LOWER('Game Records'!$D403&amp;"")="n/a")),"Entry Mode; ","")&amp;IF(AND('Game Records'!$U403&lt;&gt;"Subscription",'Game Records'!$U403&lt;&gt;"Free Game",'Game Records'!$U403&lt;&gt;"Disqualified — Free Game",OR('Game Records'!$E403="",LOWER('Game Records'!$E403&amp;"")="n/a")),"Game Type; ","")&amp;IF('Game Records'!$F403="","Payment Type; ","")&amp;IF(AND('Game Records'!$U403&lt;&gt;"Subscription",'Game Records'!$U403&lt;&gt;"Free Game",'Game Records'!$U403&lt;&gt;"Disqualified — Free Game",'Game Records'!$G403=""),"Gross Pot; ","")&amp;IF(AND('Game Records'!$U403&lt;&gt;"Free Game",'Game Records'!$U403&lt;&gt;"Disqualified — Free Game",'Game Records'!$H403=""),"Entry Fee; ","")&amp;IF(AND('Game Records'!$U403&lt;&gt;"Subscription",'Game Records'!$U403&lt;&gt;"Free Game",'Game Records'!$U403&lt;&gt;"Disqualified — Free Game",'Game Records'!$I403=""),"Eligible Players; ","")&amp;IF(AND('Game Records'!$U403&lt;&gt;"Subscription",'Game Records'!$U403&lt;&gt;"Free Game",'Game Records'!$U403&lt;&gt;"Disqualified — Free Game",'Game Records'!$J403=""),"Total Players; ","")&amp;IF(AND(LOWER('Game Records'!$D403&amp;"")="finalized",LOWER('Game Records'!$L403&amp;"")&lt;&gt;"yes",'Game Records'!$U403&lt;&gt;"Subscription",'Game Records'!$U403&lt;&gt;"Free Game",'Game Records'!$U403&lt;&gt;"Disqualified — Free Game",'Game Records'!$K403=""),"Final Earned; ","")&amp;IF(AND(LOWER('Game Records'!$D403&amp;"")="finalized",'Game Records'!$U403&lt;&gt;"Subscription",'Game Records'!$U403&lt;&gt;"Free Game",'Game Records'!$U403&lt;&gt;"Disqualified — Free Game",OR('Game Records'!$L403="",LOWER('Game Records'!$L403&amp;"")="n/a")),"Disqualified Status; ",""))</x:f>
      </x:c>
      <x:c r="G403" s="331" t="str">
        <x:f>IF($A403="","",IFERROR('Game Records'!$M403,""))</x:f>
      </x:c>
    </x:row>
    <x:row r="404">
      <x:c r="A404" s="332" t="str">
        <x:f>IF(OR(COUNTA('Game Records'!$A404:$M404)=0,'Game Records'!$F404="Subscription"),"",IFERROR(MAX($A$4:A403),0)+1)</x:f>
      </x:c>
      <x:c r="B404" s="332" t="str">
        <x:f>IF($A404="","","G-"&amp;TEXT(ROW('Game Records'!$A404)-4,"0000"))</x:f>
      </x:c>
      <x:c r="C404" s="331" t="str">
        <x:f>IF($A404="","",IFERROR('Game Records'!$A404,""))</x:f>
      </x:c>
      <x:c r="D404" s="331" t="str">
        <x:f>IF($A404="","",IFERROR('Game Records'!$U404,""))</x:f>
      </x:c>
      <x:c r="E404" s="331" t="str">
        <x:f>IF($A404="","",IF($F404="","No Highlighted Fields","Highlighted Fields Present"))</x:f>
      </x:c>
      <x:c r="F404" s="331" t="str">
        <x:f>IF($A404="","",IF('Game Records'!$B404="","Start Date; ","")&amp;IF('Game Records'!$C404="","End Date; ","")&amp;IF(AND('Game Records'!$U404&lt;&gt;"Subscription",'Game Records'!$U404&lt;&gt;"Free Game",'Game Records'!$U404&lt;&gt;"Disqualified — Free Game",OR('Game Records'!$D404="",LOWER('Game Records'!$D404&amp;"")="n/a")),"Entry Mode; ","")&amp;IF(AND('Game Records'!$U404&lt;&gt;"Subscription",'Game Records'!$U404&lt;&gt;"Free Game",'Game Records'!$U404&lt;&gt;"Disqualified — Free Game",OR('Game Records'!$E404="",LOWER('Game Records'!$E404&amp;"")="n/a")),"Game Type; ","")&amp;IF('Game Records'!$F404="","Payment Type; ","")&amp;IF(AND('Game Records'!$U404&lt;&gt;"Subscription",'Game Records'!$U404&lt;&gt;"Free Game",'Game Records'!$U404&lt;&gt;"Disqualified — Free Game",'Game Records'!$G404=""),"Gross Pot; ","")&amp;IF(AND('Game Records'!$U404&lt;&gt;"Free Game",'Game Records'!$U404&lt;&gt;"Disqualified — Free Game",'Game Records'!$H404=""),"Entry Fee; ","")&amp;IF(AND('Game Records'!$U404&lt;&gt;"Subscription",'Game Records'!$U404&lt;&gt;"Free Game",'Game Records'!$U404&lt;&gt;"Disqualified — Free Game",'Game Records'!$I404=""),"Eligible Players; ","")&amp;IF(AND('Game Records'!$U404&lt;&gt;"Subscription",'Game Records'!$U404&lt;&gt;"Free Game",'Game Records'!$U404&lt;&gt;"Disqualified — Free Game",'Game Records'!$J404=""),"Total Players; ","")&amp;IF(AND(LOWER('Game Records'!$D404&amp;"")="finalized",LOWER('Game Records'!$L404&amp;"")&lt;&gt;"yes",'Game Records'!$U404&lt;&gt;"Subscription",'Game Records'!$U404&lt;&gt;"Free Game",'Game Records'!$U404&lt;&gt;"Disqualified — Free Game",'Game Records'!$K404=""),"Final Earned; ","")&amp;IF(AND(LOWER('Game Records'!$D404&amp;"")="finalized",'Game Records'!$U404&lt;&gt;"Subscription",'Game Records'!$U404&lt;&gt;"Free Game",'Game Records'!$U404&lt;&gt;"Disqualified — Free Game",OR('Game Records'!$L404="",LOWER('Game Records'!$L404&amp;"")="n/a")),"Disqualified Status; ",""))</x:f>
      </x:c>
      <x:c r="G404" s="331" t="str">
        <x:f>IF($A404="","",IFERROR('Game Records'!$M404,""))</x:f>
      </x:c>
    </x:row>
    <x:row r="405">
      <x:c r="A405" s="332" t="str">
        <x:f>IF(OR(COUNTA('Game Records'!$A405:$M405)=0,'Game Records'!$F405="Subscription"),"",IFERROR(MAX($A$4:A404),0)+1)</x:f>
      </x:c>
      <x:c r="B405" s="332" t="str">
        <x:f>IF($A405="","","G-"&amp;TEXT(ROW('Game Records'!$A405)-4,"0000"))</x:f>
      </x:c>
      <x:c r="C405" s="331" t="str">
        <x:f>IF($A405="","",IFERROR('Game Records'!$A405,""))</x:f>
      </x:c>
      <x:c r="D405" s="331" t="str">
        <x:f>IF($A405="","",IFERROR('Game Records'!$U405,""))</x:f>
      </x:c>
      <x:c r="E405" s="331" t="str">
        <x:f>IF($A405="","",IF($F405="","No Highlighted Fields","Highlighted Fields Present"))</x:f>
      </x:c>
      <x:c r="F405" s="331" t="str">
        <x:f>IF($A405="","",IF('Game Records'!$B405="","Start Date; ","")&amp;IF('Game Records'!$C405="","End Date; ","")&amp;IF(AND('Game Records'!$U405&lt;&gt;"Subscription",'Game Records'!$U405&lt;&gt;"Free Game",'Game Records'!$U405&lt;&gt;"Disqualified — Free Game",OR('Game Records'!$D405="",LOWER('Game Records'!$D405&amp;"")="n/a")),"Entry Mode; ","")&amp;IF(AND('Game Records'!$U405&lt;&gt;"Subscription",'Game Records'!$U405&lt;&gt;"Free Game",'Game Records'!$U405&lt;&gt;"Disqualified — Free Game",OR('Game Records'!$E405="",LOWER('Game Records'!$E405&amp;"")="n/a")),"Game Type; ","")&amp;IF('Game Records'!$F405="","Payment Type; ","")&amp;IF(AND('Game Records'!$U405&lt;&gt;"Subscription",'Game Records'!$U405&lt;&gt;"Free Game",'Game Records'!$U405&lt;&gt;"Disqualified — Free Game",'Game Records'!$G405=""),"Gross Pot; ","")&amp;IF(AND('Game Records'!$U405&lt;&gt;"Free Game",'Game Records'!$U405&lt;&gt;"Disqualified — Free Game",'Game Records'!$H405=""),"Entry Fee; ","")&amp;IF(AND('Game Records'!$U405&lt;&gt;"Subscription",'Game Records'!$U405&lt;&gt;"Free Game",'Game Records'!$U405&lt;&gt;"Disqualified — Free Game",'Game Records'!$I405=""),"Eligible Players; ","")&amp;IF(AND('Game Records'!$U405&lt;&gt;"Subscription",'Game Records'!$U405&lt;&gt;"Free Game",'Game Records'!$U405&lt;&gt;"Disqualified — Free Game",'Game Records'!$J405=""),"Total Players; ","")&amp;IF(AND(LOWER('Game Records'!$D405&amp;"")="finalized",LOWER('Game Records'!$L405&amp;"")&lt;&gt;"yes",'Game Records'!$U405&lt;&gt;"Subscription",'Game Records'!$U405&lt;&gt;"Free Game",'Game Records'!$U405&lt;&gt;"Disqualified — Free Game",'Game Records'!$K405=""),"Final Earned; ","")&amp;IF(AND(LOWER('Game Records'!$D405&amp;"")="finalized",'Game Records'!$U405&lt;&gt;"Subscription",'Game Records'!$U405&lt;&gt;"Free Game",'Game Records'!$U405&lt;&gt;"Disqualified — Free Game",OR('Game Records'!$L405="",LOWER('Game Records'!$L405&amp;"")="n/a")),"Disqualified Status; ",""))</x:f>
      </x:c>
      <x:c r="G405" s="331" t="str">
        <x:f>IF($A405="","",IFERROR('Game Records'!$M405,""))</x:f>
      </x:c>
    </x:row>
    <x:row r="406">
      <x:c r="A406" s="332" t="str">
        <x:f>IF(OR(COUNTA('Game Records'!$A406:$M406)=0,'Game Records'!$F406="Subscription"),"",IFERROR(MAX($A$4:A405),0)+1)</x:f>
      </x:c>
      <x:c r="B406" s="332" t="str">
        <x:f>IF($A406="","","G-"&amp;TEXT(ROW('Game Records'!$A406)-4,"0000"))</x:f>
      </x:c>
      <x:c r="C406" s="331" t="str">
        <x:f>IF($A406="","",IFERROR('Game Records'!$A406,""))</x:f>
      </x:c>
      <x:c r="D406" s="331" t="str">
        <x:f>IF($A406="","",IFERROR('Game Records'!$U406,""))</x:f>
      </x:c>
      <x:c r="E406" s="331" t="str">
        <x:f>IF($A406="","",IF($F406="","No Highlighted Fields","Highlighted Fields Present"))</x:f>
      </x:c>
      <x:c r="F406" s="331" t="str">
        <x:f>IF($A406="","",IF('Game Records'!$B406="","Start Date; ","")&amp;IF('Game Records'!$C406="","End Date; ","")&amp;IF(AND('Game Records'!$U406&lt;&gt;"Subscription",'Game Records'!$U406&lt;&gt;"Free Game",'Game Records'!$U406&lt;&gt;"Disqualified — Free Game",OR('Game Records'!$D406="",LOWER('Game Records'!$D406&amp;"")="n/a")),"Entry Mode; ","")&amp;IF(AND('Game Records'!$U406&lt;&gt;"Subscription",'Game Records'!$U406&lt;&gt;"Free Game",'Game Records'!$U406&lt;&gt;"Disqualified — Free Game",OR('Game Records'!$E406="",LOWER('Game Records'!$E406&amp;"")="n/a")),"Game Type; ","")&amp;IF('Game Records'!$F406="","Payment Type; ","")&amp;IF(AND('Game Records'!$U406&lt;&gt;"Subscription",'Game Records'!$U406&lt;&gt;"Free Game",'Game Records'!$U406&lt;&gt;"Disqualified — Free Game",'Game Records'!$G406=""),"Gross Pot; ","")&amp;IF(AND('Game Records'!$U406&lt;&gt;"Free Game",'Game Records'!$U406&lt;&gt;"Disqualified — Free Game",'Game Records'!$H406=""),"Entry Fee; ","")&amp;IF(AND('Game Records'!$U406&lt;&gt;"Subscription",'Game Records'!$U406&lt;&gt;"Free Game",'Game Records'!$U406&lt;&gt;"Disqualified — Free Game",'Game Records'!$I406=""),"Eligible Players; ","")&amp;IF(AND('Game Records'!$U406&lt;&gt;"Subscription",'Game Records'!$U406&lt;&gt;"Free Game",'Game Records'!$U406&lt;&gt;"Disqualified — Free Game",'Game Records'!$J406=""),"Total Players; ","")&amp;IF(AND(LOWER('Game Records'!$D406&amp;"")="finalized",LOWER('Game Records'!$L406&amp;"")&lt;&gt;"yes",'Game Records'!$U406&lt;&gt;"Subscription",'Game Records'!$U406&lt;&gt;"Free Game",'Game Records'!$U406&lt;&gt;"Disqualified — Free Game",'Game Records'!$K406=""),"Final Earned; ","")&amp;IF(AND(LOWER('Game Records'!$D406&amp;"")="finalized",'Game Records'!$U406&lt;&gt;"Subscription",'Game Records'!$U406&lt;&gt;"Free Game",'Game Records'!$U406&lt;&gt;"Disqualified — Free Game",OR('Game Records'!$L406="",LOWER('Game Records'!$L406&amp;"")="n/a")),"Disqualified Status; ",""))</x:f>
      </x:c>
      <x:c r="G406" s="331" t="str">
        <x:f>IF($A406="","",IFERROR('Game Records'!$M406,""))</x:f>
      </x:c>
    </x:row>
    <x:row r="407">
      <x:c r="A407" s="332" t="str">
        <x:f>IF(OR(COUNTA('Game Records'!$A407:$M407)=0,'Game Records'!$F407="Subscription"),"",IFERROR(MAX($A$4:A406),0)+1)</x:f>
      </x:c>
      <x:c r="B407" s="332" t="str">
        <x:f>IF($A407="","","G-"&amp;TEXT(ROW('Game Records'!$A407)-4,"0000"))</x:f>
      </x:c>
      <x:c r="C407" s="331" t="str">
        <x:f>IF($A407="","",IFERROR('Game Records'!$A407,""))</x:f>
      </x:c>
      <x:c r="D407" s="331" t="str">
        <x:f>IF($A407="","",IFERROR('Game Records'!$U407,""))</x:f>
      </x:c>
      <x:c r="E407" s="331" t="str">
        <x:f>IF($A407="","",IF($F407="","No Highlighted Fields","Highlighted Fields Present"))</x:f>
      </x:c>
      <x:c r="F407" s="331" t="str">
        <x:f>IF($A407="","",IF('Game Records'!$B407="","Start Date; ","")&amp;IF('Game Records'!$C407="","End Date; ","")&amp;IF(AND('Game Records'!$U407&lt;&gt;"Subscription",'Game Records'!$U407&lt;&gt;"Free Game",'Game Records'!$U407&lt;&gt;"Disqualified — Free Game",OR('Game Records'!$D407="",LOWER('Game Records'!$D407&amp;"")="n/a")),"Entry Mode; ","")&amp;IF(AND('Game Records'!$U407&lt;&gt;"Subscription",'Game Records'!$U407&lt;&gt;"Free Game",'Game Records'!$U407&lt;&gt;"Disqualified — Free Game",OR('Game Records'!$E407="",LOWER('Game Records'!$E407&amp;"")="n/a")),"Game Type; ","")&amp;IF('Game Records'!$F407="","Payment Type; ","")&amp;IF(AND('Game Records'!$U407&lt;&gt;"Subscription",'Game Records'!$U407&lt;&gt;"Free Game",'Game Records'!$U407&lt;&gt;"Disqualified — Free Game",'Game Records'!$G407=""),"Gross Pot; ","")&amp;IF(AND('Game Records'!$U407&lt;&gt;"Free Game",'Game Records'!$U407&lt;&gt;"Disqualified — Free Game",'Game Records'!$H407=""),"Entry Fee; ","")&amp;IF(AND('Game Records'!$U407&lt;&gt;"Subscription",'Game Records'!$U407&lt;&gt;"Free Game",'Game Records'!$U407&lt;&gt;"Disqualified — Free Game",'Game Records'!$I407=""),"Eligible Players; ","")&amp;IF(AND('Game Records'!$U407&lt;&gt;"Subscription",'Game Records'!$U407&lt;&gt;"Free Game",'Game Records'!$U407&lt;&gt;"Disqualified — Free Game",'Game Records'!$J407=""),"Total Players; ","")&amp;IF(AND(LOWER('Game Records'!$D407&amp;"")="finalized",LOWER('Game Records'!$L407&amp;"")&lt;&gt;"yes",'Game Records'!$U407&lt;&gt;"Subscription",'Game Records'!$U407&lt;&gt;"Free Game",'Game Records'!$U407&lt;&gt;"Disqualified — Free Game",'Game Records'!$K407=""),"Final Earned; ","")&amp;IF(AND(LOWER('Game Records'!$D407&amp;"")="finalized",'Game Records'!$U407&lt;&gt;"Subscription",'Game Records'!$U407&lt;&gt;"Free Game",'Game Records'!$U407&lt;&gt;"Disqualified — Free Game",OR('Game Records'!$L407="",LOWER('Game Records'!$L407&amp;"")="n/a")),"Disqualified Status; ",""))</x:f>
      </x:c>
      <x:c r="G407" s="331" t="str">
        <x:f>IF($A407="","",IFERROR('Game Records'!$M407,""))</x:f>
      </x:c>
    </x:row>
    <x:row r="408">
      <x:c r="A408" s="332" t="str">
        <x:f>IF(OR(COUNTA('Game Records'!$A408:$M408)=0,'Game Records'!$F408="Subscription"),"",IFERROR(MAX($A$4:A407),0)+1)</x:f>
      </x:c>
      <x:c r="B408" s="332" t="str">
        <x:f>IF($A408="","","G-"&amp;TEXT(ROW('Game Records'!$A408)-4,"0000"))</x:f>
      </x:c>
      <x:c r="C408" s="331" t="str">
        <x:f>IF($A408="","",IFERROR('Game Records'!$A408,""))</x:f>
      </x:c>
      <x:c r="D408" s="331" t="str">
        <x:f>IF($A408="","",IFERROR('Game Records'!$U408,""))</x:f>
      </x:c>
      <x:c r="E408" s="331" t="str">
        <x:f>IF($A408="","",IF($F408="","No Highlighted Fields","Highlighted Fields Present"))</x:f>
      </x:c>
      <x:c r="F408" s="331" t="str">
        <x:f>IF($A408="","",IF('Game Records'!$B408="","Start Date; ","")&amp;IF('Game Records'!$C408="","End Date; ","")&amp;IF(AND('Game Records'!$U408&lt;&gt;"Subscription",'Game Records'!$U408&lt;&gt;"Free Game",'Game Records'!$U408&lt;&gt;"Disqualified — Free Game",OR('Game Records'!$D408="",LOWER('Game Records'!$D408&amp;"")="n/a")),"Entry Mode; ","")&amp;IF(AND('Game Records'!$U408&lt;&gt;"Subscription",'Game Records'!$U408&lt;&gt;"Free Game",'Game Records'!$U408&lt;&gt;"Disqualified — Free Game",OR('Game Records'!$E408="",LOWER('Game Records'!$E408&amp;"")="n/a")),"Game Type; ","")&amp;IF('Game Records'!$F408="","Payment Type; ","")&amp;IF(AND('Game Records'!$U408&lt;&gt;"Subscription",'Game Records'!$U408&lt;&gt;"Free Game",'Game Records'!$U408&lt;&gt;"Disqualified — Free Game",'Game Records'!$G408=""),"Gross Pot; ","")&amp;IF(AND('Game Records'!$U408&lt;&gt;"Free Game",'Game Records'!$U408&lt;&gt;"Disqualified — Free Game",'Game Records'!$H408=""),"Entry Fee; ","")&amp;IF(AND('Game Records'!$U408&lt;&gt;"Subscription",'Game Records'!$U408&lt;&gt;"Free Game",'Game Records'!$U408&lt;&gt;"Disqualified — Free Game",'Game Records'!$I408=""),"Eligible Players; ","")&amp;IF(AND('Game Records'!$U408&lt;&gt;"Subscription",'Game Records'!$U408&lt;&gt;"Free Game",'Game Records'!$U408&lt;&gt;"Disqualified — Free Game",'Game Records'!$J408=""),"Total Players; ","")&amp;IF(AND(LOWER('Game Records'!$D408&amp;"")="finalized",LOWER('Game Records'!$L408&amp;"")&lt;&gt;"yes",'Game Records'!$U408&lt;&gt;"Subscription",'Game Records'!$U408&lt;&gt;"Free Game",'Game Records'!$U408&lt;&gt;"Disqualified — Free Game",'Game Records'!$K408=""),"Final Earned; ","")&amp;IF(AND(LOWER('Game Records'!$D408&amp;"")="finalized",'Game Records'!$U408&lt;&gt;"Subscription",'Game Records'!$U408&lt;&gt;"Free Game",'Game Records'!$U408&lt;&gt;"Disqualified — Free Game",OR('Game Records'!$L408="",LOWER('Game Records'!$L408&amp;"")="n/a")),"Disqualified Status; ",""))</x:f>
      </x:c>
      <x:c r="G408" s="331" t="str">
        <x:f>IF($A408="","",IFERROR('Game Records'!$M408,""))</x:f>
      </x:c>
    </x:row>
    <x:row r="409">
      <x:c r="A409" s="332" t="str">
        <x:f>IF(OR(COUNTA('Game Records'!$A409:$M409)=0,'Game Records'!$F409="Subscription"),"",IFERROR(MAX($A$4:A408),0)+1)</x:f>
      </x:c>
      <x:c r="B409" s="332" t="str">
        <x:f>IF($A409="","","G-"&amp;TEXT(ROW('Game Records'!$A409)-4,"0000"))</x:f>
      </x:c>
      <x:c r="C409" s="331" t="str">
        <x:f>IF($A409="","",IFERROR('Game Records'!$A409,""))</x:f>
      </x:c>
      <x:c r="D409" s="331" t="str">
        <x:f>IF($A409="","",IFERROR('Game Records'!$U409,""))</x:f>
      </x:c>
      <x:c r="E409" s="331" t="str">
        <x:f>IF($A409="","",IF($F409="","No Highlighted Fields","Highlighted Fields Present"))</x:f>
      </x:c>
      <x:c r="F409" s="331" t="str">
        <x:f>IF($A409="","",IF('Game Records'!$B409="","Start Date; ","")&amp;IF('Game Records'!$C409="","End Date; ","")&amp;IF(AND('Game Records'!$U409&lt;&gt;"Subscription",'Game Records'!$U409&lt;&gt;"Free Game",'Game Records'!$U409&lt;&gt;"Disqualified — Free Game",OR('Game Records'!$D409="",LOWER('Game Records'!$D409&amp;"")="n/a")),"Entry Mode; ","")&amp;IF(AND('Game Records'!$U409&lt;&gt;"Subscription",'Game Records'!$U409&lt;&gt;"Free Game",'Game Records'!$U409&lt;&gt;"Disqualified — Free Game",OR('Game Records'!$E409="",LOWER('Game Records'!$E409&amp;"")="n/a")),"Game Type; ","")&amp;IF('Game Records'!$F409="","Payment Type; ","")&amp;IF(AND('Game Records'!$U409&lt;&gt;"Subscription",'Game Records'!$U409&lt;&gt;"Free Game",'Game Records'!$U409&lt;&gt;"Disqualified — Free Game",'Game Records'!$G409=""),"Gross Pot; ","")&amp;IF(AND('Game Records'!$U409&lt;&gt;"Free Game",'Game Records'!$U409&lt;&gt;"Disqualified — Free Game",'Game Records'!$H409=""),"Entry Fee; ","")&amp;IF(AND('Game Records'!$U409&lt;&gt;"Subscription",'Game Records'!$U409&lt;&gt;"Free Game",'Game Records'!$U409&lt;&gt;"Disqualified — Free Game",'Game Records'!$I409=""),"Eligible Players; ","")&amp;IF(AND('Game Records'!$U409&lt;&gt;"Subscription",'Game Records'!$U409&lt;&gt;"Free Game",'Game Records'!$U409&lt;&gt;"Disqualified — Free Game",'Game Records'!$J409=""),"Total Players; ","")&amp;IF(AND(LOWER('Game Records'!$D409&amp;"")="finalized",LOWER('Game Records'!$L409&amp;"")&lt;&gt;"yes",'Game Records'!$U409&lt;&gt;"Subscription",'Game Records'!$U409&lt;&gt;"Free Game",'Game Records'!$U409&lt;&gt;"Disqualified — Free Game",'Game Records'!$K409=""),"Final Earned; ","")&amp;IF(AND(LOWER('Game Records'!$D409&amp;"")="finalized",'Game Records'!$U409&lt;&gt;"Subscription",'Game Records'!$U409&lt;&gt;"Free Game",'Game Records'!$U409&lt;&gt;"Disqualified — Free Game",OR('Game Records'!$L409="",LOWER('Game Records'!$L409&amp;"")="n/a")),"Disqualified Status; ",""))</x:f>
      </x:c>
      <x:c r="G409" s="331" t="str">
        <x:f>IF($A409="","",IFERROR('Game Records'!$M409,""))</x:f>
      </x:c>
    </x:row>
    <x:row r="410">
      <x:c r="A410" s="332" t="str">
        <x:f>IF(OR(COUNTA('Game Records'!$A410:$M410)=0,'Game Records'!$F410="Subscription"),"",IFERROR(MAX($A$4:A409),0)+1)</x:f>
      </x:c>
      <x:c r="B410" s="332" t="str">
        <x:f>IF($A410="","","G-"&amp;TEXT(ROW('Game Records'!$A410)-4,"0000"))</x:f>
      </x:c>
      <x:c r="C410" s="331" t="str">
        <x:f>IF($A410="","",IFERROR('Game Records'!$A410,""))</x:f>
      </x:c>
      <x:c r="D410" s="331" t="str">
        <x:f>IF($A410="","",IFERROR('Game Records'!$U410,""))</x:f>
      </x:c>
      <x:c r="E410" s="331" t="str">
        <x:f>IF($A410="","",IF($F410="","No Highlighted Fields","Highlighted Fields Present"))</x:f>
      </x:c>
      <x:c r="F410" s="331" t="str">
        <x:f>IF($A410="","",IF('Game Records'!$B410="","Start Date; ","")&amp;IF('Game Records'!$C410="","End Date; ","")&amp;IF(AND('Game Records'!$U410&lt;&gt;"Subscription",'Game Records'!$U410&lt;&gt;"Free Game",'Game Records'!$U410&lt;&gt;"Disqualified — Free Game",OR('Game Records'!$D410="",LOWER('Game Records'!$D410&amp;"")="n/a")),"Entry Mode; ","")&amp;IF(AND('Game Records'!$U410&lt;&gt;"Subscription",'Game Records'!$U410&lt;&gt;"Free Game",'Game Records'!$U410&lt;&gt;"Disqualified — Free Game",OR('Game Records'!$E410="",LOWER('Game Records'!$E410&amp;"")="n/a")),"Game Type; ","")&amp;IF('Game Records'!$F410="","Payment Type; ","")&amp;IF(AND('Game Records'!$U410&lt;&gt;"Subscription",'Game Records'!$U410&lt;&gt;"Free Game",'Game Records'!$U410&lt;&gt;"Disqualified — Free Game",'Game Records'!$G410=""),"Gross Pot; ","")&amp;IF(AND('Game Records'!$U410&lt;&gt;"Free Game",'Game Records'!$U410&lt;&gt;"Disqualified — Free Game",'Game Records'!$H410=""),"Entry Fee; ","")&amp;IF(AND('Game Records'!$U410&lt;&gt;"Subscription",'Game Records'!$U410&lt;&gt;"Free Game",'Game Records'!$U410&lt;&gt;"Disqualified — Free Game",'Game Records'!$I410=""),"Eligible Players; ","")&amp;IF(AND('Game Records'!$U410&lt;&gt;"Subscription",'Game Records'!$U410&lt;&gt;"Free Game",'Game Records'!$U410&lt;&gt;"Disqualified — Free Game",'Game Records'!$J410=""),"Total Players; ","")&amp;IF(AND(LOWER('Game Records'!$D410&amp;"")="finalized",LOWER('Game Records'!$L410&amp;"")&lt;&gt;"yes",'Game Records'!$U410&lt;&gt;"Subscription",'Game Records'!$U410&lt;&gt;"Free Game",'Game Records'!$U410&lt;&gt;"Disqualified — Free Game",'Game Records'!$K410=""),"Final Earned; ","")&amp;IF(AND(LOWER('Game Records'!$D410&amp;"")="finalized",'Game Records'!$U410&lt;&gt;"Subscription",'Game Records'!$U410&lt;&gt;"Free Game",'Game Records'!$U410&lt;&gt;"Disqualified — Free Game",OR('Game Records'!$L410="",LOWER('Game Records'!$L410&amp;"")="n/a")),"Disqualified Status; ",""))</x:f>
      </x:c>
      <x:c r="G410" s="331" t="str">
        <x:f>IF($A410="","",IFERROR('Game Records'!$M410,""))</x:f>
      </x:c>
    </x:row>
    <x:row r="411">
      <x:c r="A411" s="332" t="str">
        <x:f>IF(OR(COUNTA('Game Records'!$A411:$M411)=0,'Game Records'!$F411="Subscription"),"",IFERROR(MAX($A$4:A410),0)+1)</x:f>
      </x:c>
      <x:c r="B411" s="332" t="str">
        <x:f>IF($A411="","","G-"&amp;TEXT(ROW('Game Records'!$A411)-4,"0000"))</x:f>
      </x:c>
      <x:c r="C411" s="331" t="str">
        <x:f>IF($A411="","",IFERROR('Game Records'!$A411,""))</x:f>
      </x:c>
      <x:c r="D411" s="331" t="str">
        <x:f>IF($A411="","",IFERROR('Game Records'!$U411,""))</x:f>
      </x:c>
      <x:c r="E411" s="331" t="str">
        <x:f>IF($A411="","",IF($F411="","No Highlighted Fields","Highlighted Fields Present"))</x:f>
      </x:c>
      <x:c r="F411" s="331" t="str">
        <x:f>IF($A411="","",IF('Game Records'!$B411="","Start Date; ","")&amp;IF('Game Records'!$C411="","End Date; ","")&amp;IF(AND('Game Records'!$U411&lt;&gt;"Subscription",'Game Records'!$U411&lt;&gt;"Free Game",'Game Records'!$U411&lt;&gt;"Disqualified — Free Game",OR('Game Records'!$D411="",LOWER('Game Records'!$D411&amp;"")="n/a")),"Entry Mode; ","")&amp;IF(AND('Game Records'!$U411&lt;&gt;"Subscription",'Game Records'!$U411&lt;&gt;"Free Game",'Game Records'!$U411&lt;&gt;"Disqualified — Free Game",OR('Game Records'!$E411="",LOWER('Game Records'!$E411&amp;"")="n/a")),"Game Type; ","")&amp;IF('Game Records'!$F411="","Payment Type; ","")&amp;IF(AND('Game Records'!$U411&lt;&gt;"Subscription",'Game Records'!$U411&lt;&gt;"Free Game",'Game Records'!$U411&lt;&gt;"Disqualified — Free Game",'Game Records'!$G411=""),"Gross Pot; ","")&amp;IF(AND('Game Records'!$U411&lt;&gt;"Free Game",'Game Records'!$U411&lt;&gt;"Disqualified — Free Game",'Game Records'!$H411=""),"Entry Fee; ","")&amp;IF(AND('Game Records'!$U411&lt;&gt;"Subscription",'Game Records'!$U411&lt;&gt;"Free Game",'Game Records'!$U411&lt;&gt;"Disqualified — Free Game",'Game Records'!$I411=""),"Eligible Players; ","")&amp;IF(AND('Game Records'!$U411&lt;&gt;"Subscription",'Game Records'!$U411&lt;&gt;"Free Game",'Game Records'!$U411&lt;&gt;"Disqualified — Free Game",'Game Records'!$J411=""),"Total Players; ","")&amp;IF(AND(LOWER('Game Records'!$D411&amp;"")="finalized",LOWER('Game Records'!$L411&amp;"")&lt;&gt;"yes",'Game Records'!$U411&lt;&gt;"Subscription",'Game Records'!$U411&lt;&gt;"Free Game",'Game Records'!$U411&lt;&gt;"Disqualified — Free Game",'Game Records'!$K411=""),"Final Earned; ","")&amp;IF(AND(LOWER('Game Records'!$D411&amp;"")="finalized",'Game Records'!$U411&lt;&gt;"Subscription",'Game Records'!$U411&lt;&gt;"Free Game",'Game Records'!$U411&lt;&gt;"Disqualified — Free Game",OR('Game Records'!$L411="",LOWER('Game Records'!$L411&amp;"")="n/a")),"Disqualified Status; ",""))</x:f>
      </x:c>
      <x:c r="G411" s="331" t="str">
        <x:f>IF($A411="","",IFERROR('Game Records'!$M411,""))</x:f>
      </x:c>
    </x:row>
    <x:row r="412">
      <x:c r="A412" s="332" t="str">
        <x:f>IF(OR(COUNTA('Game Records'!$A412:$M412)=0,'Game Records'!$F412="Subscription"),"",IFERROR(MAX($A$4:A411),0)+1)</x:f>
      </x:c>
      <x:c r="B412" s="332" t="str">
        <x:f>IF($A412="","","G-"&amp;TEXT(ROW('Game Records'!$A412)-4,"0000"))</x:f>
      </x:c>
      <x:c r="C412" s="331" t="str">
        <x:f>IF($A412="","",IFERROR('Game Records'!$A412,""))</x:f>
      </x:c>
      <x:c r="D412" s="331" t="str">
        <x:f>IF($A412="","",IFERROR('Game Records'!$U412,""))</x:f>
      </x:c>
      <x:c r="E412" s="331" t="str">
        <x:f>IF($A412="","",IF($F412="","No Highlighted Fields","Highlighted Fields Present"))</x:f>
      </x:c>
      <x:c r="F412" s="331" t="str">
        <x:f>IF($A412="","",IF('Game Records'!$B412="","Start Date; ","")&amp;IF('Game Records'!$C412="","End Date; ","")&amp;IF(AND('Game Records'!$U412&lt;&gt;"Subscription",'Game Records'!$U412&lt;&gt;"Free Game",'Game Records'!$U412&lt;&gt;"Disqualified — Free Game",OR('Game Records'!$D412="",LOWER('Game Records'!$D412&amp;"")="n/a")),"Entry Mode; ","")&amp;IF(AND('Game Records'!$U412&lt;&gt;"Subscription",'Game Records'!$U412&lt;&gt;"Free Game",'Game Records'!$U412&lt;&gt;"Disqualified — Free Game",OR('Game Records'!$E412="",LOWER('Game Records'!$E412&amp;"")="n/a")),"Game Type; ","")&amp;IF('Game Records'!$F412="","Payment Type; ","")&amp;IF(AND('Game Records'!$U412&lt;&gt;"Subscription",'Game Records'!$U412&lt;&gt;"Free Game",'Game Records'!$U412&lt;&gt;"Disqualified — Free Game",'Game Records'!$G412=""),"Gross Pot; ","")&amp;IF(AND('Game Records'!$U412&lt;&gt;"Free Game",'Game Records'!$U412&lt;&gt;"Disqualified — Free Game",'Game Records'!$H412=""),"Entry Fee; ","")&amp;IF(AND('Game Records'!$U412&lt;&gt;"Subscription",'Game Records'!$U412&lt;&gt;"Free Game",'Game Records'!$U412&lt;&gt;"Disqualified — Free Game",'Game Records'!$I412=""),"Eligible Players; ","")&amp;IF(AND('Game Records'!$U412&lt;&gt;"Subscription",'Game Records'!$U412&lt;&gt;"Free Game",'Game Records'!$U412&lt;&gt;"Disqualified — Free Game",'Game Records'!$J412=""),"Total Players; ","")&amp;IF(AND(LOWER('Game Records'!$D412&amp;"")="finalized",LOWER('Game Records'!$L412&amp;"")&lt;&gt;"yes",'Game Records'!$U412&lt;&gt;"Subscription",'Game Records'!$U412&lt;&gt;"Free Game",'Game Records'!$U412&lt;&gt;"Disqualified — Free Game",'Game Records'!$K412=""),"Final Earned; ","")&amp;IF(AND(LOWER('Game Records'!$D412&amp;"")="finalized",'Game Records'!$U412&lt;&gt;"Subscription",'Game Records'!$U412&lt;&gt;"Free Game",'Game Records'!$U412&lt;&gt;"Disqualified — Free Game",OR('Game Records'!$L412="",LOWER('Game Records'!$L412&amp;"")="n/a")),"Disqualified Status; ",""))</x:f>
      </x:c>
      <x:c r="G412" s="331" t="str">
        <x:f>IF($A412="","",IFERROR('Game Records'!$M412,""))</x:f>
      </x:c>
    </x:row>
    <x:row r="413">
      <x:c r="A413" s="332" t="str">
        <x:f>IF(OR(COUNTA('Game Records'!$A413:$M413)=0,'Game Records'!$F413="Subscription"),"",IFERROR(MAX($A$4:A412),0)+1)</x:f>
      </x:c>
      <x:c r="B413" s="332" t="str">
        <x:f>IF($A413="","","G-"&amp;TEXT(ROW('Game Records'!$A413)-4,"0000"))</x:f>
      </x:c>
      <x:c r="C413" s="331" t="str">
        <x:f>IF($A413="","",IFERROR('Game Records'!$A413,""))</x:f>
      </x:c>
      <x:c r="D413" s="331" t="str">
        <x:f>IF($A413="","",IFERROR('Game Records'!$U413,""))</x:f>
      </x:c>
      <x:c r="E413" s="331" t="str">
        <x:f>IF($A413="","",IF($F413="","No Highlighted Fields","Highlighted Fields Present"))</x:f>
      </x:c>
      <x:c r="F413" s="331" t="str">
        <x:f>IF($A413="","",IF('Game Records'!$B413="","Start Date; ","")&amp;IF('Game Records'!$C413="","End Date; ","")&amp;IF(AND('Game Records'!$U413&lt;&gt;"Subscription",'Game Records'!$U413&lt;&gt;"Free Game",'Game Records'!$U413&lt;&gt;"Disqualified — Free Game",OR('Game Records'!$D413="",LOWER('Game Records'!$D413&amp;"")="n/a")),"Entry Mode; ","")&amp;IF(AND('Game Records'!$U413&lt;&gt;"Subscription",'Game Records'!$U413&lt;&gt;"Free Game",'Game Records'!$U413&lt;&gt;"Disqualified — Free Game",OR('Game Records'!$E413="",LOWER('Game Records'!$E413&amp;"")="n/a")),"Game Type; ","")&amp;IF('Game Records'!$F413="","Payment Type; ","")&amp;IF(AND('Game Records'!$U413&lt;&gt;"Subscription",'Game Records'!$U413&lt;&gt;"Free Game",'Game Records'!$U413&lt;&gt;"Disqualified — Free Game",'Game Records'!$G413=""),"Gross Pot; ","")&amp;IF(AND('Game Records'!$U413&lt;&gt;"Free Game",'Game Records'!$U413&lt;&gt;"Disqualified — Free Game",'Game Records'!$H413=""),"Entry Fee; ","")&amp;IF(AND('Game Records'!$U413&lt;&gt;"Subscription",'Game Records'!$U413&lt;&gt;"Free Game",'Game Records'!$U413&lt;&gt;"Disqualified — Free Game",'Game Records'!$I413=""),"Eligible Players; ","")&amp;IF(AND('Game Records'!$U413&lt;&gt;"Subscription",'Game Records'!$U413&lt;&gt;"Free Game",'Game Records'!$U413&lt;&gt;"Disqualified — Free Game",'Game Records'!$J413=""),"Total Players; ","")&amp;IF(AND(LOWER('Game Records'!$D413&amp;"")="finalized",LOWER('Game Records'!$L413&amp;"")&lt;&gt;"yes",'Game Records'!$U413&lt;&gt;"Subscription",'Game Records'!$U413&lt;&gt;"Free Game",'Game Records'!$U413&lt;&gt;"Disqualified — Free Game",'Game Records'!$K413=""),"Final Earned; ","")&amp;IF(AND(LOWER('Game Records'!$D413&amp;"")="finalized",'Game Records'!$U413&lt;&gt;"Subscription",'Game Records'!$U413&lt;&gt;"Free Game",'Game Records'!$U413&lt;&gt;"Disqualified — Free Game",OR('Game Records'!$L413="",LOWER('Game Records'!$L413&amp;"")="n/a")),"Disqualified Status; ",""))</x:f>
      </x:c>
      <x:c r="G413" s="331" t="str">
        <x:f>IF($A413="","",IFERROR('Game Records'!$M413,""))</x:f>
      </x:c>
    </x:row>
    <x:row r="414">
      <x:c r="A414" s="332" t="str">
        <x:f>IF(OR(COUNTA('Game Records'!$A414:$M414)=0,'Game Records'!$F414="Subscription"),"",IFERROR(MAX($A$4:A413),0)+1)</x:f>
      </x:c>
      <x:c r="B414" s="332" t="str">
        <x:f>IF($A414="","","G-"&amp;TEXT(ROW('Game Records'!$A414)-4,"0000"))</x:f>
      </x:c>
      <x:c r="C414" s="331" t="str">
        <x:f>IF($A414="","",IFERROR('Game Records'!$A414,""))</x:f>
      </x:c>
      <x:c r="D414" s="331" t="str">
        <x:f>IF($A414="","",IFERROR('Game Records'!$U414,""))</x:f>
      </x:c>
      <x:c r="E414" s="331" t="str">
        <x:f>IF($A414="","",IF($F414="","No Highlighted Fields","Highlighted Fields Present"))</x:f>
      </x:c>
      <x:c r="F414" s="331" t="str">
        <x:f>IF($A414="","",IF('Game Records'!$B414="","Start Date; ","")&amp;IF('Game Records'!$C414="","End Date; ","")&amp;IF(AND('Game Records'!$U414&lt;&gt;"Subscription",'Game Records'!$U414&lt;&gt;"Free Game",'Game Records'!$U414&lt;&gt;"Disqualified — Free Game",OR('Game Records'!$D414="",LOWER('Game Records'!$D414&amp;"")="n/a")),"Entry Mode; ","")&amp;IF(AND('Game Records'!$U414&lt;&gt;"Subscription",'Game Records'!$U414&lt;&gt;"Free Game",'Game Records'!$U414&lt;&gt;"Disqualified — Free Game",OR('Game Records'!$E414="",LOWER('Game Records'!$E414&amp;"")="n/a")),"Game Type; ","")&amp;IF('Game Records'!$F414="","Payment Type; ","")&amp;IF(AND('Game Records'!$U414&lt;&gt;"Subscription",'Game Records'!$U414&lt;&gt;"Free Game",'Game Records'!$U414&lt;&gt;"Disqualified — Free Game",'Game Records'!$G414=""),"Gross Pot; ","")&amp;IF(AND('Game Records'!$U414&lt;&gt;"Free Game",'Game Records'!$U414&lt;&gt;"Disqualified — Free Game",'Game Records'!$H414=""),"Entry Fee; ","")&amp;IF(AND('Game Records'!$U414&lt;&gt;"Subscription",'Game Records'!$U414&lt;&gt;"Free Game",'Game Records'!$U414&lt;&gt;"Disqualified — Free Game",'Game Records'!$I414=""),"Eligible Players; ","")&amp;IF(AND('Game Records'!$U414&lt;&gt;"Subscription",'Game Records'!$U414&lt;&gt;"Free Game",'Game Records'!$U414&lt;&gt;"Disqualified — Free Game",'Game Records'!$J414=""),"Total Players; ","")&amp;IF(AND(LOWER('Game Records'!$D414&amp;"")="finalized",LOWER('Game Records'!$L414&amp;"")&lt;&gt;"yes",'Game Records'!$U414&lt;&gt;"Subscription",'Game Records'!$U414&lt;&gt;"Free Game",'Game Records'!$U414&lt;&gt;"Disqualified — Free Game",'Game Records'!$K414=""),"Final Earned; ","")&amp;IF(AND(LOWER('Game Records'!$D414&amp;"")="finalized",'Game Records'!$U414&lt;&gt;"Subscription",'Game Records'!$U414&lt;&gt;"Free Game",'Game Records'!$U414&lt;&gt;"Disqualified — Free Game",OR('Game Records'!$L414="",LOWER('Game Records'!$L414&amp;"")="n/a")),"Disqualified Status; ",""))</x:f>
      </x:c>
      <x:c r="G414" s="331" t="str">
        <x:f>IF($A414="","",IFERROR('Game Records'!$M414,""))</x:f>
      </x:c>
    </x:row>
    <x:row r="415">
      <x:c r="A415" s="332" t="str">
        <x:f>IF(OR(COUNTA('Game Records'!$A415:$M415)=0,'Game Records'!$F415="Subscription"),"",IFERROR(MAX($A$4:A414),0)+1)</x:f>
      </x:c>
      <x:c r="B415" s="332" t="str">
        <x:f>IF($A415="","","G-"&amp;TEXT(ROW('Game Records'!$A415)-4,"0000"))</x:f>
      </x:c>
      <x:c r="C415" s="331" t="str">
        <x:f>IF($A415="","",IFERROR('Game Records'!$A415,""))</x:f>
      </x:c>
      <x:c r="D415" s="331" t="str">
        <x:f>IF($A415="","",IFERROR('Game Records'!$U415,""))</x:f>
      </x:c>
      <x:c r="E415" s="331" t="str">
        <x:f>IF($A415="","",IF($F415="","No Highlighted Fields","Highlighted Fields Present"))</x:f>
      </x:c>
      <x:c r="F415" s="331" t="str">
        <x:f>IF($A415="","",IF('Game Records'!$B415="","Start Date; ","")&amp;IF('Game Records'!$C415="","End Date; ","")&amp;IF(AND('Game Records'!$U415&lt;&gt;"Subscription",'Game Records'!$U415&lt;&gt;"Free Game",'Game Records'!$U415&lt;&gt;"Disqualified — Free Game",OR('Game Records'!$D415="",LOWER('Game Records'!$D415&amp;"")="n/a")),"Entry Mode; ","")&amp;IF(AND('Game Records'!$U415&lt;&gt;"Subscription",'Game Records'!$U415&lt;&gt;"Free Game",'Game Records'!$U415&lt;&gt;"Disqualified — Free Game",OR('Game Records'!$E415="",LOWER('Game Records'!$E415&amp;"")="n/a")),"Game Type; ","")&amp;IF('Game Records'!$F415="","Payment Type; ","")&amp;IF(AND('Game Records'!$U415&lt;&gt;"Subscription",'Game Records'!$U415&lt;&gt;"Free Game",'Game Records'!$U415&lt;&gt;"Disqualified — Free Game",'Game Records'!$G415=""),"Gross Pot; ","")&amp;IF(AND('Game Records'!$U415&lt;&gt;"Free Game",'Game Records'!$U415&lt;&gt;"Disqualified — Free Game",'Game Records'!$H415=""),"Entry Fee; ","")&amp;IF(AND('Game Records'!$U415&lt;&gt;"Subscription",'Game Records'!$U415&lt;&gt;"Free Game",'Game Records'!$U415&lt;&gt;"Disqualified — Free Game",'Game Records'!$I415=""),"Eligible Players; ","")&amp;IF(AND('Game Records'!$U415&lt;&gt;"Subscription",'Game Records'!$U415&lt;&gt;"Free Game",'Game Records'!$U415&lt;&gt;"Disqualified — Free Game",'Game Records'!$J415=""),"Total Players; ","")&amp;IF(AND(LOWER('Game Records'!$D415&amp;"")="finalized",LOWER('Game Records'!$L415&amp;"")&lt;&gt;"yes",'Game Records'!$U415&lt;&gt;"Subscription",'Game Records'!$U415&lt;&gt;"Free Game",'Game Records'!$U415&lt;&gt;"Disqualified — Free Game",'Game Records'!$K415=""),"Final Earned; ","")&amp;IF(AND(LOWER('Game Records'!$D415&amp;"")="finalized",'Game Records'!$U415&lt;&gt;"Subscription",'Game Records'!$U415&lt;&gt;"Free Game",'Game Records'!$U415&lt;&gt;"Disqualified — Free Game",OR('Game Records'!$L415="",LOWER('Game Records'!$L415&amp;"")="n/a")),"Disqualified Status; ",""))</x:f>
      </x:c>
      <x:c r="G415" s="331" t="str">
        <x:f>IF($A415="","",IFERROR('Game Records'!$M415,""))</x:f>
      </x:c>
    </x:row>
    <x:row r="416">
      <x:c r="A416" s="332" t="str">
        <x:f>IF(OR(COUNTA('Game Records'!$A416:$M416)=0,'Game Records'!$F416="Subscription"),"",IFERROR(MAX($A$4:A415),0)+1)</x:f>
      </x:c>
      <x:c r="B416" s="332" t="str">
        <x:f>IF($A416="","","G-"&amp;TEXT(ROW('Game Records'!$A416)-4,"0000"))</x:f>
      </x:c>
      <x:c r="C416" s="331" t="str">
        <x:f>IF($A416="","",IFERROR('Game Records'!$A416,""))</x:f>
      </x:c>
      <x:c r="D416" s="331" t="str">
        <x:f>IF($A416="","",IFERROR('Game Records'!$U416,""))</x:f>
      </x:c>
      <x:c r="E416" s="331" t="str">
        <x:f>IF($A416="","",IF($F416="","No Highlighted Fields","Highlighted Fields Present"))</x:f>
      </x:c>
      <x:c r="F416" s="331" t="str">
        <x:f>IF($A416="","",IF('Game Records'!$B416="","Start Date; ","")&amp;IF('Game Records'!$C416="","End Date; ","")&amp;IF(AND('Game Records'!$U416&lt;&gt;"Subscription",'Game Records'!$U416&lt;&gt;"Free Game",'Game Records'!$U416&lt;&gt;"Disqualified — Free Game",OR('Game Records'!$D416="",LOWER('Game Records'!$D416&amp;"")="n/a")),"Entry Mode; ","")&amp;IF(AND('Game Records'!$U416&lt;&gt;"Subscription",'Game Records'!$U416&lt;&gt;"Free Game",'Game Records'!$U416&lt;&gt;"Disqualified — Free Game",OR('Game Records'!$E416="",LOWER('Game Records'!$E416&amp;"")="n/a")),"Game Type; ","")&amp;IF('Game Records'!$F416="","Payment Type; ","")&amp;IF(AND('Game Records'!$U416&lt;&gt;"Subscription",'Game Records'!$U416&lt;&gt;"Free Game",'Game Records'!$U416&lt;&gt;"Disqualified — Free Game",'Game Records'!$G416=""),"Gross Pot; ","")&amp;IF(AND('Game Records'!$U416&lt;&gt;"Free Game",'Game Records'!$U416&lt;&gt;"Disqualified — Free Game",'Game Records'!$H416=""),"Entry Fee; ","")&amp;IF(AND('Game Records'!$U416&lt;&gt;"Subscription",'Game Records'!$U416&lt;&gt;"Free Game",'Game Records'!$U416&lt;&gt;"Disqualified — Free Game",'Game Records'!$I416=""),"Eligible Players; ","")&amp;IF(AND('Game Records'!$U416&lt;&gt;"Subscription",'Game Records'!$U416&lt;&gt;"Free Game",'Game Records'!$U416&lt;&gt;"Disqualified — Free Game",'Game Records'!$J416=""),"Total Players; ","")&amp;IF(AND(LOWER('Game Records'!$D416&amp;"")="finalized",LOWER('Game Records'!$L416&amp;"")&lt;&gt;"yes",'Game Records'!$U416&lt;&gt;"Subscription",'Game Records'!$U416&lt;&gt;"Free Game",'Game Records'!$U416&lt;&gt;"Disqualified — Free Game",'Game Records'!$K416=""),"Final Earned; ","")&amp;IF(AND(LOWER('Game Records'!$D416&amp;"")="finalized",'Game Records'!$U416&lt;&gt;"Subscription",'Game Records'!$U416&lt;&gt;"Free Game",'Game Records'!$U416&lt;&gt;"Disqualified — Free Game",OR('Game Records'!$L416="",LOWER('Game Records'!$L416&amp;"")="n/a")),"Disqualified Status; ",""))</x:f>
      </x:c>
      <x:c r="G416" s="331" t="str">
        <x:f>IF($A416="","",IFERROR('Game Records'!$M416,""))</x:f>
      </x:c>
    </x:row>
    <x:row r="417">
      <x:c r="A417" s="332" t="str">
        <x:f>IF(OR(COUNTA('Game Records'!$A417:$M417)=0,'Game Records'!$F417="Subscription"),"",IFERROR(MAX($A$4:A416),0)+1)</x:f>
      </x:c>
      <x:c r="B417" s="332" t="str">
        <x:f>IF($A417="","","G-"&amp;TEXT(ROW('Game Records'!$A417)-4,"0000"))</x:f>
      </x:c>
      <x:c r="C417" s="331" t="str">
        <x:f>IF($A417="","",IFERROR('Game Records'!$A417,""))</x:f>
      </x:c>
      <x:c r="D417" s="331" t="str">
        <x:f>IF($A417="","",IFERROR('Game Records'!$U417,""))</x:f>
      </x:c>
      <x:c r="E417" s="331" t="str">
        <x:f>IF($A417="","",IF($F417="","No Highlighted Fields","Highlighted Fields Present"))</x:f>
      </x:c>
      <x:c r="F417" s="331" t="str">
        <x:f>IF($A417="","",IF('Game Records'!$B417="","Start Date; ","")&amp;IF('Game Records'!$C417="","End Date; ","")&amp;IF(AND('Game Records'!$U417&lt;&gt;"Subscription",'Game Records'!$U417&lt;&gt;"Free Game",'Game Records'!$U417&lt;&gt;"Disqualified — Free Game",OR('Game Records'!$D417="",LOWER('Game Records'!$D417&amp;"")="n/a")),"Entry Mode; ","")&amp;IF(AND('Game Records'!$U417&lt;&gt;"Subscription",'Game Records'!$U417&lt;&gt;"Free Game",'Game Records'!$U417&lt;&gt;"Disqualified — Free Game",OR('Game Records'!$E417="",LOWER('Game Records'!$E417&amp;"")="n/a")),"Game Type; ","")&amp;IF('Game Records'!$F417="","Payment Type; ","")&amp;IF(AND('Game Records'!$U417&lt;&gt;"Subscription",'Game Records'!$U417&lt;&gt;"Free Game",'Game Records'!$U417&lt;&gt;"Disqualified — Free Game",'Game Records'!$G417=""),"Gross Pot; ","")&amp;IF(AND('Game Records'!$U417&lt;&gt;"Free Game",'Game Records'!$U417&lt;&gt;"Disqualified — Free Game",'Game Records'!$H417=""),"Entry Fee; ","")&amp;IF(AND('Game Records'!$U417&lt;&gt;"Subscription",'Game Records'!$U417&lt;&gt;"Free Game",'Game Records'!$U417&lt;&gt;"Disqualified — Free Game",'Game Records'!$I417=""),"Eligible Players; ","")&amp;IF(AND('Game Records'!$U417&lt;&gt;"Subscription",'Game Records'!$U417&lt;&gt;"Free Game",'Game Records'!$U417&lt;&gt;"Disqualified — Free Game",'Game Records'!$J417=""),"Total Players; ","")&amp;IF(AND(LOWER('Game Records'!$D417&amp;"")="finalized",LOWER('Game Records'!$L417&amp;"")&lt;&gt;"yes",'Game Records'!$U417&lt;&gt;"Subscription",'Game Records'!$U417&lt;&gt;"Free Game",'Game Records'!$U417&lt;&gt;"Disqualified — Free Game",'Game Records'!$K417=""),"Final Earned; ","")&amp;IF(AND(LOWER('Game Records'!$D417&amp;"")="finalized",'Game Records'!$U417&lt;&gt;"Subscription",'Game Records'!$U417&lt;&gt;"Free Game",'Game Records'!$U417&lt;&gt;"Disqualified — Free Game",OR('Game Records'!$L417="",LOWER('Game Records'!$L417&amp;"")="n/a")),"Disqualified Status; ",""))</x:f>
      </x:c>
      <x:c r="G417" s="331" t="str">
        <x:f>IF($A417="","",IFERROR('Game Records'!$M417,""))</x:f>
      </x:c>
    </x:row>
    <x:row r="418">
      <x:c r="A418" s="332" t="str">
        <x:f>IF(OR(COUNTA('Game Records'!$A418:$M418)=0,'Game Records'!$F418="Subscription"),"",IFERROR(MAX($A$4:A417),0)+1)</x:f>
      </x:c>
      <x:c r="B418" s="332" t="str">
        <x:f>IF($A418="","","G-"&amp;TEXT(ROW('Game Records'!$A418)-4,"0000"))</x:f>
      </x:c>
      <x:c r="C418" s="331" t="str">
        <x:f>IF($A418="","",IFERROR('Game Records'!$A418,""))</x:f>
      </x:c>
      <x:c r="D418" s="331" t="str">
        <x:f>IF($A418="","",IFERROR('Game Records'!$U418,""))</x:f>
      </x:c>
      <x:c r="E418" s="331" t="str">
        <x:f>IF($A418="","",IF($F418="","No Highlighted Fields","Highlighted Fields Present"))</x:f>
      </x:c>
      <x:c r="F418" s="331" t="str">
        <x:f>IF($A418="","",IF('Game Records'!$B418="","Start Date; ","")&amp;IF('Game Records'!$C418="","End Date; ","")&amp;IF(AND('Game Records'!$U418&lt;&gt;"Subscription",'Game Records'!$U418&lt;&gt;"Free Game",'Game Records'!$U418&lt;&gt;"Disqualified — Free Game",OR('Game Records'!$D418="",LOWER('Game Records'!$D418&amp;"")="n/a")),"Entry Mode; ","")&amp;IF(AND('Game Records'!$U418&lt;&gt;"Subscription",'Game Records'!$U418&lt;&gt;"Free Game",'Game Records'!$U418&lt;&gt;"Disqualified — Free Game",OR('Game Records'!$E418="",LOWER('Game Records'!$E418&amp;"")="n/a")),"Game Type; ","")&amp;IF('Game Records'!$F418="","Payment Type; ","")&amp;IF(AND('Game Records'!$U418&lt;&gt;"Subscription",'Game Records'!$U418&lt;&gt;"Free Game",'Game Records'!$U418&lt;&gt;"Disqualified — Free Game",'Game Records'!$G418=""),"Gross Pot; ","")&amp;IF(AND('Game Records'!$U418&lt;&gt;"Free Game",'Game Records'!$U418&lt;&gt;"Disqualified — Free Game",'Game Records'!$H418=""),"Entry Fee; ","")&amp;IF(AND('Game Records'!$U418&lt;&gt;"Subscription",'Game Records'!$U418&lt;&gt;"Free Game",'Game Records'!$U418&lt;&gt;"Disqualified — Free Game",'Game Records'!$I418=""),"Eligible Players; ","")&amp;IF(AND('Game Records'!$U418&lt;&gt;"Subscription",'Game Records'!$U418&lt;&gt;"Free Game",'Game Records'!$U418&lt;&gt;"Disqualified — Free Game",'Game Records'!$J418=""),"Total Players; ","")&amp;IF(AND(LOWER('Game Records'!$D418&amp;"")="finalized",LOWER('Game Records'!$L418&amp;"")&lt;&gt;"yes",'Game Records'!$U418&lt;&gt;"Subscription",'Game Records'!$U418&lt;&gt;"Free Game",'Game Records'!$U418&lt;&gt;"Disqualified — Free Game",'Game Records'!$K418=""),"Final Earned; ","")&amp;IF(AND(LOWER('Game Records'!$D418&amp;"")="finalized",'Game Records'!$U418&lt;&gt;"Subscription",'Game Records'!$U418&lt;&gt;"Free Game",'Game Records'!$U418&lt;&gt;"Disqualified — Free Game",OR('Game Records'!$L418="",LOWER('Game Records'!$L418&amp;"")="n/a")),"Disqualified Status; ",""))</x:f>
      </x:c>
      <x:c r="G418" s="331" t="str">
        <x:f>IF($A418="","",IFERROR('Game Records'!$M418,""))</x:f>
      </x:c>
    </x:row>
    <x:row r="419">
      <x:c r="A419" s="332" t="str">
        <x:f>IF(OR(COUNTA('Game Records'!$A419:$M419)=0,'Game Records'!$F419="Subscription"),"",IFERROR(MAX($A$4:A418),0)+1)</x:f>
      </x:c>
      <x:c r="B419" s="332" t="str">
        <x:f>IF($A419="","","G-"&amp;TEXT(ROW('Game Records'!$A419)-4,"0000"))</x:f>
      </x:c>
      <x:c r="C419" s="331" t="str">
        <x:f>IF($A419="","",IFERROR('Game Records'!$A419,""))</x:f>
      </x:c>
      <x:c r="D419" s="331" t="str">
        <x:f>IF($A419="","",IFERROR('Game Records'!$U419,""))</x:f>
      </x:c>
      <x:c r="E419" s="331" t="str">
        <x:f>IF($A419="","",IF($F419="","No Highlighted Fields","Highlighted Fields Present"))</x:f>
      </x:c>
      <x:c r="F419" s="331" t="str">
        <x:f>IF($A419="","",IF('Game Records'!$B419="","Start Date; ","")&amp;IF('Game Records'!$C419="","End Date; ","")&amp;IF(AND('Game Records'!$U419&lt;&gt;"Subscription",'Game Records'!$U419&lt;&gt;"Free Game",'Game Records'!$U419&lt;&gt;"Disqualified — Free Game",OR('Game Records'!$D419="",LOWER('Game Records'!$D419&amp;"")="n/a")),"Entry Mode; ","")&amp;IF(AND('Game Records'!$U419&lt;&gt;"Subscription",'Game Records'!$U419&lt;&gt;"Free Game",'Game Records'!$U419&lt;&gt;"Disqualified — Free Game",OR('Game Records'!$E419="",LOWER('Game Records'!$E419&amp;"")="n/a")),"Game Type; ","")&amp;IF('Game Records'!$F419="","Payment Type; ","")&amp;IF(AND('Game Records'!$U419&lt;&gt;"Subscription",'Game Records'!$U419&lt;&gt;"Free Game",'Game Records'!$U419&lt;&gt;"Disqualified — Free Game",'Game Records'!$G419=""),"Gross Pot; ","")&amp;IF(AND('Game Records'!$U419&lt;&gt;"Free Game",'Game Records'!$U419&lt;&gt;"Disqualified — Free Game",'Game Records'!$H419=""),"Entry Fee; ","")&amp;IF(AND('Game Records'!$U419&lt;&gt;"Subscription",'Game Records'!$U419&lt;&gt;"Free Game",'Game Records'!$U419&lt;&gt;"Disqualified — Free Game",'Game Records'!$I419=""),"Eligible Players; ","")&amp;IF(AND('Game Records'!$U419&lt;&gt;"Subscription",'Game Records'!$U419&lt;&gt;"Free Game",'Game Records'!$U419&lt;&gt;"Disqualified — Free Game",'Game Records'!$J419=""),"Total Players; ","")&amp;IF(AND(LOWER('Game Records'!$D419&amp;"")="finalized",LOWER('Game Records'!$L419&amp;"")&lt;&gt;"yes",'Game Records'!$U419&lt;&gt;"Subscription",'Game Records'!$U419&lt;&gt;"Free Game",'Game Records'!$U419&lt;&gt;"Disqualified — Free Game",'Game Records'!$K419=""),"Final Earned; ","")&amp;IF(AND(LOWER('Game Records'!$D419&amp;"")="finalized",'Game Records'!$U419&lt;&gt;"Subscription",'Game Records'!$U419&lt;&gt;"Free Game",'Game Records'!$U419&lt;&gt;"Disqualified — Free Game",OR('Game Records'!$L419="",LOWER('Game Records'!$L419&amp;"")="n/a")),"Disqualified Status; ",""))</x:f>
      </x:c>
      <x:c r="G419" s="331" t="str">
        <x:f>IF($A419="","",IFERROR('Game Records'!$M419,""))</x:f>
      </x:c>
    </x:row>
    <x:row r="420">
      <x:c r="A420" s="332" t="str">
        <x:f>IF(OR(COUNTA('Game Records'!$A420:$M420)=0,'Game Records'!$F420="Subscription"),"",IFERROR(MAX($A$4:A419),0)+1)</x:f>
      </x:c>
      <x:c r="B420" s="332" t="str">
        <x:f>IF($A420="","","G-"&amp;TEXT(ROW('Game Records'!$A420)-4,"0000"))</x:f>
      </x:c>
      <x:c r="C420" s="331" t="str">
        <x:f>IF($A420="","",IFERROR('Game Records'!$A420,""))</x:f>
      </x:c>
      <x:c r="D420" s="331" t="str">
        <x:f>IF($A420="","",IFERROR('Game Records'!$U420,""))</x:f>
      </x:c>
      <x:c r="E420" s="331" t="str">
        <x:f>IF($A420="","",IF($F420="","No Highlighted Fields","Highlighted Fields Present"))</x:f>
      </x:c>
      <x:c r="F420" s="331" t="str">
        <x:f>IF($A420="","",IF('Game Records'!$B420="","Start Date; ","")&amp;IF('Game Records'!$C420="","End Date; ","")&amp;IF(AND('Game Records'!$U420&lt;&gt;"Subscription",'Game Records'!$U420&lt;&gt;"Free Game",'Game Records'!$U420&lt;&gt;"Disqualified — Free Game",OR('Game Records'!$D420="",LOWER('Game Records'!$D420&amp;"")="n/a")),"Entry Mode; ","")&amp;IF(AND('Game Records'!$U420&lt;&gt;"Subscription",'Game Records'!$U420&lt;&gt;"Free Game",'Game Records'!$U420&lt;&gt;"Disqualified — Free Game",OR('Game Records'!$E420="",LOWER('Game Records'!$E420&amp;"")="n/a")),"Game Type; ","")&amp;IF('Game Records'!$F420="","Payment Type; ","")&amp;IF(AND('Game Records'!$U420&lt;&gt;"Subscription",'Game Records'!$U420&lt;&gt;"Free Game",'Game Records'!$U420&lt;&gt;"Disqualified — Free Game",'Game Records'!$G420=""),"Gross Pot; ","")&amp;IF(AND('Game Records'!$U420&lt;&gt;"Free Game",'Game Records'!$U420&lt;&gt;"Disqualified — Free Game",'Game Records'!$H420=""),"Entry Fee; ","")&amp;IF(AND('Game Records'!$U420&lt;&gt;"Subscription",'Game Records'!$U420&lt;&gt;"Free Game",'Game Records'!$U420&lt;&gt;"Disqualified — Free Game",'Game Records'!$I420=""),"Eligible Players; ","")&amp;IF(AND('Game Records'!$U420&lt;&gt;"Subscription",'Game Records'!$U420&lt;&gt;"Free Game",'Game Records'!$U420&lt;&gt;"Disqualified — Free Game",'Game Records'!$J420=""),"Total Players; ","")&amp;IF(AND(LOWER('Game Records'!$D420&amp;"")="finalized",LOWER('Game Records'!$L420&amp;"")&lt;&gt;"yes",'Game Records'!$U420&lt;&gt;"Subscription",'Game Records'!$U420&lt;&gt;"Free Game",'Game Records'!$U420&lt;&gt;"Disqualified — Free Game",'Game Records'!$K420=""),"Final Earned; ","")&amp;IF(AND(LOWER('Game Records'!$D420&amp;"")="finalized",'Game Records'!$U420&lt;&gt;"Subscription",'Game Records'!$U420&lt;&gt;"Free Game",'Game Records'!$U420&lt;&gt;"Disqualified — Free Game",OR('Game Records'!$L420="",LOWER('Game Records'!$L420&amp;"")="n/a")),"Disqualified Status; ",""))</x:f>
      </x:c>
      <x:c r="G420" s="331" t="str">
        <x:f>IF($A420="","",IFERROR('Game Records'!$M420,""))</x:f>
      </x:c>
    </x:row>
    <x:row r="421">
      <x:c r="A421" s="332" t="str">
        <x:f>IF(OR(COUNTA('Game Records'!$A421:$M421)=0,'Game Records'!$F421="Subscription"),"",IFERROR(MAX($A$4:A420),0)+1)</x:f>
      </x:c>
      <x:c r="B421" s="332" t="str">
        <x:f>IF($A421="","","G-"&amp;TEXT(ROW('Game Records'!$A421)-4,"0000"))</x:f>
      </x:c>
      <x:c r="C421" s="331" t="str">
        <x:f>IF($A421="","",IFERROR('Game Records'!$A421,""))</x:f>
      </x:c>
      <x:c r="D421" s="331" t="str">
        <x:f>IF($A421="","",IFERROR('Game Records'!$U421,""))</x:f>
      </x:c>
      <x:c r="E421" s="331" t="str">
        <x:f>IF($A421="","",IF($F421="","No Highlighted Fields","Highlighted Fields Present"))</x:f>
      </x:c>
      <x:c r="F421" s="331" t="str">
        <x:f>IF($A421="","",IF('Game Records'!$B421="","Start Date; ","")&amp;IF('Game Records'!$C421="","End Date; ","")&amp;IF(AND('Game Records'!$U421&lt;&gt;"Subscription",'Game Records'!$U421&lt;&gt;"Free Game",'Game Records'!$U421&lt;&gt;"Disqualified — Free Game",OR('Game Records'!$D421="",LOWER('Game Records'!$D421&amp;"")="n/a")),"Entry Mode; ","")&amp;IF(AND('Game Records'!$U421&lt;&gt;"Subscription",'Game Records'!$U421&lt;&gt;"Free Game",'Game Records'!$U421&lt;&gt;"Disqualified — Free Game",OR('Game Records'!$E421="",LOWER('Game Records'!$E421&amp;"")="n/a")),"Game Type; ","")&amp;IF('Game Records'!$F421="","Payment Type; ","")&amp;IF(AND('Game Records'!$U421&lt;&gt;"Subscription",'Game Records'!$U421&lt;&gt;"Free Game",'Game Records'!$U421&lt;&gt;"Disqualified — Free Game",'Game Records'!$G421=""),"Gross Pot; ","")&amp;IF(AND('Game Records'!$U421&lt;&gt;"Free Game",'Game Records'!$U421&lt;&gt;"Disqualified — Free Game",'Game Records'!$H421=""),"Entry Fee; ","")&amp;IF(AND('Game Records'!$U421&lt;&gt;"Subscription",'Game Records'!$U421&lt;&gt;"Free Game",'Game Records'!$U421&lt;&gt;"Disqualified — Free Game",'Game Records'!$I421=""),"Eligible Players; ","")&amp;IF(AND('Game Records'!$U421&lt;&gt;"Subscription",'Game Records'!$U421&lt;&gt;"Free Game",'Game Records'!$U421&lt;&gt;"Disqualified — Free Game",'Game Records'!$J421=""),"Total Players; ","")&amp;IF(AND(LOWER('Game Records'!$D421&amp;"")="finalized",LOWER('Game Records'!$L421&amp;"")&lt;&gt;"yes",'Game Records'!$U421&lt;&gt;"Subscription",'Game Records'!$U421&lt;&gt;"Free Game",'Game Records'!$U421&lt;&gt;"Disqualified — Free Game",'Game Records'!$K421=""),"Final Earned; ","")&amp;IF(AND(LOWER('Game Records'!$D421&amp;"")="finalized",'Game Records'!$U421&lt;&gt;"Subscription",'Game Records'!$U421&lt;&gt;"Free Game",'Game Records'!$U421&lt;&gt;"Disqualified — Free Game",OR('Game Records'!$L421="",LOWER('Game Records'!$L421&amp;"")="n/a")),"Disqualified Status; ",""))</x:f>
      </x:c>
      <x:c r="G421" s="331" t="str">
        <x:f>IF($A421="","",IFERROR('Game Records'!$M421,""))</x:f>
      </x:c>
    </x:row>
    <x:row r="422">
      <x:c r="A422" s="332" t="str">
        <x:f>IF(OR(COUNTA('Game Records'!$A422:$M422)=0,'Game Records'!$F422="Subscription"),"",IFERROR(MAX($A$4:A421),0)+1)</x:f>
      </x:c>
      <x:c r="B422" s="332" t="str">
        <x:f>IF($A422="","","G-"&amp;TEXT(ROW('Game Records'!$A422)-4,"0000"))</x:f>
      </x:c>
      <x:c r="C422" s="331" t="str">
        <x:f>IF($A422="","",IFERROR('Game Records'!$A422,""))</x:f>
      </x:c>
      <x:c r="D422" s="331" t="str">
        <x:f>IF($A422="","",IFERROR('Game Records'!$U422,""))</x:f>
      </x:c>
      <x:c r="E422" s="331" t="str">
        <x:f>IF($A422="","",IF($F422="","No Highlighted Fields","Highlighted Fields Present"))</x:f>
      </x:c>
      <x:c r="F422" s="331" t="str">
        <x:f>IF($A422="","",IF('Game Records'!$B422="","Start Date; ","")&amp;IF('Game Records'!$C422="","End Date; ","")&amp;IF(AND('Game Records'!$U422&lt;&gt;"Subscription",'Game Records'!$U422&lt;&gt;"Free Game",'Game Records'!$U422&lt;&gt;"Disqualified — Free Game",OR('Game Records'!$D422="",LOWER('Game Records'!$D422&amp;"")="n/a")),"Entry Mode; ","")&amp;IF(AND('Game Records'!$U422&lt;&gt;"Subscription",'Game Records'!$U422&lt;&gt;"Free Game",'Game Records'!$U422&lt;&gt;"Disqualified — Free Game",OR('Game Records'!$E422="",LOWER('Game Records'!$E422&amp;"")="n/a")),"Game Type; ","")&amp;IF('Game Records'!$F422="","Payment Type; ","")&amp;IF(AND('Game Records'!$U422&lt;&gt;"Subscription",'Game Records'!$U422&lt;&gt;"Free Game",'Game Records'!$U422&lt;&gt;"Disqualified — Free Game",'Game Records'!$G422=""),"Gross Pot; ","")&amp;IF(AND('Game Records'!$U422&lt;&gt;"Free Game",'Game Records'!$U422&lt;&gt;"Disqualified — Free Game",'Game Records'!$H422=""),"Entry Fee; ","")&amp;IF(AND('Game Records'!$U422&lt;&gt;"Subscription",'Game Records'!$U422&lt;&gt;"Free Game",'Game Records'!$U422&lt;&gt;"Disqualified — Free Game",'Game Records'!$I422=""),"Eligible Players; ","")&amp;IF(AND('Game Records'!$U422&lt;&gt;"Subscription",'Game Records'!$U422&lt;&gt;"Free Game",'Game Records'!$U422&lt;&gt;"Disqualified — Free Game",'Game Records'!$J422=""),"Total Players; ","")&amp;IF(AND(LOWER('Game Records'!$D422&amp;"")="finalized",LOWER('Game Records'!$L422&amp;"")&lt;&gt;"yes",'Game Records'!$U422&lt;&gt;"Subscription",'Game Records'!$U422&lt;&gt;"Free Game",'Game Records'!$U422&lt;&gt;"Disqualified — Free Game",'Game Records'!$K422=""),"Final Earned; ","")&amp;IF(AND(LOWER('Game Records'!$D422&amp;"")="finalized",'Game Records'!$U422&lt;&gt;"Subscription",'Game Records'!$U422&lt;&gt;"Free Game",'Game Records'!$U422&lt;&gt;"Disqualified — Free Game",OR('Game Records'!$L422="",LOWER('Game Records'!$L422&amp;"")="n/a")),"Disqualified Status; ",""))</x:f>
      </x:c>
      <x:c r="G422" s="331" t="str">
        <x:f>IF($A422="","",IFERROR('Game Records'!$M422,""))</x:f>
      </x:c>
    </x:row>
    <x:row r="423">
      <x:c r="A423" s="332" t="str">
        <x:f>IF(OR(COUNTA('Game Records'!$A423:$M423)=0,'Game Records'!$F423="Subscription"),"",IFERROR(MAX($A$4:A422),0)+1)</x:f>
      </x:c>
      <x:c r="B423" s="332" t="str">
        <x:f>IF($A423="","","G-"&amp;TEXT(ROW('Game Records'!$A423)-4,"0000"))</x:f>
      </x:c>
      <x:c r="C423" s="331" t="str">
        <x:f>IF($A423="","",IFERROR('Game Records'!$A423,""))</x:f>
      </x:c>
      <x:c r="D423" s="331" t="str">
        <x:f>IF($A423="","",IFERROR('Game Records'!$U423,""))</x:f>
      </x:c>
      <x:c r="E423" s="331" t="str">
        <x:f>IF($A423="","",IF($F423="","No Highlighted Fields","Highlighted Fields Present"))</x:f>
      </x:c>
      <x:c r="F423" s="331" t="str">
        <x:f>IF($A423="","",IF('Game Records'!$B423="","Start Date; ","")&amp;IF('Game Records'!$C423="","End Date; ","")&amp;IF(AND('Game Records'!$U423&lt;&gt;"Subscription",'Game Records'!$U423&lt;&gt;"Free Game",'Game Records'!$U423&lt;&gt;"Disqualified — Free Game",OR('Game Records'!$D423="",LOWER('Game Records'!$D423&amp;"")="n/a")),"Entry Mode; ","")&amp;IF(AND('Game Records'!$U423&lt;&gt;"Subscription",'Game Records'!$U423&lt;&gt;"Free Game",'Game Records'!$U423&lt;&gt;"Disqualified — Free Game",OR('Game Records'!$E423="",LOWER('Game Records'!$E423&amp;"")="n/a")),"Game Type; ","")&amp;IF('Game Records'!$F423="","Payment Type; ","")&amp;IF(AND('Game Records'!$U423&lt;&gt;"Subscription",'Game Records'!$U423&lt;&gt;"Free Game",'Game Records'!$U423&lt;&gt;"Disqualified — Free Game",'Game Records'!$G423=""),"Gross Pot; ","")&amp;IF(AND('Game Records'!$U423&lt;&gt;"Free Game",'Game Records'!$U423&lt;&gt;"Disqualified — Free Game",'Game Records'!$H423=""),"Entry Fee; ","")&amp;IF(AND('Game Records'!$U423&lt;&gt;"Subscription",'Game Records'!$U423&lt;&gt;"Free Game",'Game Records'!$U423&lt;&gt;"Disqualified — Free Game",'Game Records'!$I423=""),"Eligible Players; ","")&amp;IF(AND('Game Records'!$U423&lt;&gt;"Subscription",'Game Records'!$U423&lt;&gt;"Free Game",'Game Records'!$U423&lt;&gt;"Disqualified — Free Game",'Game Records'!$J423=""),"Total Players; ","")&amp;IF(AND(LOWER('Game Records'!$D423&amp;"")="finalized",LOWER('Game Records'!$L423&amp;"")&lt;&gt;"yes",'Game Records'!$U423&lt;&gt;"Subscription",'Game Records'!$U423&lt;&gt;"Free Game",'Game Records'!$U423&lt;&gt;"Disqualified — Free Game",'Game Records'!$K423=""),"Final Earned; ","")&amp;IF(AND(LOWER('Game Records'!$D423&amp;"")="finalized",'Game Records'!$U423&lt;&gt;"Subscription",'Game Records'!$U423&lt;&gt;"Free Game",'Game Records'!$U423&lt;&gt;"Disqualified — Free Game",OR('Game Records'!$L423="",LOWER('Game Records'!$L423&amp;"")="n/a")),"Disqualified Status; ",""))</x:f>
      </x:c>
      <x:c r="G423" s="331" t="str">
        <x:f>IF($A423="","",IFERROR('Game Records'!$M423,""))</x:f>
      </x:c>
    </x:row>
    <x:row r="424">
      <x:c r="A424" s="332" t="str">
        <x:f>IF(OR(COUNTA('Game Records'!$A424:$M424)=0,'Game Records'!$F424="Subscription"),"",IFERROR(MAX($A$4:A423),0)+1)</x:f>
      </x:c>
      <x:c r="B424" s="332" t="str">
        <x:f>IF($A424="","","G-"&amp;TEXT(ROW('Game Records'!$A424)-4,"0000"))</x:f>
      </x:c>
      <x:c r="C424" s="331" t="str">
        <x:f>IF($A424="","",IFERROR('Game Records'!$A424,""))</x:f>
      </x:c>
      <x:c r="D424" s="331" t="str">
        <x:f>IF($A424="","",IFERROR('Game Records'!$U424,""))</x:f>
      </x:c>
      <x:c r="E424" s="331" t="str">
        <x:f>IF($A424="","",IF($F424="","No Highlighted Fields","Highlighted Fields Present"))</x:f>
      </x:c>
      <x:c r="F424" s="331" t="str">
        <x:f>IF($A424="","",IF('Game Records'!$B424="","Start Date; ","")&amp;IF('Game Records'!$C424="","End Date; ","")&amp;IF(AND('Game Records'!$U424&lt;&gt;"Subscription",'Game Records'!$U424&lt;&gt;"Free Game",'Game Records'!$U424&lt;&gt;"Disqualified — Free Game",OR('Game Records'!$D424="",LOWER('Game Records'!$D424&amp;"")="n/a")),"Entry Mode; ","")&amp;IF(AND('Game Records'!$U424&lt;&gt;"Subscription",'Game Records'!$U424&lt;&gt;"Free Game",'Game Records'!$U424&lt;&gt;"Disqualified — Free Game",OR('Game Records'!$E424="",LOWER('Game Records'!$E424&amp;"")="n/a")),"Game Type; ","")&amp;IF('Game Records'!$F424="","Payment Type; ","")&amp;IF(AND('Game Records'!$U424&lt;&gt;"Subscription",'Game Records'!$U424&lt;&gt;"Free Game",'Game Records'!$U424&lt;&gt;"Disqualified — Free Game",'Game Records'!$G424=""),"Gross Pot; ","")&amp;IF(AND('Game Records'!$U424&lt;&gt;"Free Game",'Game Records'!$U424&lt;&gt;"Disqualified — Free Game",'Game Records'!$H424=""),"Entry Fee; ","")&amp;IF(AND('Game Records'!$U424&lt;&gt;"Subscription",'Game Records'!$U424&lt;&gt;"Free Game",'Game Records'!$U424&lt;&gt;"Disqualified — Free Game",'Game Records'!$I424=""),"Eligible Players; ","")&amp;IF(AND('Game Records'!$U424&lt;&gt;"Subscription",'Game Records'!$U424&lt;&gt;"Free Game",'Game Records'!$U424&lt;&gt;"Disqualified — Free Game",'Game Records'!$J424=""),"Total Players; ","")&amp;IF(AND(LOWER('Game Records'!$D424&amp;"")="finalized",LOWER('Game Records'!$L424&amp;"")&lt;&gt;"yes",'Game Records'!$U424&lt;&gt;"Subscription",'Game Records'!$U424&lt;&gt;"Free Game",'Game Records'!$U424&lt;&gt;"Disqualified — Free Game",'Game Records'!$K424=""),"Final Earned; ","")&amp;IF(AND(LOWER('Game Records'!$D424&amp;"")="finalized",'Game Records'!$U424&lt;&gt;"Subscription",'Game Records'!$U424&lt;&gt;"Free Game",'Game Records'!$U424&lt;&gt;"Disqualified — Free Game",OR('Game Records'!$L424="",LOWER('Game Records'!$L424&amp;"")="n/a")),"Disqualified Status; ",""))</x:f>
      </x:c>
      <x:c r="G424" s="331" t="str">
        <x:f>IF($A424="","",IFERROR('Game Records'!$M424,""))</x:f>
      </x:c>
    </x:row>
    <x:row r="425">
      <x:c r="A425" s="332" t="str">
        <x:f>IF(OR(COUNTA('Game Records'!$A425:$M425)=0,'Game Records'!$F425="Subscription"),"",IFERROR(MAX($A$4:A424),0)+1)</x:f>
      </x:c>
      <x:c r="B425" s="332" t="str">
        <x:f>IF($A425="","","G-"&amp;TEXT(ROW('Game Records'!$A425)-4,"0000"))</x:f>
      </x:c>
      <x:c r="C425" s="331" t="str">
        <x:f>IF($A425="","",IFERROR('Game Records'!$A425,""))</x:f>
      </x:c>
      <x:c r="D425" s="331" t="str">
        <x:f>IF($A425="","",IFERROR('Game Records'!$U425,""))</x:f>
      </x:c>
      <x:c r="E425" s="331" t="str">
        <x:f>IF($A425="","",IF($F425="","No Highlighted Fields","Highlighted Fields Present"))</x:f>
      </x:c>
      <x:c r="F425" s="331" t="str">
        <x:f>IF($A425="","",IF('Game Records'!$B425="","Start Date; ","")&amp;IF('Game Records'!$C425="","End Date; ","")&amp;IF(AND('Game Records'!$U425&lt;&gt;"Subscription",'Game Records'!$U425&lt;&gt;"Free Game",'Game Records'!$U425&lt;&gt;"Disqualified — Free Game",OR('Game Records'!$D425="",LOWER('Game Records'!$D425&amp;"")="n/a")),"Entry Mode; ","")&amp;IF(AND('Game Records'!$U425&lt;&gt;"Subscription",'Game Records'!$U425&lt;&gt;"Free Game",'Game Records'!$U425&lt;&gt;"Disqualified — Free Game",OR('Game Records'!$E425="",LOWER('Game Records'!$E425&amp;"")="n/a")),"Game Type; ","")&amp;IF('Game Records'!$F425="","Payment Type; ","")&amp;IF(AND('Game Records'!$U425&lt;&gt;"Subscription",'Game Records'!$U425&lt;&gt;"Free Game",'Game Records'!$U425&lt;&gt;"Disqualified — Free Game",'Game Records'!$G425=""),"Gross Pot; ","")&amp;IF(AND('Game Records'!$U425&lt;&gt;"Free Game",'Game Records'!$U425&lt;&gt;"Disqualified — Free Game",'Game Records'!$H425=""),"Entry Fee; ","")&amp;IF(AND('Game Records'!$U425&lt;&gt;"Subscription",'Game Records'!$U425&lt;&gt;"Free Game",'Game Records'!$U425&lt;&gt;"Disqualified — Free Game",'Game Records'!$I425=""),"Eligible Players; ","")&amp;IF(AND('Game Records'!$U425&lt;&gt;"Subscription",'Game Records'!$U425&lt;&gt;"Free Game",'Game Records'!$U425&lt;&gt;"Disqualified — Free Game",'Game Records'!$J425=""),"Total Players; ","")&amp;IF(AND(LOWER('Game Records'!$D425&amp;"")="finalized",LOWER('Game Records'!$L425&amp;"")&lt;&gt;"yes",'Game Records'!$U425&lt;&gt;"Subscription",'Game Records'!$U425&lt;&gt;"Free Game",'Game Records'!$U425&lt;&gt;"Disqualified — Free Game",'Game Records'!$K425=""),"Final Earned; ","")&amp;IF(AND(LOWER('Game Records'!$D425&amp;"")="finalized",'Game Records'!$U425&lt;&gt;"Subscription",'Game Records'!$U425&lt;&gt;"Free Game",'Game Records'!$U425&lt;&gt;"Disqualified — Free Game",OR('Game Records'!$L425="",LOWER('Game Records'!$L425&amp;"")="n/a")),"Disqualified Status; ",""))</x:f>
      </x:c>
      <x:c r="G425" s="331" t="str">
        <x:f>IF($A425="","",IFERROR('Game Records'!$M425,""))</x:f>
      </x:c>
    </x:row>
    <x:row r="426">
      <x:c r="A426" s="332" t="str">
        <x:f>IF(OR(COUNTA('Game Records'!$A426:$M426)=0,'Game Records'!$F426="Subscription"),"",IFERROR(MAX($A$4:A425),0)+1)</x:f>
      </x:c>
      <x:c r="B426" s="332" t="str">
        <x:f>IF($A426="","","G-"&amp;TEXT(ROW('Game Records'!$A426)-4,"0000"))</x:f>
      </x:c>
      <x:c r="C426" s="331" t="str">
        <x:f>IF($A426="","",IFERROR('Game Records'!$A426,""))</x:f>
      </x:c>
      <x:c r="D426" s="331" t="str">
        <x:f>IF($A426="","",IFERROR('Game Records'!$U426,""))</x:f>
      </x:c>
      <x:c r="E426" s="331" t="str">
        <x:f>IF($A426="","",IF($F426="","No Highlighted Fields","Highlighted Fields Present"))</x:f>
      </x:c>
      <x:c r="F426" s="331" t="str">
        <x:f>IF($A426="","",IF('Game Records'!$B426="","Start Date; ","")&amp;IF('Game Records'!$C426="","End Date; ","")&amp;IF(AND('Game Records'!$U426&lt;&gt;"Subscription",'Game Records'!$U426&lt;&gt;"Free Game",'Game Records'!$U426&lt;&gt;"Disqualified — Free Game",OR('Game Records'!$D426="",LOWER('Game Records'!$D426&amp;"")="n/a")),"Entry Mode; ","")&amp;IF(AND('Game Records'!$U426&lt;&gt;"Subscription",'Game Records'!$U426&lt;&gt;"Free Game",'Game Records'!$U426&lt;&gt;"Disqualified — Free Game",OR('Game Records'!$E426="",LOWER('Game Records'!$E426&amp;"")="n/a")),"Game Type; ","")&amp;IF('Game Records'!$F426="","Payment Type; ","")&amp;IF(AND('Game Records'!$U426&lt;&gt;"Subscription",'Game Records'!$U426&lt;&gt;"Free Game",'Game Records'!$U426&lt;&gt;"Disqualified — Free Game",'Game Records'!$G426=""),"Gross Pot; ","")&amp;IF(AND('Game Records'!$U426&lt;&gt;"Free Game",'Game Records'!$U426&lt;&gt;"Disqualified — Free Game",'Game Records'!$H426=""),"Entry Fee; ","")&amp;IF(AND('Game Records'!$U426&lt;&gt;"Subscription",'Game Records'!$U426&lt;&gt;"Free Game",'Game Records'!$U426&lt;&gt;"Disqualified — Free Game",'Game Records'!$I426=""),"Eligible Players; ","")&amp;IF(AND('Game Records'!$U426&lt;&gt;"Subscription",'Game Records'!$U426&lt;&gt;"Free Game",'Game Records'!$U426&lt;&gt;"Disqualified — Free Game",'Game Records'!$J426=""),"Total Players; ","")&amp;IF(AND(LOWER('Game Records'!$D426&amp;"")="finalized",LOWER('Game Records'!$L426&amp;"")&lt;&gt;"yes",'Game Records'!$U426&lt;&gt;"Subscription",'Game Records'!$U426&lt;&gt;"Free Game",'Game Records'!$U426&lt;&gt;"Disqualified — Free Game",'Game Records'!$K426=""),"Final Earned; ","")&amp;IF(AND(LOWER('Game Records'!$D426&amp;"")="finalized",'Game Records'!$U426&lt;&gt;"Subscription",'Game Records'!$U426&lt;&gt;"Free Game",'Game Records'!$U426&lt;&gt;"Disqualified — Free Game",OR('Game Records'!$L426="",LOWER('Game Records'!$L426&amp;"")="n/a")),"Disqualified Status; ",""))</x:f>
      </x:c>
      <x:c r="G426" s="331" t="str">
        <x:f>IF($A426="","",IFERROR('Game Records'!$M426,""))</x:f>
      </x:c>
    </x:row>
    <x:row r="427">
      <x:c r="A427" s="332" t="str">
        <x:f>IF(OR(COUNTA('Game Records'!$A427:$M427)=0,'Game Records'!$F427="Subscription"),"",IFERROR(MAX($A$4:A426),0)+1)</x:f>
      </x:c>
      <x:c r="B427" s="332" t="str">
        <x:f>IF($A427="","","G-"&amp;TEXT(ROW('Game Records'!$A427)-4,"0000"))</x:f>
      </x:c>
      <x:c r="C427" s="331" t="str">
        <x:f>IF($A427="","",IFERROR('Game Records'!$A427,""))</x:f>
      </x:c>
      <x:c r="D427" s="331" t="str">
        <x:f>IF($A427="","",IFERROR('Game Records'!$U427,""))</x:f>
      </x:c>
      <x:c r="E427" s="331" t="str">
        <x:f>IF($A427="","",IF($F427="","No Highlighted Fields","Highlighted Fields Present"))</x:f>
      </x:c>
      <x:c r="F427" s="331" t="str">
        <x:f>IF($A427="","",IF('Game Records'!$B427="","Start Date; ","")&amp;IF('Game Records'!$C427="","End Date; ","")&amp;IF(AND('Game Records'!$U427&lt;&gt;"Subscription",'Game Records'!$U427&lt;&gt;"Free Game",'Game Records'!$U427&lt;&gt;"Disqualified — Free Game",OR('Game Records'!$D427="",LOWER('Game Records'!$D427&amp;"")="n/a")),"Entry Mode; ","")&amp;IF(AND('Game Records'!$U427&lt;&gt;"Subscription",'Game Records'!$U427&lt;&gt;"Free Game",'Game Records'!$U427&lt;&gt;"Disqualified — Free Game",OR('Game Records'!$E427="",LOWER('Game Records'!$E427&amp;"")="n/a")),"Game Type; ","")&amp;IF('Game Records'!$F427="","Payment Type; ","")&amp;IF(AND('Game Records'!$U427&lt;&gt;"Subscription",'Game Records'!$U427&lt;&gt;"Free Game",'Game Records'!$U427&lt;&gt;"Disqualified — Free Game",'Game Records'!$G427=""),"Gross Pot; ","")&amp;IF(AND('Game Records'!$U427&lt;&gt;"Free Game",'Game Records'!$U427&lt;&gt;"Disqualified — Free Game",'Game Records'!$H427=""),"Entry Fee; ","")&amp;IF(AND('Game Records'!$U427&lt;&gt;"Subscription",'Game Records'!$U427&lt;&gt;"Free Game",'Game Records'!$U427&lt;&gt;"Disqualified — Free Game",'Game Records'!$I427=""),"Eligible Players; ","")&amp;IF(AND('Game Records'!$U427&lt;&gt;"Subscription",'Game Records'!$U427&lt;&gt;"Free Game",'Game Records'!$U427&lt;&gt;"Disqualified — Free Game",'Game Records'!$J427=""),"Total Players; ","")&amp;IF(AND(LOWER('Game Records'!$D427&amp;"")="finalized",LOWER('Game Records'!$L427&amp;"")&lt;&gt;"yes",'Game Records'!$U427&lt;&gt;"Subscription",'Game Records'!$U427&lt;&gt;"Free Game",'Game Records'!$U427&lt;&gt;"Disqualified — Free Game",'Game Records'!$K427=""),"Final Earned; ","")&amp;IF(AND(LOWER('Game Records'!$D427&amp;"")="finalized",'Game Records'!$U427&lt;&gt;"Subscription",'Game Records'!$U427&lt;&gt;"Free Game",'Game Records'!$U427&lt;&gt;"Disqualified — Free Game",OR('Game Records'!$L427="",LOWER('Game Records'!$L427&amp;"")="n/a")),"Disqualified Status; ",""))</x:f>
      </x:c>
      <x:c r="G427" s="331" t="str">
        <x:f>IF($A427="","",IFERROR('Game Records'!$M427,""))</x:f>
      </x:c>
    </x:row>
    <x:row r="428">
      <x:c r="A428" s="332" t="str">
        <x:f>IF(OR(COUNTA('Game Records'!$A428:$M428)=0,'Game Records'!$F428="Subscription"),"",IFERROR(MAX($A$4:A427),0)+1)</x:f>
      </x:c>
      <x:c r="B428" s="332" t="str">
        <x:f>IF($A428="","","G-"&amp;TEXT(ROW('Game Records'!$A428)-4,"0000"))</x:f>
      </x:c>
      <x:c r="C428" s="331" t="str">
        <x:f>IF($A428="","",IFERROR('Game Records'!$A428,""))</x:f>
      </x:c>
      <x:c r="D428" s="331" t="str">
        <x:f>IF($A428="","",IFERROR('Game Records'!$U428,""))</x:f>
      </x:c>
      <x:c r="E428" s="331" t="str">
        <x:f>IF($A428="","",IF($F428="","No Highlighted Fields","Highlighted Fields Present"))</x:f>
      </x:c>
      <x:c r="F428" s="331" t="str">
        <x:f>IF($A428="","",IF('Game Records'!$B428="","Start Date; ","")&amp;IF('Game Records'!$C428="","End Date; ","")&amp;IF(AND('Game Records'!$U428&lt;&gt;"Subscription",'Game Records'!$U428&lt;&gt;"Free Game",'Game Records'!$U428&lt;&gt;"Disqualified — Free Game",OR('Game Records'!$D428="",LOWER('Game Records'!$D428&amp;"")="n/a")),"Entry Mode; ","")&amp;IF(AND('Game Records'!$U428&lt;&gt;"Subscription",'Game Records'!$U428&lt;&gt;"Free Game",'Game Records'!$U428&lt;&gt;"Disqualified — Free Game",OR('Game Records'!$E428="",LOWER('Game Records'!$E428&amp;"")="n/a")),"Game Type; ","")&amp;IF('Game Records'!$F428="","Payment Type; ","")&amp;IF(AND('Game Records'!$U428&lt;&gt;"Subscription",'Game Records'!$U428&lt;&gt;"Free Game",'Game Records'!$U428&lt;&gt;"Disqualified — Free Game",'Game Records'!$G428=""),"Gross Pot; ","")&amp;IF(AND('Game Records'!$U428&lt;&gt;"Free Game",'Game Records'!$U428&lt;&gt;"Disqualified — Free Game",'Game Records'!$H428=""),"Entry Fee; ","")&amp;IF(AND('Game Records'!$U428&lt;&gt;"Subscription",'Game Records'!$U428&lt;&gt;"Free Game",'Game Records'!$U428&lt;&gt;"Disqualified — Free Game",'Game Records'!$I428=""),"Eligible Players; ","")&amp;IF(AND('Game Records'!$U428&lt;&gt;"Subscription",'Game Records'!$U428&lt;&gt;"Free Game",'Game Records'!$U428&lt;&gt;"Disqualified — Free Game",'Game Records'!$J428=""),"Total Players; ","")&amp;IF(AND(LOWER('Game Records'!$D428&amp;"")="finalized",LOWER('Game Records'!$L428&amp;"")&lt;&gt;"yes",'Game Records'!$U428&lt;&gt;"Subscription",'Game Records'!$U428&lt;&gt;"Free Game",'Game Records'!$U428&lt;&gt;"Disqualified — Free Game",'Game Records'!$K428=""),"Final Earned; ","")&amp;IF(AND(LOWER('Game Records'!$D428&amp;"")="finalized",'Game Records'!$U428&lt;&gt;"Subscription",'Game Records'!$U428&lt;&gt;"Free Game",'Game Records'!$U428&lt;&gt;"Disqualified — Free Game",OR('Game Records'!$L428="",LOWER('Game Records'!$L428&amp;"")="n/a")),"Disqualified Status; ",""))</x:f>
      </x:c>
      <x:c r="G428" s="331" t="str">
        <x:f>IF($A428="","",IFERROR('Game Records'!$M428,""))</x:f>
      </x:c>
    </x:row>
    <x:row r="429">
      <x:c r="A429" s="332" t="str">
        <x:f>IF(OR(COUNTA('Game Records'!$A429:$M429)=0,'Game Records'!$F429="Subscription"),"",IFERROR(MAX($A$4:A428),0)+1)</x:f>
      </x:c>
      <x:c r="B429" s="332" t="str">
        <x:f>IF($A429="","","G-"&amp;TEXT(ROW('Game Records'!$A429)-4,"0000"))</x:f>
      </x:c>
      <x:c r="C429" s="331" t="str">
        <x:f>IF($A429="","",IFERROR('Game Records'!$A429,""))</x:f>
      </x:c>
      <x:c r="D429" s="331" t="str">
        <x:f>IF($A429="","",IFERROR('Game Records'!$U429,""))</x:f>
      </x:c>
      <x:c r="E429" s="331" t="str">
        <x:f>IF($A429="","",IF($F429="","No Highlighted Fields","Highlighted Fields Present"))</x:f>
      </x:c>
      <x:c r="F429" s="331" t="str">
        <x:f>IF($A429="","",IF('Game Records'!$B429="","Start Date; ","")&amp;IF('Game Records'!$C429="","End Date; ","")&amp;IF(AND('Game Records'!$U429&lt;&gt;"Subscription",'Game Records'!$U429&lt;&gt;"Free Game",'Game Records'!$U429&lt;&gt;"Disqualified — Free Game",OR('Game Records'!$D429="",LOWER('Game Records'!$D429&amp;"")="n/a")),"Entry Mode; ","")&amp;IF(AND('Game Records'!$U429&lt;&gt;"Subscription",'Game Records'!$U429&lt;&gt;"Free Game",'Game Records'!$U429&lt;&gt;"Disqualified — Free Game",OR('Game Records'!$E429="",LOWER('Game Records'!$E429&amp;"")="n/a")),"Game Type; ","")&amp;IF('Game Records'!$F429="","Payment Type; ","")&amp;IF(AND('Game Records'!$U429&lt;&gt;"Subscription",'Game Records'!$U429&lt;&gt;"Free Game",'Game Records'!$U429&lt;&gt;"Disqualified — Free Game",'Game Records'!$G429=""),"Gross Pot; ","")&amp;IF(AND('Game Records'!$U429&lt;&gt;"Free Game",'Game Records'!$U429&lt;&gt;"Disqualified — Free Game",'Game Records'!$H429=""),"Entry Fee; ","")&amp;IF(AND('Game Records'!$U429&lt;&gt;"Subscription",'Game Records'!$U429&lt;&gt;"Free Game",'Game Records'!$U429&lt;&gt;"Disqualified — Free Game",'Game Records'!$I429=""),"Eligible Players; ","")&amp;IF(AND('Game Records'!$U429&lt;&gt;"Subscription",'Game Records'!$U429&lt;&gt;"Free Game",'Game Records'!$U429&lt;&gt;"Disqualified — Free Game",'Game Records'!$J429=""),"Total Players; ","")&amp;IF(AND(LOWER('Game Records'!$D429&amp;"")="finalized",LOWER('Game Records'!$L429&amp;"")&lt;&gt;"yes",'Game Records'!$U429&lt;&gt;"Subscription",'Game Records'!$U429&lt;&gt;"Free Game",'Game Records'!$U429&lt;&gt;"Disqualified — Free Game",'Game Records'!$K429=""),"Final Earned; ","")&amp;IF(AND(LOWER('Game Records'!$D429&amp;"")="finalized",'Game Records'!$U429&lt;&gt;"Subscription",'Game Records'!$U429&lt;&gt;"Free Game",'Game Records'!$U429&lt;&gt;"Disqualified — Free Game",OR('Game Records'!$L429="",LOWER('Game Records'!$L429&amp;"")="n/a")),"Disqualified Status; ",""))</x:f>
      </x:c>
      <x:c r="G429" s="331" t="str">
        <x:f>IF($A429="","",IFERROR('Game Records'!$M429,""))</x:f>
      </x:c>
    </x:row>
    <x:row r="430">
      <x:c r="A430" s="332" t="str">
        <x:f>IF(OR(COUNTA('Game Records'!$A430:$M430)=0,'Game Records'!$F430="Subscription"),"",IFERROR(MAX($A$4:A429),0)+1)</x:f>
      </x:c>
      <x:c r="B430" s="332" t="str">
        <x:f>IF($A430="","","G-"&amp;TEXT(ROW('Game Records'!$A430)-4,"0000"))</x:f>
      </x:c>
      <x:c r="C430" s="331" t="str">
        <x:f>IF($A430="","",IFERROR('Game Records'!$A430,""))</x:f>
      </x:c>
      <x:c r="D430" s="331" t="str">
        <x:f>IF($A430="","",IFERROR('Game Records'!$U430,""))</x:f>
      </x:c>
      <x:c r="E430" s="331" t="str">
        <x:f>IF($A430="","",IF($F430="","No Highlighted Fields","Highlighted Fields Present"))</x:f>
      </x:c>
      <x:c r="F430" s="331" t="str">
        <x:f>IF($A430="","",IF('Game Records'!$B430="","Start Date; ","")&amp;IF('Game Records'!$C430="","End Date; ","")&amp;IF(AND('Game Records'!$U430&lt;&gt;"Subscription",'Game Records'!$U430&lt;&gt;"Free Game",'Game Records'!$U430&lt;&gt;"Disqualified — Free Game",OR('Game Records'!$D430="",LOWER('Game Records'!$D430&amp;"")="n/a")),"Entry Mode; ","")&amp;IF(AND('Game Records'!$U430&lt;&gt;"Subscription",'Game Records'!$U430&lt;&gt;"Free Game",'Game Records'!$U430&lt;&gt;"Disqualified — Free Game",OR('Game Records'!$E430="",LOWER('Game Records'!$E430&amp;"")="n/a")),"Game Type; ","")&amp;IF('Game Records'!$F430="","Payment Type; ","")&amp;IF(AND('Game Records'!$U430&lt;&gt;"Subscription",'Game Records'!$U430&lt;&gt;"Free Game",'Game Records'!$U430&lt;&gt;"Disqualified — Free Game",'Game Records'!$G430=""),"Gross Pot; ","")&amp;IF(AND('Game Records'!$U430&lt;&gt;"Free Game",'Game Records'!$U430&lt;&gt;"Disqualified — Free Game",'Game Records'!$H430=""),"Entry Fee; ","")&amp;IF(AND('Game Records'!$U430&lt;&gt;"Subscription",'Game Records'!$U430&lt;&gt;"Free Game",'Game Records'!$U430&lt;&gt;"Disqualified — Free Game",'Game Records'!$I430=""),"Eligible Players; ","")&amp;IF(AND('Game Records'!$U430&lt;&gt;"Subscription",'Game Records'!$U430&lt;&gt;"Free Game",'Game Records'!$U430&lt;&gt;"Disqualified — Free Game",'Game Records'!$J430=""),"Total Players; ","")&amp;IF(AND(LOWER('Game Records'!$D430&amp;"")="finalized",LOWER('Game Records'!$L430&amp;"")&lt;&gt;"yes",'Game Records'!$U430&lt;&gt;"Subscription",'Game Records'!$U430&lt;&gt;"Free Game",'Game Records'!$U430&lt;&gt;"Disqualified — Free Game",'Game Records'!$K430=""),"Final Earned; ","")&amp;IF(AND(LOWER('Game Records'!$D430&amp;"")="finalized",'Game Records'!$U430&lt;&gt;"Subscription",'Game Records'!$U430&lt;&gt;"Free Game",'Game Records'!$U430&lt;&gt;"Disqualified — Free Game",OR('Game Records'!$L430="",LOWER('Game Records'!$L430&amp;"")="n/a")),"Disqualified Status; ",""))</x:f>
      </x:c>
      <x:c r="G430" s="331" t="str">
        <x:f>IF($A430="","",IFERROR('Game Records'!$M430,""))</x:f>
      </x:c>
    </x:row>
    <x:row r="431">
      <x:c r="A431" s="332" t="str">
        <x:f>IF(OR(COUNTA('Game Records'!$A431:$M431)=0,'Game Records'!$F431="Subscription"),"",IFERROR(MAX($A$4:A430),0)+1)</x:f>
      </x:c>
      <x:c r="B431" s="332" t="str">
        <x:f>IF($A431="","","G-"&amp;TEXT(ROW('Game Records'!$A431)-4,"0000"))</x:f>
      </x:c>
      <x:c r="C431" s="331" t="str">
        <x:f>IF($A431="","",IFERROR('Game Records'!$A431,""))</x:f>
      </x:c>
      <x:c r="D431" s="331" t="str">
        <x:f>IF($A431="","",IFERROR('Game Records'!$U431,""))</x:f>
      </x:c>
      <x:c r="E431" s="331" t="str">
        <x:f>IF($A431="","",IF($F431="","No Highlighted Fields","Highlighted Fields Present"))</x:f>
      </x:c>
      <x:c r="F431" s="331" t="str">
        <x:f>IF($A431="","",IF('Game Records'!$B431="","Start Date; ","")&amp;IF('Game Records'!$C431="","End Date; ","")&amp;IF(AND('Game Records'!$U431&lt;&gt;"Subscription",'Game Records'!$U431&lt;&gt;"Free Game",'Game Records'!$U431&lt;&gt;"Disqualified — Free Game",OR('Game Records'!$D431="",LOWER('Game Records'!$D431&amp;"")="n/a")),"Entry Mode; ","")&amp;IF(AND('Game Records'!$U431&lt;&gt;"Subscription",'Game Records'!$U431&lt;&gt;"Free Game",'Game Records'!$U431&lt;&gt;"Disqualified — Free Game",OR('Game Records'!$E431="",LOWER('Game Records'!$E431&amp;"")="n/a")),"Game Type; ","")&amp;IF('Game Records'!$F431="","Payment Type; ","")&amp;IF(AND('Game Records'!$U431&lt;&gt;"Subscription",'Game Records'!$U431&lt;&gt;"Free Game",'Game Records'!$U431&lt;&gt;"Disqualified — Free Game",'Game Records'!$G431=""),"Gross Pot; ","")&amp;IF(AND('Game Records'!$U431&lt;&gt;"Free Game",'Game Records'!$U431&lt;&gt;"Disqualified — Free Game",'Game Records'!$H431=""),"Entry Fee; ","")&amp;IF(AND('Game Records'!$U431&lt;&gt;"Subscription",'Game Records'!$U431&lt;&gt;"Free Game",'Game Records'!$U431&lt;&gt;"Disqualified — Free Game",'Game Records'!$I431=""),"Eligible Players; ","")&amp;IF(AND('Game Records'!$U431&lt;&gt;"Subscription",'Game Records'!$U431&lt;&gt;"Free Game",'Game Records'!$U431&lt;&gt;"Disqualified — Free Game",'Game Records'!$J431=""),"Total Players; ","")&amp;IF(AND(LOWER('Game Records'!$D431&amp;"")="finalized",LOWER('Game Records'!$L431&amp;"")&lt;&gt;"yes",'Game Records'!$U431&lt;&gt;"Subscription",'Game Records'!$U431&lt;&gt;"Free Game",'Game Records'!$U431&lt;&gt;"Disqualified — Free Game",'Game Records'!$K431=""),"Final Earned; ","")&amp;IF(AND(LOWER('Game Records'!$D431&amp;"")="finalized",'Game Records'!$U431&lt;&gt;"Subscription",'Game Records'!$U431&lt;&gt;"Free Game",'Game Records'!$U431&lt;&gt;"Disqualified — Free Game",OR('Game Records'!$L431="",LOWER('Game Records'!$L431&amp;"")="n/a")),"Disqualified Status; ",""))</x:f>
      </x:c>
      <x:c r="G431" s="331" t="str">
        <x:f>IF($A431="","",IFERROR('Game Records'!$M431,""))</x:f>
      </x:c>
    </x:row>
    <x:row r="432">
      <x:c r="A432" s="332" t="str">
        <x:f>IF(OR(COUNTA('Game Records'!$A432:$M432)=0,'Game Records'!$F432="Subscription"),"",IFERROR(MAX($A$4:A431),0)+1)</x:f>
      </x:c>
      <x:c r="B432" s="332" t="str">
        <x:f>IF($A432="","","G-"&amp;TEXT(ROW('Game Records'!$A432)-4,"0000"))</x:f>
      </x:c>
      <x:c r="C432" s="331" t="str">
        <x:f>IF($A432="","",IFERROR('Game Records'!$A432,""))</x:f>
      </x:c>
      <x:c r="D432" s="331" t="str">
        <x:f>IF($A432="","",IFERROR('Game Records'!$U432,""))</x:f>
      </x:c>
      <x:c r="E432" s="331" t="str">
        <x:f>IF($A432="","",IF($F432="","No Highlighted Fields","Highlighted Fields Present"))</x:f>
      </x:c>
      <x:c r="F432" s="331" t="str">
        <x:f>IF($A432="","",IF('Game Records'!$B432="","Start Date; ","")&amp;IF('Game Records'!$C432="","End Date; ","")&amp;IF(AND('Game Records'!$U432&lt;&gt;"Subscription",'Game Records'!$U432&lt;&gt;"Free Game",'Game Records'!$U432&lt;&gt;"Disqualified — Free Game",OR('Game Records'!$D432="",LOWER('Game Records'!$D432&amp;"")="n/a")),"Entry Mode; ","")&amp;IF(AND('Game Records'!$U432&lt;&gt;"Subscription",'Game Records'!$U432&lt;&gt;"Free Game",'Game Records'!$U432&lt;&gt;"Disqualified — Free Game",OR('Game Records'!$E432="",LOWER('Game Records'!$E432&amp;"")="n/a")),"Game Type; ","")&amp;IF('Game Records'!$F432="","Payment Type; ","")&amp;IF(AND('Game Records'!$U432&lt;&gt;"Subscription",'Game Records'!$U432&lt;&gt;"Free Game",'Game Records'!$U432&lt;&gt;"Disqualified — Free Game",'Game Records'!$G432=""),"Gross Pot; ","")&amp;IF(AND('Game Records'!$U432&lt;&gt;"Free Game",'Game Records'!$U432&lt;&gt;"Disqualified — Free Game",'Game Records'!$H432=""),"Entry Fee; ","")&amp;IF(AND('Game Records'!$U432&lt;&gt;"Subscription",'Game Records'!$U432&lt;&gt;"Free Game",'Game Records'!$U432&lt;&gt;"Disqualified — Free Game",'Game Records'!$I432=""),"Eligible Players; ","")&amp;IF(AND('Game Records'!$U432&lt;&gt;"Subscription",'Game Records'!$U432&lt;&gt;"Free Game",'Game Records'!$U432&lt;&gt;"Disqualified — Free Game",'Game Records'!$J432=""),"Total Players; ","")&amp;IF(AND(LOWER('Game Records'!$D432&amp;"")="finalized",LOWER('Game Records'!$L432&amp;"")&lt;&gt;"yes",'Game Records'!$U432&lt;&gt;"Subscription",'Game Records'!$U432&lt;&gt;"Free Game",'Game Records'!$U432&lt;&gt;"Disqualified — Free Game",'Game Records'!$K432=""),"Final Earned; ","")&amp;IF(AND(LOWER('Game Records'!$D432&amp;"")="finalized",'Game Records'!$U432&lt;&gt;"Subscription",'Game Records'!$U432&lt;&gt;"Free Game",'Game Records'!$U432&lt;&gt;"Disqualified — Free Game",OR('Game Records'!$L432="",LOWER('Game Records'!$L432&amp;"")="n/a")),"Disqualified Status; ",""))</x:f>
      </x:c>
      <x:c r="G432" s="331" t="str">
        <x:f>IF($A432="","",IFERROR('Game Records'!$M432,""))</x:f>
      </x:c>
    </x:row>
    <x:row r="433">
      <x:c r="A433" s="332" t="str">
        <x:f>IF(OR(COUNTA('Game Records'!$A433:$M433)=0,'Game Records'!$F433="Subscription"),"",IFERROR(MAX($A$4:A432),0)+1)</x:f>
      </x:c>
      <x:c r="B433" s="332" t="str">
        <x:f>IF($A433="","","G-"&amp;TEXT(ROW('Game Records'!$A433)-4,"0000"))</x:f>
      </x:c>
      <x:c r="C433" s="331" t="str">
        <x:f>IF($A433="","",IFERROR('Game Records'!$A433,""))</x:f>
      </x:c>
      <x:c r="D433" s="331" t="str">
        <x:f>IF($A433="","",IFERROR('Game Records'!$U433,""))</x:f>
      </x:c>
      <x:c r="E433" s="331" t="str">
        <x:f>IF($A433="","",IF($F433="","No Highlighted Fields","Highlighted Fields Present"))</x:f>
      </x:c>
      <x:c r="F433" s="331" t="str">
        <x:f>IF($A433="","",IF('Game Records'!$B433="","Start Date; ","")&amp;IF('Game Records'!$C433="","End Date; ","")&amp;IF(AND('Game Records'!$U433&lt;&gt;"Subscription",'Game Records'!$U433&lt;&gt;"Free Game",'Game Records'!$U433&lt;&gt;"Disqualified — Free Game",OR('Game Records'!$D433="",LOWER('Game Records'!$D433&amp;"")="n/a")),"Entry Mode; ","")&amp;IF(AND('Game Records'!$U433&lt;&gt;"Subscription",'Game Records'!$U433&lt;&gt;"Free Game",'Game Records'!$U433&lt;&gt;"Disqualified — Free Game",OR('Game Records'!$E433="",LOWER('Game Records'!$E433&amp;"")="n/a")),"Game Type; ","")&amp;IF('Game Records'!$F433="","Payment Type; ","")&amp;IF(AND('Game Records'!$U433&lt;&gt;"Subscription",'Game Records'!$U433&lt;&gt;"Free Game",'Game Records'!$U433&lt;&gt;"Disqualified — Free Game",'Game Records'!$G433=""),"Gross Pot; ","")&amp;IF(AND('Game Records'!$U433&lt;&gt;"Free Game",'Game Records'!$U433&lt;&gt;"Disqualified — Free Game",'Game Records'!$H433=""),"Entry Fee; ","")&amp;IF(AND('Game Records'!$U433&lt;&gt;"Subscription",'Game Records'!$U433&lt;&gt;"Free Game",'Game Records'!$U433&lt;&gt;"Disqualified — Free Game",'Game Records'!$I433=""),"Eligible Players; ","")&amp;IF(AND('Game Records'!$U433&lt;&gt;"Subscription",'Game Records'!$U433&lt;&gt;"Free Game",'Game Records'!$U433&lt;&gt;"Disqualified — Free Game",'Game Records'!$J433=""),"Total Players; ","")&amp;IF(AND(LOWER('Game Records'!$D433&amp;"")="finalized",LOWER('Game Records'!$L433&amp;"")&lt;&gt;"yes",'Game Records'!$U433&lt;&gt;"Subscription",'Game Records'!$U433&lt;&gt;"Free Game",'Game Records'!$U433&lt;&gt;"Disqualified — Free Game",'Game Records'!$K433=""),"Final Earned; ","")&amp;IF(AND(LOWER('Game Records'!$D433&amp;"")="finalized",'Game Records'!$U433&lt;&gt;"Subscription",'Game Records'!$U433&lt;&gt;"Free Game",'Game Records'!$U433&lt;&gt;"Disqualified — Free Game",OR('Game Records'!$L433="",LOWER('Game Records'!$L433&amp;"")="n/a")),"Disqualified Status; ",""))</x:f>
      </x:c>
      <x:c r="G433" s="331" t="str">
        <x:f>IF($A433="","",IFERROR('Game Records'!$M433,""))</x:f>
      </x:c>
    </x:row>
    <x:row r="434">
      <x:c r="A434" s="332" t="str">
        <x:f>IF(OR(COUNTA('Game Records'!$A434:$M434)=0,'Game Records'!$F434="Subscription"),"",IFERROR(MAX($A$4:A433),0)+1)</x:f>
      </x:c>
      <x:c r="B434" s="332" t="str">
        <x:f>IF($A434="","","G-"&amp;TEXT(ROW('Game Records'!$A434)-4,"0000"))</x:f>
      </x:c>
      <x:c r="C434" s="331" t="str">
        <x:f>IF($A434="","",IFERROR('Game Records'!$A434,""))</x:f>
      </x:c>
      <x:c r="D434" s="331" t="str">
        <x:f>IF($A434="","",IFERROR('Game Records'!$U434,""))</x:f>
      </x:c>
      <x:c r="E434" s="331" t="str">
        <x:f>IF($A434="","",IF($F434="","No Highlighted Fields","Highlighted Fields Present"))</x:f>
      </x:c>
      <x:c r="F434" s="331" t="str">
        <x:f>IF($A434="","",IF('Game Records'!$B434="","Start Date; ","")&amp;IF('Game Records'!$C434="","End Date; ","")&amp;IF(AND('Game Records'!$U434&lt;&gt;"Subscription",'Game Records'!$U434&lt;&gt;"Free Game",'Game Records'!$U434&lt;&gt;"Disqualified — Free Game",OR('Game Records'!$D434="",LOWER('Game Records'!$D434&amp;"")="n/a")),"Entry Mode; ","")&amp;IF(AND('Game Records'!$U434&lt;&gt;"Subscription",'Game Records'!$U434&lt;&gt;"Free Game",'Game Records'!$U434&lt;&gt;"Disqualified — Free Game",OR('Game Records'!$E434="",LOWER('Game Records'!$E434&amp;"")="n/a")),"Game Type; ","")&amp;IF('Game Records'!$F434="","Payment Type; ","")&amp;IF(AND('Game Records'!$U434&lt;&gt;"Subscription",'Game Records'!$U434&lt;&gt;"Free Game",'Game Records'!$U434&lt;&gt;"Disqualified — Free Game",'Game Records'!$G434=""),"Gross Pot; ","")&amp;IF(AND('Game Records'!$U434&lt;&gt;"Free Game",'Game Records'!$U434&lt;&gt;"Disqualified — Free Game",'Game Records'!$H434=""),"Entry Fee; ","")&amp;IF(AND('Game Records'!$U434&lt;&gt;"Subscription",'Game Records'!$U434&lt;&gt;"Free Game",'Game Records'!$U434&lt;&gt;"Disqualified — Free Game",'Game Records'!$I434=""),"Eligible Players; ","")&amp;IF(AND('Game Records'!$U434&lt;&gt;"Subscription",'Game Records'!$U434&lt;&gt;"Free Game",'Game Records'!$U434&lt;&gt;"Disqualified — Free Game",'Game Records'!$J434=""),"Total Players; ","")&amp;IF(AND(LOWER('Game Records'!$D434&amp;"")="finalized",LOWER('Game Records'!$L434&amp;"")&lt;&gt;"yes",'Game Records'!$U434&lt;&gt;"Subscription",'Game Records'!$U434&lt;&gt;"Free Game",'Game Records'!$U434&lt;&gt;"Disqualified — Free Game",'Game Records'!$K434=""),"Final Earned; ","")&amp;IF(AND(LOWER('Game Records'!$D434&amp;"")="finalized",'Game Records'!$U434&lt;&gt;"Subscription",'Game Records'!$U434&lt;&gt;"Free Game",'Game Records'!$U434&lt;&gt;"Disqualified — Free Game",OR('Game Records'!$L434="",LOWER('Game Records'!$L434&amp;"")="n/a")),"Disqualified Status; ",""))</x:f>
      </x:c>
      <x:c r="G434" s="331" t="str">
        <x:f>IF($A434="","",IFERROR('Game Records'!$M434,""))</x:f>
      </x:c>
    </x:row>
    <x:row r="435">
      <x:c r="A435" s="332" t="str">
        <x:f>IF(OR(COUNTA('Game Records'!$A435:$M435)=0,'Game Records'!$F435="Subscription"),"",IFERROR(MAX($A$4:A434),0)+1)</x:f>
      </x:c>
      <x:c r="B435" s="332" t="str">
        <x:f>IF($A435="","","G-"&amp;TEXT(ROW('Game Records'!$A435)-4,"0000"))</x:f>
      </x:c>
      <x:c r="C435" s="331" t="str">
        <x:f>IF($A435="","",IFERROR('Game Records'!$A435,""))</x:f>
      </x:c>
      <x:c r="D435" s="331" t="str">
        <x:f>IF($A435="","",IFERROR('Game Records'!$U435,""))</x:f>
      </x:c>
      <x:c r="E435" s="331" t="str">
        <x:f>IF($A435="","",IF($F435="","No Highlighted Fields","Highlighted Fields Present"))</x:f>
      </x:c>
      <x:c r="F435" s="331" t="str">
        <x:f>IF($A435="","",IF('Game Records'!$B435="","Start Date; ","")&amp;IF('Game Records'!$C435="","End Date; ","")&amp;IF(AND('Game Records'!$U435&lt;&gt;"Subscription",'Game Records'!$U435&lt;&gt;"Free Game",'Game Records'!$U435&lt;&gt;"Disqualified — Free Game",OR('Game Records'!$D435="",LOWER('Game Records'!$D435&amp;"")="n/a")),"Entry Mode; ","")&amp;IF(AND('Game Records'!$U435&lt;&gt;"Subscription",'Game Records'!$U435&lt;&gt;"Free Game",'Game Records'!$U435&lt;&gt;"Disqualified — Free Game",OR('Game Records'!$E435="",LOWER('Game Records'!$E435&amp;"")="n/a")),"Game Type; ","")&amp;IF('Game Records'!$F435="","Payment Type; ","")&amp;IF(AND('Game Records'!$U435&lt;&gt;"Subscription",'Game Records'!$U435&lt;&gt;"Free Game",'Game Records'!$U435&lt;&gt;"Disqualified — Free Game",'Game Records'!$G435=""),"Gross Pot; ","")&amp;IF(AND('Game Records'!$U435&lt;&gt;"Free Game",'Game Records'!$U435&lt;&gt;"Disqualified — Free Game",'Game Records'!$H435=""),"Entry Fee; ","")&amp;IF(AND('Game Records'!$U435&lt;&gt;"Subscription",'Game Records'!$U435&lt;&gt;"Free Game",'Game Records'!$U435&lt;&gt;"Disqualified — Free Game",'Game Records'!$I435=""),"Eligible Players; ","")&amp;IF(AND('Game Records'!$U435&lt;&gt;"Subscription",'Game Records'!$U435&lt;&gt;"Free Game",'Game Records'!$U435&lt;&gt;"Disqualified — Free Game",'Game Records'!$J435=""),"Total Players; ","")&amp;IF(AND(LOWER('Game Records'!$D435&amp;"")="finalized",LOWER('Game Records'!$L435&amp;"")&lt;&gt;"yes",'Game Records'!$U435&lt;&gt;"Subscription",'Game Records'!$U435&lt;&gt;"Free Game",'Game Records'!$U435&lt;&gt;"Disqualified — Free Game",'Game Records'!$K435=""),"Final Earned; ","")&amp;IF(AND(LOWER('Game Records'!$D435&amp;"")="finalized",'Game Records'!$U435&lt;&gt;"Subscription",'Game Records'!$U435&lt;&gt;"Free Game",'Game Records'!$U435&lt;&gt;"Disqualified — Free Game",OR('Game Records'!$L435="",LOWER('Game Records'!$L435&amp;"")="n/a")),"Disqualified Status; ",""))</x:f>
      </x:c>
      <x:c r="G435" s="331" t="str">
        <x:f>IF($A435="","",IFERROR('Game Records'!$M435,""))</x:f>
      </x:c>
    </x:row>
    <x:row r="436">
      <x:c r="A436" s="332" t="str">
        <x:f>IF(OR(COUNTA('Game Records'!$A436:$M436)=0,'Game Records'!$F436="Subscription"),"",IFERROR(MAX($A$4:A435),0)+1)</x:f>
      </x:c>
      <x:c r="B436" s="332" t="str">
        <x:f>IF($A436="","","G-"&amp;TEXT(ROW('Game Records'!$A436)-4,"0000"))</x:f>
      </x:c>
      <x:c r="C436" s="331" t="str">
        <x:f>IF($A436="","",IFERROR('Game Records'!$A436,""))</x:f>
      </x:c>
      <x:c r="D436" s="331" t="str">
        <x:f>IF($A436="","",IFERROR('Game Records'!$U436,""))</x:f>
      </x:c>
      <x:c r="E436" s="331" t="str">
        <x:f>IF($A436="","",IF($F436="","No Highlighted Fields","Highlighted Fields Present"))</x:f>
      </x:c>
      <x:c r="F436" s="331" t="str">
        <x:f>IF($A436="","",IF('Game Records'!$B436="","Start Date; ","")&amp;IF('Game Records'!$C436="","End Date; ","")&amp;IF(AND('Game Records'!$U436&lt;&gt;"Subscription",'Game Records'!$U436&lt;&gt;"Free Game",'Game Records'!$U436&lt;&gt;"Disqualified — Free Game",OR('Game Records'!$D436="",LOWER('Game Records'!$D436&amp;"")="n/a")),"Entry Mode; ","")&amp;IF(AND('Game Records'!$U436&lt;&gt;"Subscription",'Game Records'!$U436&lt;&gt;"Free Game",'Game Records'!$U436&lt;&gt;"Disqualified — Free Game",OR('Game Records'!$E436="",LOWER('Game Records'!$E436&amp;"")="n/a")),"Game Type; ","")&amp;IF('Game Records'!$F436="","Payment Type; ","")&amp;IF(AND('Game Records'!$U436&lt;&gt;"Subscription",'Game Records'!$U436&lt;&gt;"Free Game",'Game Records'!$U436&lt;&gt;"Disqualified — Free Game",'Game Records'!$G436=""),"Gross Pot; ","")&amp;IF(AND('Game Records'!$U436&lt;&gt;"Free Game",'Game Records'!$U436&lt;&gt;"Disqualified — Free Game",'Game Records'!$H436=""),"Entry Fee; ","")&amp;IF(AND('Game Records'!$U436&lt;&gt;"Subscription",'Game Records'!$U436&lt;&gt;"Free Game",'Game Records'!$U436&lt;&gt;"Disqualified — Free Game",'Game Records'!$I436=""),"Eligible Players; ","")&amp;IF(AND('Game Records'!$U436&lt;&gt;"Subscription",'Game Records'!$U436&lt;&gt;"Free Game",'Game Records'!$U436&lt;&gt;"Disqualified — Free Game",'Game Records'!$J436=""),"Total Players; ","")&amp;IF(AND(LOWER('Game Records'!$D436&amp;"")="finalized",LOWER('Game Records'!$L436&amp;"")&lt;&gt;"yes",'Game Records'!$U436&lt;&gt;"Subscription",'Game Records'!$U436&lt;&gt;"Free Game",'Game Records'!$U436&lt;&gt;"Disqualified — Free Game",'Game Records'!$K436=""),"Final Earned; ","")&amp;IF(AND(LOWER('Game Records'!$D436&amp;"")="finalized",'Game Records'!$U436&lt;&gt;"Subscription",'Game Records'!$U436&lt;&gt;"Free Game",'Game Records'!$U436&lt;&gt;"Disqualified — Free Game",OR('Game Records'!$L436="",LOWER('Game Records'!$L436&amp;"")="n/a")),"Disqualified Status; ",""))</x:f>
      </x:c>
      <x:c r="G436" s="331" t="str">
        <x:f>IF($A436="","",IFERROR('Game Records'!$M436,""))</x:f>
      </x:c>
    </x:row>
    <x:row r="437">
      <x:c r="A437" s="332" t="str">
        <x:f>IF(OR(COUNTA('Game Records'!$A437:$M437)=0,'Game Records'!$F437="Subscription"),"",IFERROR(MAX($A$4:A436),0)+1)</x:f>
      </x:c>
      <x:c r="B437" s="332" t="str">
        <x:f>IF($A437="","","G-"&amp;TEXT(ROW('Game Records'!$A437)-4,"0000"))</x:f>
      </x:c>
      <x:c r="C437" s="331" t="str">
        <x:f>IF($A437="","",IFERROR('Game Records'!$A437,""))</x:f>
      </x:c>
      <x:c r="D437" s="331" t="str">
        <x:f>IF($A437="","",IFERROR('Game Records'!$U437,""))</x:f>
      </x:c>
      <x:c r="E437" s="331" t="str">
        <x:f>IF($A437="","",IF($F437="","No Highlighted Fields","Highlighted Fields Present"))</x:f>
      </x:c>
      <x:c r="F437" s="331" t="str">
        <x:f>IF($A437="","",IF('Game Records'!$B437="","Start Date; ","")&amp;IF('Game Records'!$C437="","End Date; ","")&amp;IF(AND('Game Records'!$U437&lt;&gt;"Subscription",'Game Records'!$U437&lt;&gt;"Free Game",'Game Records'!$U437&lt;&gt;"Disqualified — Free Game",OR('Game Records'!$D437="",LOWER('Game Records'!$D437&amp;"")="n/a")),"Entry Mode; ","")&amp;IF(AND('Game Records'!$U437&lt;&gt;"Subscription",'Game Records'!$U437&lt;&gt;"Free Game",'Game Records'!$U437&lt;&gt;"Disqualified — Free Game",OR('Game Records'!$E437="",LOWER('Game Records'!$E437&amp;"")="n/a")),"Game Type; ","")&amp;IF('Game Records'!$F437="","Payment Type; ","")&amp;IF(AND('Game Records'!$U437&lt;&gt;"Subscription",'Game Records'!$U437&lt;&gt;"Free Game",'Game Records'!$U437&lt;&gt;"Disqualified — Free Game",'Game Records'!$G437=""),"Gross Pot; ","")&amp;IF(AND('Game Records'!$U437&lt;&gt;"Free Game",'Game Records'!$U437&lt;&gt;"Disqualified — Free Game",'Game Records'!$H437=""),"Entry Fee; ","")&amp;IF(AND('Game Records'!$U437&lt;&gt;"Subscription",'Game Records'!$U437&lt;&gt;"Free Game",'Game Records'!$U437&lt;&gt;"Disqualified — Free Game",'Game Records'!$I437=""),"Eligible Players; ","")&amp;IF(AND('Game Records'!$U437&lt;&gt;"Subscription",'Game Records'!$U437&lt;&gt;"Free Game",'Game Records'!$U437&lt;&gt;"Disqualified — Free Game",'Game Records'!$J437=""),"Total Players; ","")&amp;IF(AND(LOWER('Game Records'!$D437&amp;"")="finalized",LOWER('Game Records'!$L437&amp;"")&lt;&gt;"yes",'Game Records'!$U437&lt;&gt;"Subscription",'Game Records'!$U437&lt;&gt;"Free Game",'Game Records'!$U437&lt;&gt;"Disqualified — Free Game",'Game Records'!$K437=""),"Final Earned; ","")&amp;IF(AND(LOWER('Game Records'!$D437&amp;"")="finalized",'Game Records'!$U437&lt;&gt;"Subscription",'Game Records'!$U437&lt;&gt;"Free Game",'Game Records'!$U437&lt;&gt;"Disqualified — Free Game",OR('Game Records'!$L437="",LOWER('Game Records'!$L437&amp;"")="n/a")),"Disqualified Status; ",""))</x:f>
      </x:c>
      <x:c r="G437" s="331" t="str">
        <x:f>IF($A437="","",IFERROR('Game Records'!$M437,""))</x:f>
      </x:c>
    </x:row>
    <x:row r="438">
      <x:c r="A438" s="332" t="str">
        <x:f>IF(OR(COUNTA('Game Records'!$A438:$M438)=0,'Game Records'!$F438="Subscription"),"",IFERROR(MAX($A$4:A437),0)+1)</x:f>
      </x:c>
      <x:c r="B438" s="332" t="str">
        <x:f>IF($A438="","","G-"&amp;TEXT(ROW('Game Records'!$A438)-4,"0000"))</x:f>
      </x:c>
      <x:c r="C438" s="331" t="str">
        <x:f>IF($A438="","",IFERROR('Game Records'!$A438,""))</x:f>
      </x:c>
      <x:c r="D438" s="331" t="str">
        <x:f>IF($A438="","",IFERROR('Game Records'!$U438,""))</x:f>
      </x:c>
      <x:c r="E438" s="331" t="str">
        <x:f>IF($A438="","",IF($F438="","No Highlighted Fields","Highlighted Fields Present"))</x:f>
      </x:c>
      <x:c r="F438" s="331" t="str">
        <x:f>IF($A438="","",IF('Game Records'!$B438="","Start Date; ","")&amp;IF('Game Records'!$C438="","End Date; ","")&amp;IF(AND('Game Records'!$U438&lt;&gt;"Subscription",'Game Records'!$U438&lt;&gt;"Free Game",'Game Records'!$U438&lt;&gt;"Disqualified — Free Game",OR('Game Records'!$D438="",LOWER('Game Records'!$D438&amp;"")="n/a")),"Entry Mode; ","")&amp;IF(AND('Game Records'!$U438&lt;&gt;"Subscription",'Game Records'!$U438&lt;&gt;"Free Game",'Game Records'!$U438&lt;&gt;"Disqualified — Free Game",OR('Game Records'!$E438="",LOWER('Game Records'!$E438&amp;"")="n/a")),"Game Type; ","")&amp;IF('Game Records'!$F438="","Payment Type; ","")&amp;IF(AND('Game Records'!$U438&lt;&gt;"Subscription",'Game Records'!$U438&lt;&gt;"Free Game",'Game Records'!$U438&lt;&gt;"Disqualified — Free Game",'Game Records'!$G438=""),"Gross Pot; ","")&amp;IF(AND('Game Records'!$U438&lt;&gt;"Free Game",'Game Records'!$U438&lt;&gt;"Disqualified — Free Game",'Game Records'!$H438=""),"Entry Fee; ","")&amp;IF(AND('Game Records'!$U438&lt;&gt;"Subscription",'Game Records'!$U438&lt;&gt;"Free Game",'Game Records'!$U438&lt;&gt;"Disqualified — Free Game",'Game Records'!$I438=""),"Eligible Players; ","")&amp;IF(AND('Game Records'!$U438&lt;&gt;"Subscription",'Game Records'!$U438&lt;&gt;"Free Game",'Game Records'!$U438&lt;&gt;"Disqualified — Free Game",'Game Records'!$J438=""),"Total Players; ","")&amp;IF(AND(LOWER('Game Records'!$D438&amp;"")="finalized",LOWER('Game Records'!$L438&amp;"")&lt;&gt;"yes",'Game Records'!$U438&lt;&gt;"Subscription",'Game Records'!$U438&lt;&gt;"Free Game",'Game Records'!$U438&lt;&gt;"Disqualified — Free Game",'Game Records'!$K438=""),"Final Earned; ","")&amp;IF(AND(LOWER('Game Records'!$D438&amp;"")="finalized",'Game Records'!$U438&lt;&gt;"Subscription",'Game Records'!$U438&lt;&gt;"Free Game",'Game Records'!$U438&lt;&gt;"Disqualified — Free Game",OR('Game Records'!$L438="",LOWER('Game Records'!$L438&amp;"")="n/a")),"Disqualified Status; ",""))</x:f>
      </x:c>
      <x:c r="G438" s="331" t="str">
        <x:f>IF($A438="","",IFERROR('Game Records'!$M438,""))</x:f>
      </x:c>
    </x:row>
    <x:row r="439">
      <x:c r="A439" s="332" t="str">
        <x:f>IF(OR(COUNTA('Game Records'!$A439:$M439)=0,'Game Records'!$F439="Subscription"),"",IFERROR(MAX($A$4:A438),0)+1)</x:f>
      </x:c>
      <x:c r="B439" s="332" t="str">
        <x:f>IF($A439="","","G-"&amp;TEXT(ROW('Game Records'!$A439)-4,"0000"))</x:f>
      </x:c>
      <x:c r="C439" s="331" t="str">
        <x:f>IF($A439="","",IFERROR('Game Records'!$A439,""))</x:f>
      </x:c>
      <x:c r="D439" s="331" t="str">
        <x:f>IF($A439="","",IFERROR('Game Records'!$U439,""))</x:f>
      </x:c>
      <x:c r="E439" s="331" t="str">
        <x:f>IF($A439="","",IF($F439="","No Highlighted Fields","Highlighted Fields Present"))</x:f>
      </x:c>
      <x:c r="F439" s="331" t="str">
        <x:f>IF($A439="","",IF('Game Records'!$B439="","Start Date; ","")&amp;IF('Game Records'!$C439="","End Date; ","")&amp;IF(AND('Game Records'!$U439&lt;&gt;"Subscription",'Game Records'!$U439&lt;&gt;"Free Game",'Game Records'!$U439&lt;&gt;"Disqualified — Free Game",OR('Game Records'!$D439="",LOWER('Game Records'!$D439&amp;"")="n/a")),"Entry Mode; ","")&amp;IF(AND('Game Records'!$U439&lt;&gt;"Subscription",'Game Records'!$U439&lt;&gt;"Free Game",'Game Records'!$U439&lt;&gt;"Disqualified — Free Game",OR('Game Records'!$E439="",LOWER('Game Records'!$E439&amp;"")="n/a")),"Game Type; ","")&amp;IF('Game Records'!$F439="","Payment Type; ","")&amp;IF(AND('Game Records'!$U439&lt;&gt;"Subscription",'Game Records'!$U439&lt;&gt;"Free Game",'Game Records'!$U439&lt;&gt;"Disqualified — Free Game",'Game Records'!$G439=""),"Gross Pot; ","")&amp;IF(AND('Game Records'!$U439&lt;&gt;"Free Game",'Game Records'!$U439&lt;&gt;"Disqualified — Free Game",'Game Records'!$H439=""),"Entry Fee; ","")&amp;IF(AND('Game Records'!$U439&lt;&gt;"Subscription",'Game Records'!$U439&lt;&gt;"Free Game",'Game Records'!$U439&lt;&gt;"Disqualified — Free Game",'Game Records'!$I439=""),"Eligible Players; ","")&amp;IF(AND('Game Records'!$U439&lt;&gt;"Subscription",'Game Records'!$U439&lt;&gt;"Free Game",'Game Records'!$U439&lt;&gt;"Disqualified — Free Game",'Game Records'!$J439=""),"Total Players; ","")&amp;IF(AND(LOWER('Game Records'!$D439&amp;"")="finalized",LOWER('Game Records'!$L439&amp;"")&lt;&gt;"yes",'Game Records'!$U439&lt;&gt;"Subscription",'Game Records'!$U439&lt;&gt;"Free Game",'Game Records'!$U439&lt;&gt;"Disqualified — Free Game",'Game Records'!$K439=""),"Final Earned; ","")&amp;IF(AND(LOWER('Game Records'!$D439&amp;"")="finalized",'Game Records'!$U439&lt;&gt;"Subscription",'Game Records'!$U439&lt;&gt;"Free Game",'Game Records'!$U439&lt;&gt;"Disqualified — Free Game",OR('Game Records'!$L439="",LOWER('Game Records'!$L439&amp;"")="n/a")),"Disqualified Status; ",""))</x:f>
      </x:c>
      <x:c r="G439" s="331" t="str">
        <x:f>IF($A439="","",IFERROR('Game Records'!$M439,""))</x:f>
      </x:c>
    </x:row>
    <x:row r="440">
      <x:c r="A440" s="332" t="str">
        <x:f>IF(OR(COUNTA('Game Records'!$A440:$M440)=0,'Game Records'!$F440="Subscription"),"",IFERROR(MAX($A$4:A439),0)+1)</x:f>
      </x:c>
      <x:c r="B440" s="332" t="str">
        <x:f>IF($A440="","","G-"&amp;TEXT(ROW('Game Records'!$A440)-4,"0000"))</x:f>
      </x:c>
      <x:c r="C440" s="331" t="str">
        <x:f>IF($A440="","",IFERROR('Game Records'!$A440,""))</x:f>
      </x:c>
      <x:c r="D440" s="331" t="str">
        <x:f>IF($A440="","",IFERROR('Game Records'!$U440,""))</x:f>
      </x:c>
      <x:c r="E440" s="331" t="str">
        <x:f>IF($A440="","",IF($F440="","No Highlighted Fields","Highlighted Fields Present"))</x:f>
      </x:c>
      <x:c r="F440" s="331" t="str">
        <x:f>IF($A440="","",IF('Game Records'!$B440="","Start Date; ","")&amp;IF('Game Records'!$C440="","End Date; ","")&amp;IF(AND('Game Records'!$U440&lt;&gt;"Subscription",'Game Records'!$U440&lt;&gt;"Free Game",'Game Records'!$U440&lt;&gt;"Disqualified — Free Game",OR('Game Records'!$D440="",LOWER('Game Records'!$D440&amp;"")="n/a")),"Entry Mode; ","")&amp;IF(AND('Game Records'!$U440&lt;&gt;"Subscription",'Game Records'!$U440&lt;&gt;"Free Game",'Game Records'!$U440&lt;&gt;"Disqualified — Free Game",OR('Game Records'!$E440="",LOWER('Game Records'!$E440&amp;"")="n/a")),"Game Type; ","")&amp;IF('Game Records'!$F440="","Payment Type; ","")&amp;IF(AND('Game Records'!$U440&lt;&gt;"Subscription",'Game Records'!$U440&lt;&gt;"Free Game",'Game Records'!$U440&lt;&gt;"Disqualified — Free Game",'Game Records'!$G440=""),"Gross Pot; ","")&amp;IF(AND('Game Records'!$U440&lt;&gt;"Free Game",'Game Records'!$U440&lt;&gt;"Disqualified — Free Game",'Game Records'!$H440=""),"Entry Fee; ","")&amp;IF(AND('Game Records'!$U440&lt;&gt;"Subscription",'Game Records'!$U440&lt;&gt;"Free Game",'Game Records'!$U440&lt;&gt;"Disqualified — Free Game",'Game Records'!$I440=""),"Eligible Players; ","")&amp;IF(AND('Game Records'!$U440&lt;&gt;"Subscription",'Game Records'!$U440&lt;&gt;"Free Game",'Game Records'!$U440&lt;&gt;"Disqualified — Free Game",'Game Records'!$J440=""),"Total Players; ","")&amp;IF(AND(LOWER('Game Records'!$D440&amp;"")="finalized",LOWER('Game Records'!$L440&amp;"")&lt;&gt;"yes",'Game Records'!$U440&lt;&gt;"Subscription",'Game Records'!$U440&lt;&gt;"Free Game",'Game Records'!$U440&lt;&gt;"Disqualified — Free Game",'Game Records'!$K440=""),"Final Earned; ","")&amp;IF(AND(LOWER('Game Records'!$D440&amp;"")="finalized",'Game Records'!$U440&lt;&gt;"Subscription",'Game Records'!$U440&lt;&gt;"Free Game",'Game Records'!$U440&lt;&gt;"Disqualified — Free Game",OR('Game Records'!$L440="",LOWER('Game Records'!$L440&amp;"")="n/a")),"Disqualified Status; ",""))</x:f>
      </x:c>
      <x:c r="G440" s="331" t="str">
        <x:f>IF($A440="","",IFERROR('Game Records'!$M440,""))</x:f>
      </x:c>
    </x:row>
    <x:row r="441">
      <x:c r="A441" s="332" t="str">
        <x:f>IF(OR(COUNTA('Game Records'!$A441:$M441)=0,'Game Records'!$F441="Subscription"),"",IFERROR(MAX($A$4:A440),0)+1)</x:f>
      </x:c>
      <x:c r="B441" s="332" t="str">
        <x:f>IF($A441="","","G-"&amp;TEXT(ROW('Game Records'!$A441)-4,"0000"))</x:f>
      </x:c>
      <x:c r="C441" s="331" t="str">
        <x:f>IF($A441="","",IFERROR('Game Records'!$A441,""))</x:f>
      </x:c>
      <x:c r="D441" s="331" t="str">
        <x:f>IF($A441="","",IFERROR('Game Records'!$U441,""))</x:f>
      </x:c>
      <x:c r="E441" s="331" t="str">
        <x:f>IF($A441="","",IF($F441="","No Highlighted Fields","Highlighted Fields Present"))</x:f>
      </x:c>
      <x:c r="F441" s="331" t="str">
        <x:f>IF($A441="","",IF('Game Records'!$B441="","Start Date; ","")&amp;IF('Game Records'!$C441="","End Date; ","")&amp;IF(AND('Game Records'!$U441&lt;&gt;"Subscription",'Game Records'!$U441&lt;&gt;"Free Game",'Game Records'!$U441&lt;&gt;"Disqualified — Free Game",OR('Game Records'!$D441="",LOWER('Game Records'!$D441&amp;"")="n/a")),"Entry Mode; ","")&amp;IF(AND('Game Records'!$U441&lt;&gt;"Subscription",'Game Records'!$U441&lt;&gt;"Free Game",'Game Records'!$U441&lt;&gt;"Disqualified — Free Game",OR('Game Records'!$E441="",LOWER('Game Records'!$E441&amp;"")="n/a")),"Game Type; ","")&amp;IF('Game Records'!$F441="","Payment Type; ","")&amp;IF(AND('Game Records'!$U441&lt;&gt;"Subscription",'Game Records'!$U441&lt;&gt;"Free Game",'Game Records'!$U441&lt;&gt;"Disqualified — Free Game",'Game Records'!$G441=""),"Gross Pot; ","")&amp;IF(AND('Game Records'!$U441&lt;&gt;"Free Game",'Game Records'!$U441&lt;&gt;"Disqualified — Free Game",'Game Records'!$H441=""),"Entry Fee; ","")&amp;IF(AND('Game Records'!$U441&lt;&gt;"Subscription",'Game Records'!$U441&lt;&gt;"Free Game",'Game Records'!$U441&lt;&gt;"Disqualified — Free Game",'Game Records'!$I441=""),"Eligible Players; ","")&amp;IF(AND('Game Records'!$U441&lt;&gt;"Subscription",'Game Records'!$U441&lt;&gt;"Free Game",'Game Records'!$U441&lt;&gt;"Disqualified — Free Game",'Game Records'!$J441=""),"Total Players; ","")&amp;IF(AND(LOWER('Game Records'!$D441&amp;"")="finalized",LOWER('Game Records'!$L441&amp;"")&lt;&gt;"yes",'Game Records'!$U441&lt;&gt;"Subscription",'Game Records'!$U441&lt;&gt;"Free Game",'Game Records'!$U441&lt;&gt;"Disqualified — Free Game",'Game Records'!$K441=""),"Final Earned; ","")&amp;IF(AND(LOWER('Game Records'!$D441&amp;"")="finalized",'Game Records'!$U441&lt;&gt;"Subscription",'Game Records'!$U441&lt;&gt;"Free Game",'Game Records'!$U441&lt;&gt;"Disqualified — Free Game",OR('Game Records'!$L441="",LOWER('Game Records'!$L441&amp;"")="n/a")),"Disqualified Status; ",""))</x:f>
      </x:c>
      <x:c r="G441" s="331" t="str">
        <x:f>IF($A441="","",IFERROR('Game Records'!$M441,""))</x:f>
      </x:c>
    </x:row>
    <x:row r="442">
      <x:c r="A442" s="332" t="str">
        <x:f>IF(OR(COUNTA('Game Records'!$A442:$M442)=0,'Game Records'!$F442="Subscription"),"",IFERROR(MAX($A$4:A441),0)+1)</x:f>
      </x:c>
      <x:c r="B442" s="332" t="str">
        <x:f>IF($A442="","","G-"&amp;TEXT(ROW('Game Records'!$A442)-4,"0000"))</x:f>
      </x:c>
      <x:c r="C442" s="331" t="str">
        <x:f>IF($A442="","",IFERROR('Game Records'!$A442,""))</x:f>
      </x:c>
      <x:c r="D442" s="331" t="str">
        <x:f>IF($A442="","",IFERROR('Game Records'!$U442,""))</x:f>
      </x:c>
      <x:c r="E442" s="331" t="str">
        <x:f>IF($A442="","",IF($F442="","No Highlighted Fields","Highlighted Fields Present"))</x:f>
      </x:c>
      <x:c r="F442" s="331" t="str">
        <x:f>IF($A442="","",IF('Game Records'!$B442="","Start Date; ","")&amp;IF('Game Records'!$C442="","End Date; ","")&amp;IF(AND('Game Records'!$U442&lt;&gt;"Subscription",'Game Records'!$U442&lt;&gt;"Free Game",'Game Records'!$U442&lt;&gt;"Disqualified — Free Game",OR('Game Records'!$D442="",LOWER('Game Records'!$D442&amp;"")="n/a")),"Entry Mode; ","")&amp;IF(AND('Game Records'!$U442&lt;&gt;"Subscription",'Game Records'!$U442&lt;&gt;"Free Game",'Game Records'!$U442&lt;&gt;"Disqualified — Free Game",OR('Game Records'!$E442="",LOWER('Game Records'!$E442&amp;"")="n/a")),"Game Type; ","")&amp;IF('Game Records'!$F442="","Payment Type; ","")&amp;IF(AND('Game Records'!$U442&lt;&gt;"Subscription",'Game Records'!$U442&lt;&gt;"Free Game",'Game Records'!$U442&lt;&gt;"Disqualified — Free Game",'Game Records'!$G442=""),"Gross Pot; ","")&amp;IF(AND('Game Records'!$U442&lt;&gt;"Free Game",'Game Records'!$U442&lt;&gt;"Disqualified — Free Game",'Game Records'!$H442=""),"Entry Fee; ","")&amp;IF(AND('Game Records'!$U442&lt;&gt;"Subscription",'Game Records'!$U442&lt;&gt;"Free Game",'Game Records'!$U442&lt;&gt;"Disqualified — Free Game",'Game Records'!$I442=""),"Eligible Players; ","")&amp;IF(AND('Game Records'!$U442&lt;&gt;"Subscription",'Game Records'!$U442&lt;&gt;"Free Game",'Game Records'!$U442&lt;&gt;"Disqualified — Free Game",'Game Records'!$J442=""),"Total Players; ","")&amp;IF(AND(LOWER('Game Records'!$D442&amp;"")="finalized",LOWER('Game Records'!$L442&amp;"")&lt;&gt;"yes",'Game Records'!$U442&lt;&gt;"Subscription",'Game Records'!$U442&lt;&gt;"Free Game",'Game Records'!$U442&lt;&gt;"Disqualified — Free Game",'Game Records'!$K442=""),"Final Earned; ","")&amp;IF(AND(LOWER('Game Records'!$D442&amp;"")="finalized",'Game Records'!$U442&lt;&gt;"Subscription",'Game Records'!$U442&lt;&gt;"Free Game",'Game Records'!$U442&lt;&gt;"Disqualified — Free Game",OR('Game Records'!$L442="",LOWER('Game Records'!$L442&amp;"")="n/a")),"Disqualified Status; ",""))</x:f>
      </x:c>
      <x:c r="G442" s="331" t="str">
        <x:f>IF($A442="","",IFERROR('Game Records'!$M442,""))</x:f>
      </x:c>
    </x:row>
    <x:row r="443">
      <x:c r="A443" s="332" t="str">
        <x:f>IF(OR(COUNTA('Game Records'!$A443:$M443)=0,'Game Records'!$F443="Subscription"),"",IFERROR(MAX($A$4:A442),0)+1)</x:f>
      </x:c>
      <x:c r="B443" s="332" t="str">
        <x:f>IF($A443="","","G-"&amp;TEXT(ROW('Game Records'!$A443)-4,"0000"))</x:f>
      </x:c>
      <x:c r="C443" s="331" t="str">
        <x:f>IF($A443="","",IFERROR('Game Records'!$A443,""))</x:f>
      </x:c>
      <x:c r="D443" s="331" t="str">
        <x:f>IF($A443="","",IFERROR('Game Records'!$U443,""))</x:f>
      </x:c>
      <x:c r="E443" s="331" t="str">
        <x:f>IF($A443="","",IF($F443="","No Highlighted Fields","Highlighted Fields Present"))</x:f>
      </x:c>
      <x:c r="F443" s="331" t="str">
        <x:f>IF($A443="","",IF('Game Records'!$B443="","Start Date; ","")&amp;IF('Game Records'!$C443="","End Date; ","")&amp;IF(AND('Game Records'!$U443&lt;&gt;"Subscription",'Game Records'!$U443&lt;&gt;"Free Game",'Game Records'!$U443&lt;&gt;"Disqualified — Free Game",OR('Game Records'!$D443="",LOWER('Game Records'!$D443&amp;"")="n/a")),"Entry Mode; ","")&amp;IF(AND('Game Records'!$U443&lt;&gt;"Subscription",'Game Records'!$U443&lt;&gt;"Free Game",'Game Records'!$U443&lt;&gt;"Disqualified — Free Game",OR('Game Records'!$E443="",LOWER('Game Records'!$E443&amp;"")="n/a")),"Game Type; ","")&amp;IF('Game Records'!$F443="","Payment Type; ","")&amp;IF(AND('Game Records'!$U443&lt;&gt;"Subscription",'Game Records'!$U443&lt;&gt;"Free Game",'Game Records'!$U443&lt;&gt;"Disqualified — Free Game",'Game Records'!$G443=""),"Gross Pot; ","")&amp;IF(AND('Game Records'!$U443&lt;&gt;"Free Game",'Game Records'!$U443&lt;&gt;"Disqualified — Free Game",'Game Records'!$H443=""),"Entry Fee; ","")&amp;IF(AND('Game Records'!$U443&lt;&gt;"Subscription",'Game Records'!$U443&lt;&gt;"Free Game",'Game Records'!$U443&lt;&gt;"Disqualified — Free Game",'Game Records'!$I443=""),"Eligible Players; ","")&amp;IF(AND('Game Records'!$U443&lt;&gt;"Subscription",'Game Records'!$U443&lt;&gt;"Free Game",'Game Records'!$U443&lt;&gt;"Disqualified — Free Game",'Game Records'!$J443=""),"Total Players; ","")&amp;IF(AND(LOWER('Game Records'!$D443&amp;"")="finalized",LOWER('Game Records'!$L443&amp;"")&lt;&gt;"yes",'Game Records'!$U443&lt;&gt;"Subscription",'Game Records'!$U443&lt;&gt;"Free Game",'Game Records'!$U443&lt;&gt;"Disqualified — Free Game",'Game Records'!$K443=""),"Final Earned; ","")&amp;IF(AND(LOWER('Game Records'!$D443&amp;"")="finalized",'Game Records'!$U443&lt;&gt;"Subscription",'Game Records'!$U443&lt;&gt;"Free Game",'Game Records'!$U443&lt;&gt;"Disqualified — Free Game",OR('Game Records'!$L443="",LOWER('Game Records'!$L443&amp;"")="n/a")),"Disqualified Status; ",""))</x:f>
      </x:c>
      <x:c r="G443" s="331" t="str">
        <x:f>IF($A443="","",IFERROR('Game Records'!$M443,""))</x:f>
      </x:c>
    </x:row>
    <x:row r="444">
      <x:c r="A444" s="332" t="str">
        <x:f>IF(OR(COUNTA('Game Records'!$A444:$M444)=0,'Game Records'!$F444="Subscription"),"",IFERROR(MAX($A$4:A443),0)+1)</x:f>
      </x:c>
      <x:c r="B444" s="332" t="str">
        <x:f>IF($A444="","","G-"&amp;TEXT(ROW('Game Records'!$A444)-4,"0000"))</x:f>
      </x:c>
      <x:c r="C444" s="331" t="str">
        <x:f>IF($A444="","",IFERROR('Game Records'!$A444,""))</x:f>
      </x:c>
      <x:c r="D444" s="331" t="str">
        <x:f>IF($A444="","",IFERROR('Game Records'!$U444,""))</x:f>
      </x:c>
      <x:c r="E444" s="331" t="str">
        <x:f>IF($A444="","",IF($F444="","No Highlighted Fields","Highlighted Fields Present"))</x:f>
      </x:c>
      <x:c r="F444" s="331" t="str">
        <x:f>IF($A444="","",IF('Game Records'!$B444="","Start Date; ","")&amp;IF('Game Records'!$C444="","End Date; ","")&amp;IF(AND('Game Records'!$U444&lt;&gt;"Subscription",'Game Records'!$U444&lt;&gt;"Free Game",'Game Records'!$U444&lt;&gt;"Disqualified — Free Game",OR('Game Records'!$D444="",LOWER('Game Records'!$D444&amp;"")="n/a")),"Entry Mode; ","")&amp;IF(AND('Game Records'!$U444&lt;&gt;"Subscription",'Game Records'!$U444&lt;&gt;"Free Game",'Game Records'!$U444&lt;&gt;"Disqualified — Free Game",OR('Game Records'!$E444="",LOWER('Game Records'!$E444&amp;"")="n/a")),"Game Type; ","")&amp;IF('Game Records'!$F444="","Payment Type; ","")&amp;IF(AND('Game Records'!$U444&lt;&gt;"Subscription",'Game Records'!$U444&lt;&gt;"Free Game",'Game Records'!$U444&lt;&gt;"Disqualified — Free Game",'Game Records'!$G444=""),"Gross Pot; ","")&amp;IF(AND('Game Records'!$U444&lt;&gt;"Free Game",'Game Records'!$U444&lt;&gt;"Disqualified — Free Game",'Game Records'!$H444=""),"Entry Fee; ","")&amp;IF(AND('Game Records'!$U444&lt;&gt;"Subscription",'Game Records'!$U444&lt;&gt;"Free Game",'Game Records'!$U444&lt;&gt;"Disqualified — Free Game",'Game Records'!$I444=""),"Eligible Players; ","")&amp;IF(AND('Game Records'!$U444&lt;&gt;"Subscription",'Game Records'!$U444&lt;&gt;"Free Game",'Game Records'!$U444&lt;&gt;"Disqualified — Free Game",'Game Records'!$J444=""),"Total Players; ","")&amp;IF(AND(LOWER('Game Records'!$D444&amp;"")="finalized",LOWER('Game Records'!$L444&amp;"")&lt;&gt;"yes",'Game Records'!$U444&lt;&gt;"Subscription",'Game Records'!$U444&lt;&gt;"Free Game",'Game Records'!$U444&lt;&gt;"Disqualified — Free Game",'Game Records'!$K444=""),"Final Earned; ","")&amp;IF(AND(LOWER('Game Records'!$D444&amp;"")="finalized",'Game Records'!$U444&lt;&gt;"Subscription",'Game Records'!$U444&lt;&gt;"Free Game",'Game Records'!$U444&lt;&gt;"Disqualified — Free Game",OR('Game Records'!$L444="",LOWER('Game Records'!$L444&amp;"")="n/a")),"Disqualified Status; ",""))</x:f>
      </x:c>
      <x:c r="G444" s="331" t="str">
        <x:f>IF($A444="","",IFERROR('Game Records'!$M444,""))</x:f>
      </x:c>
    </x:row>
    <x:row r="445">
      <x:c r="A445" s="332" t="str">
        <x:f>IF(OR(COUNTA('Game Records'!$A445:$M445)=0,'Game Records'!$F445="Subscription"),"",IFERROR(MAX($A$4:A444),0)+1)</x:f>
      </x:c>
      <x:c r="B445" s="332" t="str">
        <x:f>IF($A445="","","G-"&amp;TEXT(ROW('Game Records'!$A445)-4,"0000"))</x:f>
      </x:c>
      <x:c r="C445" s="331" t="str">
        <x:f>IF($A445="","",IFERROR('Game Records'!$A445,""))</x:f>
      </x:c>
      <x:c r="D445" s="331" t="str">
        <x:f>IF($A445="","",IFERROR('Game Records'!$U445,""))</x:f>
      </x:c>
      <x:c r="E445" s="331" t="str">
        <x:f>IF($A445="","",IF($F445="","No Highlighted Fields","Highlighted Fields Present"))</x:f>
      </x:c>
      <x:c r="F445" s="331" t="str">
        <x:f>IF($A445="","",IF('Game Records'!$B445="","Start Date; ","")&amp;IF('Game Records'!$C445="","End Date; ","")&amp;IF(AND('Game Records'!$U445&lt;&gt;"Subscription",'Game Records'!$U445&lt;&gt;"Free Game",'Game Records'!$U445&lt;&gt;"Disqualified — Free Game",OR('Game Records'!$D445="",LOWER('Game Records'!$D445&amp;"")="n/a")),"Entry Mode; ","")&amp;IF(AND('Game Records'!$U445&lt;&gt;"Subscription",'Game Records'!$U445&lt;&gt;"Free Game",'Game Records'!$U445&lt;&gt;"Disqualified — Free Game",OR('Game Records'!$E445="",LOWER('Game Records'!$E445&amp;"")="n/a")),"Game Type; ","")&amp;IF('Game Records'!$F445="","Payment Type; ","")&amp;IF(AND('Game Records'!$U445&lt;&gt;"Subscription",'Game Records'!$U445&lt;&gt;"Free Game",'Game Records'!$U445&lt;&gt;"Disqualified — Free Game",'Game Records'!$G445=""),"Gross Pot; ","")&amp;IF(AND('Game Records'!$U445&lt;&gt;"Free Game",'Game Records'!$U445&lt;&gt;"Disqualified — Free Game",'Game Records'!$H445=""),"Entry Fee; ","")&amp;IF(AND('Game Records'!$U445&lt;&gt;"Subscription",'Game Records'!$U445&lt;&gt;"Free Game",'Game Records'!$U445&lt;&gt;"Disqualified — Free Game",'Game Records'!$I445=""),"Eligible Players; ","")&amp;IF(AND('Game Records'!$U445&lt;&gt;"Subscription",'Game Records'!$U445&lt;&gt;"Free Game",'Game Records'!$U445&lt;&gt;"Disqualified — Free Game",'Game Records'!$J445=""),"Total Players; ","")&amp;IF(AND(LOWER('Game Records'!$D445&amp;"")="finalized",LOWER('Game Records'!$L445&amp;"")&lt;&gt;"yes",'Game Records'!$U445&lt;&gt;"Subscription",'Game Records'!$U445&lt;&gt;"Free Game",'Game Records'!$U445&lt;&gt;"Disqualified — Free Game",'Game Records'!$K445=""),"Final Earned; ","")&amp;IF(AND(LOWER('Game Records'!$D445&amp;"")="finalized",'Game Records'!$U445&lt;&gt;"Subscription",'Game Records'!$U445&lt;&gt;"Free Game",'Game Records'!$U445&lt;&gt;"Disqualified — Free Game",OR('Game Records'!$L445="",LOWER('Game Records'!$L445&amp;"")="n/a")),"Disqualified Status; ",""))</x:f>
      </x:c>
      <x:c r="G445" s="331" t="str">
        <x:f>IF($A445="","",IFERROR('Game Records'!$M445,""))</x:f>
      </x:c>
    </x:row>
    <x:row r="446">
      <x:c r="A446" s="332" t="str">
        <x:f>IF(OR(COUNTA('Game Records'!$A446:$M446)=0,'Game Records'!$F446="Subscription"),"",IFERROR(MAX($A$4:A445),0)+1)</x:f>
      </x:c>
      <x:c r="B446" s="332" t="str">
        <x:f>IF($A446="","","G-"&amp;TEXT(ROW('Game Records'!$A446)-4,"0000"))</x:f>
      </x:c>
      <x:c r="C446" s="331" t="str">
        <x:f>IF($A446="","",IFERROR('Game Records'!$A446,""))</x:f>
      </x:c>
      <x:c r="D446" s="331" t="str">
        <x:f>IF($A446="","",IFERROR('Game Records'!$U446,""))</x:f>
      </x:c>
      <x:c r="E446" s="331" t="str">
        <x:f>IF($A446="","",IF($F446="","No Highlighted Fields","Highlighted Fields Present"))</x:f>
      </x:c>
      <x:c r="F446" s="331" t="str">
        <x:f>IF($A446="","",IF('Game Records'!$B446="","Start Date; ","")&amp;IF('Game Records'!$C446="","End Date; ","")&amp;IF(AND('Game Records'!$U446&lt;&gt;"Subscription",'Game Records'!$U446&lt;&gt;"Free Game",'Game Records'!$U446&lt;&gt;"Disqualified — Free Game",OR('Game Records'!$D446="",LOWER('Game Records'!$D446&amp;"")="n/a")),"Entry Mode; ","")&amp;IF(AND('Game Records'!$U446&lt;&gt;"Subscription",'Game Records'!$U446&lt;&gt;"Free Game",'Game Records'!$U446&lt;&gt;"Disqualified — Free Game",OR('Game Records'!$E446="",LOWER('Game Records'!$E446&amp;"")="n/a")),"Game Type; ","")&amp;IF('Game Records'!$F446="","Payment Type; ","")&amp;IF(AND('Game Records'!$U446&lt;&gt;"Subscription",'Game Records'!$U446&lt;&gt;"Free Game",'Game Records'!$U446&lt;&gt;"Disqualified — Free Game",'Game Records'!$G446=""),"Gross Pot; ","")&amp;IF(AND('Game Records'!$U446&lt;&gt;"Free Game",'Game Records'!$U446&lt;&gt;"Disqualified — Free Game",'Game Records'!$H446=""),"Entry Fee; ","")&amp;IF(AND('Game Records'!$U446&lt;&gt;"Subscription",'Game Records'!$U446&lt;&gt;"Free Game",'Game Records'!$U446&lt;&gt;"Disqualified — Free Game",'Game Records'!$I446=""),"Eligible Players; ","")&amp;IF(AND('Game Records'!$U446&lt;&gt;"Subscription",'Game Records'!$U446&lt;&gt;"Free Game",'Game Records'!$U446&lt;&gt;"Disqualified — Free Game",'Game Records'!$J446=""),"Total Players; ","")&amp;IF(AND(LOWER('Game Records'!$D446&amp;"")="finalized",LOWER('Game Records'!$L446&amp;"")&lt;&gt;"yes",'Game Records'!$U446&lt;&gt;"Subscription",'Game Records'!$U446&lt;&gt;"Free Game",'Game Records'!$U446&lt;&gt;"Disqualified — Free Game",'Game Records'!$K446=""),"Final Earned; ","")&amp;IF(AND(LOWER('Game Records'!$D446&amp;"")="finalized",'Game Records'!$U446&lt;&gt;"Subscription",'Game Records'!$U446&lt;&gt;"Free Game",'Game Records'!$U446&lt;&gt;"Disqualified — Free Game",OR('Game Records'!$L446="",LOWER('Game Records'!$L446&amp;"")="n/a")),"Disqualified Status; ",""))</x:f>
      </x:c>
      <x:c r="G446" s="331" t="str">
        <x:f>IF($A446="","",IFERROR('Game Records'!$M446,""))</x:f>
      </x:c>
    </x:row>
    <x:row r="447">
      <x:c r="A447" s="332" t="str">
        <x:f>IF(OR(COUNTA('Game Records'!$A447:$M447)=0,'Game Records'!$F447="Subscription"),"",IFERROR(MAX($A$4:A446),0)+1)</x:f>
      </x:c>
      <x:c r="B447" s="332" t="str">
        <x:f>IF($A447="","","G-"&amp;TEXT(ROW('Game Records'!$A447)-4,"0000"))</x:f>
      </x:c>
      <x:c r="C447" s="331" t="str">
        <x:f>IF($A447="","",IFERROR('Game Records'!$A447,""))</x:f>
      </x:c>
      <x:c r="D447" s="331" t="str">
        <x:f>IF($A447="","",IFERROR('Game Records'!$U447,""))</x:f>
      </x:c>
      <x:c r="E447" s="331" t="str">
        <x:f>IF($A447="","",IF($F447="","No Highlighted Fields","Highlighted Fields Present"))</x:f>
      </x:c>
      <x:c r="F447" s="331" t="str">
        <x:f>IF($A447="","",IF('Game Records'!$B447="","Start Date; ","")&amp;IF('Game Records'!$C447="","End Date; ","")&amp;IF(AND('Game Records'!$U447&lt;&gt;"Subscription",'Game Records'!$U447&lt;&gt;"Free Game",'Game Records'!$U447&lt;&gt;"Disqualified — Free Game",OR('Game Records'!$D447="",LOWER('Game Records'!$D447&amp;"")="n/a")),"Entry Mode; ","")&amp;IF(AND('Game Records'!$U447&lt;&gt;"Subscription",'Game Records'!$U447&lt;&gt;"Free Game",'Game Records'!$U447&lt;&gt;"Disqualified — Free Game",OR('Game Records'!$E447="",LOWER('Game Records'!$E447&amp;"")="n/a")),"Game Type; ","")&amp;IF('Game Records'!$F447="","Payment Type; ","")&amp;IF(AND('Game Records'!$U447&lt;&gt;"Subscription",'Game Records'!$U447&lt;&gt;"Free Game",'Game Records'!$U447&lt;&gt;"Disqualified — Free Game",'Game Records'!$G447=""),"Gross Pot; ","")&amp;IF(AND('Game Records'!$U447&lt;&gt;"Free Game",'Game Records'!$U447&lt;&gt;"Disqualified — Free Game",'Game Records'!$H447=""),"Entry Fee; ","")&amp;IF(AND('Game Records'!$U447&lt;&gt;"Subscription",'Game Records'!$U447&lt;&gt;"Free Game",'Game Records'!$U447&lt;&gt;"Disqualified — Free Game",'Game Records'!$I447=""),"Eligible Players; ","")&amp;IF(AND('Game Records'!$U447&lt;&gt;"Subscription",'Game Records'!$U447&lt;&gt;"Free Game",'Game Records'!$U447&lt;&gt;"Disqualified — Free Game",'Game Records'!$J447=""),"Total Players; ","")&amp;IF(AND(LOWER('Game Records'!$D447&amp;"")="finalized",LOWER('Game Records'!$L447&amp;"")&lt;&gt;"yes",'Game Records'!$U447&lt;&gt;"Subscription",'Game Records'!$U447&lt;&gt;"Free Game",'Game Records'!$U447&lt;&gt;"Disqualified — Free Game",'Game Records'!$K447=""),"Final Earned; ","")&amp;IF(AND(LOWER('Game Records'!$D447&amp;"")="finalized",'Game Records'!$U447&lt;&gt;"Subscription",'Game Records'!$U447&lt;&gt;"Free Game",'Game Records'!$U447&lt;&gt;"Disqualified — Free Game",OR('Game Records'!$L447="",LOWER('Game Records'!$L447&amp;"")="n/a")),"Disqualified Status; ",""))</x:f>
      </x:c>
      <x:c r="G447" s="331" t="str">
        <x:f>IF($A447="","",IFERROR('Game Records'!$M447,""))</x:f>
      </x:c>
    </x:row>
    <x:row r="448">
      <x:c r="A448" s="332" t="str">
        <x:f>IF(OR(COUNTA('Game Records'!$A448:$M448)=0,'Game Records'!$F448="Subscription"),"",IFERROR(MAX($A$4:A447),0)+1)</x:f>
      </x:c>
      <x:c r="B448" s="332" t="str">
        <x:f>IF($A448="","","G-"&amp;TEXT(ROW('Game Records'!$A448)-4,"0000"))</x:f>
      </x:c>
      <x:c r="C448" s="331" t="str">
        <x:f>IF($A448="","",IFERROR('Game Records'!$A448,""))</x:f>
      </x:c>
      <x:c r="D448" s="331" t="str">
        <x:f>IF($A448="","",IFERROR('Game Records'!$U448,""))</x:f>
      </x:c>
      <x:c r="E448" s="331" t="str">
        <x:f>IF($A448="","",IF($F448="","No Highlighted Fields","Highlighted Fields Present"))</x:f>
      </x:c>
      <x:c r="F448" s="331" t="str">
        <x:f>IF($A448="","",IF('Game Records'!$B448="","Start Date; ","")&amp;IF('Game Records'!$C448="","End Date; ","")&amp;IF(AND('Game Records'!$U448&lt;&gt;"Subscription",'Game Records'!$U448&lt;&gt;"Free Game",'Game Records'!$U448&lt;&gt;"Disqualified — Free Game",OR('Game Records'!$D448="",LOWER('Game Records'!$D448&amp;"")="n/a")),"Entry Mode; ","")&amp;IF(AND('Game Records'!$U448&lt;&gt;"Subscription",'Game Records'!$U448&lt;&gt;"Free Game",'Game Records'!$U448&lt;&gt;"Disqualified — Free Game",OR('Game Records'!$E448="",LOWER('Game Records'!$E448&amp;"")="n/a")),"Game Type; ","")&amp;IF('Game Records'!$F448="","Payment Type; ","")&amp;IF(AND('Game Records'!$U448&lt;&gt;"Subscription",'Game Records'!$U448&lt;&gt;"Free Game",'Game Records'!$U448&lt;&gt;"Disqualified — Free Game",'Game Records'!$G448=""),"Gross Pot; ","")&amp;IF(AND('Game Records'!$U448&lt;&gt;"Free Game",'Game Records'!$U448&lt;&gt;"Disqualified — Free Game",'Game Records'!$H448=""),"Entry Fee; ","")&amp;IF(AND('Game Records'!$U448&lt;&gt;"Subscription",'Game Records'!$U448&lt;&gt;"Free Game",'Game Records'!$U448&lt;&gt;"Disqualified — Free Game",'Game Records'!$I448=""),"Eligible Players; ","")&amp;IF(AND('Game Records'!$U448&lt;&gt;"Subscription",'Game Records'!$U448&lt;&gt;"Free Game",'Game Records'!$U448&lt;&gt;"Disqualified — Free Game",'Game Records'!$J448=""),"Total Players; ","")&amp;IF(AND(LOWER('Game Records'!$D448&amp;"")="finalized",LOWER('Game Records'!$L448&amp;"")&lt;&gt;"yes",'Game Records'!$U448&lt;&gt;"Subscription",'Game Records'!$U448&lt;&gt;"Free Game",'Game Records'!$U448&lt;&gt;"Disqualified — Free Game",'Game Records'!$K448=""),"Final Earned; ","")&amp;IF(AND(LOWER('Game Records'!$D448&amp;"")="finalized",'Game Records'!$U448&lt;&gt;"Subscription",'Game Records'!$U448&lt;&gt;"Free Game",'Game Records'!$U448&lt;&gt;"Disqualified — Free Game",OR('Game Records'!$L448="",LOWER('Game Records'!$L448&amp;"")="n/a")),"Disqualified Status; ",""))</x:f>
      </x:c>
      <x:c r="G448" s="331" t="str">
        <x:f>IF($A448="","",IFERROR('Game Records'!$M448,""))</x:f>
      </x:c>
    </x:row>
    <x:row r="449">
      <x:c r="A449" s="332" t="str">
        <x:f>IF(OR(COUNTA('Game Records'!$A449:$M449)=0,'Game Records'!$F449="Subscription"),"",IFERROR(MAX($A$4:A448),0)+1)</x:f>
      </x:c>
      <x:c r="B449" s="332" t="str">
        <x:f>IF($A449="","","G-"&amp;TEXT(ROW('Game Records'!$A449)-4,"0000"))</x:f>
      </x:c>
      <x:c r="C449" s="331" t="str">
        <x:f>IF($A449="","",IFERROR('Game Records'!$A449,""))</x:f>
      </x:c>
      <x:c r="D449" s="331" t="str">
        <x:f>IF($A449="","",IFERROR('Game Records'!$U449,""))</x:f>
      </x:c>
      <x:c r="E449" s="331" t="str">
        <x:f>IF($A449="","",IF($F449="","No Highlighted Fields","Highlighted Fields Present"))</x:f>
      </x:c>
      <x:c r="F449" s="331" t="str">
        <x:f>IF($A449="","",IF('Game Records'!$B449="","Start Date; ","")&amp;IF('Game Records'!$C449="","End Date; ","")&amp;IF(AND('Game Records'!$U449&lt;&gt;"Subscription",'Game Records'!$U449&lt;&gt;"Free Game",'Game Records'!$U449&lt;&gt;"Disqualified — Free Game",OR('Game Records'!$D449="",LOWER('Game Records'!$D449&amp;"")="n/a")),"Entry Mode; ","")&amp;IF(AND('Game Records'!$U449&lt;&gt;"Subscription",'Game Records'!$U449&lt;&gt;"Free Game",'Game Records'!$U449&lt;&gt;"Disqualified — Free Game",OR('Game Records'!$E449="",LOWER('Game Records'!$E449&amp;"")="n/a")),"Game Type; ","")&amp;IF('Game Records'!$F449="","Payment Type; ","")&amp;IF(AND('Game Records'!$U449&lt;&gt;"Subscription",'Game Records'!$U449&lt;&gt;"Free Game",'Game Records'!$U449&lt;&gt;"Disqualified — Free Game",'Game Records'!$G449=""),"Gross Pot; ","")&amp;IF(AND('Game Records'!$U449&lt;&gt;"Free Game",'Game Records'!$U449&lt;&gt;"Disqualified — Free Game",'Game Records'!$H449=""),"Entry Fee; ","")&amp;IF(AND('Game Records'!$U449&lt;&gt;"Subscription",'Game Records'!$U449&lt;&gt;"Free Game",'Game Records'!$U449&lt;&gt;"Disqualified — Free Game",'Game Records'!$I449=""),"Eligible Players; ","")&amp;IF(AND('Game Records'!$U449&lt;&gt;"Subscription",'Game Records'!$U449&lt;&gt;"Free Game",'Game Records'!$U449&lt;&gt;"Disqualified — Free Game",'Game Records'!$J449=""),"Total Players; ","")&amp;IF(AND(LOWER('Game Records'!$D449&amp;"")="finalized",LOWER('Game Records'!$L449&amp;"")&lt;&gt;"yes",'Game Records'!$U449&lt;&gt;"Subscription",'Game Records'!$U449&lt;&gt;"Free Game",'Game Records'!$U449&lt;&gt;"Disqualified — Free Game",'Game Records'!$K449=""),"Final Earned; ","")&amp;IF(AND(LOWER('Game Records'!$D449&amp;"")="finalized",'Game Records'!$U449&lt;&gt;"Subscription",'Game Records'!$U449&lt;&gt;"Free Game",'Game Records'!$U449&lt;&gt;"Disqualified — Free Game",OR('Game Records'!$L449="",LOWER('Game Records'!$L449&amp;"")="n/a")),"Disqualified Status; ",""))</x:f>
      </x:c>
      <x:c r="G449" s="331" t="str">
        <x:f>IF($A449="","",IFERROR('Game Records'!$M449,""))</x:f>
      </x:c>
    </x:row>
    <x:row r="450">
      <x:c r="A450" s="332" t="str">
        <x:f>IF(OR(COUNTA('Game Records'!$A450:$M450)=0,'Game Records'!$F450="Subscription"),"",IFERROR(MAX($A$4:A449),0)+1)</x:f>
      </x:c>
      <x:c r="B450" s="332" t="str">
        <x:f>IF($A450="","","G-"&amp;TEXT(ROW('Game Records'!$A450)-4,"0000"))</x:f>
      </x:c>
      <x:c r="C450" s="331" t="str">
        <x:f>IF($A450="","",IFERROR('Game Records'!$A450,""))</x:f>
      </x:c>
      <x:c r="D450" s="331" t="str">
        <x:f>IF($A450="","",IFERROR('Game Records'!$U450,""))</x:f>
      </x:c>
      <x:c r="E450" s="331" t="str">
        <x:f>IF($A450="","",IF($F450="","No Highlighted Fields","Highlighted Fields Present"))</x:f>
      </x:c>
      <x:c r="F450" s="331" t="str">
        <x:f>IF($A450="","",IF('Game Records'!$B450="","Start Date; ","")&amp;IF('Game Records'!$C450="","End Date; ","")&amp;IF(AND('Game Records'!$U450&lt;&gt;"Subscription",'Game Records'!$U450&lt;&gt;"Free Game",'Game Records'!$U450&lt;&gt;"Disqualified — Free Game",OR('Game Records'!$D450="",LOWER('Game Records'!$D450&amp;"")="n/a")),"Entry Mode; ","")&amp;IF(AND('Game Records'!$U450&lt;&gt;"Subscription",'Game Records'!$U450&lt;&gt;"Free Game",'Game Records'!$U450&lt;&gt;"Disqualified — Free Game",OR('Game Records'!$E450="",LOWER('Game Records'!$E450&amp;"")="n/a")),"Game Type; ","")&amp;IF('Game Records'!$F450="","Payment Type; ","")&amp;IF(AND('Game Records'!$U450&lt;&gt;"Subscription",'Game Records'!$U450&lt;&gt;"Free Game",'Game Records'!$U450&lt;&gt;"Disqualified — Free Game",'Game Records'!$G450=""),"Gross Pot; ","")&amp;IF(AND('Game Records'!$U450&lt;&gt;"Free Game",'Game Records'!$U450&lt;&gt;"Disqualified — Free Game",'Game Records'!$H450=""),"Entry Fee; ","")&amp;IF(AND('Game Records'!$U450&lt;&gt;"Subscription",'Game Records'!$U450&lt;&gt;"Free Game",'Game Records'!$U450&lt;&gt;"Disqualified — Free Game",'Game Records'!$I450=""),"Eligible Players; ","")&amp;IF(AND('Game Records'!$U450&lt;&gt;"Subscription",'Game Records'!$U450&lt;&gt;"Free Game",'Game Records'!$U450&lt;&gt;"Disqualified — Free Game",'Game Records'!$J450=""),"Total Players; ","")&amp;IF(AND(LOWER('Game Records'!$D450&amp;"")="finalized",LOWER('Game Records'!$L450&amp;"")&lt;&gt;"yes",'Game Records'!$U450&lt;&gt;"Subscription",'Game Records'!$U450&lt;&gt;"Free Game",'Game Records'!$U450&lt;&gt;"Disqualified — Free Game",'Game Records'!$K450=""),"Final Earned; ","")&amp;IF(AND(LOWER('Game Records'!$D450&amp;"")="finalized",'Game Records'!$U450&lt;&gt;"Subscription",'Game Records'!$U450&lt;&gt;"Free Game",'Game Records'!$U450&lt;&gt;"Disqualified — Free Game",OR('Game Records'!$L450="",LOWER('Game Records'!$L450&amp;"")="n/a")),"Disqualified Status; ",""))</x:f>
      </x:c>
      <x:c r="G450" s="331" t="str">
        <x:f>IF($A450="","",IFERROR('Game Records'!$M450,""))</x:f>
      </x:c>
    </x:row>
    <x:row r="451">
      <x:c r="A451" s="332" t="str">
        <x:f>IF(OR(COUNTA('Game Records'!$A451:$M451)=0,'Game Records'!$F451="Subscription"),"",IFERROR(MAX($A$4:A450),0)+1)</x:f>
      </x:c>
      <x:c r="B451" s="332" t="str">
        <x:f>IF($A451="","","G-"&amp;TEXT(ROW('Game Records'!$A451)-4,"0000"))</x:f>
      </x:c>
      <x:c r="C451" s="331" t="str">
        <x:f>IF($A451="","",IFERROR('Game Records'!$A451,""))</x:f>
      </x:c>
      <x:c r="D451" s="331" t="str">
        <x:f>IF($A451="","",IFERROR('Game Records'!$U451,""))</x:f>
      </x:c>
      <x:c r="E451" s="331" t="str">
        <x:f>IF($A451="","",IF($F451="","No Highlighted Fields","Highlighted Fields Present"))</x:f>
      </x:c>
      <x:c r="F451" s="331" t="str">
        <x:f>IF($A451="","",IF('Game Records'!$B451="","Start Date; ","")&amp;IF('Game Records'!$C451="","End Date; ","")&amp;IF(AND('Game Records'!$U451&lt;&gt;"Subscription",'Game Records'!$U451&lt;&gt;"Free Game",'Game Records'!$U451&lt;&gt;"Disqualified — Free Game",OR('Game Records'!$D451="",LOWER('Game Records'!$D451&amp;"")="n/a")),"Entry Mode; ","")&amp;IF(AND('Game Records'!$U451&lt;&gt;"Subscription",'Game Records'!$U451&lt;&gt;"Free Game",'Game Records'!$U451&lt;&gt;"Disqualified — Free Game",OR('Game Records'!$E451="",LOWER('Game Records'!$E451&amp;"")="n/a")),"Game Type; ","")&amp;IF('Game Records'!$F451="","Payment Type; ","")&amp;IF(AND('Game Records'!$U451&lt;&gt;"Subscription",'Game Records'!$U451&lt;&gt;"Free Game",'Game Records'!$U451&lt;&gt;"Disqualified — Free Game",'Game Records'!$G451=""),"Gross Pot; ","")&amp;IF(AND('Game Records'!$U451&lt;&gt;"Free Game",'Game Records'!$U451&lt;&gt;"Disqualified — Free Game",'Game Records'!$H451=""),"Entry Fee; ","")&amp;IF(AND('Game Records'!$U451&lt;&gt;"Subscription",'Game Records'!$U451&lt;&gt;"Free Game",'Game Records'!$U451&lt;&gt;"Disqualified — Free Game",'Game Records'!$I451=""),"Eligible Players; ","")&amp;IF(AND('Game Records'!$U451&lt;&gt;"Subscription",'Game Records'!$U451&lt;&gt;"Free Game",'Game Records'!$U451&lt;&gt;"Disqualified — Free Game",'Game Records'!$J451=""),"Total Players; ","")&amp;IF(AND(LOWER('Game Records'!$D451&amp;"")="finalized",LOWER('Game Records'!$L451&amp;"")&lt;&gt;"yes",'Game Records'!$U451&lt;&gt;"Subscription",'Game Records'!$U451&lt;&gt;"Free Game",'Game Records'!$U451&lt;&gt;"Disqualified — Free Game",'Game Records'!$K451=""),"Final Earned; ","")&amp;IF(AND(LOWER('Game Records'!$D451&amp;"")="finalized",'Game Records'!$U451&lt;&gt;"Subscription",'Game Records'!$U451&lt;&gt;"Free Game",'Game Records'!$U451&lt;&gt;"Disqualified — Free Game",OR('Game Records'!$L451="",LOWER('Game Records'!$L451&amp;"")="n/a")),"Disqualified Status; ",""))</x:f>
      </x:c>
      <x:c r="G451" s="331" t="str">
        <x:f>IF($A451="","",IFERROR('Game Records'!$M451,""))</x:f>
      </x:c>
    </x:row>
    <x:row r="452">
      <x:c r="A452" s="332" t="str">
        <x:f>IF(OR(COUNTA('Game Records'!$A452:$M452)=0,'Game Records'!$F452="Subscription"),"",IFERROR(MAX($A$4:A451),0)+1)</x:f>
      </x:c>
      <x:c r="B452" s="332" t="str">
        <x:f>IF($A452="","","G-"&amp;TEXT(ROW('Game Records'!$A452)-4,"0000"))</x:f>
      </x:c>
      <x:c r="C452" s="331" t="str">
        <x:f>IF($A452="","",IFERROR('Game Records'!$A452,""))</x:f>
      </x:c>
      <x:c r="D452" s="331" t="str">
        <x:f>IF($A452="","",IFERROR('Game Records'!$U452,""))</x:f>
      </x:c>
      <x:c r="E452" s="331" t="str">
        <x:f>IF($A452="","",IF($F452="","No Highlighted Fields","Highlighted Fields Present"))</x:f>
      </x:c>
      <x:c r="F452" s="331" t="str">
        <x:f>IF($A452="","",IF('Game Records'!$B452="","Start Date; ","")&amp;IF('Game Records'!$C452="","End Date; ","")&amp;IF(AND('Game Records'!$U452&lt;&gt;"Subscription",'Game Records'!$U452&lt;&gt;"Free Game",'Game Records'!$U452&lt;&gt;"Disqualified — Free Game",OR('Game Records'!$D452="",LOWER('Game Records'!$D452&amp;"")="n/a")),"Entry Mode; ","")&amp;IF(AND('Game Records'!$U452&lt;&gt;"Subscription",'Game Records'!$U452&lt;&gt;"Free Game",'Game Records'!$U452&lt;&gt;"Disqualified — Free Game",OR('Game Records'!$E452="",LOWER('Game Records'!$E452&amp;"")="n/a")),"Game Type; ","")&amp;IF('Game Records'!$F452="","Payment Type; ","")&amp;IF(AND('Game Records'!$U452&lt;&gt;"Subscription",'Game Records'!$U452&lt;&gt;"Free Game",'Game Records'!$U452&lt;&gt;"Disqualified — Free Game",'Game Records'!$G452=""),"Gross Pot; ","")&amp;IF(AND('Game Records'!$U452&lt;&gt;"Free Game",'Game Records'!$U452&lt;&gt;"Disqualified — Free Game",'Game Records'!$H452=""),"Entry Fee; ","")&amp;IF(AND('Game Records'!$U452&lt;&gt;"Subscription",'Game Records'!$U452&lt;&gt;"Free Game",'Game Records'!$U452&lt;&gt;"Disqualified — Free Game",'Game Records'!$I452=""),"Eligible Players; ","")&amp;IF(AND('Game Records'!$U452&lt;&gt;"Subscription",'Game Records'!$U452&lt;&gt;"Free Game",'Game Records'!$U452&lt;&gt;"Disqualified — Free Game",'Game Records'!$J452=""),"Total Players; ","")&amp;IF(AND(LOWER('Game Records'!$D452&amp;"")="finalized",LOWER('Game Records'!$L452&amp;"")&lt;&gt;"yes",'Game Records'!$U452&lt;&gt;"Subscription",'Game Records'!$U452&lt;&gt;"Free Game",'Game Records'!$U452&lt;&gt;"Disqualified — Free Game",'Game Records'!$K452=""),"Final Earned; ","")&amp;IF(AND(LOWER('Game Records'!$D452&amp;"")="finalized",'Game Records'!$U452&lt;&gt;"Subscription",'Game Records'!$U452&lt;&gt;"Free Game",'Game Records'!$U452&lt;&gt;"Disqualified — Free Game",OR('Game Records'!$L452="",LOWER('Game Records'!$L452&amp;"")="n/a")),"Disqualified Status; ",""))</x:f>
      </x:c>
      <x:c r="G452" s="331" t="str">
        <x:f>IF($A452="","",IFERROR('Game Records'!$M452,""))</x:f>
      </x:c>
    </x:row>
    <x:row r="453">
      <x:c r="A453" s="332" t="str">
        <x:f>IF(OR(COUNTA('Game Records'!$A453:$M453)=0,'Game Records'!$F453="Subscription"),"",IFERROR(MAX($A$4:A452),0)+1)</x:f>
      </x:c>
      <x:c r="B453" s="332" t="str">
        <x:f>IF($A453="","","G-"&amp;TEXT(ROW('Game Records'!$A453)-4,"0000"))</x:f>
      </x:c>
      <x:c r="C453" s="331" t="str">
        <x:f>IF($A453="","",IFERROR('Game Records'!$A453,""))</x:f>
      </x:c>
      <x:c r="D453" s="331" t="str">
        <x:f>IF($A453="","",IFERROR('Game Records'!$U453,""))</x:f>
      </x:c>
      <x:c r="E453" s="331" t="str">
        <x:f>IF($A453="","",IF($F453="","No Highlighted Fields","Highlighted Fields Present"))</x:f>
      </x:c>
      <x:c r="F453" s="331" t="str">
        <x:f>IF($A453="","",IF('Game Records'!$B453="","Start Date; ","")&amp;IF('Game Records'!$C453="","End Date; ","")&amp;IF(AND('Game Records'!$U453&lt;&gt;"Subscription",'Game Records'!$U453&lt;&gt;"Free Game",'Game Records'!$U453&lt;&gt;"Disqualified — Free Game",OR('Game Records'!$D453="",LOWER('Game Records'!$D453&amp;"")="n/a")),"Entry Mode; ","")&amp;IF(AND('Game Records'!$U453&lt;&gt;"Subscription",'Game Records'!$U453&lt;&gt;"Free Game",'Game Records'!$U453&lt;&gt;"Disqualified — Free Game",OR('Game Records'!$E453="",LOWER('Game Records'!$E453&amp;"")="n/a")),"Game Type; ","")&amp;IF('Game Records'!$F453="","Payment Type; ","")&amp;IF(AND('Game Records'!$U453&lt;&gt;"Subscription",'Game Records'!$U453&lt;&gt;"Free Game",'Game Records'!$U453&lt;&gt;"Disqualified — Free Game",'Game Records'!$G453=""),"Gross Pot; ","")&amp;IF(AND('Game Records'!$U453&lt;&gt;"Free Game",'Game Records'!$U453&lt;&gt;"Disqualified — Free Game",'Game Records'!$H453=""),"Entry Fee; ","")&amp;IF(AND('Game Records'!$U453&lt;&gt;"Subscription",'Game Records'!$U453&lt;&gt;"Free Game",'Game Records'!$U453&lt;&gt;"Disqualified — Free Game",'Game Records'!$I453=""),"Eligible Players; ","")&amp;IF(AND('Game Records'!$U453&lt;&gt;"Subscription",'Game Records'!$U453&lt;&gt;"Free Game",'Game Records'!$U453&lt;&gt;"Disqualified — Free Game",'Game Records'!$J453=""),"Total Players; ","")&amp;IF(AND(LOWER('Game Records'!$D453&amp;"")="finalized",LOWER('Game Records'!$L453&amp;"")&lt;&gt;"yes",'Game Records'!$U453&lt;&gt;"Subscription",'Game Records'!$U453&lt;&gt;"Free Game",'Game Records'!$U453&lt;&gt;"Disqualified — Free Game",'Game Records'!$K453=""),"Final Earned; ","")&amp;IF(AND(LOWER('Game Records'!$D453&amp;"")="finalized",'Game Records'!$U453&lt;&gt;"Subscription",'Game Records'!$U453&lt;&gt;"Free Game",'Game Records'!$U453&lt;&gt;"Disqualified — Free Game",OR('Game Records'!$L453="",LOWER('Game Records'!$L453&amp;"")="n/a")),"Disqualified Status; ",""))</x:f>
      </x:c>
      <x:c r="G453" s="331" t="str">
        <x:f>IF($A453="","",IFERROR('Game Records'!$M453,""))</x:f>
      </x:c>
    </x:row>
    <x:row r="454">
      <x:c r="A454" s="332" t="str">
        <x:f>IF(OR(COUNTA('Game Records'!$A454:$M454)=0,'Game Records'!$F454="Subscription"),"",IFERROR(MAX($A$4:A453),0)+1)</x:f>
      </x:c>
      <x:c r="B454" s="332" t="str">
        <x:f>IF($A454="","","G-"&amp;TEXT(ROW('Game Records'!$A454)-4,"0000"))</x:f>
      </x:c>
      <x:c r="C454" s="331" t="str">
        <x:f>IF($A454="","",IFERROR('Game Records'!$A454,""))</x:f>
      </x:c>
      <x:c r="D454" s="331" t="str">
        <x:f>IF($A454="","",IFERROR('Game Records'!$U454,""))</x:f>
      </x:c>
      <x:c r="E454" s="331" t="str">
        <x:f>IF($A454="","",IF($F454="","No Highlighted Fields","Highlighted Fields Present"))</x:f>
      </x:c>
      <x:c r="F454" s="331" t="str">
        <x:f>IF($A454="","",IF('Game Records'!$B454="","Start Date; ","")&amp;IF('Game Records'!$C454="","End Date; ","")&amp;IF(AND('Game Records'!$U454&lt;&gt;"Subscription",'Game Records'!$U454&lt;&gt;"Free Game",'Game Records'!$U454&lt;&gt;"Disqualified — Free Game",OR('Game Records'!$D454="",LOWER('Game Records'!$D454&amp;"")="n/a")),"Entry Mode; ","")&amp;IF(AND('Game Records'!$U454&lt;&gt;"Subscription",'Game Records'!$U454&lt;&gt;"Free Game",'Game Records'!$U454&lt;&gt;"Disqualified — Free Game",OR('Game Records'!$E454="",LOWER('Game Records'!$E454&amp;"")="n/a")),"Game Type; ","")&amp;IF('Game Records'!$F454="","Payment Type; ","")&amp;IF(AND('Game Records'!$U454&lt;&gt;"Subscription",'Game Records'!$U454&lt;&gt;"Free Game",'Game Records'!$U454&lt;&gt;"Disqualified — Free Game",'Game Records'!$G454=""),"Gross Pot; ","")&amp;IF(AND('Game Records'!$U454&lt;&gt;"Free Game",'Game Records'!$U454&lt;&gt;"Disqualified — Free Game",'Game Records'!$H454=""),"Entry Fee; ","")&amp;IF(AND('Game Records'!$U454&lt;&gt;"Subscription",'Game Records'!$U454&lt;&gt;"Free Game",'Game Records'!$U454&lt;&gt;"Disqualified — Free Game",'Game Records'!$I454=""),"Eligible Players; ","")&amp;IF(AND('Game Records'!$U454&lt;&gt;"Subscription",'Game Records'!$U454&lt;&gt;"Free Game",'Game Records'!$U454&lt;&gt;"Disqualified — Free Game",'Game Records'!$J454=""),"Total Players; ","")&amp;IF(AND(LOWER('Game Records'!$D454&amp;"")="finalized",LOWER('Game Records'!$L454&amp;"")&lt;&gt;"yes",'Game Records'!$U454&lt;&gt;"Subscription",'Game Records'!$U454&lt;&gt;"Free Game",'Game Records'!$U454&lt;&gt;"Disqualified — Free Game",'Game Records'!$K454=""),"Final Earned; ","")&amp;IF(AND(LOWER('Game Records'!$D454&amp;"")="finalized",'Game Records'!$U454&lt;&gt;"Subscription",'Game Records'!$U454&lt;&gt;"Free Game",'Game Records'!$U454&lt;&gt;"Disqualified — Free Game",OR('Game Records'!$L454="",LOWER('Game Records'!$L454&amp;"")="n/a")),"Disqualified Status; ",""))</x:f>
      </x:c>
      <x:c r="G454" s="331" t="str">
        <x:f>IF($A454="","",IFERROR('Game Records'!$M454,""))</x:f>
      </x:c>
    </x:row>
    <x:row r="455">
      <x:c r="A455" s="332" t="str">
        <x:f>IF(OR(COUNTA('Game Records'!$A455:$M455)=0,'Game Records'!$F455="Subscription"),"",IFERROR(MAX($A$4:A454),0)+1)</x:f>
      </x:c>
      <x:c r="B455" s="332" t="str">
        <x:f>IF($A455="","","G-"&amp;TEXT(ROW('Game Records'!$A455)-4,"0000"))</x:f>
      </x:c>
      <x:c r="C455" s="331" t="str">
        <x:f>IF($A455="","",IFERROR('Game Records'!$A455,""))</x:f>
      </x:c>
      <x:c r="D455" s="331" t="str">
        <x:f>IF($A455="","",IFERROR('Game Records'!$U455,""))</x:f>
      </x:c>
      <x:c r="E455" s="331" t="str">
        <x:f>IF($A455="","",IF($F455="","No Highlighted Fields","Highlighted Fields Present"))</x:f>
      </x:c>
      <x:c r="F455" s="331" t="str">
        <x:f>IF($A455="","",IF('Game Records'!$B455="","Start Date; ","")&amp;IF('Game Records'!$C455="","End Date; ","")&amp;IF(AND('Game Records'!$U455&lt;&gt;"Subscription",'Game Records'!$U455&lt;&gt;"Free Game",'Game Records'!$U455&lt;&gt;"Disqualified — Free Game",OR('Game Records'!$D455="",LOWER('Game Records'!$D455&amp;"")="n/a")),"Entry Mode; ","")&amp;IF(AND('Game Records'!$U455&lt;&gt;"Subscription",'Game Records'!$U455&lt;&gt;"Free Game",'Game Records'!$U455&lt;&gt;"Disqualified — Free Game",OR('Game Records'!$E455="",LOWER('Game Records'!$E455&amp;"")="n/a")),"Game Type; ","")&amp;IF('Game Records'!$F455="","Payment Type; ","")&amp;IF(AND('Game Records'!$U455&lt;&gt;"Subscription",'Game Records'!$U455&lt;&gt;"Free Game",'Game Records'!$U455&lt;&gt;"Disqualified — Free Game",'Game Records'!$G455=""),"Gross Pot; ","")&amp;IF(AND('Game Records'!$U455&lt;&gt;"Free Game",'Game Records'!$U455&lt;&gt;"Disqualified — Free Game",'Game Records'!$H455=""),"Entry Fee; ","")&amp;IF(AND('Game Records'!$U455&lt;&gt;"Subscription",'Game Records'!$U455&lt;&gt;"Free Game",'Game Records'!$U455&lt;&gt;"Disqualified — Free Game",'Game Records'!$I455=""),"Eligible Players; ","")&amp;IF(AND('Game Records'!$U455&lt;&gt;"Subscription",'Game Records'!$U455&lt;&gt;"Free Game",'Game Records'!$U455&lt;&gt;"Disqualified — Free Game",'Game Records'!$J455=""),"Total Players; ","")&amp;IF(AND(LOWER('Game Records'!$D455&amp;"")="finalized",LOWER('Game Records'!$L455&amp;"")&lt;&gt;"yes",'Game Records'!$U455&lt;&gt;"Subscription",'Game Records'!$U455&lt;&gt;"Free Game",'Game Records'!$U455&lt;&gt;"Disqualified — Free Game",'Game Records'!$K455=""),"Final Earned; ","")&amp;IF(AND(LOWER('Game Records'!$D455&amp;"")="finalized",'Game Records'!$U455&lt;&gt;"Subscription",'Game Records'!$U455&lt;&gt;"Free Game",'Game Records'!$U455&lt;&gt;"Disqualified — Free Game",OR('Game Records'!$L455="",LOWER('Game Records'!$L455&amp;"")="n/a")),"Disqualified Status; ",""))</x:f>
      </x:c>
      <x:c r="G455" s="331" t="str">
        <x:f>IF($A455="","",IFERROR('Game Records'!$M455,""))</x:f>
      </x:c>
    </x:row>
    <x:row r="456">
      <x:c r="A456" s="332" t="str">
        <x:f>IF(OR(COUNTA('Game Records'!$A456:$M456)=0,'Game Records'!$F456="Subscription"),"",IFERROR(MAX($A$4:A455),0)+1)</x:f>
      </x:c>
      <x:c r="B456" s="332" t="str">
        <x:f>IF($A456="","","G-"&amp;TEXT(ROW('Game Records'!$A456)-4,"0000"))</x:f>
      </x:c>
      <x:c r="C456" s="331" t="str">
        <x:f>IF($A456="","",IFERROR('Game Records'!$A456,""))</x:f>
      </x:c>
      <x:c r="D456" s="331" t="str">
        <x:f>IF($A456="","",IFERROR('Game Records'!$U456,""))</x:f>
      </x:c>
      <x:c r="E456" s="331" t="str">
        <x:f>IF($A456="","",IF($F456="","No Highlighted Fields","Highlighted Fields Present"))</x:f>
      </x:c>
      <x:c r="F456" s="331" t="str">
        <x:f>IF($A456="","",IF('Game Records'!$B456="","Start Date; ","")&amp;IF('Game Records'!$C456="","End Date; ","")&amp;IF(AND('Game Records'!$U456&lt;&gt;"Subscription",'Game Records'!$U456&lt;&gt;"Free Game",'Game Records'!$U456&lt;&gt;"Disqualified — Free Game",OR('Game Records'!$D456="",LOWER('Game Records'!$D456&amp;"")="n/a")),"Entry Mode; ","")&amp;IF(AND('Game Records'!$U456&lt;&gt;"Subscription",'Game Records'!$U456&lt;&gt;"Free Game",'Game Records'!$U456&lt;&gt;"Disqualified — Free Game",OR('Game Records'!$E456="",LOWER('Game Records'!$E456&amp;"")="n/a")),"Game Type; ","")&amp;IF('Game Records'!$F456="","Payment Type; ","")&amp;IF(AND('Game Records'!$U456&lt;&gt;"Subscription",'Game Records'!$U456&lt;&gt;"Free Game",'Game Records'!$U456&lt;&gt;"Disqualified — Free Game",'Game Records'!$G456=""),"Gross Pot; ","")&amp;IF(AND('Game Records'!$U456&lt;&gt;"Free Game",'Game Records'!$U456&lt;&gt;"Disqualified — Free Game",'Game Records'!$H456=""),"Entry Fee; ","")&amp;IF(AND('Game Records'!$U456&lt;&gt;"Subscription",'Game Records'!$U456&lt;&gt;"Free Game",'Game Records'!$U456&lt;&gt;"Disqualified — Free Game",'Game Records'!$I456=""),"Eligible Players; ","")&amp;IF(AND('Game Records'!$U456&lt;&gt;"Subscription",'Game Records'!$U456&lt;&gt;"Free Game",'Game Records'!$U456&lt;&gt;"Disqualified — Free Game",'Game Records'!$J456=""),"Total Players; ","")&amp;IF(AND(LOWER('Game Records'!$D456&amp;"")="finalized",LOWER('Game Records'!$L456&amp;"")&lt;&gt;"yes",'Game Records'!$U456&lt;&gt;"Subscription",'Game Records'!$U456&lt;&gt;"Free Game",'Game Records'!$U456&lt;&gt;"Disqualified — Free Game",'Game Records'!$K456=""),"Final Earned; ","")&amp;IF(AND(LOWER('Game Records'!$D456&amp;"")="finalized",'Game Records'!$U456&lt;&gt;"Subscription",'Game Records'!$U456&lt;&gt;"Free Game",'Game Records'!$U456&lt;&gt;"Disqualified — Free Game",OR('Game Records'!$L456="",LOWER('Game Records'!$L456&amp;"")="n/a")),"Disqualified Status; ",""))</x:f>
      </x:c>
      <x:c r="G456" s="331" t="str">
        <x:f>IF($A456="","",IFERROR('Game Records'!$M456,""))</x:f>
      </x:c>
    </x:row>
    <x:row r="457">
      <x:c r="A457" s="332" t="str">
        <x:f>IF(OR(COUNTA('Game Records'!$A457:$M457)=0,'Game Records'!$F457="Subscription"),"",IFERROR(MAX($A$4:A456),0)+1)</x:f>
      </x:c>
      <x:c r="B457" s="332" t="str">
        <x:f>IF($A457="","","G-"&amp;TEXT(ROW('Game Records'!$A457)-4,"0000"))</x:f>
      </x:c>
      <x:c r="C457" s="331" t="str">
        <x:f>IF($A457="","",IFERROR('Game Records'!$A457,""))</x:f>
      </x:c>
      <x:c r="D457" s="331" t="str">
        <x:f>IF($A457="","",IFERROR('Game Records'!$U457,""))</x:f>
      </x:c>
      <x:c r="E457" s="331" t="str">
        <x:f>IF($A457="","",IF($F457="","No Highlighted Fields","Highlighted Fields Present"))</x:f>
      </x:c>
      <x:c r="F457" s="331" t="str">
        <x:f>IF($A457="","",IF('Game Records'!$B457="","Start Date; ","")&amp;IF('Game Records'!$C457="","End Date; ","")&amp;IF(AND('Game Records'!$U457&lt;&gt;"Subscription",'Game Records'!$U457&lt;&gt;"Free Game",'Game Records'!$U457&lt;&gt;"Disqualified — Free Game",OR('Game Records'!$D457="",LOWER('Game Records'!$D457&amp;"")="n/a")),"Entry Mode; ","")&amp;IF(AND('Game Records'!$U457&lt;&gt;"Subscription",'Game Records'!$U457&lt;&gt;"Free Game",'Game Records'!$U457&lt;&gt;"Disqualified — Free Game",OR('Game Records'!$E457="",LOWER('Game Records'!$E457&amp;"")="n/a")),"Game Type; ","")&amp;IF('Game Records'!$F457="","Payment Type; ","")&amp;IF(AND('Game Records'!$U457&lt;&gt;"Subscription",'Game Records'!$U457&lt;&gt;"Free Game",'Game Records'!$U457&lt;&gt;"Disqualified — Free Game",'Game Records'!$G457=""),"Gross Pot; ","")&amp;IF(AND('Game Records'!$U457&lt;&gt;"Free Game",'Game Records'!$U457&lt;&gt;"Disqualified — Free Game",'Game Records'!$H457=""),"Entry Fee; ","")&amp;IF(AND('Game Records'!$U457&lt;&gt;"Subscription",'Game Records'!$U457&lt;&gt;"Free Game",'Game Records'!$U457&lt;&gt;"Disqualified — Free Game",'Game Records'!$I457=""),"Eligible Players; ","")&amp;IF(AND('Game Records'!$U457&lt;&gt;"Subscription",'Game Records'!$U457&lt;&gt;"Free Game",'Game Records'!$U457&lt;&gt;"Disqualified — Free Game",'Game Records'!$J457=""),"Total Players; ","")&amp;IF(AND(LOWER('Game Records'!$D457&amp;"")="finalized",LOWER('Game Records'!$L457&amp;"")&lt;&gt;"yes",'Game Records'!$U457&lt;&gt;"Subscription",'Game Records'!$U457&lt;&gt;"Free Game",'Game Records'!$U457&lt;&gt;"Disqualified — Free Game",'Game Records'!$K457=""),"Final Earned; ","")&amp;IF(AND(LOWER('Game Records'!$D457&amp;"")="finalized",'Game Records'!$U457&lt;&gt;"Subscription",'Game Records'!$U457&lt;&gt;"Free Game",'Game Records'!$U457&lt;&gt;"Disqualified — Free Game",OR('Game Records'!$L457="",LOWER('Game Records'!$L457&amp;"")="n/a")),"Disqualified Status; ",""))</x:f>
      </x:c>
      <x:c r="G457" s="331" t="str">
        <x:f>IF($A457="","",IFERROR('Game Records'!$M457,""))</x:f>
      </x:c>
    </x:row>
    <x:row r="458">
      <x:c r="A458" s="332" t="str">
        <x:f>IF(OR(COUNTA('Game Records'!$A458:$M458)=0,'Game Records'!$F458="Subscription"),"",IFERROR(MAX($A$4:A457),0)+1)</x:f>
      </x:c>
      <x:c r="B458" s="332" t="str">
        <x:f>IF($A458="","","G-"&amp;TEXT(ROW('Game Records'!$A458)-4,"0000"))</x:f>
      </x:c>
      <x:c r="C458" s="331" t="str">
        <x:f>IF($A458="","",IFERROR('Game Records'!$A458,""))</x:f>
      </x:c>
      <x:c r="D458" s="331" t="str">
        <x:f>IF($A458="","",IFERROR('Game Records'!$U458,""))</x:f>
      </x:c>
      <x:c r="E458" s="331" t="str">
        <x:f>IF($A458="","",IF($F458="","No Highlighted Fields","Highlighted Fields Present"))</x:f>
      </x:c>
      <x:c r="F458" s="331" t="str">
        <x:f>IF($A458="","",IF('Game Records'!$B458="","Start Date; ","")&amp;IF('Game Records'!$C458="","End Date; ","")&amp;IF(AND('Game Records'!$U458&lt;&gt;"Subscription",'Game Records'!$U458&lt;&gt;"Free Game",'Game Records'!$U458&lt;&gt;"Disqualified — Free Game",OR('Game Records'!$D458="",LOWER('Game Records'!$D458&amp;"")="n/a")),"Entry Mode; ","")&amp;IF(AND('Game Records'!$U458&lt;&gt;"Subscription",'Game Records'!$U458&lt;&gt;"Free Game",'Game Records'!$U458&lt;&gt;"Disqualified — Free Game",OR('Game Records'!$E458="",LOWER('Game Records'!$E458&amp;"")="n/a")),"Game Type; ","")&amp;IF('Game Records'!$F458="","Payment Type; ","")&amp;IF(AND('Game Records'!$U458&lt;&gt;"Subscription",'Game Records'!$U458&lt;&gt;"Free Game",'Game Records'!$U458&lt;&gt;"Disqualified — Free Game",'Game Records'!$G458=""),"Gross Pot; ","")&amp;IF(AND('Game Records'!$U458&lt;&gt;"Free Game",'Game Records'!$U458&lt;&gt;"Disqualified — Free Game",'Game Records'!$H458=""),"Entry Fee; ","")&amp;IF(AND('Game Records'!$U458&lt;&gt;"Subscription",'Game Records'!$U458&lt;&gt;"Free Game",'Game Records'!$U458&lt;&gt;"Disqualified — Free Game",'Game Records'!$I458=""),"Eligible Players; ","")&amp;IF(AND('Game Records'!$U458&lt;&gt;"Subscription",'Game Records'!$U458&lt;&gt;"Free Game",'Game Records'!$U458&lt;&gt;"Disqualified — Free Game",'Game Records'!$J458=""),"Total Players; ","")&amp;IF(AND(LOWER('Game Records'!$D458&amp;"")="finalized",LOWER('Game Records'!$L458&amp;"")&lt;&gt;"yes",'Game Records'!$U458&lt;&gt;"Subscription",'Game Records'!$U458&lt;&gt;"Free Game",'Game Records'!$U458&lt;&gt;"Disqualified — Free Game",'Game Records'!$K458=""),"Final Earned; ","")&amp;IF(AND(LOWER('Game Records'!$D458&amp;"")="finalized",'Game Records'!$U458&lt;&gt;"Subscription",'Game Records'!$U458&lt;&gt;"Free Game",'Game Records'!$U458&lt;&gt;"Disqualified — Free Game",OR('Game Records'!$L458="",LOWER('Game Records'!$L458&amp;"")="n/a")),"Disqualified Status; ",""))</x:f>
      </x:c>
      <x:c r="G458" s="331" t="str">
        <x:f>IF($A458="","",IFERROR('Game Records'!$M458,""))</x:f>
      </x:c>
    </x:row>
    <x:row r="459">
      <x:c r="A459" s="332" t="str">
        <x:f>IF(OR(COUNTA('Game Records'!$A459:$M459)=0,'Game Records'!$F459="Subscription"),"",IFERROR(MAX($A$4:A458),0)+1)</x:f>
      </x:c>
      <x:c r="B459" s="332" t="str">
        <x:f>IF($A459="","","G-"&amp;TEXT(ROW('Game Records'!$A459)-4,"0000"))</x:f>
      </x:c>
      <x:c r="C459" s="331" t="str">
        <x:f>IF($A459="","",IFERROR('Game Records'!$A459,""))</x:f>
      </x:c>
      <x:c r="D459" s="331" t="str">
        <x:f>IF($A459="","",IFERROR('Game Records'!$U459,""))</x:f>
      </x:c>
      <x:c r="E459" s="331" t="str">
        <x:f>IF($A459="","",IF($F459="","No Highlighted Fields","Highlighted Fields Present"))</x:f>
      </x:c>
      <x:c r="F459" s="331" t="str">
        <x:f>IF($A459="","",IF('Game Records'!$B459="","Start Date; ","")&amp;IF('Game Records'!$C459="","End Date; ","")&amp;IF(AND('Game Records'!$U459&lt;&gt;"Subscription",'Game Records'!$U459&lt;&gt;"Free Game",'Game Records'!$U459&lt;&gt;"Disqualified — Free Game",OR('Game Records'!$D459="",LOWER('Game Records'!$D459&amp;"")="n/a")),"Entry Mode; ","")&amp;IF(AND('Game Records'!$U459&lt;&gt;"Subscription",'Game Records'!$U459&lt;&gt;"Free Game",'Game Records'!$U459&lt;&gt;"Disqualified — Free Game",OR('Game Records'!$E459="",LOWER('Game Records'!$E459&amp;"")="n/a")),"Game Type; ","")&amp;IF('Game Records'!$F459="","Payment Type; ","")&amp;IF(AND('Game Records'!$U459&lt;&gt;"Subscription",'Game Records'!$U459&lt;&gt;"Free Game",'Game Records'!$U459&lt;&gt;"Disqualified — Free Game",'Game Records'!$G459=""),"Gross Pot; ","")&amp;IF(AND('Game Records'!$U459&lt;&gt;"Free Game",'Game Records'!$U459&lt;&gt;"Disqualified — Free Game",'Game Records'!$H459=""),"Entry Fee; ","")&amp;IF(AND('Game Records'!$U459&lt;&gt;"Subscription",'Game Records'!$U459&lt;&gt;"Free Game",'Game Records'!$U459&lt;&gt;"Disqualified — Free Game",'Game Records'!$I459=""),"Eligible Players; ","")&amp;IF(AND('Game Records'!$U459&lt;&gt;"Subscription",'Game Records'!$U459&lt;&gt;"Free Game",'Game Records'!$U459&lt;&gt;"Disqualified — Free Game",'Game Records'!$J459=""),"Total Players; ","")&amp;IF(AND(LOWER('Game Records'!$D459&amp;"")="finalized",LOWER('Game Records'!$L459&amp;"")&lt;&gt;"yes",'Game Records'!$U459&lt;&gt;"Subscription",'Game Records'!$U459&lt;&gt;"Free Game",'Game Records'!$U459&lt;&gt;"Disqualified — Free Game",'Game Records'!$K459=""),"Final Earned; ","")&amp;IF(AND(LOWER('Game Records'!$D459&amp;"")="finalized",'Game Records'!$U459&lt;&gt;"Subscription",'Game Records'!$U459&lt;&gt;"Free Game",'Game Records'!$U459&lt;&gt;"Disqualified — Free Game",OR('Game Records'!$L459="",LOWER('Game Records'!$L459&amp;"")="n/a")),"Disqualified Status; ",""))</x:f>
      </x:c>
      <x:c r="G459" s="331" t="str">
        <x:f>IF($A459="","",IFERROR('Game Records'!$M459,""))</x:f>
      </x:c>
    </x:row>
    <x:row r="460">
      <x:c r="A460" s="332" t="str">
        <x:f>IF(OR(COUNTA('Game Records'!$A460:$M460)=0,'Game Records'!$F460="Subscription"),"",IFERROR(MAX($A$4:A459),0)+1)</x:f>
      </x:c>
      <x:c r="B460" s="332" t="str">
        <x:f>IF($A460="","","G-"&amp;TEXT(ROW('Game Records'!$A460)-4,"0000"))</x:f>
      </x:c>
      <x:c r="C460" s="331" t="str">
        <x:f>IF($A460="","",IFERROR('Game Records'!$A460,""))</x:f>
      </x:c>
      <x:c r="D460" s="331" t="str">
        <x:f>IF($A460="","",IFERROR('Game Records'!$U460,""))</x:f>
      </x:c>
      <x:c r="E460" s="331" t="str">
        <x:f>IF($A460="","",IF($F460="","No Highlighted Fields","Highlighted Fields Present"))</x:f>
      </x:c>
      <x:c r="F460" s="331" t="str">
        <x:f>IF($A460="","",IF('Game Records'!$B460="","Start Date; ","")&amp;IF('Game Records'!$C460="","End Date; ","")&amp;IF(AND('Game Records'!$U460&lt;&gt;"Subscription",'Game Records'!$U460&lt;&gt;"Free Game",'Game Records'!$U460&lt;&gt;"Disqualified — Free Game",OR('Game Records'!$D460="",LOWER('Game Records'!$D460&amp;"")="n/a")),"Entry Mode; ","")&amp;IF(AND('Game Records'!$U460&lt;&gt;"Subscription",'Game Records'!$U460&lt;&gt;"Free Game",'Game Records'!$U460&lt;&gt;"Disqualified — Free Game",OR('Game Records'!$E460="",LOWER('Game Records'!$E460&amp;"")="n/a")),"Game Type; ","")&amp;IF('Game Records'!$F460="","Payment Type; ","")&amp;IF(AND('Game Records'!$U460&lt;&gt;"Subscription",'Game Records'!$U460&lt;&gt;"Free Game",'Game Records'!$U460&lt;&gt;"Disqualified — Free Game",'Game Records'!$G460=""),"Gross Pot; ","")&amp;IF(AND('Game Records'!$U460&lt;&gt;"Free Game",'Game Records'!$U460&lt;&gt;"Disqualified — Free Game",'Game Records'!$H460=""),"Entry Fee; ","")&amp;IF(AND('Game Records'!$U460&lt;&gt;"Subscription",'Game Records'!$U460&lt;&gt;"Free Game",'Game Records'!$U460&lt;&gt;"Disqualified — Free Game",'Game Records'!$I460=""),"Eligible Players; ","")&amp;IF(AND('Game Records'!$U460&lt;&gt;"Subscription",'Game Records'!$U460&lt;&gt;"Free Game",'Game Records'!$U460&lt;&gt;"Disqualified — Free Game",'Game Records'!$J460=""),"Total Players; ","")&amp;IF(AND(LOWER('Game Records'!$D460&amp;"")="finalized",LOWER('Game Records'!$L460&amp;"")&lt;&gt;"yes",'Game Records'!$U460&lt;&gt;"Subscription",'Game Records'!$U460&lt;&gt;"Free Game",'Game Records'!$U460&lt;&gt;"Disqualified — Free Game",'Game Records'!$K460=""),"Final Earned; ","")&amp;IF(AND(LOWER('Game Records'!$D460&amp;"")="finalized",'Game Records'!$U460&lt;&gt;"Subscription",'Game Records'!$U460&lt;&gt;"Free Game",'Game Records'!$U460&lt;&gt;"Disqualified — Free Game",OR('Game Records'!$L460="",LOWER('Game Records'!$L460&amp;"")="n/a")),"Disqualified Status; ",""))</x:f>
      </x:c>
      <x:c r="G460" s="331" t="str">
        <x:f>IF($A460="","",IFERROR('Game Records'!$M460,""))</x:f>
      </x:c>
    </x:row>
    <x:row r="461">
      <x:c r="A461" s="332" t="str">
        <x:f>IF(OR(COUNTA('Game Records'!$A461:$M461)=0,'Game Records'!$F461="Subscription"),"",IFERROR(MAX($A$4:A460),0)+1)</x:f>
      </x:c>
      <x:c r="B461" s="332" t="str">
        <x:f>IF($A461="","","G-"&amp;TEXT(ROW('Game Records'!$A461)-4,"0000"))</x:f>
      </x:c>
      <x:c r="C461" s="331" t="str">
        <x:f>IF($A461="","",IFERROR('Game Records'!$A461,""))</x:f>
      </x:c>
      <x:c r="D461" s="331" t="str">
        <x:f>IF($A461="","",IFERROR('Game Records'!$U461,""))</x:f>
      </x:c>
      <x:c r="E461" s="331" t="str">
        <x:f>IF($A461="","",IF($F461="","No Highlighted Fields","Highlighted Fields Present"))</x:f>
      </x:c>
      <x:c r="F461" s="331" t="str">
        <x:f>IF($A461="","",IF('Game Records'!$B461="","Start Date; ","")&amp;IF('Game Records'!$C461="","End Date; ","")&amp;IF(AND('Game Records'!$U461&lt;&gt;"Subscription",'Game Records'!$U461&lt;&gt;"Free Game",'Game Records'!$U461&lt;&gt;"Disqualified — Free Game",OR('Game Records'!$D461="",LOWER('Game Records'!$D461&amp;"")="n/a")),"Entry Mode; ","")&amp;IF(AND('Game Records'!$U461&lt;&gt;"Subscription",'Game Records'!$U461&lt;&gt;"Free Game",'Game Records'!$U461&lt;&gt;"Disqualified — Free Game",OR('Game Records'!$E461="",LOWER('Game Records'!$E461&amp;"")="n/a")),"Game Type; ","")&amp;IF('Game Records'!$F461="","Payment Type; ","")&amp;IF(AND('Game Records'!$U461&lt;&gt;"Subscription",'Game Records'!$U461&lt;&gt;"Free Game",'Game Records'!$U461&lt;&gt;"Disqualified — Free Game",'Game Records'!$G461=""),"Gross Pot; ","")&amp;IF(AND('Game Records'!$U461&lt;&gt;"Free Game",'Game Records'!$U461&lt;&gt;"Disqualified — Free Game",'Game Records'!$H461=""),"Entry Fee; ","")&amp;IF(AND('Game Records'!$U461&lt;&gt;"Subscription",'Game Records'!$U461&lt;&gt;"Free Game",'Game Records'!$U461&lt;&gt;"Disqualified — Free Game",'Game Records'!$I461=""),"Eligible Players; ","")&amp;IF(AND('Game Records'!$U461&lt;&gt;"Subscription",'Game Records'!$U461&lt;&gt;"Free Game",'Game Records'!$U461&lt;&gt;"Disqualified — Free Game",'Game Records'!$J461=""),"Total Players; ","")&amp;IF(AND(LOWER('Game Records'!$D461&amp;"")="finalized",LOWER('Game Records'!$L461&amp;"")&lt;&gt;"yes",'Game Records'!$U461&lt;&gt;"Subscription",'Game Records'!$U461&lt;&gt;"Free Game",'Game Records'!$U461&lt;&gt;"Disqualified — Free Game",'Game Records'!$K461=""),"Final Earned; ","")&amp;IF(AND(LOWER('Game Records'!$D461&amp;"")="finalized",'Game Records'!$U461&lt;&gt;"Subscription",'Game Records'!$U461&lt;&gt;"Free Game",'Game Records'!$U461&lt;&gt;"Disqualified — Free Game",OR('Game Records'!$L461="",LOWER('Game Records'!$L461&amp;"")="n/a")),"Disqualified Status; ",""))</x:f>
      </x:c>
      <x:c r="G461" s="331" t="str">
        <x:f>IF($A461="","",IFERROR('Game Records'!$M461,""))</x:f>
      </x:c>
    </x:row>
    <x:row r="462">
      <x:c r="A462" s="332" t="str">
        <x:f>IF(OR(COUNTA('Game Records'!$A462:$M462)=0,'Game Records'!$F462="Subscription"),"",IFERROR(MAX($A$4:A461),0)+1)</x:f>
      </x:c>
      <x:c r="B462" s="332" t="str">
        <x:f>IF($A462="","","G-"&amp;TEXT(ROW('Game Records'!$A462)-4,"0000"))</x:f>
      </x:c>
      <x:c r="C462" s="331" t="str">
        <x:f>IF($A462="","",IFERROR('Game Records'!$A462,""))</x:f>
      </x:c>
      <x:c r="D462" s="331" t="str">
        <x:f>IF($A462="","",IFERROR('Game Records'!$U462,""))</x:f>
      </x:c>
      <x:c r="E462" s="331" t="str">
        <x:f>IF($A462="","",IF($F462="","No Highlighted Fields","Highlighted Fields Present"))</x:f>
      </x:c>
      <x:c r="F462" s="331" t="str">
        <x:f>IF($A462="","",IF('Game Records'!$B462="","Start Date; ","")&amp;IF('Game Records'!$C462="","End Date; ","")&amp;IF(AND('Game Records'!$U462&lt;&gt;"Subscription",'Game Records'!$U462&lt;&gt;"Free Game",'Game Records'!$U462&lt;&gt;"Disqualified — Free Game",OR('Game Records'!$D462="",LOWER('Game Records'!$D462&amp;"")="n/a")),"Entry Mode; ","")&amp;IF(AND('Game Records'!$U462&lt;&gt;"Subscription",'Game Records'!$U462&lt;&gt;"Free Game",'Game Records'!$U462&lt;&gt;"Disqualified — Free Game",OR('Game Records'!$E462="",LOWER('Game Records'!$E462&amp;"")="n/a")),"Game Type; ","")&amp;IF('Game Records'!$F462="","Payment Type; ","")&amp;IF(AND('Game Records'!$U462&lt;&gt;"Subscription",'Game Records'!$U462&lt;&gt;"Free Game",'Game Records'!$U462&lt;&gt;"Disqualified — Free Game",'Game Records'!$G462=""),"Gross Pot; ","")&amp;IF(AND('Game Records'!$U462&lt;&gt;"Free Game",'Game Records'!$U462&lt;&gt;"Disqualified — Free Game",'Game Records'!$H462=""),"Entry Fee; ","")&amp;IF(AND('Game Records'!$U462&lt;&gt;"Subscription",'Game Records'!$U462&lt;&gt;"Free Game",'Game Records'!$U462&lt;&gt;"Disqualified — Free Game",'Game Records'!$I462=""),"Eligible Players; ","")&amp;IF(AND('Game Records'!$U462&lt;&gt;"Subscription",'Game Records'!$U462&lt;&gt;"Free Game",'Game Records'!$U462&lt;&gt;"Disqualified — Free Game",'Game Records'!$J462=""),"Total Players; ","")&amp;IF(AND(LOWER('Game Records'!$D462&amp;"")="finalized",LOWER('Game Records'!$L462&amp;"")&lt;&gt;"yes",'Game Records'!$U462&lt;&gt;"Subscription",'Game Records'!$U462&lt;&gt;"Free Game",'Game Records'!$U462&lt;&gt;"Disqualified — Free Game",'Game Records'!$K462=""),"Final Earned; ","")&amp;IF(AND(LOWER('Game Records'!$D462&amp;"")="finalized",'Game Records'!$U462&lt;&gt;"Subscription",'Game Records'!$U462&lt;&gt;"Free Game",'Game Records'!$U462&lt;&gt;"Disqualified — Free Game",OR('Game Records'!$L462="",LOWER('Game Records'!$L462&amp;"")="n/a")),"Disqualified Status; ",""))</x:f>
      </x:c>
      <x:c r="G462" s="331" t="str">
        <x:f>IF($A462="","",IFERROR('Game Records'!$M462,""))</x:f>
      </x:c>
    </x:row>
    <x:row r="463">
      <x:c r="A463" s="332" t="str">
        <x:f>IF(OR(COUNTA('Game Records'!$A463:$M463)=0,'Game Records'!$F463="Subscription"),"",IFERROR(MAX($A$4:A462),0)+1)</x:f>
      </x:c>
      <x:c r="B463" s="332" t="str">
        <x:f>IF($A463="","","G-"&amp;TEXT(ROW('Game Records'!$A463)-4,"0000"))</x:f>
      </x:c>
      <x:c r="C463" s="331" t="str">
        <x:f>IF($A463="","",IFERROR('Game Records'!$A463,""))</x:f>
      </x:c>
      <x:c r="D463" s="331" t="str">
        <x:f>IF($A463="","",IFERROR('Game Records'!$U463,""))</x:f>
      </x:c>
      <x:c r="E463" s="331" t="str">
        <x:f>IF($A463="","",IF($F463="","No Highlighted Fields","Highlighted Fields Present"))</x:f>
      </x:c>
      <x:c r="F463" s="331" t="str">
        <x:f>IF($A463="","",IF('Game Records'!$B463="","Start Date; ","")&amp;IF('Game Records'!$C463="","End Date; ","")&amp;IF(AND('Game Records'!$U463&lt;&gt;"Subscription",'Game Records'!$U463&lt;&gt;"Free Game",'Game Records'!$U463&lt;&gt;"Disqualified — Free Game",OR('Game Records'!$D463="",LOWER('Game Records'!$D463&amp;"")="n/a")),"Entry Mode; ","")&amp;IF(AND('Game Records'!$U463&lt;&gt;"Subscription",'Game Records'!$U463&lt;&gt;"Free Game",'Game Records'!$U463&lt;&gt;"Disqualified — Free Game",OR('Game Records'!$E463="",LOWER('Game Records'!$E463&amp;"")="n/a")),"Game Type; ","")&amp;IF('Game Records'!$F463="","Payment Type; ","")&amp;IF(AND('Game Records'!$U463&lt;&gt;"Subscription",'Game Records'!$U463&lt;&gt;"Free Game",'Game Records'!$U463&lt;&gt;"Disqualified — Free Game",'Game Records'!$G463=""),"Gross Pot; ","")&amp;IF(AND('Game Records'!$U463&lt;&gt;"Free Game",'Game Records'!$U463&lt;&gt;"Disqualified — Free Game",'Game Records'!$H463=""),"Entry Fee; ","")&amp;IF(AND('Game Records'!$U463&lt;&gt;"Subscription",'Game Records'!$U463&lt;&gt;"Free Game",'Game Records'!$U463&lt;&gt;"Disqualified — Free Game",'Game Records'!$I463=""),"Eligible Players; ","")&amp;IF(AND('Game Records'!$U463&lt;&gt;"Subscription",'Game Records'!$U463&lt;&gt;"Free Game",'Game Records'!$U463&lt;&gt;"Disqualified — Free Game",'Game Records'!$J463=""),"Total Players; ","")&amp;IF(AND(LOWER('Game Records'!$D463&amp;"")="finalized",LOWER('Game Records'!$L463&amp;"")&lt;&gt;"yes",'Game Records'!$U463&lt;&gt;"Subscription",'Game Records'!$U463&lt;&gt;"Free Game",'Game Records'!$U463&lt;&gt;"Disqualified — Free Game",'Game Records'!$K463=""),"Final Earned; ","")&amp;IF(AND(LOWER('Game Records'!$D463&amp;"")="finalized",'Game Records'!$U463&lt;&gt;"Subscription",'Game Records'!$U463&lt;&gt;"Free Game",'Game Records'!$U463&lt;&gt;"Disqualified — Free Game",OR('Game Records'!$L463="",LOWER('Game Records'!$L463&amp;"")="n/a")),"Disqualified Status; ",""))</x:f>
      </x:c>
      <x:c r="G463" s="331" t="str">
        <x:f>IF($A463="","",IFERROR('Game Records'!$M463,""))</x:f>
      </x:c>
    </x:row>
    <x:row r="464">
      <x:c r="A464" s="332" t="str">
        <x:f>IF(OR(COUNTA('Game Records'!$A464:$M464)=0,'Game Records'!$F464="Subscription"),"",IFERROR(MAX($A$4:A463),0)+1)</x:f>
      </x:c>
      <x:c r="B464" s="332" t="str">
        <x:f>IF($A464="","","G-"&amp;TEXT(ROW('Game Records'!$A464)-4,"0000"))</x:f>
      </x:c>
      <x:c r="C464" s="331" t="str">
        <x:f>IF($A464="","",IFERROR('Game Records'!$A464,""))</x:f>
      </x:c>
      <x:c r="D464" s="331" t="str">
        <x:f>IF($A464="","",IFERROR('Game Records'!$U464,""))</x:f>
      </x:c>
      <x:c r="E464" s="331" t="str">
        <x:f>IF($A464="","",IF($F464="","No Highlighted Fields","Highlighted Fields Present"))</x:f>
      </x:c>
      <x:c r="F464" s="331" t="str">
        <x:f>IF($A464="","",IF('Game Records'!$B464="","Start Date; ","")&amp;IF('Game Records'!$C464="","End Date; ","")&amp;IF(AND('Game Records'!$U464&lt;&gt;"Subscription",'Game Records'!$U464&lt;&gt;"Free Game",'Game Records'!$U464&lt;&gt;"Disqualified — Free Game",OR('Game Records'!$D464="",LOWER('Game Records'!$D464&amp;"")="n/a")),"Entry Mode; ","")&amp;IF(AND('Game Records'!$U464&lt;&gt;"Subscription",'Game Records'!$U464&lt;&gt;"Free Game",'Game Records'!$U464&lt;&gt;"Disqualified — Free Game",OR('Game Records'!$E464="",LOWER('Game Records'!$E464&amp;"")="n/a")),"Game Type; ","")&amp;IF('Game Records'!$F464="","Payment Type; ","")&amp;IF(AND('Game Records'!$U464&lt;&gt;"Subscription",'Game Records'!$U464&lt;&gt;"Free Game",'Game Records'!$U464&lt;&gt;"Disqualified — Free Game",'Game Records'!$G464=""),"Gross Pot; ","")&amp;IF(AND('Game Records'!$U464&lt;&gt;"Free Game",'Game Records'!$U464&lt;&gt;"Disqualified — Free Game",'Game Records'!$H464=""),"Entry Fee; ","")&amp;IF(AND('Game Records'!$U464&lt;&gt;"Subscription",'Game Records'!$U464&lt;&gt;"Free Game",'Game Records'!$U464&lt;&gt;"Disqualified — Free Game",'Game Records'!$I464=""),"Eligible Players; ","")&amp;IF(AND('Game Records'!$U464&lt;&gt;"Subscription",'Game Records'!$U464&lt;&gt;"Free Game",'Game Records'!$U464&lt;&gt;"Disqualified — Free Game",'Game Records'!$J464=""),"Total Players; ","")&amp;IF(AND(LOWER('Game Records'!$D464&amp;"")="finalized",LOWER('Game Records'!$L464&amp;"")&lt;&gt;"yes",'Game Records'!$U464&lt;&gt;"Subscription",'Game Records'!$U464&lt;&gt;"Free Game",'Game Records'!$U464&lt;&gt;"Disqualified — Free Game",'Game Records'!$K464=""),"Final Earned; ","")&amp;IF(AND(LOWER('Game Records'!$D464&amp;"")="finalized",'Game Records'!$U464&lt;&gt;"Subscription",'Game Records'!$U464&lt;&gt;"Free Game",'Game Records'!$U464&lt;&gt;"Disqualified — Free Game",OR('Game Records'!$L464="",LOWER('Game Records'!$L464&amp;"")="n/a")),"Disqualified Status; ",""))</x:f>
      </x:c>
      <x:c r="G464" s="331" t="str">
        <x:f>IF($A464="","",IFERROR('Game Records'!$M464,""))</x:f>
      </x:c>
    </x:row>
    <x:row r="465">
      <x:c r="A465" s="332" t="str">
        <x:f>IF(OR(COUNTA('Game Records'!$A465:$M465)=0,'Game Records'!$F465="Subscription"),"",IFERROR(MAX($A$4:A464),0)+1)</x:f>
      </x:c>
      <x:c r="B465" s="332" t="str">
        <x:f>IF($A465="","","G-"&amp;TEXT(ROW('Game Records'!$A465)-4,"0000"))</x:f>
      </x:c>
      <x:c r="C465" s="331" t="str">
        <x:f>IF($A465="","",IFERROR('Game Records'!$A465,""))</x:f>
      </x:c>
      <x:c r="D465" s="331" t="str">
        <x:f>IF($A465="","",IFERROR('Game Records'!$U465,""))</x:f>
      </x:c>
      <x:c r="E465" s="331" t="str">
        <x:f>IF($A465="","",IF($F465="","No Highlighted Fields","Highlighted Fields Present"))</x:f>
      </x:c>
      <x:c r="F465" s="331" t="str">
        <x:f>IF($A465="","",IF('Game Records'!$B465="","Start Date; ","")&amp;IF('Game Records'!$C465="","End Date; ","")&amp;IF(AND('Game Records'!$U465&lt;&gt;"Subscription",'Game Records'!$U465&lt;&gt;"Free Game",'Game Records'!$U465&lt;&gt;"Disqualified — Free Game",OR('Game Records'!$D465="",LOWER('Game Records'!$D465&amp;"")="n/a")),"Entry Mode; ","")&amp;IF(AND('Game Records'!$U465&lt;&gt;"Subscription",'Game Records'!$U465&lt;&gt;"Free Game",'Game Records'!$U465&lt;&gt;"Disqualified — Free Game",OR('Game Records'!$E465="",LOWER('Game Records'!$E465&amp;"")="n/a")),"Game Type; ","")&amp;IF('Game Records'!$F465="","Payment Type; ","")&amp;IF(AND('Game Records'!$U465&lt;&gt;"Subscription",'Game Records'!$U465&lt;&gt;"Free Game",'Game Records'!$U465&lt;&gt;"Disqualified — Free Game",'Game Records'!$G465=""),"Gross Pot; ","")&amp;IF(AND('Game Records'!$U465&lt;&gt;"Free Game",'Game Records'!$U465&lt;&gt;"Disqualified — Free Game",'Game Records'!$H465=""),"Entry Fee; ","")&amp;IF(AND('Game Records'!$U465&lt;&gt;"Subscription",'Game Records'!$U465&lt;&gt;"Free Game",'Game Records'!$U465&lt;&gt;"Disqualified — Free Game",'Game Records'!$I465=""),"Eligible Players; ","")&amp;IF(AND('Game Records'!$U465&lt;&gt;"Subscription",'Game Records'!$U465&lt;&gt;"Free Game",'Game Records'!$U465&lt;&gt;"Disqualified — Free Game",'Game Records'!$J465=""),"Total Players; ","")&amp;IF(AND(LOWER('Game Records'!$D465&amp;"")="finalized",LOWER('Game Records'!$L465&amp;"")&lt;&gt;"yes",'Game Records'!$U465&lt;&gt;"Subscription",'Game Records'!$U465&lt;&gt;"Free Game",'Game Records'!$U465&lt;&gt;"Disqualified — Free Game",'Game Records'!$K465=""),"Final Earned; ","")&amp;IF(AND(LOWER('Game Records'!$D465&amp;"")="finalized",'Game Records'!$U465&lt;&gt;"Subscription",'Game Records'!$U465&lt;&gt;"Free Game",'Game Records'!$U465&lt;&gt;"Disqualified — Free Game",OR('Game Records'!$L465="",LOWER('Game Records'!$L465&amp;"")="n/a")),"Disqualified Status; ",""))</x:f>
      </x:c>
      <x:c r="G465" s="331" t="str">
        <x:f>IF($A465="","",IFERROR('Game Records'!$M465,""))</x:f>
      </x:c>
    </x:row>
    <x:row r="466">
      <x:c r="A466" s="332" t="str">
        <x:f>IF(OR(COUNTA('Game Records'!$A466:$M466)=0,'Game Records'!$F466="Subscription"),"",IFERROR(MAX($A$4:A465),0)+1)</x:f>
      </x:c>
      <x:c r="B466" s="332" t="str">
        <x:f>IF($A466="","","G-"&amp;TEXT(ROW('Game Records'!$A466)-4,"0000"))</x:f>
      </x:c>
      <x:c r="C466" s="331" t="str">
        <x:f>IF($A466="","",IFERROR('Game Records'!$A466,""))</x:f>
      </x:c>
      <x:c r="D466" s="331" t="str">
        <x:f>IF($A466="","",IFERROR('Game Records'!$U466,""))</x:f>
      </x:c>
      <x:c r="E466" s="331" t="str">
        <x:f>IF($A466="","",IF($F466="","No Highlighted Fields","Highlighted Fields Present"))</x:f>
      </x:c>
      <x:c r="F466" s="331" t="str">
        <x:f>IF($A466="","",IF('Game Records'!$B466="","Start Date; ","")&amp;IF('Game Records'!$C466="","End Date; ","")&amp;IF(AND('Game Records'!$U466&lt;&gt;"Subscription",'Game Records'!$U466&lt;&gt;"Free Game",'Game Records'!$U466&lt;&gt;"Disqualified — Free Game",OR('Game Records'!$D466="",LOWER('Game Records'!$D466&amp;"")="n/a")),"Entry Mode; ","")&amp;IF(AND('Game Records'!$U466&lt;&gt;"Subscription",'Game Records'!$U466&lt;&gt;"Free Game",'Game Records'!$U466&lt;&gt;"Disqualified — Free Game",OR('Game Records'!$E466="",LOWER('Game Records'!$E466&amp;"")="n/a")),"Game Type; ","")&amp;IF('Game Records'!$F466="","Payment Type; ","")&amp;IF(AND('Game Records'!$U466&lt;&gt;"Subscription",'Game Records'!$U466&lt;&gt;"Free Game",'Game Records'!$U466&lt;&gt;"Disqualified — Free Game",'Game Records'!$G466=""),"Gross Pot; ","")&amp;IF(AND('Game Records'!$U466&lt;&gt;"Free Game",'Game Records'!$U466&lt;&gt;"Disqualified — Free Game",'Game Records'!$H466=""),"Entry Fee; ","")&amp;IF(AND('Game Records'!$U466&lt;&gt;"Subscription",'Game Records'!$U466&lt;&gt;"Free Game",'Game Records'!$U466&lt;&gt;"Disqualified — Free Game",'Game Records'!$I466=""),"Eligible Players; ","")&amp;IF(AND('Game Records'!$U466&lt;&gt;"Subscription",'Game Records'!$U466&lt;&gt;"Free Game",'Game Records'!$U466&lt;&gt;"Disqualified — Free Game",'Game Records'!$J466=""),"Total Players; ","")&amp;IF(AND(LOWER('Game Records'!$D466&amp;"")="finalized",LOWER('Game Records'!$L466&amp;"")&lt;&gt;"yes",'Game Records'!$U466&lt;&gt;"Subscription",'Game Records'!$U466&lt;&gt;"Free Game",'Game Records'!$U466&lt;&gt;"Disqualified — Free Game",'Game Records'!$K466=""),"Final Earned; ","")&amp;IF(AND(LOWER('Game Records'!$D466&amp;"")="finalized",'Game Records'!$U466&lt;&gt;"Subscription",'Game Records'!$U466&lt;&gt;"Free Game",'Game Records'!$U466&lt;&gt;"Disqualified — Free Game",OR('Game Records'!$L466="",LOWER('Game Records'!$L466&amp;"")="n/a")),"Disqualified Status; ",""))</x:f>
      </x:c>
      <x:c r="G466" s="331" t="str">
        <x:f>IF($A466="","",IFERROR('Game Records'!$M466,""))</x:f>
      </x:c>
    </x:row>
    <x:row r="467">
      <x:c r="A467" s="332" t="str">
        <x:f>IF(OR(COUNTA('Game Records'!$A467:$M467)=0,'Game Records'!$F467="Subscription"),"",IFERROR(MAX($A$4:A466),0)+1)</x:f>
      </x:c>
      <x:c r="B467" s="332" t="str">
        <x:f>IF($A467="","","G-"&amp;TEXT(ROW('Game Records'!$A467)-4,"0000"))</x:f>
      </x:c>
      <x:c r="C467" s="331" t="str">
        <x:f>IF($A467="","",IFERROR('Game Records'!$A467,""))</x:f>
      </x:c>
      <x:c r="D467" s="331" t="str">
        <x:f>IF($A467="","",IFERROR('Game Records'!$U467,""))</x:f>
      </x:c>
      <x:c r="E467" s="331" t="str">
        <x:f>IF($A467="","",IF($F467="","No Highlighted Fields","Highlighted Fields Present"))</x:f>
      </x:c>
      <x:c r="F467" s="331" t="str">
        <x:f>IF($A467="","",IF('Game Records'!$B467="","Start Date; ","")&amp;IF('Game Records'!$C467="","End Date; ","")&amp;IF(AND('Game Records'!$U467&lt;&gt;"Subscription",'Game Records'!$U467&lt;&gt;"Free Game",'Game Records'!$U467&lt;&gt;"Disqualified — Free Game",OR('Game Records'!$D467="",LOWER('Game Records'!$D467&amp;"")="n/a")),"Entry Mode; ","")&amp;IF(AND('Game Records'!$U467&lt;&gt;"Subscription",'Game Records'!$U467&lt;&gt;"Free Game",'Game Records'!$U467&lt;&gt;"Disqualified — Free Game",OR('Game Records'!$E467="",LOWER('Game Records'!$E467&amp;"")="n/a")),"Game Type; ","")&amp;IF('Game Records'!$F467="","Payment Type; ","")&amp;IF(AND('Game Records'!$U467&lt;&gt;"Subscription",'Game Records'!$U467&lt;&gt;"Free Game",'Game Records'!$U467&lt;&gt;"Disqualified — Free Game",'Game Records'!$G467=""),"Gross Pot; ","")&amp;IF(AND('Game Records'!$U467&lt;&gt;"Free Game",'Game Records'!$U467&lt;&gt;"Disqualified — Free Game",'Game Records'!$H467=""),"Entry Fee; ","")&amp;IF(AND('Game Records'!$U467&lt;&gt;"Subscription",'Game Records'!$U467&lt;&gt;"Free Game",'Game Records'!$U467&lt;&gt;"Disqualified — Free Game",'Game Records'!$I467=""),"Eligible Players; ","")&amp;IF(AND('Game Records'!$U467&lt;&gt;"Subscription",'Game Records'!$U467&lt;&gt;"Free Game",'Game Records'!$U467&lt;&gt;"Disqualified — Free Game",'Game Records'!$J467=""),"Total Players; ","")&amp;IF(AND(LOWER('Game Records'!$D467&amp;"")="finalized",LOWER('Game Records'!$L467&amp;"")&lt;&gt;"yes",'Game Records'!$U467&lt;&gt;"Subscription",'Game Records'!$U467&lt;&gt;"Free Game",'Game Records'!$U467&lt;&gt;"Disqualified — Free Game",'Game Records'!$K467=""),"Final Earned; ","")&amp;IF(AND(LOWER('Game Records'!$D467&amp;"")="finalized",'Game Records'!$U467&lt;&gt;"Subscription",'Game Records'!$U467&lt;&gt;"Free Game",'Game Records'!$U467&lt;&gt;"Disqualified — Free Game",OR('Game Records'!$L467="",LOWER('Game Records'!$L467&amp;"")="n/a")),"Disqualified Status; ",""))</x:f>
      </x:c>
      <x:c r="G467" s="331" t="str">
        <x:f>IF($A467="","",IFERROR('Game Records'!$M467,""))</x:f>
      </x:c>
    </x:row>
    <x:row r="468">
      <x:c r="A468" s="332" t="str">
        <x:f>IF(OR(COUNTA('Game Records'!$A468:$M468)=0,'Game Records'!$F468="Subscription"),"",IFERROR(MAX($A$4:A467),0)+1)</x:f>
      </x:c>
      <x:c r="B468" s="332" t="str">
        <x:f>IF($A468="","","G-"&amp;TEXT(ROW('Game Records'!$A468)-4,"0000"))</x:f>
      </x:c>
      <x:c r="C468" s="331" t="str">
        <x:f>IF($A468="","",IFERROR('Game Records'!$A468,""))</x:f>
      </x:c>
      <x:c r="D468" s="331" t="str">
        <x:f>IF($A468="","",IFERROR('Game Records'!$U468,""))</x:f>
      </x:c>
      <x:c r="E468" s="331" t="str">
        <x:f>IF($A468="","",IF($F468="","No Highlighted Fields","Highlighted Fields Present"))</x:f>
      </x:c>
      <x:c r="F468" s="331" t="str">
        <x:f>IF($A468="","",IF('Game Records'!$B468="","Start Date; ","")&amp;IF('Game Records'!$C468="","End Date; ","")&amp;IF(AND('Game Records'!$U468&lt;&gt;"Subscription",'Game Records'!$U468&lt;&gt;"Free Game",'Game Records'!$U468&lt;&gt;"Disqualified — Free Game",OR('Game Records'!$D468="",LOWER('Game Records'!$D468&amp;"")="n/a")),"Entry Mode; ","")&amp;IF(AND('Game Records'!$U468&lt;&gt;"Subscription",'Game Records'!$U468&lt;&gt;"Free Game",'Game Records'!$U468&lt;&gt;"Disqualified — Free Game",OR('Game Records'!$E468="",LOWER('Game Records'!$E468&amp;"")="n/a")),"Game Type; ","")&amp;IF('Game Records'!$F468="","Payment Type; ","")&amp;IF(AND('Game Records'!$U468&lt;&gt;"Subscription",'Game Records'!$U468&lt;&gt;"Free Game",'Game Records'!$U468&lt;&gt;"Disqualified — Free Game",'Game Records'!$G468=""),"Gross Pot; ","")&amp;IF(AND('Game Records'!$U468&lt;&gt;"Free Game",'Game Records'!$U468&lt;&gt;"Disqualified — Free Game",'Game Records'!$H468=""),"Entry Fee; ","")&amp;IF(AND('Game Records'!$U468&lt;&gt;"Subscription",'Game Records'!$U468&lt;&gt;"Free Game",'Game Records'!$U468&lt;&gt;"Disqualified — Free Game",'Game Records'!$I468=""),"Eligible Players; ","")&amp;IF(AND('Game Records'!$U468&lt;&gt;"Subscription",'Game Records'!$U468&lt;&gt;"Free Game",'Game Records'!$U468&lt;&gt;"Disqualified — Free Game",'Game Records'!$J468=""),"Total Players; ","")&amp;IF(AND(LOWER('Game Records'!$D468&amp;"")="finalized",LOWER('Game Records'!$L468&amp;"")&lt;&gt;"yes",'Game Records'!$U468&lt;&gt;"Subscription",'Game Records'!$U468&lt;&gt;"Free Game",'Game Records'!$U468&lt;&gt;"Disqualified — Free Game",'Game Records'!$K468=""),"Final Earned; ","")&amp;IF(AND(LOWER('Game Records'!$D468&amp;"")="finalized",'Game Records'!$U468&lt;&gt;"Subscription",'Game Records'!$U468&lt;&gt;"Free Game",'Game Records'!$U468&lt;&gt;"Disqualified — Free Game",OR('Game Records'!$L468="",LOWER('Game Records'!$L468&amp;"")="n/a")),"Disqualified Status; ",""))</x:f>
      </x:c>
      <x:c r="G468" s="331" t="str">
        <x:f>IF($A468="","",IFERROR('Game Records'!$M468,""))</x:f>
      </x:c>
    </x:row>
    <x:row r="469">
      <x:c r="A469" s="332" t="str">
        <x:f>IF(OR(COUNTA('Game Records'!$A469:$M469)=0,'Game Records'!$F469="Subscription"),"",IFERROR(MAX($A$4:A468),0)+1)</x:f>
      </x:c>
      <x:c r="B469" s="332" t="str">
        <x:f>IF($A469="","","G-"&amp;TEXT(ROW('Game Records'!$A469)-4,"0000"))</x:f>
      </x:c>
      <x:c r="C469" s="331" t="str">
        <x:f>IF($A469="","",IFERROR('Game Records'!$A469,""))</x:f>
      </x:c>
      <x:c r="D469" s="331" t="str">
        <x:f>IF($A469="","",IFERROR('Game Records'!$U469,""))</x:f>
      </x:c>
      <x:c r="E469" s="331" t="str">
        <x:f>IF($A469="","",IF($F469="","No Highlighted Fields","Highlighted Fields Present"))</x:f>
      </x:c>
      <x:c r="F469" s="331" t="str">
        <x:f>IF($A469="","",IF('Game Records'!$B469="","Start Date; ","")&amp;IF('Game Records'!$C469="","End Date; ","")&amp;IF(AND('Game Records'!$U469&lt;&gt;"Subscription",'Game Records'!$U469&lt;&gt;"Free Game",'Game Records'!$U469&lt;&gt;"Disqualified — Free Game",OR('Game Records'!$D469="",LOWER('Game Records'!$D469&amp;"")="n/a")),"Entry Mode; ","")&amp;IF(AND('Game Records'!$U469&lt;&gt;"Subscription",'Game Records'!$U469&lt;&gt;"Free Game",'Game Records'!$U469&lt;&gt;"Disqualified — Free Game",OR('Game Records'!$E469="",LOWER('Game Records'!$E469&amp;"")="n/a")),"Game Type; ","")&amp;IF('Game Records'!$F469="","Payment Type; ","")&amp;IF(AND('Game Records'!$U469&lt;&gt;"Subscription",'Game Records'!$U469&lt;&gt;"Free Game",'Game Records'!$U469&lt;&gt;"Disqualified — Free Game",'Game Records'!$G469=""),"Gross Pot; ","")&amp;IF(AND('Game Records'!$U469&lt;&gt;"Free Game",'Game Records'!$U469&lt;&gt;"Disqualified — Free Game",'Game Records'!$H469=""),"Entry Fee; ","")&amp;IF(AND('Game Records'!$U469&lt;&gt;"Subscription",'Game Records'!$U469&lt;&gt;"Free Game",'Game Records'!$U469&lt;&gt;"Disqualified — Free Game",'Game Records'!$I469=""),"Eligible Players; ","")&amp;IF(AND('Game Records'!$U469&lt;&gt;"Subscription",'Game Records'!$U469&lt;&gt;"Free Game",'Game Records'!$U469&lt;&gt;"Disqualified — Free Game",'Game Records'!$J469=""),"Total Players; ","")&amp;IF(AND(LOWER('Game Records'!$D469&amp;"")="finalized",LOWER('Game Records'!$L469&amp;"")&lt;&gt;"yes",'Game Records'!$U469&lt;&gt;"Subscription",'Game Records'!$U469&lt;&gt;"Free Game",'Game Records'!$U469&lt;&gt;"Disqualified — Free Game",'Game Records'!$K469=""),"Final Earned; ","")&amp;IF(AND(LOWER('Game Records'!$D469&amp;"")="finalized",'Game Records'!$U469&lt;&gt;"Subscription",'Game Records'!$U469&lt;&gt;"Free Game",'Game Records'!$U469&lt;&gt;"Disqualified — Free Game",OR('Game Records'!$L469="",LOWER('Game Records'!$L469&amp;"")="n/a")),"Disqualified Status; ",""))</x:f>
      </x:c>
      <x:c r="G469" s="331" t="str">
        <x:f>IF($A469="","",IFERROR('Game Records'!$M469,""))</x:f>
      </x:c>
    </x:row>
    <x:row r="470">
      <x:c r="A470" s="332" t="str">
        <x:f>IF(OR(COUNTA('Game Records'!$A470:$M470)=0,'Game Records'!$F470="Subscription"),"",IFERROR(MAX($A$4:A469),0)+1)</x:f>
      </x:c>
      <x:c r="B470" s="332" t="str">
        <x:f>IF($A470="","","G-"&amp;TEXT(ROW('Game Records'!$A470)-4,"0000"))</x:f>
      </x:c>
      <x:c r="C470" s="331" t="str">
        <x:f>IF($A470="","",IFERROR('Game Records'!$A470,""))</x:f>
      </x:c>
      <x:c r="D470" s="331" t="str">
        <x:f>IF($A470="","",IFERROR('Game Records'!$U470,""))</x:f>
      </x:c>
      <x:c r="E470" s="331" t="str">
        <x:f>IF($A470="","",IF($F470="","No Highlighted Fields","Highlighted Fields Present"))</x:f>
      </x:c>
      <x:c r="F470" s="331" t="str">
        <x:f>IF($A470="","",IF('Game Records'!$B470="","Start Date; ","")&amp;IF('Game Records'!$C470="","End Date; ","")&amp;IF(AND('Game Records'!$U470&lt;&gt;"Subscription",'Game Records'!$U470&lt;&gt;"Free Game",'Game Records'!$U470&lt;&gt;"Disqualified — Free Game",OR('Game Records'!$D470="",LOWER('Game Records'!$D470&amp;"")="n/a")),"Entry Mode; ","")&amp;IF(AND('Game Records'!$U470&lt;&gt;"Subscription",'Game Records'!$U470&lt;&gt;"Free Game",'Game Records'!$U470&lt;&gt;"Disqualified — Free Game",OR('Game Records'!$E470="",LOWER('Game Records'!$E470&amp;"")="n/a")),"Game Type; ","")&amp;IF('Game Records'!$F470="","Payment Type; ","")&amp;IF(AND('Game Records'!$U470&lt;&gt;"Subscription",'Game Records'!$U470&lt;&gt;"Free Game",'Game Records'!$U470&lt;&gt;"Disqualified — Free Game",'Game Records'!$G470=""),"Gross Pot; ","")&amp;IF(AND('Game Records'!$U470&lt;&gt;"Free Game",'Game Records'!$U470&lt;&gt;"Disqualified — Free Game",'Game Records'!$H470=""),"Entry Fee; ","")&amp;IF(AND('Game Records'!$U470&lt;&gt;"Subscription",'Game Records'!$U470&lt;&gt;"Free Game",'Game Records'!$U470&lt;&gt;"Disqualified — Free Game",'Game Records'!$I470=""),"Eligible Players; ","")&amp;IF(AND('Game Records'!$U470&lt;&gt;"Subscription",'Game Records'!$U470&lt;&gt;"Free Game",'Game Records'!$U470&lt;&gt;"Disqualified — Free Game",'Game Records'!$J470=""),"Total Players; ","")&amp;IF(AND(LOWER('Game Records'!$D470&amp;"")="finalized",LOWER('Game Records'!$L470&amp;"")&lt;&gt;"yes",'Game Records'!$U470&lt;&gt;"Subscription",'Game Records'!$U470&lt;&gt;"Free Game",'Game Records'!$U470&lt;&gt;"Disqualified — Free Game",'Game Records'!$K470=""),"Final Earned; ","")&amp;IF(AND(LOWER('Game Records'!$D470&amp;"")="finalized",'Game Records'!$U470&lt;&gt;"Subscription",'Game Records'!$U470&lt;&gt;"Free Game",'Game Records'!$U470&lt;&gt;"Disqualified — Free Game",OR('Game Records'!$L470="",LOWER('Game Records'!$L470&amp;"")="n/a")),"Disqualified Status; ",""))</x:f>
      </x:c>
      <x:c r="G470" s="331" t="str">
        <x:f>IF($A470="","",IFERROR('Game Records'!$M470,""))</x:f>
      </x:c>
    </x:row>
    <x:row r="471">
      <x:c r="A471" s="332" t="str">
        <x:f>IF(OR(COUNTA('Game Records'!$A471:$M471)=0,'Game Records'!$F471="Subscription"),"",IFERROR(MAX($A$4:A470),0)+1)</x:f>
      </x:c>
      <x:c r="B471" s="332" t="str">
        <x:f>IF($A471="","","G-"&amp;TEXT(ROW('Game Records'!$A471)-4,"0000"))</x:f>
      </x:c>
      <x:c r="C471" s="331" t="str">
        <x:f>IF($A471="","",IFERROR('Game Records'!$A471,""))</x:f>
      </x:c>
      <x:c r="D471" s="331" t="str">
        <x:f>IF($A471="","",IFERROR('Game Records'!$U471,""))</x:f>
      </x:c>
      <x:c r="E471" s="331" t="str">
        <x:f>IF($A471="","",IF($F471="","No Highlighted Fields","Highlighted Fields Present"))</x:f>
      </x:c>
      <x:c r="F471" s="331" t="str">
        <x:f>IF($A471="","",IF('Game Records'!$B471="","Start Date; ","")&amp;IF('Game Records'!$C471="","End Date; ","")&amp;IF(AND('Game Records'!$U471&lt;&gt;"Subscription",'Game Records'!$U471&lt;&gt;"Free Game",'Game Records'!$U471&lt;&gt;"Disqualified — Free Game",OR('Game Records'!$D471="",LOWER('Game Records'!$D471&amp;"")="n/a")),"Entry Mode; ","")&amp;IF(AND('Game Records'!$U471&lt;&gt;"Subscription",'Game Records'!$U471&lt;&gt;"Free Game",'Game Records'!$U471&lt;&gt;"Disqualified — Free Game",OR('Game Records'!$E471="",LOWER('Game Records'!$E471&amp;"")="n/a")),"Game Type; ","")&amp;IF('Game Records'!$F471="","Payment Type; ","")&amp;IF(AND('Game Records'!$U471&lt;&gt;"Subscription",'Game Records'!$U471&lt;&gt;"Free Game",'Game Records'!$U471&lt;&gt;"Disqualified — Free Game",'Game Records'!$G471=""),"Gross Pot; ","")&amp;IF(AND('Game Records'!$U471&lt;&gt;"Free Game",'Game Records'!$U471&lt;&gt;"Disqualified — Free Game",'Game Records'!$H471=""),"Entry Fee; ","")&amp;IF(AND('Game Records'!$U471&lt;&gt;"Subscription",'Game Records'!$U471&lt;&gt;"Free Game",'Game Records'!$U471&lt;&gt;"Disqualified — Free Game",'Game Records'!$I471=""),"Eligible Players; ","")&amp;IF(AND('Game Records'!$U471&lt;&gt;"Subscription",'Game Records'!$U471&lt;&gt;"Free Game",'Game Records'!$U471&lt;&gt;"Disqualified — Free Game",'Game Records'!$J471=""),"Total Players; ","")&amp;IF(AND(LOWER('Game Records'!$D471&amp;"")="finalized",LOWER('Game Records'!$L471&amp;"")&lt;&gt;"yes",'Game Records'!$U471&lt;&gt;"Subscription",'Game Records'!$U471&lt;&gt;"Free Game",'Game Records'!$U471&lt;&gt;"Disqualified — Free Game",'Game Records'!$K471=""),"Final Earned; ","")&amp;IF(AND(LOWER('Game Records'!$D471&amp;"")="finalized",'Game Records'!$U471&lt;&gt;"Subscription",'Game Records'!$U471&lt;&gt;"Free Game",'Game Records'!$U471&lt;&gt;"Disqualified — Free Game",OR('Game Records'!$L471="",LOWER('Game Records'!$L471&amp;"")="n/a")),"Disqualified Status; ",""))</x:f>
      </x:c>
      <x:c r="G471" s="331" t="str">
        <x:f>IF($A471="","",IFERROR('Game Records'!$M471,""))</x:f>
      </x:c>
    </x:row>
    <x:row r="472">
      <x:c r="A472" s="332" t="str">
        <x:f>IF(OR(COUNTA('Game Records'!$A472:$M472)=0,'Game Records'!$F472="Subscription"),"",IFERROR(MAX($A$4:A471),0)+1)</x:f>
      </x:c>
      <x:c r="B472" s="332" t="str">
        <x:f>IF($A472="","","G-"&amp;TEXT(ROW('Game Records'!$A472)-4,"0000"))</x:f>
      </x:c>
      <x:c r="C472" s="331" t="str">
        <x:f>IF($A472="","",IFERROR('Game Records'!$A472,""))</x:f>
      </x:c>
      <x:c r="D472" s="331" t="str">
        <x:f>IF($A472="","",IFERROR('Game Records'!$U472,""))</x:f>
      </x:c>
      <x:c r="E472" s="331" t="str">
        <x:f>IF($A472="","",IF($F472="","No Highlighted Fields","Highlighted Fields Present"))</x:f>
      </x:c>
      <x:c r="F472" s="331" t="str">
        <x:f>IF($A472="","",IF('Game Records'!$B472="","Start Date; ","")&amp;IF('Game Records'!$C472="","End Date; ","")&amp;IF(AND('Game Records'!$U472&lt;&gt;"Subscription",'Game Records'!$U472&lt;&gt;"Free Game",'Game Records'!$U472&lt;&gt;"Disqualified — Free Game",OR('Game Records'!$D472="",LOWER('Game Records'!$D472&amp;"")="n/a")),"Entry Mode; ","")&amp;IF(AND('Game Records'!$U472&lt;&gt;"Subscription",'Game Records'!$U472&lt;&gt;"Free Game",'Game Records'!$U472&lt;&gt;"Disqualified — Free Game",OR('Game Records'!$E472="",LOWER('Game Records'!$E472&amp;"")="n/a")),"Game Type; ","")&amp;IF('Game Records'!$F472="","Payment Type; ","")&amp;IF(AND('Game Records'!$U472&lt;&gt;"Subscription",'Game Records'!$U472&lt;&gt;"Free Game",'Game Records'!$U472&lt;&gt;"Disqualified — Free Game",'Game Records'!$G472=""),"Gross Pot; ","")&amp;IF(AND('Game Records'!$U472&lt;&gt;"Free Game",'Game Records'!$U472&lt;&gt;"Disqualified — Free Game",'Game Records'!$H472=""),"Entry Fee; ","")&amp;IF(AND('Game Records'!$U472&lt;&gt;"Subscription",'Game Records'!$U472&lt;&gt;"Free Game",'Game Records'!$U472&lt;&gt;"Disqualified — Free Game",'Game Records'!$I472=""),"Eligible Players; ","")&amp;IF(AND('Game Records'!$U472&lt;&gt;"Subscription",'Game Records'!$U472&lt;&gt;"Free Game",'Game Records'!$U472&lt;&gt;"Disqualified — Free Game",'Game Records'!$J472=""),"Total Players; ","")&amp;IF(AND(LOWER('Game Records'!$D472&amp;"")="finalized",LOWER('Game Records'!$L472&amp;"")&lt;&gt;"yes",'Game Records'!$U472&lt;&gt;"Subscription",'Game Records'!$U472&lt;&gt;"Free Game",'Game Records'!$U472&lt;&gt;"Disqualified — Free Game",'Game Records'!$K472=""),"Final Earned; ","")&amp;IF(AND(LOWER('Game Records'!$D472&amp;"")="finalized",'Game Records'!$U472&lt;&gt;"Subscription",'Game Records'!$U472&lt;&gt;"Free Game",'Game Records'!$U472&lt;&gt;"Disqualified — Free Game",OR('Game Records'!$L472="",LOWER('Game Records'!$L472&amp;"")="n/a")),"Disqualified Status; ",""))</x:f>
      </x:c>
      <x:c r="G472" s="331" t="str">
        <x:f>IF($A472="","",IFERROR('Game Records'!$M472,""))</x:f>
      </x:c>
    </x:row>
    <x:row r="473">
      <x:c r="A473" s="332" t="str">
        <x:f>IF(OR(COUNTA('Game Records'!$A473:$M473)=0,'Game Records'!$F473="Subscription"),"",IFERROR(MAX($A$4:A472),0)+1)</x:f>
      </x:c>
      <x:c r="B473" s="332" t="str">
        <x:f>IF($A473="","","G-"&amp;TEXT(ROW('Game Records'!$A473)-4,"0000"))</x:f>
      </x:c>
      <x:c r="C473" s="331" t="str">
        <x:f>IF($A473="","",IFERROR('Game Records'!$A473,""))</x:f>
      </x:c>
      <x:c r="D473" s="331" t="str">
        <x:f>IF($A473="","",IFERROR('Game Records'!$U473,""))</x:f>
      </x:c>
      <x:c r="E473" s="331" t="str">
        <x:f>IF($A473="","",IF($F473="","No Highlighted Fields","Highlighted Fields Present"))</x:f>
      </x:c>
      <x:c r="F473" s="331" t="str">
        <x:f>IF($A473="","",IF('Game Records'!$B473="","Start Date; ","")&amp;IF('Game Records'!$C473="","End Date; ","")&amp;IF(AND('Game Records'!$U473&lt;&gt;"Subscription",'Game Records'!$U473&lt;&gt;"Free Game",'Game Records'!$U473&lt;&gt;"Disqualified — Free Game",OR('Game Records'!$D473="",LOWER('Game Records'!$D473&amp;"")="n/a")),"Entry Mode; ","")&amp;IF(AND('Game Records'!$U473&lt;&gt;"Subscription",'Game Records'!$U473&lt;&gt;"Free Game",'Game Records'!$U473&lt;&gt;"Disqualified — Free Game",OR('Game Records'!$E473="",LOWER('Game Records'!$E473&amp;"")="n/a")),"Game Type; ","")&amp;IF('Game Records'!$F473="","Payment Type; ","")&amp;IF(AND('Game Records'!$U473&lt;&gt;"Subscription",'Game Records'!$U473&lt;&gt;"Free Game",'Game Records'!$U473&lt;&gt;"Disqualified — Free Game",'Game Records'!$G473=""),"Gross Pot; ","")&amp;IF(AND('Game Records'!$U473&lt;&gt;"Free Game",'Game Records'!$U473&lt;&gt;"Disqualified — Free Game",'Game Records'!$H473=""),"Entry Fee; ","")&amp;IF(AND('Game Records'!$U473&lt;&gt;"Subscription",'Game Records'!$U473&lt;&gt;"Free Game",'Game Records'!$U473&lt;&gt;"Disqualified — Free Game",'Game Records'!$I473=""),"Eligible Players; ","")&amp;IF(AND('Game Records'!$U473&lt;&gt;"Subscription",'Game Records'!$U473&lt;&gt;"Free Game",'Game Records'!$U473&lt;&gt;"Disqualified — Free Game",'Game Records'!$J473=""),"Total Players; ","")&amp;IF(AND(LOWER('Game Records'!$D473&amp;"")="finalized",LOWER('Game Records'!$L473&amp;"")&lt;&gt;"yes",'Game Records'!$U473&lt;&gt;"Subscription",'Game Records'!$U473&lt;&gt;"Free Game",'Game Records'!$U473&lt;&gt;"Disqualified — Free Game",'Game Records'!$K473=""),"Final Earned; ","")&amp;IF(AND(LOWER('Game Records'!$D473&amp;"")="finalized",'Game Records'!$U473&lt;&gt;"Subscription",'Game Records'!$U473&lt;&gt;"Free Game",'Game Records'!$U473&lt;&gt;"Disqualified — Free Game",OR('Game Records'!$L473="",LOWER('Game Records'!$L473&amp;"")="n/a")),"Disqualified Status; ",""))</x:f>
      </x:c>
      <x:c r="G473" s="331" t="str">
        <x:f>IF($A473="","",IFERROR('Game Records'!$M473,""))</x:f>
      </x:c>
    </x:row>
    <x:row r="474">
      <x:c r="A474" s="332" t="str">
        <x:f>IF(OR(COUNTA('Game Records'!$A474:$M474)=0,'Game Records'!$F474="Subscription"),"",IFERROR(MAX($A$4:A473),0)+1)</x:f>
      </x:c>
      <x:c r="B474" s="332" t="str">
        <x:f>IF($A474="","","G-"&amp;TEXT(ROW('Game Records'!$A474)-4,"0000"))</x:f>
      </x:c>
      <x:c r="C474" s="331" t="str">
        <x:f>IF($A474="","",IFERROR('Game Records'!$A474,""))</x:f>
      </x:c>
      <x:c r="D474" s="331" t="str">
        <x:f>IF($A474="","",IFERROR('Game Records'!$U474,""))</x:f>
      </x:c>
      <x:c r="E474" s="331" t="str">
        <x:f>IF($A474="","",IF($F474="","No Highlighted Fields","Highlighted Fields Present"))</x:f>
      </x:c>
      <x:c r="F474" s="331" t="str">
        <x:f>IF($A474="","",IF('Game Records'!$B474="","Start Date; ","")&amp;IF('Game Records'!$C474="","End Date; ","")&amp;IF(AND('Game Records'!$U474&lt;&gt;"Subscription",'Game Records'!$U474&lt;&gt;"Free Game",'Game Records'!$U474&lt;&gt;"Disqualified — Free Game",OR('Game Records'!$D474="",LOWER('Game Records'!$D474&amp;"")="n/a")),"Entry Mode; ","")&amp;IF(AND('Game Records'!$U474&lt;&gt;"Subscription",'Game Records'!$U474&lt;&gt;"Free Game",'Game Records'!$U474&lt;&gt;"Disqualified — Free Game",OR('Game Records'!$E474="",LOWER('Game Records'!$E474&amp;"")="n/a")),"Game Type; ","")&amp;IF('Game Records'!$F474="","Payment Type; ","")&amp;IF(AND('Game Records'!$U474&lt;&gt;"Subscription",'Game Records'!$U474&lt;&gt;"Free Game",'Game Records'!$U474&lt;&gt;"Disqualified — Free Game",'Game Records'!$G474=""),"Gross Pot; ","")&amp;IF(AND('Game Records'!$U474&lt;&gt;"Free Game",'Game Records'!$U474&lt;&gt;"Disqualified — Free Game",'Game Records'!$H474=""),"Entry Fee; ","")&amp;IF(AND('Game Records'!$U474&lt;&gt;"Subscription",'Game Records'!$U474&lt;&gt;"Free Game",'Game Records'!$U474&lt;&gt;"Disqualified — Free Game",'Game Records'!$I474=""),"Eligible Players; ","")&amp;IF(AND('Game Records'!$U474&lt;&gt;"Subscription",'Game Records'!$U474&lt;&gt;"Free Game",'Game Records'!$U474&lt;&gt;"Disqualified — Free Game",'Game Records'!$J474=""),"Total Players; ","")&amp;IF(AND(LOWER('Game Records'!$D474&amp;"")="finalized",LOWER('Game Records'!$L474&amp;"")&lt;&gt;"yes",'Game Records'!$U474&lt;&gt;"Subscription",'Game Records'!$U474&lt;&gt;"Free Game",'Game Records'!$U474&lt;&gt;"Disqualified — Free Game",'Game Records'!$K474=""),"Final Earned; ","")&amp;IF(AND(LOWER('Game Records'!$D474&amp;"")="finalized",'Game Records'!$U474&lt;&gt;"Subscription",'Game Records'!$U474&lt;&gt;"Free Game",'Game Records'!$U474&lt;&gt;"Disqualified — Free Game",OR('Game Records'!$L474="",LOWER('Game Records'!$L474&amp;"")="n/a")),"Disqualified Status; ",""))</x:f>
      </x:c>
      <x:c r="G474" s="331" t="str">
        <x:f>IF($A474="","",IFERROR('Game Records'!$M474,""))</x:f>
      </x:c>
    </x:row>
    <x:row r="475">
      <x:c r="A475" s="332" t="str">
        <x:f>IF(OR(COUNTA('Game Records'!$A475:$M475)=0,'Game Records'!$F475="Subscription"),"",IFERROR(MAX($A$4:A474),0)+1)</x:f>
      </x:c>
      <x:c r="B475" s="332" t="str">
        <x:f>IF($A475="","","G-"&amp;TEXT(ROW('Game Records'!$A475)-4,"0000"))</x:f>
      </x:c>
      <x:c r="C475" s="331" t="str">
        <x:f>IF($A475="","",IFERROR('Game Records'!$A475,""))</x:f>
      </x:c>
      <x:c r="D475" s="331" t="str">
        <x:f>IF($A475="","",IFERROR('Game Records'!$U475,""))</x:f>
      </x:c>
      <x:c r="E475" s="331" t="str">
        <x:f>IF($A475="","",IF($F475="","No Highlighted Fields","Highlighted Fields Present"))</x:f>
      </x:c>
      <x:c r="F475" s="331" t="str">
        <x:f>IF($A475="","",IF('Game Records'!$B475="","Start Date; ","")&amp;IF('Game Records'!$C475="","End Date; ","")&amp;IF(AND('Game Records'!$U475&lt;&gt;"Subscription",'Game Records'!$U475&lt;&gt;"Free Game",'Game Records'!$U475&lt;&gt;"Disqualified — Free Game",OR('Game Records'!$D475="",LOWER('Game Records'!$D475&amp;"")="n/a")),"Entry Mode; ","")&amp;IF(AND('Game Records'!$U475&lt;&gt;"Subscription",'Game Records'!$U475&lt;&gt;"Free Game",'Game Records'!$U475&lt;&gt;"Disqualified — Free Game",OR('Game Records'!$E475="",LOWER('Game Records'!$E475&amp;"")="n/a")),"Game Type; ","")&amp;IF('Game Records'!$F475="","Payment Type; ","")&amp;IF(AND('Game Records'!$U475&lt;&gt;"Subscription",'Game Records'!$U475&lt;&gt;"Free Game",'Game Records'!$U475&lt;&gt;"Disqualified — Free Game",'Game Records'!$G475=""),"Gross Pot; ","")&amp;IF(AND('Game Records'!$U475&lt;&gt;"Free Game",'Game Records'!$U475&lt;&gt;"Disqualified — Free Game",'Game Records'!$H475=""),"Entry Fee; ","")&amp;IF(AND('Game Records'!$U475&lt;&gt;"Subscription",'Game Records'!$U475&lt;&gt;"Free Game",'Game Records'!$U475&lt;&gt;"Disqualified — Free Game",'Game Records'!$I475=""),"Eligible Players; ","")&amp;IF(AND('Game Records'!$U475&lt;&gt;"Subscription",'Game Records'!$U475&lt;&gt;"Free Game",'Game Records'!$U475&lt;&gt;"Disqualified — Free Game",'Game Records'!$J475=""),"Total Players; ","")&amp;IF(AND(LOWER('Game Records'!$D475&amp;"")="finalized",LOWER('Game Records'!$L475&amp;"")&lt;&gt;"yes",'Game Records'!$U475&lt;&gt;"Subscription",'Game Records'!$U475&lt;&gt;"Free Game",'Game Records'!$U475&lt;&gt;"Disqualified — Free Game",'Game Records'!$K475=""),"Final Earned; ","")&amp;IF(AND(LOWER('Game Records'!$D475&amp;"")="finalized",'Game Records'!$U475&lt;&gt;"Subscription",'Game Records'!$U475&lt;&gt;"Free Game",'Game Records'!$U475&lt;&gt;"Disqualified — Free Game",OR('Game Records'!$L475="",LOWER('Game Records'!$L475&amp;"")="n/a")),"Disqualified Status; ",""))</x:f>
      </x:c>
      <x:c r="G475" s="331" t="str">
        <x:f>IF($A475="","",IFERROR('Game Records'!$M475,""))</x:f>
      </x:c>
    </x:row>
    <x:row r="476">
      <x:c r="A476" s="332" t="str">
        <x:f>IF(OR(COUNTA('Game Records'!$A476:$M476)=0,'Game Records'!$F476="Subscription"),"",IFERROR(MAX($A$4:A475),0)+1)</x:f>
      </x:c>
      <x:c r="B476" s="332" t="str">
        <x:f>IF($A476="","","G-"&amp;TEXT(ROW('Game Records'!$A476)-4,"0000"))</x:f>
      </x:c>
      <x:c r="C476" s="331" t="str">
        <x:f>IF($A476="","",IFERROR('Game Records'!$A476,""))</x:f>
      </x:c>
      <x:c r="D476" s="331" t="str">
        <x:f>IF($A476="","",IFERROR('Game Records'!$U476,""))</x:f>
      </x:c>
      <x:c r="E476" s="331" t="str">
        <x:f>IF($A476="","",IF($F476="","No Highlighted Fields","Highlighted Fields Present"))</x:f>
      </x:c>
      <x:c r="F476" s="331" t="str">
        <x:f>IF($A476="","",IF('Game Records'!$B476="","Start Date; ","")&amp;IF('Game Records'!$C476="","End Date; ","")&amp;IF(AND('Game Records'!$U476&lt;&gt;"Subscription",'Game Records'!$U476&lt;&gt;"Free Game",'Game Records'!$U476&lt;&gt;"Disqualified — Free Game",OR('Game Records'!$D476="",LOWER('Game Records'!$D476&amp;"")="n/a")),"Entry Mode; ","")&amp;IF(AND('Game Records'!$U476&lt;&gt;"Subscription",'Game Records'!$U476&lt;&gt;"Free Game",'Game Records'!$U476&lt;&gt;"Disqualified — Free Game",OR('Game Records'!$E476="",LOWER('Game Records'!$E476&amp;"")="n/a")),"Game Type; ","")&amp;IF('Game Records'!$F476="","Payment Type; ","")&amp;IF(AND('Game Records'!$U476&lt;&gt;"Subscription",'Game Records'!$U476&lt;&gt;"Free Game",'Game Records'!$U476&lt;&gt;"Disqualified — Free Game",'Game Records'!$G476=""),"Gross Pot; ","")&amp;IF(AND('Game Records'!$U476&lt;&gt;"Free Game",'Game Records'!$U476&lt;&gt;"Disqualified — Free Game",'Game Records'!$H476=""),"Entry Fee; ","")&amp;IF(AND('Game Records'!$U476&lt;&gt;"Subscription",'Game Records'!$U476&lt;&gt;"Free Game",'Game Records'!$U476&lt;&gt;"Disqualified — Free Game",'Game Records'!$I476=""),"Eligible Players; ","")&amp;IF(AND('Game Records'!$U476&lt;&gt;"Subscription",'Game Records'!$U476&lt;&gt;"Free Game",'Game Records'!$U476&lt;&gt;"Disqualified — Free Game",'Game Records'!$J476=""),"Total Players; ","")&amp;IF(AND(LOWER('Game Records'!$D476&amp;"")="finalized",LOWER('Game Records'!$L476&amp;"")&lt;&gt;"yes",'Game Records'!$U476&lt;&gt;"Subscription",'Game Records'!$U476&lt;&gt;"Free Game",'Game Records'!$U476&lt;&gt;"Disqualified — Free Game",'Game Records'!$K476=""),"Final Earned; ","")&amp;IF(AND(LOWER('Game Records'!$D476&amp;"")="finalized",'Game Records'!$U476&lt;&gt;"Subscription",'Game Records'!$U476&lt;&gt;"Free Game",'Game Records'!$U476&lt;&gt;"Disqualified — Free Game",OR('Game Records'!$L476="",LOWER('Game Records'!$L476&amp;"")="n/a")),"Disqualified Status; ",""))</x:f>
      </x:c>
      <x:c r="G476" s="331" t="str">
        <x:f>IF($A476="","",IFERROR('Game Records'!$M476,""))</x:f>
      </x:c>
    </x:row>
    <x:row r="477">
      <x:c r="A477" s="332" t="str">
        <x:f>IF(OR(COUNTA('Game Records'!$A477:$M477)=0,'Game Records'!$F477="Subscription"),"",IFERROR(MAX($A$4:A476),0)+1)</x:f>
      </x:c>
      <x:c r="B477" s="332" t="str">
        <x:f>IF($A477="","","G-"&amp;TEXT(ROW('Game Records'!$A477)-4,"0000"))</x:f>
      </x:c>
      <x:c r="C477" s="331" t="str">
        <x:f>IF($A477="","",IFERROR('Game Records'!$A477,""))</x:f>
      </x:c>
      <x:c r="D477" s="331" t="str">
        <x:f>IF($A477="","",IFERROR('Game Records'!$U477,""))</x:f>
      </x:c>
      <x:c r="E477" s="331" t="str">
        <x:f>IF($A477="","",IF($F477="","No Highlighted Fields","Highlighted Fields Present"))</x:f>
      </x:c>
      <x:c r="F477" s="331" t="str">
        <x:f>IF($A477="","",IF('Game Records'!$B477="","Start Date; ","")&amp;IF('Game Records'!$C477="","End Date; ","")&amp;IF(AND('Game Records'!$U477&lt;&gt;"Subscription",'Game Records'!$U477&lt;&gt;"Free Game",'Game Records'!$U477&lt;&gt;"Disqualified — Free Game",OR('Game Records'!$D477="",LOWER('Game Records'!$D477&amp;"")="n/a")),"Entry Mode; ","")&amp;IF(AND('Game Records'!$U477&lt;&gt;"Subscription",'Game Records'!$U477&lt;&gt;"Free Game",'Game Records'!$U477&lt;&gt;"Disqualified — Free Game",OR('Game Records'!$E477="",LOWER('Game Records'!$E477&amp;"")="n/a")),"Game Type; ","")&amp;IF('Game Records'!$F477="","Payment Type; ","")&amp;IF(AND('Game Records'!$U477&lt;&gt;"Subscription",'Game Records'!$U477&lt;&gt;"Free Game",'Game Records'!$U477&lt;&gt;"Disqualified — Free Game",'Game Records'!$G477=""),"Gross Pot; ","")&amp;IF(AND('Game Records'!$U477&lt;&gt;"Free Game",'Game Records'!$U477&lt;&gt;"Disqualified — Free Game",'Game Records'!$H477=""),"Entry Fee; ","")&amp;IF(AND('Game Records'!$U477&lt;&gt;"Subscription",'Game Records'!$U477&lt;&gt;"Free Game",'Game Records'!$U477&lt;&gt;"Disqualified — Free Game",'Game Records'!$I477=""),"Eligible Players; ","")&amp;IF(AND('Game Records'!$U477&lt;&gt;"Subscription",'Game Records'!$U477&lt;&gt;"Free Game",'Game Records'!$U477&lt;&gt;"Disqualified — Free Game",'Game Records'!$J477=""),"Total Players; ","")&amp;IF(AND(LOWER('Game Records'!$D477&amp;"")="finalized",LOWER('Game Records'!$L477&amp;"")&lt;&gt;"yes",'Game Records'!$U477&lt;&gt;"Subscription",'Game Records'!$U477&lt;&gt;"Free Game",'Game Records'!$U477&lt;&gt;"Disqualified — Free Game",'Game Records'!$K477=""),"Final Earned; ","")&amp;IF(AND(LOWER('Game Records'!$D477&amp;"")="finalized",'Game Records'!$U477&lt;&gt;"Subscription",'Game Records'!$U477&lt;&gt;"Free Game",'Game Records'!$U477&lt;&gt;"Disqualified — Free Game",OR('Game Records'!$L477="",LOWER('Game Records'!$L477&amp;"")="n/a")),"Disqualified Status; ",""))</x:f>
      </x:c>
      <x:c r="G477" s="331" t="str">
        <x:f>IF($A477="","",IFERROR('Game Records'!$M477,""))</x:f>
      </x:c>
    </x:row>
    <x:row r="478">
      <x:c r="A478" s="332" t="str">
        <x:f>IF(OR(COUNTA('Game Records'!$A478:$M478)=0,'Game Records'!$F478="Subscription"),"",IFERROR(MAX($A$4:A477),0)+1)</x:f>
      </x:c>
      <x:c r="B478" s="332" t="str">
        <x:f>IF($A478="","","G-"&amp;TEXT(ROW('Game Records'!$A478)-4,"0000"))</x:f>
      </x:c>
      <x:c r="C478" s="331" t="str">
        <x:f>IF($A478="","",IFERROR('Game Records'!$A478,""))</x:f>
      </x:c>
      <x:c r="D478" s="331" t="str">
        <x:f>IF($A478="","",IFERROR('Game Records'!$U478,""))</x:f>
      </x:c>
      <x:c r="E478" s="331" t="str">
        <x:f>IF($A478="","",IF($F478="","No Highlighted Fields","Highlighted Fields Present"))</x:f>
      </x:c>
      <x:c r="F478" s="331" t="str">
        <x:f>IF($A478="","",IF('Game Records'!$B478="","Start Date; ","")&amp;IF('Game Records'!$C478="","End Date; ","")&amp;IF(AND('Game Records'!$U478&lt;&gt;"Subscription",'Game Records'!$U478&lt;&gt;"Free Game",'Game Records'!$U478&lt;&gt;"Disqualified — Free Game",OR('Game Records'!$D478="",LOWER('Game Records'!$D478&amp;"")="n/a")),"Entry Mode; ","")&amp;IF(AND('Game Records'!$U478&lt;&gt;"Subscription",'Game Records'!$U478&lt;&gt;"Free Game",'Game Records'!$U478&lt;&gt;"Disqualified — Free Game",OR('Game Records'!$E478="",LOWER('Game Records'!$E478&amp;"")="n/a")),"Game Type; ","")&amp;IF('Game Records'!$F478="","Payment Type; ","")&amp;IF(AND('Game Records'!$U478&lt;&gt;"Subscription",'Game Records'!$U478&lt;&gt;"Free Game",'Game Records'!$U478&lt;&gt;"Disqualified — Free Game",'Game Records'!$G478=""),"Gross Pot; ","")&amp;IF(AND('Game Records'!$U478&lt;&gt;"Free Game",'Game Records'!$U478&lt;&gt;"Disqualified — Free Game",'Game Records'!$H478=""),"Entry Fee; ","")&amp;IF(AND('Game Records'!$U478&lt;&gt;"Subscription",'Game Records'!$U478&lt;&gt;"Free Game",'Game Records'!$U478&lt;&gt;"Disqualified — Free Game",'Game Records'!$I478=""),"Eligible Players; ","")&amp;IF(AND('Game Records'!$U478&lt;&gt;"Subscription",'Game Records'!$U478&lt;&gt;"Free Game",'Game Records'!$U478&lt;&gt;"Disqualified — Free Game",'Game Records'!$J478=""),"Total Players; ","")&amp;IF(AND(LOWER('Game Records'!$D478&amp;"")="finalized",LOWER('Game Records'!$L478&amp;"")&lt;&gt;"yes",'Game Records'!$U478&lt;&gt;"Subscription",'Game Records'!$U478&lt;&gt;"Free Game",'Game Records'!$U478&lt;&gt;"Disqualified — Free Game",'Game Records'!$K478=""),"Final Earned; ","")&amp;IF(AND(LOWER('Game Records'!$D478&amp;"")="finalized",'Game Records'!$U478&lt;&gt;"Subscription",'Game Records'!$U478&lt;&gt;"Free Game",'Game Records'!$U478&lt;&gt;"Disqualified — Free Game",OR('Game Records'!$L478="",LOWER('Game Records'!$L478&amp;"")="n/a")),"Disqualified Status; ",""))</x:f>
      </x:c>
      <x:c r="G478" s="331" t="str">
        <x:f>IF($A478="","",IFERROR('Game Records'!$M478,""))</x:f>
      </x:c>
    </x:row>
    <x:row r="479">
      <x:c r="A479" s="332" t="str">
        <x:f>IF(OR(COUNTA('Game Records'!$A479:$M479)=0,'Game Records'!$F479="Subscription"),"",IFERROR(MAX($A$4:A478),0)+1)</x:f>
      </x:c>
      <x:c r="B479" s="332" t="str">
        <x:f>IF($A479="","","G-"&amp;TEXT(ROW('Game Records'!$A479)-4,"0000"))</x:f>
      </x:c>
      <x:c r="C479" s="331" t="str">
        <x:f>IF($A479="","",IFERROR('Game Records'!$A479,""))</x:f>
      </x:c>
      <x:c r="D479" s="331" t="str">
        <x:f>IF($A479="","",IFERROR('Game Records'!$U479,""))</x:f>
      </x:c>
      <x:c r="E479" s="331" t="str">
        <x:f>IF($A479="","",IF($F479="","No Highlighted Fields","Highlighted Fields Present"))</x:f>
      </x:c>
      <x:c r="F479" s="331" t="str">
        <x:f>IF($A479="","",IF('Game Records'!$B479="","Start Date; ","")&amp;IF('Game Records'!$C479="","End Date; ","")&amp;IF(AND('Game Records'!$U479&lt;&gt;"Subscription",'Game Records'!$U479&lt;&gt;"Free Game",'Game Records'!$U479&lt;&gt;"Disqualified — Free Game",OR('Game Records'!$D479="",LOWER('Game Records'!$D479&amp;"")="n/a")),"Entry Mode; ","")&amp;IF(AND('Game Records'!$U479&lt;&gt;"Subscription",'Game Records'!$U479&lt;&gt;"Free Game",'Game Records'!$U479&lt;&gt;"Disqualified — Free Game",OR('Game Records'!$E479="",LOWER('Game Records'!$E479&amp;"")="n/a")),"Game Type; ","")&amp;IF('Game Records'!$F479="","Payment Type; ","")&amp;IF(AND('Game Records'!$U479&lt;&gt;"Subscription",'Game Records'!$U479&lt;&gt;"Free Game",'Game Records'!$U479&lt;&gt;"Disqualified — Free Game",'Game Records'!$G479=""),"Gross Pot; ","")&amp;IF(AND('Game Records'!$U479&lt;&gt;"Free Game",'Game Records'!$U479&lt;&gt;"Disqualified — Free Game",'Game Records'!$H479=""),"Entry Fee; ","")&amp;IF(AND('Game Records'!$U479&lt;&gt;"Subscription",'Game Records'!$U479&lt;&gt;"Free Game",'Game Records'!$U479&lt;&gt;"Disqualified — Free Game",'Game Records'!$I479=""),"Eligible Players; ","")&amp;IF(AND('Game Records'!$U479&lt;&gt;"Subscription",'Game Records'!$U479&lt;&gt;"Free Game",'Game Records'!$U479&lt;&gt;"Disqualified — Free Game",'Game Records'!$J479=""),"Total Players; ","")&amp;IF(AND(LOWER('Game Records'!$D479&amp;"")="finalized",LOWER('Game Records'!$L479&amp;"")&lt;&gt;"yes",'Game Records'!$U479&lt;&gt;"Subscription",'Game Records'!$U479&lt;&gt;"Free Game",'Game Records'!$U479&lt;&gt;"Disqualified — Free Game",'Game Records'!$K479=""),"Final Earned; ","")&amp;IF(AND(LOWER('Game Records'!$D479&amp;"")="finalized",'Game Records'!$U479&lt;&gt;"Subscription",'Game Records'!$U479&lt;&gt;"Free Game",'Game Records'!$U479&lt;&gt;"Disqualified — Free Game",OR('Game Records'!$L479="",LOWER('Game Records'!$L479&amp;"")="n/a")),"Disqualified Status; ",""))</x:f>
      </x:c>
      <x:c r="G479" s="331" t="str">
        <x:f>IF($A479="","",IFERROR('Game Records'!$M479,""))</x:f>
      </x:c>
    </x:row>
    <x:row r="480">
      <x:c r="A480" s="332" t="str">
        <x:f>IF(OR(COUNTA('Game Records'!$A480:$M480)=0,'Game Records'!$F480="Subscription"),"",IFERROR(MAX($A$4:A479),0)+1)</x:f>
      </x:c>
      <x:c r="B480" s="332" t="str">
        <x:f>IF($A480="","","G-"&amp;TEXT(ROW('Game Records'!$A480)-4,"0000"))</x:f>
      </x:c>
      <x:c r="C480" s="331" t="str">
        <x:f>IF($A480="","",IFERROR('Game Records'!$A480,""))</x:f>
      </x:c>
      <x:c r="D480" s="331" t="str">
        <x:f>IF($A480="","",IFERROR('Game Records'!$U480,""))</x:f>
      </x:c>
      <x:c r="E480" s="331" t="str">
        <x:f>IF($A480="","",IF($F480="","No Highlighted Fields","Highlighted Fields Present"))</x:f>
      </x:c>
      <x:c r="F480" s="331" t="str">
        <x:f>IF($A480="","",IF('Game Records'!$B480="","Start Date; ","")&amp;IF('Game Records'!$C480="","End Date; ","")&amp;IF(AND('Game Records'!$U480&lt;&gt;"Subscription",'Game Records'!$U480&lt;&gt;"Free Game",'Game Records'!$U480&lt;&gt;"Disqualified — Free Game",OR('Game Records'!$D480="",LOWER('Game Records'!$D480&amp;"")="n/a")),"Entry Mode; ","")&amp;IF(AND('Game Records'!$U480&lt;&gt;"Subscription",'Game Records'!$U480&lt;&gt;"Free Game",'Game Records'!$U480&lt;&gt;"Disqualified — Free Game",OR('Game Records'!$E480="",LOWER('Game Records'!$E480&amp;"")="n/a")),"Game Type; ","")&amp;IF('Game Records'!$F480="","Payment Type; ","")&amp;IF(AND('Game Records'!$U480&lt;&gt;"Subscription",'Game Records'!$U480&lt;&gt;"Free Game",'Game Records'!$U480&lt;&gt;"Disqualified — Free Game",'Game Records'!$G480=""),"Gross Pot; ","")&amp;IF(AND('Game Records'!$U480&lt;&gt;"Free Game",'Game Records'!$U480&lt;&gt;"Disqualified — Free Game",'Game Records'!$H480=""),"Entry Fee; ","")&amp;IF(AND('Game Records'!$U480&lt;&gt;"Subscription",'Game Records'!$U480&lt;&gt;"Free Game",'Game Records'!$U480&lt;&gt;"Disqualified — Free Game",'Game Records'!$I480=""),"Eligible Players; ","")&amp;IF(AND('Game Records'!$U480&lt;&gt;"Subscription",'Game Records'!$U480&lt;&gt;"Free Game",'Game Records'!$U480&lt;&gt;"Disqualified — Free Game",'Game Records'!$J480=""),"Total Players; ","")&amp;IF(AND(LOWER('Game Records'!$D480&amp;"")="finalized",LOWER('Game Records'!$L480&amp;"")&lt;&gt;"yes",'Game Records'!$U480&lt;&gt;"Subscription",'Game Records'!$U480&lt;&gt;"Free Game",'Game Records'!$U480&lt;&gt;"Disqualified — Free Game",'Game Records'!$K480=""),"Final Earned; ","")&amp;IF(AND(LOWER('Game Records'!$D480&amp;"")="finalized",'Game Records'!$U480&lt;&gt;"Subscription",'Game Records'!$U480&lt;&gt;"Free Game",'Game Records'!$U480&lt;&gt;"Disqualified — Free Game",OR('Game Records'!$L480="",LOWER('Game Records'!$L480&amp;"")="n/a")),"Disqualified Status; ",""))</x:f>
      </x:c>
      <x:c r="G480" s="331" t="str">
        <x:f>IF($A480="","",IFERROR('Game Records'!$M480,""))</x:f>
      </x:c>
    </x:row>
    <x:row r="481">
      <x:c r="A481" s="332" t="str">
        <x:f>IF(OR(COUNTA('Game Records'!$A481:$M481)=0,'Game Records'!$F481="Subscription"),"",IFERROR(MAX($A$4:A480),0)+1)</x:f>
      </x:c>
      <x:c r="B481" s="332" t="str">
        <x:f>IF($A481="","","G-"&amp;TEXT(ROW('Game Records'!$A481)-4,"0000"))</x:f>
      </x:c>
      <x:c r="C481" s="331" t="str">
        <x:f>IF($A481="","",IFERROR('Game Records'!$A481,""))</x:f>
      </x:c>
      <x:c r="D481" s="331" t="str">
        <x:f>IF($A481="","",IFERROR('Game Records'!$U481,""))</x:f>
      </x:c>
      <x:c r="E481" s="331" t="str">
        <x:f>IF($A481="","",IF($F481="","No Highlighted Fields","Highlighted Fields Present"))</x:f>
      </x:c>
      <x:c r="F481" s="331" t="str">
        <x:f>IF($A481="","",IF('Game Records'!$B481="","Start Date; ","")&amp;IF('Game Records'!$C481="","End Date; ","")&amp;IF(AND('Game Records'!$U481&lt;&gt;"Subscription",'Game Records'!$U481&lt;&gt;"Free Game",'Game Records'!$U481&lt;&gt;"Disqualified — Free Game",OR('Game Records'!$D481="",LOWER('Game Records'!$D481&amp;"")="n/a")),"Entry Mode; ","")&amp;IF(AND('Game Records'!$U481&lt;&gt;"Subscription",'Game Records'!$U481&lt;&gt;"Free Game",'Game Records'!$U481&lt;&gt;"Disqualified — Free Game",OR('Game Records'!$E481="",LOWER('Game Records'!$E481&amp;"")="n/a")),"Game Type; ","")&amp;IF('Game Records'!$F481="","Payment Type; ","")&amp;IF(AND('Game Records'!$U481&lt;&gt;"Subscription",'Game Records'!$U481&lt;&gt;"Free Game",'Game Records'!$U481&lt;&gt;"Disqualified — Free Game",'Game Records'!$G481=""),"Gross Pot; ","")&amp;IF(AND('Game Records'!$U481&lt;&gt;"Free Game",'Game Records'!$U481&lt;&gt;"Disqualified — Free Game",'Game Records'!$H481=""),"Entry Fee; ","")&amp;IF(AND('Game Records'!$U481&lt;&gt;"Subscription",'Game Records'!$U481&lt;&gt;"Free Game",'Game Records'!$U481&lt;&gt;"Disqualified — Free Game",'Game Records'!$I481=""),"Eligible Players; ","")&amp;IF(AND('Game Records'!$U481&lt;&gt;"Subscription",'Game Records'!$U481&lt;&gt;"Free Game",'Game Records'!$U481&lt;&gt;"Disqualified — Free Game",'Game Records'!$J481=""),"Total Players; ","")&amp;IF(AND(LOWER('Game Records'!$D481&amp;"")="finalized",LOWER('Game Records'!$L481&amp;"")&lt;&gt;"yes",'Game Records'!$U481&lt;&gt;"Subscription",'Game Records'!$U481&lt;&gt;"Free Game",'Game Records'!$U481&lt;&gt;"Disqualified — Free Game",'Game Records'!$K481=""),"Final Earned; ","")&amp;IF(AND(LOWER('Game Records'!$D481&amp;"")="finalized",'Game Records'!$U481&lt;&gt;"Subscription",'Game Records'!$U481&lt;&gt;"Free Game",'Game Records'!$U481&lt;&gt;"Disqualified — Free Game",OR('Game Records'!$L481="",LOWER('Game Records'!$L481&amp;"")="n/a")),"Disqualified Status; ",""))</x:f>
      </x:c>
      <x:c r="G481" s="331" t="str">
        <x:f>IF($A481="","",IFERROR('Game Records'!$M481,""))</x:f>
      </x:c>
    </x:row>
    <x:row r="482">
      <x:c r="A482" s="332" t="str">
        <x:f>IF(OR(COUNTA('Game Records'!$A482:$M482)=0,'Game Records'!$F482="Subscription"),"",IFERROR(MAX($A$4:A481),0)+1)</x:f>
      </x:c>
      <x:c r="B482" s="332" t="str">
        <x:f>IF($A482="","","G-"&amp;TEXT(ROW('Game Records'!$A482)-4,"0000"))</x:f>
      </x:c>
      <x:c r="C482" s="331" t="str">
        <x:f>IF($A482="","",IFERROR('Game Records'!$A482,""))</x:f>
      </x:c>
      <x:c r="D482" s="331" t="str">
        <x:f>IF($A482="","",IFERROR('Game Records'!$U482,""))</x:f>
      </x:c>
      <x:c r="E482" s="331" t="str">
        <x:f>IF($A482="","",IF($F482="","No Highlighted Fields","Highlighted Fields Present"))</x:f>
      </x:c>
      <x:c r="F482" s="331" t="str">
        <x:f>IF($A482="","",IF('Game Records'!$B482="","Start Date; ","")&amp;IF('Game Records'!$C482="","End Date; ","")&amp;IF(AND('Game Records'!$U482&lt;&gt;"Subscription",'Game Records'!$U482&lt;&gt;"Free Game",'Game Records'!$U482&lt;&gt;"Disqualified — Free Game",OR('Game Records'!$D482="",LOWER('Game Records'!$D482&amp;"")="n/a")),"Entry Mode; ","")&amp;IF(AND('Game Records'!$U482&lt;&gt;"Subscription",'Game Records'!$U482&lt;&gt;"Free Game",'Game Records'!$U482&lt;&gt;"Disqualified — Free Game",OR('Game Records'!$E482="",LOWER('Game Records'!$E482&amp;"")="n/a")),"Game Type; ","")&amp;IF('Game Records'!$F482="","Payment Type; ","")&amp;IF(AND('Game Records'!$U482&lt;&gt;"Subscription",'Game Records'!$U482&lt;&gt;"Free Game",'Game Records'!$U482&lt;&gt;"Disqualified — Free Game",'Game Records'!$G482=""),"Gross Pot; ","")&amp;IF(AND('Game Records'!$U482&lt;&gt;"Free Game",'Game Records'!$U482&lt;&gt;"Disqualified — Free Game",'Game Records'!$H482=""),"Entry Fee; ","")&amp;IF(AND('Game Records'!$U482&lt;&gt;"Subscription",'Game Records'!$U482&lt;&gt;"Free Game",'Game Records'!$U482&lt;&gt;"Disqualified — Free Game",'Game Records'!$I482=""),"Eligible Players; ","")&amp;IF(AND('Game Records'!$U482&lt;&gt;"Subscription",'Game Records'!$U482&lt;&gt;"Free Game",'Game Records'!$U482&lt;&gt;"Disqualified — Free Game",'Game Records'!$J482=""),"Total Players; ","")&amp;IF(AND(LOWER('Game Records'!$D482&amp;"")="finalized",LOWER('Game Records'!$L482&amp;"")&lt;&gt;"yes",'Game Records'!$U482&lt;&gt;"Subscription",'Game Records'!$U482&lt;&gt;"Free Game",'Game Records'!$U482&lt;&gt;"Disqualified — Free Game",'Game Records'!$K482=""),"Final Earned; ","")&amp;IF(AND(LOWER('Game Records'!$D482&amp;"")="finalized",'Game Records'!$U482&lt;&gt;"Subscription",'Game Records'!$U482&lt;&gt;"Free Game",'Game Records'!$U482&lt;&gt;"Disqualified — Free Game",OR('Game Records'!$L482="",LOWER('Game Records'!$L482&amp;"")="n/a")),"Disqualified Status; ",""))</x:f>
      </x:c>
      <x:c r="G482" s="331" t="str">
        <x:f>IF($A482="","",IFERROR('Game Records'!$M482,""))</x:f>
      </x:c>
    </x:row>
    <x:row r="483">
      <x:c r="A483" s="332" t="str">
        <x:f>IF(OR(COUNTA('Game Records'!$A483:$M483)=0,'Game Records'!$F483="Subscription"),"",IFERROR(MAX($A$4:A482),0)+1)</x:f>
      </x:c>
      <x:c r="B483" s="332" t="str">
        <x:f>IF($A483="","","G-"&amp;TEXT(ROW('Game Records'!$A483)-4,"0000"))</x:f>
      </x:c>
      <x:c r="C483" s="331" t="str">
        <x:f>IF($A483="","",IFERROR('Game Records'!$A483,""))</x:f>
      </x:c>
      <x:c r="D483" s="331" t="str">
        <x:f>IF($A483="","",IFERROR('Game Records'!$U483,""))</x:f>
      </x:c>
      <x:c r="E483" s="331" t="str">
        <x:f>IF($A483="","",IF($F483="","No Highlighted Fields","Highlighted Fields Present"))</x:f>
      </x:c>
      <x:c r="F483" s="331" t="str">
        <x:f>IF($A483="","",IF('Game Records'!$B483="","Start Date; ","")&amp;IF('Game Records'!$C483="","End Date; ","")&amp;IF(AND('Game Records'!$U483&lt;&gt;"Subscription",'Game Records'!$U483&lt;&gt;"Free Game",'Game Records'!$U483&lt;&gt;"Disqualified — Free Game",OR('Game Records'!$D483="",LOWER('Game Records'!$D483&amp;"")="n/a")),"Entry Mode; ","")&amp;IF(AND('Game Records'!$U483&lt;&gt;"Subscription",'Game Records'!$U483&lt;&gt;"Free Game",'Game Records'!$U483&lt;&gt;"Disqualified — Free Game",OR('Game Records'!$E483="",LOWER('Game Records'!$E483&amp;"")="n/a")),"Game Type; ","")&amp;IF('Game Records'!$F483="","Payment Type; ","")&amp;IF(AND('Game Records'!$U483&lt;&gt;"Subscription",'Game Records'!$U483&lt;&gt;"Free Game",'Game Records'!$U483&lt;&gt;"Disqualified — Free Game",'Game Records'!$G483=""),"Gross Pot; ","")&amp;IF(AND('Game Records'!$U483&lt;&gt;"Free Game",'Game Records'!$U483&lt;&gt;"Disqualified — Free Game",'Game Records'!$H483=""),"Entry Fee; ","")&amp;IF(AND('Game Records'!$U483&lt;&gt;"Subscription",'Game Records'!$U483&lt;&gt;"Free Game",'Game Records'!$U483&lt;&gt;"Disqualified — Free Game",'Game Records'!$I483=""),"Eligible Players; ","")&amp;IF(AND('Game Records'!$U483&lt;&gt;"Subscription",'Game Records'!$U483&lt;&gt;"Free Game",'Game Records'!$U483&lt;&gt;"Disqualified — Free Game",'Game Records'!$J483=""),"Total Players; ","")&amp;IF(AND(LOWER('Game Records'!$D483&amp;"")="finalized",LOWER('Game Records'!$L483&amp;"")&lt;&gt;"yes",'Game Records'!$U483&lt;&gt;"Subscription",'Game Records'!$U483&lt;&gt;"Free Game",'Game Records'!$U483&lt;&gt;"Disqualified — Free Game",'Game Records'!$K483=""),"Final Earned; ","")&amp;IF(AND(LOWER('Game Records'!$D483&amp;"")="finalized",'Game Records'!$U483&lt;&gt;"Subscription",'Game Records'!$U483&lt;&gt;"Free Game",'Game Records'!$U483&lt;&gt;"Disqualified — Free Game",OR('Game Records'!$L483="",LOWER('Game Records'!$L483&amp;"")="n/a")),"Disqualified Status; ",""))</x:f>
      </x:c>
      <x:c r="G483" s="331" t="str">
        <x:f>IF($A483="","",IFERROR('Game Records'!$M483,""))</x:f>
      </x:c>
    </x:row>
    <x:row r="484">
      <x:c r="A484" s="332" t="str">
        <x:f>IF(OR(COUNTA('Game Records'!$A484:$M484)=0,'Game Records'!$F484="Subscription"),"",IFERROR(MAX($A$4:A483),0)+1)</x:f>
      </x:c>
      <x:c r="B484" s="332" t="str">
        <x:f>IF($A484="","","G-"&amp;TEXT(ROW('Game Records'!$A484)-4,"0000"))</x:f>
      </x:c>
      <x:c r="C484" s="331" t="str">
        <x:f>IF($A484="","",IFERROR('Game Records'!$A484,""))</x:f>
      </x:c>
      <x:c r="D484" s="331" t="str">
        <x:f>IF($A484="","",IFERROR('Game Records'!$U484,""))</x:f>
      </x:c>
      <x:c r="E484" s="331" t="str">
        <x:f>IF($A484="","",IF($F484="","No Highlighted Fields","Highlighted Fields Present"))</x:f>
      </x:c>
      <x:c r="F484" s="331" t="str">
        <x:f>IF($A484="","",IF('Game Records'!$B484="","Start Date; ","")&amp;IF('Game Records'!$C484="","End Date; ","")&amp;IF(AND('Game Records'!$U484&lt;&gt;"Subscription",'Game Records'!$U484&lt;&gt;"Free Game",'Game Records'!$U484&lt;&gt;"Disqualified — Free Game",OR('Game Records'!$D484="",LOWER('Game Records'!$D484&amp;"")="n/a")),"Entry Mode; ","")&amp;IF(AND('Game Records'!$U484&lt;&gt;"Subscription",'Game Records'!$U484&lt;&gt;"Free Game",'Game Records'!$U484&lt;&gt;"Disqualified — Free Game",OR('Game Records'!$E484="",LOWER('Game Records'!$E484&amp;"")="n/a")),"Game Type; ","")&amp;IF('Game Records'!$F484="","Payment Type; ","")&amp;IF(AND('Game Records'!$U484&lt;&gt;"Subscription",'Game Records'!$U484&lt;&gt;"Free Game",'Game Records'!$U484&lt;&gt;"Disqualified — Free Game",'Game Records'!$G484=""),"Gross Pot; ","")&amp;IF(AND('Game Records'!$U484&lt;&gt;"Free Game",'Game Records'!$U484&lt;&gt;"Disqualified — Free Game",'Game Records'!$H484=""),"Entry Fee; ","")&amp;IF(AND('Game Records'!$U484&lt;&gt;"Subscription",'Game Records'!$U484&lt;&gt;"Free Game",'Game Records'!$U484&lt;&gt;"Disqualified — Free Game",'Game Records'!$I484=""),"Eligible Players; ","")&amp;IF(AND('Game Records'!$U484&lt;&gt;"Subscription",'Game Records'!$U484&lt;&gt;"Free Game",'Game Records'!$U484&lt;&gt;"Disqualified — Free Game",'Game Records'!$J484=""),"Total Players; ","")&amp;IF(AND(LOWER('Game Records'!$D484&amp;"")="finalized",LOWER('Game Records'!$L484&amp;"")&lt;&gt;"yes",'Game Records'!$U484&lt;&gt;"Subscription",'Game Records'!$U484&lt;&gt;"Free Game",'Game Records'!$U484&lt;&gt;"Disqualified — Free Game",'Game Records'!$K484=""),"Final Earned; ","")&amp;IF(AND(LOWER('Game Records'!$D484&amp;"")="finalized",'Game Records'!$U484&lt;&gt;"Subscription",'Game Records'!$U484&lt;&gt;"Free Game",'Game Records'!$U484&lt;&gt;"Disqualified — Free Game",OR('Game Records'!$L484="",LOWER('Game Records'!$L484&amp;"")="n/a")),"Disqualified Status; ",""))</x:f>
      </x:c>
      <x:c r="G484" s="331" t="str">
        <x:f>IF($A484="","",IFERROR('Game Records'!$M484,""))</x:f>
      </x:c>
    </x:row>
    <x:row r="485">
      <x:c r="A485" s="332" t="str">
        <x:f>IF(OR(COUNTA('Game Records'!$A485:$M485)=0,'Game Records'!$F485="Subscription"),"",IFERROR(MAX($A$4:A484),0)+1)</x:f>
      </x:c>
      <x:c r="B485" s="332" t="str">
        <x:f>IF($A485="","","G-"&amp;TEXT(ROW('Game Records'!$A485)-4,"0000"))</x:f>
      </x:c>
      <x:c r="C485" s="331" t="str">
        <x:f>IF($A485="","",IFERROR('Game Records'!$A485,""))</x:f>
      </x:c>
      <x:c r="D485" s="331" t="str">
        <x:f>IF($A485="","",IFERROR('Game Records'!$U485,""))</x:f>
      </x:c>
      <x:c r="E485" s="331" t="str">
        <x:f>IF($A485="","",IF($F485="","No Highlighted Fields","Highlighted Fields Present"))</x:f>
      </x:c>
      <x:c r="F485" s="331" t="str">
        <x:f>IF($A485="","",IF('Game Records'!$B485="","Start Date; ","")&amp;IF('Game Records'!$C485="","End Date; ","")&amp;IF(AND('Game Records'!$U485&lt;&gt;"Subscription",'Game Records'!$U485&lt;&gt;"Free Game",'Game Records'!$U485&lt;&gt;"Disqualified — Free Game",OR('Game Records'!$D485="",LOWER('Game Records'!$D485&amp;"")="n/a")),"Entry Mode; ","")&amp;IF(AND('Game Records'!$U485&lt;&gt;"Subscription",'Game Records'!$U485&lt;&gt;"Free Game",'Game Records'!$U485&lt;&gt;"Disqualified — Free Game",OR('Game Records'!$E485="",LOWER('Game Records'!$E485&amp;"")="n/a")),"Game Type; ","")&amp;IF('Game Records'!$F485="","Payment Type; ","")&amp;IF(AND('Game Records'!$U485&lt;&gt;"Subscription",'Game Records'!$U485&lt;&gt;"Free Game",'Game Records'!$U485&lt;&gt;"Disqualified — Free Game",'Game Records'!$G485=""),"Gross Pot; ","")&amp;IF(AND('Game Records'!$U485&lt;&gt;"Free Game",'Game Records'!$U485&lt;&gt;"Disqualified — Free Game",'Game Records'!$H485=""),"Entry Fee; ","")&amp;IF(AND('Game Records'!$U485&lt;&gt;"Subscription",'Game Records'!$U485&lt;&gt;"Free Game",'Game Records'!$U485&lt;&gt;"Disqualified — Free Game",'Game Records'!$I485=""),"Eligible Players; ","")&amp;IF(AND('Game Records'!$U485&lt;&gt;"Subscription",'Game Records'!$U485&lt;&gt;"Free Game",'Game Records'!$U485&lt;&gt;"Disqualified — Free Game",'Game Records'!$J485=""),"Total Players; ","")&amp;IF(AND(LOWER('Game Records'!$D485&amp;"")="finalized",LOWER('Game Records'!$L485&amp;"")&lt;&gt;"yes",'Game Records'!$U485&lt;&gt;"Subscription",'Game Records'!$U485&lt;&gt;"Free Game",'Game Records'!$U485&lt;&gt;"Disqualified — Free Game",'Game Records'!$K485=""),"Final Earned; ","")&amp;IF(AND(LOWER('Game Records'!$D485&amp;"")="finalized",'Game Records'!$U485&lt;&gt;"Subscription",'Game Records'!$U485&lt;&gt;"Free Game",'Game Records'!$U485&lt;&gt;"Disqualified — Free Game",OR('Game Records'!$L485="",LOWER('Game Records'!$L485&amp;"")="n/a")),"Disqualified Status; ",""))</x:f>
      </x:c>
      <x:c r="G485" s="331" t="str">
        <x:f>IF($A485="","",IFERROR('Game Records'!$M485,""))</x:f>
      </x:c>
    </x:row>
    <x:row r="486">
      <x:c r="A486" s="332" t="str">
        <x:f>IF(OR(COUNTA('Game Records'!$A486:$M486)=0,'Game Records'!$F486="Subscription"),"",IFERROR(MAX($A$4:A485),0)+1)</x:f>
      </x:c>
      <x:c r="B486" s="332" t="str">
        <x:f>IF($A486="","","G-"&amp;TEXT(ROW('Game Records'!$A486)-4,"0000"))</x:f>
      </x:c>
      <x:c r="C486" s="331" t="str">
        <x:f>IF($A486="","",IFERROR('Game Records'!$A486,""))</x:f>
      </x:c>
      <x:c r="D486" s="331" t="str">
        <x:f>IF($A486="","",IFERROR('Game Records'!$U486,""))</x:f>
      </x:c>
      <x:c r="E486" s="331" t="str">
        <x:f>IF($A486="","",IF($F486="","No Highlighted Fields","Highlighted Fields Present"))</x:f>
      </x:c>
      <x:c r="F486" s="331" t="str">
        <x:f>IF($A486="","",IF('Game Records'!$B486="","Start Date; ","")&amp;IF('Game Records'!$C486="","End Date; ","")&amp;IF(AND('Game Records'!$U486&lt;&gt;"Subscription",'Game Records'!$U486&lt;&gt;"Free Game",'Game Records'!$U486&lt;&gt;"Disqualified — Free Game",OR('Game Records'!$D486="",LOWER('Game Records'!$D486&amp;"")="n/a")),"Entry Mode; ","")&amp;IF(AND('Game Records'!$U486&lt;&gt;"Subscription",'Game Records'!$U486&lt;&gt;"Free Game",'Game Records'!$U486&lt;&gt;"Disqualified — Free Game",OR('Game Records'!$E486="",LOWER('Game Records'!$E486&amp;"")="n/a")),"Game Type; ","")&amp;IF('Game Records'!$F486="","Payment Type; ","")&amp;IF(AND('Game Records'!$U486&lt;&gt;"Subscription",'Game Records'!$U486&lt;&gt;"Free Game",'Game Records'!$U486&lt;&gt;"Disqualified — Free Game",'Game Records'!$G486=""),"Gross Pot; ","")&amp;IF(AND('Game Records'!$U486&lt;&gt;"Free Game",'Game Records'!$U486&lt;&gt;"Disqualified — Free Game",'Game Records'!$H486=""),"Entry Fee; ","")&amp;IF(AND('Game Records'!$U486&lt;&gt;"Subscription",'Game Records'!$U486&lt;&gt;"Free Game",'Game Records'!$U486&lt;&gt;"Disqualified — Free Game",'Game Records'!$I486=""),"Eligible Players; ","")&amp;IF(AND('Game Records'!$U486&lt;&gt;"Subscription",'Game Records'!$U486&lt;&gt;"Free Game",'Game Records'!$U486&lt;&gt;"Disqualified — Free Game",'Game Records'!$J486=""),"Total Players; ","")&amp;IF(AND(LOWER('Game Records'!$D486&amp;"")="finalized",LOWER('Game Records'!$L486&amp;"")&lt;&gt;"yes",'Game Records'!$U486&lt;&gt;"Subscription",'Game Records'!$U486&lt;&gt;"Free Game",'Game Records'!$U486&lt;&gt;"Disqualified — Free Game",'Game Records'!$K486=""),"Final Earned; ","")&amp;IF(AND(LOWER('Game Records'!$D486&amp;"")="finalized",'Game Records'!$U486&lt;&gt;"Subscription",'Game Records'!$U486&lt;&gt;"Free Game",'Game Records'!$U486&lt;&gt;"Disqualified — Free Game",OR('Game Records'!$L486="",LOWER('Game Records'!$L486&amp;"")="n/a")),"Disqualified Status; ",""))</x:f>
      </x:c>
      <x:c r="G486" s="331" t="str">
        <x:f>IF($A486="","",IFERROR('Game Records'!$M486,""))</x:f>
      </x:c>
    </x:row>
    <x:row r="487">
      <x:c r="A487" s="332" t="str">
        <x:f>IF(OR(COUNTA('Game Records'!$A487:$M487)=0,'Game Records'!$F487="Subscription"),"",IFERROR(MAX($A$4:A486),0)+1)</x:f>
      </x:c>
      <x:c r="B487" s="332" t="str">
        <x:f>IF($A487="","","G-"&amp;TEXT(ROW('Game Records'!$A487)-4,"0000"))</x:f>
      </x:c>
      <x:c r="C487" s="331" t="str">
        <x:f>IF($A487="","",IFERROR('Game Records'!$A487,""))</x:f>
      </x:c>
      <x:c r="D487" s="331" t="str">
        <x:f>IF($A487="","",IFERROR('Game Records'!$U487,""))</x:f>
      </x:c>
      <x:c r="E487" s="331" t="str">
        <x:f>IF($A487="","",IF($F487="","No Highlighted Fields","Highlighted Fields Present"))</x:f>
      </x:c>
      <x:c r="F487" s="331" t="str">
        <x:f>IF($A487="","",IF('Game Records'!$B487="","Start Date; ","")&amp;IF('Game Records'!$C487="","End Date; ","")&amp;IF(AND('Game Records'!$U487&lt;&gt;"Subscription",'Game Records'!$U487&lt;&gt;"Free Game",'Game Records'!$U487&lt;&gt;"Disqualified — Free Game",OR('Game Records'!$D487="",LOWER('Game Records'!$D487&amp;"")="n/a")),"Entry Mode; ","")&amp;IF(AND('Game Records'!$U487&lt;&gt;"Subscription",'Game Records'!$U487&lt;&gt;"Free Game",'Game Records'!$U487&lt;&gt;"Disqualified — Free Game",OR('Game Records'!$E487="",LOWER('Game Records'!$E487&amp;"")="n/a")),"Game Type; ","")&amp;IF('Game Records'!$F487="","Payment Type; ","")&amp;IF(AND('Game Records'!$U487&lt;&gt;"Subscription",'Game Records'!$U487&lt;&gt;"Free Game",'Game Records'!$U487&lt;&gt;"Disqualified — Free Game",'Game Records'!$G487=""),"Gross Pot; ","")&amp;IF(AND('Game Records'!$U487&lt;&gt;"Free Game",'Game Records'!$U487&lt;&gt;"Disqualified — Free Game",'Game Records'!$H487=""),"Entry Fee; ","")&amp;IF(AND('Game Records'!$U487&lt;&gt;"Subscription",'Game Records'!$U487&lt;&gt;"Free Game",'Game Records'!$U487&lt;&gt;"Disqualified — Free Game",'Game Records'!$I487=""),"Eligible Players; ","")&amp;IF(AND('Game Records'!$U487&lt;&gt;"Subscription",'Game Records'!$U487&lt;&gt;"Free Game",'Game Records'!$U487&lt;&gt;"Disqualified — Free Game",'Game Records'!$J487=""),"Total Players; ","")&amp;IF(AND(LOWER('Game Records'!$D487&amp;"")="finalized",LOWER('Game Records'!$L487&amp;"")&lt;&gt;"yes",'Game Records'!$U487&lt;&gt;"Subscription",'Game Records'!$U487&lt;&gt;"Free Game",'Game Records'!$U487&lt;&gt;"Disqualified — Free Game",'Game Records'!$K487=""),"Final Earned; ","")&amp;IF(AND(LOWER('Game Records'!$D487&amp;"")="finalized",'Game Records'!$U487&lt;&gt;"Subscription",'Game Records'!$U487&lt;&gt;"Free Game",'Game Records'!$U487&lt;&gt;"Disqualified — Free Game",OR('Game Records'!$L487="",LOWER('Game Records'!$L487&amp;"")="n/a")),"Disqualified Status; ",""))</x:f>
      </x:c>
      <x:c r="G487" s="331" t="str">
        <x:f>IF($A487="","",IFERROR('Game Records'!$M487,""))</x:f>
      </x:c>
    </x:row>
    <x:row r="488">
      <x:c r="A488" s="332" t="str">
        <x:f>IF(OR(COUNTA('Game Records'!$A488:$M488)=0,'Game Records'!$F488="Subscription"),"",IFERROR(MAX($A$4:A487),0)+1)</x:f>
      </x:c>
      <x:c r="B488" s="332" t="str">
        <x:f>IF($A488="","","G-"&amp;TEXT(ROW('Game Records'!$A488)-4,"0000"))</x:f>
      </x:c>
      <x:c r="C488" s="331" t="str">
        <x:f>IF($A488="","",IFERROR('Game Records'!$A488,""))</x:f>
      </x:c>
      <x:c r="D488" s="331" t="str">
        <x:f>IF($A488="","",IFERROR('Game Records'!$U488,""))</x:f>
      </x:c>
      <x:c r="E488" s="331" t="str">
        <x:f>IF($A488="","",IF($F488="","No Highlighted Fields","Highlighted Fields Present"))</x:f>
      </x:c>
      <x:c r="F488" s="331" t="str">
        <x:f>IF($A488="","",IF('Game Records'!$B488="","Start Date; ","")&amp;IF('Game Records'!$C488="","End Date; ","")&amp;IF(AND('Game Records'!$U488&lt;&gt;"Subscription",'Game Records'!$U488&lt;&gt;"Free Game",'Game Records'!$U488&lt;&gt;"Disqualified — Free Game",OR('Game Records'!$D488="",LOWER('Game Records'!$D488&amp;"")="n/a")),"Entry Mode; ","")&amp;IF(AND('Game Records'!$U488&lt;&gt;"Subscription",'Game Records'!$U488&lt;&gt;"Free Game",'Game Records'!$U488&lt;&gt;"Disqualified — Free Game",OR('Game Records'!$E488="",LOWER('Game Records'!$E488&amp;"")="n/a")),"Game Type; ","")&amp;IF('Game Records'!$F488="","Payment Type; ","")&amp;IF(AND('Game Records'!$U488&lt;&gt;"Subscription",'Game Records'!$U488&lt;&gt;"Free Game",'Game Records'!$U488&lt;&gt;"Disqualified — Free Game",'Game Records'!$G488=""),"Gross Pot; ","")&amp;IF(AND('Game Records'!$U488&lt;&gt;"Free Game",'Game Records'!$U488&lt;&gt;"Disqualified — Free Game",'Game Records'!$H488=""),"Entry Fee; ","")&amp;IF(AND('Game Records'!$U488&lt;&gt;"Subscription",'Game Records'!$U488&lt;&gt;"Free Game",'Game Records'!$U488&lt;&gt;"Disqualified — Free Game",'Game Records'!$I488=""),"Eligible Players; ","")&amp;IF(AND('Game Records'!$U488&lt;&gt;"Subscription",'Game Records'!$U488&lt;&gt;"Free Game",'Game Records'!$U488&lt;&gt;"Disqualified — Free Game",'Game Records'!$J488=""),"Total Players; ","")&amp;IF(AND(LOWER('Game Records'!$D488&amp;"")="finalized",LOWER('Game Records'!$L488&amp;"")&lt;&gt;"yes",'Game Records'!$U488&lt;&gt;"Subscription",'Game Records'!$U488&lt;&gt;"Free Game",'Game Records'!$U488&lt;&gt;"Disqualified — Free Game",'Game Records'!$K488=""),"Final Earned; ","")&amp;IF(AND(LOWER('Game Records'!$D488&amp;"")="finalized",'Game Records'!$U488&lt;&gt;"Subscription",'Game Records'!$U488&lt;&gt;"Free Game",'Game Records'!$U488&lt;&gt;"Disqualified — Free Game",OR('Game Records'!$L488="",LOWER('Game Records'!$L488&amp;"")="n/a")),"Disqualified Status; ",""))</x:f>
      </x:c>
      <x:c r="G488" s="331" t="str">
        <x:f>IF($A488="","",IFERROR('Game Records'!$M488,""))</x:f>
      </x:c>
    </x:row>
    <x:row r="489">
      <x:c r="A489" s="332" t="str">
        <x:f>IF(OR(COUNTA('Game Records'!$A489:$M489)=0,'Game Records'!$F489="Subscription"),"",IFERROR(MAX($A$4:A488),0)+1)</x:f>
      </x:c>
      <x:c r="B489" s="332" t="str">
        <x:f>IF($A489="","","G-"&amp;TEXT(ROW('Game Records'!$A489)-4,"0000"))</x:f>
      </x:c>
      <x:c r="C489" s="331" t="str">
        <x:f>IF($A489="","",IFERROR('Game Records'!$A489,""))</x:f>
      </x:c>
      <x:c r="D489" s="331" t="str">
        <x:f>IF($A489="","",IFERROR('Game Records'!$U489,""))</x:f>
      </x:c>
      <x:c r="E489" s="331" t="str">
        <x:f>IF($A489="","",IF($F489="","No Highlighted Fields","Highlighted Fields Present"))</x:f>
      </x:c>
      <x:c r="F489" s="331" t="str">
        <x:f>IF($A489="","",IF('Game Records'!$B489="","Start Date; ","")&amp;IF('Game Records'!$C489="","End Date; ","")&amp;IF(AND('Game Records'!$U489&lt;&gt;"Subscription",'Game Records'!$U489&lt;&gt;"Free Game",'Game Records'!$U489&lt;&gt;"Disqualified — Free Game",OR('Game Records'!$D489="",LOWER('Game Records'!$D489&amp;"")="n/a")),"Entry Mode; ","")&amp;IF(AND('Game Records'!$U489&lt;&gt;"Subscription",'Game Records'!$U489&lt;&gt;"Free Game",'Game Records'!$U489&lt;&gt;"Disqualified — Free Game",OR('Game Records'!$E489="",LOWER('Game Records'!$E489&amp;"")="n/a")),"Game Type; ","")&amp;IF('Game Records'!$F489="","Payment Type; ","")&amp;IF(AND('Game Records'!$U489&lt;&gt;"Subscription",'Game Records'!$U489&lt;&gt;"Free Game",'Game Records'!$U489&lt;&gt;"Disqualified — Free Game",'Game Records'!$G489=""),"Gross Pot; ","")&amp;IF(AND('Game Records'!$U489&lt;&gt;"Free Game",'Game Records'!$U489&lt;&gt;"Disqualified — Free Game",'Game Records'!$H489=""),"Entry Fee; ","")&amp;IF(AND('Game Records'!$U489&lt;&gt;"Subscription",'Game Records'!$U489&lt;&gt;"Free Game",'Game Records'!$U489&lt;&gt;"Disqualified — Free Game",'Game Records'!$I489=""),"Eligible Players; ","")&amp;IF(AND('Game Records'!$U489&lt;&gt;"Subscription",'Game Records'!$U489&lt;&gt;"Free Game",'Game Records'!$U489&lt;&gt;"Disqualified — Free Game",'Game Records'!$J489=""),"Total Players; ","")&amp;IF(AND(LOWER('Game Records'!$D489&amp;"")="finalized",LOWER('Game Records'!$L489&amp;"")&lt;&gt;"yes",'Game Records'!$U489&lt;&gt;"Subscription",'Game Records'!$U489&lt;&gt;"Free Game",'Game Records'!$U489&lt;&gt;"Disqualified — Free Game",'Game Records'!$K489=""),"Final Earned; ","")&amp;IF(AND(LOWER('Game Records'!$D489&amp;"")="finalized",'Game Records'!$U489&lt;&gt;"Subscription",'Game Records'!$U489&lt;&gt;"Free Game",'Game Records'!$U489&lt;&gt;"Disqualified — Free Game",OR('Game Records'!$L489="",LOWER('Game Records'!$L489&amp;"")="n/a")),"Disqualified Status; ",""))</x:f>
      </x:c>
      <x:c r="G489" s="331" t="str">
        <x:f>IF($A489="","",IFERROR('Game Records'!$M489,""))</x:f>
      </x:c>
    </x:row>
    <x:row r="490">
      <x:c r="A490" s="332" t="str">
        <x:f>IF(OR(COUNTA('Game Records'!$A490:$M490)=0,'Game Records'!$F490="Subscription"),"",IFERROR(MAX($A$4:A489),0)+1)</x:f>
      </x:c>
      <x:c r="B490" s="332" t="str">
        <x:f>IF($A490="","","G-"&amp;TEXT(ROW('Game Records'!$A490)-4,"0000"))</x:f>
      </x:c>
      <x:c r="C490" s="331" t="str">
        <x:f>IF($A490="","",IFERROR('Game Records'!$A490,""))</x:f>
      </x:c>
      <x:c r="D490" s="331" t="str">
        <x:f>IF($A490="","",IFERROR('Game Records'!$U490,""))</x:f>
      </x:c>
      <x:c r="E490" s="331" t="str">
        <x:f>IF($A490="","",IF($F490="","No Highlighted Fields","Highlighted Fields Present"))</x:f>
      </x:c>
      <x:c r="F490" s="331" t="str">
        <x:f>IF($A490="","",IF('Game Records'!$B490="","Start Date; ","")&amp;IF('Game Records'!$C490="","End Date; ","")&amp;IF(AND('Game Records'!$U490&lt;&gt;"Subscription",'Game Records'!$U490&lt;&gt;"Free Game",'Game Records'!$U490&lt;&gt;"Disqualified — Free Game",OR('Game Records'!$D490="",LOWER('Game Records'!$D490&amp;"")="n/a")),"Entry Mode; ","")&amp;IF(AND('Game Records'!$U490&lt;&gt;"Subscription",'Game Records'!$U490&lt;&gt;"Free Game",'Game Records'!$U490&lt;&gt;"Disqualified — Free Game",OR('Game Records'!$E490="",LOWER('Game Records'!$E490&amp;"")="n/a")),"Game Type; ","")&amp;IF('Game Records'!$F490="","Payment Type; ","")&amp;IF(AND('Game Records'!$U490&lt;&gt;"Subscription",'Game Records'!$U490&lt;&gt;"Free Game",'Game Records'!$U490&lt;&gt;"Disqualified — Free Game",'Game Records'!$G490=""),"Gross Pot; ","")&amp;IF(AND('Game Records'!$U490&lt;&gt;"Free Game",'Game Records'!$U490&lt;&gt;"Disqualified — Free Game",'Game Records'!$H490=""),"Entry Fee; ","")&amp;IF(AND('Game Records'!$U490&lt;&gt;"Subscription",'Game Records'!$U490&lt;&gt;"Free Game",'Game Records'!$U490&lt;&gt;"Disqualified — Free Game",'Game Records'!$I490=""),"Eligible Players; ","")&amp;IF(AND('Game Records'!$U490&lt;&gt;"Subscription",'Game Records'!$U490&lt;&gt;"Free Game",'Game Records'!$U490&lt;&gt;"Disqualified — Free Game",'Game Records'!$J490=""),"Total Players; ","")&amp;IF(AND(LOWER('Game Records'!$D490&amp;"")="finalized",LOWER('Game Records'!$L490&amp;"")&lt;&gt;"yes",'Game Records'!$U490&lt;&gt;"Subscription",'Game Records'!$U490&lt;&gt;"Free Game",'Game Records'!$U490&lt;&gt;"Disqualified — Free Game",'Game Records'!$K490=""),"Final Earned; ","")&amp;IF(AND(LOWER('Game Records'!$D490&amp;"")="finalized",'Game Records'!$U490&lt;&gt;"Subscription",'Game Records'!$U490&lt;&gt;"Free Game",'Game Records'!$U490&lt;&gt;"Disqualified — Free Game",OR('Game Records'!$L490="",LOWER('Game Records'!$L490&amp;"")="n/a")),"Disqualified Status; ",""))</x:f>
      </x:c>
      <x:c r="G490" s="331" t="str">
        <x:f>IF($A490="","",IFERROR('Game Records'!$M490,""))</x:f>
      </x:c>
    </x:row>
    <x:row r="491">
      <x:c r="A491" s="332" t="str">
        <x:f>IF(OR(COUNTA('Game Records'!$A491:$M491)=0,'Game Records'!$F491="Subscription"),"",IFERROR(MAX($A$4:A490),0)+1)</x:f>
      </x:c>
      <x:c r="B491" s="332" t="str">
        <x:f>IF($A491="","","G-"&amp;TEXT(ROW('Game Records'!$A491)-4,"0000"))</x:f>
      </x:c>
      <x:c r="C491" s="331" t="str">
        <x:f>IF($A491="","",IFERROR('Game Records'!$A491,""))</x:f>
      </x:c>
      <x:c r="D491" s="331" t="str">
        <x:f>IF($A491="","",IFERROR('Game Records'!$U491,""))</x:f>
      </x:c>
      <x:c r="E491" s="331" t="str">
        <x:f>IF($A491="","",IF($F491="","No Highlighted Fields","Highlighted Fields Present"))</x:f>
      </x:c>
      <x:c r="F491" s="331" t="str">
        <x:f>IF($A491="","",IF('Game Records'!$B491="","Start Date; ","")&amp;IF('Game Records'!$C491="","End Date; ","")&amp;IF(AND('Game Records'!$U491&lt;&gt;"Subscription",'Game Records'!$U491&lt;&gt;"Free Game",'Game Records'!$U491&lt;&gt;"Disqualified — Free Game",OR('Game Records'!$D491="",LOWER('Game Records'!$D491&amp;"")="n/a")),"Entry Mode; ","")&amp;IF(AND('Game Records'!$U491&lt;&gt;"Subscription",'Game Records'!$U491&lt;&gt;"Free Game",'Game Records'!$U491&lt;&gt;"Disqualified — Free Game",OR('Game Records'!$E491="",LOWER('Game Records'!$E491&amp;"")="n/a")),"Game Type; ","")&amp;IF('Game Records'!$F491="","Payment Type; ","")&amp;IF(AND('Game Records'!$U491&lt;&gt;"Subscription",'Game Records'!$U491&lt;&gt;"Free Game",'Game Records'!$U491&lt;&gt;"Disqualified — Free Game",'Game Records'!$G491=""),"Gross Pot; ","")&amp;IF(AND('Game Records'!$U491&lt;&gt;"Free Game",'Game Records'!$U491&lt;&gt;"Disqualified — Free Game",'Game Records'!$H491=""),"Entry Fee; ","")&amp;IF(AND('Game Records'!$U491&lt;&gt;"Subscription",'Game Records'!$U491&lt;&gt;"Free Game",'Game Records'!$U491&lt;&gt;"Disqualified — Free Game",'Game Records'!$I491=""),"Eligible Players; ","")&amp;IF(AND('Game Records'!$U491&lt;&gt;"Subscription",'Game Records'!$U491&lt;&gt;"Free Game",'Game Records'!$U491&lt;&gt;"Disqualified — Free Game",'Game Records'!$J491=""),"Total Players; ","")&amp;IF(AND(LOWER('Game Records'!$D491&amp;"")="finalized",LOWER('Game Records'!$L491&amp;"")&lt;&gt;"yes",'Game Records'!$U491&lt;&gt;"Subscription",'Game Records'!$U491&lt;&gt;"Free Game",'Game Records'!$U491&lt;&gt;"Disqualified — Free Game",'Game Records'!$K491=""),"Final Earned; ","")&amp;IF(AND(LOWER('Game Records'!$D491&amp;"")="finalized",'Game Records'!$U491&lt;&gt;"Subscription",'Game Records'!$U491&lt;&gt;"Free Game",'Game Records'!$U491&lt;&gt;"Disqualified — Free Game",OR('Game Records'!$L491="",LOWER('Game Records'!$L491&amp;"")="n/a")),"Disqualified Status; ",""))</x:f>
      </x:c>
      <x:c r="G491" s="331" t="str">
        <x:f>IF($A491="","",IFERROR('Game Records'!$M491,""))</x:f>
      </x:c>
    </x:row>
    <x:row r="492">
      <x:c r="A492" s="332" t="str">
        <x:f>IF(OR(COUNTA('Game Records'!$A492:$M492)=0,'Game Records'!$F492="Subscription"),"",IFERROR(MAX($A$4:A491),0)+1)</x:f>
      </x:c>
      <x:c r="B492" s="332" t="str">
        <x:f>IF($A492="","","G-"&amp;TEXT(ROW('Game Records'!$A492)-4,"0000"))</x:f>
      </x:c>
      <x:c r="C492" s="331" t="str">
        <x:f>IF($A492="","",IFERROR('Game Records'!$A492,""))</x:f>
      </x:c>
      <x:c r="D492" s="331" t="str">
        <x:f>IF($A492="","",IFERROR('Game Records'!$U492,""))</x:f>
      </x:c>
      <x:c r="E492" s="331" t="str">
        <x:f>IF($A492="","",IF($F492="","No Highlighted Fields","Highlighted Fields Present"))</x:f>
      </x:c>
      <x:c r="F492" s="331" t="str">
        <x:f>IF($A492="","",IF('Game Records'!$B492="","Start Date; ","")&amp;IF('Game Records'!$C492="","End Date; ","")&amp;IF(AND('Game Records'!$U492&lt;&gt;"Subscription",'Game Records'!$U492&lt;&gt;"Free Game",'Game Records'!$U492&lt;&gt;"Disqualified — Free Game",OR('Game Records'!$D492="",LOWER('Game Records'!$D492&amp;"")="n/a")),"Entry Mode; ","")&amp;IF(AND('Game Records'!$U492&lt;&gt;"Subscription",'Game Records'!$U492&lt;&gt;"Free Game",'Game Records'!$U492&lt;&gt;"Disqualified — Free Game",OR('Game Records'!$E492="",LOWER('Game Records'!$E492&amp;"")="n/a")),"Game Type; ","")&amp;IF('Game Records'!$F492="","Payment Type; ","")&amp;IF(AND('Game Records'!$U492&lt;&gt;"Subscription",'Game Records'!$U492&lt;&gt;"Free Game",'Game Records'!$U492&lt;&gt;"Disqualified — Free Game",'Game Records'!$G492=""),"Gross Pot; ","")&amp;IF(AND('Game Records'!$U492&lt;&gt;"Free Game",'Game Records'!$U492&lt;&gt;"Disqualified — Free Game",'Game Records'!$H492=""),"Entry Fee; ","")&amp;IF(AND('Game Records'!$U492&lt;&gt;"Subscription",'Game Records'!$U492&lt;&gt;"Free Game",'Game Records'!$U492&lt;&gt;"Disqualified — Free Game",'Game Records'!$I492=""),"Eligible Players; ","")&amp;IF(AND('Game Records'!$U492&lt;&gt;"Subscription",'Game Records'!$U492&lt;&gt;"Free Game",'Game Records'!$U492&lt;&gt;"Disqualified — Free Game",'Game Records'!$J492=""),"Total Players; ","")&amp;IF(AND(LOWER('Game Records'!$D492&amp;"")="finalized",LOWER('Game Records'!$L492&amp;"")&lt;&gt;"yes",'Game Records'!$U492&lt;&gt;"Subscription",'Game Records'!$U492&lt;&gt;"Free Game",'Game Records'!$U492&lt;&gt;"Disqualified — Free Game",'Game Records'!$K492=""),"Final Earned; ","")&amp;IF(AND(LOWER('Game Records'!$D492&amp;"")="finalized",'Game Records'!$U492&lt;&gt;"Subscription",'Game Records'!$U492&lt;&gt;"Free Game",'Game Records'!$U492&lt;&gt;"Disqualified — Free Game",OR('Game Records'!$L492="",LOWER('Game Records'!$L492&amp;"")="n/a")),"Disqualified Status; ",""))</x:f>
      </x:c>
      <x:c r="G492" s="331" t="str">
        <x:f>IF($A492="","",IFERROR('Game Records'!$M492,""))</x:f>
      </x:c>
    </x:row>
    <x:row r="493">
      <x:c r="A493" s="332" t="str">
        <x:f>IF(OR(COUNTA('Game Records'!$A493:$M493)=0,'Game Records'!$F493="Subscription"),"",IFERROR(MAX($A$4:A492),0)+1)</x:f>
      </x:c>
      <x:c r="B493" s="332" t="str">
        <x:f>IF($A493="","","G-"&amp;TEXT(ROW('Game Records'!$A493)-4,"0000"))</x:f>
      </x:c>
      <x:c r="C493" s="331" t="str">
        <x:f>IF($A493="","",IFERROR('Game Records'!$A493,""))</x:f>
      </x:c>
      <x:c r="D493" s="331" t="str">
        <x:f>IF($A493="","",IFERROR('Game Records'!$U493,""))</x:f>
      </x:c>
      <x:c r="E493" s="331" t="str">
        <x:f>IF($A493="","",IF($F493="","No Highlighted Fields","Highlighted Fields Present"))</x:f>
      </x:c>
      <x:c r="F493" s="331" t="str">
        <x:f>IF($A493="","",IF('Game Records'!$B493="","Start Date; ","")&amp;IF('Game Records'!$C493="","End Date; ","")&amp;IF(AND('Game Records'!$U493&lt;&gt;"Subscription",'Game Records'!$U493&lt;&gt;"Free Game",'Game Records'!$U493&lt;&gt;"Disqualified — Free Game",OR('Game Records'!$D493="",LOWER('Game Records'!$D493&amp;"")="n/a")),"Entry Mode; ","")&amp;IF(AND('Game Records'!$U493&lt;&gt;"Subscription",'Game Records'!$U493&lt;&gt;"Free Game",'Game Records'!$U493&lt;&gt;"Disqualified — Free Game",OR('Game Records'!$E493="",LOWER('Game Records'!$E493&amp;"")="n/a")),"Game Type; ","")&amp;IF('Game Records'!$F493="","Payment Type; ","")&amp;IF(AND('Game Records'!$U493&lt;&gt;"Subscription",'Game Records'!$U493&lt;&gt;"Free Game",'Game Records'!$U493&lt;&gt;"Disqualified — Free Game",'Game Records'!$G493=""),"Gross Pot; ","")&amp;IF(AND('Game Records'!$U493&lt;&gt;"Free Game",'Game Records'!$U493&lt;&gt;"Disqualified — Free Game",'Game Records'!$H493=""),"Entry Fee; ","")&amp;IF(AND('Game Records'!$U493&lt;&gt;"Subscription",'Game Records'!$U493&lt;&gt;"Free Game",'Game Records'!$U493&lt;&gt;"Disqualified — Free Game",'Game Records'!$I493=""),"Eligible Players; ","")&amp;IF(AND('Game Records'!$U493&lt;&gt;"Subscription",'Game Records'!$U493&lt;&gt;"Free Game",'Game Records'!$U493&lt;&gt;"Disqualified — Free Game",'Game Records'!$J493=""),"Total Players; ","")&amp;IF(AND(LOWER('Game Records'!$D493&amp;"")="finalized",LOWER('Game Records'!$L493&amp;"")&lt;&gt;"yes",'Game Records'!$U493&lt;&gt;"Subscription",'Game Records'!$U493&lt;&gt;"Free Game",'Game Records'!$U493&lt;&gt;"Disqualified — Free Game",'Game Records'!$K493=""),"Final Earned; ","")&amp;IF(AND(LOWER('Game Records'!$D493&amp;"")="finalized",'Game Records'!$U493&lt;&gt;"Subscription",'Game Records'!$U493&lt;&gt;"Free Game",'Game Records'!$U493&lt;&gt;"Disqualified — Free Game",OR('Game Records'!$L493="",LOWER('Game Records'!$L493&amp;"")="n/a")),"Disqualified Status; ",""))</x:f>
      </x:c>
      <x:c r="G493" s="331" t="str">
        <x:f>IF($A493="","",IFERROR('Game Records'!$M493,""))</x:f>
      </x:c>
    </x:row>
    <x:row r="494">
      <x:c r="A494" s="332" t="str">
        <x:f>IF(OR(COUNTA('Game Records'!$A494:$M494)=0,'Game Records'!$F494="Subscription"),"",IFERROR(MAX($A$4:A493),0)+1)</x:f>
      </x:c>
      <x:c r="B494" s="332" t="str">
        <x:f>IF($A494="","","G-"&amp;TEXT(ROW('Game Records'!$A494)-4,"0000"))</x:f>
      </x:c>
      <x:c r="C494" s="331" t="str">
        <x:f>IF($A494="","",IFERROR('Game Records'!$A494,""))</x:f>
      </x:c>
      <x:c r="D494" s="331" t="str">
        <x:f>IF($A494="","",IFERROR('Game Records'!$U494,""))</x:f>
      </x:c>
      <x:c r="E494" s="331" t="str">
        <x:f>IF($A494="","",IF($F494="","No Highlighted Fields","Highlighted Fields Present"))</x:f>
      </x:c>
      <x:c r="F494" s="331" t="str">
        <x:f>IF($A494="","",IF('Game Records'!$B494="","Start Date; ","")&amp;IF('Game Records'!$C494="","End Date; ","")&amp;IF(AND('Game Records'!$U494&lt;&gt;"Subscription",'Game Records'!$U494&lt;&gt;"Free Game",'Game Records'!$U494&lt;&gt;"Disqualified — Free Game",OR('Game Records'!$D494="",LOWER('Game Records'!$D494&amp;"")="n/a")),"Entry Mode; ","")&amp;IF(AND('Game Records'!$U494&lt;&gt;"Subscription",'Game Records'!$U494&lt;&gt;"Free Game",'Game Records'!$U494&lt;&gt;"Disqualified — Free Game",OR('Game Records'!$E494="",LOWER('Game Records'!$E494&amp;"")="n/a")),"Game Type; ","")&amp;IF('Game Records'!$F494="","Payment Type; ","")&amp;IF(AND('Game Records'!$U494&lt;&gt;"Subscription",'Game Records'!$U494&lt;&gt;"Free Game",'Game Records'!$U494&lt;&gt;"Disqualified — Free Game",'Game Records'!$G494=""),"Gross Pot; ","")&amp;IF(AND('Game Records'!$U494&lt;&gt;"Free Game",'Game Records'!$U494&lt;&gt;"Disqualified — Free Game",'Game Records'!$H494=""),"Entry Fee; ","")&amp;IF(AND('Game Records'!$U494&lt;&gt;"Subscription",'Game Records'!$U494&lt;&gt;"Free Game",'Game Records'!$U494&lt;&gt;"Disqualified — Free Game",'Game Records'!$I494=""),"Eligible Players; ","")&amp;IF(AND('Game Records'!$U494&lt;&gt;"Subscription",'Game Records'!$U494&lt;&gt;"Free Game",'Game Records'!$U494&lt;&gt;"Disqualified — Free Game",'Game Records'!$J494=""),"Total Players; ","")&amp;IF(AND(LOWER('Game Records'!$D494&amp;"")="finalized",LOWER('Game Records'!$L494&amp;"")&lt;&gt;"yes",'Game Records'!$U494&lt;&gt;"Subscription",'Game Records'!$U494&lt;&gt;"Free Game",'Game Records'!$U494&lt;&gt;"Disqualified — Free Game",'Game Records'!$K494=""),"Final Earned; ","")&amp;IF(AND(LOWER('Game Records'!$D494&amp;"")="finalized",'Game Records'!$U494&lt;&gt;"Subscription",'Game Records'!$U494&lt;&gt;"Free Game",'Game Records'!$U494&lt;&gt;"Disqualified — Free Game",OR('Game Records'!$L494="",LOWER('Game Records'!$L494&amp;"")="n/a")),"Disqualified Status; ",""))</x:f>
      </x:c>
      <x:c r="G494" s="331" t="str">
        <x:f>IF($A494="","",IFERROR('Game Records'!$M494,""))</x:f>
      </x:c>
    </x:row>
    <x:row r="495">
      <x:c r="A495" s="332" t="str">
        <x:f>IF(OR(COUNTA('Game Records'!$A495:$M495)=0,'Game Records'!$F495="Subscription"),"",IFERROR(MAX($A$4:A494),0)+1)</x:f>
      </x:c>
      <x:c r="B495" s="332" t="str">
        <x:f>IF($A495="","","G-"&amp;TEXT(ROW('Game Records'!$A495)-4,"0000"))</x:f>
      </x:c>
      <x:c r="C495" s="331" t="str">
        <x:f>IF($A495="","",IFERROR('Game Records'!$A495,""))</x:f>
      </x:c>
      <x:c r="D495" s="331" t="str">
        <x:f>IF($A495="","",IFERROR('Game Records'!$U495,""))</x:f>
      </x:c>
      <x:c r="E495" s="331" t="str">
        <x:f>IF($A495="","",IF($F495="","No Highlighted Fields","Highlighted Fields Present"))</x:f>
      </x:c>
      <x:c r="F495" s="331" t="str">
        <x:f>IF($A495="","",IF('Game Records'!$B495="","Start Date; ","")&amp;IF('Game Records'!$C495="","End Date; ","")&amp;IF(AND('Game Records'!$U495&lt;&gt;"Subscription",'Game Records'!$U495&lt;&gt;"Free Game",'Game Records'!$U495&lt;&gt;"Disqualified — Free Game",OR('Game Records'!$D495="",LOWER('Game Records'!$D495&amp;"")="n/a")),"Entry Mode; ","")&amp;IF(AND('Game Records'!$U495&lt;&gt;"Subscription",'Game Records'!$U495&lt;&gt;"Free Game",'Game Records'!$U495&lt;&gt;"Disqualified — Free Game",OR('Game Records'!$E495="",LOWER('Game Records'!$E495&amp;"")="n/a")),"Game Type; ","")&amp;IF('Game Records'!$F495="","Payment Type; ","")&amp;IF(AND('Game Records'!$U495&lt;&gt;"Subscription",'Game Records'!$U495&lt;&gt;"Free Game",'Game Records'!$U495&lt;&gt;"Disqualified — Free Game",'Game Records'!$G495=""),"Gross Pot; ","")&amp;IF(AND('Game Records'!$U495&lt;&gt;"Free Game",'Game Records'!$U495&lt;&gt;"Disqualified — Free Game",'Game Records'!$H495=""),"Entry Fee; ","")&amp;IF(AND('Game Records'!$U495&lt;&gt;"Subscription",'Game Records'!$U495&lt;&gt;"Free Game",'Game Records'!$U495&lt;&gt;"Disqualified — Free Game",'Game Records'!$I495=""),"Eligible Players; ","")&amp;IF(AND('Game Records'!$U495&lt;&gt;"Subscription",'Game Records'!$U495&lt;&gt;"Free Game",'Game Records'!$U495&lt;&gt;"Disqualified — Free Game",'Game Records'!$J495=""),"Total Players; ","")&amp;IF(AND(LOWER('Game Records'!$D495&amp;"")="finalized",LOWER('Game Records'!$L495&amp;"")&lt;&gt;"yes",'Game Records'!$U495&lt;&gt;"Subscription",'Game Records'!$U495&lt;&gt;"Free Game",'Game Records'!$U495&lt;&gt;"Disqualified — Free Game",'Game Records'!$K495=""),"Final Earned; ","")&amp;IF(AND(LOWER('Game Records'!$D495&amp;"")="finalized",'Game Records'!$U495&lt;&gt;"Subscription",'Game Records'!$U495&lt;&gt;"Free Game",'Game Records'!$U495&lt;&gt;"Disqualified — Free Game",OR('Game Records'!$L495="",LOWER('Game Records'!$L495&amp;"")="n/a")),"Disqualified Status; ",""))</x:f>
      </x:c>
      <x:c r="G495" s="331" t="str">
        <x:f>IF($A495="","",IFERROR('Game Records'!$M495,""))</x:f>
      </x:c>
    </x:row>
    <x:row r="496">
      <x:c r="A496" s="332" t="str">
        <x:f>IF(OR(COUNTA('Game Records'!$A496:$M496)=0,'Game Records'!$F496="Subscription"),"",IFERROR(MAX($A$4:A495),0)+1)</x:f>
      </x:c>
      <x:c r="B496" s="332" t="str">
        <x:f>IF($A496="","","G-"&amp;TEXT(ROW('Game Records'!$A496)-4,"0000"))</x:f>
      </x:c>
      <x:c r="C496" s="331" t="str">
        <x:f>IF($A496="","",IFERROR('Game Records'!$A496,""))</x:f>
      </x:c>
      <x:c r="D496" s="331" t="str">
        <x:f>IF($A496="","",IFERROR('Game Records'!$U496,""))</x:f>
      </x:c>
      <x:c r="E496" s="331" t="str">
        <x:f>IF($A496="","",IF($F496="","No Highlighted Fields","Highlighted Fields Present"))</x:f>
      </x:c>
      <x:c r="F496" s="331" t="str">
        <x:f>IF($A496="","",IF('Game Records'!$B496="","Start Date; ","")&amp;IF('Game Records'!$C496="","End Date; ","")&amp;IF(AND('Game Records'!$U496&lt;&gt;"Subscription",'Game Records'!$U496&lt;&gt;"Free Game",'Game Records'!$U496&lt;&gt;"Disqualified — Free Game",OR('Game Records'!$D496="",LOWER('Game Records'!$D496&amp;"")="n/a")),"Entry Mode; ","")&amp;IF(AND('Game Records'!$U496&lt;&gt;"Subscription",'Game Records'!$U496&lt;&gt;"Free Game",'Game Records'!$U496&lt;&gt;"Disqualified — Free Game",OR('Game Records'!$E496="",LOWER('Game Records'!$E496&amp;"")="n/a")),"Game Type; ","")&amp;IF('Game Records'!$F496="","Payment Type; ","")&amp;IF(AND('Game Records'!$U496&lt;&gt;"Subscription",'Game Records'!$U496&lt;&gt;"Free Game",'Game Records'!$U496&lt;&gt;"Disqualified — Free Game",'Game Records'!$G496=""),"Gross Pot; ","")&amp;IF(AND('Game Records'!$U496&lt;&gt;"Free Game",'Game Records'!$U496&lt;&gt;"Disqualified — Free Game",'Game Records'!$H496=""),"Entry Fee; ","")&amp;IF(AND('Game Records'!$U496&lt;&gt;"Subscription",'Game Records'!$U496&lt;&gt;"Free Game",'Game Records'!$U496&lt;&gt;"Disqualified — Free Game",'Game Records'!$I496=""),"Eligible Players; ","")&amp;IF(AND('Game Records'!$U496&lt;&gt;"Subscription",'Game Records'!$U496&lt;&gt;"Free Game",'Game Records'!$U496&lt;&gt;"Disqualified — Free Game",'Game Records'!$J496=""),"Total Players; ","")&amp;IF(AND(LOWER('Game Records'!$D496&amp;"")="finalized",LOWER('Game Records'!$L496&amp;"")&lt;&gt;"yes",'Game Records'!$U496&lt;&gt;"Subscription",'Game Records'!$U496&lt;&gt;"Free Game",'Game Records'!$U496&lt;&gt;"Disqualified — Free Game",'Game Records'!$K496=""),"Final Earned; ","")&amp;IF(AND(LOWER('Game Records'!$D496&amp;"")="finalized",'Game Records'!$U496&lt;&gt;"Subscription",'Game Records'!$U496&lt;&gt;"Free Game",'Game Records'!$U496&lt;&gt;"Disqualified — Free Game",OR('Game Records'!$L496="",LOWER('Game Records'!$L496&amp;"")="n/a")),"Disqualified Status; ",""))</x:f>
      </x:c>
      <x:c r="G496" s="331" t="str">
        <x:f>IF($A496="","",IFERROR('Game Records'!$M496,""))</x:f>
      </x:c>
    </x:row>
    <x:row r="497">
      <x:c r="A497" s="332" t="str">
        <x:f>IF(OR(COUNTA('Game Records'!$A497:$M497)=0,'Game Records'!$F497="Subscription"),"",IFERROR(MAX($A$4:A496),0)+1)</x:f>
      </x:c>
      <x:c r="B497" s="332" t="str">
        <x:f>IF($A497="","","G-"&amp;TEXT(ROW('Game Records'!$A497)-4,"0000"))</x:f>
      </x:c>
      <x:c r="C497" s="331" t="str">
        <x:f>IF($A497="","",IFERROR('Game Records'!$A497,""))</x:f>
      </x:c>
      <x:c r="D497" s="331" t="str">
        <x:f>IF($A497="","",IFERROR('Game Records'!$U497,""))</x:f>
      </x:c>
      <x:c r="E497" s="331" t="str">
        <x:f>IF($A497="","",IF($F497="","No Highlighted Fields","Highlighted Fields Present"))</x:f>
      </x:c>
      <x:c r="F497" s="331" t="str">
        <x:f>IF($A497="","",IF('Game Records'!$B497="","Start Date; ","")&amp;IF('Game Records'!$C497="","End Date; ","")&amp;IF(AND('Game Records'!$U497&lt;&gt;"Subscription",'Game Records'!$U497&lt;&gt;"Free Game",'Game Records'!$U497&lt;&gt;"Disqualified — Free Game",OR('Game Records'!$D497="",LOWER('Game Records'!$D497&amp;"")="n/a")),"Entry Mode; ","")&amp;IF(AND('Game Records'!$U497&lt;&gt;"Subscription",'Game Records'!$U497&lt;&gt;"Free Game",'Game Records'!$U497&lt;&gt;"Disqualified — Free Game",OR('Game Records'!$E497="",LOWER('Game Records'!$E497&amp;"")="n/a")),"Game Type; ","")&amp;IF('Game Records'!$F497="","Payment Type; ","")&amp;IF(AND('Game Records'!$U497&lt;&gt;"Subscription",'Game Records'!$U497&lt;&gt;"Free Game",'Game Records'!$U497&lt;&gt;"Disqualified — Free Game",'Game Records'!$G497=""),"Gross Pot; ","")&amp;IF(AND('Game Records'!$U497&lt;&gt;"Free Game",'Game Records'!$U497&lt;&gt;"Disqualified — Free Game",'Game Records'!$H497=""),"Entry Fee; ","")&amp;IF(AND('Game Records'!$U497&lt;&gt;"Subscription",'Game Records'!$U497&lt;&gt;"Free Game",'Game Records'!$U497&lt;&gt;"Disqualified — Free Game",'Game Records'!$I497=""),"Eligible Players; ","")&amp;IF(AND('Game Records'!$U497&lt;&gt;"Subscription",'Game Records'!$U497&lt;&gt;"Free Game",'Game Records'!$U497&lt;&gt;"Disqualified — Free Game",'Game Records'!$J497=""),"Total Players; ","")&amp;IF(AND(LOWER('Game Records'!$D497&amp;"")="finalized",LOWER('Game Records'!$L497&amp;"")&lt;&gt;"yes",'Game Records'!$U497&lt;&gt;"Subscription",'Game Records'!$U497&lt;&gt;"Free Game",'Game Records'!$U497&lt;&gt;"Disqualified — Free Game",'Game Records'!$K497=""),"Final Earned; ","")&amp;IF(AND(LOWER('Game Records'!$D497&amp;"")="finalized",'Game Records'!$U497&lt;&gt;"Subscription",'Game Records'!$U497&lt;&gt;"Free Game",'Game Records'!$U497&lt;&gt;"Disqualified — Free Game",OR('Game Records'!$L497="",LOWER('Game Records'!$L497&amp;"")="n/a")),"Disqualified Status; ",""))</x:f>
      </x:c>
      <x:c r="G497" s="331" t="str">
        <x:f>IF($A497="","",IFERROR('Game Records'!$M497,""))</x:f>
      </x:c>
    </x:row>
    <x:row r="498">
      <x:c r="A498" s="332" t="str">
        <x:f>IF(OR(COUNTA('Game Records'!$A498:$M498)=0,'Game Records'!$F498="Subscription"),"",IFERROR(MAX($A$4:A497),0)+1)</x:f>
      </x:c>
      <x:c r="B498" s="332" t="str">
        <x:f>IF($A498="","","G-"&amp;TEXT(ROW('Game Records'!$A498)-4,"0000"))</x:f>
      </x:c>
      <x:c r="C498" s="331" t="str">
        <x:f>IF($A498="","",IFERROR('Game Records'!$A498,""))</x:f>
      </x:c>
      <x:c r="D498" s="331" t="str">
        <x:f>IF($A498="","",IFERROR('Game Records'!$U498,""))</x:f>
      </x:c>
      <x:c r="E498" s="331" t="str">
        <x:f>IF($A498="","",IF($F498="","No Highlighted Fields","Highlighted Fields Present"))</x:f>
      </x:c>
      <x:c r="F498" s="331" t="str">
        <x:f>IF($A498="","",IF('Game Records'!$B498="","Start Date; ","")&amp;IF('Game Records'!$C498="","End Date; ","")&amp;IF(AND('Game Records'!$U498&lt;&gt;"Subscription",'Game Records'!$U498&lt;&gt;"Free Game",'Game Records'!$U498&lt;&gt;"Disqualified — Free Game",OR('Game Records'!$D498="",LOWER('Game Records'!$D498&amp;"")="n/a")),"Entry Mode; ","")&amp;IF(AND('Game Records'!$U498&lt;&gt;"Subscription",'Game Records'!$U498&lt;&gt;"Free Game",'Game Records'!$U498&lt;&gt;"Disqualified — Free Game",OR('Game Records'!$E498="",LOWER('Game Records'!$E498&amp;"")="n/a")),"Game Type; ","")&amp;IF('Game Records'!$F498="","Payment Type; ","")&amp;IF(AND('Game Records'!$U498&lt;&gt;"Subscription",'Game Records'!$U498&lt;&gt;"Free Game",'Game Records'!$U498&lt;&gt;"Disqualified — Free Game",'Game Records'!$G498=""),"Gross Pot; ","")&amp;IF(AND('Game Records'!$U498&lt;&gt;"Free Game",'Game Records'!$U498&lt;&gt;"Disqualified — Free Game",'Game Records'!$H498=""),"Entry Fee; ","")&amp;IF(AND('Game Records'!$U498&lt;&gt;"Subscription",'Game Records'!$U498&lt;&gt;"Free Game",'Game Records'!$U498&lt;&gt;"Disqualified — Free Game",'Game Records'!$I498=""),"Eligible Players; ","")&amp;IF(AND('Game Records'!$U498&lt;&gt;"Subscription",'Game Records'!$U498&lt;&gt;"Free Game",'Game Records'!$U498&lt;&gt;"Disqualified — Free Game",'Game Records'!$J498=""),"Total Players; ","")&amp;IF(AND(LOWER('Game Records'!$D498&amp;"")="finalized",LOWER('Game Records'!$L498&amp;"")&lt;&gt;"yes",'Game Records'!$U498&lt;&gt;"Subscription",'Game Records'!$U498&lt;&gt;"Free Game",'Game Records'!$U498&lt;&gt;"Disqualified — Free Game",'Game Records'!$K498=""),"Final Earned; ","")&amp;IF(AND(LOWER('Game Records'!$D498&amp;"")="finalized",'Game Records'!$U498&lt;&gt;"Subscription",'Game Records'!$U498&lt;&gt;"Free Game",'Game Records'!$U498&lt;&gt;"Disqualified — Free Game",OR('Game Records'!$L498="",LOWER('Game Records'!$L498&amp;"")="n/a")),"Disqualified Status; ",""))</x:f>
      </x:c>
      <x:c r="G498" s="331" t="str">
        <x:f>IF($A498="","",IFERROR('Game Records'!$M498,""))</x:f>
      </x:c>
    </x:row>
    <x:row r="499">
      <x:c r="A499" s="332" t="str">
        <x:f>IF(OR(COUNTA('Game Records'!$A499:$M499)=0,'Game Records'!$F499="Subscription"),"",IFERROR(MAX($A$4:A498),0)+1)</x:f>
      </x:c>
      <x:c r="B499" s="332" t="str">
        <x:f>IF($A499="","","G-"&amp;TEXT(ROW('Game Records'!$A499)-4,"0000"))</x:f>
      </x:c>
      <x:c r="C499" s="331" t="str">
        <x:f>IF($A499="","",IFERROR('Game Records'!$A499,""))</x:f>
      </x:c>
      <x:c r="D499" s="331" t="str">
        <x:f>IF($A499="","",IFERROR('Game Records'!$U499,""))</x:f>
      </x:c>
      <x:c r="E499" s="331" t="str">
        <x:f>IF($A499="","",IF($F499="","No Highlighted Fields","Highlighted Fields Present"))</x:f>
      </x:c>
      <x:c r="F499" s="331" t="str">
        <x:f>IF($A499="","",IF('Game Records'!$B499="","Start Date; ","")&amp;IF('Game Records'!$C499="","End Date; ","")&amp;IF(AND('Game Records'!$U499&lt;&gt;"Subscription",'Game Records'!$U499&lt;&gt;"Free Game",'Game Records'!$U499&lt;&gt;"Disqualified — Free Game",OR('Game Records'!$D499="",LOWER('Game Records'!$D499&amp;"")="n/a")),"Entry Mode; ","")&amp;IF(AND('Game Records'!$U499&lt;&gt;"Subscription",'Game Records'!$U499&lt;&gt;"Free Game",'Game Records'!$U499&lt;&gt;"Disqualified — Free Game",OR('Game Records'!$E499="",LOWER('Game Records'!$E499&amp;"")="n/a")),"Game Type; ","")&amp;IF('Game Records'!$F499="","Payment Type; ","")&amp;IF(AND('Game Records'!$U499&lt;&gt;"Subscription",'Game Records'!$U499&lt;&gt;"Free Game",'Game Records'!$U499&lt;&gt;"Disqualified — Free Game",'Game Records'!$G499=""),"Gross Pot; ","")&amp;IF(AND('Game Records'!$U499&lt;&gt;"Free Game",'Game Records'!$U499&lt;&gt;"Disqualified — Free Game",'Game Records'!$H499=""),"Entry Fee; ","")&amp;IF(AND('Game Records'!$U499&lt;&gt;"Subscription",'Game Records'!$U499&lt;&gt;"Free Game",'Game Records'!$U499&lt;&gt;"Disqualified — Free Game",'Game Records'!$I499=""),"Eligible Players; ","")&amp;IF(AND('Game Records'!$U499&lt;&gt;"Subscription",'Game Records'!$U499&lt;&gt;"Free Game",'Game Records'!$U499&lt;&gt;"Disqualified — Free Game",'Game Records'!$J499=""),"Total Players; ","")&amp;IF(AND(LOWER('Game Records'!$D499&amp;"")="finalized",LOWER('Game Records'!$L499&amp;"")&lt;&gt;"yes",'Game Records'!$U499&lt;&gt;"Subscription",'Game Records'!$U499&lt;&gt;"Free Game",'Game Records'!$U499&lt;&gt;"Disqualified — Free Game",'Game Records'!$K499=""),"Final Earned; ","")&amp;IF(AND(LOWER('Game Records'!$D499&amp;"")="finalized",'Game Records'!$U499&lt;&gt;"Subscription",'Game Records'!$U499&lt;&gt;"Free Game",'Game Records'!$U499&lt;&gt;"Disqualified — Free Game",OR('Game Records'!$L499="",LOWER('Game Records'!$L499&amp;"")="n/a")),"Disqualified Status; ",""))</x:f>
      </x:c>
      <x:c r="G499" s="331" t="str">
        <x:f>IF($A499="","",IFERROR('Game Records'!$M499,""))</x:f>
      </x:c>
    </x:row>
    <x:row r="500">
      <x:c r="A500" s="332" t="str">
        <x:f>IF(OR(COUNTA('Game Records'!$A500:$M500)=0,'Game Records'!$F500="Subscription"),"",IFERROR(MAX($A$4:A499),0)+1)</x:f>
      </x:c>
      <x:c r="B500" s="332" t="str">
        <x:f>IF($A500="","","G-"&amp;TEXT(ROW('Game Records'!$A500)-4,"0000"))</x:f>
      </x:c>
      <x:c r="C500" s="331" t="str">
        <x:f>IF($A500="","",IFERROR('Game Records'!$A500,""))</x:f>
      </x:c>
      <x:c r="D500" s="331" t="str">
        <x:f>IF($A500="","",IFERROR('Game Records'!$U500,""))</x:f>
      </x:c>
      <x:c r="E500" s="331" t="str">
        <x:f>IF($A500="","",IF($F500="","No Highlighted Fields","Highlighted Fields Present"))</x:f>
      </x:c>
      <x:c r="F500" s="331" t="str">
        <x:f>IF($A500="","",IF('Game Records'!$B500="","Start Date; ","")&amp;IF('Game Records'!$C500="","End Date; ","")&amp;IF(AND('Game Records'!$U500&lt;&gt;"Subscription",'Game Records'!$U500&lt;&gt;"Free Game",'Game Records'!$U500&lt;&gt;"Disqualified — Free Game",OR('Game Records'!$D500="",LOWER('Game Records'!$D500&amp;"")="n/a")),"Entry Mode; ","")&amp;IF(AND('Game Records'!$U500&lt;&gt;"Subscription",'Game Records'!$U500&lt;&gt;"Free Game",'Game Records'!$U500&lt;&gt;"Disqualified — Free Game",OR('Game Records'!$E500="",LOWER('Game Records'!$E500&amp;"")="n/a")),"Game Type; ","")&amp;IF('Game Records'!$F500="","Payment Type; ","")&amp;IF(AND('Game Records'!$U500&lt;&gt;"Subscription",'Game Records'!$U500&lt;&gt;"Free Game",'Game Records'!$U500&lt;&gt;"Disqualified — Free Game",'Game Records'!$G500=""),"Gross Pot; ","")&amp;IF(AND('Game Records'!$U500&lt;&gt;"Free Game",'Game Records'!$U500&lt;&gt;"Disqualified — Free Game",'Game Records'!$H500=""),"Entry Fee; ","")&amp;IF(AND('Game Records'!$U500&lt;&gt;"Subscription",'Game Records'!$U500&lt;&gt;"Free Game",'Game Records'!$U500&lt;&gt;"Disqualified — Free Game",'Game Records'!$I500=""),"Eligible Players; ","")&amp;IF(AND('Game Records'!$U500&lt;&gt;"Subscription",'Game Records'!$U500&lt;&gt;"Free Game",'Game Records'!$U500&lt;&gt;"Disqualified — Free Game",'Game Records'!$J500=""),"Total Players; ","")&amp;IF(AND(LOWER('Game Records'!$D500&amp;"")="finalized",LOWER('Game Records'!$L500&amp;"")&lt;&gt;"yes",'Game Records'!$U500&lt;&gt;"Subscription",'Game Records'!$U500&lt;&gt;"Free Game",'Game Records'!$U500&lt;&gt;"Disqualified — Free Game",'Game Records'!$K500=""),"Final Earned; ","")&amp;IF(AND(LOWER('Game Records'!$D500&amp;"")="finalized",'Game Records'!$U500&lt;&gt;"Subscription",'Game Records'!$U500&lt;&gt;"Free Game",'Game Records'!$U500&lt;&gt;"Disqualified — Free Game",OR('Game Records'!$L500="",LOWER('Game Records'!$L500&amp;"")="n/a")),"Disqualified Status; ",""))</x:f>
      </x:c>
      <x:c r="G500" s="331" t="str">
        <x:f>IF($A500="","",IFERROR('Game Records'!$M500,""))</x:f>
      </x:c>
    </x:row>
    <x:row r="501">
      <x:c r="A501" s="332" t="str">
        <x:f>IF(OR(COUNTA('Game Records'!$A501:$M501)=0,'Game Records'!$F501="Subscription"),"",IFERROR(MAX($A$4:A500),0)+1)</x:f>
      </x:c>
      <x:c r="B501" s="332" t="str">
        <x:f>IF($A501="","","G-"&amp;TEXT(ROW('Game Records'!$A501)-4,"0000"))</x:f>
      </x:c>
      <x:c r="C501" s="331" t="str">
        <x:f>IF($A501="","",IFERROR('Game Records'!$A501,""))</x:f>
      </x:c>
      <x:c r="D501" s="331" t="str">
        <x:f>IF($A501="","",IFERROR('Game Records'!$U501,""))</x:f>
      </x:c>
      <x:c r="E501" s="331" t="str">
        <x:f>IF($A501="","",IF($F501="","No Highlighted Fields","Highlighted Fields Present"))</x:f>
      </x:c>
      <x:c r="F501" s="331" t="str">
        <x:f>IF($A501="","",IF('Game Records'!$B501="","Start Date; ","")&amp;IF('Game Records'!$C501="","End Date; ","")&amp;IF(AND('Game Records'!$U501&lt;&gt;"Subscription",'Game Records'!$U501&lt;&gt;"Free Game",'Game Records'!$U501&lt;&gt;"Disqualified — Free Game",OR('Game Records'!$D501="",LOWER('Game Records'!$D501&amp;"")="n/a")),"Entry Mode; ","")&amp;IF(AND('Game Records'!$U501&lt;&gt;"Subscription",'Game Records'!$U501&lt;&gt;"Free Game",'Game Records'!$U501&lt;&gt;"Disqualified — Free Game",OR('Game Records'!$E501="",LOWER('Game Records'!$E501&amp;"")="n/a")),"Game Type; ","")&amp;IF('Game Records'!$F501="","Payment Type; ","")&amp;IF(AND('Game Records'!$U501&lt;&gt;"Subscription",'Game Records'!$U501&lt;&gt;"Free Game",'Game Records'!$U501&lt;&gt;"Disqualified — Free Game",'Game Records'!$G501=""),"Gross Pot; ","")&amp;IF(AND('Game Records'!$U501&lt;&gt;"Free Game",'Game Records'!$U501&lt;&gt;"Disqualified — Free Game",'Game Records'!$H501=""),"Entry Fee; ","")&amp;IF(AND('Game Records'!$U501&lt;&gt;"Subscription",'Game Records'!$U501&lt;&gt;"Free Game",'Game Records'!$U501&lt;&gt;"Disqualified — Free Game",'Game Records'!$I501=""),"Eligible Players; ","")&amp;IF(AND('Game Records'!$U501&lt;&gt;"Subscription",'Game Records'!$U501&lt;&gt;"Free Game",'Game Records'!$U501&lt;&gt;"Disqualified — Free Game",'Game Records'!$J501=""),"Total Players; ","")&amp;IF(AND(LOWER('Game Records'!$D501&amp;"")="finalized",LOWER('Game Records'!$L501&amp;"")&lt;&gt;"yes",'Game Records'!$U501&lt;&gt;"Subscription",'Game Records'!$U501&lt;&gt;"Free Game",'Game Records'!$U501&lt;&gt;"Disqualified — Free Game",'Game Records'!$K501=""),"Final Earned; ","")&amp;IF(AND(LOWER('Game Records'!$D501&amp;"")="finalized",'Game Records'!$U501&lt;&gt;"Subscription",'Game Records'!$U501&lt;&gt;"Free Game",'Game Records'!$U501&lt;&gt;"Disqualified — Free Game",OR('Game Records'!$L501="",LOWER('Game Records'!$L501&amp;"")="n/a")),"Disqualified Status; ",""))</x:f>
      </x:c>
      <x:c r="G501" s="331" t="str">
        <x:f>IF($A501="","",IFERROR('Game Records'!$M501,""))</x:f>
      </x:c>
    </x:row>
    <x:row r="502">
      <x:c r="A502" s="332" t="str">
        <x:f>IF(OR(COUNTA('Game Records'!$A502:$M502)=0,'Game Records'!$F502="Subscription"),"",IFERROR(MAX($A$4:A501),0)+1)</x:f>
      </x:c>
      <x:c r="B502" s="332" t="str">
        <x:f>IF($A502="","","G-"&amp;TEXT(ROW('Game Records'!$A502)-4,"0000"))</x:f>
      </x:c>
      <x:c r="C502" s="331" t="str">
        <x:f>IF($A502="","",IFERROR('Game Records'!$A502,""))</x:f>
      </x:c>
      <x:c r="D502" s="331" t="str">
        <x:f>IF($A502="","",IFERROR('Game Records'!$U502,""))</x:f>
      </x:c>
      <x:c r="E502" s="331" t="str">
        <x:f>IF($A502="","",IF($F502="","No Highlighted Fields","Highlighted Fields Present"))</x:f>
      </x:c>
      <x:c r="F502" s="331" t="str">
        <x:f>IF($A502="","",IF('Game Records'!$B502="","Start Date; ","")&amp;IF('Game Records'!$C502="","End Date; ","")&amp;IF(AND('Game Records'!$U502&lt;&gt;"Subscription",'Game Records'!$U502&lt;&gt;"Free Game",'Game Records'!$U502&lt;&gt;"Disqualified — Free Game",OR('Game Records'!$D502="",LOWER('Game Records'!$D502&amp;"")="n/a")),"Entry Mode; ","")&amp;IF(AND('Game Records'!$U502&lt;&gt;"Subscription",'Game Records'!$U502&lt;&gt;"Free Game",'Game Records'!$U502&lt;&gt;"Disqualified — Free Game",OR('Game Records'!$E502="",LOWER('Game Records'!$E502&amp;"")="n/a")),"Game Type; ","")&amp;IF('Game Records'!$F502="","Payment Type; ","")&amp;IF(AND('Game Records'!$U502&lt;&gt;"Subscription",'Game Records'!$U502&lt;&gt;"Free Game",'Game Records'!$U502&lt;&gt;"Disqualified — Free Game",'Game Records'!$G502=""),"Gross Pot; ","")&amp;IF(AND('Game Records'!$U502&lt;&gt;"Free Game",'Game Records'!$U502&lt;&gt;"Disqualified — Free Game",'Game Records'!$H502=""),"Entry Fee; ","")&amp;IF(AND('Game Records'!$U502&lt;&gt;"Subscription",'Game Records'!$U502&lt;&gt;"Free Game",'Game Records'!$U502&lt;&gt;"Disqualified — Free Game",'Game Records'!$I502=""),"Eligible Players; ","")&amp;IF(AND('Game Records'!$U502&lt;&gt;"Subscription",'Game Records'!$U502&lt;&gt;"Free Game",'Game Records'!$U502&lt;&gt;"Disqualified — Free Game",'Game Records'!$J502=""),"Total Players; ","")&amp;IF(AND(LOWER('Game Records'!$D502&amp;"")="finalized",LOWER('Game Records'!$L502&amp;"")&lt;&gt;"yes",'Game Records'!$U502&lt;&gt;"Subscription",'Game Records'!$U502&lt;&gt;"Free Game",'Game Records'!$U502&lt;&gt;"Disqualified — Free Game",'Game Records'!$K502=""),"Final Earned; ","")&amp;IF(AND(LOWER('Game Records'!$D502&amp;"")="finalized",'Game Records'!$U502&lt;&gt;"Subscription",'Game Records'!$U502&lt;&gt;"Free Game",'Game Records'!$U502&lt;&gt;"Disqualified — Free Game",OR('Game Records'!$L502="",LOWER('Game Records'!$L502&amp;"")="n/a")),"Disqualified Status; ",""))</x:f>
      </x:c>
      <x:c r="G502" s="331" t="str">
        <x:f>IF($A502="","",IFERROR('Game Records'!$M502,""))</x:f>
      </x:c>
    </x:row>
    <x:row r="503">
      <x:c r="A503" s="332" t="str">
        <x:f>IF(OR(COUNTA('Game Records'!$A503:$M503)=0,'Game Records'!$F503="Subscription"),"",IFERROR(MAX($A$4:A502),0)+1)</x:f>
      </x:c>
      <x:c r="B503" s="332" t="str">
        <x:f>IF($A503="","","G-"&amp;TEXT(ROW('Game Records'!$A503)-4,"0000"))</x:f>
      </x:c>
      <x:c r="C503" s="331" t="str">
        <x:f>IF($A503="","",IFERROR('Game Records'!$A503,""))</x:f>
      </x:c>
      <x:c r="D503" s="331" t="str">
        <x:f>IF($A503="","",IFERROR('Game Records'!$U503,""))</x:f>
      </x:c>
      <x:c r="E503" s="331" t="str">
        <x:f>IF($A503="","",IF($F503="","No Highlighted Fields","Highlighted Fields Present"))</x:f>
      </x:c>
      <x:c r="F503" s="331" t="str">
        <x:f>IF($A503="","",IF('Game Records'!$B503="","Start Date; ","")&amp;IF('Game Records'!$C503="","End Date; ","")&amp;IF(AND('Game Records'!$U503&lt;&gt;"Subscription",'Game Records'!$U503&lt;&gt;"Free Game",'Game Records'!$U503&lt;&gt;"Disqualified — Free Game",OR('Game Records'!$D503="",LOWER('Game Records'!$D503&amp;"")="n/a")),"Entry Mode; ","")&amp;IF(AND('Game Records'!$U503&lt;&gt;"Subscription",'Game Records'!$U503&lt;&gt;"Free Game",'Game Records'!$U503&lt;&gt;"Disqualified — Free Game",OR('Game Records'!$E503="",LOWER('Game Records'!$E503&amp;"")="n/a")),"Game Type; ","")&amp;IF('Game Records'!$F503="","Payment Type; ","")&amp;IF(AND('Game Records'!$U503&lt;&gt;"Subscription",'Game Records'!$U503&lt;&gt;"Free Game",'Game Records'!$U503&lt;&gt;"Disqualified — Free Game",'Game Records'!$G503=""),"Gross Pot; ","")&amp;IF(AND('Game Records'!$U503&lt;&gt;"Free Game",'Game Records'!$U503&lt;&gt;"Disqualified — Free Game",'Game Records'!$H503=""),"Entry Fee; ","")&amp;IF(AND('Game Records'!$U503&lt;&gt;"Subscription",'Game Records'!$U503&lt;&gt;"Free Game",'Game Records'!$U503&lt;&gt;"Disqualified — Free Game",'Game Records'!$I503=""),"Eligible Players; ","")&amp;IF(AND('Game Records'!$U503&lt;&gt;"Subscription",'Game Records'!$U503&lt;&gt;"Free Game",'Game Records'!$U503&lt;&gt;"Disqualified — Free Game",'Game Records'!$J503=""),"Total Players; ","")&amp;IF(AND(LOWER('Game Records'!$D503&amp;"")="finalized",LOWER('Game Records'!$L503&amp;"")&lt;&gt;"yes",'Game Records'!$U503&lt;&gt;"Subscription",'Game Records'!$U503&lt;&gt;"Free Game",'Game Records'!$U503&lt;&gt;"Disqualified — Free Game",'Game Records'!$K503=""),"Final Earned; ","")&amp;IF(AND(LOWER('Game Records'!$D503&amp;"")="finalized",'Game Records'!$U503&lt;&gt;"Subscription",'Game Records'!$U503&lt;&gt;"Free Game",'Game Records'!$U503&lt;&gt;"Disqualified — Free Game",OR('Game Records'!$L503="",LOWER('Game Records'!$L503&amp;"")="n/a")),"Disqualified Status; ",""))</x:f>
      </x:c>
      <x:c r="G503" s="331" t="str">
        <x:f>IF($A503="","",IFERROR('Game Records'!$M503,""))</x:f>
      </x:c>
    </x:row>
    <x:row r="504">
      <x:c r="A504" s="332" t="str">
        <x:f>IF(OR(COUNTA('Game Records'!$A504:$M504)=0,'Game Records'!$F504="Subscription"),"",IFERROR(MAX($A$4:A503),0)+1)</x:f>
      </x:c>
      <x:c r="B504" s="332" t="str">
        <x:f>IF($A504="","","G-"&amp;TEXT(ROW('Game Records'!$A504)-4,"0000"))</x:f>
      </x:c>
      <x:c r="C504" s="331" t="str">
        <x:f>IF($A504="","",IFERROR('Game Records'!$A504,""))</x:f>
      </x:c>
      <x:c r="D504" s="331" t="str">
        <x:f>IF($A504="","",IFERROR('Game Records'!$U504,""))</x:f>
      </x:c>
      <x:c r="E504" s="331" t="str">
        <x:f>IF($A504="","",IF($F504="","No Highlighted Fields","Highlighted Fields Present"))</x:f>
      </x:c>
      <x:c r="F504" s="331" t="str">
        <x:f>IF($A504="","",IF('Game Records'!$B504="","Start Date; ","")&amp;IF('Game Records'!$C504="","End Date; ","")&amp;IF(AND('Game Records'!$U504&lt;&gt;"Subscription",'Game Records'!$U504&lt;&gt;"Free Game",'Game Records'!$U504&lt;&gt;"Disqualified — Free Game",OR('Game Records'!$D504="",LOWER('Game Records'!$D504&amp;"")="n/a")),"Entry Mode; ","")&amp;IF(AND('Game Records'!$U504&lt;&gt;"Subscription",'Game Records'!$U504&lt;&gt;"Free Game",'Game Records'!$U504&lt;&gt;"Disqualified — Free Game",OR('Game Records'!$E504="",LOWER('Game Records'!$E504&amp;"")="n/a")),"Game Type; ","")&amp;IF('Game Records'!$F504="","Payment Type; ","")&amp;IF(AND('Game Records'!$U504&lt;&gt;"Subscription",'Game Records'!$U504&lt;&gt;"Free Game",'Game Records'!$U504&lt;&gt;"Disqualified — Free Game",'Game Records'!$G504=""),"Gross Pot; ","")&amp;IF(AND('Game Records'!$U504&lt;&gt;"Free Game",'Game Records'!$U504&lt;&gt;"Disqualified — Free Game",'Game Records'!$H504=""),"Entry Fee; ","")&amp;IF(AND('Game Records'!$U504&lt;&gt;"Subscription",'Game Records'!$U504&lt;&gt;"Free Game",'Game Records'!$U504&lt;&gt;"Disqualified — Free Game",'Game Records'!$I504=""),"Eligible Players; ","")&amp;IF(AND('Game Records'!$U504&lt;&gt;"Subscription",'Game Records'!$U504&lt;&gt;"Free Game",'Game Records'!$U504&lt;&gt;"Disqualified — Free Game",'Game Records'!$J504=""),"Total Players; ","")&amp;IF(AND(LOWER('Game Records'!$D504&amp;"")="finalized",LOWER('Game Records'!$L504&amp;"")&lt;&gt;"yes",'Game Records'!$U504&lt;&gt;"Subscription",'Game Records'!$U504&lt;&gt;"Free Game",'Game Records'!$U504&lt;&gt;"Disqualified — Free Game",'Game Records'!$K504=""),"Final Earned; ","")&amp;IF(AND(LOWER('Game Records'!$D504&amp;"")="finalized",'Game Records'!$U504&lt;&gt;"Subscription",'Game Records'!$U504&lt;&gt;"Free Game",'Game Records'!$U504&lt;&gt;"Disqualified — Free Game",OR('Game Records'!$L504="",LOWER('Game Records'!$L504&amp;"")="n/a")),"Disqualified Status; ",""))</x:f>
      </x:c>
      <x:c r="G504" s="331" t="str">
        <x:f>IF($A504="","",IFERROR('Game Records'!$M504,""))</x:f>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896" t="str">
        <x:v>StepCat Live Summary Dashboard — v246</x:v>
      </x:c>
      <x:c r="B1" s="896"/>
      <x:c r="C1" s="896"/>
      <x:c r="D1" s="896"/>
      <x:c r="E1" s="896"/>
      <x:c r="F1" s="896"/>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Cash / Credit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cash profit only,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cash net game profit minus current and carried-over membership costs</x:v>
      </x:c>
    </x:row>
    <x:row r="9" ht="26.399999618530273" hidden="0" customHeight="1">
      <x:c r="A9" s="126" t="str">
        <x:v>Free Games (separate credit)</x:v>
      </x:c>
      <x:c r="B9" s="914" t="n">
        <x:f>COUNTIF('Game Records'!$U$5:$U$504,"Free Game")+COUNTIF('Game Records'!$U$5:$U$504,"Disqualified — Free Game")</x:f>
        <x:v>0</x:v>
      </x:c>
      <x:c r="C9" s="913" t="str">
        <x:v>Separate</x:v>
      </x:c>
      <x:c r="D9" s="126" t="str">
        <x:v>Free Game Chips Earned</x:v>
      </x:c>
      <x:c r="E9" s="983" t="n">
        <x:f>SUMIFS('Game Records'!$P$5:$P$504,'Game Records'!$U$5:$U$504,"Free Game")</x:f>
        <x:v>0</x:v>
      </x:c>
      <x:c r="F9" s="126" t="str">
        <x:v>Non-cash chips/game credit earned from Free Games; excluded from every cash profit total</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 credit)</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v246</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Chip Performance</x:v>
      </x:c>
      <x:c r="B15" s="486"/>
      <x:c r="C15" s="486"/>
      <x:c r="D15" s="486"/>
      <x:c r="E15" s="486"/>
    </x:row>
    <x:row r="16" ht="36" hidden="0" customHeight="1">
      <x:c r="A16" s="591" t="str">
        <x:v>Free Games are completed step challenges that award non-cash chips/game credit. They remain separate from paid-game ROI, paid-result averages, and all cash profit totals.</x:v>
      </x:c>
      <x:c r="B16" s="591"/>
      <x:c r="C16" s="591"/>
      <x:c r="D16" s="591"/>
      <x:c r="E16" s="591"/>
    </x:row>
    <x:row r="17" ht="15" hidden="0" customHeight="1">
      <x:c r="A17" s="310" t="str">
        <x:v>Metric</x:v>
      </x:c>
      <x:c r="B17" s="310" t="str">
        <x:v>Free Game Chips</x:v>
      </x:c>
      <x:c r="C17" s="310" t="str">
        <x:v>What It Represents</x:v>
      </x:c>
      <x:c r="D17" s="310"/>
      <x:c r="E17" s="310"/>
    </x:row>
    <x:row r="18" ht="39.599998474121094" hidden="0" customHeight="1">
      <x:c r="A18" s="509" t="str">
        <x:v>Completed Free Games</x:v>
      </x:c>
      <x:c r="B18" s="914" t="n">
        <x:f>COUNTIF('Game Records'!$U$5:$U$504,"Free Game")+COUNTIF('Game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COUNTIF('Game Records'!$U$5:$U$504,"Free Game")</x:f>
        <x:v>0</x:v>
      </x:c>
      <x:c r="C19" s="509" t="str">
        <x:v>Free Games completed without disqualification.</x:v>
      </x:c>
      <x:c r="D19" s="509"/>
      <x:c r="E19" s="509"/>
    </x:row>
    <x:row r="20" ht="39.599998474121094" hidden="0" customHeight="1">
      <x:c r="A20" s="509" t="str">
        <x:v>Disqualified Free Games</x:v>
      </x:c>
      <x:c r="B20" s="914" t="n">
        <x:f>COUNTIF('Game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Chips Earned</x:v>
      </x:c>
      <x:c r="B22" s="984" t="n">
        <x:f>IF(B18=0,0,(SUMIF('Game Records'!$U$5:$U$504,"Free Game",'Game Records'!$P$5:$P$504)+SUMIF('Game Records'!$U$5:$U$504,"Disqualified — Free Game",'Game Records'!$P$5:$P$504))/B18)</x:f>
        <x:v>0</x:v>
      </x:c>
      <x:c r="C22" s="509" t="str">
        <x:v>Average non-cash chips earned, including 0.00-chip disqualified Free Games.</x:v>
      </x:c>
      <x:c r="D22" s="509"/>
      <x:c r="E22" s="509"/>
    </x:row>
    <x:row r="23" ht="39.599998474121094" hidden="0" customHeight="1">
      <x:c r="A23" s="509" t="str">
        <x:v>Total Chips Earned</x:v>
      </x:c>
      <x:c r="B23" s="984" t="n">
        <x:f>SUMIF('Game Records'!$U$5:$U$504,"Free Game",'Game Records'!$P$5:$P$504)+SUMIF('Game Records'!$U$5:$U$504,"Disqualified — Free Game",'Game Records'!$P$5:$P$504)</x:f>
        <x:v>0</x:v>
      </x:c>
      <x:c r="C23" s="509" t="str">
        <x:v>Combined non-cash chips/game credit; excluded from overall cash running net profit.</x:v>
      </x:c>
      <x:c r="D23" s="509"/>
      <x:c r="E23" s="509"/>
    </x:row>
    <x:row r="24" ht="39.599998474121094" hidden="0" customHeight="1">
      <x:c r="A24" s="509" t="str">
        <x:v>Average Eliminated Players</x:v>
      </x:c>
      <x:c r="B24" s="948" t="n">
        <x:f>IF((COUNTIFS('Game Records'!$U$5:$U$504,"Free Game",'Game Records'!$X$5:$X$504,"&gt;=0")+COUNTIFS('Game Records'!$U$5:$U$504,"Disqualified — Free Game",'Game Records'!$X$5:$X$504,"&gt;=0"))=0,0,(SUMIFS('Game Records'!$X$5:$X$504,'Game Records'!$U$5:$U$504,"Free Game")+SUMIFS('Game Records'!$X$5:$X$504,'Game Records'!$U$5:$U$504,"Disqualified — Free Game"))/(COUNTIFS('Game Records'!$U$5:$U$504,"Free Game",'Game Records'!$X$5:$X$504,"&gt;=0")+COUNTIFS('Game Records'!$U$5:$U$504,"Disqualified — Free Game",'Game Records'!$X$5:$X$504,"&gt;=0")))</x:f>
        <x:v>0</x:v>
      </x:c>
      <x:c r="C24" s="509" t="str">
        <x:v>Average eliminated-player count when player totals are available.</x:v>
      </x:c>
      <x:c r="D24" s="509"/>
      <x:c r="E24" s="509"/>
    </x:row>
    <x:row r="25" ht="26.399999618530273" hidden="0" customHeight="1">
      <x:c r="A25" s="509" t="str">
        <x:v>Average Elimination Rate</x:v>
      </x:c>
      <x:c r="B25" s="915" t="n">
        <x:f>IF((COUNTIFS('Game Records'!$U$5:$U$504,"Free Game",'Game Records'!$Y$5:$Y$504,"&gt;=0")+COUNTIFS('Game Records'!$U$5:$U$504,"Disqualified — Free Game",'Game Records'!$Y$5:$Y$504,"&gt;=0"))=0,0,(SUMIFS('Game Records'!$Y$5:$Y$504,'Game Records'!$U$5:$U$504,"Free Game")+SUMIFS('Game Records'!$Y$5:$Y$504,'Game Records'!$U$5:$U$504,"Disqualified — Free Game"))/(COUNTIFS('Game Records'!$U$5:$U$504,"Free Game",'Game Records'!$Y$5:$Y$504,"&gt;=0")+COUNTIFS('Game Records'!$U$5:$U$504,"Disqualified — Free Game",'Game Records'!$Y$5:$Y$504,"&gt;=0")))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v246</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