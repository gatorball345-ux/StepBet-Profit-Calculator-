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ddb12a9b374c8f" /></Relationships>
</file>

<file path=xl/workbook.xml><?xml version="1.0" encoding="utf-8"?>
<x:workbook xmlns:x="http://schemas.openxmlformats.org/spreadsheetml/2006/main">
  <x:sheets>
    <x:sheet xmlns:r="http://schemas.openxmlformats.org/officeDocument/2006/relationships" name="Instructions" sheetId="1" r:id="R3a83a39053264690"/>
    <x:sheet xmlns:r="http://schemas.openxmlformats.org/officeDocument/2006/relationships" name="Game Records" sheetId="2" r:id="Ra7c62eadc6dd4776"/>
    <x:sheet xmlns:r="http://schemas.openxmlformats.org/officeDocument/2006/relationships" name="Summary" sheetId="3" r:id="R660c75803cb44a91"/>
    <x:sheet xmlns:r="http://schemas.openxmlformats.org/officeDocument/2006/relationships" name="Game Comparisons" sheetId="4" r:id="R55ff3f2036ec4808"/>
    <x:sheet xmlns:r="http://schemas.openxmlformats.org/officeDocument/2006/relationships" name="Best Results" sheetId="5" r:id="R1c44143212064f2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mm/dd/yyyy"/>
    <x:numFmt numFmtId="201" formatCode="$0.00"/>
    <x:numFmt numFmtId="202" formatCode="0.0%"/>
    <x:numFmt numFmtId="203" formatCode="0"/>
  </x:numFmts>
  <x:fonts count="7">
    <x:font>
      <x:sz val="11"/>
      <x:name val="Carlito"/>
    </x:font>
    <x:font>
      <x:b/>
      <x:sz val="18"/>
      <x:color rgb="FFFFFFFF"/>
      <x:name val="Carlito"/>
    </x:font>
    <x:font>
      <x:i/>
      <x:sz val="11"/>
      <x:color rgb="FF4A220C"/>
      <x:name val="Carlito"/>
    </x:font>
    <x:font>
      <x:b/>
      <x:sz val="12"/>
      <x:color rgb="FFFFFFFF"/>
      <x:name val="Carlito"/>
    </x:font>
    <x:font>
      <x:sz val="11"/>
      <x:color rgb="FF4A220C"/>
      <x:name val="Carlito"/>
    </x:font>
    <x:font>
      <x:b/>
      <x:sz val="11"/>
      <x:color rgb="FFFFFFFF"/>
      <x:name val="Carlito"/>
    </x:font>
    <x:font>
      <x:b/>
      <x:sz val="17"/>
      <x:color rgb="FF4A220C"/>
      <x:name val="Carlito"/>
    </x:font>
  </x:fonts>
  <x:fills count="9">
    <x:fill>
      <x:patternFill patternType="none"/>
    </x:fill>
    <x:fill>
      <x:patternFill patternType="gray125"/>
    </x:fill>
    <x:fill>
      <x:patternFill patternType="solid">
        <x:fgColor rgb="FF6B2E0E"/>
      </x:patternFill>
    </x:fill>
    <x:fill>
      <x:patternFill patternType="solid">
        <x:fgColor rgb="FFF3E5D8"/>
      </x:patternFill>
    </x:fill>
    <x:fill>
      <x:patternFill patternType="solid">
        <x:fgColor rgb="FFA6470C"/>
      </x:patternFill>
    </x:fill>
    <x:fill>
      <x:patternFill patternType="solid">
        <x:fgColor rgb="FFFFF4E8"/>
      </x:patternFill>
    </x:fill>
    <x:fill>
      <x:patternFill patternType="solid">
        <x:fgColor rgb="FFE87516"/>
      </x:patternFill>
    </x:fill>
    <x:fill>
      <x:patternFill patternType="solid">
        <x:fgColor rgb="FFD9EAF7"/>
      </x:patternFill>
    </x:fill>
    <x:fill>
      <x:patternFill patternType="solid">
        <x:fgColor rgb="FFD9EAD3"/>
      </x:patternFill>
    </x:fill>
  </x:fills>
  <x:borders count="2">
    <x:border/>
    <x:border/>
  </x:borders>
  <x:cellStyleXfs count="1">
    <x:xf numFmtId="0" fontId="0" fillId="0" borderId="0"/>
  </x:cellStyleXfs>
  <x:cellXfs count="10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left" wrapText="1"/>
    </x:xf>
    <x:xf numFmtId="0" fontId="4" fillId="5" borderId="0" xfId="0" applyNumberFormat="1" applyFont="1" applyFill="1" applyBorder="1" applyAlignment="1">
      <x:alignment horizontal="lef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left" wrapText="1"/>
    </x:xf>
    <x:xf numFmtId="0" fontId="4" fillId="5" borderId="1" xfId="0" applyNumberFormat="1" applyFont="1" applyFill="1" applyBorder="1" applyAlignment="1">
      <x:alignment horizontal="lef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center" wrapText="1"/>
    </x:xf>
    <x:xf numFmtId="0" fontId="0" fillId="0"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left" vertical="center" wrapText="1"/>
    </x:xf>
    <x:xf numFmtId="0" fontId="0" fillId="0" borderId="1" xfId="0" applyNumberFormat="1" applyFont="1" applyFill="1" applyBorder="1" applyAlignment="1">
      <x:alignment horizontal="left" vertical="center" wrapText="1"/>
    </x:xf>
    <x:xf numFmtId="200" fontId="0" fillId="0" borderId="0"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1" fontId="0" fillId="0" borderId="0" xfId="0" applyNumberFormat="1" applyFont="1" applyFill="1" applyBorder="1" applyAlignment="1">
      <x:alignment horizontal="center" vertical="center" wrapText="1"/>
    </x:xf>
    <x:xf numFmtId="201" fontId="0" fillId="0" borderId="1" xfId="0" applyNumberFormat="1" applyFont="1" applyFill="1" applyBorder="1" applyAlignment="1">
      <x:alignment horizontal="center" vertical="center" wrapText="1"/>
    </x:xf>
    <x:xf numFmtId="202" fontId="0" fillId="0" borderId="0" xfId="0" applyNumberFormat="1" applyFont="1" applyFill="1" applyBorder="1" applyAlignment="1">
      <x:alignment horizontal="center" vertical="center" wrapText="1"/>
    </x:xf>
    <x:xf numFmtId="202" fontId="0" fillId="0" borderId="1" xfId="0" applyNumberFormat="1" applyFont="1" applyFill="1" applyBorder="1" applyAlignment="1">
      <x:alignment horizontal="center" vertical="center" wrapText="1"/>
    </x:xf>
    <x:xf numFmtId="203" fontId="0" fillId="0" borderId="0" xfId="0" applyNumberFormat="1" applyFont="1" applyFill="1" applyBorder="1" applyAlignment="1">
      <x:alignment horizontal="center" vertical="center" wrapText="1"/>
    </x:xf>
    <x:xf numFmtId="203" fontId="0" fillId="0" borderId="1" xfId="0" applyNumberFormat="1" applyFont="1" applyFill="1" applyBorder="1" applyAlignment="1">
      <x:alignment horizontal="center" vertical="center" wrapText="1"/>
    </x:xf>
    <x:xf numFmtId="203" fontId="0" fillId="7" borderId="0" xfId="0" applyNumberFormat="1" applyFont="1" applyFill="1" applyBorder="1" applyAlignment="1">
      <x:alignment horizontal="center" vertical="center" wrapText="1"/>
    </x:xf>
    <x:xf numFmtId="203" fontId="0" fillId="7" borderId="1" xfId="0" applyNumberFormat="1" applyFont="1" applyFill="1" applyBorder="1" applyAlignment="1">
      <x:alignment horizontal="center" vertical="center" wrapText="1"/>
    </x:xf>
    <x:xf numFmtId="201" fontId="0" fillId="7" borderId="0" xfId="0" applyNumberFormat="1" applyFont="1" applyFill="1" applyBorder="1" applyAlignment="1">
      <x:alignment horizontal="center" vertical="center" wrapText="1"/>
    </x:xf>
    <x:xf numFmtId="202" fontId="0" fillId="7" borderId="0" xfId="0" applyNumberFormat="1" applyFont="1" applyFill="1" applyBorder="1" applyAlignment="1">
      <x:alignment horizontal="center" vertical="center" wrapText="1"/>
    </x:xf>
    <x:xf numFmtId="201" fontId="0" fillId="7" borderId="1" xfId="0" applyNumberFormat="1" applyFont="1" applyFill="1" applyBorder="1" applyAlignment="1">
      <x:alignment horizontal="center" vertical="center" wrapText="1"/>
    </x:xf>
    <x:xf numFmtId="202" fontId="0" fillId="7" borderId="1" xfId="0" applyNumberFormat="1" applyFont="1" applyFill="1" applyBorder="1" applyAlignment="1">
      <x:alignment horizontal="center" vertical="center" wrapText="1"/>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6" fillId="8" borderId="0" xfId="0" applyNumberFormat="1" applyFont="1" applyFill="1" applyBorder="1" applyAlignment="1">
      <x:alignment horizontal="center" vertic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1" xfId="0" applyNumberFormat="1" applyFont="1" applyFill="1" applyBorder="1" applyAlignment="1">
      <x:alignment horizontal="center" vertical="center"/>
    </x:xf>
    <x:xf numFmtId="203" fontId="6" fillId="8" borderId="0" xfId="0" applyNumberFormat="1" applyFont="1" applyFill="1" applyBorder="1" applyAlignment="1">
      <x:alignment horizontal="center" vertical="center"/>
    </x:xf>
    <x:xf numFmtId="203" fontId="6" fillId="8" borderId="1" xfId="0" applyNumberFormat="1" applyFont="1" applyFill="1" applyBorder="1" applyAlignment="1">
      <x:alignment horizontal="center" vertical="center"/>
    </x:xf>
    <x:xf numFmtId="201" fontId="6" fillId="8" borderId="0" xfId="0" applyNumberFormat="1" applyFont="1" applyFill="1" applyBorder="1" applyAlignment="1">
      <x:alignment horizontal="center" vertical="center"/>
    </x:xf>
    <x:xf numFmtId="201" fontId="6" fillId="8" borderId="1" xfId="0" applyNumberFormat="1" applyFont="1" applyFill="1" applyBorder="1" applyAlignment="1">
      <x:alignment horizontal="center" vertical="center"/>
    </x:xf>
    <x:xf numFmtId="202" fontId="6" fillId="8" borderId="0" xfId="0" applyNumberFormat="1" applyFont="1" applyFill="1" applyBorder="1" applyAlignment="1">
      <x:alignment horizontal="center" vertical="center"/>
    </x:xf>
    <x:xf numFmtId="202" fontId="6" fillId="8" borderId="1" xfId="0" applyNumberFormat="1" applyFont="1" applyFill="1" applyBorder="1" applyAlignment="1">
      <x:alignment horizontal="center" vertical="center"/>
    </x:xf>
    <x:xf numFmtId="0" fontId="3" fillId="4" borderId="0" xfId="0" applyNumberFormat="1" applyFont="1" applyFill="1" applyBorder="1" applyAlignment="1">
      <x:alignment horizontal="left" vertic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left" vertical="center" wrapText="1"/>
    </x:xf>
    <x:xf numFmtId="0" fontId="3" fillId="4" borderId="1" xfId="0" applyNumberFormat="1" applyFont="1" applyFill="1" applyBorder="1" applyAlignment="1">
      <x:alignment horizontal="center" vertical="center" wrapText="1"/>
    </x:xf>
    <x:xf numFmtId="0" fontId="5" fillId="6" borderId="0" xfId="0" applyNumberFormat="1" applyFont="1" applyFill="1" applyBorder="1" applyAlignment="1">
      <x:alignment horizontal="left" vertical="center" wrapText="1"/>
    </x:xf>
    <x:xf numFmtId="0" fontId="5" fillId="6" borderId="1" xfId="0" applyNumberFormat="1" applyFont="1" applyFill="1" applyBorder="1" applyAlignment="1">
      <x:alignment horizontal="left" vertical="center" wrapText="1"/>
    </x:xf>
    <x:xf numFmtId="201" fontId="5" fillId="6" borderId="0" xfId="0" applyNumberFormat="1" applyFont="1" applyFill="1" applyBorder="1" applyAlignment="1">
      <x:alignment horizontal="center" vertical="center" wrapText="1"/>
    </x:xf>
    <x:xf numFmtId="201" fontId="3" fillId="4" borderId="0" xfId="0" applyNumberFormat="1" applyFont="1" applyFill="1" applyBorder="1" applyAlignment="1">
      <x:alignment horizontal="center" vertical="center" wrapText="1"/>
    </x:xf>
    <x:xf numFmtId="201" fontId="5" fillId="6" borderId="1" xfId="0" applyNumberFormat="1" applyFont="1" applyFill="1" applyBorder="1" applyAlignment="1">
      <x:alignment horizontal="center" vertical="center" wrapText="1"/>
    </x:xf>
    <x:xf numFmtId="201" fontId="3" fillId="4" borderId="1" xfId="0" applyNumberFormat="1" applyFont="1" applyFill="1" applyBorder="1" applyAlignment="1">
      <x:alignment horizontal="center" vertical="center" wrapText="1"/>
    </x:xf>
    <x:xf numFmtId="202" fontId="5" fillId="6" borderId="0" xfId="0" applyNumberFormat="1" applyFont="1" applyFill="1" applyBorder="1" applyAlignment="1">
      <x:alignment horizontal="center" vertical="center" wrapText="1"/>
    </x:xf>
    <x:xf numFmtId="202" fontId="3" fillId="4" borderId="0" xfId="0" applyNumberFormat="1" applyFont="1" applyFill="1" applyBorder="1" applyAlignment="1">
      <x:alignment horizontal="center" vertical="center" wrapText="1"/>
    </x:xf>
    <x:xf numFmtId="202" fontId="5" fillId="6" borderId="1" xfId="0" applyNumberFormat="1" applyFont="1" applyFill="1" applyBorder="1" applyAlignment="1">
      <x:alignment horizontal="center" vertical="center" wrapText="1"/>
    </x:xf>
    <x:xf numFmtId="202" fontId="3" fillId="4" borderId="1" xfId="0" applyNumberFormat="1" applyFont="1" applyFill="1" applyBorder="1" applyAlignment="1">
      <x:alignment horizontal="center" vertical="center" wrapText="1"/>
    </x:xf>
    <x:xf numFmtId="0" fontId="0" fillId="0" borderId="0" xfId="0" applyNumberFormat="1" applyFont="1" applyFill="1" applyBorder="1"/>
  </x:cellXfs>
  <x:cellStyles count="1">
    <x:cellStyle name="Normal" xfId="0"/>
  </x:cellStyles>
  <x:dxfs count="5">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990000"/>
      </x:font>
      <x:fill>
        <x:patternFill>
          <x:bgColor rgb="FFF4CCCC"/>
        </x:patternFill>
      </x:fill>
    </x:dxf>
    <x:dxf>
      <x:font>
        <x:b/>
        <x:color rgb="FF134F5C"/>
      </x:font>
      <x:fill>
        <x:patternFill>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b2c6d071904d97" /><Relationship Type="http://schemas.openxmlformats.org/officeDocument/2006/relationships/theme" Target="/xl/theme/theme1.xml" Id="R92f4e92bc2354d53" /><Relationship Type="http://schemas.openxmlformats.org/officeDocument/2006/relationships/sharedStrings" Target="/xl/sharedStrings.xml" Id="Rb7e6a2fd12bc41f1" /><Relationship Type="http://schemas.openxmlformats.org/officeDocument/2006/relationships/worksheet" Target="/xl/worksheets/sheet1.xml" Id="R3a83a39053264690" /><Relationship Type="http://schemas.openxmlformats.org/officeDocument/2006/relationships/worksheet" Target="/xl/worksheets/sheet2.xml" Id="Ra7c62eadc6dd4776" /><Relationship Type="http://schemas.openxmlformats.org/officeDocument/2006/relationships/worksheet" Target="/xl/worksheets/sheet3.xml" Id="R660c75803cb44a91" /><Relationship Type="http://schemas.openxmlformats.org/officeDocument/2006/relationships/worksheet" Target="/xl/worksheets/sheet4.xml" Id="R55ff3f2036ec4808" /><Relationship Type="http://schemas.openxmlformats.org/officeDocument/2006/relationships/worksheet" Target="/xl/worksheets/sheet5.xml" Id="R1c44143212064f2b" /></Relationships>
</file>

<file path=xl/drawings/_rels/drawing1.xml.rels>&#65279;<?xml version="1.0" encoding="utf-8"?><Relationships xmlns="http://schemas.openxmlformats.org/package/2006/relationships"><Relationship Type="http://schemas.openxmlformats.org/officeDocument/2006/relationships/chart" Target="/xl/drawings/charts/chart1.xml" Id="Rbbf4d00caece4eb7" /></Relationships>
</file>

<file path=xl/drawings/_rels/drawing2.xml.rels>&#65279;<?xml version="1.0" encoding="utf-8"?><Relationships xmlns="http://schemas.openxmlformats.org/package/2006/relationships"><Relationship Type="http://schemas.openxmlformats.org/officeDocument/2006/relationships/chart" Target="/xl/drawings/charts/chart2.xml" Id="R4ba1c6cc2e0c444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Games by Result</a:t>
            </a:r>
          </a:p>
        </c:rich>
      </c:tx>
      <c:overlay val="0"/>
    </c:title>
    <c:autoTitleDeleted val="0"/>
    <c:plotArea>
      <c:layout/>
      <c:barChart>
        <c:barDir val="col"/>
        <c:varyColors val="0"/>
        <c:ser>
          <c:idx val="0"/>
          <c:order val="0"/>
          <c:tx>
            <c:v>Games</c:v>
          </c:tx>
          <c:cat>
            <c:strRef>
              <c:f>'Summary'!$A$15:$A$18</c:f>
              <c:strCache>
                <c:ptCount val="0"/>
              </c:strCache>
            </c:strRef>
          </c:cat>
          <c:val>
            <c:numRef>
              <c:f>'Summary'!$B$15:$B$18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Net Profit by Game Type</a:t>
            </a:r>
          </a:p>
        </c:rich>
      </c:tx>
      <c:overlay val="0"/>
    </c:title>
    <c:autoTitleDeleted val="0"/>
    <c:plotArea>
      <c:layout/>
      <c:barChart>
        <c:barDir val="col"/>
        <c:varyColors val="0"/>
        <c:ser>
          <c:idx val="0"/>
          <c:order val="0"/>
          <c:tx>
            <c:v>Games</c:v>
          </c:tx>
          <c:cat>
            <c:strRef>
              <c:f>'Game Comparisons'!$A$6:$A$7</c:f>
              <c:strCache>
                <c:ptCount val="0"/>
              </c:strCache>
            </c:strRef>
          </c:cat>
          <c:val>
            <c:numRef>
              <c:f>'Game Comparisons'!$B$6:$B$7</c:f>
              <c:numCache>
                <c:formatCode>General</c:formatCode>
                <c:ptCount val="0"/>
              </c:numCache>
            </c:numRef>
          </c:val>
        </c:ser>
        <c:ser>
          <c:idx val="1"/>
          <c:order val="1"/>
          <c:tx>
            <c:v>Total Net Profit</c:v>
          </c:tx>
          <c:cat>
            <c:strRef>
              <c:f>'Game Comparisons'!$A$6:$A$7</c:f>
              <c:strCache>
                <c:ptCount val="0"/>
              </c:strCache>
            </c:strRef>
          </c:cat>
          <c:val>
            <c:numRef>
              <c:f>'Game Comparisons'!$C$6:$C$7</c:f>
              <c:numCache>
                <c:formatCode>General</c:formatCode>
                <c:ptCount val="0"/>
              </c:numCache>
            </c:numRef>
          </c:val>
        </c:ser>
        <c:ser>
          <c:idx val="2"/>
          <c:order val="2"/>
          <c:tx>
            <c:v>Average Net Profit</c:v>
          </c:tx>
          <c:cat>
            <c:strRef>
              <c:f>'Game Comparisons'!$A$6:$A$7</c:f>
              <c:strCache>
                <c:ptCount val="0"/>
              </c:strCache>
            </c:strRef>
          </c:cat>
          <c:val>
            <c:numRef>
              <c:f>'Game Comparisons'!$D$6:$D$7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8</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f4d00caece4eb7"/>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3</xdr:row>
      <xdr:rowOff>0</xdr:rowOff>
    </xdr:from>
    <xdr:to>
      <xdr:col>16</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ba1c6cc2e0c4442"/>
        </a:graphicData>
      </a:graphic>
    </xdr:graphicFrame>
    <xdr:clientData/>
  </xdr:twoCellAnchor>
</xdr:wsDr>
</file>

<file path=xl/tables/table1.xml><?xml version="1.0" encoding="utf-8"?>
<x:table xmlns:x="http://schemas.openxmlformats.org/spreadsheetml/2006/main" id="1" name="GameRecordsTable" displayName="GameRecordsTable" ref="A4:W504" headerRowCount="1">
  <x:tableColumns count="23">
    <x:tableColumn id="1" name="Game Name"/>
    <x:tableColumn id="2" name="Start Date"/>
    <x:tableColumn id="3" name="End Date"/>
    <x:tableColumn id="4" name="Payment Type"/>
    <x:tableColumn id="5" name="Entry Fee"/>
    <x:tableColumn id="6" name="Earned"/>
    <x:tableColumn id="7" name="Profit"/>
    <x:tableColumn id="8" name="Draw"/>
    <x:tableColumn id="9" name="Lost"/>
    <x:tableColumn id="10" name="ROI"/>
    <x:tableColumn id="11" name="Result"/>
    <x:tableColumn id="12" name="Game Type"/>
    <x:tableColumn id="13" name="Total Pot"/>
    <x:tableColumn id="14" name="Adjusted Pot"/>
    <x:tableColumn id="15" name="Eligible Players"/>
    <x:tableColumn id="16" name="Total Players"/>
    <x:tableColumn id="17" name="Challenge Length (Weeks)"/>
    <x:tableColumn id="18" name="Count Source"/>
    <x:tableColumn id="19" name="Confidence"/>
    <x:tableColumn id="20" name="Notes"/>
    <x:tableColumn id="21" name="Net Profit"/>
    <x:tableColumn id="22" name="Eliminated Players"/>
    <x:tableColumn id="23" name="Elimination R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262baeaeef40ae" /></Relationships>
</file>

<file path=xl/worksheets/_rels/sheet3.xml.rels>&#65279;<?xml version="1.0" encoding="utf-8"?><Relationships xmlns="http://schemas.openxmlformats.org/package/2006/relationships"><Relationship Type="http://schemas.openxmlformats.org/officeDocument/2006/relationships/drawing" Target="/xl/drawings/drawing1.xml" Id="R91c3517ea3174e29" /></Relationships>
</file>

<file path=xl/worksheets/_rels/sheet4.xml.rels>&#65279;<?xml version="1.0" encoding="utf-8"?><Relationships xmlns="http://schemas.openxmlformats.org/package/2006/relationships"><Relationship Type="http://schemas.openxmlformats.org/officeDocument/2006/relationships/drawing" Target="/xl/drawings/drawing2.xml" Id="Rd6ac504635644184"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5" t="str">
        <x:v>StepCat v200 Profitability Analysis Template</x:v>
      </x:c>
      <x:c r="B1" s="5"/>
      <x:c r="C1" s="5"/>
      <x:c r="D1" s="5"/>
      <x:c r="E1" s="5"/>
      <x:c r="F1" s="5"/>
      <x:c r="G1" s="5"/>
      <x:c r="H1" s="5"/>
    </x:row>
    <x:row r="2" ht="28" customHeight="1">
      <x:c r="A2" s="14" t="str">
        <x:v>A blank, optional template for comparing completed StepCat games. No personal records are included.</x:v>
      </x:c>
      <x:c r="B2" s="14"/>
      <x:c r="C2" s="14"/>
      <x:c r="D2" s="14"/>
      <x:c r="E2" s="14"/>
      <x:c r="F2" s="14"/>
      <x:c r="G2" s="14"/>
      <x:c r="H2" s="14"/>
    </x:row>
    <x:row r="3">
      <x:c r="A3"/>
    </x:row>
    <x:row r="4">
      <x:c r="A4" s="23" t="str">
        <x:v>1. Prepare StepCat</x:v>
      </x:c>
      <x:c r="B4" s="23"/>
      <x:c r="C4" s="23"/>
      <x:c r="D4" s="23"/>
      <x:c r="E4" s="23"/>
      <x:c r="F4" s="23"/>
      <x:c r="G4" s="23"/>
      <x:c r="H4" s="23"/>
    </x:row>
    <x:row r="5" ht="28" customHeight="1">
      <x:c r="A5" s="32" t="str">
        <x:v>• Copy rows as plain values. The spreadsheet controls font size, alignment, borders, and formulas.</x:v>
      </x:c>
      <x:c r="B5" s="32"/>
      <x:c r="C5" s="32"/>
      <x:c r="D5" s="32"/>
      <x:c r="E5" s="32"/>
      <x:c r="F5" s="32"/>
      <x:c r="G5" s="32"/>
      <x:c r="H5" s="32"/>
    </x:row>
    <x:row r="6" ht="28" customHeight="1">
      <x:c r="A6" s="32" t="str">
        <x:v>• Leave the header-row toggle off when copying rows into this template. The template already has headers.</x:v>
      </x:c>
      <x:c r="B6" s="32"/>
      <x:c r="C6" s="32"/>
      <x:c r="D6" s="32"/>
      <x:c r="E6" s="32"/>
      <x:c r="F6" s="32"/>
      <x:c r="G6" s="32"/>
      <x:c r="H6" s="32"/>
    </x:row>
    <x:row r="7" ht="28" customHeight="1">
      <x:c r="A7" s="32" t="str">
        <x:v>• Paste StepCat rows into Game Records starting in cell A5. Columns A through K match the core StepCat row order.</x:v>
      </x:c>
      <x:c r="B7" s="32"/>
      <x:c r="C7" s="32"/>
      <x:c r="D7" s="32"/>
      <x:c r="E7" s="32"/>
      <x:c r="F7" s="32"/>
      <x:c r="G7" s="32"/>
      <x:c r="H7" s="32"/>
    </x:row>
    <x:row r="8">
      <x:c r="A8"/>
    </x:row>
    <x:row r="9">
      <x:c r="A9" s="23" t="str">
        <x:v>2. For best estimate accuracy</x:v>
      </x:c>
      <x:c r="B9" s="23"/>
      <x:c r="C9" s="23"/>
      <x:c r="D9" s="23"/>
      <x:c r="E9" s="23"/>
      <x:c r="F9" s="23"/>
      <x:c r="G9" s="23"/>
      <x:c r="H9" s="23"/>
    </x:row>
    <x:row r="10" ht="28" customHeight="1">
      <x:c r="A10" s="32" t="str">
        <x:v>• Add new challenges after warm-up week ends and the challenge begins proper.</x:v>
      </x:c>
      <x:c r="B10" s="32"/>
      <x:c r="C10" s="32"/>
      <x:c r="D10" s="32"/>
      <x:c r="E10" s="32"/>
      <x:c r="F10" s="32"/>
      <x:c r="G10" s="32"/>
      <x:c r="H10" s="32"/>
    </x:row>
    <x:row r="11" ht="28" customHeight="1">
      <x:c r="A11" s="32" t="str">
        <x:v>• Gross Pot and Total Players are usually more reliable after warm-up week.</x:v>
      </x:c>
      <x:c r="B11" s="32"/>
      <x:c r="C11" s="32"/>
      <x:c r="D11" s="32"/>
      <x:c r="E11" s="32"/>
      <x:c r="F11" s="32"/>
      <x:c r="G11" s="32"/>
      <x:c r="H11" s="32"/>
    </x:row>
    <x:row r="12" ht="28" customHeight="1">
      <x:c r="A12" s="32" t="str">
        <x:v>• Update Eligible Winners as the challenge progresses; this drives estimate accuracy.</x:v>
      </x:c>
      <x:c r="B12" s="32"/>
      <x:c r="C12" s="32"/>
      <x:c r="D12" s="32"/>
      <x:c r="E12" s="32"/>
      <x:c r="F12" s="32"/>
      <x:c r="G12" s="32"/>
      <x:c r="H12" s="32"/>
    </x:row>
    <x:row r="13" ht="28" customHeight="1">
      <x:c r="A13" s="32"/>
      <x:c r="B13" s="32"/>
      <x:c r="C13" s="32"/>
      <x:c r="D13" s="32"/>
      <x:c r="E13" s="32"/>
      <x:c r="F13" s="32"/>
      <x:c r="G13" s="32"/>
      <x:c r="H13" s="32"/>
    </x:row>
    <x:row r="14" ht="28" customHeight="1">
      <x:c r="A14" s="32" t="str">
        <x:v>3. Older and in-progress rows</x:v>
      </x:c>
      <x:c r="B14" s="32"/>
      <x:c r="C14" s="32"/>
      <x:c r="D14" s="32"/>
      <x:c r="E14" s="32"/>
      <x:c r="F14" s="32"/>
      <x:c r="G14" s="32"/>
      <x:c r="H14" s="32"/>
    </x:row>
    <x:row r="15">
      <x:c r="A15" t="str">
        <x:v>• Paste older entries into matching columns, or recalculate them in StepCat and paste over the matching row.</x:v>
      </x:c>
    </x:row>
    <x:row r="16">
      <x:c r="A16" s="23" t="str">
        <x:v>• Formula columns such as ROI, Result, Challenge Length, Net Profit, Eliminated Players, and Elimination Rate are included.</x:v>
      </x:c>
      <x:c r="B16" s="23"/>
      <x:c r="C16" s="23"/>
      <x:c r="D16" s="23"/>
      <x:c r="E16" s="23"/>
      <x:c r="F16" s="23"/>
      <x:c r="G16" s="23"/>
      <x:c r="H16" s="23"/>
    </x:row>
    <x:row r="17" ht="28" customHeight="1">
      <x:c r="A17" s="32" t="str">
        <x:v>• For in-progress rows, enter known values now and update Earned, Profit, Draw, or Lost when the game finishes.</x:v>
      </x:c>
      <x:c r="B17" s="32"/>
      <x:c r="C17" s="32"/>
      <x:c r="D17" s="32"/>
      <x:c r="E17" s="32"/>
      <x:c r="F17" s="32"/>
      <x:c r="G17" s="32"/>
      <x:c r="H17" s="32"/>
    </x:row>
    <x:row r="18" ht="28" customHeight="1">
      <x:c r="A18" s="32"/>
      <x:c r="B18" s="32"/>
      <x:c r="C18" s="32"/>
      <x:c r="D18" s="32"/>
      <x:c r="E18" s="32"/>
      <x:c r="F18" s="32"/>
      <x:c r="G18" s="32"/>
      <x:c r="H18" s="32"/>
    </x:row>
    <x:row r="19" ht="28" customHeight="1">
      <x:c r="A19" s="32" t="str">
        <x:v>4. Simple definitions</x:v>
      </x:c>
      <x:c r="B19" s="32"/>
      <x:c r="C19" s="32"/>
      <x:c r="D19" s="32"/>
      <x:c r="E19" s="32"/>
      <x:c r="F19" s="32"/>
      <x:c r="G19" s="32"/>
      <x:c r="H19" s="32"/>
    </x:row>
    <x:row r="20" ht="28" customHeight="1">
      <x:c r="A20" s="32" t="str">
        <x:v>• Earned: total amount returned when the challenge ended.</x:v>
      </x:c>
      <x:c r="B20" s="32"/>
      <x:c r="C20" s="32"/>
      <x:c r="D20" s="32"/>
      <x:c r="E20" s="32"/>
      <x:c r="F20" s="32"/>
      <x:c r="G20" s="32"/>
      <x:c r="H20" s="32"/>
    </x:row>
    <x:row r="21" ht="28" customHeight="1">
      <x:c r="A21" s="32" t="str">
        <x:v>• Profit: amount earned above the Entry Fee.</x:v>
      </x:c>
      <x:c r="B21" s="32"/>
      <x:c r="C21" s="32"/>
      <x:c r="D21" s="32"/>
      <x:c r="E21" s="32"/>
      <x:c r="F21" s="32"/>
      <x:c r="G21" s="32"/>
      <x:c r="H21" s="32"/>
    </x:row>
    <x:row r="22" ht="28" customHeight="1">
      <x:c r="A22" s="32" t="str">
        <x:v>• Draw: Entry Fee returned with no profit.</x:v>
      </x:c>
      <x:c r="B22" s="32"/>
      <x:c r="C22" s="32"/>
      <x:c r="D22" s="32"/>
      <x:c r="E22" s="32"/>
      <x:c r="F22" s="32"/>
      <x:c r="G22" s="32"/>
      <x:c r="H22" s="32"/>
    </x:row>
    <x:row r="23" ht="28" customHeight="1">
      <x:c r="A23" s="32" t="str">
        <x:v>• Lost: Entry Fee forfeited.</x:v>
      </x:c>
      <x:c r="B23" s="32"/>
      <x:c r="C23" s="32"/>
      <x:c r="D23" s="32"/>
      <x:c r="E23" s="32"/>
      <x:c r="F23" s="32"/>
      <x:c r="G23" s="32"/>
      <x:c r="H23" s="32"/>
    </x:row>
    <x:row r="24">
      <x:c r="A24" t="str">
        <x:v>• ROI: Profit compared with the Entry Fee.</x:v>
      </x:c>
    </x:row>
    <x:row r="25">
      <x:c r="A25" s="23" t="str">
        <x:v>• Result: Profit, Draw, Disqualified, or Subscription.</x:v>
      </x:c>
      <x:c r="B25" s="23"/>
      <x:c r="C25" s="23"/>
      <x:c r="D25" s="23"/>
      <x:c r="E25" s="23"/>
      <x:c r="F25" s="23"/>
      <x:c r="G25" s="23"/>
      <x:c r="H25" s="23"/>
    </x:row>
    <x:row r="26" ht="28" customHeight="1">
      <x:c r="A26" s="32" t="str">
        <x:v>• Challenge Length: number of weeks between Start Date and End Date.</x:v>
      </x:c>
      <x:c r="B26" s="32"/>
      <x:c r="C26" s="32"/>
      <x:c r="D26" s="32"/>
      <x:c r="E26" s="32"/>
      <x:c r="F26" s="32"/>
      <x:c r="G26" s="32"/>
      <x:c r="H26" s="32"/>
    </x:row>
    <x:row r="27" ht="28" customHeight="1">
      <x:c r="A27" s="32"/>
      <x:c r="B27" s="32"/>
      <x:c r="C27" s="32"/>
      <x:c r="D27" s="32"/>
      <x:c r="E27" s="32"/>
      <x:c r="F27" s="32"/>
      <x:c r="G27" s="32"/>
      <x:c r="H27" s="32"/>
    </x:row>
    <x:row r="28" ht="28" customHeight="1">
      <x:c r="A28" s="32" t="str">
        <x:v>5. What updates automatically</x:v>
      </x:c>
      <x:c r="B28" s="32"/>
      <x:c r="C28" s="32"/>
      <x:c r="D28" s="32"/>
      <x:c r="E28" s="32"/>
      <x:c r="F28" s="32"/>
      <x:c r="G28" s="32"/>
      <x:c r="H28" s="32"/>
    </x:row>
    <x:row r="29">
      <x:c r="A29" t="str">
        <x:v>• Summary shows totals, averages, and result rates.</x:v>
      </x:c>
    </x:row>
    <x:row r="30">
      <x:c r="A30" s="23" t="str">
        <x:v>• Game Comparisons compares game type, challenge length, entry fee, payment type, player ranges, and elimination rates.</x:v>
      </x:c>
      <x:c r="B30" s="23"/>
      <x:c r="C30" s="23"/>
      <x:c r="D30" s="23"/>
      <x:c r="E30" s="23"/>
      <x:c r="F30" s="23"/>
      <x:c r="G30" s="23"/>
      <x:c r="H30" s="23"/>
    </x:row>
    <x:row r="31" ht="28" customHeight="1">
      <x:c r="A31" s="32" t="str">
        <x:v>• Best Results lists the highest Net Profit and ROI values.</x:v>
      </x:c>
      <x:c r="B31" s="32"/>
      <x:c r="C31" s="32"/>
      <x:c r="D31" s="32"/>
      <x:c r="E31" s="32"/>
      <x:c r="F31" s="32"/>
      <x:c r="G31" s="32"/>
      <x:c r="H31" s="32"/>
    </x:row>
    <x:row r="32" ht="28" customHeight="1">
      <x:c r="A32" s="32"/>
      <x:c r="B32" s="32"/>
      <x:c r="C32" s="32"/>
      <x:c r="D32" s="32"/>
      <x:c r="E32" s="32"/>
      <x:c r="F32" s="32"/>
      <x:c r="G32" s="32"/>
      <x:c r="H32" s="32"/>
    </x:row>
    <x:row r="33" ht="28" customHeight="1">
      <x:c r="A33" s="32" t="str">
        <x:v>The official posted game result should always be treated as authoritative.</x:v>
      </x:c>
      <x:c r="B33" s="32"/>
      <x:c r="C33" s="32"/>
      <x:c r="D33" s="32"/>
      <x:c r="E33" s="32"/>
      <x:c r="F33" s="32"/>
      <x:c r="G33" s="32"/>
      <x:c r="H33" s="32"/>
    </x:row>
  </x:sheetData>
  <x:mergeCells>
    <x:mergeCell ref="A1:H1"/>
    <x:mergeCell ref="A2:H2"/>
    <x:mergeCell ref="A4:H4"/>
    <x:mergeCell ref="A5:H5"/>
    <x:mergeCell ref="A6:H6"/>
    <x:mergeCell ref="A7:H7"/>
    <x:mergeCell ref="A9:H9"/>
    <x:mergeCell ref="A10:H10"/>
    <x:mergeCell ref="A11:H11"/>
    <x:mergeCell ref="A12:H12"/>
    <x:mergeCell ref="A13:H13"/>
    <x:mergeCell ref="A14:H14"/>
    <x:mergeCell ref="A16:H16"/>
    <x:mergeCell ref="A17:H17"/>
    <x:mergeCell ref="A18:H18"/>
    <x:mergeCell ref="A19:H19"/>
    <x:mergeCell ref="A20:H20"/>
    <x:mergeCell ref="A21:H21"/>
    <x:mergeCell ref="A22:H22"/>
    <x:mergeCell ref="A23:H23"/>
    <x:mergeCell ref="A25:H25"/>
    <x:mergeCell ref="A26:H26"/>
    <x:mergeCell ref="A27:H27"/>
    <x:mergeCell ref="A28:H28"/>
    <x:mergeCell ref="A30:H30"/>
    <x:mergeCell ref="A31:H31"/>
    <x:mergeCell ref="A32:H32"/>
    <x:mergeCell ref="A33:H33"/>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3" hidden="0" customWidth="1"/>
    <x:col min="3" max="3" width="13" hidden="0" customWidth="1"/>
    <x:col min="4" max="4" width="20" hidden="0" customWidth="1"/>
    <x:col min="5" max="5" width="11" hidden="0" customWidth="1"/>
    <x:col min="6" max="6" width="11" hidden="0" customWidth="1"/>
    <x:col min="7" max="7" width="11" hidden="0" customWidth="1"/>
    <x:col min="8" max="8" width="10" hidden="0" customWidth="1"/>
    <x:col min="9" max="9" width="10" hidden="0" customWidth="1"/>
    <x:col min="10" max="10" width="9" hidden="0" customWidth="1"/>
    <x:col min="11" max="11" width="15" hidden="0" customWidth="1"/>
    <x:col min="12" max="12" width="14" hidden="0" customWidth="1"/>
    <x:col min="13" max="13" width="13" hidden="0" customWidth="1"/>
    <x:col min="14" max="14" width="14" hidden="0" customWidth="1"/>
    <x:col min="15" max="15" width="15" hidden="0" customWidth="1"/>
    <x:col min="16" max="16" width="13" hidden="0" customWidth="1"/>
    <x:col min="17" max="17" width="17" hidden="0" customWidth="1"/>
    <x:col min="18" max="18" width="18" hidden="0" customWidth="1"/>
    <x:col min="19" max="19" width="12" hidden="0" customWidth="1"/>
    <x:col min="20" max="20" width="32" hidden="0" customWidth="1"/>
    <x:col min="21" max="21" width="12" hidden="0" customWidth="1"/>
    <x:col min="22" max="22" width="17" hidden="0" customWidth="1"/>
    <x:col min="23" max="23" width="15" hidden="0" customWidth="1"/>
  </x:cols>
  <x:sheetData>
    <x:row r="1" ht="32" customHeight="1">
      <x:c r="A1" s="5" t="str">
        <x:v>Game Records - StepCat v200</x:v>
      </x:c>
      <x:c r="B1" s="5"/>
      <x:c r="C1" s="5"/>
      <x:c r="D1" s="5"/>
      <x:c r="E1" s="5"/>
      <x:c r="F1" s="5"/>
      <x:c r="G1" s="5"/>
      <x:c r="H1" s="5"/>
      <x:c r="I1" s="5"/>
      <x:c r="J1" s="5"/>
      <x:c r="K1" s="5"/>
      <x:c r="L1" s="5"/>
      <x:c r="M1" s="5"/>
      <x:c r="N1" s="5"/>
      <x:c r="O1" s="5"/>
      <x:c r="P1" s="5"/>
      <x:c r="Q1" s="5"/>
      <x:c r="R1" s="5"/>
      <x:c r="S1" s="5"/>
      <x:c r="T1" s="5"/>
      <x:c r="U1" s="5"/>
      <x:c r="V1" s="5"/>
      <x:c r="W1" s="5"/>
    </x:row>
    <x:row r="2" ht="28" customHeight="1">
      <x:c r="A2" s="14" t="str">
        <x:v>Paste StepCat rows into A5:K, or paste older rows into matching columns. Built-in formulas calculate supported fields such as ROI, Result, Challenge Length, Net Profit, Eliminated Players, and Elimination Rate.</x:v>
      </x:c>
      <x:c r="B2" s="14"/>
      <x:c r="C2" s="14"/>
      <x:c r="D2" s="14"/>
      <x:c r="E2" s="14"/>
      <x:c r="F2" s="14"/>
      <x:c r="G2" s="14"/>
      <x:c r="H2" s="14"/>
      <x:c r="I2" s="14"/>
      <x:c r="J2" s="14"/>
      <x:c r="K2" s="14"/>
      <x:c r="L2" s="14"/>
      <x:c r="M2" s="14"/>
      <x:c r="N2" s="14"/>
      <x:c r="O2" s="14"/>
      <x:c r="P2" s="14"/>
      <x:c r="Q2" s="14"/>
      <x:c r="R2" s="14"/>
      <x:c r="S2" s="14"/>
      <x:c r="T2" s="14"/>
      <x:c r="U2" s="14"/>
      <x:c r="V2" s="14"/>
      <x:c r="W2" s="14"/>
    </x:row>
    <x:row r="4" ht="36" customHeight="1">
      <x:c r="A4" s="42" t="str">
        <x:v>Game Name</x:v>
      </x:c>
      <x:c r="B4" s="42" t="str">
        <x:v>Start Date</x:v>
      </x:c>
      <x:c r="C4" s="42" t="str">
        <x:v>End Date</x:v>
      </x:c>
      <x:c r="D4" s="42" t="str">
        <x:v>Payment Type</x:v>
      </x:c>
      <x:c r="E4" s="42" t="str">
        <x:v>Entry Fee</x:v>
      </x:c>
      <x:c r="F4" s="42" t="str">
        <x:v>Earned</x:v>
      </x:c>
      <x:c r="G4" s="42" t="str">
        <x:v>Profit</x:v>
      </x:c>
      <x:c r="H4" s="42" t="str">
        <x:v>Draw</x:v>
      </x:c>
      <x:c r="I4" s="42" t="str">
        <x:v>Lost</x:v>
      </x:c>
      <x:c r="J4" s="42" t="str">
        <x:v>ROI</x:v>
      </x:c>
      <x:c r="K4" s="42" t="str">
        <x:v>Result</x:v>
      </x:c>
      <x:c r="L4" s="42" t="str">
        <x:v>Game Type</x:v>
      </x:c>
      <x:c r="M4" s="42" t="str">
        <x:v>Total Pot</x:v>
      </x:c>
      <x:c r="N4" s="42" t="str">
        <x:v>Adjusted Pot</x:v>
      </x:c>
      <x:c r="O4" s="42" t="str">
        <x:v>Eligible Players</x:v>
      </x:c>
      <x:c r="P4" s="42" t="str">
        <x:v>Total Players</x:v>
      </x:c>
      <x:c r="Q4" s="42" t="str">
        <x:v>Challenge Length (Weeks)</x:v>
      </x:c>
      <x:c r="R4" s="42" t="str">
        <x:v>Count Source</x:v>
      </x:c>
      <x:c r="S4" s="42" t="str">
        <x:v>Confidence</x:v>
      </x:c>
      <x:c r="T4" s="42" t="str">
        <x:v>Notes</x:v>
      </x:c>
      <x:c r="U4" s="42" t="str">
        <x:v>Net Profit</x:v>
      </x:c>
      <x:c r="V4" s="42" t="str">
        <x:v>Eliminated Players</x:v>
      </x:c>
      <x:c r="W4" s="42" t="str">
        <x:v>Elimination Rate</x:v>
      </x:c>
    </x:row>
    <x:row r="5" ht="21" customHeight="1">
      <x:c r="A5" s="54"/>
      <x:c r="B5" s="56"/>
      <x:c r="C5" s="56"/>
      <x:c r="D5" s="54"/>
      <x:c r="E5" s="58"/>
      <x:c r="F5" s="58"/>
      <x:c r="G5" s="58"/>
      <x:c r="H5" s="58"/>
      <x:c r="I5" s="58"/>
      <x:c r="J5" s="60" t="str">
        <x:f>IF(A5="","",IF(K5="Subscription","",IF(E5=0,"",IF(ISNUMBER(G5),G5/E5,IF(ISNUMBER(I5),-ABS(I5)/E5,IF(ISNUMBER(H5),0,IF(AND(ISNUMBER(F5),ISNUMBER(E5),E5&gt;0,F5&gt;E5),(F5-E5)/E5,IF(AND(ISNUMBER(F5),ISNUMBER(E5),E5&gt;0,F5=E5),0,IF(AND(ISNUMBER(F5),ISNUMBER(E5),E5&gt;0,F5=0),-1,"")))))))))</x:f>
      </x:c>
      <x:c r="K5" s="50" t="str">
        <x:f>IF(A5="","",IF(AND(ISNUMBER(E5),E5=0,OR(ISNUMBER(SEARCH("Free",D5&amp;"")),AND(ISNUMBER(F5),F5=0))),"Subscription",IF(ISNUMBER(G5),"Profit",IF(ISNUMBER(I5),"Disqualified",IF(ISNUMBER(H5),"Draw",IF(AND(ISNUMBER(F5),ISNUMBER(E5),E5&gt;0,F5&gt;E5),"Profit",IF(AND(ISNUMBER(F5),ISNUMBER(E5),E5&gt;0,F5=E5),"Draw",IF(AND(ISNUMBER(F5),ISNUMBER(E5),E5&gt;0,F5=0),"Disqualified",""))))))))</x:f>
      </x:c>
      <x:c r="L5" s="50"/>
      <x:c r="M5" s="58"/>
      <x:c r="N5" s="58"/>
      <x:c r="O5" s="62"/>
      <x:c r="P5" s="62"/>
      <x:c r="Q5" s="64" t="str">
        <x:f>IF(OR(B5="",C5="",C5&lt;B5),"",ROUNDUP((C5-B5)/7,0))</x:f>
      </x:c>
      <x:c r="R5" s="50"/>
      <x:c r="S5" s="50"/>
      <x:c r="T5" s="54"/>
      <x:c r="U5" s="66" t="str">
        <x:f>IF(A5="","",IF(K5="Subscription","",IF(ISNUMBER(G5),G5,0)-IF(ISNUMBER(I5),I5,0)))</x:f>
      </x:c>
      <x:c r="V5" s="64" t="str">
        <x:f>IF(OR(P5="",O5="",NOT(ISNUMBER(P5)),NOT(ISNUMBER(O5)),O5&gt;P5),"",P5-O5)</x:f>
      </x:c>
      <x:c r="W5" s="67" t="str">
        <x:f>IF(OR(P5="",P5=0,V5=""),"",V5/P5)</x:f>
      </x:c>
    </x:row>
    <x:row r="6" ht="21" customHeight="1">
      <x:c r="A6" s="54"/>
      <x:c r="B6" s="56"/>
      <x:c r="C6" s="56"/>
      <x:c r="D6" s="54"/>
      <x:c r="E6" s="58"/>
      <x:c r="F6" s="58"/>
      <x:c r="G6" s="58"/>
      <x:c r="H6" s="58"/>
      <x:c r="I6" s="58"/>
      <x:c r="J6" s="60" t="str">
        <x:f>IF(A6="","",IF(K6="Subscription","",IF(E6=0,"",IF(ISNUMBER(G6),G6/E6,IF(ISNUMBER(I6),-ABS(I6)/E6,IF(ISNUMBER(H6),0,IF(AND(ISNUMBER(F6),ISNUMBER(E6),E6&gt;0,F6&gt;E6),(F6-E6)/E6,IF(AND(ISNUMBER(F6),ISNUMBER(E6),E6&gt;0,F6=E6),0,IF(AND(ISNUMBER(F6),ISNUMBER(E6),E6&gt;0,F6=0),-1,"")))))))))</x:f>
      </x:c>
      <x:c r="K6" s="50" t="str">
        <x:f>IF(A6="","",IF(AND(ISNUMBER(E6),E6=0,OR(ISNUMBER(SEARCH("Free",D6&amp;"")),AND(ISNUMBER(F6),F6=0))),"Subscription",IF(ISNUMBER(G6),"Profit",IF(ISNUMBER(I6),"Disqualified",IF(ISNUMBER(H6),"Draw",IF(AND(ISNUMBER(F6),ISNUMBER(E6),E6&gt;0,F6&gt;E6),"Profit",IF(AND(ISNUMBER(F6),ISNUMBER(E6),E6&gt;0,F6=E6),"Draw",IF(AND(ISNUMBER(F6),ISNUMBER(E6),E6&gt;0,F6=0),"Disqualified",""))))))))</x:f>
      </x:c>
      <x:c r="L6" s="50"/>
      <x:c r="M6" s="58"/>
      <x:c r="N6" s="58"/>
      <x:c r="O6" s="62"/>
      <x:c r="P6" s="62"/>
      <x:c r="Q6" s="64" t="str">
        <x:f>IF(OR(B6="",C6="",C6&lt;B6),"",ROUNDUP((C6-B6)/7,0))</x:f>
      </x:c>
      <x:c r="R6" s="50"/>
      <x:c r="S6" s="50"/>
      <x:c r="T6" s="54"/>
      <x:c r="U6" s="66" t="str">
        <x:f>IF(A6="","",IF(K6="Subscription","",IF(ISNUMBER(G6),G6,0)-IF(ISNUMBER(I6),I6,0)))</x:f>
      </x:c>
      <x:c r="V6" s="64" t="str">
        <x:f>IF(OR(P6="",O6="",NOT(ISNUMBER(P6)),NOT(ISNUMBER(O6)),O6&gt;P6),"",P6-O6)</x:f>
      </x:c>
      <x:c r="W6" s="67" t="str">
        <x:f>IF(OR(P6="",P6=0,V6=""),"",V6/P6)</x:f>
      </x:c>
    </x:row>
    <x:row r="7" ht="21" customHeight="1">
      <x:c r="A7" s="54"/>
      <x:c r="B7" s="56"/>
      <x:c r="C7" s="56"/>
      <x:c r="D7" s="54"/>
      <x:c r="E7" s="58"/>
      <x:c r="F7" s="58"/>
      <x:c r="G7" s="58"/>
      <x:c r="H7" s="58"/>
      <x:c r="I7" s="58"/>
      <x:c r="J7" s="60" t="str">
        <x:f>IF(A7="","",IF(K7="Subscription","",IF(E7=0,"",IF(ISNUMBER(G7),G7/E7,IF(ISNUMBER(I7),-ABS(I7)/E7,IF(ISNUMBER(H7),0,IF(AND(ISNUMBER(F7),ISNUMBER(E7),E7&gt;0,F7&gt;E7),(F7-E7)/E7,IF(AND(ISNUMBER(F7),ISNUMBER(E7),E7&gt;0,F7=E7),0,IF(AND(ISNUMBER(F7),ISNUMBER(E7),E7&gt;0,F7=0),-1,"")))))))))</x:f>
      </x:c>
      <x:c r="K7" s="50" t="str">
        <x:f>IF(A7="","",IF(AND(ISNUMBER(E7),E7=0,OR(ISNUMBER(SEARCH("Free",D7&amp;"")),AND(ISNUMBER(F7),F7=0))),"Subscription",IF(ISNUMBER(G7),"Profit",IF(ISNUMBER(I7),"Disqualified",IF(ISNUMBER(H7),"Draw",IF(AND(ISNUMBER(F7),ISNUMBER(E7),E7&gt;0,F7&gt;E7),"Profit",IF(AND(ISNUMBER(F7),ISNUMBER(E7),E7&gt;0,F7=E7),"Draw",IF(AND(ISNUMBER(F7),ISNUMBER(E7),E7&gt;0,F7=0),"Disqualified",""))))))))</x:f>
      </x:c>
      <x:c r="L7" s="50"/>
      <x:c r="M7" s="58"/>
      <x:c r="N7" s="58"/>
      <x:c r="O7" s="62"/>
      <x:c r="P7" s="62"/>
      <x:c r="Q7" s="64" t="str">
        <x:f>IF(OR(B7="",C7="",C7&lt;B7),"",ROUNDUP((C7-B7)/7,0))</x:f>
      </x:c>
      <x:c r="R7" s="50"/>
      <x:c r="S7" s="50"/>
      <x:c r="T7" s="54"/>
      <x:c r="U7" s="66" t="str">
        <x:f>IF(A7="","",IF(K7="Subscription","",IF(ISNUMBER(G7),G7,0)-IF(ISNUMBER(I7),I7,0)))</x:f>
      </x:c>
      <x:c r="V7" s="64" t="str">
        <x:f>IF(OR(P7="",O7="",NOT(ISNUMBER(P7)),NOT(ISNUMBER(O7)),O7&gt;P7),"",P7-O7)</x:f>
      </x:c>
      <x:c r="W7" s="67" t="str">
        <x:f>IF(OR(P7="",P7=0,V7=""),"",V7/P7)</x:f>
      </x:c>
    </x:row>
    <x:row r="8" ht="21" customHeight="1">
      <x:c r="A8" s="54"/>
      <x:c r="B8" s="56"/>
      <x:c r="C8" s="56"/>
      <x:c r="D8" s="54"/>
      <x:c r="E8" s="58"/>
      <x:c r="F8" s="58"/>
      <x:c r="G8" s="58"/>
      <x:c r="H8" s="58"/>
      <x:c r="I8" s="58"/>
      <x:c r="J8" s="60" t="str">
        <x:f>IF(A8="","",IF(K8="Subscription","",IF(E8=0,"",IF(ISNUMBER(G8),G8/E8,IF(ISNUMBER(I8),-ABS(I8)/E8,IF(ISNUMBER(H8),0,IF(AND(ISNUMBER(F8),ISNUMBER(E8),E8&gt;0,F8&gt;E8),(F8-E8)/E8,IF(AND(ISNUMBER(F8),ISNUMBER(E8),E8&gt;0,F8=E8),0,IF(AND(ISNUMBER(F8),ISNUMBER(E8),E8&gt;0,F8=0),-1,"")))))))))</x:f>
      </x:c>
      <x:c r="K8" s="50" t="str">
        <x:f>IF(A8="","",IF(AND(ISNUMBER(E8),E8=0,OR(ISNUMBER(SEARCH("Free",D8&amp;"")),AND(ISNUMBER(F8),F8=0))),"Subscription",IF(ISNUMBER(G8),"Profit",IF(ISNUMBER(I8),"Disqualified",IF(ISNUMBER(H8),"Draw",IF(AND(ISNUMBER(F8),ISNUMBER(E8),E8&gt;0,F8&gt;E8),"Profit",IF(AND(ISNUMBER(F8),ISNUMBER(E8),E8&gt;0,F8=E8),"Draw",IF(AND(ISNUMBER(F8),ISNUMBER(E8),E8&gt;0,F8=0),"Disqualified",""))))))))</x:f>
      </x:c>
      <x:c r="L8" s="50"/>
      <x:c r="M8" s="58"/>
      <x:c r="N8" s="58"/>
      <x:c r="O8" s="62"/>
      <x:c r="P8" s="62"/>
      <x:c r="Q8" s="64" t="str">
        <x:f>IF(OR(B8="",C8="",C8&lt;B8),"",ROUNDUP((C8-B8)/7,0))</x:f>
      </x:c>
      <x:c r="R8" s="50"/>
      <x:c r="S8" s="50"/>
      <x:c r="T8" s="54"/>
      <x:c r="U8" s="66" t="str">
        <x:f>IF(A8="","",IF(K8="Subscription","",IF(ISNUMBER(G8),G8,0)-IF(ISNUMBER(I8),I8,0)))</x:f>
      </x:c>
      <x:c r="V8" s="64" t="str">
        <x:f>IF(OR(P8="",O8="",NOT(ISNUMBER(P8)),NOT(ISNUMBER(O8)),O8&gt;P8),"",P8-O8)</x:f>
      </x:c>
      <x:c r="W8" s="67" t="str">
        <x:f>IF(OR(P8="",P8=0,V8=""),"",V8/P8)</x:f>
      </x:c>
    </x:row>
    <x:row r="9" ht="21" customHeight="1">
      <x:c r="A9" s="54"/>
      <x:c r="B9" s="56"/>
      <x:c r="C9" s="56"/>
      <x:c r="D9" s="54"/>
      <x:c r="E9" s="58"/>
      <x:c r="F9" s="58"/>
      <x:c r="G9" s="58"/>
      <x:c r="H9" s="58"/>
      <x:c r="I9" s="58"/>
      <x:c r="J9" s="60" t="str">
        <x:f>IF(A9="","",IF(K9="Subscription","",IF(E9=0,"",IF(ISNUMBER(G9),G9/E9,IF(ISNUMBER(I9),-ABS(I9)/E9,IF(ISNUMBER(H9),0,IF(AND(ISNUMBER(F9),ISNUMBER(E9),E9&gt;0,F9&gt;E9),(F9-E9)/E9,IF(AND(ISNUMBER(F9),ISNUMBER(E9),E9&gt;0,F9=E9),0,IF(AND(ISNUMBER(F9),ISNUMBER(E9),E9&gt;0,F9=0),-1,"")))))))))</x:f>
      </x:c>
      <x:c r="K9" s="50" t="str">
        <x:f>IF(A9="","",IF(AND(ISNUMBER(E9),E9=0,OR(ISNUMBER(SEARCH("Free",D9&amp;"")),AND(ISNUMBER(F9),F9=0))),"Subscription",IF(ISNUMBER(G9),"Profit",IF(ISNUMBER(I9),"Disqualified",IF(ISNUMBER(H9),"Draw",IF(AND(ISNUMBER(F9),ISNUMBER(E9),E9&gt;0,F9&gt;E9),"Profit",IF(AND(ISNUMBER(F9),ISNUMBER(E9),E9&gt;0,F9=E9),"Draw",IF(AND(ISNUMBER(F9),ISNUMBER(E9),E9&gt;0,F9=0),"Disqualified",""))))))))</x:f>
      </x:c>
      <x:c r="L9" s="50"/>
      <x:c r="M9" s="58"/>
      <x:c r="N9" s="58"/>
      <x:c r="O9" s="62"/>
      <x:c r="P9" s="62"/>
      <x:c r="Q9" s="64" t="str">
        <x:f>IF(OR(B9="",C9="",C9&lt;B9),"",ROUNDUP((C9-B9)/7,0))</x:f>
      </x:c>
      <x:c r="R9" s="50"/>
      <x:c r="S9" s="50"/>
      <x:c r="T9" s="54"/>
      <x:c r="U9" s="66" t="str">
        <x:f>IF(A9="","",IF(K9="Subscription","",IF(ISNUMBER(G9),G9,0)-IF(ISNUMBER(I9),I9,0)))</x:f>
      </x:c>
      <x:c r="V9" s="64" t="str">
        <x:f>IF(OR(P9="",O9="",NOT(ISNUMBER(P9)),NOT(ISNUMBER(O9)),O9&gt;P9),"",P9-O9)</x:f>
      </x:c>
      <x:c r="W9" s="67" t="str">
        <x:f>IF(OR(P9="",P9=0,V9=""),"",V9/P9)</x:f>
      </x:c>
    </x:row>
    <x:row r="10" ht="21" customHeight="1">
      <x:c r="A10" s="54"/>
      <x:c r="B10" s="56"/>
      <x:c r="C10" s="56"/>
      <x:c r="D10" s="54"/>
      <x:c r="E10" s="58"/>
      <x:c r="F10" s="58"/>
      <x:c r="G10" s="58"/>
      <x:c r="H10" s="58"/>
      <x:c r="I10" s="58"/>
      <x:c r="J10" s="60" t="str">
        <x:f>IF(A10="","",IF(K10="Subscription","",IF(E10=0,"",IF(ISNUMBER(G10),G10/E10,IF(ISNUMBER(I10),-ABS(I10)/E10,IF(ISNUMBER(H10),0,IF(AND(ISNUMBER(F10),ISNUMBER(E10),E10&gt;0,F10&gt;E10),(F10-E10)/E10,IF(AND(ISNUMBER(F10),ISNUMBER(E10),E10&gt;0,F10=E10),0,IF(AND(ISNUMBER(F10),ISNUMBER(E10),E10&gt;0,F10=0),-1,"")))))))))</x:f>
      </x:c>
      <x:c r="K10" s="50" t="str">
        <x:f>IF(A10="","",IF(AND(ISNUMBER(E10),E10=0,OR(ISNUMBER(SEARCH("Free",D10&amp;"")),AND(ISNUMBER(F10),F10=0))),"Subscription",IF(ISNUMBER(G10),"Profit",IF(ISNUMBER(I10),"Disqualified",IF(ISNUMBER(H10),"Draw",IF(AND(ISNUMBER(F10),ISNUMBER(E10),E10&gt;0,F10&gt;E10),"Profit",IF(AND(ISNUMBER(F10),ISNUMBER(E10),E10&gt;0,F10=E10),"Draw",IF(AND(ISNUMBER(F10),ISNUMBER(E10),E10&gt;0,F10=0),"Disqualified",""))))))))</x:f>
      </x:c>
      <x:c r="L10" s="50"/>
      <x:c r="M10" s="58"/>
      <x:c r="N10" s="58"/>
      <x:c r="O10" s="62"/>
      <x:c r="P10" s="62"/>
      <x:c r="Q10" s="64" t="str">
        <x:f>IF(OR(B10="",C10="",C10&lt;B10),"",ROUNDUP((C10-B10)/7,0))</x:f>
      </x:c>
      <x:c r="R10" s="50"/>
      <x:c r="S10" s="50"/>
      <x:c r="T10" s="54"/>
      <x:c r="U10" s="66" t="str">
        <x:f>IF(A10="","",IF(K10="Subscription","",IF(ISNUMBER(G10),G10,0)-IF(ISNUMBER(I10),I10,0)))</x:f>
      </x:c>
      <x:c r="V10" s="64" t="str">
        <x:f>IF(OR(P10="",O10="",NOT(ISNUMBER(P10)),NOT(ISNUMBER(O10)),O10&gt;P10),"",P10-O10)</x:f>
      </x:c>
      <x:c r="W10" s="67" t="str">
        <x:f>IF(OR(P10="",P10=0,V10=""),"",V10/P10)</x:f>
      </x:c>
    </x:row>
    <x:row r="11" ht="21" customHeight="1">
      <x:c r="A11" s="54"/>
      <x:c r="B11" s="56"/>
      <x:c r="C11" s="56"/>
      <x:c r="D11" s="54"/>
      <x:c r="E11" s="58"/>
      <x:c r="F11" s="58"/>
      <x:c r="G11" s="58"/>
      <x:c r="H11" s="58"/>
      <x:c r="I11" s="58"/>
      <x:c r="J11" s="60" t="str">
        <x:f>IF(A11="","",IF(K11="Subscription","",IF(E11=0,"",IF(ISNUMBER(G11),G11/E11,IF(ISNUMBER(I11),-ABS(I11)/E11,IF(ISNUMBER(H11),0,IF(AND(ISNUMBER(F11),ISNUMBER(E11),E11&gt;0,F11&gt;E11),(F11-E11)/E11,IF(AND(ISNUMBER(F11),ISNUMBER(E11),E11&gt;0,F11=E11),0,IF(AND(ISNUMBER(F11),ISNUMBER(E11),E11&gt;0,F11=0),-1,"")))))))))</x:f>
      </x:c>
      <x:c r="K11" s="50" t="str">
        <x:f>IF(A11="","",IF(AND(ISNUMBER(E11),E11=0,OR(ISNUMBER(SEARCH("Free",D11&amp;"")),AND(ISNUMBER(F11),F11=0))),"Subscription",IF(ISNUMBER(G11),"Profit",IF(ISNUMBER(I11),"Disqualified",IF(ISNUMBER(H11),"Draw",IF(AND(ISNUMBER(F11),ISNUMBER(E11),E11&gt;0,F11&gt;E11),"Profit",IF(AND(ISNUMBER(F11),ISNUMBER(E11),E11&gt;0,F11=E11),"Draw",IF(AND(ISNUMBER(F11),ISNUMBER(E11),E11&gt;0,F11=0),"Disqualified",""))))))))</x:f>
      </x:c>
      <x:c r="L11" s="50"/>
      <x:c r="M11" s="58"/>
      <x:c r="N11" s="58"/>
      <x:c r="O11" s="62"/>
      <x:c r="P11" s="62"/>
      <x:c r="Q11" s="64" t="str">
        <x:f>IF(OR(B11="",C11="",C11&lt;B11),"",ROUNDUP((C11-B11)/7,0))</x:f>
      </x:c>
      <x:c r="R11" s="50"/>
      <x:c r="S11" s="50"/>
      <x:c r="T11" s="54"/>
      <x:c r="U11" s="66" t="str">
        <x:f>IF(A11="","",IF(K11="Subscription","",IF(ISNUMBER(G11),G11,0)-IF(ISNUMBER(I11),I11,0)))</x:f>
      </x:c>
      <x:c r="V11" s="64" t="str">
        <x:f>IF(OR(P11="",O11="",NOT(ISNUMBER(P11)),NOT(ISNUMBER(O11)),O11&gt;P11),"",P11-O11)</x:f>
      </x:c>
      <x:c r="W11" s="67" t="str">
        <x:f>IF(OR(P11="",P11=0,V11=""),"",V11/P11)</x:f>
      </x:c>
    </x:row>
    <x:row r="12" ht="21" customHeight="1">
      <x:c r="A12" s="54"/>
      <x:c r="B12" s="56"/>
      <x:c r="C12" s="56"/>
      <x:c r="D12" s="54"/>
      <x:c r="E12" s="58"/>
      <x:c r="F12" s="58"/>
      <x:c r="G12" s="58"/>
      <x:c r="H12" s="58"/>
      <x:c r="I12" s="58"/>
      <x:c r="J12" s="60" t="str">
        <x:f>IF(A12="","",IF(K12="Subscription","",IF(E12=0,"",IF(ISNUMBER(G12),G12/E12,IF(ISNUMBER(I12),-ABS(I12)/E12,IF(ISNUMBER(H12),0,IF(AND(ISNUMBER(F12),ISNUMBER(E12),E12&gt;0,F12&gt;E12),(F12-E12)/E12,IF(AND(ISNUMBER(F12),ISNUMBER(E12),E12&gt;0,F12=E12),0,IF(AND(ISNUMBER(F12),ISNUMBER(E12),E12&gt;0,F12=0),-1,"")))))))))</x:f>
      </x:c>
      <x:c r="K12" s="50" t="str">
        <x:f>IF(A12="","",IF(AND(ISNUMBER(E12),E12=0,OR(ISNUMBER(SEARCH("Free",D12&amp;"")),AND(ISNUMBER(F12),F12=0))),"Subscription",IF(ISNUMBER(G12),"Profit",IF(ISNUMBER(I12),"Disqualified",IF(ISNUMBER(H12),"Draw",IF(AND(ISNUMBER(F12),ISNUMBER(E12),E12&gt;0,F12&gt;E12),"Profit",IF(AND(ISNUMBER(F12),ISNUMBER(E12),E12&gt;0,F12=E12),"Draw",IF(AND(ISNUMBER(F12),ISNUMBER(E12),E12&gt;0,F12=0),"Disqualified",""))))))))</x:f>
      </x:c>
      <x:c r="L12" s="50"/>
      <x:c r="M12" s="58"/>
      <x:c r="N12" s="58"/>
      <x:c r="O12" s="62"/>
      <x:c r="P12" s="62"/>
      <x:c r="Q12" s="64" t="str">
        <x:f>IF(OR(B12="",C12="",C12&lt;B12),"",ROUNDUP((C12-B12)/7,0))</x:f>
      </x:c>
      <x:c r="R12" s="50"/>
      <x:c r="S12" s="50"/>
      <x:c r="T12" s="54"/>
      <x:c r="U12" s="66" t="str">
        <x:f>IF(A12="","",IF(K12="Subscription","",IF(ISNUMBER(G12),G12,0)-IF(ISNUMBER(I12),I12,0)))</x:f>
      </x:c>
      <x:c r="V12" s="64" t="str">
        <x:f>IF(OR(P12="",O12="",NOT(ISNUMBER(P12)),NOT(ISNUMBER(O12)),O12&gt;P12),"",P12-O12)</x:f>
      </x:c>
      <x:c r="W12" s="67" t="str">
        <x:f>IF(OR(P12="",P12=0,V12=""),"",V12/P12)</x:f>
      </x:c>
    </x:row>
    <x:row r="13" ht="21" customHeight="1">
      <x:c r="A13" s="54"/>
      <x:c r="B13" s="56"/>
      <x:c r="C13" s="56"/>
      <x:c r="D13" s="54"/>
      <x:c r="E13" s="58"/>
      <x:c r="F13" s="58"/>
      <x:c r="G13" s="58"/>
      <x:c r="H13" s="58"/>
      <x:c r="I13" s="58"/>
      <x:c r="J13" s="60" t="str">
        <x:f>IF(A13="","",IF(K13="Subscription","",IF(E13=0,"",IF(ISNUMBER(G13),G13/E13,IF(ISNUMBER(I13),-ABS(I13)/E13,IF(ISNUMBER(H13),0,IF(AND(ISNUMBER(F13),ISNUMBER(E13),E13&gt;0,F13&gt;E13),(F13-E13)/E13,IF(AND(ISNUMBER(F13),ISNUMBER(E13),E13&gt;0,F13=E13),0,IF(AND(ISNUMBER(F13),ISNUMBER(E13),E13&gt;0,F13=0),-1,"")))))))))</x:f>
      </x:c>
      <x:c r="K13" s="50" t="str">
        <x:f>IF(A13="","",IF(AND(ISNUMBER(E13),E13=0,OR(ISNUMBER(SEARCH("Free",D13&amp;"")),AND(ISNUMBER(F13),F13=0))),"Subscription",IF(ISNUMBER(G13),"Profit",IF(ISNUMBER(I13),"Disqualified",IF(ISNUMBER(H13),"Draw",IF(AND(ISNUMBER(F13),ISNUMBER(E13),E13&gt;0,F13&gt;E13),"Profit",IF(AND(ISNUMBER(F13),ISNUMBER(E13),E13&gt;0,F13=E13),"Draw",IF(AND(ISNUMBER(F13),ISNUMBER(E13),E13&gt;0,F13=0),"Disqualified",""))))))))</x:f>
      </x:c>
      <x:c r="L13" s="50"/>
      <x:c r="M13" s="58"/>
      <x:c r="N13" s="58"/>
      <x:c r="O13" s="62"/>
      <x:c r="P13" s="62"/>
      <x:c r="Q13" s="64" t="str">
        <x:f>IF(OR(B13="",C13="",C13&lt;B13),"",ROUNDUP((C13-B13)/7,0))</x:f>
      </x:c>
      <x:c r="R13" s="50"/>
      <x:c r="S13" s="50"/>
      <x:c r="T13" s="54"/>
      <x:c r="U13" s="66" t="str">
        <x:f>IF(A13="","",IF(K13="Subscription","",IF(ISNUMBER(G13),G13,0)-IF(ISNUMBER(I13),I13,0)))</x:f>
      </x:c>
      <x:c r="V13" s="64" t="str">
        <x:f>IF(OR(P13="",O13="",NOT(ISNUMBER(P13)),NOT(ISNUMBER(O13)),O13&gt;P13),"",P13-O13)</x:f>
      </x:c>
      <x:c r="W13" s="67" t="str">
        <x:f>IF(OR(P13="",P13=0,V13=""),"",V13/P13)</x:f>
      </x:c>
    </x:row>
    <x:row r="14" ht="21" customHeight="1">
      <x:c r="A14" s="54"/>
      <x:c r="B14" s="56"/>
      <x:c r="C14" s="56"/>
      <x:c r="D14" s="54"/>
      <x:c r="E14" s="58"/>
      <x:c r="F14" s="58"/>
      <x:c r="G14" s="58"/>
      <x:c r="H14" s="58"/>
      <x:c r="I14" s="58"/>
      <x:c r="J14" s="60" t="str">
        <x:f>IF(A14="","",IF(K14="Subscription","",IF(E14=0,"",IF(ISNUMBER(G14),G14/E14,IF(ISNUMBER(I14),-ABS(I14)/E14,IF(ISNUMBER(H14),0,IF(AND(ISNUMBER(F14),ISNUMBER(E14),E14&gt;0,F14&gt;E14),(F14-E14)/E14,IF(AND(ISNUMBER(F14),ISNUMBER(E14),E14&gt;0,F14=E14),0,IF(AND(ISNUMBER(F14),ISNUMBER(E14),E14&gt;0,F14=0),-1,"")))))))))</x:f>
      </x:c>
      <x:c r="K14" s="50" t="str">
        <x:f>IF(A14="","",IF(AND(ISNUMBER(E14),E14=0,OR(ISNUMBER(SEARCH("Free",D14&amp;"")),AND(ISNUMBER(F14),F14=0))),"Subscription",IF(ISNUMBER(G14),"Profit",IF(ISNUMBER(I14),"Disqualified",IF(ISNUMBER(H14),"Draw",IF(AND(ISNUMBER(F14),ISNUMBER(E14),E14&gt;0,F14&gt;E14),"Profit",IF(AND(ISNUMBER(F14),ISNUMBER(E14),E14&gt;0,F14=E14),"Draw",IF(AND(ISNUMBER(F14),ISNUMBER(E14),E14&gt;0,F14=0),"Disqualified",""))))))))</x:f>
      </x:c>
      <x:c r="L14" s="50"/>
      <x:c r="M14" s="58"/>
      <x:c r="N14" s="58"/>
      <x:c r="O14" s="62"/>
      <x:c r="P14" s="62"/>
      <x:c r="Q14" s="64" t="str">
        <x:f>IF(OR(B14="",C14="",C14&lt;B14),"",ROUNDUP((C14-B14)/7,0))</x:f>
      </x:c>
      <x:c r="R14" s="50"/>
      <x:c r="S14" s="50"/>
      <x:c r="T14" s="54"/>
      <x:c r="U14" s="66" t="str">
        <x:f>IF(A14="","",IF(K14="Subscription","",IF(ISNUMBER(G14),G14,0)-IF(ISNUMBER(I14),I14,0)))</x:f>
      </x:c>
      <x:c r="V14" s="64" t="str">
        <x:f>IF(OR(P14="",O14="",NOT(ISNUMBER(P14)),NOT(ISNUMBER(O14)),O14&gt;P14),"",P14-O14)</x:f>
      </x:c>
      <x:c r="W14" s="67" t="str">
        <x:f>IF(OR(P14="",P14=0,V14=""),"",V14/P14)</x:f>
      </x:c>
    </x:row>
    <x:row r="15" ht="21" customHeight="1">
      <x:c r="A15" s="54"/>
      <x:c r="B15" s="56"/>
      <x:c r="C15" s="56"/>
      <x:c r="D15" s="54"/>
      <x:c r="E15" s="58"/>
      <x:c r="F15" s="58"/>
      <x:c r="G15" s="58"/>
      <x:c r="H15" s="58"/>
      <x:c r="I15" s="58"/>
      <x:c r="J15" s="60" t="str">
        <x:f>IF(A15="","",IF(K15="Subscription","",IF(E15=0,"",IF(ISNUMBER(G15),G15/E15,IF(ISNUMBER(I15),-ABS(I15)/E15,IF(ISNUMBER(H15),0,IF(AND(ISNUMBER(F15),ISNUMBER(E15),E15&gt;0,F15&gt;E15),(F15-E15)/E15,IF(AND(ISNUMBER(F15),ISNUMBER(E15),E15&gt;0,F15=E15),0,IF(AND(ISNUMBER(F15),ISNUMBER(E15),E15&gt;0,F15=0),-1,"")))))))))</x:f>
      </x:c>
      <x:c r="K15" s="50" t="str">
        <x:f>IF(A15="","",IF(AND(ISNUMBER(E15),E15=0,OR(ISNUMBER(SEARCH("Free",D15&amp;"")),AND(ISNUMBER(F15),F15=0))),"Subscription",IF(ISNUMBER(G15),"Profit",IF(ISNUMBER(I15),"Disqualified",IF(ISNUMBER(H15),"Draw",IF(AND(ISNUMBER(F15),ISNUMBER(E15),E15&gt;0,F15&gt;E15),"Profit",IF(AND(ISNUMBER(F15),ISNUMBER(E15),E15&gt;0,F15=E15),"Draw",IF(AND(ISNUMBER(F15),ISNUMBER(E15),E15&gt;0,F15=0),"Disqualified",""))))))))</x:f>
      </x:c>
      <x:c r="L15" s="50"/>
      <x:c r="M15" s="58"/>
      <x:c r="N15" s="58"/>
      <x:c r="O15" s="62"/>
      <x:c r="P15" s="62"/>
      <x:c r="Q15" s="64" t="str">
        <x:f>IF(OR(B15="",C15="",C15&lt;B15),"",ROUNDUP((C15-B15)/7,0))</x:f>
      </x:c>
      <x:c r="R15" s="50"/>
      <x:c r="S15" s="50"/>
      <x:c r="T15" s="54"/>
      <x:c r="U15" s="66" t="str">
        <x:f>IF(A15="","",IF(K15="Subscription","",IF(ISNUMBER(G15),G15,0)-IF(ISNUMBER(I15),I15,0)))</x:f>
      </x:c>
      <x:c r="V15" s="64" t="str">
        <x:f>IF(OR(P15="",O15="",NOT(ISNUMBER(P15)),NOT(ISNUMBER(O15)),O15&gt;P15),"",P15-O15)</x:f>
      </x:c>
      <x:c r="W15" s="67" t="str">
        <x:f>IF(OR(P15="",P15=0,V15=""),"",V15/P15)</x:f>
      </x:c>
    </x:row>
    <x:row r="16" ht="21" customHeight="1">
      <x:c r="A16" s="54"/>
      <x:c r="B16" s="56"/>
      <x:c r="C16" s="56"/>
      <x:c r="D16" s="54"/>
      <x:c r="E16" s="58"/>
      <x:c r="F16" s="58"/>
      <x:c r="G16" s="58"/>
      <x:c r="H16" s="58"/>
      <x:c r="I16" s="58"/>
      <x:c r="J16" s="60" t="str">
        <x:f>IF(A16="","",IF(K16="Subscription","",IF(E16=0,"",IF(ISNUMBER(G16),G16/E16,IF(ISNUMBER(I16),-ABS(I16)/E16,IF(ISNUMBER(H16),0,IF(AND(ISNUMBER(F16),ISNUMBER(E16),E16&gt;0,F16&gt;E16),(F16-E16)/E16,IF(AND(ISNUMBER(F16),ISNUMBER(E16),E16&gt;0,F16=E16),0,IF(AND(ISNUMBER(F16),ISNUMBER(E16),E16&gt;0,F16=0),-1,"")))))))))</x:f>
      </x:c>
      <x:c r="K16" s="50" t="str">
        <x:f>IF(A16="","",IF(AND(ISNUMBER(E16),E16=0,OR(ISNUMBER(SEARCH("Free",D16&amp;"")),AND(ISNUMBER(F16),F16=0))),"Subscription",IF(ISNUMBER(G16),"Profit",IF(ISNUMBER(I16),"Disqualified",IF(ISNUMBER(H16),"Draw",IF(AND(ISNUMBER(F16),ISNUMBER(E16),E16&gt;0,F16&gt;E16),"Profit",IF(AND(ISNUMBER(F16),ISNUMBER(E16),E16&gt;0,F16=E16),"Draw",IF(AND(ISNUMBER(F16),ISNUMBER(E16),E16&gt;0,F16=0),"Disqualified",""))))))))</x:f>
      </x:c>
      <x:c r="L16" s="50"/>
      <x:c r="M16" s="58"/>
      <x:c r="N16" s="58"/>
      <x:c r="O16" s="62"/>
      <x:c r="P16" s="62"/>
      <x:c r="Q16" s="64" t="str">
        <x:f>IF(OR(B16="",C16="",C16&lt;B16),"",ROUNDUP((C16-B16)/7,0))</x:f>
      </x:c>
      <x:c r="R16" s="50"/>
      <x:c r="S16" s="50"/>
      <x:c r="T16" s="54"/>
      <x:c r="U16" s="66" t="str">
        <x:f>IF(A16="","",IF(K16="Subscription","",IF(ISNUMBER(G16),G16,0)-IF(ISNUMBER(I16),I16,0)))</x:f>
      </x:c>
      <x:c r="V16" s="64" t="str">
        <x:f>IF(OR(P16="",O16="",NOT(ISNUMBER(P16)),NOT(ISNUMBER(O16)),O16&gt;P16),"",P16-O16)</x:f>
      </x:c>
      <x:c r="W16" s="67" t="str">
        <x:f>IF(OR(P16="",P16=0,V16=""),"",V16/P16)</x:f>
      </x:c>
    </x:row>
    <x:row r="17" ht="21" customHeight="1">
      <x:c r="A17" s="54"/>
      <x:c r="B17" s="56"/>
      <x:c r="C17" s="56"/>
      <x:c r="D17" s="54"/>
      <x:c r="E17" s="58"/>
      <x:c r="F17" s="58"/>
      <x:c r="G17" s="58"/>
      <x:c r="H17" s="58"/>
      <x:c r="I17" s="58"/>
      <x:c r="J17" s="60" t="str">
        <x:f>IF(A17="","",IF(K17="Subscription","",IF(E17=0,"",IF(ISNUMBER(G17),G17/E17,IF(ISNUMBER(I17),-ABS(I17)/E17,IF(ISNUMBER(H17),0,IF(AND(ISNUMBER(F17),ISNUMBER(E17),E17&gt;0,F17&gt;E17),(F17-E17)/E17,IF(AND(ISNUMBER(F17),ISNUMBER(E17),E17&gt;0,F17=E17),0,IF(AND(ISNUMBER(F17),ISNUMBER(E17),E17&gt;0,F17=0),-1,"")))))))))</x:f>
      </x:c>
      <x:c r="K17" s="50" t="str">
        <x:f>IF(A17="","",IF(AND(ISNUMBER(E17),E17=0,OR(ISNUMBER(SEARCH("Free",D17&amp;"")),AND(ISNUMBER(F17),F17=0))),"Subscription",IF(ISNUMBER(G17),"Profit",IF(ISNUMBER(I17),"Disqualified",IF(ISNUMBER(H17),"Draw",IF(AND(ISNUMBER(F17),ISNUMBER(E17),E17&gt;0,F17&gt;E17),"Profit",IF(AND(ISNUMBER(F17),ISNUMBER(E17),E17&gt;0,F17=E17),"Draw",IF(AND(ISNUMBER(F17),ISNUMBER(E17),E17&gt;0,F17=0),"Disqualified",""))))))))</x:f>
      </x:c>
      <x:c r="L17" s="50"/>
      <x:c r="M17" s="58"/>
      <x:c r="N17" s="58"/>
      <x:c r="O17" s="62"/>
      <x:c r="P17" s="62"/>
      <x:c r="Q17" s="64" t="str">
        <x:f>IF(OR(B17="",C17="",C17&lt;B17),"",ROUNDUP((C17-B17)/7,0))</x:f>
      </x:c>
      <x:c r="R17" s="50"/>
      <x:c r="S17" s="50"/>
      <x:c r="T17" s="54"/>
      <x:c r="U17" s="66" t="str">
        <x:f>IF(A17="","",IF(K17="Subscription","",IF(ISNUMBER(G17),G17,0)-IF(ISNUMBER(I17),I17,0)))</x:f>
      </x:c>
      <x:c r="V17" s="64" t="str">
        <x:f>IF(OR(P17="",O17="",NOT(ISNUMBER(P17)),NOT(ISNUMBER(O17)),O17&gt;P17),"",P17-O17)</x:f>
      </x:c>
      <x:c r="W17" s="67" t="str">
        <x:f>IF(OR(P17="",P17=0,V17=""),"",V17/P17)</x:f>
      </x:c>
    </x:row>
    <x:row r="18" ht="21" customHeight="1">
      <x:c r="A18" s="54"/>
      <x:c r="B18" s="56"/>
      <x:c r="C18" s="56"/>
      <x:c r="D18" s="54"/>
      <x:c r="E18" s="58"/>
      <x:c r="F18" s="58"/>
      <x:c r="G18" s="58"/>
      <x:c r="H18" s="58"/>
      <x:c r="I18" s="58"/>
      <x:c r="J18" s="60" t="str">
        <x:f>IF(A18="","",IF(K18="Subscription","",IF(E18=0,"",IF(ISNUMBER(G18),G18/E18,IF(ISNUMBER(I18),-ABS(I18)/E18,IF(ISNUMBER(H18),0,IF(AND(ISNUMBER(F18),ISNUMBER(E18),E18&gt;0,F18&gt;E18),(F18-E18)/E18,IF(AND(ISNUMBER(F18),ISNUMBER(E18),E18&gt;0,F18=E18),0,IF(AND(ISNUMBER(F18),ISNUMBER(E18),E18&gt;0,F18=0),-1,"")))))))))</x:f>
      </x:c>
      <x:c r="K18" s="50" t="str">
        <x:f>IF(A18="","",IF(AND(ISNUMBER(E18),E18=0,OR(ISNUMBER(SEARCH("Free",D18&amp;"")),AND(ISNUMBER(F18),F18=0))),"Subscription",IF(ISNUMBER(G18),"Profit",IF(ISNUMBER(I18),"Disqualified",IF(ISNUMBER(H18),"Draw",IF(AND(ISNUMBER(F18),ISNUMBER(E18),E18&gt;0,F18&gt;E18),"Profit",IF(AND(ISNUMBER(F18),ISNUMBER(E18),E18&gt;0,F18=E18),"Draw",IF(AND(ISNUMBER(F18),ISNUMBER(E18),E18&gt;0,F18=0),"Disqualified",""))))))))</x:f>
      </x:c>
      <x:c r="L18" s="50"/>
      <x:c r="M18" s="58"/>
      <x:c r="N18" s="58"/>
      <x:c r="O18" s="62"/>
      <x:c r="P18" s="62"/>
      <x:c r="Q18" s="64" t="str">
        <x:f>IF(OR(B18="",C18="",C18&lt;B18),"",ROUNDUP((C18-B18)/7,0))</x:f>
      </x:c>
      <x:c r="R18" s="50"/>
      <x:c r="S18" s="50"/>
      <x:c r="T18" s="54"/>
      <x:c r="U18" s="66" t="str">
        <x:f>IF(A18="","",IF(K18="Subscription","",IF(ISNUMBER(G18),G18,0)-IF(ISNUMBER(I18),I18,0)))</x:f>
      </x:c>
      <x:c r="V18" s="64" t="str">
        <x:f>IF(OR(P18="",O18="",NOT(ISNUMBER(P18)),NOT(ISNUMBER(O18)),O18&gt;P18),"",P18-O18)</x:f>
      </x:c>
      <x:c r="W18" s="67" t="str">
        <x:f>IF(OR(P18="",P18=0,V18=""),"",V18/P18)</x:f>
      </x:c>
    </x:row>
    <x:row r="19" ht="21" customHeight="1">
      <x:c r="A19" s="54"/>
      <x:c r="B19" s="56"/>
      <x:c r="C19" s="56"/>
      <x:c r="D19" s="54"/>
      <x:c r="E19" s="58"/>
      <x:c r="F19" s="58"/>
      <x:c r="G19" s="58"/>
      <x:c r="H19" s="58"/>
      <x:c r="I19" s="58"/>
      <x:c r="J19" s="60" t="str">
        <x:f>IF(A19="","",IF(K19="Subscription","",IF(E19=0,"",IF(ISNUMBER(G19),G19/E19,IF(ISNUMBER(I19),-ABS(I19)/E19,IF(ISNUMBER(H19),0,IF(AND(ISNUMBER(F19),ISNUMBER(E19),E19&gt;0,F19&gt;E19),(F19-E19)/E19,IF(AND(ISNUMBER(F19),ISNUMBER(E19),E19&gt;0,F19=E19),0,IF(AND(ISNUMBER(F19),ISNUMBER(E19),E19&gt;0,F19=0),-1,"")))))))))</x:f>
      </x:c>
      <x:c r="K19" s="50" t="str">
        <x:f>IF(A19="","",IF(AND(ISNUMBER(E19),E19=0,OR(ISNUMBER(SEARCH("Free",D19&amp;"")),AND(ISNUMBER(F19),F19=0))),"Subscription",IF(ISNUMBER(G19),"Profit",IF(ISNUMBER(I19),"Disqualified",IF(ISNUMBER(H19),"Draw",IF(AND(ISNUMBER(F19),ISNUMBER(E19),E19&gt;0,F19&gt;E19),"Profit",IF(AND(ISNUMBER(F19),ISNUMBER(E19),E19&gt;0,F19=E19),"Draw",IF(AND(ISNUMBER(F19),ISNUMBER(E19),E19&gt;0,F19=0),"Disqualified",""))))))))</x:f>
      </x:c>
      <x:c r="L19" s="50"/>
      <x:c r="M19" s="58"/>
      <x:c r="N19" s="58"/>
      <x:c r="O19" s="62"/>
      <x:c r="P19" s="62"/>
      <x:c r="Q19" s="64" t="str">
        <x:f>IF(OR(B19="",C19="",C19&lt;B19),"",ROUNDUP((C19-B19)/7,0))</x:f>
      </x:c>
      <x:c r="R19" s="50"/>
      <x:c r="S19" s="50"/>
      <x:c r="T19" s="54"/>
      <x:c r="U19" s="66" t="str">
        <x:f>IF(A19="","",IF(K19="Subscription","",IF(ISNUMBER(G19),G19,0)-IF(ISNUMBER(I19),I19,0)))</x:f>
      </x:c>
      <x:c r="V19" s="64" t="str">
        <x:f>IF(OR(P19="",O19="",NOT(ISNUMBER(P19)),NOT(ISNUMBER(O19)),O19&gt;P19),"",P19-O19)</x:f>
      </x:c>
      <x:c r="W19" s="67" t="str">
        <x:f>IF(OR(P19="",P19=0,V19=""),"",V19/P19)</x:f>
      </x:c>
    </x:row>
    <x:row r="20" ht="21" customHeight="1">
      <x:c r="A20" s="54"/>
      <x:c r="B20" s="56"/>
      <x:c r="C20" s="56"/>
      <x:c r="D20" s="54"/>
      <x:c r="E20" s="58"/>
      <x:c r="F20" s="58"/>
      <x:c r="G20" s="58"/>
      <x:c r="H20" s="58"/>
      <x:c r="I20" s="58"/>
      <x:c r="J20" s="60" t="str">
        <x:f>IF(A20="","",IF(K20="Subscription","",IF(E20=0,"",IF(ISNUMBER(G20),G20/E20,IF(ISNUMBER(I20),-ABS(I20)/E20,IF(ISNUMBER(H20),0,IF(AND(ISNUMBER(F20),ISNUMBER(E20),E20&gt;0,F20&gt;E20),(F20-E20)/E20,IF(AND(ISNUMBER(F20),ISNUMBER(E20),E20&gt;0,F20=E20),0,IF(AND(ISNUMBER(F20),ISNUMBER(E20),E20&gt;0,F20=0),-1,"")))))))))</x:f>
      </x:c>
      <x:c r="K20" s="50" t="str">
        <x:f>IF(A20="","",IF(AND(ISNUMBER(E20),E20=0,OR(ISNUMBER(SEARCH("Free",D20&amp;"")),AND(ISNUMBER(F20),F20=0))),"Subscription",IF(ISNUMBER(G20),"Profit",IF(ISNUMBER(I20),"Disqualified",IF(ISNUMBER(H20),"Draw",IF(AND(ISNUMBER(F20),ISNUMBER(E20),E20&gt;0,F20&gt;E20),"Profit",IF(AND(ISNUMBER(F20),ISNUMBER(E20),E20&gt;0,F20=E20),"Draw",IF(AND(ISNUMBER(F20),ISNUMBER(E20),E20&gt;0,F20=0),"Disqualified",""))))))))</x:f>
      </x:c>
      <x:c r="L20" s="50"/>
      <x:c r="M20" s="58"/>
      <x:c r="N20" s="58"/>
      <x:c r="O20" s="62"/>
      <x:c r="P20" s="62"/>
      <x:c r="Q20" s="64" t="str">
        <x:f>IF(OR(B20="",C20="",C20&lt;B20),"",ROUNDUP((C20-B20)/7,0))</x:f>
      </x:c>
      <x:c r="R20" s="50"/>
      <x:c r="S20" s="50"/>
      <x:c r="T20" s="54"/>
      <x:c r="U20" s="66" t="str">
        <x:f>IF(A20="","",IF(K20="Subscription","",IF(ISNUMBER(G20),G20,0)-IF(ISNUMBER(I20),I20,0)))</x:f>
      </x:c>
      <x:c r="V20" s="64" t="str">
        <x:f>IF(OR(P20="",O20="",NOT(ISNUMBER(P20)),NOT(ISNUMBER(O20)),O20&gt;P20),"",P20-O20)</x:f>
      </x:c>
      <x:c r="W20" s="67" t="str">
        <x:f>IF(OR(P20="",P20=0,V20=""),"",V20/P20)</x:f>
      </x:c>
    </x:row>
    <x:row r="21" ht="21" customHeight="1">
      <x:c r="A21" s="54"/>
      <x:c r="B21" s="56"/>
      <x:c r="C21" s="56"/>
      <x:c r="D21" s="54"/>
      <x:c r="E21" s="58"/>
      <x:c r="F21" s="58"/>
      <x:c r="G21" s="58"/>
      <x:c r="H21" s="58"/>
      <x:c r="I21" s="58"/>
      <x:c r="J21" s="60" t="str">
        <x:f>IF(A21="","",IF(K21="Subscription","",IF(E21=0,"",IF(ISNUMBER(G21),G21/E21,IF(ISNUMBER(I21),-ABS(I21)/E21,IF(ISNUMBER(H21),0,IF(AND(ISNUMBER(F21),ISNUMBER(E21),E21&gt;0,F21&gt;E21),(F21-E21)/E21,IF(AND(ISNUMBER(F21),ISNUMBER(E21),E21&gt;0,F21=E21),0,IF(AND(ISNUMBER(F21),ISNUMBER(E21),E21&gt;0,F21=0),-1,"")))))))))</x:f>
      </x:c>
      <x:c r="K21" s="50" t="str">
        <x:f>IF(A21="","",IF(AND(ISNUMBER(E21),E21=0,OR(ISNUMBER(SEARCH("Free",D21&amp;"")),AND(ISNUMBER(F21),F21=0))),"Subscription",IF(ISNUMBER(G21),"Profit",IF(ISNUMBER(I21),"Disqualified",IF(ISNUMBER(H21),"Draw",IF(AND(ISNUMBER(F21),ISNUMBER(E21),E21&gt;0,F21&gt;E21),"Profit",IF(AND(ISNUMBER(F21),ISNUMBER(E21),E21&gt;0,F21=E21),"Draw",IF(AND(ISNUMBER(F21),ISNUMBER(E21),E21&gt;0,F21=0),"Disqualified",""))))))))</x:f>
      </x:c>
      <x:c r="L21" s="50"/>
      <x:c r="M21" s="58"/>
      <x:c r="N21" s="58"/>
      <x:c r="O21" s="62"/>
      <x:c r="P21" s="62"/>
      <x:c r="Q21" s="64" t="str">
        <x:f>IF(OR(B21="",C21="",C21&lt;B21),"",ROUNDUP((C21-B21)/7,0))</x:f>
      </x:c>
      <x:c r="R21" s="50"/>
      <x:c r="S21" s="50"/>
      <x:c r="T21" s="54"/>
      <x:c r="U21" s="66" t="str">
        <x:f>IF(A21="","",IF(K21="Subscription","",IF(ISNUMBER(G21),G21,0)-IF(ISNUMBER(I21),I21,0)))</x:f>
      </x:c>
      <x:c r="V21" s="64" t="str">
        <x:f>IF(OR(P21="",O21="",NOT(ISNUMBER(P21)),NOT(ISNUMBER(O21)),O21&gt;P21),"",P21-O21)</x:f>
      </x:c>
      <x:c r="W21" s="67" t="str">
        <x:f>IF(OR(P21="",P21=0,V21=""),"",V21/P21)</x:f>
      </x:c>
    </x:row>
    <x:row r="22" ht="21" customHeight="1">
      <x:c r="A22" s="54"/>
      <x:c r="B22" s="56"/>
      <x:c r="C22" s="56"/>
      <x:c r="D22" s="54"/>
      <x:c r="E22" s="58"/>
      <x:c r="F22" s="58"/>
      <x:c r="G22" s="58"/>
      <x:c r="H22" s="58"/>
      <x:c r="I22" s="58"/>
      <x:c r="J22" s="60" t="str">
        <x:f>IF(A22="","",IF(K22="Subscription","",IF(E22=0,"",IF(ISNUMBER(G22),G22/E22,IF(ISNUMBER(I22),-ABS(I22)/E22,IF(ISNUMBER(H22),0,IF(AND(ISNUMBER(F22),ISNUMBER(E22),E22&gt;0,F22&gt;E22),(F22-E22)/E22,IF(AND(ISNUMBER(F22),ISNUMBER(E22),E22&gt;0,F22=E22),0,IF(AND(ISNUMBER(F22),ISNUMBER(E22),E22&gt;0,F22=0),-1,"")))))))))</x:f>
      </x:c>
      <x:c r="K22" s="50" t="str">
        <x:f>IF(A22="","",IF(AND(ISNUMBER(E22),E22=0,OR(ISNUMBER(SEARCH("Free",D22&amp;"")),AND(ISNUMBER(F22),F22=0))),"Subscription",IF(ISNUMBER(G22),"Profit",IF(ISNUMBER(I22),"Disqualified",IF(ISNUMBER(H22),"Draw",IF(AND(ISNUMBER(F22),ISNUMBER(E22),E22&gt;0,F22&gt;E22),"Profit",IF(AND(ISNUMBER(F22),ISNUMBER(E22),E22&gt;0,F22=E22),"Draw",IF(AND(ISNUMBER(F22),ISNUMBER(E22),E22&gt;0,F22=0),"Disqualified",""))))))))</x:f>
      </x:c>
      <x:c r="L22" s="50"/>
      <x:c r="M22" s="58"/>
      <x:c r="N22" s="58"/>
      <x:c r="O22" s="62"/>
      <x:c r="P22" s="62"/>
      <x:c r="Q22" s="64" t="str">
        <x:f>IF(OR(B22="",C22="",C22&lt;B22),"",ROUNDUP((C22-B22)/7,0))</x:f>
      </x:c>
      <x:c r="R22" s="50"/>
      <x:c r="S22" s="50"/>
      <x:c r="T22" s="54"/>
      <x:c r="U22" s="66" t="str">
        <x:f>IF(A22="","",IF(K22="Subscription","",IF(ISNUMBER(G22),G22,0)-IF(ISNUMBER(I22),I22,0)))</x:f>
      </x:c>
      <x:c r="V22" s="64" t="str">
        <x:f>IF(OR(P22="",O22="",NOT(ISNUMBER(P22)),NOT(ISNUMBER(O22)),O22&gt;P22),"",P22-O22)</x:f>
      </x:c>
      <x:c r="W22" s="67" t="str">
        <x:f>IF(OR(P22="",P22=0,V22=""),"",V22/P22)</x:f>
      </x:c>
    </x:row>
    <x:row r="23" ht="21" customHeight="1">
      <x:c r="A23" s="54"/>
      <x:c r="B23" s="56"/>
      <x:c r="C23" s="56"/>
      <x:c r="D23" s="54"/>
      <x:c r="E23" s="58"/>
      <x:c r="F23" s="58"/>
      <x:c r="G23" s="58"/>
      <x:c r="H23" s="58"/>
      <x:c r="I23" s="58"/>
      <x:c r="J23" s="60" t="str">
        <x:f>IF(A23="","",IF(K23="Subscription","",IF(E23=0,"",IF(ISNUMBER(G23),G23/E23,IF(ISNUMBER(I23),-ABS(I23)/E23,IF(ISNUMBER(H23),0,IF(AND(ISNUMBER(F23),ISNUMBER(E23),E23&gt;0,F23&gt;E23),(F23-E23)/E23,IF(AND(ISNUMBER(F23),ISNUMBER(E23),E23&gt;0,F23=E23),0,IF(AND(ISNUMBER(F23),ISNUMBER(E23),E23&gt;0,F23=0),-1,"")))))))))</x:f>
      </x:c>
      <x:c r="K23" s="50" t="str">
        <x:f>IF(A23="","",IF(AND(ISNUMBER(E23),E23=0,OR(ISNUMBER(SEARCH("Free",D23&amp;"")),AND(ISNUMBER(F23),F23=0))),"Subscription",IF(ISNUMBER(G23),"Profit",IF(ISNUMBER(I23),"Disqualified",IF(ISNUMBER(H23),"Draw",IF(AND(ISNUMBER(F23),ISNUMBER(E23),E23&gt;0,F23&gt;E23),"Profit",IF(AND(ISNUMBER(F23),ISNUMBER(E23),E23&gt;0,F23=E23),"Draw",IF(AND(ISNUMBER(F23),ISNUMBER(E23),E23&gt;0,F23=0),"Disqualified",""))))))))</x:f>
      </x:c>
      <x:c r="L23" s="50"/>
      <x:c r="M23" s="58"/>
      <x:c r="N23" s="58"/>
      <x:c r="O23" s="62"/>
      <x:c r="P23" s="62"/>
      <x:c r="Q23" s="64" t="str">
        <x:f>IF(OR(B23="",C23="",C23&lt;B23),"",ROUNDUP((C23-B23)/7,0))</x:f>
      </x:c>
      <x:c r="R23" s="50"/>
      <x:c r="S23" s="50"/>
      <x:c r="T23" s="54"/>
      <x:c r="U23" s="66" t="str">
        <x:f>IF(A23="","",IF(K23="Subscription","",IF(ISNUMBER(G23),G23,0)-IF(ISNUMBER(I23),I23,0)))</x:f>
      </x:c>
      <x:c r="V23" s="64" t="str">
        <x:f>IF(OR(P23="",O23="",NOT(ISNUMBER(P23)),NOT(ISNUMBER(O23)),O23&gt;P23),"",P23-O23)</x:f>
      </x:c>
      <x:c r="W23" s="67" t="str">
        <x:f>IF(OR(P23="",P23=0,V23=""),"",V23/P23)</x:f>
      </x:c>
    </x:row>
    <x:row r="24" ht="21" customHeight="1">
      <x:c r="A24" s="54"/>
      <x:c r="B24" s="56"/>
      <x:c r="C24" s="56"/>
      <x:c r="D24" s="54"/>
      <x:c r="E24" s="58"/>
      <x:c r="F24" s="58"/>
      <x:c r="G24" s="58"/>
      <x:c r="H24" s="58"/>
      <x:c r="I24" s="58"/>
      <x:c r="J24" s="60" t="str">
        <x:f>IF(A24="","",IF(K24="Subscription","",IF(E24=0,"",IF(ISNUMBER(G24),G24/E24,IF(ISNUMBER(I24),-ABS(I24)/E24,IF(ISNUMBER(H24),0,IF(AND(ISNUMBER(F24),ISNUMBER(E24),E24&gt;0,F24&gt;E24),(F24-E24)/E24,IF(AND(ISNUMBER(F24),ISNUMBER(E24),E24&gt;0,F24=E24),0,IF(AND(ISNUMBER(F24),ISNUMBER(E24),E24&gt;0,F24=0),-1,"")))))))))</x:f>
      </x:c>
      <x:c r="K24" s="50" t="str">
        <x:f>IF(A24="","",IF(AND(ISNUMBER(E24),E24=0,OR(ISNUMBER(SEARCH("Free",D24&amp;"")),AND(ISNUMBER(F24),F24=0))),"Subscription",IF(ISNUMBER(G24),"Profit",IF(ISNUMBER(I24),"Disqualified",IF(ISNUMBER(H24),"Draw",IF(AND(ISNUMBER(F24),ISNUMBER(E24),E24&gt;0,F24&gt;E24),"Profit",IF(AND(ISNUMBER(F24),ISNUMBER(E24),E24&gt;0,F24=E24),"Draw",IF(AND(ISNUMBER(F24),ISNUMBER(E24),E24&gt;0,F24=0),"Disqualified",""))))))))</x:f>
      </x:c>
      <x:c r="L24" s="50"/>
      <x:c r="M24" s="58"/>
      <x:c r="N24" s="58"/>
      <x:c r="O24" s="62"/>
      <x:c r="P24" s="62"/>
      <x:c r="Q24" s="64" t="str">
        <x:f>IF(OR(B24="",C24="",C24&lt;B24),"",ROUNDUP((C24-B24)/7,0))</x:f>
      </x:c>
      <x:c r="R24" s="50"/>
      <x:c r="S24" s="50"/>
      <x:c r="T24" s="54"/>
      <x:c r="U24" s="66" t="str">
        <x:f>IF(A24="","",IF(K24="Subscription","",IF(ISNUMBER(G24),G24,0)-IF(ISNUMBER(I24),I24,0)))</x:f>
      </x:c>
      <x:c r="V24" s="64" t="str">
        <x:f>IF(OR(P24="",O24="",NOT(ISNUMBER(P24)),NOT(ISNUMBER(O24)),O24&gt;P24),"",P24-O24)</x:f>
      </x:c>
      <x:c r="W24" s="67" t="str">
        <x:f>IF(OR(P24="",P24=0,V24=""),"",V24/P24)</x:f>
      </x:c>
    </x:row>
    <x:row r="25" ht="21" customHeight="1">
      <x:c r="A25" s="54"/>
      <x:c r="B25" s="56"/>
      <x:c r="C25" s="56"/>
      <x:c r="D25" s="54"/>
      <x:c r="E25" s="58"/>
      <x:c r="F25" s="58"/>
      <x:c r="G25" s="58"/>
      <x:c r="H25" s="58"/>
      <x:c r="I25" s="58"/>
      <x:c r="J25" s="60" t="str">
        <x:f>IF(A25="","",IF(K25="Subscription","",IF(E25=0,"",IF(ISNUMBER(G25),G25/E25,IF(ISNUMBER(I25),-ABS(I25)/E25,IF(ISNUMBER(H25),0,IF(AND(ISNUMBER(F25),ISNUMBER(E25),E25&gt;0,F25&gt;E25),(F25-E25)/E25,IF(AND(ISNUMBER(F25),ISNUMBER(E25),E25&gt;0,F25=E25),0,IF(AND(ISNUMBER(F25),ISNUMBER(E25),E25&gt;0,F25=0),-1,"")))))))))</x:f>
      </x:c>
      <x:c r="K25" s="50" t="str">
        <x:f>IF(A25="","",IF(AND(ISNUMBER(E25),E25=0,OR(ISNUMBER(SEARCH("Free",D25&amp;"")),AND(ISNUMBER(F25),F25=0))),"Subscription",IF(ISNUMBER(G25),"Profit",IF(ISNUMBER(I25),"Disqualified",IF(ISNUMBER(H25),"Draw",IF(AND(ISNUMBER(F25),ISNUMBER(E25),E25&gt;0,F25&gt;E25),"Profit",IF(AND(ISNUMBER(F25),ISNUMBER(E25),E25&gt;0,F25=E25),"Draw",IF(AND(ISNUMBER(F25),ISNUMBER(E25),E25&gt;0,F25=0),"Disqualified",""))))))))</x:f>
      </x:c>
      <x:c r="L25" s="50"/>
      <x:c r="M25" s="58"/>
      <x:c r="N25" s="58"/>
      <x:c r="O25" s="62"/>
      <x:c r="P25" s="62"/>
      <x:c r="Q25" s="64" t="str">
        <x:f>IF(OR(B25="",C25="",C25&lt;B25),"",ROUNDUP((C25-B25)/7,0))</x:f>
      </x:c>
      <x:c r="R25" s="50"/>
      <x:c r="S25" s="50"/>
      <x:c r="T25" s="54"/>
      <x:c r="U25" s="66" t="str">
        <x:f>IF(A25="","",IF(K25="Subscription","",IF(ISNUMBER(G25),G25,0)-IF(ISNUMBER(I25),I25,0)))</x:f>
      </x:c>
      <x:c r="V25" s="64" t="str">
        <x:f>IF(OR(P25="",O25="",NOT(ISNUMBER(P25)),NOT(ISNUMBER(O25)),O25&gt;P25),"",P25-O25)</x:f>
      </x:c>
      <x:c r="W25" s="67" t="str">
        <x:f>IF(OR(P25="",P25=0,V25=""),"",V25/P25)</x:f>
      </x:c>
    </x:row>
    <x:row r="26" ht="21" customHeight="1">
      <x:c r="A26" s="54"/>
      <x:c r="B26" s="56"/>
      <x:c r="C26" s="56"/>
      <x:c r="D26" s="54"/>
      <x:c r="E26" s="58"/>
      <x:c r="F26" s="58"/>
      <x:c r="G26" s="58"/>
      <x:c r="H26" s="58"/>
      <x:c r="I26" s="58"/>
      <x:c r="J26" s="60" t="str">
        <x:f>IF(A26="","",IF(K26="Subscription","",IF(E26=0,"",IF(ISNUMBER(G26),G26/E26,IF(ISNUMBER(I26),-ABS(I26)/E26,IF(ISNUMBER(H26),0,IF(AND(ISNUMBER(F26),ISNUMBER(E26),E26&gt;0,F26&gt;E26),(F26-E26)/E26,IF(AND(ISNUMBER(F26),ISNUMBER(E26),E26&gt;0,F26=E26),0,IF(AND(ISNUMBER(F26),ISNUMBER(E26),E26&gt;0,F26=0),-1,"")))))))))</x:f>
      </x:c>
      <x:c r="K26" s="50" t="str">
        <x:f>IF(A26="","",IF(AND(ISNUMBER(E26),E26=0,OR(ISNUMBER(SEARCH("Free",D26&amp;"")),AND(ISNUMBER(F26),F26=0))),"Subscription",IF(ISNUMBER(G26),"Profit",IF(ISNUMBER(I26),"Disqualified",IF(ISNUMBER(H26),"Draw",IF(AND(ISNUMBER(F26),ISNUMBER(E26),E26&gt;0,F26&gt;E26),"Profit",IF(AND(ISNUMBER(F26),ISNUMBER(E26),E26&gt;0,F26=E26),"Draw",IF(AND(ISNUMBER(F26),ISNUMBER(E26),E26&gt;0,F26=0),"Disqualified",""))))))))</x:f>
      </x:c>
      <x:c r="L26" s="50"/>
      <x:c r="M26" s="58"/>
      <x:c r="N26" s="58"/>
      <x:c r="O26" s="62"/>
      <x:c r="P26" s="62"/>
      <x:c r="Q26" s="64" t="str">
        <x:f>IF(OR(B26="",C26="",C26&lt;B26),"",ROUNDUP((C26-B26)/7,0))</x:f>
      </x:c>
      <x:c r="R26" s="50"/>
      <x:c r="S26" s="50"/>
      <x:c r="T26" s="54"/>
      <x:c r="U26" s="66" t="str">
        <x:f>IF(A26="","",IF(K26="Subscription","",IF(ISNUMBER(G26),G26,0)-IF(ISNUMBER(I26),I26,0)))</x:f>
      </x:c>
      <x:c r="V26" s="64" t="str">
        <x:f>IF(OR(P26="",O26="",NOT(ISNUMBER(P26)),NOT(ISNUMBER(O26)),O26&gt;P26),"",P26-O26)</x:f>
      </x:c>
      <x:c r="W26" s="67" t="str">
        <x:f>IF(OR(P26="",P26=0,V26=""),"",V26/P26)</x:f>
      </x:c>
    </x:row>
    <x:row r="27" ht="21" customHeight="1">
      <x:c r="A27" s="54"/>
      <x:c r="B27" s="56"/>
      <x:c r="C27" s="56"/>
      <x:c r="D27" s="54"/>
      <x:c r="E27" s="58"/>
      <x:c r="F27" s="58"/>
      <x:c r="G27" s="58"/>
      <x:c r="H27" s="58"/>
      <x:c r="I27" s="58"/>
      <x:c r="J27" s="60" t="str">
        <x:f>IF(A27="","",IF(K27="Subscription","",IF(E27=0,"",IF(ISNUMBER(G27),G27/E27,IF(ISNUMBER(I27),-ABS(I27)/E27,IF(ISNUMBER(H27),0,IF(AND(ISNUMBER(F27),ISNUMBER(E27),E27&gt;0,F27&gt;E27),(F27-E27)/E27,IF(AND(ISNUMBER(F27),ISNUMBER(E27),E27&gt;0,F27=E27),0,IF(AND(ISNUMBER(F27),ISNUMBER(E27),E27&gt;0,F27=0),-1,"")))))))))</x:f>
      </x:c>
      <x:c r="K27" s="50" t="str">
        <x:f>IF(A27="","",IF(AND(ISNUMBER(E27),E27=0,OR(ISNUMBER(SEARCH("Free",D27&amp;"")),AND(ISNUMBER(F27),F27=0))),"Subscription",IF(ISNUMBER(G27),"Profit",IF(ISNUMBER(I27),"Disqualified",IF(ISNUMBER(H27),"Draw",IF(AND(ISNUMBER(F27),ISNUMBER(E27),E27&gt;0,F27&gt;E27),"Profit",IF(AND(ISNUMBER(F27),ISNUMBER(E27),E27&gt;0,F27=E27),"Draw",IF(AND(ISNUMBER(F27),ISNUMBER(E27),E27&gt;0,F27=0),"Disqualified",""))))))))</x:f>
      </x:c>
      <x:c r="L27" s="50"/>
      <x:c r="M27" s="58"/>
      <x:c r="N27" s="58"/>
      <x:c r="O27" s="62"/>
      <x:c r="P27" s="62"/>
      <x:c r="Q27" s="64" t="str">
        <x:f>IF(OR(B27="",C27="",C27&lt;B27),"",ROUNDUP((C27-B27)/7,0))</x:f>
      </x:c>
      <x:c r="R27" s="50"/>
      <x:c r="S27" s="50"/>
      <x:c r="T27" s="54"/>
      <x:c r="U27" s="66" t="str">
        <x:f>IF(A27="","",IF(K27="Subscription","",IF(ISNUMBER(G27),G27,0)-IF(ISNUMBER(I27),I27,0)))</x:f>
      </x:c>
      <x:c r="V27" s="64" t="str">
        <x:f>IF(OR(P27="",O27="",NOT(ISNUMBER(P27)),NOT(ISNUMBER(O27)),O27&gt;P27),"",P27-O27)</x:f>
      </x:c>
      <x:c r="W27" s="67" t="str">
        <x:f>IF(OR(P27="",P27=0,V27=""),"",V27/P27)</x:f>
      </x:c>
    </x:row>
    <x:row r="28" ht="21" customHeight="1">
      <x:c r="A28" s="54"/>
      <x:c r="B28" s="56"/>
      <x:c r="C28" s="56"/>
      <x:c r="D28" s="54"/>
      <x:c r="E28" s="58"/>
      <x:c r="F28" s="58"/>
      <x:c r="G28" s="58"/>
      <x:c r="H28" s="58"/>
      <x:c r="I28" s="58"/>
      <x:c r="J28" s="60" t="str">
        <x:f>IF(A28="","",IF(K28="Subscription","",IF(E28=0,"",IF(ISNUMBER(G28),G28/E28,IF(ISNUMBER(I28),-ABS(I28)/E28,IF(ISNUMBER(H28),0,IF(AND(ISNUMBER(F28),ISNUMBER(E28),E28&gt;0,F28&gt;E28),(F28-E28)/E28,IF(AND(ISNUMBER(F28),ISNUMBER(E28),E28&gt;0,F28=E28),0,IF(AND(ISNUMBER(F28),ISNUMBER(E28),E28&gt;0,F28=0),-1,"")))))))))</x:f>
      </x:c>
      <x:c r="K28" s="50" t="str">
        <x:f>IF(A28="","",IF(AND(ISNUMBER(E28),E28=0,OR(ISNUMBER(SEARCH("Free",D28&amp;"")),AND(ISNUMBER(F28),F28=0))),"Subscription",IF(ISNUMBER(G28),"Profit",IF(ISNUMBER(I28),"Disqualified",IF(ISNUMBER(H28),"Draw",IF(AND(ISNUMBER(F28),ISNUMBER(E28),E28&gt;0,F28&gt;E28),"Profit",IF(AND(ISNUMBER(F28),ISNUMBER(E28),E28&gt;0,F28=E28),"Draw",IF(AND(ISNUMBER(F28),ISNUMBER(E28),E28&gt;0,F28=0),"Disqualified",""))))))))</x:f>
      </x:c>
      <x:c r="L28" s="50"/>
      <x:c r="M28" s="58"/>
      <x:c r="N28" s="58"/>
      <x:c r="O28" s="62"/>
      <x:c r="P28" s="62"/>
      <x:c r="Q28" s="64" t="str">
        <x:f>IF(OR(B28="",C28="",C28&lt;B28),"",ROUNDUP((C28-B28)/7,0))</x:f>
      </x:c>
      <x:c r="R28" s="50"/>
      <x:c r="S28" s="50"/>
      <x:c r="T28" s="54"/>
      <x:c r="U28" s="66" t="str">
        <x:f>IF(A28="","",IF(K28="Subscription","",IF(ISNUMBER(G28),G28,0)-IF(ISNUMBER(I28),I28,0)))</x:f>
      </x:c>
      <x:c r="V28" s="64" t="str">
        <x:f>IF(OR(P28="",O28="",NOT(ISNUMBER(P28)),NOT(ISNUMBER(O28)),O28&gt;P28),"",P28-O28)</x:f>
      </x:c>
      <x:c r="W28" s="67" t="str">
        <x:f>IF(OR(P28="",P28=0,V28=""),"",V28/P28)</x:f>
      </x:c>
    </x:row>
    <x:row r="29" ht="21" customHeight="1">
      <x:c r="A29" s="54"/>
      <x:c r="B29" s="56"/>
      <x:c r="C29" s="56"/>
      <x:c r="D29" s="54"/>
      <x:c r="E29" s="58"/>
      <x:c r="F29" s="58"/>
      <x:c r="G29" s="58"/>
      <x:c r="H29" s="58"/>
      <x:c r="I29" s="58"/>
      <x:c r="J29" s="60" t="str">
        <x:f>IF(A29="","",IF(K29="Subscription","",IF(E29=0,"",IF(ISNUMBER(G29),G29/E29,IF(ISNUMBER(I29),-ABS(I29)/E29,IF(ISNUMBER(H29),0,IF(AND(ISNUMBER(F29),ISNUMBER(E29),E29&gt;0,F29&gt;E29),(F29-E29)/E29,IF(AND(ISNUMBER(F29),ISNUMBER(E29),E29&gt;0,F29=E29),0,IF(AND(ISNUMBER(F29),ISNUMBER(E29),E29&gt;0,F29=0),-1,"")))))))))</x:f>
      </x:c>
      <x:c r="K29" s="50" t="str">
        <x:f>IF(A29="","",IF(AND(ISNUMBER(E29),E29=0,OR(ISNUMBER(SEARCH("Free",D29&amp;"")),AND(ISNUMBER(F29),F29=0))),"Subscription",IF(ISNUMBER(G29),"Profit",IF(ISNUMBER(I29),"Disqualified",IF(ISNUMBER(H29),"Draw",IF(AND(ISNUMBER(F29),ISNUMBER(E29),E29&gt;0,F29&gt;E29),"Profit",IF(AND(ISNUMBER(F29),ISNUMBER(E29),E29&gt;0,F29=E29),"Draw",IF(AND(ISNUMBER(F29),ISNUMBER(E29),E29&gt;0,F29=0),"Disqualified",""))))))))</x:f>
      </x:c>
      <x:c r="L29" s="50"/>
      <x:c r="M29" s="58"/>
      <x:c r="N29" s="58"/>
      <x:c r="O29" s="62"/>
      <x:c r="P29" s="62"/>
      <x:c r="Q29" s="64" t="str">
        <x:f>IF(OR(B29="",C29="",C29&lt;B29),"",ROUNDUP((C29-B29)/7,0))</x:f>
      </x:c>
      <x:c r="R29" s="50"/>
      <x:c r="S29" s="50"/>
      <x:c r="T29" s="54"/>
      <x:c r="U29" s="66" t="str">
        <x:f>IF(A29="","",IF(K29="Subscription","",IF(ISNUMBER(G29),G29,0)-IF(ISNUMBER(I29),I29,0)))</x:f>
      </x:c>
      <x:c r="V29" s="64" t="str">
        <x:f>IF(OR(P29="",O29="",NOT(ISNUMBER(P29)),NOT(ISNUMBER(O29)),O29&gt;P29),"",P29-O29)</x:f>
      </x:c>
      <x:c r="W29" s="67" t="str">
        <x:f>IF(OR(P29="",P29=0,V29=""),"",V29/P29)</x:f>
      </x:c>
    </x:row>
    <x:row r="30" ht="21" customHeight="1">
      <x:c r="A30" s="54"/>
      <x:c r="B30" s="56"/>
      <x:c r="C30" s="56"/>
      <x:c r="D30" s="54"/>
      <x:c r="E30" s="58"/>
      <x:c r="F30" s="58"/>
      <x:c r="G30" s="58"/>
      <x:c r="H30" s="58"/>
      <x:c r="I30" s="58"/>
      <x:c r="J30" s="60" t="str">
        <x:f>IF(A30="","",IF(K30="Subscription","",IF(E30=0,"",IF(ISNUMBER(G30),G30/E30,IF(ISNUMBER(I30),-ABS(I30)/E30,IF(ISNUMBER(H30),0,IF(AND(ISNUMBER(F30),ISNUMBER(E30),E30&gt;0,F30&gt;E30),(F30-E30)/E30,IF(AND(ISNUMBER(F30),ISNUMBER(E30),E30&gt;0,F30=E30),0,IF(AND(ISNUMBER(F30),ISNUMBER(E30),E30&gt;0,F30=0),-1,"")))))))))</x:f>
      </x:c>
      <x:c r="K30" s="50" t="str">
        <x:f>IF(A30="","",IF(AND(ISNUMBER(E30),E30=0,OR(ISNUMBER(SEARCH("Free",D30&amp;"")),AND(ISNUMBER(F30),F30=0))),"Subscription",IF(ISNUMBER(G30),"Profit",IF(ISNUMBER(I30),"Disqualified",IF(ISNUMBER(H30),"Draw",IF(AND(ISNUMBER(F30),ISNUMBER(E30),E30&gt;0,F30&gt;E30),"Profit",IF(AND(ISNUMBER(F30),ISNUMBER(E30),E30&gt;0,F30=E30),"Draw",IF(AND(ISNUMBER(F30),ISNUMBER(E30),E30&gt;0,F30=0),"Disqualified",""))))))))</x:f>
      </x:c>
      <x:c r="L30" s="50"/>
      <x:c r="M30" s="58"/>
      <x:c r="N30" s="58"/>
      <x:c r="O30" s="62"/>
      <x:c r="P30" s="62"/>
      <x:c r="Q30" s="64" t="str">
        <x:f>IF(OR(B30="",C30="",C30&lt;B30),"",ROUNDUP((C30-B30)/7,0))</x:f>
      </x:c>
      <x:c r="R30" s="50"/>
      <x:c r="S30" s="50"/>
      <x:c r="T30" s="54"/>
      <x:c r="U30" s="66" t="str">
        <x:f>IF(A30="","",IF(K30="Subscription","",IF(ISNUMBER(G30),G30,0)-IF(ISNUMBER(I30),I30,0)))</x:f>
      </x:c>
      <x:c r="V30" s="64" t="str">
        <x:f>IF(OR(P30="",O30="",NOT(ISNUMBER(P30)),NOT(ISNUMBER(O30)),O30&gt;P30),"",P30-O30)</x:f>
      </x:c>
      <x:c r="W30" s="67" t="str">
        <x:f>IF(OR(P30="",P30=0,V30=""),"",V30/P30)</x:f>
      </x:c>
    </x:row>
    <x:row r="31" ht="21" customHeight="1">
      <x:c r="A31" s="54"/>
      <x:c r="B31" s="56"/>
      <x:c r="C31" s="56"/>
      <x:c r="D31" s="54"/>
      <x:c r="E31" s="58"/>
      <x:c r="F31" s="58"/>
      <x:c r="G31" s="58"/>
      <x:c r="H31" s="58"/>
      <x:c r="I31" s="58"/>
      <x:c r="J31" s="60" t="str">
        <x:f>IF(A31="","",IF(K31="Subscription","",IF(E31=0,"",IF(ISNUMBER(G31),G31/E31,IF(ISNUMBER(I31),-ABS(I31)/E31,IF(ISNUMBER(H31),0,IF(AND(ISNUMBER(F31),ISNUMBER(E31),E31&gt;0,F31&gt;E31),(F31-E31)/E31,IF(AND(ISNUMBER(F31),ISNUMBER(E31),E31&gt;0,F31=E31),0,IF(AND(ISNUMBER(F31),ISNUMBER(E31),E31&gt;0,F31=0),-1,"")))))))))</x:f>
      </x:c>
      <x:c r="K31" s="50" t="str">
        <x:f>IF(A31="","",IF(AND(ISNUMBER(E31),E31=0,OR(ISNUMBER(SEARCH("Free",D31&amp;"")),AND(ISNUMBER(F31),F31=0))),"Subscription",IF(ISNUMBER(G31),"Profit",IF(ISNUMBER(I31),"Disqualified",IF(ISNUMBER(H31),"Draw",IF(AND(ISNUMBER(F31),ISNUMBER(E31),E31&gt;0,F31&gt;E31),"Profit",IF(AND(ISNUMBER(F31),ISNUMBER(E31),E31&gt;0,F31=E31),"Draw",IF(AND(ISNUMBER(F31),ISNUMBER(E31),E31&gt;0,F31=0),"Disqualified",""))))))))</x:f>
      </x:c>
      <x:c r="L31" s="50"/>
      <x:c r="M31" s="58"/>
      <x:c r="N31" s="58"/>
      <x:c r="O31" s="62"/>
      <x:c r="P31" s="62"/>
      <x:c r="Q31" s="64" t="str">
        <x:f>IF(OR(B31="",C31="",C31&lt;B31),"",ROUNDUP((C31-B31)/7,0))</x:f>
      </x:c>
      <x:c r="R31" s="50"/>
      <x:c r="S31" s="50"/>
      <x:c r="T31" s="54"/>
      <x:c r="U31" s="66" t="str">
        <x:f>IF(A31="","",IF(K31="Subscription","",IF(ISNUMBER(G31),G31,0)-IF(ISNUMBER(I31),I31,0)))</x:f>
      </x:c>
      <x:c r="V31" s="64" t="str">
        <x:f>IF(OR(P31="",O31="",NOT(ISNUMBER(P31)),NOT(ISNUMBER(O31)),O31&gt;P31),"",P31-O31)</x:f>
      </x:c>
      <x:c r="W31" s="67" t="str">
        <x:f>IF(OR(P31="",P31=0,V31=""),"",V31/P31)</x:f>
      </x:c>
    </x:row>
    <x:row r="32" ht="21" customHeight="1">
      <x:c r="A32" s="54"/>
      <x:c r="B32" s="56"/>
      <x:c r="C32" s="56"/>
      <x:c r="D32" s="54"/>
      <x:c r="E32" s="58"/>
      <x:c r="F32" s="58"/>
      <x:c r="G32" s="58"/>
      <x:c r="H32" s="58"/>
      <x:c r="I32" s="58"/>
      <x:c r="J32" s="60" t="str">
        <x:f>IF(A32="","",IF(K32="Subscription","",IF(E32=0,"",IF(ISNUMBER(G32),G32/E32,IF(ISNUMBER(I32),-ABS(I32)/E32,IF(ISNUMBER(H32),0,IF(AND(ISNUMBER(F32),ISNUMBER(E32),E32&gt;0,F32&gt;E32),(F32-E32)/E32,IF(AND(ISNUMBER(F32),ISNUMBER(E32),E32&gt;0,F32=E32),0,IF(AND(ISNUMBER(F32),ISNUMBER(E32),E32&gt;0,F32=0),-1,"")))))))))</x:f>
      </x:c>
      <x:c r="K32" s="50" t="str">
        <x:f>IF(A32="","",IF(AND(ISNUMBER(E32),E32=0,OR(ISNUMBER(SEARCH("Free",D32&amp;"")),AND(ISNUMBER(F32),F32=0))),"Subscription",IF(ISNUMBER(G32),"Profit",IF(ISNUMBER(I32),"Disqualified",IF(ISNUMBER(H32),"Draw",IF(AND(ISNUMBER(F32),ISNUMBER(E32),E32&gt;0,F32&gt;E32),"Profit",IF(AND(ISNUMBER(F32),ISNUMBER(E32),E32&gt;0,F32=E32),"Draw",IF(AND(ISNUMBER(F32),ISNUMBER(E32),E32&gt;0,F32=0),"Disqualified",""))))))))</x:f>
      </x:c>
      <x:c r="L32" s="50"/>
      <x:c r="M32" s="58"/>
      <x:c r="N32" s="58"/>
      <x:c r="O32" s="62"/>
      <x:c r="P32" s="62"/>
      <x:c r="Q32" s="64" t="str">
        <x:f>IF(OR(B32="",C32="",C32&lt;B32),"",ROUNDUP((C32-B32)/7,0))</x:f>
      </x:c>
      <x:c r="R32" s="50"/>
      <x:c r="S32" s="50"/>
      <x:c r="T32" s="54"/>
      <x:c r="U32" s="66" t="str">
        <x:f>IF(A32="","",IF(K32="Subscription","",IF(ISNUMBER(G32),G32,0)-IF(ISNUMBER(I32),I32,0)))</x:f>
      </x:c>
      <x:c r="V32" s="64" t="str">
        <x:f>IF(OR(P32="",O32="",NOT(ISNUMBER(P32)),NOT(ISNUMBER(O32)),O32&gt;P32),"",P32-O32)</x:f>
      </x:c>
      <x:c r="W32" s="67" t="str">
        <x:f>IF(OR(P32="",P32=0,V32=""),"",V32/P32)</x:f>
      </x:c>
    </x:row>
    <x:row r="33" ht="21" customHeight="1">
      <x:c r="A33" s="54"/>
      <x:c r="B33" s="56"/>
      <x:c r="C33" s="56"/>
      <x:c r="D33" s="54"/>
      <x:c r="E33" s="58"/>
      <x:c r="F33" s="58"/>
      <x:c r="G33" s="58"/>
      <x:c r="H33" s="58"/>
      <x:c r="I33" s="58"/>
      <x:c r="J33" s="60" t="str">
        <x:f>IF(A33="","",IF(K33="Subscription","",IF(E33=0,"",IF(ISNUMBER(G33),G33/E33,IF(ISNUMBER(I33),-ABS(I33)/E33,IF(ISNUMBER(H33),0,IF(AND(ISNUMBER(F33),ISNUMBER(E33),E33&gt;0,F33&gt;E33),(F33-E33)/E33,IF(AND(ISNUMBER(F33),ISNUMBER(E33),E33&gt;0,F33=E33),0,IF(AND(ISNUMBER(F33),ISNUMBER(E33),E33&gt;0,F33=0),-1,"")))))))))</x:f>
      </x:c>
      <x:c r="K33" s="50" t="str">
        <x:f>IF(A33="","",IF(AND(ISNUMBER(E33),E33=0,OR(ISNUMBER(SEARCH("Free",D33&amp;"")),AND(ISNUMBER(F33),F33=0))),"Subscription",IF(ISNUMBER(G33),"Profit",IF(ISNUMBER(I33),"Disqualified",IF(ISNUMBER(H33),"Draw",IF(AND(ISNUMBER(F33),ISNUMBER(E33),E33&gt;0,F33&gt;E33),"Profit",IF(AND(ISNUMBER(F33),ISNUMBER(E33),E33&gt;0,F33=E33),"Draw",IF(AND(ISNUMBER(F33),ISNUMBER(E33),E33&gt;0,F33=0),"Disqualified",""))))))))</x:f>
      </x:c>
      <x:c r="L33" s="50"/>
      <x:c r="M33" s="58"/>
      <x:c r="N33" s="58"/>
      <x:c r="O33" s="62"/>
      <x:c r="P33" s="62"/>
      <x:c r="Q33" s="64" t="str">
        <x:f>IF(OR(B33="",C33="",C33&lt;B33),"",ROUNDUP((C33-B33)/7,0))</x:f>
      </x:c>
      <x:c r="R33" s="50"/>
      <x:c r="S33" s="50"/>
      <x:c r="T33" s="54"/>
      <x:c r="U33" s="66" t="str">
        <x:f>IF(A33="","",IF(K33="Subscription","",IF(ISNUMBER(G33),G33,0)-IF(ISNUMBER(I33),I33,0)))</x:f>
      </x:c>
      <x:c r="V33" s="64" t="str">
        <x:f>IF(OR(P33="",O33="",NOT(ISNUMBER(P33)),NOT(ISNUMBER(O33)),O33&gt;P33),"",P33-O33)</x:f>
      </x:c>
      <x:c r="W33" s="67" t="str">
        <x:f>IF(OR(P33="",P33=0,V33=""),"",V33/P33)</x:f>
      </x:c>
    </x:row>
    <x:row r="34" ht="21" customHeight="1">
      <x:c r="A34" s="54"/>
      <x:c r="B34" s="56"/>
      <x:c r="C34" s="56"/>
      <x:c r="D34" s="54"/>
      <x:c r="E34" s="58"/>
      <x:c r="F34" s="58"/>
      <x:c r="G34" s="58"/>
      <x:c r="H34" s="58"/>
      <x:c r="I34" s="58"/>
      <x:c r="J34" s="60" t="str">
        <x:f>IF(A34="","",IF(K34="Subscription","",IF(E34=0,"",IF(ISNUMBER(G34),G34/E34,IF(ISNUMBER(I34),-ABS(I34)/E34,IF(ISNUMBER(H34),0,IF(AND(ISNUMBER(F34),ISNUMBER(E34),E34&gt;0,F34&gt;E34),(F34-E34)/E34,IF(AND(ISNUMBER(F34),ISNUMBER(E34),E34&gt;0,F34=E34),0,IF(AND(ISNUMBER(F34),ISNUMBER(E34),E34&gt;0,F34=0),-1,"")))))))))</x:f>
      </x:c>
      <x:c r="K34" s="50" t="str">
        <x:f>IF(A34="","",IF(AND(ISNUMBER(E34),E34=0,OR(ISNUMBER(SEARCH("Free",D34&amp;"")),AND(ISNUMBER(F34),F34=0))),"Subscription",IF(ISNUMBER(G34),"Profit",IF(ISNUMBER(I34),"Disqualified",IF(ISNUMBER(H34),"Draw",IF(AND(ISNUMBER(F34),ISNUMBER(E34),E34&gt;0,F34&gt;E34),"Profit",IF(AND(ISNUMBER(F34),ISNUMBER(E34),E34&gt;0,F34=E34),"Draw",IF(AND(ISNUMBER(F34),ISNUMBER(E34),E34&gt;0,F34=0),"Disqualified",""))))))))</x:f>
      </x:c>
      <x:c r="L34" s="50"/>
      <x:c r="M34" s="58"/>
      <x:c r="N34" s="58"/>
      <x:c r="O34" s="62"/>
      <x:c r="P34" s="62"/>
      <x:c r="Q34" s="64" t="str">
        <x:f>IF(OR(B34="",C34="",C34&lt;B34),"",ROUNDUP((C34-B34)/7,0))</x:f>
      </x:c>
      <x:c r="R34" s="50"/>
      <x:c r="S34" s="50"/>
      <x:c r="T34" s="54"/>
      <x:c r="U34" s="66" t="str">
        <x:f>IF(A34="","",IF(K34="Subscription","",IF(ISNUMBER(G34),G34,0)-IF(ISNUMBER(I34),I34,0)))</x:f>
      </x:c>
      <x:c r="V34" s="64" t="str">
        <x:f>IF(OR(P34="",O34="",NOT(ISNUMBER(P34)),NOT(ISNUMBER(O34)),O34&gt;P34),"",P34-O34)</x:f>
      </x:c>
      <x:c r="W34" s="67" t="str">
        <x:f>IF(OR(P34="",P34=0,V34=""),"",V34/P34)</x:f>
      </x:c>
    </x:row>
    <x:row r="35" ht="21" customHeight="1">
      <x:c r="A35" s="54"/>
      <x:c r="B35" s="56"/>
      <x:c r="C35" s="56"/>
      <x:c r="D35" s="54"/>
      <x:c r="E35" s="58"/>
      <x:c r="F35" s="58"/>
      <x:c r="G35" s="58"/>
      <x:c r="H35" s="58"/>
      <x:c r="I35" s="58"/>
      <x:c r="J35" s="60" t="str">
        <x:f>IF(A35="","",IF(K35="Subscription","",IF(E35=0,"",IF(ISNUMBER(G35),G35/E35,IF(ISNUMBER(I35),-ABS(I35)/E35,IF(ISNUMBER(H35),0,IF(AND(ISNUMBER(F35),ISNUMBER(E35),E35&gt;0,F35&gt;E35),(F35-E35)/E35,IF(AND(ISNUMBER(F35),ISNUMBER(E35),E35&gt;0,F35=E35),0,IF(AND(ISNUMBER(F35),ISNUMBER(E35),E35&gt;0,F35=0),-1,"")))))))))</x:f>
      </x:c>
      <x:c r="K35" s="50" t="str">
        <x:f>IF(A35="","",IF(AND(ISNUMBER(E35),E35=0,OR(ISNUMBER(SEARCH("Free",D35&amp;"")),AND(ISNUMBER(F35),F35=0))),"Subscription",IF(ISNUMBER(G35),"Profit",IF(ISNUMBER(I35),"Disqualified",IF(ISNUMBER(H35),"Draw",IF(AND(ISNUMBER(F35),ISNUMBER(E35),E35&gt;0,F35&gt;E35),"Profit",IF(AND(ISNUMBER(F35),ISNUMBER(E35),E35&gt;0,F35=E35),"Draw",IF(AND(ISNUMBER(F35),ISNUMBER(E35),E35&gt;0,F35=0),"Disqualified",""))))))))</x:f>
      </x:c>
      <x:c r="L35" s="50"/>
      <x:c r="M35" s="58"/>
      <x:c r="N35" s="58"/>
      <x:c r="O35" s="62"/>
      <x:c r="P35" s="62"/>
      <x:c r="Q35" s="64" t="str">
        <x:f>IF(OR(B35="",C35="",C35&lt;B35),"",ROUNDUP((C35-B35)/7,0))</x:f>
      </x:c>
      <x:c r="R35" s="50"/>
      <x:c r="S35" s="50"/>
      <x:c r="T35" s="54"/>
      <x:c r="U35" s="66" t="str">
        <x:f>IF(A35="","",IF(K35="Subscription","",IF(ISNUMBER(G35),G35,0)-IF(ISNUMBER(I35),I35,0)))</x:f>
      </x:c>
      <x:c r="V35" s="64" t="str">
        <x:f>IF(OR(P35="",O35="",NOT(ISNUMBER(P35)),NOT(ISNUMBER(O35)),O35&gt;P35),"",P35-O35)</x:f>
      </x:c>
      <x:c r="W35" s="67" t="str">
        <x:f>IF(OR(P35="",P35=0,V35=""),"",V35/P35)</x:f>
      </x:c>
    </x:row>
    <x:row r="36" ht="21" customHeight="1">
      <x:c r="A36" s="54"/>
      <x:c r="B36" s="56"/>
      <x:c r="C36" s="56"/>
      <x:c r="D36" s="54"/>
      <x:c r="E36" s="58"/>
      <x:c r="F36" s="58"/>
      <x:c r="G36" s="58"/>
      <x:c r="H36" s="58"/>
      <x:c r="I36" s="58"/>
      <x:c r="J36" s="60" t="str">
        <x:f>IF(A36="","",IF(K36="Subscription","",IF(E36=0,"",IF(ISNUMBER(G36),G36/E36,IF(ISNUMBER(I36),-ABS(I36)/E36,IF(ISNUMBER(H36),0,IF(AND(ISNUMBER(F36),ISNUMBER(E36),E36&gt;0,F36&gt;E36),(F36-E36)/E36,IF(AND(ISNUMBER(F36),ISNUMBER(E36),E36&gt;0,F36=E36),0,IF(AND(ISNUMBER(F36),ISNUMBER(E36),E36&gt;0,F36=0),-1,"")))))))))</x:f>
      </x:c>
      <x:c r="K36" s="50" t="str">
        <x:f>IF(A36="","",IF(AND(ISNUMBER(E36),E36=0,OR(ISNUMBER(SEARCH("Free",D36&amp;"")),AND(ISNUMBER(F36),F36=0))),"Subscription",IF(ISNUMBER(G36),"Profit",IF(ISNUMBER(I36),"Disqualified",IF(ISNUMBER(H36),"Draw",IF(AND(ISNUMBER(F36),ISNUMBER(E36),E36&gt;0,F36&gt;E36),"Profit",IF(AND(ISNUMBER(F36),ISNUMBER(E36),E36&gt;0,F36=E36),"Draw",IF(AND(ISNUMBER(F36),ISNUMBER(E36),E36&gt;0,F36=0),"Disqualified",""))))))))</x:f>
      </x:c>
      <x:c r="L36" s="50"/>
      <x:c r="M36" s="58"/>
      <x:c r="N36" s="58"/>
      <x:c r="O36" s="62"/>
      <x:c r="P36" s="62"/>
      <x:c r="Q36" s="64" t="str">
        <x:f>IF(OR(B36="",C36="",C36&lt;B36),"",ROUNDUP((C36-B36)/7,0))</x:f>
      </x:c>
      <x:c r="R36" s="50"/>
      <x:c r="S36" s="50"/>
      <x:c r="T36" s="54"/>
      <x:c r="U36" s="66" t="str">
        <x:f>IF(A36="","",IF(K36="Subscription","",IF(ISNUMBER(G36),G36,0)-IF(ISNUMBER(I36),I36,0)))</x:f>
      </x:c>
      <x:c r="V36" s="64" t="str">
        <x:f>IF(OR(P36="",O36="",NOT(ISNUMBER(P36)),NOT(ISNUMBER(O36)),O36&gt;P36),"",P36-O36)</x:f>
      </x:c>
      <x:c r="W36" s="67" t="str">
        <x:f>IF(OR(P36="",P36=0,V36=""),"",V36/P36)</x:f>
      </x:c>
    </x:row>
    <x:row r="37" ht="21" customHeight="1">
      <x:c r="A37" s="54"/>
      <x:c r="B37" s="56"/>
      <x:c r="C37" s="56"/>
      <x:c r="D37" s="54"/>
      <x:c r="E37" s="58"/>
      <x:c r="F37" s="58"/>
      <x:c r="G37" s="58"/>
      <x:c r="H37" s="58"/>
      <x:c r="I37" s="58"/>
      <x:c r="J37" s="60" t="str">
        <x:f>IF(A37="","",IF(K37="Subscription","",IF(E37=0,"",IF(ISNUMBER(G37),G37/E37,IF(ISNUMBER(I37),-ABS(I37)/E37,IF(ISNUMBER(H37),0,IF(AND(ISNUMBER(F37),ISNUMBER(E37),E37&gt;0,F37&gt;E37),(F37-E37)/E37,IF(AND(ISNUMBER(F37),ISNUMBER(E37),E37&gt;0,F37=E37),0,IF(AND(ISNUMBER(F37),ISNUMBER(E37),E37&gt;0,F37=0),-1,"")))))))))</x:f>
      </x:c>
      <x:c r="K37" s="50" t="str">
        <x:f>IF(A37="","",IF(AND(ISNUMBER(E37),E37=0,OR(ISNUMBER(SEARCH("Free",D37&amp;"")),AND(ISNUMBER(F37),F37=0))),"Subscription",IF(ISNUMBER(G37),"Profit",IF(ISNUMBER(I37),"Disqualified",IF(ISNUMBER(H37),"Draw",IF(AND(ISNUMBER(F37),ISNUMBER(E37),E37&gt;0,F37&gt;E37),"Profit",IF(AND(ISNUMBER(F37),ISNUMBER(E37),E37&gt;0,F37=E37),"Draw",IF(AND(ISNUMBER(F37),ISNUMBER(E37),E37&gt;0,F37=0),"Disqualified",""))))))))</x:f>
      </x:c>
      <x:c r="L37" s="50"/>
      <x:c r="M37" s="58"/>
      <x:c r="N37" s="58"/>
      <x:c r="O37" s="62"/>
      <x:c r="P37" s="62"/>
      <x:c r="Q37" s="64" t="str">
        <x:f>IF(OR(B37="",C37="",C37&lt;B37),"",ROUNDUP((C37-B37)/7,0))</x:f>
      </x:c>
      <x:c r="R37" s="50"/>
      <x:c r="S37" s="50"/>
      <x:c r="T37" s="54"/>
      <x:c r="U37" s="66" t="str">
        <x:f>IF(A37="","",IF(K37="Subscription","",IF(ISNUMBER(G37),G37,0)-IF(ISNUMBER(I37),I37,0)))</x:f>
      </x:c>
      <x:c r="V37" s="64" t="str">
        <x:f>IF(OR(P37="",O37="",NOT(ISNUMBER(P37)),NOT(ISNUMBER(O37)),O37&gt;P37),"",P37-O37)</x:f>
      </x:c>
      <x:c r="W37" s="67" t="str">
        <x:f>IF(OR(P37="",P37=0,V37=""),"",V37/P37)</x:f>
      </x:c>
    </x:row>
    <x:row r="38" ht="21" customHeight="1">
      <x:c r="A38" s="54"/>
      <x:c r="B38" s="56"/>
      <x:c r="C38" s="56"/>
      <x:c r="D38" s="54"/>
      <x:c r="E38" s="58"/>
      <x:c r="F38" s="58"/>
      <x:c r="G38" s="58"/>
      <x:c r="H38" s="58"/>
      <x:c r="I38" s="58"/>
      <x:c r="J38" s="60" t="str">
        <x:f>IF(A38="","",IF(K38="Subscription","",IF(E38=0,"",IF(ISNUMBER(G38),G38/E38,IF(ISNUMBER(I38),-ABS(I38)/E38,IF(ISNUMBER(H38),0,IF(AND(ISNUMBER(F38),ISNUMBER(E38),E38&gt;0,F38&gt;E38),(F38-E38)/E38,IF(AND(ISNUMBER(F38),ISNUMBER(E38),E38&gt;0,F38=E38),0,IF(AND(ISNUMBER(F38),ISNUMBER(E38),E38&gt;0,F38=0),-1,"")))))))))</x:f>
      </x:c>
      <x:c r="K38" s="50" t="str">
        <x:f>IF(A38="","",IF(AND(ISNUMBER(E38),E38=0,OR(ISNUMBER(SEARCH("Free",D38&amp;"")),AND(ISNUMBER(F38),F38=0))),"Subscription",IF(ISNUMBER(G38),"Profit",IF(ISNUMBER(I38),"Disqualified",IF(ISNUMBER(H38),"Draw",IF(AND(ISNUMBER(F38),ISNUMBER(E38),E38&gt;0,F38&gt;E38),"Profit",IF(AND(ISNUMBER(F38),ISNUMBER(E38),E38&gt;0,F38=E38),"Draw",IF(AND(ISNUMBER(F38),ISNUMBER(E38),E38&gt;0,F38=0),"Disqualified",""))))))))</x:f>
      </x:c>
      <x:c r="L38" s="50"/>
      <x:c r="M38" s="58"/>
      <x:c r="N38" s="58"/>
      <x:c r="O38" s="62"/>
      <x:c r="P38" s="62"/>
      <x:c r="Q38" s="64" t="str">
        <x:f>IF(OR(B38="",C38="",C38&lt;B38),"",ROUNDUP((C38-B38)/7,0))</x:f>
      </x:c>
      <x:c r="R38" s="50"/>
      <x:c r="S38" s="50"/>
      <x:c r="T38" s="54"/>
      <x:c r="U38" s="66" t="str">
        <x:f>IF(A38="","",IF(K38="Subscription","",IF(ISNUMBER(G38),G38,0)-IF(ISNUMBER(I38),I38,0)))</x:f>
      </x:c>
      <x:c r="V38" s="64" t="str">
        <x:f>IF(OR(P38="",O38="",NOT(ISNUMBER(P38)),NOT(ISNUMBER(O38)),O38&gt;P38),"",P38-O38)</x:f>
      </x:c>
      <x:c r="W38" s="67" t="str">
        <x:f>IF(OR(P38="",P38=0,V38=""),"",V38/P38)</x:f>
      </x:c>
    </x:row>
    <x:row r="39" ht="21" customHeight="1">
      <x:c r="A39" s="54"/>
      <x:c r="B39" s="56"/>
      <x:c r="C39" s="56"/>
      <x:c r="D39" s="54"/>
      <x:c r="E39" s="58"/>
      <x:c r="F39" s="58"/>
      <x:c r="G39" s="58"/>
      <x:c r="H39" s="58"/>
      <x:c r="I39" s="58"/>
      <x:c r="J39" s="60" t="str">
        <x:f>IF(A39="","",IF(K39="Subscription","",IF(E39=0,"",IF(ISNUMBER(G39),G39/E39,IF(ISNUMBER(I39),-ABS(I39)/E39,IF(ISNUMBER(H39),0,IF(AND(ISNUMBER(F39),ISNUMBER(E39),E39&gt;0,F39&gt;E39),(F39-E39)/E39,IF(AND(ISNUMBER(F39),ISNUMBER(E39),E39&gt;0,F39=E39),0,IF(AND(ISNUMBER(F39),ISNUMBER(E39),E39&gt;0,F39=0),-1,"")))))))))</x:f>
      </x:c>
      <x:c r="K39" s="50" t="str">
        <x:f>IF(A39="","",IF(AND(ISNUMBER(E39),E39=0,OR(ISNUMBER(SEARCH("Free",D39&amp;"")),AND(ISNUMBER(F39),F39=0))),"Subscription",IF(ISNUMBER(G39),"Profit",IF(ISNUMBER(I39),"Disqualified",IF(ISNUMBER(H39),"Draw",IF(AND(ISNUMBER(F39),ISNUMBER(E39),E39&gt;0,F39&gt;E39),"Profit",IF(AND(ISNUMBER(F39),ISNUMBER(E39),E39&gt;0,F39=E39),"Draw",IF(AND(ISNUMBER(F39),ISNUMBER(E39),E39&gt;0,F39=0),"Disqualified",""))))))))</x:f>
      </x:c>
      <x:c r="L39" s="50"/>
      <x:c r="M39" s="58"/>
      <x:c r="N39" s="58"/>
      <x:c r="O39" s="62"/>
      <x:c r="P39" s="62"/>
      <x:c r="Q39" s="64" t="str">
        <x:f>IF(OR(B39="",C39="",C39&lt;B39),"",ROUNDUP((C39-B39)/7,0))</x:f>
      </x:c>
      <x:c r="R39" s="50"/>
      <x:c r="S39" s="50"/>
      <x:c r="T39" s="54"/>
      <x:c r="U39" s="66" t="str">
        <x:f>IF(A39="","",IF(K39="Subscription","",IF(ISNUMBER(G39),G39,0)-IF(ISNUMBER(I39),I39,0)))</x:f>
      </x:c>
      <x:c r="V39" s="64" t="str">
        <x:f>IF(OR(P39="",O39="",NOT(ISNUMBER(P39)),NOT(ISNUMBER(O39)),O39&gt;P39),"",P39-O39)</x:f>
      </x:c>
      <x:c r="W39" s="67" t="str">
        <x:f>IF(OR(P39="",P39=0,V39=""),"",V39/P39)</x:f>
      </x:c>
    </x:row>
    <x:row r="40" ht="21" customHeight="1">
      <x:c r="A40" s="54"/>
      <x:c r="B40" s="56"/>
      <x:c r="C40" s="56"/>
      <x:c r="D40" s="54"/>
      <x:c r="E40" s="58"/>
      <x:c r="F40" s="58"/>
      <x:c r="G40" s="58"/>
      <x:c r="H40" s="58"/>
      <x:c r="I40" s="58"/>
      <x:c r="J40" s="60" t="str">
        <x:f>IF(A40="","",IF(K40="Subscription","",IF(E40=0,"",IF(ISNUMBER(G40),G40/E40,IF(ISNUMBER(I40),-ABS(I40)/E40,IF(ISNUMBER(H40),0,IF(AND(ISNUMBER(F40),ISNUMBER(E40),E40&gt;0,F40&gt;E40),(F40-E40)/E40,IF(AND(ISNUMBER(F40),ISNUMBER(E40),E40&gt;0,F40=E40),0,IF(AND(ISNUMBER(F40),ISNUMBER(E40),E40&gt;0,F40=0),-1,"")))))))))</x:f>
      </x:c>
      <x:c r="K40" s="50" t="str">
        <x:f>IF(A40="","",IF(AND(ISNUMBER(E40),E40=0,OR(ISNUMBER(SEARCH("Free",D40&amp;"")),AND(ISNUMBER(F40),F40=0))),"Subscription",IF(ISNUMBER(G40),"Profit",IF(ISNUMBER(I40),"Disqualified",IF(ISNUMBER(H40),"Draw",IF(AND(ISNUMBER(F40),ISNUMBER(E40),E40&gt;0,F40&gt;E40),"Profit",IF(AND(ISNUMBER(F40),ISNUMBER(E40),E40&gt;0,F40=E40),"Draw",IF(AND(ISNUMBER(F40),ISNUMBER(E40),E40&gt;0,F40=0),"Disqualified",""))))))))</x:f>
      </x:c>
      <x:c r="L40" s="50"/>
      <x:c r="M40" s="58"/>
      <x:c r="N40" s="58"/>
      <x:c r="O40" s="62"/>
      <x:c r="P40" s="62"/>
      <x:c r="Q40" s="64" t="str">
        <x:f>IF(OR(B40="",C40="",C40&lt;B40),"",ROUNDUP((C40-B40)/7,0))</x:f>
      </x:c>
      <x:c r="R40" s="50"/>
      <x:c r="S40" s="50"/>
      <x:c r="T40" s="54"/>
      <x:c r="U40" s="66" t="str">
        <x:f>IF(A40="","",IF(K40="Subscription","",IF(ISNUMBER(G40),G40,0)-IF(ISNUMBER(I40),I40,0)))</x:f>
      </x:c>
      <x:c r="V40" s="64" t="str">
        <x:f>IF(OR(P40="",O40="",NOT(ISNUMBER(P40)),NOT(ISNUMBER(O40)),O40&gt;P40),"",P40-O40)</x:f>
      </x:c>
      <x:c r="W40" s="67" t="str">
        <x:f>IF(OR(P40="",P40=0,V40=""),"",V40/P40)</x:f>
      </x:c>
    </x:row>
    <x:row r="41" ht="21" customHeight="1">
      <x:c r="A41" s="54"/>
      <x:c r="B41" s="56"/>
      <x:c r="C41" s="56"/>
      <x:c r="D41" s="54"/>
      <x:c r="E41" s="58"/>
      <x:c r="F41" s="58"/>
      <x:c r="G41" s="58"/>
      <x:c r="H41" s="58"/>
      <x:c r="I41" s="58"/>
      <x:c r="J41" s="60" t="str">
        <x:f>IF(A41="","",IF(K41="Subscription","",IF(E41=0,"",IF(ISNUMBER(G41),G41/E41,IF(ISNUMBER(I41),-ABS(I41)/E41,IF(ISNUMBER(H41),0,IF(AND(ISNUMBER(F41),ISNUMBER(E41),E41&gt;0,F41&gt;E41),(F41-E41)/E41,IF(AND(ISNUMBER(F41),ISNUMBER(E41),E41&gt;0,F41=E41),0,IF(AND(ISNUMBER(F41),ISNUMBER(E41),E41&gt;0,F41=0),-1,"")))))))))</x:f>
      </x:c>
      <x:c r="K41" s="50" t="str">
        <x:f>IF(A41="","",IF(AND(ISNUMBER(E41),E41=0,OR(ISNUMBER(SEARCH("Free",D41&amp;"")),AND(ISNUMBER(F41),F41=0))),"Subscription",IF(ISNUMBER(G41),"Profit",IF(ISNUMBER(I41),"Disqualified",IF(ISNUMBER(H41),"Draw",IF(AND(ISNUMBER(F41),ISNUMBER(E41),E41&gt;0,F41&gt;E41),"Profit",IF(AND(ISNUMBER(F41),ISNUMBER(E41),E41&gt;0,F41=E41),"Draw",IF(AND(ISNUMBER(F41),ISNUMBER(E41),E41&gt;0,F41=0),"Disqualified",""))))))))</x:f>
      </x:c>
      <x:c r="L41" s="50"/>
      <x:c r="M41" s="58"/>
      <x:c r="N41" s="58"/>
      <x:c r="O41" s="62"/>
      <x:c r="P41" s="62"/>
      <x:c r="Q41" s="64" t="str">
        <x:f>IF(OR(B41="",C41="",C41&lt;B41),"",ROUNDUP((C41-B41)/7,0))</x:f>
      </x:c>
      <x:c r="R41" s="50"/>
      <x:c r="S41" s="50"/>
      <x:c r="T41" s="54"/>
      <x:c r="U41" s="66" t="str">
        <x:f>IF(A41="","",IF(K41="Subscription","",IF(ISNUMBER(G41),G41,0)-IF(ISNUMBER(I41),I41,0)))</x:f>
      </x:c>
      <x:c r="V41" s="64" t="str">
        <x:f>IF(OR(P41="",O41="",NOT(ISNUMBER(P41)),NOT(ISNUMBER(O41)),O41&gt;P41),"",P41-O41)</x:f>
      </x:c>
      <x:c r="W41" s="67" t="str">
        <x:f>IF(OR(P41="",P41=0,V41=""),"",V41/P41)</x:f>
      </x:c>
    </x:row>
    <x:row r="42" ht="21" customHeight="1">
      <x:c r="A42" s="54"/>
      <x:c r="B42" s="56"/>
      <x:c r="C42" s="56"/>
      <x:c r="D42" s="54"/>
      <x:c r="E42" s="58"/>
      <x:c r="F42" s="58"/>
      <x:c r="G42" s="58"/>
      <x:c r="H42" s="58"/>
      <x:c r="I42" s="58"/>
      <x:c r="J42" s="60" t="str">
        <x:f>IF(A42="","",IF(K42="Subscription","",IF(E42=0,"",IF(ISNUMBER(G42),G42/E42,IF(ISNUMBER(I42),-ABS(I42)/E42,IF(ISNUMBER(H42),0,IF(AND(ISNUMBER(F42),ISNUMBER(E42),E42&gt;0,F42&gt;E42),(F42-E42)/E42,IF(AND(ISNUMBER(F42),ISNUMBER(E42),E42&gt;0,F42=E42),0,IF(AND(ISNUMBER(F42),ISNUMBER(E42),E42&gt;0,F42=0),-1,"")))))))))</x:f>
      </x:c>
      <x:c r="K42" s="50" t="str">
        <x:f>IF(A42="","",IF(AND(ISNUMBER(E42),E42=0,OR(ISNUMBER(SEARCH("Free",D42&amp;"")),AND(ISNUMBER(F42),F42=0))),"Subscription",IF(ISNUMBER(G42),"Profit",IF(ISNUMBER(I42),"Disqualified",IF(ISNUMBER(H42),"Draw",IF(AND(ISNUMBER(F42),ISNUMBER(E42),E42&gt;0,F42&gt;E42),"Profit",IF(AND(ISNUMBER(F42),ISNUMBER(E42),E42&gt;0,F42=E42),"Draw",IF(AND(ISNUMBER(F42),ISNUMBER(E42),E42&gt;0,F42=0),"Disqualified",""))))))))</x:f>
      </x:c>
      <x:c r="L42" s="50"/>
      <x:c r="M42" s="58"/>
      <x:c r="N42" s="58"/>
      <x:c r="O42" s="62"/>
      <x:c r="P42" s="62"/>
      <x:c r="Q42" s="64" t="str">
        <x:f>IF(OR(B42="",C42="",C42&lt;B42),"",ROUNDUP((C42-B42)/7,0))</x:f>
      </x:c>
      <x:c r="R42" s="50"/>
      <x:c r="S42" s="50"/>
      <x:c r="T42" s="54"/>
      <x:c r="U42" s="66" t="str">
        <x:f>IF(A42="","",IF(K42="Subscription","",IF(ISNUMBER(G42),G42,0)-IF(ISNUMBER(I42),I42,0)))</x:f>
      </x:c>
      <x:c r="V42" s="64" t="str">
        <x:f>IF(OR(P42="",O42="",NOT(ISNUMBER(P42)),NOT(ISNUMBER(O42)),O42&gt;P42),"",P42-O42)</x:f>
      </x:c>
      <x:c r="W42" s="67" t="str">
        <x:f>IF(OR(P42="",P42=0,V42=""),"",V42/P42)</x:f>
      </x:c>
    </x:row>
    <x:row r="43" ht="21" customHeight="1">
      <x:c r="A43" s="54"/>
      <x:c r="B43" s="56"/>
      <x:c r="C43" s="56"/>
      <x:c r="D43" s="54"/>
      <x:c r="E43" s="58"/>
      <x:c r="F43" s="58"/>
      <x:c r="G43" s="58"/>
      <x:c r="H43" s="58"/>
      <x:c r="I43" s="58"/>
      <x:c r="J43" s="60" t="str">
        <x:f>IF(A43="","",IF(K43="Subscription","",IF(E43=0,"",IF(ISNUMBER(G43),G43/E43,IF(ISNUMBER(I43),-ABS(I43)/E43,IF(ISNUMBER(H43),0,IF(AND(ISNUMBER(F43),ISNUMBER(E43),E43&gt;0,F43&gt;E43),(F43-E43)/E43,IF(AND(ISNUMBER(F43),ISNUMBER(E43),E43&gt;0,F43=E43),0,IF(AND(ISNUMBER(F43),ISNUMBER(E43),E43&gt;0,F43=0),-1,"")))))))))</x:f>
      </x:c>
      <x:c r="K43" s="50" t="str">
        <x:f>IF(A43="","",IF(AND(ISNUMBER(E43),E43=0,OR(ISNUMBER(SEARCH("Free",D43&amp;"")),AND(ISNUMBER(F43),F43=0))),"Subscription",IF(ISNUMBER(G43),"Profit",IF(ISNUMBER(I43),"Disqualified",IF(ISNUMBER(H43),"Draw",IF(AND(ISNUMBER(F43),ISNUMBER(E43),E43&gt;0,F43&gt;E43),"Profit",IF(AND(ISNUMBER(F43),ISNUMBER(E43),E43&gt;0,F43=E43),"Draw",IF(AND(ISNUMBER(F43),ISNUMBER(E43),E43&gt;0,F43=0),"Disqualified",""))))))))</x:f>
      </x:c>
      <x:c r="L43" s="50"/>
      <x:c r="M43" s="58"/>
      <x:c r="N43" s="58"/>
      <x:c r="O43" s="62"/>
      <x:c r="P43" s="62"/>
      <x:c r="Q43" s="64" t="str">
        <x:f>IF(OR(B43="",C43="",C43&lt;B43),"",ROUNDUP((C43-B43)/7,0))</x:f>
      </x:c>
      <x:c r="R43" s="50"/>
      <x:c r="S43" s="50"/>
      <x:c r="T43" s="54"/>
      <x:c r="U43" s="66" t="str">
        <x:f>IF(A43="","",IF(K43="Subscription","",IF(ISNUMBER(G43),G43,0)-IF(ISNUMBER(I43),I43,0)))</x:f>
      </x:c>
      <x:c r="V43" s="64" t="str">
        <x:f>IF(OR(P43="",O43="",NOT(ISNUMBER(P43)),NOT(ISNUMBER(O43)),O43&gt;P43),"",P43-O43)</x:f>
      </x:c>
      <x:c r="W43" s="67" t="str">
        <x:f>IF(OR(P43="",P43=0,V43=""),"",V43/P43)</x:f>
      </x:c>
    </x:row>
    <x:row r="44" ht="21" customHeight="1">
      <x:c r="A44" s="54"/>
      <x:c r="B44" s="56"/>
      <x:c r="C44" s="56"/>
      <x:c r="D44" s="54"/>
      <x:c r="E44" s="58"/>
      <x:c r="F44" s="58"/>
      <x:c r="G44" s="58"/>
      <x:c r="H44" s="58"/>
      <x:c r="I44" s="58"/>
      <x:c r="J44" s="60" t="str">
        <x:f>IF(A44="","",IF(K44="Subscription","",IF(E44=0,"",IF(ISNUMBER(G44),G44/E44,IF(ISNUMBER(I44),-ABS(I44)/E44,IF(ISNUMBER(H44),0,IF(AND(ISNUMBER(F44),ISNUMBER(E44),E44&gt;0,F44&gt;E44),(F44-E44)/E44,IF(AND(ISNUMBER(F44),ISNUMBER(E44),E44&gt;0,F44=E44),0,IF(AND(ISNUMBER(F44),ISNUMBER(E44),E44&gt;0,F44=0),-1,"")))))))))</x:f>
      </x:c>
      <x:c r="K44" s="50" t="str">
        <x:f>IF(A44="","",IF(AND(ISNUMBER(E44),E44=0,OR(ISNUMBER(SEARCH("Free",D44&amp;"")),AND(ISNUMBER(F44),F44=0))),"Subscription",IF(ISNUMBER(G44),"Profit",IF(ISNUMBER(I44),"Disqualified",IF(ISNUMBER(H44),"Draw",IF(AND(ISNUMBER(F44),ISNUMBER(E44),E44&gt;0,F44&gt;E44),"Profit",IF(AND(ISNUMBER(F44),ISNUMBER(E44),E44&gt;0,F44=E44),"Draw",IF(AND(ISNUMBER(F44),ISNUMBER(E44),E44&gt;0,F44=0),"Disqualified",""))))))))</x:f>
      </x:c>
      <x:c r="L44" s="50"/>
      <x:c r="M44" s="58"/>
      <x:c r="N44" s="58"/>
      <x:c r="O44" s="62"/>
      <x:c r="P44" s="62"/>
      <x:c r="Q44" s="64" t="str">
        <x:f>IF(OR(B44="",C44="",C44&lt;B44),"",ROUNDUP((C44-B44)/7,0))</x:f>
      </x:c>
      <x:c r="R44" s="50"/>
      <x:c r="S44" s="50"/>
      <x:c r="T44" s="54"/>
      <x:c r="U44" s="66" t="str">
        <x:f>IF(A44="","",IF(K44="Subscription","",IF(ISNUMBER(G44),G44,0)-IF(ISNUMBER(I44),I44,0)))</x:f>
      </x:c>
      <x:c r="V44" s="64" t="str">
        <x:f>IF(OR(P44="",O44="",NOT(ISNUMBER(P44)),NOT(ISNUMBER(O44)),O44&gt;P44),"",P44-O44)</x:f>
      </x:c>
      <x:c r="W44" s="67" t="str">
        <x:f>IF(OR(P44="",P44=0,V44=""),"",V44/P44)</x:f>
      </x:c>
    </x:row>
    <x:row r="45" ht="21" customHeight="1">
      <x:c r="A45" s="54"/>
      <x:c r="B45" s="56"/>
      <x:c r="C45" s="56"/>
      <x:c r="D45" s="54"/>
      <x:c r="E45" s="58"/>
      <x:c r="F45" s="58"/>
      <x:c r="G45" s="58"/>
      <x:c r="H45" s="58"/>
      <x:c r="I45" s="58"/>
      <x:c r="J45" s="60" t="str">
        <x:f>IF(A45="","",IF(K45="Subscription","",IF(E45=0,"",IF(ISNUMBER(G45),G45/E45,IF(ISNUMBER(I45),-ABS(I45)/E45,IF(ISNUMBER(H45),0,IF(AND(ISNUMBER(F45),ISNUMBER(E45),E45&gt;0,F45&gt;E45),(F45-E45)/E45,IF(AND(ISNUMBER(F45),ISNUMBER(E45),E45&gt;0,F45=E45),0,IF(AND(ISNUMBER(F45),ISNUMBER(E45),E45&gt;0,F45=0),-1,"")))))))))</x:f>
      </x:c>
      <x:c r="K45" s="50" t="str">
        <x:f>IF(A45="","",IF(AND(ISNUMBER(E45),E45=0,OR(ISNUMBER(SEARCH("Free",D45&amp;"")),AND(ISNUMBER(F45),F45=0))),"Subscription",IF(ISNUMBER(G45),"Profit",IF(ISNUMBER(I45),"Disqualified",IF(ISNUMBER(H45),"Draw",IF(AND(ISNUMBER(F45),ISNUMBER(E45),E45&gt;0,F45&gt;E45),"Profit",IF(AND(ISNUMBER(F45),ISNUMBER(E45),E45&gt;0,F45=E45),"Draw",IF(AND(ISNUMBER(F45),ISNUMBER(E45),E45&gt;0,F45=0),"Disqualified",""))))))))</x:f>
      </x:c>
      <x:c r="L45" s="50"/>
      <x:c r="M45" s="58"/>
      <x:c r="N45" s="58"/>
      <x:c r="O45" s="62"/>
      <x:c r="P45" s="62"/>
      <x:c r="Q45" s="64" t="str">
        <x:f>IF(OR(B45="",C45="",C45&lt;B45),"",ROUNDUP((C45-B45)/7,0))</x:f>
      </x:c>
      <x:c r="R45" s="50"/>
      <x:c r="S45" s="50"/>
      <x:c r="T45" s="54"/>
      <x:c r="U45" s="66" t="str">
        <x:f>IF(A45="","",IF(K45="Subscription","",IF(ISNUMBER(G45),G45,0)-IF(ISNUMBER(I45),I45,0)))</x:f>
      </x:c>
      <x:c r="V45" s="64" t="str">
        <x:f>IF(OR(P45="",O45="",NOT(ISNUMBER(P45)),NOT(ISNUMBER(O45)),O45&gt;P45),"",P45-O45)</x:f>
      </x:c>
      <x:c r="W45" s="67" t="str">
        <x:f>IF(OR(P45="",P45=0,V45=""),"",V45/P45)</x:f>
      </x:c>
    </x:row>
    <x:row r="46" ht="21" customHeight="1">
      <x:c r="A46" s="54"/>
      <x:c r="B46" s="56"/>
      <x:c r="C46" s="56"/>
      <x:c r="D46" s="54"/>
      <x:c r="E46" s="58"/>
      <x:c r="F46" s="58"/>
      <x:c r="G46" s="58"/>
      <x:c r="H46" s="58"/>
      <x:c r="I46" s="58"/>
      <x:c r="J46" s="60" t="str">
        <x:f>IF(A46="","",IF(K46="Subscription","",IF(E46=0,"",IF(ISNUMBER(G46),G46/E46,IF(ISNUMBER(I46),-ABS(I46)/E46,IF(ISNUMBER(H46),0,IF(AND(ISNUMBER(F46),ISNUMBER(E46),E46&gt;0,F46&gt;E46),(F46-E46)/E46,IF(AND(ISNUMBER(F46),ISNUMBER(E46),E46&gt;0,F46=E46),0,IF(AND(ISNUMBER(F46),ISNUMBER(E46),E46&gt;0,F46=0),-1,"")))))))))</x:f>
      </x:c>
      <x:c r="K46" s="50" t="str">
        <x:f>IF(A46="","",IF(AND(ISNUMBER(E46),E46=0,OR(ISNUMBER(SEARCH("Free",D46&amp;"")),AND(ISNUMBER(F46),F46=0))),"Subscription",IF(ISNUMBER(G46),"Profit",IF(ISNUMBER(I46),"Disqualified",IF(ISNUMBER(H46),"Draw",IF(AND(ISNUMBER(F46),ISNUMBER(E46),E46&gt;0,F46&gt;E46),"Profit",IF(AND(ISNUMBER(F46),ISNUMBER(E46),E46&gt;0,F46=E46),"Draw",IF(AND(ISNUMBER(F46),ISNUMBER(E46),E46&gt;0,F46=0),"Disqualified",""))))))))</x:f>
      </x:c>
      <x:c r="L46" s="50"/>
      <x:c r="M46" s="58"/>
      <x:c r="N46" s="58"/>
      <x:c r="O46" s="62"/>
      <x:c r="P46" s="62"/>
      <x:c r="Q46" s="64" t="str">
        <x:f>IF(OR(B46="",C46="",C46&lt;B46),"",ROUNDUP((C46-B46)/7,0))</x:f>
      </x:c>
      <x:c r="R46" s="50"/>
      <x:c r="S46" s="50"/>
      <x:c r="T46" s="54"/>
      <x:c r="U46" s="66" t="str">
        <x:f>IF(A46="","",IF(K46="Subscription","",IF(ISNUMBER(G46),G46,0)-IF(ISNUMBER(I46),I46,0)))</x:f>
      </x:c>
      <x:c r="V46" s="64" t="str">
        <x:f>IF(OR(P46="",O46="",NOT(ISNUMBER(P46)),NOT(ISNUMBER(O46)),O46&gt;P46),"",P46-O46)</x:f>
      </x:c>
      <x:c r="W46" s="67" t="str">
        <x:f>IF(OR(P46="",P46=0,V46=""),"",V46/P46)</x:f>
      </x:c>
    </x:row>
    <x:row r="47" ht="21" customHeight="1">
      <x:c r="A47" s="54"/>
      <x:c r="B47" s="56"/>
      <x:c r="C47" s="56"/>
      <x:c r="D47" s="54"/>
      <x:c r="E47" s="58"/>
      <x:c r="F47" s="58"/>
      <x:c r="G47" s="58"/>
      <x:c r="H47" s="58"/>
      <x:c r="I47" s="58"/>
      <x:c r="J47" s="60" t="str">
        <x:f>IF(A47="","",IF(K47="Subscription","",IF(E47=0,"",IF(ISNUMBER(G47),G47/E47,IF(ISNUMBER(I47),-ABS(I47)/E47,IF(ISNUMBER(H47),0,IF(AND(ISNUMBER(F47),ISNUMBER(E47),E47&gt;0,F47&gt;E47),(F47-E47)/E47,IF(AND(ISNUMBER(F47),ISNUMBER(E47),E47&gt;0,F47=E47),0,IF(AND(ISNUMBER(F47),ISNUMBER(E47),E47&gt;0,F47=0),-1,"")))))))))</x:f>
      </x:c>
      <x:c r="K47" s="50" t="str">
        <x:f>IF(A47="","",IF(AND(ISNUMBER(E47),E47=0,OR(ISNUMBER(SEARCH("Free",D47&amp;"")),AND(ISNUMBER(F47),F47=0))),"Subscription",IF(ISNUMBER(G47),"Profit",IF(ISNUMBER(I47),"Disqualified",IF(ISNUMBER(H47),"Draw",IF(AND(ISNUMBER(F47),ISNUMBER(E47),E47&gt;0,F47&gt;E47),"Profit",IF(AND(ISNUMBER(F47),ISNUMBER(E47),E47&gt;0,F47=E47),"Draw",IF(AND(ISNUMBER(F47),ISNUMBER(E47),E47&gt;0,F47=0),"Disqualified",""))))))))</x:f>
      </x:c>
      <x:c r="L47" s="50"/>
      <x:c r="M47" s="58"/>
      <x:c r="N47" s="58"/>
      <x:c r="O47" s="62"/>
      <x:c r="P47" s="62"/>
      <x:c r="Q47" s="64" t="str">
        <x:f>IF(OR(B47="",C47="",C47&lt;B47),"",ROUNDUP((C47-B47)/7,0))</x:f>
      </x:c>
      <x:c r="R47" s="50"/>
      <x:c r="S47" s="50"/>
      <x:c r="T47" s="54"/>
      <x:c r="U47" s="66" t="str">
        <x:f>IF(A47="","",IF(K47="Subscription","",IF(ISNUMBER(G47),G47,0)-IF(ISNUMBER(I47),I47,0)))</x:f>
      </x:c>
      <x:c r="V47" s="64" t="str">
        <x:f>IF(OR(P47="",O47="",NOT(ISNUMBER(P47)),NOT(ISNUMBER(O47)),O47&gt;P47),"",P47-O47)</x:f>
      </x:c>
      <x:c r="W47" s="67" t="str">
        <x:f>IF(OR(P47="",P47=0,V47=""),"",V47/P47)</x:f>
      </x:c>
    </x:row>
    <x:row r="48" ht="21" customHeight="1">
      <x:c r="A48" s="54"/>
      <x:c r="B48" s="56"/>
      <x:c r="C48" s="56"/>
      <x:c r="D48" s="54"/>
      <x:c r="E48" s="58"/>
      <x:c r="F48" s="58"/>
      <x:c r="G48" s="58"/>
      <x:c r="H48" s="58"/>
      <x:c r="I48" s="58"/>
      <x:c r="J48" s="60" t="str">
        <x:f>IF(A48="","",IF(K48="Subscription","",IF(E48=0,"",IF(ISNUMBER(G48),G48/E48,IF(ISNUMBER(I48),-ABS(I48)/E48,IF(ISNUMBER(H48),0,IF(AND(ISNUMBER(F48),ISNUMBER(E48),E48&gt;0,F48&gt;E48),(F48-E48)/E48,IF(AND(ISNUMBER(F48),ISNUMBER(E48),E48&gt;0,F48=E48),0,IF(AND(ISNUMBER(F48),ISNUMBER(E48),E48&gt;0,F48=0),-1,"")))))))))</x:f>
      </x:c>
      <x:c r="K48" s="50" t="str">
        <x:f>IF(A48="","",IF(AND(ISNUMBER(E48),E48=0,OR(ISNUMBER(SEARCH("Free",D48&amp;"")),AND(ISNUMBER(F48),F48=0))),"Subscription",IF(ISNUMBER(G48),"Profit",IF(ISNUMBER(I48),"Disqualified",IF(ISNUMBER(H48),"Draw",IF(AND(ISNUMBER(F48),ISNUMBER(E48),E48&gt;0,F48&gt;E48),"Profit",IF(AND(ISNUMBER(F48),ISNUMBER(E48),E48&gt;0,F48=E48),"Draw",IF(AND(ISNUMBER(F48),ISNUMBER(E48),E48&gt;0,F48=0),"Disqualified",""))))))))</x:f>
      </x:c>
      <x:c r="L48" s="50"/>
      <x:c r="M48" s="58"/>
      <x:c r="N48" s="58"/>
      <x:c r="O48" s="62"/>
      <x:c r="P48" s="62"/>
      <x:c r="Q48" s="64" t="str">
        <x:f>IF(OR(B48="",C48="",C48&lt;B48),"",ROUNDUP((C48-B48)/7,0))</x:f>
      </x:c>
      <x:c r="R48" s="50"/>
      <x:c r="S48" s="50"/>
      <x:c r="T48" s="54"/>
      <x:c r="U48" s="66" t="str">
        <x:f>IF(A48="","",IF(K48="Subscription","",IF(ISNUMBER(G48),G48,0)-IF(ISNUMBER(I48),I48,0)))</x:f>
      </x:c>
      <x:c r="V48" s="64" t="str">
        <x:f>IF(OR(P48="",O48="",NOT(ISNUMBER(P48)),NOT(ISNUMBER(O48)),O48&gt;P48),"",P48-O48)</x:f>
      </x:c>
      <x:c r="W48" s="67" t="str">
        <x:f>IF(OR(P48="",P48=0,V48=""),"",V48/P48)</x:f>
      </x:c>
    </x:row>
    <x:row r="49" ht="21" customHeight="1">
      <x:c r="A49" s="54"/>
      <x:c r="B49" s="56"/>
      <x:c r="C49" s="56"/>
      <x:c r="D49" s="54"/>
      <x:c r="E49" s="58"/>
      <x:c r="F49" s="58"/>
      <x:c r="G49" s="58"/>
      <x:c r="H49" s="58"/>
      <x:c r="I49" s="58"/>
      <x:c r="J49" s="60" t="str">
        <x:f>IF(A49="","",IF(K49="Subscription","",IF(E49=0,"",IF(ISNUMBER(G49),G49/E49,IF(ISNUMBER(I49),-ABS(I49)/E49,IF(ISNUMBER(H49),0,IF(AND(ISNUMBER(F49),ISNUMBER(E49),E49&gt;0,F49&gt;E49),(F49-E49)/E49,IF(AND(ISNUMBER(F49),ISNUMBER(E49),E49&gt;0,F49=E49),0,IF(AND(ISNUMBER(F49),ISNUMBER(E49),E49&gt;0,F49=0),-1,"")))))))))</x:f>
      </x:c>
      <x:c r="K49" s="50" t="str">
        <x:f>IF(A49="","",IF(AND(ISNUMBER(E49),E49=0,OR(ISNUMBER(SEARCH("Free",D49&amp;"")),AND(ISNUMBER(F49),F49=0))),"Subscription",IF(ISNUMBER(G49),"Profit",IF(ISNUMBER(I49),"Disqualified",IF(ISNUMBER(H49),"Draw",IF(AND(ISNUMBER(F49),ISNUMBER(E49),E49&gt;0,F49&gt;E49),"Profit",IF(AND(ISNUMBER(F49),ISNUMBER(E49),E49&gt;0,F49=E49),"Draw",IF(AND(ISNUMBER(F49),ISNUMBER(E49),E49&gt;0,F49=0),"Disqualified",""))))))))</x:f>
      </x:c>
      <x:c r="L49" s="50"/>
      <x:c r="M49" s="58"/>
      <x:c r="N49" s="58"/>
      <x:c r="O49" s="62"/>
      <x:c r="P49" s="62"/>
      <x:c r="Q49" s="64" t="str">
        <x:f>IF(OR(B49="",C49="",C49&lt;B49),"",ROUNDUP((C49-B49)/7,0))</x:f>
      </x:c>
      <x:c r="R49" s="50"/>
      <x:c r="S49" s="50"/>
      <x:c r="T49" s="54"/>
      <x:c r="U49" s="66" t="str">
        <x:f>IF(A49="","",IF(K49="Subscription","",IF(ISNUMBER(G49),G49,0)-IF(ISNUMBER(I49),I49,0)))</x:f>
      </x:c>
      <x:c r="V49" s="64" t="str">
        <x:f>IF(OR(P49="",O49="",NOT(ISNUMBER(P49)),NOT(ISNUMBER(O49)),O49&gt;P49),"",P49-O49)</x:f>
      </x:c>
      <x:c r="W49" s="67" t="str">
        <x:f>IF(OR(P49="",P49=0,V49=""),"",V49/P49)</x:f>
      </x:c>
    </x:row>
    <x:row r="50" ht="21" customHeight="1">
      <x:c r="A50" s="54"/>
      <x:c r="B50" s="56"/>
      <x:c r="C50" s="56"/>
      <x:c r="D50" s="54"/>
      <x:c r="E50" s="58"/>
      <x:c r="F50" s="58"/>
      <x:c r="G50" s="58"/>
      <x:c r="H50" s="58"/>
      <x:c r="I50" s="58"/>
      <x:c r="J50" s="60" t="str">
        <x:f>IF(A50="","",IF(K50="Subscription","",IF(E50=0,"",IF(ISNUMBER(G50),G50/E50,IF(ISNUMBER(I50),-ABS(I50)/E50,IF(ISNUMBER(H50),0,IF(AND(ISNUMBER(F50),ISNUMBER(E50),E50&gt;0,F50&gt;E50),(F50-E50)/E50,IF(AND(ISNUMBER(F50),ISNUMBER(E50),E50&gt;0,F50=E50),0,IF(AND(ISNUMBER(F50),ISNUMBER(E50),E50&gt;0,F50=0),-1,"")))))))))</x:f>
      </x:c>
      <x:c r="K50" s="50" t="str">
        <x:f>IF(A50="","",IF(AND(ISNUMBER(E50),E50=0,OR(ISNUMBER(SEARCH("Free",D50&amp;"")),AND(ISNUMBER(F50),F50=0))),"Subscription",IF(ISNUMBER(G50),"Profit",IF(ISNUMBER(I50),"Disqualified",IF(ISNUMBER(H50),"Draw",IF(AND(ISNUMBER(F50),ISNUMBER(E50),E50&gt;0,F50&gt;E50),"Profit",IF(AND(ISNUMBER(F50),ISNUMBER(E50),E50&gt;0,F50=E50),"Draw",IF(AND(ISNUMBER(F50),ISNUMBER(E50),E50&gt;0,F50=0),"Disqualified",""))))))))</x:f>
      </x:c>
      <x:c r="L50" s="50"/>
      <x:c r="M50" s="58"/>
      <x:c r="N50" s="58"/>
      <x:c r="O50" s="62"/>
      <x:c r="P50" s="62"/>
      <x:c r="Q50" s="64" t="str">
        <x:f>IF(OR(B50="",C50="",C50&lt;B50),"",ROUNDUP((C50-B50)/7,0))</x:f>
      </x:c>
      <x:c r="R50" s="50"/>
      <x:c r="S50" s="50"/>
      <x:c r="T50" s="54"/>
      <x:c r="U50" s="66" t="str">
        <x:f>IF(A50="","",IF(K50="Subscription","",IF(ISNUMBER(G50),G50,0)-IF(ISNUMBER(I50),I50,0)))</x:f>
      </x:c>
      <x:c r="V50" s="64" t="str">
        <x:f>IF(OR(P50="",O50="",NOT(ISNUMBER(P50)),NOT(ISNUMBER(O50)),O50&gt;P50),"",P50-O50)</x:f>
      </x:c>
      <x:c r="W50" s="67" t="str">
        <x:f>IF(OR(P50="",P50=0,V50=""),"",V50/P50)</x:f>
      </x:c>
    </x:row>
    <x:row r="51" ht="21" customHeight="1">
      <x:c r="A51" s="54"/>
      <x:c r="B51" s="56"/>
      <x:c r="C51" s="56"/>
      <x:c r="D51" s="54"/>
      <x:c r="E51" s="58"/>
      <x:c r="F51" s="58"/>
      <x:c r="G51" s="58"/>
      <x:c r="H51" s="58"/>
      <x:c r="I51" s="58"/>
      <x:c r="J51" s="60" t="str">
        <x:f>IF(A51="","",IF(K51="Subscription","",IF(E51=0,"",IF(ISNUMBER(G51),G51/E51,IF(ISNUMBER(I51),-ABS(I51)/E51,IF(ISNUMBER(H51),0,IF(AND(ISNUMBER(F51),ISNUMBER(E51),E51&gt;0,F51&gt;E51),(F51-E51)/E51,IF(AND(ISNUMBER(F51),ISNUMBER(E51),E51&gt;0,F51=E51),0,IF(AND(ISNUMBER(F51),ISNUMBER(E51),E51&gt;0,F51=0),-1,"")))))))))</x:f>
      </x:c>
      <x:c r="K51" s="50" t="str">
        <x:f>IF(A51="","",IF(AND(ISNUMBER(E51),E51=0,OR(ISNUMBER(SEARCH("Free",D51&amp;"")),AND(ISNUMBER(F51),F51=0))),"Subscription",IF(ISNUMBER(G51),"Profit",IF(ISNUMBER(I51),"Disqualified",IF(ISNUMBER(H51),"Draw",IF(AND(ISNUMBER(F51),ISNUMBER(E51),E51&gt;0,F51&gt;E51),"Profit",IF(AND(ISNUMBER(F51),ISNUMBER(E51),E51&gt;0,F51=E51),"Draw",IF(AND(ISNUMBER(F51),ISNUMBER(E51),E51&gt;0,F51=0),"Disqualified",""))))))))</x:f>
      </x:c>
      <x:c r="L51" s="50"/>
      <x:c r="M51" s="58"/>
      <x:c r="N51" s="58"/>
      <x:c r="O51" s="62"/>
      <x:c r="P51" s="62"/>
      <x:c r="Q51" s="64" t="str">
        <x:f>IF(OR(B51="",C51="",C51&lt;B51),"",ROUNDUP((C51-B51)/7,0))</x:f>
      </x:c>
      <x:c r="R51" s="50"/>
      <x:c r="S51" s="50"/>
      <x:c r="T51" s="54"/>
      <x:c r="U51" s="66" t="str">
        <x:f>IF(A51="","",IF(K51="Subscription","",IF(ISNUMBER(G51),G51,0)-IF(ISNUMBER(I51),I51,0)))</x:f>
      </x:c>
      <x:c r="V51" s="64" t="str">
        <x:f>IF(OR(P51="",O51="",NOT(ISNUMBER(P51)),NOT(ISNUMBER(O51)),O51&gt;P51),"",P51-O51)</x:f>
      </x:c>
      <x:c r="W51" s="67" t="str">
        <x:f>IF(OR(P51="",P51=0,V51=""),"",V51/P51)</x:f>
      </x:c>
    </x:row>
    <x:row r="52" ht="21" customHeight="1">
      <x:c r="A52" s="54"/>
      <x:c r="B52" s="56"/>
      <x:c r="C52" s="56"/>
      <x:c r="D52" s="54"/>
      <x:c r="E52" s="58"/>
      <x:c r="F52" s="58"/>
      <x:c r="G52" s="58"/>
      <x:c r="H52" s="58"/>
      <x:c r="I52" s="58"/>
      <x:c r="J52" s="60" t="str">
        <x:f>IF(A52="","",IF(K52="Subscription","",IF(E52=0,"",IF(ISNUMBER(G52),G52/E52,IF(ISNUMBER(I52),-ABS(I52)/E52,IF(ISNUMBER(H52),0,IF(AND(ISNUMBER(F52),ISNUMBER(E52),E52&gt;0,F52&gt;E52),(F52-E52)/E52,IF(AND(ISNUMBER(F52),ISNUMBER(E52),E52&gt;0,F52=E52),0,IF(AND(ISNUMBER(F52),ISNUMBER(E52),E52&gt;0,F52=0),-1,"")))))))))</x:f>
      </x:c>
      <x:c r="K52" s="50" t="str">
        <x:f>IF(A52="","",IF(AND(ISNUMBER(E52),E52=0,OR(ISNUMBER(SEARCH("Free",D52&amp;"")),AND(ISNUMBER(F52),F52=0))),"Subscription",IF(ISNUMBER(G52),"Profit",IF(ISNUMBER(I52),"Disqualified",IF(ISNUMBER(H52),"Draw",IF(AND(ISNUMBER(F52),ISNUMBER(E52),E52&gt;0,F52&gt;E52),"Profit",IF(AND(ISNUMBER(F52),ISNUMBER(E52),E52&gt;0,F52=E52),"Draw",IF(AND(ISNUMBER(F52),ISNUMBER(E52),E52&gt;0,F52=0),"Disqualified",""))))))))</x:f>
      </x:c>
      <x:c r="L52" s="50"/>
      <x:c r="M52" s="58"/>
      <x:c r="N52" s="58"/>
      <x:c r="O52" s="62"/>
      <x:c r="P52" s="62"/>
      <x:c r="Q52" s="64" t="str">
        <x:f>IF(OR(B52="",C52="",C52&lt;B52),"",ROUNDUP((C52-B52)/7,0))</x:f>
      </x:c>
      <x:c r="R52" s="50"/>
      <x:c r="S52" s="50"/>
      <x:c r="T52" s="54"/>
      <x:c r="U52" s="66" t="str">
        <x:f>IF(A52="","",IF(K52="Subscription","",IF(ISNUMBER(G52),G52,0)-IF(ISNUMBER(I52),I52,0)))</x:f>
      </x:c>
      <x:c r="V52" s="64" t="str">
        <x:f>IF(OR(P52="",O52="",NOT(ISNUMBER(P52)),NOT(ISNUMBER(O52)),O52&gt;P52),"",P52-O52)</x:f>
      </x:c>
      <x:c r="W52" s="67" t="str">
        <x:f>IF(OR(P52="",P52=0,V52=""),"",V52/P52)</x:f>
      </x:c>
    </x:row>
    <x:row r="53" ht="21" customHeight="1">
      <x:c r="A53" s="54"/>
      <x:c r="B53" s="56"/>
      <x:c r="C53" s="56"/>
      <x:c r="D53" s="54"/>
      <x:c r="E53" s="58"/>
      <x:c r="F53" s="58"/>
      <x:c r="G53" s="58"/>
      <x:c r="H53" s="58"/>
      <x:c r="I53" s="58"/>
      <x:c r="J53" s="60" t="str">
        <x:f>IF(A53="","",IF(K53="Subscription","",IF(E53=0,"",IF(ISNUMBER(G53),G53/E53,IF(ISNUMBER(I53),-ABS(I53)/E53,IF(ISNUMBER(H53),0,IF(AND(ISNUMBER(F53),ISNUMBER(E53),E53&gt;0,F53&gt;E53),(F53-E53)/E53,IF(AND(ISNUMBER(F53),ISNUMBER(E53),E53&gt;0,F53=E53),0,IF(AND(ISNUMBER(F53),ISNUMBER(E53),E53&gt;0,F53=0),-1,"")))))))))</x:f>
      </x:c>
      <x:c r="K53" s="50" t="str">
        <x:f>IF(A53="","",IF(AND(ISNUMBER(E53),E53=0,OR(ISNUMBER(SEARCH("Free",D53&amp;"")),AND(ISNUMBER(F53),F53=0))),"Subscription",IF(ISNUMBER(G53),"Profit",IF(ISNUMBER(I53),"Disqualified",IF(ISNUMBER(H53),"Draw",IF(AND(ISNUMBER(F53),ISNUMBER(E53),E53&gt;0,F53&gt;E53),"Profit",IF(AND(ISNUMBER(F53),ISNUMBER(E53),E53&gt;0,F53=E53),"Draw",IF(AND(ISNUMBER(F53),ISNUMBER(E53),E53&gt;0,F53=0),"Disqualified",""))))))))</x:f>
      </x:c>
      <x:c r="L53" s="50"/>
      <x:c r="M53" s="58"/>
      <x:c r="N53" s="58"/>
      <x:c r="O53" s="62"/>
      <x:c r="P53" s="62"/>
      <x:c r="Q53" s="64" t="str">
        <x:f>IF(OR(B53="",C53="",C53&lt;B53),"",ROUNDUP((C53-B53)/7,0))</x:f>
      </x:c>
      <x:c r="R53" s="50"/>
      <x:c r="S53" s="50"/>
      <x:c r="T53" s="54"/>
      <x:c r="U53" s="66" t="str">
        <x:f>IF(A53="","",IF(K53="Subscription","",IF(ISNUMBER(G53),G53,0)-IF(ISNUMBER(I53),I53,0)))</x:f>
      </x:c>
      <x:c r="V53" s="64" t="str">
        <x:f>IF(OR(P53="",O53="",NOT(ISNUMBER(P53)),NOT(ISNUMBER(O53)),O53&gt;P53),"",P53-O53)</x:f>
      </x:c>
      <x:c r="W53" s="67" t="str">
        <x:f>IF(OR(P53="",P53=0,V53=""),"",V53/P53)</x:f>
      </x:c>
    </x:row>
    <x:row r="54" ht="21" customHeight="1">
      <x:c r="A54" s="54"/>
      <x:c r="B54" s="56"/>
      <x:c r="C54" s="56"/>
      <x:c r="D54" s="54"/>
      <x:c r="E54" s="58"/>
      <x:c r="F54" s="58"/>
      <x:c r="G54" s="58"/>
      <x:c r="H54" s="58"/>
      <x:c r="I54" s="58"/>
      <x:c r="J54" s="60" t="str">
        <x:f>IF(A54="","",IF(K54="Subscription","",IF(E54=0,"",IF(ISNUMBER(G54),G54/E54,IF(ISNUMBER(I54),-ABS(I54)/E54,IF(ISNUMBER(H54),0,IF(AND(ISNUMBER(F54),ISNUMBER(E54),E54&gt;0,F54&gt;E54),(F54-E54)/E54,IF(AND(ISNUMBER(F54),ISNUMBER(E54),E54&gt;0,F54=E54),0,IF(AND(ISNUMBER(F54),ISNUMBER(E54),E54&gt;0,F54=0),-1,"")))))))))</x:f>
      </x:c>
      <x:c r="K54" s="50" t="str">
        <x:f>IF(A54="","",IF(AND(ISNUMBER(E54),E54=0,OR(ISNUMBER(SEARCH("Free",D54&amp;"")),AND(ISNUMBER(F54),F54=0))),"Subscription",IF(ISNUMBER(G54),"Profit",IF(ISNUMBER(I54),"Disqualified",IF(ISNUMBER(H54),"Draw",IF(AND(ISNUMBER(F54),ISNUMBER(E54),E54&gt;0,F54&gt;E54),"Profit",IF(AND(ISNUMBER(F54),ISNUMBER(E54),E54&gt;0,F54=E54),"Draw",IF(AND(ISNUMBER(F54),ISNUMBER(E54),E54&gt;0,F54=0),"Disqualified",""))))))))</x:f>
      </x:c>
      <x:c r="L54" s="50"/>
      <x:c r="M54" s="58"/>
      <x:c r="N54" s="58"/>
      <x:c r="O54" s="62"/>
      <x:c r="P54" s="62"/>
      <x:c r="Q54" s="64" t="str">
        <x:f>IF(OR(B54="",C54="",C54&lt;B54),"",ROUNDUP((C54-B54)/7,0))</x:f>
      </x:c>
      <x:c r="R54" s="50"/>
      <x:c r="S54" s="50"/>
      <x:c r="T54" s="54"/>
      <x:c r="U54" s="66" t="str">
        <x:f>IF(A54="","",IF(K54="Subscription","",IF(ISNUMBER(G54),G54,0)-IF(ISNUMBER(I54),I54,0)))</x:f>
      </x:c>
      <x:c r="V54" s="64" t="str">
        <x:f>IF(OR(P54="",O54="",NOT(ISNUMBER(P54)),NOT(ISNUMBER(O54)),O54&gt;P54),"",P54-O54)</x:f>
      </x:c>
      <x:c r="W54" s="67" t="str">
        <x:f>IF(OR(P54="",P54=0,V54=""),"",V54/P54)</x:f>
      </x:c>
    </x:row>
    <x:row r="55" ht="21" customHeight="1">
      <x:c r="A55" s="54"/>
      <x:c r="B55" s="56"/>
      <x:c r="C55" s="56"/>
      <x:c r="D55" s="54"/>
      <x:c r="E55" s="58"/>
      <x:c r="F55" s="58"/>
      <x:c r="G55" s="58"/>
      <x:c r="H55" s="58"/>
      <x:c r="I55" s="58"/>
      <x:c r="J55" s="60" t="str">
        <x:f>IF(A55="","",IF(K55="Subscription","",IF(E55=0,"",IF(ISNUMBER(G55),G55/E55,IF(ISNUMBER(I55),-ABS(I55)/E55,IF(ISNUMBER(H55),0,IF(AND(ISNUMBER(F55),ISNUMBER(E55),E55&gt;0,F55&gt;E55),(F55-E55)/E55,IF(AND(ISNUMBER(F55),ISNUMBER(E55),E55&gt;0,F55=E55),0,IF(AND(ISNUMBER(F55),ISNUMBER(E55),E55&gt;0,F55=0),-1,"")))))))))</x:f>
      </x:c>
      <x:c r="K55" s="50" t="str">
        <x:f>IF(A55="","",IF(AND(ISNUMBER(E55),E55=0,OR(ISNUMBER(SEARCH("Free",D55&amp;"")),AND(ISNUMBER(F55),F55=0))),"Subscription",IF(ISNUMBER(G55),"Profit",IF(ISNUMBER(I55),"Disqualified",IF(ISNUMBER(H55),"Draw",IF(AND(ISNUMBER(F55),ISNUMBER(E55),E55&gt;0,F55&gt;E55),"Profit",IF(AND(ISNUMBER(F55),ISNUMBER(E55),E55&gt;0,F55=E55),"Draw",IF(AND(ISNUMBER(F55),ISNUMBER(E55),E55&gt;0,F55=0),"Disqualified",""))))))))</x:f>
      </x:c>
      <x:c r="L55" s="50"/>
      <x:c r="M55" s="58"/>
      <x:c r="N55" s="58"/>
      <x:c r="O55" s="62"/>
      <x:c r="P55" s="62"/>
      <x:c r="Q55" s="64" t="str">
        <x:f>IF(OR(B55="",C55="",C55&lt;B55),"",ROUNDUP((C55-B55)/7,0))</x:f>
      </x:c>
      <x:c r="R55" s="50"/>
      <x:c r="S55" s="50"/>
      <x:c r="T55" s="54"/>
      <x:c r="U55" s="66" t="str">
        <x:f>IF(A55="","",IF(K55="Subscription","",IF(ISNUMBER(G55),G55,0)-IF(ISNUMBER(I55),I55,0)))</x:f>
      </x:c>
      <x:c r="V55" s="64" t="str">
        <x:f>IF(OR(P55="",O55="",NOT(ISNUMBER(P55)),NOT(ISNUMBER(O55)),O55&gt;P55),"",P55-O55)</x:f>
      </x:c>
      <x:c r="W55" s="67" t="str">
        <x:f>IF(OR(P55="",P55=0,V55=""),"",V55/P55)</x:f>
      </x:c>
    </x:row>
    <x:row r="56" ht="21" customHeight="1">
      <x:c r="A56" s="54"/>
      <x:c r="B56" s="56"/>
      <x:c r="C56" s="56"/>
      <x:c r="D56" s="54"/>
      <x:c r="E56" s="58"/>
      <x:c r="F56" s="58"/>
      <x:c r="G56" s="58"/>
      <x:c r="H56" s="58"/>
      <x:c r="I56" s="58"/>
      <x:c r="J56" s="60" t="str">
        <x:f>IF(A56="","",IF(K56="Subscription","",IF(E56=0,"",IF(ISNUMBER(G56),G56/E56,IF(ISNUMBER(I56),-ABS(I56)/E56,IF(ISNUMBER(H56),0,IF(AND(ISNUMBER(F56),ISNUMBER(E56),E56&gt;0,F56&gt;E56),(F56-E56)/E56,IF(AND(ISNUMBER(F56),ISNUMBER(E56),E56&gt;0,F56=E56),0,IF(AND(ISNUMBER(F56),ISNUMBER(E56),E56&gt;0,F56=0),-1,"")))))))))</x:f>
      </x:c>
      <x:c r="K56" s="50" t="str">
        <x:f>IF(A56="","",IF(AND(ISNUMBER(E56),E56=0,OR(ISNUMBER(SEARCH("Free",D56&amp;"")),AND(ISNUMBER(F56),F56=0))),"Subscription",IF(ISNUMBER(G56),"Profit",IF(ISNUMBER(I56),"Disqualified",IF(ISNUMBER(H56),"Draw",IF(AND(ISNUMBER(F56),ISNUMBER(E56),E56&gt;0,F56&gt;E56),"Profit",IF(AND(ISNUMBER(F56),ISNUMBER(E56),E56&gt;0,F56=E56),"Draw",IF(AND(ISNUMBER(F56),ISNUMBER(E56),E56&gt;0,F56=0),"Disqualified",""))))))))</x:f>
      </x:c>
      <x:c r="L56" s="50"/>
      <x:c r="M56" s="58"/>
      <x:c r="N56" s="58"/>
      <x:c r="O56" s="62"/>
      <x:c r="P56" s="62"/>
      <x:c r="Q56" s="64" t="str">
        <x:f>IF(OR(B56="",C56="",C56&lt;B56),"",ROUNDUP((C56-B56)/7,0))</x:f>
      </x:c>
      <x:c r="R56" s="50"/>
      <x:c r="S56" s="50"/>
      <x:c r="T56" s="54"/>
      <x:c r="U56" s="66" t="str">
        <x:f>IF(A56="","",IF(K56="Subscription","",IF(ISNUMBER(G56),G56,0)-IF(ISNUMBER(I56),I56,0)))</x:f>
      </x:c>
      <x:c r="V56" s="64" t="str">
        <x:f>IF(OR(P56="",O56="",NOT(ISNUMBER(P56)),NOT(ISNUMBER(O56)),O56&gt;P56),"",P56-O56)</x:f>
      </x:c>
      <x:c r="W56" s="67" t="str">
        <x:f>IF(OR(P56="",P56=0,V56=""),"",V56/P56)</x:f>
      </x:c>
    </x:row>
    <x:row r="57" ht="21" customHeight="1">
      <x:c r="A57" s="54"/>
      <x:c r="B57" s="56"/>
      <x:c r="C57" s="56"/>
      <x:c r="D57" s="54"/>
      <x:c r="E57" s="58"/>
      <x:c r="F57" s="58"/>
      <x:c r="G57" s="58"/>
      <x:c r="H57" s="58"/>
      <x:c r="I57" s="58"/>
      <x:c r="J57" s="60" t="str">
        <x:f>IF(A57="","",IF(K57="Subscription","",IF(E57=0,"",IF(ISNUMBER(G57),G57/E57,IF(ISNUMBER(I57),-ABS(I57)/E57,IF(ISNUMBER(H57),0,IF(AND(ISNUMBER(F57),ISNUMBER(E57),E57&gt;0,F57&gt;E57),(F57-E57)/E57,IF(AND(ISNUMBER(F57),ISNUMBER(E57),E57&gt;0,F57=E57),0,IF(AND(ISNUMBER(F57),ISNUMBER(E57),E57&gt;0,F57=0),-1,"")))))))))</x:f>
      </x:c>
      <x:c r="K57" s="50" t="str">
        <x:f>IF(A57="","",IF(AND(ISNUMBER(E57),E57=0,OR(ISNUMBER(SEARCH("Free",D57&amp;"")),AND(ISNUMBER(F57),F57=0))),"Subscription",IF(ISNUMBER(G57),"Profit",IF(ISNUMBER(I57),"Disqualified",IF(ISNUMBER(H57),"Draw",IF(AND(ISNUMBER(F57),ISNUMBER(E57),E57&gt;0,F57&gt;E57),"Profit",IF(AND(ISNUMBER(F57),ISNUMBER(E57),E57&gt;0,F57=E57),"Draw",IF(AND(ISNUMBER(F57),ISNUMBER(E57),E57&gt;0,F57=0),"Disqualified",""))))))))</x:f>
      </x:c>
      <x:c r="L57" s="50"/>
      <x:c r="M57" s="58"/>
      <x:c r="N57" s="58"/>
      <x:c r="O57" s="62"/>
      <x:c r="P57" s="62"/>
      <x:c r="Q57" s="64" t="str">
        <x:f>IF(OR(B57="",C57="",C57&lt;B57),"",ROUNDUP((C57-B57)/7,0))</x:f>
      </x:c>
      <x:c r="R57" s="50"/>
      <x:c r="S57" s="50"/>
      <x:c r="T57" s="54"/>
      <x:c r="U57" s="66" t="str">
        <x:f>IF(A57="","",IF(K57="Subscription","",IF(ISNUMBER(G57),G57,0)-IF(ISNUMBER(I57),I57,0)))</x:f>
      </x:c>
      <x:c r="V57" s="64" t="str">
        <x:f>IF(OR(P57="",O57="",NOT(ISNUMBER(P57)),NOT(ISNUMBER(O57)),O57&gt;P57),"",P57-O57)</x:f>
      </x:c>
      <x:c r="W57" s="67" t="str">
        <x:f>IF(OR(P57="",P57=0,V57=""),"",V57/P57)</x:f>
      </x:c>
    </x:row>
    <x:row r="58" ht="21" customHeight="1">
      <x:c r="A58" s="54"/>
      <x:c r="B58" s="56"/>
      <x:c r="C58" s="56"/>
      <x:c r="D58" s="54"/>
      <x:c r="E58" s="58"/>
      <x:c r="F58" s="58"/>
      <x:c r="G58" s="58"/>
      <x:c r="H58" s="58"/>
      <x:c r="I58" s="58"/>
      <x:c r="J58" s="60" t="str">
        <x:f>IF(A58="","",IF(K58="Subscription","",IF(E58=0,"",IF(ISNUMBER(G58),G58/E58,IF(ISNUMBER(I58),-ABS(I58)/E58,IF(ISNUMBER(H58),0,IF(AND(ISNUMBER(F58),ISNUMBER(E58),E58&gt;0,F58&gt;E58),(F58-E58)/E58,IF(AND(ISNUMBER(F58),ISNUMBER(E58),E58&gt;0,F58=E58),0,IF(AND(ISNUMBER(F58),ISNUMBER(E58),E58&gt;0,F58=0),-1,"")))))))))</x:f>
      </x:c>
      <x:c r="K58" s="50" t="str">
        <x:f>IF(A58="","",IF(AND(ISNUMBER(E58),E58=0,OR(ISNUMBER(SEARCH("Free",D58&amp;"")),AND(ISNUMBER(F58),F58=0))),"Subscription",IF(ISNUMBER(G58),"Profit",IF(ISNUMBER(I58),"Disqualified",IF(ISNUMBER(H58),"Draw",IF(AND(ISNUMBER(F58),ISNUMBER(E58),E58&gt;0,F58&gt;E58),"Profit",IF(AND(ISNUMBER(F58),ISNUMBER(E58),E58&gt;0,F58=E58),"Draw",IF(AND(ISNUMBER(F58),ISNUMBER(E58),E58&gt;0,F58=0),"Disqualified",""))))))))</x:f>
      </x:c>
      <x:c r="L58" s="50"/>
      <x:c r="M58" s="58"/>
      <x:c r="N58" s="58"/>
      <x:c r="O58" s="62"/>
      <x:c r="P58" s="62"/>
      <x:c r="Q58" s="64" t="str">
        <x:f>IF(OR(B58="",C58="",C58&lt;B58),"",ROUNDUP((C58-B58)/7,0))</x:f>
      </x:c>
      <x:c r="R58" s="50"/>
      <x:c r="S58" s="50"/>
      <x:c r="T58" s="54"/>
      <x:c r="U58" s="66" t="str">
        <x:f>IF(A58="","",IF(K58="Subscription","",IF(ISNUMBER(G58),G58,0)-IF(ISNUMBER(I58),I58,0)))</x:f>
      </x:c>
      <x:c r="V58" s="64" t="str">
        <x:f>IF(OR(P58="",O58="",NOT(ISNUMBER(P58)),NOT(ISNUMBER(O58)),O58&gt;P58),"",P58-O58)</x:f>
      </x:c>
      <x:c r="W58" s="67" t="str">
        <x:f>IF(OR(P58="",P58=0,V58=""),"",V58/P58)</x:f>
      </x:c>
    </x:row>
    <x:row r="59" ht="21" customHeight="1">
      <x:c r="A59" s="54"/>
      <x:c r="B59" s="56"/>
      <x:c r="C59" s="56"/>
      <x:c r="D59" s="54"/>
      <x:c r="E59" s="58"/>
      <x:c r="F59" s="58"/>
      <x:c r="G59" s="58"/>
      <x:c r="H59" s="58"/>
      <x:c r="I59" s="58"/>
      <x:c r="J59" s="60" t="str">
        <x:f>IF(A59="","",IF(K59="Subscription","",IF(E59=0,"",IF(ISNUMBER(G59),G59/E59,IF(ISNUMBER(I59),-ABS(I59)/E59,IF(ISNUMBER(H59),0,IF(AND(ISNUMBER(F59),ISNUMBER(E59),E59&gt;0,F59&gt;E59),(F59-E59)/E59,IF(AND(ISNUMBER(F59),ISNUMBER(E59),E59&gt;0,F59=E59),0,IF(AND(ISNUMBER(F59),ISNUMBER(E59),E59&gt;0,F59=0),-1,"")))))))))</x:f>
      </x:c>
      <x:c r="K59" s="50" t="str">
        <x:f>IF(A59="","",IF(AND(ISNUMBER(E59),E59=0,OR(ISNUMBER(SEARCH("Free",D59&amp;"")),AND(ISNUMBER(F59),F59=0))),"Subscription",IF(ISNUMBER(G59),"Profit",IF(ISNUMBER(I59),"Disqualified",IF(ISNUMBER(H59),"Draw",IF(AND(ISNUMBER(F59),ISNUMBER(E59),E59&gt;0,F59&gt;E59),"Profit",IF(AND(ISNUMBER(F59),ISNUMBER(E59),E59&gt;0,F59=E59),"Draw",IF(AND(ISNUMBER(F59),ISNUMBER(E59),E59&gt;0,F59=0),"Disqualified",""))))))))</x:f>
      </x:c>
      <x:c r="L59" s="50"/>
      <x:c r="M59" s="58"/>
      <x:c r="N59" s="58"/>
      <x:c r="O59" s="62"/>
      <x:c r="P59" s="62"/>
      <x:c r="Q59" s="64" t="str">
        <x:f>IF(OR(B59="",C59="",C59&lt;B59),"",ROUNDUP((C59-B59)/7,0))</x:f>
      </x:c>
      <x:c r="R59" s="50"/>
      <x:c r="S59" s="50"/>
      <x:c r="T59" s="54"/>
      <x:c r="U59" s="66" t="str">
        <x:f>IF(A59="","",IF(K59="Subscription","",IF(ISNUMBER(G59),G59,0)-IF(ISNUMBER(I59),I59,0)))</x:f>
      </x:c>
      <x:c r="V59" s="64" t="str">
        <x:f>IF(OR(P59="",O59="",NOT(ISNUMBER(P59)),NOT(ISNUMBER(O59)),O59&gt;P59),"",P59-O59)</x:f>
      </x:c>
      <x:c r="W59" s="67" t="str">
        <x:f>IF(OR(P59="",P59=0,V59=""),"",V59/P59)</x:f>
      </x:c>
    </x:row>
    <x:row r="60" ht="21" customHeight="1">
      <x:c r="A60" s="54"/>
      <x:c r="B60" s="56"/>
      <x:c r="C60" s="56"/>
      <x:c r="D60" s="54"/>
      <x:c r="E60" s="58"/>
      <x:c r="F60" s="58"/>
      <x:c r="G60" s="58"/>
      <x:c r="H60" s="58"/>
      <x:c r="I60" s="58"/>
      <x:c r="J60" s="60" t="str">
        <x:f>IF(A60="","",IF(K60="Subscription","",IF(E60=0,"",IF(ISNUMBER(G60),G60/E60,IF(ISNUMBER(I60),-ABS(I60)/E60,IF(ISNUMBER(H60),0,IF(AND(ISNUMBER(F60),ISNUMBER(E60),E60&gt;0,F60&gt;E60),(F60-E60)/E60,IF(AND(ISNUMBER(F60),ISNUMBER(E60),E60&gt;0,F60=E60),0,IF(AND(ISNUMBER(F60),ISNUMBER(E60),E60&gt;0,F60=0),-1,"")))))))))</x:f>
      </x:c>
      <x:c r="K60" s="50" t="str">
        <x:f>IF(A60="","",IF(AND(ISNUMBER(E60),E60=0,OR(ISNUMBER(SEARCH("Free",D60&amp;"")),AND(ISNUMBER(F60),F60=0))),"Subscription",IF(ISNUMBER(G60),"Profit",IF(ISNUMBER(I60),"Disqualified",IF(ISNUMBER(H60),"Draw",IF(AND(ISNUMBER(F60),ISNUMBER(E60),E60&gt;0,F60&gt;E60),"Profit",IF(AND(ISNUMBER(F60),ISNUMBER(E60),E60&gt;0,F60=E60),"Draw",IF(AND(ISNUMBER(F60),ISNUMBER(E60),E60&gt;0,F60=0),"Disqualified",""))))))))</x:f>
      </x:c>
      <x:c r="L60" s="50"/>
      <x:c r="M60" s="58"/>
      <x:c r="N60" s="58"/>
      <x:c r="O60" s="62"/>
      <x:c r="P60" s="62"/>
      <x:c r="Q60" s="64" t="str">
        <x:f>IF(OR(B60="",C60="",C60&lt;B60),"",ROUNDUP((C60-B60)/7,0))</x:f>
      </x:c>
      <x:c r="R60" s="50"/>
      <x:c r="S60" s="50"/>
      <x:c r="T60" s="54"/>
      <x:c r="U60" s="66" t="str">
        <x:f>IF(A60="","",IF(K60="Subscription","",IF(ISNUMBER(G60),G60,0)-IF(ISNUMBER(I60),I60,0)))</x:f>
      </x:c>
      <x:c r="V60" s="64" t="str">
        <x:f>IF(OR(P60="",O60="",NOT(ISNUMBER(P60)),NOT(ISNUMBER(O60)),O60&gt;P60),"",P60-O60)</x:f>
      </x:c>
      <x:c r="W60" s="67" t="str">
        <x:f>IF(OR(P60="",P60=0,V60=""),"",V60/P60)</x:f>
      </x:c>
    </x:row>
    <x:row r="61" ht="21" customHeight="1">
      <x:c r="A61" s="54"/>
      <x:c r="B61" s="56"/>
      <x:c r="C61" s="56"/>
      <x:c r="D61" s="54"/>
      <x:c r="E61" s="58"/>
      <x:c r="F61" s="58"/>
      <x:c r="G61" s="58"/>
      <x:c r="H61" s="58"/>
      <x:c r="I61" s="58"/>
      <x:c r="J61" s="60" t="str">
        <x:f>IF(A61="","",IF(K61="Subscription","",IF(E61=0,"",IF(ISNUMBER(G61),G61/E61,IF(ISNUMBER(I61),-ABS(I61)/E61,IF(ISNUMBER(H61),0,IF(AND(ISNUMBER(F61),ISNUMBER(E61),E61&gt;0,F61&gt;E61),(F61-E61)/E61,IF(AND(ISNUMBER(F61),ISNUMBER(E61),E61&gt;0,F61=E61),0,IF(AND(ISNUMBER(F61),ISNUMBER(E61),E61&gt;0,F61=0),-1,"")))))))))</x:f>
      </x:c>
      <x:c r="K61" s="50" t="str">
        <x:f>IF(A61="","",IF(AND(ISNUMBER(E61),E61=0,OR(ISNUMBER(SEARCH("Free",D61&amp;"")),AND(ISNUMBER(F61),F61=0))),"Subscription",IF(ISNUMBER(G61),"Profit",IF(ISNUMBER(I61),"Disqualified",IF(ISNUMBER(H61),"Draw",IF(AND(ISNUMBER(F61),ISNUMBER(E61),E61&gt;0,F61&gt;E61),"Profit",IF(AND(ISNUMBER(F61),ISNUMBER(E61),E61&gt;0,F61=E61),"Draw",IF(AND(ISNUMBER(F61),ISNUMBER(E61),E61&gt;0,F61=0),"Disqualified",""))))))))</x:f>
      </x:c>
      <x:c r="L61" s="50"/>
      <x:c r="M61" s="58"/>
      <x:c r="N61" s="58"/>
      <x:c r="O61" s="62"/>
      <x:c r="P61" s="62"/>
      <x:c r="Q61" s="64" t="str">
        <x:f>IF(OR(B61="",C61="",C61&lt;B61),"",ROUNDUP((C61-B61)/7,0))</x:f>
      </x:c>
      <x:c r="R61" s="50"/>
      <x:c r="S61" s="50"/>
      <x:c r="T61" s="54"/>
      <x:c r="U61" s="66" t="str">
        <x:f>IF(A61="","",IF(K61="Subscription","",IF(ISNUMBER(G61),G61,0)-IF(ISNUMBER(I61),I61,0)))</x:f>
      </x:c>
      <x:c r="V61" s="64" t="str">
        <x:f>IF(OR(P61="",O61="",NOT(ISNUMBER(P61)),NOT(ISNUMBER(O61)),O61&gt;P61),"",P61-O61)</x:f>
      </x:c>
      <x:c r="W61" s="67" t="str">
        <x:f>IF(OR(P61="",P61=0,V61=""),"",V61/P61)</x:f>
      </x:c>
    </x:row>
    <x:row r="62" ht="21" customHeight="1">
      <x:c r="A62" s="54"/>
      <x:c r="B62" s="56"/>
      <x:c r="C62" s="56"/>
      <x:c r="D62" s="54"/>
      <x:c r="E62" s="58"/>
      <x:c r="F62" s="58"/>
      <x:c r="G62" s="58"/>
      <x:c r="H62" s="58"/>
      <x:c r="I62" s="58"/>
      <x:c r="J62" s="60" t="str">
        <x:f>IF(A62="","",IF(K62="Subscription","",IF(E62=0,"",IF(ISNUMBER(G62),G62/E62,IF(ISNUMBER(I62),-ABS(I62)/E62,IF(ISNUMBER(H62),0,IF(AND(ISNUMBER(F62),ISNUMBER(E62),E62&gt;0,F62&gt;E62),(F62-E62)/E62,IF(AND(ISNUMBER(F62),ISNUMBER(E62),E62&gt;0,F62=E62),0,IF(AND(ISNUMBER(F62),ISNUMBER(E62),E62&gt;0,F62=0),-1,"")))))))))</x:f>
      </x:c>
      <x:c r="K62" s="50" t="str">
        <x:f>IF(A62="","",IF(AND(ISNUMBER(E62),E62=0,OR(ISNUMBER(SEARCH("Free",D62&amp;"")),AND(ISNUMBER(F62),F62=0))),"Subscription",IF(ISNUMBER(G62),"Profit",IF(ISNUMBER(I62),"Disqualified",IF(ISNUMBER(H62),"Draw",IF(AND(ISNUMBER(F62),ISNUMBER(E62),E62&gt;0,F62&gt;E62),"Profit",IF(AND(ISNUMBER(F62),ISNUMBER(E62),E62&gt;0,F62=E62),"Draw",IF(AND(ISNUMBER(F62),ISNUMBER(E62),E62&gt;0,F62=0),"Disqualified",""))))))))</x:f>
      </x:c>
      <x:c r="L62" s="50"/>
      <x:c r="M62" s="58"/>
      <x:c r="N62" s="58"/>
      <x:c r="O62" s="62"/>
      <x:c r="P62" s="62"/>
      <x:c r="Q62" s="64" t="str">
        <x:f>IF(OR(B62="",C62="",C62&lt;B62),"",ROUNDUP((C62-B62)/7,0))</x:f>
      </x:c>
      <x:c r="R62" s="50"/>
      <x:c r="S62" s="50"/>
      <x:c r="T62" s="54"/>
      <x:c r="U62" s="66" t="str">
        <x:f>IF(A62="","",IF(K62="Subscription","",IF(ISNUMBER(G62),G62,0)-IF(ISNUMBER(I62),I62,0)))</x:f>
      </x:c>
      <x:c r="V62" s="64" t="str">
        <x:f>IF(OR(P62="",O62="",NOT(ISNUMBER(P62)),NOT(ISNUMBER(O62)),O62&gt;P62),"",P62-O62)</x:f>
      </x:c>
      <x:c r="W62" s="67" t="str">
        <x:f>IF(OR(P62="",P62=0,V62=""),"",V62/P62)</x:f>
      </x:c>
    </x:row>
    <x:row r="63" ht="21" customHeight="1">
      <x:c r="A63" s="54"/>
      <x:c r="B63" s="56"/>
      <x:c r="C63" s="56"/>
      <x:c r="D63" s="54"/>
      <x:c r="E63" s="58"/>
      <x:c r="F63" s="58"/>
      <x:c r="G63" s="58"/>
      <x:c r="H63" s="58"/>
      <x:c r="I63" s="58"/>
      <x:c r="J63" s="60" t="str">
        <x:f>IF(A63="","",IF(K63="Subscription","",IF(E63=0,"",IF(ISNUMBER(G63),G63/E63,IF(ISNUMBER(I63),-ABS(I63)/E63,IF(ISNUMBER(H63),0,IF(AND(ISNUMBER(F63),ISNUMBER(E63),E63&gt;0,F63&gt;E63),(F63-E63)/E63,IF(AND(ISNUMBER(F63),ISNUMBER(E63),E63&gt;0,F63=E63),0,IF(AND(ISNUMBER(F63),ISNUMBER(E63),E63&gt;0,F63=0),-1,"")))))))))</x:f>
      </x:c>
      <x:c r="K63" s="50" t="str">
        <x:f>IF(A63="","",IF(AND(ISNUMBER(E63),E63=0,OR(ISNUMBER(SEARCH("Free",D63&amp;"")),AND(ISNUMBER(F63),F63=0))),"Subscription",IF(ISNUMBER(G63),"Profit",IF(ISNUMBER(I63),"Disqualified",IF(ISNUMBER(H63),"Draw",IF(AND(ISNUMBER(F63),ISNUMBER(E63),E63&gt;0,F63&gt;E63),"Profit",IF(AND(ISNUMBER(F63),ISNUMBER(E63),E63&gt;0,F63=E63),"Draw",IF(AND(ISNUMBER(F63),ISNUMBER(E63),E63&gt;0,F63=0),"Disqualified",""))))))))</x:f>
      </x:c>
      <x:c r="L63" s="50"/>
      <x:c r="M63" s="58"/>
      <x:c r="N63" s="58"/>
      <x:c r="O63" s="62"/>
      <x:c r="P63" s="62"/>
      <x:c r="Q63" s="64" t="str">
        <x:f>IF(OR(B63="",C63="",C63&lt;B63),"",ROUNDUP((C63-B63)/7,0))</x:f>
      </x:c>
      <x:c r="R63" s="50"/>
      <x:c r="S63" s="50"/>
      <x:c r="T63" s="54"/>
      <x:c r="U63" s="66" t="str">
        <x:f>IF(A63="","",IF(K63="Subscription","",IF(ISNUMBER(G63),G63,0)-IF(ISNUMBER(I63),I63,0)))</x:f>
      </x:c>
      <x:c r="V63" s="64" t="str">
        <x:f>IF(OR(P63="",O63="",NOT(ISNUMBER(P63)),NOT(ISNUMBER(O63)),O63&gt;P63),"",P63-O63)</x:f>
      </x:c>
      <x:c r="W63" s="67" t="str">
        <x:f>IF(OR(P63="",P63=0,V63=""),"",V63/P63)</x:f>
      </x:c>
    </x:row>
    <x:row r="64" ht="21" customHeight="1">
      <x:c r="A64" s="54"/>
      <x:c r="B64" s="56"/>
      <x:c r="C64" s="56"/>
      <x:c r="D64" s="54"/>
      <x:c r="E64" s="58"/>
      <x:c r="F64" s="58"/>
      <x:c r="G64" s="58"/>
      <x:c r="H64" s="58"/>
      <x:c r="I64" s="58"/>
      <x:c r="J64" s="60" t="str">
        <x:f>IF(A64="","",IF(K64="Subscription","",IF(E64=0,"",IF(ISNUMBER(G64),G64/E64,IF(ISNUMBER(I64),-ABS(I64)/E64,IF(ISNUMBER(H64),0,IF(AND(ISNUMBER(F64),ISNUMBER(E64),E64&gt;0,F64&gt;E64),(F64-E64)/E64,IF(AND(ISNUMBER(F64),ISNUMBER(E64),E64&gt;0,F64=E64),0,IF(AND(ISNUMBER(F64),ISNUMBER(E64),E64&gt;0,F64=0),-1,"")))))))))</x:f>
      </x:c>
      <x:c r="K64" s="50" t="str">
        <x:f>IF(A64="","",IF(AND(ISNUMBER(E64),E64=0,OR(ISNUMBER(SEARCH("Free",D64&amp;"")),AND(ISNUMBER(F64),F64=0))),"Subscription",IF(ISNUMBER(G64),"Profit",IF(ISNUMBER(I64),"Disqualified",IF(ISNUMBER(H64),"Draw",IF(AND(ISNUMBER(F64),ISNUMBER(E64),E64&gt;0,F64&gt;E64),"Profit",IF(AND(ISNUMBER(F64),ISNUMBER(E64),E64&gt;0,F64=E64),"Draw",IF(AND(ISNUMBER(F64),ISNUMBER(E64),E64&gt;0,F64=0),"Disqualified",""))))))))</x:f>
      </x:c>
      <x:c r="L64" s="50"/>
      <x:c r="M64" s="58"/>
      <x:c r="N64" s="58"/>
      <x:c r="O64" s="62"/>
      <x:c r="P64" s="62"/>
      <x:c r="Q64" s="64" t="str">
        <x:f>IF(OR(B64="",C64="",C64&lt;B64),"",ROUNDUP((C64-B64)/7,0))</x:f>
      </x:c>
      <x:c r="R64" s="50"/>
      <x:c r="S64" s="50"/>
      <x:c r="T64" s="54"/>
      <x:c r="U64" s="66" t="str">
        <x:f>IF(A64="","",IF(K64="Subscription","",IF(ISNUMBER(G64),G64,0)-IF(ISNUMBER(I64),I64,0)))</x:f>
      </x:c>
      <x:c r="V64" s="64" t="str">
        <x:f>IF(OR(P64="",O64="",NOT(ISNUMBER(P64)),NOT(ISNUMBER(O64)),O64&gt;P64),"",P64-O64)</x:f>
      </x:c>
      <x:c r="W64" s="67" t="str">
        <x:f>IF(OR(P64="",P64=0,V64=""),"",V64/P64)</x:f>
      </x:c>
    </x:row>
    <x:row r="65" ht="21" customHeight="1">
      <x:c r="A65" s="54"/>
      <x:c r="B65" s="56"/>
      <x:c r="C65" s="56"/>
      <x:c r="D65" s="54"/>
      <x:c r="E65" s="58"/>
      <x:c r="F65" s="58"/>
      <x:c r="G65" s="58"/>
      <x:c r="H65" s="58"/>
      <x:c r="I65" s="58"/>
      <x:c r="J65" s="60" t="str">
        <x:f>IF(A65="","",IF(K65="Subscription","",IF(E65=0,"",IF(ISNUMBER(G65),G65/E65,IF(ISNUMBER(I65),-ABS(I65)/E65,IF(ISNUMBER(H65),0,IF(AND(ISNUMBER(F65),ISNUMBER(E65),E65&gt;0,F65&gt;E65),(F65-E65)/E65,IF(AND(ISNUMBER(F65),ISNUMBER(E65),E65&gt;0,F65=E65),0,IF(AND(ISNUMBER(F65),ISNUMBER(E65),E65&gt;0,F65=0),-1,"")))))))))</x:f>
      </x:c>
      <x:c r="K65" s="50" t="str">
        <x:f>IF(A65="","",IF(AND(ISNUMBER(E65),E65=0,OR(ISNUMBER(SEARCH("Free",D65&amp;"")),AND(ISNUMBER(F65),F65=0))),"Subscription",IF(ISNUMBER(G65),"Profit",IF(ISNUMBER(I65),"Disqualified",IF(ISNUMBER(H65),"Draw",IF(AND(ISNUMBER(F65),ISNUMBER(E65),E65&gt;0,F65&gt;E65),"Profit",IF(AND(ISNUMBER(F65),ISNUMBER(E65),E65&gt;0,F65=E65),"Draw",IF(AND(ISNUMBER(F65),ISNUMBER(E65),E65&gt;0,F65=0),"Disqualified",""))))))))</x:f>
      </x:c>
      <x:c r="L65" s="50"/>
      <x:c r="M65" s="58"/>
      <x:c r="N65" s="58"/>
      <x:c r="O65" s="62"/>
      <x:c r="P65" s="62"/>
      <x:c r="Q65" s="64" t="str">
        <x:f>IF(OR(B65="",C65="",C65&lt;B65),"",ROUNDUP((C65-B65)/7,0))</x:f>
      </x:c>
      <x:c r="R65" s="50"/>
      <x:c r="S65" s="50"/>
      <x:c r="T65" s="54"/>
      <x:c r="U65" s="66" t="str">
        <x:f>IF(A65="","",IF(K65="Subscription","",IF(ISNUMBER(G65),G65,0)-IF(ISNUMBER(I65),I65,0)))</x:f>
      </x:c>
      <x:c r="V65" s="64" t="str">
        <x:f>IF(OR(P65="",O65="",NOT(ISNUMBER(P65)),NOT(ISNUMBER(O65)),O65&gt;P65),"",P65-O65)</x:f>
      </x:c>
      <x:c r="W65" s="67" t="str">
        <x:f>IF(OR(P65="",P65=0,V65=""),"",V65/P65)</x:f>
      </x:c>
    </x:row>
    <x:row r="66" ht="21" customHeight="1">
      <x:c r="A66" s="54"/>
      <x:c r="B66" s="56"/>
      <x:c r="C66" s="56"/>
      <x:c r="D66" s="54"/>
      <x:c r="E66" s="58"/>
      <x:c r="F66" s="58"/>
      <x:c r="G66" s="58"/>
      <x:c r="H66" s="58"/>
      <x:c r="I66" s="58"/>
      <x:c r="J66" s="60" t="str">
        <x:f>IF(A66="","",IF(K66="Subscription","",IF(E66=0,"",IF(ISNUMBER(G66),G66/E66,IF(ISNUMBER(I66),-ABS(I66)/E66,IF(ISNUMBER(H66),0,IF(AND(ISNUMBER(F66),ISNUMBER(E66),E66&gt;0,F66&gt;E66),(F66-E66)/E66,IF(AND(ISNUMBER(F66),ISNUMBER(E66),E66&gt;0,F66=E66),0,IF(AND(ISNUMBER(F66),ISNUMBER(E66),E66&gt;0,F66=0),-1,"")))))))))</x:f>
      </x:c>
      <x:c r="K66" s="50" t="str">
        <x:f>IF(A66="","",IF(AND(ISNUMBER(E66),E66=0,OR(ISNUMBER(SEARCH("Free",D66&amp;"")),AND(ISNUMBER(F66),F66=0))),"Subscription",IF(ISNUMBER(G66),"Profit",IF(ISNUMBER(I66),"Disqualified",IF(ISNUMBER(H66),"Draw",IF(AND(ISNUMBER(F66),ISNUMBER(E66),E66&gt;0,F66&gt;E66),"Profit",IF(AND(ISNUMBER(F66),ISNUMBER(E66),E66&gt;0,F66=E66),"Draw",IF(AND(ISNUMBER(F66),ISNUMBER(E66),E66&gt;0,F66=0),"Disqualified",""))))))))</x:f>
      </x:c>
      <x:c r="L66" s="50"/>
      <x:c r="M66" s="58"/>
      <x:c r="N66" s="58"/>
      <x:c r="O66" s="62"/>
      <x:c r="P66" s="62"/>
      <x:c r="Q66" s="64" t="str">
        <x:f>IF(OR(B66="",C66="",C66&lt;B66),"",ROUNDUP((C66-B66)/7,0))</x:f>
      </x:c>
      <x:c r="R66" s="50"/>
      <x:c r="S66" s="50"/>
      <x:c r="T66" s="54"/>
      <x:c r="U66" s="66" t="str">
        <x:f>IF(A66="","",IF(K66="Subscription","",IF(ISNUMBER(G66),G66,0)-IF(ISNUMBER(I66),I66,0)))</x:f>
      </x:c>
      <x:c r="V66" s="64" t="str">
        <x:f>IF(OR(P66="",O66="",NOT(ISNUMBER(P66)),NOT(ISNUMBER(O66)),O66&gt;P66),"",P66-O66)</x:f>
      </x:c>
      <x:c r="W66" s="67" t="str">
        <x:f>IF(OR(P66="",P66=0,V66=""),"",V66/P66)</x:f>
      </x:c>
    </x:row>
    <x:row r="67" ht="21" customHeight="1">
      <x:c r="A67" s="54"/>
      <x:c r="B67" s="56"/>
      <x:c r="C67" s="56"/>
      <x:c r="D67" s="54"/>
      <x:c r="E67" s="58"/>
      <x:c r="F67" s="58"/>
      <x:c r="G67" s="58"/>
      <x:c r="H67" s="58"/>
      <x:c r="I67" s="58"/>
      <x:c r="J67" s="60" t="str">
        <x:f>IF(A67="","",IF(K67="Subscription","",IF(E67=0,"",IF(ISNUMBER(G67),G67/E67,IF(ISNUMBER(I67),-ABS(I67)/E67,IF(ISNUMBER(H67),0,IF(AND(ISNUMBER(F67),ISNUMBER(E67),E67&gt;0,F67&gt;E67),(F67-E67)/E67,IF(AND(ISNUMBER(F67),ISNUMBER(E67),E67&gt;0,F67=E67),0,IF(AND(ISNUMBER(F67),ISNUMBER(E67),E67&gt;0,F67=0),-1,"")))))))))</x:f>
      </x:c>
      <x:c r="K67" s="50" t="str">
        <x:f>IF(A67="","",IF(AND(ISNUMBER(E67),E67=0,OR(ISNUMBER(SEARCH("Free",D67&amp;"")),AND(ISNUMBER(F67),F67=0))),"Subscription",IF(ISNUMBER(G67),"Profit",IF(ISNUMBER(I67),"Disqualified",IF(ISNUMBER(H67),"Draw",IF(AND(ISNUMBER(F67),ISNUMBER(E67),E67&gt;0,F67&gt;E67),"Profit",IF(AND(ISNUMBER(F67),ISNUMBER(E67),E67&gt;0,F67=E67),"Draw",IF(AND(ISNUMBER(F67),ISNUMBER(E67),E67&gt;0,F67=0),"Disqualified",""))))))))</x:f>
      </x:c>
      <x:c r="L67" s="50"/>
      <x:c r="M67" s="58"/>
      <x:c r="N67" s="58"/>
      <x:c r="O67" s="62"/>
      <x:c r="P67" s="62"/>
      <x:c r="Q67" s="64" t="str">
        <x:f>IF(OR(B67="",C67="",C67&lt;B67),"",ROUNDUP((C67-B67)/7,0))</x:f>
      </x:c>
      <x:c r="R67" s="50"/>
      <x:c r="S67" s="50"/>
      <x:c r="T67" s="54"/>
      <x:c r="U67" s="66" t="str">
        <x:f>IF(A67="","",IF(K67="Subscription","",IF(ISNUMBER(G67),G67,0)-IF(ISNUMBER(I67),I67,0)))</x:f>
      </x:c>
      <x:c r="V67" s="64" t="str">
        <x:f>IF(OR(P67="",O67="",NOT(ISNUMBER(P67)),NOT(ISNUMBER(O67)),O67&gt;P67),"",P67-O67)</x:f>
      </x:c>
      <x:c r="W67" s="67" t="str">
        <x:f>IF(OR(P67="",P67=0,V67=""),"",V67/P67)</x:f>
      </x:c>
    </x:row>
    <x:row r="68" ht="21" customHeight="1">
      <x:c r="A68" s="54"/>
      <x:c r="B68" s="56"/>
      <x:c r="C68" s="56"/>
      <x:c r="D68" s="54"/>
      <x:c r="E68" s="58"/>
      <x:c r="F68" s="58"/>
      <x:c r="G68" s="58"/>
      <x:c r="H68" s="58"/>
      <x:c r="I68" s="58"/>
      <x:c r="J68" s="60" t="str">
        <x:f>IF(A68="","",IF(K68="Subscription","",IF(E68=0,"",IF(ISNUMBER(G68),G68/E68,IF(ISNUMBER(I68),-ABS(I68)/E68,IF(ISNUMBER(H68),0,IF(AND(ISNUMBER(F68),ISNUMBER(E68),E68&gt;0,F68&gt;E68),(F68-E68)/E68,IF(AND(ISNUMBER(F68),ISNUMBER(E68),E68&gt;0,F68=E68),0,IF(AND(ISNUMBER(F68),ISNUMBER(E68),E68&gt;0,F68=0),-1,"")))))))))</x:f>
      </x:c>
      <x:c r="K68" s="50" t="str">
        <x:f>IF(A68="","",IF(AND(ISNUMBER(E68),E68=0,OR(ISNUMBER(SEARCH("Free",D68&amp;"")),AND(ISNUMBER(F68),F68=0))),"Subscription",IF(ISNUMBER(G68),"Profit",IF(ISNUMBER(I68),"Disqualified",IF(ISNUMBER(H68),"Draw",IF(AND(ISNUMBER(F68),ISNUMBER(E68),E68&gt;0,F68&gt;E68),"Profit",IF(AND(ISNUMBER(F68),ISNUMBER(E68),E68&gt;0,F68=E68),"Draw",IF(AND(ISNUMBER(F68),ISNUMBER(E68),E68&gt;0,F68=0),"Disqualified",""))))))))</x:f>
      </x:c>
      <x:c r="L68" s="50"/>
      <x:c r="M68" s="58"/>
      <x:c r="N68" s="58"/>
      <x:c r="O68" s="62"/>
      <x:c r="P68" s="62"/>
      <x:c r="Q68" s="64" t="str">
        <x:f>IF(OR(B68="",C68="",C68&lt;B68),"",ROUNDUP((C68-B68)/7,0))</x:f>
      </x:c>
      <x:c r="R68" s="50"/>
      <x:c r="S68" s="50"/>
      <x:c r="T68" s="54"/>
      <x:c r="U68" s="66" t="str">
        <x:f>IF(A68="","",IF(K68="Subscription","",IF(ISNUMBER(G68),G68,0)-IF(ISNUMBER(I68),I68,0)))</x:f>
      </x:c>
      <x:c r="V68" s="64" t="str">
        <x:f>IF(OR(P68="",O68="",NOT(ISNUMBER(P68)),NOT(ISNUMBER(O68)),O68&gt;P68),"",P68-O68)</x:f>
      </x:c>
      <x:c r="W68" s="67" t="str">
        <x:f>IF(OR(P68="",P68=0,V68=""),"",V68/P68)</x:f>
      </x:c>
    </x:row>
    <x:row r="69" ht="21" customHeight="1">
      <x:c r="A69" s="54"/>
      <x:c r="B69" s="56"/>
      <x:c r="C69" s="56"/>
      <x:c r="D69" s="54"/>
      <x:c r="E69" s="58"/>
      <x:c r="F69" s="58"/>
      <x:c r="G69" s="58"/>
      <x:c r="H69" s="58"/>
      <x:c r="I69" s="58"/>
      <x:c r="J69" s="60" t="str">
        <x:f>IF(A69="","",IF(K69="Subscription","",IF(E69=0,"",IF(ISNUMBER(G69),G69/E69,IF(ISNUMBER(I69),-ABS(I69)/E69,IF(ISNUMBER(H69),0,IF(AND(ISNUMBER(F69),ISNUMBER(E69),E69&gt;0,F69&gt;E69),(F69-E69)/E69,IF(AND(ISNUMBER(F69),ISNUMBER(E69),E69&gt;0,F69=E69),0,IF(AND(ISNUMBER(F69),ISNUMBER(E69),E69&gt;0,F69=0),-1,"")))))))))</x:f>
      </x:c>
      <x:c r="K69" s="50" t="str">
        <x:f>IF(A69="","",IF(AND(ISNUMBER(E69),E69=0,OR(ISNUMBER(SEARCH("Free",D69&amp;"")),AND(ISNUMBER(F69),F69=0))),"Subscription",IF(ISNUMBER(G69),"Profit",IF(ISNUMBER(I69),"Disqualified",IF(ISNUMBER(H69),"Draw",IF(AND(ISNUMBER(F69),ISNUMBER(E69),E69&gt;0,F69&gt;E69),"Profit",IF(AND(ISNUMBER(F69),ISNUMBER(E69),E69&gt;0,F69=E69),"Draw",IF(AND(ISNUMBER(F69),ISNUMBER(E69),E69&gt;0,F69=0),"Disqualified",""))))))))</x:f>
      </x:c>
      <x:c r="L69" s="50"/>
      <x:c r="M69" s="58"/>
      <x:c r="N69" s="58"/>
      <x:c r="O69" s="62"/>
      <x:c r="P69" s="62"/>
      <x:c r="Q69" s="64" t="str">
        <x:f>IF(OR(B69="",C69="",C69&lt;B69),"",ROUNDUP((C69-B69)/7,0))</x:f>
      </x:c>
      <x:c r="R69" s="50"/>
      <x:c r="S69" s="50"/>
      <x:c r="T69" s="54"/>
      <x:c r="U69" s="66" t="str">
        <x:f>IF(A69="","",IF(K69="Subscription","",IF(ISNUMBER(G69),G69,0)-IF(ISNUMBER(I69),I69,0)))</x:f>
      </x:c>
      <x:c r="V69" s="64" t="str">
        <x:f>IF(OR(P69="",O69="",NOT(ISNUMBER(P69)),NOT(ISNUMBER(O69)),O69&gt;P69),"",P69-O69)</x:f>
      </x:c>
      <x:c r="W69" s="67" t="str">
        <x:f>IF(OR(P69="",P69=0,V69=""),"",V69/P69)</x:f>
      </x:c>
    </x:row>
    <x:row r="70" ht="21" customHeight="1">
      <x:c r="A70" s="54"/>
      <x:c r="B70" s="56"/>
      <x:c r="C70" s="56"/>
      <x:c r="D70" s="54"/>
      <x:c r="E70" s="58"/>
      <x:c r="F70" s="58"/>
      <x:c r="G70" s="58"/>
      <x:c r="H70" s="58"/>
      <x:c r="I70" s="58"/>
      <x:c r="J70" s="60" t="str">
        <x:f>IF(A70="","",IF(K70="Subscription","",IF(E70=0,"",IF(ISNUMBER(G70),G70/E70,IF(ISNUMBER(I70),-ABS(I70)/E70,IF(ISNUMBER(H70),0,IF(AND(ISNUMBER(F70),ISNUMBER(E70),E70&gt;0,F70&gt;E70),(F70-E70)/E70,IF(AND(ISNUMBER(F70),ISNUMBER(E70),E70&gt;0,F70=E70),0,IF(AND(ISNUMBER(F70),ISNUMBER(E70),E70&gt;0,F70=0),-1,"")))))))))</x:f>
      </x:c>
      <x:c r="K70" s="50" t="str">
        <x:f>IF(A70="","",IF(AND(ISNUMBER(E70),E70=0,OR(ISNUMBER(SEARCH("Free",D70&amp;"")),AND(ISNUMBER(F70),F70=0))),"Subscription",IF(ISNUMBER(G70),"Profit",IF(ISNUMBER(I70),"Disqualified",IF(ISNUMBER(H70),"Draw",IF(AND(ISNUMBER(F70),ISNUMBER(E70),E70&gt;0,F70&gt;E70),"Profit",IF(AND(ISNUMBER(F70),ISNUMBER(E70),E70&gt;0,F70=E70),"Draw",IF(AND(ISNUMBER(F70),ISNUMBER(E70),E70&gt;0,F70=0),"Disqualified",""))))))))</x:f>
      </x:c>
      <x:c r="L70" s="50"/>
      <x:c r="M70" s="58"/>
      <x:c r="N70" s="58"/>
      <x:c r="O70" s="62"/>
      <x:c r="P70" s="62"/>
      <x:c r="Q70" s="64" t="str">
        <x:f>IF(OR(B70="",C70="",C70&lt;B70),"",ROUNDUP((C70-B70)/7,0))</x:f>
      </x:c>
      <x:c r="R70" s="50"/>
      <x:c r="S70" s="50"/>
      <x:c r="T70" s="54"/>
      <x:c r="U70" s="66" t="str">
        <x:f>IF(A70="","",IF(K70="Subscription","",IF(ISNUMBER(G70),G70,0)-IF(ISNUMBER(I70),I70,0)))</x:f>
      </x:c>
      <x:c r="V70" s="64" t="str">
        <x:f>IF(OR(P70="",O70="",NOT(ISNUMBER(P70)),NOT(ISNUMBER(O70)),O70&gt;P70),"",P70-O70)</x:f>
      </x:c>
      <x:c r="W70" s="67" t="str">
        <x:f>IF(OR(P70="",P70=0,V70=""),"",V70/P70)</x:f>
      </x:c>
    </x:row>
    <x:row r="71" ht="21" customHeight="1">
      <x:c r="A71" s="54"/>
      <x:c r="B71" s="56"/>
      <x:c r="C71" s="56"/>
      <x:c r="D71" s="54"/>
      <x:c r="E71" s="58"/>
      <x:c r="F71" s="58"/>
      <x:c r="G71" s="58"/>
      <x:c r="H71" s="58"/>
      <x:c r="I71" s="58"/>
      <x:c r="J71" s="60" t="str">
        <x:f>IF(A71="","",IF(K71="Subscription","",IF(E71=0,"",IF(ISNUMBER(G71),G71/E71,IF(ISNUMBER(I71),-ABS(I71)/E71,IF(ISNUMBER(H71),0,IF(AND(ISNUMBER(F71),ISNUMBER(E71),E71&gt;0,F71&gt;E71),(F71-E71)/E71,IF(AND(ISNUMBER(F71),ISNUMBER(E71),E71&gt;0,F71=E71),0,IF(AND(ISNUMBER(F71),ISNUMBER(E71),E71&gt;0,F71=0),-1,"")))))))))</x:f>
      </x:c>
      <x:c r="K71" s="50" t="str">
        <x:f>IF(A71="","",IF(AND(ISNUMBER(E71),E71=0,OR(ISNUMBER(SEARCH("Free",D71&amp;"")),AND(ISNUMBER(F71),F71=0))),"Subscription",IF(ISNUMBER(G71),"Profit",IF(ISNUMBER(I71),"Disqualified",IF(ISNUMBER(H71),"Draw",IF(AND(ISNUMBER(F71),ISNUMBER(E71),E71&gt;0,F71&gt;E71),"Profit",IF(AND(ISNUMBER(F71),ISNUMBER(E71),E71&gt;0,F71=E71),"Draw",IF(AND(ISNUMBER(F71),ISNUMBER(E71),E71&gt;0,F71=0),"Disqualified",""))))))))</x:f>
      </x:c>
      <x:c r="L71" s="50"/>
      <x:c r="M71" s="58"/>
      <x:c r="N71" s="58"/>
      <x:c r="O71" s="62"/>
      <x:c r="P71" s="62"/>
      <x:c r="Q71" s="64" t="str">
        <x:f>IF(OR(B71="",C71="",C71&lt;B71),"",ROUNDUP((C71-B71)/7,0))</x:f>
      </x:c>
      <x:c r="R71" s="50"/>
      <x:c r="S71" s="50"/>
      <x:c r="T71" s="54"/>
      <x:c r="U71" s="66" t="str">
        <x:f>IF(A71="","",IF(K71="Subscription","",IF(ISNUMBER(G71),G71,0)-IF(ISNUMBER(I71),I71,0)))</x:f>
      </x:c>
      <x:c r="V71" s="64" t="str">
        <x:f>IF(OR(P71="",O71="",NOT(ISNUMBER(P71)),NOT(ISNUMBER(O71)),O71&gt;P71),"",P71-O71)</x:f>
      </x:c>
      <x:c r="W71" s="67" t="str">
        <x:f>IF(OR(P71="",P71=0,V71=""),"",V71/P71)</x:f>
      </x:c>
    </x:row>
    <x:row r="72" ht="21" customHeight="1">
      <x:c r="A72" s="54"/>
      <x:c r="B72" s="56"/>
      <x:c r="C72" s="56"/>
      <x:c r="D72" s="54"/>
      <x:c r="E72" s="58"/>
      <x:c r="F72" s="58"/>
      <x:c r="G72" s="58"/>
      <x:c r="H72" s="58"/>
      <x:c r="I72" s="58"/>
      <x:c r="J72" s="60" t="str">
        <x:f>IF(A72="","",IF(K72="Subscription","",IF(E72=0,"",IF(ISNUMBER(G72),G72/E72,IF(ISNUMBER(I72),-ABS(I72)/E72,IF(ISNUMBER(H72),0,IF(AND(ISNUMBER(F72),ISNUMBER(E72),E72&gt;0,F72&gt;E72),(F72-E72)/E72,IF(AND(ISNUMBER(F72),ISNUMBER(E72),E72&gt;0,F72=E72),0,IF(AND(ISNUMBER(F72),ISNUMBER(E72),E72&gt;0,F72=0),-1,"")))))))))</x:f>
      </x:c>
      <x:c r="K72" s="50" t="str">
        <x:f>IF(A72="","",IF(AND(ISNUMBER(E72),E72=0,OR(ISNUMBER(SEARCH("Free",D72&amp;"")),AND(ISNUMBER(F72),F72=0))),"Subscription",IF(ISNUMBER(G72),"Profit",IF(ISNUMBER(I72),"Disqualified",IF(ISNUMBER(H72),"Draw",IF(AND(ISNUMBER(F72),ISNUMBER(E72),E72&gt;0,F72&gt;E72),"Profit",IF(AND(ISNUMBER(F72),ISNUMBER(E72),E72&gt;0,F72=E72),"Draw",IF(AND(ISNUMBER(F72),ISNUMBER(E72),E72&gt;0,F72=0),"Disqualified",""))))))))</x:f>
      </x:c>
      <x:c r="L72" s="50"/>
      <x:c r="M72" s="58"/>
      <x:c r="N72" s="58"/>
      <x:c r="O72" s="62"/>
      <x:c r="P72" s="62"/>
      <x:c r="Q72" s="64" t="str">
        <x:f>IF(OR(B72="",C72="",C72&lt;B72),"",ROUNDUP((C72-B72)/7,0))</x:f>
      </x:c>
      <x:c r="R72" s="50"/>
      <x:c r="S72" s="50"/>
      <x:c r="T72" s="54"/>
      <x:c r="U72" s="66" t="str">
        <x:f>IF(A72="","",IF(K72="Subscription","",IF(ISNUMBER(G72),G72,0)-IF(ISNUMBER(I72),I72,0)))</x:f>
      </x:c>
      <x:c r="V72" s="64" t="str">
        <x:f>IF(OR(P72="",O72="",NOT(ISNUMBER(P72)),NOT(ISNUMBER(O72)),O72&gt;P72),"",P72-O72)</x:f>
      </x:c>
      <x:c r="W72" s="67" t="str">
        <x:f>IF(OR(P72="",P72=0,V72=""),"",V72/P72)</x:f>
      </x:c>
    </x:row>
    <x:row r="73" ht="21" customHeight="1">
      <x:c r="A73" s="54"/>
      <x:c r="B73" s="56"/>
      <x:c r="C73" s="56"/>
      <x:c r="D73" s="54"/>
      <x:c r="E73" s="58"/>
      <x:c r="F73" s="58"/>
      <x:c r="G73" s="58"/>
      <x:c r="H73" s="58"/>
      <x:c r="I73" s="58"/>
      <x:c r="J73" s="60" t="str">
        <x:f>IF(A73="","",IF(K73="Subscription","",IF(E73=0,"",IF(ISNUMBER(G73),G73/E73,IF(ISNUMBER(I73),-ABS(I73)/E73,IF(ISNUMBER(H73),0,IF(AND(ISNUMBER(F73),ISNUMBER(E73),E73&gt;0,F73&gt;E73),(F73-E73)/E73,IF(AND(ISNUMBER(F73),ISNUMBER(E73),E73&gt;0,F73=E73),0,IF(AND(ISNUMBER(F73),ISNUMBER(E73),E73&gt;0,F73=0),-1,"")))))))))</x:f>
      </x:c>
      <x:c r="K73" s="50" t="str">
        <x:f>IF(A73="","",IF(AND(ISNUMBER(E73),E73=0,OR(ISNUMBER(SEARCH("Free",D73&amp;"")),AND(ISNUMBER(F73),F73=0))),"Subscription",IF(ISNUMBER(G73),"Profit",IF(ISNUMBER(I73),"Disqualified",IF(ISNUMBER(H73),"Draw",IF(AND(ISNUMBER(F73),ISNUMBER(E73),E73&gt;0,F73&gt;E73),"Profit",IF(AND(ISNUMBER(F73),ISNUMBER(E73),E73&gt;0,F73=E73),"Draw",IF(AND(ISNUMBER(F73),ISNUMBER(E73),E73&gt;0,F73=0),"Disqualified",""))))))))</x:f>
      </x:c>
      <x:c r="L73" s="50"/>
      <x:c r="M73" s="58"/>
      <x:c r="N73" s="58"/>
      <x:c r="O73" s="62"/>
      <x:c r="P73" s="62"/>
      <x:c r="Q73" s="64" t="str">
        <x:f>IF(OR(B73="",C73="",C73&lt;B73),"",ROUNDUP((C73-B73)/7,0))</x:f>
      </x:c>
      <x:c r="R73" s="50"/>
      <x:c r="S73" s="50"/>
      <x:c r="T73" s="54"/>
      <x:c r="U73" s="66" t="str">
        <x:f>IF(A73="","",IF(K73="Subscription","",IF(ISNUMBER(G73),G73,0)-IF(ISNUMBER(I73),I73,0)))</x:f>
      </x:c>
      <x:c r="V73" s="64" t="str">
        <x:f>IF(OR(P73="",O73="",NOT(ISNUMBER(P73)),NOT(ISNUMBER(O73)),O73&gt;P73),"",P73-O73)</x:f>
      </x:c>
      <x:c r="W73" s="67" t="str">
        <x:f>IF(OR(P73="",P73=0,V73=""),"",V73/P73)</x:f>
      </x:c>
    </x:row>
    <x:row r="74" ht="21" customHeight="1">
      <x:c r="A74" s="54"/>
      <x:c r="B74" s="56"/>
      <x:c r="C74" s="56"/>
      <x:c r="D74" s="54"/>
      <x:c r="E74" s="58"/>
      <x:c r="F74" s="58"/>
      <x:c r="G74" s="58"/>
      <x:c r="H74" s="58"/>
      <x:c r="I74" s="58"/>
      <x:c r="J74" s="60" t="str">
        <x:f>IF(A74="","",IF(K74="Subscription","",IF(E74=0,"",IF(ISNUMBER(G74),G74/E74,IF(ISNUMBER(I74),-ABS(I74)/E74,IF(ISNUMBER(H74),0,IF(AND(ISNUMBER(F74),ISNUMBER(E74),E74&gt;0,F74&gt;E74),(F74-E74)/E74,IF(AND(ISNUMBER(F74),ISNUMBER(E74),E74&gt;0,F74=E74),0,IF(AND(ISNUMBER(F74),ISNUMBER(E74),E74&gt;0,F74=0),-1,"")))))))))</x:f>
      </x:c>
      <x:c r="K74" s="50" t="str">
        <x:f>IF(A74="","",IF(AND(ISNUMBER(E74),E74=0,OR(ISNUMBER(SEARCH("Free",D74&amp;"")),AND(ISNUMBER(F74),F74=0))),"Subscription",IF(ISNUMBER(G74),"Profit",IF(ISNUMBER(I74),"Disqualified",IF(ISNUMBER(H74),"Draw",IF(AND(ISNUMBER(F74),ISNUMBER(E74),E74&gt;0,F74&gt;E74),"Profit",IF(AND(ISNUMBER(F74),ISNUMBER(E74),E74&gt;0,F74=E74),"Draw",IF(AND(ISNUMBER(F74),ISNUMBER(E74),E74&gt;0,F74=0),"Disqualified",""))))))))</x:f>
      </x:c>
      <x:c r="L74" s="50"/>
      <x:c r="M74" s="58"/>
      <x:c r="N74" s="58"/>
      <x:c r="O74" s="62"/>
      <x:c r="P74" s="62"/>
      <x:c r="Q74" s="64" t="str">
        <x:f>IF(OR(B74="",C74="",C74&lt;B74),"",ROUNDUP((C74-B74)/7,0))</x:f>
      </x:c>
      <x:c r="R74" s="50"/>
      <x:c r="S74" s="50"/>
      <x:c r="T74" s="54"/>
      <x:c r="U74" s="66" t="str">
        <x:f>IF(A74="","",IF(K74="Subscription","",IF(ISNUMBER(G74),G74,0)-IF(ISNUMBER(I74),I74,0)))</x:f>
      </x:c>
      <x:c r="V74" s="64" t="str">
        <x:f>IF(OR(P74="",O74="",NOT(ISNUMBER(P74)),NOT(ISNUMBER(O74)),O74&gt;P74),"",P74-O74)</x:f>
      </x:c>
      <x:c r="W74" s="67" t="str">
        <x:f>IF(OR(P74="",P74=0,V74=""),"",V74/P74)</x:f>
      </x:c>
    </x:row>
    <x:row r="75" ht="21" customHeight="1">
      <x:c r="A75" s="54"/>
      <x:c r="B75" s="56"/>
      <x:c r="C75" s="56"/>
      <x:c r="D75" s="54"/>
      <x:c r="E75" s="58"/>
      <x:c r="F75" s="58"/>
      <x:c r="G75" s="58"/>
      <x:c r="H75" s="58"/>
      <x:c r="I75" s="58"/>
      <x:c r="J75" s="60" t="str">
        <x:f>IF(A75="","",IF(K75="Subscription","",IF(E75=0,"",IF(ISNUMBER(G75),G75/E75,IF(ISNUMBER(I75),-ABS(I75)/E75,IF(ISNUMBER(H75),0,IF(AND(ISNUMBER(F75),ISNUMBER(E75),E75&gt;0,F75&gt;E75),(F75-E75)/E75,IF(AND(ISNUMBER(F75),ISNUMBER(E75),E75&gt;0,F75=E75),0,IF(AND(ISNUMBER(F75),ISNUMBER(E75),E75&gt;0,F75=0),-1,"")))))))))</x:f>
      </x:c>
      <x:c r="K75" s="50" t="str">
        <x:f>IF(A75="","",IF(AND(ISNUMBER(E75),E75=0,OR(ISNUMBER(SEARCH("Free",D75&amp;"")),AND(ISNUMBER(F75),F75=0))),"Subscription",IF(ISNUMBER(G75),"Profit",IF(ISNUMBER(I75),"Disqualified",IF(ISNUMBER(H75),"Draw",IF(AND(ISNUMBER(F75),ISNUMBER(E75),E75&gt;0,F75&gt;E75),"Profit",IF(AND(ISNUMBER(F75),ISNUMBER(E75),E75&gt;0,F75=E75),"Draw",IF(AND(ISNUMBER(F75),ISNUMBER(E75),E75&gt;0,F75=0),"Disqualified",""))))))))</x:f>
      </x:c>
      <x:c r="L75" s="50"/>
      <x:c r="M75" s="58"/>
      <x:c r="N75" s="58"/>
      <x:c r="O75" s="62"/>
      <x:c r="P75" s="62"/>
      <x:c r="Q75" s="64" t="str">
        <x:f>IF(OR(B75="",C75="",C75&lt;B75),"",ROUNDUP((C75-B75)/7,0))</x:f>
      </x:c>
      <x:c r="R75" s="50"/>
      <x:c r="S75" s="50"/>
      <x:c r="T75" s="54"/>
      <x:c r="U75" s="66" t="str">
        <x:f>IF(A75="","",IF(K75="Subscription","",IF(ISNUMBER(G75),G75,0)-IF(ISNUMBER(I75),I75,0)))</x:f>
      </x:c>
      <x:c r="V75" s="64" t="str">
        <x:f>IF(OR(P75="",O75="",NOT(ISNUMBER(P75)),NOT(ISNUMBER(O75)),O75&gt;P75),"",P75-O75)</x:f>
      </x:c>
      <x:c r="W75" s="67" t="str">
        <x:f>IF(OR(P75="",P75=0,V75=""),"",V75/P75)</x:f>
      </x:c>
    </x:row>
    <x:row r="76" ht="21" customHeight="1">
      <x:c r="A76" s="54"/>
      <x:c r="B76" s="56"/>
      <x:c r="C76" s="56"/>
      <x:c r="D76" s="54"/>
      <x:c r="E76" s="58"/>
      <x:c r="F76" s="58"/>
      <x:c r="G76" s="58"/>
      <x:c r="H76" s="58"/>
      <x:c r="I76" s="58"/>
      <x:c r="J76" s="60" t="str">
        <x:f>IF(A76="","",IF(K76="Subscription","",IF(E76=0,"",IF(ISNUMBER(G76),G76/E76,IF(ISNUMBER(I76),-ABS(I76)/E76,IF(ISNUMBER(H76),0,IF(AND(ISNUMBER(F76),ISNUMBER(E76),E76&gt;0,F76&gt;E76),(F76-E76)/E76,IF(AND(ISNUMBER(F76),ISNUMBER(E76),E76&gt;0,F76=E76),0,IF(AND(ISNUMBER(F76),ISNUMBER(E76),E76&gt;0,F76=0),-1,"")))))))))</x:f>
      </x:c>
      <x:c r="K76" s="50" t="str">
        <x:f>IF(A76="","",IF(AND(ISNUMBER(E76),E76=0,OR(ISNUMBER(SEARCH("Free",D76&amp;"")),AND(ISNUMBER(F76),F76=0))),"Subscription",IF(ISNUMBER(G76),"Profit",IF(ISNUMBER(I76),"Disqualified",IF(ISNUMBER(H76),"Draw",IF(AND(ISNUMBER(F76),ISNUMBER(E76),E76&gt;0,F76&gt;E76),"Profit",IF(AND(ISNUMBER(F76),ISNUMBER(E76),E76&gt;0,F76=E76),"Draw",IF(AND(ISNUMBER(F76),ISNUMBER(E76),E76&gt;0,F76=0),"Disqualified",""))))))))</x:f>
      </x:c>
      <x:c r="L76" s="50"/>
      <x:c r="M76" s="58"/>
      <x:c r="N76" s="58"/>
      <x:c r="O76" s="62"/>
      <x:c r="P76" s="62"/>
      <x:c r="Q76" s="64" t="str">
        <x:f>IF(OR(B76="",C76="",C76&lt;B76),"",ROUNDUP((C76-B76)/7,0))</x:f>
      </x:c>
      <x:c r="R76" s="50"/>
      <x:c r="S76" s="50"/>
      <x:c r="T76" s="54"/>
      <x:c r="U76" s="66" t="str">
        <x:f>IF(A76="","",IF(K76="Subscription","",IF(ISNUMBER(G76),G76,0)-IF(ISNUMBER(I76),I76,0)))</x:f>
      </x:c>
      <x:c r="V76" s="64" t="str">
        <x:f>IF(OR(P76="",O76="",NOT(ISNUMBER(P76)),NOT(ISNUMBER(O76)),O76&gt;P76),"",P76-O76)</x:f>
      </x:c>
      <x:c r="W76" s="67" t="str">
        <x:f>IF(OR(P76="",P76=0,V76=""),"",V76/P76)</x:f>
      </x:c>
    </x:row>
    <x:row r="77" ht="21" customHeight="1">
      <x:c r="A77" s="54"/>
      <x:c r="B77" s="56"/>
      <x:c r="C77" s="56"/>
      <x:c r="D77" s="54"/>
      <x:c r="E77" s="58"/>
      <x:c r="F77" s="58"/>
      <x:c r="G77" s="58"/>
      <x:c r="H77" s="58"/>
      <x:c r="I77" s="58"/>
      <x:c r="J77" s="60" t="str">
        <x:f>IF(A77="","",IF(K77="Subscription","",IF(E77=0,"",IF(ISNUMBER(G77),G77/E77,IF(ISNUMBER(I77),-ABS(I77)/E77,IF(ISNUMBER(H77),0,IF(AND(ISNUMBER(F77),ISNUMBER(E77),E77&gt;0,F77&gt;E77),(F77-E77)/E77,IF(AND(ISNUMBER(F77),ISNUMBER(E77),E77&gt;0,F77=E77),0,IF(AND(ISNUMBER(F77),ISNUMBER(E77),E77&gt;0,F77=0),-1,"")))))))))</x:f>
      </x:c>
      <x:c r="K77" s="50" t="str">
        <x:f>IF(A77="","",IF(AND(ISNUMBER(E77),E77=0,OR(ISNUMBER(SEARCH("Free",D77&amp;"")),AND(ISNUMBER(F77),F77=0))),"Subscription",IF(ISNUMBER(G77),"Profit",IF(ISNUMBER(I77),"Disqualified",IF(ISNUMBER(H77),"Draw",IF(AND(ISNUMBER(F77),ISNUMBER(E77),E77&gt;0,F77&gt;E77),"Profit",IF(AND(ISNUMBER(F77),ISNUMBER(E77),E77&gt;0,F77=E77),"Draw",IF(AND(ISNUMBER(F77),ISNUMBER(E77),E77&gt;0,F77=0),"Disqualified",""))))))))</x:f>
      </x:c>
      <x:c r="L77" s="50"/>
      <x:c r="M77" s="58"/>
      <x:c r="N77" s="58"/>
      <x:c r="O77" s="62"/>
      <x:c r="P77" s="62"/>
      <x:c r="Q77" s="64" t="str">
        <x:f>IF(OR(B77="",C77="",C77&lt;B77),"",ROUNDUP((C77-B77)/7,0))</x:f>
      </x:c>
      <x:c r="R77" s="50"/>
      <x:c r="S77" s="50"/>
      <x:c r="T77" s="54"/>
      <x:c r="U77" s="66" t="str">
        <x:f>IF(A77="","",IF(K77="Subscription","",IF(ISNUMBER(G77),G77,0)-IF(ISNUMBER(I77),I77,0)))</x:f>
      </x:c>
      <x:c r="V77" s="64" t="str">
        <x:f>IF(OR(P77="",O77="",NOT(ISNUMBER(P77)),NOT(ISNUMBER(O77)),O77&gt;P77),"",P77-O77)</x:f>
      </x:c>
      <x:c r="W77" s="67" t="str">
        <x:f>IF(OR(P77="",P77=0,V77=""),"",V77/P77)</x:f>
      </x:c>
    </x:row>
    <x:row r="78" ht="21" customHeight="1">
      <x:c r="A78" s="54"/>
      <x:c r="B78" s="56"/>
      <x:c r="C78" s="56"/>
      <x:c r="D78" s="54"/>
      <x:c r="E78" s="58"/>
      <x:c r="F78" s="58"/>
      <x:c r="G78" s="58"/>
      <x:c r="H78" s="58"/>
      <x:c r="I78" s="58"/>
      <x:c r="J78" s="60" t="str">
        <x:f>IF(A78="","",IF(K78="Subscription","",IF(E78=0,"",IF(ISNUMBER(G78),G78/E78,IF(ISNUMBER(I78),-ABS(I78)/E78,IF(ISNUMBER(H78),0,IF(AND(ISNUMBER(F78),ISNUMBER(E78),E78&gt;0,F78&gt;E78),(F78-E78)/E78,IF(AND(ISNUMBER(F78),ISNUMBER(E78),E78&gt;0,F78=E78),0,IF(AND(ISNUMBER(F78),ISNUMBER(E78),E78&gt;0,F78=0),-1,"")))))))))</x:f>
      </x:c>
      <x:c r="K78" s="50" t="str">
        <x:f>IF(A78="","",IF(AND(ISNUMBER(E78),E78=0,OR(ISNUMBER(SEARCH("Free",D78&amp;"")),AND(ISNUMBER(F78),F78=0))),"Subscription",IF(ISNUMBER(G78),"Profit",IF(ISNUMBER(I78),"Disqualified",IF(ISNUMBER(H78),"Draw",IF(AND(ISNUMBER(F78),ISNUMBER(E78),E78&gt;0,F78&gt;E78),"Profit",IF(AND(ISNUMBER(F78),ISNUMBER(E78),E78&gt;0,F78=E78),"Draw",IF(AND(ISNUMBER(F78),ISNUMBER(E78),E78&gt;0,F78=0),"Disqualified",""))))))))</x:f>
      </x:c>
      <x:c r="L78" s="50"/>
      <x:c r="M78" s="58"/>
      <x:c r="N78" s="58"/>
      <x:c r="O78" s="62"/>
      <x:c r="P78" s="62"/>
      <x:c r="Q78" s="64" t="str">
        <x:f>IF(OR(B78="",C78="",C78&lt;B78),"",ROUNDUP((C78-B78)/7,0))</x:f>
      </x:c>
      <x:c r="R78" s="50"/>
      <x:c r="S78" s="50"/>
      <x:c r="T78" s="54"/>
      <x:c r="U78" s="66" t="str">
        <x:f>IF(A78="","",IF(K78="Subscription","",IF(ISNUMBER(G78),G78,0)-IF(ISNUMBER(I78),I78,0)))</x:f>
      </x:c>
      <x:c r="V78" s="64" t="str">
        <x:f>IF(OR(P78="",O78="",NOT(ISNUMBER(P78)),NOT(ISNUMBER(O78)),O78&gt;P78),"",P78-O78)</x:f>
      </x:c>
      <x:c r="W78" s="67" t="str">
        <x:f>IF(OR(P78="",P78=0,V78=""),"",V78/P78)</x:f>
      </x:c>
    </x:row>
    <x:row r="79" ht="21" customHeight="1">
      <x:c r="A79" s="54"/>
      <x:c r="B79" s="56"/>
      <x:c r="C79" s="56"/>
      <x:c r="D79" s="54"/>
      <x:c r="E79" s="58"/>
      <x:c r="F79" s="58"/>
      <x:c r="G79" s="58"/>
      <x:c r="H79" s="58"/>
      <x:c r="I79" s="58"/>
      <x:c r="J79" s="60" t="str">
        <x:f>IF(A79="","",IF(K79="Subscription","",IF(E79=0,"",IF(ISNUMBER(G79),G79/E79,IF(ISNUMBER(I79),-ABS(I79)/E79,IF(ISNUMBER(H79),0,IF(AND(ISNUMBER(F79),ISNUMBER(E79),E79&gt;0,F79&gt;E79),(F79-E79)/E79,IF(AND(ISNUMBER(F79),ISNUMBER(E79),E79&gt;0,F79=E79),0,IF(AND(ISNUMBER(F79),ISNUMBER(E79),E79&gt;0,F79=0),-1,"")))))))))</x:f>
      </x:c>
      <x:c r="K79" s="50" t="str">
        <x:f>IF(A79="","",IF(AND(ISNUMBER(E79),E79=0,OR(ISNUMBER(SEARCH("Free",D79&amp;"")),AND(ISNUMBER(F79),F79=0))),"Subscription",IF(ISNUMBER(G79),"Profit",IF(ISNUMBER(I79),"Disqualified",IF(ISNUMBER(H79),"Draw",IF(AND(ISNUMBER(F79),ISNUMBER(E79),E79&gt;0,F79&gt;E79),"Profit",IF(AND(ISNUMBER(F79),ISNUMBER(E79),E79&gt;0,F79=E79),"Draw",IF(AND(ISNUMBER(F79),ISNUMBER(E79),E79&gt;0,F79=0),"Disqualified",""))))))))</x:f>
      </x:c>
      <x:c r="L79" s="50"/>
      <x:c r="M79" s="58"/>
      <x:c r="N79" s="58"/>
      <x:c r="O79" s="62"/>
      <x:c r="P79" s="62"/>
      <x:c r="Q79" s="64" t="str">
        <x:f>IF(OR(B79="",C79="",C79&lt;B79),"",ROUNDUP((C79-B79)/7,0))</x:f>
      </x:c>
      <x:c r="R79" s="50"/>
      <x:c r="S79" s="50"/>
      <x:c r="T79" s="54"/>
      <x:c r="U79" s="66" t="str">
        <x:f>IF(A79="","",IF(K79="Subscription","",IF(ISNUMBER(G79),G79,0)-IF(ISNUMBER(I79),I79,0)))</x:f>
      </x:c>
      <x:c r="V79" s="64" t="str">
        <x:f>IF(OR(P79="",O79="",NOT(ISNUMBER(P79)),NOT(ISNUMBER(O79)),O79&gt;P79),"",P79-O79)</x:f>
      </x:c>
      <x:c r="W79" s="67" t="str">
        <x:f>IF(OR(P79="",P79=0,V79=""),"",V79/P79)</x:f>
      </x:c>
    </x:row>
    <x:row r="80" ht="21" customHeight="1">
      <x:c r="A80" s="54"/>
      <x:c r="B80" s="56"/>
      <x:c r="C80" s="56"/>
      <x:c r="D80" s="54"/>
      <x:c r="E80" s="58"/>
      <x:c r="F80" s="58"/>
      <x:c r="G80" s="58"/>
      <x:c r="H80" s="58"/>
      <x:c r="I80" s="58"/>
      <x:c r="J80" s="60" t="str">
        <x:f>IF(A80="","",IF(K80="Subscription","",IF(E80=0,"",IF(ISNUMBER(G80),G80/E80,IF(ISNUMBER(I80),-ABS(I80)/E80,IF(ISNUMBER(H80),0,IF(AND(ISNUMBER(F80),ISNUMBER(E80),E80&gt;0,F80&gt;E80),(F80-E80)/E80,IF(AND(ISNUMBER(F80),ISNUMBER(E80),E80&gt;0,F80=E80),0,IF(AND(ISNUMBER(F80),ISNUMBER(E80),E80&gt;0,F80=0),-1,"")))))))))</x:f>
      </x:c>
      <x:c r="K80" s="50" t="str">
        <x:f>IF(A80="","",IF(AND(ISNUMBER(E80),E80=0,OR(ISNUMBER(SEARCH("Free",D80&amp;"")),AND(ISNUMBER(F80),F80=0))),"Subscription",IF(ISNUMBER(G80),"Profit",IF(ISNUMBER(I80),"Disqualified",IF(ISNUMBER(H80),"Draw",IF(AND(ISNUMBER(F80),ISNUMBER(E80),E80&gt;0,F80&gt;E80),"Profit",IF(AND(ISNUMBER(F80),ISNUMBER(E80),E80&gt;0,F80=E80),"Draw",IF(AND(ISNUMBER(F80),ISNUMBER(E80),E80&gt;0,F80=0),"Disqualified",""))))))))</x:f>
      </x:c>
      <x:c r="L80" s="50"/>
      <x:c r="M80" s="58"/>
      <x:c r="N80" s="58"/>
      <x:c r="O80" s="62"/>
      <x:c r="P80" s="62"/>
      <x:c r="Q80" s="64" t="str">
        <x:f>IF(OR(B80="",C80="",C80&lt;B80),"",ROUNDUP((C80-B80)/7,0))</x:f>
      </x:c>
      <x:c r="R80" s="50"/>
      <x:c r="S80" s="50"/>
      <x:c r="T80" s="54"/>
      <x:c r="U80" s="66" t="str">
        <x:f>IF(A80="","",IF(K80="Subscription","",IF(ISNUMBER(G80),G80,0)-IF(ISNUMBER(I80),I80,0)))</x:f>
      </x:c>
      <x:c r="V80" s="64" t="str">
        <x:f>IF(OR(P80="",O80="",NOT(ISNUMBER(P80)),NOT(ISNUMBER(O80)),O80&gt;P80),"",P80-O80)</x:f>
      </x:c>
      <x:c r="W80" s="67" t="str">
        <x:f>IF(OR(P80="",P80=0,V80=""),"",V80/P80)</x:f>
      </x:c>
    </x:row>
    <x:row r="81" ht="21" customHeight="1">
      <x:c r="A81" s="54"/>
      <x:c r="B81" s="56"/>
      <x:c r="C81" s="56"/>
      <x:c r="D81" s="54"/>
      <x:c r="E81" s="58"/>
      <x:c r="F81" s="58"/>
      <x:c r="G81" s="58"/>
      <x:c r="H81" s="58"/>
      <x:c r="I81" s="58"/>
      <x:c r="J81" s="60" t="str">
        <x:f>IF(A81="","",IF(K81="Subscription","",IF(E81=0,"",IF(ISNUMBER(G81),G81/E81,IF(ISNUMBER(I81),-ABS(I81)/E81,IF(ISNUMBER(H81),0,IF(AND(ISNUMBER(F81),ISNUMBER(E81),E81&gt;0,F81&gt;E81),(F81-E81)/E81,IF(AND(ISNUMBER(F81),ISNUMBER(E81),E81&gt;0,F81=E81),0,IF(AND(ISNUMBER(F81),ISNUMBER(E81),E81&gt;0,F81=0),-1,"")))))))))</x:f>
      </x:c>
      <x:c r="K81" s="50" t="str">
        <x:f>IF(A81="","",IF(AND(ISNUMBER(E81),E81=0,OR(ISNUMBER(SEARCH("Free",D81&amp;"")),AND(ISNUMBER(F81),F81=0))),"Subscription",IF(ISNUMBER(G81),"Profit",IF(ISNUMBER(I81),"Disqualified",IF(ISNUMBER(H81),"Draw",IF(AND(ISNUMBER(F81),ISNUMBER(E81),E81&gt;0,F81&gt;E81),"Profit",IF(AND(ISNUMBER(F81),ISNUMBER(E81),E81&gt;0,F81=E81),"Draw",IF(AND(ISNUMBER(F81),ISNUMBER(E81),E81&gt;0,F81=0),"Disqualified",""))))))))</x:f>
      </x:c>
      <x:c r="L81" s="50"/>
      <x:c r="M81" s="58"/>
      <x:c r="N81" s="58"/>
      <x:c r="O81" s="62"/>
      <x:c r="P81" s="62"/>
      <x:c r="Q81" s="64" t="str">
        <x:f>IF(OR(B81="",C81="",C81&lt;B81),"",ROUNDUP((C81-B81)/7,0))</x:f>
      </x:c>
      <x:c r="R81" s="50"/>
      <x:c r="S81" s="50"/>
      <x:c r="T81" s="54"/>
      <x:c r="U81" s="66" t="str">
        <x:f>IF(A81="","",IF(K81="Subscription","",IF(ISNUMBER(G81),G81,0)-IF(ISNUMBER(I81),I81,0)))</x:f>
      </x:c>
      <x:c r="V81" s="64" t="str">
        <x:f>IF(OR(P81="",O81="",NOT(ISNUMBER(P81)),NOT(ISNUMBER(O81)),O81&gt;P81),"",P81-O81)</x:f>
      </x:c>
      <x:c r="W81" s="67" t="str">
        <x:f>IF(OR(P81="",P81=0,V81=""),"",V81/P81)</x:f>
      </x:c>
    </x:row>
    <x:row r="82" ht="21" customHeight="1">
      <x:c r="A82" s="54"/>
      <x:c r="B82" s="56"/>
      <x:c r="C82" s="56"/>
      <x:c r="D82" s="54"/>
      <x:c r="E82" s="58"/>
      <x:c r="F82" s="58"/>
      <x:c r="G82" s="58"/>
      <x:c r="H82" s="58"/>
      <x:c r="I82" s="58"/>
      <x:c r="J82" s="60" t="str">
        <x:f>IF(A82="","",IF(K82="Subscription","",IF(E82=0,"",IF(ISNUMBER(G82),G82/E82,IF(ISNUMBER(I82),-ABS(I82)/E82,IF(ISNUMBER(H82),0,IF(AND(ISNUMBER(F82),ISNUMBER(E82),E82&gt;0,F82&gt;E82),(F82-E82)/E82,IF(AND(ISNUMBER(F82),ISNUMBER(E82),E82&gt;0,F82=E82),0,IF(AND(ISNUMBER(F82),ISNUMBER(E82),E82&gt;0,F82=0),-1,"")))))))))</x:f>
      </x:c>
      <x:c r="K82" s="50" t="str">
        <x:f>IF(A82="","",IF(AND(ISNUMBER(E82),E82=0,OR(ISNUMBER(SEARCH("Free",D82&amp;"")),AND(ISNUMBER(F82),F82=0))),"Subscription",IF(ISNUMBER(G82),"Profit",IF(ISNUMBER(I82),"Disqualified",IF(ISNUMBER(H82),"Draw",IF(AND(ISNUMBER(F82),ISNUMBER(E82),E82&gt;0,F82&gt;E82),"Profit",IF(AND(ISNUMBER(F82),ISNUMBER(E82),E82&gt;0,F82=E82),"Draw",IF(AND(ISNUMBER(F82),ISNUMBER(E82),E82&gt;0,F82=0),"Disqualified",""))))))))</x:f>
      </x:c>
      <x:c r="L82" s="50"/>
      <x:c r="M82" s="58"/>
      <x:c r="N82" s="58"/>
      <x:c r="O82" s="62"/>
      <x:c r="P82" s="62"/>
      <x:c r="Q82" s="64" t="str">
        <x:f>IF(OR(B82="",C82="",C82&lt;B82),"",ROUNDUP((C82-B82)/7,0))</x:f>
      </x:c>
      <x:c r="R82" s="50"/>
      <x:c r="S82" s="50"/>
      <x:c r="T82" s="54"/>
      <x:c r="U82" s="66" t="str">
        <x:f>IF(A82="","",IF(K82="Subscription","",IF(ISNUMBER(G82),G82,0)-IF(ISNUMBER(I82),I82,0)))</x:f>
      </x:c>
      <x:c r="V82" s="64" t="str">
        <x:f>IF(OR(P82="",O82="",NOT(ISNUMBER(P82)),NOT(ISNUMBER(O82)),O82&gt;P82),"",P82-O82)</x:f>
      </x:c>
      <x:c r="W82" s="67" t="str">
        <x:f>IF(OR(P82="",P82=0,V82=""),"",V82/P82)</x:f>
      </x:c>
    </x:row>
    <x:row r="83" ht="21" customHeight="1">
      <x:c r="A83" s="54"/>
      <x:c r="B83" s="56"/>
      <x:c r="C83" s="56"/>
      <x:c r="D83" s="54"/>
      <x:c r="E83" s="58"/>
      <x:c r="F83" s="58"/>
      <x:c r="G83" s="58"/>
      <x:c r="H83" s="58"/>
      <x:c r="I83" s="58"/>
      <x:c r="J83" s="60" t="str">
        <x:f>IF(A83="","",IF(K83="Subscription","",IF(E83=0,"",IF(ISNUMBER(G83),G83/E83,IF(ISNUMBER(I83),-ABS(I83)/E83,IF(ISNUMBER(H83),0,IF(AND(ISNUMBER(F83),ISNUMBER(E83),E83&gt;0,F83&gt;E83),(F83-E83)/E83,IF(AND(ISNUMBER(F83),ISNUMBER(E83),E83&gt;0,F83=E83),0,IF(AND(ISNUMBER(F83),ISNUMBER(E83),E83&gt;0,F83=0),-1,"")))))))))</x:f>
      </x:c>
      <x:c r="K83" s="50" t="str">
        <x:f>IF(A83="","",IF(AND(ISNUMBER(E83),E83=0,OR(ISNUMBER(SEARCH("Free",D83&amp;"")),AND(ISNUMBER(F83),F83=0))),"Subscription",IF(ISNUMBER(G83),"Profit",IF(ISNUMBER(I83),"Disqualified",IF(ISNUMBER(H83),"Draw",IF(AND(ISNUMBER(F83),ISNUMBER(E83),E83&gt;0,F83&gt;E83),"Profit",IF(AND(ISNUMBER(F83),ISNUMBER(E83),E83&gt;0,F83=E83),"Draw",IF(AND(ISNUMBER(F83),ISNUMBER(E83),E83&gt;0,F83=0),"Disqualified",""))))))))</x:f>
      </x:c>
      <x:c r="L83" s="50"/>
      <x:c r="M83" s="58"/>
      <x:c r="N83" s="58"/>
      <x:c r="O83" s="62"/>
      <x:c r="P83" s="62"/>
      <x:c r="Q83" s="64" t="str">
        <x:f>IF(OR(B83="",C83="",C83&lt;B83),"",ROUNDUP((C83-B83)/7,0))</x:f>
      </x:c>
      <x:c r="R83" s="50"/>
      <x:c r="S83" s="50"/>
      <x:c r="T83" s="54"/>
      <x:c r="U83" s="66" t="str">
        <x:f>IF(A83="","",IF(K83="Subscription","",IF(ISNUMBER(G83),G83,0)-IF(ISNUMBER(I83),I83,0)))</x:f>
      </x:c>
      <x:c r="V83" s="64" t="str">
        <x:f>IF(OR(P83="",O83="",NOT(ISNUMBER(P83)),NOT(ISNUMBER(O83)),O83&gt;P83),"",P83-O83)</x:f>
      </x:c>
      <x:c r="W83" s="67" t="str">
        <x:f>IF(OR(P83="",P83=0,V83=""),"",V83/P83)</x:f>
      </x:c>
    </x:row>
    <x:row r="84" ht="21" customHeight="1">
      <x:c r="A84" s="54"/>
      <x:c r="B84" s="56"/>
      <x:c r="C84" s="56"/>
      <x:c r="D84" s="54"/>
      <x:c r="E84" s="58"/>
      <x:c r="F84" s="58"/>
      <x:c r="G84" s="58"/>
      <x:c r="H84" s="58"/>
      <x:c r="I84" s="58"/>
      <x:c r="J84" s="60" t="str">
        <x:f>IF(A84="","",IF(K84="Subscription","",IF(E84=0,"",IF(ISNUMBER(G84),G84/E84,IF(ISNUMBER(I84),-ABS(I84)/E84,IF(ISNUMBER(H84),0,IF(AND(ISNUMBER(F84),ISNUMBER(E84),E84&gt;0,F84&gt;E84),(F84-E84)/E84,IF(AND(ISNUMBER(F84),ISNUMBER(E84),E84&gt;0,F84=E84),0,IF(AND(ISNUMBER(F84),ISNUMBER(E84),E84&gt;0,F84=0),-1,"")))))))))</x:f>
      </x:c>
      <x:c r="K84" s="50" t="str">
        <x:f>IF(A84="","",IF(AND(ISNUMBER(E84),E84=0,OR(ISNUMBER(SEARCH("Free",D84&amp;"")),AND(ISNUMBER(F84),F84=0))),"Subscription",IF(ISNUMBER(G84),"Profit",IF(ISNUMBER(I84),"Disqualified",IF(ISNUMBER(H84),"Draw",IF(AND(ISNUMBER(F84),ISNUMBER(E84),E84&gt;0,F84&gt;E84),"Profit",IF(AND(ISNUMBER(F84),ISNUMBER(E84),E84&gt;0,F84=E84),"Draw",IF(AND(ISNUMBER(F84),ISNUMBER(E84),E84&gt;0,F84=0),"Disqualified",""))))))))</x:f>
      </x:c>
      <x:c r="L84" s="50"/>
      <x:c r="M84" s="58"/>
      <x:c r="N84" s="58"/>
      <x:c r="O84" s="62"/>
      <x:c r="P84" s="62"/>
      <x:c r="Q84" s="64" t="str">
        <x:f>IF(OR(B84="",C84="",C84&lt;B84),"",ROUNDUP((C84-B84)/7,0))</x:f>
      </x:c>
      <x:c r="R84" s="50"/>
      <x:c r="S84" s="50"/>
      <x:c r="T84" s="54"/>
      <x:c r="U84" s="66" t="str">
        <x:f>IF(A84="","",IF(K84="Subscription","",IF(ISNUMBER(G84),G84,0)-IF(ISNUMBER(I84),I84,0)))</x:f>
      </x:c>
      <x:c r="V84" s="64" t="str">
        <x:f>IF(OR(P84="",O84="",NOT(ISNUMBER(P84)),NOT(ISNUMBER(O84)),O84&gt;P84),"",P84-O84)</x:f>
      </x:c>
      <x:c r="W84" s="67" t="str">
        <x:f>IF(OR(P84="",P84=0,V84=""),"",V84/P84)</x:f>
      </x:c>
    </x:row>
    <x:row r="85" ht="21" customHeight="1">
      <x:c r="A85" s="54"/>
      <x:c r="B85" s="56"/>
      <x:c r="C85" s="56"/>
      <x:c r="D85" s="54"/>
      <x:c r="E85" s="58"/>
      <x:c r="F85" s="58"/>
      <x:c r="G85" s="58"/>
      <x:c r="H85" s="58"/>
      <x:c r="I85" s="58"/>
      <x:c r="J85" s="60" t="str">
        <x:f>IF(A85="","",IF(K85="Subscription","",IF(E85=0,"",IF(ISNUMBER(G85),G85/E85,IF(ISNUMBER(I85),-ABS(I85)/E85,IF(ISNUMBER(H85),0,IF(AND(ISNUMBER(F85),ISNUMBER(E85),E85&gt;0,F85&gt;E85),(F85-E85)/E85,IF(AND(ISNUMBER(F85),ISNUMBER(E85),E85&gt;0,F85=E85),0,IF(AND(ISNUMBER(F85),ISNUMBER(E85),E85&gt;0,F85=0),-1,"")))))))))</x:f>
      </x:c>
      <x:c r="K85" s="50" t="str">
        <x:f>IF(A85="","",IF(AND(ISNUMBER(E85),E85=0,OR(ISNUMBER(SEARCH("Free",D85&amp;"")),AND(ISNUMBER(F85),F85=0))),"Subscription",IF(ISNUMBER(G85),"Profit",IF(ISNUMBER(I85),"Disqualified",IF(ISNUMBER(H85),"Draw",IF(AND(ISNUMBER(F85),ISNUMBER(E85),E85&gt;0,F85&gt;E85),"Profit",IF(AND(ISNUMBER(F85),ISNUMBER(E85),E85&gt;0,F85=E85),"Draw",IF(AND(ISNUMBER(F85),ISNUMBER(E85),E85&gt;0,F85=0),"Disqualified",""))))))))</x:f>
      </x:c>
      <x:c r="L85" s="50"/>
      <x:c r="M85" s="58"/>
      <x:c r="N85" s="58"/>
      <x:c r="O85" s="62"/>
      <x:c r="P85" s="62"/>
      <x:c r="Q85" s="64" t="str">
        <x:f>IF(OR(B85="",C85="",C85&lt;B85),"",ROUNDUP((C85-B85)/7,0))</x:f>
      </x:c>
      <x:c r="R85" s="50"/>
      <x:c r="S85" s="50"/>
      <x:c r="T85" s="54"/>
      <x:c r="U85" s="66" t="str">
        <x:f>IF(A85="","",IF(K85="Subscription","",IF(ISNUMBER(G85),G85,0)-IF(ISNUMBER(I85),I85,0)))</x:f>
      </x:c>
      <x:c r="V85" s="64" t="str">
        <x:f>IF(OR(P85="",O85="",NOT(ISNUMBER(P85)),NOT(ISNUMBER(O85)),O85&gt;P85),"",P85-O85)</x:f>
      </x:c>
      <x:c r="W85" s="67" t="str">
        <x:f>IF(OR(P85="",P85=0,V85=""),"",V85/P85)</x:f>
      </x:c>
    </x:row>
    <x:row r="86" ht="21" customHeight="1">
      <x:c r="A86" s="54"/>
      <x:c r="B86" s="56"/>
      <x:c r="C86" s="56"/>
      <x:c r="D86" s="54"/>
      <x:c r="E86" s="58"/>
      <x:c r="F86" s="58"/>
      <x:c r="G86" s="58"/>
      <x:c r="H86" s="58"/>
      <x:c r="I86" s="58"/>
      <x:c r="J86" s="60" t="str">
        <x:f>IF(A86="","",IF(K86="Subscription","",IF(E86=0,"",IF(ISNUMBER(G86),G86/E86,IF(ISNUMBER(I86),-ABS(I86)/E86,IF(ISNUMBER(H86),0,IF(AND(ISNUMBER(F86),ISNUMBER(E86),E86&gt;0,F86&gt;E86),(F86-E86)/E86,IF(AND(ISNUMBER(F86),ISNUMBER(E86),E86&gt;0,F86=E86),0,IF(AND(ISNUMBER(F86),ISNUMBER(E86),E86&gt;0,F86=0),-1,"")))))))))</x:f>
      </x:c>
      <x:c r="K86" s="50" t="str">
        <x:f>IF(A86="","",IF(AND(ISNUMBER(E86),E86=0,OR(ISNUMBER(SEARCH("Free",D86&amp;"")),AND(ISNUMBER(F86),F86=0))),"Subscription",IF(ISNUMBER(G86),"Profit",IF(ISNUMBER(I86),"Disqualified",IF(ISNUMBER(H86),"Draw",IF(AND(ISNUMBER(F86),ISNUMBER(E86),E86&gt;0,F86&gt;E86),"Profit",IF(AND(ISNUMBER(F86),ISNUMBER(E86),E86&gt;0,F86=E86),"Draw",IF(AND(ISNUMBER(F86),ISNUMBER(E86),E86&gt;0,F86=0),"Disqualified",""))))))))</x:f>
      </x:c>
      <x:c r="L86" s="50"/>
      <x:c r="M86" s="58"/>
      <x:c r="N86" s="58"/>
      <x:c r="O86" s="62"/>
      <x:c r="P86" s="62"/>
      <x:c r="Q86" s="64" t="str">
        <x:f>IF(OR(B86="",C86="",C86&lt;B86),"",ROUNDUP((C86-B86)/7,0))</x:f>
      </x:c>
      <x:c r="R86" s="50"/>
      <x:c r="S86" s="50"/>
      <x:c r="T86" s="54"/>
      <x:c r="U86" s="66" t="str">
        <x:f>IF(A86="","",IF(K86="Subscription","",IF(ISNUMBER(G86),G86,0)-IF(ISNUMBER(I86),I86,0)))</x:f>
      </x:c>
      <x:c r="V86" s="64" t="str">
        <x:f>IF(OR(P86="",O86="",NOT(ISNUMBER(P86)),NOT(ISNUMBER(O86)),O86&gt;P86),"",P86-O86)</x:f>
      </x:c>
      <x:c r="W86" s="67" t="str">
        <x:f>IF(OR(P86="",P86=0,V86=""),"",V86/P86)</x:f>
      </x:c>
    </x:row>
    <x:row r="87" ht="21" customHeight="1">
      <x:c r="A87" s="54"/>
      <x:c r="B87" s="56"/>
      <x:c r="C87" s="56"/>
      <x:c r="D87" s="54"/>
      <x:c r="E87" s="58"/>
      <x:c r="F87" s="58"/>
      <x:c r="G87" s="58"/>
      <x:c r="H87" s="58"/>
      <x:c r="I87" s="58"/>
      <x:c r="J87" s="60" t="str">
        <x:f>IF(A87="","",IF(K87="Subscription","",IF(E87=0,"",IF(ISNUMBER(G87),G87/E87,IF(ISNUMBER(I87),-ABS(I87)/E87,IF(ISNUMBER(H87),0,IF(AND(ISNUMBER(F87),ISNUMBER(E87),E87&gt;0,F87&gt;E87),(F87-E87)/E87,IF(AND(ISNUMBER(F87),ISNUMBER(E87),E87&gt;0,F87=E87),0,IF(AND(ISNUMBER(F87),ISNUMBER(E87),E87&gt;0,F87=0),-1,"")))))))))</x:f>
      </x:c>
      <x:c r="K87" s="50" t="str">
        <x:f>IF(A87="","",IF(AND(ISNUMBER(E87),E87=0,OR(ISNUMBER(SEARCH("Free",D87&amp;"")),AND(ISNUMBER(F87),F87=0))),"Subscription",IF(ISNUMBER(G87),"Profit",IF(ISNUMBER(I87),"Disqualified",IF(ISNUMBER(H87),"Draw",IF(AND(ISNUMBER(F87),ISNUMBER(E87),E87&gt;0,F87&gt;E87),"Profit",IF(AND(ISNUMBER(F87),ISNUMBER(E87),E87&gt;0,F87=E87),"Draw",IF(AND(ISNUMBER(F87),ISNUMBER(E87),E87&gt;0,F87=0),"Disqualified",""))))))))</x:f>
      </x:c>
      <x:c r="L87" s="50"/>
      <x:c r="M87" s="58"/>
      <x:c r="N87" s="58"/>
      <x:c r="O87" s="62"/>
      <x:c r="P87" s="62"/>
      <x:c r="Q87" s="64" t="str">
        <x:f>IF(OR(B87="",C87="",C87&lt;B87),"",ROUNDUP((C87-B87)/7,0))</x:f>
      </x:c>
      <x:c r="R87" s="50"/>
      <x:c r="S87" s="50"/>
      <x:c r="T87" s="54"/>
      <x:c r="U87" s="66" t="str">
        <x:f>IF(A87="","",IF(K87="Subscription","",IF(ISNUMBER(G87),G87,0)-IF(ISNUMBER(I87),I87,0)))</x:f>
      </x:c>
      <x:c r="V87" s="64" t="str">
        <x:f>IF(OR(P87="",O87="",NOT(ISNUMBER(P87)),NOT(ISNUMBER(O87)),O87&gt;P87),"",P87-O87)</x:f>
      </x:c>
      <x:c r="W87" s="67" t="str">
        <x:f>IF(OR(P87="",P87=0,V87=""),"",V87/P87)</x:f>
      </x:c>
    </x:row>
    <x:row r="88" ht="21" customHeight="1">
      <x:c r="A88" s="54"/>
      <x:c r="B88" s="56"/>
      <x:c r="C88" s="56"/>
      <x:c r="D88" s="54"/>
      <x:c r="E88" s="58"/>
      <x:c r="F88" s="58"/>
      <x:c r="G88" s="58"/>
      <x:c r="H88" s="58"/>
      <x:c r="I88" s="58"/>
      <x:c r="J88" s="60" t="str">
        <x:f>IF(A88="","",IF(K88="Subscription","",IF(E88=0,"",IF(ISNUMBER(G88),G88/E88,IF(ISNUMBER(I88),-ABS(I88)/E88,IF(ISNUMBER(H88),0,IF(AND(ISNUMBER(F88),ISNUMBER(E88),E88&gt;0,F88&gt;E88),(F88-E88)/E88,IF(AND(ISNUMBER(F88),ISNUMBER(E88),E88&gt;0,F88=E88),0,IF(AND(ISNUMBER(F88),ISNUMBER(E88),E88&gt;0,F88=0),-1,"")))))))))</x:f>
      </x:c>
      <x:c r="K88" s="50" t="str">
        <x:f>IF(A88="","",IF(AND(ISNUMBER(E88),E88=0,OR(ISNUMBER(SEARCH("Free",D88&amp;"")),AND(ISNUMBER(F88),F88=0))),"Subscription",IF(ISNUMBER(G88),"Profit",IF(ISNUMBER(I88),"Disqualified",IF(ISNUMBER(H88),"Draw",IF(AND(ISNUMBER(F88),ISNUMBER(E88),E88&gt;0,F88&gt;E88),"Profit",IF(AND(ISNUMBER(F88),ISNUMBER(E88),E88&gt;0,F88=E88),"Draw",IF(AND(ISNUMBER(F88),ISNUMBER(E88),E88&gt;0,F88=0),"Disqualified",""))))))))</x:f>
      </x:c>
      <x:c r="L88" s="50"/>
      <x:c r="M88" s="58"/>
      <x:c r="N88" s="58"/>
      <x:c r="O88" s="62"/>
      <x:c r="P88" s="62"/>
      <x:c r="Q88" s="64" t="str">
        <x:f>IF(OR(B88="",C88="",C88&lt;B88),"",ROUNDUP((C88-B88)/7,0))</x:f>
      </x:c>
      <x:c r="R88" s="50"/>
      <x:c r="S88" s="50"/>
      <x:c r="T88" s="54"/>
      <x:c r="U88" s="66" t="str">
        <x:f>IF(A88="","",IF(K88="Subscription","",IF(ISNUMBER(G88),G88,0)-IF(ISNUMBER(I88),I88,0)))</x:f>
      </x:c>
      <x:c r="V88" s="64" t="str">
        <x:f>IF(OR(P88="",O88="",NOT(ISNUMBER(P88)),NOT(ISNUMBER(O88)),O88&gt;P88),"",P88-O88)</x:f>
      </x:c>
      <x:c r="W88" s="67" t="str">
        <x:f>IF(OR(P88="",P88=0,V88=""),"",V88/P88)</x:f>
      </x:c>
    </x:row>
    <x:row r="89" ht="21" customHeight="1">
      <x:c r="A89" s="54"/>
      <x:c r="B89" s="56"/>
      <x:c r="C89" s="56"/>
      <x:c r="D89" s="54"/>
      <x:c r="E89" s="58"/>
      <x:c r="F89" s="58"/>
      <x:c r="G89" s="58"/>
      <x:c r="H89" s="58"/>
      <x:c r="I89" s="58"/>
      <x:c r="J89" s="60" t="str">
        <x:f>IF(A89="","",IF(K89="Subscription","",IF(E89=0,"",IF(ISNUMBER(G89),G89/E89,IF(ISNUMBER(I89),-ABS(I89)/E89,IF(ISNUMBER(H89),0,IF(AND(ISNUMBER(F89),ISNUMBER(E89),E89&gt;0,F89&gt;E89),(F89-E89)/E89,IF(AND(ISNUMBER(F89),ISNUMBER(E89),E89&gt;0,F89=E89),0,IF(AND(ISNUMBER(F89),ISNUMBER(E89),E89&gt;0,F89=0),-1,"")))))))))</x:f>
      </x:c>
      <x:c r="K89" s="50" t="str">
        <x:f>IF(A89="","",IF(AND(ISNUMBER(E89),E89=0,OR(ISNUMBER(SEARCH("Free",D89&amp;"")),AND(ISNUMBER(F89),F89=0))),"Subscription",IF(ISNUMBER(G89),"Profit",IF(ISNUMBER(I89),"Disqualified",IF(ISNUMBER(H89),"Draw",IF(AND(ISNUMBER(F89),ISNUMBER(E89),E89&gt;0,F89&gt;E89),"Profit",IF(AND(ISNUMBER(F89),ISNUMBER(E89),E89&gt;0,F89=E89),"Draw",IF(AND(ISNUMBER(F89),ISNUMBER(E89),E89&gt;0,F89=0),"Disqualified",""))))))))</x:f>
      </x:c>
      <x:c r="L89" s="50"/>
      <x:c r="M89" s="58"/>
      <x:c r="N89" s="58"/>
      <x:c r="O89" s="62"/>
      <x:c r="P89" s="62"/>
      <x:c r="Q89" s="64" t="str">
        <x:f>IF(OR(B89="",C89="",C89&lt;B89),"",ROUNDUP((C89-B89)/7,0))</x:f>
      </x:c>
      <x:c r="R89" s="50"/>
      <x:c r="S89" s="50"/>
      <x:c r="T89" s="54"/>
      <x:c r="U89" s="66" t="str">
        <x:f>IF(A89="","",IF(K89="Subscription","",IF(ISNUMBER(G89),G89,0)-IF(ISNUMBER(I89),I89,0)))</x:f>
      </x:c>
      <x:c r="V89" s="64" t="str">
        <x:f>IF(OR(P89="",O89="",NOT(ISNUMBER(P89)),NOT(ISNUMBER(O89)),O89&gt;P89),"",P89-O89)</x:f>
      </x:c>
      <x:c r="W89" s="67" t="str">
        <x:f>IF(OR(P89="",P89=0,V89=""),"",V89/P89)</x:f>
      </x:c>
    </x:row>
    <x:row r="90" ht="21" customHeight="1">
      <x:c r="A90" s="54"/>
      <x:c r="B90" s="56"/>
      <x:c r="C90" s="56"/>
      <x:c r="D90" s="54"/>
      <x:c r="E90" s="58"/>
      <x:c r="F90" s="58"/>
      <x:c r="G90" s="58"/>
      <x:c r="H90" s="58"/>
      <x:c r="I90" s="58"/>
      <x:c r="J90" s="60" t="str">
        <x:f>IF(A90="","",IF(K90="Subscription","",IF(E90=0,"",IF(ISNUMBER(G90),G90/E90,IF(ISNUMBER(I90),-ABS(I90)/E90,IF(ISNUMBER(H90),0,IF(AND(ISNUMBER(F90),ISNUMBER(E90),E90&gt;0,F90&gt;E90),(F90-E90)/E90,IF(AND(ISNUMBER(F90),ISNUMBER(E90),E90&gt;0,F90=E90),0,IF(AND(ISNUMBER(F90),ISNUMBER(E90),E90&gt;0,F90=0),-1,"")))))))))</x:f>
      </x:c>
      <x:c r="K90" s="50" t="str">
        <x:f>IF(A90="","",IF(AND(ISNUMBER(E90),E90=0,OR(ISNUMBER(SEARCH("Free",D90&amp;"")),AND(ISNUMBER(F90),F90=0))),"Subscription",IF(ISNUMBER(G90),"Profit",IF(ISNUMBER(I90),"Disqualified",IF(ISNUMBER(H90),"Draw",IF(AND(ISNUMBER(F90),ISNUMBER(E90),E90&gt;0,F90&gt;E90),"Profit",IF(AND(ISNUMBER(F90),ISNUMBER(E90),E90&gt;0,F90=E90),"Draw",IF(AND(ISNUMBER(F90),ISNUMBER(E90),E90&gt;0,F90=0),"Disqualified",""))))))))</x:f>
      </x:c>
      <x:c r="L90" s="50"/>
      <x:c r="M90" s="58"/>
      <x:c r="N90" s="58"/>
      <x:c r="O90" s="62"/>
      <x:c r="P90" s="62"/>
      <x:c r="Q90" s="64" t="str">
        <x:f>IF(OR(B90="",C90="",C90&lt;B90),"",ROUNDUP((C90-B90)/7,0))</x:f>
      </x:c>
      <x:c r="R90" s="50"/>
      <x:c r="S90" s="50"/>
      <x:c r="T90" s="54"/>
      <x:c r="U90" s="66" t="str">
        <x:f>IF(A90="","",IF(K90="Subscription","",IF(ISNUMBER(G90),G90,0)-IF(ISNUMBER(I90),I90,0)))</x:f>
      </x:c>
      <x:c r="V90" s="64" t="str">
        <x:f>IF(OR(P90="",O90="",NOT(ISNUMBER(P90)),NOT(ISNUMBER(O90)),O90&gt;P90),"",P90-O90)</x:f>
      </x:c>
      <x:c r="W90" s="67" t="str">
        <x:f>IF(OR(P90="",P90=0,V90=""),"",V90/P90)</x:f>
      </x:c>
    </x:row>
    <x:row r="91" ht="21" customHeight="1">
      <x:c r="A91" s="54"/>
      <x:c r="B91" s="56"/>
      <x:c r="C91" s="56"/>
      <x:c r="D91" s="54"/>
      <x:c r="E91" s="58"/>
      <x:c r="F91" s="58"/>
      <x:c r="G91" s="58"/>
      <x:c r="H91" s="58"/>
      <x:c r="I91" s="58"/>
      <x:c r="J91" s="60" t="str">
        <x:f>IF(A91="","",IF(K91="Subscription","",IF(E91=0,"",IF(ISNUMBER(G91),G91/E91,IF(ISNUMBER(I91),-ABS(I91)/E91,IF(ISNUMBER(H91),0,IF(AND(ISNUMBER(F91),ISNUMBER(E91),E91&gt;0,F91&gt;E91),(F91-E91)/E91,IF(AND(ISNUMBER(F91),ISNUMBER(E91),E91&gt;0,F91=E91),0,IF(AND(ISNUMBER(F91),ISNUMBER(E91),E91&gt;0,F91=0),-1,"")))))))))</x:f>
      </x:c>
      <x:c r="K91" s="50" t="str">
        <x:f>IF(A91="","",IF(AND(ISNUMBER(E91),E91=0,OR(ISNUMBER(SEARCH("Free",D91&amp;"")),AND(ISNUMBER(F91),F91=0))),"Subscription",IF(ISNUMBER(G91),"Profit",IF(ISNUMBER(I91),"Disqualified",IF(ISNUMBER(H91),"Draw",IF(AND(ISNUMBER(F91),ISNUMBER(E91),E91&gt;0,F91&gt;E91),"Profit",IF(AND(ISNUMBER(F91),ISNUMBER(E91),E91&gt;0,F91=E91),"Draw",IF(AND(ISNUMBER(F91),ISNUMBER(E91),E91&gt;0,F91=0),"Disqualified",""))))))))</x:f>
      </x:c>
      <x:c r="L91" s="50"/>
      <x:c r="M91" s="58"/>
      <x:c r="N91" s="58"/>
      <x:c r="O91" s="62"/>
      <x:c r="P91" s="62"/>
      <x:c r="Q91" s="64" t="str">
        <x:f>IF(OR(B91="",C91="",C91&lt;B91),"",ROUNDUP((C91-B91)/7,0))</x:f>
      </x:c>
      <x:c r="R91" s="50"/>
      <x:c r="S91" s="50"/>
      <x:c r="T91" s="54"/>
      <x:c r="U91" s="66" t="str">
        <x:f>IF(A91="","",IF(K91="Subscription","",IF(ISNUMBER(G91),G91,0)-IF(ISNUMBER(I91),I91,0)))</x:f>
      </x:c>
      <x:c r="V91" s="64" t="str">
        <x:f>IF(OR(P91="",O91="",NOT(ISNUMBER(P91)),NOT(ISNUMBER(O91)),O91&gt;P91),"",P91-O91)</x:f>
      </x:c>
      <x:c r="W91" s="67" t="str">
        <x:f>IF(OR(P91="",P91=0,V91=""),"",V91/P91)</x:f>
      </x:c>
    </x:row>
    <x:row r="92" ht="21" customHeight="1">
      <x:c r="A92" s="54"/>
      <x:c r="B92" s="56"/>
      <x:c r="C92" s="56"/>
      <x:c r="D92" s="54"/>
      <x:c r="E92" s="58"/>
      <x:c r="F92" s="58"/>
      <x:c r="G92" s="58"/>
      <x:c r="H92" s="58"/>
      <x:c r="I92" s="58"/>
      <x:c r="J92" s="60" t="str">
        <x:f>IF(A92="","",IF(K92="Subscription","",IF(E92=0,"",IF(ISNUMBER(G92),G92/E92,IF(ISNUMBER(I92),-ABS(I92)/E92,IF(ISNUMBER(H92),0,IF(AND(ISNUMBER(F92),ISNUMBER(E92),E92&gt;0,F92&gt;E92),(F92-E92)/E92,IF(AND(ISNUMBER(F92),ISNUMBER(E92),E92&gt;0,F92=E92),0,IF(AND(ISNUMBER(F92),ISNUMBER(E92),E92&gt;0,F92=0),-1,"")))))))))</x:f>
      </x:c>
      <x:c r="K92" s="50" t="str">
        <x:f>IF(A92="","",IF(AND(ISNUMBER(E92),E92=0,OR(ISNUMBER(SEARCH("Free",D92&amp;"")),AND(ISNUMBER(F92),F92=0))),"Subscription",IF(ISNUMBER(G92),"Profit",IF(ISNUMBER(I92),"Disqualified",IF(ISNUMBER(H92),"Draw",IF(AND(ISNUMBER(F92),ISNUMBER(E92),E92&gt;0,F92&gt;E92),"Profit",IF(AND(ISNUMBER(F92),ISNUMBER(E92),E92&gt;0,F92=E92),"Draw",IF(AND(ISNUMBER(F92),ISNUMBER(E92),E92&gt;0,F92=0),"Disqualified",""))))))))</x:f>
      </x:c>
      <x:c r="L92" s="50"/>
      <x:c r="M92" s="58"/>
      <x:c r="N92" s="58"/>
      <x:c r="O92" s="62"/>
      <x:c r="P92" s="62"/>
      <x:c r="Q92" s="64" t="str">
        <x:f>IF(OR(B92="",C92="",C92&lt;B92),"",ROUNDUP((C92-B92)/7,0))</x:f>
      </x:c>
      <x:c r="R92" s="50"/>
      <x:c r="S92" s="50"/>
      <x:c r="T92" s="54"/>
      <x:c r="U92" s="66" t="str">
        <x:f>IF(A92="","",IF(K92="Subscription","",IF(ISNUMBER(G92),G92,0)-IF(ISNUMBER(I92),I92,0)))</x:f>
      </x:c>
      <x:c r="V92" s="64" t="str">
        <x:f>IF(OR(P92="",O92="",NOT(ISNUMBER(P92)),NOT(ISNUMBER(O92)),O92&gt;P92),"",P92-O92)</x:f>
      </x:c>
      <x:c r="W92" s="67" t="str">
        <x:f>IF(OR(P92="",P92=0,V92=""),"",V92/P92)</x:f>
      </x:c>
    </x:row>
    <x:row r="93" ht="21" customHeight="1">
      <x:c r="A93" s="54"/>
      <x:c r="B93" s="56"/>
      <x:c r="C93" s="56"/>
      <x:c r="D93" s="54"/>
      <x:c r="E93" s="58"/>
      <x:c r="F93" s="58"/>
      <x:c r="G93" s="58"/>
      <x:c r="H93" s="58"/>
      <x:c r="I93" s="58"/>
      <x:c r="J93" s="60" t="str">
        <x:f>IF(A93="","",IF(K93="Subscription","",IF(E93=0,"",IF(ISNUMBER(G93),G93/E93,IF(ISNUMBER(I93),-ABS(I93)/E93,IF(ISNUMBER(H93),0,IF(AND(ISNUMBER(F93),ISNUMBER(E93),E93&gt;0,F93&gt;E93),(F93-E93)/E93,IF(AND(ISNUMBER(F93),ISNUMBER(E93),E93&gt;0,F93=E93),0,IF(AND(ISNUMBER(F93),ISNUMBER(E93),E93&gt;0,F93=0),-1,"")))))))))</x:f>
      </x:c>
      <x:c r="K93" s="50" t="str">
        <x:f>IF(A93="","",IF(AND(ISNUMBER(E93),E93=0,OR(ISNUMBER(SEARCH("Free",D93&amp;"")),AND(ISNUMBER(F93),F93=0))),"Subscription",IF(ISNUMBER(G93),"Profit",IF(ISNUMBER(I93),"Disqualified",IF(ISNUMBER(H93),"Draw",IF(AND(ISNUMBER(F93),ISNUMBER(E93),E93&gt;0,F93&gt;E93),"Profit",IF(AND(ISNUMBER(F93),ISNUMBER(E93),E93&gt;0,F93=E93),"Draw",IF(AND(ISNUMBER(F93),ISNUMBER(E93),E93&gt;0,F93=0),"Disqualified",""))))))))</x:f>
      </x:c>
      <x:c r="L93" s="50"/>
      <x:c r="M93" s="58"/>
      <x:c r="N93" s="58"/>
      <x:c r="O93" s="62"/>
      <x:c r="P93" s="62"/>
      <x:c r="Q93" s="64" t="str">
        <x:f>IF(OR(B93="",C93="",C93&lt;B93),"",ROUNDUP((C93-B93)/7,0))</x:f>
      </x:c>
      <x:c r="R93" s="50"/>
      <x:c r="S93" s="50"/>
      <x:c r="T93" s="54"/>
      <x:c r="U93" s="66" t="str">
        <x:f>IF(A93="","",IF(K93="Subscription","",IF(ISNUMBER(G93),G93,0)-IF(ISNUMBER(I93),I93,0)))</x:f>
      </x:c>
      <x:c r="V93" s="64" t="str">
        <x:f>IF(OR(P93="",O93="",NOT(ISNUMBER(P93)),NOT(ISNUMBER(O93)),O93&gt;P93),"",P93-O93)</x:f>
      </x:c>
      <x:c r="W93" s="67" t="str">
        <x:f>IF(OR(P93="",P93=0,V93=""),"",V93/P93)</x:f>
      </x:c>
    </x:row>
    <x:row r="94" ht="21" customHeight="1">
      <x:c r="A94" s="54"/>
      <x:c r="B94" s="56"/>
      <x:c r="C94" s="56"/>
      <x:c r="D94" s="54"/>
      <x:c r="E94" s="58"/>
      <x:c r="F94" s="58"/>
      <x:c r="G94" s="58"/>
      <x:c r="H94" s="58"/>
      <x:c r="I94" s="58"/>
      <x:c r="J94" s="60" t="str">
        <x:f>IF(A94="","",IF(K94="Subscription","",IF(E94=0,"",IF(ISNUMBER(G94),G94/E94,IF(ISNUMBER(I94),-ABS(I94)/E94,IF(ISNUMBER(H94),0,IF(AND(ISNUMBER(F94),ISNUMBER(E94),E94&gt;0,F94&gt;E94),(F94-E94)/E94,IF(AND(ISNUMBER(F94),ISNUMBER(E94),E94&gt;0,F94=E94),0,IF(AND(ISNUMBER(F94),ISNUMBER(E94),E94&gt;0,F94=0),-1,"")))))))))</x:f>
      </x:c>
      <x:c r="K94" s="50" t="str">
        <x:f>IF(A94="","",IF(AND(ISNUMBER(E94),E94=0,OR(ISNUMBER(SEARCH("Free",D94&amp;"")),AND(ISNUMBER(F94),F94=0))),"Subscription",IF(ISNUMBER(G94),"Profit",IF(ISNUMBER(I94),"Disqualified",IF(ISNUMBER(H94),"Draw",IF(AND(ISNUMBER(F94),ISNUMBER(E94),E94&gt;0,F94&gt;E94),"Profit",IF(AND(ISNUMBER(F94),ISNUMBER(E94),E94&gt;0,F94=E94),"Draw",IF(AND(ISNUMBER(F94),ISNUMBER(E94),E94&gt;0,F94=0),"Disqualified",""))))))))</x:f>
      </x:c>
      <x:c r="L94" s="50"/>
      <x:c r="M94" s="58"/>
      <x:c r="N94" s="58"/>
      <x:c r="O94" s="62"/>
      <x:c r="P94" s="62"/>
      <x:c r="Q94" s="64" t="str">
        <x:f>IF(OR(B94="",C94="",C94&lt;B94),"",ROUNDUP((C94-B94)/7,0))</x:f>
      </x:c>
      <x:c r="R94" s="50"/>
      <x:c r="S94" s="50"/>
      <x:c r="T94" s="54"/>
      <x:c r="U94" s="66" t="str">
        <x:f>IF(A94="","",IF(K94="Subscription","",IF(ISNUMBER(G94),G94,0)-IF(ISNUMBER(I94),I94,0)))</x:f>
      </x:c>
      <x:c r="V94" s="64" t="str">
        <x:f>IF(OR(P94="",O94="",NOT(ISNUMBER(P94)),NOT(ISNUMBER(O94)),O94&gt;P94),"",P94-O94)</x:f>
      </x:c>
      <x:c r="W94" s="67" t="str">
        <x:f>IF(OR(P94="",P94=0,V94=""),"",V94/P94)</x:f>
      </x:c>
    </x:row>
    <x:row r="95" ht="21" customHeight="1">
      <x:c r="A95" s="54"/>
      <x:c r="B95" s="56"/>
      <x:c r="C95" s="56"/>
      <x:c r="D95" s="54"/>
      <x:c r="E95" s="58"/>
      <x:c r="F95" s="58"/>
      <x:c r="G95" s="58"/>
      <x:c r="H95" s="58"/>
      <x:c r="I95" s="58"/>
      <x:c r="J95" s="60" t="str">
        <x:f>IF(A95="","",IF(K95="Subscription","",IF(E95=0,"",IF(ISNUMBER(G95),G95/E95,IF(ISNUMBER(I95),-ABS(I95)/E95,IF(ISNUMBER(H95),0,IF(AND(ISNUMBER(F95),ISNUMBER(E95),E95&gt;0,F95&gt;E95),(F95-E95)/E95,IF(AND(ISNUMBER(F95),ISNUMBER(E95),E95&gt;0,F95=E95),0,IF(AND(ISNUMBER(F95),ISNUMBER(E95),E95&gt;0,F95=0),-1,"")))))))))</x:f>
      </x:c>
      <x:c r="K95" s="50" t="str">
        <x:f>IF(A95="","",IF(AND(ISNUMBER(E95),E95=0,OR(ISNUMBER(SEARCH("Free",D95&amp;"")),AND(ISNUMBER(F95),F95=0))),"Subscription",IF(ISNUMBER(G95),"Profit",IF(ISNUMBER(I95),"Disqualified",IF(ISNUMBER(H95),"Draw",IF(AND(ISNUMBER(F95),ISNUMBER(E95),E95&gt;0,F95&gt;E95),"Profit",IF(AND(ISNUMBER(F95),ISNUMBER(E95),E95&gt;0,F95=E95),"Draw",IF(AND(ISNUMBER(F95),ISNUMBER(E95),E95&gt;0,F95=0),"Disqualified",""))))))))</x:f>
      </x:c>
      <x:c r="L95" s="50"/>
      <x:c r="M95" s="58"/>
      <x:c r="N95" s="58"/>
      <x:c r="O95" s="62"/>
      <x:c r="P95" s="62"/>
      <x:c r="Q95" s="64" t="str">
        <x:f>IF(OR(B95="",C95="",C95&lt;B95),"",ROUNDUP((C95-B95)/7,0))</x:f>
      </x:c>
      <x:c r="R95" s="50"/>
      <x:c r="S95" s="50"/>
      <x:c r="T95" s="54"/>
      <x:c r="U95" s="66" t="str">
        <x:f>IF(A95="","",IF(K95="Subscription","",IF(ISNUMBER(G95),G95,0)-IF(ISNUMBER(I95),I95,0)))</x:f>
      </x:c>
      <x:c r="V95" s="64" t="str">
        <x:f>IF(OR(P95="",O95="",NOT(ISNUMBER(P95)),NOT(ISNUMBER(O95)),O95&gt;P95),"",P95-O95)</x:f>
      </x:c>
      <x:c r="W95" s="67" t="str">
        <x:f>IF(OR(P95="",P95=0,V95=""),"",V95/P95)</x:f>
      </x:c>
    </x:row>
    <x:row r="96" ht="21" customHeight="1">
      <x:c r="A96" s="54"/>
      <x:c r="B96" s="56"/>
      <x:c r="C96" s="56"/>
      <x:c r="D96" s="54"/>
      <x:c r="E96" s="58"/>
      <x:c r="F96" s="58"/>
      <x:c r="G96" s="58"/>
      <x:c r="H96" s="58"/>
      <x:c r="I96" s="58"/>
      <x:c r="J96" s="60" t="str">
        <x:f>IF(A96="","",IF(K96="Subscription","",IF(E96=0,"",IF(ISNUMBER(G96),G96/E96,IF(ISNUMBER(I96),-ABS(I96)/E96,IF(ISNUMBER(H96),0,IF(AND(ISNUMBER(F96),ISNUMBER(E96),E96&gt;0,F96&gt;E96),(F96-E96)/E96,IF(AND(ISNUMBER(F96),ISNUMBER(E96),E96&gt;0,F96=E96),0,IF(AND(ISNUMBER(F96),ISNUMBER(E96),E96&gt;0,F96=0),-1,"")))))))))</x:f>
      </x:c>
      <x:c r="K96" s="50" t="str">
        <x:f>IF(A96="","",IF(AND(ISNUMBER(E96),E96=0,OR(ISNUMBER(SEARCH("Free",D96&amp;"")),AND(ISNUMBER(F96),F96=0))),"Subscription",IF(ISNUMBER(G96),"Profit",IF(ISNUMBER(I96),"Disqualified",IF(ISNUMBER(H96),"Draw",IF(AND(ISNUMBER(F96),ISNUMBER(E96),E96&gt;0,F96&gt;E96),"Profit",IF(AND(ISNUMBER(F96),ISNUMBER(E96),E96&gt;0,F96=E96),"Draw",IF(AND(ISNUMBER(F96),ISNUMBER(E96),E96&gt;0,F96=0),"Disqualified",""))))))))</x:f>
      </x:c>
      <x:c r="L96" s="50"/>
      <x:c r="M96" s="58"/>
      <x:c r="N96" s="58"/>
      <x:c r="O96" s="62"/>
      <x:c r="P96" s="62"/>
      <x:c r="Q96" s="64" t="str">
        <x:f>IF(OR(B96="",C96="",C96&lt;B96),"",ROUNDUP((C96-B96)/7,0))</x:f>
      </x:c>
      <x:c r="R96" s="50"/>
      <x:c r="S96" s="50"/>
      <x:c r="T96" s="54"/>
      <x:c r="U96" s="66" t="str">
        <x:f>IF(A96="","",IF(K96="Subscription","",IF(ISNUMBER(G96),G96,0)-IF(ISNUMBER(I96),I96,0)))</x:f>
      </x:c>
      <x:c r="V96" s="64" t="str">
        <x:f>IF(OR(P96="",O96="",NOT(ISNUMBER(P96)),NOT(ISNUMBER(O96)),O96&gt;P96),"",P96-O96)</x:f>
      </x:c>
      <x:c r="W96" s="67" t="str">
        <x:f>IF(OR(P96="",P96=0,V96=""),"",V96/P96)</x:f>
      </x:c>
    </x:row>
    <x:row r="97" ht="21" customHeight="1">
      <x:c r="A97" s="54"/>
      <x:c r="B97" s="56"/>
      <x:c r="C97" s="56"/>
      <x:c r="D97" s="54"/>
      <x:c r="E97" s="58"/>
      <x:c r="F97" s="58"/>
      <x:c r="G97" s="58"/>
      <x:c r="H97" s="58"/>
      <x:c r="I97" s="58"/>
      <x:c r="J97" s="60" t="str">
        <x:f>IF(A97="","",IF(K97="Subscription","",IF(E97=0,"",IF(ISNUMBER(G97),G97/E97,IF(ISNUMBER(I97),-ABS(I97)/E97,IF(ISNUMBER(H97),0,IF(AND(ISNUMBER(F97),ISNUMBER(E97),E97&gt;0,F97&gt;E97),(F97-E97)/E97,IF(AND(ISNUMBER(F97),ISNUMBER(E97),E97&gt;0,F97=E97),0,IF(AND(ISNUMBER(F97),ISNUMBER(E97),E97&gt;0,F97=0),-1,"")))))))))</x:f>
      </x:c>
      <x:c r="K97" s="50" t="str">
        <x:f>IF(A97="","",IF(AND(ISNUMBER(E97),E97=0,OR(ISNUMBER(SEARCH("Free",D97&amp;"")),AND(ISNUMBER(F97),F97=0))),"Subscription",IF(ISNUMBER(G97),"Profit",IF(ISNUMBER(I97),"Disqualified",IF(ISNUMBER(H97),"Draw",IF(AND(ISNUMBER(F97),ISNUMBER(E97),E97&gt;0,F97&gt;E97),"Profit",IF(AND(ISNUMBER(F97),ISNUMBER(E97),E97&gt;0,F97=E97),"Draw",IF(AND(ISNUMBER(F97),ISNUMBER(E97),E97&gt;0,F97=0),"Disqualified",""))))))))</x:f>
      </x:c>
      <x:c r="L97" s="50"/>
      <x:c r="M97" s="58"/>
      <x:c r="N97" s="58"/>
      <x:c r="O97" s="62"/>
      <x:c r="P97" s="62"/>
      <x:c r="Q97" s="64" t="str">
        <x:f>IF(OR(B97="",C97="",C97&lt;B97),"",ROUNDUP((C97-B97)/7,0))</x:f>
      </x:c>
      <x:c r="R97" s="50"/>
      <x:c r="S97" s="50"/>
      <x:c r="T97" s="54"/>
      <x:c r="U97" s="66" t="str">
        <x:f>IF(A97="","",IF(K97="Subscription","",IF(ISNUMBER(G97),G97,0)-IF(ISNUMBER(I97),I97,0)))</x:f>
      </x:c>
      <x:c r="V97" s="64" t="str">
        <x:f>IF(OR(P97="",O97="",NOT(ISNUMBER(P97)),NOT(ISNUMBER(O97)),O97&gt;P97),"",P97-O97)</x:f>
      </x:c>
      <x:c r="W97" s="67" t="str">
        <x:f>IF(OR(P97="",P97=0,V97=""),"",V97/P97)</x:f>
      </x:c>
    </x:row>
    <x:row r="98" ht="21" customHeight="1">
      <x:c r="A98" s="54"/>
      <x:c r="B98" s="56"/>
      <x:c r="C98" s="56"/>
      <x:c r="D98" s="54"/>
      <x:c r="E98" s="58"/>
      <x:c r="F98" s="58"/>
      <x:c r="G98" s="58"/>
      <x:c r="H98" s="58"/>
      <x:c r="I98" s="58"/>
      <x:c r="J98" s="60" t="str">
        <x:f>IF(A98="","",IF(K98="Subscription","",IF(E98=0,"",IF(ISNUMBER(G98),G98/E98,IF(ISNUMBER(I98),-ABS(I98)/E98,IF(ISNUMBER(H98),0,IF(AND(ISNUMBER(F98),ISNUMBER(E98),E98&gt;0,F98&gt;E98),(F98-E98)/E98,IF(AND(ISNUMBER(F98),ISNUMBER(E98),E98&gt;0,F98=E98),0,IF(AND(ISNUMBER(F98),ISNUMBER(E98),E98&gt;0,F98=0),-1,"")))))))))</x:f>
      </x:c>
      <x:c r="K98" s="50" t="str">
        <x:f>IF(A98="","",IF(AND(ISNUMBER(E98),E98=0,OR(ISNUMBER(SEARCH("Free",D98&amp;"")),AND(ISNUMBER(F98),F98=0))),"Subscription",IF(ISNUMBER(G98),"Profit",IF(ISNUMBER(I98),"Disqualified",IF(ISNUMBER(H98),"Draw",IF(AND(ISNUMBER(F98),ISNUMBER(E98),E98&gt;0,F98&gt;E98),"Profit",IF(AND(ISNUMBER(F98),ISNUMBER(E98),E98&gt;0,F98=E98),"Draw",IF(AND(ISNUMBER(F98),ISNUMBER(E98),E98&gt;0,F98=0),"Disqualified",""))))))))</x:f>
      </x:c>
      <x:c r="L98" s="50"/>
      <x:c r="M98" s="58"/>
      <x:c r="N98" s="58"/>
      <x:c r="O98" s="62"/>
      <x:c r="P98" s="62"/>
      <x:c r="Q98" s="64" t="str">
        <x:f>IF(OR(B98="",C98="",C98&lt;B98),"",ROUNDUP((C98-B98)/7,0))</x:f>
      </x:c>
      <x:c r="R98" s="50"/>
      <x:c r="S98" s="50"/>
      <x:c r="T98" s="54"/>
      <x:c r="U98" s="66" t="str">
        <x:f>IF(A98="","",IF(K98="Subscription","",IF(ISNUMBER(G98),G98,0)-IF(ISNUMBER(I98),I98,0)))</x:f>
      </x:c>
      <x:c r="V98" s="64" t="str">
        <x:f>IF(OR(P98="",O98="",NOT(ISNUMBER(P98)),NOT(ISNUMBER(O98)),O98&gt;P98),"",P98-O98)</x:f>
      </x:c>
      <x:c r="W98" s="67" t="str">
        <x:f>IF(OR(P98="",P98=0,V98=""),"",V98/P98)</x:f>
      </x:c>
    </x:row>
    <x:row r="99" ht="21" customHeight="1">
      <x:c r="A99" s="54"/>
      <x:c r="B99" s="56"/>
      <x:c r="C99" s="56"/>
      <x:c r="D99" s="54"/>
      <x:c r="E99" s="58"/>
      <x:c r="F99" s="58"/>
      <x:c r="G99" s="58"/>
      <x:c r="H99" s="58"/>
      <x:c r="I99" s="58"/>
      <x:c r="J99" s="60" t="str">
        <x:f>IF(A99="","",IF(K99="Subscription","",IF(E99=0,"",IF(ISNUMBER(G99),G99/E99,IF(ISNUMBER(I99),-ABS(I99)/E99,IF(ISNUMBER(H99),0,IF(AND(ISNUMBER(F99),ISNUMBER(E99),E99&gt;0,F99&gt;E99),(F99-E99)/E99,IF(AND(ISNUMBER(F99),ISNUMBER(E99),E99&gt;0,F99=E99),0,IF(AND(ISNUMBER(F99),ISNUMBER(E99),E99&gt;0,F99=0),-1,"")))))))))</x:f>
      </x:c>
      <x:c r="K99" s="50" t="str">
        <x:f>IF(A99="","",IF(AND(ISNUMBER(E99),E99=0,OR(ISNUMBER(SEARCH("Free",D99&amp;"")),AND(ISNUMBER(F99),F99=0))),"Subscription",IF(ISNUMBER(G99),"Profit",IF(ISNUMBER(I99),"Disqualified",IF(ISNUMBER(H99),"Draw",IF(AND(ISNUMBER(F99),ISNUMBER(E99),E99&gt;0,F99&gt;E99),"Profit",IF(AND(ISNUMBER(F99),ISNUMBER(E99),E99&gt;0,F99=E99),"Draw",IF(AND(ISNUMBER(F99),ISNUMBER(E99),E99&gt;0,F99=0),"Disqualified",""))))))))</x:f>
      </x:c>
      <x:c r="L99" s="50"/>
      <x:c r="M99" s="58"/>
      <x:c r="N99" s="58"/>
      <x:c r="O99" s="62"/>
      <x:c r="P99" s="62"/>
      <x:c r="Q99" s="64" t="str">
        <x:f>IF(OR(B99="",C99="",C99&lt;B99),"",ROUNDUP((C99-B99)/7,0))</x:f>
      </x:c>
      <x:c r="R99" s="50"/>
      <x:c r="S99" s="50"/>
      <x:c r="T99" s="54"/>
      <x:c r="U99" s="66" t="str">
        <x:f>IF(A99="","",IF(K99="Subscription","",IF(ISNUMBER(G99),G99,0)-IF(ISNUMBER(I99),I99,0)))</x:f>
      </x:c>
      <x:c r="V99" s="64" t="str">
        <x:f>IF(OR(P99="",O99="",NOT(ISNUMBER(P99)),NOT(ISNUMBER(O99)),O99&gt;P99),"",P99-O99)</x:f>
      </x:c>
      <x:c r="W99" s="67" t="str">
        <x:f>IF(OR(P99="",P99=0,V99=""),"",V99/P99)</x:f>
      </x:c>
    </x:row>
    <x:row r="100" ht="21" customHeight="1">
      <x:c r="A100" s="54"/>
      <x:c r="B100" s="56"/>
      <x:c r="C100" s="56"/>
      <x:c r="D100" s="54"/>
      <x:c r="E100" s="58"/>
      <x:c r="F100" s="58"/>
      <x:c r="G100" s="58"/>
      <x:c r="H100" s="58"/>
      <x:c r="I100" s="58"/>
      <x:c r="J100" s="60" t="str">
        <x:f>IF(A100="","",IF(K100="Subscription","",IF(E100=0,"",IF(ISNUMBER(G100),G100/E100,IF(ISNUMBER(I100),-ABS(I100)/E100,IF(ISNUMBER(H100),0,IF(AND(ISNUMBER(F100),ISNUMBER(E100),E100&gt;0,F100&gt;E100),(F100-E100)/E100,IF(AND(ISNUMBER(F100),ISNUMBER(E100),E100&gt;0,F100=E100),0,IF(AND(ISNUMBER(F100),ISNUMBER(E100),E100&gt;0,F100=0),-1,"")))))))))</x:f>
      </x:c>
      <x:c r="K100" s="50" t="str">
        <x:f>IF(A100="","",IF(AND(ISNUMBER(E100),E100=0,OR(ISNUMBER(SEARCH("Free",D100&amp;"")),AND(ISNUMBER(F100),F100=0))),"Subscription",IF(ISNUMBER(G100),"Profit",IF(ISNUMBER(I100),"Disqualified",IF(ISNUMBER(H100),"Draw",IF(AND(ISNUMBER(F100),ISNUMBER(E100),E100&gt;0,F100&gt;E100),"Profit",IF(AND(ISNUMBER(F100),ISNUMBER(E100),E100&gt;0,F100=E100),"Draw",IF(AND(ISNUMBER(F100),ISNUMBER(E100),E100&gt;0,F100=0),"Disqualified",""))))))))</x:f>
      </x:c>
      <x:c r="L100" s="50"/>
      <x:c r="M100" s="58"/>
      <x:c r="N100" s="58"/>
      <x:c r="O100" s="62"/>
      <x:c r="P100" s="62"/>
      <x:c r="Q100" s="64" t="str">
        <x:f>IF(OR(B100="",C100="",C100&lt;B100),"",ROUNDUP((C100-B100)/7,0))</x:f>
      </x:c>
      <x:c r="R100" s="50"/>
      <x:c r="S100" s="50"/>
      <x:c r="T100" s="54"/>
      <x:c r="U100" s="66" t="str">
        <x:f>IF(A100="","",IF(K100="Subscription","",IF(ISNUMBER(G100),G100,0)-IF(ISNUMBER(I100),I100,0)))</x:f>
      </x:c>
      <x:c r="V100" s="64" t="str">
        <x:f>IF(OR(P100="",O100="",NOT(ISNUMBER(P100)),NOT(ISNUMBER(O100)),O100&gt;P100),"",P100-O100)</x:f>
      </x:c>
      <x:c r="W100" s="67" t="str">
        <x:f>IF(OR(P100="",P100=0,V100=""),"",V100/P100)</x:f>
      </x:c>
    </x:row>
    <x:row r="101" ht="21" customHeight="1">
      <x:c r="A101" s="54"/>
      <x:c r="B101" s="56"/>
      <x:c r="C101" s="56"/>
      <x:c r="D101" s="54"/>
      <x:c r="E101" s="58"/>
      <x:c r="F101" s="58"/>
      <x:c r="G101" s="58"/>
      <x:c r="H101" s="58"/>
      <x:c r="I101" s="58"/>
      <x:c r="J101" s="60" t="str">
        <x:f>IF(A101="","",IF(K101="Subscription","",IF(E101=0,"",IF(ISNUMBER(G101),G101/E101,IF(ISNUMBER(I101),-ABS(I101)/E101,IF(ISNUMBER(H101),0,IF(AND(ISNUMBER(F101),ISNUMBER(E101),E101&gt;0,F101&gt;E101),(F101-E101)/E101,IF(AND(ISNUMBER(F101),ISNUMBER(E101),E101&gt;0,F101=E101),0,IF(AND(ISNUMBER(F101),ISNUMBER(E101),E101&gt;0,F101=0),-1,"")))))))))</x:f>
      </x:c>
      <x:c r="K101" s="50" t="str">
        <x:f>IF(A101="","",IF(AND(ISNUMBER(E101),E101=0,OR(ISNUMBER(SEARCH("Free",D101&amp;"")),AND(ISNUMBER(F101),F101=0))),"Subscription",IF(ISNUMBER(G101),"Profit",IF(ISNUMBER(I101),"Disqualified",IF(ISNUMBER(H101),"Draw",IF(AND(ISNUMBER(F101),ISNUMBER(E101),E101&gt;0,F101&gt;E101),"Profit",IF(AND(ISNUMBER(F101),ISNUMBER(E101),E101&gt;0,F101=E101),"Draw",IF(AND(ISNUMBER(F101),ISNUMBER(E101),E101&gt;0,F101=0),"Disqualified",""))))))))</x:f>
      </x:c>
      <x:c r="L101" s="50"/>
      <x:c r="M101" s="58"/>
      <x:c r="N101" s="58"/>
      <x:c r="O101" s="62"/>
      <x:c r="P101" s="62"/>
      <x:c r="Q101" s="64" t="str">
        <x:f>IF(OR(B101="",C101="",C101&lt;B101),"",ROUNDUP((C101-B101)/7,0))</x:f>
      </x:c>
      <x:c r="R101" s="50"/>
      <x:c r="S101" s="50"/>
      <x:c r="T101" s="54"/>
      <x:c r="U101" s="66" t="str">
        <x:f>IF(A101="","",IF(K101="Subscription","",IF(ISNUMBER(G101),G101,0)-IF(ISNUMBER(I101),I101,0)))</x:f>
      </x:c>
      <x:c r="V101" s="64" t="str">
        <x:f>IF(OR(P101="",O101="",NOT(ISNUMBER(P101)),NOT(ISNUMBER(O101)),O101&gt;P101),"",P101-O101)</x:f>
      </x:c>
      <x:c r="W101" s="67" t="str">
        <x:f>IF(OR(P101="",P101=0,V101=""),"",V101/P101)</x:f>
      </x:c>
    </x:row>
    <x:row r="102" ht="21" customHeight="1">
      <x:c r="A102" s="54"/>
      <x:c r="B102" s="56"/>
      <x:c r="C102" s="56"/>
      <x:c r="D102" s="54"/>
      <x:c r="E102" s="58"/>
      <x:c r="F102" s="58"/>
      <x:c r="G102" s="58"/>
      <x:c r="H102" s="58"/>
      <x:c r="I102" s="58"/>
      <x:c r="J102" s="60" t="str">
        <x:f>IF(A102="","",IF(K102="Subscription","",IF(E102=0,"",IF(ISNUMBER(G102),G102/E102,IF(ISNUMBER(I102),-ABS(I102)/E102,IF(ISNUMBER(H102),0,IF(AND(ISNUMBER(F102),ISNUMBER(E102),E102&gt;0,F102&gt;E102),(F102-E102)/E102,IF(AND(ISNUMBER(F102),ISNUMBER(E102),E102&gt;0,F102=E102),0,IF(AND(ISNUMBER(F102),ISNUMBER(E102),E102&gt;0,F102=0),-1,"")))))))))</x:f>
      </x:c>
      <x:c r="K102" s="50" t="str">
        <x:f>IF(A102="","",IF(AND(ISNUMBER(E102),E102=0,OR(ISNUMBER(SEARCH("Free",D102&amp;"")),AND(ISNUMBER(F102),F102=0))),"Subscription",IF(ISNUMBER(G102),"Profit",IF(ISNUMBER(I102),"Disqualified",IF(ISNUMBER(H102),"Draw",IF(AND(ISNUMBER(F102),ISNUMBER(E102),E102&gt;0,F102&gt;E102),"Profit",IF(AND(ISNUMBER(F102),ISNUMBER(E102),E102&gt;0,F102=E102),"Draw",IF(AND(ISNUMBER(F102),ISNUMBER(E102),E102&gt;0,F102=0),"Disqualified",""))))))))</x:f>
      </x:c>
      <x:c r="L102" s="50"/>
      <x:c r="M102" s="58"/>
      <x:c r="N102" s="58"/>
      <x:c r="O102" s="62"/>
      <x:c r="P102" s="62"/>
      <x:c r="Q102" s="64" t="str">
        <x:f>IF(OR(B102="",C102="",C102&lt;B102),"",ROUNDUP((C102-B102)/7,0))</x:f>
      </x:c>
      <x:c r="R102" s="50"/>
      <x:c r="S102" s="50"/>
      <x:c r="T102" s="54"/>
      <x:c r="U102" s="66" t="str">
        <x:f>IF(A102="","",IF(K102="Subscription","",IF(ISNUMBER(G102),G102,0)-IF(ISNUMBER(I102),I102,0)))</x:f>
      </x:c>
      <x:c r="V102" s="64" t="str">
        <x:f>IF(OR(P102="",O102="",NOT(ISNUMBER(P102)),NOT(ISNUMBER(O102)),O102&gt;P102),"",P102-O102)</x:f>
      </x:c>
      <x:c r="W102" s="67" t="str">
        <x:f>IF(OR(P102="",P102=0,V102=""),"",V102/P102)</x:f>
      </x:c>
    </x:row>
    <x:row r="103" ht="21" customHeight="1">
      <x:c r="A103" s="54"/>
      <x:c r="B103" s="56"/>
      <x:c r="C103" s="56"/>
      <x:c r="D103" s="54"/>
      <x:c r="E103" s="58"/>
      <x:c r="F103" s="58"/>
      <x:c r="G103" s="58"/>
      <x:c r="H103" s="58"/>
      <x:c r="I103" s="58"/>
      <x:c r="J103" s="60" t="str">
        <x:f>IF(A103="","",IF(K103="Subscription","",IF(E103=0,"",IF(ISNUMBER(G103),G103/E103,IF(ISNUMBER(I103),-ABS(I103)/E103,IF(ISNUMBER(H103),0,IF(AND(ISNUMBER(F103),ISNUMBER(E103),E103&gt;0,F103&gt;E103),(F103-E103)/E103,IF(AND(ISNUMBER(F103),ISNUMBER(E103),E103&gt;0,F103=E103),0,IF(AND(ISNUMBER(F103),ISNUMBER(E103),E103&gt;0,F103=0),-1,"")))))))))</x:f>
      </x:c>
      <x:c r="K103" s="50" t="str">
        <x:f>IF(A103="","",IF(AND(ISNUMBER(E103),E103=0,OR(ISNUMBER(SEARCH("Free",D103&amp;"")),AND(ISNUMBER(F103),F103=0))),"Subscription",IF(ISNUMBER(G103),"Profit",IF(ISNUMBER(I103),"Disqualified",IF(ISNUMBER(H103),"Draw",IF(AND(ISNUMBER(F103),ISNUMBER(E103),E103&gt;0,F103&gt;E103),"Profit",IF(AND(ISNUMBER(F103),ISNUMBER(E103),E103&gt;0,F103=E103),"Draw",IF(AND(ISNUMBER(F103),ISNUMBER(E103),E103&gt;0,F103=0),"Disqualified",""))))))))</x:f>
      </x:c>
      <x:c r="L103" s="50"/>
      <x:c r="M103" s="58"/>
      <x:c r="N103" s="58"/>
      <x:c r="O103" s="62"/>
      <x:c r="P103" s="62"/>
      <x:c r="Q103" s="64" t="str">
        <x:f>IF(OR(B103="",C103="",C103&lt;B103),"",ROUNDUP((C103-B103)/7,0))</x:f>
      </x:c>
      <x:c r="R103" s="50"/>
      <x:c r="S103" s="50"/>
      <x:c r="T103" s="54"/>
      <x:c r="U103" s="66" t="str">
        <x:f>IF(A103="","",IF(K103="Subscription","",IF(ISNUMBER(G103),G103,0)-IF(ISNUMBER(I103),I103,0)))</x:f>
      </x:c>
      <x:c r="V103" s="64" t="str">
        <x:f>IF(OR(P103="",O103="",NOT(ISNUMBER(P103)),NOT(ISNUMBER(O103)),O103&gt;P103),"",P103-O103)</x:f>
      </x:c>
      <x:c r="W103" s="67" t="str">
        <x:f>IF(OR(P103="",P103=0,V103=""),"",V103/P103)</x:f>
      </x:c>
    </x:row>
    <x:row r="104" ht="21" customHeight="1">
      <x:c r="A104" s="54"/>
      <x:c r="B104" s="56"/>
      <x:c r="C104" s="56"/>
      <x:c r="D104" s="54"/>
      <x:c r="E104" s="58"/>
      <x:c r="F104" s="58"/>
      <x:c r="G104" s="58"/>
      <x:c r="H104" s="58"/>
      <x:c r="I104" s="58"/>
      <x:c r="J104" s="60" t="str">
        <x:f>IF(A104="","",IF(K104="Subscription","",IF(E104=0,"",IF(ISNUMBER(G104),G104/E104,IF(ISNUMBER(I104),-ABS(I104)/E104,IF(ISNUMBER(H104),0,IF(AND(ISNUMBER(F104),ISNUMBER(E104),E104&gt;0,F104&gt;E104),(F104-E104)/E104,IF(AND(ISNUMBER(F104),ISNUMBER(E104),E104&gt;0,F104=E104),0,IF(AND(ISNUMBER(F104),ISNUMBER(E104),E104&gt;0,F104=0),-1,"")))))))))</x:f>
      </x:c>
      <x:c r="K104" s="50" t="str">
        <x:f>IF(A104="","",IF(AND(ISNUMBER(E104),E104=0,OR(ISNUMBER(SEARCH("Free",D104&amp;"")),AND(ISNUMBER(F104),F104=0))),"Subscription",IF(ISNUMBER(G104),"Profit",IF(ISNUMBER(I104),"Disqualified",IF(ISNUMBER(H104),"Draw",IF(AND(ISNUMBER(F104),ISNUMBER(E104),E104&gt;0,F104&gt;E104),"Profit",IF(AND(ISNUMBER(F104),ISNUMBER(E104),E104&gt;0,F104=E104),"Draw",IF(AND(ISNUMBER(F104),ISNUMBER(E104),E104&gt;0,F104=0),"Disqualified",""))))))))</x:f>
      </x:c>
      <x:c r="L104" s="50"/>
      <x:c r="M104" s="58"/>
      <x:c r="N104" s="58"/>
      <x:c r="O104" s="62"/>
      <x:c r="P104" s="62"/>
      <x:c r="Q104" s="64" t="str">
        <x:f>IF(OR(B104="",C104="",C104&lt;B104),"",ROUNDUP((C104-B104)/7,0))</x:f>
      </x:c>
      <x:c r="R104" s="50"/>
      <x:c r="S104" s="50"/>
      <x:c r="T104" s="54"/>
      <x:c r="U104" s="66" t="str">
        <x:f>IF(A104="","",IF(K104="Subscription","",IF(ISNUMBER(G104),G104,0)-IF(ISNUMBER(I104),I104,0)))</x:f>
      </x:c>
      <x:c r="V104" s="64" t="str">
        <x:f>IF(OR(P104="",O104="",NOT(ISNUMBER(P104)),NOT(ISNUMBER(O104)),O104&gt;P104),"",P104-O104)</x:f>
      </x:c>
      <x:c r="W104" s="67" t="str">
        <x:f>IF(OR(P104="",P104=0,V104=""),"",V104/P104)</x:f>
      </x:c>
    </x:row>
    <x:row r="105" ht="21" customHeight="1">
      <x:c r="A105" s="54"/>
      <x:c r="B105" s="56"/>
      <x:c r="C105" s="56"/>
      <x:c r="D105" s="54"/>
      <x:c r="E105" s="58"/>
      <x:c r="F105" s="58"/>
      <x:c r="G105" s="58"/>
      <x:c r="H105" s="58"/>
      <x:c r="I105" s="58"/>
      <x:c r="J105" s="60" t="str">
        <x:f>IF(A105="","",IF(K105="Subscription","",IF(E105=0,"",IF(ISNUMBER(G105),G105/E105,IF(ISNUMBER(I105),-ABS(I105)/E105,IF(ISNUMBER(H105),0,IF(AND(ISNUMBER(F105),ISNUMBER(E105),E105&gt;0,F105&gt;E105),(F105-E105)/E105,IF(AND(ISNUMBER(F105),ISNUMBER(E105),E105&gt;0,F105=E105),0,IF(AND(ISNUMBER(F105),ISNUMBER(E105),E105&gt;0,F105=0),-1,"")))))))))</x:f>
      </x:c>
      <x:c r="K105" s="50" t="str">
        <x:f>IF(A105="","",IF(AND(ISNUMBER(E105),E105=0,OR(ISNUMBER(SEARCH("Free",D105&amp;"")),AND(ISNUMBER(F105),F105=0))),"Subscription",IF(ISNUMBER(G105),"Profit",IF(ISNUMBER(I105),"Disqualified",IF(ISNUMBER(H105),"Draw",IF(AND(ISNUMBER(F105),ISNUMBER(E105),E105&gt;0,F105&gt;E105),"Profit",IF(AND(ISNUMBER(F105),ISNUMBER(E105),E105&gt;0,F105=E105),"Draw",IF(AND(ISNUMBER(F105),ISNUMBER(E105),E105&gt;0,F105=0),"Disqualified",""))))))))</x:f>
      </x:c>
      <x:c r="L105" s="50"/>
      <x:c r="M105" s="58"/>
      <x:c r="N105" s="58"/>
      <x:c r="O105" s="62"/>
      <x:c r="P105" s="62"/>
      <x:c r="Q105" s="64" t="str">
        <x:f>IF(OR(B105="",C105="",C105&lt;B105),"",ROUNDUP((C105-B105)/7,0))</x:f>
      </x:c>
      <x:c r="R105" s="50"/>
      <x:c r="S105" s="50"/>
      <x:c r="T105" s="54"/>
      <x:c r="U105" s="66" t="str">
        <x:f>IF(A105="","",IF(K105="Subscription","",IF(ISNUMBER(G105),G105,0)-IF(ISNUMBER(I105),I105,0)))</x:f>
      </x:c>
      <x:c r="V105" s="64" t="str">
        <x:f>IF(OR(P105="",O105="",NOT(ISNUMBER(P105)),NOT(ISNUMBER(O105)),O105&gt;P105),"",P105-O105)</x:f>
      </x:c>
      <x:c r="W105" s="67" t="str">
        <x:f>IF(OR(P105="",P105=0,V105=""),"",V105/P105)</x:f>
      </x:c>
    </x:row>
    <x:row r="106" ht="21" customHeight="1">
      <x:c r="A106" s="54"/>
      <x:c r="B106" s="56"/>
      <x:c r="C106" s="56"/>
      <x:c r="D106" s="54"/>
      <x:c r="E106" s="58"/>
      <x:c r="F106" s="58"/>
      <x:c r="G106" s="58"/>
      <x:c r="H106" s="58"/>
      <x:c r="I106" s="58"/>
      <x:c r="J106" s="60" t="str">
        <x:f>IF(A106="","",IF(K106="Subscription","",IF(E106=0,"",IF(ISNUMBER(G106),G106/E106,IF(ISNUMBER(I106),-ABS(I106)/E106,IF(ISNUMBER(H106),0,IF(AND(ISNUMBER(F106),ISNUMBER(E106),E106&gt;0,F106&gt;E106),(F106-E106)/E106,IF(AND(ISNUMBER(F106),ISNUMBER(E106),E106&gt;0,F106=E106),0,IF(AND(ISNUMBER(F106),ISNUMBER(E106),E106&gt;0,F106=0),-1,"")))))))))</x:f>
      </x:c>
      <x:c r="K106" s="50" t="str">
        <x:f>IF(A106="","",IF(AND(ISNUMBER(E106),E106=0,OR(ISNUMBER(SEARCH("Free",D106&amp;"")),AND(ISNUMBER(F106),F106=0))),"Subscription",IF(ISNUMBER(G106),"Profit",IF(ISNUMBER(I106),"Disqualified",IF(ISNUMBER(H106),"Draw",IF(AND(ISNUMBER(F106),ISNUMBER(E106),E106&gt;0,F106&gt;E106),"Profit",IF(AND(ISNUMBER(F106),ISNUMBER(E106),E106&gt;0,F106=E106),"Draw",IF(AND(ISNUMBER(F106),ISNUMBER(E106),E106&gt;0,F106=0),"Disqualified",""))))))))</x:f>
      </x:c>
      <x:c r="L106" s="50"/>
      <x:c r="M106" s="58"/>
      <x:c r="N106" s="58"/>
      <x:c r="O106" s="62"/>
      <x:c r="P106" s="62"/>
      <x:c r="Q106" s="64" t="str">
        <x:f>IF(OR(B106="",C106="",C106&lt;B106),"",ROUNDUP((C106-B106)/7,0))</x:f>
      </x:c>
      <x:c r="R106" s="50"/>
      <x:c r="S106" s="50"/>
      <x:c r="T106" s="54"/>
      <x:c r="U106" s="66" t="str">
        <x:f>IF(A106="","",IF(K106="Subscription","",IF(ISNUMBER(G106),G106,0)-IF(ISNUMBER(I106),I106,0)))</x:f>
      </x:c>
      <x:c r="V106" s="64" t="str">
        <x:f>IF(OR(P106="",O106="",NOT(ISNUMBER(P106)),NOT(ISNUMBER(O106)),O106&gt;P106),"",P106-O106)</x:f>
      </x:c>
      <x:c r="W106" s="67" t="str">
        <x:f>IF(OR(P106="",P106=0,V106=""),"",V106/P106)</x:f>
      </x:c>
    </x:row>
    <x:row r="107" ht="21" customHeight="1">
      <x:c r="A107" s="54"/>
      <x:c r="B107" s="56"/>
      <x:c r="C107" s="56"/>
      <x:c r="D107" s="54"/>
      <x:c r="E107" s="58"/>
      <x:c r="F107" s="58"/>
      <x:c r="G107" s="58"/>
      <x:c r="H107" s="58"/>
      <x:c r="I107" s="58"/>
      <x:c r="J107" s="60" t="str">
        <x:f>IF(A107="","",IF(K107="Subscription","",IF(E107=0,"",IF(ISNUMBER(G107),G107/E107,IF(ISNUMBER(I107),-ABS(I107)/E107,IF(ISNUMBER(H107),0,IF(AND(ISNUMBER(F107),ISNUMBER(E107),E107&gt;0,F107&gt;E107),(F107-E107)/E107,IF(AND(ISNUMBER(F107),ISNUMBER(E107),E107&gt;0,F107=E107),0,IF(AND(ISNUMBER(F107),ISNUMBER(E107),E107&gt;0,F107=0),-1,"")))))))))</x:f>
      </x:c>
      <x:c r="K107" s="50" t="str">
        <x:f>IF(A107="","",IF(AND(ISNUMBER(E107),E107=0,OR(ISNUMBER(SEARCH("Free",D107&amp;"")),AND(ISNUMBER(F107),F107=0))),"Subscription",IF(ISNUMBER(G107),"Profit",IF(ISNUMBER(I107),"Disqualified",IF(ISNUMBER(H107),"Draw",IF(AND(ISNUMBER(F107),ISNUMBER(E107),E107&gt;0,F107&gt;E107),"Profit",IF(AND(ISNUMBER(F107),ISNUMBER(E107),E107&gt;0,F107=E107),"Draw",IF(AND(ISNUMBER(F107),ISNUMBER(E107),E107&gt;0,F107=0),"Disqualified",""))))))))</x:f>
      </x:c>
      <x:c r="L107" s="50"/>
      <x:c r="M107" s="58"/>
      <x:c r="N107" s="58"/>
      <x:c r="O107" s="62"/>
      <x:c r="P107" s="62"/>
      <x:c r="Q107" s="64" t="str">
        <x:f>IF(OR(B107="",C107="",C107&lt;B107),"",ROUNDUP((C107-B107)/7,0))</x:f>
      </x:c>
      <x:c r="R107" s="50"/>
      <x:c r="S107" s="50"/>
      <x:c r="T107" s="54"/>
      <x:c r="U107" s="66" t="str">
        <x:f>IF(A107="","",IF(K107="Subscription","",IF(ISNUMBER(G107),G107,0)-IF(ISNUMBER(I107),I107,0)))</x:f>
      </x:c>
      <x:c r="V107" s="64" t="str">
        <x:f>IF(OR(P107="",O107="",NOT(ISNUMBER(P107)),NOT(ISNUMBER(O107)),O107&gt;P107),"",P107-O107)</x:f>
      </x:c>
      <x:c r="W107" s="67" t="str">
        <x:f>IF(OR(P107="",P107=0,V107=""),"",V107/P107)</x:f>
      </x:c>
    </x:row>
    <x:row r="108" ht="21" customHeight="1">
      <x:c r="A108" s="54"/>
      <x:c r="B108" s="56"/>
      <x:c r="C108" s="56"/>
      <x:c r="D108" s="54"/>
      <x:c r="E108" s="58"/>
      <x:c r="F108" s="58"/>
      <x:c r="G108" s="58"/>
      <x:c r="H108" s="58"/>
      <x:c r="I108" s="58"/>
      <x:c r="J108" s="60" t="str">
        <x:f>IF(A108="","",IF(K108="Subscription","",IF(E108=0,"",IF(ISNUMBER(G108),G108/E108,IF(ISNUMBER(I108),-ABS(I108)/E108,IF(ISNUMBER(H108),0,IF(AND(ISNUMBER(F108),ISNUMBER(E108),E108&gt;0,F108&gt;E108),(F108-E108)/E108,IF(AND(ISNUMBER(F108),ISNUMBER(E108),E108&gt;0,F108=E108),0,IF(AND(ISNUMBER(F108),ISNUMBER(E108),E108&gt;0,F108=0),-1,"")))))))))</x:f>
      </x:c>
      <x:c r="K108" s="50" t="str">
        <x:f>IF(A108="","",IF(AND(ISNUMBER(E108),E108=0,OR(ISNUMBER(SEARCH("Free",D108&amp;"")),AND(ISNUMBER(F108),F108=0))),"Subscription",IF(ISNUMBER(G108),"Profit",IF(ISNUMBER(I108),"Disqualified",IF(ISNUMBER(H108),"Draw",IF(AND(ISNUMBER(F108),ISNUMBER(E108),E108&gt;0,F108&gt;E108),"Profit",IF(AND(ISNUMBER(F108),ISNUMBER(E108),E108&gt;0,F108=E108),"Draw",IF(AND(ISNUMBER(F108),ISNUMBER(E108),E108&gt;0,F108=0),"Disqualified",""))))))))</x:f>
      </x:c>
      <x:c r="L108" s="50"/>
      <x:c r="M108" s="58"/>
      <x:c r="N108" s="58"/>
      <x:c r="O108" s="62"/>
      <x:c r="P108" s="62"/>
      <x:c r="Q108" s="64" t="str">
        <x:f>IF(OR(B108="",C108="",C108&lt;B108),"",ROUNDUP((C108-B108)/7,0))</x:f>
      </x:c>
      <x:c r="R108" s="50"/>
      <x:c r="S108" s="50"/>
      <x:c r="T108" s="54"/>
      <x:c r="U108" s="66" t="str">
        <x:f>IF(A108="","",IF(K108="Subscription","",IF(ISNUMBER(G108),G108,0)-IF(ISNUMBER(I108),I108,0)))</x:f>
      </x:c>
      <x:c r="V108" s="64" t="str">
        <x:f>IF(OR(P108="",O108="",NOT(ISNUMBER(P108)),NOT(ISNUMBER(O108)),O108&gt;P108),"",P108-O108)</x:f>
      </x:c>
      <x:c r="W108" s="67" t="str">
        <x:f>IF(OR(P108="",P108=0,V108=""),"",V108/P108)</x:f>
      </x:c>
    </x:row>
    <x:row r="109" ht="21" customHeight="1">
      <x:c r="A109" s="54"/>
      <x:c r="B109" s="56"/>
      <x:c r="C109" s="56"/>
      <x:c r="D109" s="54"/>
      <x:c r="E109" s="58"/>
      <x:c r="F109" s="58"/>
      <x:c r="G109" s="58"/>
      <x:c r="H109" s="58"/>
      <x:c r="I109" s="58"/>
      <x:c r="J109" s="60" t="str">
        <x:f>IF(A109="","",IF(K109="Subscription","",IF(E109=0,"",IF(ISNUMBER(G109),G109/E109,IF(ISNUMBER(I109),-ABS(I109)/E109,IF(ISNUMBER(H109),0,IF(AND(ISNUMBER(F109),ISNUMBER(E109),E109&gt;0,F109&gt;E109),(F109-E109)/E109,IF(AND(ISNUMBER(F109),ISNUMBER(E109),E109&gt;0,F109=E109),0,IF(AND(ISNUMBER(F109),ISNUMBER(E109),E109&gt;0,F109=0),-1,"")))))))))</x:f>
      </x:c>
      <x:c r="K109" s="50" t="str">
        <x:f>IF(A109="","",IF(AND(ISNUMBER(E109),E109=0,OR(ISNUMBER(SEARCH("Free",D109&amp;"")),AND(ISNUMBER(F109),F109=0))),"Subscription",IF(ISNUMBER(G109),"Profit",IF(ISNUMBER(I109),"Disqualified",IF(ISNUMBER(H109),"Draw",IF(AND(ISNUMBER(F109),ISNUMBER(E109),E109&gt;0,F109&gt;E109),"Profit",IF(AND(ISNUMBER(F109),ISNUMBER(E109),E109&gt;0,F109=E109),"Draw",IF(AND(ISNUMBER(F109),ISNUMBER(E109),E109&gt;0,F109=0),"Disqualified",""))))))))</x:f>
      </x:c>
      <x:c r="L109" s="50"/>
      <x:c r="M109" s="58"/>
      <x:c r="N109" s="58"/>
      <x:c r="O109" s="62"/>
      <x:c r="P109" s="62"/>
      <x:c r="Q109" s="64" t="str">
        <x:f>IF(OR(B109="",C109="",C109&lt;B109),"",ROUNDUP((C109-B109)/7,0))</x:f>
      </x:c>
      <x:c r="R109" s="50"/>
      <x:c r="S109" s="50"/>
      <x:c r="T109" s="54"/>
      <x:c r="U109" s="66" t="str">
        <x:f>IF(A109="","",IF(K109="Subscription","",IF(ISNUMBER(G109),G109,0)-IF(ISNUMBER(I109),I109,0)))</x:f>
      </x:c>
      <x:c r="V109" s="64" t="str">
        <x:f>IF(OR(P109="",O109="",NOT(ISNUMBER(P109)),NOT(ISNUMBER(O109)),O109&gt;P109),"",P109-O109)</x:f>
      </x:c>
      <x:c r="W109" s="67" t="str">
        <x:f>IF(OR(P109="",P109=0,V109=""),"",V109/P109)</x:f>
      </x:c>
    </x:row>
    <x:row r="110" ht="21" customHeight="1">
      <x:c r="A110" s="54"/>
      <x:c r="B110" s="56"/>
      <x:c r="C110" s="56"/>
      <x:c r="D110" s="54"/>
      <x:c r="E110" s="58"/>
      <x:c r="F110" s="58"/>
      <x:c r="G110" s="58"/>
      <x:c r="H110" s="58"/>
      <x:c r="I110" s="58"/>
      <x:c r="J110" s="60" t="str">
        <x:f>IF(A110="","",IF(K110="Subscription","",IF(E110=0,"",IF(ISNUMBER(G110),G110/E110,IF(ISNUMBER(I110),-ABS(I110)/E110,IF(ISNUMBER(H110),0,IF(AND(ISNUMBER(F110),ISNUMBER(E110),E110&gt;0,F110&gt;E110),(F110-E110)/E110,IF(AND(ISNUMBER(F110),ISNUMBER(E110),E110&gt;0,F110=E110),0,IF(AND(ISNUMBER(F110),ISNUMBER(E110),E110&gt;0,F110=0),-1,"")))))))))</x:f>
      </x:c>
      <x:c r="K110" s="50" t="str">
        <x:f>IF(A110="","",IF(AND(ISNUMBER(E110),E110=0,OR(ISNUMBER(SEARCH("Free",D110&amp;"")),AND(ISNUMBER(F110),F110=0))),"Subscription",IF(ISNUMBER(G110),"Profit",IF(ISNUMBER(I110),"Disqualified",IF(ISNUMBER(H110),"Draw",IF(AND(ISNUMBER(F110),ISNUMBER(E110),E110&gt;0,F110&gt;E110),"Profit",IF(AND(ISNUMBER(F110),ISNUMBER(E110),E110&gt;0,F110=E110),"Draw",IF(AND(ISNUMBER(F110),ISNUMBER(E110),E110&gt;0,F110=0),"Disqualified",""))))))))</x:f>
      </x:c>
      <x:c r="L110" s="50"/>
      <x:c r="M110" s="58"/>
      <x:c r="N110" s="58"/>
      <x:c r="O110" s="62"/>
      <x:c r="P110" s="62"/>
      <x:c r="Q110" s="64" t="str">
        <x:f>IF(OR(B110="",C110="",C110&lt;B110),"",ROUNDUP((C110-B110)/7,0))</x:f>
      </x:c>
      <x:c r="R110" s="50"/>
      <x:c r="S110" s="50"/>
      <x:c r="T110" s="54"/>
      <x:c r="U110" s="66" t="str">
        <x:f>IF(A110="","",IF(K110="Subscription","",IF(ISNUMBER(G110),G110,0)-IF(ISNUMBER(I110),I110,0)))</x:f>
      </x:c>
      <x:c r="V110" s="64" t="str">
        <x:f>IF(OR(P110="",O110="",NOT(ISNUMBER(P110)),NOT(ISNUMBER(O110)),O110&gt;P110),"",P110-O110)</x:f>
      </x:c>
      <x:c r="W110" s="67" t="str">
        <x:f>IF(OR(P110="",P110=0,V110=""),"",V110/P110)</x:f>
      </x:c>
    </x:row>
    <x:row r="111" ht="21" customHeight="1">
      <x:c r="A111" s="54"/>
      <x:c r="B111" s="56"/>
      <x:c r="C111" s="56"/>
      <x:c r="D111" s="54"/>
      <x:c r="E111" s="58"/>
      <x:c r="F111" s="58"/>
      <x:c r="G111" s="58"/>
      <x:c r="H111" s="58"/>
      <x:c r="I111" s="58"/>
      <x:c r="J111" s="60" t="str">
        <x:f>IF(A111="","",IF(K111="Subscription","",IF(E111=0,"",IF(ISNUMBER(G111),G111/E111,IF(ISNUMBER(I111),-ABS(I111)/E111,IF(ISNUMBER(H111),0,IF(AND(ISNUMBER(F111),ISNUMBER(E111),E111&gt;0,F111&gt;E111),(F111-E111)/E111,IF(AND(ISNUMBER(F111),ISNUMBER(E111),E111&gt;0,F111=E111),0,IF(AND(ISNUMBER(F111),ISNUMBER(E111),E111&gt;0,F111=0),-1,"")))))))))</x:f>
      </x:c>
      <x:c r="K111" s="50" t="str">
        <x:f>IF(A111="","",IF(AND(ISNUMBER(E111),E111=0,OR(ISNUMBER(SEARCH("Free",D111&amp;"")),AND(ISNUMBER(F111),F111=0))),"Subscription",IF(ISNUMBER(G111),"Profit",IF(ISNUMBER(I111),"Disqualified",IF(ISNUMBER(H111),"Draw",IF(AND(ISNUMBER(F111),ISNUMBER(E111),E111&gt;0,F111&gt;E111),"Profit",IF(AND(ISNUMBER(F111),ISNUMBER(E111),E111&gt;0,F111=E111),"Draw",IF(AND(ISNUMBER(F111),ISNUMBER(E111),E111&gt;0,F111=0),"Disqualified",""))))))))</x:f>
      </x:c>
      <x:c r="L111" s="50"/>
      <x:c r="M111" s="58"/>
      <x:c r="N111" s="58"/>
      <x:c r="O111" s="62"/>
      <x:c r="P111" s="62"/>
      <x:c r="Q111" s="64" t="str">
        <x:f>IF(OR(B111="",C111="",C111&lt;B111),"",ROUNDUP((C111-B111)/7,0))</x:f>
      </x:c>
      <x:c r="R111" s="50"/>
      <x:c r="S111" s="50"/>
      <x:c r="T111" s="54"/>
      <x:c r="U111" s="66" t="str">
        <x:f>IF(A111="","",IF(K111="Subscription","",IF(ISNUMBER(G111),G111,0)-IF(ISNUMBER(I111),I111,0)))</x:f>
      </x:c>
      <x:c r="V111" s="64" t="str">
        <x:f>IF(OR(P111="",O111="",NOT(ISNUMBER(P111)),NOT(ISNUMBER(O111)),O111&gt;P111),"",P111-O111)</x:f>
      </x:c>
      <x:c r="W111" s="67" t="str">
        <x:f>IF(OR(P111="",P111=0,V111=""),"",V111/P111)</x:f>
      </x:c>
    </x:row>
    <x:row r="112" ht="21" customHeight="1">
      <x:c r="A112" s="54"/>
      <x:c r="B112" s="56"/>
      <x:c r="C112" s="56"/>
      <x:c r="D112" s="54"/>
      <x:c r="E112" s="58"/>
      <x:c r="F112" s="58"/>
      <x:c r="G112" s="58"/>
      <x:c r="H112" s="58"/>
      <x:c r="I112" s="58"/>
      <x:c r="J112" s="60" t="str">
        <x:f>IF(A112="","",IF(K112="Subscription","",IF(E112=0,"",IF(ISNUMBER(G112),G112/E112,IF(ISNUMBER(I112),-ABS(I112)/E112,IF(ISNUMBER(H112),0,IF(AND(ISNUMBER(F112),ISNUMBER(E112),E112&gt;0,F112&gt;E112),(F112-E112)/E112,IF(AND(ISNUMBER(F112),ISNUMBER(E112),E112&gt;0,F112=E112),0,IF(AND(ISNUMBER(F112),ISNUMBER(E112),E112&gt;0,F112=0),-1,"")))))))))</x:f>
      </x:c>
      <x:c r="K112" s="50" t="str">
        <x:f>IF(A112="","",IF(AND(ISNUMBER(E112),E112=0,OR(ISNUMBER(SEARCH("Free",D112&amp;"")),AND(ISNUMBER(F112),F112=0))),"Subscription",IF(ISNUMBER(G112),"Profit",IF(ISNUMBER(I112),"Disqualified",IF(ISNUMBER(H112),"Draw",IF(AND(ISNUMBER(F112),ISNUMBER(E112),E112&gt;0,F112&gt;E112),"Profit",IF(AND(ISNUMBER(F112),ISNUMBER(E112),E112&gt;0,F112=E112),"Draw",IF(AND(ISNUMBER(F112),ISNUMBER(E112),E112&gt;0,F112=0),"Disqualified",""))))))))</x:f>
      </x:c>
      <x:c r="L112" s="50"/>
      <x:c r="M112" s="58"/>
      <x:c r="N112" s="58"/>
      <x:c r="O112" s="62"/>
      <x:c r="P112" s="62"/>
      <x:c r="Q112" s="64" t="str">
        <x:f>IF(OR(B112="",C112="",C112&lt;B112),"",ROUNDUP((C112-B112)/7,0))</x:f>
      </x:c>
      <x:c r="R112" s="50"/>
      <x:c r="S112" s="50"/>
      <x:c r="T112" s="54"/>
      <x:c r="U112" s="66" t="str">
        <x:f>IF(A112="","",IF(K112="Subscription","",IF(ISNUMBER(G112),G112,0)-IF(ISNUMBER(I112),I112,0)))</x:f>
      </x:c>
      <x:c r="V112" s="64" t="str">
        <x:f>IF(OR(P112="",O112="",NOT(ISNUMBER(P112)),NOT(ISNUMBER(O112)),O112&gt;P112),"",P112-O112)</x:f>
      </x:c>
      <x:c r="W112" s="67" t="str">
        <x:f>IF(OR(P112="",P112=0,V112=""),"",V112/P112)</x:f>
      </x:c>
    </x:row>
    <x:row r="113" ht="21" customHeight="1">
      <x:c r="A113" s="54"/>
      <x:c r="B113" s="56"/>
      <x:c r="C113" s="56"/>
      <x:c r="D113" s="54"/>
      <x:c r="E113" s="58"/>
      <x:c r="F113" s="58"/>
      <x:c r="G113" s="58"/>
      <x:c r="H113" s="58"/>
      <x:c r="I113" s="58"/>
      <x:c r="J113" s="60" t="str">
        <x:f>IF(A113="","",IF(K113="Subscription","",IF(E113=0,"",IF(ISNUMBER(G113),G113/E113,IF(ISNUMBER(I113),-ABS(I113)/E113,IF(ISNUMBER(H113),0,IF(AND(ISNUMBER(F113),ISNUMBER(E113),E113&gt;0,F113&gt;E113),(F113-E113)/E113,IF(AND(ISNUMBER(F113),ISNUMBER(E113),E113&gt;0,F113=E113),0,IF(AND(ISNUMBER(F113),ISNUMBER(E113),E113&gt;0,F113=0),-1,"")))))))))</x:f>
      </x:c>
      <x:c r="K113" s="50" t="str">
        <x:f>IF(A113="","",IF(AND(ISNUMBER(E113),E113=0,OR(ISNUMBER(SEARCH("Free",D113&amp;"")),AND(ISNUMBER(F113),F113=0))),"Subscription",IF(ISNUMBER(G113),"Profit",IF(ISNUMBER(I113),"Disqualified",IF(ISNUMBER(H113),"Draw",IF(AND(ISNUMBER(F113),ISNUMBER(E113),E113&gt;0,F113&gt;E113),"Profit",IF(AND(ISNUMBER(F113),ISNUMBER(E113),E113&gt;0,F113=E113),"Draw",IF(AND(ISNUMBER(F113),ISNUMBER(E113),E113&gt;0,F113=0),"Disqualified",""))))))))</x:f>
      </x:c>
      <x:c r="L113" s="50"/>
      <x:c r="M113" s="58"/>
      <x:c r="N113" s="58"/>
      <x:c r="O113" s="62"/>
      <x:c r="P113" s="62"/>
      <x:c r="Q113" s="64" t="str">
        <x:f>IF(OR(B113="",C113="",C113&lt;B113),"",ROUNDUP((C113-B113)/7,0))</x:f>
      </x:c>
      <x:c r="R113" s="50"/>
      <x:c r="S113" s="50"/>
      <x:c r="T113" s="54"/>
      <x:c r="U113" s="66" t="str">
        <x:f>IF(A113="","",IF(K113="Subscription","",IF(ISNUMBER(G113),G113,0)-IF(ISNUMBER(I113),I113,0)))</x:f>
      </x:c>
      <x:c r="V113" s="64" t="str">
        <x:f>IF(OR(P113="",O113="",NOT(ISNUMBER(P113)),NOT(ISNUMBER(O113)),O113&gt;P113),"",P113-O113)</x:f>
      </x:c>
      <x:c r="W113" s="67" t="str">
        <x:f>IF(OR(P113="",P113=0,V113=""),"",V113/P113)</x:f>
      </x:c>
    </x:row>
    <x:row r="114" ht="21" customHeight="1">
      <x:c r="A114" s="54"/>
      <x:c r="B114" s="56"/>
      <x:c r="C114" s="56"/>
      <x:c r="D114" s="54"/>
      <x:c r="E114" s="58"/>
      <x:c r="F114" s="58"/>
      <x:c r="G114" s="58"/>
      <x:c r="H114" s="58"/>
      <x:c r="I114" s="58"/>
      <x:c r="J114" s="60" t="str">
        <x:f>IF(A114="","",IF(K114="Subscription","",IF(E114=0,"",IF(ISNUMBER(G114),G114/E114,IF(ISNUMBER(I114),-ABS(I114)/E114,IF(ISNUMBER(H114),0,IF(AND(ISNUMBER(F114),ISNUMBER(E114),E114&gt;0,F114&gt;E114),(F114-E114)/E114,IF(AND(ISNUMBER(F114),ISNUMBER(E114),E114&gt;0,F114=E114),0,IF(AND(ISNUMBER(F114),ISNUMBER(E114),E114&gt;0,F114=0),-1,"")))))))))</x:f>
      </x:c>
      <x:c r="K114" s="50" t="str">
        <x:f>IF(A114="","",IF(AND(ISNUMBER(E114),E114=0,OR(ISNUMBER(SEARCH("Free",D114&amp;"")),AND(ISNUMBER(F114),F114=0))),"Subscription",IF(ISNUMBER(G114),"Profit",IF(ISNUMBER(I114),"Disqualified",IF(ISNUMBER(H114),"Draw",IF(AND(ISNUMBER(F114),ISNUMBER(E114),E114&gt;0,F114&gt;E114),"Profit",IF(AND(ISNUMBER(F114),ISNUMBER(E114),E114&gt;0,F114=E114),"Draw",IF(AND(ISNUMBER(F114),ISNUMBER(E114),E114&gt;0,F114=0),"Disqualified",""))))))))</x:f>
      </x:c>
      <x:c r="L114" s="50"/>
      <x:c r="M114" s="58"/>
      <x:c r="N114" s="58"/>
      <x:c r="O114" s="62"/>
      <x:c r="P114" s="62"/>
      <x:c r="Q114" s="64" t="str">
        <x:f>IF(OR(B114="",C114="",C114&lt;B114),"",ROUNDUP((C114-B114)/7,0))</x:f>
      </x:c>
      <x:c r="R114" s="50"/>
      <x:c r="S114" s="50"/>
      <x:c r="T114" s="54"/>
      <x:c r="U114" s="66" t="str">
        <x:f>IF(A114="","",IF(K114="Subscription","",IF(ISNUMBER(G114),G114,0)-IF(ISNUMBER(I114),I114,0)))</x:f>
      </x:c>
      <x:c r="V114" s="64" t="str">
        <x:f>IF(OR(P114="",O114="",NOT(ISNUMBER(P114)),NOT(ISNUMBER(O114)),O114&gt;P114),"",P114-O114)</x:f>
      </x:c>
      <x:c r="W114" s="67" t="str">
        <x:f>IF(OR(P114="",P114=0,V114=""),"",V114/P114)</x:f>
      </x:c>
    </x:row>
    <x:row r="115" ht="21" customHeight="1">
      <x:c r="A115" s="54"/>
      <x:c r="B115" s="56"/>
      <x:c r="C115" s="56"/>
      <x:c r="D115" s="54"/>
      <x:c r="E115" s="58"/>
      <x:c r="F115" s="58"/>
      <x:c r="G115" s="58"/>
      <x:c r="H115" s="58"/>
      <x:c r="I115" s="58"/>
      <x:c r="J115" s="60" t="str">
        <x:f>IF(A115="","",IF(K115="Subscription","",IF(E115=0,"",IF(ISNUMBER(G115),G115/E115,IF(ISNUMBER(I115),-ABS(I115)/E115,IF(ISNUMBER(H115),0,IF(AND(ISNUMBER(F115),ISNUMBER(E115),E115&gt;0,F115&gt;E115),(F115-E115)/E115,IF(AND(ISNUMBER(F115),ISNUMBER(E115),E115&gt;0,F115=E115),0,IF(AND(ISNUMBER(F115),ISNUMBER(E115),E115&gt;0,F115=0),-1,"")))))))))</x:f>
      </x:c>
      <x:c r="K115" s="50" t="str">
        <x:f>IF(A115="","",IF(AND(ISNUMBER(E115),E115=0,OR(ISNUMBER(SEARCH("Free",D115&amp;"")),AND(ISNUMBER(F115),F115=0))),"Subscription",IF(ISNUMBER(G115),"Profit",IF(ISNUMBER(I115),"Disqualified",IF(ISNUMBER(H115),"Draw",IF(AND(ISNUMBER(F115),ISNUMBER(E115),E115&gt;0,F115&gt;E115),"Profit",IF(AND(ISNUMBER(F115),ISNUMBER(E115),E115&gt;0,F115=E115),"Draw",IF(AND(ISNUMBER(F115),ISNUMBER(E115),E115&gt;0,F115=0),"Disqualified",""))))))))</x:f>
      </x:c>
      <x:c r="L115" s="50"/>
      <x:c r="M115" s="58"/>
      <x:c r="N115" s="58"/>
      <x:c r="O115" s="62"/>
      <x:c r="P115" s="62"/>
      <x:c r="Q115" s="64" t="str">
        <x:f>IF(OR(B115="",C115="",C115&lt;B115),"",ROUNDUP((C115-B115)/7,0))</x:f>
      </x:c>
      <x:c r="R115" s="50"/>
      <x:c r="S115" s="50"/>
      <x:c r="T115" s="54"/>
      <x:c r="U115" s="66" t="str">
        <x:f>IF(A115="","",IF(K115="Subscription","",IF(ISNUMBER(G115),G115,0)-IF(ISNUMBER(I115),I115,0)))</x:f>
      </x:c>
      <x:c r="V115" s="64" t="str">
        <x:f>IF(OR(P115="",O115="",NOT(ISNUMBER(P115)),NOT(ISNUMBER(O115)),O115&gt;P115),"",P115-O115)</x:f>
      </x:c>
      <x:c r="W115" s="67" t="str">
        <x:f>IF(OR(P115="",P115=0,V115=""),"",V115/P115)</x:f>
      </x:c>
    </x:row>
    <x:row r="116" ht="21" customHeight="1">
      <x:c r="A116" s="54"/>
      <x:c r="B116" s="56"/>
      <x:c r="C116" s="56"/>
      <x:c r="D116" s="54"/>
      <x:c r="E116" s="58"/>
      <x:c r="F116" s="58"/>
      <x:c r="G116" s="58"/>
      <x:c r="H116" s="58"/>
      <x:c r="I116" s="58"/>
      <x:c r="J116" s="60" t="str">
        <x:f>IF(A116="","",IF(K116="Subscription","",IF(E116=0,"",IF(ISNUMBER(G116),G116/E116,IF(ISNUMBER(I116),-ABS(I116)/E116,IF(ISNUMBER(H116),0,IF(AND(ISNUMBER(F116),ISNUMBER(E116),E116&gt;0,F116&gt;E116),(F116-E116)/E116,IF(AND(ISNUMBER(F116),ISNUMBER(E116),E116&gt;0,F116=E116),0,IF(AND(ISNUMBER(F116),ISNUMBER(E116),E116&gt;0,F116=0),-1,"")))))))))</x:f>
      </x:c>
      <x:c r="K116" s="50" t="str">
        <x:f>IF(A116="","",IF(AND(ISNUMBER(E116),E116=0,OR(ISNUMBER(SEARCH("Free",D116&amp;"")),AND(ISNUMBER(F116),F116=0))),"Subscription",IF(ISNUMBER(G116),"Profit",IF(ISNUMBER(I116),"Disqualified",IF(ISNUMBER(H116),"Draw",IF(AND(ISNUMBER(F116),ISNUMBER(E116),E116&gt;0,F116&gt;E116),"Profit",IF(AND(ISNUMBER(F116),ISNUMBER(E116),E116&gt;0,F116=E116),"Draw",IF(AND(ISNUMBER(F116),ISNUMBER(E116),E116&gt;0,F116=0),"Disqualified",""))))))))</x:f>
      </x:c>
      <x:c r="L116" s="50"/>
      <x:c r="M116" s="58"/>
      <x:c r="N116" s="58"/>
      <x:c r="O116" s="62"/>
      <x:c r="P116" s="62"/>
      <x:c r="Q116" s="64" t="str">
        <x:f>IF(OR(B116="",C116="",C116&lt;B116),"",ROUNDUP((C116-B116)/7,0))</x:f>
      </x:c>
      <x:c r="R116" s="50"/>
      <x:c r="S116" s="50"/>
      <x:c r="T116" s="54"/>
      <x:c r="U116" s="66" t="str">
        <x:f>IF(A116="","",IF(K116="Subscription","",IF(ISNUMBER(G116),G116,0)-IF(ISNUMBER(I116),I116,0)))</x:f>
      </x:c>
      <x:c r="V116" s="64" t="str">
        <x:f>IF(OR(P116="",O116="",NOT(ISNUMBER(P116)),NOT(ISNUMBER(O116)),O116&gt;P116),"",P116-O116)</x:f>
      </x:c>
      <x:c r="W116" s="67" t="str">
        <x:f>IF(OR(P116="",P116=0,V116=""),"",V116/P116)</x:f>
      </x:c>
    </x:row>
    <x:row r="117" ht="21" customHeight="1">
      <x:c r="A117" s="54"/>
      <x:c r="B117" s="56"/>
      <x:c r="C117" s="56"/>
      <x:c r="D117" s="54"/>
      <x:c r="E117" s="58"/>
      <x:c r="F117" s="58"/>
      <x:c r="G117" s="58"/>
      <x:c r="H117" s="58"/>
      <x:c r="I117" s="58"/>
      <x:c r="J117" s="60" t="str">
        <x:f>IF(A117="","",IF(K117="Subscription","",IF(E117=0,"",IF(ISNUMBER(G117),G117/E117,IF(ISNUMBER(I117),-ABS(I117)/E117,IF(ISNUMBER(H117),0,IF(AND(ISNUMBER(F117),ISNUMBER(E117),E117&gt;0,F117&gt;E117),(F117-E117)/E117,IF(AND(ISNUMBER(F117),ISNUMBER(E117),E117&gt;0,F117=E117),0,IF(AND(ISNUMBER(F117),ISNUMBER(E117),E117&gt;0,F117=0),-1,"")))))))))</x:f>
      </x:c>
      <x:c r="K117" s="50" t="str">
        <x:f>IF(A117="","",IF(AND(ISNUMBER(E117),E117=0,OR(ISNUMBER(SEARCH("Free",D117&amp;"")),AND(ISNUMBER(F117),F117=0))),"Subscription",IF(ISNUMBER(G117),"Profit",IF(ISNUMBER(I117),"Disqualified",IF(ISNUMBER(H117),"Draw",IF(AND(ISNUMBER(F117),ISNUMBER(E117),E117&gt;0,F117&gt;E117),"Profit",IF(AND(ISNUMBER(F117),ISNUMBER(E117),E117&gt;0,F117=E117),"Draw",IF(AND(ISNUMBER(F117),ISNUMBER(E117),E117&gt;0,F117=0),"Disqualified",""))))))))</x:f>
      </x:c>
      <x:c r="L117" s="50"/>
      <x:c r="M117" s="58"/>
      <x:c r="N117" s="58"/>
      <x:c r="O117" s="62"/>
      <x:c r="P117" s="62"/>
      <x:c r="Q117" s="64" t="str">
        <x:f>IF(OR(B117="",C117="",C117&lt;B117),"",ROUNDUP((C117-B117)/7,0))</x:f>
      </x:c>
      <x:c r="R117" s="50"/>
      <x:c r="S117" s="50"/>
      <x:c r="T117" s="54"/>
      <x:c r="U117" s="66" t="str">
        <x:f>IF(A117="","",IF(K117="Subscription","",IF(ISNUMBER(G117),G117,0)-IF(ISNUMBER(I117),I117,0)))</x:f>
      </x:c>
      <x:c r="V117" s="64" t="str">
        <x:f>IF(OR(P117="",O117="",NOT(ISNUMBER(P117)),NOT(ISNUMBER(O117)),O117&gt;P117),"",P117-O117)</x:f>
      </x:c>
      <x:c r="W117" s="67" t="str">
        <x:f>IF(OR(P117="",P117=0,V117=""),"",V117/P117)</x:f>
      </x:c>
    </x:row>
    <x:row r="118" ht="21" customHeight="1">
      <x:c r="A118" s="54"/>
      <x:c r="B118" s="56"/>
      <x:c r="C118" s="56"/>
      <x:c r="D118" s="54"/>
      <x:c r="E118" s="58"/>
      <x:c r="F118" s="58"/>
      <x:c r="G118" s="58"/>
      <x:c r="H118" s="58"/>
      <x:c r="I118" s="58"/>
      <x:c r="J118" s="60" t="str">
        <x:f>IF(A118="","",IF(K118="Subscription","",IF(E118=0,"",IF(ISNUMBER(G118),G118/E118,IF(ISNUMBER(I118),-ABS(I118)/E118,IF(ISNUMBER(H118),0,IF(AND(ISNUMBER(F118),ISNUMBER(E118),E118&gt;0,F118&gt;E118),(F118-E118)/E118,IF(AND(ISNUMBER(F118),ISNUMBER(E118),E118&gt;0,F118=E118),0,IF(AND(ISNUMBER(F118),ISNUMBER(E118),E118&gt;0,F118=0),-1,"")))))))))</x:f>
      </x:c>
      <x:c r="K118" s="50" t="str">
        <x:f>IF(A118="","",IF(AND(ISNUMBER(E118),E118=0,OR(ISNUMBER(SEARCH("Free",D118&amp;"")),AND(ISNUMBER(F118),F118=0))),"Subscription",IF(ISNUMBER(G118),"Profit",IF(ISNUMBER(I118),"Disqualified",IF(ISNUMBER(H118),"Draw",IF(AND(ISNUMBER(F118),ISNUMBER(E118),E118&gt;0,F118&gt;E118),"Profit",IF(AND(ISNUMBER(F118),ISNUMBER(E118),E118&gt;0,F118=E118),"Draw",IF(AND(ISNUMBER(F118),ISNUMBER(E118),E118&gt;0,F118=0),"Disqualified",""))))))))</x:f>
      </x:c>
      <x:c r="L118" s="50"/>
      <x:c r="M118" s="58"/>
      <x:c r="N118" s="58"/>
      <x:c r="O118" s="62"/>
      <x:c r="P118" s="62"/>
      <x:c r="Q118" s="64" t="str">
        <x:f>IF(OR(B118="",C118="",C118&lt;B118),"",ROUNDUP((C118-B118)/7,0))</x:f>
      </x:c>
      <x:c r="R118" s="50"/>
      <x:c r="S118" s="50"/>
      <x:c r="T118" s="54"/>
      <x:c r="U118" s="66" t="str">
        <x:f>IF(A118="","",IF(K118="Subscription","",IF(ISNUMBER(G118),G118,0)-IF(ISNUMBER(I118),I118,0)))</x:f>
      </x:c>
      <x:c r="V118" s="64" t="str">
        <x:f>IF(OR(P118="",O118="",NOT(ISNUMBER(P118)),NOT(ISNUMBER(O118)),O118&gt;P118),"",P118-O118)</x:f>
      </x:c>
      <x:c r="W118" s="67" t="str">
        <x:f>IF(OR(P118="",P118=0,V118=""),"",V118/P118)</x:f>
      </x:c>
    </x:row>
    <x:row r="119" ht="21" customHeight="1">
      <x:c r="A119" s="54"/>
      <x:c r="B119" s="56"/>
      <x:c r="C119" s="56"/>
      <x:c r="D119" s="54"/>
      <x:c r="E119" s="58"/>
      <x:c r="F119" s="58"/>
      <x:c r="G119" s="58"/>
      <x:c r="H119" s="58"/>
      <x:c r="I119" s="58"/>
      <x:c r="J119" s="60" t="str">
        <x:f>IF(A119="","",IF(K119="Subscription","",IF(E119=0,"",IF(ISNUMBER(G119),G119/E119,IF(ISNUMBER(I119),-ABS(I119)/E119,IF(ISNUMBER(H119),0,IF(AND(ISNUMBER(F119),ISNUMBER(E119),E119&gt;0,F119&gt;E119),(F119-E119)/E119,IF(AND(ISNUMBER(F119),ISNUMBER(E119),E119&gt;0,F119=E119),0,IF(AND(ISNUMBER(F119),ISNUMBER(E119),E119&gt;0,F119=0),-1,"")))))))))</x:f>
      </x:c>
      <x:c r="K119" s="50" t="str">
        <x:f>IF(A119="","",IF(AND(ISNUMBER(E119),E119=0,OR(ISNUMBER(SEARCH("Free",D119&amp;"")),AND(ISNUMBER(F119),F119=0))),"Subscription",IF(ISNUMBER(G119),"Profit",IF(ISNUMBER(I119),"Disqualified",IF(ISNUMBER(H119),"Draw",IF(AND(ISNUMBER(F119),ISNUMBER(E119),E119&gt;0,F119&gt;E119),"Profit",IF(AND(ISNUMBER(F119),ISNUMBER(E119),E119&gt;0,F119=E119),"Draw",IF(AND(ISNUMBER(F119),ISNUMBER(E119),E119&gt;0,F119=0),"Disqualified",""))))))))</x:f>
      </x:c>
      <x:c r="L119" s="50"/>
      <x:c r="M119" s="58"/>
      <x:c r="N119" s="58"/>
      <x:c r="O119" s="62"/>
      <x:c r="P119" s="62"/>
      <x:c r="Q119" s="64" t="str">
        <x:f>IF(OR(B119="",C119="",C119&lt;B119),"",ROUNDUP((C119-B119)/7,0))</x:f>
      </x:c>
      <x:c r="R119" s="50"/>
      <x:c r="S119" s="50"/>
      <x:c r="T119" s="54"/>
      <x:c r="U119" s="66" t="str">
        <x:f>IF(A119="","",IF(K119="Subscription","",IF(ISNUMBER(G119),G119,0)-IF(ISNUMBER(I119),I119,0)))</x:f>
      </x:c>
      <x:c r="V119" s="64" t="str">
        <x:f>IF(OR(P119="",O119="",NOT(ISNUMBER(P119)),NOT(ISNUMBER(O119)),O119&gt;P119),"",P119-O119)</x:f>
      </x:c>
      <x:c r="W119" s="67" t="str">
        <x:f>IF(OR(P119="",P119=0,V119=""),"",V119/P119)</x:f>
      </x:c>
    </x:row>
    <x:row r="120" ht="21" customHeight="1">
      <x:c r="A120" s="54"/>
      <x:c r="B120" s="56"/>
      <x:c r="C120" s="56"/>
      <x:c r="D120" s="54"/>
      <x:c r="E120" s="58"/>
      <x:c r="F120" s="58"/>
      <x:c r="G120" s="58"/>
      <x:c r="H120" s="58"/>
      <x:c r="I120" s="58"/>
      <x:c r="J120" s="60" t="str">
        <x:f>IF(A120="","",IF(K120="Subscription","",IF(E120=0,"",IF(ISNUMBER(G120),G120/E120,IF(ISNUMBER(I120),-ABS(I120)/E120,IF(ISNUMBER(H120),0,IF(AND(ISNUMBER(F120),ISNUMBER(E120),E120&gt;0,F120&gt;E120),(F120-E120)/E120,IF(AND(ISNUMBER(F120),ISNUMBER(E120),E120&gt;0,F120=E120),0,IF(AND(ISNUMBER(F120),ISNUMBER(E120),E120&gt;0,F120=0),-1,"")))))))))</x:f>
      </x:c>
      <x:c r="K120" s="50" t="str">
        <x:f>IF(A120="","",IF(AND(ISNUMBER(E120),E120=0,OR(ISNUMBER(SEARCH("Free",D120&amp;"")),AND(ISNUMBER(F120),F120=0))),"Subscription",IF(ISNUMBER(G120),"Profit",IF(ISNUMBER(I120),"Disqualified",IF(ISNUMBER(H120),"Draw",IF(AND(ISNUMBER(F120),ISNUMBER(E120),E120&gt;0,F120&gt;E120),"Profit",IF(AND(ISNUMBER(F120),ISNUMBER(E120),E120&gt;0,F120=E120),"Draw",IF(AND(ISNUMBER(F120),ISNUMBER(E120),E120&gt;0,F120=0),"Disqualified",""))))))))</x:f>
      </x:c>
      <x:c r="L120" s="50"/>
      <x:c r="M120" s="58"/>
      <x:c r="N120" s="58"/>
      <x:c r="O120" s="62"/>
      <x:c r="P120" s="62"/>
      <x:c r="Q120" s="64" t="str">
        <x:f>IF(OR(B120="",C120="",C120&lt;B120),"",ROUNDUP((C120-B120)/7,0))</x:f>
      </x:c>
      <x:c r="R120" s="50"/>
      <x:c r="S120" s="50"/>
      <x:c r="T120" s="54"/>
      <x:c r="U120" s="66" t="str">
        <x:f>IF(A120="","",IF(K120="Subscription","",IF(ISNUMBER(G120),G120,0)-IF(ISNUMBER(I120),I120,0)))</x:f>
      </x:c>
      <x:c r="V120" s="64" t="str">
        <x:f>IF(OR(P120="",O120="",NOT(ISNUMBER(P120)),NOT(ISNUMBER(O120)),O120&gt;P120),"",P120-O120)</x:f>
      </x:c>
      <x:c r="W120" s="67" t="str">
        <x:f>IF(OR(P120="",P120=0,V120=""),"",V120/P120)</x:f>
      </x:c>
    </x:row>
    <x:row r="121" ht="21" customHeight="1">
      <x:c r="A121" s="54"/>
      <x:c r="B121" s="56"/>
      <x:c r="C121" s="56"/>
      <x:c r="D121" s="54"/>
      <x:c r="E121" s="58"/>
      <x:c r="F121" s="58"/>
      <x:c r="G121" s="58"/>
      <x:c r="H121" s="58"/>
      <x:c r="I121" s="58"/>
      <x:c r="J121" s="60" t="str">
        <x:f>IF(A121="","",IF(K121="Subscription","",IF(E121=0,"",IF(ISNUMBER(G121),G121/E121,IF(ISNUMBER(I121),-ABS(I121)/E121,IF(ISNUMBER(H121),0,IF(AND(ISNUMBER(F121),ISNUMBER(E121),E121&gt;0,F121&gt;E121),(F121-E121)/E121,IF(AND(ISNUMBER(F121),ISNUMBER(E121),E121&gt;0,F121=E121),0,IF(AND(ISNUMBER(F121),ISNUMBER(E121),E121&gt;0,F121=0),-1,"")))))))))</x:f>
      </x:c>
      <x:c r="K121" s="50" t="str">
        <x:f>IF(A121="","",IF(AND(ISNUMBER(E121),E121=0,OR(ISNUMBER(SEARCH("Free",D121&amp;"")),AND(ISNUMBER(F121),F121=0))),"Subscription",IF(ISNUMBER(G121),"Profit",IF(ISNUMBER(I121),"Disqualified",IF(ISNUMBER(H121),"Draw",IF(AND(ISNUMBER(F121),ISNUMBER(E121),E121&gt;0,F121&gt;E121),"Profit",IF(AND(ISNUMBER(F121),ISNUMBER(E121),E121&gt;0,F121=E121),"Draw",IF(AND(ISNUMBER(F121),ISNUMBER(E121),E121&gt;0,F121=0),"Disqualified",""))))))))</x:f>
      </x:c>
      <x:c r="L121" s="50"/>
      <x:c r="M121" s="58"/>
      <x:c r="N121" s="58"/>
      <x:c r="O121" s="62"/>
      <x:c r="P121" s="62"/>
      <x:c r="Q121" s="64" t="str">
        <x:f>IF(OR(B121="",C121="",C121&lt;B121),"",ROUNDUP((C121-B121)/7,0))</x:f>
      </x:c>
      <x:c r="R121" s="50"/>
      <x:c r="S121" s="50"/>
      <x:c r="T121" s="54"/>
      <x:c r="U121" s="66" t="str">
        <x:f>IF(A121="","",IF(K121="Subscription","",IF(ISNUMBER(G121),G121,0)-IF(ISNUMBER(I121),I121,0)))</x:f>
      </x:c>
      <x:c r="V121" s="64" t="str">
        <x:f>IF(OR(P121="",O121="",NOT(ISNUMBER(P121)),NOT(ISNUMBER(O121)),O121&gt;P121),"",P121-O121)</x:f>
      </x:c>
      <x:c r="W121" s="67" t="str">
        <x:f>IF(OR(P121="",P121=0,V121=""),"",V121/P121)</x:f>
      </x:c>
    </x:row>
    <x:row r="122" ht="21" customHeight="1">
      <x:c r="A122" s="54"/>
      <x:c r="B122" s="56"/>
      <x:c r="C122" s="56"/>
      <x:c r="D122" s="54"/>
      <x:c r="E122" s="58"/>
      <x:c r="F122" s="58"/>
      <x:c r="G122" s="58"/>
      <x:c r="H122" s="58"/>
      <x:c r="I122" s="58"/>
      <x:c r="J122" s="60" t="str">
        <x:f>IF(A122="","",IF(K122="Subscription","",IF(E122=0,"",IF(ISNUMBER(G122),G122/E122,IF(ISNUMBER(I122),-ABS(I122)/E122,IF(ISNUMBER(H122),0,IF(AND(ISNUMBER(F122),ISNUMBER(E122),E122&gt;0,F122&gt;E122),(F122-E122)/E122,IF(AND(ISNUMBER(F122),ISNUMBER(E122),E122&gt;0,F122=E122),0,IF(AND(ISNUMBER(F122),ISNUMBER(E122),E122&gt;0,F122=0),-1,"")))))))))</x:f>
      </x:c>
      <x:c r="K122" s="50" t="str">
        <x:f>IF(A122="","",IF(AND(ISNUMBER(E122),E122=0,OR(ISNUMBER(SEARCH("Free",D122&amp;"")),AND(ISNUMBER(F122),F122=0))),"Subscription",IF(ISNUMBER(G122),"Profit",IF(ISNUMBER(I122),"Disqualified",IF(ISNUMBER(H122),"Draw",IF(AND(ISNUMBER(F122),ISNUMBER(E122),E122&gt;0,F122&gt;E122),"Profit",IF(AND(ISNUMBER(F122),ISNUMBER(E122),E122&gt;0,F122=E122),"Draw",IF(AND(ISNUMBER(F122),ISNUMBER(E122),E122&gt;0,F122=0),"Disqualified",""))))))))</x:f>
      </x:c>
      <x:c r="L122" s="50"/>
      <x:c r="M122" s="58"/>
      <x:c r="N122" s="58"/>
      <x:c r="O122" s="62"/>
      <x:c r="P122" s="62"/>
      <x:c r="Q122" s="64" t="str">
        <x:f>IF(OR(B122="",C122="",C122&lt;B122),"",ROUNDUP((C122-B122)/7,0))</x:f>
      </x:c>
      <x:c r="R122" s="50"/>
      <x:c r="S122" s="50"/>
      <x:c r="T122" s="54"/>
      <x:c r="U122" s="66" t="str">
        <x:f>IF(A122="","",IF(K122="Subscription","",IF(ISNUMBER(G122),G122,0)-IF(ISNUMBER(I122),I122,0)))</x:f>
      </x:c>
      <x:c r="V122" s="64" t="str">
        <x:f>IF(OR(P122="",O122="",NOT(ISNUMBER(P122)),NOT(ISNUMBER(O122)),O122&gt;P122),"",P122-O122)</x:f>
      </x:c>
      <x:c r="W122" s="67" t="str">
        <x:f>IF(OR(P122="",P122=0,V122=""),"",V122/P122)</x:f>
      </x:c>
    </x:row>
    <x:row r="123" ht="21" customHeight="1">
      <x:c r="A123" s="54"/>
      <x:c r="B123" s="56"/>
      <x:c r="C123" s="56"/>
      <x:c r="D123" s="54"/>
      <x:c r="E123" s="58"/>
      <x:c r="F123" s="58"/>
      <x:c r="G123" s="58"/>
      <x:c r="H123" s="58"/>
      <x:c r="I123" s="58"/>
      <x:c r="J123" s="60" t="str">
        <x:f>IF(A123="","",IF(K123="Subscription","",IF(E123=0,"",IF(ISNUMBER(G123),G123/E123,IF(ISNUMBER(I123),-ABS(I123)/E123,IF(ISNUMBER(H123),0,IF(AND(ISNUMBER(F123),ISNUMBER(E123),E123&gt;0,F123&gt;E123),(F123-E123)/E123,IF(AND(ISNUMBER(F123),ISNUMBER(E123),E123&gt;0,F123=E123),0,IF(AND(ISNUMBER(F123),ISNUMBER(E123),E123&gt;0,F123=0),-1,"")))))))))</x:f>
      </x:c>
      <x:c r="K123" s="50" t="str">
        <x:f>IF(A123="","",IF(AND(ISNUMBER(E123),E123=0,OR(ISNUMBER(SEARCH("Free",D123&amp;"")),AND(ISNUMBER(F123),F123=0))),"Subscription",IF(ISNUMBER(G123),"Profit",IF(ISNUMBER(I123),"Disqualified",IF(ISNUMBER(H123),"Draw",IF(AND(ISNUMBER(F123),ISNUMBER(E123),E123&gt;0,F123&gt;E123),"Profit",IF(AND(ISNUMBER(F123),ISNUMBER(E123),E123&gt;0,F123=E123),"Draw",IF(AND(ISNUMBER(F123),ISNUMBER(E123),E123&gt;0,F123=0),"Disqualified",""))))))))</x:f>
      </x:c>
      <x:c r="L123" s="50"/>
      <x:c r="M123" s="58"/>
      <x:c r="N123" s="58"/>
      <x:c r="O123" s="62"/>
      <x:c r="P123" s="62"/>
      <x:c r="Q123" s="64" t="str">
        <x:f>IF(OR(B123="",C123="",C123&lt;B123),"",ROUNDUP((C123-B123)/7,0))</x:f>
      </x:c>
      <x:c r="R123" s="50"/>
      <x:c r="S123" s="50"/>
      <x:c r="T123" s="54"/>
      <x:c r="U123" s="66" t="str">
        <x:f>IF(A123="","",IF(K123="Subscription","",IF(ISNUMBER(G123),G123,0)-IF(ISNUMBER(I123),I123,0)))</x:f>
      </x:c>
      <x:c r="V123" s="64" t="str">
        <x:f>IF(OR(P123="",O123="",NOT(ISNUMBER(P123)),NOT(ISNUMBER(O123)),O123&gt;P123),"",P123-O123)</x:f>
      </x:c>
      <x:c r="W123" s="67" t="str">
        <x:f>IF(OR(P123="",P123=0,V123=""),"",V123/P123)</x:f>
      </x:c>
    </x:row>
    <x:row r="124" ht="21" customHeight="1">
      <x:c r="A124" s="54"/>
      <x:c r="B124" s="56"/>
      <x:c r="C124" s="56"/>
      <x:c r="D124" s="54"/>
      <x:c r="E124" s="58"/>
      <x:c r="F124" s="58"/>
      <x:c r="G124" s="58"/>
      <x:c r="H124" s="58"/>
      <x:c r="I124" s="58"/>
      <x:c r="J124" s="60" t="str">
        <x:f>IF(A124="","",IF(K124="Subscription","",IF(E124=0,"",IF(ISNUMBER(G124),G124/E124,IF(ISNUMBER(I124),-ABS(I124)/E124,IF(ISNUMBER(H124),0,IF(AND(ISNUMBER(F124),ISNUMBER(E124),E124&gt;0,F124&gt;E124),(F124-E124)/E124,IF(AND(ISNUMBER(F124),ISNUMBER(E124),E124&gt;0,F124=E124),0,IF(AND(ISNUMBER(F124),ISNUMBER(E124),E124&gt;0,F124=0),-1,"")))))))))</x:f>
      </x:c>
      <x:c r="K124" s="50" t="str">
        <x:f>IF(A124="","",IF(AND(ISNUMBER(E124),E124=0,OR(ISNUMBER(SEARCH("Free",D124&amp;"")),AND(ISNUMBER(F124),F124=0))),"Subscription",IF(ISNUMBER(G124),"Profit",IF(ISNUMBER(I124),"Disqualified",IF(ISNUMBER(H124),"Draw",IF(AND(ISNUMBER(F124),ISNUMBER(E124),E124&gt;0,F124&gt;E124),"Profit",IF(AND(ISNUMBER(F124),ISNUMBER(E124),E124&gt;0,F124=E124),"Draw",IF(AND(ISNUMBER(F124),ISNUMBER(E124),E124&gt;0,F124=0),"Disqualified",""))))))))</x:f>
      </x:c>
      <x:c r="L124" s="50"/>
      <x:c r="M124" s="58"/>
      <x:c r="N124" s="58"/>
      <x:c r="O124" s="62"/>
      <x:c r="P124" s="62"/>
      <x:c r="Q124" s="64" t="str">
        <x:f>IF(OR(B124="",C124="",C124&lt;B124),"",ROUNDUP((C124-B124)/7,0))</x:f>
      </x:c>
      <x:c r="R124" s="50"/>
      <x:c r="S124" s="50"/>
      <x:c r="T124" s="54"/>
      <x:c r="U124" s="66" t="str">
        <x:f>IF(A124="","",IF(K124="Subscription","",IF(ISNUMBER(G124),G124,0)-IF(ISNUMBER(I124),I124,0)))</x:f>
      </x:c>
      <x:c r="V124" s="64" t="str">
        <x:f>IF(OR(P124="",O124="",NOT(ISNUMBER(P124)),NOT(ISNUMBER(O124)),O124&gt;P124),"",P124-O124)</x:f>
      </x:c>
      <x:c r="W124" s="67" t="str">
        <x:f>IF(OR(P124="",P124=0,V124=""),"",V124/P124)</x:f>
      </x:c>
    </x:row>
    <x:row r="125" ht="21" customHeight="1">
      <x:c r="A125" s="54"/>
      <x:c r="B125" s="56"/>
      <x:c r="C125" s="56"/>
      <x:c r="D125" s="54"/>
      <x:c r="E125" s="58"/>
      <x:c r="F125" s="58"/>
      <x:c r="G125" s="58"/>
      <x:c r="H125" s="58"/>
      <x:c r="I125" s="58"/>
      <x:c r="J125" s="60" t="str">
        <x:f>IF(A125="","",IF(K125="Subscription","",IF(E125=0,"",IF(ISNUMBER(G125),G125/E125,IF(ISNUMBER(I125),-ABS(I125)/E125,IF(ISNUMBER(H125),0,IF(AND(ISNUMBER(F125),ISNUMBER(E125),E125&gt;0,F125&gt;E125),(F125-E125)/E125,IF(AND(ISNUMBER(F125),ISNUMBER(E125),E125&gt;0,F125=E125),0,IF(AND(ISNUMBER(F125),ISNUMBER(E125),E125&gt;0,F125=0),-1,"")))))))))</x:f>
      </x:c>
      <x:c r="K125" s="50" t="str">
        <x:f>IF(A125="","",IF(AND(ISNUMBER(E125),E125=0,OR(ISNUMBER(SEARCH("Free",D125&amp;"")),AND(ISNUMBER(F125),F125=0))),"Subscription",IF(ISNUMBER(G125),"Profit",IF(ISNUMBER(I125),"Disqualified",IF(ISNUMBER(H125),"Draw",IF(AND(ISNUMBER(F125),ISNUMBER(E125),E125&gt;0,F125&gt;E125),"Profit",IF(AND(ISNUMBER(F125),ISNUMBER(E125),E125&gt;0,F125=E125),"Draw",IF(AND(ISNUMBER(F125),ISNUMBER(E125),E125&gt;0,F125=0),"Disqualified",""))))))))</x:f>
      </x:c>
      <x:c r="L125" s="50"/>
      <x:c r="M125" s="58"/>
      <x:c r="N125" s="58"/>
      <x:c r="O125" s="62"/>
      <x:c r="P125" s="62"/>
      <x:c r="Q125" s="64" t="str">
        <x:f>IF(OR(B125="",C125="",C125&lt;B125),"",ROUNDUP((C125-B125)/7,0))</x:f>
      </x:c>
      <x:c r="R125" s="50"/>
      <x:c r="S125" s="50"/>
      <x:c r="T125" s="54"/>
      <x:c r="U125" s="66" t="str">
        <x:f>IF(A125="","",IF(K125="Subscription","",IF(ISNUMBER(G125),G125,0)-IF(ISNUMBER(I125),I125,0)))</x:f>
      </x:c>
      <x:c r="V125" s="64" t="str">
        <x:f>IF(OR(P125="",O125="",NOT(ISNUMBER(P125)),NOT(ISNUMBER(O125)),O125&gt;P125),"",P125-O125)</x:f>
      </x:c>
      <x:c r="W125" s="67" t="str">
        <x:f>IF(OR(P125="",P125=0,V125=""),"",V125/P125)</x:f>
      </x:c>
    </x:row>
    <x:row r="126" ht="21" customHeight="1">
      <x:c r="A126" s="54"/>
      <x:c r="B126" s="56"/>
      <x:c r="C126" s="56"/>
      <x:c r="D126" s="54"/>
      <x:c r="E126" s="58"/>
      <x:c r="F126" s="58"/>
      <x:c r="G126" s="58"/>
      <x:c r="H126" s="58"/>
      <x:c r="I126" s="58"/>
      <x:c r="J126" s="60" t="str">
        <x:f>IF(A126="","",IF(K126="Subscription","",IF(E126=0,"",IF(ISNUMBER(G126),G126/E126,IF(ISNUMBER(I126),-ABS(I126)/E126,IF(ISNUMBER(H126),0,IF(AND(ISNUMBER(F126),ISNUMBER(E126),E126&gt;0,F126&gt;E126),(F126-E126)/E126,IF(AND(ISNUMBER(F126),ISNUMBER(E126),E126&gt;0,F126=E126),0,IF(AND(ISNUMBER(F126),ISNUMBER(E126),E126&gt;0,F126=0),-1,"")))))))))</x:f>
      </x:c>
      <x:c r="K126" s="50" t="str">
        <x:f>IF(A126="","",IF(AND(ISNUMBER(E126),E126=0,OR(ISNUMBER(SEARCH("Free",D126&amp;"")),AND(ISNUMBER(F126),F126=0))),"Subscription",IF(ISNUMBER(G126),"Profit",IF(ISNUMBER(I126),"Disqualified",IF(ISNUMBER(H126),"Draw",IF(AND(ISNUMBER(F126),ISNUMBER(E126),E126&gt;0,F126&gt;E126),"Profit",IF(AND(ISNUMBER(F126),ISNUMBER(E126),E126&gt;0,F126=E126),"Draw",IF(AND(ISNUMBER(F126),ISNUMBER(E126),E126&gt;0,F126=0),"Disqualified",""))))))))</x:f>
      </x:c>
      <x:c r="L126" s="50"/>
      <x:c r="M126" s="58"/>
      <x:c r="N126" s="58"/>
      <x:c r="O126" s="62"/>
      <x:c r="P126" s="62"/>
      <x:c r="Q126" s="64" t="str">
        <x:f>IF(OR(B126="",C126="",C126&lt;B126),"",ROUNDUP((C126-B126)/7,0))</x:f>
      </x:c>
      <x:c r="R126" s="50"/>
      <x:c r="S126" s="50"/>
      <x:c r="T126" s="54"/>
      <x:c r="U126" s="66" t="str">
        <x:f>IF(A126="","",IF(K126="Subscription","",IF(ISNUMBER(G126),G126,0)-IF(ISNUMBER(I126),I126,0)))</x:f>
      </x:c>
      <x:c r="V126" s="64" t="str">
        <x:f>IF(OR(P126="",O126="",NOT(ISNUMBER(P126)),NOT(ISNUMBER(O126)),O126&gt;P126),"",P126-O126)</x:f>
      </x:c>
      <x:c r="W126" s="67" t="str">
        <x:f>IF(OR(P126="",P126=0,V126=""),"",V126/P126)</x:f>
      </x:c>
    </x:row>
    <x:row r="127" ht="21" customHeight="1">
      <x:c r="A127" s="54"/>
      <x:c r="B127" s="56"/>
      <x:c r="C127" s="56"/>
      <x:c r="D127" s="54"/>
      <x:c r="E127" s="58"/>
      <x:c r="F127" s="58"/>
      <x:c r="G127" s="58"/>
      <x:c r="H127" s="58"/>
      <x:c r="I127" s="58"/>
      <x:c r="J127" s="60" t="str">
        <x:f>IF(A127="","",IF(K127="Subscription","",IF(E127=0,"",IF(ISNUMBER(G127),G127/E127,IF(ISNUMBER(I127),-ABS(I127)/E127,IF(ISNUMBER(H127),0,IF(AND(ISNUMBER(F127),ISNUMBER(E127),E127&gt;0,F127&gt;E127),(F127-E127)/E127,IF(AND(ISNUMBER(F127),ISNUMBER(E127),E127&gt;0,F127=E127),0,IF(AND(ISNUMBER(F127),ISNUMBER(E127),E127&gt;0,F127=0),-1,"")))))))))</x:f>
      </x:c>
      <x:c r="K127" s="50" t="str">
        <x:f>IF(A127="","",IF(AND(ISNUMBER(E127),E127=0,OR(ISNUMBER(SEARCH("Free",D127&amp;"")),AND(ISNUMBER(F127),F127=0))),"Subscription",IF(ISNUMBER(G127),"Profit",IF(ISNUMBER(I127),"Disqualified",IF(ISNUMBER(H127),"Draw",IF(AND(ISNUMBER(F127),ISNUMBER(E127),E127&gt;0,F127&gt;E127),"Profit",IF(AND(ISNUMBER(F127),ISNUMBER(E127),E127&gt;0,F127=E127),"Draw",IF(AND(ISNUMBER(F127),ISNUMBER(E127),E127&gt;0,F127=0),"Disqualified",""))))))))</x:f>
      </x:c>
      <x:c r="L127" s="50"/>
      <x:c r="M127" s="58"/>
      <x:c r="N127" s="58"/>
      <x:c r="O127" s="62"/>
      <x:c r="P127" s="62"/>
      <x:c r="Q127" s="64" t="str">
        <x:f>IF(OR(B127="",C127="",C127&lt;B127),"",ROUNDUP((C127-B127)/7,0))</x:f>
      </x:c>
      <x:c r="R127" s="50"/>
      <x:c r="S127" s="50"/>
      <x:c r="T127" s="54"/>
      <x:c r="U127" s="66" t="str">
        <x:f>IF(A127="","",IF(K127="Subscription","",IF(ISNUMBER(G127),G127,0)-IF(ISNUMBER(I127),I127,0)))</x:f>
      </x:c>
      <x:c r="V127" s="64" t="str">
        <x:f>IF(OR(P127="",O127="",NOT(ISNUMBER(P127)),NOT(ISNUMBER(O127)),O127&gt;P127),"",P127-O127)</x:f>
      </x:c>
      <x:c r="W127" s="67" t="str">
        <x:f>IF(OR(P127="",P127=0,V127=""),"",V127/P127)</x:f>
      </x:c>
    </x:row>
    <x:row r="128" ht="21" customHeight="1">
      <x:c r="A128" s="54"/>
      <x:c r="B128" s="56"/>
      <x:c r="C128" s="56"/>
      <x:c r="D128" s="54"/>
      <x:c r="E128" s="58"/>
      <x:c r="F128" s="58"/>
      <x:c r="G128" s="58"/>
      <x:c r="H128" s="58"/>
      <x:c r="I128" s="58"/>
      <x:c r="J128" s="60" t="str">
        <x:f>IF(A128="","",IF(K128="Subscription","",IF(E128=0,"",IF(ISNUMBER(G128),G128/E128,IF(ISNUMBER(I128),-ABS(I128)/E128,IF(ISNUMBER(H128),0,IF(AND(ISNUMBER(F128),ISNUMBER(E128),E128&gt;0,F128&gt;E128),(F128-E128)/E128,IF(AND(ISNUMBER(F128),ISNUMBER(E128),E128&gt;0,F128=E128),0,IF(AND(ISNUMBER(F128),ISNUMBER(E128),E128&gt;0,F128=0),-1,"")))))))))</x:f>
      </x:c>
      <x:c r="K128" s="50" t="str">
        <x:f>IF(A128="","",IF(AND(ISNUMBER(E128),E128=0,OR(ISNUMBER(SEARCH("Free",D128&amp;"")),AND(ISNUMBER(F128),F128=0))),"Subscription",IF(ISNUMBER(G128),"Profit",IF(ISNUMBER(I128),"Disqualified",IF(ISNUMBER(H128),"Draw",IF(AND(ISNUMBER(F128),ISNUMBER(E128),E128&gt;0,F128&gt;E128),"Profit",IF(AND(ISNUMBER(F128),ISNUMBER(E128),E128&gt;0,F128=E128),"Draw",IF(AND(ISNUMBER(F128),ISNUMBER(E128),E128&gt;0,F128=0),"Disqualified",""))))))))</x:f>
      </x:c>
      <x:c r="L128" s="50"/>
      <x:c r="M128" s="58"/>
      <x:c r="N128" s="58"/>
      <x:c r="O128" s="62"/>
      <x:c r="P128" s="62"/>
      <x:c r="Q128" s="64" t="str">
        <x:f>IF(OR(B128="",C128="",C128&lt;B128),"",ROUNDUP((C128-B128)/7,0))</x:f>
      </x:c>
      <x:c r="R128" s="50"/>
      <x:c r="S128" s="50"/>
      <x:c r="T128" s="54"/>
      <x:c r="U128" s="66" t="str">
        <x:f>IF(A128="","",IF(K128="Subscription","",IF(ISNUMBER(G128),G128,0)-IF(ISNUMBER(I128),I128,0)))</x:f>
      </x:c>
      <x:c r="V128" s="64" t="str">
        <x:f>IF(OR(P128="",O128="",NOT(ISNUMBER(P128)),NOT(ISNUMBER(O128)),O128&gt;P128),"",P128-O128)</x:f>
      </x:c>
      <x:c r="W128" s="67" t="str">
        <x:f>IF(OR(P128="",P128=0,V128=""),"",V128/P128)</x:f>
      </x:c>
    </x:row>
    <x:row r="129" ht="21" customHeight="1">
      <x:c r="A129" s="54"/>
      <x:c r="B129" s="56"/>
      <x:c r="C129" s="56"/>
      <x:c r="D129" s="54"/>
      <x:c r="E129" s="58"/>
      <x:c r="F129" s="58"/>
      <x:c r="G129" s="58"/>
      <x:c r="H129" s="58"/>
      <x:c r="I129" s="58"/>
      <x:c r="J129" s="60" t="str">
        <x:f>IF(A129="","",IF(K129="Subscription","",IF(E129=0,"",IF(ISNUMBER(G129),G129/E129,IF(ISNUMBER(I129),-ABS(I129)/E129,IF(ISNUMBER(H129),0,IF(AND(ISNUMBER(F129),ISNUMBER(E129),E129&gt;0,F129&gt;E129),(F129-E129)/E129,IF(AND(ISNUMBER(F129),ISNUMBER(E129),E129&gt;0,F129=E129),0,IF(AND(ISNUMBER(F129),ISNUMBER(E129),E129&gt;0,F129=0),-1,"")))))))))</x:f>
      </x:c>
      <x:c r="K129" s="50" t="str">
        <x:f>IF(A129="","",IF(AND(ISNUMBER(E129),E129=0,OR(ISNUMBER(SEARCH("Free",D129&amp;"")),AND(ISNUMBER(F129),F129=0))),"Subscription",IF(ISNUMBER(G129),"Profit",IF(ISNUMBER(I129),"Disqualified",IF(ISNUMBER(H129),"Draw",IF(AND(ISNUMBER(F129),ISNUMBER(E129),E129&gt;0,F129&gt;E129),"Profit",IF(AND(ISNUMBER(F129),ISNUMBER(E129),E129&gt;0,F129=E129),"Draw",IF(AND(ISNUMBER(F129),ISNUMBER(E129),E129&gt;0,F129=0),"Disqualified",""))))))))</x:f>
      </x:c>
      <x:c r="L129" s="50"/>
      <x:c r="M129" s="58"/>
      <x:c r="N129" s="58"/>
      <x:c r="O129" s="62"/>
      <x:c r="P129" s="62"/>
      <x:c r="Q129" s="64" t="str">
        <x:f>IF(OR(B129="",C129="",C129&lt;B129),"",ROUNDUP((C129-B129)/7,0))</x:f>
      </x:c>
      <x:c r="R129" s="50"/>
      <x:c r="S129" s="50"/>
      <x:c r="T129" s="54"/>
      <x:c r="U129" s="66" t="str">
        <x:f>IF(A129="","",IF(K129="Subscription","",IF(ISNUMBER(G129),G129,0)-IF(ISNUMBER(I129),I129,0)))</x:f>
      </x:c>
      <x:c r="V129" s="64" t="str">
        <x:f>IF(OR(P129="",O129="",NOT(ISNUMBER(P129)),NOT(ISNUMBER(O129)),O129&gt;P129),"",P129-O129)</x:f>
      </x:c>
      <x:c r="W129" s="67" t="str">
        <x:f>IF(OR(P129="",P129=0,V129=""),"",V129/P129)</x:f>
      </x:c>
    </x:row>
    <x:row r="130" ht="21" customHeight="1">
      <x:c r="A130" s="54"/>
      <x:c r="B130" s="56"/>
      <x:c r="C130" s="56"/>
      <x:c r="D130" s="54"/>
      <x:c r="E130" s="58"/>
      <x:c r="F130" s="58"/>
      <x:c r="G130" s="58"/>
      <x:c r="H130" s="58"/>
      <x:c r="I130" s="58"/>
      <x:c r="J130" s="60" t="str">
        <x:f>IF(A130="","",IF(K130="Subscription","",IF(E130=0,"",IF(ISNUMBER(G130),G130/E130,IF(ISNUMBER(I130),-ABS(I130)/E130,IF(ISNUMBER(H130),0,IF(AND(ISNUMBER(F130),ISNUMBER(E130),E130&gt;0,F130&gt;E130),(F130-E130)/E130,IF(AND(ISNUMBER(F130),ISNUMBER(E130),E130&gt;0,F130=E130),0,IF(AND(ISNUMBER(F130),ISNUMBER(E130),E130&gt;0,F130=0),-1,"")))))))))</x:f>
      </x:c>
      <x:c r="K130" s="50" t="str">
        <x:f>IF(A130="","",IF(AND(ISNUMBER(E130),E130=0,OR(ISNUMBER(SEARCH("Free",D130&amp;"")),AND(ISNUMBER(F130),F130=0))),"Subscription",IF(ISNUMBER(G130),"Profit",IF(ISNUMBER(I130),"Disqualified",IF(ISNUMBER(H130),"Draw",IF(AND(ISNUMBER(F130),ISNUMBER(E130),E130&gt;0,F130&gt;E130),"Profit",IF(AND(ISNUMBER(F130),ISNUMBER(E130),E130&gt;0,F130=E130),"Draw",IF(AND(ISNUMBER(F130),ISNUMBER(E130),E130&gt;0,F130=0),"Disqualified",""))))))))</x:f>
      </x:c>
      <x:c r="L130" s="50"/>
      <x:c r="M130" s="58"/>
      <x:c r="N130" s="58"/>
      <x:c r="O130" s="62"/>
      <x:c r="P130" s="62"/>
      <x:c r="Q130" s="64" t="str">
        <x:f>IF(OR(B130="",C130="",C130&lt;B130),"",ROUNDUP((C130-B130)/7,0))</x:f>
      </x:c>
      <x:c r="R130" s="50"/>
      <x:c r="S130" s="50"/>
      <x:c r="T130" s="54"/>
      <x:c r="U130" s="66" t="str">
        <x:f>IF(A130="","",IF(K130="Subscription","",IF(ISNUMBER(G130),G130,0)-IF(ISNUMBER(I130),I130,0)))</x:f>
      </x:c>
      <x:c r="V130" s="64" t="str">
        <x:f>IF(OR(P130="",O130="",NOT(ISNUMBER(P130)),NOT(ISNUMBER(O130)),O130&gt;P130),"",P130-O130)</x:f>
      </x:c>
      <x:c r="W130" s="67" t="str">
        <x:f>IF(OR(P130="",P130=0,V130=""),"",V130/P130)</x:f>
      </x:c>
    </x:row>
    <x:row r="131" ht="21" customHeight="1">
      <x:c r="A131" s="54"/>
      <x:c r="B131" s="56"/>
      <x:c r="C131" s="56"/>
      <x:c r="D131" s="54"/>
      <x:c r="E131" s="58"/>
      <x:c r="F131" s="58"/>
      <x:c r="G131" s="58"/>
      <x:c r="H131" s="58"/>
      <x:c r="I131" s="58"/>
      <x:c r="J131" s="60" t="str">
        <x:f>IF(A131="","",IF(K131="Subscription","",IF(E131=0,"",IF(ISNUMBER(G131),G131/E131,IF(ISNUMBER(I131),-ABS(I131)/E131,IF(ISNUMBER(H131),0,IF(AND(ISNUMBER(F131),ISNUMBER(E131),E131&gt;0,F131&gt;E131),(F131-E131)/E131,IF(AND(ISNUMBER(F131),ISNUMBER(E131),E131&gt;0,F131=E131),0,IF(AND(ISNUMBER(F131),ISNUMBER(E131),E131&gt;0,F131=0),-1,"")))))))))</x:f>
      </x:c>
      <x:c r="K131" s="50" t="str">
        <x:f>IF(A131="","",IF(AND(ISNUMBER(E131),E131=0,OR(ISNUMBER(SEARCH("Free",D131&amp;"")),AND(ISNUMBER(F131),F131=0))),"Subscription",IF(ISNUMBER(G131),"Profit",IF(ISNUMBER(I131),"Disqualified",IF(ISNUMBER(H131),"Draw",IF(AND(ISNUMBER(F131),ISNUMBER(E131),E131&gt;0,F131&gt;E131),"Profit",IF(AND(ISNUMBER(F131),ISNUMBER(E131),E131&gt;0,F131=E131),"Draw",IF(AND(ISNUMBER(F131),ISNUMBER(E131),E131&gt;0,F131=0),"Disqualified",""))))))))</x:f>
      </x:c>
      <x:c r="L131" s="50"/>
      <x:c r="M131" s="58"/>
      <x:c r="N131" s="58"/>
      <x:c r="O131" s="62"/>
      <x:c r="P131" s="62"/>
      <x:c r="Q131" s="64" t="str">
        <x:f>IF(OR(B131="",C131="",C131&lt;B131),"",ROUNDUP((C131-B131)/7,0))</x:f>
      </x:c>
      <x:c r="R131" s="50"/>
      <x:c r="S131" s="50"/>
      <x:c r="T131" s="54"/>
      <x:c r="U131" s="66" t="str">
        <x:f>IF(A131="","",IF(K131="Subscription","",IF(ISNUMBER(G131),G131,0)-IF(ISNUMBER(I131),I131,0)))</x:f>
      </x:c>
      <x:c r="V131" s="64" t="str">
        <x:f>IF(OR(P131="",O131="",NOT(ISNUMBER(P131)),NOT(ISNUMBER(O131)),O131&gt;P131),"",P131-O131)</x:f>
      </x:c>
      <x:c r="W131" s="67" t="str">
        <x:f>IF(OR(P131="",P131=0,V131=""),"",V131/P131)</x:f>
      </x:c>
    </x:row>
    <x:row r="132" ht="21" customHeight="1">
      <x:c r="A132" s="54"/>
      <x:c r="B132" s="56"/>
      <x:c r="C132" s="56"/>
      <x:c r="D132" s="54"/>
      <x:c r="E132" s="58"/>
      <x:c r="F132" s="58"/>
      <x:c r="G132" s="58"/>
      <x:c r="H132" s="58"/>
      <x:c r="I132" s="58"/>
      <x:c r="J132" s="60" t="str">
        <x:f>IF(A132="","",IF(K132="Subscription","",IF(E132=0,"",IF(ISNUMBER(G132),G132/E132,IF(ISNUMBER(I132),-ABS(I132)/E132,IF(ISNUMBER(H132),0,IF(AND(ISNUMBER(F132),ISNUMBER(E132),E132&gt;0,F132&gt;E132),(F132-E132)/E132,IF(AND(ISNUMBER(F132),ISNUMBER(E132),E132&gt;0,F132=E132),0,IF(AND(ISNUMBER(F132),ISNUMBER(E132),E132&gt;0,F132=0),-1,"")))))))))</x:f>
      </x:c>
      <x:c r="K132" s="50" t="str">
        <x:f>IF(A132="","",IF(AND(ISNUMBER(E132),E132=0,OR(ISNUMBER(SEARCH("Free",D132&amp;"")),AND(ISNUMBER(F132),F132=0))),"Subscription",IF(ISNUMBER(G132),"Profit",IF(ISNUMBER(I132),"Disqualified",IF(ISNUMBER(H132),"Draw",IF(AND(ISNUMBER(F132),ISNUMBER(E132),E132&gt;0,F132&gt;E132),"Profit",IF(AND(ISNUMBER(F132),ISNUMBER(E132),E132&gt;0,F132=E132),"Draw",IF(AND(ISNUMBER(F132),ISNUMBER(E132),E132&gt;0,F132=0),"Disqualified",""))))))))</x:f>
      </x:c>
      <x:c r="L132" s="50"/>
      <x:c r="M132" s="58"/>
      <x:c r="N132" s="58"/>
      <x:c r="O132" s="62"/>
      <x:c r="P132" s="62"/>
      <x:c r="Q132" s="64" t="str">
        <x:f>IF(OR(B132="",C132="",C132&lt;B132),"",ROUNDUP((C132-B132)/7,0))</x:f>
      </x:c>
      <x:c r="R132" s="50"/>
      <x:c r="S132" s="50"/>
      <x:c r="T132" s="54"/>
      <x:c r="U132" s="66" t="str">
        <x:f>IF(A132="","",IF(K132="Subscription","",IF(ISNUMBER(G132),G132,0)-IF(ISNUMBER(I132),I132,0)))</x:f>
      </x:c>
      <x:c r="V132" s="64" t="str">
        <x:f>IF(OR(P132="",O132="",NOT(ISNUMBER(P132)),NOT(ISNUMBER(O132)),O132&gt;P132),"",P132-O132)</x:f>
      </x:c>
      <x:c r="W132" s="67" t="str">
        <x:f>IF(OR(P132="",P132=0,V132=""),"",V132/P132)</x:f>
      </x:c>
    </x:row>
    <x:row r="133" ht="21" customHeight="1">
      <x:c r="A133" s="54"/>
      <x:c r="B133" s="56"/>
      <x:c r="C133" s="56"/>
      <x:c r="D133" s="54"/>
      <x:c r="E133" s="58"/>
      <x:c r="F133" s="58"/>
      <x:c r="G133" s="58"/>
      <x:c r="H133" s="58"/>
      <x:c r="I133" s="58"/>
      <x:c r="J133" s="60" t="str">
        <x:f>IF(A133="","",IF(K133="Subscription","",IF(E133=0,"",IF(ISNUMBER(G133),G133/E133,IF(ISNUMBER(I133),-ABS(I133)/E133,IF(ISNUMBER(H133),0,IF(AND(ISNUMBER(F133),ISNUMBER(E133),E133&gt;0,F133&gt;E133),(F133-E133)/E133,IF(AND(ISNUMBER(F133),ISNUMBER(E133),E133&gt;0,F133=E133),0,IF(AND(ISNUMBER(F133),ISNUMBER(E133),E133&gt;0,F133=0),-1,"")))))))))</x:f>
      </x:c>
      <x:c r="K133" s="50" t="str">
        <x:f>IF(A133="","",IF(AND(ISNUMBER(E133),E133=0,OR(ISNUMBER(SEARCH("Free",D133&amp;"")),AND(ISNUMBER(F133),F133=0))),"Subscription",IF(ISNUMBER(G133),"Profit",IF(ISNUMBER(I133),"Disqualified",IF(ISNUMBER(H133),"Draw",IF(AND(ISNUMBER(F133),ISNUMBER(E133),E133&gt;0,F133&gt;E133),"Profit",IF(AND(ISNUMBER(F133),ISNUMBER(E133),E133&gt;0,F133=E133),"Draw",IF(AND(ISNUMBER(F133),ISNUMBER(E133),E133&gt;0,F133=0),"Disqualified",""))))))))</x:f>
      </x:c>
      <x:c r="L133" s="50"/>
      <x:c r="M133" s="58"/>
      <x:c r="N133" s="58"/>
      <x:c r="O133" s="62"/>
      <x:c r="P133" s="62"/>
      <x:c r="Q133" s="64" t="str">
        <x:f>IF(OR(B133="",C133="",C133&lt;B133),"",ROUNDUP((C133-B133)/7,0))</x:f>
      </x:c>
      <x:c r="R133" s="50"/>
      <x:c r="S133" s="50"/>
      <x:c r="T133" s="54"/>
      <x:c r="U133" s="66" t="str">
        <x:f>IF(A133="","",IF(K133="Subscription","",IF(ISNUMBER(G133),G133,0)-IF(ISNUMBER(I133),I133,0)))</x:f>
      </x:c>
      <x:c r="V133" s="64" t="str">
        <x:f>IF(OR(P133="",O133="",NOT(ISNUMBER(P133)),NOT(ISNUMBER(O133)),O133&gt;P133),"",P133-O133)</x:f>
      </x:c>
      <x:c r="W133" s="67" t="str">
        <x:f>IF(OR(P133="",P133=0,V133=""),"",V133/P133)</x:f>
      </x:c>
    </x:row>
    <x:row r="134" ht="21" customHeight="1">
      <x:c r="A134" s="54"/>
      <x:c r="B134" s="56"/>
      <x:c r="C134" s="56"/>
      <x:c r="D134" s="54"/>
      <x:c r="E134" s="58"/>
      <x:c r="F134" s="58"/>
      <x:c r="G134" s="58"/>
      <x:c r="H134" s="58"/>
      <x:c r="I134" s="58"/>
      <x:c r="J134" s="60" t="str">
        <x:f>IF(A134="","",IF(K134="Subscription","",IF(E134=0,"",IF(ISNUMBER(G134),G134/E134,IF(ISNUMBER(I134),-ABS(I134)/E134,IF(ISNUMBER(H134),0,IF(AND(ISNUMBER(F134),ISNUMBER(E134),E134&gt;0,F134&gt;E134),(F134-E134)/E134,IF(AND(ISNUMBER(F134),ISNUMBER(E134),E134&gt;0,F134=E134),0,IF(AND(ISNUMBER(F134),ISNUMBER(E134),E134&gt;0,F134=0),-1,"")))))))))</x:f>
      </x:c>
      <x:c r="K134" s="50" t="str">
        <x:f>IF(A134="","",IF(AND(ISNUMBER(E134),E134=0,OR(ISNUMBER(SEARCH("Free",D134&amp;"")),AND(ISNUMBER(F134),F134=0))),"Subscription",IF(ISNUMBER(G134),"Profit",IF(ISNUMBER(I134),"Disqualified",IF(ISNUMBER(H134),"Draw",IF(AND(ISNUMBER(F134),ISNUMBER(E134),E134&gt;0,F134&gt;E134),"Profit",IF(AND(ISNUMBER(F134),ISNUMBER(E134),E134&gt;0,F134=E134),"Draw",IF(AND(ISNUMBER(F134),ISNUMBER(E134),E134&gt;0,F134=0),"Disqualified",""))))))))</x:f>
      </x:c>
      <x:c r="L134" s="50"/>
      <x:c r="M134" s="58"/>
      <x:c r="N134" s="58"/>
      <x:c r="O134" s="62"/>
      <x:c r="P134" s="62"/>
      <x:c r="Q134" s="64" t="str">
        <x:f>IF(OR(B134="",C134="",C134&lt;B134),"",ROUNDUP((C134-B134)/7,0))</x:f>
      </x:c>
      <x:c r="R134" s="50"/>
      <x:c r="S134" s="50"/>
      <x:c r="T134" s="54"/>
      <x:c r="U134" s="66" t="str">
        <x:f>IF(A134="","",IF(K134="Subscription","",IF(ISNUMBER(G134),G134,0)-IF(ISNUMBER(I134),I134,0)))</x:f>
      </x:c>
      <x:c r="V134" s="64" t="str">
        <x:f>IF(OR(P134="",O134="",NOT(ISNUMBER(P134)),NOT(ISNUMBER(O134)),O134&gt;P134),"",P134-O134)</x:f>
      </x:c>
      <x:c r="W134" s="67" t="str">
        <x:f>IF(OR(P134="",P134=0,V134=""),"",V134/P134)</x:f>
      </x:c>
    </x:row>
    <x:row r="135" ht="21" customHeight="1">
      <x:c r="A135" s="54"/>
      <x:c r="B135" s="56"/>
      <x:c r="C135" s="56"/>
      <x:c r="D135" s="54"/>
      <x:c r="E135" s="58"/>
      <x:c r="F135" s="58"/>
      <x:c r="G135" s="58"/>
      <x:c r="H135" s="58"/>
      <x:c r="I135" s="58"/>
      <x:c r="J135" s="60" t="str">
        <x:f>IF(A135="","",IF(K135="Subscription","",IF(E135=0,"",IF(ISNUMBER(G135),G135/E135,IF(ISNUMBER(I135),-ABS(I135)/E135,IF(ISNUMBER(H135),0,IF(AND(ISNUMBER(F135),ISNUMBER(E135),E135&gt;0,F135&gt;E135),(F135-E135)/E135,IF(AND(ISNUMBER(F135),ISNUMBER(E135),E135&gt;0,F135=E135),0,IF(AND(ISNUMBER(F135),ISNUMBER(E135),E135&gt;0,F135=0),-1,"")))))))))</x:f>
      </x:c>
      <x:c r="K135" s="50" t="str">
        <x:f>IF(A135="","",IF(AND(ISNUMBER(E135),E135=0,OR(ISNUMBER(SEARCH("Free",D135&amp;"")),AND(ISNUMBER(F135),F135=0))),"Subscription",IF(ISNUMBER(G135),"Profit",IF(ISNUMBER(I135),"Disqualified",IF(ISNUMBER(H135),"Draw",IF(AND(ISNUMBER(F135),ISNUMBER(E135),E135&gt;0,F135&gt;E135),"Profit",IF(AND(ISNUMBER(F135),ISNUMBER(E135),E135&gt;0,F135=E135),"Draw",IF(AND(ISNUMBER(F135),ISNUMBER(E135),E135&gt;0,F135=0),"Disqualified",""))))))))</x:f>
      </x:c>
      <x:c r="L135" s="50"/>
      <x:c r="M135" s="58"/>
      <x:c r="N135" s="58"/>
      <x:c r="O135" s="62"/>
      <x:c r="P135" s="62"/>
      <x:c r="Q135" s="64" t="str">
        <x:f>IF(OR(B135="",C135="",C135&lt;B135),"",ROUNDUP((C135-B135)/7,0))</x:f>
      </x:c>
      <x:c r="R135" s="50"/>
      <x:c r="S135" s="50"/>
      <x:c r="T135" s="54"/>
      <x:c r="U135" s="66" t="str">
        <x:f>IF(A135="","",IF(K135="Subscription","",IF(ISNUMBER(G135),G135,0)-IF(ISNUMBER(I135),I135,0)))</x:f>
      </x:c>
      <x:c r="V135" s="64" t="str">
        <x:f>IF(OR(P135="",O135="",NOT(ISNUMBER(P135)),NOT(ISNUMBER(O135)),O135&gt;P135),"",P135-O135)</x:f>
      </x:c>
      <x:c r="W135" s="67" t="str">
        <x:f>IF(OR(P135="",P135=0,V135=""),"",V135/P135)</x:f>
      </x:c>
    </x:row>
    <x:row r="136" ht="21" customHeight="1">
      <x:c r="A136" s="54"/>
      <x:c r="B136" s="56"/>
      <x:c r="C136" s="56"/>
      <x:c r="D136" s="54"/>
      <x:c r="E136" s="58"/>
      <x:c r="F136" s="58"/>
      <x:c r="G136" s="58"/>
      <x:c r="H136" s="58"/>
      <x:c r="I136" s="58"/>
      <x:c r="J136" s="60" t="str">
        <x:f>IF(A136="","",IF(K136="Subscription","",IF(E136=0,"",IF(ISNUMBER(G136),G136/E136,IF(ISNUMBER(I136),-ABS(I136)/E136,IF(ISNUMBER(H136),0,IF(AND(ISNUMBER(F136),ISNUMBER(E136),E136&gt;0,F136&gt;E136),(F136-E136)/E136,IF(AND(ISNUMBER(F136),ISNUMBER(E136),E136&gt;0,F136=E136),0,IF(AND(ISNUMBER(F136),ISNUMBER(E136),E136&gt;0,F136=0),-1,"")))))))))</x:f>
      </x:c>
      <x:c r="K136" s="50" t="str">
        <x:f>IF(A136="","",IF(AND(ISNUMBER(E136),E136=0,OR(ISNUMBER(SEARCH("Free",D136&amp;"")),AND(ISNUMBER(F136),F136=0))),"Subscription",IF(ISNUMBER(G136),"Profit",IF(ISNUMBER(I136),"Disqualified",IF(ISNUMBER(H136),"Draw",IF(AND(ISNUMBER(F136),ISNUMBER(E136),E136&gt;0,F136&gt;E136),"Profit",IF(AND(ISNUMBER(F136),ISNUMBER(E136),E136&gt;0,F136=E136),"Draw",IF(AND(ISNUMBER(F136),ISNUMBER(E136),E136&gt;0,F136=0),"Disqualified",""))))))))</x:f>
      </x:c>
      <x:c r="L136" s="50"/>
      <x:c r="M136" s="58"/>
      <x:c r="N136" s="58"/>
      <x:c r="O136" s="62"/>
      <x:c r="P136" s="62"/>
      <x:c r="Q136" s="64" t="str">
        <x:f>IF(OR(B136="",C136="",C136&lt;B136),"",ROUNDUP((C136-B136)/7,0))</x:f>
      </x:c>
      <x:c r="R136" s="50"/>
      <x:c r="S136" s="50"/>
      <x:c r="T136" s="54"/>
      <x:c r="U136" s="66" t="str">
        <x:f>IF(A136="","",IF(K136="Subscription","",IF(ISNUMBER(G136),G136,0)-IF(ISNUMBER(I136),I136,0)))</x:f>
      </x:c>
      <x:c r="V136" s="64" t="str">
        <x:f>IF(OR(P136="",O136="",NOT(ISNUMBER(P136)),NOT(ISNUMBER(O136)),O136&gt;P136),"",P136-O136)</x:f>
      </x:c>
      <x:c r="W136" s="67" t="str">
        <x:f>IF(OR(P136="",P136=0,V136=""),"",V136/P136)</x:f>
      </x:c>
    </x:row>
    <x:row r="137" ht="21" customHeight="1">
      <x:c r="A137" s="54"/>
      <x:c r="B137" s="56"/>
      <x:c r="C137" s="56"/>
      <x:c r="D137" s="54"/>
      <x:c r="E137" s="58"/>
      <x:c r="F137" s="58"/>
      <x:c r="G137" s="58"/>
      <x:c r="H137" s="58"/>
      <x:c r="I137" s="58"/>
      <x:c r="J137" s="60" t="str">
        <x:f>IF(A137="","",IF(K137="Subscription","",IF(E137=0,"",IF(ISNUMBER(G137),G137/E137,IF(ISNUMBER(I137),-ABS(I137)/E137,IF(ISNUMBER(H137),0,IF(AND(ISNUMBER(F137),ISNUMBER(E137),E137&gt;0,F137&gt;E137),(F137-E137)/E137,IF(AND(ISNUMBER(F137),ISNUMBER(E137),E137&gt;0,F137=E137),0,IF(AND(ISNUMBER(F137),ISNUMBER(E137),E137&gt;0,F137=0),-1,"")))))))))</x:f>
      </x:c>
      <x:c r="K137" s="50" t="str">
        <x:f>IF(A137="","",IF(AND(ISNUMBER(E137),E137=0,OR(ISNUMBER(SEARCH("Free",D137&amp;"")),AND(ISNUMBER(F137),F137=0))),"Subscription",IF(ISNUMBER(G137),"Profit",IF(ISNUMBER(I137),"Disqualified",IF(ISNUMBER(H137),"Draw",IF(AND(ISNUMBER(F137),ISNUMBER(E137),E137&gt;0,F137&gt;E137),"Profit",IF(AND(ISNUMBER(F137),ISNUMBER(E137),E137&gt;0,F137=E137),"Draw",IF(AND(ISNUMBER(F137),ISNUMBER(E137),E137&gt;0,F137=0),"Disqualified",""))))))))</x:f>
      </x:c>
      <x:c r="L137" s="50"/>
      <x:c r="M137" s="58"/>
      <x:c r="N137" s="58"/>
      <x:c r="O137" s="62"/>
      <x:c r="P137" s="62"/>
      <x:c r="Q137" s="64" t="str">
        <x:f>IF(OR(B137="",C137="",C137&lt;B137),"",ROUNDUP((C137-B137)/7,0))</x:f>
      </x:c>
      <x:c r="R137" s="50"/>
      <x:c r="S137" s="50"/>
      <x:c r="T137" s="54"/>
      <x:c r="U137" s="66" t="str">
        <x:f>IF(A137="","",IF(K137="Subscription","",IF(ISNUMBER(G137),G137,0)-IF(ISNUMBER(I137),I137,0)))</x:f>
      </x:c>
      <x:c r="V137" s="64" t="str">
        <x:f>IF(OR(P137="",O137="",NOT(ISNUMBER(P137)),NOT(ISNUMBER(O137)),O137&gt;P137),"",P137-O137)</x:f>
      </x:c>
      <x:c r="W137" s="67" t="str">
        <x:f>IF(OR(P137="",P137=0,V137=""),"",V137/P137)</x:f>
      </x:c>
    </x:row>
    <x:row r="138" ht="21" customHeight="1">
      <x:c r="A138" s="54"/>
      <x:c r="B138" s="56"/>
      <x:c r="C138" s="56"/>
      <x:c r="D138" s="54"/>
      <x:c r="E138" s="58"/>
      <x:c r="F138" s="58"/>
      <x:c r="G138" s="58"/>
      <x:c r="H138" s="58"/>
      <x:c r="I138" s="58"/>
      <x:c r="J138" s="60" t="str">
        <x:f>IF(A138="","",IF(K138="Subscription","",IF(E138=0,"",IF(ISNUMBER(G138),G138/E138,IF(ISNUMBER(I138),-ABS(I138)/E138,IF(ISNUMBER(H138),0,IF(AND(ISNUMBER(F138),ISNUMBER(E138),E138&gt;0,F138&gt;E138),(F138-E138)/E138,IF(AND(ISNUMBER(F138),ISNUMBER(E138),E138&gt;0,F138=E138),0,IF(AND(ISNUMBER(F138),ISNUMBER(E138),E138&gt;0,F138=0),-1,"")))))))))</x:f>
      </x:c>
      <x:c r="K138" s="50" t="str">
        <x:f>IF(A138="","",IF(AND(ISNUMBER(E138),E138=0,OR(ISNUMBER(SEARCH("Free",D138&amp;"")),AND(ISNUMBER(F138),F138=0))),"Subscription",IF(ISNUMBER(G138),"Profit",IF(ISNUMBER(I138),"Disqualified",IF(ISNUMBER(H138),"Draw",IF(AND(ISNUMBER(F138),ISNUMBER(E138),E138&gt;0,F138&gt;E138),"Profit",IF(AND(ISNUMBER(F138),ISNUMBER(E138),E138&gt;0,F138=E138),"Draw",IF(AND(ISNUMBER(F138),ISNUMBER(E138),E138&gt;0,F138=0),"Disqualified",""))))))))</x:f>
      </x:c>
      <x:c r="L138" s="50"/>
      <x:c r="M138" s="58"/>
      <x:c r="N138" s="58"/>
      <x:c r="O138" s="62"/>
      <x:c r="P138" s="62"/>
      <x:c r="Q138" s="64" t="str">
        <x:f>IF(OR(B138="",C138="",C138&lt;B138),"",ROUNDUP((C138-B138)/7,0))</x:f>
      </x:c>
      <x:c r="R138" s="50"/>
      <x:c r="S138" s="50"/>
      <x:c r="T138" s="54"/>
      <x:c r="U138" s="66" t="str">
        <x:f>IF(A138="","",IF(K138="Subscription","",IF(ISNUMBER(G138),G138,0)-IF(ISNUMBER(I138),I138,0)))</x:f>
      </x:c>
      <x:c r="V138" s="64" t="str">
        <x:f>IF(OR(P138="",O138="",NOT(ISNUMBER(P138)),NOT(ISNUMBER(O138)),O138&gt;P138),"",P138-O138)</x:f>
      </x:c>
      <x:c r="W138" s="67" t="str">
        <x:f>IF(OR(P138="",P138=0,V138=""),"",V138/P138)</x:f>
      </x:c>
    </x:row>
    <x:row r="139" ht="21" customHeight="1">
      <x:c r="A139" s="54"/>
      <x:c r="B139" s="56"/>
      <x:c r="C139" s="56"/>
      <x:c r="D139" s="54"/>
      <x:c r="E139" s="58"/>
      <x:c r="F139" s="58"/>
      <x:c r="G139" s="58"/>
      <x:c r="H139" s="58"/>
      <x:c r="I139" s="58"/>
      <x:c r="J139" s="60" t="str">
        <x:f>IF(A139="","",IF(K139="Subscription","",IF(E139=0,"",IF(ISNUMBER(G139),G139/E139,IF(ISNUMBER(I139),-ABS(I139)/E139,IF(ISNUMBER(H139),0,IF(AND(ISNUMBER(F139),ISNUMBER(E139),E139&gt;0,F139&gt;E139),(F139-E139)/E139,IF(AND(ISNUMBER(F139),ISNUMBER(E139),E139&gt;0,F139=E139),0,IF(AND(ISNUMBER(F139),ISNUMBER(E139),E139&gt;0,F139=0),-1,"")))))))))</x:f>
      </x:c>
      <x:c r="K139" s="50" t="str">
        <x:f>IF(A139="","",IF(AND(ISNUMBER(E139),E139=0,OR(ISNUMBER(SEARCH("Free",D139&amp;"")),AND(ISNUMBER(F139),F139=0))),"Subscription",IF(ISNUMBER(G139),"Profit",IF(ISNUMBER(I139),"Disqualified",IF(ISNUMBER(H139),"Draw",IF(AND(ISNUMBER(F139),ISNUMBER(E139),E139&gt;0,F139&gt;E139),"Profit",IF(AND(ISNUMBER(F139),ISNUMBER(E139),E139&gt;0,F139=E139),"Draw",IF(AND(ISNUMBER(F139),ISNUMBER(E139),E139&gt;0,F139=0),"Disqualified",""))))))))</x:f>
      </x:c>
      <x:c r="L139" s="50"/>
      <x:c r="M139" s="58"/>
      <x:c r="N139" s="58"/>
      <x:c r="O139" s="62"/>
      <x:c r="P139" s="62"/>
      <x:c r="Q139" s="64" t="str">
        <x:f>IF(OR(B139="",C139="",C139&lt;B139),"",ROUNDUP((C139-B139)/7,0))</x:f>
      </x:c>
      <x:c r="R139" s="50"/>
      <x:c r="S139" s="50"/>
      <x:c r="T139" s="54"/>
      <x:c r="U139" s="66" t="str">
        <x:f>IF(A139="","",IF(K139="Subscription","",IF(ISNUMBER(G139),G139,0)-IF(ISNUMBER(I139),I139,0)))</x:f>
      </x:c>
      <x:c r="V139" s="64" t="str">
        <x:f>IF(OR(P139="",O139="",NOT(ISNUMBER(P139)),NOT(ISNUMBER(O139)),O139&gt;P139),"",P139-O139)</x:f>
      </x:c>
      <x:c r="W139" s="67" t="str">
        <x:f>IF(OR(P139="",P139=0,V139=""),"",V139/P139)</x:f>
      </x:c>
    </x:row>
    <x:row r="140" ht="21" customHeight="1">
      <x:c r="A140" s="54"/>
      <x:c r="B140" s="56"/>
      <x:c r="C140" s="56"/>
      <x:c r="D140" s="54"/>
      <x:c r="E140" s="58"/>
      <x:c r="F140" s="58"/>
      <x:c r="G140" s="58"/>
      <x:c r="H140" s="58"/>
      <x:c r="I140" s="58"/>
      <x:c r="J140" s="60" t="str">
        <x:f>IF(A140="","",IF(K140="Subscription","",IF(E140=0,"",IF(ISNUMBER(G140),G140/E140,IF(ISNUMBER(I140),-ABS(I140)/E140,IF(ISNUMBER(H140),0,IF(AND(ISNUMBER(F140),ISNUMBER(E140),E140&gt;0,F140&gt;E140),(F140-E140)/E140,IF(AND(ISNUMBER(F140),ISNUMBER(E140),E140&gt;0,F140=E140),0,IF(AND(ISNUMBER(F140),ISNUMBER(E140),E140&gt;0,F140=0),-1,"")))))))))</x:f>
      </x:c>
      <x:c r="K140" s="50" t="str">
        <x:f>IF(A140="","",IF(AND(ISNUMBER(E140),E140=0,OR(ISNUMBER(SEARCH("Free",D140&amp;"")),AND(ISNUMBER(F140),F140=0))),"Subscription",IF(ISNUMBER(G140),"Profit",IF(ISNUMBER(I140),"Disqualified",IF(ISNUMBER(H140),"Draw",IF(AND(ISNUMBER(F140),ISNUMBER(E140),E140&gt;0,F140&gt;E140),"Profit",IF(AND(ISNUMBER(F140),ISNUMBER(E140),E140&gt;0,F140=E140),"Draw",IF(AND(ISNUMBER(F140),ISNUMBER(E140),E140&gt;0,F140=0),"Disqualified",""))))))))</x:f>
      </x:c>
      <x:c r="L140" s="50"/>
      <x:c r="M140" s="58"/>
      <x:c r="N140" s="58"/>
      <x:c r="O140" s="62"/>
      <x:c r="P140" s="62"/>
      <x:c r="Q140" s="64" t="str">
        <x:f>IF(OR(B140="",C140="",C140&lt;B140),"",ROUNDUP((C140-B140)/7,0))</x:f>
      </x:c>
      <x:c r="R140" s="50"/>
      <x:c r="S140" s="50"/>
      <x:c r="T140" s="54"/>
      <x:c r="U140" s="66" t="str">
        <x:f>IF(A140="","",IF(K140="Subscription","",IF(ISNUMBER(G140),G140,0)-IF(ISNUMBER(I140),I140,0)))</x:f>
      </x:c>
      <x:c r="V140" s="64" t="str">
        <x:f>IF(OR(P140="",O140="",NOT(ISNUMBER(P140)),NOT(ISNUMBER(O140)),O140&gt;P140),"",P140-O140)</x:f>
      </x:c>
      <x:c r="W140" s="67" t="str">
        <x:f>IF(OR(P140="",P140=0,V140=""),"",V140/P140)</x:f>
      </x:c>
    </x:row>
    <x:row r="141" ht="21" customHeight="1">
      <x:c r="A141" s="54"/>
      <x:c r="B141" s="56"/>
      <x:c r="C141" s="56"/>
      <x:c r="D141" s="54"/>
      <x:c r="E141" s="58"/>
      <x:c r="F141" s="58"/>
      <x:c r="G141" s="58"/>
      <x:c r="H141" s="58"/>
      <x:c r="I141" s="58"/>
      <x:c r="J141" s="60" t="str">
        <x:f>IF(A141="","",IF(K141="Subscription","",IF(E141=0,"",IF(ISNUMBER(G141),G141/E141,IF(ISNUMBER(I141),-ABS(I141)/E141,IF(ISNUMBER(H141),0,IF(AND(ISNUMBER(F141),ISNUMBER(E141),E141&gt;0,F141&gt;E141),(F141-E141)/E141,IF(AND(ISNUMBER(F141),ISNUMBER(E141),E141&gt;0,F141=E141),0,IF(AND(ISNUMBER(F141),ISNUMBER(E141),E141&gt;0,F141=0),-1,"")))))))))</x:f>
      </x:c>
      <x:c r="K141" s="50" t="str">
        <x:f>IF(A141="","",IF(AND(ISNUMBER(E141),E141=0,OR(ISNUMBER(SEARCH("Free",D141&amp;"")),AND(ISNUMBER(F141),F141=0))),"Subscription",IF(ISNUMBER(G141),"Profit",IF(ISNUMBER(I141),"Disqualified",IF(ISNUMBER(H141),"Draw",IF(AND(ISNUMBER(F141),ISNUMBER(E141),E141&gt;0,F141&gt;E141),"Profit",IF(AND(ISNUMBER(F141),ISNUMBER(E141),E141&gt;0,F141=E141),"Draw",IF(AND(ISNUMBER(F141),ISNUMBER(E141),E141&gt;0,F141=0),"Disqualified",""))))))))</x:f>
      </x:c>
      <x:c r="L141" s="50"/>
      <x:c r="M141" s="58"/>
      <x:c r="N141" s="58"/>
      <x:c r="O141" s="62"/>
      <x:c r="P141" s="62"/>
      <x:c r="Q141" s="64" t="str">
        <x:f>IF(OR(B141="",C141="",C141&lt;B141),"",ROUNDUP((C141-B141)/7,0))</x:f>
      </x:c>
      <x:c r="R141" s="50"/>
      <x:c r="S141" s="50"/>
      <x:c r="T141" s="54"/>
      <x:c r="U141" s="66" t="str">
        <x:f>IF(A141="","",IF(K141="Subscription","",IF(ISNUMBER(G141),G141,0)-IF(ISNUMBER(I141),I141,0)))</x:f>
      </x:c>
      <x:c r="V141" s="64" t="str">
        <x:f>IF(OR(P141="",O141="",NOT(ISNUMBER(P141)),NOT(ISNUMBER(O141)),O141&gt;P141),"",P141-O141)</x:f>
      </x:c>
      <x:c r="W141" s="67" t="str">
        <x:f>IF(OR(P141="",P141=0,V141=""),"",V141/P141)</x:f>
      </x:c>
    </x:row>
    <x:row r="142" ht="21" customHeight="1">
      <x:c r="A142" s="54"/>
      <x:c r="B142" s="56"/>
      <x:c r="C142" s="56"/>
      <x:c r="D142" s="54"/>
      <x:c r="E142" s="58"/>
      <x:c r="F142" s="58"/>
      <x:c r="G142" s="58"/>
      <x:c r="H142" s="58"/>
      <x:c r="I142" s="58"/>
      <x:c r="J142" s="60" t="str">
        <x:f>IF(A142="","",IF(K142="Subscription","",IF(E142=0,"",IF(ISNUMBER(G142),G142/E142,IF(ISNUMBER(I142),-ABS(I142)/E142,IF(ISNUMBER(H142),0,IF(AND(ISNUMBER(F142),ISNUMBER(E142),E142&gt;0,F142&gt;E142),(F142-E142)/E142,IF(AND(ISNUMBER(F142),ISNUMBER(E142),E142&gt;0,F142=E142),0,IF(AND(ISNUMBER(F142),ISNUMBER(E142),E142&gt;0,F142=0),-1,"")))))))))</x:f>
      </x:c>
      <x:c r="K142" s="50" t="str">
        <x:f>IF(A142="","",IF(AND(ISNUMBER(E142),E142=0,OR(ISNUMBER(SEARCH("Free",D142&amp;"")),AND(ISNUMBER(F142),F142=0))),"Subscription",IF(ISNUMBER(G142),"Profit",IF(ISNUMBER(I142),"Disqualified",IF(ISNUMBER(H142),"Draw",IF(AND(ISNUMBER(F142),ISNUMBER(E142),E142&gt;0,F142&gt;E142),"Profit",IF(AND(ISNUMBER(F142),ISNUMBER(E142),E142&gt;0,F142=E142),"Draw",IF(AND(ISNUMBER(F142),ISNUMBER(E142),E142&gt;0,F142=0),"Disqualified",""))))))))</x:f>
      </x:c>
      <x:c r="L142" s="50"/>
      <x:c r="M142" s="58"/>
      <x:c r="N142" s="58"/>
      <x:c r="O142" s="62"/>
      <x:c r="P142" s="62"/>
      <x:c r="Q142" s="64" t="str">
        <x:f>IF(OR(B142="",C142="",C142&lt;B142),"",ROUNDUP((C142-B142)/7,0))</x:f>
      </x:c>
      <x:c r="R142" s="50"/>
      <x:c r="S142" s="50"/>
      <x:c r="T142" s="54"/>
      <x:c r="U142" s="66" t="str">
        <x:f>IF(A142="","",IF(K142="Subscription","",IF(ISNUMBER(G142),G142,0)-IF(ISNUMBER(I142),I142,0)))</x:f>
      </x:c>
      <x:c r="V142" s="64" t="str">
        <x:f>IF(OR(P142="",O142="",NOT(ISNUMBER(P142)),NOT(ISNUMBER(O142)),O142&gt;P142),"",P142-O142)</x:f>
      </x:c>
      <x:c r="W142" s="67" t="str">
        <x:f>IF(OR(P142="",P142=0,V142=""),"",V142/P142)</x:f>
      </x:c>
    </x:row>
    <x:row r="143" ht="21" customHeight="1">
      <x:c r="A143" s="54"/>
      <x:c r="B143" s="56"/>
      <x:c r="C143" s="56"/>
      <x:c r="D143" s="54"/>
      <x:c r="E143" s="58"/>
      <x:c r="F143" s="58"/>
      <x:c r="G143" s="58"/>
      <x:c r="H143" s="58"/>
      <x:c r="I143" s="58"/>
      <x:c r="J143" s="60" t="str">
        <x:f>IF(A143="","",IF(K143="Subscription","",IF(E143=0,"",IF(ISNUMBER(G143),G143/E143,IF(ISNUMBER(I143),-ABS(I143)/E143,IF(ISNUMBER(H143),0,IF(AND(ISNUMBER(F143),ISNUMBER(E143),E143&gt;0,F143&gt;E143),(F143-E143)/E143,IF(AND(ISNUMBER(F143),ISNUMBER(E143),E143&gt;0,F143=E143),0,IF(AND(ISNUMBER(F143),ISNUMBER(E143),E143&gt;0,F143=0),-1,"")))))))))</x:f>
      </x:c>
      <x:c r="K143" s="50" t="str">
        <x:f>IF(A143="","",IF(AND(ISNUMBER(E143),E143=0,OR(ISNUMBER(SEARCH("Free",D143&amp;"")),AND(ISNUMBER(F143),F143=0))),"Subscription",IF(ISNUMBER(G143),"Profit",IF(ISNUMBER(I143),"Disqualified",IF(ISNUMBER(H143),"Draw",IF(AND(ISNUMBER(F143),ISNUMBER(E143),E143&gt;0,F143&gt;E143),"Profit",IF(AND(ISNUMBER(F143),ISNUMBER(E143),E143&gt;0,F143=E143),"Draw",IF(AND(ISNUMBER(F143),ISNUMBER(E143),E143&gt;0,F143=0),"Disqualified",""))))))))</x:f>
      </x:c>
      <x:c r="L143" s="50"/>
      <x:c r="M143" s="58"/>
      <x:c r="N143" s="58"/>
      <x:c r="O143" s="62"/>
      <x:c r="P143" s="62"/>
      <x:c r="Q143" s="64" t="str">
        <x:f>IF(OR(B143="",C143="",C143&lt;B143),"",ROUNDUP((C143-B143)/7,0))</x:f>
      </x:c>
      <x:c r="R143" s="50"/>
      <x:c r="S143" s="50"/>
      <x:c r="T143" s="54"/>
      <x:c r="U143" s="66" t="str">
        <x:f>IF(A143="","",IF(K143="Subscription","",IF(ISNUMBER(G143),G143,0)-IF(ISNUMBER(I143),I143,0)))</x:f>
      </x:c>
      <x:c r="V143" s="64" t="str">
        <x:f>IF(OR(P143="",O143="",NOT(ISNUMBER(P143)),NOT(ISNUMBER(O143)),O143&gt;P143),"",P143-O143)</x:f>
      </x:c>
      <x:c r="W143" s="67" t="str">
        <x:f>IF(OR(P143="",P143=0,V143=""),"",V143/P143)</x:f>
      </x:c>
    </x:row>
    <x:row r="144" ht="21" customHeight="1">
      <x:c r="A144" s="54"/>
      <x:c r="B144" s="56"/>
      <x:c r="C144" s="56"/>
      <x:c r="D144" s="54"/>
      <x:c r="E144" s="58"/>
      <x:c r="F144" s="58"/>
      <x:c r="G144" s="58"/>
      <x:c r="H144" s="58"/>
      <x:c r="I144" s="58"/>
      <x:c r="J144" s="60" t="str">
        <x:f>IF(A144="","",IF(K144="Subscription","",IF(E144=0,"",IF(ISNUMBER(G144),G144/E144,IF(ISNUMBER(I144),-ABS(I144)/E144,IF(ISNUMBER(H144),0,IF(AND(ISNUMBER(F144),ISNUMBER(E144),E144&gt;0,F144&gt;E144),(F144-E144)/E144,IF(AND(ISNUMBER(F144),ISNUMBER(E144),E144&gt;0,F144=E144),0,IF(AND(ISNUMBER(F144),ISNUMBER(E144),E144&gt;0,F144=0),-1,"")))))))))</x:f>
      </x:c>
      <x:c r="K144" s="50" t="str">
        <x:f>IF(A144="","",IF(AND(ISNUMBER(E144),E144=0,OR(ISNUMBER(SEARCH("Free",D144&amp;"")),AND(ISNUMBER(F144),F144=0))),"Subscription",IF(ISNUMBER(G144),"Profit",IF(ISNUMBER(I144),"Disqualified",IF(ISNUMBER(H144),"Draw",IF(AND(ISNUMBER(F144),ISNUMBER(E144),E144&gt;0,F144&gt;E144),"Profit",IF(AND(ISNUMBER(F144),ISNUMBER(E144),E144&gt;0,F144=E144),"Draw",IF(AND(ISNUMBER(F144),ISNUMBER(E144),E144&gt;0,F144=0),"Disqualified",""))))))))</x:f>
      </x:c>
      <x:c r="L144" s="50"/>
      <x:c r="M144" s="58"/>
      <x:c r="N144" s="58"/>
      <x:c r="O144" s="62"/>
      <x:c r="P144" s="62"/>
      <x:c r="Q144" s="64" t="str">
        <x:f>IF(OR(B144="",C144="",C144&lt;B144),"",ROUNDUP((C144-B144)/7,0))</x:f>
      </x:c>
      <x:c r="R144" s="50"/>
      <x:c r="S144" s="50"/>
      <x:c r="T144" s="54"/>
      <x:c r="U144" s="66" t="str">
        <x:f>IF(A144="","",IF(K144="Subscription","",IF(ISNUMBER(G144),G144,0)-IF(ISNUMBER(I144),I144,0)))</x:f>
      </x:c>
      <x:c r="V144" s="64" t="str">
        <x:f>IF(OR(P144="",O144="",NOT(ISNUMBER(P144)),NOT(ISNUMBER(O144)),O144&gt;P144),"",P144-O144)</x:f>
      </x:c>
      <x:c r="W144" s="67" t="str">
        <x:f>IF(OR(P144="",P144=0,V144=""),"",V144/P144)</x:f>
      </x:c>
    </x:row>
    <x:row r="145" ht="21" customHeight="1">
      <x:c r="A145" s="54"/>
      <x:c r="B145" s="56"/>
      <x:c r="C145" s="56"/>
      <x:c r="D145" s="54"/>
      <x:c r="E145" s="58"/>
      <x:c r="F145" s="58"/>
      <x:c r="G145" s="58"/>
      <x:c r="H145" s="58"/>
      <x:c r="I145" s="58"/>
      <x:c r="J145" s="60" t="str">
        <x:f>IF(A145="","",IF(K145="Subscription","",IF(E145=0,"",IF(ISNUMBER(G145),G145/E145,IF(ISNUMBER(I145),-ABS(I145)/E145,IF(ISNUMBER(H145),0,IF(AND(ISNUMBER(F145),ISNUMBER(E145),E145&gt;0,F145&gt;E145),(F145-E145)/E145,IF(AND(ISNUMBER(F145),ISNUMBER(E145),E145&gt;0,F145=E145),0,IF(AND(ISNUMBER(F145),ISNUMBER(E145),E145&gt;0,F145=0),-1,"")))))))))</x:f>
      </x:c>
      <x:c r="K145" s="50" t="str">
        <x:f>IF(A145="","",IF(AND(ISNUMBER(E145),E145=0,OR(ISNUMBER(SEARCH("Free",D145&amp;"")),AND(ISNUMBER(F145),F145=0))),"Subscription",IF(ISNUMBER(G145),"Profit",IF(ISNUMBER(I145),"Disqualified",IF(ISNUMBER(H145),"Draw",IF(AND(ISNUMBER(F145),ISNUMBER(E145),E145&gt;0,F145&gt;E145),"Profit",IF(AND(ISNUMBER(F145),ISNUMBER(E145),E145&gt;0,F145=E145),"Draw",IF(AND(ISNUMBER(F145),ISNUMBER(E145),E145&gt;0,F145=0),"Disqualified",""))))))))</x:f>
      </x:c>
      <x:c r="L145" s="50"/>
      <x:c r="M145" s="58"/>
      <x:c r="N145" s="58"/>
      <x:c r="O145" s="62"/>
      <x:c r="P145" s="62"/>
      <x:c r="Q145" s="64" t="str">
        <x:f>IF(OR(B145="",C145="",C145&lt;B145),"",ROUNDUP((C145-B145)/7,0))</x:f>
      </x:c>
      <x:c r="R145" s="50"/>
      <x:c r="S145" s="50"/>
      <x:c r="T145" s="54"/>
      <x:c r="U145" s="66" t="str">
        <x:f>IF(A145="","",IF(K145="Subscription","",IF(ISNUMBER(G145),G145,0)-IF(ISNUMBER(I145),I145,0)))</x:f>
      </x:c>
      <x:c r="V145" s="64" t="str">
        <x:f>IF(OR(P145="",O145="",NOT(ISNUMBER(P145)),NOT(ISNUMBER(O145)),O145&gt;P145),"",P145-O145)</x:f>
      </x:c>
      <x:c r="W145" s="67" t="str">
        <x:f>IF(OR(P145="",P145=0,V145=""),"",V145/P145)</x:f>
      </x:c>
    </x:row>
    <x:row r="146" ht="21" customHeight="1">
      <x:c r="A146" s="54"/>
      <x:c r="B146" s="56"/>
      <x:c r="C146" s="56"/>
      <x:c r="D146" s="54"/>
      <x:c r="E146" s="58"/>
      <x:c r="F146" s="58"/>
      <x:c r="G146" s="58"/>
      <x:c r="H146" s="58"/>
      <x:c r="I146" s="58"/>
      <x:c r="J146" s="60" t="str">
        <x:f>IF(A146="","",IF(K146="Subscription","",IF(E146=0,"",IF(ISNUMBER(G146),G146/E146,IF(ISNUMBER(I146),-ABS(I146)/E146,IF(ISNUMBER(H146),0,IF(AND(ISNUMBER(F146),ISNUMBER(E146),E146&gt;0,F146&gt;E146),(F146-E146)/E146,IF(AND(ISNUMBER(F146),ISNUMBER(E146),E146&gt;0,F146=E146),0,IF(AND(ISNUMBER(F146),ISNUMBER(E146),E146&gt;0,F146=0),-1,"")))))))))</x:f>
      </x:c>
      <x:c r="K146" s="50" t="str">
        <x:f>IF(A146="","",IF(AND(ISNUMBER(E146),E146=0,OR(ISNUMBER(SEARCH("Free",D146&amp;"")),AND(ISNUMBER(F146),F146=0))),"Subscription",IF(ISNUMBER(G146),"Profit",IF(ISNUMBER(I146),"Disqualified",IF(ISNUMBER(H146),"Draw",IF(AND(ISNUMBER(F146),ISNUMBER(E146),E146&gt;0,F146&gt;E146),"Profit",IF(AND(ISNUMBER(F146),ISNUMBER(E146),E146&gt;0,F146=E146),"Draw",IF(AND(ISNUMBER(F146),ISNUMBER(E146),E146&gt;0,F146=0),"Disqualified",""))))))))</x:f>
      </x:c>
      <x:c r="L146" s="50"/>
      <x:c r="M146" s="58"/>
      <x:c r="N146" s="58"/>
      <x:c r="O146" s="62"/>
      <x:c r="P146" s="62"/>
      <x:c r="Q146" s="64" t="str">
        <x:f>IF(OR(B146="",C146="",C146&lt;B146),"",ROUNDUP((C146-B146)/7,0))</x:f>
      </x:c>
      <x:c r="R146" s="50"/>
      <x:c r="S146" s="50"/>
      <x:c r="T146" s="54"/>
      <x:c r="U146" s="66" t="str">
        <x:f>IF(A146="","",IF(K146="Subscription","",IF(ISNUMBER(G146),G146,0)-IF(ISNUMBER(I146),I146,0)))</x:f>
      </x:c>
      <x:c r="V146" s="64" t="str">
        <x:f>IF(OR(P146="",O146="",NOT(ISNUMBER(P146)),NOT(ISNUMBER(O146)),O146&gt;P146),"",P146-O146)</x:f>
      </x:c>
      <x:c r="W146" s="67" t="str">
        <x:f>IF(OR(P146="",P146=0,V146=""),"",V146/P146)</x:f>
      </x:c>
    </x:row>
    <x:row r="147" ht="21" customHeight="1">
      <x:c r="A147" s="54"/>
      <x:c r="B147" s="56"/>
      <x:c r="C147" s="56"/>
      <x:c r="D147" s="54"/>
      <x:c r="E147" s="58"/>
      <x:c r="F147" s="58"/>
      <x:c r="G147" s="58"/>
      <x:c r="H147" s="58"/>
      <x:c r="I147" s="58"/>
      <x:c r="J147" s="60" t="str">
        <x:f>IF(A147="","",IF(K147="Subscription","",IF(E147=0,"",IF(ISNUMBER(G147),G147/E147,IF(ISNUMBER(I147),-ABS(I147)/E147,IF(ISNUMBER(H147),0,IF(AND(ISNUMBER(F147),ISNUMBER(E147),E147&gt;0,F147&gt;E147),(F147-E147)/E147,IF(AND(ISNUMBER(F147),ISNUMBER(E147),E147&gt;0,F147=E147),0,IF(AND(ISNUMBER(F147),ISNUMBER(E147),E147&gt;0,F147=0),-1,"")))))))))</x:f>
      </x:c>
      <x:c r="K147" s="50" t="str">
        <x:f>IF(A147="","",IF(AND(ISNUMBER(E147),E147=0,OR(ISNUMBER(SEARCH("Free",D147&amp;"")),AND(ISNUMBER(F147),F147=0))),"Subscription",IF(ISNUMBER(G147),"Profit",IF(ISNUMBER(I147),"Disqualified",IF(ISNUMBER(H147),"Draw",IF(AND(ISNUMBER(F147),ISNUMBER(E147),E147&gt;0,F147&gt;E147),"Profit",IF(AND(ISNUMBER(F147),ISNUMBER(E147),E147&gt;0,F147=E147),"Draw",IF(AND(ISNUMBER(F147),ISNUMBER(E147),E147&gt;0,F147=0),"Disqualified",""))))))))</x:f>
      </x:c>
      <x:c r="L147" s="50"/>
      <x:c r="M147" s="58"/>
      <x:c r="N147" s="58"/>
      <x:c r="O147" s="62"/>
      <x:c r="P147" s="62"/>
      <x:c r="Q147" s="64" t="str">
        <x:f>IF(OR(B147="",C147="",C147&lt;B147),"",ROUNDUP((C147-B147)/7,0))</x:f>
      </x:c>
      <x:c r="R147" s="50"/>
      <x:c r="S147" s="50"/>
      <x:c r="T147" s="54"/>
      <x:c r="U147" s="66" t="str">
        <x:f>IF(A147="","",IF(K147="Subscription","",IF(ISNUMBER(G147),G147,0)-IF(ISNUMBER(I147),I147,0)))</x:f>
      </x:c>
      <x:c r="V147" s="64" t="str">
        <x:f>IF(OR(P147="",O147="",NOT(ISNUMBER(P147)),NOT(ISNUMBER(O147)),O147&gt;P147),"",P147-O147)</x:f>
      </x:c>
      <x:c r="W147" s="67" t="str">
        <x:f>IF(OR(P147="",P147=0,V147=""),"",V147/P147)</x:f>
      </x:c>
    </x:row>
    <x:row r="148" ht="21" customHeight="1">
      <x:c r="A148" s="54"/>
      <x:c r="B148" s="56"/>
      <x:c r="C148" s="56"/>
      <x:c r="D148" s="54"/>
      <x:c r="E148" s="58"/>
      <x:c r="F148" s="58"/>
      <x:c r="G148" s="58"/>
      <x:c r="H148" s="58"/>
      <x:c r="I148" s="58"/>
      <x:c r="J148" s="60" t="str">
        <x:f>IF(A148="","",IF(K148="Subscription","",IF(E148=0,"",IF(ISNUMBER(G148),G148/E148,IF(ISNUMBER(I148),-ABS(I148)/E148,IF(ISNUMBER(H148),0,IF(AND(ISNUMBER(F148),ISNUMBER(E148),E148&gt;0,F148&gt;E148),(F148-E148)/E148,IF(AND(ISNUMBER(F148),ISNUMBER(E148),E148&gt;0,F148=E148),0,IF(AND(ISNUMBER(F148),ISNUMBER(E148),E148&gt;0,F148=0),-1,"")))))))))</x:f>
      </x:c>
      <x:c r="K148" s="50" t="str">
        <x:f>IF(A148="","",IF(AND(ISNUMBER(E148),E148=0,OR(ISNUMBER(SEARCH("Free",D148&amp;"")),AND(ISNUMBER(F148),F148=0))),"Subscription",IF(ISNUMBER(G148),"Profit",IF(ISNUMBER(I148),"Disqualified",IF(ISNUMBER(H148),"Draw",IF(AND(ISNUMBER(F148),ISNUMBER(E148),E148&gt;0,F148&gt;E148),"Profit",IF(AND(ISNUMBER(F148),ISNUMBER(E148),E148&gt;0,F148=E148),"Draw",IF(AND(ISNUMBER(F148),ISNUMBER(E148),E148&gt;0,F148=0),"Disqualified",""))))))))</x:f>
      </x:c>
      <x:c r="L148" s="50"/>
      <x:c r="M148" s="58"/>
      <x:c r="N148" s="58"/>
      <x:c r="O148" s="62"/>
      <x:c r="P148" s="62"/>
      <x:c r="Q148" s="64" t="str">
        <x:f>IF(OR(B148="",C148="",C148&lt;B148),"",ROUNDUP((C148-B148)/7,0))</x:f>
      </x:c>
      <x:c r="R148" s="50"/>
      <x:c r="S148" s="50"/>
      <x:c r="T148" s="54"/>
      <x:c r="U148" s="66" t="str">
        <x:f>IF(A148="","",IF(K148="Subscription","",IF(ISNUMBER(G148),G148,0)-IF(ISNUMBER(I148),I148,0)))</x:f>
      </x:c>
      <x:c r="V148" s="64" t="str">
        <x:f>IF(OR(P148="",O148="",NOT(ISNUMBER(P148)),NOT(ISNUMBER(O148)),O148&gt;P148),"",P148-O148)</x:f>
      </x:c>
      <x:c r="W148" s="67" t="str">
        <x:f>IF(OR(P148="",P148=0,V148=""),"",V148/P148)</x:f>
      </x:c>
    </x:row>
    <x:row r="149" ht="21" customHeight="1">
      <x:c r="A149" s="54"/>
      <x:c r="B149" s="56"/>
      <x:c r="C149" s="56"/>
      <x:c r="D149" s="54"/>
      <x:c r="E149" s="58"/>
      <x:c r="F149" s="58"/>
      <x:c r="G149" s="58"/>
      <x:c r="H149" s="58"/>
      <x:c r="I149" s="58"/>
      <x:c r="J149" s="60" t="str">
        <x:f>IF(A149="","",IF(K149="Subscription","",IF(E149=0,"",IF(ISNUMBER(G149),G149/E149,IF(ISNUMBER(I149),-ABS(I149)/E149,IF(ISNUMBER(H149),0,IF(AND(ISNUMBER(F149),ISNUMBER(E149),E149&gt;0,F149&gt;E149),(F149-E149)/E149,IF(AND(ISNUMBER(F149),ISNUMBER(E149),E149&gt;0,F149=E149),0,IF(AND(ISNUMBER(F149),ISNUMBER(E149),E149&gt;0,F149=0),-1,"")))))))))</x:f>
      </x:c>
      <x:c r="K149" s="50" t="str">
        <x:f>IF(A149="","",IF(AND(ISNUMBER(E149),E149=0,OR(ISNUMBER(SEARCH("Free",D149&amp;"")),AND(ISNUMBER(F149),F149=0))),"Subscription",IF(ISNUMBER(G149),"Profit",IF(ISNUMBER(I149),"Disqualified",IF(ISNUMBER(H149),"Draw",IF(AND(ISNUMBER(F149),ISNUMBER(E149),E149&gt;0,F149&gt;E149),"Profit",IF(AND(ISNUMBER(F149),ISNUMBER(E149),E149&gt;0,F149=E149),"Draw",IF(AND(ISNUMBER(F149),ISNUMBER(E149),E149&gt;0,F149=0),"Disqualified",""))))))))</x:f>
      </x:c>
      <x:c r="L149" s="50"/>
      <x:c r="M149" s="58"/>
      <x:c r="N149" s="58"/>
      <x:c r="O149" s="62"/>
      <x:c r="P149" s="62"/>
      <x:c r="Q149" s="64" t="str">
        <x:f>IF(OR(B149="",C149="",C149&lt;B149),"",ROUNDUP((C149-B149)/7,0))</x:f>
      </x:c>
      <x:c r="R149" s="50"/>
      <x:c r="S149" s="50"/>
      <x:c r="T149" s="54"/>
      <x:c r="U149" s="66" t="str">
        <x:f>IF(A149="","",IF(K149="Subscription","",IF(ISNUMBER(G149),G149,0)-IF(ISNUMBER(I149),I149,0)))</x:f>
      </x:c>
      <x:c r="V149" s="64" t="str">
        <x:f>IF(OR(P149="",O149="",NOT(ISNUMBER(P149)),NOT(ISNUMBER(O149)),O149&gt;P149),"",P149-O149)</x:f>
      </x:c>
      <x:c r="W149" s="67" t="str">
        <x:f>IF(OR(P149="",P149=0,V149=""),"",V149/P149)</x:f>
      </x:c>
    </x:row>
    <x:row r="150" ht="21" customHeight="1">
      <x:c r="A150" s="54"/>
      <x:c r="B150" s="56"/>
      <x:c r="C150" s="56"/>
      <x:c r="D150" s="54"/>
      <x:c r="E150" s="58"/>
      <x:c r="F150" s="58"/>
      <x:c r="G150" s="58"/>
      <x:c r="H150" s="58"/>
      <x:c r="I150" s="58"/>
      <x:c r="J150" s="60" t="str">
        <x:f>IF(A150="","",IF(K150="Subscription","",IF(E150=0,"",IF(ISNUMBER(G150),G150/E150,IF(ISNUMBER(I150),-ABS(I150)/E150,IF(ISNUMBER(H150),0,IF(AND(ISNUMBER(F150),ISNUMBER(E150),E150&gt;0,F150&gt;E150),(F150-E150)/E150,IF(AND(ISNUMBER(F150),ISNUMBER(E150),E150&gt;0,F150=E150),0,IF(AND(ISNUMBER(F150),ISNUMBER(E150),E150&gt;0,F150=0),-1,"")))))))))</x:f>
      </x:c>
      <x:c r="K150" s="50" t="str">
        <x:f>IF(A150="","",IF(AND(ISNUMBER(E150),E150=0,OR(ISNUMBER(SEARCH("Free",D150&amp;"")),AND(ISNUMBER(F150),F150=0))),"Subscription",IF(ISNUMBER(G150),"Profit",IF(ISNUMBER(I150),"Disqualified",IF(ISNUMBER(H150),"Draw",IF(AND(ISNUMBER(F150),ISNUMBER(E150),E150&gt;0,F150&gt;E150),"Profit",IF(AND(ISNUMBER(F150),ISNUMBER(E150),E150&gt;0,F150=E150),"Draw",IF(AND(ISNUMBER(F150),ISNUMBER(E150),E150&gt;0,F150=0),"Disqualified",""))))))))</x:f>
      </x:c>
      <x:c r="L150" s="50"/>
      <x:c r="M150" s="58"/>
      <x:c r="N150" s="58"/>
      <x:c r="O150" s="62"/>
      <x:c r="P150" s="62"/>
      <x:c r="Q150" s="64" t="str">
        <x:f>IF(OR(B150="",C150="",C150&lt;B150),"",ROUNDUP((C150-B150)/7,0))</x:f>
      </x:c>
      <x:c r="R150" s="50"/>
      <x:c r="S150" s="50"/>
      <x:c r="T150" s="54"/>
      <x:c r="U150" s="66" t="str">
        <x:f>IF(A150="","",IF(K150="Subscription","",IF(ISNUMBER(G150),G150,0)-IF(ISNUMBER(I150),I150,0)))</x:f>
      </x:c>
      <x:c r="V150" s="64" t="str">
        <x:f>IF(OR(P150="",O150="",NOT(ISNUMBER(P150)),NOT(ISNUMBER(O150)),O150&gt;P150),"",P150-O150)</x:f>
      </x:c>
      <x:c r="W150" s="67" t="str">
        <x:f>IF(OR(P150="",P150=0,V150=""),"",V150/P150)</x:f>
      </x:c>
    </x:row>
    <x:row r="151" ht="21" customHeight="1">
      <x:c r="A151" s="54"/>
      <x:c r="B151" s="56"/>
      <x:c r="C151" s="56"/>
      <x:c r="D151" s="54"/>
      <x:c r="E151" s="58"/>
      <x:c r="F151" s="58"/>
      <x:c r="G151" s="58"/>
      <x:c r="H151" s="58"/>
      <x:c r="I151" s="58"/>
      <x:c r="J151" s="60" t="str">
        <x:f>IF(A151="","",IF(K151="Subscription","",IF(E151=0,"",IF(ISNUMBER(G151),G151/E151,IF(ISNUMBER(I151),-ABS(I151)/E151,IF(ISNUMBER(H151),0,IF(AND(ISNUMBER(F151),ISNUMBER(E151),E151&gt;0,F151&gt;E151),(F151-E151)/E151,IF(AND(ISNUMBER(F151),ISNUMBER(E151),E151&gt;0,F151=E151),0,IF(AND(ISNUMBER(F151),ISNUMBER(E151),E151&gt;0,F151=0),-1,"")))))))))</x:f>
      </x:c>
      <x:c r="K151" s="50" t="str">
        <x:f>IF(A151="","",IF(AND(ISNUMBER(E151),E151=0,OR(ISNUMBER(SEARCH("Free",D151&amp;"")),AND(ISNUMBER(F151),F151=0))),"Subscription",IF(ISNUMBER(G151),"Profit",IF(ISNUMBER(I151),"Disqualified",IF(ISNUMBER(H151),"Draw",IF(AND(ISNUMBER(F151),ISNUMBER(E151),E151&gt;0,F151&gt;E151),"Profit",IF(AND(ISNUMBER(F151),ISNUMBER(E151),E151&gt;0,F151=E151),"Draw",IF(AND(ISNUMBER(F151),ISNUMBER(E151),E151&gt;0,F151=0),"Disqualified",""))))))))</x:f>
      </x:c>
      <x:c r="L151" s="50"/>
      <x:c r="M151" s="58"/>
      <x:c r="N151" s="58"/>
      <x:c r="O151" s="62"/>
      <x:c r="P151" s="62"/>
      <x:c r="Q151" s="64" t="str">
        <x:f>IF(OR(B151="",C151="",C151&lt;B151),"",ROUNDUP((C151-B151)/7,0))</x:f>
      </x:c>
      <x:c r="R151" s="50"/>
      <x:c r="S151" s="50"/>
      <x:c r="T151" s="54"/>
      <x:c r="U151" s="66" t="str">
        <x:f>IF(A151="","",IF(K151="Subscription","",IF(ISNUMBER(G151),G151,0)-IF(ISNUMBER(I151),I151,0)))</x:f>
      </x:c>
      <x:c r="V151" s="64" t="str">
        <x:f>IF(OR(P151="",O151="",NOT(ISNUMBER(P151)),NOT(ISNUMBER(O151)),O151&gt;P151),"",P151-O151)</x:f>
      </x:c>
      <x:c r="W151" s="67" t="str">
        <x:f>IF(OR(P151="",P151=0,V151=""),"",V151/P151)</x:f>
      </x:c>
    </x:row>
    <x:row r="152" ht="21" customHeight="1">
      <x:c r="A152" s="54"/>
      <x:c r="B152" s="56"/>
      <x:c r="C152" s="56"/>
      <x:c r="D152" s="54"/>
      <x:c r="E152" s="58"/>
      <x:c r="F152" s="58"/>
      <x:c r="G152" s="58"/>
      <x:c r="H152" s="58"/>
      <x:c r="I152" s="58"/>
      <x:c r="J152" s="60" t="str">
        <x:f>IF(A152="","",IF(K152="Subscription","",IF(E152=0,"",IF(ISNUMBER(G152),G152/E152,IF(ISNUMBER(I152),-ABS(I152)/E152,IF(ISNUMBER(H152),0,IF(AND(ISNUMBER(F152),ISNUMBER(E152),E152&gt;0,F152&gt;E152),(F152-E152)/E152,IF(AND(ISNUMBER(F152),ISNUMBER(E152),E152&gt;0,F152=E152),0,IF(AND(ISNUMBER(F152),ISNUMBER(E152),E152&gt;0,F152=0),-1,"")))))))))</x:f>
      </x:c>
      <x:c r="K152" s="50" t="str">
        <x:f>IF(A152="","",IF(AND(ISNUMBER(E152),E152=0,OR(ISNUMBER(SEARCH("Free",D152&amp;"")),AND(ISNUMBER(F152),F152=0))),"Subscription",IF(ISNUMBER(G152),"Profit",IF(ISNUMBER(I152),"Disqualified",IF(ISNUMBER(H152),"Draw",IF(AND(ISNUMBER(F152),ISNUMBER(E152),E152&gt;0,F152&gt;E152),"Profit",IF(AND(ISNUMBER(F152),ISNUMBER(E152),E152&gt;0,F152=E152),"Draw",IF(AND(ISNUMBER(F152),ISNUMBER(E152),E152&gt;0,F152=0),"Disqualified",""))))))))</x:f>
      </x:c>
      <x:c r="L152" s="50"/>
      <x:c r="M152" s="58"/>
      <x:c r="N152" s="58"/>
      <x:c r="O152" s="62"/>
      <x:c r="P152" s="62"/>
      <x:c r="Q152" s="64" t="str">
        <x:f>IF(OR(B152="",C152="",C152&lt;B152),"",ROUNDUP((C152-B152)/7,0))</x:f>
      </x:c>
      <x:c r="R152" s="50"/>
      <x:c r="S152" s="50"/>
      <x:c r="T152" s="54"/>
      <x:c r="U152" s="66" t="str">
        <x:f>IF(A152="","",IF(K152="Subscription","",IF(ISNUMBER(G152),G152,0)-IF(ISNUMBER(I152),I152,0)))</x:f>
      </x:c>
      <x:c r="V152" s="64" t="str">
        <x:f>IF(OR(P152="",O152="",NOT(ISNUMBER(P152)),NOT(ISNUMBER(O152)),O152&gt;P152),"",P152-O152)</x:f>
      </x:c>
      <x:c r="W152" s="67" t="str">
        <x:f>IF(OR(P152="",P152=0,V152=""),"",V152/P152)</x:f>
      </x:c>
    </x:row>
    <x:row r="153" ht="21" customHeight="1">
      <x:c r="A153" s="54"/>
      <x:c r="B153" s="56"/>
      <x:c r="C153" s="56"/>
      <x:c r="D153" s="54"/>
      <x:c r="E153" s="58"/>
      <x:c r="F153" s="58"/>
      <x:c r="G153" s="58"/>
      <x:c r="H153" s="58"/>
      <x:c r="I153" s="58"/>
      <x:c r="J153" s="60" t="str">
        <x:f>IF(A153="","",IF(K153="Subscription","",IF(E153=0,"",IF(ISNUMBER(G153),G153/E153,IF(ISNUMBER(I153),-ABS(I153)/E153,IF(ISNUMBER(H153),0,IF(AND(ISNUMBER(F153),ISNUMBER(E153),E153&gt;0,F153&gt;E153),(F153-E153)/E153,IF(AND(ISNUMBER(F153),ISNUMBER(E153),E153&gt;0,F153=E153),0,IF(AND(ISNUMBER(F153),ISNUMBER(E153),E153&gt;0,F153=0),-1,"")))))))))</x:f>
      </x:c>
      <x:c r="K153" s="50" t="str">
        <x:f>IF(A153="","",IF(AND(ISNUMBER(E153),E153=0,OR(ISNUMBER(SEARCH("Free",D153&amp;"")),AND(ISNUMBER(F153),F153=0))),"Subscription",IF(ISNUMBER(G153),"Profit",IF(ISNUMBER(I153),"Disqualified",IF(ISNUMBER(H153),"Draw",IF(AND(ISNUMBER(F153),ISNUMBER(E153),E153&gt;0,F153&gt;E153),"Profit",IF(AND(ISNUMBER(F153),ISNUMBER(E153),E153&gt;0,F153=E153),"Draw",IF(AND(ISNUMBER(F153),ISNUMBER(E153),E153&gt;0,F153=0),"Disqualified",""))))))))</x:f>
      </x:c>
      <x:c r="L153" s="50"/>
      <x:c r="M153" s="58"/>
      <x:c r="N153" s="58"/>
      <x:c r="O153" s="62"/>
      <x:c r="P153" s="62"/>
      <x:c r="Q153" s="64" t="str">
        <x:f>IF(OR(B153="",C153="",C153&lt;B153),"",ROUNDUP((C153-B153)/7,0))</x:f>
      </x:c>
      <x:c r="R153" s="50"/>
      <x:c r="S153" s="50"/>
      <x:c r="T153" s="54"/>
      <x:c r="U153" s="66" t="str">
        <x:f>IF(A153="","",IF(K153="Subscription","",IF(ISNUMBER(G153),G153,0)-IF(ISNUMBER(I153),I153,0)))</x:f>
      </x:c>
      <x:c r="V153" s="64" t="str">
        <x:f>IF(OR(P153="",O153="",NOT(ISNUMBER(P153)),NOT(ISNUMBER(O153)),O153&gt;P153),"",P153-O153)</x:f>
      </x:c>
      <x:c r="W153" s="67" t="str">
        <x:f>IF(OR(P153="",P153=0,V153=""),"",V153/P153)</x:f>
      </x:c>
    </x:row>
    <x:row r="154" ht="21" customHeight="1">
      <x:c r="A154" s="54"/>
      <x:c r="B154" s="56"/>
      <x:c r="C154" s="56"/>
      <x:c r="D154" s="54"/>
      <x:c r="E154" s="58"/>
      <x:c r="F154" s="58"/>
      <x:c r="G154" s="58"/>
      <x:c r="H154" s="58"/>
      <x:c r="I154" s="58"/>
      <x:c r="J154" s="60" t="str">
        <x:f>IF(A154="","",IF(K154="Subscription","",IF(E154=0,"",IF(ISNUMBER(G154),G154/E154,IF(ISNUMBER(I154),-ABS(I154)/E154,IF(ISNUMBER(H154),0,IF(AND(ISNUMBER(F154),ISNUMBER(E154),E154&gt;0,F154&gt;E154),(F154-E154)/E154,IF(AND(ISNUMBER(F154),ISNUMBER(E154),E154&gt;0,F154=E154),0,IF(AND(ISNUMBER(F154),ISNUMBER(E154),E154&gt;0,F154=0),-1,"")))))))))</x:f>
      </x:c>
      <x:c r="K154" s="50" t="str">
        <x:f>IF(A154="","",IF(AND(ISNUMBER(E154),E154=0,OR(ISNUMBER(SEARCH("Free",D154&amp;"")),AND(ISNUMBER(F154),F154=0))),"Subscription",IF(ISNUMBER(G154),"Profit",IF(ISNUMBER(I154),"Disqualified",IF(ISNUMBER(H154),"Draw",IF(AND(ISNUMBER(F154),ISNUMBER(E154),E154&gt;0,F154&gt;E154),"Profit",IF(AND(ISNUMBER(F154),ISNUMBER(E154),E154&gt;0,F154=E154),"Draw",IF(AND(ISNUMBER(F154),ISNUMBER(E154),E154&gt;0,F154=0),"Disqualified",""))))))))</x:f>
      </x:c>
      <x:c r="L154" s="50"/>
      <x:c r="M154" s="58"/>
      <x:c r="N154" s="58"/>
      <x:c r="O154" s="62"/>
      <x:c r="P154" s="62"/>
      <x:c r="Q154" s="64" t="str">
        <x:f>IF(OR(B154="",C154="",C154&lt;B154),"",ROUNDUP((C154-B154)/7,0))</x:f>
      </x:c>
      <x:c r="R154" s="50"/>
      <x:c r="S154" s="50"/>
      <x:c r="T154" s="54"/>
      <x:c r="U154" s="66" t="str">
        <x:f>IF(A154="","",IF(K154="Subscription","",IF(ISNUMBER(G154),G154,0)-IF(ISNUMBER(I154),I154,0)))</x:f>
      </x:c>
      <x:c r="V154" s="64" t="str">
        <x:f>IF(OR(P154="",O154="",NOT(ISNUMBER(P154)),NOT(ISNUMBER(O154)),O154&gt;P154),"",P154-O154)</x:f>
      </x:c>
      <x:c r="W154" s="67" t="str">
        <x:f>IF(OR(P154="",P154=0,V154=""),"",V154/P154)</x:f>
      </x:c>
    </x:row>
    <x:row r="155" ht="21" customHeight="1">
      <x:c r="A155" s="54"/>
      <x:c r="B155" s="56"/>
      <x:c r="C155" s="56"/>
      <x:c r="D155" s="54"/>
      <x:c r="E155" s="58"/>
      <x:c r="F155" s="58"/>
      <x:c r="G155" s="58"/>
      <x:c r="H155" s="58"/>
      <x:c r="I155" s="58"/>
      <x:c r="J155" s="60" t="str">
        <x:f>IF(A155="","",IF(K155="Subscription","",IF(E155=0,"",IF(ISNUMBER(G155),G155/E155,IF(ISNUMBER(I155),-ABS(I155)/E155,IF(ISNUMBER(H155),0,IF(AND(ISNUMBER(F155),ISNUMBER(E155),E155&gt;0,F155&gt;E155),(F155-E155)/E155,IF(AND(ISNUMBER(F155),ISNUMBER(E155),E155&gt;0,F155=E155),0,IF(AND(ISNUMBER(F155),ISNUMBER(E155),E155&gt;0,F155=0),-1,"")))))))))</x:f>
      </x:c>
      <x:c r="K155" s="50" t="str">
        <x:f>IF(A155="","",IF(AND(ISNUMBER(E155),E155=0,OR(ISNUMBER(SEARCH("Free",D155&amp;"")),AND(ISNUMBER(F155),F155=0))),"Subscription",IF(ISNUMBER(G155),"Profit",IF(ISNUMBER(I155),"Disqualified",IF(ISNUMBER(H155),"Draw",IF(AND(ISNUMBER(F155),ISNUMBER(E155),E155&gt;0,F155&gt;E155),"Profit",IF(AND(ISNUMBER(F155),ISNUMBER(E155),E155&gt;0,F155=E155),"Draw",IF(AND(ISNUMBER(F155),ISNUMBER(E155),E155&gt;0,F155=0),"Disqualified",""))))))))</x:f>
      </x:c>
      <x:c r="L155" s="50"/>
      <x:c r="M155" s="58"/>
      <x:c r="N155" s="58"/>
      <x:c r="O155" s="62"/>
      <x:c r="P155" s="62"/>
      <x:c r="Q155" s="64" t="str">
        <x:f>IF(OR(B155="",C155="",C155&lt;B155),"",ROUNDUP((C155-B155)/7,0))</x:f>
      </x:c>
      <x:c r="R155" s="50"/>
      <x:c r="S155" s="50"/>
      <x:c r="T155" s="54"/>
      <x:c r="U155" s="66" t="str">
        <x:f>IF(A155="","",IF(K155="Subscription","",IF(ISNUMBER(G155),G155,0)-IF(ISNUMBER(I155),I155,0)))</x:f>
      </x:c>
      <x:c r="V155" s="64" t="str">
        <x:f>IF(OR(P155="",O155="",NOT(ISNUMBER(P155)),NOT(ISNUMBER(O155)),O155&gt;P155),"",P155-O155)</x:f>
      </x:c>
      <x:c r="W155" s="67" t="str">
        <x:f>IF(OR(P155="",P155=0,V155=""),"",V155/P155)</x:f>
      </x:c>
    </x:row>
    <x:row r="156" ht="21" customHeight="1">
      <x:c r="A156" s="54"/>
      <x:c r="B156" s="56"/>
      <x:c r="C156" s="56"/>
      <x:c r="D156" s="54"/>
      <x:c r="E156" s="58"/>
      <x:c r="F156" s="58"/>
      <x:c r="G156" s="58"/>
      <x:c r="H156" s="58"/>
      <x:c r="I156" s="58"/>
      <x:c r="J156" s="60" t="str">
        <x:f>IF(A156="","",IF(K156="Subscription","",IF(E156=0,"",IF(ISNUMBER(G156),G156/E156,IF(ISNUMBER(I156),-ABS(I156)/E156,IF(ISNUMBER(H156),0,IF(AND(ISNUMBER(F156),ISNUMBER(E156),E156&gt;0,F156&gt;E156),(F156-E156)/E156,IF(AND(ISNUMBER(F156),ISNUMBER(E156),E156&gt;0,F156=E156),0,IF(AND(ISNUMBER(F156),ISNUMBER(E156),E156&gt;0,F156=0),-1,"")))))))))</x:f>
      </x:c>
      <x:c r="K156" s="50" t="str">
        <x:f>IF(A156="","",IF(AND(ISNUMBER(E156),E156=0,OR(ISNUMBER(SEARCH("Free",D156&amp;"")),AND(ISNUMBER(F156),F156=0))),"Subscription",IF(ISNUMBER(G156),"Profit",IF(ISNUMBER(I156),"Disqualified",IF(ISNUMBER(H156),"Draw",IF(AND(ISNUMBER(F156),ISNUMBER(E156),E156&gt;0,F156&gt;E156),"Profit",IF(AND(ISNUMBER(F156),ISNUMBER(E156),E156&gt;0,F156=E156),"Draw",IF(AND(ISNUMBER(F156),ISNUMBER(E156),E156&gt;0,F156=0),"Disqualified",""))))))))</x:f>
      </x:c>
      <x:c r="L156" s="50"/>
      <x:c r="M156" s="58"/>
      <x:c r="N156" s="58"/>
      <x:c r="O156" s="62"/>
      <x:c r="P156" s="62"/>
      <x:c r="Q156" s="64" t="str">
        <x:f>IF(OR(B156="",C156="",C156&lt;B156),"",ROUNDUP((C156-B156)/7,0))</x:f>
      </x:c>
      <x:c r="R156" s="50"/>
      <x:c r="S156" s="50"/>
      <x:c r="T156" s="54"/>
      <x:c r="U156" s="66" t="str">
        <x:f>IF(A156="","",IF(K156="Subscription","",IF(ISNUMBER(G156),G156,0)-IF(ISNUMBER(I156),I156,0)))</x:f>
      </x:c>
      <x:c r="V156" s="64" t="str">
        <x:f>IF(OR(P156="",O156="",NOT(ISNUMBER(P156)),NOT(ISNUMBER(O156)),O156&gt;P156),"",P156-O156)</x:f>
      </x:c>
      <x:c r="W156" s="67" t="str">
        <x:f>IF(OR(P156="",P156=0,V156=""),"",V156/P156)</x:f>
      </x:c>
    </x:row>
    <x:row r="157" ht="21" customHeight="1">
      <x:c r="A157" s="54"/>
      <x:c r="B157" s="56"/>
      <x:c r="C157" s="56"/>
      <x:c r="D157" s="54"/>
      <x:c r="E157" s="58"/>
      <x:c r="F157" s="58"/>
      <x:c r="G157" s="58"/>
      <x:c r="H157" s="58"/>
      <x:c r="I157" s="58"/>
      <x:c r="J157" s="60" t="str">
        <x:f>IF(A157="","",IF(K157="Subscription","",IF(E157=0,"",IF(ISNUMBER(G157),G157/E157,IF(ISNUMBER(I157),-ABS(I157)/E157,IF(ISNUMBER(H157),0,IF(AND(ISNUMBER(F157),ISNUMBER(E157),E157&gt;0,F157&gt;E157),(F157-E157)/E157,IF(AND(ISNUMBER(F157),ISNUMBER(E157),E157&gt;0,F157=E157),0,IF(AND(ISNUMBER(F157),ISNUMBER(E157),E157&gt;0,F157=0),-1,"")))))))))</x:f>
      </x:c>
      <x:c r="K157" s="50" t="str">
        <x:f>IF(A157="","",IF(AND(ISNUMBER(E157),E157=0,OR(ISNUMBER(SEARCH("Free",D157&amp;"")),AND(ISNUMBER(F157),F157=0))),"Subscription",IF(ISNUMBER(G157),"Profit",IF(ISNUMBER(I157),"Disqualified",IF(ISNUMBER(H157),"Draw",IF(AND(ISNUMBER(F157),ISNUMBER(E157),E157&gt;0,F157&gt;E157),"Profit",IF(AND(ISNUMBER(F157),ISNUMBER(E157),E157&gt;0,F157=E157),"Draw",IF(AND(ISNUMBER(F157),ISNUMBER(E157),E157&gt;0,F157=0),"Disqualified",""))))))))</x:f>
      </x:c>
      <x:c r="L157" s="50"/>
      <x:c r="M157" s="58"/>
      <x:c r="N157" s="58"/>
      <x:c r="O157" s="62"/>
      <x:c r="P157" s="62"/>
      <x:c r="Q157" s="64" t="str">
        <x:f>IF(OR(B157="",C157="",C157&lt;B157),"",ROUNDUP((C157-B157)/7,0))</x:f>
      </x:c>
      <x:c r="R157" s="50"/>
      <x:c r="S157" s="50"/>
      <x:c r="T157" s="54"/>
      <x:c r="U157" s="66" t="str">
        <x:f>IF(A157="","",IF(K157="Subscription","",IF(ISNUMBER(G157),G157,0)-IF(ISNUMBER(I157),I157,0)))</x:f>
      </x:c>
      <x:c r="V157" s="64" t="str">
        <x:f>IF(OR(P157="",O157="",NOT(ISNUMBER(P157)),NOT(ISNUMBER(O157)),O157&gt;P157),"",P157-O157)</x:f>
      </x:c>
      <x:c r="W157" s="67" t="str">
        <x:f>IF(OR(P157="",P157=0,V157=""),"",V157/P157)</x:f>
      </x:c>
    </x:row>
    <x:row r="158" ht="21" customHeight="1">
      <x:c r="A158" s="54"/>
      <x:c r="B158" s="56"/>
      <x:c r="C158" s="56"/>
      <x:c r="D158" s="54"/>
      <x:c r="E158" s="58"/>
      <x:c r="F158" s="58"/>
      <x:c r="G158" s="58"/>
      <x:c r="H158" s="58"/>
      <x:c r="I158" s="58"/>
      <x:c r="J158" s="60" t="str">
        <x:f>IF(A158="","",IF(K158="Subscription","",IF(E158=0,"",IF(ISNUMBER(G158),G158/E158,IF(ISNUMBER(I158),-ABS(I158)/E158,IF(ISNUMBER(H158),0,IF(AND(ISNUMBER(F158),ISNUMBER(E158),E158&gt;0,F158&gt;E158),(F158-E158)/E158,IF(AND(ISNUMBER(F158),ISNUMBER(E158),E158&gt;0,F158=E158),0,IF(AND(ISNUMBER(F158),ISNUMBER(E158),E158&gt;0,F158=0),-1,"")))))))))</x:f>
      </x:c>
      <x:c r="K158" s="50" t="str">
        <x:f>IF(A158="","",IF(AND(ISNUMBER(E158),E158=0,OR(ISNUMBER(SEARCH("Free",D158&amp;"")),AND(ISNUMBER(F158),F158=0))),"Subscription",IF(ISNUMBER(G158),"Profit",IF(ISNUMBER(I158),"Disqualified",IF(ISNUMBER(H158),"Draw",IF(AND(ISNUMBER(F158),ISNUMBER(E158),E158&gt;0,F158&gt;E158),"Profit",IF(AND(ISNUMBER(F158),ISNUMBER(E158),E158&gt;0,F158=E158),"Draw",IF(AND(ISNUMBER(F158),ISNUMBER(E158),E158&gt;0,F158=0),"Disqualified",""))))))))</x:f>
      </x:c>
      <x:c r="L158" s="50"/>
      <x:c r="M158" s="58"/>
      <x:c r="N158" s="58"/>
      <x:c r="O158" s="62"/>
      <x:c r="P158" s="62"/>
      <x:c r="Q158" s="64" t="str">
        <x:f>IF(OR(B158="",C158="",C158&lt;B158),"",ROUNDUP((C158-B158)/7,0))</x:f>
      </x:c>
      <x:c r="R158" s="50"/>
      <x:c r="S158" s="50"/>
      <x:c r="T158" s="54"/>
      <x:c r="U158" s="66" t="str">
        <x:f>IF(A158="","",IF(K158="Subscription","",IF(ISNUMBER(G158),G158,0)-IF(ISNUMBER(I158),I158,0)))</x:f>
      </x:c>
      <x:c r="V158" s="64" t="str">
        <x:f>IF(OR(P158="",O158="",NOT(ISNUMBER(P158)),NOT(ISNUMBER(O158)),O158&gt;P158),"",P158-O158)</x:f>
      </x:c>
      <x:c r="W158" s="67" t="str">
        <x:f>IF(OR(P158="",P158=0,V158=""),"",V158/P158)</x:f>
      </x:c>
    </x:row>
    <x:row r="159" ht="21" customHeight="1">
      <x:c r="A159" s="54"/>
      <x:c r="B159" s="56"/>
      <x:c r="C159" s="56"/>
      <x:c r="D159" s="54"/>
      <x:c r="E159" s="58"/>
      <x:c r="F159" s="58"/>
      <x:c r="G159" s="58"/>
      <x:c r="H159" s="58"/>
      <x:c r="I159" s="58"/>
      <x:c r="J159" s="60" t="str">
        <x:f>IF(A159="","",IF(K159="Subscription","",IF(E159=0,"",IF(ISNUMBER(G159),G159/E159,IF(ISNUMBER(I159),-ABS(I159)/E159,IF(ISNUMBER(H159),0,IF(AND(ISNUMBER(F159),ISNUMBER(E159),E159&gt;0,F159&gt;E159),(F159-E159)/E159,IF(AND(ISNUMBER(F159),ISNUMBER(E159),E159&gt;0,F159=E159),0,IF(AND(ISNUMBER(F159),ISNUMBER(E159),E159&gt;0,F159=0),-1,"")))))))))</x:f>
      </x:c>
      <x:c r="K159" s="50" t="str">
        <x:f>IF(A159="","",IF(AND(ISNUMBER(E159),E159=0,OR(ISNUMBER(SEARCH("Free",D159&amp;"")),AND(ISNUMBER(F159),F159=0))),"Subscription",IF(ISNUMBER(G159),"Profit",IF(ISNUMBER(I159),"Disqualified",IF(ISNUMBER(H159),"Draw",IF(AND(ISNUMBER(F159),ISNUMBER(E159),E159&gt;0,F159&gt;E159),"Profit",IF(AND(ISNUMBER(F159),ISNUMBER(E159),E159&gt;0,F159=E159),"Draw",IF(AND(ISNUMBER(F159),ISNUMBER(E159),E159&gt;0,F159=0),"Disqualified",""))))))))</x:f>
      </x:c>
      <x:c r="L159" s="50"/>
      <x:c r="M159" s="58"/>
      <x:c r="N159" s="58"/>
      <x:c r="O159" s="62"/>
      <x:c r="P159" s="62"/>
      <x:c r="Q159" s="64" t="str">
        <x:f>IF(OR(B159="",C159="",C159&lt;B159),"",ROUNDUP((C159-B159)/7,0))</x:f>
      </x:c>
      <x:c r="R159" s="50"/>
      <x:c r="S159" s="50"/>
      <x:c r="T159" s="54"/>
      <x:c r="U159" s="66" t="str">
        <x:f>IF(A159="","",IF(K159="Subscription","",IF(ISNUMBER(G159),G159,0)-IF(ISNUMBER(I159),I159,0)))</x:f>
      </x:c>
      <x:c r="V159" s="64" t="str">
        <x:f>IF(OR(P159="",O159="",NOT(ISNUMBER(P159)),NOT(ISNUMBER(O159)),O159&gt;P159),"",P159-O159)</x:f>
      </x:c>
      <x:c r="W159" s="67" t="str">
        <x:f>IF(OR(P159="",P159=0,V159=""),"",V159/P159)</x:f>
      </x:c>
    </x:row>
    <x:row r="160" ht="21" customHeight="1">
      <x:c r="A160" s="54"/>
      <x:c r="B160" s="56"/>
      <x:c r="C160" s="56"/>
      <x:c r="D160" s="54"/>
      <x:c r="E160" s="58"/>
      <x:c r="F160" s="58"/>
      <x:c r="G160" s="58"/>
      <x:c r="H160" s="58"/>
      <x:c r="I160" s="58"/>
      <x:c r="J160" s="60" t="str">
        <x:f>IF(A160="","",IF(K160="Subscription","",IF(E160=0,"",IF(ISNUMBER(G160),G160/E160,IF(ISNUMBER(I160),-ABS(I160)/E160,IF(ISNUMBER(H160),0,IF(AND(ISNUMBER(F160),ISNUMBER(E160),E160&gt;0,F160&gt;E160),(F160-E160)/E160,IF(AND(ISNUMBER(F160),ISNUMBER(E160),E160&gt;0,F160=E160),0,IF(AND(ISNUMBER(F160),ISNUMBER(E160),E160&gt;0,F160=0),-1,"")))))))))</x:f>
      </x:c>
      <x:c r="K160" s="50" t="str">
        <x:f>IF(A160="","",IF(AND(ISNUMBER(E160),E160=0,OR(ISNUMBER(SEARCH("Free",D160&amp;"")),AND(ISNUMBER(F160),F160=0))),"Subscription",IF(ISNUMBER(G160),"Profit",IF(ISNUMBER(I160),"Disqualified",IF(ISNUMBER(H160),"Draw",IF(AND(ISNUMBER(F160),ISNUMBER(E160),E160&gt;0,F160&gt;E160),"Profit",IF(AND(ISNUMBER(F160),ISNUMBER(E160),E160&gt;0,F160=E160),"Draw",IF(AND(ISNUMBER(F160),ISNUMBER(E160),E160&gt;0,F160=0),"Disqualified",""))))))))</x:f>
      </x:c>
      <x:c r="L160" s="50"/>
      <x:c r="M160" s="58"/>
      <x:c r="N160" s="58"/>
      <x:c r="O160" s="62"/>
      <x:c r="P160" s="62"/>
      <x:c r="Q160" s="64" t="str">
        <x:f>IF(OR(B160="",C160="",C160&lt;B160),"",ROUNDUP((C160-B160)/7,0))</x:f>
      </x:c>
      <x:c r="R160" s="50"/>
      <x:c r="S160" s="50"/>
      <x:c r="T160" s="54"/>
      <x:c r="U160" s="66" t="str">
        <x:f>IF(A160="","",IF(K160="Subscription","",IF(ISNUMBER(G160),G160,0)-IF(ISNUMBER(I160),I160,0)))</x:f>
      </x:c>
      <x:c r="V160" s="64" t="str">
        <x:f>IF(OR(P160="",O160="",NOT(ISNUMBER(P160)),NOT(ISNUMBER(O160)),O160&gt;P160),"",P160-O160)</x:f>
      </x:c>
      <x:c r="W160" s="67" t="str">
        <x:f>IF(OR(P160="",P160=0,V160=""),"",V160/P160)</x:f>
      </x:c>
    </x:row>
    <x:row r="161" ht="21" customHeight="1">
      <x:c r="A161" s="54"/>
      <x:c r="B161" s="56"/>
      <x:c r="C161" s="56"/>
      <x:c r="D161" s="54"/>
      <x:c r="E161" s="58"/>
      <x:c r="F161" s="58"/>
      <x:c r="G161" s="58"/>
      <x:c r="H161" s="58"/>
      <x:c r="I161" s="58"/>
      <x:c r="J161" s="60" t="str">
        <x:f>IF(A161="","",IF(K161="Subscription","",IF(E161=0,"",IF(ISNUMBER(G161),G161/E161,IF(ISNUMBER(I161),-ABS(I161)/E161,IF(ISNUMBER(H161),0,IF(AND(ISNUMBER(F161),ISNUMBER(E161),E161&gt;0,F161&gt;E161),(F161-E161)/E161,IF(AND(ISNUMBER(F161),ISNUMBER(E161),E161&gt;0,F161=E161),0,IF(AND(ISNUMBER(F161),ISNUMBER(E161),E161&gt;0,F161=0),-1,"")))))))))</x:f>
      </x:c>
      <x:c r="K161" s="50" t="str">
        <x:f>IF(A161="","",IF(AND(ISNUMBER(E161),E161=0,OR(ISNUMBER(SEARCH("Free",D161&amp;"")),AND(ISNUMBER(F161),F161=0))),"Subscription",IF(ISNUMBER(G161),"Profit",IF(ISNUMBER(I161),"Disqualified",IF(ISNUMBER(H161),"Draw",IF(AND(ISNUMBER(F161),ISNUMBER(E161),E161&gt;0,F161&gt;E161),"Profit",IF(AND(ISNUMBER(F161),ISNUMBER(E161),E161&gt;0,F161=E161),"Draw",IF(AND(ISNUMBER(F161),ISNUMBER(E161),E161&gt;0,F161=0),"Disqualified",""))))))))</x:f>
      </x:c>
      <x:c r="L161" s="50"/>
      <x:c r="M161" s="58"/>
      <x:c r="N161" s="58"/>
      <x:c r="O161" s="62"/>
      <x:c r="P161" s="62"/>
      <x:c r="Q161" s="64" t="str">
        <x:f>IF(OR(B161="",C161="",C161&lt;B161),"",ROUNDUP((C161-B161)/7,0))</x:f>
      </x:c>
      <x:c r="R161" s="50"/>
      <x:c r="S161" s="50"/>
      <x:c r="T161" s="54"/>
      <x:c r="U161" s="66" t="str">
        <x:f>IF(A161="","",IF(K161="Subscription","",IF(ISNUMBER(G161),G161,0)-IF(ISNUMBER(I161),I161,0)))</x:f>
      </x:c>
      <x:c r="V161" s="64" t="str">
        <x:f>IF(OR(P161="",O161="",NOT(ISNUMBER(P161)),NOT(ISNUMBER(O161)),O161&gt;P161),"",P161-O161)</x:f>
      </x:c>
      <x:c r="W161" s="67" t="str">
        <x:f>IF(OR(P161="",P161=0,V161=""),"",V161/P161)</x:f>
      </x:c>
    </x:row>
    <x:row r="162" ht="21" customHeight="1">
      <x:c r="A162" s="54"/>
      <x:c r="B162" s="56"/>
      <x:c r="C162" s="56"/>
      <x:c r="D162" s="54"/>
      <x:c r="E162" s="58"/>
      <x:c r="F162" s="58"/>
      <x:c r="G162" s="58"/>
      <x:c r="H162" s="58"/>
      <x:c r="I162" s="58"/>
      <x:c r="J162" s="60" t="str">
        <x:f>IF(A162="","",IF(K162="Subscription","",IF(E162=0,"",IF(ISNUMBER(G162),G162/E162,IF(ISNUMBER(I162),-ABS(I162)/E162,IF(ISNUMBER(H162),0,IF(AND(ISNUMBER(F162),ISNUMBER(E162),E162&gt;0,F162&gt;E162),(F162-E162)/E162,IF(AND(ISNUMBER(F162),ISNUMBER(E162),E162&gt;0,F162=E162),0,IF(AND(ISNUMBER(F162),ISNUMBER(E162),E162&gt;0,F162=0),-1,"")))))))))</x:f>
      </x:c>
      <x:c r="K162" s="50" t="str">
        <x:f>IF(A162="","",IF(AND(ISNUMBER(E162),E162=0,OR(ISNUMBER(SEARCH("Free",D162&amp;"")),AND(ISNUMBER(F162),F162=0))),"Subscription",IF(ISNUMBER(G162),"Profit",IF(ISNUMBER(I162),"Disqualified",IF(ISNUMBER(H162),"Draw",IF(AND(ISNUMBER(F162),ISNUMBER(E162),E162&gt;0,F162&gt;E162),"Profit",IF(AND(ISNUMBER(F162),ISNUMBER(E162),E162&gt;0,F162=E162),"Draw",IF(AND(ISNUMBER(F162),ISNUMBER(E162),E162&gt;0,F162=0),"Disqualified",""))))))))</x:f>
      </x:c>
      <x:c r="L162" s="50"/>
      <x:c r="M162" s="58"/>
      <x:c r="N162" s="58"/>
      <x:c r="O162" s="62"/>
      <x:c r="P162" s="62"/>
      <x:c r="Q162" s="64" t="str">
        <x:f>IF(OR(B162="",C162="",C162&lt;B162),"",ROUNDUP((C162-B162)/7,0))</x:f>
      </x:c>
      <x:c r="R162" s="50"/>
      <x:c r="S162" s="50"/>
      <x:c r="T162" s="54"/>
      <x:c r="U162" s="66" t="str">
        <x:f>IF(A162="","",IF(K162="Subscription","",IF(ISNUMBER(G162),G162,0)-IF(ISNUMBER(I162),I162,0)))</x:f>
      </x:c>
      <x:c r="V162" s="64" t="str">
        <x:f>IF(OR(P162="",O162="",NOT(ISNUMBER(P162)),NOT(ISNUMBER(O162)),O162&gt;P162),"",P162-O162)</x:f>
      </x:c>
      <x:c r="W162" s="67" t="str">
        <x:f>IF(OR(P162="",P162=0,V162=""),"",V162/P162)</x:f>
      </x:c>
    </x:row>
    <x:row r="163" ht="21" customHeight="1">
      <x:c r="A163" s="54"/>
      <x:c r="B163" s="56"/>
      <x:c r="C163" s="56"/>
      <x:c r="D163" s="54"/>
      <x:c r="E163" s="58"/>
      <x:c r="F163" s="58"/>
      <x:c r="G163" s="58"/>
      <x:c r="H163" s="58"/>
      <x:c r="I163" s="58"/>
      <x:c r="J163" s="60" t="str">
        <x:f>IF(A163="","",IF(K163="Subscription","",IF(E163=0,"",IF(ISNUMBER(G163),G163/E163,IF(ISNUMBER(I163),-ABS(I163)/E163,IF(ISNUMBER(H163),0,IF(AND(ISNUMBER(F163),ISNUMBER(E163),E163&gt;0,F163&gt;E163),(F163-E163)/E163,IF(AND(ISNUMBER(F163),ISNUMBER(E163),E163&gt;0,F163=E163),0,IF(AND(ISNUMBER(F163),ISNUMBER(E163),E163&gt;0,F163=0),-1,"")))))))))</x:f>
      </x:c>
      <x:c r="K163" s="50" t="str">
        <x:f>IF(A163="","",IF(AND(ISNUMBER(E163),E163=0,OR(ISNUMBER(SEARCH("Free",D163&amp;"")),AND(ISNUMBER(F163),F163=0))),"Subscription",IF(ISNUMBER(G163),"Profit",IF(ISNUMBER(I163),"Disqualified",IF(ISNUMBER(H163),"Draw",IF(AND(ISNUMBER(F163),ISNUMBER(E163),E163&gt;0,F163&gt;E163),"Profit",IF(AND(ISNUMBER(F163),ISNUMBER(E163),E163&gt;0,F163=E163),"Draw",IF(AND(ISNUMBER(F163),ISNUMBER(E163),E163&gt;0,F163=0),"Disqualified",""))))))))</x:f>
      </x:c>
      <x:c r="L163" s="50"/>
      <x:c r="M163" s="58"/>
      <x:c r="N163" s="58"/>
      <x:c r="O163" s="62"/>
      <x:c r="P163" s="62"/>
      <x:c r="Q163" s="64" t="str">
        <x:f>IF(OR(B163="",C163="",C163&lt;B163),"",ROUNDUP((C163-B163)/7,0))</x:f>
      </x:c>
      <x:c r="R163" s="50"/>
      <x:c r="S163" s="50"/>
      <x:c r="T163" s="54"/>
      <x:c r="U163" s="66" t="str">
        <x:f>IF(A163="","",IF(K163="Subscription","",IF(ISNUMBER(G163),G163,0)-IF(ISNUMBER(I163),I163,0)))</x:f>
      </x:c>
      <x:c r="V163" s="64" t="str">
        <x:f>IF(OR(P163="",O163="",NOT(ISNUMBER(P163)),NOT(ISNUMBER(O163)),O163&gt;P163),"",P163-O163)</x:f>
      </x:c>
      <x:c r="W163" s="67" t="str">
        <x:f>IF(OR(P163="",P163=0,V163=""),"",V163/P163)</x:f>
      </x:c>
    </x:row>
    <x:row r="164" ht="21" customHeight="1">
      <x:c r="A164" s="54"/>
      <x:c r="B164" s="56"/>
      <x:c r="C164" s="56"/>
      <x:c r="D164" s="54"/>
      <x:c r="E164" s="58"/>
      <x:c r="F164" s="58"/>
      <x:c r="G164" s="58"/>
      <x:c r="H164" s="58"/>
      <x:c r="I164" s="58"/>
      <x:c r="J164" s="60" t="str">
        <x:f>IF(A164="","",IF(K164="Subscription","",IF(E164=0,"",IF(ISNUMBER(G164),G164/E164,IF(ISNUMBER(I164),-ABS(I164)/E164,IF(ISNUMBER(H164),0,IF(AND(ISNUMBER(F164),ISNUMBER(E164),E164&gt;0,F164&gt;E164),(F164-E164)/E164,IF(AND(ISNUMBER(F164),ISNUMBER(E164),E164&gt;0,F164=E164),0,IF(AND(ISNUMBER(F164),ISNUMBER(E164),E164&gt;0,F164=0),-1,"")))))))))</x:f>
      </x:c>
      <x:c r="K164" s="50" t="str">
        <x:f>IF(A164="","",IF(AND(ISNUMBER(E164),E164=0,OR(ISNUMBER(SEARCH("Free",D164&amp;"")),AND(ISNUMBER(F164),F164=0))),"Subscription",IF(ISNUMBER(G164),"Profit",IF(ISNUMBER(I164),"Disqualified",IF(ISNUMBER(H164),"Draw",IF(AND(ISNUMBER(F164),ISNUMBER(E164),E164&gt;0,F164&gt;E164),"Profit",IF(AND(ISNUMBER(F164),ISNUMBER(E164),E164&gt;0,F164=E164),"Draw",IF(AND(ISNUMBER(F164),ISNUMBER(E164),E164&gt;0,F164=0),"Disqualified",""))))))))</x:f>
      </x:c>
      <x:c r="L164" s="50"/>
      <x:c r="M164" s="58"/>
      <x:c r="N164" s="58"/>
      <x:c r="O164" s="62"/>
      <x:c r="P164" s="62"/>
      <x:c r="Q164" s="64" t="str">
        <x:f>IF(OR(B164="",C164="",C164&lt;B164),"",ROUNDUP((C164-B164)/7,0))</x:f>
      </x:c>
      <x:c r="R164" s="50"/>
      <x:c r="S164" s="50"/>
      <x:c r="T164" s="54"/>
      <x:c r="U164" s="66" t="str">
        <x:f>IF(A164="","",IF(K164="Subscription","",IF(ISNUMBER(G164),G164,0)-IF(ISNUMBER(I164),I164,0)))</x:f>
      </x:c>
      <x:c r="V164" s="64" t="str">
        <x:f>IF(OR(P164="",O164="",NOT(ISNUMBER(P164)),NOT(ISNUMBER(O164)),O164&gt;P164),"",P164-O164)</x:f>
      </x:c>
      <x:c r="W164" s="67" t="str">
        <x:f>IF(OR(P164="",P164=0,V164=""),"",V164/P164)</x:f>
      </x:c>
    </x:row>
    <x:row r="165" ht="21" customHeight="1">
      <x:c r="A165" s="54"/>
      <x:c r="B165" s="56"/>
      <x:c r="C165" s="56"/>
      <x:c r="D165" s="54"/>
      <x:c r="E165" s="58"/>
      <x:c r="F165" s="58"/>
      <x:c r="G165" s="58"/>
      <x:c r="H165" s="58"/>
      <x:c r="I165" s="58"/>
      <x:c r="J165" s="60" t="str">
        <x:f>IF(A165="","",IF(K165="Subscription","",IF(E165=0,"",IF(ISNUMBER(G165),G165/E165,IF(ISNUMBER(I165),-ABS(I165)/E165,IF(ISNUMBER(H165),0,IF(AND(ISNUMBER(F165),ISNUMBER(E165),E165&gt;0,F165&gt;E165),(F165-E165)/E165,IF(AND(ISNUMBER(F165),ISNUMBER(E165),E165&gt;0,F165=E165),0,IF(AND(ISNUMBER(F165),ISNUMBER(E165),E165&gt;0,F165=0),-1,"")))))))))</x:f>
      </x:c>
      <x:c r="K165" s="50" t="str">
        <x:f>IF(A165="","",IF(AND(ISNUMBER(E165),E165=0,OR(ISNUMBER(SEARCH("Free",D165&amp;"")),AND(ISNUMBER(F165),F165=0))),"Subscription",IF(ISNUMBER(G165),"Profit",IF(ISNUMBER(I165),"Disqualified",IF(ISNUMBER(H165),"Draw",IF(AND(ISNUMBER(F165),ISNUMBER(E165),E165&gt;0,F165&gt;E165),"Profit",IF(AND(ISNUMBER(F165),ISNUMBER(E165),E165&gt;0,F165=E165),"Draw",IF(AND(ISNUMBER(F165),ISNUMBER(E165),E165&gt;0,F165=0),"Disqualified",""))))))))</x:f>
      </x:c>
      <x:c r="L165" s="50"/>
      <x:c r="M165" s="58"/>
      <x:c r="N165" s="58"/>
      <x:c r="O165" s="62"/>
      <x:c r="P165" s="62"/>
      <x:c r="Q165" s="64" t="str">
        <x:f>IF(OR(B165="",C165="",C165&lt;B165),"",ROUNDUP((C165-B165)/7,0))</x:f>
      </x:c>
      <x:c r="R165" s="50"/>
      <x:c r="S165" s="50"/>
      <x:c r="T165" s="54"/>
      <x:c r="U165" s="66" t="str">
        <x:f>IF(A165="","",IF(K165="Subscription","",IF(ISNUMBER(G165),G165,0)-IF(ISNUMBER(I165),I165,0)))</x:f>
      </x:c>
      <x:c r="V165" s="64" t="str">
        <x:f>IF(OR(P165="",O165="",NOT(ISNUMBER(P165)),NOT(ISNUMBER(O165)),O165&gt;P165),"",P165-O165)</x:f>
      </x:c>
      <x:c r="W165" s="67" t="str">
        <x:f>IF(OR(P165="",P165=0,V165=""),"",V165/P165)</x:f>
      </x:c>
    </x:row>
    <x:row r="166" ht="21" customHeight="1">
      <x:c r="A166" s="54"/>
      <x:c r="B166" s="56"/>
      <x:c r="C166" s="56"/>
      <x:c r="D166" s="54"/>
      <x:c r="E166" s="58"/>
      <x:c r="F166" s="58"/>
      <x:c r="G166" s="58"/>
      <x:c r="H166" s="58"/>
      <x:c r="I166" s="58"/>
      <x:c r="J166" s="60" t="str">
        <x:f>IF(A166="","",IF(K166="Subscription","",IF(E166=0,"",IF(ISNUMBER(G166),G166/E166,IF(ISNUMBER(I166),-ABS(I166)/E166,IF(ISNUMBER(H166),0,IF(AND(ISNUMBER(F166),ISNUMBER(E166),E166&gt;0,F166&gt;E166),(F166-E166)/E166,IF(AND(ISNUMBER(F166),ISNUMBER(E166),E166&gt;0,F166=E166),0,IF(AND(ISNUMBER(F166),ISNUMBER(E166),E166&gt;0,F166=0),-1,"")))))))))</x:f>
      </x:c>
      <x:c r="K166" s="50" t="str">
        <x:f>IF(A166="","",IF(AND(ISNUMBER(E166),E166=0,OR(ISNUMBER(SEARCH("Free",D166&amp;"")),AND(ISNUMBER(F166),F166=0))),"Subscription",IF(ISNUMBER(G166),"Profit",IF(ISNUMBER(I166),"Disqualified",IF(ISNUMBER(H166),"Draw",IF(AND(ISNUMBER(F166),ISNUMBER(E166),E166&gt;0,F166&gt;E166),"Profit",IF(AND(ISNUMBER(F166),ISNUMBER(E166),E166&gt;0,F166=E166),"Draw",IF(AND(ISNUMBER(F166),ISNUMBER(E166),E166&gt;0,F166=0),"Disqualified",""))))))))</x:f>
      </x:c>
      <x:c r="L166" s="50"/>
      <x:c r="M166" s="58"/>
      <x:c r="N166" s="58"/>
      <x:c r="O166" s="62"/>
      <x:c r="P166" s="62"/>
      <x:c r="Q166" s="64" t="str">
        <x:f>IF(OR(B166="",C166="",C166&lt;B166),"",ROUNDUP((C166-B166)/7,0))</x:f>
      </x:c>
      <x:c r="R166" s="50"/>
      <x:c r="S166" s="50"/>
      <x:c r="T166" s="54"/>
      <x:c r="U166" s="66" t="str">
        <x:f>IF(A166="","",IF(K166="Subscription","",IF(ISNUMBER(G166),G166,0)-IF(ISNUMBER(I166),I166,0)))</x:f>
      </x:c>
      <x:c r="V166" s="64" t="str">
        <x:f>IF(OR(P166="",O166="",NOT(ISNUMBER(P166)),NOT(ISNUMBER(O166)),O166&gt;P166),"",P166-O166)</x:f>
      </x:c>
      <x:c r="W166" s="67" t="str">
        <x:f>IF(OR(P166="",P166=0,V166=""),"",V166/P166)</x:f>
      </x:c>
    </x:row>
    <x:row r="167" ht="21" customHeight="1">
      <x:c r="A167" s="54"/>
      <x:c r="B167" s="56"/>
      <x:c r="C167" s="56"/>
      <x:c r="D167" s="54"/>
      <x:c r="E167" s="58"/>
      <x:c r="F167" s="58"/>
      <x:c r="G167" s="58"/>
      <x:c r="H167" s="58"/>
      <x:c r="I167" s="58"/>
      <x:c r="J167" s="60" t="str">
        <x:f>IF(A167="","",IF(K167="Subscription","",IF(E167=0,"",IF(ISNUMBER(G167),G167/E167,IF(ISNUMBER(I167),-ABS(I167)/E167,IF(ISNUMBER(H167),0,IF(AND(ISNUMBER(F167),ISNUMBER(E167),E167&gt;0,F167&gt;E167),(F167-E167)/E167,IF(AND(ISNUMBER(F167),ISNUMBER(E167),E167&gt;0,F167=E167),0,IF(AND(ISNUMBER(F167),ISNUMBER(E167),E167&gt;0,F167=0),-1,"")))))))))</x:f>
      </x:c>
      <x:c r="K167" s="50" t="str">
        <x:f>IF(A167="","",IF(AND(ISNUMBER(E167),E167=0,OR(ISNUMBER(SEARCH("Free",D167&amp;"")),AND(ISNUMBER(F167),F167=0))),"Subscription",IF(ISNUMBER(G167),"Profit",IF(ISNUMBER(I167),"Disqualified",IF(ISNUMBER(H167),"Draw",IF(AND(ISNUMBER(F167),ISNUMBER(E167),E167&gt;0,F167&gt;E167),"Profit",IF(AND(ISNUMBER(F167),ISNUMBER(E167),E167&gt;0,F167=E167),"Draw",IF(AND(ISNUMBER(F167),ISNUMBER(E167),E167&gt;0,F167=0),"Disqualified",""))))))))</x:f>
      </x:c>
      <x:c r="L167" s="50"/>
      <x:c r="M167" s="58"/>
      <x:c r="N167" s="58"/>
      <x:c r="O167" s="62"/>
      <x:c r="P167" s="62"/>
      <x:c r="Q167" s="64" t="str">
        <x:f>IF(OR(B167="",C167="",C167&lt;B167),"",ROUNDUP((C167-B167)/7,0))</x:f>
      </x:c>
      <x:c r="R167" s="50"/>
      <x:c r="S167" s="50"/>
      <x:c r="T167" s="54"/>
      <x:c r="U167" s="66" t="str">
        <x:f>IF(A167="","",IF(K167="Subscription","",IF(ISNUMBER(G167),G167,0)-IF(ISNUMBER(I167),I167,0)))</x:f>
      </x:c>
      <x:c r="V167" s="64" t="str">
        <x:f>IF(OR(P167="",O167="",NOT(ISNUMBER(P167)),NOT(ISNUMBER(O167)),O167&gt;P167),"",P167-O167)</x:f>
      </x:c>
      <x:c r="W167" s="67" t="str">
        <x:f>IF(OR(P167="",P167=0,V167=""),"",V167/P167)</x:f>
      </x:c>
    </x:row>
    <x:row r="168" ht="21" customHeight="1">
      <x:c r="A168" s="54"/>
      <x:c r="B168" s="56"/>
      <x:c r="C168" s="56"/>
      <x:c r="D168" s="54"/>
      <x:c r="E168" s="58"/>
      <x:c r="F168" s="58"/>
      <x:c r="G168" s="58"/>
      <x:c r="H168" s="58"/>
      <x:c r="I168" s="58"/>
      <x:c r="J168" s="60" t="str">
        <x:f>IF(A168="","",IF(K168="Subscription","",IF(E168=0,"",IF(ISNUMBER(G168),G168/E168,IF(ISNUMBER(I168),-ABS(I168)/E168,IF(ISNUMBER(H168),0,IF(AND(ISNUMBER(F168),ISNUMBER(E168),E168&gt;0,F168&gt;E168),(F168-E168)/E168,IF(AND(ISNUMBER(F168),ISNUMBER(E168),E168&gt;0,F168=E168),0,IF(AND(ISNUMBER(F168),ISNUMBER(E168),E168&gt;0,F168=0),-1,"")))))))))</x:f>
      </x:c>
      <x:c r="K168" s="50" t="str">
        <x:f>IF(A168="","",IF(AND(ISNUMBER(E168),E168=0,OR(ISNUMBER(SEARCH("Free",D168&amp;"")),AND(ISNUMBER(F168),F168=0))),"Subscription",IF(ISNUMBER(G168),"Profit",IF(ISNUMBER(I168),"Disqualified",IF(ISNUMBER(H168),"Draw",IF(AND(ISNUMBER(F168),ISNUMBER(E168),E168&gt;0,F168&gt;E168),"Profit",IF(AND(ISNUMBER(F168),ISNUMBER(E168),E168&gt;0,F168=E168),"Draw",IF(AND(ISNUMBER(F168),ISNUMBER(E168),E168&gt;0,F168=0),"Disqualified",""))))))))</x:f>
      </x:c>
      <x:c r="L168" s="50"/>
      <x:c r="M168" s="58"/>
      <x:c r="N168" s="58"/>
      <x:c r="O168" s="62"/>
      <x:c r="P168" s="62"/>
      <x:c r="Q168" s="64" t="str">
        <x:f>IF(OR(B168="",C168="",C168&lt;B168),"",ROUNDUP((C168-B168)/7,0))</x:f>
      </x:c>
      <x:c r="R168" s="50"/>
      <x:c r="S168" s="50"/>
      <x:c r="T168" s="54"/>
      <x:c r="U168" s="66" t="str">
        <x:f>IF(A168="","",IF(K168="Subscription","",IF(ISNUMBER(G168),G168,0)-IF(ISNUMBER(I168),I168,0)))</x:f>
      </x:c>
      <x:c r="V168" s="64" t="str">
        <x:f>IF(OR(P168="",O168="",NOT(ISNUMBER(P168)),NOT(ISNUMBER(O168)),O168&gt;P168),"",P168-O168)</x:f>
      </x:c>
      <x:c r="W168" s="67" t="str">
        <x:f>IF(OR(P168="",P168=0,V168=""),"",V168/P168)</x:f>
      </x:c>
    </x:row>
    <x:row r="169" ht="21" customHeight="1">
      <x:c r="A169" s="54"/>
      <x:c r="B169" s="56"/>
      <x:c r="C169" s="56"/>
      <x:c r="D169" s="54"/>
      <x:c r="E169" s="58"/>
      <x:c r="F169" s="58"/>
      <x:c r="G169" s="58"/>
      <x:c r="H169" s="58"/>
      <x:c r="I169" s="58"/>
      <x:c r="J169" s="60" t="str">
        <x:f>IF(A169="","",IF(K169="Subscription","",IF(E169=0,"",IF(ISNUMBER(G169),G169/E169,IF(ISNUMBER(I169),-ABS(I169)/E169,IF(ISNUMBER(H169),0,IF(AND(ISNUMBER(F169),ISNUMBER(E169),E169&gt;0,F169&gt;E169),(F169-E169)/E169,IF(AND(ISNUMBER(F169),ISNUMBER(E169),E169&gt;0,F169=E169),0,IF(AND(ISNUMBER(F169),ISNUMBER(E169),E169&gt;0,F169=0),-1,"")))))))))</x:f>
      </x:c>
      <x:c r="K169" s="50" t="str">
        <x:f>IF(A169="","",IF(AND(ISNUMBER(E169),E169=0,OR(ISNUMBER(SEARCH("Free",D169&amp;"")),AND(ISNUMBER(F169),F169=0))),"Subscription",IF(ISNUMBER(G169),"Profit",IF(ISNUMBER(I169),"Disqualified",IF(ISNUMBER(H169),"Draw",IF(AND(ISNUMBER(F169),ISNUMBER(E169),E169&gt;0,F169&gt;E169),"Profit",IF(AND(ISNUMBER(F169),ISNUMBER(E169),E169&gt;0,F169=E169),"Draw",IF(AND(ISNUMBER(F169),ISNUMBER(E169),E169&gt;0,F169=0),"Disqualified",""))))))))</x:f>
      </x:c>
      <x:c r="L169" s="50"/>
      <x:c r="M169" s="58"/>
      <x:c r="N169" s="58"/>
      <x:c r="O169" s="62"/>
      <x:c r="P169" s="62"/>
      <x:c r="Q169" s="64" t="str">
        <x:f>IF(OR(B169="",C169="",C169&lt;B169),"",ROUNDUP((C169-B169)/7,0))</x:f>
      </x:c>
      <x:c r="R169" s="50"/>
      <x:c r="S169" s="50"/>
      <x:c r="T169" s="54"/>
      <x:c r="U169" s="66" t="str">
        <x:f>IF(A169="","",IF(K169="Subscription","",IF(ISNUMBER(G169),G169,0)-IF(ISNUMBER(I169),I169,0)))</x:f>
      </x:c>
      <x:c r="V169" s="64" t="str">
        <x:f>IF(OR(P169="",O169="",NOT(ISNUMBER(P169)),NOT(ISNUMBER(O169)),O169&gt;P169),"",P169-O169)</x:f>
      </x:c>
      <x:c r="W169" s="67" t="str">
        <x:f>IF(OR(P169="",P169=0,V169=""),"",V169/P169)</x:f>
      </x:c>
    </x:row>
    <x:row r="170" ht="21" customHeight="1">
      <x:c r="A170" s="54"/>
      <x:c r="B170" s="56"/>
      <x:c r="C170" s="56"/>
      <x:c r="D170" s="54"/>
      <x:c r="E170" s="58"/>
      <x:c r="F170" s="58"/>
      <x:c r="G170" s="58"/>
      <x:c r="H170" s="58"/>
      <x:c r="I170" s="58"/>
      <x:c r="J170" s="60" t="str">
        <x:f>IF(A170="","",IF(K170="Subscription","",IF(E170=0,"",IF(ISNUMBER(G170),G170/E170,IF(ISNUMBER(I170),-ABS(I170)/E170,IF(ISNUMBER(H170),0,IF(AND(ISNUMBER(F170),ISNUMBER(E170),E170&gt;0,F170&gt;E170),(F170-E170)/E170,IF(AND(ISNUMBER(F170),ISNUMBER(E170),E170&gt;0,F170=E170),0,IF(AND(ISNUMBER(F170),ISNUMBER(E170),E170&gt;0,F170=0),-1,"")))))))))</x:f>
      </x:c>
      <x:c r="K170" s="50" t="str">
        <x:f>IF(A170="","",IF(AND(ISNUMBER(E170),E170=0,OR(ISNUMBER(SEARCH("Free",D170&amp;"")),AND(ISNUMBER(F170),F170=0))),"Subscription",IF(ISNUMBER(G170),"Profit",IF(ISNUMBER(I170),"Disqualified",IF(ISNUMBER(H170),"Draw",IF(AND(ISNUMBER(F170),ISNUMBER(E170),E170&gt;0,F170&gt;E170),"Profit",IF(AND(ISNUMBER(F170),ISNUMBER(E170),E170&gt;0,F170=E170),"Draw",IF(AND(ISNUMBER(F170),ISNUMBER(E170),E170&gt;0,F170=0),"Disqualified",""))))))))</x:f>
      </x:c>
      <x:c r="L170" s="50"/>
      <x:c r="M170" s="58"/>
      <x:c r="N170" s="58"/>
      <x:c r="O170" s="62"/>
      <x:c r="P170" s="62"/>
      <x:c r="Q170" s="64" t="str">
        <x:f>IF(OR(B170="",C170="",C170&lt;B170),"",ROUNDUP((C170-B170)/7,0))</x:f>
      </x:c>
      <x:c r="R170" s="50"/>
      <x:c r="S170" s="50"/>
      <x:c r="T170" s="54"/>
      <x:c r="U170" s="66" t="str">
        <x:f>IF(A170="","",IF(K170="Subscription","",IF(ISNUMBER(G170),G170,0)-IF(ISNUMBER(I170),I170,0)))</x:f>
      </x:c>
      <x:c r="V170" s="64" t="str">
        <x:f>IF(OR(P170="",O170="",NOT(ISNUMBER(P170)),NOT(ISNUMBER(O170)),O170&gt;P170),"",P170-O170)</x:f>
      </x:c>
      <x:c r="W170" s="67" t="str">
        <x:f>IF(OR(P170="",P170=0,V170=""),"",V170/P170)</x:f>
      </x:c>
    </x:row>
    <x:row r="171" ht="21" customHeight="1">
      <x:c r="A171" s="54"/>
      <x:c r="B171" s="56"/>
      <x:c r="C171" s="56"/>
      <x:c r="D171" s="54"/>
      <x:c r="E171" s="58"/>
      <x:c r="F171" s="58"/>
      <x:c r="G171" s="58"/>
      <x:c r="H171" s="58"/>
      <x:c r="I171" s="58"/>
      <x:c r="J171" s="60" t="str">
        <x:f>IF(A171="","",IF(K171="Subscription","",IF(E171=0,"",IF(ISNUMBER(G171),G171/E171,IF(ISNUMBER(I171),-ABS(I171)/E171,IF(ISNUMBER(H171),0,IF(AND(ISNUMBER(F171),ISNUMBER(E171),E171&gt;0,F171&gt;E171),(F171-E171)/E171,IF(AND(ISNUMBER(F171),ISNUMBER(E171),E171&gt;0,F171=E171),0,IF(AND(ISNUMBER(F171),ISNUMBER(E171),E171&gt;0,F171=0),-1,"")))))))))</x:f>
      </x:c>
      <x:c r="K171" s="50" t="str">
        <x:f>IF(A171="","",IF(AND(ISNUMBER(E171),E171=0,OR(ISNUMBER(SEARCH("Free",D171&amp;"")),AND(ISNUMBER(F171),F171=0))),"Subscription",IF(ISNUMBER(G171),"Profit",IF(ISNUMBER(I171),"Disqualified",IF(ISNUMBER(H171),"Draw",IF(AND(ISNUMBER(F171),ISNUMBER(E171),E171&gt;0,F171&gt;E171),"Profit",IF(AND(ISNUMBER(F171),ISNUMBER(E171),E171&gt;0,F171=E171),"Draw",IF(AND(ISNUMBER(F171),ISNUMBER(E171),E171&gt;0,F171=0),"Disqualified",""))))))))</x:f>
      </x:c>
      <x:c r="L171" s="50"/>
      <x:c r="M171" s="58"/>
      <x:c r="N171" s="58"/>
      <x:c r="O171" s="62"/>
      <x:c r="P171" s="62"/>
      <x:c r="Q171" s="64" t="str">
        <x:f>IF(OR(B171="",C171="",C171&lt;B171),"",ROUNDUP((C171-B171)/7,0))</x:f>
      </x:c>
      <x:c r="R171" s="50"/>
      <x:c r="S171" s="50"/>
      <x:c r="T171" s="54"/>
      <x:c r="U171" s="66" t="str">
        <x:f>IF(A171="","",IF(K171="Subscription","",IF(ISNUMBER(G171),G171,0)-IF(ISNUMBER(I171),I171,0)))</x:f>
      </x:c>
      <x:c r="V171" s="64" t="str">
        <x:f>IF(OR(P171="",O171="",NOT(ISNUMBER(P171)),NOT(ISNUMBER(O171)),O171&gt;P171),"",P171-O171)</x:f>
      </x:c>
      <x:c r="W171" s="67" t="str">
        <x:f>IF(OR(P171="",P171=0,V171=""),"",V171/P171)</x:f>
      </x:c>
    </x:row>
    <x:row r="172" ht="21" customHeight="1">
      <x:c r="A172" s="54"/>
      <x:c r="B172" s="56"/>
      <x:c r="C172" s="56"/>
      <x:c r="D172" s="54"/>
      <x:c r="E172" s="58"/>
      <x:c r="F172" s="58"/>
      <x:c r="G172" s="58"/>
      <x:c r="H172" s="58"/>
      <x:c r="I172" s="58"/>
      <x:c r="J172" s="60" t="str">
        <x:f>IF(A172="","",IF(K172="Subscription","",IF(E172=0,"",IF(ISNUMBER(G172),G172/E172,IF(ISNUMBER(I172),-ABS(I172)/E172,IF(ISNUMBER(H172),0,IF(AND(ISNUMBER(F172),ISNUMBER(E172),E172&gt;0,F172&gt;E172),(F172-E172)/E172,IF(AND(ISNUMBER(F172),ISNUMBER(E172),E172&gt;0,F172=E172),0,IF(AND(ISNUMBER(F172),ISNUMBER(E172),E172&gt;0,F172=0),-1,"")))))))))</x:f>
      </x:c>
      <x:c r="K172" s="50" t="str">
        <x:f>IF(A172="","",IF(AND(ISNUMBER(E172),E172=0,OR(ISNUMBER(SEARCH("Free",D172&amp;"")),AND(ISNUMBER(F172),F172=0))),"Subscription",IF(ISNUMBER(G172),"Profit",IF(ISNUMBER(I172),"Disqualified",IF(ISNUMBER(H172),"Draw",IF(AND(ISNUMBER(F172),ISNUMBER(E172),E172&gt;0,F172&gt;E172),"Profit",IF(AND(ISNUMBER(F172),ISNUMBER(E172),E172&gt;0,F172=E172),"Draw",IF(AND(ISNUMBER(F172),ISNUMBER(E172),E172&gt;0,F172=0),"Disqualified",""))))))))</x:f>
      </x:c>
      <x:c r="L172" s="50"/>
      <x:c r="M172" s="58"/>
      <x:c r="N172" s="58"/>
      <x:c r="O172" s="62"/>
      <x:c r="P172" s="62"/>
      <x:c r="Q172" s="64" t="str">
        <x:f>IF(OR(B172="",C172="",C172&lt;B172),"",ROUNDUP((C172-B172)/7,0))</x:f>
      </x:c>
      <x:c r="R172" s="50"/>
      <x:c r="S172" s="50"/>
      <x:c r="T172" s="54"/>
      <x:c r="U172" s="66" t="str">
        <x:f>IF(A172="","",IF(K172="Subscription","",IF(ISNUMBER(G172),G172,0)-IF(ISNUMBER(I172),I172,0)))</x:f>
      </x:c>
      <x:c r="V172" s="64" t="str">
        <x:f>IF(OR(P172="",O172="",NOT(ISNUMBER(P172)),NOT(ISNUMBER(O172)),O172&gt;P172),"",P172-O172)</x:f>
      </x:c>
      <x:c r="W172" s="67" t="str">
        <x:f>IF(OR(P172="",P172=0,V172=""),"",V172/P172)</x:f>
      </x:c>
    </x:row>
    <x:row r="173" ht="21" customHeight="1">
      <x:c r="A173" s="54"/>
      <x:c r="B173" s="56"/>
      <x:c r="C173" s="56"/>
      <x:c r="D173" s="54"/>
      <x:c r="E173" s="58"/>
      <x:c r="F173" s="58"/>
      <x:c r="G173" s="58"/>
      <x:c r="H173" s="58"/>
      <x:c r="I173" s="58"/>
      <x:c r="J173" s="60" t="str">
        <x:f>IF(A173="","",IF(K173="Subscription","",IF(E173=0,"",IF(ISNUMBER(G173),G173/E173,IF(ISNUMBER(I173),-ABS(I173)/E173,IF(ISNUMBER(H173),0,IF(AND(ISNUMBER(F173),ISNUMBER(E173),E173&gt;0,F173&gt;E173),(F173-E173)/E173,IF(AND(ISNUMBER(F173),ISNUMBER(E173),E173&gt;0,F173=E173),0,IF(AND(ISNUMBER(F173),ISNUMBER(E173),E173&gt;0,F173=0),-1,"")))))))))</x:f>
      </x:c>
      <x:c r="K173" s="50" t="str">
        <x:f>IF(A173="","",IF(AND(ISNUMBER(E173),E173=0,OR(ISNUMBER(SEARCH("Free",D173&amp;"")),AND(ISNUMBER(F173),F173=0))),"Subscription",IF(ISNUMBER(G173),"Profit",IF(ISNUMBER(I173),"Disqualified",IF(ISNUMBER(H173),"Draw",IF(AND(ISNUMBER(F173),ISNUMBER(E173),E173&gt;0,F173&gt;E173),"Profit",IF(AND(ISNUMBER(F173),ISNUMBER(E173),E173&gt;0,F173=E173),"Draw",IF(AND(ISNUMBER(F173),ISNUMBER(E173),E173&gt;0,F173=0),"Disqualified",""))))))))</x:f>
      </x:c>
      <x:c r="L173" s="50"/>
      <x:c r="M173" s="58"/>
      <x:c r="N173" s="58"/>
      <x:c r="O173" s="62"/>
      <x:c r="P173" s="62"/>
      <x:c r="Q173" s="64" t="str">
        <x:f>IF(OR(B173="",C173="",C173&lt;B173),"",ROUNDUP((C173-B173)/7,0))</x:f>
      </x:c>
      <x:c r="R173" s="50"/>
      <x:c r="S173" s="50"/>
      <x:c r="T173" s="54"/>
      <x:c r="U173" s="66" t="str">
        <x:f>IF(A173="","",IF(K173="Subscription","",IF(ISNUMBER(G173),G173,0)-IF(ISNUMBER(I173),I173,0)))</x:f>
      </x:c>
      <x:c r="V173" s="64" t="str">
        <x:f>IF(OR(P173="",O173="",NOT(ISNUMBER(P173)),NOT(ISNUMBER(O173)),O173&gt;P173),"",P173-O173)</x:f>
      </x:c>
      <x:c r="W173" s="67" t="str">
        <x:f>IF(OR(P173="",P173=0,V173=""),"",V173/P173)</x:f>
      </x:c>
    </x:row>
    <x:row r="174" ht="21" customHeight="1">
      <x:c r="A174" s="54"/>
      <x:c r="B174" s="56"/>
      <x:c r="C174" s="56"/>
      <x:c r="D174" s="54"/>
      <x:c r="E174" s="58"/>
      <x:c r="F174" s="58"/>
      <x:c r="G174" s="58"/>
      <x:c r="H174" s="58"/>
      <x:c r="I174" s="58"/>
      <x:c r="J174" s="60" t="str">
        <x:f>IF(A174="","",IF(K174="Subscription","",IF(E174=0,"",IF(ISNUMBER(G174),G174/E174,IF(ISNUMBER(I174),-ABS(I174)/E174,IF(ISNUMBER(H174),0,IF(AND(ISNUMBER(F174),ISNUMBER(E174),E174&gt;0,F174&gt;E174),(F174-E174)/E174,IF(AND(ISNUMBER(F174),ISNUMBER(E174),E174&gt;0,F174=E174),0,IF(AND(ISNUMBER(F174),ISNUMBER(E174),E174&gt;0,F174=0),-1,"")))))))))</x:f>
      </x:c>
      <x:c r="K174" s="50" t="str">
        <x:f>IF(A174="","",IF(AND(ISNUMBER(E174),E174=0,OR(ISNUMBER(SEARCH("Free",D174&amp;"")),AND(ISNUMBER(F174),F174=0))),"Subscription",IF(ISNUMBER(G174),"Profit",IF(ISNUMBER(I174),"Disqualified",IF(ISNUMBER(H174),"Draw",IF(AND(ISNUMBER(F174),ISNUMBER(E174),E174&gt;0,F174&gt;E174),"Profit",IF(AND(ISNUMBER(F174),ISNUMBER(E174),E174&gt;0,F174=E174),"Draw",IF(AND(ISNUMBER(F174),ISNUMBER(E174),E174&gt;0,F174=0),"Disqualified",""))))))))</x:f>
      </x:c>
      <x:c r="L174" s="50"/>
      <x:c r="M174" s="58"/>
      <x:c r="N174" s="58"/>
      <x:c r="O174" s="62"/>
      <x:c r="P174" s="62"/>
      <x:c r="Q174" s="64" t="str">
        <x:f>IF(OR(B174="",C174="",C174&lt;B174),"",ROUNDUP((C174-B174)/7,0))</x:f>
      </x:c>
      <x:c r="R174" s="50"/>
      <x:c r="S174" s="50"/>
      <x:c r="T174" s="54"/>
      <x:c r="U174" s="66" t="str">
        <x:f>IF(A174="","",IF(K174="Subscription","",IF(ISNUMBER(G174),G174,0)-IF(ISNUMBER(I174),I174,0)))</x:f>
      </x:c>
      <x:c r="V174" s="64" t="str">
        <x:f>IF(OR(P174="",O174="",NOT(ISNUMBER(P174)),NOT(ISNUMBER(O174)),O174&gt;P174),"",P174-O174)</x:f>
      </x:c>
      <x:c r="W174" s="67" t="str">
        <x:f>IF(OR(P174="",P174=0,V174=""),"",V174/P174)</x:f>
      </x:c>
    </x:row>
    <x:row r="175" ht="21" customHeight="1">
      <x:c r="A175" s="54"/>
      <x:c r="B175" s="56"/>
      <x:c r="C175" s="56"/>
      <x:c r="D175" s="54"/>
      <x:c r="E175" s="58"/>
      <x:c r="F175" s="58"/>
      <x:c r="G175" s="58"/>
      <x:c r="H175" s="58"/>
      <x:c r="I175" s="58"/>
      <x:c r="J175" s="60" t="str">
        <x:f>IF(A175="","",IF(K175="Subscription","",IF(E175=0,"",IF(ISNUMBER(G175),G175/E175,IF(ISNUMBER(I175),-ABS(I175)/E175,IF(ISNUMBER(H175),0,IF(AND(ISNUMBER(F175),ISNUMBER(E175),E175&gt;0,F175&gt;E175),(F175-E175)/E175,IF(AND(ISNUMBER(F175),ISNUMBER(E175),E175&gt;0,F175=E175),0,IF(AND(ISNUMBER(F175),ISNUMBER(E175),E175&gt;0,F175=0),-1,"")))))))))</x:f>
      </x:c>
      <x:c r="K175" s="50" t="str">
        <x:f>IF(A175="","",IF(AND(ISNUMBER(E175),E175=0,OR(ISNUMBER(SEARCH("Free",D175&amp;"")),AND(ISNUMBER(F175),F175=0))),"Subscription",IF(ISNUMBER(G175),"Profit",IF(ISNUMBER(I175),"Disqualified",IF(ISNUMBER(H175),"Draw",IF(AND(ISNUMBER(F175),ISNUMBER(E175),E175&gt;0,F175&gt;E175),"Profit",IF(AND(ISNUMBER(F175),ISNUMBER(E175),E175&gt;0,F175=E175),"Draw",IF(AND(ISNUMBER(F175),ISNUMBER(E175),E175&gt;0,F175=0),"Disqualified",""))))))))</x:f>
      </x:c>
      <x:c r="L175" s="50"/>
      <x:c r="M175" s="58"/>
      <x:c r="N175" s="58"/>
      <x:c r="O175" s="62"/>
      <x:c r="P175" s="62"/>
      <x:c r="Q175" s="64" t="str">
        <x:f>IF(OR(B175="",C175="",C175&lt;B175),"",ROUNDUP((C175-B175)/7,0))</x:f>
      </x:c>
      <x:c r="R175" s="50"/>
      <x:c r="S175" s="50"/>
      <x:c r="T175" s="54"/>
      <x:c r="U175" s="66" t="str">
        <x:f>IF(A175="","",IF(K175="Subscription","",IF(ISNUMBER(G175),G175,0)-IF(ISNUMBER(I175),I175,0)))</x:f>
      </x:c>
      <x:c r="V175" s="64" t="str">
        <x:f>IF(OR(P175="",O175="",NOT(ISNUMBER(P175)),NOT(ISNUMBER(O175)),O175&gt;P175),"",P175-O175)</x:f>
      </x:c>
      <x:c r="W175" s="67" t="str">
        <x:f>IF(OR(P175="",P175=0,V175=""),"",V175/P175)</x:f>
      </x:c>
    </x:row>
    <x:row r="176" ht="21" customHeight="1">
      <x:c r="A176" s="54"/>
      <x:c r="B176" s="56"/>
      <x:c r="C176" s="56"/>
      <x:c r="D176" s="54"/>
      <x:c r="E176" s="58"/>
      <x:c r="F176" s="58"/>
      <x:c r="G176" s="58"/>
      <x:c r="H176" s="58"/>
      <x:c r="I176" s="58"/>
      <x:c r="J176" s="60" t="str">
        <x:f>IF(A176="","",IF(K176="Subscription","",IF(E176=0,"",IF(ISNUMBER(G176),G176/E176,IF(ISNUMBER(I176),-ABS(I176)/E176,IF(ISNUMBER(H176),0,IF(AND(ISNUMBER(F176),ISNUMBER(E176),E176&gt;0,F176&gt;E176),(F176-E176)/E176,IF(AND(ISNUMBER(F176),ISNUMBER(E176),E176&gt;0,F176=E176),0,IF(AND(ISNUMBER(F176),ISNUMBER(E176),E176&gt;0,F176=0),-1,"")))))))))</x:f>
      </x:c>
      <x:c r="K176" s="50" t="str">
        <x:f>IF(A176="","",IF(AND(ISNUMBER(E176),E176=0,OR(ISNUMBER(SEARCH("Free",D176&amp;"")),AND(ISNUMBER(F176),F176=0))),"Subscription",IF(ISNUMBER(G176),"Profit",IF(ISNUMBER(I176),"Disqualified",IF(ISNUMBER(H176),"Draw",IF(AND(ISNUMBER(F176),ISNUMBER(E176),E176&gt;0,F176&gt;E176),"Profit",IF(AND(ISNUMBER(F176),ISNUMBER(E176),E176&gt;0,F176=E176),"Draw",IF(AND(ISNUMBER(F176),ISNUMBER(E176),E176&gt;0,F176=0),"Disqualified",""))))))))</x:f>
      </x:c>
      <x:c r="L176" s="50"/>
      <x:c r="M176" s="58"/>
      <x:c r="N176" s="58"/>
      <x:c r="O176" s="62"/>
      <x:c r="P176" s="62"/>
      <x:c r="Q176" s="64" t="str">
        <x:f>IF(OR(B176="",C176="",C176&lt;B176),"",ROUNDUP((C176-B176)/7,0))</x:f>
      </x:c>
      <x:c r="R176" s="50"/>
      <x:c r="S176" s="50"/>
      <x:c r="T176" s="54"/>
      <x:c r="U176" s="66" t="str">
        <x:f>IF(A176="","",IF(K176="Subscription","",IF(ISNUMBER(G176),G176,0)-IF(ISNUMBER(I176),I176,0)))</x:f>
      </x:c>
      <x:c r="V176" s="64" t="str">
        <x:f>IF(OR(P176="",O176="",NOT(ISNUMBER(P176)),NOT(ISNUMBER(O176)),O176&gt;P176),"",P176-O176)</x:f>
      </x:c>
      <x:c r="W176" s="67" t="str">
        <x:f>IF(OR(P176="",P176=0,V176=""),"",V176/P176)</x:f>
      </x:c>
    </x:row>
    <x:row r="177" ht="21" customHeight="1">
      <x:c r="A177" s="54"/>
      <x:c r="B177" s="56"/>
      <x:c r="C177" s="56"/>
      <x:c r="D177" s="54"/>
      <x:c r="E177" s="58"/>
      <x:c r="F177" s="58"/>
      <x:c r="G177" s="58"/>
      <x:c r="H177" s="58"/>
      <x:c r="I177" s="58"/>
      <x:c r="J177" s="60" t="str">
        <x:f>IF(A177="","",IF(K177="Subscription","",IF(E177=0,"",IF(ISNUMBER(G177),G177/E177,IF(ISNUMBER(I177),-ABS(I177)/E177,IF(ISNUMBER(H177),0,IF(AND(ISNUMBER(F177),ISNUMBER(E177),E177&gt;0,F177&gt;E177),(F177-E177)/E177,IF(AND(ISNUMBER(F177),ISNUMBER(E177),E177&gt;0,F177=E177),0,IF(AND(ISNUMBER(F177),ISNUMBER(E177),E177&gt;0,F177=0),-1,"")))))))))</x:f>
      </x:c>
      <x:c r="K177" s="50" t="str">
        <x:f>IF(A177="","",IF(AND(ISNUMBER(E177),E177=0,OR(ISNUMBER(SEARCH("Free",D177&amp;"")),AND(ISNUMBER(F177),F177=0))),"Subscription",IF(ISNUMBER(G177),"Profit",IF(ISNUMBER(I177),"Disqualified",IF(ISNUMBER(H177),"Draw",IF(AND(ISNUMBER(F177),ISNUMBER(E177),E177&gt;0,F177&gt;E177),"Profit",IF(AND(ISNUMBER(F177),ISNUMBER(E177),E177&gt;0,F177=E177),"Draw",IF(AND(ISNUMBER(F177),ISNUMBER(E177),E177&gt;0,F177=0),"Disqualified",""))))))))</x:f>
      </x:c>
      <x:c r="L177" s="50"/>
      <x:c r="M177" s="58"/>
      <x:c r="N177" s="58"/>
      <x:c r="O177" s="62"/>
      <x:c r="P177" s="62"/>
      <x:c r="Q177" s="64" t="str">
        <x:f>IF(OR(B177="",C177="",C177&lt;B177),"",ROUNDUP((C177-B177)/7,0))</x:f>
      </x:c>
      <x:c r="R177" s="50"/>
      <x:c r="S177" s="50"/>
      <x:c r="T177" s="54"/>
      <x:c r="U177" s="66" t="str">
        <x:f>IF(A177="","",IF(K177="Subscription","",IF(ISNUMBER(G177),G177,0)-IF(ISNUMBER(I177),I177,0)))</x:f>
      </x:c>
      <x:c r="V177" s="64" t="str">
        <x:f>IF(OR(P177="",O177="",NOT(ISNUMBER(P177)),NOT(ISNUMBER(O177)),O177&gt;P177),"",P177-O177)</x:f>
      </x:c>
      <x:c r="W177" s="67" t="str">
        <x:f>IF(OR(P177="",P177=0,V177=""),"",V177/P177)</x:f>
      </x:c>
    </x:row>
    <x:row r="178" ht="21" customHeight="1">
      <x:c r="A178" s="54"/>
      <x:c r="B178" s="56"/>
      <x:c r="C178" s="56"/>
      <x:c r="D178" s="54"/>
      <x:c r="E178" s="58"/>
      <x:c r="F178" s="58"/>
      <x:c r="G178" s="58"/>
      <x:c r="H178" s="58"/>
      <x:c r="I178" s="58"/>
      <x:c r="J178" s="60" t="str">
        <x:f>IF(A178="","",IF(K178="Subscription","",IF(E178=0,"",IF(ISNUMBER(G178),G178/E178,IF(ISNUMBER(I178),-ABS(I178)/E178,IF(ISNUMBER(H178),0,IF(AND(ISNUMBER(F178),ISNUMBER(E178),E178&gt;0,F178&gt;E178),(F178-E178)/E178,IF(AND(ISNUMBER(F178),ISNUMBER(E178),E178&gt;0,F178=E178),0,IF(AND(ISNUMBER(F178),ISNUMBER(E178),E178&gt;0,F178=0),-1,"")))))))))</x:f>
      </x:c>
      <x:c r="K178" s="50" t="str">
        <x:f>IF(A178="","",IF(AND(ISNUMBER(E178),E178=0,OR(ISNUMBER(SEARCH("Free",D178&amp;"")),AND(ISNUMBER(F178),F178=0))),"Subscription",IF(ISNUMBER(G178),"Profit",IF(ISNUMBER(I178),"Disqualified",IF(ISNUMBER(H178),"Draw",IF(AND(ISNUMBER(F178),ISNUMBER(E178),E178&gt;0,F178&gt;E178),"Profit",IF(AND(ISNUMBER(F178),ISNUMBER(E178),E178&gt;0,F178=E178),"Draw",IF(AND(ISNUMBER(F178),ISNUMBER(E178),E178&gt;0,F178=0),"Disqualified",""))))))))</x:f>
      </x:c>
      <x:c r="L178" s="50"/>
      <x:c r="M178" s="58"/>
      <x:c r="N178" s="58"/>
      <x:c r="O178" s="62"/>
      <x:c r="P178" s="62"/>
      <x:c r="Q178" s="64" t="str">
        <x:f>IF(OR(B178="",C178="",C178&lt;B178),"",ROUNDUP((C178-B178)/7,0))</x:f>
      </x:c>
      <x:c r="R178" s="50"/>
      <x:c r="S178" s="50"/>
      <x:c r="T178" s="54"/>
      <x:c r="U178" s="66" t="str">
        <x:f>IF(A178="","",IF(K178="Subscription","",IF(ISNUMBER(G178),G178,0)-IF(ISNUMBER(I178),I178,0)))</x:f>
      </x:c>
      <x:c r="V178" s="64" t="str">
        <x:f>IF(OR(P178="",O178="",NOT(ISNUMBER(P178)),NOT(ISNUMBER(O178)),O178&gt;P178),"",P178-O178)</x:f>
      </x:c>
      <x:c r="W178" s="67" t="str">
        <x:f>IF(OR(P178="",P178=0,V178=""),"",V178/P178)</x:f>
      </x:c>
    </x:row>
    <x:row r="179" ht="21" customHeight="1">
      <x:c r="A179" s="54"/>
      <x:c r="B179" s="56"/>
      <x:c r="C179" s="56"/>
      <x:c r="D179" s="54"/>
      <x:c r="E179" s="58"/>
      <x:c r="F179" s="58"/>
      <x:c r="G179" s="58"/>
      <x:c r="H179" s="58"/>
      <x:c r="I179" s="58"/>
      <x:c r="J179" s="60" t="str">
        <x:f>IF(A179="","",IF(K179="Subscription","",IF(E179=0,"",IF(ISNUMBER(G179),G179/E179,IF(ISNUMBER(I179),-ABS(I179)/E179,IF(ISNUMBER(H179),0,IF(AND(ISNUMBER(F179),ISNUMBER(E179),E179&gt;0,F179&gt;E179),(F179-E179)/E179,IF(AND(ISNUMBER(F179),ISNUMBER(E179),E179&gt;0,F179=E179),0,IF(AND(ISNUMBER(F179),ISNUMBER(E179),E179&gt;0,F179=0),-1,"")))))))))</x:f>
      </x:c>
      <x:c r="K179" s="50" t="str">
        <x:f>IF(A179="","",IF(AND(ISNUMBER(E179),E179=0,OR(ISNUMBER(SEARCH("Free",D179&amp;"")),AND(ISNUMBER(F179),F179=0))),"Subscription",IF(ISNUMBER(G179),"Profit",IF(ISNUMBER(I179),"Disqualified",IF(ISNUMBER(H179),"Draw",IF(AND(ISNUMBER(F179),ISNUMBER(E179),E179&gt;0,F179&gt;E179),"Profit",IF(AND(ISNUMBER(F179),ISNUMBER(E179),E179&gt;0,F179=E179),"Draw",IF(AND(ISNUMBER(F179),ISNUMBER(E179),E179&gt;0,F179=0),"Disqualified",""))))))))</x:f>
      </x:c>
      <x:c r="L179" s="50"/>
      <x:c r="M179" s="58"/>
      <x:c r="N179" s="58"/>
      <x:c r="O179" s="62"/>
      <x:c r="P179" s="62"/>
      <x:c r="Q179" s="64" t="str">
        <x:f>IF(OR(B179="",C179="",C179&lt;B179),"",ROUNDUP((C179-B179)/7,0))</x:f>
      </x:c>
      <x:c r="R179" s="50"/>
      <x:c r="S179" s="50"/>
      <x:c r="T179" s="54"/>
      <x:c r="U179" s="66" t="str">
        <x:f>IF(A179="","",IF(K179="Subscription","",IF(ISNUMBER(G179),G179,0)-IF(ISNUMBER(I179),I179,0)))</x:f>
      </x:c>
      <x:c r="V179" s="64" t="str">
        <x:f>IF(OR(P179="",O179="",NOT(ISNUMBER(P179)),NOT(ISNUMBER(O179)),O179&gt;P179),"",P179-O179)</x:f>
      </x:c>
      <x:c r="W179" s="67" t="str">
        <x:f>IF(OR(P179="",P179=0,V179=""),"",V179/P179)</x:f>
      </x:c>
    </x:row>
    <x:row r="180" ht="21" customHeight="1">
      <x:c r="A180" s="54"/>
      <x:c r="B180" s="56"/>
      <x:c r="C180" s="56"/>
      <x:c r="D180" s="54"/>
      <x:c r="E180" s="58"/>
      <x:c r="F180" s="58"/>
      <x:c r="G180" s="58"/>
      <x:c r="H180" s="58"/>
      <x:c r="I180" s="58"/>
      <x:c r="J180" s="60" t="str">
        <x:f>IF(A180="","",IF(K180="Subscription","",IF(E180=0,"",IF(ISNUMBER(G180),G180/E180,IF(ISNUMBER(I180),-ABS(I180)/E180,IF(ISNUMBER(H180),0,IF(AND(ISNUMBER(F180),ISNUMBER(E180),E180&gt;0,F180&gt;E180),(F180-E180)/E180,IF(AND(ISNUMBER(F180),ISNUMBER(E180),E180&gt;0,F180=E180),0,IF(AND(ISNUMBER(F180),ISNUMBER(E180),E180&gt;0,F180=0),-1,"")))))))))</x:f>
      </x:c>
      <x:c r="K180" s="50" t="str">
        <x:f>IF(A180="","",IF(AND(ISNUMBER(E180),E180=0,OR(ISNUMBER(SEARCH("Free",D180&amp;"")),AND(ISNUMBER(F180),F180=0))),"Subscription",IF(ISNUMBER(G180),"Profit",IF(ISNUMBER(I180),"Disqualified",IF(ISNUMBER(H180),"Draw",IF(AND(ISNUMBER(F180),ISNUMBER(E180),E180&gt;0,F180&gt;E180),"Profit",IF(AND(ISNUMBER(F180),ISNUMBER(E180),E180&gt;0,F180=E180),"Draw",IF(AND(ISNUMBER(F180),ISNUMBER(E180),E180&gt;0,F180=0),"Disqualified",""))))))))</x:f>
      </x:c>
      <x:c r="L180" s="50"/>
      <x:c r="M180" s="58"/>
      <x:c r="N180" s="58"/>
      <x:c r="O180" s="62"/>
      <x:c r="P180" s="62"/>
      <x:c r="Q180" s="64" t="str">
        <x:f>IF(OR(B180="",C180="",C180&lt;B180),"",ROUNDUP((C180-B180)/7,0))</x:f>
      </x:c>
      <x:c r="R180" s="50"/>
      <x:c r="S180" s="50"/>
      <x:c r="T180" s="54"/>
      <x:c r="U180" s="66" t="str">
        <x:f>IF(A180="","",IF(K180="Subscription","",IF(ISNUMBER(G180),G180,0)-IF(ISNUMBER(I180),I180,0)))</x:f>
      </x:c>
      <x:c r="V180" s="64" t="str">
        <x:f>IF(OR(P180="",O180="",NOT(ISNUMBER(P180)),NOT(ISNUMBER(O180)),O180&gt;P180),"",P180-O180)</x:f>
      </x:c>
      <x:c r="W180" s="67" t="str">
        <x:f>IF(OR(P180="",P180=0,V180=""),"",V180/P180)</x:f>
      </x:c>
    </x:row>
    <x:row r="181" ht="21" customHeight="1">
      <x:c r="A181" s="54"/>
      <x:c r="B181" s="56"/>
      <x:c r="C181" s="56"/>
      <x:c r="D181" s="54"/>
      <x:c r="E181" s="58"/>
      <x:c r="F181" s="58"/>
      <x:c r="G181" s="58"/>
      <x:c r="H181" s="58"/>
      <x:c r="I181" s="58"/>
      <x:c r="J181" s="60" t="str">
        <x:f>IF(A181="","",IF(K181="Subscription","",IF(E181=0,"",IF(ISNUMBER(G181),G181/E181,IF(ISNUMBER(I181),-ABS(I181)/E181,IF(ISNUMBER(H181),0,IF(AND(ISNUMBER(F181),ISNUMBER(E181),E181&gt;0,F181&gt;E181),(F181-E181)/E181,IF(AND(ISNUMBER(F181),ISNUMBER(E181),E181&gt;0,F181=E181),0,IF(AND(ISNUMBER(F181),ISNUMBER(E181),E181&gt;0,F181=0),-1,"")))))))))</x:f>
      </x:c>
      <x:c r="K181" s="50" t="str">
        <x:f>IF(A181="","",IF(AND(ISNUMBER(E181),E181=0,OR(ISNUMBER(SEARCH("Free",D181&amp;"")),AND(ISNUMBER(F181),F181=0))),"Subscription",IF(ISNUMBER(G181),"Profit",IF(ISNUMBER(I181),"Disqualified",IF(ISNUMBER(H181),"Draw",IF(AND(ISNUMBER(F181),ISNUMBER(E181),E181&gt;0,F181&gt;E181),"Profit",IF(AND(ISNUMBER(F181),ISNUMBER(E181),E181&gt;0,F181=E181),"Draw",IF(AND(ISNUMBER(F181),ISNUMBER(E181),E181&gt;0,F181=0),"Disqualified",""))))))))</x:f>
      </x:c>
      <x:c r="L181" s="50"/>
      <x:c r="M181" s="58"/>
      <x:c r="N181" s="58"/>
      <x:c r="O181" s="62"/>
      <x:c r="P181" s="62"/>
      <x:c r="Q181" s="64" t="str">
        <x:f>IF(OR(B181="",C181="",C181&lt;B181),"",ROUNDUP((C181-B181)/7,0))</x:f>
      </x:c>
      <x:c r="R181" s="50"/>
      <x:c r="S181" s="50"/>
      <x:c r="T181" s="54"/>
      <x:c r="U181" s="66" t="str">
        <x:f>IF(A181="","",IF(K181="Subscription","",IF(ISNUMBER(G181),G181,0)-IF(ISNUMBER(I181),I181,0)))</x:f>
      </x:c>
      <x:c r="V181" s="64" t="str">
        <x:f>IF(OR(P181="",O181="",NOT(ISNUMBER(P181)),NOT(ISNUMBER(O181)),O181&gt;P181),"",P181-O181)</x:f>
      </x:c>
      <x:c r="W181" s="67" t="str">
        <x:f>IF(OR(P181="",P181=0,V181=""),"",V181/P181)</x:f>
      </x:c>
    </x:row>
    <x:row r="182" ht="21" customHeight="1">
      <x:c r="A182" s="54"/>
      <x:c r="B182" s="56"/>
      <x:c r="C182" s="56"/>
      <x:c r="D182" s="54"/>
      <x:c r="E182" s="58"/>
      <x:c r="F182" s="58"/>
      <x:c r="G182" s="58"/>
      <x:c r="H182" s="58"/>
      <x:c r="I182" s="58"/>
      <x:c r="J182" s="60" t="str">
        <x:f>IF(A182="","",IF(K182="Subscription","",IF(E182=0,"",IF(ISNUMBER(G182),G182/E182,IF(ISNUMBER(I182),-ABS(I182)/E182,IF(ISNUMBER(H182),0,IF(AND(ISNUMBER(F182),ISNUMBER(E182),E182&gt;0,F182&gt;E182),(F182-E182)/E182,IF(AND(ISNUMBER(F182),ISNUMBER(E182),E182&gt;0,F182=E182),0,IF(AND(ISNUMBER(F182),ISNUMBER(E182),E182&gt;0,F182=0),-1,"")))))))))</x:f>
      </x:c>
      <x:c r="K182" s="50" t="str">
        <x:f>IF(A182="","",IF(AND(ISNUMBER(E182),E182=0,OR(ISNUMBER(SEARCH("Free",D182&amp;"")),AND(ISNUMBER(F182),F182=0))),"Subscription",IF(ISNUMBER(G182),"Profit",IF(ISNUMBER(I182),"Disqualified",IF(ISNUMBER(H182),"Draw",IF(AND(ISNUMBER(F182),ISNUMBER(E182),E182&gt;0,F182&gt;E182),"Profit",IF(AND(ISNUMBER(F182),ISNUMBER(E182),E182&gt;0,F182=E182),"Draw",IF(AND(ISNUMBER(F182),ISNUMBER(E182),E182&gt;0,F182=0),"Disqualified",""))))))))</x:f>
      </x:c>
      <x:c r="L182" s="50"/>
      <x:c r="M182" s="58"/>
      <x:c r="N182" s="58"/>
      <x:c r="O182" s="62"/>
      <x:c r="P182" s="62"/>
      <x:c r="Q182" s="64" t="str">
        <x:f>IF(OR(B182="",C182="",C182&lt;B182),"",ROUNDUP((C182-B182)/7,0))</x:f>
      </x:c>
      <x:c r="R182" s="50"/>
      <x:c r="S182" s="50"/>
      <x:c r="T182" s="54"/>
      <x:c r="U182" s="66" t="str">
        <x:f>IF(A182="","",IF(K182="Subscription","",IF(ISNUMBER(G182),G182,0)-IF(ISNUMBER(I182),I182,0)))</x:f>
      </x:c>
      <x:c r="V182" s="64" t="str">
        <x:f>IF(OR(P182="",O182="",NOT(ISNUMBER(P182)),NOT(ISNUMBER(O182)),O182&gt;P182),"",P182-O182)</x:f>
      </x:c>
      <x:c r="W182" s="67" t="str">
        <x:f>IF(OR(P182="",P182=0,V182=""),"",V182/P182)</x:f>
      </x:c>
    </x:row>
    <x:row r="183" ht="21" customHeight="1">
      <x:c r="A183" s="54"/>
      <x:c r="B183" s="56"/>
      <x:c r="C183" s="56"/>
      <x:c r="D183" s="54"/>
      <x:c r="E183" s="58"/>
      <x:c r="F183" s="58"/>
      <x:c r="G183" s="58"/>
      <x:c r="H183" s="58"/>
      <x:c r="I183" s="58"/>
      <x:c r="J183" s="60" t="str">
        <x:f>IF(A183="","",IF(K183="Subscription","",IF(E183=0,"",IF(ISNUMBER(G183),G183/E183,IF(ISNUMBER(I183),-ABS(I183)/E183,IF(ISNUMBER(H183),0,IF(AND(ISNUMBER(F183),ISNUMBER(E183),E183&gt;0,F183&gt;E183),(F183-E183)/E183,IF(AND(ISNUMBER(F183),ISNUMBER(E183),E183&gt;0,F183=E183),0,IF(AND(ISNUMBER(F183),ISNUMBER(E183),E183&gt;0,F183=0),-1,"")))))))))</x:f>
      </x:c>
      <x:c r="K183" s="50" t="str">
        <x:f>IF(A183="","",IF(AND(ISNUMBER(E183),E183=0,OR(ISNUMBER(SEARCH("Free",D183&amp;"")),AND(ISNUMBER(F183),F183=0))),"Subscription",IF(ISNUMBER(G183),"Profit",IF(ISNUMBER(I183),"Disqualified",IF(ISNUMBER(H183),"Draw",IF(AND(ISNUMBER(F183),ISNUMBER(E183),E183&gt;0,F183&gt;E183),"Profit",IF(AND(ISNUMBER(F183),ISNUMBER(E183),E183&gt;0,F183=E183),"Draw",IF(AND(ISNUMBER(F183),ISNUMBER(E183),E183&gt;0,F183=0),"Disqualified",""))))))))</x:f>
      </x:c>
      <x:c r="L183" s="50"/>
      <x:c r="M183" s="58"/>
      <x:c r="N183" s="58"/>
      <x:c r="O183" s="62"/>
      <x:c r="P183" s="62"/>
      <x:c r="Q183" s="64" t="str">
        <x:f>IF(OR(B183="",C183="",C183&lt;B183),"",ROUNDUP((C183-B183)/7,0))</x:f>
      </x:c>
      <x:c r="R183" s="50"/>
      <x:c r="S183" s="50"/>
      <x:c r="T183" s="54"/>
      <x:c r="U183" s="66" t="str">
        <x:f>IF(A183="","",IF(K183="Subscription","",IF(ISNUMBER(G183),G183,0)-IF(ISNUMBER(I183),I183,0)))</x:f>
      </x:c>
      <x:c r="V183" s="64" t="str">
        <x:f>IF(OR(P183="",O183="",NOT(ISNUMBER(P183)),NOT(ISNUMBER(O183)),O183&gt;P183),"",P183-O183)</x:f>
      </x:c>
      <x:c r="W183" s="67" t="str">
        <x:f>IF(OR(P183="",P183=0,V183=""),"",V183/P183)</x:f>
      </x:c>
    </x:row>
    <x:row r="184" ht="21" customHeight="1">
      <x:c r="A184" s="54"/>
      <x:c r="B184" s="56"/>
      <x:c r="C184" s="56"/>
      <x:c r="D184" s="54"/>
      <x:c r="E184" s="58"/>
      <x:c r="F184" s="58"/>
      <x:c r="G184" s="58"/>
      <x:c r="H184" s="58"/>
      <x:c r="I184" s="58"/>
      <x:c r="J184" s="60" t="str">
        <x:f>IF(A184="","",IF(K184="Subscription","",IF(E184=0,"",IF(ISNUMBER(G184),G184/E184,IF(ISNUMBER(I184),-ABS(I184)/E184,IF(ISNUMBER(H184),0,IF(AND(ISNUMBER(F184),ISNUMBER(E184),E184&gt;0,F184&gt;E184),(F184-E184)/E184,IF(AND(ISNUMBER(F184),ISNUMBER(E184),E184&gt;0,F184=E184),0,IF(AND(ISNUMBER(F184),ISNUMBER(E184),E184&gt;0,F184=0),-1,"")))))))))</x:f>
      </x:c>
      <x:c r="K184" s="50" t="str">
        <x:f>IF(A184="","",IF(AND(ISNUMBER(E184),E184=0,OR(ISNUMBER(SEARCH("Free",D184&amp;"")),AND(ISNUMBER(F184),F184=0))),"Subscription",IF(ISNUMBER(G184),"Profit",IF(ISNUMBER(I184),"Disqualified",IF(ISNUMBER(H184),"Draw",IF(AND(ISNUMBER(F184),ISNUMBER(E184),E184&gt;0,F184&gt;E184),"Profit",IF(AND(ISNUMBER(F184),ISNUMBER(E184),E184&gt;0,F184=E184),"Draw",IF(AND(ISNUMBER(F184),ISNUMBER(E184),E184&gt;0,F184=0),"Disqualified",""))))))))</x:f>
      </x:c>
      <x:c r="L184" s="50"/>
      <x:c r="M184" s="58"/>
      <x:c r="N184" s="58"/>
      <x:c r="O184" s="62"/>
      <x:c r="P184" s="62"/>
      <x:c r="Q184" s="64" t="str">
        <x:f>IF(OR(B184="",C184="",C184&lt;B184),"",ROUNDUP((C184-B184)/7,0))</x:f>
      </x:c>
      <x:c r="R184" s="50"/>
      <x:c r="S184" s="50"/>
      <x:c r="T184" s="54"/>
      <x:c r="U184" s="66" t="str">
        <x:f>IF(A184="","",IF(K184="Subscription","",IF(ISNUMBER(G184),G184,0)-IF(ISNUMBER(I184),I184,0)))</x:f>
      </x:c>
      <x:c r="V184" s="64" t="str">
        <x:f>IF(OR(P184="",O184="",NOT(ISNUMBER(P184)),NOT(ISNUMBER(O184)),O184&gt;P184),"",P184-O184)</x:f>
      </x:c>
      <x:c r="W184" s="67" t="str">
        <x:f>IF(OR(P184="",P184=0,V184=""),"",V184/P184)</x:f>
      </x:c>
    </x:row>
    <x:row r="185" ht="21" customHeight="1">
      <x:c r="A185" s="54"/>
      <x:c r="B185" s="56"/>
      <x:c r="C185" s="56"/>
      <x:c r="D185" s="54"/>
      <x:c r="E185" s="58"/>
      <x:c r="F185" s="58"/>
      <x:c r="G185" s="58"/>
      <x:c r="H185" s="58"/>
      <x:c r="I185" s="58"/>
      <x:c r="J185" s="60" t="str">
        <x:f>IF(A185="","",IF(K185="Subscription","",IF(E185=0,"",IF(ISNUMBER(G185),G185/E185,IF(ISNUMBER(I185),-ABS(I185)/E185,IF(ISNUMBER(H185),0,IF(AND(ISNUMBER(F185),ISNUMBER(E185),E185&gt;0,F185&gt;E185),(F185-E185)/E185,IF(AND(ISNUMBER(F185),ISNUMBER(E185),E185&gt;0,F185=E185),0,IF(AND(ISNUMBER(F185),ISNUMBER(E185),E185&gt;0,F185=0),-1,"")))))))))</x:f>
      </x:c>
      <x:c r="K185" s="50" t="str">
        <x:f>IF(A185="","",IF(AND(ISNUMBER(E185),E185=0,OR(ISNUMBER(SEARCH("Free",D185&amp;"")),AND(ISNUMBER(F185),F185=0))),"Subscription",IF(ISNUMBER(G185),"Profit",IF(ISNUMBER(I185),"Disqualified",IF(ISNUMBER(H185),"Draw",IF(AND(ISNUMBER(F185),ISNUMBER(E185),E185&gt;0,F185&gt;E185),"Profit",IF(AND(ISNUMBER(F185),ISNUMBER(E185),E185&gt;0,F185=E185),"Draw",IF(AND(ISNUMBER(F185),ISNUMBER(E185),E185&gt;0,F185=0),"Disqualified",""))))))))</x:f>
      </x:c>
      <x:c r="L185" s="50"/>
      <x:c r="M185" s="58"/>
      <x:c r="N185" s="58"/>
      <x:c r="O185" s="62"/>
      <x:c r="P185" s="62"/>
      <x:c r="Q185" s="64" t="str">
        <x:f>IF(OR(B185="",C185="",C185&lt;B185),"",ROUNDUP((C185-B185)/7,0))</x:f>
      </x:c>
      <x:c r="R185" s="50"/>
      <x:c r="S185" s="50"/>
      <x:c r="T185" s="54"/>
      <x:c r="U185" s="66" t="str">
        <x:f>IF(A185="","",IF(K185="Subscription","",IF(ISNUMBER(G185),G185,0)-IF(ISNUMBER(I185),I185,0)))</x:f>
      </x:c>
      <x:c r="V185" s="64" t="str">
        <x:f>IF(OR(P185="",O185="",NOT(ISNUMBER(P185)),NOT(ISNUMBER(O185)),O185&gt;P185),"",P185-O185)</x:f>
      </x:c>
      <x:c r="W185" s="67" t="str">
        <x:f>IF(OR(P185="",P185=0,V185=""),"",V185/P185)</x:f>
      </x:c>
    </x:row>
    <x:row r="186" ht="21" customHeight="1">
      <x:c r="A186" s="54"/>
      <x:c r="B186" s="56"/>
      <x:c r="C186" s="56"/>
      <x:c r="D186" s="54"/>
      <x:c r="E186" s="58"/>
      <x:c r="F186" s="58"/>
      <x:c r="G186" s="58"/>
      <x:c r="H186" s="58"/>
      <x:c r="I186" s="58"/>
      <x:c r="J186" s="60" t="str">
        <x:f>IF(A186="","",IF(K186="Subscription","",IF(E186=0,"",IF(ISNUMBER(G186),G186/E186,IF(ISNUMBER(I186),-ABS(I186)/E186,IF(ISNUMBER(H186),0,IF(AND(ISNUMBER(F186),ISNUMBER(E186),E186&gt;0,F186&gt;E186),(F186-E186)/E186,IF(AND(ISNUMBER(F186),ISNUMBER(E186),E186&gt;0,F186=E186),0,IF(AND(ISNUMBER(F186),ISNUMBER(E186),E186&gt;0,F186=0),-1,"")))))))))</x:f>
      </x:c>
      <x:c r="K186" s="50" t="str">
        <x:f>IF(A186="","",IF(AND(ISNUMBER(E186),E186=0,OR(ISNUMBER(SEARCH("Free",D186&amp;"")),AND(ISNUMBER(F186),F186=0))),"Subscription",IF(ISNUMBER(G186),"Profit",IF(ISNUMBER(I186),"Disqualified",IF(ISNUMBER(H186),"Draw",IF(AND(ISNUMBER(F186),ISNUMBER(E186),E186&gt;0,F186&gt;E186),"Profit",IF(AND(ISNUMBER(F186),ISNUMBER(E186),E186&gt;0,F186=E186),"Draw",IF(AND(ISNUMBER(F186),ISNUMBER(E186),E186&gt;0,F186=0),"Disqualified",""))))))))</x:f>
      </x:c>
      <x:c r="L186" s="50"/>
      <x:c r="M186" s="58"/>
      <x:c r="N186" s="58"/>
      <x:c r="O186" s="62"/>
      <x:c r="P186" s="62"/>
      <x:c r="Q186" s="64" t="str">
        <x:f>IF(OR(B186="",C186="",C186&lt;B186),"",ROUNDUP((C186-B186)/7,0))</x:f>
      </x:c>
      <x:c r="R186" s="50"/>
      <x:c r="S186" s="50"/>
      <x:c r="T186" s="54"/>
      <x:c r="U186" s="66" t="str">
        <x:f>IF(A186="","",IF(K186="Subscription","",IF(ISNUMBER(G186),G186,0)-IF(ISNUMBER(I186),I186,0)))</x:f>
      </x:c>
      <x:c r="V186" s="64" t="str">
        <x:f>IF(OR(P186="",O186="",NOT(ISNUMBER(P186)),NOT(ISNUMBER(O186)),O186&gt;P186),"",P186-O186)</x:f>
      </x:c>
      <x:c r="W186" s="67" t="str">
        <x:f>IF(OR(P186="",P186=0,V186=""),"",V186/P186)</x:f>
      </x:c>
    </x:row>
    <x:row r="187" ht="21" customHeight="1">
      <x:c r="A187" s="54"/>
      <x:c r="B187" s="56"/>
      <x:c r="C187" s="56"/>
      <x:c r="D187" s="54"/>
      <x:c r="E187" s="58"/>
      <x:c r="F187" s="58"/>
      <x:c r="G187" s="58"/>
      <x:c r="H187" s="58"/>
      <x:c r="I187" s="58"/>
      <x:c r="J187" s="60" t="str">
        <x:f>IF(A187="","",IF(K187="Subscription","",IF(E187=0,"",IF(ISNUMBER(G187),G187/E187,IF(ISNUMBER(I187),-ABS(I187)/E187,IF(ISNUMBER(H187),0,IF(AND(ISNUMBER(F187),ISNUMBER(E187),E187&gt;0,F187&gt;E187),(F187-E187)/E187,IF(AND(ISNUMBER(F187),ISNUMBER(E187),E187&gt;0,F187=E187),0,IF(AND(ISNUMBER(F187),ISNUMBER(E187),E187&gt;0,F187=0),-1,"")))))))))</x:f>
      </x:c>
      <x:c r="K187" s="50" t="str">
        <x:f>IF(A187="","",IF(AND(ISNUMBER(E187),E187=0,OR(ISNUMBER(SEARCH("Free",D187&amp;"")),AND(ISNUMBER(F187),F187=0))),"Subscription",IF(ISNUMBER(G187),"Profit",IF(ISNUMBER(I187),"Disqualified",IF(ISNUMBER(H187),"Draw",IF(AND(ISNUMBER(F187),ISNUMBER(E187),E187&gt;0,F187&gt;E187),"Profit",IF(AND(ISNUMBER(F187),ISNUMBER(E187),E187&gt;0,F187=E187),"Draw",IF(AND(ISNUMBER(F187),ISNUMBER(E187),E187&gt;0,F187=0),"Disqualified",""))))))))</x:f>
      </x:c>
      <x:c r="L187" s="50"/>
      <x:c r="M187" s="58"/>
      <x:c r="N187" s="58"/>
      <x:c r="O187" s="62"/>
      <x:c r="P187" s="62"/>
      <x:c r="Q187" s="64" t="str">
        <x:f>IF(OR(B187="",C187="",C187&lt;B187),"",ROUNDUP((C187-B187)/7,0))</x:f>
      </x:c>
      <x:c r="R187" s="50"/>
      <x:c r="S187" s="50"/>
      <x:c r="T187" s="54"/>
      <x:c r="U187" s="66" t="str">
        <x:f>IF(A187="","",IF(K187="Subscription","",IF(ISNUMBER(G187),G187,0)-IF(ISNUMBER(I187),I187,0)))</x:f>
      </x:c>
      <x:c r="V187" s="64" t="str">
        <x:f>IF(OR(P187="",O187="",NOT(ISNUMBER(P187)),NOT(ISNUMBER(O187)),O187&gt;P187),"",P187-O187)</x:f>
      </x:c>
      <x:c r="W187" s="67" t="str">
        <x:f>IF(OR(P187="",P187=0,V187=""),"",V187/P187)</x:f>
      </x:c>
    </x:row>
    <x:row r="188" ht="21" customHeight="1">
      <x:c r="A188" s="54"/>
      <x:c r="B188" s="56"/>
      <x:c r="C188" s="56"/>
      <x:c r="D188" s="54"/>
      <x:c r="E188" s="58"/>
      <x:c r="F188" s="58"/>
      <x:c r="G188" s="58"/>
      <x:c r="H188" s="58"/>
      <x:c r="I188" s="58"/>
      <x:c r="J188" s="60" t="str">
        <x:f>IF(A188="","",IF(K188="Subscription","",IF(E188=0,"",IF(ISNUMBER(G188),G188/E188,IF(ISNUMBER(I188),-ABS(I188)/E188,IF(ISNUMBER(H188),0,IF(AND(ISNUMBER(F188),ISNUMBER(E188),E188&gt;0,F188&gt;E188),(F188-E188)/E188,IF(AND(ISNUMBER(F188),ISNUMBER(E188),E188&gt;0,F188=E188),0,IF(AND(ISNUMBER(F188),ISNUMBER(E188),E188&gt;0,F188=0),-1,"")))))))))</x:f>
      </x:c>
      <x:c r="K188" s="50" t="str">
        <x:f>IF(A188="","",IF(AND(ISNUMBER(E188),E188=0,OR(ISNUMBER(SEARCH("Free",D188&amp;"")),AND(ISNUMBER(F188),F188=0))),"Subscription",IF(ISNUMBER(G188),"Profit",IF(ISNUMBER(I188),"Disqualified",IF(ISNUMBER(H188),"Draw",IF(AND(ISNUMBER(F188),ISNUMBER(E188),E188&gt;0,F188&gt;E188),"Profit",IF(AND(ISNUMBER(F188),ISNUMBER(E188),E188&gt;0,F188=E188),"Draw",IF(AND(ISNUMBER(F188),ISNUMBER(E188),E188&gt;0,F188=0),"Disqualified",""))))))))</x:f>
      </x:c>
      <x:c r="L188" s="50"/>
      <x:c r="M188" s="58"/>
      <x:c r="N188" s="58"/>
      <x:c r="O188" s="62"/>
      <x:c r="P188" s="62"/>
      <x:c r="Q188" s="64" t="str">
        <x:f>IF(OR(B188="",C188="",C188&lt;B188),"",ROUNDUP((C188-B188)/7,0))</x:f>
      </x:c>
      <x:c r="R188" s="50"/>
      <x:c r="S188" s="50"/>
      <x:c r="T188" s="54"/>
      <x:c r="U188" s="66" t="str">
        <x:f>IF(A188="","",IF(K188="Subscription","",IF(ISNUMBER(G188),G188,0)-IF(ISNUMBER(I188),I188,0)))</x:f>
      </x:c>
      <x:c r="V188" s="64" t="str">
        <x:f>IF(OR(P188="",O188="",NOT(ISNUMBER(P188)),NOT(ISNUMBER(O188)),O188&gt;P188),"",P188-O188)</x:f>
      </x:c>
      <x:c r="W188" s="67" t="str">
        <x:f>IF(OR(P188="",P188=0,V188=""),"",V188/P188)</x:f>
      </x:c>
    </x:row>
    <x:row r="189" ht="21" customHeight="1">
      <x:c r="A189" s="54"/>
      <x:c r="B189" s="56"/>
      <x:c r="C189" s="56"/>
      <x:c r="D189" s="54"/>
      <x:c r="E189" s="58"/>
      <x:c r="F189" s="58"/>
      <x:c r="G189" s="58"/>
      <x:c r="H189" s="58"/>
      <x:c r="I189" s="58"/>
      <x:c r="J189" s="60" t="str">
        <x:f>IF(A189="","",IF(K189="Subscription","",IF(E189=0,"",IF(ISNUMBER(G189),G189/E189,IF(ISNUMBER(I189),-ABS(I189)/E189,IF(ISNUMBER(H189),0,IF(AND(ISNUMBER(F189),ISNUMBER(E189),E189&gt;0,F189&gt;E189),(F189-E189)/E189,IF(AND(ISNUMBER(F189),ISNUMBER(E189),E189&gt;0,F189=E189),0,IF(AND(ISNUMBER(F189),ISNUMBER(E189),E189&gt;0,F189=0),-1,"")))))))))</x:f>
      </x:c>
      <x:c r="K189" s="50" t="str">
        <x:f>IF(A189="","",IF(AND(ISNUMBER(E189),E189=0,OR(ISNUMBER(SEARCH("Free",D189&amp;"")),AND(ISNUMBER(F189),F189=0))),"Subscription",IF(ISNUMBER(G189),"Profit",IF(ISNUMBER(I189),"Disqualified",IF(ISNUMBER(H189),"Draw",IF(AND(ISNUMBER(F189),ISNUMBER(E189),E189&gt;0,F189&gt;E189),"Profit",IF(AND(ISNUMBER(F189),ISNUMBER(E189),E189&gt;0,F189=E189),"Draw",IF(AND(ISNUMBER(F189),ISNUMBER(E189),E189&gt;0,F189=0),"Disqualified",""))))))))</x:f>
      </x:c>
      <x:c r="L189" s="50"/>
      <x:c r="M189" s="58"/>
      <x:c r="N189" s="58"/>
      <x:c r="O189" s="62"/>
      <x:c r="P189" s="62"/>
      <x:c r="Q189" s="64" t="str">
        <x:f>IF(OR(B189="",C189="",C189&lt;B189),"",ROUNDUP((C189-B189)/7,0))</x:f>
      </x:c>
      <x:c r="R189" s="50"/>
      <x:c r="S189" s="50"/>
      <x:c r="T189" s="54"/>
      <x:c r="U189" s="66" t="str">
        <x:f>IF(A189="","",IF(K189="Subscription","",IF(ISNUMBER(G189),G189,0)-IF(ISNUMBER(I189),I189,0)))</x:f>
      </x:c>
      <x:c r="V189" s="64" t="str">
        <x:f>IF(OR(P189="",O189="",NOT(ISNUMBER(P189)),NOT(ISNUMBER(O189)),O189&gt;P189),"",P189-O189)</x:f>
      </x:c>
      <x:c r="W189" s="67" t="str">
        <x:f>IF(OR(P189="",P189=0,V189=""),"",V189/P189)</x:f>
      </x:c>
    </x:row>
    <x:row r="190" ht="21" customHeight="1">
      <x:c r="A190" s="54"/>
      <x:c r="B190" s="56"/>
      <x:c r="C190" s="56"/>
      <x:c r="D190" s="54"/>
      <x:c r="E190" s="58"/>
      <x:c r="F190" s="58"/>
      <x:c r="G190" s="58"/>
      <x:c r="H190" s="58"/>
      <x:c r="I190" s="58"/>
      <x:c r="J190" s="60" t="str">
        <x:f>IF(A190="","",IF(K190="Subscription","",IF(E190=0,"",IF(ISNUMBER(G190),G190/E190,IF(ISNUMBER(I190),-ABS(I190)/E190,IF(ISNUMBER(H190),0,IF(AND(ISNUMBER(F190),ISNUMBER(E190),E190&gt;0,F190&gt;E190),(F190-E190)/E190,IF(AND(ISNUMBER(F190),ISNUMBER(E190),E190&gt;0,F190=E190),0,IF(AND(ISNUMBER(F190),ISNUMBER(E190),E190&gt;0,F190=0),-1,"")))))))))</x:f>
      </x:c>
      <x:c r="K190" s="50" t="str">
        <x:f>IF(A190="","",IF(AND(ISNUMBER(E190),E190=0,OR(ISNUMBER(SEARCH("Free",D190&amp;"")),AND(ISNUMBER(F190),F190=0))),"Subscription",IF(ISNUMBER(G190),"Profit",IF(ISNUMBER(I190),"Disqualified",IF(ISNUMBER(H190),"Draw",IF(AND(ISNUMBER(F190),ISNUMBER(E190),E190&gt;0,F190&gt;E190),"Profit",IF(AND(ISNUMBER(F190),ISNUMBER(E190),E190&gt;0,F190=E190),"Draw",IF(AND(ISNUMBER(F190),ISNUMBER(E190),E190&gt;0,F190=0),"Disqualified",""))))))))</x:f>
      </x:c>
      <x:c r="L190" s="50"/>
      <x:c r="M190" s="58"/>
      <x:c r="N190" s="58"/>
      <x:c r="O190" s="62"/>
      <x:c r="P190" s="62"/>
      <x:c r="Q190" s="64" t="str">
        <x:f>IF(OR(B190="",C190="",C190&lt;B190),"",ROUNDUP((C190-B190)/7,0))</x:f>
      </x:c>
      <x:c r="R190" s="50"/>
      <x:c r="S190" s="50"/>
      <x:c r="T190" s="54"/>
      <x:c r="U190" s="66" t="str">
        <x:f>IF(A190="","",IF(K190="Subscription","",IF(ISNUMBER(G190),G190,0)-IF(ISNUMBER(I190),I190,0)))</x:f>
      </x:c>
      <x:c r="V190" s="64" t="str">
        <x:f>IF(OR(P190="",O190="",NOT(ISNUMBER(P190)),NOT(ISNUMBER(O190)),O190&gt;P190),"",P190-O190)</x:f>
      </x:c>
      <x:c r="W190" s="67" t="str">
        <x:f>IF(OR(P190="",P190=0,V190=""),"",V190/P190)</x:f>
      </x:c>
    </x:row>
    <x:row r="191" ht="21" customHeight="1">
      <x:c r="A191" s="54"/>
      <x:c r="B191" s="56"/>
      <x:c r="C191" s="56"/>
      <x:c r="D191" s="54"/>
      <x:c r="E191" s="58"/>
      <x:c r="F191" s="58"/>
      <x:c r="G191" s="58"/>
      <x:c r="H191" s="58"/>
      <x:c r="I191" s="58"/>
      <x:c r="J191" s="60" t="str">
        <x:f>IF(A191="","",IF(K191="Subscription","",IF(E191=0,"",IF(ISNUMBER(G191),G191/E191,IF(ISNUMBER(I191),-ABS(I191)/E191,IF(ISNUMBER(H191),0,IF(AND(ISNUMBER(F191),ISNUMBER(E191),E191&gt;0,F191&gt;E191),(F191-E191)/E191,IF(AND(ISNUMBER(F191),ISNUMBER(E191),E191&gt;0,F191=E191),0,IF(AND(ISNUMBER(F191),ISNUMBER(E191),E191&gt;0,F191=0),-1,"")))))))))</x:f>
      </x:c>
      <x:c r="K191" s="50" t="str">
        <x:f>IF(A191="","",IF(AND(ISNUMBER(E191),E191=0,OR(ISNUMBER(SEARCH("Free",D191&amp;"")),AND(ISNUMBER(F191),F191=0))),"Subscription",IF(ISNUMBER(G191),"Profit",IF(ISNUMBER(I191),"Disqualified",IF(ISNUMBER(H191),"Draw",IF(AND(ISNUMBER(F191),ISNUMBER(E191),E191&gt;0,F191&gt;E191),"Profit",IF(AND(ISNUMBER(F191),ISNUMBER(E191),E191&gt;0,F191=E191),"Draw",IF(AND(ISNUMBER(F191),ISNUMBER(E191),E191&gt;0,F191=0),"Disqualified",""))))))))</x:f>
      </x:c>
      <x:c r="L191" s="50"/>
      <x:c r="M191" s="58"/>
      <x:c r="N191" s="58"/>
      <x:c r="O191" s="62"/>
      <x:c r="P191" s="62"/>
      <x:c r="Q191" s="64" t="str">
        <x:f>IF(OR(B191="",C191="",C191&lt;B191),"",ROUNDUP((C191-B191)/7,0))</x:f>
      </x:c>
      <x:c r="R191" s="50"/>
      <x:c r="S191" s="50"/>
      <x:c r="T191" s="54"/>
      <x:c r="U191" s="66" t="str">
        <x:f>IF(A191="","",IF(K191="Subscription","",IF(ISNUMBER(G191),G191,0)-IF(ISNUMBER(I191),I191,0)))</x:f>
      </x:c>
      <x:c r="V191" s="64" t="str">
        <x:f>IF(OR(P191="",O191="",NOT(ISNUMBER(P191)),NOT(ISNUMBER(O191)),O191&gt;P191),"",P191-O191)</x:f>
      </x:c>
      <x:c r="W191" s="67" t="str">
        <x:f>IF(OR(P191="",P191=0,V191=""),"",V191/P191)</x:f>
      </x:c>
    </x:row>
    <x:row r="192" ht="21" customHeight="1">
      <x:c r="A192" s="54"/>
      <x:c r="B192" s="56"/>
      <x:c r="C192" s="56"/>
      <x:c r="D192" s="54"/>
      <x:c r="E192" s="58"/>
      <x:c r="F192" s="58"/>
      <x:c r="G192" s="58"/>
      <x:c r="H192" s="58"/>
      <x:c r="I192" s="58"/>
      <x:c r="J192" s="60" t="str">
        <x:f>IF(A192="","",IF(K192="Subscription","",IF(E192=0,"",IF(ISNUMBER(G192),G192/E192,IF(ISNUMBER(I192),-ABS(I192)/E192,IF(ISNUMBER(H192),0,IF(AND(ISNUMBER(F192),ISNUMBER(E192),E192&gt;0,F192&gt;E192),(F192-E192)/E192,IF(AND(ISNUMBER(F192),ISNUMBER(E192),E192&gt;0,F192=E192),0,IF(AND(ISNUMBER(F192),ISNUMBER(E192),E192&gt;0,F192=0),-1,"")))))))))</x:f>
      </x:c>
      <x:c r="K192" s="50" t="str">
        <x:f>IF(A192="","",IF(AND(ISNUMBER(E192),E192=0,OR(ISNUMBER(SEARCH("Free",D192&amp;"")),AND(ISNUMBER(F192),F192=0))),"Subscription",IF(ISNUMBER(G192),"Profit",IF(ISNUMBER(I192),"Disqualified",IF(ISNUMBER(H192),"Draw",IF(AND(ISNUMBER(F192),ISNUMBER(E192),E192&gt;0,F192&gt;E192),"Profit",IF(AND(ISNUMBER(F192),ISNUMBER(E192),E192&gt;0,F192=E192),"Draw",IF(AND(ISNUMBER(F192),ISNUMBER(E192),E192&gt;0,F192=0),"Disqualified",""))))))))</x:f>
      </x:c>
      <x:c r="L192" s="50"/>
      <x:c r="M192" s="58"/>
      <x:c r="N192" s="58"/>
      <x:c r="O192" s="62"/>
      <x:c r="P192" s="62"/>
      <x:c r="Q192" s="64" t="str">
        <x:f>IF(OR(B192="",C192="",C192&lt;B192),"",ROUNDUP((C192-B192)/7,0))</x:f>
      </x:c>
      <x:c r="R192" s="50"/>
      <x:c r="S192" s="50"/>
      <x:c r="T192" s="54"/>
      <x:c r="U192" s="66" t="str">
        <x:f>IF(A192="","",IF(K192="Subscription","",IF(ISNUMBER(G192),G192,0)-IF(ISNUMBER(I192),I192,0)))</x:f>
      </x:c>
      <x:c r="V192" s="64" t="str">
        <x:f>IF(OR(P192="",O192="",NOT(ISNUMBER(P192)),NOT(ISNUMBER(O192)),O192&gt;P192),"",P192-O192)</x:f>
      </x:c>
      <x:c r="W192" s="67" t="str">
        <x:f>IF(OR(P192="",P192=0,V192=""),"",V192/P192)</x:f>
      </x:c>
    </x:row>
    <x:row r="193" ht="21" customHeight="1">
      <x:c r="A193" s="54"/>
      <x:c r="B193" s="56"/>
      <x:c r="C193" s="56"/>
      <x:c r="D193" s="54"/>
      <x:c r="E193" s="58"/>
      <x:c r="F193" s="58"/>
      <x:c r="G193" s="58"/>
      <x:c r="H193" s="58"/>
      <x:c r="I193" s="58"/>
      <x:c r="J193" s="60" t="str">
        <x:f>IF(A193="","",IF(K193="Subscription","",IF(E193=0,"",IF(ISNUMBER(G193),G193/E193,IF(ISNUMBER(I193),-ABS(I193)/E193,IF(ISNUMBER(H193),0,IF(AND(ISNUMBER(F193),ISNUMBER(E193),E193&gt;0,F193&gt;E193),(F193-E193)/E193,IF(AND(ISNUMBER(F193),ISNUMBER(E193),E193&gt;0,F193=E193),0,IF(AND(ISNUMBER(F193),ISNUMBER(E193),E193&gt;0,F193=0),-1,"")))))))))</x:f>
      </x:c>
      <x:c r="K193" s="50" t="str">
        <x:f>IF(A193="","",IF(AND(ISNUMBER(E193),E193=0,OR(ISNUMBER(SEARCH("Free",D193&amp;"")),AND(ISNUMBER(F193),F193=0))),"Subscription",IF(ISNUMBER(G193),"Profit",IF(ISNUMBER(I193),"Disqualified",IF(ISNUMBER(H193),"Draw",IF(AND(ISNUMBER(F193),ISNUMBER(E193),E193&gt;0,F193&gt;E193),"Profit",IF(AND(ISNUMBER(F193),ISNUMBER(E193),E193&gt;0,F193=E193),"Draw",IF(AND(ISNUMBER(F193),ISNUMBER(E193),E193&gt;0,F193=0),"Disqualified",""))))))))</x:f>
      </x:c>
      <x:c r="L193" s="50"/>
      <x:c r="M193" s="58"/>
      <x:c r="N193" s="58"/>
      <x:c r="O193" s="62"/>
      <x:c r="P193" s="62"/>
      <x:c r="Q193" s="64" t="str">
        <x:f>IF(OR(B193="",C193="",C193&lt;B193),"",ROUNDUP((C193-B193)/7,0))</x:f>
      </x:c>
      <x:c r="R193" s="50"/>
      <x:c r="S193" s="50"/>
      <x:c r="T193" s="54"/>
      <x:c r="U193" s="66" t="str">
        <x:f>IF(A193="","",IF(K193="Subscription","",IF(ISNUMBER(G193),G193,0)-IF(ISNUMBER(I193),I193,0)))</x:f>
      </x:c>
      <x:c r="V193" s="64" t="str">
        <x:f>IF(OR(P193="",O193="",NOT(ISNUMBER(P193)),NOT(ISNUMBER(O193)),O193&gt;P193),"",P193-O193)</x:f>
      </x:c>
      <x:c r="W193" s="67" t="str">
        <x:f>IF(OR(P193="",P193=0,V193=""),"",V193/P193)</x:f>
      </x:c>
    </x:row>
    <x:row r="194" ht="21" customHeight="1">
      <x:c r="A194" s="54"/>
      <x:c r="B194" s="56"/>
      <x:c r="C194" s="56"/>
      <x:c r="D194" s="54"/>
      <x:c r="E194" s="58"/>
      <x:c r="F194" s="58"/>
      <x:c r="G194" s="58"/>
      <x:c r="H194" s="58"/>
      <x:c r="I194" s="58"/>
      <x:c r="J194" s="60" t="str">
        <x:f>IF(A194="","",IF(K194="Subscription","",IF(E194=0,"",IF(ISNUMBER(G194),G194/E194,IF(ISNUMBER(I194),-ABS(I194)/E194,IF(ISNUMBER(H194),0,IF(AND(ISNUMBER(F194),ISNUMBER(E194),E194&gt;0,F194&gt;E194),(F194-E194)/E194,IF(AND(ISNUMBER(F194),ISNUMBER(E194),E194&gt;0,F194=E194),0,IF(AND(ISNUMBER(F194),ISNUMBER(E194),E194&gt;0,F194=0),-1,"")))))))))</x:f>
      </x:c>
      <x:c r="K194" s="50" t="str">
        <x:f>IF(A194="","",IF(AND(ISNUMBER(E194),E194=0,OR(ISNUMBER(SEARCH("Free",D194&amp;"")),AND(ISNUMBER(F194),F194=0))),"Subscription",IF(ISNUMBER(G194),"Profit",IF(ISNUMBER(I194),"Disqualified",IF(ISNUMBER(H194),"Draw",IF(AND(ISNUMBER(F194),ISNUMBER(E194),E194&gt;0,F194&gt;E194),"Profit",IF(AND(ISNUMBER(F194),ISNUMBER(E194),E194&gt;0,F194=E194),"Draw",IF(AND(ISNUMBER(F194),ISNUMBER(E194),E194&gt;0,F194=0),"Disqualified",""))))))))</x:f>
      </x:c>
      <x:c r="L194" s="50"/>
      <x:c r="M194" s="58"/>
      <x:c r="N194" s="58"/>
      <x:c r="O194" s="62"/>
      <x:c r="P194" s="62"/>
      <x:c r="Q194" s="64" t="str">
        <x:f>IF(OR(B194="",C194="",C194&lt;B194),"",ROUNDUP((C194-B194)/7,0))</x:f>
      </x:c>
      <x:c r="R194" s="50"/>
      <x:c r="S194" s="50"/>
      <x:c r="T194" s="54"/>
      <x:c r="U194" s="66" t="str">
        <x:f>IF(A194="","",IF(K194="Subscription","",IF(ISNUMBER(G194),G194,0)-IF(ISNUMBER(I194),I194,0)))</x:f>
      </x:c>
      <x:c r="V194" s="64" t="str">
        <x:f>IF(OR(P194="",O194="",NOT(ISNUMBER(P194)),NOT(ISNUMBER(O194)),O194&gt;P194),"",P194-O194)</x:f>
      </x:c>
      <x:c r="W194" s="67" t="str">
        <x:f>IF(OR(P194="",P194=0,V194=""),"",V194/P194)</x:f>
      </x:c>
    </x:row>
    <x:row r="195" ht="21" customHeight="1">
      <x:c r="A195" s="54"/>
      <x:c r="B195" s="56"/>
      <x:c r="C195" s="56"/>
      <x:c r="D195" s="54"/>
      <x:c r="E195" s="58"/>
      <x:c r="F195" s="58"/>
      <x:c r="G195" s="58"/>
      <x:c r="H195" s="58"/>
      <x:c r="I195" s="58"/>
      <x:c r="J195" s="60" t="str">
        <x:f>IF(A195="","",IF(K195="Subscription","",IF(E195=0,"",IF(ISNUMBER(G195),G195/E195,IF(ISNUMBER(I195),-ABS(I195)/E195,IF(ISNUMBER(H195),0,IF(AND(ISNUMBER(F195),ISNUMBER(E195),E195&gt;0,F195&gt;E195),(F195-E195)/E195,IF(AND(ISNUMBER(F195),ISNUMBER(E195),E195&gt;0,F195=E195),0,IF(AND(ISNUMBER(F195),ISNUMBER(E195),E195&gt;0,F195=0),-1,"")))))))))</x:f>
      </x:c>
      <x:c r="K195" s="50" t="str">
        <x:f>IF(A195="","",IF(AND(ISNUMBER(E195),E195=0,OR(ISNUMBER(SEARCH("Free",D195&amp;"")),AND(ISNUMBER(F195),F195=0))),"Subscription",IF(ISNUMBER(G195),"Profit",IF(ISNUMBER(I195),"Disqualified",IF(ISNUMBER(H195),"Draw",IF(AND(ISNUMBER(F195),ISNUMBER(E195),E195&gt;0,F195&gt;E195),"Profit",IF(AND(ISNUMBER(F195),ISNUMBER(E195),E195&gt;0,F195=E195),"Draw",IF(AND(ISNUMBER(F195),ISNUMBER(E195),E195&gt;0,F195=0),"Disqualified",""))))))))</x:f>
      </x:c>
      <x:c r="L195" s="50"/>
      <x:c r="M195" s="58"/>
      <x:c r="N195" s="58"/>
      <x:c r="O195" s="62"/>
      <x:c r="P195" s="62"/>
      <x:c r="Q195" s="64" t="str">
        <x:f>IF(OR(B195="",C195="",C195&lt;B195),"",ROUNDUP((C195-B195)/7,0))</x:f>
      </x:c>
      <x:c r="R195" s="50"/>
      <x:c r="S195" s="50"/>
      <x:c r="T195" s="54"/>
      <x:c r="U195" s="66" t="str">
        <x:f>IF(A195="","",IF(K195="Subscription","",IF(ISNUMBER(G195),G195,0)-IF(ISNUMBER(I195),I195,0)))</x:f>
      </x:c>
      <x:c r="V195" s="64" t="str">
        <x:f>IF(OR(P195="",O195="",NOT(ISNUMBER(P195)),NOT(ISNUMBER(O195)),O195&gt;P195),"",P195-O195)</x:f>
      </x:c>
      <x:c r="W195" s="67" t="str">
        <x:f>IF(OR(P195="",P195=0,V195=""),"",V195/P195)</x:f>
      </x:c>
    </x:row>
    <x:row r="196" ht="21" customHeight="1">
      <x:c r="A196" s="54"/>
      <x:c r="B196" s="56"/>
      <x:c r="C196" s="56"/>
      <x:c r="D196" s="54"/>
      <x:c r="E196" s="58"/>
      <x:c r="F196" s="58"/>
      <x:c r="G196" s="58"/>
      <x:c r="H196" s="58"/>
      <x:c r="I196" s="58"/>
      <x:c r="J196" s="60" t="str">
        <x:f>IF(A196="","",IF(K196="Subscription","",IF(E196=0,"",IF(ISNUMBER(G196),G196/E196,IF(ISNUMBER(I196),-ABS(I196)/E196,IF(ISNUMBER(H196),0,IF(AND(ISNUMBER(F196),ISNUMBER(E196),E196&gt;0,F196&gt;E196),(F196-E196)/E196,IF(AND(ISNUMBER(F196),ISNUMBER(E196),E196&gt;0,F196=E196),0,IF(AND(ISNUMBER(F196),ISNUMBER(E196),E196&gt;0,F196=0),-1,"")))))))))</x:f>
      </x:c>
      <x:c r="K196" s="50" t="str">
        <x:f>IF(A196="","",IF(AND(ISNUMBER(E196),E196=0,OR(ISNUMBER(SEARCH("Free",D196&amp;"")),AND(ISNUMBER(F196),F196=0))),"Subscription",IF(ISNUMBER(G196),"Profit",IF(ISNUMBER(I196),"Disqualified",IF(ISNUMBER(H196),"Draw",IF(AND(ISNUMBER(F196),ISNUMBER(E196),E196&gt;0,F196&gt;E196),"Profit",IF(AND(ISNUMBER(F196),ISNUMBER(E196),E196&gt;0,F196=E196),"Draw",IF(AND(ISNUMBER(F196),ISNUMBER(E196),E196&gt;0,F196=0),"Disqualified",""))))))))</x:f>
      </x:c>
      <x:c r="L196" s="50"/>
      <x:c r="M196" s="58"/>
      <x:c r="N196" s="58"/>
      <x:c r="O196" s="62"/>
      <x:c r="P196" s="62"/>
      <x:c r="Q196" s="64" t="str">
        <x:f>IF(OR(B196="",C196="",C196&lt;B196),"",ROUNDUP((C196-B196)/7,0))</x:f>
      </x:c>
      <x:c r="R196" s="50"/>
      <x:c r="S196" s="50"/>
      <x:c r="T196" s="54"/>
      <x:c r="U196" s="66" t="str">
        <x:f>IF(A196="","",IF(K196="Subscription","",IF(ISNUMBER(G196),G196,0)-IF(ISNUMBER(I196),I196,0)))</x:f>
      </x:c>
      <x:c r="V196" s="64" t="str">
        <x:f>IF(OR(P196="",O196="",NOT(ISNUMBER(P196)),NOT(ISNUMBER(O196)),O196&gt;P196),"",P196-O196)</x:f>
      </x:c>
      <x:c r="W196" s="67" t="str">
        <x:f>IF(OR(P196="",P196=0,V196=""),"",V196/P196)</x:f>
      </x:c>
    </x:row>
    <x:row r="197" ht="21" customHeight="1">
      <x:c r="A197" s="54"/>
      <x:c r="B197" s="56"/>
      <x:c r="C197" s="56"/>
      <x:c r="D197" s="54"/>
      <x:c r="E197" s="58"/>
      <x:c r="F197" s="58"/>
      <x:c r="G197" s="58"/>
      <x:c r="H197" s="58"/>
      <x:c r="I197" s="58"/>
      <x:c r="J197" s="60" t="str">
        <x:f>IF(A197="","",IF(K197="Subscription","",IF(E197=0,"",IF(ISNUMBER(G197),G197/E197,IF(ISNUMBER(I197),-ABS(I197)/E197,IF(ISNUMBER(H197),0,IF(AND(ISNUMBER(F197),ISNUMBER(E197),E197&gt;0,F197&gt;E197),(F197-E197)/E197,IF(AND(ISNUMBER(F197),ISNUMBER(E197),E197&gt;0,F197=E197),0,IF(AND(ISNUMBER(F197),ISNUMBER(E197),E197&gt;0,F197=0),-1,"")))))))))</x:f>
      </x:c>
      <x:c r="K197" s="50" t="str">
        <x:f>IF(A197="","",IF(AND(ISNUMBER(E197),E197=0,OR(ISNUMBER(SEARCH("Free",D197&amp;"")),AND(ISNUMBER(F197),F197=0))),"Subscription",IF(ISNUMBER(G197),"Profit",IF(ISNUMBER(I197),"Disqualified",IF(ISNUMBER(H197),"Draw",IF(AND(ISNUMBER(F197),ISNUMBER(E197),E197&gt;0,F197&gt;E197),"Profit",IF(AND(ISNUMBER(F197),ISNUMBER(E197),E197&gt;0,F197=E197),"Draw",IF(AND(ISNUMBER(F197),ISNUMBER(E197),E197&gt;0,F197=0),"Disqualified",""))))))))</x:f>
      </x:c>
      <x:c r="L197" s="50"/>
      <x:c r="M197" s="58"/>
      <x:c r="N197" s="58"/>
      <x:c r="O197" s="62"/>
      <x:c r="P197" s="62"/>
      <x:c r="Q197" s="64" t="str">
        <x:f>IF(OR(B197="",C197="",C197&lt;B197),"",ROUNDUP((C197-B197)/7,0))</x:f>
      </x:c>
      <x:c r="R197" s="50"/>
      <x:c r="S197" s="50"/>
      <x:c r="T197" s="54"/>
      <x:c r="U197" s="66" t="str">
        <x:f>IF(A197="","",IF(K197="Subscription","",IF(ISNUMBER(G197),G197,0)-IF(ISNUMBER(I197),I197,0)))</x:f>
      </x:c>
      <x:c r="V197" s="64" t="str">
        <x:f>IF(OR(P197="",O197="",NOT(ISNUMBER(P197)),NOT(ISNUMBER(O197)),O197&gt;P197),"",P197-O197)</x:f>
      </x:c>
      <x:c r="W197" s="67" t="str">
        <x:f>IF(OR(P197="",P197=0,V197=""),"",V197/P197)</x:f>
      </x:c>
    </x:row>
    <x:row r="198" ht="21" customHeight="1">
      <x:c r="A198" s="54"/>
      <x:c r="B198" s="56"/>
      <x:c r="C198" s="56"/>
      <x:c r="D198" s="54"/>
      <x:c r="E198" s="58"/>
      <x:c r="F198" s="58"/>
      <x:c r="G198" s="58"/>
      <x:c r="H198" s="58"/>
      <x:c r="I198" s="58"/>
      <x:c r="J198" s="60" t="str">
        <x:f>IF(A198="","",IF(K198="Subscription","",IF(E198=0,"",IF(ISNUMBER(G198),G198/E198,IF(ISNUMBER(I198),-ABS(I198)/E198,IF(ISNUMBER(H198),0,IF(AND(ISNUMBER(F198),ISNUMBER(E198),E198&gt;0,F198&gt;E198),(F198-E198)/E198,IF(AND(ISNUMBER(F198),ISNUMBER(E198),E198&gt;0,F198=E198),0,IF(AND(ISNUMBER(F198),ISNUMBER(E198),E198&gt;0,F198=0),-1,"")))))))))</x:f>
      </x:c>
      <x:c r="K198" s="50" t="str">
        <x:f>IF(A198="","",IF(AND(ISNUMBER(E198),E198=0,OR(ISNUMBER(SEARCH("Free",D198&amp;"")),AND(ISNUMBER(F198),F198=0))),"Subscription",IF(ISNUMBER(G198),"Profit",IF(ISNUMBER(I198),"Disqualified",IF(ISNUMBER(H198),"Draw",IF(AND(ISNUMBER(F198),ISNUMBER(E198),E198&gt;0,F198&gt;E198),"Profit",IF(AND(ISNUMBER(F198),ISNUMBER(E198),E198&gt;0,F198=E198),"Draw",IF(AND(ISNUMBER(F198),ISNUMBER(E198),E198&gt;0,F198=0),"Disqualified",""))))))))</x:f>
      </x:c>
      <x:c r="L198" s="50"/>
      <x:c r="M198" s="58"/>
      <x:c r="N198" s="58"/>
      <x:c r="O198" s="62"/>
      <x:c r="P198" s="62"/>
      <x:c r="Q198" s="64" t="str">
        <x:f>IF(OR(B198="",C198="",C198&lt;B198),"",ROUNDUP((C198-B198)/7,0))</x:f>
      </x:c>
      <x:c r="R198" s="50"/>
      <x:c r="S198" s="50"/>
      <x:c r="T198" s="54"/>
      <x:c r="U198" s="66" t="str">
        <x:f>IF(A198="","",IF(K198="Subscription","",IF(ISNUMBER(G198),G198,0)-IF(ISNUMBER(I198),I198,0)))</x:f>
      </x:c>
      <x:c r="V198" s="64" t="str">
        <x:f>IF(OR(P198="",O198="",NOT(ISNUMBER(P198)),NOT(ISNUMBER(O198)),O198&gt;P198),"",P198-O198)</x:f>
      </x:c>
      <x:c r="W198" s="67" t="str">
        <x:f>IF(OR(P198="",P198=0,V198=""),"",V198/P198)</x:f>
      </x:c>
    </x:row>
    <x:row r="199" ht="21" customHeight="1">
      <x:c r="A199" s="54"/>
      <x:c r="B199" s="56"/>
      <x:c r="C199" s="56"/>
      <x:c r="D199" s="54"/>
      <x:c r="E199" s="58"/>
      <x:c r="F199" s="58"/>
      <x:c r="G199" s="58"/>
      <x:c r="H199" s="58"/>
      <x:c r="I199" s="58"/>
      <x:c r="J199" s="60" t="str">
        <x:f>IF(A199="","",IF(K199="Subscription","",IF(E199=0,"",IF(ISNUMBER(G199),G199/E199,IF(ISNUMBER(I199),-ABS(I199)/E199,IF(ISNUMBER(H199),0,IF(AND(ISNUMBER(F199),ISNUMBER(E199),E199&gt;0,F199&gt;E199),(F199-E199)/E199,IF(AND(ISNUMBER(F199),ISNUMBER(E199),E199&gt;0,F199=E199),0,IF(AND(ISNUMBER(F199),ISNUMBER(E199),E199&gt;0,F199=0),-1,"")))))))))</x:f>
      </x:c>
      <x:c r="K199" s="50" t="str">
        <x:f>IF(A199="","",IF(AND(ISNUMBER(E199),E199=0,OR(ISNUMBER(SEARCH("Free",D199&amp;"")),AND(ISNUMBER(F199),F199=0))),"Subscription",IF(ISNUMBER(G199),"Profit",IF(ISNUMBER(I199),"Disqualified",IF(ISNUMBER(H199),"Draw",IF(AND(ISNUMBER(F199),ISNUMBER(E199),E199&gt;0,F199&gt;E199),"Profit",IF(AND(ISNUMBER(F199),ISNUMBER(E199),E199&gt;0,F199=E199),"Draw",IF(AND(ISNUMBER(F199),ISNUMBER(E199),E199&gt;0,F199=0),"Disqualified",""))))))))</x:f>
      </x:c>
      <x:c r="L199" s="50"/>
      <x:c r="M199" s="58"/>
      <x:c r="N199" s="58"/>
      <x:c r="O199" s="62"/>
      <x:c r="P199" s="62"/>
      <x:c r="Q199" s="64" t="str">
        <x:f>IF(OR(B199="",C199="",C199&lt;B199),"",ROUNDUP((C199-B199)/7,0))</x:f>
      </x:c>
      <x:c r="R199" s="50"/>
      <x:c r="S199" s="50"/>
      <x:c r="T199" s="54"/>
      <x:c r="U199" s="66" t="str">
        <x:f>IF(A199="","",IF(K199="Subscription","",IF(ISNUMBER(G199),G199,0)-IF(ISNUMBER(I199),I199,0)))</x:f>
      </x:c>
      <x:c r="V199" s="64" t="str">
        <x:f>IF(OR(P199="",O199="",NOT(ISNUMBER(P199)),NOT(ISNUMBER(O199)),O199&gt;P199),"",P199-O199)</x:f>
      </x:c>
      <x:c r="W199" s="67" t="str">
        <x:f>IF(OR(P199="",P199=0,V199=""),"",V199/P199)</x:f>
      </x:c>
    </x:row>
    <x:row r="200" ht="21" customHeight="1">
      <x:c r="A200" s="54"/>
      <x:c r="B200" s="56"/>
      <x:c r="C200" s="56"/>
      <x:c r="D200" s="54"/>
      <x:c r="E200" s="58"/>
      <x:c r="F200" s="58"/>
      <x:c r="G200" s="58"/>
      <x:c r="H200" s="58"/>
      <x:c r="I200" s="58"/>
      <x:c r="J200" s="60" t="str">
        <x:f>IF(A200="","",IF(K200="Subscription","",IF(E200=0,"",IF(ISNUMBER(G200),G200/E200,IF(ISNUMBER(I200),-ABS(I200)/E200,IF(ISNUMBER(H200),0,IF(AND(ISNUMBER(F200),ISNUMBER(E200),E200&gt;0,F200&gt;E200),(F200-E200)/E200,IF(AND(ISNUMBER(F200),ISNUMBER(E200),E200&gt;0,F200=E200),0,IF(AND(ISNUMBER(F200),ISNUMBER(E200),E200&gt;0,F200=0),-1,"")))))))))</x:f>
      </x:c>
      <x:c r="K200" s="50" t="str">
        <x:f>IF(A200="","",IF(AND(ISNUMBER(E200),E200=0,OR(ISNUMBER(SEARCH("Free",D200&amp;"")),AND(ISNUMBER(F200),F200=0))),"Subscription",IF(ISNUMBER(G200),"Profit",IF(ISNUMBER(I200),"Disqualified",IF(ISNUMBER(H200),"Draw",IF(AND(ISNUMBER(F200),ISNUMBER(E200),E200&gt;0,F200&gt;E200),"Profit",IF(AND(ISNUMBER(F200),ISNUMBER(E200),E200&gt;0,F200=E200),"Draw",IF(AND(ISNUMBER(F200),ISNUMBER(E200),E200&gt;0,F200=0),"Disqualified",""))))))))</x:f>
      </x:c>
      <x:c r="L200" s="50"/>
      <x:c r="M200" s="58"/>
      <x:c r="N200" s="58"/>
      <x:c r="O200" s="62"/>
      <x:c r="P200" s="62"/>
      <x:c r="Q200" s="64" t="str">
        <x:f>IF(OR(B200="",C200="",C200&lt;B200),"",ROUNDUP((C200-B200)/7,0))</x:f>
      </x:c>
      <x:c r="R200" s="50"/>
      <x:c r="S200" s="50"/>
      <x:c r="T200" s="54"/>
      <x:c r="U200" s="66" t="str">
        <x:f>IF(A200="","",IF(K200="Subscription","",IF(ISNUMBER(G200),G200,0)-IF(ISNUMBER(I200),I200,0)))</x:f>
      </x:c>
      <x:c r="V200" s="64" t="str">
        <x:f>IF(OR(P200="",O200="",NOT(ISNUMBER(P200)),NOT(ISNUMBER(O200)),O200&gt;P200),"",P200-O200)</x:f>
      </x:c>
      <x:c r="W200" s="67" t="str">
        <x:f>IF(OR(P200="",P200=0,V200=""),"",V200/P200)</x:f>
      </x:c>
    </x:row>
    <x:row r="201" ht="21" customHeight="1">
      <x:c r="A201" s="54"/>
      <x:c r="B201" s="56"/>
      <x:c r="C201" s="56"/>
      <x:c r="D201" s="54"/>
      <x:c r="E201" s="58"/>
      <x:c r="F201" s="58"/>
      <x:c r="G201" s="58"/>
      <x:c r="H201" s="58"/>
      <x:c r="I201" s="58"/>
      <x:c r="J201" s="60" t="str">
        <x:f>IF(A201="","",IF(K201="Subscription","",IF(E201=0,"",IF(ISNUMBER(G201),G201/E201,IF(ISNUMBER(I201),-ABS(I201)/E201,IF(ISNUMBER(H201),0,IF(AND(ISNUMBER(F201),ISNUMBER(E201),E201&gt;0,F201&gt;E201),(F201-E201)/E201,IF(AND(ISNUMBER(F201),ISNUMBER(E201),E201&gt;0,F201=E201),0,IF(AND(ISNUMBER(F201),ISNUMBER(E201),E201&gt;0,F201=0),-1,"")))))))))</x:f>
      </x:c>
      <x:c r="K201" s="50" t="str">
        <x:f>IF(A201="","",IF(AND(ISNUMBER(E201),E201=0,OR(ISNUMBER(SEARCH("Free",D201&amp;"")),AND(ISNUMBER(F201),F201=0))),"Subscription",IF(ISNUMBER(G201),"Profit",IF(ISNUMBER(I201),"Disqualified",IF(ISNUMBER(H201),"Draw",IF(AND(ISNUMBER(F201),ISNUMBER(E201),E201&gt;0,F201&gt;E201),"Profit",IF(AND(ISNUMBER(F201),ISNUMBER(E201),E201&gt;0,F201=E201),"Draw",IF(AND(ISNUMBER(F201),ISNUMBER(E201),E201&gt;0,F201=0),"Disqualified",""))))))))</x:f>
      </x:c>
      <x:c r="L201" s="50"/>
      <x:c r="M201" s="58"/>
      <x:c r="N201" s="58"/>
      <x:c r="O201" s="62"/>
      <x:c r="P201" s="62"/>
      <x:c r="Q201" s="64" t="str">
        <x:f>IF(OR(B201="",C201="",C201&lt;B201),"",ROUNDUP((C201-B201)/7,0))</x:f>
      </x:c>
      <x:c r="R201" s="50"/>
      <x:c r="S201" s="50"/>
      <x:c r="T201" s="54"/>
      <x:c r="U201" s="66" t="str">
        <x:f>IF(A201="","",IF(K201="Subscription","",IF(ISNUMBER(G201),G201,0)-IF(ISNUMBER(I201),I201,0)))</x:f>
      </x:c>
      <x:c r="V201" s="64" t="str">
        <x:f>IF(OR(P201="",O201="",NOT(ISNUMBER(P201)),NOT(ISNUMBER(O201)),O201&gt;P201),"",P201-O201)</x:f>
      </x:c>
      <x:c r="W201" s="67" t="str">
        <x:f>IF(OR(P201="",P201=0,V201=""),"",V201/P201)</x:f>
      </x:c>
    </x:row>
    <x:row r="202" ht="21" customHeight="1">
      <x:c r="A202" s="54"/>
      <x:c r="B202" s="56"/>
      <x:c r="C202" s="56"/>
      <x:c r="D202" s="54"/>
      <x:c r="E202" s="58"/>
      <x:c r="F202" s="58"/>
      <x:c r="G202" s="58"/>
      <x:c r="H202" s="58"/>
      <x:c r="I202" s="58"/>
      <x:c r="J202" s="60" t="str">
        <x:f>IF(A202="","",IF(K202="Subscription","",IF(E202=0,"",IF(ISNUMBER(G202),G202/E202,IF(ISNUMBER(I202),-ABS(I202)/E202,IF(ISNUMBER(H202),0,IF(AND(ISNUMBER(F202),ISNUMBER(E202),E202&gt;0,F202&gt;E202),(F202-E202)/E202,IF(AND(ISNUMBER(F202),ISNUMBER(E202),E202&gt;0,F202=E202),0,IF(AND(ISNUMBER(F202),ISNUMBER(E202),E202&gt;0,F202=0),-1,"")))))))))</x:f>
      </x:c>
      <x:c r="K202" s="50" t="str">
        <x:f>IF(A202="","",IF(AND(ISNUMBER(E202),E202=0,OR(ISNUMBER(SEARCH("Free",D202&amp;"")),AND(ISNUMBER(F202),F202=0))),"Subscription",IF(ISNUMBER(G202),"Profit",IF(ISNUMBER(I202),"Disqualified",IF(ISNUMBER(H202),"Draw",IF(AND(ISNUMBER(F202),ISNUMBER(E202),E202&gt;0,F202&gt;E202),"Profit",IF(AND(ISNUMBER(F202),ISNUMBER(E202),E202&gt;0,F202=E202),"Draw",IF(AND(ISNUMBER(F202),ISNUMBER(E202),E202&gt;0,F202=0),"Disqualified",""))))))))</x:f>
      </x:c>
      <x:c r="L202" s="50"/>
      <x:c r="M202" s="58"/>
      <x:c r="N202" s="58"/>
      <x:c r="O202" s="62"/>
      <x:c r="P202" s="62"/>
      <x:c r="Q202" s="64" t="str">
        <x:f>IF(OR(B202="",C202="",C202&lt;B202),"",ROUNDUP((C202-B202)/7,0))</x:f>
      </x:c>
      <x:c r="R202" s="50"/>
      <x:c r="S202" s="50"/>
      <x:c r="T202" s="54"/>
      <x:c r="U202" s="66" t="str">
        <x:f>IF(A202="","",IF(K202="Subscription","",IF(ISNUMBER(G202),G202,0)-IF(ISNUMBER(I202),I202,0)))</x:f>
      </x:c>
      <x:c r="V202" s="64" t="str">
        <x:f>IF(OR(P202="",O202="",NOT(ISNUMBER(P202)),NOT(ISNUMBER(O202)),O202&gt;P202),"",P202-O202)</x:f>
      </x:c>
      <x:c r="W202" s="67" t="str">
        <x:f>IF(OR(P202="",P202=0,V202=""),"",V202/P202)</x:f>
      </x:c>
    </x:row>
    <x:row r="203" ht="21" customHeight="1">
      <x:c r="A203" s="54"/>
      <x:c r="B203" s="56"/>
      <x:c r="C203" s="56"/>
      <x:c r="D203" s="54"/>
      <x:c r="E203" s="58"/>
      <x:c r="F203" s="58"/>
      <x:c r="G203" s="58"/>
      <x:c r="H203" s="58"/>
      <x:c r="I203" s="58"/>
      <x:c r="J203" s="60" t="str">
        <x:f>IF(A203="","",IF(K203="Subscription","",IF(E203=0,"",IF(ISNUMBER(G203),G203/E203,IF(ISNUMBER(I203),-ABS(I203)/E203,IF(ISNUMBER(H203),0,IF(AND(ISNUMBER(F203),ISNUMBER(E203),E203&gt;0,F203&gt;E203),(F203-E203)/E203,IF(AND(ISNUMBER(F203),ISNUMBER(E203),E203&gt;0,F203=E203),0,IF(AND(ISNUMBER(F203),ISNUMBER(E203),E203&gt;0,F203=0),-1,"")))))))))</x:f>
      </x:c>
      <x:c r="K203" s="50" t="str">
        <x:f>IF(A203="","",IF(AND(ISNUMBER(E203),E203=0,OR(ISNUMBER(SEARCH("Free",D203&amp;"")),AND(ISNUMBER(F203),F203=0))),"Subscription",IF(ISNUMBER(G203),"Profit",IF(ISNUMBER(I203),"Disqualified",IF(ISNUMBER(H203),"Draw",IF(AND(ISNUMBER(F203),ISNUMBER(E203),E203&gt;0,F203&gt;E203),"Profit",IF(AND(ISNUMBER(F203),ISNUMBER(E203),E203&gt;0,F203=E203),"Draw",IF(AND(ISNUMBER(F203),ISNUMBER(E203),E203&gt;0,F203=0),"Disqualified",""))))))))</x:f>
      </x:c>
      <x:c r="L203" s="50"/>
      <x:c r="M203" s="58"/>
      <x:c r="N203" s="58"/>
      <x:c r="O203" s="62"/>
      <x:c r="P203" s="62"/>
      <x:c r="Q203" s="64" t="str">
        <x:f>IF(OR(B203="",C203="",C203&lt;B203),"",ROUNDUP((C203-B203)/7,0))</x:f>
      </x:c>
      <x:c r="R203" s="50"/>
      <x:c r="S203" s="50"/>
      <x:c r="T203" s="54"/>
      <x:c r="U203" s="66" t="str">
        <x:f>IF(A203="","",IF(K203="Subscription","",IF(ISNUMBER(G203),G203,0)-IF(ISNUMBER(I203),I203,0)))</x:f>
      </x:c>
      <x:c r="V203" s="64" t="str">
        <x:f>IF(OR(P203="",O203="",NOT(ISNUMBER(P203)),NOT(ISNUMBER(O203)),O203&gt;P203),"",P203-O203)</x:f>
      </x:c>
      <x:c r="W203" s="67" t="str">
        <x:f>IF(OR(P203="",P203=0,V203=""),"",V203/P203)</x:f>
      </x:c>
    </x:row>
    <x:row r="204" ht="21" customHeight="1">
      <x:c r="A204" s="54"/>
      <x:c r="B204" s="56"/>
      <x:c r="C204" s="56"/>
      <x:c r="D204" s="54"/>
      <x:c r="E204" s="58"/>
      <x:c r="F204" s="58"/>
      <x:c r="G204" s="58"/>
      <x:c r="H204" s="58"/>
      <x:c r="I204" s="58"/>
      <x:c r="J204" s="60" t="str">
        <x:f>IF(A204="","",IF(K204="Subscription","",IF(E204=0,"",IF(ISNUMBER(G204),G204/E204,IF(ISNUMBER(I204),-ABS(I204)/E204,IF(ISNUMBER(H204),0,IF(AND(ISNUMBER(F204),ISNUMBER(E204),E204&gt;0,F204&gt;E204),(F204-E204)/E204,IF(AND(ISNUMBER(F204),ISNUMBER(E204),E204&gt;0,F204=E204),0,IF(AND(ISNUMBER(F204),ISNUMBER(E204),E204&gt;0,F204=0),-1,"")))))))))</x:f>
      </x:c>
      <x:c r="K204" s="50" t="str">
        <x:f>IF(A204="","",IF(AND(ISNUMBER(E204),E204=0,OR(ISNUMBER(SEARCH("Free",D204&amp;"")),AND(ISNUMBER(F204),F204=0))),"Subscription",IF(ISNUMBER(G204),"Profit",IF(ISNUMBER(I204),"Disqualified",IF(ISNUMBER(H204),"Draw",IF(AND(ISNUMBER(F204),ISNUMBER(E204),E204&gt;0,F204&gt;E204),"Profit",IF(AND(ISNUMBER(F204),ISNUMBER(E204),E204&gt;0,F204=E204),"Draw",IF(AND(ISNUMBER(F204),ISNUMBER(E204),E204&gt;0,F204=0),"Disqualified",""))))))))</x:f>
      </x:c>
      <x:c r="L204" s="50"/>
      <x:c r="M204" s="58"/>
      <x:c r="N204" s="58"/>
      <x:c r="O204" s="62"/>
      <x:c r="P204" s="62"/>
      <x:c r="Q204" s="64" t="str">
        <x:f>IF(OR(B204="",C204="",C204&lt;B204),"",ROUNDUP((C204-B204)/7,0))</x:f>
      </x:c>
      <x:c r="R204" s="50"/>
      <x:c r="S204" s="50"/>
      <x:c r="T204" s="54"/>
      <x:c r="U204" s="66" t="str">
        <x:f>IF(A204="","",IF(K204="Subscription","",IF(ISNUMBER(G204),G204,0)-IF(ISNUMBER(I204),I204,0)))</x:f>
      </x:c>
      <x:c r="V204" s="64" t="str">
        <x:f>IF(OR(P204="",O204="",NOT(ISNUMBER(P204)),NOT(ISNUMBER(O204)),O204&gt;P204),"",P204-O204)</x:f>
      </x:c>
      <x:c r="W204" s="67" t="str">
        <x:f>IF(OR(P204="",P204=0,V204=""),"",V204/P204)</x:f>
      </x:c>
    </x:row>
    <x:row r="205" ht="21" customHeight="1">
      <x:c r="A205" s="54"/>
      <x:c r="B205" s="56"/>
      <x:c r="C205" s="56"/>
      <x:c r="D205" s="54"/>
      <x:c r="E205" s="58"/>
      <x:c r="F205" s="58"/>
      <x:c r="G205" s="58"/>
      <x:c r="H205" s="58"/>
      <x:c r="I205" s="58"/>
      <x:c r="J205" s="60" t="str">
        <x:f>IF(A205="","",IF(K205="Subscription","",IF(E205=0,"",IF(ISNUMBER(G205),G205/E205,IF(ISNUMBER(I205),-ABS(I205)/E205,IF(ISNUMBER(H205),0,IF(AND(ISNUMBER(F205),ISNUMBER(E205),E205&gt;0,F205&gt;E205),(F205-E205)/E205,IF(AND(ISNUMBER(F205),ISNUMBER(E205),E205&gt;0,F205=E205),0,IF(AND(ISNUMBER(F205),ISNUMBER(E205),E205&gt;0,F205=0),-1,"")))))))))</x:f>
      </x:c>
      <x:c r="K205" s="50" t="str">
        <x:f>IF(A205="","",IF(AND(ISNUMBER(E205),E205=0,OR(ISNUMBER(SEARCH("Free",D205&amp;"")),AND(ISNUMBER(F205),F205=0))),"Subscription",IF(ISNUMBER(G205),"Profit",IF(ISNUMBER(I205),"Disqualified",IF(ISNUMBER(H205),"Draw",IF(AND(ISNUMBER(F205),ISNUMBER(E205),E205&gt;0,F205&gt;E205),"Profit",IF(AND(ISNUMBER(F205),ISNUMBER(E205),E205&gt;0,F205=E205),"Draw",IF(AND(ISNUMBER(F205),ISNUMBER(E205),E205&gt;0,F205=0),"Disqualified",""))))))))</x:f>
      </x:c>
      <x:c r="L205" s="50"/>
      <x:c r="M205" s="58"/>
      <x:c r="N205" s="58"/>
      <x:c r="O205" s="62"/>
      <x:c r="P205" s="62"/>
      <x:c r="Q205" s="64" t="str">
        <x:f>IF(OR(B205="",C205="",C205&lt;B205),"",ROUNDUP((C205-B205)/7,0))</x:f>
      </x:c>
      <x:c r="R205" s="50"/>
      <x:c r="S205" s="50"/>
      <x:c r="T205" s="54"/>
      <x:c r="U205" s="66" t="str">
        <x:f>IF(A205="","",IF(K205="Subscription","",IF(ISNUMBER(G205),G205,0)-IF(ISNUMBER(I205),I205,0)))</x:f>
      </x:c>
      <x:c r="V205" s="64" t="str">
        <x:f>IF(OR(P205="",O205="",NOT(ISNUMBER(P205)),NOT(ISNUMBER(O205)),O205&gt;P205),"",P205-O205)</x:f>
      </x:c>
      <x:c r="W205" s="67" t="str">
        <x:f>IF(OR(P205="",P205=0,V205=""),"",V205/P205)</x:f>
      </x:c>
    </x:row>
    <x:row r="206" ht="21" customHeight="1">
      <x:c r="A206" s="54"/>
      <x:c r="B206" s="56"/>
      <x:c r="C206" s="56"/>
      <x:c r="D206" s="54"/>
      <x:c r="E206" s="58"/>
      <x:c r="F206" s="58"/>
      <x:c r="G206" s="58"/>
      <x:c r="H206" s="58"/>
      <x:c r="I206" s="58"/>
      <x:c r="J206" s="60" t="str">
        <x:f>IF(A206="","",IF(K206="Subscription","",IF(E206=0,"",IF(ISNUMBER(G206),G206/E206,IF(ISNUMBER(I206),-ABS(I206)/E206,IF(ISNUMBER(H206),0,IF(AND(ISNUMBER(F206),ISNUMBER(E206),E206&gt;0,F206&gt;E206),(F206-E206)/E206,IF(AND(ISNUMBER(F206),ISNUMBER(E206),E206&gt;0,F206=E206),0,IF(AND(ISNUMBER(F206),ISNUMBER(E206),E206&gt;0,F206=0),-1,"")))))))))</x:f>
      </x:c>
      <x:c r="K206" s="50" t="str">
        <x:f>IF(A206="","",IF(AND(ISNUMBER(E206),E206=0,OR(ISNUMBER(SEARCH("Free",D206&amp;"")),AND(ISNUMBER(F206),F206=0))),"Subscription",IF(ISNUMBER(G206),"Profit",IF(ISNUMBER(I206),"Disqualified",IF(ISNUMBER(H206),"Draw",IF(AND(ISNUMBER(F206),ISNUMBER(E206),E206&gt;0,F206&gt;E206),"Profit",IF(AND(ISNUMBER(F206),ISNUMBER(E206),E206&gt;0,F206=E206),"Draw",IF(AND(ISNUMBER(F206),ISNUMBER(E206),E206&gt;0,F206=0),"Disqualified",""))))))))</x:f>
      </x:c>
      <x:c r="L206" s="50"/>
      <x:c r="M206" s="58"/>
      <x:c r="N206" s="58"/>
      <x:c r="O206" s="62"/>
      <x:c r="P206" s="62"/>
      <x:c r="Q206" s="64" t="str">
        <x:f>IF(OR(B206="",C206="",C206&lt;B206),"",ROUNDUP((C206-B206)/7,0))</x:f>
      </x:c>
      <x:c r="R206" s="50"/>
      <x:c r="S206" s="50"/>
      <x:c r="T206" s="54"/>
      <x:c r="U206" s="66" t="str">
        <x:f>IF(A206="","",IF(K206="Subscription","",IF(ISNUMBER(G206),G206,0)-IF(ISNUMBER(I206),I206,0)))</x:f>
      </x:c>
      <x:c r="V206" s="64" t="str">
        <x:f>IF(OR(P206="",O206="",NOT(ISNUMBER(P206)),NOT(ISNUMBER(O206)),O206&gt;P206),"",P206-O206)</x:f>
      </x:c>
      <x:c r="W206" s="67" t="str">
        <x:f>IF(OR(P206="",P206=0,V206=""),"",V206/P206)</x:f>
      </x:c>
    </x:row>
    <x:row r="207" ht="21" customHeight="1">
      <x:c r="A207" s="54"/>
      <x:c r="B207" s="56"/>
      <x:c r="C207" s="56"/>
      <x:c r="D207" s="54"/>
      <x:c r="E207" s="58"/>
      <x:c r="F207" s="58"/>
      <x:c r="G207" s="58"/>
      <x:c r="H207" s="58"/>
      <x:c r="I207" s="58"/>
      <x:c r="J207" s="60" t="str">
        <x:f>IF(A207="","",IF(K207="Subscription","",IF(E207=0,"",IF(ISNUMBER(G207),G207/E207,IF(ISNUMBER(I207),-ABS(I207)/E207,IF(ISNUMBER(H207),0,IF(AND(ISNUMBER(F207),ISNUMBER(E207),E207&gt;0,F207&gt;E207),(F207-E207)/E207,IF(AND(ISNUMBER(F207),ISNUMBER(E207),E207&gt;0,F207=E207),0,IF(AND(ISNUMBER(F207),ISNUMBER(E207),E207&gt;0,F207=0),-1,"")))))))))</x:f>
      </x:c>
      <x:c r="K207" s="50" t="str">
        <x:f>IF(A207="","",IF(AND(ISNUMBER(E207),E207=0,OR(ISNUMBER(SEARCH("Free",D207&amp;"")),AND(ISNUMBER(F207),F207=0))),"Subscription",IF(ISNUMBER(G207),"Profit",IF(ISNUMBER(I207),"Disqualified",IF(ISNUMBER(H207),"Draw",IF(AND(ISNUMBER(F207),ISNUMBER(E207),E207&gt;0,F207&gt;E207),"Profit",IF(AND(ISNUMBER(F207),ISNUMBER(E207),E207&gt;0,F207=E207),"Draw",IF(AND(ISNUMBER(F207),ISNUMBER(E207),E207&gt;0,F207=0),"Disqualified",""))))))))</x:f>
      </x:c>
      <x:c r="L207" s="50"/>
      <x:c r="M207" s="58"/>
      <x:c r="N207" s="58"/>
      <x:c r="O207" s="62"/>
      <x:c r="P207" s="62"/>
      <x:c r="Q207" s="64" t="str">
        <x:f>IF(OR(B207="",C207="",C207&lt;B207),"",ROUNDUP((C207-B207)/7,0))</x:f>
      </x:c>
      <x:c r="R207" s="50"/>
      <x:c r="S207" s="50"/>
      <x:c r="T207" s="54"/>
      <x:c r="U207" s="66" t="str">
        <x:f>IF(A207="","",IF(K207="Subscription","",IF(ISNUMBER(G207),G207,0)-IF(ISNUMBER(I207),I207,0)))</x:f>
      </x:c>
      <x:c r="V207" s="64" t="str">
        <x:f>IF(OR(P207="",O207="",NOT(ISNUMBER(P207)),NOT(ISNUMBER(O207)),O207&gt;P207),"",P207-O207)</x:f>
      </x:c>
      <x:c r="W207" s="67" t="str">
        <x:f>IF(OR(P207="",P207=0,V207=""),"",V207/P207)</x:f>
      </x:c>
    </x:row>
    <x:row r="208" ht="21" customHeight="1">
      <x:c r="A208" s="54"/>
      <x:c r="B208" s="56"/>
      <x:c r="C208" s="56"/>
      <x:c r="D208" s="54"/>
      <x:c r="E208" s="58"/>
      <x:c r="F208" s="58"/>
      <x:c r="G208" s="58"/>
      <x:c r="H208" s="58"/>
      <x:c r="I208" s="58"/>
      <x:c r="J208" s="60" t="str">
        <x:f>IF(A208="","",IF(K208="Subscription","",IF(E208=0,"",IF(ISNUMBER(G208),G208/E208,IF(ISNUMBER(I208),-ABS(I208)/E208,IF(ISNUMBER(H208),0,IF(AND(ISNUMBER(F208),ISNUMBER(E208),E208&gt;0,F208&gt;E208),(F208-E208)/E208,IF(AND(ISNUMBER(F208),ISNUMBER(E208),E208&gt;0,F208=E208),0,IF(AND(ISNUMBER(F208),ISNUMBER(E208),E208&gt;0,F208=0),-1,"")))))))))</x:f>
      </x:c>
      <x:c r="K208" s="50" t="str">
        <x:f>IF(A208="","",IF(AND(ISNUMBER(E208),E208=0,OR(ISNUMBER(SEARCH("Free",D208&amp;"")),AND(ISNUMBER(F208),F208=0))),"Subscription",IF(ISNUMBER(G208),"Profit",IF(ISNUMBER(I208),"Disqualified",IF(ISNUMBER(H208),"Draw",IF(AND(ISNUMBER(F208),ISNUMBER(E208),E208&gt;0,F208&gt;E208),"Profit",IF(AND(ISNUMBER(F208),ISNUMBER(E208),E208&gt;0,F208=E208),"Draw",IF(AND(ISNUMBER(F208),ISNUMBER(E208),E208&gt;0,F208=0),"Disqualified",""))))))))</x:f>
      </x:c>
      <x:c r="L208" s="50"/>
      <x:c r="M208" s="58"/>
      <x:c r="N208" s="58"/>
      <x:c r="O208" s="62"/>
      <x:c r="P208" s="62"/>
      <x:c r="Q208" s="64" t="str">
        <x:f>IF(OR(B208="",C208="",C208&lt;B208),"",ROUNDUP((C208-B208)/7,0))</x:f>
      </x:c>
      <x:c r="R208" s="50"/>
      <x:c r="S208" s="50"/>
      <x:c r="T208" s="54"/>
      <x:c r="U208" s="66" t="str">
        <x:f>IF(A208="","",IF(K208="Subscription","",IF(ISNUMBER(G208),G208,0)-IF(ISNUMBER(I208),I208,0)))</x:f>
      </x:c>
      <x:c r="V208" s="64" t="str">
        <x:f>IF(OR(P208="",O208="",NOT(ISNUMBER(P208)),NOT(ISNUMBER(O208)),O208&gt;P208),"",P208-O208)</x:f>
      </x:c>
      <x:c r="W208" s="67" t="str">
        <x:f>IF(OR(P208="",P208=0,V208=""),"",V208/P208)</x:f>
      </x:c>
    </x:row>
    <x:row r="209" ht="21" customHeight="1">
      <x:c r="A209" s="54"/>
      <x:c r="B209" s="56"/>
      <x:c r="C209" s="56"/>
      <x:c r="D209" s="54"/>
      <x:c r="E209" s="58"/>
      <x:c r="F209" s="58"/>
      <x:c r="G209" s="58"/>
      <x:c r="H209" s="58"/>
      <x:c r="I209" s="58"/>
      <x:c r="J209" s="60" t="str">
        <x:f>IF(A209="","",IF(K209="Subscription","",IF(E209=0,"",IF(ISNUMBER(G209),G209/E209,IF(ISNUMBER(I209),-ABS(I209)/E209,IF(ISNUMBER(H209),0,IF(AND(ISNUMBER(F209),ISNUMBER(E209),E209&gt;0,F209&gt;E209),(F209-E209)/E209,IF(AND(ISNUMBER(F209),ISNUMBER(E209),E209&gt;0,F209=E209),0,IF(AND(ISNUMBER(F209),ISNUMBER(E209),E209&gt;0,F209=0),-1,"")))))))))</x:f>
      </x:c>
      <x:c r="K209" s="50" t="str">
        <x:f>IF(A209="","",IF(AND(ISNUMBER(E209),E209=0,OR(ISNUMBER(SEARCH("Free",D209&amp;"")),AND(ISNUMBER(F209),F209=0))),"Subscription",IF(ISNUMBER(G209),"Profit",IF(ISNUMBER(I209),"Disqualified",IF(ISNUMBER(H209),"Draw",IF(AND(ISNUMBER(F209),ISNUMBER(E209),E209&gt;0,F209&gt;E209),"Profit",IF(AND(ISNUMBER(F209),ISNUMBER(E209),E209&gt;0,F209=E209),"Draw",IF(AND(ISNUMBER(F209),ISNUMBER(E209),E209&gt;0,F209=0),"Disqualified",""))))))))</x:f>
      </x:c>
      <x:c r="L209" s="50"/>
      <x:c r="M209" s="58"/>
      <x:c r="N209" s="58"/>
      <x:c r="O209" s="62"/>
      <x:c r="P209" s="62"/>
      <x:c r="Q209" s="64" t="str">
        <x:f>IF(OR(B209="",C209="",C209&lt;B209),"",ROUNDUP((C209-B209)/7,0))</x:f>
      </x:c>
      <x:c r="R209" s="50"/>
      <x:c r="S209" s="50"/>
      <x:c r="T209" s="54"/>
      <x:c r="U209" s="66" t="str">
        <x:f>IF(A209="","",IF(K209="Subscription","",IF(ISNUMBER(G209),G209,0)-IF(ISNUMBER(I209),I209,0)))</x:f>
      </x:c>
      <x:c r="V209" s="64" t="str">
        <x:f>IF(OR(P209="",O209="",NOT(ISNUMBER(P209)),NOT(ISNUMBER(O209)),O209&gt;P209),"",P209-O209)</x:f>
      </x:c>
      <x:c r="W209" s="67" t="str">
        <x:f>IF(OR(P209="",P209=0,V209=""),"",V209/P209)</x:f>
      </x:c>
    </x:row>
    <x:row r="210" ht="21" customHeight="1">
      <x:c r="A210" s="54"/>
      <x:c r="B210" s="56"/>
      <x:c r="C210" s="56"/>
      <x:c r="D210" s="54"/>
      <x:c r="E210" s="58"/>
      <x:c r="F210" s="58"/>
      <x:c r="G210" s="58"/>
      <x:c r="H210" s="58"/>
      <x:c r="I210" s="58"/>
      <x:c r="J210" s="60" t="str">
        <x:f>IF(A210="","",IF(K210="Subscription","",IF(E210=0,"",IF(ISNUMBER(G210),G210/E210,IF(ISNUMBER(I210),-ABS(I210)/E210,IF(ISNUMBER(H210),0,IF(AND(ISNUMBER(F210),ISNUMBER(E210),E210&gt;0,F210&gt;E210),(F210-E210)/E210,IF(AND(ISNUMBER(F210),ISNUMBER(E210),E210&gt;0,F210=E210),0,IF(AND(ISNUMBER(F210),ISNUMBER(E210),E210&gt;0,F210=0),-1,"")))))))))</x:f>
      </x:c>
      <x:c r="K210" s="50" t="str">
        <x:f>IF(A210="","",IF(AND(ISNUMBER(E210),E210=0,OR(ISNUMBER(SEARCH("Free",D210&amp;"")),AND(ISNUMBER(F210),F210=0))),"Subscription",IF(ISNUMBER(G210),"Profit",IF(ISNUMBER(I210),"Disqualified",IF(ISNUMBER(H210),"Draw",IF(AND(ISNUMBER(F210),ISNUMBER(E210),E210&gt;0,F210&gt;E210),"Profit",IF(AND(ISNUMBER(F210),ISNUMBER(E210),E210&gt;0,F210=E210),"Draw",IF(AND(ISNUMBER(F210),ISNUMBER(E210),E210&gt;0,F210=0),"Disqualified",""))))))))</x:f>
      </x:c>
      <x:c r="L210" s="50"/>
      <x:c r="M210" s="58"/>
      <x:c r="N210" s="58"/>
      <x:c r="O210" s="62"/>
      <x:c r="P210" s="62"/>
      <x:c r="Q210" s="64" t="str">
        <x:f>IF(OR(B210="",C210="",C210&lt;B210),"",ROUNDUP((C210-B210)/7,0))</x:f>
      </x:c>
      <x:c r="R210" s="50"/>
      <x:c r="S210" s="50"/>
      <x:c r="T210" s="54"/>
      <x:c r="U210" s="66" t="str">
        <x:f>IF(A210="","",IF(K210="Subscription","",IF(ISNUMBER(G210),G210,0)-IF(ISNUMBER(I210),I210,0)))</x:f>
      </x:c>
      <x:c r="V210" s="64" t="str">
        <x:f>IF(OR(P210="",O210="",NOT(ISNUMBER(P210)),NOT(ISNUMBER(O210)),O210&gt;P210),"",P210-O210)</x:f>
      </x:c>
      <x:c r="W210" s="67" t="str">
        <x:f>IF(OR(P210="",P210=0,V210=""),"",V210/P210)</x:f>
      </x:c>
    </x:row>
    <x:row r="211" ht="21" customHeight="1">
      <x:c r="A211" s="54"/>
      <x:c r="B211" s="56"/>
      <x:c r="C211" s="56"/>
      <x:c r="D211" s="54"/>
      <x:c r="E211" s="58"/>
      <x:c r="F211" s="58"/>
      <x:c r="G211" s="58"/>
      <x:c r="H211" s="58"/>
      <x:c r="I211" s="58"/>
      <x:c r="J211" s="60" t="str">
        <x:f>IF(A211="","",IF(K211="Subscription","",IF(E211=0,"",IF(ISNUMBER(G211),G211/E211,IF(ISNUMBER(I211),-ABS(I211)/E211,IF(ISNUMBER(H211),0,IF(AND(ISNUMBER(F211),ISNUMBER(E211),E211&gt;0,F211&gt;E211),(F211-E211)/E211,IF(AND(ISNUMBER(F211),ISNUMBER(E211),E211&gt;0,F211=E211),0,IF(AND(ISNUMBER(F211),ISNUMBER(E211),E211&gt;0,F211=0),-1,"")))))))))</x:f>
      </x:c>
      <x:c r="K211" s="50" t="str">
        <x:f>IF(A211="","",IF(AND(ISNUMBER(E211),E211=0,OR(ISNUMBER(SEARCH("Free",D211&amp;"")),AND(ISNUMBER(F211),F211=0))),"Subscription",IF(ISNUMBER(G211),"Profit",IF(ISNUMBER(I211),"Disqualified",IF(ISNUMBER(H211),"Draw",IF(AND(ISNUMBER(F211),ISNUMBER(E211),E211&gt;0,F211&gt;E211),"Profit",IF(AND(ISNUMBER(F211),ISNUMBER(E211),E211&gt;0,F211=E211),"Draw",IF(AND(ISNUMBER(F211),ISNUMBER(E211),E211&gt;0,F211=0),"Disqualified",""))))))))</x:f>
      </x:c>
      <x:c r="L211" s="50"/>
      <x:c r="M211" s="58"/>
      <x:c r="N211" s="58"/>
      <x:c r="O211" s="62"/>
      <x:c r="P211" s="62"/>
      <x:c r="Q211" s="64" t="str">
        <x:f>IF(OR(B211="",C211="",C211&lt;B211),"",ROUNDUP((C211-B211)/7,0))</x:f>
      </x:c>
      <x:c r="R211" s="50"/>
      <x:c r="S211" s="50"/>
      <x:c r="T211" s="54"/>
      <x:c r="U211" s="66" t="str">
        <x:f>IF(A211="","",IF(K211="Subscription","",IF(ISNUMBER(G211),G211,0)-IF(ISNUMBER(I211),I211,0)))</x:f>
      </x:c>
      <x:c r="V211" s="64" t="str">
        <x:f>IF(OR(P211="",O211="",NOT(ISNUMBER(P211)),NOT(ISNUMBER(O211)),O211&gt;P211),"",P211-O211)</x:f>
      </x:c>
      <x:c r="W211" s="67" t="str">
        <x:f>IF(OR(P211="",P211=0,V211=""),"",V211/P211)</x:f>
      </x:c>
    </x:row>
    <x:row r="212" ht="21" customHeight="1">
      <x:c r="A212" s="54"/>
      <x:c r="B212" s="56"/>
      <x:c r="C212" s="56"/>
      <x:c r="D212" s="54"/>
      <x:c r="E212" s="58"/>
      <x:c r="F212" s="58"/>
      <x:c r="G212" s="58"/>
      <x:c r="H212" s="58"/>
      <x:c r="I212" s="58"/>
      <x:c r="J212" s="60" t="str">
        <x:f>IF(A212="","",IF(K212="Subscription","",IF(E212=0,"",IF(ISNUMBER(G212),G212/E212,IF(ISNUMBER(I212),-ABS(I212)/E212,IF(ISNUMBER(H212),0,IF(AND(ISNUMBER(F212),ISNUMBER(E212),E212&gt;0,F212&gt;E212),(F212-E212)/E212,IF(AND(ISNUMBER(F212),ISNUMBER(E212),E212&gt;0,F212=E212),0,IF(AND(ISNUMBER(F212),ISNUMBER(E212),E212&gt;0,F212=0),-1,"")))))))))</x:f>
      </x:c>
      <x:c r="K212" s="50" t="str">
        <x:f>IF(A212="","",IF(AND(ISNUMBER(E212),E212=0,OR(ISNUMBER(SEARCH("Free",D212&amp;"")),AND(ISNUMBER(F212),F212=0))),"Subscription",IF(ISNUMBER(G212),"Profit",IF(ISNUMBER(I212),"Disqualified",IF(ISNUMBER(H212),"Draw",IF(AND(ISNUMBER(F212),ISNUMBER(E212),E212&gt;0,F212&gt;E212),"Profit",IF(AND(ISNUMBER(F212),ISNUMBER(E212),E212&gt;0,F212=E212),"Draw",IF(AND(ISNUMBER(F212),ISNUMBER(E212),E212&gt;0,F212=0),"Disqualified",""))))))))</x:f>
      </x:c>
      <x:c r="L212" s="50"/>
      <x:c r="M212" s="58"/>
      <x:c r="N212" s="58"/>
      <x:c r="O212" s="62"/>
      <x:c r="P212" s="62"/>
      <x:c r="Q212" s="64" t="str">
        <x:f>IF(OR(B212="",C212="",C212&lt;B212),"",ROUNDUP((C212-B212)/7,0))</x:f>
      </x:c>
      <x:c r="R212" s="50"/>
      <x:c r="S212" s="50"/>
      <x:c r="T212" s="54"/>
      <x:c r="U212" s="66" t="str">
        <x:f>IF(A212="","",IF(K212="Subscription","",IF(ISNUMBER(G212),G212,0)-IF(ISNUMBER(I212),I212,0)))</x:f>
      </x:c>
      <x:c r="V212" s="64" t="str">
        <x:f>IF(OR(P212="",O212="",NOT(ISNUMBER(P212)),NOT(ISNUMBER(O212)),O212&gt;P212),"",P212-O212)</x:f>
      </x:c>
      <x:c r="W212" s="67" t="str">
        <x:f>IF(OR(P212="",P212=0,V212=""),"",V212/P212)</x:f>
      </x:c>
    </x:row>
    <x:row r="213" ht="21" customHeight="1">
      <x:c r="A213" s="54"/>
      <x:c r="B213" s="56"/>
      <x:c r="C213" s="56"/>
      <x:c r="D213" s="54"/>
      <x:c r="E213" s="58"/>
      <x:c r="F213" s="58"/>
      <x:c r="G213" s="58"/>
      <x:c r="H213" s="58"/>
      <x:c r="I213" s="58"/>
      <x:c r="J213" s="60" t="str">
        <x:f>IF(A213="","",IF(K213="Subscription","",IF(E213=0,"",IF(ISNUMBER(G213),G213/E213,IF(ISNUMBER(I213),-ABS(I213)/E213,IF(ISNUMBER(H213),0,IF(AND(ISNUMBER(F213),ISNUMBER(E213),E213&gt;0,F213&gt;E213),(F213-E213)/E213,IF(AND(ISNUMBER(F213),ISNUMBER(E213),E213&gt;0,F213=E213),0,IF(AND(ISNUMBER(F213),ISNUMBER(E213),E213&gt;0,F213=0),-1,"")))))))))</x:f>
      </x:c>
      <x:c r="K213" s="50" t="str">
        <x:f>IF(A213="","",IF(AND(ISNUMBER(E213),E213=0,OR(ISNUMBER(SEARCH("Free",D213&amp;"")),AND(ISNUMBER(F213),F213=0))),"Subscription",IF(ISNUMBER(G213),"Profit",IF(ISNUMBER(I213),"Disqualified",IF(ISNUMBER(H213),"Draw",IF(AND(ISNUMBER(F213),ISNUMBER(E213),E213&gt;0,F213&gt;E213),"Profit",IF(AND(ISNUMBER(F213),ISNUMBER(E213),E213&gt;0,F213=E213),"Draw",IF(AND(ISNUMBER(F213),ISNUMBER(E213),E213&gt;0,F213=0),"Disqualified",""))))))))</x:f>
      </x:c>
      <x:c r="L213" s="50"/>
      <x:c r="M213" s="58"/>
      <x:c r="N213" s="58"/>
      <x:c r="O213" s="62"/>
      <x:c r="P213" s="62"/>
      <x:c r="Q213" s="64" t="str">
        <x:f>IF(OR(B213="",C213="",C213&lt;B213),"",ROUNDUP((C213-B213)/7,0))</x:f>
      </x:c>
      <x:c r="R213" s="50"/>
      <x:c r="S213" s="50"/>
      <x:c r="T213" s="54"/>
      <x:c r="U213" s="66" t="str">
        <x:f>IF(A213="","",IF(K213="Subscription","",IF(ISNUMBER(G213),G213,0)-IF(ISNUMBER(I213),I213,0)))</x:f>
      </x:c>
      <x:c r="V213" s="64" t="str">
        <x:f>IF(OR(P213="",O213="",NOT(ISNUMBER(P213)),NOT(ISNUMBER(O213)),O213&gt;P213),"",P213-O213)</x:f>
      </x:c>
      <x:c r="W213" s="67" t="str">
        <x:f>IF(OR(P213="",P213=0,V213=""),"",V213/P213)</x:f>
      </x:c>
    </x:row>
    <x:row r="214" ht="21" customHeight="1">
      <x:c r="A214" s="54"/>
      <x:c r="B214" s="56"/>
      <x:c r="C214" s="56"/>
      <x:c r="D214" s="54"/>
      <x:c r="E214" s="58"/>
      <x:c r="F214" s="58"/>
      <x:c r="G214" s="58"/>
      <x:c r="H214" s="58"/>
      <x:c r="I214" s="58"/>
      <x:c r="J214" s="60" t="str">
        <x:f>IF(A214="","",IF(K214="Subscription","",IF(E214=0,"",IF(ISNUMBER(G214),G214/E214,IF(ISNUMBER(I214),-ABS(I214)/E214,IF(ISNUMBER(H214),0,IF(AND(ISNUMBER(F214),ISNUMBER(E214),E214&gt;0,F214&gt;E214),(F214-E214)/E214,IF(AND(ISNUMBER(F214),ISNUMBER(E214),E214&gt;0,F214=E214),0,IF(AND(ISNUMBER(F214),ISNUMBER(E214),E214&gt;0,F214=0),-1,"")))))))))</x:f>
      </x:c>
      <x:c r="K214" s="50" t="str">
        <x:f>IF(A214="","",IF(AND(ISNUMBER(E214),E214=0,OR(ISNUMBER(SEARCH("Free",D214&amp;"")),AND(ISNUMBER(F214),F214=0))),"Subscription",IF(ISNUMBER(G214),"Profit",IF(ISNUMBER(I214),"Disqualified",IF(ISNUMBER(H214),"Draw",IF(AND(ISNUMBER(F214),ISNUMBER(E214),E214&gt;0,F214&gt;E214),"Profit",IF(AND(ISNUMBER(F214),ISNUMBER(E214),E214&gt;0,F214=E214),"Draw",IF(AND(ISNUMBER(F214),ISNUMBER(E214),E214&gt;0,F214=0),"Disqualified",""))))))))</x:f>
      </x:c>
      <x:c r="L214" s="50"/>
      <x:c r="M214" s="58"/>
      <x:c r="N214" s="58"/>
      <x:c r="O214" s="62"/>
      <x:c r="P214" s="62"/>
      <x:c r="Q214" s="64" t="str">
        <x:f>IF(OR(B214="",C214="",C214&lt;B214),"",ROUNDUP((C214-B214)/7,0))</x:f>
      </x:c>
      <x:c r="R214" s="50"/>
      <x:c r="S214" s="50"/>
      <x:c r="T214" s="54"/>
      <x:c r="U214" s="66" t="str">
        <x:f>IF(A214="","",IF(K214="Subscription","",IF(ISNUMBER(G214),G214,0)-IF(ISNUMBER(I214),I214,0)))</x:f>
      </x:c>
      <x:c r="V214" s="64" t="str">
        <x:f>IF(OR(P214="",O214="",NOT(ISNUMBER(P214)),NOT(ISNUMBER(O214)),O214&gt;P214),"",P214-O214)</x:f>
      </x:c>
      <x:c r="W214" s="67" t="str">
        <x:f>IF(OR(P214="",P214=0,V214=""),"",V214/P214)</x:f>
      </x:c>
    </x:row>
    <x:row r="215" ht="21" customHeight="1">
      <x:c r="A215" s="54"/>
      <x:c r="B215" s="56"/>
      <x:c r="C215" s="56"/>
      <x:c r="D215" s="54"/>
      <x:c r="E215" s="58"/>
      <x:c r="F215" s="58"/>
      <x:c r="G215" s="58"/>
      <x:c r="H215" s="58"/>
      <x:c r="I215" s="58"/>
      <x:c r="J215" s="60" t="str">
        <x:f>IF(A215="","",IF(K215="Subscription","",IF(E215=0,"",IF(ISNUMBER(G215),G215/E215,IF(ISNUMBER(I215),-ABS(I215)/E215,IF(ISNUMBER(H215),0,IF(AND(ISNUMBER(F215),ISNUMBER(E215),E215&gt;0,F215&gt;E215),(F215-E215)/E215,IF(AND(ISNUMBER(F215),ISNUMBER(E215),E215&gt;0,F215=E215),0,IF(AND(ISNUMBER(F215),ISNUMBER(E215),E215&gt;0,F215=0),-1,"")))))))))</x:f>
      </x:c>
      <x:c r="K215" s="50" t="str">
        <x:f>IF(A215="","",IF(AND(ISNUMBER(E215),E215=0,OR(ISNUMBER(SEARCH("Free",D215&amp;"")),AND(ISNUMBER(F215),F215=0))),"Subscription",IF(ISNUMBER(G215),"Profit",IF(ISNUMBER(I215),"Disqualified",IF(ISNUMBER(H215),"Draw",IF(AND(ISNUMBER(F215),ISNUMBER(E215),E215&gt;0,F215&gt;E215),"Profit",IF(AND(ISNUMBER(F215),ISNUMBER(E215),E215&gt;0,F215=E215),"Draw",IF(AND(ISNUMBER(F215),ISNUMBER(E215),E215&gt;0,F215=0),"Disqualified",""))))))))</x:f>
      </x:c>
      <x:c r="L215" s="50"/>
      <x:c r="M215" s="58"/>
      <x:c r="N215" s="58"/>
      <x:c r="O215" s="62"/>
      <x:c r="P215" s="62"/>
      <x:c r="Q215" s="64" t="str">
        <x:f>IF(OR(B215="",C215="",C215&lt;B215),"",ROUNDUP((C215-B215)/7,0))</x:f>
      </x:c>
      <x:c r="R215" s="50"/>
      <x:c r="S215" s="50"/>
      <x:c r="T215" s="54"/>
      <x:c r="U215" s="66" t="str">
        <x:f>IF(A215="","",IF(K215="Subscription","",IF(ISNUMBER(G215),G215,0)-IF(ISNUMBER(I215),I215,0)))</x:f>
      </x:c>
      <x:c r="V215" s="64" t="str">
        <x:f>IF(OR(P215="",O215="",NOT(ISNUMBER(P215)),NOT(ISNUMBER(O215)),O215&gt;P215),"",P215-O215)</x:f>
      </x:c>
      <x:c r="W215" s="67" t="str">
        <x:f>IF(OR(P215="",P215=0,V215=""),"",V215/P215)</x:f>
      </x:c>
    </x:row>
    <x:row r="216" ht="21" customHeight="1">
      <x:c r="A216" s="54"/>
      <x:c r="B216" s="56"/>
      <x:c r="C216" s="56"/>
      <x:c r="D216" s="54"/>
      <x:c r="E216" s="58"/>
      <x:c r="F216" s="58"/>
      <x:c r="G216" s="58"/>
      <x:c r="H216" s="58"/>
      <x:c r="I216" s="58"/>
      <x:c r="J216" s="60" t="str">
        <x:f>IF(A216="","",IF(K216="Subscription","",IF(E216=0,"",IF(ISNUMBER(G216),G216/E216,IF(ISNUMBER(I216),-ABS(I216)/E216,IF(ISNUMBER(H216),0,IF(AND(ISNUMBER(F216),ISNUMBER(E216),E216&gt;0,F216&gt;E216),(F216-E216)/E216,IF(AND(ISNUMBER(F216),ISNUMBER(E216),E216&gt;0,F216=E216),0,IF(AND(ISNUMBER(F216),ISNUMBER(E216),E216&gt;0,F216=0),-1,"")))))))))</x:f>
      </x:c>
      <x:c r="K216" s="50" t="str">
        <x:f>IF(A216="","",IF(AND(ISNUMBER(E216),E216=0,OR(ISNUMBER(SEARCH("Free",D216&amp;"")),AND(ISNUMBER(F216),F216=0))),"Subscription",IF(ISNUMBER(G216),"Profit",IF(ISNUMBER(I216),"Disqualified",IF(ISNUMBER(H216),"Draw",IF(AND(ISNUMBER(F216),ISNUMBER(E216),E216&gt;0,F216&gt;E216),"Profit",IF(AND(ISNUMBER(F216),ISNUMBER(E216),E216&gt;0,F216=E216),"Draw",IF(AND(ISNUMBER(F216),ISNUMBER(E216),E216&gt;0,F216=0),"Disqualified",""))))))))</x:f>
      </x:c>
      <x:c r="L216" s="50"/>
      <x:c r="M216" s="58"/>
      <x:c r="N216" s="58"/>
      <x:c r="O216" s="62"/>
      <x:c r="P216" s="62"/>
      <x:c r="Q216" s="64" t="str">
        <x:f>IF(OR(B216="",C216="",C216&lt;B216),"",ROUNDUP((C216-B216)/7,0))</x:f>
      </x:c>
      <x:c r="R216" s="50"/>
      <x:c r="S216" s="50"/>
      <x:c r="T216" s="54"/>
      <x:c r="U216" s="66" t="str">
        <x:f>IF(A216="","",IF(K216="Subscription","",IF(ISNUMBER(G216),G216,0)-IF(ISNUMBER(I216),I216,0)))</x:f>
      </x:c>
      <x:c r="V216" s="64" t="str">
        <x:f>IF(OR(P216="",O216="",NOT(ISNUMBER(P216)),NOT(ISNUMBER(O216)),O216&gt;P216),"",P216-O216)</x:f>
      </x:c>
      <x:c r="W216" s="67" t="str">
        <x:f>IF(OR(P216="",P216=0,V216=""),"",V216/P216)</x:f>
      </x:c>
    </x:row>
    <x:row r="217" ht="21" customHeight="1">
      <x:c r="A217" s="54"/>
      <x:c r="B217" s="56"/>
      <x:c r="C217" s="56"/>
      <x:c r="D217" s="54"/>
      <x:c r="E217" s="58"/>
      <x:c r="F217" s="58"/>
      <x:c r="G217" s="58"/>
      <x:c r="H217" s="58"/>
      <x:c r="I217" s="58"/>
      <x:c r="J217" s="60" t="str">
        <x:f>IF(A217="","",IF(K217="Subscription","",IF(E217=0,"",IF(ISNUMBER(G217),G217/E217,IF(ISNUMBER(I217),-ABS(I217)/E217,IF(ISNUMBER(H217),0,IF(AND(ISNUMBER(F217),ISNUMBER(E217),E217&gt;0,F217&gt;E217),(F217-E217)/E217,IF(AND(ISNUMBER(F217),ISNUMBER(E217),E217&gt;0,F217=E217),0,IF(AND(ISNUMBER(F217),ISNUMBER(E217),E217&gt;0,F217=0),-1,"")))))))))</x:f>
      </x:c>
      <x:c r="K217" s="50" t="str">
        <x:f>IF(A217="","",IF(AND(ISNUMBER(E217),E217=0,OR(ISNUMBER(SEARCH("Free",D217&amp;"")),AND(ISNUMBER(F217),F217=0))),"Subscription",IF(ISNUMBER(G217),"Profit",IF(ISNUMBER(I217),"Disqualified",IF(ISNUMBER(H217),"Draw",IF(AND(ISNUMBER(F217),ISNUMBER(E217),E217&gt;0,F217&gt;E217),"Profit",IF(AND(ISNUMBER(F217),ISNUMBER(E217),E217&gt;0,F217=E217),"Draw",IF(AND(ISNUMBER(F217),ISNUMBER(E217),E217&gt;0,F217=0),"Disqualified",""))))))))</x:f>
      </x:c>
      <x:c r="L217" s="50"/>
      <x:c r="M217" s="58"/>
      <x:c r="N217" s="58"/>
      <x:c r="O217" s="62"/>
      <x:c r="P217" s="62"/>
      <x:c r="Q217" s="64" t="str">
        <x:f>IF(OR(B217="",C217="",C217&lt;B217),"",ROUNDUP((C217-B217)/7,0))</x:f>
      </x:c>
      <x:c r="R217" s="50"/>
      <x:c r="S217" s="50"/>
      <x:c r="T217" s="54"/>
      <x:c r="U217" s="66" t="str">
        <x:f>IF(A217="","",IF(K217="Subscription","",IF(ISNUMBER(G217),G217,0)-IF(ISNUMBER(I217),I217,0)))</x:f>
      </x:c>
      <x:c r="V217" s="64" t="str">
        <x:f>IF(OR(P217="",O217="",NOT(ISNUMBER(P217)),NOT(ISNUMBER(O217)),O217&gt;P217),"",P217-O217)</x:f>
      </x:c>
      <x:c r="W217" s="67" t="str">
        <x:f>IF(OR(P217="",P217=0,V217=""),"",V217/P217)</x:f>
      </x:c>
    </x:row>
    <x:row r="218" ht="21" customHeight="1">
      <x:c r="A218" s="54"/>
      <x:c r="B218" s="56"/>
      <x:c r="C218" s="56"/>
      <x:c r="D218" s="54"/>
      <x:c r="E218" s="58"/>
      <x:c r="F218" s="58"/>
      <x:c r="G218" s="58"/>
      <x:c r="H218" s="58"/>
      <x:c r="I218" s="58"/>
      <x:c r="J218" s="60" t="str">
        <x:f>IF(A218="","",IF(K218="Subscription","",IF(E218=0,"",IF(ISNUMBER(G218),G218/E218,IF(ISNUMBER(I218),-ABS(I218)/E218,IF(ISNUMBER(H218),0,IF(AND(ISNUMBER(F218),ISNUMBER(E218),E218&gt;0,F218&gt;E218),(F218-E218)/E218,IF(AND(ISNUMBER(F218),ISNUMBER(E218),E218&gt;0,F218=E218),0,IF(AND(ISNUMBER(F218),ISNUMBER(E218),E218&gt;0,F218=0),-1,"")))))))))</x:f>
      </x:c>
      <x:c r="K218" s="50" t="str">
        <x:f>IF(A218="","",IF(AND(ISNUMBER(E218),E218=0,OR(ISNUMBER(SEARCH("Free",D218&amp;"")),AND(ISNUMBER(F218),F218=0))),"Subscription",IF(ISNUMBER(G218),"Profit",IF(ISNUMBER(I218),"Disqualified",IF(ISNUMBER(H218),"Draw",IF(AND(ISNUMBER(F218),ISNUMBER(E218),E218&gt;0,F218&gt;E218),"Profit",IF(AND(ISNUMBER(F218),ISNUMBER(E218),E218&gt;0,F218=E218),"Draw",IF(AND(ISNUMBER(F218),ISNUMBER(E218),E218&gt;0,F218=0),"Disqualified",""))))))))</x:f>
      </x:c>
      <x:c r="L218" s="50"/>
      <x:c r="M218" s="58"/>
      <x:c r="N218" s="58"/>
      <x:c r="O218" s="62"/>
      <x:c r="P218" s="62"/>
      <x:c r="Q218" s="64" t="str">
        <x:f>IF(OR(B218="",C218="",C218&lt;B218),"",ROUNDUP((C218-B218)/7,0))</x:f>
      </x:c>
      <x:c r="R218" s="50"/>
      <x:c r="S218" s="50"/>
      <x:c r="T218" s="54"/>
      <x:c r="U218" s="66" t="str">
        <x:f>IF(A218="","",IF(K218="Subscription","",IF(ISNUMBER(G218),G218,0)-IF(ISNUMBER(I218),I218,0)))</x:f>
      </x:c>
      <x:c r="V218" s="64" t="str">
        <x:f>IF(OR(P218="",O218="",NOT(ISNUMBER(P218)),NOT(ISNUMBER(O218)),O218&gt;P218),"",P218-O218)</x:f>
      </x:c>
      <x:c r="W218" s="67" t="str">
        <x:f>IF(OR(P218="",P218=0,V218=""),"",V218/P218)</x:f>
      </x:c>
    </x:row>
    <x:row r="219" ht="21" customHeight="1">
      <x:c r="A219" s="54"/>
      <x:c r="B219" s="56"/>
      <x:c r="C219" s="56"/>
      <x:c r="D219" s="54"/>
      <x:c r="E219" s="58"/>
      <x:c r="F219" s="58"/>
      <x:c r="G219" s="58"/>
      <x:c r="H219" s="58"/>
      <x:c r="I219" s="58"/>
      <x:c r="J219" s="60" t="str">
        <x:f>IF(A219="","",IF(K219="Subscription","",IF(E219=0,"",IF(ISNUMBER(G219),G219/E219,IF(ISNUMBER(I219),-ABS(I219)/E219,IF(ISNUMBER(H219),0,IF(AND(ISNUMBER(F219),ISNUMBER(E219),E219&gt;0,F219&gt;E219),(F219-E219)/E219,IF(AND(ISNUMBER(F219),ISNUMBER(E219),E219&gt;0,F219=E219),0,IF(AND(ISNUMBER(F219),ISNUMBER(E219),E219&gt;0,F219=0),-1,"")))))))))</x:f>
      </x:c>
      <x:c r="K219" s="50" t="str">
        <x:f>IF(A219="","",IF(AND(ISNUMBER(E219),E219=0,OR(ISNUMBER(SEARCH("Free",D219&amp;"")),AND(ISNUMBER(F219),F219=0))),"Subscription",IF(ISNUMBER(G219),"Profit",IF(ISNUMBER(I219),"Disqualified",IF(ISNUMBER(H219),"Draw",IF(AND(ISNUMBER(F219),ISNUMBER(E219),E219&gt;0,F219&gt;E219),"Profit",IF(AND(ISNUMBER(F219),ISNUMBER(E219),E219&gt;0,F219=E219),"Draw",IF(AND(ISNUMBER(F219),ISNUMBER(E219),E219&gt;0,F219=0),"Disqualified",""))))))))</x:f>
      </x:c>
      <x:c r="L219" s="50"/>
      <x:c r="M219" s="58"/>
      <x:c r="N219" s="58"/>
      <x:c r="O219" s="62"/>
      <x:c r="P219" s="62"/>
      <x:c r="Q219" s="64" t="str">
        <x:f>IF(OR(B219="",C219="",C219&lt;B219),"",ROUNDUP((C219-B219)/7,0))</x:f>
      </x:c>
      <x:c r="R219" s="50"/>
      <x:c r="S219" s="50"/>
      <x:c r="T219" s="54"/>
      <x:c r="U219" s="66" t="str">
        <x:f>IF(A219="","",IF(K219="Subscription","",IF(ISNUMBER(G219),G219,0)-IF(ISNUMBER(I219),I219,0)))</x:f>
      </x:c>
      <x:c r="V219" s="64" t="str">
        <x:f>IF(OR(P219="",O219="",NOT(ISNUMBER(P219)),NOT(ISNUMBER(O219)),O219&gt;P219),"",P219-O219)</x:f>
      </x:c>
      <x:c r="W219" s="67" t="str">
        <x:f>IF(OR(P219="",P219=0,V219=""),"",V219/P219)</x:f>
      </x:c>
    </x:row>
    <x:row r="220" ht="21" customHeight="1">
      <x:c r="A220" s="54"/>
      <x:c r="B220" s="56"/>
      <x:c r="C220" s="56"/>
      <x:c r="D220" s="54"/>
      <x:c r="E220" s="58"/>
      <x:c r="F220" s="58"/>
      <x:c r="G220" s="58"/>
      <x:c r="H220" s="58"/>
      <x:c r="I220" s="58"/>
      <x:c r="J220" s="60" t="str">
        <x:f>IF(A220="","",IF(K220="Subscription","",IF(E220=0,"",IF(ISNUMBER(G220),G220/E220,IF(ISNUMBER(I220),-ABS(I220)/E220,IF(ISNUMBER(H220),0,IF(AND(ISNUMBER(F220),ISNUMBER(E220),E220&gt;0,F220&gt;E220),(F220-E220)/E220,IF(AND(ISNUMBER(F220),ISNUMBER(E220),E220&gt;0,F220=E220),0,IF(AND(ISNUMBER(F220),ISNUMBER(E220),E220&gt;0,F220=0),-1,"")))))))))</x:f>
      </x:c>
      <x:c r="K220" s="50" t="str">
        <x:f>IF(A220="","",IF(AND(ISNUMBER(E220),E220=0,OR(ISNUMBER(SEARCH("Free",D220&amp;"")),AND(ISNUMBER(F220),F220=0))),"Subscription",IF(ISNUMBER(G220),"Profit",IF(ISNUMBER(I220),"Disqualified",IF(ISNUMBER(H220),"Draw",IF(AND(ISNUMBER(F220),ISNUMBER(E220),E220&gt;0,F220&gt;E220),"Profit",IF(AND(ISNUMBER(F220),ISNUMBER(E220),E220&gt;0,F220=E220),"Draw",IF(AND(ISNUMBER(F220),ISNUMBER(E220),E220&gt;0,F220=0),"Disqualified",""))))))))</x:f>
      </x:c>
      <x:c r="L220" s="50"/>
      <x:c r="M220" s="58"/>
      <x:c r="N220" s="58"/>
      <x:c r="O220" s="62"/>
      <x:c r="P220" s="62"/>
      <x:c r="Q220" s="64" t="str">
        <x:f>IF(OR(B220="",C220="",C220&lt;B220),"",ROUNDUP((C220-B220)/7,0))</x:f>
      </x:c>
      <x:c r="R220" s="50"/>
      <x:c r="S220" s="50"/>
      <x:c r="T220" s="54"/>
      <x:c r="U220" s="66" t="str">
        <x:f>IF(A220="","",IF(K220="Subscription","",IF(ISNUMBER(G220),G220,0)-IF(ISNUMBER(I220),I220,0)))</x:f>
      </x:c>
      <x:c r="V220" s="64" t="str">
        <x:f>IF(OR(P220="",O220="",NOT(ISNUMBER(P220)),NOT(ISNUMBER(O220)),O220&gt;P220),"",P220-O220)</x:f>
      </x:c>
      <x:c r="W220" s="67" t="str">
        <x:f>IF(OR(P220="",P220=0,V220=""),"",V220/P220)</x:f>
      </x:c>
    </x:row>
    <x:row r="221" ht="21" customHeight="1">
      <x:c r="A221" s="54"/>
      <x:c r="B221" s="56"/>
      <x:c r="C221" s="56"/>
      <x:c r="D221" s="54"/>
      <x:c r="E221" s="58"/>
      <x:c r="F221" s="58"/>
      <x:c r="G221" s="58"/>
      <x:c r="H221" s="58"/>
      <x:c r="I221" s="58"/>
      <x:c r="J221" s="60" t="str">
        <x:f>IF(A221="","",IF(K221="Subscription","",IF(E221=0,"",IF(ISNUMBER(G221),G221/E221,IF(ISNUMBER(I221),-ABS(I221)/E221,IF(ISNUMBER(H221),0,IF(AND(ISNUMBER(F221),ISNUMBER(E221),E221&gt;0,F221&gt;E221),(F221-E221)/E221,IF(AND(ISNUMBER(F221),ISNUMBER(E221),E221&gt;0,F221=E221),0,IF(AND(ISNUMBER(F221),ISNUMBER(E221),E221&gt;0,F221=0),-1,"")))))))))</x:f>
      </x:c>
      <x:c r="K221" s="50" t="str">
        <x:f>IF(A221="","",IF(AND(ISNUMBER(E221),E221=0,OR(ISNUMBER(SEARCH("Free",D221&amp;"")),AND(ISNUMBER(F221),F221=0))),"Subscription",IF(ISNUMBER(G221),"Profit",IF(ISNUMBER(I221),"Disqualified",IF(ISNUMBER(H221),"Draw",IF(AND(ISNUMBER(F221),ISNUMBER(E221),E221&gt;0,F221&gt;E221),"Profit",IF(AND(ISNUMBER(F221),ISNUMBER(E221),E221&gt;0,F221=E221),"Draw",IF(AND(ISNUMBER(F221),ISNUMBER(E221),E221&gt;0,F221=0),"Disqualified",""))))))))</x:f>
      </x:c>
      <x:c r="L221" s="50"/>
      <x:c r="M221" s="58"/>
      <x:c r="N221" s="58"/>
      <x:c r="O221" s="62"/>
      <x:c r="P221" s="62"/>
      <x:c r="Q221" s="64" t="str">
        <x:f>IF(OR(B221="",C221="",C221&lt;B221),"",ROUNDUP((C221-B221)/7,0))</x:f>
      </x:c>
      <x:c r="R221" s="50"/>
      <x:c r="S221" s="50"/>
      <x:c r="T221" s="54"/>
      <x:c r="U221" s="66" t="str">
        <x:f>IF(A221="","",IF(K221="Subscription","",IF(ISNUMBER(G221),G221,0)-IF(ISNUMBER(I221),I221,0)))</x:f>
      </x:c>
      <x:c r="V221" s="64" t="str">
        <x:f>IF(OR(P221="",O221="",NOT(ISNUMBER(P221)),NOT(ISNUMBER(O221)),O221&gt;P221),"",P221-O221)</x:f>
      </x:c>
      <x:c r="W221" s="67" t="str">
        <x:f>IF(OR(P221="",P221=0,V221=""),"",V221/P221)</x:f>
      </x:c>
    </x:row>
    <x:row r="222" ht="21" customHeight="1">
      <x:c r="A222" s="54"/>
      <x:c r="B222" s="56"/>
      <x:c r="C222" s="56"/>
      <x:c r="D222" s="54"/>
      <x:c r="E222" s="58"/>
      <x:c r="F222" s="58"/>
      <x:c r="G222" s="58"/>
      <x:c r="H222" s="58"/>
      <x:c r="I222" s="58"/>
      <x:c r="J222" s="60" t="str">
        <x:f>IF(A222="","",IF(K222="Subscription","",IF(E222=0,"",IF(ISNUMBER(G222),G222/E222,IF(ISNUMBER(I222),-ABS(I222)/E222,IF(ISNUMBER(H222),0,IF(AND(ISNUMBER(F222),ISNUMBER(E222),E222&gt;0,F222&gt;E222),(F222-E222)/E222,IF(AND(ISNUMBER(F222),ISNUMBER(E222),E222&gt;0,F222=E222),0,IF(AND(ISNUMBER(F222),ISNUMBER(E222),E222&gt;0,F222=0),-1,"")))))))))</x:f>
      </x:c>
      <x:c r="K222" s="50" t="str">
        <x:f>IF(A222="","",IF(AND(ISNUMBER(E222),E222=0,OR(ISNUMBER(SEARCH("Free",D222&amp;"")),AND(ISNUMBER(F222),F222=0))),"Subscription",IF(ISNUMBER(G222),"Profit",IF(ISNUMBER(I222),"Disqualified",IF(ISNUMBER(H222),"Draw",IF(AND(ISNUMBER(F222),ISNUMBER(E222),E222&gt;0,F222&gt;E222),"Profit",IF(AND(ISNUMBER(F222),ISNUMBER(E222),E222&gt;0,F222=E222),"Draw",IF(AND(ISNUMBER(F222),ISNUMBER(E222),E222&gt;0,F222=0),"Disqualified",""))))))))</x:f>
      </x:c>
      <x:c r="L222" s="50"/>
      <x:c r="M222" s="58"/>
      <x:c r="N222" s="58"/>
      <x:c r="O222" s="62"/>
      <x:c r="P222" s="62"/>
      <x:c r="Q222" s="64" t="str">
        <x:f>IF(OR(B222="",C222="",C222&lt;B222),"",ROUNDUP((C222-B222)/7,0))</x:f>
      </x:c>
      <x:c r="R222" s="50"/>
      <x:c r="S222" s="50"/>
      <x:c r="T222" s="54"/>
      <x:c r="U222" s="66" t="str">
        <x:f>IF(A222="","",IF(K222="Subscription","",IF(ISNUMBER(G222),G222,0)-IF(ISNUMBER(I222),I222,0)))</x:f>
      </x:c>
      <x:c r="V222" s="64" t="str">
        <x:f>IF(OR(P222="",O222="",NOT(ISNUMBER(P222)),NOT(ISNUMBER(O222)),O222&gt;P222),"",P222-O222)</x:f>
      </x:c>
      <x:c r="W222" s="67" t="str">
        <x:f>IF(OR(P222="",P222=0,V222=""),"",V222/P222)</x:f>
      </x:c>
    </x:row>
    <x:row r="223" ht="21" customHeight="1">
      <x:c r="A223" s="54"/>
      <x:c r="B223" s="56"/>
      <x:c r="C223" s="56"/>
      <x:c r="D223" s="54"/>
      <x:c r="E223" s="58"/>
      <x:c r="F223" s="58"/>
      <x:c r="G223" s="58"/>
      <x:c r="H223" s="58"/>
      <x:c r="I223" s="58"/>
      <x:c r="J223" s="60" t="str">
        <x:f>IF(A223="","",IF(K223="Subscription","",IF(E223=0,"",IF(ISNUMBER(G223),G223/E223,IF(ISNUMBER(I223),-ABS(I223)/E223,IF(ISNUMBER(H223),0,IF(AND(ISNUMBER(F223),ISNUMBER(E223),E223&gt;0,F223&gt;E223),(F223-E223)/E223,IF(AND(ISNUMBER(F223),ISNUMBER(E223),E223&gt;0,F223=E223),0,IF(AND(ISNUMBER(F223),ISNUMBER(E223),E223&gt;0,F223=0),-1,"")))))))))</x:f>
      </x:c>
      <x:c r="K223" s="50" t="str">
        <x:f>IF(A223="","",IF(AND(ISNUMBER(E223),E223=0,OR(ISNUMBER(SEARCH("Free",D223&amp;"")),AND(ISNUMBER(F223),F223=0))),"Subscription",IF(ISNUMBER(G223),"Profit",IF(ISNUMBER(I223),"Disqualified",IF(ISNUMBER(H223),"Draw",IF(AND(ISNUMBER(F223),ISNUMBER(E223),E223&gt;0,F223&gt;E223),"Profit",IF(AND(ISNUMBER(F223),ISNUMBER(E223),E223&gt;0,F223=E223),"Draw",IF(AND(ISNUMBER(F223),ISNUMBER(E223),E223&gt;0,F223=0),"Disqualified",""))))))))</x:f>
      </x:c>
      <x:c r="L223" s="50"/>
      <x:c r="M223" s="58"/>
      <x:c r="N223" s="58"/>
      <x:c r="O223" s="62"/>
      <x:c r="P223" s="62"/>
      <x:c r="Q223" s="64" t="str">
        <x:f>IF(OR(B223="",C223="",C223&lt;B223),"",ROUNDUP((C223-B223)/7,0))</x:f>
      </x:c>
      <x:c r="R223" s="50"/>
      <x:c r="S223" s="50"/>
      <x:c r="T223" s="54"/>
      <x:c r="U223" s="66" t="str">
        <x:f>IF(A223="","",IF(K223="Subscription","",IF(ISNUMBER(G223),G223,0)-IF(ISNUMBER(I223),I223,0)))</x:f>
      </x:c>
      <x:c r="V223" s="64" t="str">
        <x:f>IF(OR(P223="",O223="",NOT(ISNUMBER(P223)),NOT(ISNUMBER(O223)),O223&gt;P223),"",P223-O223)</x:f>
      </x:c>
      <x:c r="W223" s="67" t="str">
        <x:f>IF(OR(P223="",P223=0,V223=""),"",V223/P223)</x:f>
      </x:c>
    </x:row>
    <x:row r="224" ht="21" customHeight="1">
      <x:c r="A224" s="54"/>
      <x:c r="B224" s="56"/>
      <x:c r="C224" s="56"/>
      <x:c r="D224" s="54"/>
      <x:c r="E224" s="58"/>
      <x:c r="F224" s="58"/>
      <x:c r="G224" s="58"/>
      <x:c r="H224" s="58"/>
      <x:c r="I224" s="58"/>
      <x:c r="J224" s="60" t="str">
        <x:f>IF(A224="","",IF(K224="Subscription","",IF(E224=0,"",IF(ISNUMBER(G224),G224/E224,IF(ISNUMBER(I224),-ABS(I224)/E224,IF(ISNUMBER(H224),0,IF(AND(ISNUMBER(F224),ISNUMBER(E224),E224&gt;0,F224&gt;E224),(F224-E224)/E224,IF(AND(ISNUMBER(F224),ISNUMBER(E224),E224&gt;0,F224=E224),0,IF(AND(ISNUMBER(F224),ISNUMBER(E224),E224&gt;0,F224=0),-1,"")))))))))</x:f>
      </x:c>
      <x:c r="K224" s="50" t="str">
        <x:f>IF(A224="","",IF(AND(ISNUMBER(E224),E224=0,OR(ISNUMBER(SEARCH("Free",D224&amp;"")),AND(ISNUMBER(F224),F224=0))),"Subscription",IF(ISNUMBER(G224),"Profit",IF(ISNUMBER(I224),"Disqualified",IF(ISNUMBER(H224),"Draw",IF(AND(ISNUMBER(F224),ISNUMBER(E224),E224&gt;0,F224&gt;E224),"Profit",IF(AND(ISNUMBER(F224),ISNUMBER(E224),E224&gt;0,F224=E224),"Draw",IF(AND(ISNUMBER(F224),ISNUMBER(E224),E224&gt;0,F224=0),"Disqualified",""))))))))</x:f>
      </x:c>
      <x:c r="L224" s="50"/>
      <x:c r="M224" s="58"/>
      <x:c r="N224" s="58"/>
      <x:c r="O224" s="62"/>
      <x:c r="P224" s="62"/>
      <x:c r="Q224" s="64" t="str">
        <x:f>IF(OR(B224="",C224="",C224&lt;B224),"",ROUNDUP((C224-B224)/7,0))</x:f>
      </x:c>
      <x:c r="R224" s="50"/>
      <x:c r="S224" s="50"/>
      <x:c r="T224" s="54"/>
      <x:c r="U224" s="66" t="str">
        <x:f>IF(A224="","",IF(K224="Subscription","",IF(ISNUMBER(G224),G224,0)-IF(ISNUMBER(I224),I224,0)))</x:f>
      </x:c>
      <x:c r="V224" s="64" t="str">
        <x:f>IF(OR(P224="",O224="",NOT(ISNUMBER(P224)),NOT(ISNUMBER(O224)),O224&gt;P224),"",P224-O224)</x:f>
      </x:c>
      <x:c r="W224" s="67" t="str">
        <x:f>IF(OR(P224="",P224=0,V224=""),"",V224/P224)</x:f>
      </x:c>
    </x:row>
    <x:row r="225" ht="21" customHeight="1">
      <x:c r="A225" s="54"/>
      <x:c r="B225" s="56"/>
      <x:c r="C225" s="56"/>
      <x:c r="D225" s="54"/>
      <x:c r="E225" s="58"/>
      <x:c r="F225" s="58"/>
      <x:c r="G225" s="58"/>
      <x:c r="H225" s="58"/>
      <x:c r="I225" s="58"/>
      <x:c r="J225" s="60" t="str">
        <x:f>IF(A225="","",IF(K225="Subscription","",IF(E225=0,"",IF(ISNUMBER(G225),G225/E225,IF(ISNUMBER(I225),-ABS(I225)/E225,IF(ISNUMBER(H225),0,IF(AND(ISNUMBER(F225),ISNUMBER(E225),E225&gt;0,F225&gt;E225),(F225-E225)/E225,IF(AND(ISNUMBER(F225),ISNUMBER(E225),E225&gt;0,F225=E225),0,IF(AND(ISNUMBER(F225),ISNUMBER(E225),E225&gt;0,F225=0),-1,"")))))))))</x:f>
      </x:c>
      <x:c r="K225" s="50" t="str">
        <x:f>IF(A225="","",IF(AND(ISNUMBER(E225),E225=0,OR(ISNUMBER(SEARCH("Free",D225&amp;"")),AND(ISNUMBER(F225),F225=0))),"Subscription",IF(ISNUMBER(G225),"Profit",IF(ISNUMBER(I225),"Disqualified",IF(ISNUMBER(H225),"Draw",IF(AND(ISNUMBER(F225),ISNUMBER(E225),E225&gt;0,F225&gt;E225),"Profit",IF(AND(ISNUMBER(F225),ISNUMBER(E225),E225&gt;0,F225=E225),"Draw",IF(AND(ISNUMBER(F225),ISNUMBER(E225),E225&gt;0,F225=0),"Disqualified",""))))))))</x:f>
      </x:c>
      <x:c r="L225" s="50"/>
      <x:c r="M225" s="58"/>
      <x:c r="N225" s="58"/>
      <x:c r="O225" s="62"/>
      <x:c r="P225" s="62"/>
      <x:c r="Q225" s="64" t="str">
        <x:f>IF(OR(B225="",C225="",C225&lt;B225),"",ROUNDUP((C225-B225)/7,0))</x:f>
      </x:c>
      <x:c r="R225" s="50"/>
      <x:c r="S225" s="50"/>
      <x:c r="T225" s="54"/>
      <x:c r="U225" s="66" t="str">
        <x:f>IF(A225="","",IF(K225="Subscription","",IF(ISNUMBER(G225),G225,0)-IF(ISNUMBER(I225),I225,0)))</x:f>
      </x:c>
      <x:c r="V225" s="64" t="str">
        <x:f>IF(OR(P225="",O225="",NOT(ISNUMBER(P225)),NOT(ISNUMBER(O225)),O225&gt;P225),"",P225-O225)</x:f>
      </x:c>
      <x:c r="W225" s="67" t="str">
        <x:f>IF(OR(P225="",P225=0,V225=""),"",V225/P225)</x:f>
      </x:c>
    </x:row>
    <x:row r="226" ht="21" customHeight="1">
      <x:c r="A226" s="54"/>
      <x:c r="B226" s="56"/>
      <x:c r="C226" s="56"/>
      <x:c r="D226" s="54"/>
      <x:c r="E226" s="58"/>
      <x:c r="F226" s="58"/>
      <x:c r="G226" s="58"/>
      <x:c r="H226" s="58"/>
      <x:c r="I226" s="58"/>
      <x:c r="J226" s="60" t="str">
        <x:f>IF(A226="","",IF(K226="Subscription","",IF(E226=0,"",IF(ISNUMBER(G226),G226/E226,IF(ISNUMBER(I226),-ABS(I226)/E226,IF(ISNUMBER(H226),0,IF(AND(ISNUMBER(F226),ISNUMBER(E226),E226&gt;0,F226&gt;E226),(F226-E226)/E226,IF(AND(ISNUMBER(F226),ISNUMBER(E226),E226&gt;0,F226=E226),0,IF(AND(ISNUMBER(F226),ISNUMBER(E226),E226&gt;0,F226=0),-1,"")))))))))</x:f>
      </x:c>
      <x:c r="K226" s="50" t="str">
        <x:f>IF(A226="","",IF(AND(ISNUMBER(E226),E226=0,OR(ISNUMBER(SEARCH("Free",D226&amp;"")),AND(ISNUMBER(F226),F226=0))),"Subscription",IF(ISNUMBER(G226),"Profit",IF(ISNUMBER(I226),"Disqualified",IF(ISNUMBER(H226),"Draw",IF(AND(ISNUMBER(F226),ISNUMBER(E226),E226&gt;0,F226&gt;E226),"Profit",IF(AND(ISNUMBER(F226),ISNUMBER(E226),E226&gt;0,F226=E226),"Draw",IF(AND(ISNUMBER(F226),ISNUMBER(E226),E226&gt;0,F226=0),"Disqualified",""))))))))</x:f>
      </x:c>
      <x:c r="L226" s="50"/>
      <x:c r="M226" s="58"/>
      <x:c r="N226" s="58"/>
      <x:c r="O226" s="62"/>
      <x:c r="P226" s="62"/>
      <x:c r="Q226" s="64" t="str">
        <x:f>IF(OR(B226="",C226="",C226&lt;B226),"",ROUNDUP((C226-B226)/7,0))</x:f>
      </x:c>
      <x:c r="R226" s="50"/>
      <x:c r="S226" s="50"/>
      <x:c r="T226" s="54"/>
      <x:c r="U226" s="66" t="str">
        <x:f>IF(A226="","",IF(K226="Subscription","",IF(ISNUMBER(G226),G226,0)-IF(ISNUMBER(I226),I226,0)))</x:f>
      </x:c>
      <x:c r="V226" s="64" t="str">
        <x:f>IF(OR(P226="",O226="",NOT(ISNUMBER(P226)),NOT(ISNUMBER(O226)),O226&gt;P226),"",P226-O226)</x:f>
      </x:c>
      <x:c r="W226" s="67" t="str">
        <x:f>IF(OR(P226="",P226=0,V226=""),"",V226/P226)</x:f>
      </x:c>
    </x:row>
    <x:row r="227" ht="21" customHeight="1">
      <x:c r="A227" s="54"/>
      <x:c r="B227" s="56"/>
      <x:c r="C227" s="56"/>
      <x:c r="D227" s="54"/>
      <x:c r="E227" s="58"/>
      <x:c r="F227" s="58"/>
      <x:c r="G227" s="58"/>
      <x:c r="H227" s="58"/>
      <x:c r="I227" s="58"/>
      <x:c r="J227" s="60" t="str">
        <x:f>IF(A227="","",IF(K227="Subscription","",IF(E227=0,"",IF(ISNUMBER(G227),G227/E227,IF(ISNUMBER(I227),-ABS(I227)/E227,IF(ISNUMBER(H227),0,IF(AND(ISNUMBER(F227),ISNUMBER(E227),E227&gt;0,F227&gt;E227),(F227-E227)/E227,IF(AND(ISNUMBER(F227),ISNUMBER(E227),E227&gt;0,F227=E227),0,IF(AND(ISNUMBER(F227),ISNUMBER(E227),E227&gt;0,F227=0),-1,"")))))))))</x:f>
      </x:c>
      <x:c r="K227" s="50" t="str">
        <x:f>IF(A227="","",IF(AND(ISNUMBER(E227),E227=0,OR(ISNUMBER(SEARCH("Free",D227&amp;"")),AND(ISNUMBER(F227),F227=0))),"Subscription",IF(ISNUMBER(G227),"Profit",IF(ISNUMBER(I227),"Disqualified",IF(ISNUMBER(H227),"Draw",IF(AND(ISNUMBER(F227),ISNUMBER(E227),E227&gt;0,F227&gt;E227),"Profit",IF(AND(ISNUMBER(F227),ISNUMBER(E227),E227&gt;0,F227=E227),"Draw",IF(AND(ISNUMBER(F227),ISNUMBER(E227),E227&gt;0,F227=0),"Disqualified",""))))))))</x:f>
      </x:c>
      <x:c r="L227" s="50"/>
      <x:c r="M227" s="58"/>
      <x:c r="N227" s="58"/>
      <x:c r="O227" s="62"/>
      <x:c r="P227" s="62"/>
      <x:c r="Q227" s="64" t="str">
        <x:f>IF(OR(B227="",C227="",C227&lt;B227),"",ROUNDUP((C227-B227)/7,0))</x:f>
      </x:c>
      <x:c r="R227" s="50"/>
      <x:c r="S227" s="50"/>
      <x:c r="T227" s="54"/>
      <x:c r="U227" s="66" t="str">
        <x:f>IF(A227="","",IF(K227="Subscription","",IF(ISNUMBER(G227),G227,0)-IF(ISNUMBER(I227),I227,0)))</x:f>
      </x:c>
      <x:c r="V227" s="64" t="str">
        <x:f>IF(OR(P227="",O227="",NOT(ISNUMBER(P227)),NOT(ISNUMBER(O227)),O227&gt;P227),"",P227-O227)</x:f>
      </x:c>
      <x:c r="W227" s="67" t="str">
        <x:f>IF(OR(P227="",P227=0,V227=""),"",V227/P227)</x:f>
      </x:c>
    </x:row>
    <x:row r="228" ht="21" customHeight="1">
      <x:c r="A228" s="54"/>
      <x:c r="B228" s="56"/>
      <x:c r="C228" s="56"/>
      <x:c r="D228" s="54"/>
      <x:c r="E228" s="58"/>
      <x:c r="F228" s="58"/>
      <x:c r="G228" s="58"/>
      <x:c r="H228" s="58"/>
      <x:c r="I228" s="58"/>
      <x:c r="J228" s="60" t="str">
        <x:f>IF(A228="","",IF(K228="Subscription","",IF(E228=0,"",IF(ISNUMBER(G228),G228/E228,IF(ISNUMBER(I228),-ABS(I228)/E228,IF(ISNUMBER(H228),0,IF(AND(ISNUMBER(F228),ISNUMBER(E228),E228&gt;0,F228&gt;E228),(F228-E228)/E228,IF(AND(ISNUMBER(F228),ISNUMBER(E228),E228&gt;0,F228=E228),0,IF(AND(ISNUMBER(F228),ISNUMBER(E228),E228&gt;0,F228=0),-1,"")))))))))</x:f>
      </x:c>
      <x:c r="K228" s="50" t="str">
        <x:f>IF(A228="","",IF(AND(ISNUMBER(E228),E228=0,OR(ISNUMBER(SEARCH("Free",D228&amp;"")),AND(ISNUMBER(F228),F228=0))),"Subscription",IF(ISNUMBER(G228),"Profit",IF(ISNUMBER(I228),"Disqualified",IF(ISNUMBER(H228),"Draw",IF(AND(ISNUMBER(F228),ISNUMBER(E228),E228&gt;0,F228&gt;E228),"Profit",IF(AND(ISNUMBER(F228),ISNUMBER(E228),E228&gt;0,F228=E228),"Draw",IF(AND(ISNUMBER(F228),ISNUMBER(E228),E228&gt;0,F228=0),"Disqualified",""))))))))</x:f>
      </x:c>
      <x:c r="L228" s="50"/>
      <x:c r="M228" s="58"/>
      <x:c r="N228" s="58"/>
      <x:c r="O228" s="62"/>
      <x:c r="P228" s="62"/>
      <x:c r="Q228" s="64" t="str">
        <x:f>IF(OR(B228="",C228="",C228&lt;B228),"",ROUNDUP((C228-B228)/7,0))</x:f>
      </x:c>
      <x:c r="R228" s="50"/>
      <x:c r="S228" s="50"/>
      <x:c r="T228" s="54"/>
      <x:c r="U228" s="66" t="str">
        <x:f>IF(A228="","",IF(K228="Subscription","",IF(ISNUMBER(G228),G228,0)-IF(ISNUMBER(I228),I228,0)))</x:f>
      </x:c>
      <x:c r="V228" s="64" t="str">
        <x:f>IF(OR(P228="",O228="",NOT(ISNUMBER(P228)),NOT(ISNUMBER(O228)),O228&gt;P228),"",P228-O228)</x:f>
      </x:c>
      <x:c r="W228" s="67" t="str">
        <x:f>IF(OR(P228="",P228=0,V228=""),"",V228/P228)</x:f>
      </x:c>
    </x:row>
    <x:row r="229" ht="21" customHeight="1">
      <x:c r="A229" s="54"/>
      <x:c r="B229" s="56"/>
      <x:c r="C229" s="56"/>
      <x:c r="D229" s="54"/>
      <x:c r="E229" s="58"/>
      <x:c r="F229" s="58"/>
      <x:c r="G229" s="58"/>
      <x:c r="H229" s="58"/>
      <x:c r="I229" s="58"/>
      <x:c r="J229" s="60" t="str">
        <x:f>IF(A229="","",IF(K229="Subscription","",IF(E229=0,"",IF(ISNUMBER(G229),G229/E229,IF(ISNUMBER(I229),-ABS(I229)/E229,IF(ISNUMBER(H229),0,IF(AND(ISNUMBER(F229),ISNUMBER(E229),E229&gt;0,F229&gt;E229),(F229-E229)/E229,IF(AND(ISNUMBER(F229),ISNUMBER(E229),E229&gt;0,F229=E229),0,IF(AND(ISNUMBER(F229),ISNUMBER(E229),E229&gt;0,F229=0),-1,"")))))))))</x:f>
      </x:c>
      <x:c r="K229" s="50" t="str">
        <x:f>IF(A229="","",IF(AND(ISNUMBER(E229),E229=0,OR(ISNUMBER(SEARCH("Free",D229&amp;"")),AND(ISNUMBER(F229),F229=0))),"Subscription",IF(ISNUMBER(G229),"Profit",IF(ISNUMBER(I229),"Disqualified",IF(ISNUMBER(H229),"Draw",IF(AND(ISNUMBER(F229),ISNUMBER(E229),E229&gt;0,F229&gt;E229),"Profit",IF(AND(ISNUMBER(F229),ISNUMBER(E229),E229&gt;0,F229=E229),"Draw",IF(AND(ISNUMBER(F229),ISNUMBER(E229),E229&gt;0,F229=0),"Disqualified",""))))))))</x:f>
      </x:c>
      <x:c r="L229" s="50"/>
      <x:c r="M229" s="58"/>
      <x:c r="N229" s="58"/>
      <x:c r="O229" s="62"/>
      <x:c r="P229" s="62"/>
      <x:c r="Q229" s="64" t="str">
        <x:f>IF(OR(B229="",C229="",C229&lt;B229),"",ROUNDUP((C229-B229)/7,0))</x:f>
      </x:c>
      <x:c r="R229" s="50"/>
      <x:c r="S229" s="50"/>
      <x:c r="T229" s="54"/>
      <x:c r="U229" s="66" t="str">
        <x:f>IF(A229="","",IF(K229="Subscription","",IF(ISNUMBER(G229),G229,0)-IF(ISNUMBER(I229),I229,0)))</x:f>
      </x:c>
      <x:c r="V229" s="64" t="str">
        <x:f>IF(OR(P229="",O229="",NOT(ISNUMBER(P229)),NOT(ISNUMBER(O229)),O229&gt;P229),"",P229-O229)</x:f>
      </x:c>
      <x:c r="W229" s="67" t="str">
        <x:f>IF(OR(P229="",P229=0,V229=""),"",V229/P229)</x:f>
      </x:c>
    </x:row>
    <x:row r="230" ht="21" customHeight="1">
      <x:c r="A230" s="54"/>
      <x:c r="B230" s="56"/>
      <x:c r="C230" s="56"/>
      <x:c r="D230" s="54"/>
      <x:c r="E230" s="58"/>
      <x:c r="F230" s="58"/>
      <x:c r="G230" s="58"/>
      <x:c r="H230" s="58"/>
      <x:c r="I230" s="58"/>
      <x:c r="J230" s="60" t="str">
        <x:f>IF(A230="","",IF(K230="Subscription","",IF(E230=0,"",IF(ISNUMBER(G230),G230/E230,IF(ISNUMBER(I230),-ABS(I230)/E230,IF(ISNUMBER(H230),0,IF(AND(ISNUMBER(F230),ISNUMBER(E230),E230&gt;0,F230&gt;E230),(F230-E230)/E230,IF(AND(ISNUMBER(F230),ISNUMBER(E230),E230&gt;0,F230=E230),0,IF(AND(ISNUMBER(F230),ISNUMBER(E230),E230&gt;0,F230=0),-1,"")))))))))</x:f>
      </x:c>
      <x:c r="K230" s="50" t="str">
        <x:f>IF(A230="","",IF(AND(ISNUMBER(E230),E230=0,OR(ISNUMBER(SEARCH("Free",D230&amp;"")),AND(ISNUMBER(F230),F230=0))),"Subscription",IF(ISNUMBER(G230),"Profit",IF(ISNUMBER(I230),"Disqualified",IF(ISNUMBER(H230),"Draw",IF(AND(ISNUMBER(F230),ISNUMBER(E230),E230&gt;0,F230&gt;E230),"Profit",IF(AND(ISNUMBER(F230),ISNUMBER(E230),E230&gt;0,F230=E230),"Draw",IF(AND(ISNUMBER(F230),ISNUMBER(E230),E230&gt;0,F230=0),"Disqualified",""))))))))</x:f>
      </x:c>
      <x:c r="L230" s="50"/>
      <x:c r="M230" s="58"/>
      <x:c r="N230" s="58"/>
      <x:c r="O230" s="62"/>
      <x:c r="P230" s="62"/>
      <x:c r="Q230" s="64" t="str">
        <x:f>IF(OR(B230="",C230="",C230&lt;B230),"",ROUNDUP((C230-B230)/7,0))</x:f>
      </x:c>
      <x:c r="R230" s="50"/>
      <x:c r="S230" s="50"/>
      <x:c r="T230" s="54"/>
      <x:c r="U230" s="66" t="str">
        <x:f>IF(A230="","",IF(K230="Subscription","",IF(ISNUMBER(G230),G230,0)-IF(ISNUMBER(I230),I230,0)))</x:f>
      </x:c>
      <x:c r="V230" s="64" t="str">
        <x:f>IF(OR(P230="",O230="",NOT(ISNUMBER(P230)),NOT(ISNUMBER(O230)),O230&gt;P230),"",P230-O230)</x:f>
      </x:c>
      <x:c r="W230" s="67" t="str">
        <x:f>IF(OR(P230="",P230=0,V230=""),"",V230/P230)</x:f>
      </x:c>
    </x:row>
    <x:row r="231" ht="21" customHeight="1">
      <x:c r="A231" s="54"/>
      <x:c r="B231" s="56"/>
      <x:c r="C231" s="56"/>
      <x:c r="D231" s="54"/>
      <x:c r="E231" s="58"/>
      <x:c r="F231" s="58"/>
      <x:c r="G231" s="58"/>
      <x:c r="H231" s="58"/>
      <x:c r="I231" s="58"/>
      <x:c r="J231" s="60" t="str">
        <x:f>IF(A231="","",IF(K231="Subscription","",IF(E231=0,"",IF(ISNUMBER(G231),G231/E231,IF(ISNUMBER(I231),-ABS(I231)/E231,IF(ISNUMBER(H231),0,IF(AND(ISNUMBER(F231),ISNUMBER(E231),E231&gt;0,F231&gt;E231),(F231-E231)/E231,IF(AND(ISNUMBER(F231),ISNUMBER(E231),E231&gt;0,F231=E231),0,IF(AND(ISNUMBER(F231),ISNUMBER(E231),E231&gt;0,F231=0),-1,"")))))))))</x:f>
      </x:c>
      <x:c r="K231" s="50" t="str">
        <x:f>IF(A231="","",IF(AND(ISNUMBER(E231),E231=0,OR(ISNUMBER(SEARCH("Free",D231&amp;"")),AND(ISNUMBER(F231),F231=0))),"Subscription",IF(ISNUMBER(G231),"Profit",IF(ISNUMBER(I231),"Disqualified",IF(ISNUMBER(H231),"Draw",IF(AND(ISNUMBER(F231),ISNUMBER(E231),E231&gt;0,F231&gt;E231),"Profit",IF(AND(ISNUMBER(F231),ISNUMBER(E231),E231&gt;0,F231=E231),"Draw",IF(AND(ISNUMBER(F231),ISNUMBER(E231),E231&gt;0,F231=0),"Disqualified",""))))))))</x:f>
      </x:c>
      <x:c r="L231" s="50"/>
      <x:c r="M231" s="58"/>
      <x:c r="N231" s="58"/>
      <x:c r="O231" s="62"/>
      <x:c r="P231" s="62"/>
      <x:c r="Q231" s="64" t="str">
        <x:f>IF(OR(B231="",C231="",C231&lt;B231),"",ROUNDUP((C231-B231)/7,0))</x:f>
      </x:c>
      <x:c r="R231" s="50"/>
      <x:c r="S231" s="50"/>
      <x:c r="T231" s="54"/>
      <x:c r="U231" s="66" t="str">
        <x:f>IF(A231="","",IF(K231="Subscription","",IF(ISNUMBER(G231),G231,0)-IF(ISNUMBER(I231),I231,0)))</x:f>
      </x:c>
      <x:c r="V231" s="64" t="str">
        <x:f>IF(OR(P231="",O231="",NOT(ISNUMBER(P231)),NOT(ISNUMBER(O231)),O231&gt;P231),"",P231-O231)</x:f>
      </x:c>
      <x:c r="W231" s="67" t="str">
        <x:f>IF(OR(P231="",P231=0,V231=""),"",V231/P231)</x:f>
      </x:c>
    </x:row>
    <x:row r="232" ht="21" customHeight="1">
      <x:c r="A232" s="54"/>
      <x:c r="B232" s="56"/>
      <x:c r="C232" s="56"/>
      <x:c r="D232" s="54"/>
      <x:c r="E232" s="58"/>
      <x:c r="F232" s="58"/>
      <x:c r="G232" s="58"/>
      <x:c r="H232" s="58"/>
      <x:c r="I232" s="58"/>
      <x:c r="J232" s="60" t="str">
        <x:f>IF(A232="","",IF(K232="Subscription","",IF(E232=0,"",IF(ISNUMBER(G232),G232/E232,IF(ISNUMBER(I232),-ABS(I232)/E232,IF(ISNUMBER(H232),0,IF(AND(ISNUMBER(F232),ISNUMBER(E232),E232&gt;0,F232&gt;E232),(F232-E232)/E232,IF(AND(ISNUMBER(F232),ISNUMBER(E232),E232&gt;0,F232=E232),0,IF(AND(ISNUMBER(F232),ISNUMBER(E232),E232&gt;0,F232=0),-1,"")))))))))</x:f>
      </x:c>
      <x:c r="K232" s="50" t="str">
        <x:f>IF(A232="","",IF(AND(ISNUMBER(E232),E232=0,OR(ISNUMBER(SEARCH("Free",D232&amp;"")),AND(ISNUMBER(F232),F232=0))),"Subscription",IF(ISNUMBER(G232),"Profit",IF(ISNUMBER(I232),"Disqualified",IF(ISNUMBER(H232),"Draw",IF(AND(ISNUMBER(F232),ISNUMBER(E232),E232&gt;0,F232&gt;E232),"Profit",IF(AND(ISNUMBER(F232),ISNUMBER(E232),E232&gt;0,F232=E232),"Draw",IF(AND(ISNUMBER(F232),ISNUMBER(E232),E232&gt;0,F232=0),"Disqualified",""))))))))</x:f>
      </x:c>
      <x:c r="L232" s="50"/>
      <x:c r="M232" s="58"/>
      <x:c r="N232" s="58"/>
      <x:c r="O232" s="62"/>
      <x:c r="P232" s="62"/>
      <x:c r="Q232" s="64" t="str">
        <x:f>IF(OR(B232="",C232="",C232&lt;B232),"",ROUNDUP((C232-B232)/7,0))</x:f>
      </x:c>
      <x:c r="R232" s="50"/>
      <x:c r="S232" s="50"/>
      <x:c r="T232" s="54"/>
      <x:c r="U232" s="66" t="str">
        <x:f>IF(A232="","",IF(K232="Subscription","",IF(ISNUMBER(G232),G232,0)-IF(ISNUMBER(I232),I232,0)))</x:f>
      </x:c>
      <x:c r="V232" s="64" t="str">
        <x:f>IF(OR(P232="",O232="",NOT(ISNUMBER(P232)),NOT(ISNUMBER(O232)),O232&gt;P232),"",P232-O232)</x:f>
      </x:c>
      <x:c r="W232" s="67" t="str">
        <x:f>IF(OR(P232="",P232=0,V232=""),"",V232/P232)</x:f>
      </x:c>
    </x:row>
    <x:row r="233" ht="21" customHeight="1">
      <x:c r="A233" s="54"/>
      <x:c r="B233" s="56"/>
      <x:c r="C233" s="56"/>
      <x:c r="D233" s="54"/>
      <x:c r="E233" s="58"/>
      <x:c r="F233" s="58"/>
      <x:c r="G233" s="58"/>
      <x:c r="H233" s="58"/>
      <x:c r="I233" s="58"/>
      <x:c r="J233" s="60" t="str">
        <x:f>IF(A233="","",IF(K233="Subscription","",IF(E233=0,"",IF(ISNUMBER(G233),G233/E233,IF(ISNUMBER(I233),-ABS(I233)/E233,IF(ISNUMBER(H233),0,IF(AND(ISNUMBER(F233),ISNUMBER(E233),E233&gt;0,F233&gt;E233),(F233-E233)/E233,IF(AND(ISNUMBER(F233),ISNUMBER(E233),E233&gt;0,F233=E233),0,IF(AND(ISNUMBER(F233),ISNUMBER(E233),E233&gt;0,F233=0),-1,"")))))))))</x:f>
      </x:c>
      <x:c r="K233" s="50" t="str">
        <x:f>IF(A233="","",IF(AND(ISNUMBER(E233),E233=0,OR(ISNUMBER(SEARCH("Free",D233&amp;"")),AND(ISNUMBER(F233),F233=0))),"Subscription",IF(ISNUMBER(G233),"Profit",IF(ISNUMBER(I233),"Disqualified",IF(ISNUMBER(H233),"Draw",IF(AND(ISNUMBER(F233),ISNUMBER(E233),E233&gt;0,F233&gt;E233),"Profit",IF(AND(ISNUMBER(F233),ISNUMBER(E233),E233&gt;0,F233=E233),"Draw",IF(AND(ISNUMBER(F233),ISNUMBER(E233),E233&gt;0,F233=0),"Disqualified",""))))))))</x:f>
      </x:c>
      <x:c r="L233" s="50"/>
      <x:c r="M233" s="58"/>
      <x:c r="N233" s="58"/>
      <x:c r="O233" s="62"/>
      <x:c r="P233" s="62"/>
      <x:c r="Q233" s="64" t="str">
        <x:f>IF(OR(B233="",C233="",C233&lt;B233),"",ROUNDUP((C233-B233)/7,0))</x:f>
      </x:c>
      <x:c r="R233" s="50"/>
      <x:c r="S233" s="50"/>
      <x:c r="T233" s="54"/>
      <x:c r="U233" s="66" t="str">
        <x:f>IF(A233="","",IF(K233="Subscription","",IF(ISNUMBER(G233),G233,0)-IF(ISNUMBER(I233),I233,0)))</x:f>
      </x:c>
      <x:c r="V233" s="64" t="str">
        <x:f>IF(OR(P233="",O233="",NOT(ISNUMBER(P233)),NOT(ISNUMBER(O233)),O233&gt;P233),"",P233-O233)</x:f>
      </x:c>
      <x:c r="W233" s="67" t="str">
        <x:f>IF(OR(P233="",P233=0,V233=""),"",V233/P233)</x:f>
      </x:c>
    </x:row>
    <x:row r="234" ht="21" customHeight="1">
      <x:c r="A234" s="54"/>
      <x:c r="B234" s="56"/>
      <x:c r="C234" s="56"/>
      <x:c r="D234" s="54"/>
      <x:c r="E234" s="58"/>
      <x:c r="F234" s="58"/>
      <x:c r="G234" s="58"/>
      <x:c r="H234" s="58"/>
      <x:c r="I234" s="58"/>
      <x:c r="J234" s="60" t="str">
        <x:f>IF(A234="","",IF(K234="Subscription","",IF(E234=0,"",IF(ISNUMBER(G234),G234/E234,IF(ISNUMBER(I234),-ABS(I234)/E234,IF(ISNUMBER(H234),0,IF(AND(ISNUMBER(F234),ISNUMBER(E234),E234&gt;0,F234&gt;E234),(F234-E234)/E234,IF(AND(ISNUMBER(F234),ISNUMBER(E234),E234&gt;0,F234=E234),0,IF(AND(ISNUMBER(F234),ISNUMBER(E234),E234&gt;0,F234=0),-1,"")))))))))</x:f>
      </x:c>
      <x:c r="K234" s="50" t="str">
        <x:f>IF(A234="","",IF(AND(ISNUMBER(E234),E234=0,OR(ISNUMBER(SEARCH("Free",D234&amp;"")),AND(ISNUMBER(F234),F234=0))),"Subscription",IF(ISNUMBER(G234),"Profit",IF(ISNUMBER(I234),"Disqualified",IF(ISNUMBER(H234),"Draw",IF(AND(ISNUMBER(F234),ISNUMBER(E234),E234&gt;0,F234&gt;E234),"Profit",IF(AND(ISNUMBER(F234),ISNUMBER(E234),E234&gt;0,F234=E234),"Draw",IF(AND(ISNUMBER(F234),ISNUMBER(E234),E234&gt;0,F234=0),"Disqualified",""))))))))</x:f>
      </x:c>
      <x:c r="L234" s="50"/>
      <x:c r="M234" s="58"/>
      <x:c r="N234" s="58"/>
      <x:c r="O234" s="62"/>
      <x:c r="P234" s="62"/>
      <x:c r="Q234" s="64" t="str">
        <x:f>IF(OR(B234="",C234="",C234&lt;B234),"",ROUNDUP((C234-B234)/7,0))</x:f>
      </x:c>
      <x:c r="R234" s="50"/>
      <x:c r="S234" s="50"/>
      <x:c r="T234" s="54"/>
      <x:c r="U234" s="66" t="str">
        <x:f>IF(A234="","",IF(K234="Subscription","",IF(ISNUMBER(G234),G234,0)-IF(ISNUMBER(I234),I234,0)))</x:f>
      </x:c>
      <x:c r="V234" s="64" t="str">
        <x:f>IF(OR(P234="",O234="",NOT(ISNUMBER(P234)),NOT(ISNUMBER(O234)),O234&gt;P234),"",P234-O234)</x:f>
      </x:c>
      <x:c r="W234" s="67" t="str">
        <x:f>IF(OR(P234="",P234=0,V234=""),"",V234/P234)</x:f>
      </x:c>
    </x:row>
    <x:row r="235" ht="21" customHeight="1">
      <x:c r="A235" s="54"/>
      <x:c r="B235" s="56"/>
      <x:c r="C235" s="56"/>
      <x:c r="D235" s="54"/>
      <x:c r="E235" s="58"/>
      <x:c r="F235" s="58"/>
      <x:c r="G235" s="58"/>
      <x:c r="H235" s="58"/>
      <x:c r="I235" s="58"/>
      <x:c r="J235" s="60" t="str">
        <x:f>IF(A235="","",IF(K235="Subscription","",IF(E235=0,"",IF(ISNUMBER(G235),G235/E235,IF(ISNUMBER(I235),-ABS(I235)/E235,IF(ISNUMBER(H235),0,IF(AND(ISNUMBER(F235),ISNUMBER(E235),E235&gt;0,F235&gt;E235),(F235-E235)/E235,IF(AND(ISNUMBER(F235),ISNUMBER(E235),E235&gt;0,F235=E235),0,IF(AND(ISNUMBER(F235),ISNUMBER(E235),E235&gt;0,F235=0),-1,"")))))))))</x:f>
      </x:c>
      <x:c r="K235" s="50" t="str">
        <x:f>IF(A235="","",IF(AND(ISNUMBER(E235),E235=0,OR(ISNUMBER(SEARCH("Free",D235&amp;"")),AND(ISNUMBER(F235),F235=0))),"Subscription",IF(ISNUMBER(G235),"Profit",IF(ISNUMBER(I235),"Disqualified",IF(ISNUMBER(H235),"Draw",IF(AND(ISNUMBER(F235),ISNUMBER(E235),E235&gt;0,F235&gt;E235),"Profit",IF(AND(ISNUMBER(F235),ISNUMBER(E235),E235&gt;0,F235=E235),"Draw",IF(AND(ISNUMBER(F235),ISNUMBER(E235),E235&gt;0,F235=0),"Disqualified",""))))))))</x:f>
      </x:c>
      <x:c r="L235" s="50"/>
      <x:c r="M235" s="58"/>
      <x:c r="N235" s="58"/>
      <x:c r="O235" s="62"/>
      <x:c r="P235" s="62"/>
      <x:c r="Q235" s="64" t="str">
        <x:f>IF(OR(B235="",C235="",C235&lt;B235),"",ROUNDUP((C235-B235)/7,0))</x:f>
      </x:c>
      <x:c r="R235" s="50"/>
      <x:c r="S235" s="50"/>
      <x:c r="T235" s="54"/>
      <x:c r="U235" s="66" t="str">
        <x:f>IF(A235="","",IF(K235="Subscription","",IF(ISNUMBER(G235),G235,0)-IF(ISNUMBER(I235),I235,0)))</x:f>
      </x:c>
      <x:c r="V235" s="64" t="str">
        <x:f>IF(OR(P235="",O235="",NOT(ISNUMBER(P235)),NOT(ISNUMBER(O235)),O235&gt;P235),"",P235-O235)</x:f>
      </x:c>
      <x:c r="W235" s="67" t="str">
        <x:f>IF(OR(P235="",P235=0,V235=""),"",V235/P235)</x:f>
      </x:c>
    </x:row>
    <x:row r="236" ht="21" customHeight="1">
      <x:c r="A236" s="54"/>
      <x:c r="B236" s="56"/>
      <x:c r="C236" s="56"/>
      <x:c r="D236" s="54"/>
      <x:c r="E236" s="58"/>
      <x:c r="F236" s="58"/>
      <x:c r="G236" s="58"/>
      <x:c r="H236" s="58"/>
      <x:c r="I236" s="58"/>
      <x:c r="J236" s="60" t="str">
        <x:f>IF(A236="","",IF(K236="Subscription","",IF(E236=0,"",IF(ISNUMBER(G236),G236/E236,IF(ISNUMBER(I236),-ABS(I236)/E236,IF(ISNUMBER(H236),0,IF(AND(ISNUMBER(F236),ISNUMBER(E236),E236&gt;0,F236&gt;E236),(F236-E236)/E236,IF(AND(ISNUMBER(F236),ISNUMBER(E236),E236&gt;0,F236=E236),0,IF(AND(ISNUMBER(F236),ISNUMBER(E236),E236&gt;0,F236=0),-1,"")))))))))</x:f>
      </x:c>
      <x:c r="K236" s="50" t="str">
        <x:f>IF(A236="","",IF(AND(ISNUMBER(E236),E236=0,OR(ISNUMBER(SEARCH("Free",D236&amp;"")),AND(ISNUMBER(F236),F236=0))),"Subscription",IF(ISNUMBER(G236),"Profit",IF(ISNUMBER(I236),"Disqualified",IF(ISNUMBER(H236),"Draw",IF(AND(ISNUMBER(F236),ISNUMBER(E236),E236&gt;0,F236&gt;E236),"Profit",IF(AND(ISNUMBER(F236),ISNUMBER(E236),E236&gt;0,F236=E236),"Draw",IF(AND(ISNUMBER(F236),ISNUMBER(E236),E236&gt;0,F236=0),"Disqualified",""))))))))</x:f>
      </x:c>
      <x:c r="L236" s="50"/>
      <x:c r="M236" s="58"/>
      <x:c r="N236" s="58"/>
      <x:c r="O236" s="62"/>
      <x:c r="P236" s="62"/>
      <x:c r="Q236" s="64" t="str">
        <x:f>IF(OR(B236="",C236="",C236&lt;B236),"",ROUNDUP((C236-B236)/7,0))</x:f>
      </x:c>
      <x:c r="R236" s="50"/>
      <x:c r="S236" s="50"/>
      <x:c r="T236" s="54"/>
      <x:c r="U236" s="66" t="str">
        <x:f>IF(A236="","",IF(K236="Subscription","",IF(ISNUMBER(G236),G236,0)-IF(ISNUMBER(I236),I236,0)))</x:f>
      </x:c>
      <x:c r="V236" s="64" t="str">
        <x:f>IF(OR(P236="",O236="",NOT(ISNUMBER(P236)),NOT(ISNUMBER(O236)),O236&gt;P236),"",P236-O236)</x:f>
      </x:c>
      <x:c r="W236" s="67" t="str">
        <x:f>IF(OR(P236="",P236=0,V236=""),"",V236/P236)</x:f>
      </x:c>
    </x:row>
    <x:row r="237" ht="21" customHeight="1">
      <x:c r="A237" s="54"/>
      <x:c r="B237" s="56"/>
      <x:c r="C237" s="56"/>
      <x:c r="D237" s="54"/>
      <x:c r="E237" s="58"/>
      <x:c r="F237" s="58"/>
      <x:c r="G237" s="58"/>
      <x:c r="H237" s="58"/>
      <x:c r="I237" s="58"/>
      <x:c r="J237" s="60" t="str">
        <x:f>IF(A237="","",IF(K237="Subscription","",IF(E237=0,"",IF(ISNUMBER(G237),G237/E237,IF(ISNUMBER(I237),-ABS(I237)/E237,IF(ISNUMBER(H237),0,IF(AND(ISNUMBER(F237),ISNUMBER(E237),E237&gt;0,F237&gt;E237),(F237-E237)/E237,IF(AND(ISNUMBER(F237),ISNUMBER(E237),E237&gt;0,F237=E237),0,IF(AND(ISNUMBER(F237),ISNUMBER(E237),E237&gt;0,F237=0),-1,"")))))))))</x:f>
      </x:c>
      <x:c r="K237" s="50" t="str">
        <x:f>IF(A237="","",IF(AND(ISNUMBER(E237),E237=0,OR(ISNUMBER(SEARCH("Free",D237&amp;"")),AND(ISNUMBER(F237),F237=0))),"Subscription",IF(ISNUMBER(G237),"Profit",IF(ISNUMBER(I237),"Disqualified",IF(ISNUMBER(H237),"Draw",IF(AND(ISNUMBER(F237),ISNUMBER(E237),E237&gt;0,F237&gt;E237),"Profit",IF(AND(ISNUMBER(F237),ISNUMBER(E237),E237&gt;0,F237=E237),"Draw",IF(AND(ISNUMBER(F237),ISNUMBER(E237),E237&gt;0,F237=0),"Disqualified",""))))))))</x:f>
      </x:c>
      <x:c r="L237" s="50"/>
      <x:c r="M237" s="58"/>
      <x:c r="N237" s="58"/>
      <x:c r="O237" s="62"/>
      <x:c r="P237" s="62"/>
      <x:c r="Q237" s="64" t="str">
        <x:f>IF(OR(B237="",C237="",C237&lt;B237),"",ROUNDUP((C237-B237)/7,0))</x:f>
      </x:c>
      <x:c r="R237" s="50"/>
      <x:c r="S237" s="50"/>
      <x:c r="T237" s="54"/>
      <x:c r="U237" s="66" t="str">
        <x:f>IF(A237="","",IF(K237="Subscription","",IF(ISNUMBER(G237),G237,0)-IF(ISNUMBER(I237),I237,0)))</x:f>
      </x:c>
      <x:c r="V237" s="64" t="str">
        <x:f>IF(OR(P237="",O237="",NOT(ISNUMBER(P237)),NOT(ISNUMBER(O237)),O237&gt;P237),"",P237-O237)</x:f>
      </x:c>
      <x:c r="W237" s="67" t="str">
        <x:f>IF(OR(P237="",P237=0,V237=""),"",V237/P237)</x:f>
      </x:c>
    </x:row>
    <x:row r="238" ht="21" customHeight="1">
      <x:c r="A238" s="54"/>
      <x:c r="B238" s="56"/>
      <x:c r="C238" s="56"/>
      <x:c r="D238" s="54"/>
      <x:c r="E238" s="58"/>
      <x:c r="F238" s="58"/>
      <x:c r="G238" s="58"/>
      <x:c r="H238" s="58"/>
      <x:c r="I238" s="58"/>
      <x:c r="J238" s="60" t="str">
        <x:f>IF(A238="","",IF(K238="Subscription","",IF(E238=0,"",IF(ISNUMBER(G238),G238/E238,IF(ISNUMBER(I238),-ABS(I238)/E238,IF(ISNUMBER(H238),0,IF(AND(ISNUMBER(F238),ISNUMBER(E238),E238&gt;0,F238&gt;E238),(F238-E238)/E238,IF(AND(ISNUMBER(F238),ISNUMBER(E238),E238&gt;0,F238=E238),0,IF(AND(ISNUMBER(F238),ISNUMBER(E238),E238&gt;0,F238=0),-1,"")))))))))</x:f>
      </x:c>
      <x:c r="K238" s="50" t="str">
        <x:f>IF(A238="","",IF(AND(ISNUMBER(E238),E238=0,OR(ISNUMBER(SEARCH("Free",D238&amp;"")),AND(ISNUMBER(F238),F238=0))),"Subscription",IF(ISNUMBER(G238),"Profit",IF(ISNUMBER(I238),"Disqualified",IF(ISNUMBER(H238),"Draw",IF(AND(ISNUMBER(F238),ISNUMBER(E238),E238&gt;0,F238&gt;E238),"Profit",IF(AND(ISNUMBER(F238),ISNUMBER(E238),E238&gt;0,F238=E238),"Draw",IF(AND(ISNUMBER(F238),ISNUMBER(E238),E238&gt;0,F238=0),"Disqualified",""))))))))</x:f>
      </x:c>
      <x:c r="L238" s="50"/>
      <x:c r="M238" s="58"/>
      <x:c r="N238" s="58"/>
      <x:c r="O238" s="62"/>
      <x:c r="P238" s="62"/>
      <x:c r="Q238" s="64" t="str">
        <x:f>IF(OR(B238="",C238="",C238&lt;B238),"",ROUNDUP((C238-B238)/7,0))</x:f>
      </x:c>
      <x:c r="R238" s="50"/>
      <x:c r="S238" s="50"/>
      <x:c r="T238" s="54"/>
      <x:c r="U238" s="66" t="str">
        <x:f>IF(A238="","",IF(K238="Subscription","",IF(ISNUMBER(G238),G238,0)-IF(ISNUMBER(I238),I238,0)))</x:f>
      </x:c>
      <x:c r="V238" s="64" t="str">
        <x:f>IF(OR(P238="",O238="",NOT(ISNUMBER(P238)),NOT(ISNUMBER(O238)),O238&gt;P238),"",P238-O238)</x:f>
      </x:c>
      <x:c r="W238" s="67" t="str">
        <x:f>IF(OR(P238="",P238=0,V238=""),"",V238/P238)</x:f>
      </x:c>
    </x:row>
    <x:row r="239" ht="21" customHeight="1">
      <x:c r="A239" s="54"/>
      <x:c r="B239" s="56"/>
      <x:c r="C239" s="56"/>
      <x:c r="D239" s="54"/>
      <x:c r="E239" s="58"/>
      <x:c r="F239" s="58"/>
      <x:c r="G239" s="58"/>
      <x:c r="H239" s="58"/>
      <x:c r="I239" s="58"/>
      <x:c r="J239" s="60" t="str">
        <x:f>IF(A239="","",IF(K239="Subscription","",IF(E239=0,"",IF(ISNUMBER(G239),G239/E239,IF(ISNUMBER(I239),-ABS(I239)/E239,IF(ISNUMBER(H239),0,IF(AND(ISNUMBER(F239),ISNUMBER(E239),E239&gt;0,F239&gt;E239),(F239-E239)/E239,IF(AND(ISNUMBER(F239),ISNUMBER(E239),E239&gt;0,F239=E239),0,IF(AND(ISNUMBER(F239),ISNUMBER(E239),E239&gt;0,F239=0),-1,"")))))))))</x:f>
      </x:c>
      <x:c r="K239" s="50" t="str">
        <x:f>IF(A239="","",IF(AND(ISNUMBER(E239),E239=0,OR(ISNUMBER(SEARCH("Free",D239&amp;"")),AND(ISNUMBER(F239),F239=0))),"Subscription",IF(ISNUMBER(G239),"Profit",IF(ISNUMBER(I239),"Disqualified",IF(ISNUMBER(H239),"Draw",IF(AND(ISNUMBER(F239),ISNUMBER(E239),E239&gt;0,F239&gt;E239),"Profit",IF(AND(ISNUMBER(F239),ISNUMBER(E239),E239&gt;0,F239=E239),"Draw",IF(AND(ISNUMBER(F239),ISNUMBER(E239),E239&gt;0,F239=0),"Disqualified",""))))))))</x:f>
      </x:c>
      <x:c r="L239" s="50"/>
      <x:c r="M239" s="58"/>
      <x:c r="N239" s="58"/>
      <x:c r="O239" s="62"/>
      <x:c r="P239" s="62"/>
      <x:c r="Q239" s="64" t="str">
        <x:f>IF(OR(B239="",C239="",C239&lt;B239),"",ROUNDUP((C239-B239)/7,0))</x:f>
      </x:c>
      <x:c r="R239" s="50"/>
      <x:c r="S239" s="50"/>
      <x:c r="T239" s="54"/>
      <x:c r="U239" s="66" t="str">
        <x:f>IF(A239="","",IF(K239="Subscription","",IF(ISNUMBER(G239),G239,0)-IF(ISNUMBER(I239),I239,0)))</x:f>
      </x:c>
      <x:c r="V239" s="64" t="str">
        <x:f>IF(OR(P239="",O239="",NOT(ISNUMBER(P239)),NOT(ISNUMBER(O239)),O239&gt;P239),"",P239-O239)</x:f>
      </x:c>
      <x:c r="W239" s="67" t="str">
        <x:f>IF(OR(P239="",P239=0,V239=""),"",V239/P239)</x:f>
      </x:c>
    </x:row>
    <x:row r="240" ht="21" customHeight="1">
      <x:c r="A240" s="54"/>
      <x:c r="B240" s="56"/>
      <x:c r="C240" s="56"/>
      <x:c r="D240" s="54"/>
      <x:c r="E240" s="58"/>
      <x:c r="F240" s="58"/>
      <x:c r="G240" s="58"/>
      <x:c r="H240" s="58"/>
      <x:c r="I240" s="58"/>
      <x:c r="J240" s="60" t="str">
        <x:f>IF(A240="","",IF(K240="Subscription","",IF(E240=0,"",IF(ISNUMBER(G240),G240/E240,IF(ISNUMBER(I240),-ABS(I240)/E240,IF(ISNUMBER(H240),0,IF(AND(ISNUMBER(F240),ISNUMBER(E240),E240&gt;0,F240&gt;E240),(F240-E240)/E240,IF(AND(ISNUMBER(F240),ISNUMBER(E240),E240&gt;0,F240=E240),0,IF(AND(ISNUMBER(F240),ISNUMBER(E240),E240&gt;0,F240=0),-1,"")))))))))</x:f>
      </x:c>
      <x:c r="K240" s="50" t="str">
        <x:f>IF(A240="","",IF(AND(ISNUMBER(E240),E240=0,OR(ISNUMBER(SEARCH("Free",D240&amp;"")),AND(ISNUMBER(F240),F240=0))),"Subscription",IF(ISNUMBER(G240),"Profit",IF(ISNUMBER(I240),"Disqualified",IF(ISNUMBER(H240),"Draw",IF(AND(ISNUMBER(F240),ISNUMBER(E240),E240&gt;0,F240&gt;E240),"Profit",IF(AND(ISNUMBER(F240),ISNUMBER(E240),E240&gt;0,F240=E240),"Draw",IF(AND(ISNUMBER(F240),ISNUMBER(E240),E240&gt;0,F240=0),"Disqualified",""))))))))</x:f>
      </x:c>
      <x:c r="L240" s="50"/>
      <x:c r="M240" s="58"/>
      <x:c r="N240" s="58"/>
      <x:c r="O240" s="62"/>
      <x:c r="P240" s="62"/>
      <x:c r="Q240" s="64" t="str">
        <x:f>IF(OR(B240="",C240="",C240&lt;B240),"",ROUNDUP((C240-B240)/7,0))</x:f>
      </x:c>
      <x:c r="R240" s="50"/>
      <x:c r="S240" s="50"/>
      <x:c r="T240" s="54"/>
      <x:c r="U240" s="66" t="str">
        <x:f>IF(A240="","",IF(K240="Subscription","",IF(ISNUMBER(G240),G240,0)-IF(ISNUMBER(I240),I240,0)))</x:f>
      </x:c>
      <x:c r="V240" s="64" t="str">
        <x:f>IF(OR(P240="",O240="",NOT(ISNUMBER(P240)),NOT(ISNUMBER(O240)),O240&gt;P240),"",P240-O240)</x:f>
      </x:c>
      <x:c r="W240" s="67" t="str">
        <x:f>IF(OR(P240="",P240=0,V240=""),"",V240/P240)</x:f>
      </x:c>
    </x:row>
    <x:row r="241" ht="21" customHeight="1">
      <x:c r="A241" s="54"/>
      <x:c r="B241" s="56"/>
      <x:c r="C241" s="56"/>
      <x:c r="D241" s="54"/>
      <x:c r="E241" s="58"/>
      <x:c r="F241" s="58"/>
      <x:c r="G241" s="58"/>
      <x:c r="H241" s="58"/>
      <x:c r="I241" s="58"/>
      <x:c r="J241" s="60" t="str">
        <x:f>IF(A241="","",IF(K241="Subscription","",IF(E241=0,"",IF(ISNUMBER(G241),G241/E241,IF(ISNUMBER(I241),-ABS(I241)/E241,IF(ISNUMBER(H241),0,IF(AND(ISNUMBER(F241),ISNUMBER(E241),E241&gt;0,F241&gt;E241),(F241-E241)/E241,IF(AND(ISNUMBER(F241),ISNUMBER(E241),E241&gt;0,F241=E241),0,IF(AND(ISNUMBER(F241),ISNUMBER(E241),E241&gt;0,F241=0),-1,"")))))))))</x:f>
      </x:c>
      <x:c r="K241" s="50" t="str">
        <x:f>IF(A241="","",IF(AND(ISNUMBER(E241),E241=0,OR(ISNUMBER(SEARCH("Free",D241&amp;"")),AND(ISNUMBER(F241),F241=0))),"Subscription",IF(ISNUMBER(G241),"Profit",IF(ISNUMBER(I241),"Disqualified",IF(ISNUMBER(H241),"Draw",IF(AND(ISNUMBER(F241),ISNUMBER(E241),E241&gt;0,F241&gt;E241),"Profit",IF(AND(ISNUMBER(F241),ISNUMBER(E241),E241&gt;0,F241=E241),"Draw",IF(AND(ISNUMBER(F241),ISNUMBER(E241),E241&gt;0,F241=0),"Disqualified",""))))))))</x:f>
      </x:c>
      <x:c r="L241" s="50"/>
      <x:c r="M241" s="58"/>
      <x:c r="N241" s="58"/>
      <x:c r="O241" s="62"/>
      <x:c r="P241" s="62"/>
      <x:c r="Q241" s="64" t="str">
        <x:f>IF(OR(B241="",C241="",C241&lt;B241),"",ROUNDUP((C241-B241)/7,0))</x:f>
      </x:c>
      <x:c r="R241" s="50"/>
      <x:c r="S241" s="50"/>
      <x:c r="T241" s="54"/>
      <x:c r="U241" s="66" t="str">
        <x:f>IF(A241="","",IF(K241="Subscription","",IF(ISNUMBER(G241),G241,0)-IF(ISNUMBER(I241),I241,0)))</x:f>
      </x:c>
      <x:c r="V241" s="64" t="str">
        <x:f>IF(OR(P241="",O241="",NOT(ISNUMBER(P241)),NOT(ISNUMBER(O241)),O241&gt;P241),"",P241-O241)</x:f>
      </x:c>
      <x:c r="W241" s="67" t="str">
        <x:f>IF(OR(P241="",P241=0,V241=""),"",V241/P241)</x:f>
      </x:c>
    </x:row>
    <x:row r="242" ht="21" customHeight="1">
      <x:c r="A242" s="54"/>
      <x:c r="B242" s="56"/>
      <x:c r="C242" s="56"/>
      <x:c r="D242" s="54"/>
      <x:c r="E242" s="58"/>
      <x:c r="F242" s="58"/>
      <x:c r="G242" s="58"/>
      <x:c r="H242" s="58"/>
      <x:c r="I242" s="58"/>
      <x:c r="J242" s="60" t="str">
        <x:f>IF(A242="","",IF(K242="Subscription","",IF(E242=0,"",IF(ISNUMBER(G242),G242/E242,IF(ISNUMBER(I242),-ABS(I242)/E242,IF(ISNUMBER(H242),0,IF(AND(ISNUMBER(F242),ISNUMBER(E242),E242&gt;0,F242&gt;E242),(F242-E242)/E242,IF(AND(ISNUMBER(F242),ISNUMBER(E242),E242&gt;0,F242=E242),0,IF(AND(ISNUMBER(F242),ISNUMBER(E242),E242&gt;0,F242=0),-1,"")))))))))</x:f>
      </x:c>
      <x:c r="K242" s="50" t="str">
        <x:f>IF(A242="","",IF(AND(ISNUMBER(E242),E242=0,OR(ISNUMBER(SEARCH("Free",D242&amp;"")),AND(ISNUMBER(F242),F242=0))),"Subscription",IF(ISNUMBER(G242),"Profit",IF(ISNUMBER(I242),"Disqualified",IF(ISNUMBER(H242),"Draw",IF(AND(ISNUMBER(F242),ISNUMBER(E242),E242&gt;0,F242&gt;E242),"Profit",IF(AND(ISNUMBER(F242),ISNUMBER(E242),E242&gt;0,F242=E242),"Draw",IF(AND(ISNUMBER(F242),ISNUMBER(E242),E242&gt;0,F242=0),"Disqualified",""))))))))</x:f>
      </x:c>
      <x:c r="L242" s="50"/>
      <x:c r="M242" s="58"/>
      <x:c r="N242" s="58"/>
      <x:c r="O242" s="62"/>
      <x:c r="P242" s="62"/>
      <x:c r="Q242" s="64" t="str">
        <x:f>IF(OR(B242="",C242="",C242&lt;B242),"",ROUNDUP((C242-B242)/7,0))</x:f>
      </x:c>
      <x:c r="R242" s="50"/>
      <x:c r="S242" s="50"/>
      <x:c r="T242" s="54"/>
      <x:c r="U242" s="66" t="str">
        <x:f>IF(A242="","",IF(K242="Subscription","",IF(ISNUMBER(G242),G242,0)-IF(ISNUMBER(I242),I242,0)))</x:f>
      </x:c>
      <x:c r="V242" s="64" t="str">
        <x:f>IF(OR(P242="",O242="",NOT(ISNUMBER(P242)),NOT(ISNUMBER(O242)),O242&gt;P242),"",P242-O242)</x:f>
      </x:c>
      <x:c r="W242" s="67" t="str">
        <x:f>IF(OR(P242="",P242=0,V242=""),"",V242/P242)</x:f>
      </x:c>
    </x:row>
    <x:row r="243" ht="21" customHeight="1">
      <x:c r="A243" s="54"/>
      <x:c r="B243" s="56"/>
      <x:c r="C243" s="56"/>
      <x:c r="D243" s="54"/>
      <x:c r="E243" s="58"/>
      <x:c r="F243" s="58"/>
      <x:c r="G243" s="58"/>
      <x:c r="H243" s="58"/>
      <x:c r="I243" s="58"/>
      <x:c r="J243" s="60" t="str">
        <x:f>IF(A243="","",IF(K243="Subscription","",IF(E243=0,"",IF(ISNUMBER(G243),G243/E243,IF(ISNUMBER(I243),-ABS(I243)/E243,IF(ISNUMBER(H243),0,IF(AND(ISNUMBER(F243),ISNUMBER(E243),E243&gt;0,F243&gt;E243),(F243-E243)/E243,IF(AND(ISNUMBER(F243),ISNUMBER(E243),E243&gt;0,F243=E243),0,IF(AND(ISNUMBER(F243),ISNUMBER(E243),E243&gt;0,F243=0),-1,"")))))))))</x:f>
      </x:c>
      <x:c r="K243" s="50" t="str">
        <x:f>IF(A243="","",IF(AND(ISNUMBER(E243),E243=0,OR(ISNUMBER(SEARCH("Free",D243&amp;"")),AND(ISNUMBER(F243),F243=0))),"Subscription",IF(ISNUMBER(G243),"Profit",IF(ISNUMBER(I243),"Disqualified",IF(ISNUMBER(H243),"Draw",IF(AND(ISNUMBER(F243),ISNUMBER(E243),E243&gt;0,F243&gt;E243),"Profit",IF(AND(ISNUMBER(F243),ISNUMBER(E243),E243&gt;0,F243=E243),"Draw",IF(AND(ISNUMBER(F243),ISNUMBER(E243),E243&gt;0,F243=0),"Disqualified",""))))))))</x:f>
      </x:c>
      <x:c r="L243" s="50"/>
      <x:c r="M243" s="58"/>
      <x:c r="N243" s="58"/>
      <x:c r="O243" s="62"/>
      <x:c r="P243" s="62"/>
      <x:c r="Q243" s="64" t="str">
        <x:f>IF(OR(B243="",C243="",C243&lt;B243),"",ROUNDUP((C243-B243)/7,0))</x:f>
      </x:c>
      <x:c r="R243" s="50"/>
      <x:c r="S243" s="50"/>
      <x:c r="T243" s="54"/>
      <x:c r="U243" s="66" t="str">
        <x:f>IF(A243="","",IF(K243="Subscription","",IF(ISNUMBER(G243),G243,0)-IF(ISNUMBER(I243),I243,0)))</x:f>
      </x:c>
      <x:c r="V243" s="64" t="str">
        <x:f>IF(OR(P243="",O243="",NOT(ISNUMBER(P243)),NOT(ISNUMBER(O243)),O243&gt;P243),"",P243-O243)</x:f>
      </x:c>
      <x:c r="W243" s="67" t="str">
        <x:f>IF(OR(P243="",P243=0,V243=""),"",V243/P243)</x:f>
      </x:c>
    </x:row>
    <x:row r="244" ht="21" customHeight="1">
      <x:c r="A244" s="54"/>
      <x:c r="B244" s="56"/>
      <x:c r="C244" s="56"/>
      <x:c r="D244" s="54"/>
      <x:c r="E244" s="58"/>
      <x:c r="F244" s="58"/>
      <x:c r="G244" s="58"/>
      <x:c r="H244" s="58"/>
      <x:c r="I244" s="58"/>
      <x:c r="J244" s="60" t="str">
        <x:f>IF(A244="","",IF(K244="Subscription","",IF(E244=0,"",IF(ISNUMBER(G244),G244/E244,IF(ISNUMBER(I244),-ABS(I244)/E244,IF(ISNUMBER(H244),0,IF(AND(ISNUMBER(F244),ISNUMBER(E244),E244&gt;0,F244&gt;E244),(F244-E244)/E244,IF(AND(ISNUMBER(F244),ISNUMBER(E244),E244&gt;0,F244=E244),0,IF(AND(ISNUMBER(F244),ISNUMBER(E244),E244&gt;0,F244=0),-1,"")))))))))</x:f>
      </x:c>
      <x:c r="K244" s="50" t="str">
        <x:f>IF(A244="","",IF(AND(ISNUMBER(E244),E244=0,OR(ISNUMBER(SEARCH("Free",D244&amp;"")),AND(ISNUMBER(F244),F244=0))),"Subscription",IF(ISNUMBER(G244),"Profit",IF(ISNUMBER(I244),"Disqualified",IF(ISNUMBER(H244),"Draw",IF(AND(ISNUMBER(F244),ISNUMBER(E244),E244&gt;0,F244&gt;E244),"Profit",IF(AND(ISNUMBER(F244),ISNUMBER(E244),E244&gt;0,F244=E244),"Draw",IF(AND(ISNUMBER(F244),ISNUMBER(E244),E244&gt;0,F244=0),"Disqualified",""))))))))</x:f>
      </x:c>
      <x:c r="L244" s="50"/>
      <x:c r="M244" s="58"/>
      <x:c r="N244" s="58"/>
      <x:c r="O244" s="62"/>
      <x:c r="P244" s="62"/>
      <x:c r="Q244" s="64" t="str">
        <x:f>IF(OR(B244="",C244="",C244&lt;B244),"",ROUNDUP((C244-B244)/7,0))</x:f>
      </x:c>
      <x:c r="R244" s="50"/>
      <x:c r="S244" s="50"/>
      <x:c r="T244" s="54"/>
      <x:c r="U244" s="66" t="str">
        <x:f>IF(A244="","",IF(K244="Subscription","",IF(ISNUMBER(G244),G244,0)-IF(ISNUMBER(I244),I244,0)))</x:f>
      </x:c>
      <x:c r="V244" s="64" t="str">
        <x:f>IF(OR(P244="",O244="",NOT(ISNUMBER(P244)),NOT(ISNUMBER(O244)),O244&gt;P244),"",P244-O244)</x:f>
      </x:c>
      <x:c r="W244" s="67" t="str">
        <x:f>IF(OR(P244="",P244=0,V244=""),"",V244/P244)</x:f>
      </x:c>
    </x:row>
    <x:row r="245" ht="21" customHeight="1">
      <x:c r="A245" s="54"/>
      <x:c r="B245" s="56"/>
      <x:c r="C245" s="56"/>
      <x:c r="D245" s="54"/>
      <x:c r="E245" s="58"/>
      <x:c r="F245" s="58"/>
      <x:c r="G245" s="58"/>
      <x:c r="H245" s="58"/>
      <x:c r="I245" s="58"/>
      <x:c r="J245" s="60" t="str">
        <x:f>IF(A245="","",IF(K245="Subscription","",IF(E245=0,"",IF(ISNUMBER(G245),G245/E245,IF(ISNUMBER(I245),-ABS(I245)/E245,IF(ISNUMBER(H245),0,IF(AND(ISNUMBER(F245),ISNUMBER(E245),E245&gt;0,F245&gt;E245),(F245-E245)/E245,IF(AND(ISNUMBER(F245),ISNUMBER(E245),E245&gt;0,F245=E245),0,IF(AND(ISNUMBER(F245),ISNUMBER(E245),E245&gt;0,F245=0),-1,"")))))))))</x:f>
      </x:c>
      <x:c r="K245" s="50" t="str">
        <x:f>IF(A245="","",IF(AND(ISNUMBER(E245),E245=0,OR(ISNUMBER(SEARCH("Free",D245&amp;"")),AND(ISNUMBER(F245),F245=0))),"Subscription",IF(ISNUMBER(G245),"Profit",IF(ISNUMBER(I245),"Disqualified",IF(ISNUMBER(H245),"Draw",IF(AND(ISNUMBER(F245),ISNUMBER(E245),E245&gt;0,F245&gt;E245),"Profit",IF(AND(ISNUMBER(F245),ISNUMBER(E245),E245&gt;0,F245=E245),"Draw",IF(AND(ISNUMBER(F245),ISNUMBER(E245),E245&gt;0,F245=0),"Disqualified",""))))))))</x:f>
      </x:c>
      <x:c r="L245" s="50"/>
      <x:c r="M245" s="58"/>
      <x:c r="N245" s="58"/>
      <x:c r="O245" s="62"/>
      <x:c r="P245" s="62"/>
      <x:c r="Q245" s="64" t="str">
        <x:f>IF(OR(B245="",C245="",C245&lt;B245),"",ROUNDUP((C245-B245)/7,0))</x:f>
      </x:c>
      <x:c r="R245" s="50"/>
      <x:c r="S245" s="50"/>
      <x:c r="T245" s="54"/>
      <x:c r="U245" s="66" t="str">
        <x:f>IF(A245="","",IF(K245="Subscription","",IF(ISNUMBER(G245),G245,0)-IF(ISNUMBER(I245),I245,0)))</x:f>
      </x:c>
      <x:c r="V245" s="64" t="str">
        <x:f>IF(OR(P245="",O245="",NOT(ISNUMBER(P245)),NOT(ISNUMBER(O245)),O245&gt;P245),"",P245-O245)</x:f>
      </x:c>
      <x:c r="W245" s="67" t="str">
        <x:f>IF(OR(P245="",P245=0,V245=""),"",V245/P245)</x:f>
      </x:c>
    </x:row>
    <x:row r="246" ht="21" customHeight="1">
      <x:c r="A246" s="54"/>
      <x:c r="B246" s="56"/>
      <x:c r="C246" s="56"/>
      <x:c r="D246" s="54"/>
      <x:c r="E246" s="58"/>
      <x:c r="F246" s="58"/>
      <x:c r="G246" s="58"/>
      <x:c r="H246" s="58"/>
      <x:c r="I246" s="58"/>
      <x:c r="J246" s="60" t="str">
        <x:f>IF(A246="","",IF(K246="Subscription","",IF(E246=0,"",IF(ISNUMBER(G246),G246/E246,IF(ISNUMBER(I246),-ABS(I246)/E246,IF(ISNUMBER(H246),0,IF(AND(ISNUMBER(F246),ISNUMBER(E246),E246&gt;0,F246&gt;E246),(F246-E246)/E246,IF(AND(ISNUMBER(F246),ISNUMBER(E246),E246&gt;0,F246=E246),0,IF(AND(ISNUMBER(F246),ISNUMBER(E246),E246&gt;0,F246=0),-1,"")))))))))</x:f>
      </x:c>
      <x:c r="K246" s="50" t="str">
        <x:f>IF(A246="","",IF(AND(ISNUMBER(E246),E246=0,OR(ISNUMBER(SEARCH("Free",D246&amp;"")),AND(ISNUMBER(F246),F246=0))),"Subscription",IF(ISNUMBER(G246),"Profit",IF(ISNUMBER(I246),"Disqualified",IF(ISNUMBER(H246),"Draw",IF(AND(ISNUMBER(F246),ISNUMBER(E246),E246&gt;0,F246&gt;E246),"Profit",IF(AND(ISNUMBER(F246),ISNUMBER(E246),E246&gt;0,F246=E246),"Draw",IF(AND(ISNUMBER(F246),ISNUMBER(E246),E246&gt;0,F246=0),"Disqualified",""))))))))</x:f>
      </x:c>
      <x:c r="L246" s="50"/>
      <x:c r="M246" s="58"/>
      <x:c r="N246" s="58"/>
      <x:c r="O246" s="62"/>
      <x:c r="P246" s="62"/>
      <x:c r="Q246" s="64" t="str">
        <x:f>IF(OR(B246="",C246="",C246&lt;B246),"",ROUNDUP((C246-B246)/7,0))</x:f>
      </x:c>
      <x:c r="R246" s="50"/>
      <x:c r="S246" s="50"/>
      <x:c r="T246" s="54"/>
      <x:c r="U246" s="66" t="str">
        <x:f>IF(A246="","",IF(K246="Subscription","",IF(ISNUMBER(G246),G246,0)-IF(ISNUMBER(I246),I246,0)))</x:f>
      </x:c>
      <x:c r="V246" s="64" t="str">
        <x:f>IF(OR(P246="",O246="",NOT(ISNUMBER(P246)),NOT(ISNUMBER(O246)),O246&gt;P246),"",P246-O246)</x:f>
      </x:c>
      <x:c r="W246" s="67" t="str">
        <x:f>IF(OR(P246="",P246=0,V246=""),"",V246/P246)</x:f>
      </x:c>
    </x:row>
    <x:row r="247" ht="21" customHeight="1">
      <x:c r="A247" s="54"/>
      <x:c r="B247" s="56"/>
      <x:c r="C247" s="56"/>
      <x:c r="D247" s="54"/>
      <x:c r="E247" s="58"/>
      <x:c r="F247" s="58"/>
      <x:c r="G247" s="58"/>
      <x:c r="H247" s="58"/>
      <x:c r="I247" s="58"/>
      <x:c r="J247" s="60" t="str">
        <x:f>IF(A247="","",IF(K247="Subscription","",IF(E247=0,"",IF(ISNUMBER(G247),G247/E247,IF(ISNUMBER(I247),-ABS(I247)/E247,IF(ISNUMBER(H247),0,IF(AND(ISNUMBER(F247),ISNUMBER(E247),E247&gt;0,F247&gt;E247),(F247-E247)/E247,IF(AND(ISNUMBER(F247),ISNUMBER(E247),E247&gt;0,F247=E247),0,IF(AND(ISNUMBER(F247),ISNUMBER(E247),E247&gt;0,F247=0),-1,"")))))))))</x:f>
      </x:c>
      <x:c r="K247" s="50" t="str">
        <x:f>IF(A247="","",IF(AND(ISNUMBER(E247),E247=0,OR(ISNUMBER(SEARCH("Free",D247&amp;"")),AND(ISNUMBER(F247),F247=0))),"Subscription",IF(ISNUMBER(G247),"Profit",IF(ISNUMBER(I247),"Disqualified",IF(ISNUMBER(H247),"Draw",IF(AND(ISNUMBER(F247),ISNUMBER(E247),E247&gt;0,F247&gt;E247),"Profit",IF(AND(ISNUMBER(F247),ISNUMBER(E247),E247&gt;0,F247=E247),"Draw",IF(AND(ISNUMBER(F247),ISNUMBER(E247),E247&gt;0,F247=0),"Disqualified",""))))))))</x:f>
      </x:c>
      <x:c r="L247" s="50"/>
      <x:c r="M247" s="58"/>
      <x:c r="N247" s="58"/>
      <x:c r="O247" s="62"/>
      <x:c r="P247" s="62"/>
      <x:c r="Q247" s="64" t="str">
        <x:f>IF(OR(B247="",C247="",C247&lt;B247),"",ROUNDUP((C247-B247)/7,0))</x:f>
      </x:c>
      <x:c r="R247" s="50"/>
      <x:c r="S247" s="50"/>
      <x:c r="T247" s="54"/>
      <x:c r="U247" s="66" t="str">
        <x:f>IF(A247="","",IF(K247="Subscription","",IF(ISNUMBER(G247),G247,0)-IF(ISNUMBER(I247),I247,0)))</x:f>
      </x:c>
      <x:c r="V247" s="64" t="str">
        <x:f>IF(OR(P247="",O247="",NOT(ISNUMBER(P247)),NOT(ISNUMBER(O247)),O247&gt;P247),"",P247-O247)</x:f>
      </x:c>
      <x:c r="W247" s="67" t="str">
        <x:f>IF(OR(P247="",P247=0,V247=""),"",V247/P247)</x:f>
      </x:c>
    </x:row>
    <x:row r="248" ht="21" customHeight="1">
      <x:c r="A248" s="54"/>
      <x:c r="B248" s="56"/>
      <x:c r="C248" s="56"/>
      <x:c r="D248" s="54"/>
      <x:c r="E248" s="58"/>
      <x:c r="F248" s="58"/>
      <x:c r="G248" s="58"/>
      <x:c r="H248" s="58"/>
      <x:c r="I248" s="58"/>
      <x:c r="J248" s="60" t="str">
        <x:f>IF(A248="","",IF(K248="Subscription","",IF(E248=0,"",IF(ISNUMBER(G248),G248/E248,IF(ISNUMBER(I248),-ABS(I248)/E248,IF(ISNUMBER(H248),0,IF(AND(ISNUMBER(F248),ISNUMBER(E248),E248&gt;0,F248&gt;E248),(F248-E248)/E248,IF(AND(ISNUMBER(F248),ISNUMBER(E248),E248&gt;0,F248=E248),0,IF(AND(ISNUMBER(F248),ISNUMBER(E248),E248&gt;0,F248=0),-1,"")))))))))</x:f>
      </x:c>
      <x:c r="K248" s="50" t="str">
        <x:f>IF(A248="","",IF(AND(ISNUMBER(E248),E248=0,OR(ISNUMBER(SEARCH("Free",D248&amp;"")),AND(ISNUMBER(F248),F248=0))),"Subscription",IF(ISNUMBER(G248),"Profit",IF(ISNUMBER(I248),"Disqualified",IF(ISNUMBER(H248),"Draw",IF(AND(ISNUMBER(F248),ISNUMBER(E248),E248&gt;0,F248&gt;E248),"Profit",IF(AND(ISNUMBER(F248),ISNUMBER(E248),E248&gt;0,F248=E248),"Draw",IF(AND(ISNUMBER(F248),ISNUMBER(E248),E248&gt;0,F248=0),"Disqualified",""))))))))</x:f>
      </x:c>
      <x:c r="L248" s="50"/>
      <x:c r="M248" s="58"/>
      <x:c r="N248" s="58"/>
      <x:c r="O248" s="62"/>
      <x:c r="P248" s="62"/>
      <x:c r="Q248" s="64" t="str">
        <x:f>IF(OR(B248="",C248="",C248&lt;B248),"",ROUNDUP((C248-B248)/7,0))</x:f>
      </x:c>
      <x:c r="R248" s="50"/>
      <x:c r="S248" s="50"/>
      <x:c r="T248" s="54"/>
      <x:c r="U248" s="66" t="str">
        <x:f>IF(A248="","",IF(K248="Subscription","",IF(ISNUMBER(G248),G248,0)-IF(ISNUMBER(I248),I248,0)))</x:f>
      </x:c>
      <x:c r="V248" s="64" t="str">
        <x:f>IF(OR(P248="",O248="",NOT(ISNUMBER(P248)),NOT(ISNUMBER(O248)),O248&gt;P248),"",P248-O248)</x:f>
      </x:c>
      <x:c r="W248" s="67" t="str">
        <x:f>IF(OR(P248="",P248=0,V248=""),"",V248/P248)</x:f>
      </x:c>
    </x:row>
    <x:row r="249" ht="21" customHeight="1">
      <x:c r="A249" s="54"/>
      <x:c r="B249" s="56"/>
      <x:c r="C249" s="56"/>
      <x:c r="D249" s="54"/>
      <x:c r="E249" s="58"/>
      <x:c r="F249" s="58"/>
      <x:c r="G249" s="58"/>
      <x:c r="H249" s="58"/>
      <x:c r="I249" s="58"/>
      <x:c r="J249" s="60" t="str">
        <x:f>IF(A249="","",IF(K249="Subscription","",IF(E249=0,"",IF(ISNUMBER(G249),G249/E249,IF(ISNUMBER(I249),-ABS(I249)/E249,IF(ISNUMBER(H249),0,IF(AND(ISNUMBER(F249),ISNUMBER(E249),E249&gt;0,F249&gt;E249),(F249-E249)/E249,IF(AND(ISNUMBER(F249),ISNUMBER(E249),E249&gt;0,F249=E249),0,IF(AND(ISNUMBER(F249),ISNUMBER(E249),E249&gt;0,F249=0),-1,"")))))))))</x:f>
      </x:c>
      <x:c r="K249" s="50" t="str">
        <x:f>IF(A249="","",IF(AND(ISNUMBER(E249),E249=0,OR(ISNUMBER(SEARCH("Free",D249&amp;"")),AND(ISNUMBER(F249),F249=0))),"Subscription",IF(ISNUMBER(G249),"Profit",IF(ISNUMBER(I249),"Disqualified",IF(ISNUMBER(H249),"Draw",IF(AND(ISNUMBER(F249),ISNUMBER(E249),E249&gt;0,F249&gt;E249),"Profit",IF(AND(ISNUMBER(F249),ISNUMBER(E249),E249&gt;0,F249=E249),"Draw",IF(AND(ISNUMBER(F249),ISNUMBER(E249),E249&gt;0,F249=0),"Disqualified",""))))))))</x:f>
      </x:c>
      <x:c r="L249" s="50"/>
      <x:c r="M249" s="58"/>
      <x:c r="N249" s="58"/>
      <x:c r="O249" s="62"/>
      <x:c r="P249" s="62"/>
      <x:c r="Q249" s="64" t="str">
        <x:f>IF(OR(B249="",C249="",C249&lt;B249),"",ROUNDUP((C249-B249)/7,0))</x:f>
      </x:c>
      <x:c r="R249" s="50"/>
      <x:c r="S249" s="50"/>
      <x:c r="T249" s="54"/>
      <x:c r="U249" s="66" t="str">
        <x:f>IF(A249="","",IF(K249="Subscription","",IF(ISNUMBER(G249),G249,0)-IF(ISNUMBER(I249),I249,0)))</x:f>
      </x:c>
      <x:c r="V249" s="64" t="str">
        <x:f>IF(OR(P249="",O249="",NOT(ISNUMBER(P249)),NOT(ISNUMBER(O249)),O249&gt;P249),"",P249-O249)</x:f>
      </x:c>
      <x:c r="W249" s="67" t="str">
        <x:f>IF(OR(P249="",P249=0,V249=""),"",V249/P249)</x:f>
      </x:c>
    </x:row>
    <x:row r="250" ht="21" customHeight="1">
      <x:c r="A250" s="54"/>
      <x:c r="B250" s="56"/>
      <x:c r="C250" s="56"/>
      <x:c r="D250" s="54"/>
      <x:c r="E250" s="58"/>
      <x:c r="F250" s="58"/>
      <x:c r="G250" s="58"/>
      <x:c r="H250" s="58"/>
      <x:c r="I250" s="58"/>
      <x:c r="J250" s="60" t="str">
        <x:f>IF(A250="","",IF(K250="Subscription","",IF(E250=0,"",IF(ISNUMBER(G250),G250/E250,IF(ISNUMBER(I250),-ABS(I250)/E250,IF(ISNUMBER(H250),0,IF(AND(ISNUMBER(F250),ISNUMBER(E250),E250&gt;0,F250&gt;E250),(F250-E250)/E250,IF(AND(ISNUMBER(F250),ISNUMBER(E250),E250&gt;0,F250=E250),0,IF(AND(ISNUMBER(F250),ISNUMBER(E250),E250&gt;0,F250=0),-1,"")))))))))</x:f>
      </x:c>
      <x:c r="K250" s="50" t="str">
        <x:f>IF(A250="","",IF(AND(ISNUMBER(E250),E250=0,OR(ISNUMBER(SEARCH("Free",D250&amp;"")),AND(ISNUMBER(F250),F250=0))),"Subscription",IF(ISNUMBER(G250),"Profit",IF(ISNUMBER(I250),"Disqualified",IF(ISNUMBER(H250),"Draw",IF(AND(ISNUMBER(F250),ISNUMBER(E250),E250&gt;0,F250&gt;E250),"Profit",IF(AND(ISNUMBER(F250),ISNUMBER(E250),E250&gt;0,F250=E250),"Draw",IF(AND(ISNUMBER(F250),ISNUMBER(E250),E250&gt;0,F250=0),"Disqualified",""))))))))</x:f>
      </x:c>
      <x:c r="L250" s="50"/>
      <x:c r="M250" s="58"/>
      <x:c r="N250" s="58"/>
      <x:c r="O250" s="62"/>
      <x:c r="P250" s="62"/>
      <x:c r="Q250" s="64" t="str">
        <x:f>IF(OR(B250="",C250="",C250&lt;B250),"",ROUNDUP((C250-B250)/7,0))</x:f>
      </x:c>
      <x:c r="R250" s="50"/>
      <x:c r="S250" s="50"/>
      <x:c r="T250" s="54"/>
      <x:c r="U250" s="66" t="str">
        <x:f>IF(A250="","",IF(K250="Subscription","",IF(ISNUMBER(G250),G250,0)-IF(ISNUMBER(I250),I250,0)))</x:f>
      </x:c>
      <x:c r="V250" s="64" t="str">
        <x:f>IF(OR(P250="",O250="",NOT(ISNUMBER(P250)),NOT(ISNUMBER(O250)),O250&gt;P250),"",P250-O250)</x:f>
      </x:c>
      <x:c r="W250" s="67" t="str">
        <x:f>IF(OR(P250="",P250=0,V250=""),"",V250/P250)</x:f>
      </x:c>
    </x:row>
    <x:row r="251" ht="21" customHeight="1">
      <x:c r="A251" s="54"/>
      <x:c r="B251" s="56"/>
      <x:c r="C251" s="56"/>
      <x:c r="D251" s="54"/>
      <x:c r="E251" s="58"/>
      <x:c r="F251" s="58"/>
      <x:c r="G251" s="58"/>
      <x:c r="H251" s="58"/>
      <x:c r="I251" s="58"/>
      <x:c r="J251" s="60" t="str">
        <x:f>IF(A251="","",IF(K251="Subscription","",IF(E251=0,"",IF(ISNUMBER(G251),G251/E251,IF(ISNUMBER(I251),-ABS(I251)/E251,IF(ISNUMBER(H251),0,IF(AND(ISNUMBER(F251),ISNUMBER(E251),E251&gt;0,F251&gt;E251),(F251-E251)/E251,IF(AND(ISNUMBER(F251),ISNUMBER(E251),E251&gt;0,F251=E251),0,IF(AND(ISNUMBER(F251),ISNUMBER(E251),E251&gt;0,F251=0),-1,"")))))))))</x:f>
      </x:c>
      <x:c r="K251" s="50" t="str">
        <x:f>IF(A251="","",IF(AND(ISNUMBER(E251),E251=0,OR(ISNUMBER(SEARCH("Free",D251&amp;"")),AND(ISNUMBER(F251),F251=0))),"Subscription",IF(ISNUMBER(G251),"Profit",IF(ISNUMBER(I251),"Disqualified",IF(ISNUMBER(H251),"Draw",IF(AND(ISNUMBER(F251),ISNUMBER(E251),E251&gt;0,F251&gt;E251),"Profit",IF(AND(ISNUMBER(F251),ISNUMBER(E251),E251&gt;0,F251=E251),"Draw",IF(AND(ISNUMBER(F251),ISNUMBER(E251),E251&gt;0,F251=0),"Disqualified",""))))))))</x:f>
      </x:c>
      <x:c r="L251" s="50"/>
      <x:c r="M251" s="58"/>
      <x:c r="N251" s="58"/>
      <x:c r="O251" s="62"/>
      <x:c r="P251" s="62"/>
      <x:c r="Q251" s="64" t="str">
        <x:f>IF(OR(B251="",C251="",C251&lt;B251),"",ROUNDUP((C251-B251)/7,0))</x:f>
      </x:c>
      <x:c r="R251" s="50"/>
      <x:c r="S251" s="50"/>
      <x:c r="T251" s="54"/>
      <x:c r="U251" s="66" t="str">
        <x:f>IF(A251="","",IF(K251="Subscription","",IF(ISNUMBER(G251),G251,0)-IF(ISNUMBER(I251),I251,0)))</x:f>
      </x:c>
      <x:c r="V251" s="64" t="str">
        <x:f>IF(OR(P251="",O251="",NOT(ISNUMBER(P251)),NOT(ISNUMBER(O251)),O251&gt;P251),"",P251-O251)</x:f>
      </x:c>
      <x:c r="W251" s="67" t="str">
        <x:f>IF(OR(P251="",P251=0,V251=""),"",V251/P251)</x:f>
      </x:c>
    </x:row>
    <x:row r="252" ht="21" customHeight="1">
      <x:c r="A252" s="54"/>
      <x:c r="B252" s="56"/>
      <x:c r="C252" s="56"/>
      <x:c r="D252" s="54"/>
      <x:c r="E252" s="58"/>
      <x:c r="F252" s="58"/>
      <x:c r="G252" s="58"/>
      <x:c r="H252" s="58"/>
      <x:c r="I252" s="58"/>
      <x:c r="J252" s="60" t="str">
        <x:f>IF(A252="","",IF(K252="Subscription","",IF(E252=0,"",IF(ISNUMBER(G252),G252/E252,IF(ISNUMBER(I252),-ABS(I252)/E252,IF(ISNUMBER(H252),0,IF(AND(ISNUMBER(F252),ISNUMBER(E252),E252&gt;0,F252&gt;E252),(F252-E252)/E252,IF(AND(ISNUMBER(F252),ISNUMBER(E252),E252&gt;0,F252=E252),0,IF(AND(ISNUMBER(F252),ISNUMBER(E252),E252&gt;0,F252=0),-1,"")))))))))</x:f>
      </x:c>
      <x:c r="K252" s="50" t="str">
        <x:f>IF(A252="","",IF(AND(ISNUMBER(E252),E252=0,OR(ISNUMBER(SEARCH("Free",D252&amp;"")),AND(ISNUMBER(F252),F252=0))),"Subscription",IF(ISNUMBER(G252),"Profit",IF(ISNUMBER(I252),"Disqualified",IF(ISNUMBER(H252),"Draw",IF(AND(ISNUMBER(F252),ISNUMBER(E252),E252&gt;0,F252&gt;E252),"Profit",IF(AND(ISNUMBER(F252),ISNUMBER(E252),E252&gt;0,F252=E252),"Draw",IF(AND(ISNUMBER(F252),ISNUMBER(E252),E252&gt;0,F252=0),"Disqualified",""))))))))</x:f>
      </x:c>
      <x:c r="L252" s="50"/>
      <x:c r="M252" s="58"/>
      <x:c r="N252" s="58"/>
      <x:c r="O252" s="62"/>
      <x:c r="P252" s="62"/>
      <x:c r="Q252" s="64" t="str">
        <x:f>IF(OR(B252="",C252="",C252&lt;B252),"",ROUNDUP((C252-B252)/7,0))</x:f>
      </x:c>
      <x:c r="R252" s="50"/>
      <x:c r="S252" s="50"/>
      <x:c r="T252" s="54"/>
      <x:c r="U252" s="66" t="str">
        <x:f>IF(A252="","",IF(K252="Subscription","",IF(ISNUMBER(G252),G252,0)-IF(ISNUMBER(I252),I252,0)))</x:f>
      </x:c>
      <x:c r="V252" s="64" t="str">
        <x:f>IF(OR(P252="",O252="",NOT(ISNUMBER(P252)),NOT(ISNUMBER(O252)),O252&gt;P252),"",P252-O252)</x:f>
      </x:c>
      <x:c r="W252" s="67" t="str">
        <x:f>IF(OR(P252="",P252=0,V252=""),"",V252/P252)</x:f>
      </x:c>
    </x:row>
    <x:row r="253" ht="21" customHeight="1">
      <x:c r="A253" s="54"/>
      <x:c r="B253" s="56"/>
      <x:c r="C253" s="56"/>
      <x:c r="D253" s="54"/>
      <x:c r="E253" s="58"/>
      <x:c r="F253" s="58"/>
      <x:c r="G253" s="58"/>
      <x:c r="H253" s="58"/>
      <x:c r="I253" s="58"/>
      <x:c r="J253" s="60" t="str">
        <x:f>IF(A253="","",IF(K253="Subscription","",IF(E253=0,"",IF(ISNUMBER(G253),G253/E253,IF(ISNUMBER(I253),-ABS(I253)/E253,IF(ISNUMBER(H253),0,IF(AND(ISNUMBER(F253),ISNUMBER(E253),E253&gt;0,F253&gt;E253),(F253-E253)/E253,IF(AND(ISNUMBER(F253),ISNUMBER(E253),E253&gt;0,F253=E253),0,IF(AND(ISNUMBER(F253),ISNUMBER(E253),E253&gt;0,F253=0),-1,"")))))))))</x:f>
      </x:c>
      <x:c r="K253" s="50" t="str">
        <x:f>IF(A253="","",IF(AND(ISNUMBER(E253),E253=0,OR(ISNUMBER(SEARCH("Free",D253&amp;"")),AND(ISNUMBER(F253),F253=0))),"Subscription",IF(ISNUMBER(G253),"Profit",IF(ISNUMBER(I253),"Disqualified",IF(ISNUMBER(H253),"Draw",IF(AND(ISNUMBER(F253),ISNUMBER(E253),E253&gt;0,F253&gt;E253),"Profit",IF(AND(ISNUMBER(F253),ISNUMBER(E253),E253&gt;0,F253=E253),"Draw",IF(AND(ISNUMBER(F253),ISNUMBER(E253),E253&gt;0,F253=0),"Disqualified",""))))))))</x:f>
      </x:c>
      <x:c r="L253" s="50"/>
      <x:c r="M253" s="58"/>
      <x:c r="N253" s="58"/>
      <x:c r="O253" s="62"/>
      <x:c r="P253" s="62"/>
      <x:c r="Q253" s="64" t="str">
        <x:f>IF(OR(B253="",C253="",C253&lt;B253),"",ROUNDUP((C253-B253)/7,0))</x:f>
      </x:c>
      <x:c r="R253" s="50"/>
      <x:c r="S253" s="50"/>
      <x:c r="T253" s="54"/>
      <x:c r="U253" s="66" t="str">
        <x:f>IF(A253="","",IF(K253="Subscription","",IF(ISNUMBER(G253),G253,0)-IF(ISNUMBER(I253),I253,0)))</x:f>
      </x:c>
      <x:c r="V253" s="64" t="str">
        <x:f>IF(OR(P253="",O253="",NOT(ISNUMBER(P253)),NOT(ISNUMBER(O253)),O253&gt;P253),"",P253-O253)</x:f>
      </x:c>
      <x:c r="W253" s="67" t="str">
        <x:f>IF(OR(P253="",P253=0,V253=""),"",V253/P253)</x:f>
      </x:c>
    </x:row>
    <x:row r="254" ht="21" customHeight="1">
      <x:c r="A254" s="54"/>
      <x:c r="B254" s="56"/>
      <x:c r="C254" s="56"/>
      <x:c r="D254" s="54"/>
      <x:c r="E254" s="58"/>
      <x:c r="F254" s="58"/>
      <x:c r="G254" s="58"/>
      <x:c r="H254" s="58"/>
      <x:c r="I254" s="58"/>
      <x:c r="J254" s="60" t="str">
        <x:f>IF(A254="","",IF(K254="Subscription","",IF(E254=0,"",IF(ISNUMBER(G254),G254/E254,IF(ISNUMBER(I254),-ABS(I254)/E254,IF(ISNUMBER(H254),0,IF(AND(ISNUMBER(F254),ISNUMBER(E254),E254&gt;0,F254&gt;E254),(F254-E254)/E254,IF(AND(ISNUMBER(F254),ISNUMBER(E254),E254&gt;0,F254=E254),0,IF(AND(ISNUMBER(F254),ISNUMBER(E254),E254&gt;0,F254=0),-1,"")))))))))</x:f>
      </x:c>
      <x:c r="K254" s="50" t="str">
        <x:f>IF(A254="","",IF(AND(ISNUMBER(E254),E254=0,OR(ISNUMBER(SEARCH("Free",D254&amp;"")),AND(ISNUMBER(F254),F254=0))),"Subscription",IF(ISNUMBER(G254),"Profit",IF(ISNUMBER(I254),"Disqualified",IF(ISNUMBER(H254),"Draw",IF(AND(ISNUMBER(F254),ISNUMBER(E254),E254&gt;0,F254&gt;E254),"Profit",IF(AND(ISNUMBER(F254),ISNUMBER(E254),E254&gt;0,F254=E254),"Draw",IF(AND(ISNUMBER(F254),ISNUMBER(E254),E254&gt;0,F254=0),"Disqualified",""))))))))</x:f>
      </x:c>
      <x:c r="L254" s="50"/>
      <x:c r="M254" s="58"/>
      <x:c r="N254" s="58"/>
      <x:c r="O254" s="62"/>
      <x:c r="P254" s="62"/>
      <x:c r="Q254" s="64" t="str">
        <x:f>IF(OR(B254="",C254="",C254&lt;B254),"",ROUNDUP((C254-B254)/7,0))</x:f>
      </x:c>
      <x:c r="R254" s="50"/>
      <x:c r="S254" s="50"/>
      <x:c r="T254" s="54"/>
      <x:c r="U254" s="66" t="str">
        <x:f>IF(A254="","",IF(K254="Subscription","",IF(ISNUMBER(G254),G254,0)-IF(ISNUMBER(I254),I254,0)))</x:f>
      </x:c>
      <x:c r="V254" s="64" t="str">
        <x:f>IF(OR(P254="",O254="",NOT(ISNUMBER(P254)),NOT(ISNUMBER(O254)),O254&gt;P254),"",P254-O254)</x:f>
      </x:c>
      <x:c r="W254" s="67" t="str">
        <x:f>IF(OR(P254="",P254=0,V254=""),"",V254/P254)</x:f>
      </x:c>
    </x:row>
    <x:row r="255" ht="21" customHeight="1">
      <x:c r="A255" s="54"/>
      <x:c r="B255" s="56"/>
      <x:c r="C255" s="56"/>
      <x:c r="D255" s="54"/>
      <x:c r="E255" s="58"/>
      <x:c r="F255" s="58"/>
      <x:c r="G255" s="58"/>
      <x:c r="H255" s="58"/>
      <x:c r="I255" s="58"/>
      <x:c r="J255" s="60" t="str">
        <x:f>IF(A255="","",IF(K255="Subscription","",IF(E255=0,"",IF(ISNUMBER(G255),G255/E255,IF(ISNUMBER(I255),-ABS(I255)/E255,IF(ISNUMBER(H255),0,IF(AND(ISNUMBER(F255),ISNUMBER(E255),E255&gt;0,F255&gt;E255),(F255-E255)/E255,IF(AND(ISNUMBER(F255),ISNUMBER(E255),E255&gt;0,F255=E255),0,IF(AND(ISNUMBER(F255),ISNUMBER(E255),E255&gt;0,F255=0),-1,"")))))))))</x:f>
      </x:c>
      <x:c r="K255" s="50" t="str">
        <x:f>IF(A255="","",IF(AND(ISNUMBER(E255),E255=0,OR(ISNUMBER(SEARCH("Free",D255&amp;"")),AND(ISNUMBER(F255),F255=0))),"Subscription",IF(ISNUMBER(G255),"Profit",IF(ISNUMBER(I255),"Disqualified",IF(ISNUMBER(H255),"Draw",IF(AND(ISNUMBER(F255),ISNUMBER(E255),E255&gt;0,F255&gt;E255),"Profit",IF(AND(ISNUMBER(F255),ISNUMBER(E255),E255&gt;0,F255=E255),"Draw",IF(AND(ISNUMBER(F255),ISNUMBER(E255),E255&gt;0,F255=0),"Disqualified",""))))))))</x:f>
      </x:c>
      <x:c r="L255" s="50"/>
      <x:c r="M255" s="58"/>
      <x:c r="N255" s="58"/>
      <x:c r="O255" s="62"/>
      <x:c r="P255" s="62"/>
      <x:c r="Q255" s="64" t="str">
        <x:f>IF(OR(B255="",C255="",C255&lt;B255),"",ROUNDUP((C255-B255)/7,0))</x:f>
      </x:c>
      <x:c r="R255" s="50"/>
      <x:c r="S255" s="50"/>
      <x:c r="T255" s="54"/>
      <x:c r="U255" s="66" t="str">
        <x:f>IF(A255="","",IF(K255="Subscription","",IF(ISNUMBER(G255),G255,0)-IF(ISNUMBER(I255),I255,0)))</x:f>
      </x:c>
      <x:c r="V255" s="64" t="str">
        <x:f>IF(OR(P255="",O255="",NOT(ISNUMBER(P255)),NOT(ISNUMBER(O255)),O255&gt;P255),"",P255-O255)</x:f>
      </x:c>
      <x:c r="W255" s="67" t="str">
        <x:f>IF(OR(P255="",P255=0,V255=""),"",V255/P255)</x:f>
      </x:c>
    </x:row>
    <x:row r="256" ht="21" customHeight="1">
      <x:c r="A256" s="54"/>
      <x:c r="B256" s="56"/>
      <x:c r="C256" s="56"/>
      <x:c r="D256" s="54"/>
      <x:c r="E256" s="58"/>
      <x:c r="F256" s="58"/>
      <x:c r="G256" s="58"/>
      <x:c r="H256" s="58"/>
      <x:c r="I256" s="58"/>
      <x:c r="J256" s="60" t="str">
        <x:f>IF(A256="","",IF(K256="Subscription","",IF(E256=0,"",IF(ISNUMBER(G256),G256/E256,IF(ISNUMBER(I256),-ABS(I256)/E256,IF(ISNUMBER(H256),0,IF(AND(ISNUMBER(F256),ISNUMBER(E256),E256&gt;0,F256&gt;E256),(F256-E256)/E256,IF(AND(ISNUMBER(F256),ISNUMBER(E256),E256&gt;0,F256=E256),0,IF(AND(ISNUMBER(F256),ISNUMBER(E256),E256&gt;0,F256=0),-1,"")))))))))</x:f>
      </x:c>
      <x:c r="K256" s="50" t="str">
        <x:f>IF(A256="","",IF(AND(ISNUMBER(E256),E256=0,OR(ISNUMBER(SEARCH("Free",D256&amp;"")),AND(ISNUMBER(F256),F256=0))),"Subscription",IF(ISNUMBER(G256),"Profit",IF(ISNUMBER(I256),"Disqualified",IF(ISNUMBER(H256),"Draw",IF(AND(ISNUMBER(F256),ISNUMBER(E256),E256&gt;0,F256&gt;E256),"Profit",IF(AND(ISNUMBER(F256),ISNUMBER(E256),E256&gt;0,F256=E256),"Draw",IF(AND(ISNUMBER(F256),ISNUMBER(E256),E256&gt;0,F256=0),"Disqualified",""))))))))</x:f>
      </x:c>
      <x:c r="L256" s="50"/>
      <x:c r="M256" s="58"/>
      <x:c r="N256" s="58"/>
      <x:c r="O256" s="62"/>
      <x:c r="P256" s="62"/>
      <x:c r="Q256" s="64" t="str">
        <x:f>IF(OR(B256="",C256="",C256&lt;B256),"",ROUNDUP((C256-B256)/7,0))</x:f>
      </x:c>
      <x:c r="R256" s="50"/>
      <x:c r="S256" s="50"/>
      <x:c r="T256" s="54"/>
      <x:c r="U256" s="66" t="str">
        <x:f>IF(A256="","",IF(K256="Subscription","",IF(ISNUMBER(G256),G256,0)-IF(ISNUMBER(I256),I256,0)))</x:f>
      </x:c>
      <x:c r="V256" s="64" t="str">
        <x:f>IF(OR(P256="",O256="",NOT(ISNUMBER(P256)),NOT(ISNUMBER(O256)),O256&gt;P256),"",P256-O256)</x:f>
      </x:c>
      <x:c r="W256" s="67" t="str">
        <x:f>IF(OR(P256="",P256=0,V256=""),"",V256/P256)</x:f>
      </x:c>
    </x:row>
    <x:row r="257" ht="21" customHeight="1">
      <x:c r="A257" s="54"/>
      <x:c r="B257" s="56"/>
      <x:c r="C257" s="56"/>
      <x:c r="D257" s="54"/>
      <x:c r="E257" s="58"/>
      <x:c r="F257" s="58"/>
      <x:c r="G257" s="58"/>
      <x:c r="H257" s="58"/>
      <x:c r="I257" s="58"/>
      <x:c r="J257" s="60" t="str">
        <x:f>IF(A257="","",IF(K257="Subscription","",IF(E257=0,"",IF(ISNUMBER(G257),G257/E257,IF(ISNUMBER(I257),-ABS(I257)/E257,IF(ISNUMBER(H257),0,IF(AND(ISNUMBER(F257),ISNUMBER(E257),E257&gt;0,F257&gt;E257),(F257-E257)/E257,IF(AND(ISNUMBER(F257),ISNUMBER(E257),E257&gt;0,F257=E257),0,IF(AND(ISNUMBER(F257),ISNUMBER(E257),E257&gt;0,F257=0),-1,"")))))))))</x:f>
      </x:c>
      <x:c r="K257" s="50" t="str">
        <x:f>IF(A257="","",IF(AND(ISNUMBER(E257),E257=0,OR(ISNUMBER(SEARCH("Free",D257&amp;"")),AND(ISNUMBER(F257),F257=0))),"Subscription",IF(ISNUMBER(G257),"Profit",IF(ISNUMBER(I257),"Disqualified",IF(ISNUMBER(H257),"Draw",IF(AND(ISNUMBER(F257),ISNUMBER(E257),E257&gt;0,F257&gt;E257),"Profit",IF(AND(ISNUMBER(F257),ISNUMBER(E257),E257&gt;0,F257=E257),"Draw",IF(AND(ISNUMBER(F257),ISNUMBER(E257),E257&gt;0,F257=0),"Disqualified",""))))))))</x:f>
      </x:c>
      <x:c r="L257" s="50"/>
      <x:c r="M257" s="58"/>
      <x:c r="N257" s="58"/>
      <x:c r="O257" s="62"/>
      <x:c r="P257" s="62"/>
      <x:c r="Q257" s="64" t="str">
        <x:f>IF(OR(B257="",C257="",C257&lt;B257),"",ROUNDUP((C257-B257)/7,0))</x:f>
      </x:c>
      <x:c r="R257" s="50"/>
      <x:c r="S257" s="50"/>
      <x:c r="T257" s="54"/>
      <x:c r="U257" s="66" t="str">
        <x:f>IF(A257="","",IF(K257="Subscription","",IF(ISNUMBER(G257),G257,0)-IF(ISNUMBER(I257),I257,0)))</x:f>
      </x:c>
      <x:c r="V257" s="64" t="str">
        <x:f>IF(OR(P257="",O257="",NOT(ISNUMBER(P257)),NOT(ISNUMBER(O257)),O257&gt;P257),"",P257-O257)</x:f>
      </x:c>
      <x:c r="W257" s="67" t="str">
        <x:f>IF(OR(P257="",P257=0,V257=""),"",V257/P257)</x:f>
      </x:c>
    </x:row>
    <x:row r="258" ht="21" customHeight="1">
      <x:c r="A258" s="54"/>
      <x:c r="B258" s="56"/>
      <x:c r="C258" s="56"/>
      <x:c r="D258" s="54"/>
      <x:c r="E258" s="58"/>
      <x:c r="F258" s="58"/>
      <x:c r="G258" s="58"/>
      <x:c r="H258" s="58"/>
      <x:c r="I258" s="58"/>
      <x:c r="J258" s="60" t="str">
        <x:f>IF(A258="","",IF(K258="Subscription","",IF(E258=0,"",IF(ISNUMBER(G258),G258/E258,IF(ISNUMBER(I258),-ABS(I258)/E258,IF(ISNUMBER(H258),0,IF(AND(ISNUMBER(F258),ISNUMBER(E258),E258&gt;0,F258&gt;E258),(F258-E258)/E258,IF(AND(ISNUMBER(F258),ISNUMBER(E258),E258&gt;0,F258=E258),0,IF(AND(ISNUMBER(F258),ISNUMBER(E258),E258&gt;0,F258=0),-1,"")))))))))</x:f>
      </x:c>
      <x:c r="K258" s="50" t="str">
        <x:f>IF(A258="","",IF(AND(ISNUMBER(E258),E258=0,OR(ISNUMBER(SEARCH("Free",D258&amp;"")),AND(ISNUMBER(F258),F258=0))),"Subscription",IF(ISNUMBER(G258),"Profit",IF(ISNUMBER(I258),"Disqualified",IF(ISNUMBER(H258),"Draw",IF(AND(ISNUMBER(F258),ISNUMBER(E258),E258&gt;0,F258&gt;E258),"Profit",IF(AND(ISNUMBER(F258),ISNUMBER(E258),E258&gt;0,F258=E258),"Draw",IF(AND(ISNUMBER(F258),ISNUMBER(E258),E258&gt;0,F258=0),"Disqualified",""))))))))</x:f>
      </x:c>
      <x:c r="L258" s="50"/>
      <x:c r="M258" s="58"/>
      <x:c r="N258" s="58"/>
      <x:c r="O258" s="62"/>
      <x:c r="P258" s="62"/>
      <x:c r="Q258" s="64" t="str">
        <x:f>IF(OR(B258="",C258="",C258&lt;B258),"",ROUNDUP((C258-B258)/7,0))</x:f>
      </x:c>
      <x:c r="R258" s="50"/>
      <x:c r="S258" s="50"/>
      <x:c r="T258" s="54"/>
      <x:c r="U258" s="66" t="str">
        <x:f>IF(A258="","",IF(K258="Subscription","",IF(ISNUMBER(G258),G258,0)-IF(ISNUMBER(I258),I258,0)))</x:f>
      </x:c>
      <x:c r="V258" s="64" t="str">
        <x:f>IF(OR(P258="",O258="",NOT(ISNUMBER(P258)),NOT(ISNUMBER(O258)),O258&gt;P258),"",P258-O258)</x:f>
      </x:c>
      <x:c r="W258" s="67" t="str">
        <x:f>IF(OR(P258="",P258=0,V258=""),"",V258/P258)</x:f>
      </x:c>
    </x:row>
    <x:row r="259" ht="21" customHeight="1">
      <x:c r="A259" s="54"/>
      <x:c r="B259" s="56"/>
      <x:c r="C259" s="56"/>
      <x:c r="D259" s="54"/>
      <x:c r="E259" s="58"/>
      <x:c r="F259" s="58"/>
      <x:c r="G259" s="58"/>
      <x:c r="H259" s="58"/>
      <x:c r="I259" s="58"/>
      <x:c r="J259" s="60" t="str">
        <x:f>IF(A259="","",IF(K259="Subscription","",IF(E259=0,"",IF(ISNUMBER(G259),G259/E259,IF(ISNUMBER(I259),-ABS(I259)/E259,IF(ISNUMBER(H259),0,IF(AND(ISNUMBER(F259),ISNUMBER(E259),E259&gt;0,F259&gt;E259),(F259-E259)/E259,IF(AND(ISNUMBER(F259),ISNUMBER(E259),E259&gt;0,F259=E259),0,IF(AND(ISNUMBER(F259),ISNUMBER(E259),E259&gt;0,F259=0),-1,"")))))))))</x:f>
      </x:c>
      <x:c r="K259" s="50" t="str">
        <x:f>IF(A259="","",IF(AND(ISNUMBER(E259),E259=0,OR(ISNUMBER(SEARCH("Free",D259&amp;"")),AND(ISNUMBER(F259),F259=0))),"Subscription",IF(ISNUMBER(G259),"Profit",IF(ISNUMBER(I259),"Disqualified",IF(ISNUMBER(H259),"Draw",IF(AND(ISNUMBER(F259),ISNUMBER(E259),E259&gt;0,F259&gt;E259),"Profit",IF(AND(ISNUMBER(F259),ISNUMBER(E259),E259&gt;0,F259=E259),"Draw",IF(AND(ISNUMBER(F259),ISNUMBER(E259),E259&gt;0,F259=0),"Disqualified",""))))))))</x:f>
      </x:c>
      <x:c r="L259" s="50"/>
      <x:c r="M259" s="58"/>
      <x:c r="N259" s="58"/>
      <x:c r="O259" s="62"/>
      <x:c r="P259" s="62"/>
      <x:c r="Q259" s="64" t="str">
        <x:f>IF(OR(B259="",C259="",C259&lt;B259),"",ROUNDUP((C259-B259)/7,0))</x:f>
      </x:c>
      <x:c r="R259" s="50"/>
      <x:c r="S259" s="50"/>
      <x:c r="T259" s="54"/>
      <x:c r="U259" s="66" t="str">
        <x:f>IF(A259="","",IF(K259="Subscription","",IF(ISNUMBER(G259),G259,0)-IF(ISNUMBER(I259),I259,0)))</x:f>
      </x:c>
      <x:c r="V259" s="64" t="str">
        <x:f>IF(OR(P259="",O259="",NOT(ISNUMBER(P259)),NOT(ISNUMBER(O259)),O259&gt;P259),"",P259-O259)</x:f>
      </x:c>
      <x:c r="W259" s="67" t="str">
        <x:f>IF(OR(P259="",P259=0,V259=""),"",V259/P259)</x:f>
      </x:c>
    </x:row>
    <x:row r="260" ht="21" customHeight="1">
      <x:c r="A260" s="54"/>
      <x:c r="B260" s="56"/>
      <x:c r="C260" s="56"/>
      <x:c r="D260" s="54"/>
      <x:c r="E260" s="58"/>
      <x:c r="F260" s="58"/>
      <x:c r="G260" s="58"/>
      <x:c r="H260" s="58"/>
      <x:c r="I260" s="58"/>
      <x:c r="J260" s="60" t="str">
        <x:f>IF(A260="","",IF(K260="Subscription","",IF(E260=0,"",IF(ISNUMBER(G260),G260/E260,IF(ISNUMBER(I260),-ABS(I260)/E260,IF(ISNUMBER(H260),0,IF(AND(ISNUMBER(F260),ISNUMBER(E260),E260&gt;0,F260&gt;E260),(F260-E260)/E260,IF(AND(ISNUMBER(F260),ISNUMBER(E260),E260&gt;0,F260=E260),0,IF(AND(ISNUMBER(F260),ISNUMBER(E260),E260&gt;0,F260=0),-1,"")))))))))</x:f>
      </x:c>
      <x:c r="K260" s="50" t="str">
        <x:f>IF(A260="","",IF(AND(ISNUMBER(E260),E260=0,OR(ISNUMBER(SEARCH("Free",D260&amp;"")),AND(ISNUMBER(F260),F260=0))),"Subscription",IF(ISNUMBER(G260),"Profit",IF(ISNUMBER(I260),"Disqualified",IF(ISNUMBER(H260),"Draw",IF(AND(ISNUMBER(F260),ISNUMBER(E260),E260&gt;0,F260&gt;E260),"Profit",IF(AND(ISNUMBER(F260),ISNUMBER(E260),E260&gt;0,F260=E260),"Draw",IF(AND(ISNUMBER(F260),ISNUMBER(E260),E260&gt;0,F260=0),"Disqualified",""))))))))</x:f>
      </x:c>
      <x:c r="L260" s="50"/>
      <x:c r="M260" s="58"/>
      <x:c r="N260" s="58"/>
      <x:c r="O260" s="62"/>
      <x:c r="P260" s="62"/>
      <x:c r="Q260" s="64" t="str">
        <x:f>IF(OR(B260="",C260="",C260&lt;B260),"",ROUNDUP((C260-B260)/7,0))</x:f>
      </x:c>
      <x:c r="R260" s="50"/>
      <x:c r="S260" s="50"/>
      <x:c r="T260" s="54"/>
      <x:c r="U260" s="66" t="str">
        <x:f>IF(A260="","",IF(K260="Subscription","",IF(ISNUMBER(G260),G260,0)-IF(ISNUMBER(I260),I260,0)))</x:f>
      </x:c>
      <x:c r="V260" s="64" t="str">
        <x:f>IF(OR(P260="",O260="",NOT(ISNUMBER(P260)),NOT(ISNUMBER(O260)),O260&gt;P260),"",P260-O260)</x:f>
      </x:c>
      <x:c r="W260" s="67" t="str">
        <x:f>IF(OR(P260="",P260=0,V260=""),"",V260/P260)</x:f>
      </x:c>
    </x:row>
    <x:row r="261" ht="21" customHeight="1">
      <x:c r="A261" s="54"/>
      <x:c r="B261" s="56"/>
      <x:c r="C261" s="56"/>
      <x:c r="D261" s="54"/>
      <x:c r="E261" s="58"/>
      <x:c r="F261" s="58"/>
      <x:c r="G261" s="58"/>
      <x:c r="H261" s="58"/>
      <x:c r="I261" s="58"/>
      <x:c r="J261" s="60" t="str">
        <x:f>IF(A261="","",IF(K261="Subscription","",IF(E261=0,"",IF(ISNUMBER(G261),G261/E261,IF(ISNUMBER(I261),-ABS(I261)/E261,IF(ISNUMBER(H261),0,IF(AND(ISNUMBER(F261),ISNUMBER(E261),E261&gt;0,F261&gt;E261),(F261-E261)/E261,IF(AND(ISNUMBER(F261),ISNUMBER(E261),E261&gt;0,F261=E261),0,IF(AND(ISNUMBER(F261),ISNUMBER(E261),E261&gt;0,F261=0),-1,"")))))))))</x:f>
      </x:c>
      <x:c r="K261" s="50" t="str">
        <x:f>IF(A261="","",IF(AND(ISNUMBER(E261),E261=0,OR(ISNUMBER(SEARCH("Free",D261&amp;"")),AND(ISNUMBER(F261),F261=0))),"Subscription",IF(ISNUMBER(G261),"Profit",IF(ISNUMBER(I261),"Disqualified",IF(ISNUMBER(H261),"Draw",IF(AND(ISNUMBER(F261),ISNUMBER(E261),E261&gt;0,F261&gt;E261),"Profit",IF(AND(ISNUMBER(F261),ISNUMBER(E261),E261&gt;0,F261=E261),"Draw",IF(AND(ISNUMBER(F261),ISNUMBER(E261),E261&gt;0,F261=0),"Disqualified",""))))))))</x:f>
      </x:c>
      <x:c r="L261" s="50"/>
      <x:c r="M261" s="58"/>
      <x:c r="N261" s="58"/>
      <x:c r="O261" s="62"/>
      <x:c r="P261" s="62"/>
      <x:c r="Q261" s="64" t="str">
        <x:f>IF(OR(B261="",C261="",C261&lt;B261),"",ROUNDUP((C261-B261)/7,0))</x:f>
      </x:c>
      <x:c r="R261" s="50"/>
      <x:c r="S261" s="50"/>
      <x:c r="T261" s="54"/>
      <x:c r="U261" s="66" t="str">
        <x:f>IF(A261="","",IF(K261="Subscription","",IF(ISNUMBER(G261),G261,0)-IF(ISNUMBER(I261),I261,0)))</x:f>
      </x:c>
      <x:c r="V261" s="64" t="str">
        <x:f>IF(OR(P261="",O261="",NOT(ISNUMBER(P261)),NOT(ISNUMBER(O261)),O261&gt;P261),"",P261-O261)</x:f>
      </x:c>
      <x:c r="W261" s="67" t="str">
        <x:f>IF(OR(P261="",P261=0,V261=""),"",V261/P261)</x:f>
      </x:c>
    </x:row>
    <x:row r="262" ht="21" customHeight="1">
      <x:c r="A262" s="54"/>
      <x:c r="B262" s="56"/>
      <x:c r="C262" s="56"/>
      <x:c r="D262" s="54"/>
      <x:c r="E262" s="58"/>
      <x:c r="F262" s="58"/>
      <x:c r="G262" s="58"/>
      <x:c r="H262" s="58"/>
      <x:c r="I262" s="58"/>
      <x:c r="J262" s="60" t="str">
        <x:f>IF(A262="","",IF(K262="Subscription","",IF(E262=0,"",IF(ISNUMBER(G262),G262/E262,IF(ISNUMBER(I262),-ABS(I262)/E262,IF(ISNUMBER(H262),0,IF(AND(ISNUMBER(F262),ISNUMBER(E262),E262&gt;0,F262&gt;E262),(F262-E262)/E262,IF(AND(ISNUMBER(F262),ISNUMBER(E262),E262&gt;0,F262=E262),0,IF(AND(ISNUMBER(F262),ISNUMBER(E262),E262&gt;0,F262=0),-1,"")))))))))</x:f>
      </x:c>
      <x:c r="K262" s="50" t="str">
        <x:f>IF(A262="","",IF(AND(ISNUMBER(E262),E262=0,OR(ISNUMBER(SEARCH("Free",D262&amp;"")),AND(ISNUMBER(F262),F262=0))),"Subscription",IF(ISNUMBER(G262),"Profit",IF(ISNUMBER(I262),"Disqualified",IF(ISNUMBER(H262),"Draw",IF(AND(ISNUMBER(F262),ISNUMBER(E262),E262&gt;0,F262&gt;E262),"Profit",IF(AND(ISNUMBER(F262),ISNUMBER(E262),E262&gt;0,F262=E262),"Draw",IF(AND(ISNUMBER(F262),ISNUMBER(E262),E262&gt;0,F262=0),"Disqualified",""))))))))</x:f>
      </x:c>
      <x:c r="L262" s="50"/>
      <x:c r="M262" s="58"/>
      <x:c r="N262" s="58"/>
      <x:c r="O262" s="62"/>
      <x:c r="P262" s="62"/>
      <x:c r="Q262" s="64" t="str">
        <x:f>IF(OR(B262="",C262="",C262&lt;B262),"",ROUNDUP((C262-B262)/7,0))</x:f>
      </x:c>
      <x:c r="R262" s="50"/>
      <x:c r="S262" s="50"/>
      <x:c r="T262" s="54"/>
      <x:c r="U262" s="66" t="str">
        <x:f>IF(A262="","",IF(K262="Subscription","",IF(ISNUMBER(G262),G262,0)-IF(ISNUMBER(I262),I262,0)))</x:f>
      </x:c>
      <x:c r="V262" s="64" t="str">
        <x:f>IF(OR(P262="",O262="",NOT(ISNUMBER(P262)),NOT(ISNUMBER(O262)),O262&gt;P262),"",P262-O262)</x:f>
      </x:c>
      <x:c r="W262" s="67" t="str">
        <x:f>IF(OR(P262="",P262=0,V262=""),"",V262/P262)</x:f>
      </x:c>
    </x:row>
    <x:row r="263" ht="21" customHeight="1">
      <x:c r="A263" s="54"/>
      <x:c r="B263" s="56"/>
      <x:c r="C263" s="56"/>
      <x:c r="D263" s="54"/>
      <x:c r="E263" s="58"/>
      <x:c r="F263" s="58"/>
      <x:c r="G263" s="58"/>
      <x:c r="H263" s="58"/>
      <x:c r="I263" s="58"/>
      <x:c r="J263" s="60" t="str">
        <x:f>IF(A263="","",IF(K263="Subscription","",IF(E263=0,"",IF(ISNUMBER(G263),G263/E263,IF(ISNUMBER(I263),-ABS(I263)/E263,IF(ISNUMBER(H263),0,IF(AND(ISNUMBER(F263),ISNUMBER(E263),E263&gt;0,F263&gt;E263),(F263-E263)/E263,IF(AND(ISNUMBER(F263),ISNUMBER(E263),E263&gt;0,F263=E263),0,IF(AND(ISNUMBER(F263),ISNUMBER(E263),E263&gt;0,F263=0),-1,"")))))))))</x:f>
      </x:c>
      <x:c r="K263" s="50" t="str">
        <x:f>IF(A263="","",IF(AND(ISNUMBER(E263),E263=0,OR(ISNUMBER(SEARCH("Free",D263&amp;"")),AND(ISNUMBER(F263),F263=0))),"Subscription",IF(ISNUMBER(G263),"Profit",IF(ISNUMBER(I263),"Disqualified",IF(ISNUMBER(H263),"Draw",IF(AND(ISNUMBER(F263),ISNUMBER(E263),E263&gt;0,F263&gt;E263),"Profit",IF(AND(ISNUMBER(F263),ISNUMBER(E263),E263&gt;0,F263=E263),"Draw",IF(AND(ISNUMBER(F263),ISNUMBER(E263),E263&gt;0,F263=0),"Disqualified",""))))))))</x:f>
      </x:c>
      <x:c r="L263" s="50"/>
      <x:c r="M263" s="58"/>
      <x:c r="N263" s="58"/>
      <x:c r="O263" s="62"/>
      <x:c r="P263" s="62"/>
      <x:c r="Q263" s="64" t="str">
        <x:f>IF(OR(B263="",C263="",C263&lt;B263),"",ROUNDUP((C263-B263)/7,0))</x:f>
      </x:c>
      <x:c r="R263" s="50"/>
      <x:c r="S263" s="50"/>
      <x:c r="T263" s="54"/>
      <x:c r="U263" s="66" t="str">
        <x:f>IF(A263="","",IF(K263="Subscription","",IF(ISNUMBER(G263),G263,0)-IF(ISNUMBER(I263),I263,0)))</x:f>
      </x:c>
      <x:c r="V263" s="64" t="str">
        <x:f>IF(OR(P263="",O263="",NOT(ISNUMBER(P263)),NOT(ISNUMBER(O263)),O263&gt;P263),"",P263-O263)</x:f>
      </x:c>
      <x:c r="W263" s="67" t="str">
        <x:f>IF(OR(P263="",P263=0,V263=""),"",V263/P263)</x:f>
      </x:c>
    </x:row>
    <x:row r="264" ht="21" customHeight="1">
      <x:c r="A264" s="54"/>
      <x:c r="B264" s="56"/>
      <x:c r="C264" s="56"/>
      <x:c r="D264" s="54"/>
      <x:c r="E264" s="58"/>
      <x:c r="F264" s="58"/>
      <x:c r="G264" s="58"/>
      <x:c r="H264" s="58"/>
      <x:c r="I264" s="58"/>
      <x:c r="J264" s="60" t="str">
        <x:f>IF(A264="","",IF(K264="Subscription","",IF(E264=0,"",IF(ISNUMBER(G264),G264/E264,IF(ISNUMBER(I264),-ABS(I264)/E264,IF(ISNUMBER(H264),0,IF(AND(ISNUMBER(F264),ISNUMBER(E264),E264&gt;0,F264&gt;E264),(F264-E264)/E264,IF(AND(ISNUMBER(F264),ISNUMBER(E264),E264&gt;0,F264=E264),0,IF(AND(ISNUMBER(F264),ISNUMBER(E264),E264&gt;0,F264=0),-1,"")))))))))</x:f>
      </x:c>
      <x:c r="K264" s="50" t="str">
        <x:f>IF(A264="","",IF(AND(ISNUMBER(E264),E264=0,OR(ISNUMBER(SEARCH("Free",D264&amp;"")),AND(ISNUMBER(F264),F264=0))),"Subscription",IF(ISNUMBER(G264),"Profit",IF(ISNUMBER(I264),"Disqualified",IF(ISNUMBER(H264),"Draw",IF(AND(ISNUMBER(F264),ISNUMBER(E264),E264&gt;0,F264&gt;E264),"Profit",IF(AND(ISNUMBER(F264),ISNUMBER(E264),E264&gt;0,F264=E264),"Draw",IF(AND(ISNUMBER(F264),ISNUMBER(E264),E264&gt;0,F264=0),"Disqualified",""))))))))</x:f>
      </x:c>
      <x:c r="L264" s="50"/>
      <x:c r="M264" s="58"/>
      <x:c r="N264" s="58"/>
      <x:c r="O264" s="62"/>
      <x:c r="P264" s="62"/>
      <x:c r="Q264" s="64" t="str">
        <x:f>IF(OR(B264="",C264="",C264&lt;B264),"",ROUNDUP((C264-B264)/7,0))</x:f>
      </x:c>
      <x:c r="R264" s="50"/>
      <x:c r="S264" s="50"/>
      <x:c r="T264" s="54"/>
      <x:c r="U264" s="66" t="str">
        <x:f>IF(A264="","",IF(K264="Subscription","",IF(ISNUMBER(G264),G264,0)-IF(ISNUMBER(I264),I264,0)))</x:f>
      </x:c>
      <x:c r="V264" s="64" t="str">
        <x:f>IF(OR(P264="",O264="",NOT(ISNUMBER(P264)),NOT(ISNUMBER(O264)),O264&gt;P264),"",P264-O264)</x:f>
      </x:c>
      <x:c r="W264" s="67" t="str">
        <x:f>IF(OR(P264="",P264=0,V264=""),"",V264/P264)</x:f>
      </x:c>
    </x:row>
    <x:row r="265" ht="21" customHeight="1">
      <x:c r="A265" s="54"/>
      <x:c r="B265" s="56"/>
      <x:c r="C265" s="56"/>
      <x:c r="D265" s="54"/>
      <x:c r="E265" s="58"/>
      <x:c r="F265" s="58"/>
      <x:c r="G265" s="58"/>
      <x:c r="H265" s="58"/>
      <x:c r="I265" s="58"/>
      <x:c r="J265" s="60" t="str">
        <x:f>IF(A265="","",IF(K265="Subscription","",IF(E265=0,"",IF(ISNUMBER(G265),G265/E265,IF(ISNUMBER(I265),-ABS(I265)/E265,IF(ISNUMBER(H265),0,IF(AND(ISNUMBER(F265),ISNUMBER(E265),E265&gt;0,F265&gt;E265),(F265-E265)/E265,IF(AND(ISNUMBER(F265),ISNUMBER(E265),E265&gt;0,F265=E265),0,IF(AND(ISNUMBER(F265),ISNUMBER(E265),E265&gt;0,F265=0),-1,"")))))))))</x:f>
      </x:c>
      <x:c r="K265" s="50" t="str">
        <x:f>IF(A265="","",IF(AND(ISNUMBER(E265),E265=0,OR(ISNUMBER(SEARCH("Free",D265&amp;"")),AND(ISNUMBER(F265),F265=0))),"Subscription",IF(ISNUMBER(G265),"Profit",IF(ISNUMBER(I265),"Disqualified",IF(ISNUMBER(H265),"Draw",IF(AND(ISNUMBER(F265),ISNUMBER(E265),E265&gt;0,F265&gt;E265),"Profit",IF(AND(ISNUMBER(F265),ISNUMBER(E265),E265&gt;0,F265=E265),"Draw",IF(AND(ISNUMBER(F265),ISNUMBER(E265),E265&gt;0,F265=0),"Disqualified",""))))))))</x:f>
      </x:c>
      <x:c r="L265" s="50"/>
      <x:c r="M265" s="58"/>
      <x:c r="N265" s="58"/>
      <x:c r="O265" s="62"/>
      <x:c r="P265" s="62"/>
      <x:c r="Q265" s="64" t="str">
        <x:f>IF(OR(B265="",C265="",C265&lt;B265),"",ROUNDUP((C265-B265)/7,0))</x:f>
      </x:c>
      <x:c r="R265" s="50"/>
      <x:c r="S265" s="50"/>
      <x:c r="T265" s="54"/>
      <x:c r="U265" s="66" t="str">
        <x:f>IF(A265="","",IF(K265="Subscription","",IF(ISNUMBER(G265),G265,0)-IF(ISNUMBER(I265),I265,0)))</x:f>
      </x:c>
      <x:c r="V265" s="64" t="str">
        <x:f>IF(OR(P265="",O265="",NOT(ISNUMBER(P265)),NOT(ISNUMBER(O265)),O265&gt;P265),"",P265-O265)</x:f>
      </x:c>
      <x:c r="W265" s="67" t="str">
        <x:f>IF(OR(P265="",P265=0,V265=""),"",V265/P265)</x:f>
      </x:c>
    </x:row>
    <x:row r="266" ht="21" customHeight="1">
      <x:c r="A266" s="54"/>
      <x:c r="B266" s="56"/>
      <x:c r="C266" s="56"/>
      <x:c r="D266" s="54"/>
      <x:c r="E266" s="58"/>
      <x:c r="F266" s="58"/>
      <x:c r="G266" s="58"/>
      <x:c r="H266" s="58"/>
      <x:c r="I266" s="58"/>
      <x:c r="J266" s="60" t="str">
        <x:f>IF(A266="","",IF(K266="Subscription","",IF(E266=0,"",IF(ISNUMBER(G266),G266/E266,IF(ISNUMBER(I266),-ABS(I266)/E266,IF(ISNUMBER(H266),0,IF(AND(ISNUMBER(F266),ISNUMBER(E266),E266&gt;0,F266&gt;E266),(F266-E266)/E266,IF(AND(ISNUMBER(F266),ISNUMBER(E266),E266&gt;0,F266=E266),0,IF(AND(ISNUMBER(F266),ISNUMBER(E266),E266&gt;0,F266=0),-1,"")))))))))</x:f>
      </x:c>
      <x:c r="K266" s="50" t="str">
        <x:f>IF(A266="","",IF(AND(ISNUMBER(E266),E266=0,OR(ISNUMBER(SEARCH("Free",D266&amp;"")),AND(ISNUMBER(F266),F266=0))),"Subscription",IF(ISNUMBER(G266),"Profit",IF(ISNUMBER(I266),"Disqualified",IF(ISNUMBER(H266),"Draw",IF(AND(ISNUMBER(F266),ISNUMBER(E266),E266&gt;0,F266&gt;E266),"Profit",IF(AND(ISNUMBER(F266),ISNUMBER(E266),E266&gt;0,F266=E266),"Draw",IF(AND(ISNUMBER(F266),ISNUMBER(E266),E266&gt;0,F266=0),"Disqualified",""))))))))</x:f>
      </x:c>
      <x:c r="L266" s="50"/>
      <x:c r="M266" s="58"/>
      <x:c r="N266" s="58"/>
      <x:c r="O266" s="62"/>
      <x:c r="P266" s="62"/>
      <x:c r="Q266" s="64" t="str">
        <x:f>IF(OR(B266="",C266="",C266&lt;B266),"",ROUNDUP((C266-B266)/7,0))</x:f>
      </x:c>
      <x:c r="R266" s="50"/>
      <x:c r="S266" s="50"/>
      <x:c r="T266" s="54"/>
      <x:c r="U266" s="66" t="str">
        <x:f>IF(A266="","",IF(K266="Subscription","",IF(ISNUMBER(G266),G266,0)-IF(ISNUMBER(I266),I266,0)))</x:f>
      </x:c>
      <x:c r="V266" s="64" t="str">
        <x:f>IF(OR(P266="",O266="",NOT(ISNUMBER(P266)),NOT(ISNUMBER(O266)),O266&gt;P266),"",P266-O266)</x:f>
      </x:c>
      <x:c r="W266" s="67" t="str">
        <x:f>IF(OR(P266="",P266=0,V266=""),"",V266/P266)</x:f>
      </x:c>
    </x:row>
    <x:row r="267" ht="21" customHeight="1">
      <x:c r="A267" s="54"/>
      <x:c r="B267" s="56"/>
      <x:c r="C267" s="56"/>
      <x:c r="D267" s="54"/>
      <x:c r="E267" s="58"/>
      <x:c r="F267" s="58"/>
      <x:c r="G267" s="58"/>
      <x:c r="H267" s="58"/>
      <x:c r="I267" s="58"/>
      <x:c r="J267" s="60" t="str">
        <x:f>IF(A267="","",IF(K267="Subscription","",IF(E267=0,"",IF(ISNUMBER(G267),G267/E267,IF(ISNUMBER(I267),-ABS(I267)/E267,IF(ISNUMBER(H267),0,IF(AND(ISNUMBER(F267),ISNUMBER(E267),E267&gt;0,F267&gt;E267),(F267-E267)/E267,IF(AND(ISNUMBER(F267),ISNUMBER(E267),E267&gt;0,F267=E267),0,IF(AND(ISNUMBER(F267),ISNUMBER(E267),E267&gt;0,F267=0),-1,"")))))))))</x:f>
      </x:c>
      <x:c r="K267" s="50" t="str">
        <x:f>IF(A267="","",IF(AND(ISNUMBER(E267),E267=0,OR(ISNUMBER(SEARCH("Free",D267&amp;"")),AND(ISNUMBER(F267),F267=0))),"Subscription",IF(ISNUMBER(G267),"Profit",IF(ISNUMBER(I267),"Disqualified",IF(ISNUMBER(H267),"Draw",IF(AND(ISNUMBER(F267),ISNUMBER(E267),E267&gt;0,F267&gt;E267),"Profit",IF(AND(ISNUMBER(F267),ISNUMBER(E267),E267&gt;0,F267=E267),"Draw",IF(AND(ISNUMBER(F267),ISNUMBER(E267),E267&gt;0,F267=0),"Disqualified",""))))))))</x:f>
      </x:c>
      <x:c r="L267" s="50"/>
      <x:c r="M267" s="58"/>
      <x:c r="N267" s="58"/>
      <x:c r="O267" s="62"/>
      <x:c r="P267" s="62"/>
      <x:c r="Q267" s="64" t="str">
        <x:f>IF(OR(B267="",C267="",C267&lt;B267),"",ROUNDUP((C267-B267)/7,0))</x:f>
      </x:c>
      <x:c r="R267" s="50"/>
      <x:c r="S267" s="50"/>
      <x:c r="T267" s="54"/>
      <x:c r="U267" s="66" t="str">
        <x:f>IF(A267="","",IF(K267="Subscription","",IF(ISNUMBER(G267),G267,0)-IF(ISNUMBER(I267),I267,0)))</x:f>
      </x:c>
      <x:c r="V267" s="64" t="str">
        <x:f>IF(OR(P267="",O267="",NOT(ISNUMBER(P267)),NOT(ISNUMBER(O267)),O267&gt;P267),"",P267-O267)</x:f>
      </x:c>
      <x:c r="W267" s="67" t="str">
        <x:f>IF(OR(P267="",P267=0,V267=""),"",V267/P267)</x:f>
      </x:c>
    </x:row>
    <x:row r="268" ht="21" customHeight="1">
      <x:c r="A268" s="54"/>
      <x:c r="B268" s="56"/>
      <x:c r="C268" s="56"/>
      <x:c r="D268" s="54"/>
      <x:c r="E268" s="58"/>
      <x:c r="F268" s="58"/>
      <x:c r="G268" s="58"/>
      <x:c r="H268" s="58"/>
      <x:c r="I268" s="58"/>
      <x:c r="J268" s="60" t="str">
        <x:f>IF(A268="","",IF(K268="Subscription","",IF(E268=0,"",IF(ISNUMBER(G268),G268/E268,IF(ISNUMBER(I268),-ABS(I268)/E268,IF(ISNUMBER(H268),0,IF(AND(ISNUMBER(F268),ISNUMBER(E268),E268&gt;0,F268&gt;E268),(F268-E268)/E268,IF(AND(ISNUMBER(F268),ISNUMBER(E268),E268&gt;0,F268=E268),0,IF(AND(ISNUMBER(F268),ISNUMBER(E268),E268&gt;0,F268=0),-1,"")))))))))</x:f>
      </x:c>
      <x:c r="K268" s="50" t="str">
        <x:f>IF(A268="","",IF(AND(ISNUMBER(E268),E268=0,OR(ISNUMBER(SEARCH("Free",D268&amp;"")),AND(ISNUMBER(F268),F268=0))),"Subscription",IF(ISNUMBER(G268),"Profit",IF(ISNUMBER(I268),"Disqualified",IF(ISNUMBER(H268),"Draw",IF(AND(ISNUMBER(F268),ISNUMBER(E268),E268&gt;0,F268&gt;E268),"Profit",IF(AND(ISNUMBER(F268),ISNUMBER(E268),E268&gt;0,F268=E268),"Draw",IF(AND(ISNUMBER(F268),ISNUMBER(E268),E268&gt;0,F268=0),"Disqualified",""))))))))</x:f>
      </x:c>
      <x:c r="L268" s="50"/>
      <x:c r="M268" s="58"/>
      <x:c r="N268" s="58"/>
      <x:c r="O268" s="62"/>
      <x:c r="P268" s="62"/>
      <x:c r="Q268" s="64" t="str">
        <x:f>IF(OR(B268="",C268="",C268&lt;B268),"",ROUNDUP((C268-B268)/7,0))</x:f>
      </x:c>
      <x:c r="R268" s="50"/>
      <x:c r="S268" s="50"/>
      <x:c r="T268" s="54"/>
      <x:c r="U268" s="66" t="str">
        <x:f>IF(A268="","",IF(K268="Subscription","",IF(ISNUMBER(G268),G268,0)-IF(ISNUMBER(I268),I268,0)))</x:f>
      </x:c>
      <x:c r="V268" s="64" t="str">
        <x:f>IF(OR(P268="",O268="",NOT(ISNUMBER(P268)),NOT(ISNUMBER(O268)),O268&gt;P268),"",P268-O268)</x:f>
      </x:c>
      <x:c r="W268" s="67" t="str">
        <x:f>IF(OR(P268="",P268=0,V268=""),"",V268/P268)</x:f>
      </x:c>
    </x:row>
    <x:row r="269" ht="21" customHeight="1">
      <x:c r="A269" s="54"/>
      <x:c r="B269" s="56"/>
      <x:c r="C269" s="56"/>
      <x:c r="D269" s="54"/>
      <x:c r="E269" s="58"/>
      <x:c r="F269" s="58"/>
      <x:c r="G269" s="58"/>
      <x:c r="H269" s="58"/>
      <x:c r="I269" s="58"/>
      <x:c r="J269" s="60" t="str">
        <x:f>IF(A269="","",IF(K269="Subscription","",IF(E269=0,"",IF(ISNUMBER(G269),G269/E269,IF(ISNUMBER(I269),-ABS(I269)/E269,IF(ISNUMBER(H269),0,IF(AND(ISNUMBER(F269),ISNUMBER(E269),E269&gt;0,F269&gt;E269),(F269-E269)/E269,IF(AND(ISNUMBER(F269),ISNUMBER(E269),E269&gt;0,F269=E269),0,IF(AND(ISNUMBER(F269),ISNUMBER(E269),E269&gt;0,F269=0),-1,"")))))))))</x:f>
      </x:c>
      <x:c r="K269" s="50" t="str">
        <x:f>IF(A269="","",IF(AND(ISNUMBER(E269),E269=0,OR(ISNUMBER(SEARCH("Free",D269&amp;"")),AND(ISNUMBER(F269),F269=0))),"Subscription",IF(ISNUMBER(G269),"Profit",IF(ISNUMBER(I269),"Disqualified",IF(ISNUMBER(H269),"Draw",IF(AND(ISNUMBER(F269),ISNUMBER(E269),E269&gt;0,F269&gt;E269),"Profit",IF(AND(ISNUMBER(F269),ISNUMBER(E269),E269&gt;0,F269=E269),"Draw",IF(AND(ISNUMBER(F269),ISNUMBER(E269),E269&gt;0,F269=0),"Disqualified",""))))))))</x:f>
      </x:c>
      <x:c r="L269" s="50"/>
      <x:c r="M269" s="58"/>
      <x:c r="N269" s="58"/>
      <x:c r="O269" s="62"/>
      <x:c r="P269" s="62"/>
      <x:c r="Q269" s="64" t="str">
        <x:f>IF(OR(B269="",C269="",C269&lt;B269),"",ROUNDUP((C269-B269)/7,0))</x:f>
      </x:c>
      <x:c r="R269" s="50"/>
      <x:c r="S269" s="50"/>
      <x:c r="T269" s="54"/>
      <x:c r="U269" s="66" t="str">
        <x:f>IF(A269="","",IF(K269="Subscription","",IF(ISNUMBER(G269),G269,0)-IF(ISNUMBER(I269),I269,0)))</x:f>
      </x:c>
      <x:c r="V269" s="64" t="str">
        <x:f>IF(OR(P269="",O269="",NOT(ISNUMBER(P269)),NOT(ISNUMBER(O269)),O269&gt;P269),"",P269-O269)</x:f>
      </x:c>
      <x:c r="W269" s="67" t="str">
        <x:f>IF(OR(P269="",P269=0,V269=""),"",V269/P269)</x:f>
      </x:c>
    </x:row>
    <x:row r="270" ht="21" customHeight="1">
      <x:c r="A270" s="54"/>
      <x:c r="B270" s="56"/>
      <x:c r="C270" s="56"/>
      <x:c r="D270" s="54"/>
      <x:c r="E270" s="58"/>
      <x:c r="F270" s="58"/>
      <x:c r="G270" s="58"/>
      <x:c r="H270" s="58"/>
      <x:c r="I270" s="58"/>
      <x:c r="J270" s="60" t="str">
        <x:f>IF(A270="","",IF(K270="Subscription","",IF(E270=0,"",IF(ISNUMBER(G270),G270/E270,IF(ISNUMBER(I270),-ABS(I270)/E270,IF(ISNUMBER(H270),0,IF(AND(ISNUMBER(F270),ISNUMBER(E270),E270&gt;0,F270&gt;E270),(F270-E270)/E270,IF(AND(ISNUMBER(F270),ISNUMBER(E270),E270&gt;0,F270=E270),0,IF(AND(ISNUMBER(F270),ISNUMBER(E270),E270&gt;0,F270=0),-1,"")))))))))</x:f>
      </x:c>
      <x:c r="K270" s="50" t="str">
        <x:f>IF(A270="","",IF(AND(ISNUMBER(E270),E270=0,OR(ISNUMBER(SEARCH("Free",D270&amp;"")),AND(ISNUMBER(F270),F270=0))),"Subscription",IF(ISNUMBER(G270),"Profit",IF(ISNUMBER(I270),"Disqualified",IF(ISNUMBER(H270),"Draw",IF(AND(ISNUMBER(F270),ISNUMBER(E270),E270&gt;0,F270&gt;E270),"Profit",IF(AND(ISNUMBER(F270),ISNUMBER(E270),E270&gt;0,F270=E270),"Draw",IF(AND(ISNUMBER(F270),ISNUMBER(E270),E270&gt;0,F270=0),"Disqualified",""))))))))</x:f>
      </x:c>
      <x:c r="L270" s="50"/>
      <x:c r="M270" s="58"/>
      <x:c r="N270" s="58"/>
      <x:c r="O270" s="62"/>
      <x:c r="P270" s="62"/>
      <x:c r="Q270" s="64" t="str">
        <x:f>IF(OR(B270="",C270="",C270&lt;B270),"",ROUNDUP((C270-B270)/7,0))</x:f>
      </x:c>
      <x:c r="R270" s="50"/>
      <x:c r="S270" s="50"/>
      <x:c r="T270" s="54"/>
      <x:c r="U270" s="66" t="str">
        <x:f>IF(A270="","",IF(K270="Subscription","",IF(ISNUMBER(G270),G270,0)-IF(ISNUMBER(I270),I270,0)))</x:f>
      </x:c>
      <x:c r="V270" s="64" t="str">
        <x:f>IF(OR(P270="",O270="",NOT(ISNUMBER(P270)),NOT(ISNUMBER(O270)),O270&gt;P270),"",P270-O270)</x:f>
      </x:c>
      <x:c r="W270" s="67" t="str">
        <x:f>IF(OR(P270="",P270=0,V270=""),"",V270/P270)</x:f>
      </x:c>
    </x:row>
    <x:row r="271" ht="21" customHeight="1">
      <x:c r="A271" s="54"/>
      <x:c r="B271" s="56"/>
      <x:c r="C271" s="56"/>
      <x:c r="D271" s="54"/>
      <x:c r="E271" s="58"/>
      <x:c r="F271" s="58"/>
      <x:c r="G271" s="58"/>
      <x:c r="H271" s="58"/>
      <x:c r="I271" s="58"/>
      <x:c r="J271" s="60" t="str">
        <x:f>IF(A271="","",IF(K271="Subscription","",IF(E271=0,"",IF(ISNUMBER(G271),G271/E271,IF(ISNUMBER(I271),-ABS(I271)/E271,IF(ISNUMBER(H271),0,IF(AND(ISNUMBER(F271),ISNUMBER(E271),E271&gt;0,F271&gt;E271),(F271-E271)/E271,IF(AND(ISNUMBER(F271),ISNUMBER(E271),E271&gt;0,F271=E271),0,IF(AND(ISNUMBER(F271),ISNUMBER(E271),E271&gt;0,F271=0),-1,"")))))))))</x:f>
      </x:c>
      <x:c r="K271" s="50" t="str">
        <x:f>IF(A271="","",IF(AND(ISNUMBER(E271),E271=0,OR(ISNUMBER(SEARCH("Free",D271&amp;"")),AND(ISNUMBER(F271),F271=0))),"Subscription",IF(ISNUMBER(G271),"Profit",IF(ISNUMBER(I271),"Disqualified",IF(ISNUMBER(H271),"Draw",IF(AND(ISNUMBER(F271),ISNUMBER(E271),E271&gt;0,F271&gt;E271),"Profit",IF(AND(ISNUMBER(F271),ISNUMBER(E271),E271&gt;0,F271=E271),"Draw",IF(AND(ISNUMBER(F271),ISNUMBER(E271),E271&gt;0,F271=0),"Disqualified",""))))))))</x:f>
      </x:c>
      <x:c r="L271" s="50"/>
      <x:c r="M271" s="58"/>
      <x:c r="N271" s="58"/>
      <x:c r="O271" s="62"/>
      <x:c r="P271" s="62"/>
      <x:c r="Q271" s="64" t="str">
        <x:f>IF(OR(B271="",C271="",C271&lt;B271),"",ROUNDUP((C271-B271)/7,0))</x:f>
      </x:c>
      <x:c r="R271" s="50"/>
      <x:c r="S271" s="50"/>
      <x:c r="T271" s="54"/>
      <x:c r="U271" s="66" t="str">
        <x:f>IF(A271="","",IF(K271="Subscription","",IF(ISNUMBER(G271),G271,0)-IF(ISNUMBER(I271),I271,0)))</x:f>
      </x:c>
      <x:c r="V271" s="64" t="str">
        <x:f>IF(OR(P271="",O271="",NOT(ISNUMBER(P271)),NOT(ISNUMBER(O271)),O271&gt;P271),"",P271-O271)</x:f>
      </x:c>
      <x:c r="W271" s="67" t="str">
        <x:f>IF(OR(P271="",P271=0,V271=""),"",V271/P271)</x:f>
      </x:c>
    </x:row>
    <x:row r="272" ht="21" customHeight="1">
      <x:c r="A272" s="54"/>
      <x:c r="B272" s="56"/>
      <x:c r="C272" s="56"/>
      <x:c r="D272" s="54"/>
      <x:c r="E272" s="58"/>
      <x:c r="F272" s="58"/>
      <x:c r="G272" s="58"/>
      <x:c r="H272" s="58"/>
      <x:c r="I272" s="58"/>
      <x:c r="J272" s="60" t="str">
        <x:f>IF(A272="","",IF(K272="Subscription","",IF(E272=0,"",IF(ISNUMBER(G272),G272/E272,IF(ISNUMBER(I272),-ABS(I272)/E272,IF(ISNUMBER(H272),0,IF(AND(ISNUMBER(F272),ISNUMBER(E272),E272&gt;0,F272&gt;E272),(F272-E272)/E272,IF(AND(ISNUMBER(F272),ISNUMBER(E272),E272&gt;0,F272=E272),0,IF(AND(ISNUMBER(F272),ISNUMBER(E272),E272&gt;0,F272=0),-1,"")))))))))</x:f>
      </x:c>
      <x:c r="K272" s="50" t="str">
        <x:f>IF(A272="","",IF(AND(ISNUMBER(E272),E272=0,OR(ISNUMBER(SEARCH("Free",D272&amp;"")),AND(ISNUMBER(F272),F272=0))),"Subscription",IF(ISNUMBER(G272),"Profit",IF(ISNUMBER(I272),"Disqualified",IF(ISNUMBER(H272),"Draw",IF(AND(ISNUMBER(F272),ISNUMBER(E272),E272&gt;0,F272&gt;E272),"Profit",IF(AND(ISNUMBER(F272),ISNUMBER(E272),E272&gt;0,F272=E272),"Draw",IF(AND(ISNUMBER(F272),ISNUMBER(E272),E272&gt;0,F272=0),"Disqualified",""))))))))</x:f>
      </x:c>
      <x:c r="L272" s="50"/>
      <x:c r="M272" s="58"/>
      <x:c r="N272" s="58"/>
      <x:c r="O272" s="62"/>
      <x:c r="P272" s="62"/>
      <x:c r="Q272" s="64" t="str">
        <x:f>IF(OR(B272="",C272="",C272&lt;B272),"",ROUNDUP((C272-B272)/7,0))</x:f>
      </x:c>
      <x:c r="R272" s="50"/>
      <x:c r="S272" s="50"/>
      <x:c r="T272" s="54"/>
      <x:c r="U272" s="66" t="str">
        <x:f>IF(A272="","",IF(K272="Subscription","",IF(ISNUMBER(G272),G272,0)-IF(ISNUMBER(I272),I272,0)))</x:f>
      </x:c>
      <x:c r="V272" s="64" t="str">
        <x:f>IF(OR(P272="",O272="",NOT(ISNUMBER(P272)),NOT(ISNUMBER(O272)),O272&gt;P272),"",P272-O272)</x:f>
      </x:c>
      <x:c r="W272" s="67" t="str">
        <x:f>IF(OR(P272="",P272=0,V272=""),"",V272/P272)</x:f>
      </x:c>
    </x:row>
    <x:row r="273" ht="21" customHeight="1">
      <x:c r="A273" s="54"/>
      <x:c r="B273" s="56"/>
      <x:c r="C273" s="56"/>
      <x:c r="D273" s="54"/>
      <x:c r="E273" s="58"/>
      <x:c r="F273" s="58"/>
      <x:c r="G273" s="58"/>
      <x:c r="H273" s="58"/>
      <x:c r="I273" s="58"/>
      <x:c r="J273" s="60" t="str">
        <x:f>IF(A273="","",IF(K273="Subscription","",IF(E273=0,"",IF(ISNUMBER(G273),G273/E273,IF(ISNUMBER(I273),-ABS(I273)/E273,IF(ISNUMBER(H273),0,IF(AND(ISNUMBER(F273),ISNUMBER(E273),E273&gt;0,F273&gt;E273),(F273-E273)/E273,IF(AND(ISNUMBER(F273),ISNUMBER(E273),E273&gt;0,F273=E273),0,IF(AND(ISNUMBER(F273),ISNUMBER(E273),E273&gt;0,F273=0),-1,"")))))))))</x:f>
      </x:c>
      <x:c r="K273" s="50" t="str">
        <x:f>IF(A273="","",IF(AND(ISNUMBER(E273),E273=0,OR(ISNUMBER(SEARCH("Free",D273&amp;"")),AND(ISNUMBER(F273),F273=0))),"Subscription",IF(ISNUMBER(G273),"Profit",IF(ISNUMBER(I273),"Disqualified",IF(ISNUMBER(H273),"Draw",IF(AND(ISNUMBER(F273),ISNUMBER(E273),E273&gt;0,F273&gt;E273),"Profit",IF(AND(ISNUMBER(F273),ISNUMBER(E273),E273&gt;0,F273=E273),"Draw",IF(AND(ISNUMBER(F273),ISNUMBER(E273),E273&gt;0,F273=0),"Disqualified",""))))))))</x:f>
      </x:c>
      <x:c r="L273" s="50"/>
      <x:c r="M273" s="58"/>
      <x:c r="N273" s="58"/>
      <x:c r="O273" s="62"/>
      <x:c r="P273" s="62"/>
      <x:c r="Q273" s="64" t="str">
        <x:f>IF(OR(B273="",C273="",C273&lt;B273),"",ROUNDUP((C273-B273)/7,0))</x:f>
      </x:c>
      <x:c r="R273" s="50"/>
      <x:c r="S273" s="50"/>
      <x:c r="T273" s="54"/>
      <x:c r="U273" s="66" t="str">
        <x:f>IF(A273="","",IF(K273="Subscription","",IF(ISNUMBER(G273),G273,0)-IF(ISNUMBER(I273),I273,0)))</x:f>
      </x:c>
      <x:c r="V273" s="64" t="str">
        <x:f>IF(OR(P273="",O273="",NOT(ISNUMBER(P273)),NOT(ISNUMBER(O273)),O273&gt;P273),"",P273-O273)</x:f>
      </x:c>
      <x:c r="W273" s="67" t="str">
        <x:f>IF(OR(P273="",P273=0,V273=""),"",V273/P273)</x:f>
      </x:c>
    </x:row>
    <x:row r="274" ht="21" customHeight="1">
      <x:c r="A274" s="54"/>
      <x:c r="B274" s="56"/>
      <x:c r="C274" s="56"/>
      <x:c r="D274" s="54"/>
      <x:c r="E274" s="58"/>
      <x:c r="F274" s="58"/>
      <x:c r="G274" s="58"/>
      <x:c r="H274" s="58"/>
      <x:c r="I274" s="58"/>
      <x:c r="J274" s="60" t="str">
        <x:f>IF(A274="","",IF(K274="Subscription","",IF(E274=0,"",IF(ISNUMBER(G274),G274/E274,IF(ISNUMBER(I274),-ABS(I274)/E274,IF(ISNUMBER(H274),0,IF(AND(ISNUMBER(F274),ISNUMBER(E274),E274&gt;0,F274&gt;E274),(F274-E274)/E274,IF(AND(ISNUMBER(F274),ISNUMBER(E274),E274&gt;0,F274=E274),0,IF(AND(ISNUMBER(F274),ISNUMBER(E274),E274&gt;0,F274=0),-1,"")))))))))</x:f>
      </x:c>
      <x:c r="K274" s="50" t="str">
        <x:f>IF(A274="","",IF(AND(ISNUMBER(E274),E274=0,OR(ISNUMBER(SEARCH("Free",D274&amp;"")),AND(ISNUMBER(F274),F274=0))),"Subscription",IF(ISNUMBER(G274),"Profit",IF(ISNUMBER(I274),"Disqualified",IF(ISNUMBER(H274),"Draw",IF(AND(ISNUMBER(F274),ISNUMBER(E274),E274&gt;0,F274&gt;E274),"Profit",IF(AND(ISNUMBER(F274),ISNUMBER(E274),E274&gt;0,F274=E274),"Draw",IF(AND(ISNUMBER(F274),ISNUMBER(E274),E274&gt;0,F274=0),"Disqualified",""))))))))</x:f>
      </x:c>
      <x:c r="L274" s="50"/>
      <x:c r="M274" s="58"/>
      <x:c r="N274" s="58"/>
      <x:c r="O274" s="62"/>
      <x:c r="P274" s="62"/>
      <x:c r="Q274" s="64" t="str">
        <x:f>IF(OR(B274="",C274="",C274&lt;B274),"",ROUNDUP((C274-B274)/7,0))</x:f>
      </x:c>
      <x:c r="R274" s="50"/>
      <x:c r="S274" s="50"/>
      <x:c r="T274" s="54"/>
      <x:c r="U274" s="66" t="str">
        <x:f>IF(A274="","",IF(K274="Subscription","",IF(ISNUMBER(G274),G274,0)-IF(ISNUMBER(I274),I274,0)))</x:f>
      </x:c>
      <x:c r="V274" s="64" t="str">
        <x:f>IF(OR(P274="",O274="",NOT(ISNUMBER(P274)),NOT(ISNUMBER(O274)),O274&gt;P274),"",P274-O274)</x:f>
      </x:c>
      <x:c r="W274" s="67" t="str">
        <x:f>IF(OR(P274="",P274=0,V274=""),"",V274/P274)</x:f>
      </x:c>
    </x:row>
    <x:row r="275" ht="21" customHeight="1">
      <x:c r="A275" s="54"/>
      <x:c r="B275" s="56"/>
      <x:c r="C275" s="56"/>
      <x:c r="D275" s="54"/>
      <x:c r="E275" s="58"/>
      <x:c r="F275" s="58"/>
      <x:c r="G275" s="58"/>
      <x:c r="H275" s="58"/>
      <x:c r="I275" s="58"/>
      <x:c r="J275" s="60" t="str">
        <x:f>IF(A275="","",IF(K275="Subscription","",IF(E275=0,"",IF(ISNUMBER(G275),G275/E275,IF(ISNUMBER(I275),-ABS(I275)/E275,IF(ISNUMBER(H275),0,IF(AND(ISNUMBER(F275),ISNUMBER(E275),E275&gt;0,F275&gt;E275),(F275-E275)/E275,IF(AND(ISNUMBER(F275),ISNUMBER(E275),E275&gt;0,F275=E275),0,IF(AND(ISNUMBER(F275),ISNUMBER(E275),E275&gt;0,F275=0),-1,"")))))))))</x:f>
      </x:c>
      <x:c r="K275" s="50" t="str">
        <x:f>IF(A275="","",IF(AND(ISNUMBER(E275),E275=0,OR(ISNUMBER(SEARCH("Free",D275&amp;"")),AND(ISNUMBER(F275),F275=0))),"Subscription",IF(ISNUMBER(G275),"Profit",IF(ISNUMBER(I275),"Disqualified",IF(ISNUMBER(H275),"Draw",IF(AND(ISNUMBER(F275),ISNUMBER(E275),E275&gt;0,F275&gt;E275),"Profit",IF(AND(ISNUMBER(F275),ISNUMBER(E275),E275&gt;0,F275=E275),"Draw",IF(AND(ISNUMBER(F275),ISNUMBER(E275),E275&gt;0,F275=0),"Disqualified",""))))))))</x:f>
      </x:c>
      <x:c r="L275" s="50"/>
      <x:c r="M275" s="58"/>
      <x:c r="N275" s="58"/>
      <x:c r="O275" s="62"/>
      <x:c r="P275" s="62"/>
      <x:c r="Q275" s="64" t="str">
        <x:f>IF(OR(B275="",C275="",C275&lt;B275),"",ROUNDUP((C275-B275)/7,0))</x:f>
      </x:c>
      <x:c r="R275" s="50"/>
      <x:c r="S275" s="50"/>
      <x:c r="T275" s="54"/>
      <x:c r="U275" s="66" t="str">
        <x:f>IF(A275="","",IF(K275="Subscription","",IF(ISNUMBER(G275),G275,0)-IF(ISNUMBER(I275),I275,0)))</x:f>
      </x:c>
      <x:c r="V275" s="64" t="str">
        <x:f>IF(OR(P275="",O275="",NOT(ISNUMBER(P275)),NOT(ISNUMBER(O275)),O275&gt;P275),"",P275-O275)</x:f>
      </x:c>
      <x:c r="W275" s="67" t="str">
        <x:f>IF(OR(P275="",P275=0,V275=""),"",V275/P275)</x:f>
      </x:c>
    </x:row>
    <x:row r="276" ht="21" customHeight="1">
      <x:c r="A276" s="54"/>
      <x:c r="B276" s="56"/>
      <x:c r="C276" s="56"/>
      <x:c r="D276" s="54"/>
      <x:c r="E276" s="58"/>
      <x:c r="F276" s="58"/>
      <x:c r="G276" s="58"/>
      <x:c r="H276" s="58"/>
      <x:c r="I276" s="58"/>
      <x:c r="J276" s="60" t="str">
        <x:f>IF(A276="","",IF(K276="Subscription","",IF(E276=0,"",IF(ISNUMBER(G276),G276/E276,IF(ISNUMBER(I276),-ABS(I276)/E276,IF(ISNUMBER(H276),0,IF(AND(ISNUMBER(F276),ISNUMBER(E276),E276&gt;0,F276&gt;E276),(F276-E276)/E276,IF(AND(ISNUMBER(F276),ISNUMBER(E276),E276&gt;0,F276=E276),0,IF(AND(ISNUMBER(F276),ISNUMBER(E276),E276&gt;0,F276=0),-1,"")))))))))</x:f>
      </x:c>
      <x:c r="K276" s="50" t="str">
        <x:f>IF(A276="","",IF(AND(ISNUMBER(E276),E276=0,OR(ISNUMBER(SEARCH("Free",D276&amp;"")),AND(ISNUMBER(F276),F276=0))),"Subscription",IF(ISNUMBER(G276),"Profit",IF(ISNUMBER(I276),"Disqualified",IF(ISNUMBER(H276),"Draw",IF(AND(ISNUMBER(F276),ISNUMBER(E276),E276&gt;0,F276&gt;E276),"Profit",IF(AND(ISNUMBER(F276),ISNUMBER(E276),E276&gt;0,F276=E276),"Draw",IF(AND(ISNUMBER(F276),ISNUMBER(E276),E276&gt;0,F276=0),"Disqualified",""))))))))</x:f>
      </x:c>
      <x:c r="L276" s="50"/>
      <x:c r="M276" s="58"/>
      <x:c r="N276" s="58"/>
      <x:c r="O276" s="62"/>
      <x:c r="P276" s="62"/>
      <x:c r="Q276" s="64" t="str">
        <x:f>IF(OR(B276="",C276="",C276&lt;B276),"",ROUNDUP((C276-B276)/7,0))</x:f>
      </x:c>
      <x:c r="R276" s="50"/>
      <x:c r="S276" s="50"/>
      <x:c r="T276" s="54"/>
      <x:c r="U276" s="66" t="str">
        <x:f>IF(A276="","",IF(K276="Subscription","",IF(ISNUMBER(G276),G276,0)-IF(ISNUMBER(I276),I276,0)))</x:f>
      </x:c>
      <x:c r="V276" s="64" t="str">
        <x:f>IF(OR(P276="",O276="",NOT(ISNUMBER(P276)),NOT(ISNUMBER(O276)),O276&gt;P276),"",P276-O276)</x:f>
      </x:c>
      <x:c r="W276" s="67" t="str">
        <x:f>IF(OR(P276="",P276=0,V276=""),"",V276/P276)</x:f>
      </x:c>
    </x:row>
    <x:row r="277" ht="21" customHeight="1">
      <x:c r="A277" s="54"/>
      <x:c r="B277" s="56"/>
      <x:c r="C277" s="56"/>
      <x:c r="D277" s="54"/>
      <x:c r="E277" s="58"/>
      <x:c r="F277" s="58"/>
      <x:c r="G277" s="58"/>
      <x:c r="H277" s="58"/>
      <x:c r="I277" s="58"/>
      <x:c r="J277" s="60" t="str">
        <x:f>IF(A277="","",IF(K277="Subscription","",IF(E277=0,"",IF(ISNUMBER(G277),G277/E277,IF(ISNUMBER(I277),-ABS(I277)/E277,IF(ISNUMBER(H277),0,IF(AND(ISNUMBER(F277),ISNUMBER(E277),E277&gt;0,F277&gt;E277),(F277-E277)/E277,IF(AND(ISNUMBER(F277),ISNUMBER(E277),E277&gt;0,F277=E277),0,IF(AND(ISNUMBER(F277),ISNUMBER(E277),E277&gt;0,F277=0),-1,"")))))))))</x:f>
      </x:c>
      <x:c r="K277" s="50" t="str">
        <x:f>IF(A277="","",IF(AND(ISNUMBER(E277),E277=0,OR(ISNUMBER(SEARCH("Free",D277&amp;"")),AND(ISNUMBER(F277),F277=0))),"Subscription",IF(ISNUMBER(G277),"Profit",IF(ISNUMBER(I277),"Disqualified",IF(ISNUMBER(H277),"Draw",IF(AND(ISNUMBER(F277),ISNUMBER(E277),E277&gt;0,F277&gt;E277),"Profit",IF(AND(ISNUMBER(F277),ISNUMBER(E277),E277&gt;0,F277=E277),"Draw",IF(AND(ISNUMBER(F277),ISNUMBER(E277),E277&gt;0,F277=0),"Disqualified",""))))))))</x:f>
      </x:c>
      <x:c r="L277" s="50"/>
      <x:c r="M277" s="58"/>
      <x:c r="N277" s="58"/>
      <x:c r="O277" s="62"/>
      <x:c r="P277" s="62"/>
      <x:c r="Q277" s="64" t="str">
        <x:f>IF(OR(B277="",C277="",C277&lt;B277),"",ROUNDUP((C277-B277)/7,0))</x:f>
      </x:c>
      <x:c r="R277" s="50"/>
      <x:c r="S277" s="50"/>
      <x:c r="T277" s="54"/>
      <x:c r="U277" s="66" t="str">
        <x:f>IF(A277="","",IF(K277="Subscription","",IF(ISNUMBER(G277),G277,0)-IF(ISNUMBER(I277),I277,0)))</x:f>
      </x:c>
      <x:c r="V277" s="64" t="str">
        <x:f>IF(OR(P277="",O277="",NOT(ISNUMBER(P277)),NOT(ISNUMBER(O277)),O277&gt;P277),"",P277-O277)</x:f>
      </x:c>
      <x:c r="W277" s="67" t="str">
        <x:f>IF(OR(P277="",P277=0,V277=""),"",V277/P277)</x:f>
      </x:c>
    </x:row>
    <x:row r="278" ht="21" customHeight="1">
      <x:c r="A278" s="54"/>
      <x:c r="B278" s="56"/>
      <x:c r="C278" s="56"/>
      <x:c r="D278" s="54"/>
      <x:c r="E278" s="58"/>
      <x:c r="F278" s="58"/>
      <x:c r="G278" s="58"/>
      <x:c r="H278" s="58"/>
      <x:c r="I278" s="58"/>
      <x:c r="J278" s="60" t="str">
        <x:f>IF(A278="","",IF(K278="Subscription","",IF(E278=0,"",IF(ISNUMBER(G278),G278/E278,IF(ISNUMBER(I278),-ABS(I278)/E278,IF(ISNUMBER(H278),0,IF(AND(ISNUMBER(F278),ISNUMBER(E278),E278&gt;0,F278&gt;E278),(F278-E278)/E278,IF(AND(ISNUMBER(F278),ISNUMBER(E278),E278&gt;0,F278=E278),0,IF(AND(ISNUMBER(F278),ISNUMBER(E278),E278&gt;0,F278=0),-1,"")))))))))</x:f>
      </x:c>
      <x:c r="K278" s="50" t="str">
        <x:f>IF(A278="","",IF(AND(ISNUMBER(E278),E278=0,OR(ISNUMBER(SEARCH("Free",D278&amp;"")),AND(ISNUMBER(F278),F278=0))),"Subscription",IF(ISNUMBER(G278),"Profit",IF(ISNUMBER(I278),"Disqualified",IF(ISNUMBER(H278),"Draw",IF(AND(ISNUMBER(F278),ISNUMBER(E278),E278&gt;0,F278&gt;E278),"Profit",IF(AND(ISNUMBER(F278),ISNUMBER(E278),E278&gt;0,F278=E278),"Draw",IF(AND(ISNUMBER(F278),ISNUMBER(E278),E278&gt;0,F278=0),"Disqualified",""))))))))</x:f>
      </x:c>
      <x:c r="L278" s="50"/>
      <x:c r="M278" s="58"/>
      <x:c r="N278" s="58"/>
      <x:c r="O278" s="62"/>
      <x:c r="P278" s="62"/>
      <x:c r="Q278" s="64" t="str">
        <x:f>IF(OR(B278="",C278="",C278&lt;B278),"",ROUNDUP((C278-B278)/7,0))</x:f>
      </x:c>
      <x:c r="R278" s="50"/>
      <x:c r="S278" s="50"/>
      <x:c r="T278" s="54"/>
      <x:c r="U278" s="66" t="str">
        <x:f>IF(A278="","",IF(K278="Subscription","",IF(ISNUMBER(G278),G278,0)-IF(ISNUMBER(I278),I278,0)))</x:f>
      </x:c>
      <x:c r="V278" s="64" t="str">
        <x:f>IF(OR(P278="",O278="",NOT(ISNUMBER(P278)),NOT(ISNUMBER(O278)),O278&gt;P278),"",P278-O278)</x:f>
      </x:c>
      <x:c r="W278" s="67" t="str">
        <x:f>IF(OR(P278="",P278=0,V278=""),"",V278/P278)</x:f>
      </x:c>
    </x:row>
    <x:row r="279" ht="21" customHeight="1">
      <x:c r="A279" s="54"/>
      <x:c r="B279" s="56"/>
      <x:c r="C279" s="56"/>
      <x:c r="D279" s="54"/>
      <x:c r="E279" s="58"/>
      <x:c r="F279" s="58"/>
      <x:c r="G279" s="58"/>
      <x:c r="H279" s="58"/>
      <x:c r="I279" s="58"/>
      <x:c r="J279" s="60" t="str">
        <x:f>IF(A279="","",IF(K279="Subscription","",IF(E279=0,"",IF(ISNUMBER(G279),G279/E279,IF(ISNUMBER(I279),-ABS(I279)/E279,IF(ISNUMBER(H279),0,IF(AND(ISNUMBER(F279),ISNUMBER(E279),E279&gt;0,F279&gt;E279),(F279-E279)/E279,IF(AND(ISNUMBER(F279),ISNUMBER(E279),E279&gt;0,F279=E279),0,IF(AND(ISNUMBER(F279),ISNUMBER(E279),E279&gt;0,F279=0),-1,"")))))))))</x:f>
      </x:c>
      <x:c r="K279" s="50" t="str">
        <x:f>IF(A279="","",IF(AND(ISNUMBER(E279),E279=0,OR(ISNUMBER(SEARCH("Free",D279&amp;"")),AND(ISNUMBER(F279),F279=0))),"Subscription",IF(ISNUMBER(G279),"Profit",IF(ISNUMBER(I279),"Disqualified",IF(ISNUMBER(H279),"Draw",IF(AND(ISNUMBER(F279),ISNUMBER(E279),E279&gt;0,F279&gt;E279),"Profit",IF(AND(ISNUMBER(F279),ISNUMBER(E279),E279&gt;0,F279=E279),"Draw",IF(AND(ISNUMBER(F279),ISNUMBER(E279),E279&gt;0,F279=0),"Disqualified",""))))))))</x:f>
      </x:c>
      <x:c r="L279" s="50"/>
      <x:c r="M279" s="58"/>
      <x:c r="N279" s="58"/>
      <x:c r="O279" s="62"/>
      <x:c r="P279" s="62"/>
      <x:c r="Q279" s="64" t="str">
        <x:f>IF(OR(B279="",C279="",C279&lt;B279),"",ROUNDUP((C279-B279)/7,0))</x:f>
      </x:c>
      <x:c r="R279" s="50"/>
      <x:c r="S279" s="50"/>
      <x:c r="T279" s="54"/>
      <x:c r="U279" s="66" t="str">
        <x:f>IF(A279="","",IF(K279="Subscription","",IF(ISNUMBER(G279),G279,0)-IF(ISNUMBER(I279),I279,0)))</x:f>
      </x:c>
      <x:c r="V279" s="64" t="str">
        <x:f>IF(OR(P279="",O279="",NOT(ISNUMBER(P279)),NOT(ISNUMBER(O279)),O279&gt;P279),"",P279-O279)</x:f>
      </x:c>
      <x:c r="W279" s="67" t="str">
        <x:f>IF(OR(P279="",P279=0,V279=""),"",V279/P279)</x:f>
      </x:c>
    </x:row>
    <x:row r="280" ht="21" customHeight="1">
      <x:c r="A280" s="54"/>
      <x:c r="B280" s="56"/>
      <x:c r="C280" s="56"/>
      <x:c r="D280" s="54"/>
      <x:c r="E280" s="58"/>
      <x:c r="F280" s="58"/>
      <x:c r="G280" s="58"/>
      <x:c r="H280" s="58"/>
      <x:c r="I280" s="58"/>
      <x:c r="J280" s="60" t="str">
        <x:f>IF(A280="","",IF(K280="Subscription","",IF(E280=0,"",IF(ISNUMBER(G280),G280/E280,IF(ISNUMBER(I280),-ABS(I280)/E280,IF(ISNUMBER(H280),0,IF(AND(ISNUMBER(F280),ISNUMBER(E280),E280&gt;0,F280&gt;E280),(F280-E280)/E280,IF(AND(ISNUMBER(F280),ISNUMBER(E280),E280&gt;0,F280=E280),0,IF(AND(ISNUMBER(F280),ISNUMBER(E280),E280&gt;0,F280=0),-1,"")))))))))</x:f>
      </x:c>
      <x:c r="K280" s="50" t="str">
        <x:f>IF(A280="","",IF(AND(ISNUMBER(E280),E280=0,OR(ISNUMBER(SEARCH("Free",D280&amp;"")),AND(ISNUMBER(F280),F280=0))),"Subscription",IF(ISNUMBER(G280),"Profit",IF(ISNUMBER(I280),"Disqualified",IF(ISNUMBER(H280),"Draw",IF(AND(ISNUMBER(F280),ISNUMBER(E280),E280&gt;0,F280&gt;E280),"Profit",IF(AND(ISNUMBER(F280),ISNUMBER(E280),E280&gt;0,F280=E280),"Draw",IF(AND(ISNUMBER(F280),ISNUMBER(E280),E280&gt;0,F280=0),"Disqualified",""))))))))</x:f>
      </x:c>
      <x:c r="L280" s="50"/>
      <x:c r="M280" s="58"/>
      <x:c r="N280" s="58"/>
      <x:c r="O280" s="62"/>
      <x:c r="P280" s="62"/>
      <x:c r="Q280" s="64" t="str">
        <x:f>IF(OR(B280="",C280="",C280&lt;B280),"",ROUNDUP((C280-B280)/7,0))</x:f>
      </x:c>
      <x:c r="R280" s="50"/>
      <x:c r="S280" s="50"/>
      <x:c r="T280" s="54"/>
      <x:c r="U280" s="66" t="str">
        <x:f>IF(A280="","",IF(K280="Subscription","",IF(ISNUMBER(G280),G280,0)-IF(ISNUMBER(I280),I280,0)))</x:f>
      </x:c>
      <x:c r="V280" s="64" t="str">
        <x:f>IF(OR(P280="",O280="",NOT(ISNUMBER(P280)),NOT(ISNUMBER(O280)),O280&gt;P280),"",P280-O280)</x:f>
      </x:c>
      <x:c r="W280" s="67" t="str">
        <x:f>IF(OR(P280="",P280=0,V280=""),"",V280/P280)</x:f>
      </x:c>
    </x:row>
    <x:row r="281" ht="21" customHeight="1">
      <x:c r="A281" s="54"/>
      <x:c r="B281" s="56"/>
      <x:c r="C281" s="56"/>
      <x:c r="D281" s="54"/>
      <x:c r="E281" s="58"/>
      <x:c r="F281" s="58"/>
      <x:c r="G281" s="58"/>
      <x:c r="H281" s="58"/>
      <x:c r="I281" s="58"/>
      <x:c r="J281" s="60" t="str">
        <x:f>IF(A281="","",IF(K281="Subscription","",IF(E281=0,"",IF(ISNUMBER(G281),G281/E281,IF(ISNUMBER(I281),-ABS(I281)/E281,IF(ISNUMBER(H281),0,IF(AND(ISNUMBER(F281),ISNUMBER(E281),E281&gt;0,F281&gt;E281),(F281-E281)/E281,IF(AND(ISNUMBER(F281),ISNUMBER(E281),E281&gt;0,F281=E281),0,IF(AND(ISNUMBER(F281),ISNUMBER(E281),E281&gt;0,F281=0),-1,"")))))))))</x:f>
      </x:c>
      <x:c r="K281" s="50" t="str">
        <x:f>IF(A281="","",IF(AND(ISNUMBER(E281),E281=0,OR(ISNUMBER(SEARCH("Free",D281&amp;"")),AND(ISNUMBER(F281),F281=0))),"Subscription",IF(ISNUMBER(G281),"Profit",IF(ISNUMBER(I281),"Disqualified",IF(ISNUMBER(H281),"Draw",IF(AND(ISNUMBER(F281),ISNUMBER(E281),E281&gt;0,F281&gt;E281),"Profit",IF(AND(ISNUMBER(F281),ISNUMBER(E281),E281&gt;0,F281=E281),"Draw",IF(AND(ISNUMBER(F281),ISNUMBER(E281),E281&gt;0,F281=0),"Disqualified",""))))))))</x:f>
      </x:c>
      <x:c r="L281" s="50"/>
      <x:c r="M281" s="58"/>
      <x:c r="N281" s="58"/>
      <x:c r="O281" s="62"/>
      <x:c r="P281" s="62"/>
      <x:c r="Q281" s="64" t="str">
        <x:f>IF(OR(B281="",C281="",C281&lt;B281),"",ROUNDUP((C281-B281)/7,0))</x:f>
      </x:c>
      <x:c r="R281" s="50"/>
      <x:c r="S281" s="50"/>
      <x:c r="T281" s="54"/>
      <x:c r="U281" s="66" t="str">
        <x:f>IF(A281="","",IF(K281="Subscription","",IF(ISNUMBER(G281),G281,0)-IF(ISNUMBER(I281),I281,0)))</x:f>
      </x:c>
      <x:c r="V281" s="64" t="str">
        <x:f>IF(OR(P281="",O281="",NOT(ISNUMBER(P281)),NOT(ISNUMBER(O281)),O281&gt;P281),"",P281-O281)</x:f>
      </x:c>
      <x:c r="W281" s="67" t="str">
        <x:f>IF(OR(P281="",P281=0,V281=""),"",V281/P281)</x:f>
      </x:c>
    </x:row>
    <x:row r="282" ht="21" customHeight="1">
      <x:c r="A282" s="54"/>
      <x:c r="B282" s="56"/>
      <x:c r="C282" s="56"/>
      <x:c r="D282" s="54"/>
      <x:c r="E282" s="58"/>
      <x:c r="F282" s="58"/>
      <x:c r="G282" s="58"/>
      <x:c r="H282" s="58"/>
      <x:c r="I282" s="58"/>
      <x:c r="J282" s="60" t="str">
        <x:f>IF(A282="","",IF(K282="Subscription","",IF(E282=0,"",IF(ISNUMBER(G282),G282/E282,IF(ISNUMBER(I282),-ABS(I282)/E282,IF(ISNUMBER(H282),0,IF(AND(ISNUMBER(F282),ISNUMBER(E282),E282&gt;0,F282&gt;E282),(F282-E282)/E282,IF(AND(ISNUMBER(F282),ISNUMBER(E282),E282&gt;0,F282=E282),0,IF(AND(ISNUMBER(F282),ISNUMBER(E282),E282&gt;0,F282=0),-1,"")))))))))</x:f>
      </x:c>
      <x:c r="K282" s="50" t="str">
        <x:f>IF(A282="","",IF(AND(ISNUMBER(E282),E282=0,OR(ISNUMBER(SEARCH("Free",D282&amp;"")),AND(ISNUMBER(F282),F282=0))),"Subscription",IF(ISNUMBER(G282),"Profit",IF(ISNUMBER(I282),"Disqualified",IF(ISNUMBER(H282),"Draw",IF(AND(ISNUMBER(F282),ISNUMBER(E282),E282&gt;0,F282&gt;E282),"Profit",IF(AND(ISNUMBER(F282),ISNUMBER(E282),E282&gt;0,F282=E282),"Draw",IF(AND(ISNUMBER(F282),ISNUMBER(E282),E282&gt;0,F282=0),"Disqualified",""))))))))</x:f>
      </x:c>
      <x:c r="L282" s="50"/>
      <x:c r="M282" s="58"/>
      <x:c r="N282" s="58"/>
      <x:c r="O282" s="62"/>
      <x:c r="P282" s="62"/>
      <x:c r="Q282" s="64" t="str">
        <x:f>IF(OR(B282="",C282="",C282&lt;B282),"",ROUNDUP((C282-B282)/7,0))</x:f>
      </x:c>
      <x:c r="R282" s="50"/>
      <x:c r="S282" s="50"/>
      <x:c r="T282" s="54"/>
      <x:c r="U282" s="66" t="str">
        <x:f>IF(A282="","",IF(K282="Subscription","",IF(ISNUMBER(G282),G282,0)-IF(ISNUMBER(I282),I282,0)))</x:f>
      </x:c>
      <x:c r="V282" s="64" t="str">
        <x:f>IF(OR(P282="",O282="",NOT(ISNUMBER(P282)),NOT(ISNUMBER(O282)),O282&gt;P282),"",P282-O282)</x:f>
      </x:c>
      <x:c r="W282" s="67" t="str">
        <x:f>IF(OR(P282="",P282=0,V282=""),"",V282/P282)</x:f>
      </x:c>
    </x:row>
    <x:row r="283" ht="21" customHeight="1">
      <x:c r="A283" s="54"/>
      <x:c r="B283" s="56"/>
      <x:c r="C283" s="56"/>
      <x:c r="D283" s="54"/>
      <x:c r="E283" s="58"/>
      <x:c r="F283" s="58"/>
      <x:c r="G283" s="58"/>
      <x:c r="H283" s="58"/>
      <x:c r="I283" s="58"/>
      <x:c r="J283" s="60" t="str">
        <x:f>IF(A283="","",IF(K283="Subscription","",IF(E283=0,"",IF(ISNUMBER(G283),G283/E283,IF(ISNUMBER(I283),-ABS(I283)/E283,IF(ISNUMBER(H283),0,IF(AND(ISNUMBER(F283),ISNUMBER(E283),E283&gt;0,F283&gt;E283),(F283-E283)/E283,IF(AND(ISNUMBER(F283),ISNUMBER(E283),E283&gt;0,F283=E283),0,IF(AND(ISNUMBER(F283),ISNUMBER(E283),E283&gt;0,F283=0),-1,"")))))))))</x:f>
      </x:c>
      <x:c r="K283" s="50" t="str">
        <x:f>IF(A283="","",IF(AND(ISNUMBER(E283),E283=0,OR(ISNUMBER(SEARCH("Free",D283&amp;"")),AND(ISNUMBER(F283),F283=0))),"Subscription",IF(ISNUMBER(G283),"Profit",IF(ISNUMBER(I283),"Disqualified",IF(ISNUMBER(H283),"Draw",IF(AND(ISNUMBER(F283),ISNUMBER(E283),E283&gt;0,F283&gt;E283),"Profit",IF(AND(ISNUMBER(F283),ISNUMBER(E283),E283&gt;0,F283=E283),"Draw",IF(AND(ISNUMBER(F283),ISNUMBER(E283),E283&gt;0,F283=0),"Disqualified",""))))))))</x:f>
      </x:c>
      <x:c r="L283" s="50"/>
      <x:c r="M283" s="58"/>
      <x:c r="N283" s="58"/>
      <x:c r="O283" s="62"/>
      <x:c r="P283" s="62"/>
      <x:c r="Q283" s="64" t="str">
        <x:f>IF(OR(B283="",C283="",C283&lt;B283),"",ROUNDUP((C283-B283)/7,0))</x:f>
      </x:c>
      <x:c r="R283" s="50"/>
      <x:c r="S283" s="50"/>
      <x:c r="T283" s="54"/>
      <x:c r="U283" s="66" t="str">
        <x:f>IF(A283="","",IF(K283="Subscription","",IF(ISNUMBER(G283),G283,0)-IF(ISNUMBER(I283),I283,0)))</x:f>
      </x:c>
      <x:c r="V283" s="64" t="str">
        <x:f>IF(OR(P283="",O283="",NOT(ISNUMBER(P283)),NOT(ISNUMBER(O283)),O283&gt;P283),"",P283-O283)</x:f>
      </x:c>
      <x:c r="W283" s="67" t="str">
        <x:f>IF(OR(P283="",P283=0,V283=""),"",V283/P283)</x:f>
      </x:c>
    </x:row>
    <x:row r="284" ht="21" customHeight="1">
      <x:c r="A284" s="54"/>
      <x:c r="B284" s="56"/>
      <x:c r="C284" s="56"/>
      <x:c r="D284" s="54"/>
      <x:c r="E284" s="58"/>
      <x:c r="F284" s="58"/>
      <x:c r="G284" s="58"/>
      <x:c r="H284" s="58"/>
      <x:c r="I284" s="58"/>
      <x:c r="J284" s="60" t="str">
        <x:f>IF(A284="","",IF(K284="Subscription","",IF(E284=0,"",IF(ISNUMBER(G284),G284/E284,IF(ISNUMBER(I284),-ABS(I284)/E284,IF(ISNUMBER(H284),0,IF(AND(ISNUMBER(F284),ISNUMBER(E284),E284&gt;0,F284&gt;E284),(F284-E284)/E284,IF(AND(ISNUMBER(F284),ISNUMBER(E284),E284&gt;0,F284=E284),0,IF(AND(ISNUMBER(F284),ISNUMBER(E284),E284&gt;0,F284=0),-1,"")))))))))</x:f>
      </x:c>
      <x:c r="K284" s="50" t="str">
        <x:f>IF(A284="","",IF(AND(ISNUMBER(E284),E284=0,OR(ISNUMBER(SEARCH("Free",D284&amp;"")),AND(ISNUMBER(F284),F284=0))),"Subscription",IF(ISNUMBER(G284),"Profit",IF(ISNUMBER(I284),"Disqualified",IF(ISNUMBER(H284),"Draw",IF(AND(ISNUMBER(F284),ISNUMBER(E284),E284&gt;0,F284&gt;E284),"Profit",IF(AND(ISNUMBER(F284),ISNUMBER(E284),E284&gt;0,F284=E284),"Draw",IF(AND(ISNUMBER(F284),ISNUMBER(E284),E284&gt;0,F284=0),"Disqualified",""))))))))</x:f>
      </x:c>
      <x:c r="L284" s="50"/>
      <x:c r="M284" s="58"/>
      <x:c r="N284" s="58"/>
      <x:c r="O284" s="62"/>
      <x:c r="P284" s="62"/>
      <x:c r="Q284" s="64" t="str">
        <x:f>IF(OR(B284="",C284="",C284&lt;B284),"",ROUNDUP((C284-B284)/7,0))</x:f>
      </x:c>
      <x:c r="R284" s="50"/>
      <x:c r="S284" s="50"/>
      <x:c r="T284" s="54"/>
      <x:c r="U284" s="66" t="str">
        <x:f>IF(A284="","",IF(K284="Subscription","",IF(ISNUMBER(G284),G284,0)-IF(ISNUMBER(I284),I284,0)))</x:f>
      </x:c>
      <x:c r="V284" s="64" t="str">
        <x:f>IF(OR(P284="",O284="",NOT(ISNUMBER(P284)),NOT(ISNUMBER(O284)),O284&gt;P284),"",P284-O284)</x:f>
      </x:c>
      <x:c r="W284" s="67" t="str">
        <x:f>IF(OR(P284="",P284=0,V284=""),"",V284/P284)</x:f>
      </x:c>
    </x:row>
    <x:row r="285" ht="21" customHeight="1">
      <x:c r="A285" s="54"/>
      <x:c r="B285" s="56"/>
      <x:c r="C285" s="56"/>
      <x:c r="D285" s="54"/>
      <x:c r="E285" s="58"/>
      <x:c r="F285" s="58"/>
      <x:c r="G285" s="58"/>
      <x:c r="H285" s="58"/>
      <x:c r="I285" s="58"/>
      <x:c r="J285" s="60" t="str">
        <x:f>IF(A285="","",IF(K285="Subscription","",IF(E285=0,"",IF(ISNUMBER(G285),G285/E285,IF(ISNUMBER(I285),-ABS(I285)/E285,IF(ISNUMBER(H285),0,IF(AND(ISNUMBER(F285),ISNUMBER(E285),E285&gt;0,F285&gt;E285),(F285-E285)/E285,IF(AND(ISNUMBER(F285),ISNUMBER(E285),E285&gt;0,F285=E285),0,IF(AND(ISNUMBER(F285),ISNUMBER(E285),E285&gt;0,F285=0),-1,"")))))))))</x:f>
      </x:c>
      <x:c r="K285" s="50" t="str">
        <x:f>IF(A285="","",IF(AND(ISNUMBER(E285),E285=0,OR(ISNUMBER(SEARCH("Free",D285&amp;"")),AND(ISNUMBER(F285),F285=0))),"Subscription",IF(ISNUMBER(G285),"Profit",IF(ISNUMBER(I285),"Disqualified",IF(ISNUMBER(H285),"Draw",IF(AND(ISNUMBER(F285),ISNUMBER(E285),E285&gt;0,F285&gt;E285),"Profit",IF(AND(ISNUMBER(F285),ISNUMBER(E285),E285&gt;0,F285=E285),"Draw",IF(AND(ISNUMBER(F285),ISNUMBER(E285),E285&gt;0,F285=0),"Disqualified",""))))))))</x:f>
      </x:c>
      <x:c r="L285" s="50"/>
      <x:c r="M285" s="58"/>
      <x:c r="N285" s="58"/>
      <x:c r="O285" s="62"/>
      <x:c r="P285" s="62"/>
      <x:c r="Q285" s="64" t="str">
        <x:f>IF(OR(B285="",C285="",C285&lt;B285),"",ROUNDUP((C285-B285)/7,0))</x:f>
      </x:c>
      <x:c r="R285" s="50"/>
      <x:c r="S285" s="50"/>
      <x:c r="T285" s="54"/>
      <x:c r="U285" s="66" t="str">
        <x:f>IF(A285="","",IF(K285="Subscription","",IF(ISNUMBER(G285),G285,0)-IF(ISNUMBER(I285),I285,0)))</x:f>
      </x:c>
      <x:c r="V285" s="64" t="str">
        <x:f>IF(OR(P285="",O285="",NOT(ISNUMBER(P285)),NOT(ISNUMBER(O285)),O285&gt;P285),"",P285-O285)</x:f>
      </x:c>
      <x:c r="W285" s="67" t="str">
        <x:f>IF(OR(P285="",P285=0,V285=""),"",V285/P285)</x:f>
      </x:c>
    </x:row>
    <x:row r="286" ht="21" customHeight="1">
      <x:c r="A286" s="54"/>
      <x:c r="B286" s="56"/>
      <x:c r="C286" s="56"/>
      <x:c r="D286" s="54"/>
      <x:c r="E286" s="58"/>
      <x:c r="F286" s="58"/>
      <x:c r="G286" s="58"/>
      <x:c r="H286" s="58"/>
      <x:c r="I286" s="58"/>
      <x:c r="J286" s="60" t="str">
        <x:f>IF(A286="","",IF(K286="Subscription","",IF(E286=0,"",IF(ISNUMBER(G286),G286/E286,IF(ISNUMBER(I286),-ABS(I286)/E286,IF(ISNUMBER(H286),0,IF(AND(ISNUMBER(F286),ISNUMBER(E286),E286&gt;0,F286&gt;E286),(F286-E286)/E286,IF(AND(ISNUMBER(F286),ISNUMBER(E286),E286&gt;0,F286=E286),0,IF(AND(ISNUMBER(F286),ISNUMBER(E286),E286&gt;0,F286=0),-1,"")))))))))</x:f>
      </x:c>
      <x:c r="K286" s="50" t="str">
        <x:f>IF(A286="","",IF(AND(ISNUMBER(E286),E286=0,OR(ISNUMBER(SEARCH("Free",D286&amp;"")),AND(ISNUMBER(F286),F286=0))),"Subscription",IF(ISNUMBER(G286),"Profit",IF(ISNUMBER(I286),"Disqualified",IF(ISNUMBER(H286),"Draw",IF(AND(ISNUMBER(F286),ISNUMBER(E286),E286&gt;0,F286&gt;E286),"Profit",IF(AND(ISNUMBER(F286),ISNUMBER(E286),E286&gt;0,F286=E286),"Draw",IF(AND(ISNUMBER(F286),ISNUMBER(E286),E286&gt;0,F286=0),"Disqualified",""))))))))</x:f>
      </x:c>
      <x:c r="L286" s="50"/>
      <x:c r="M286" s="58"/>
      <x:c r="N286" s="58"/>
      <x:c r="O286" s="62"/>
      <x:c r="P286" s="62"/>
      <x:c r="Q286" s="64" t="str">
        <x:f>IF(OR(B286="",C286="",C286&lt;B286),"",ROUNDUP((C286-B286)/7,0))</x:f>
      </x:c>
      <x:c r="R286" s="50"/>
      <x:c r="S286" s="50"/>
      <x:c r="T286" s="54"/>
      <x:c r="U286" s="66" t="str">
        <x:f>IF(A286="","",IF(K286="Subscription","",IF(ISNUMBER(G286),G286,0)-IF(ISNUMBER(I286),I286,0)))</x:f>
      </x:c>
      <x:c r="V286" s="64" t="str">
        <x:f>IF(OR(P286="",O286="",NOT(ISNUMBER(P286)),NOT(ISNUMBER(O286)),O286&gt;P286),"",P286-O286)</x:f>
      </x:c>
      <x:c r="W286" s="67" t="str">
        <x:f>IF(OR(P286="",P286=0,V286=""),"",V286/P286)</x:f>
      </x:c>
    </x:row>
    <x:row r="287" ht="21" customHeight="1">
      <x:c r="A287" s="54"/>
      <x:c r="B287" s="56"/>
      <x:c r="C287" s="56"/>
      <x:c r="D287" s="54"/>
      <x:c r="E287" s="58"/>
      <x:c r="F287" s="58"/>
      <x:c r="G287" s="58"/>
      <x:c r="H287" s="58"/>
      <x:c r="I287" s="58"/>
      <x:c r="J287" s="60" t="str">
        <x:f>IF(A287="","",IF(K287="Subscription","",IF(E287=0,"",IF(ISNUMBER(G287),G287/E287,IF(ISNUMBER(I287),-ABS(I287)/E287,IF(ISNUMBER(H287),0,IF(AND(ISNUMBER(F287),ISNUMBER(E287),E287&gt;0,F287&gt;E287),(F287-E287)/E287,IF(AND(ISNUMBER(F287),ISNUMBER(E287),E287&gt;0,F287=E287),0,IF(AND(ISNUMBER(F287),ISNUMBER(E287),E287&gt;0,F287=0),-1,"")))))))))</x:f>
      </x:c>
      <x:c r="K287" s="50" t="str">
        <x:f>IF(A287="","",IF(AND(ISNUMBER(E287),E287=0,OR(ISNUMBER(SEARCH("Free",D287&amp;"")),AND(ISNUMBER(F287),F287=0))),"Subscription",IF(ISNUMBER(G287),"Profit",IF(ISNUMBER(I287),"Disqualified",IF(ISNUMBER(H287),"Draw",IF(AND(ISNUMBER(F287),ISNUMBER(E287),E287&gt;0,F287&gt;E287),"Profit",IF(AND(ISNUMBER(F287),ISNUMBER(E287),E287&gt;0,F287=E287),"Draw",IF(AND(ISNUMBER(F287),ISNUMBER(E287),E287&gt;0,F287=0),"Disqualified",""))))))))</x:f>
      </x:c>
      <x:c r="L287" s="50"/>
      <x:c r="M287" s="58"/>
      <x:c r="N287" s="58"/>
      <x:c r="O287" s="62"/>
      <x:c r="P287" s="62"/>
      <x:c r="Q287" s="64" t="str">
        <x:f>IF(OR(B287="",C287="",C287&lt;B287),"",ROUNDUP((C287-B287)/7,0))</x:f>
      </x:c>
      <x:c r="R287" s="50"/>
      <x:c r="S287" s="50"/>
      <x:c r="T287" s="54"/>
      <x:c r="U287" s="66" t="str">
        <x:f>IF(A287="","",IF(K287="Subscription","",IF(ISNUMBER(G287),G287,0)-IF(ISNUMBER(I287),I287,0)))</x:f>
      </x:c>
      <x:c r="V287" s="64" t="str">
        <x:f>IF(OR(P287="",O287="",NOT(ISNUMBER(P287)),NOT(ISNUMBER(O287)),O287&gt;P287),"",P287-O287)</x:f>
      </x:c>
      <x:c r="W287" s="67" t="str">
        <x:f>IF(OR(P287="",P287=0,V287=""),"",V287/P287)</x:f>
      </x:c>
    </x:row>
    <x:row r="288" ht="21" customHeight="1">
      <x:c r="A288" s="54"/>
      <x:c r="B288" s="56"/>
      <x:c r="C288" s="56"/>
      <x:c r="D288" s="54"/>
      <x:c r="E288" s="58"/>
      <x:c r="F288" s="58"/>
      <x:c r="G288" s="58"/>
      <x:c r="H288" s="58"/>
      <x:c r="I288" s="58"/>
      <x:c r="J288" s="60" t="str">
        <x:f>IF(A288="","",IF(K288="Subscription","",IF(E288=0,"",IF(ISNUMBER(G288),G288/E288,IF(ISNUMBER(I288),-ABS(I288)/E288,IF(ISNUMBER(H288),0,IF(AND(ISNUMBER(F288),ISNUMBER(E288),E288&gt;0,F288&gt;E288),(F288-E288)/E288,IF(AND(ISNUMBER(F288),ISNUMBER(E288),E288&gt;0,F288=E288),0,IF(AND(ISNUMBER(F288),ISNUMBER(E288),E288&gt;0,F288=0),-1,"")))))))))</x:f>
      </x:c>
      <x:c r="K288" s="50" t="str">
        <x:f>IF(A288="","",IF(AND(ISNUMBER(E288),E288=0,OR(ISNUMBER(SEARCH("Free",D288&amp;"")),AND(ISNUMBER(F288),F288=0))),"Subscription",IF(ISNUMBER(G288),"Profit",IF(ISNUMBER(I288),"Disqualified",IF(ISNUMBER(H288),"Draw",IF(AND(ISNUMBER(F288),ISNUMBER(E288),E288&gt;0,F288&gt;E288),"Profit",IF(AND(ISNUMBER(F288),ISNUMBER(E288),E288&gt;0,F288=E288),"Draw",IF(AND(ISNUMBER(F288),ISNUMBER(E288),E288&gt;0,F288=0),"Disqualified",""))))))))</x:f>
      </x:c>
      <x:c r="L288" s="50"/>
      <x:c r="M288" s="58"/>
      <x:c r="N288" s="58"/>
      <x:c r="O288" s="62"/>
      <x:c r="P288" s="62"/>
      <x:c r="Q288" s="64" t="str">
        <x:f>IF(OR(B288="",C288="",C288&lt;B288),"",ROUNDUP((C288-B288)/7,0))</x:f>
      </x:c>
      <x:c r="R288" s="50"/>
      <x:c r="S288" s="50"/>
      <x:c r="T288" s="54"/>
      <x:c r="U288" s="66" t="str">
        <x:f>IF(A288="","",IF(K288="Subscription","",IF(ISNUMBER(G288),G288,0)-IF(ISNUMBER(I288),I288,0)))</x:f>
      </x:c>
      <x:c r="V288" s="64" t="str">
        <x:f>IF(OR(P288="",O288="",NOT(ISNUMBER(P288)),NOT(ISNUMBER(O288)),O288&gt;P288),"",P288-O288)</x:f>
      </x:c>
      <x:c r="W288" s="67" t="str">
        <x:f>IF(OR(P288="",P288=0,V288=""),"",V288/P288)</x:f>
      </x:c>
    </x:row>
    <x:row r="289" ht="21" customHeight="1">
      <x:c r="A289" s="54"/>
      <x:c r="B289" s="56"/>
      <x:c r="C289" s="56"/>
      <x:c r="D289" s="54"/>
      <x:c r="E289" s="58"/>
      <x:c r="F289" s="58"/>
      <x:c r="G289" s="58"/>
      <x:c r="H289" s="58"/>
      <x:c r="I289" s="58"/>
      <x:c r="J289" s="60" t="str">
        <x:f>IF(A289="","",IF(K289="Subscription","",IF(E289=0,"",IF(ISNUMBER(G289),G289/E289,IF(ISNUMBER(I289),-ABS(I289)/E289,IF(ISNUMBER(H289),0,IF(AND(ISNUMBER(F289),ISNUMBER(E289),E289&gt;0,F289&gt;E289),(F289-E289)/E289,IF(AND(ISNUMBER(F289),ISNUMBER(E289),E289&gt;0,F289=E289),0,IF(AND(ISNUMBER(F289),ISNUMBER(E289),E289&gt;0,F289=0),-1,"")))))))))</x:f>
      </x:c>
      <x:c r="K289" s="50" t="str">
        <x:f>IF(A289="","",IF(AND(ISNUMBER(E289),E289=0,OR(ISNUMBER(SEARCH("Free",D289&amp;"")),AND(ISNUMBER(F289),F289=0))),"Subscription",IF(ISNUMBER(G289),"Profit",IF(ISNUMBER(I289),"Disqualified",IF(ISNUMBER(H289),"Draw",IF(AND(ISNUMBER(F289),ISNUMBER(E289),E289&gt;0,F289&gt;E289),"Profit",IF(AND(ISNUMBER(F289),ISNUMBER(E289),E289&gt;0,F289=E289),"Draw",IF(AND(ISNUMBER(F289),ISNUMBER(E289),E289&gt;0,F289=0),"Disqualified",""))))))))</x:f>
      </x:c>
      <x:c r="L289" s="50"/>
      <x:c r="M289" s="58"/>
      <x:c r="N289" s="58"/>
      <x:c r="O289" s="62"/>
      <x:c r="P289" s="62"/>
      <x:c r="Q289" s="64" t="str">
        <x:f>IF(OR(B289="",C289="",C289&lt;B289),"",ROUNDUP((C289-B289)/7,0))</x:f>
      </x:c>
      <x:c r="R289" s="50"/>
      <x:c r="S289" s="50"/>
      <x:c r="T289" s="54"/>
      <x:c r="U289" s="66" t="str">
        <x:f>IF(A289="","",IF(K289="Subscription","",IF(ISNUMBER(G289),G289,0)-IF(ISNUMBER(I289),I289,0)))</x:f>
      </x:c>
      <x:c r="V289" s="64" t="str">
        <x:f>IF(OR(P289="",O289="",NOT(ISNUMBER(P289)),NOT(ISNUMBER(O289)),O289&gt;P289),"",P289-O289)</x:f>
      </x:c>
      <x:c r="W289" s="67" t="str">
        <x:f>IF(OR(P289="",P289=0,V289=""),"",V289/P289)</x:f>
      </x:c>
    </x:row>
    <x:row r="290" ht="21" customHeight="1">
      <x:c r="A290" s="54"/>
      <x:c r="B290" s="56"/>
      <x:c r="C290" s="56"/>
      <x:c r="D290" s="54"/>
      <x:c r="E290" s="58"/>
      <x:c r="F290" s="58"/>
      <x:c r="G290" s="58"/>
      <x:c r="H290" s="58"/>
      <x:c r="I290" s="58"/>
      <x:c r="J290" s="60" t="str">
        <x:f>IF(A290="","",IF(K290="Subscription","",IF(E290=0,"",IF(ISNUMBER(G290),G290/E290,IF(ISNUMBER(I290),-ABS(I290)/E290,IF(ISNUMBER(H290),0,IF(AND(ISNUMBER(F290),ISNUMBER(E290),E290&gt;0,F290&gt;E290),(F290-E290)/E290,IF(AND(ISNUMBER(F290),ISNUMBER(E290),E290&gt;0,F290=E290),0,IF(AND(ISNUMBER(F290),ISNUMBER(E290),E290&gt;0,F290=0),-1,"")))))))))</x:f>
      </x:c>
      <x:c r="K290" s="50" t="str">
        <x:f>IF(A290="","",IF(AND(ISNUMBER(E290),E290=0,OR(ISNUMBER(SEARCH("Free",D290&amp;"")),AND(ISNUMBER(F290),F290=0))),"Subscription",IF(ISNUMBER(G290),"Profit",IF(ISNUMBER(I290),"Disqualified",IF(ISNUMBER(H290),"Draw",IF(AND(ISNUMBER(F290),ISNUMBER(E290),E290&gt;0,F290&gt;E290),"Profit",IF(AND(ISNUMBER(F290),ISNUMBER(E290),E290&gt;0,F290=E290),"Draw",IF(AND(ISNUMBER(F290),ISNUMBER(E290),E290&gt;0,F290=0),"Disqualified",""))))))))</x:f>
      </x:c>
      <x:c r="L290" s="50"/>
      <x:c r="M290" s="58"/>
      <x:c r="N290" s="58"/>
      <x:c r="O290" s="62"/>
      <x:c r="P290" s="62"/>
      <x:c r="Q290" s="64" t="str">
        <x:f>IF(OR(B290="",C290="",C290&lt;B290),"",ROUNDUP((C290-B290)/7,0))</x:f>
      </x:c>
      <x:c r="R290" s="50"/>
      <x:c r="S290" s="50"/>
      <x:c r="T290" s="54"/>
      <x:c r="U290" s="66" t="str">
        <x:f>IF(A290="","",IF(K290="Subscription","",IF(ISNUMBER(G290),G290,0)-IF(ISNUMBER(I290),I290,0)))</x:f>
      </x:c>
      <x:c r="V290" s="64" t="str">
        <x:f>IF(OR(P290="",O290="",NOT(ISNUMBER(P290)),NOT(ISNUMBER(O290)),O290&gt;P290),"",P290-O290)</x:f>
      </x:c>
      <x:c r="W290" s="67" t="str">
        <x:f>IF(OR(P290="",P290=0,V290=""),"",V290/P290)</x:f>
      </x:c>
    </x:row>
    <x:row r="291" ht="21" customHeight="1">
      <x:c r="A291" s="54"/>
      <x:c r="B291" s="56"/>
      <x:c r="C291" s="56"/>
      <x:c r="D291" s="54"/>
      <x:c r="E291" s="58"/>
      <x:c r="F291" s="58"/>
      <x:c r="G291" s="58"/>
      <x:c r="H291" s="58"/>
      <x:c r="I291" s="58"/>
      <x:c r="J291" s="60" t="str">
        <x:f>IF(A291="","",IF(K291="Subscription","",IF(E291=0,"",IF(ISNUMBER(G291),G291/E291,IF(ISNUMBER(I291),-ABS(I291)/E291,IF(ISNUMBER(H291),0,IF(AND(ISNUMBER(F291),ISNUMBER(E291),E291&gt;0,F291&gt;E291),(F291-E291)/E291,IF(AND(ISNUMBER(F291),ISNUMBER(E291),E291&gt;0,F291=E291),0,IF(AND(ISNUMBER(F291),ISNUMBER(E291),E291&gt;0,F291=0),-1,"")))))))))</x:f>
      </x:c>
      <x:c r="K291" s="50" t="str">
        <x:f>IF(A291="","",IF(AND(ISNUMBER(E291),E291=0,OR(ISNUMBER(SEARCH("Free",D291&amp;"")),AND(ISNUMBER(F291),F291=0))),"Subscription",IF(ISNUMBER(G291),"Profit",IF(ISNUMBER(I291),"Disqualified",IF(ISNUMBER(H291),"Draw",IF(AND(ISNUMBER(F291),ISNUMBER(E291),E291&gt;0,F291&gt;E291),"Profit",IF(AND(ISNUMBER(F291),ISNUMBER(E291),E291&gt;0,F291=E291),"Draw",IF(AND(ISNUMBER(F291),ISNUMBER(E291),E291&gt;0,F291=0),"Disqualified",""))))))))</x:f>
      </x:c>
      <x:c r="L291" s="50"/>
      <x:c r="M291" s="58"/>
      <x:c r="N291" s="58"/>
      <x:c r="O291" s="62"/>
      <x:c r="P291" s="62"/>
      <x:c r="Q291" s="64" t="str">
        <x:f>IF(OR(B291="",C291="",C291&lt;B291),"",ROUNDUP((C291-B291)/7,0))</x:f>
      </x:c>
      <x:c r="R291" s="50"/>
      <x:c r="S291" s="50"/>
      <x:c r="T291" s="54"/>
      <x:c r="U291" s="66" t="str">
        <x:f>IF(A291="","",IF(K291="Subscription","",IF(ISNUMBER(G291),G291,0)-IF(ISNUMBER(I291),I291,0)))</x:f>
      </x:c>
      <x:c r="V291" s="64" t="str">
        <x:f>IF(OR(P291="",O291="",NOT(ISNUMBER(P291)),NOT(ISNUMBER(O291)),O291&gt;P291),"",P291-O291)</x:f>
      </x:c>
      <x:c r="W291" s="67" t="str">
        <x:f>IF(OR(P291="",P291=0,V291=""),"",V291/P291)</x:f>
      </x:c>
    </x:row>
    <x:row r="292" ht="21" customHeight="1">
      <x:c r="A292" s="54"/>
      <x:c r="B292" s="56"/>
      <x:c r="C292" s="56"/>
      <x:c r="D292" s="54"/>
      <x:c r="E292" s="58"/>
      <x:c r="F292" s="58"/>
      <x:c r="G292" s="58"/>
      <x:c r="H292" s="58"/>
      <x:c r="I292" s="58"/>
      <x:c r="J292" s="60" t="str">
        <x:f>IF(A292="","",IF(K292="Subscription","",IF(E292=0,"",IF(ISNUMBER(G292),G292/E292,IF(ISNUMBER(I292),-ABS(I292)/E292,IF(ISNUMBER(H292),0,IF(AND(ISNUMBER(F292),ISNUMBER(E292),E292&gt;0,F292&gt;E292),(F292-E292)/E292,IF(AND(ISNUMBER(F292),ISNUMBER(E292),E292&gt;0,F292=E292),0,IF(AND(ISNUMBER(F292),ISNUMBER(E292),E292&gt;0,F292=0),-1,"")))))))))</x:f>
      </x:c>
      <x:c r="K292" s="50" t="str">
        <x:f>IF(A292="","",IF(AND(ISNUMBER(E292),E292=0,OR(ISNUMBER(SEARCH("Free",D292&amp;"")),AND(ISNUMBER(F292),F292=0))),"Subscription",IF(ISNUMBER(G292),"Profit",IF(ISNUMBER(I292),"Disqualified",IF(ISNUMBER(H292),"Draw",IF(AND(ISNUMBER(F292),ISNUMBER(E292),E292&gt;0,F292&gt;E292),"Profit",IF(AND(ISNUMBER(F292),ISNUMBER(E292),E292&gt;0,F292=E292),"Draw",IF(AND(ISNUMBER(F292),ISNUMBER(E292),E292&gt;0,F292=0),"Disqualified",""))))))))</x:f>
      </x:c>
      <x:c r="L292" s="50"/>
      <x:c r="M292" s="58"/>
      <x:c r="N292" s="58"/>
      <x:c r="O292" s="62"/>
      <x:c r="P292" s="62"/>
      <x:c r="Q292" s="64" t="str">
        <x:f>IF(OR(B292="",C292="",C292&lt;B292),"",ROUNDUP((C292-B292)/7,0))</x:f>
      </x:c>
      <x:c r="R292" s="50"/>
      <x:c r="S292" s="50"/>
      <x:c r="T292" s="54"/>
      <x:c r="U292" s="66" t="str">
        <x:f>IF(A292="","",IF(K292="Subscription","",IF(ISNUMBER(G292),G292,0)-IF(ISNUMBER(I292),I292,0)))</x:f>
      </x:c>
      <x:c r="V292" s="64" t="str">
        <x:f>IF(OR(P292="",O292="",NOT(ISNUMBER(P292)),NOT(ISNUMBER(O292)),O292&gt;P292),"",P292-O292)</x:f>
      </x:c>
      <x:c r="W292" s="67" t="str">
        <x:f>IF(OR(P292="",P292=0,V292=""),"",V292/P292)</x:f>
      </x:c>
    </x:row>
    <x:row r="293" ht="21" customHeight="1">
      <x:c r="A293" s="54"/>
      <x:c r="B293" s="56"/>
      <x:c r="C293" s="56"/>
      <x:c r="D293" s="54"/>
      <x:c r="E293" s="58"/>
      <x:c r="F293" s="58"/>
      <x:c r="G293" s="58"/>
      <x:c r="H293" s="58"/>
      <x:c r="I293" s="58"/>
      <x:c r="J293" s="60" t="str">
        <x:f>IF(A293="","",IF(K293="Subscription","",IF(E293=0,"",IF(ISNUMBER(G293),G293/E293,IF(ISNUMBER(I293),-ABS(I293)/E293,IF(ISNUMBER(H293),0,IF(AND(ISNUMBER(F293),ISNUMBER(E293),E293&gt;0,F293&gt;E293),(F293-E293)/E293,IF(AND(ISNUMBER(F293),ISNUMBER(E293),E293&gt;0,F293=E293),0,IF(AND(ISNUMBER(F293),ISNUMBER(E293),E293&gt;0,F293=0),-1,"")))))))))</x:f>
      </x:c>
      <x:c r="K293" s="50" t="str">
        <x:f>IF(A293="","",IF(AND(ISNUMBER(E293),E293=0,OR(ISNUMBER(SEARCH("Free",D293&amp;"")),AND(ISNUMBER(F293),F293=0))),"Subscription",IF(ISNUMBER(G293),"Profit",IF(ISNUMBER(I293),"Disqualified",IF(ISNUMBER(H293),"Draw",IF(AND(ISNUMBER(F293),ISNUMBER(E293),E293&gt;0,F293&gt;E293),"Profit",IF(AND(ISNUMBER(F293),ISNUMBER(E293),E293&gt;0,F293=E293),"Draw",IF(AND(ISNUMBER(F293),ISNUMBER(E293),E293&gt;0,F293=0),"Disqualified",""))))))))</x:f>
      </x:c>
      <x:c r="L293" s="50"/>
      <x:c r="M293" s="58"/>
      <x:c r="N293" s="58"/>
      <x:c r="O293" s="62"/>
      <x:c r="P293" s="62"/>
      <x:c r="Q293" s="64" t="str">
        <x:f>IF(OR(B293="",C293="",C293&lt;B293),"",ROUNDUP((C293-B293)/7,0))</x:f>
      </x:c>
      <x:c r="R293" s="50"/>
      <x:c r="S293" s="50"/>
      <x:c r="T293" s="54"/>
      <x:c r="U293" s="66" t="str">
        <x:f>IF(A293="","",IF(K293="Subscription","",IF(ISNUMBER(G293),G293,0)-IF(ISNUMBER(I293),I293,0)))</x:f>
      </x:c>
      <x:c r="V293" s="64" t="str">
        <x:f>IF(OR(P293="",O293="",NOT(ISNUMBER(P293)),NOT(ISNUMBER(O293)),O293&gt;P293),"",P293-O293)</x:f>
      </x:c>
      <x:c r="W293" s="67" t="str">
        <x:f>IF(OR(P293="",P293=0,V293=""),"",V293/P293)</x:f>
      </x:c>
    </x:row>
    <x:row r="294" ht="21" customHeight="1">
      <x:c r="A294" s="54"/>
      <x:c r="B294" s="56"/>
      <x:c r="C294" s="56"/>
      <x:c r="D294" s="54"/>
      <x:c r="E294" s="58"/>
      <x:c r="F294" s="58"/>
      <x:c r="G294" s="58"/>
      <x:c r="H294" s="58"/>
      <x:c r="I294" s="58"/>
      <x:c r="J294" s="60" t="str">
        <x:f>IF(A294="","",IF(K294="Subscription","",IF(E294=0,"",IF(ISNUMBER(G294),G294/E294,IF(ISNUMBER(I294),-ABS(I294)/E294,IF(ISNUMBER(H294),0,IF(AND(ISNUMBER(F294),ISNUMBER(E294),E294&gt;0,F294&gt;E294),(F294-E294)/E294,IF(AND(ISNUMBER(F294),ISNUMBER(E294),E294&gt;0,F294=E294),0,IF(AND(ISNUMBER(F294),ISNUMBER(E294),E294&gt;0,F294=0),-1,"")))))))))</x:f>
      </x:c>
      <x:c r="K294" s="50" t="str">
        <x:f>IF(A294="","",IF(AND(ISNUMBER(E294),E294=0,OR(ISNUMBER(SEARCH("Free",D294&amp;"")),AND(ISNUMBER(F294),F294=0))),"Subscription",IF(ISNUMBER(G294),"Profit",IF(ISNUMBER(I294),"Disqualified",IF(ISNUMBER(H294),"Draw",IF(AND(ISNUMBER(F294),ISNUMBER(E294),E294&gt;0,F294&gt;E294),"Profit",IF(AND(ISNUMBER(F294),ISNUMBER(E294),E294&gt;0,F294=E294),"Draw",IF(AND(ISNUMBER(F294),ISNUMBER(E294),E294&gt;0,F294=0),"Disqualified",""))))))))</x:f>
      </x:c>
      <x:c r="L294" s="50"/>
      <x:c r="M294" s="58"/>
      <x:c r="N294" s="58"/>
      <x:c r="O294" s="62"/>
      <x:c r="P294" s="62"/>
      <x:c r="Q294" s="64" t="str">
        <x:f>IF(OR(B294="",C294="",C294&lt;B294),"",ROUNDUP((C294-B294)/7,0))</x:f>
      </x:c>
      <x:c r="R294" s="50"/>
      <x:c r="S294" s="50"/>
      <x:c r="T294" s="54"/>
      <x:c r="U294" s="66" t="str">
        <x:f>IF(A294="","",IF(K294="Subscription","",IF(ISNUMBER(G294),G294,0)-IF(ISNUMBER(I294),I294,0)))</x:f>
      </x:c>
      <x:c r="V294" s="64" t="str">
        <x:f>IF(OR(P294="",O294="",NOT(ISNUMBER(P294)),NOT(ISNUMBER(O294)),O294&gt;P294),"",P294-O294)</x:f>
      </x:c>
      <x:c r="W294" s="67" t="str">
        <x:f>IF(OR(P294="",P294=0,V294=""),"",V294/P294)</x:f>
      </x:c>
    </x:row>
    <x:row r="295" ht="21" customHeight="1">
      <x:c r="A295" s="54"/>
      <x:c r="B295" s="56"/>
      <x:c r="C295" s="56"/>
      <x:c r="D295" s="54"/>
      <x:c r="E295" s="58"/>
      <x:c r="F295" s="58"/>
      <x:c r="G295" s="58"/>
      <x:c r="H295" s="58"/>
      <x:c r="I295" s="58"/>
      <x:c r="J295" s="60" t="str">
        <x:f>IF(A295="","",IF(K295="Subscription","",IF(E295=0,"",IF(ISNUMBER(G295),G295/E295,IF(ISNUMBER(I295),-ABS(I295)/E295,IF(ISNUMBER(H295),0,IF(AND(ISNUMBER(F295),ISNUMBER(E295),E295&gt;0,F295&gt;E295),(F295-E295)/E295,IF(AND(ISNUMBER(F295),ISNUMBER(E295),E295&gt;0,F295=E295),0,IF(AND(ISNUMBER(F295),ISNUMBER(E295),E295&gt;0,F295=0),-1,"")))))))))</x:f>
      </x:c>
      <x:c r="K295" s="50" t="str">
        <x:f>IF(A295="","",IF(AND(ISNUMBER(E295),E295=0,OR(ISNUMBER(SEARCH("Free",D295&amp;"")),AND(ISNUMBER(F295),F295=0))),"Subscription",IF(ISNUMBER(G295),"Profit",IF(ISNUMBER(I295),"Disqualified",IF(ISNUMBER(H295),"Draw",IF(AND(ISNUMBER(F295),ISNUMBER(E295),E295&gt;0,F295&gt;E295),"Profit",IF(AND(ISNUMBER(F295),ISNUMBER(E295),E295&gt;0,F295=E295),"Draw",IF(AND(ISNUMBER(F295),ISNUMBER(E295),E295&gt;0,F295=0),"Disqualified",""))))))))</x:f>
      </x:c>
      <x:c r="L295" s="50"/>
      <x:c r="M295" s="58"/>
      <x:c r="N295" s="58"/>
      <x:c r="O295" s="62"/>
      <x:c r="P295" s="62"/>
      <x:c r="Q295" s="64" t="str">
        <x:f>IF(OR(B295="",C295="",C295&lt;B295),"",ROUNDUP((C295-B295)/7,0))</x:f>
      </x:c>
      <x:c r="R295" s="50"/>
      <x:c r="S295" s="50"/>
      <x:c r="T295" s="54"/>
      <x:c r="U295" s="66" t="str">
        <x:f>IF(A295="","",IF(K295="Subscription","",IF(ISNUMBER(G295),G295,0)-IF(ISNUMBER(I295),I295,0)))</x:f>
      </x:c>
      <x:c r="V295" s="64" t="str">
        <x:f>IF(OR(P295="",O295="",NOT(ISNUMBER(P295)),NOT(ISNUMBER(O295)),O295&gt;P295),"",P295-O295)</x:f>
      </x:c>
      <x:c r="W295" s="67" t="str">
        <x:f>IF(OR(P295="",P295=0,V295=""),"",V295/P295)</x:f>
      </x:c>
    </x:row>
    <x:row r="296" ht="21" customHeight="1">
      <x:c r="A296" s="54"/>
      <x:c r="B296" s="56"/>
      <x:c r="C296" s="56"/>
      <x:c r="D296" s="54"/>
      <x:c r="E296" s="58"/>
      <x:c r="F296" s="58"/>
      <x:c r="G296" s="58"/>
      <x:c r="H296" s="58"/>
      <x:c r="I296" s="58"/>
      <x:c r="J296" s="60" t="str">
        <x:f>IF(A296="","",IF(K296="Subscription","",IF(E296=0,"",IF(ISNUMBER(G296),G296/E296,IF(ISNUMBER(I296),-ABS(I296)/E296,IF(ISNUMBER(H296),0,IF(AND(ISNUMBER(F296),ISNUMBER(E296),E296&gt;0,F296&gt;E296),(F296-E296)/E296,IF(AND(ISNUMBER(F296),ISNUMBER(E296),E296&gt;0,F296=E296),0,IF(AND(ISNUMBER(F296),ISNUMBER(E296),E296&gt;0,F296=0),-1,"")))))))))</x:f>
      </x:c>
      <x:c r="K296" s="50" t="str">
        <x:f>IF(A296="","",IF(AND(ISNUMBER(E296),E296=0,OR(ISNUMBER(SEARCH("Free",D296&amp;"")),AND(ISNUMBER(F296),F296=0))),"Subscription",IF(ISNUMBER(G296),"Profit",IF(ISNUMBER(I296),"Disqualified",IF(ISNUMBER(H296),"Draw",IF(AND(ISNUMBER(F296),ISNUMBER(E296),E296&gt;0,F296&gt;E296),"Profit",IF(AND(ISNUMBER(F296),ISNUMBER(E296),E296&gt;0,F296=E296),"Draw",IF(AND(ISNUMBER(F296),ISNUMBER(E296),E296&gt;0,F296=0),"Disqualified",""))))))))</x:f>
      </x:c>
      <x:c r="L296" s="50"/>
      <x:c r="M296" s="58"/>
      <x:c r="N296" s="58"/>
      <x:c r="O296" s="62"/>
      <x:c r="P296" s="62"/>
      <x:c r="Q296" s="64" t="str">
        <x:f>IF(OR(B296="",C296="",C296&lt;B296),"",ROUNDUP((C296-B296)/7,0))</x:f>
      </x:c>
      <x:c r="R296" s="50"/>
      <x:c r="S296" s="50"/>
      <x:c r="T296" s="54"/>
      <x:c r="U296" s="66" t="str">
        <x:f>IF(A296="","",IF(K296="Subscription","",IF(ISNUMBER(G296),G296,0)-IF(ISNUMBER(I296),I296,0)))</x:f>
      </x:c>
      <x:c r="V296" s="64" t="str">
        <x:f>IF(OR(P296="",O296="",NOT(ISNUMBER(P296)),NOT(ISNUMBER(O296)),O296&gt;P296),"",P296-O296)</x:f>
      </x:c>
      <x:c r="W296" s="67" t="str">
        <x:f>IF(OR(P296="",P296=0,V296=""),"",V296/P296)</x:f>
      </x:c>
    </x:row>
    <x:row r="297" ht="21" customHeight="1">
      <x:c r="A297" s="54"/>
      <x:c r="B297" s="56"/>
      <x:c r="C297" s="56"/>
      <x:c r="D297" s="54"/>
      <x:c r="E297" s="58"/>
      <x:c r="F297" s="58"/>
      <x:c r="G297" s="58"/>
      <x:c r="H297" s="58"/>
      <x:c r="I297" s="58"/>
      <x:c r="J297" s="60" t="str">
        <x:f>IF(A297="","",IF(K297="Subscription","",IF(E297=0,"",IF(ISNUMBER(G297),G297/E297,IF(ISNUMBER(I297),-ABS(I297)/E297,IF(ISNUMBER(H297),0,IF(AND(ISNUMBER(F297),ISNUMBER(E297),E297&gt;0,F297&gt;E297),(F297-E297)/E297,IF(AND(ISNUMBER(F297),ISNUMBER(E297),E297&gt;0,F297=E297),0,IF(AND(ISNUMBER(F297),ISNUMBER(E297),E297&gt;0,F297=0),-1,"")))))))))</x:f>
      </x:c>
      <x:c r="K297" s="50" t="str">
        <x:f>IF(A297="","",IF(AND(ISNUMBER(E297),E297=0,OR(ISNUMBER(SEARCH("Free",D297&amp;"")),AND(ISNUMBER(F297),F297=0))),"Subscription",IF(ISNUMBER(G297),"Profit",IF(ISNUMBER(I297),"Disqualified",IF(ISNUMBER(H297),"Draw",IF(AND(ISNUMBER(F297),ISNUMBER(E297),E297&gt;0,F297&gt;E297),"Profit",IF(AND(ISNUMBER(F297),ISNUMBER(E297),E297&gt;0,F297=E297),"Draw",IF(AND(ISNUMBER(F297),ISNUMBER(E297),E297&gt;0,F297=0),"Disqualified",""))))))))</x:f>
      </x:c>
      <x:c r="L297" s="50"/>
      <x:c r="M297" s="58"/>
      <x:c r="N297" s="58"/>
      <x:c r="O297" s="62"/>
      <x:c r="P297" s="62"/>
      <x:c r="Q297" s="64" t="str">
        <x:f>IF(OR(B297="",C297="",C297&lt;B297),"",ROUNDUP((C297-B297)/7,0))</x:f>
      </x:c>
      <x:c r="R297" s="50"/>
      <x:c r="S297" s="50"/>
      <x:c r="T297" s="54"/>
      <x:c r="U297" s="66" t="str">
        <x:f>IF(A297="","",IF(K297="Subscription","",IF(ISNUMBER(G297),G297,0)-IF(ISNUMBER(I297),I297,0)))</x:f>
      </x:c>
      <x:c r="V297" s="64" t="str">
        <x:f>IF(OR(P297="",O297="",NOT(ISNUMBER(P297)),NOT(ISNUMBER(O297)),O297&gt;P297),"",P297-O297)</x:f>
      </x:c>
      <x:c r="W297" s="67" t="str">
        <x:f>IF(OR(P297="",P297=0,V297=""),"",V297/P297)</x:f>
      </x:c>
    </x:row>
    <x:row r="298" ht="21" customHeight="1">
      <x:c r="A298" s="54"/>
      <x:c r="B298" s="56"/>
      <x:c r="C298" s="56"/>
      <x:c r="D298" s="54"/>
      <x:c r="E298" s="58"/>
      <x:c r="F298" s="58"/>
      <x:c r="G298" s="58"/>
      <x:c r="H298" s="58"/>
      <x:c r="I298" s="58"/>
      <x:c r="J298" s="60" t="str">
        <x:f>IF(A298="","",IF(K298="Subscription","",IF(E298=0,"",IF(ISNUMBER(G298),G298/E298,IF(ISNUMBER(I298),-ABS(I298)/E298,IF(ISNUMBER(H298),0,IF(AND(ISNUMBER(F298),ISNUMBER(E298),E298&gt;0,F298&gt;E298),(F298-E298)/E298,IF(AND(ISNUMBER(F298),ISNUMBER(E298),E298&gt;0,F298=E298),0,IF(AND(ISNUMBER(F298),ISNUMBER(E298),E298&gt;0,F298=0),-1,"")))))))))</x:f>
      </x:c>
      <x:c r="K298" s="50" t="str">
        <x:f>IF(A298="","",IF(AND(ISNUMBER(E298),E298=0,OR(ISNUMBER(SEARCH("Free",D298&amp;"")),AND(ISNUMBER(F298),F298=0))),"Subscription",IF(ISNUMBER(G298),"Profit",IF(ISNUMBER(I298),"Disqualified",IF(ISNUMBER(H298),"Draw",IF(AND(ISNUMBER(F298),ISNUMBER(E298),E298&gt;0,F298&gt;E298),"Profit",IF(AND(ISNUMBER(F298),ISNUMBER(E298),E298&gt;0,F298=E298),"Draw",IF(AND(ISNUMBER(F298),ISNUMBER(E298),E298&gt;0,F298=0),"Disqualified",""))))))))</x:f>
      </x:c>
      <x:c r="L298" s="50"/>
      <x:c r="M298" s="58"/>
      <x:c r="N298" s="58"/>
      <x:c r="O298" s="62"/>
      <x:c r="P298" s="62"/>
      <x:c r="Q298" s="64" t="str">
        <x:f>IF(OR(B298="",C298="",C298&lt;B298),"",ROUNDUP((C298-B298)/7,0))</x:f>
      </x:c>
      <x:c r="R298" s="50"/>
      <x:c r="S298" s="50"/>
      <x:c r="T298" s="54"/>
      <x:c r="U298" s="66" t="str">
        <x:f>IF(A298="","",IF(K298="Subscription","",IF(ISNUMBER(G298),G298,0)-IF(ISNUMBER(I298),I298,0)))</x:f>
      </x:c>
      <x:c r="V298" s="64" t="str">
        <x:f>IF(OR(P298="",O298="",NOT(ISNUMBER(P298)),NOT(ISNUMBER(O298)),O298&gt;P298),"",P298-O298)</x:f>
      </x:c>
      <x:c r="W298" s="67" t="str">
        <x:f>IF(OR(P298="",P298=0,V298=""),"",V298/P298)</x:f>
      </x:c>
    </x:row>
    <x:row r="299" ht="21" customHeight="1">
      <x:c r="A299" s="54"/>
      <x:c r="B299" s="56"/>
      <x:c r="C299" s="56"/>
      <x:c r="D299" s="54"/>
      <x:c r="E299" s="58"/>
      <x:c r="F299" s="58"/>
      <x:c r="G299" s="58"/>
      <x:c r="H299" s="58"/>
      <x:c r="I299" s="58"/>
      <x:c r="J299" s="60" t="str">
        <x:f>IF(A299="","",IF(K299="Subscription","",IF(E299=0,"",IF(ISNUMBER(G299),G299/E299,IF(ISNUMBER(I299),-ABS(I299)/E299,IF(ISNUMBER(H299),0,IF(AND(ISNUMBER(F299),ISNUMBER(E299),E299&gt;0,F299&gt;E299),(F299-E299)/E299,IF(AND(ISNUMBER(F299),ISNUMBER(E299),E299&gt;0,F299=E299),0,IF(AND(ISNUMBER(F299),ISNUMBER(E299),E299&gt;0,F299=0),-1,"")))))))))</x:f>
      </x:c>
      <x:c r="K299" s="50" t="str">
        <x:f>IF(A299="","",IF(AND(ISNUMBER(E299),E299=0,OR(ISNUMBER(SEARCH("Free",D299&amp;"")),AND(ISNUMBER(F299),F299=0))),"Subscription",IF(ISNUMBER(G299),"Profit",IF(ISNUMBER(I299),"Disqualified",IF(ISNUMBER(H299),"Draw",IF(AND(ISNUMBER(F299),ISNUMBER(E299),E299&gt;0,F299&gt;E299),"Profit",IF(AND(ISNUMBER(F299),ISNUMBER(E299),E299&gt;0,F299=E299),"Draw",IF(AND(ISNUMBER(F299),ISNUMBER(E299),E299&gt;0,F299=0),"Disqualified",""))))))))</x:f>
      </x:c>
      <x:c r="L299" s="50"/>
      <x:c r="M299" s="58"/>
      <x:c r="N299" s="58"/>
      <x:c r="O299" s="62"/>
      <x:c r="P299" s="62"/>
      <x:c r="Q299" s="64" t="str">
        <x:f>IF(OR(B299="",C299="",C299&lt;B299),"",ROUNDUP((C299-B299)/7,0))</x:f>
      </x:c>
      <x:c r="R299" s="50"/>
      <x:c r="S299" s="50"/>
      <x:c r="T299" s="54"/>
      <x:c r="U299" s="66" t="str">
        <x:f>IF(A299="","",IF(K299="Subscription","",IF(ISNUMBER(G299),G299,0)-IF(ISNUMBER(I299),I299,0)))</x:f>
      </x:c>
      <x:c r="V299" s="64" t="str">
        <x:f>IF(OR(P299="",O299="",NOT(ISNUMBER(P299)),NOT(ISNUMBER(O299)),O299&gt;P299),"",P299-O299)</x:f>
      </x:c>
      <x:c r="W299" s="67" t="str">
        <x:f>IF(OR(P299="",P299=0,V299=""),"",V299/P299)</x:f>
      </x:c>
    </x:row>
    <x:row r="300" ht="21" customHeight="1">
      <x:c r="A300" s="54"/>
      <x:c r="B300" s="56"/>
      <x:c r="C300" s="56"/>
      <x:c r="D300" s="54"/>
      <x:c r="E300" s="58"/>
      <x:c r="F300" s="58"/>
      <x:c r="G300" s="58"/>
      <x:c r="H300" s="58"/>
      <x:c r="I300" s="58"/>
      <x:c r="J300" s="60" t="str">
        <x:f>IF(A300="","",IF(K300="Subscription","",IF(E300=0,"",IF(ISNUMBER(G300),G300/E300,IF(ISNUMBER(I300),-ABS(I300)/E300,IF(ISNUMBER(H300),0,IF(AND(ISNUMBER(F300),ISNUMBER(E300),E300&gt;0,F300&gt;E300),(F300-E300)/E300,IF(AND(ISNUMBER(F300),ISNUMBER(E300),E300&gt;0,F300=E300),0,IF(AND(ISNUMBER(F300),ISNUMBER(E300),E300&gt;0,F300=0),-1,"")))))))))</x:f>
      </x:c>
      <x:c r="K300" s="50" t="str">
        <x:f>IF(A300="","",IF(AND(ISNUMBER(E300),E300=0,OR(ISNUMBER(SEARCH("Free",D300&amp;"")),AND(ISNUMBER(F300),F300=0))),"Subscription",IF(ISNUMBER(G300),"Profit",IF(ISNUMBER(I300),"Disqualified",IF(ISNUMBER(H300),"Draw",IF(AND(ISNUMBER(F300),ISNUMBER(E300),E300&gt;0,F300&gt;E300),"Profit",IF(AND(ISNUMBER(F300),ISNUMBER(E300),E300&gt;0,F300=E300),"Draw",IF(AND(ISNUMBER(F300),ISNUMBER(E300),E300&gt;0,F300=0),"Disqualified",""))))))))</x:f>
      </x:c>
      <x:c r="L300" s="50"/>
      <x:c r="M300" s="58"/>
      <x:c r="N300" s="58"/>
      <x:c r="O300" s="62"/>
      <x:c r="P300" s="62"/>
      <x:c r="Q300" s="64" t="str">
        <x:f>IF(OR(B300="",C300="",C300&lt;B300),"",ROUNDUP((C300-B300)/7,0))</x:f>
      </x:c>
      <x:c r="R300" s="50"/>
      <x:c r="S300" s="50"/>
      <x:c r="T300" s="54"/>
      <x:c r="U300" s="66" t="str">
        <x:f>IF(A300="","",IF(K300="Subscription","",IF(ISNUMBER(G300),G300,0)-IF(ISNUMBER(I300),I300,0)))</x:f>
      </x:c>
      <x:c r="V300" s="64" t="str">
        <x:f>IF(OR(P300="",O300="",NOT(ISNUMBER(P300)),NOT(ISNUMBER(O300)),O300&gt;P300),"",P300-O300)</x:f>
      </x:c>
      <x:c r="W300" s="67" t="str">
        <x:f>IF(OR(P300="",P300=0,V300=""),"",V300/P300)</x:f>
      </x:c>
    </x:row>
    <x:row r="301" ht="21" customHeight="1">
      <x:c r="A301" s="54"/>
      <x:c r="B301" s="56"/>
      <x:c r="C301" s="56"/>
      <x:c r="D301" s="54"/>
      <x:c r="E301" s="58"/>
      <x:c r="F301" s="58"/>
      <x:c r="G301" s="58"/>
      <x:c r="H301" s="58"/>
      <x:c r="I301" s="58"/>
      <x:c r="J301" s="60" t="str">
        <x:f>IF(A301="","",IF(K301="Subscription","",IF(E301=0,"",IF(ISNUMBER(G301),G301/E301,IF(ISNUMBER(I301),-ABS(I301)/E301,IF(ISNUMBER(H301),0,IF(AND(ISNUMBER(F301),ISNUMBER(E301),E301&gt;0,F301&gt;E301),(F301-E301)/E301,IF(AND(ISNUMBER(F301),ISNUMBER(E301),E301&gt;0,F301=E301),0,IF(AND(ISNUMBER(F301),ISNUMBER(E301),E301&gt;0,F301=0),-1,"")))))))))</x:f>
      </x:c>
      <x:c r="K301" s="50" t="str">
        <x:f>IF(A301="","",IF(AND(ISNUMBER(E301),E301=0,OR(ISNUMBER(SEARCH("Free",D301&amp;"")),AND(ISNUMBER(F301),F301=0))),"Subscription",IF(ISNUMBER(G301),"Profit",IF(ISNUMBER(I301),"Disqualified",IF(ISNUMBER(H301),"Draw",IF(AND(ISNUMBER(F301),ISNUMBER(E301),E301&gt;0,F301&gt;E301),"Profit",IF(AND(ISNUMBER(F301),ISNUMBER(E301),E301&gt;0,F301=E301),"Draw",IF(AND(ISNUMBER(F301),ISNUMBER(E301),E301&gt;0,F301=0),"Disqualified",""))))))))</x:f>
      </x:c>
      <x:c r="L301" s="50"/>
      <x:c r="M301" s="58"/>
      <x:c r="N301" s="58"/>
      <x:c r="O301" s="62"/>
      <x:c r="P301" s="62"/>
      <x:c r="Q301" s="64" t="str">
        <x:f>IF(OR(B301="",C301="",C301&lt;B301),"",ROUNDUP((C301-B301)/7,0))</x:f>
      </x:c>
      <x:c r="R301" s="50"/>
      <x:c r="S301" s="50"/>
      <x:c r="T301" s="54"/>
      <x:c r="U301" s="66" t="str">
        <x:f>IF(A301="","",IF(K301="Subscription","",IF(ISNUMBER(G301),G301,0)-IF(ISNUMBER(I301),I301,0)))</x:f>
      </x:c>
      <x:c r="V301" s="64" t="str">
        <x:f>IF(OR(P301="",O301="",NOT(ISNUMBER(P301)),NOT(ISNUMBER(O301)),O301&gt;P301),"",P301-O301)</x:f>
      </x:c>
      <x:c r="W301" s="67" t="str">
        <x:f>IF(OR(P301="",P301=0,V301=""),"",V301/P301)</x:f>
      </x:c>
    </x:row>
    <x:row r="302" ht="21" customHeight="1">
      <x:c r="A302" s="54"/>
      <x:c r="B302" s="56"/>
      <x:c r="C302" s="56"/>
      <x:c r="D302" s="54"/>
      <x:c r="E302" s="58"/>
      <x:c r="F302" s="58"/>
      <x:c r="G302" s="58"/>
      <x:c r="H302" s="58"/>
      <x:c r="I302" s="58"/>
      <x:c r="J302" s="60" t="str">
        <x:f>IF(A302="","",IF(K302="Subscription","",IF(E302=0,"",IF(ISNUMBER(G302),G302/E302,IF(ISNUMBER(I302),-ABS(I302)/E302,IF(ISNUMBER(H302),0,IF(AND(ISNUMBER(F302),ISNUMBER(E302),E302&gt;0,F302&gt;E302),(F302-E302)/E302,IF(AND(ISNUMBER(F302),ISNUMBER(E302),E302&gt;0,F302=E302),0,IF(AND(ISNUMBER(F302),ISNUMBER(E302),E302&gt;0,F302=0),-1,"")))))))))</x:f>
      </x:c>
      <x:c r="K302" s="50" t="str">
        <x:f>IF(A302="","",IF(AND(ISNUMBER(E302),E302=0,OR(ISNUMBER(SEARCH("Free",D302&amp;"")),AND(ISNUMBER(F302),F302=0))),"Subscription",IF(ISNUMBER(G302),"Profit",IF(ISNUMBER(I302),"Disqualified",IF(ISNUMBER(H302),"Draw",IF(AND(ISNUMBER(F302),ISNUMBER(E302),E302&gt;0,F302&gt;E302),"Profit",IF(AND(ISNUMBER(F302),ISNUMBER(E302),E302&gt;0,F302=E302),"Draw",IF(AND(ISNUMBER(F302),ISNUMBER(E302),E302&gt;0,F302=0),"Disqualified",""))))))))</x:f>
      </x:c>
      <x:c r="L302" s="50"/>
      <x:c r="M302" s="58"/>
      <x:c r="N302" s="58"/>
      <x:c r="O302" s="62"/>
      <x:c r="P302" s="62"/>
      <x:c r="Q302" s="64" t="str">
        <x:f>IF(OR(B302="",C302="",C302&lt;B302),"",ROUNDUP((C302-B302)/7,0))</x:f>
      </x:c>
      <x:c r="R302" s="50"/>
      <x:c r="S302" s="50"/>
      <x:c r="T302" s="54"/>
      <x:c r="U302" s="66" t="str">
        <x:f>IF(A302="","",IF(K302="Subscription","",IF(ISNUMBER(G302),G302,0)-IF(ISNUMBER(I302),I302,0)))</x:f>
      </x:c>
      <x:c r="V302" s="64" t="str">
        <x:f>IF(OR(P302="",O302="",NOT(ISNUMBER(P302)),NOT(ISNUMBER(O302)),O302&gt;P302),"",P302-O302)</x:f>
      </x:c>
      <x:c r="W302" s="67" t="str">
        <x:f>IF(OR(P302="",P302=0,V302=""),"",V302/P302)</x:f>
      </x:c>
    </x:row>
    <x:row r="303" ht="21" customHeight="1">
      <x:c r="A303" s="54"/>
      <x:c r="B303" s="56"/>
      <x:c r="C303" s="56"/>
      <x:c r="D303" s="54"/>
      <x:c r="E303" s="58"/>
      <x:c r="F303" s="58"/>
      <x:c r="G303" s="58"/>
      <x:c r="H303" s="58"/>
      <x:c r="I303" s="58"/>
      <x:c r="J303" s="60" t="str">
        <x:f>IF(A303="","",IF(K303="Subscription","",IF(E303=0,"",IF(ISNUMBER(G303),G303/E303,IF(ISNUMBER(I303),-ABS(I303)/E303,IF(ISNUMBER(H303),0,IF(AND(ISNUMBER(F303),ISNUMBER(E303),E303&gt;0,F303&gt;E303),(F303-E303)/E303,IF(AND(ISNUMBER(F303),ISNUMBER(E303),E303&gt;0,F303=E303),0,IF(AND(ISNUMBER(F303),ISNUMBER(E303),E303&gt;0,F303=0),-1,"")))))))))</x:f>
      </x:c>
      <x:c r="K303" s="50" t="str">
        <x:f>IF(A303="","",IF(AND(ISNUMBER(E303),E303=0,OR(ISNUMBER(SEARCH("Free",D303&amp;"")),AND(ISNUMBER(F303),F303=0))),"Subscription",IF(ISNUMBER(G303),"Profit",IF(ISNUMBER(I303),"Disqualified",IF(ISNUMBER(H303),"Draw",IF(AND(ISNUMBER(F303),ISNUMBER(E303),E303&gt;0,F303&gt;E303),"Profit",IF(AND(ISNUMBER(F303),ISNUMBER(E303),E303&gt;0,F303=E303),"Draw",IF(AND(ISNUMBER(F303),ISNUMBER(E303),E303&gt;0,F303=0),"Disqualified",""))))))))</x:f>
      </x:c>
      <x:c r="L303" s="50"/>
      <x:c r="M303" s="58"/>
      <x:c r="N303" s="58"/>
      <x:c r="O303" s="62"/>
      <x:c r="P303" s="62"/>
      <x:c r="Q303" s="64" t="str">
        <x:f>IF(OR(B303="",C303="",C303&lt;B303),"",ROUNDUP((C303-B303)/7,0))</x:f>
      </x:c>
      <x:c r="R303" s="50"/>
      <x:c r="S303" s="50"/>
      <x:c r="T303" s="54"/>
      <x:c r="U303" s="66" t="str">
        <x:f>IF(A303="","",IF(K303="Subscription","",IF(ISNUMBER(G303),G303,0)-IF(ISNUMBER(I303),I303,0)))</x:f>
      </x:c>
      <x:c r="V303" s="64" t="str">
        <x:f>IF(OR(P303="",O303="",NOT(ISNUMBER(P303)),NOT(ISNUMBER(O303)),O303&gt;P303),"",P303-O303)</x:f>
      </x:c>
      <x:c r="W303" s="67" t="str">
        <x:f>IF(OR(P303="",P303=0,V303=""),"",V303/P303)</x:f>
      </x:c>
    </x:row>
    <x:row r="304" ht="21" customHeight="1">
      <x:c r="A304" s="54"/>
      <x:c r="B304" s="56"/>
      <x:c r="C304" s="56"/>
      <x:c r="D304" s="54"/>
      <x:c r="E304" s="58"/>
      <x:c r="F304" s="58"/>
      <x:c r="G304" s="58"/>
      <x:c r="H304" s="58"/>
      <x:c r="I304" s="58"/>
      <x:c r="J304" s="60" t="str">
        <x:f>IF(A304="","",IF(K304="Subscription","",IF(E304=0,"",IF(ISNUMBER(G304),G304/E304,IF(ISNUMBER(I304),-ABS(I304)/E304,IF(ISNUMBER(H304),0,IF(AND(ISNUMBER(F304),ISNUMBER(E304),E304&gt;0,F304&gt;E304),(F304-E304)/E304,IF(AND(ISNUMBER(F304),ISNUMBER(E304),E304&gt;0,F304=E304),0,IF(AND(ISNUMBER(F304),ISNUMBER(E304),E304&gt;0,F304=0),-1,"")))))))))</x:f>
      </x:c>
      <x:c r="K304" s="50" t="str">
        <x:f>IF(A304="","",IF(AND(ISNUMBER(E304),E304=0,OR(ISNUMBER(SEARCH("Free",D304&amp;"")),AND(ISNUMBER(F304),F304=0))),"Subscription",IF(ISNUMBER(G304),"Profit",IF(ISNUMBER(I304),"Disqualified",IF(ISNUMBER(H304),"Draw",IF(AND(ISNUMBER(F304),ISNUMBER(E304),E304&gt;0,F304&gt;E304),"Profit",IF(AND(ISNUMBER(F304),ISNUMBER(E304),E304&gt;0,F304=E304),"Draw",IF(AND(ISNUMBER(F304),ISNUMBER(E304),E304&gt;0,F304=0),"Disqualified",""))))))))</x:f>
      </x:c>
      <x:c r="L304" s="50"/>
      <x:c r="M304" s="58"/>
      <x:c r="N304" s="58"/>
      <x:c r="O304" s="62"/>
      <x:c r="P304" s="62"/>
      <x:c r="Q304" s="64" t="str">
        <x:f>IF(OR(B304="",C304="",C304&lt;B304),"",ROUNDUP((C304-B304)/7,0))</x:f>
      </x:c>
      <x:c r="R304" s="50"/>
      <x:c r="S304" s="50"/>
      <x:c r="T304" s="54"/>
      <x:c r="U304" s="66" t="str">
        <x:f>IF(A304="","",IF(K304="Subscription","",IF(ISNUMBER(G304),G304,0)-IF(ISNUMBER(I304),I304,0)))</x:f>
      </x:c>
      <x:c r="V304" s="64" t="str">
        <x:f>IF(OR(P304="",O304="",NOT(ISNUMBER(P304)),NOT(ISNUMBER(O304)),O304&gt;P304),"",P304-O304)</x:f>
      </x:c>
      <x:c r="W304" s="67" t="str">
        <x:f>IF(OR(P304="",P304=0,V304=""),"",V304/P304)</x:f>
      </x:c>
    </x:row>
    <x:row r="305" ht="21" customHeight="1">
      <x:c r="A305" s="54"/>
      <x:c r="B305" s="56"/>
      <x:c r="C305" s="56"/>
      <x:c r="D305" s="54"/>
      <x:c r="E305" s="58"/>
      <x:c r="F305" s="58"/>
      <x:c r="G305" s="58"/>
      <x:c r="H305" s="58"/>
      <x:c r="I305" s="58"/>
      <x:c r="J305" s="60" t="str">
        <x:f>IF(A305="","",IF(K305="Subscription","",IF(E305=0,"",IF(ISNUMBER(G305),G305/E305,IF(ISNUMBER(I305),-ABS(I305)/E305,IF(ISNUMBER(H305),0,IF(AND(ISNUMBER(F305),ISNUMBER(E305),E305&gt;0,F305&gt;E305),(F305-E305)/E305,IF(AND(ISNUMBER(F305),ISNUMBER(E305),E305&gt;0,F305=E305),0,IF(AND(ISNUMBER(F305),ISNUMBER(E305),E305&gt;0,F305=0),-1,"")))))))))</x:f>
      </x:c>
      <x:c r="K305" s="50" t="str">
        <x:f>IF(A305="","",IF(AND(ISNUMBER(E305),E305=0,OR(ISNUMBER(SEARCH("Free",D305&amp;"")),AND(ISNUMBER(F305),F305=0))),"Subscription",IF(ISNUMBER(G305),"Profit",IF(ISNUMBER(I305),"Disqualified",IF(ISNUMBER(H305),"Draw",IF(AND(ISNUMBER(F305),ISNUMBER(E305),E305&gt;0,F305&gt;E305),"Profit",IF(AND(ISNUMBER(F305),ISNUMBER(E305),E305&gt;0,F305=E305),"Draw",IF(AND(ISNUMBER(F305),ISNUMBER(E305),E305&gt;0,F305=0),"Disqualified",""))))))))</x:f>
      </x:c>
      <x:c r="L305" s="50"/>
      <x:c r="M305" s="58"/>
      <x:c r="N305" s="58"/>
      <x:c r="O305" s="62"/>
      <x:c r="P305" s="62"/>
      <x:c r="Q305" s="64" t="str">
        <x:f>IF(OR(B305="",C305="",C305&lt;B305),"",ROUNDUP((C305-B305)/7,0))</x:f>
      </x:c>
      <x:c r="R305" s="50"/>
      <x:c r="S305" s="50"/>
      <x:c r="T305" s="54"/>
      <x:c r="U305" s="66" t="str">
        <x:f>IF(A305="","",IF(K305="Subscription","",IF(ISNUMBER(G305),G305,0)-IF(ISNUMBER(I305),I305,0)))</x:f>
      </x:c>
      <x:c r="V305" s="64" t="str">
        <x:f>IF(OR(P305="",O305="",NOT(ISNUMBER(P305)),NOT(ISNUMBER(O305)),O305&gt;P305),"",P305-O305)</x:f>
      </x:c>
      <x:c r="W305" s="67" t="str">
        <x:f>IF(OR(P305="",P305=0,V305=""),"",V305/P305)</x:f>
      </x:c>
    </x:row>
    <x:row r="306" ht="21" customHeight="1">
      <x:c r="A306" s="54"/>
      <x:c r="B306" s="56"/>
      <x:c r="C306" s="56"/>
      <x:c r="D306" s="54"/>
      <x:c r="E306" s="58"/>
      <x:c r="F306" s="58"/>
      <x:c r="G306" s="58"/>
      <x:c r="H306" s="58"/>
      <x:c r="I306" s="58"/>
      <x:c r="J306" s="60" t="str">
        <x:f>IF(A306="","",IF(K306="Subscription","",IF(E306=0,"",IF(ISNUMBER(G306),G306/E306,IF(ISNUMBER(I306),-ABS(I306)/E306,IF(ISNUMBER(H306),0,IF(AND(ISNUMBER(F306),ISNUMBER(E306),E306&gt;0,F306&gt;E306),(F306-E306)/E306,IF(AND(ISNUMBER(F306),ISNUMBER(E306),E306&gt;0,F306=E306),0,IF(AND(ISNUMBER(F306),ISNUMBER(E306),E306&gt;0,F306=0),-1,"")))))))))</x:f>
      </x:c>
      <x:c r="K306" s="50" t="str">
        <x:f>IF(A306="","",IF(AND(ISNUMBER(E306),E306=0,OR(ISNUMBER(SEARCH("Free",D306&amp;"")),AND(ISNUMBER(F306),F306=0))),"Subscription",IF(ISNUMBER(G306),"Profit",IF(ISNUMBER(I306),"Disqualified",IF(ISNUMBER(H306),"Draw",IF(AND(ISNUMBER(F306),ISNUMBER(E306),E306&gt;0,F306&gt;E306),"Profit",IF(AND(ISNUMBER(F306),ISNUMBER(E306),E306&gt;0,F306=E306),"Draw",IF(AND(ISNUMBER(F306),ISNUMBER(E306),E306&gt;0,F306=0),"Disqualified",""))))))))</x:f>
      </x:c>
      <x:c r="L306" s="50"/>
      <x:c r="M306" s="58"/>
      <x:c r="N306" s="58"/>
      <x:c r="O306" s="62"/>
      <x:c r="P306" s="62"/>
      <x:c r="Q306" s="64" t="str">
        <x:f>IF(OR(B306="",C306="",C306&lt;B306),"",ROUNDUP((C306-B306)/7,0))</x:f>
      </x:c>
      <x:c r="R306" s="50"/>
      <x:c r="S306" s="50"/>
      <x:c r="T306" s="54"/>
      <x:c r="U306" s="66" t="str">
        <x:f>IF(A306="","",IF(K306="Subscription","",IF(ISNUMBER(G306),G306,0)-IF(ISNUMBER(I306),I306,0)))</x:f>
      </x:c>
      <x:c r="V306" s="64" t="str">
        <x:f>IF(OR(P306="",O306="",NOT(ISNUMBER(P306)),NOT(ISNUMBER(O306)),O306&gt;P306),"",P306-O306)</x:f>
      </x:c>
      <x:c r="W306" s="67" t="str">
        <x:f>IF(OR(P306="",P306=0,V306=""),"",V306/P306)</x:f>
      </x:c>
    </x:row>
    <x:row r="307" ht="21" customHeight="1">
      <x:c r="A307" s="54"/>
      <x:c r="B307" s="56"/>
      <x:c r="C307" s="56"/>
      <x:c r="D307" s="54"/>
      <x:c r="E307" s="58"/>
      <x:c r="F307" s="58"/>
      <x:c r="G307" s="58"/>
      <x:c r="H307" s="58"/>
      <x:c r="I307" s="58"/>
      <x:c r="J307" s="60" t="str">
        <x:f>IF(A307="","",IF(K307="Subscription","",IF(E307=0,"",IF(ISNUMBER(G307),G307/E307,IF(ISNUMBER(I307),-ABS(I307)/E307,IF(ISNUMBER(H307),0,IF(AND(ISNUMBER(F307),ISNUMBER(E307),E307&gt;0,F307&gt;E307),(F307-E307)/E307,IF(AND(ISNUMBER(F307),ISNUMBER(E307),E307&gt;0,F307=E307),0,IF(AND(ISNUMBER(F307),ISNUMBER(E307),E307&gt;0,F307=0),-1,"")))))))))</x:f>
      </x:c>
      <x:c r="K307" s="50" t="str">
        <x:f>IF(A307="","",IF(AND(ISNUMBER(E307),E307=0,OR(ISNUMBER(SEARCH("Free",D307&amp;"")),AND(ISNUMBER(F307),F307=0))),"Subscription",IF(ISNUMBER(G307),"Profit",IF(ISNUMBER(I307),"Disqualified",IF(ISNUMBER(H307),"Draw",IF(AND(ISNUMBER(F307),ISNUMBER(E307),E307&gt;0,F307&gt;E307),"Profit",IF(AND(ISNUMBER(F307),ISNUMBER(E307),E307&gt;0,F307=E307),"Draw",IF(AND(ISNUMBER(F307),ISNUMBER(E307),E307&gt;0,F307=0),"Disqualified",""))))))))</x:f>
      </x:c>
      <x:c r="L307" s="50"/>
      <x:c r="M307" s="58"/>
      <x:c r="N307" s="58"/>
      <x:c r="O307" s="62"/>
      <x:c r="P307" s="62"/>
      <x:c r="Q307" s="64" t="str">
        <x:f>IF(OR(B307="",C307="",C307&lt;B307),"",ROUNDUP((C307-B307)/7,0))</x:f>
      </x:c>
      <x:c r="R307" s="50"/>
      <x:c r="S307" s="50"/>
      <x:c r="T307" s="54"/>
      <x:c r="U307" s="66" t="str">
        <x:f>IF(A307="","",IF(K307="Subscription","",IF(ISNUMBER(G307),G307,0)-IF(ISNUMBER(I307),I307,0)))</x:f>
      </x:c>
      <x:c r="V307" s="64" t="str">
        <x:f>IF(OR(P307="",O307="",NOT(ISNUMBER(P307)),NOT(ISNUMBER(O307)),O307&gt;P307),"",P307-O307)</x:f>
      </x:c>
      <x:c r="W307" s="67" t="str">
        <x:f>IF(OR(P307="",P307=0,V307=""),"",V307/P307)</x:f>
      </x:c>
    </x:row>
    <x:row r="308" ht="21" customHeight="1">
      <x:c r="A308" s="54"/>
      <x:c r="B308" s="56"/>
      <x:c r="C308" s="56"/>
      <x:c r="D308" s="54"/>
      <x:c r="E308" s="58"/>
      <x:c r="F308" s="58"/>
      <x:c r="G308" s="58"/>
      <x:c r="H308" s="58"/>
      <x:c r="I308" s="58"/>
      <x:c r="J308" s="60" t="str">
        <x:f>IF(A308="","",IF(K308="Subscription","",IF(E308=0,"",IF(ISNUMBER(G308),G308/E308,IF(ISNUMBER(I308),-ABS(I308)/E308,IF(ISNUMBER(H308),0,IF(AND(ISNUMBER(F308),ISNUMBER(E308),E308&gt;0,F308&gt;E308),(F308-E308)/E308,IF(AND(ISNUMBER(F308),ISNUMBER(E308),E308&gt;0,F308=E308),0,IF(AND(ISNUMBER(F308),ISNUMBER(E308),E308&gt;0,F308=0),-1,"")))))))))</x:f>
      </x:c>
      <x:c r="K308" s="50" t="str">
        <x:f>IF(A308="","",IF(AND(ISNUMBER(E308),E308=0,OR(ISNUMBER(SEARCH("Free",D308&amp;"")),AND(ISNUMBER(F308),F308=0))),"Subscription",IF(ISNUMBER(G308),"Profit",IF(ISNUMBER(I308),"Disqualified",IF(ISNUMBER(H308),"Draw",IF(AND(ISNUMBER(F308),ISNUMBER(E308),E308&gt;0,F308&gt;E308),"Profit",IF(AND(ISNUMBER(F308),ISNUMBER(E308),E308&gt;0,F308=E308),"Draw",IF(AND(ISNUMBER(F308),ISNUMBER(E308),E308&gt;0,F308=0),"Disqualified",""))))))))</x:f>
      </x:c>
      <x:c r="L308" s="50"/>
      <x:c r="M308" s="58"/>
      <x:c r="N308" s="58"/>
      <x:c r="O308" s="62"/>
      <x:c r="P308" s="62"/>
      <x:c r="Q308" s="64" t="str">
        <x:f>IF(OR(B308="",C308="",C308&lt;B308),"",ROUNDUP((C308-B308)/7,0))</x:f>
      </x:c>
      <x:c r="R308" s="50"/>
      <x:c r="S308" s="50"/>
      <x:c r="T308" s="54"/>
      <x:c r="U308" s="66" t="str">
        <x:f>IF(A308="","",IF(K308="Subscription","",IF(ISNUMBER(G308),G308,0)-IF(ISNUMBER(I308),I308,0)))</x:f>
      </x:c>
      <x:c r="V308" s="64" t="str">
        <x:f>IF(OR(P308="",O308="",NOT(ISNUMBER(P308)),NOT(ISNUMBER(O308)),O308&gt;P308),"",P308-O308)</x:f>
      </x:c>
      <x:c r="W308" s="67" t="str">
        <x:f>IF(OR(P308="",P308=0,V308=""),"",V308/P308)</x:f>
      </x:c>
    </x:row>
    <x:row r="309" ht="21" customHeight="1">
      <x:c r="A309" s="54"/>
      <x:c r="B309" s="56"/>
      <x:c r="C309" s="56"/>
      <x:c r="D309" s="54"/>
      <x:c r="E309" s="58"/>
      <x:c r="F309" s="58"/>
      <x:c r="G309" s="58"/>
      <x:c r="H309" s="58"/>
      <x:c r="I309" s="58"/>
      <x:c r="J309" s="60" t="str">
        <x:f>IF(A309="","",IF(K309="Subscription","",IF(E309=0,"",IF(ISNUMBER(G309),G309/E309,IF(ISNUMBER(I309),-ABS(I309)/E309,IF(ISNUMBER(H309),0,IF(AND(ISNUMBER(F309),ISNUMBER(E309),E309&gt;0,F309&gt;E309),(F309-E309)/E309,IF(AND(ISNUMBER(F309),ISNUMBER(E309),E309&gt;0,F309=E309),0,IF(AND(ISNUMBER(F309),ISNUMBER(E309),E309&gt;0,F309=0),-1,"")))))))))</x:f>
      </x:c>
      <x:c r="K309" s="50" t="str">
        <x:f>IF(A309="","",IF(AND(ISNUMBER(E309),E309=0,OR(ISNUMBER(SEARCH("Free",D309&amp;"")),AND(ISNUMBER(F309),F309=0))),"Subscription",IF(ISNUMBER(G309),"Profit",IF(ISNUMBER(I309),"Disqualified",IF(ISNUMBER(H309),"Draw",IF(AND(ISNUMBER(F309),ISNUMBER(E309),E309&gt;0,F309&gt;E309),"Profit",IF(AND(ISNUMBER(F309),ISNUMBER(E309),E309&gt;0,F309=E309),"Draw",IF(AND(ISNUMBER(F309),ISNUMBER(E309),E309&gt;0,F309=0),"Disqualified",""))))))))</x:f>
      </x:c>
      <x:c r="L309" s="50"/>
      <x:c r="M309" s="58"/>
      <x:c r="N309" s="58"/>
      <x:c r="O309" s="62"/>
      <x:c r="P309" s="62"/>
      <x:c r="Q309" s="64" t="str">
        <x:f>IF(OR(B309="",C309="",C309&lt;B309),"",ROUNDUP((C309-B309)/7,0))</x:f>
      </x:c>
      <x:c r="R309" s="50"/>
      <x:c r="S309" s="50"/>
      <x:c r="T309" s="54"/>
      <x:c r="U309" s="66" t="str">
        <x:f>IF(A309="","",IF(K309="Subscription","",IF(ISNUMBER(G309),G309,0)-IF(ISNUMBER(I309),I309,0)))</x:f>
      </x:c>
      <x:c r="V309" s="64" t="str">
        <x:f>IF(OR(P309="",O309="",NOT(ISNUMBER(P309)),NOT(ISNUMBER(O309)),O309&gt;P309),"",P309-O309)</x:f>
      </x:c>
      <x:c r="W309" s="67" t="str">
        <x:f>IF(OR(P309="",P309=0,V309=""),"",V309/P309)</x:f>
      </x:c>
    </x:row>
    <x:row r="310" ht="21" customHeight="1">
      <x:c r="A310" s="54"/>
      <x:c r="B310" s="56"/>
      <x:c r="C310" s="56"/>
      <x:c r="D310" s="54"/>
      <x:c r="E310" s="58"/>
      <x:c r="F310" s="58"/>
      <x:c r="G310" s="58"/>
      <x:c r="H310" s="58"/>
      <x:c r="I310" s="58"/>
      <x:c r="J310" s="60" t="str">
        <x:f>IF(A310="","",IF(K310="Subscription","",IF(E310=0,"",IF(ISNUMBER(G310),G310/E310,IF(ISNUMBER(I310),-ABS(I310)/E310,IF(ISNUMBER(H310),0,IF(AND(ISNUMBER(F310),ISNUMBER(E310),E310&gt;0,F310&gt;E310),(F310-E310)/E310,IF(AND(ISNUMBER(F310),ISNUMBER(E310),E310&gt;0,F310=E310),0,IF(AND(ISNUMBER(F310),ISNUMBER(E310),E310&gt;0,F310=0),-1,"")))))))))</x:f>
      </x:c>
      <x:c r="K310" s="50" t="str">
        <x:f>IF(A310="","",IF(AND(ISNUMBER(E310),E310=0,OR(ISNUMBER(SEARCH("Free",D310&amp;"")),AND(ISNUMBER(F310),F310=0))),"Subscription",IF(ISNUMBER(G310),"Profit",IF(ISNUMBER(I310),"Disqualified",IF(ISNUMBER(H310),"Draw",IF(AND(ISNUMBER(F310),ISNUMBER(E310),E310&gt;0,F310&gt;E310),"Profit",IF(AND(ISNUMBER(F310),ISNUMBER(E310),E310&gt;0,F310=E310),"Draw",IF(AND(ISNUMBER(F310),ISNUMBER(E310),E310&gt;0,F310=0),"Disqualified",""))))))))</x:f>
      </x:c>
      <x:c r="L310" s="50"/>
      <x:c r="M310" s="58"/>
      <x:c r="N310" s="58"/>
      <x:c r="O310" s="62"/>
      <x:c r="P310" s="62"/>
      <x:c r="Q310" s="64" t="str">
        <x:f>IF(OR(B310="",C310="",C310&lt;B310),"",ROUNDUP((C310-B310)/7,0))</x:f>
      </x:c>
      <x:c r="R310" s="50"/>
      <x:c r="S310" s="50"/>
      <x:c r="T310" s="54"/>
      <x:c r="U310" s="66" t="str">
        <x:f>IF(A310="","",IF(K310="Subscription","",IF(ISNUMBER(G310),G310,0)-IF(ISNUMBER(I310),I310,0)))</x:f>
      </x:c>
      <x:c r="V310" s="64" t="str">
        <x:f>IF(OR(P310="",O310="",NOT(ISNUMBER(P310)),NOT(ISNUMBER(O310)),O310&gt;P310),"",P310-O310)</x:f>
      </x:c>
      <x:c r="W310" s="67" t="str">
        <x:f>IF(OR(P310="",P310=0,V310=""),"",V310/P310)</x:f>
      </x:c>
    </x:row>
    <x:row r="311" ht="21" customHeight="1">
      <x:c r="A311" s="54"/>
      <x:c r="B311" s="56"/>
      <x:c r="C311" s="56"/>
      <x:c r="D311" s="54"/>
      <x:c r="E311" s="58"/>
      <x:c r="F311" s="58"/>
      <x:c r="G311" s="58"/>
      <x:c r="H311" s="58"/>
      <x:c r="I311" s="58"/>
      <x:c r="J311" s="60" t="str">
        <x:f>IF(A311="","",IF(K311="Subscription","",IF(E311=0,"",IF(ISNUMBER(G311),G311/E311,IF(ISNUMBER(I311),-ABS(I311)/E311,IF(ISNUMBER(H311),0,IF(AND(ISNUMBER(F311),ISNUMBER(E311),E311&gt;0,F311&gt;E311),(F311-E311)/E311,IF(AND(ISNUMBER(F311),ISNUMBER(E311),E311&gt;0,F311=E311),0,IF(AND(ISNUMBER(F311),ISNUMBER(E311),E311&gt;0,F311=0),-1,"")))))))))</x:f>
      </x:c>
      <x:c r="K311" s="50" t="str">
        <x:f>IF(A311="","",IF(AND(ISNUMBER(E311),E311=0,OR(ISNUMBER(SEARCH("Free",D311&amp;"")),AND(ISNUMBER(F311),F311=0))),"Subscription",IF(ISNUMBER(G311),"Profit",IF(ISNUMBER(I311),"Disqualified",IF(ISNUMBER(H311),"Draw",IF(AND(ISNUMBER(F311),ISNUMBER(E311),E311&gt;0,F311&gt;E311),"Profit",IF(AND(ISNUMBER(F311),ISNUMBER(E311),E311&gt;0,F311=E311),"Draw",IF(AND(ISNUMBER(F311),ISNUMBER(E311),E311&gt;0,F311=0),"Disqualified",""))))))))</x:f>
      </x:c>
      <x:c r="L311" s="50"/>
      <x:c r="M311" s="58"/>
      <x:c r="N311" s="58"/>
      <x:c r="O311" s="62"/>
      <x:c r="P311" s="62"/>
      <x:c r="Q311" s="64" t="str">
        <x:f>IF(OR(B311="",C311="",C311&lt;B311),"",ROUNDUP((C311-B311)/7,0))</x:f>
      </x:c>
      <x:c r="R311" s="50"/>
      <x:c r="S311" s="50"/>
      <x:c r="T311" s="54"/>
      <x:c r="U311" s="66" t="str">
        <x:f>IF(A311="","",IF(K311="Subscription","",IF(ISNUMBER(G311),G311,0)-IF(ISNUMBER(I311),I311,0)))</x:f>
      </x:c>
      <x:c r="V311" s="64" t="str">
        <x:f>IF(OR(P311="",O311="",NOT(ISNUMBER(P311)),NOT(ISNUMBER(O311)),O311&gt;P311),"",P311-O311)</x:f>
      </x:c>
      <x:c r="W311" s="67" t="str">
        <x:f>IF(OR(P311="",P311=0,V311=""),"",V311/P311)</x:f>
      </x:c>
    </x:row>
    <x:row r="312" ht="21" customHeight="1">
      <x:c r="A312" s="54"/>
      <x:c r="B312" s="56"/>
      <x:c r="C312" s="56"/>
      <x:c r="D312" s="54"/>
      <x:c r="E312" s="58"/>
      <x:c r="F312" s="58"/>
      <x:c r="G312" s="58"/>
      <x:c r="H312" s="58"/>
      <x:c r="I312" s="58"/>
      <x:c r="J312" s="60" t="str">
        <x:f>IF(A312="","",IF(K312="Subscription","",IF(E312=0,"",IF(ISNUMBER(G312),G312/E312,IF(ISNUMBER(I312),-ABS(I312)/E312,IF(ISNUMBER(H312),0,IF(AND(ISNUMBER(F312),ISNUMBER(E312),E312&gt;0,F312&gt;E312),(F312-E312)/E312,IF(AND(ISNUMBER(F312),ISNUMBER(E312),E312&gt;0,F312=E312),0,IF(AND(ISNUMBER(F312),ISNUMBER(E312),E312&gt;0,F312=0),-1,"")))))))))</x:f>
      </x:c>
      <x:c r="K312" s="50" t="str">
        <x:f>IF(A312="","",IF(AND(ISNUMBER(E312),E312=0,OR(ISNUMBER(SEARCH("Free",D312&amp;"")),AND(ISNUMBER(F312),F312=0))),"Subscription",IF(ISNUMBER(G312),"Profit",IF(ISNUMBER(I312),"Disqualified",IF(ISNUMBER(H312),"Draw",IF(AND(ISNUMBER(F312),ISNUMBER(E312),E312&gt;0,F312&gt;E312),"Profit",IF(AND(ISNUMBER(F312),ISNUMBER(E312),E312&gt;0,F312=E312),"Draw",IF(AND(ISNUMBER(F312),ISNUMBER(E312),E312&gt;0,F312=0),"Disqualified",""))))))))</x:f>
      </x:c>
      <x:c r="L312" s="50"/>
      <x:c r="M312" s="58"/>
      <x:c r="N312" s="58"/>
      <x:c r="O312" s="62"/>
      <x:c r="P312" s="62"/>
      <x:c r="Q312" s="64" t="str">
        <x:f>IF(OR(B312="",C312="",C312&lt;B312),"",ROUNDUP((C312-B312)/7,0))</x:f>
      </x:c>
      <x:c r="R312" s="50"/>
      <x:c r="S312" s="50"/>
      <x:c r="T312" s="54"/>
      <x:c r="U312" s="66" t="str">
        <x:f>IF(A312="","",IF(K312="Subscription","",IF(ISNUMBER(G312),G312,0)-IF(ISNUMBER(I312),I312,0)))</x:f>
      </x:c>
      <x:c r="V312" s="64" t="str">
        <x:f>IF(OR(P312="",O312="",NOT(ISNUMBER(P312)),NOT(ISNUMBER(O312)),O312&gt;P312),"",P312-O312)</x:f>
      </x:c>
      <x:c r="W312" s="67" t="str">
        <x:f>IF(OR(P312="",P312=0,V312=""),"",V312/P312)</x:f>
      </x:c>
    </x:row>
    <x:row r="313" ht="21" customHeight="1">
      <x:c r="A313" s="54"/>
      <x:c r="B313" s="56"/>
      <x:c r="C313" s="56"/>
      <x:c r="D313" s="54"/>
      <x:c r="E313" s="58"/>
      <x:c r="F313" s="58"/>
      <x:c r="G313" s="58"/>
      <x:c r="H313" s="58"/>
      <x:c r="I313" s="58"/>
      <x:c r="J313" s="60" t="str">
        <x:f>IF(A313="","",IF(K313="Subscription","",IF(E313=0,"",IF(ISNUMBER(G313),G313/E313,IF(ISNUMBER(I313),-ABS(I313)/E313,IF(ISNUMBER(H313),0,IF(AND(ISNUMBER(F313),ISNUMBER(E313),E313&gt;0,F313&gt;E313),(F313-E313)/E313,IF(AND(ISNUMBER(F313),ISNUMBER(E313),E313&gt;0,F313=E313),0,IF(AND(ISNUMBER(F313),ISNUMBER(E313),E313&gt;0,F313=0),-1,"")))))))))</x:f>
      </x:c>
      <x:c r="K313" s="50" t="str">
        <x:f>IF(A313="","",IF(AND(ISNUMBER(E313),E313=0,OR(ISNUMBER(SEARCH("Free",D313&amp;"")),AND(ISNUMBER(F313),F313=0))),"Subscription",IF(ISNUMBER(G313),"Profit",IF(ISNUMBER(I313),"Disqualified",IF(ISNUMBER(H313),"Draw",IF(AND(ISNUMBER(F313),ISNUMBER(E313),E313&gt;0,F313&gt;E313),"Profit",IF(AND(ISNUMBER(F313),ISNUMBER(E313),E313&gt;0,F313=E313),"Draw",IF(AND(ISNUMBER(F313),ISNUMBER(E313),E313&gt;0,F313=0),"Disqualified",""))))))))</x:f>
      </x:c>
      <x:c r="L313" s="50"/>
      <x:c r="M313" s="58"/>
      <x:c r="N313" s="58"/>
      <x:c r="O313" s="62"/>
      <x:c r="P313" s="62"/>
      <x:c r="Q313" s="64" t="str">
        <x:f>IF(OR(B313="",C313="",C313&lt;B313),"",ROUNDUP((C313-B313)/7,0))</x:f>
      </x:c>
      <x:c r="R313" s="50"/>
      <x:c r="S313" s="50"/>
      <x:c r="T313" s="54"/>
      <x:c r="U313" s="66" t="str">
        <x:f>IF(A313="","",IF(K313="Subscription","",IF(ISNUMBER(G313),G313,0)-IF(ISNUMBER(I313),I313,0)))</x:f>
      </x:c>
      <x:c r="V313" s="64" t="str">
        <x:f>IF(OR(P313="",O313="",NOT(ISNUMBER(P313)),NOT(ISNUMBER(O313)),O313&gt;P313),"",P313-O313)</x:f>
      </x:c>
      <x:c r="W313" s="67" t="str">
        <x:f>IF(OR(P313="",P313=0,V313=""),"",V313/P313)</x:f>
      </x:c>
    </x:row>
    <x:row r="314" ht="21" customHeight="1">
      <x:c r="A314" s="54"/>
      <x:c r="B314" s="56"/>
      <x:c r="C314" s="56"/>
      <x:c r="D314" s="54"/>
      <x:c r="E314" s="58"/>
      <x:c r="F314" s="58"/>
      <x:c r="G314" s="58"/>
      <x:c r="H314" s="58"/>
      <x:c r="I314" s="58"/>
      <x:c r="J314" s="60" t="str">
        <x:f>IF(A314="","",IF(K314="Subscription","",IF(E314=0,"",IF(ISNUMBER(G314),G314/E314,IF(ISNUMBER(I314),-ABS(I314)/E314,IF(ISNUMBER(H314),0,IF(AND(ISNUMBER(F314),ISNUMBER(E314),E314&gt;0,F314&gt;E314),(F314-E314)/E314,IF(AND(ISNUMBER(F314),ISNUMBER(E314),E314&gt;0,F314=E314),0,IF(AND(ISNUMBER(F314),ISNUMBER(E314),E314&gt;0,F314=0),-1,"")))))))))</x:f>
      </x:c>
      <x:c r="K314" s="50" t="str">
        <x:f>IF(A314="","",IF(AND(ISNUMBER(E314),E314=0,OR(ISNUMBER(SEARCH("Free",D314&amp;"")),AND(ISNUMBER(F314),F314=0))),"Subscription",IF(ISNUMBER(G314),"Profit",IF(ISNUMBER(I314),"Disqualified",IF(ISNUMBER(H314),"Draw",IF(AND(ISNUMBER(F314),ISNUMBER(E314),E314&gt;0,F314&gt;E314),"Profit",IF(AND(ISNUMBER(F314),ISNUMBER(E314),E314&gt;0,F314=E314),"Draw",IF(AND(ISNUMBER(F314),ISNUMBER(E314),E314&gt;0,F314=0),"Disqualified",""))))))))</x:f>
      </x:c>
      <x:c r="L314" s="50"/>
      <x:c r="M314" s="58"/>
      <x:c r="N314" s="58"/>
      <x:c r="O314" s="62"/>
      <x:c r="P314" s="62"/>
      <x:c r="Q314" s="64" t="str">
        <x:f>IF(OR(B314="",C314="",C314&lt;B314),"",ROUNDUP((C314-B314)/7,0))</x:f>
      </x:c>
      <x:c r="R314" s="50"/>
      <x:c r="S314" s="50"/>
      <x:c r="T314" s="54"/>
      <x:c r="U314" s="66" t="str">
        <x:f>IF(A314="","",IF(K314="Subscription","",IF(ISNUMBER(G314),G314,0)-IF(ISNUMBER(I314),I314,0)))</x:f>
      </x:c>
      <x:c r="V314" s="64" t="str">
        <x:f>IF(OR(P314="",O314="",NOT(ISNUMBER(P314)),NOT(ISNUMBER(O314)),O314&gt;P314),"",P314-O314)</x:f>
      </x:c>
      <x:c r="W314" s="67" t="str">
        <x:f>IF(OR(P314="",P314=0,V314=""),"",V314/P314)</x:f>
      </x:c>
    </x:row>
    <x:row r="315" ht="21" customHeight="1">
      <x:c r="A315" s="54"/>
      <x:c r="B315" s="56"/>
      <x:c r="C315" s="56"/>
      <x:c r="D315" s="54"/>
      <x:c r="E315" s="58"/>
      <x:c r="F315" s="58"/>
      <x:c r="G315" s="58"/>
      <x:c r="H315" s="58"/>
      <x:c r="I315" s="58"/>
      <x:c r="J315" s="60" t="str">
        <x:f>IF(A315="","",IF(K315="Subscription","",IF(E315=0,"",IF(ISNUMBER(G315),G315/E315,IF(ISNUMBER(I315),-ABS(I315)/E315,IF(ISNUMBER(H315),0,IF(AND(ISNUMBER(F315),ISNUMBER(E315),E315&gt;0,F315&gt;E315),(F315-E315)/E315,IF(AND(ISNUMBER(F315),ISNUMBER(E315),E315&gt;0,F315=E315),0,IF(AND(ISNUMBER(F315),ISNUMBER(E315),E315&gt;0,F315=0),-1,"")))))))))</x:f>
      </x:c>
      <x:c r="K315" s="50" t="str">
        <x:f>IF(A315="","",IF(AND(ISNUMBER(E315),E315=0,OR(ISNUMBER(SEARCH("Free",D315&amp;"")),AND(ISNUMBER(F315),F315=0))),"Subscription",IF(ISNUMBER(G315),"Profit",IF(ISNUMBER(I315),"Disqualified",IF(ISNUMBER(H315),"Draw",IF(AND(ISNUMBER(F315),ISNUMBER(E315),E315&gt;0,F315&gt;E315),"Profit",IF(AND(ISNUMBER(F315),ISNUMBER(E315),E315&gt;0,F315=E315),"Draw",IF(AND(ISNUMBER(F315),ISNUMBER(E315),E315&gt;0,F315=0),"Disqualified",""))))))))</x:f>
      </x:c>
      <x:c r="L315" s="50"/>
      <x:c r="M315" s="58"/>
      <x:c r="N315" s="58"/>
      <x:c r="O315" s="62"/>
      <x:c r="P315" s="62"/>
      <x:c r="Q315" s="64" t="str">
        <x:f>IF(OR(B315="",C315="",C315&lt;B315),"",ROUNDUP((C315-B315)/7,0))</x:f>
      </x:c>
      <x:c r="R315" s="50"/>
      <x:c r="S315" s="50"/>
      <x:c r="T315" s="54"/>
      <x:c r="U315" s="66" t="str">
        <x:f>IF(A315="","",IF(K315="Subscription","",IF(ISNUMBER(G315),G315,0)-IF(ISNUMBER(I315),I315,0)))</x:f>
      </x:c>
      <x:c r="V315" s="64" t="str">
        <x:f>IF(OR(P315="",O315="",NOT(ISNUMBER(P315)),NOT(ISNUMBER(O315)),O315&gt;P315),"",P315-O315)</x:f>
      </x:c>
      <x:c r="W315" s="67" t="str">
        <x:f>IF(OR(P315="",P315=0,V315=""),"",V315/P315)</x:f>
      </x:c>
    </x:row>
    <x:row r="316" ht="21" customHeight="1">
      <x:c r="A316" s="54"/>
      <x:c r="B316" s="56"/>
      <x:c r="C316" s="56"/>
      <x:c r="D316" s="54"/>
      <x:c r="E316" s="58"/>
      <x:c r="F316" s="58"/>
      <x:c r="G316" s="58"/>
      <x:c r="H316" s="58"/>
      <x:c r="I316" s="58"/>
      <x:c r="J316" s="60" t="str">
        <x:f>IF(A316="","",IF(K316="Subscription","",IF(E316=0,"",IF(ISNUMBER(G316),G316/E316,IF(ISNUMBER(I316),-ABS(I316)/E316,IF(ISNUMBER(H316),0,IF(AND(ISNUMBER(F316),ISNUMBER(E316),E316&gt;0,F316&gt;E316),(F316-E316)/E316,IF(AND(ISNUMBER(F316),ISNUMBER(E316),E316&gt;0,F316=E316),0,IF(AND(ISNUMBER(F316),ISNUMBER(E316),E316&gt;0,F316=0),-1,"")))))))))</x:f>
      </x:c>
      <x:c r="K316" s="50" t="str">
        <x:f>IF(A316="","",IF(AND(ISNUMBER(E316),E316=0,OR(ISNUMBER(SEARCH("Free",D316&amp;"")),AND(ISNUMBER(F316),F316=0))),"Subscription",IF(ISNUMBER(G316),"Profit",IF(ISNUMBER(I316),"Disqualified",IF(ISNUMBER(H316),"Draw",IF(AND(ISNUMBER(F316),ISNUMBER(E316),E316&gt;0,F316&gt;E316),"Profit",IF(AND(ISNUMBER(F316),ISNUMBER(E316),E316&gt;0,F316=E316),"Draw",IF(AND(ISNUMBER(F316),ISNUMBER(E316),E316&gt;0,F316=0),"Disqualified",""))))))))</x:f>
      </x:c>
      <x:c r="L316" s="50"/>
      <x:c r="M316" s="58"/>
      <x:c r="N316" s="58"/>
      <x:c r="O316" s="62"/>
      <x:c r="P316" s="62"/>
      <x:c r="Q316" s="64" t="str">
        <x:f>IF(OR(B316="",C316="",C316&lt;B316),"",ROUNDUP((C316-B316)/7,0))</x:f>
      </x:c>
      <x:c r="R316" s="50"/>
      <x:c r="S316" s="50"/>
      <x:c r="T316" s="54"/>
      <x:c r="U316" s="66" t="str">
        <x:f>IF(A316="","",IF(K316="Subscription","",IF(ISNUMBER(G316),G316,0)-IF(ISNUMBER(I316),I316,0)))</x:f>
      </x:c>
      <x:c r="V316" s="64" t="str">
        <x:f>IF(OR(P316="",O316="",NOT(ISNUMBER(P316)),NOT(ISNUMBER(O316)),O316&gt;P316),"",P316-O316)</x:f>
      </x:c>
      <x:c r="W316" s="67" t="str">
        <x:f>IF(OR(P316="",P316=0,V316=""),"",V316/P316)</x:f>
      </x:c>
    </x:row>
    <x:row r="317" ht="21" customHeight="1">
      <x:c r="A317" s="54"/>
      <x:c r="B317" s="56"/>
      <x:c r="C317" s="56"/>
      <x:c r="D317" s="54"/>
      <x:c r="E317" s="58"/>
      <x:c r="F317" s="58"/>
      <x:c r="G317" s="58"/>
      <x:c r="H317" s="58"/>
      <x:c r="I317" s="58"/>
      <x:c r="J317" s="60" t="str">
        <x:f>IF(A317="","",IF(K317="Subscription","",IF(E317=0,"",IF(ISNUMBER(G317),G317/E317,IF(ISNUMBER(I317),-ABS(I317)/E317,IF(ISNUMBER(H317),0,IF(AND(ISNUMBER(F317),ISNUMBER(E317),E317&gt;0,F317&gt;E317),(F317-E317)/E317,IF(AND(ISNUMBER(F317),ISNUMBER(E317),E317&gt;0,F317=E317),0,IF(AND(ISNUMBER(F317),ISNUMBER(E317),E317&gt;0,F317=0),-1,"")))))))))</x:f>
      </x:c>
      <x:c r="K317" s="50" t="str">
        <x:f>IF(A317="","",IF(AND(ISNUMBER(E317),E317=0,OR(ISNUMBER(SEARCH("Free",D317&amp;"")),AND(ISNUMBER(F317),F317=0))),"Subscription",IF(ISNUMBER(G317),"Profit",IF(ISNUMBER(I317),"Disqualified",IF(ISNUMBER(H317),"Draw",IF(AND(ISNUMBER(F317),ISNUMBER(E317),E317&gt;0,F317&gt;E317),"Profit",IF(AND(ISNUMBER(F317),ISNUMBER(E317),E317&gt;0,F317=E317),"Draw",IF(AND(ISNUMBER(F317),ISNUMBER(E317),E317&gt;0,F317=0),"Disqualified",""))))))))</x:f>
      </x:c>
      <x:c r="L317" s="50"/>
      <x:c r="M317" s="58"/>
      <x:c r="N317" s="58"/>
      <x:c r="O317" s="62"/>
      <x:c r="P317" s="62"/>
      <x:c r="Q317" s="64" t="str">
        <x:f>IF(OR(B317="",C317="",C317&lt;B317),"",ROUNDUP((C317-B317)/7,0))</x:f>
      </x:c>
      <x:c r="R317" s="50"/>
      <x:c r="S317" s="50"/>
      <x:c r="T317" s="54"/>
      <x:c r="U317" s="66" t="str">
        <x:f>IF(A317="","",IF(K317="Subscription","",IF(ISNUMBER(G317),G317,0)-IF(ISNUMBER(I317),I317,0)))</x:f>
      </x:c>
      <x:c r="V317" s="64" t="str">
        <x:f>IF(OR(P317="",O317="",NOT(ISNUMBER(P317)),NOT(ISNUMBER(O317)),O317&gt;P317),"",P317-O317)</x:f>
      </x:c>
      <x:c r="W317" s="67" t="str">
        <x:f>IF(OR(P317="",P317=0,V317=""),"",V317/P317)</x:f>
      </x:c>
    </x:row>
    <x:row r="318" ht="21" customHeight="1">
      <x:c r="A318" s="54"/>
      <x:c r="B318" s="56"/>
      <x:c r="C318" s="56"/>
      <x:c r="D318" s="54"/>
      <x:c r="E318" s="58"/>
      <x:c r="F318" s="58"/>
      <x:c r="G318" s="58"/>
      <x:c r="H318" s="58"/>
      <x:c r="I318" s="58"/>
      <x:c r="J318" s="60" t="str">
        <x:f>IF(A318="","",IF(K318="Subscription","",IF(E318=0,"",IF(ISNUMBER(G318),G318/E318,IF(ISNUMBER(I318),-ABS(I318)/E318,IF(ISNUMBER(H318),0,IF(AND(ISNUMBER(F318),ISNUMBER(E318),E318&gt;0,F318&gt;E318),(F318-E318)/E318,IF(AND(ISNUMBER(F318),ISNUMBER(E318),E318&gt;0,F318=E318),0,IF(AND(ISNUMBER(F318),ISNUMBER(E318),E318&gt;0,F318=0),-1,"")))))))))</x:f>
      </x:c>
      <x:c r="K318" s="50" t="str">
        <x:f>IF(A318="","",IF(AND(ISNUMBER(E318),E318=0,OR(ISNUMBER(SEARCH("Free",D318&amp;"")),AND(ISNUMBER(F318),F318=0))),"Subscription",IF(ISNUMBER(G318),"Profit",IF(ISNUMBER(I318),"Disqualified",IF(ISNUMBER(H318),"Draw",IF(AND(ISNUMBER(F318),ISNUMBER(E318),E318&gt;0,F318&gt;E318),"Profit",IF(AND(ISNUMBER(F318),ISNUMBER(E318),E318&gt;0,F318=E318),"Draw",IF(AND(ISNUMBER(F318),ISNUMBER(E318),E318&gt;0,F318=0),"Disqualified",""))))))))</x:f>
      </x:c>
      <x:c r="L318" s="50"/>
      <x:c r="M318" s="58"/>
      <x:c r="N318" s="58"/>
      <x:c r="O318" s="62"/>
      <x:c r="P318" s="62"/>
      <x:c r="Q318" s="64" t="str">
        <x:f>IF(OR(B318="",C318="",C318&lt;B318),"",ROUNDUP((C318-B318)/7,0))</x:f>
      </x:c>
      <x:c r="R318" s="50"/>
      <x:c r="S318" s="50"/>
      <x:c r="T318" s="54"/>
      <x:c r="U318" s="66" t="str">
        <x:f>IF(A318="","",IF(K318="Subscription","",IF(ISNUMBER(G318),G318,0)-IF(ISNUMBER(I318),I318,0)))</x:f>
      </x:c>
      <x:c r="V318" s="64" t="str">
        <x:f>IF(OR(P318="",O318="",NOT(ISNUMBER(P318)),NOT(ISNUMBER(O318)),O318&gt;P318),"",P318-O318)</x:f>
      </x:c>
      <x:c r="W318" s="67" t="str">
        <x:f>IF(OR(P318="",P318=0,V318=""),"",V318/P318)</x:f>
      </x:c>
    </x:row>
    <x:row r="319" ht="21" customHeight="1">
      <x:c r="A319" s="54"/>
      <x:c r="B319" s="56"/>
      <x:c r="C319" s="56"/>
      <x:c r="D319" s="54"/>
      <x:c r="E319" s="58"/>
      <x:c r="F319" s="58"/>
      <x:c r="G319" s="58"/>
      <x:c r="H319" s="58"/>
      <x:c r="I319" s="58"/>
      <x:c r="J319" s="60" t="str">
        <x:f>IF(A319="","",IF(K319="Subscription","",IF(E319=0,"",IF(ISNUMBER(G319),G319/E319,IF(ISNUMBER(I319),-ABS(I319)/E319,IF(ISNUMBER(H319),0,IF(AND(ISNUMBER(F319),ISNUMBER(E319),E319&gt;0,F319&gt;E319),(F319-E319)/E319,IF(AND(ISNUMBER(F319),ISNUMBER(E319),E319&gt;0,F319=E319),0,IF(AND(ISNUMBER(F319),ISNUMBER(E319),E319&gt;0,F319=0),-1,"")))))))))</x:f>
      </x:c>
      <x:c r="K319" s="50" t="str">
        <x:f>IF(A319="","",IF(AND(ISNUMBER(E319),E319=0,OR(ISNUMBER(SEARCH("Free",D319&amp;"")),AND(ISNUMBER(F319),F319=0))),"Subscription",IF(ISNUMBER(G319),"Profit",IF(ISNUMBER(I319),"Disqualified",IF(ISNUMBER(H319),"Draw",IF(AND(ISNUMBER(F319),ISNUMBER(E319),E319&gt;0,F319&gt;E319),"Profit",IF(AND(ISNUMBER(F319),ISNUMBER(E319),E319&gt;0,F319=E319),"Draw",IF(AND(ISNUMBER(F319),ISNUMBER(E319),E319&gt;0,F319=0),"Disqualified",""))))))))</x:f>
      </x:c>
      <x:c r="L319" s="50"/>
      <x:c r="M319" s="58"/>
      <x:c r="N319" s="58"/>
      <x:c r="O319" s="62"/>
      <x:c r="P319" s="62"/>
      <x:c r="Q319" s="64" t="str">
        <x:f>IF(OR(B319="",C319="",C319&lt;B319),"",ROUNDUP((C319-B319)/7,0))</x:f>
      </x:c>
      <x:c r="R319" s="50"/>
      <x:c r="S319" s="50"/>
      <x:c r="T319" s="54"/>
      <x:c r="U319" s="66" t="str">
        <x:f>IF(A319="","",IF(K319="Subscription","",IF(ISNUMBER(G319),G319,0)-IF(ISNUMBER(I319),I319,0)))</x:f>
      </x:c>
      <x:c r="V319" s="64" t="str">
        <x:f>IF(OR(P319="",O319="",NOT(ISNUMBER(P319)),NOT(ISNUMBER(O319)),O319&gt;P319),"",P319-O319)</x:f>
      </x:c>
      <x:c r="W319" s="67" t="str">
        <x:f>IF(OR(P319="",P319=0,V319=""),"",V319/P319)</x:f>
      </x:c>
    </x:row>
    <x:row r="320" ht="21" customHeight="1">
      <x:c r="A320" s="54"/>
      <x:c r="B320" s="56"/>
      <x:c r="C320" s="56"/>
      <x:c r="D320" s="54"/>
      <x:c r="E320" s="58"/>
      <x:c r="F320" s="58"/>
      <x:c r="G320" s="58"/>
      <x:c r="H320" s="58"/>
      <x:c r="I320" s="58"/>
      <x:c r="J320" s="60" t="str">
        <x:f>IF(A320="","",IF(K320="Subscription","",IF(E320=0,"",IF(ISNUMBER(G320),G320/E320,IF(ISNUMBER(I320),-ABS(I320)/E320,IF(ISNUMBER(H320),0,IF(AND(ISNUMBER(F320),ISNUMBER(E320),E320&gt;0,F320&gt;E320),(F320-E320)/E320,IF(AND(ISNUMBER(F320),ISNUMBER(E320),E320&gt;0,F320=E320),0,IF(AND(ISNUMBER(F320),ISNUMBER(E320),E320&gt;0,F320=0),-1,"")))))))))</x:f>
      </x:c>
      <x:c r="K320" s="50" t="str">
        <x:f>IF(A320="","",IF(AND(ISNUMBER(E320),E320=0,OR(ISNUMBER(SEARCH("Free",D320&amp;"")),AND(ISNUMBER(F320),F320=0))),"Subscription",IF(ISNUMBER(G320),"Profit",IF(ISNUMBER(I320),"Disqualified",IF(ISNUMBER(H320),"Draw",IF(AND(ISNUMBER(F320),ISNUMBER(E320),E320&gt;0,F320&gt;E320),"Profit",IF(AND(ISNUMBER(F320),ISNUMBER(E320),E320&gt;0,F320=E320),"Draw",IF(AND(ISNUMBER(F320),ISNUMBER(E320),E320&gt;0,F320=0),"Disqualified",""))))))))</x:f>
      </x:c>
      <x:c r="L320" s="50"/>
      <x:c r="M320" s="58"/>
      <x:c r="N320" s="58"/>
      <x:c r="O320" s="62"/>
      <x:c r="P320" s="62"/>
      <x:c r="Q320" s="64" t="str">
        <x:f>IF(OR(B320="",C320="",C320&lt;B320),"",ROUNDUP((C320-B320)/7,0))</x:f>
      </x:c>
      <x:c r="R320" s="50"/>
      <x:c r="S320" s="50"/>
      <x:c r="T320" s="54"/>
      <x:c r="U320" s="66" t="str">
        <x:f>IF(A320="","",IF(K320="Subscription","",IF(ISNUMBER(G320),G320,0)-IF(ISNUMBER(I320),I320,0)))</x:f>
      </x:c>
      <x:c r="V320" s="64" t="str">
        <x:f>IF(OR(P320="",O320="",NOT(ISNUMBER(P320)),NOT(ISNUMBER(O320)),O320&gt;P320),"",P320-O320)</x:f>
      </x:c>
      <x:c r="W320" s="67" t="str">
        <x:f>IF(OR(P320="",P320=0,V320=""),"",V320/P320)</x:f>
      </x:c>
    </x:row>
    <x:row r="321" ht="21" customHeight="1">
      <x:c r="A321" s="54"/>
      <x:c r="B321" s="56"/>
      <x:c r="C321" s="56"/>
      <x:c r="D321" s="54"/>
      <x:c r="E321" s="58"/>
      <x:c r="F321" s="58"/>
      <x:c r="G321" s="58"/>
      <x:c r="H321" s="58"/>
      <x:c r="I321" s="58"/>
      <x:c r="J321" s="60" t="str">
        <x:f>IF(A321="","",IF(K321="Subscription","",IF(E321=0,"",IF(ISNUMBER(G321),G321/E321,IF(ISNUMBER(I321),-ABS(I321)/E321,IF(ISNUMBER(H321),0,IF(AND(ISNUMBER(F321),ISNUMBER(E321),E321&gt;0,F321&gt;E321),(F321-E321)/E321,IF(AND(ISNUMBER(F321),ISNUMBER(E321),E321&gt;0,F321=E321),0,IF(AND(ISNUMBER(F321),ISNUMBER(E321),E321&gt;0,F321=0),-1,"")))))))))</x:f>
      </x:c>
      <x:c r="K321" s="50" t="str">
        <x:f>IF(A321="","",IF(AND(ISNUMBER(E321),E321=0,OR(ISNUMBER(SEARCH("Free",D321&amp;"")),AND(ISNUMBER(F321),F321=0))),"Subscription",IF(ISNUMBER(G321),"Profit",IF(ISNUMBER(I321),"Disqualified",IF(ISNUMBER(H321),"Draw",IF(AND(ISNUMBER(F321),ISNUMBER(E321),E321&gt;0,F321&gt;E321),"Profit",IF(AND(ISNUMBER(F321),ISNUMBER(E321),E321&gt;0,F321=E321),"Draw",IF(AND(ISNUMBER(F321),ISNUMBER(E321),E321&gt;0,F321=0),"Disqualified",""))))))))</x:f>
      </x:c>
      <x:c r="L321" s="50"/>
      <x:c r="M321" s="58"/>
      <x:c r="N321" s="58"/>
      <x:c r="O321" s="62"/>
      <x:c r="P321" s="62"/>
      <x:c r="Q321" s="64" t="str">
        <x:f>IF(OR(B321="",C321="",C321&lt;B321),"",ROUNDUP((C321-B321)/7,0))</x:f>
      </x:c>
      <x:c r="R321" s="50"/>
      <x:c r="S321" s="50"/>
      <x:c r="T321" s="54"/>
      <x:c r="U321" s="66" t="str">
        <x:f>IF(A321="","",IF(K321="Subscription","",IF(ISNUMBER(G321),G321,0)-IF(ISNUMBER(I321),I321,0)))</x:f>
      </x:c>
      <x:c r="V321" s="64" t="str">
        <x:f>IF(OR(P321="",O321="",NOT(ISNUMBER(P321)),NOT(ISNUMBER(O321)),O321&gt;P321),"",P321-O321)</x:f>
      </x:c>
      <x:c r="W321" s="67" t="str">
        <x:f>IF(OR(P321="",P321=0,V321=""),"",V321/P321)</x:f>
      </x:c>
    </x:row>
    <x:row r="322" ht="21" customHeight="1">
      <x:c r="A322" s="54"/>
      <x:c r="B322" s="56"/>
      <x:c r="C322" s="56"/>
      <x:c r="D322" s="54"/>
      <x:c r="E322" s="58"/>
      <x:c r="F322" s="58"/>
      <x:c r="G322" s="58"/>
      <x:c r="H322" s="58"/>
      <x:c r="I322" s="58"/>
      <x:c r="J322" s="60" t="str">
        <x:f>IF(A322="","",IF(K322="Subscription","",IF(E322=0,"",IF(ISNUMBER(G322),G322/E322,IF(ISNUMBER(I322),-ABS(I322)/E322,IF(ISNUMBER(H322),0,IF(AND(ISNUMBER(F322),ISNUMBER(E322),E322&gt;0,F322&gt;E322),(F322-E322)/E322,IF(AND(ISNUMBER(F322),ISNUMBER(E322),E322&gt;0,F322=E322),0,IF(AND(ISNUMBER(F322),ISNUMBER(E322),E322&gt;0,F322=0),-1,"")))))))))</x:f>
      </x:c>
      <x:c r="K322" s="50" t="str">
        <x:f>IF(A322="","",IF(AND(ISNUMBER(E322),E322=0,OR(ISNUMBER(SEARCH("Free",D322&amp;"")),AND(ISNUMBER(F322),F322=0))),"Subscription",IF(ISNUMBER(G322),"Profit",IF(ISNUMBER(I322),"Disqualified",IF(ISNUMBER(H322),"Draw",IF(AND(ISNUMBER(F322),ISNUMBER(E322),E322&gt;0,F322&gt;E322),"Profit",IF(AND(ISNUMBER(F322),ISNUMBER(E322),E322&gt;0,F322=E322),"Draw",IF(AND(ISNUMBER(F322),ISNUMBER(E322),E322&gt;0,F322=0),"Disqualified",""))))))))</x:f>
      </x:c>
      <x:c r="L322" s="50"/>
      <x:c r="M322" s="58"/>
      <x:c r="N322" s="58"/>
      <x:c r="O322" s="62"/>
      <x:c r="P322" s="62"/>
      <x:c r="Q322" s="64" t="str">
        <x:f>IF(OR(B322="",C322="",C322&lt;B322),"",ROUNDUP((C322-B322)/7,0))</x:f>
      </x:c>
      <x:c r="R322" s="50"/>
      <x:c r="S322" s="50"/>
      <x:c r="T322" s="54"/>
      <x:c r="U322" s="66" t="str">
        <x:f>IF(A322="","",IF(K322="Subscription","",IF(ISNUMBER(G322),G322,0)-IF(ISNUMBER(I322),I322,0)))</x:f>
      </x:c>
      <x:c r="V322" s="64" t="str">
        <x:f>IF(OR(P322="",O322="",NOT(ISNUMBER(P322)),NOT(ISNUMBER(O322)),O322&gt;P322),"",P322-O322)</x:f>
      </x:c>
      <x:c r="W322" s="67" t="str">
        <x:f>IF(OR(P322="",P322=0,V322=""),"",V322/P322)</x:f>
      </x:c>
    </x:row>
    <x:row r="323" ht="21" customHeight="1">
      <x:c r="A323" s="54"/>
      <x:c r="B323" s="56"/>
      <x:c r="C323" s="56"/>
      <x:c r="D323" s="54"/>
      <x:c r="E323" s="58"/>
      <x:c r="F323" s="58"/>
      <x:c r="G323" s="58"/>
      <x:c r="H323" s="58"/>
      <x:c r="I323" s="58"/>
      <x:c r="J323" s="60" t="str">
        <x:f>IF(A323="","",IF(K323="Subscription","",IF(E323=0,"",IF(ISNUMBER(G323),G323/E323,IF(ISNUMBER(I323),-ABS(I323)/E323,IF(ISNUMBER(H323),0,IF(AND(ISNUMBER(F323),ISNUMBER(E323),E323&gt;0,F323&gt;E323),(F323-E323)/E323,IF(AND(ISNUMBER(F323),ISNUMBER(E323),E323&gt;0,F323=E323),0,IF(AND(ISNUMBER(F323),ISNUMBER(E323),E323&gt;0,F323=0),-1,"")))))))))</x:f>
      </x:c>
      <x:c r="K323" s="50" t="str">
        <x:f>IF(A323="","",IF(AND(ISNUMBER(E323),E323=0,OR(ISNUMBER(SEARCH("Free",D323&amp;"")),AND(ISNUMBER(F323),F323=0))),"Subscription",IF(ISNUMBER(G323),"Profit",IF(ISNUMBER(I323),"Disqualified",IF(ISNUMBER(H323),"Draw",IF(AND(ISNUMBER(F323),ISNUMBER(E323),E323&gt;0,F323&gt;E323),"Profit",IF(AND(ISNUMBER(F323),ISNUMBER(E323),E323&gt;0,F323=E323),"Draw",IF(AND(ISNUMBER(F323),ISNUMBER(E323),E323&gt;0,F323=0),"Disqualified",""))))))))</x:f>
      </x:c>
      <x:c r="L323" s="50"/>
      <x:c r="M323" s="58"/>
      <x:c r="N323" s="58"/>
      <x:c r="O323" s="62"/>
      <x:c r="P323" s="62"/>
      <x:c r="Q323" s="64" t="str">
        <x:f>IF(OR(B323="",C323="",C323&lt;B323),"",ROUNDUP((C323-B323)/7,0))</x:f>
      </x:c>
      <x:c r="R323" s="50"/>
      <x:c r="S323" s="50"/>
      <x:c r="T323" s="54"/>
      <x:c r="U323" s="66" t="str">
        <x:f>IF(A323="","",IF(K323="Subscription","",IF(ISNUMBER(G323),G323,0)-IF(ISNUMBER(I323),I323,0)))</x:f>
      </x:c>
      <x:c r="V323" s="64" t="str">
        <x:f>IF(OR(P323="",O323="",NOT(ISNUMBER(P323)),NOT(ISNUMBER(O323)),O323&gt;P323),"",P323-O323)</x:f>
      </x:c>
      <x:c r="W323" s="67" t="str">
        <x:f>IF(OR(P323="",P323=0,V323=""),"",V323/P323)</x:f>
      </x:c>
    </x:row>
    <x:row r="324" ht="21" customHeight="1">
      <x:c r="A324" s="54"/>
      <x:c r="B324" s="56"/>
      <x:c r="C324" s="56"/>
      <x:c r="D324" s="54"/>
      <x:c r="E324" s="58"/>
      <x:c r="F324" s="58"/>
      <x:c r="G324" s="58"/>
      <x:c r="H324" s="58"/>
      <x:c r="I324" s="58"/>
      <x:c r="J324" s="60" t="str">
        <x:f>IF(A324="","",IF(K324="Subscription","",IF(E324=0,"",IF(ISNUMBER(G324),G324/E324,IF(ISNUMBER(I324),-ABS(I324)/E324,IF(ISNUMBER(H324),0,IF(AND(ISNUMBER(F324),ISNUMBER(E324),E324&gt;0,F324&gt;E324),(F324-E324)/E324,IF(AND(ISNUMBER(F324),ISNUMBER(E324),E324&gt;0,F324=E324),0,IF(AND(ISNUMBER(F324),ISNUMBER(E324),E324&gt;0,F324=0),-1,"")))))))))</x:f>
      </x:c>
      <x:c r="K324" s="50" t="str">
        <x:f>IF(A324="","",IF(AND(ISNUMBER(E324),E324=0,OR(ISNUMBER(SEARCH("Free",D324&amp;"")),AND(ISNUMBER(F324),F324=0))),"Subscription",IF(ISNUMBER(G324),"Profit",IF(ISNUMBER(I324),"Disqualified",IF(ISNUMBER(H324),"Draw",IF(AND(ISNUMBER(F324),ISNUMBER(E324),E324&gt;0,F324&gt;E324),"Profit",IF(AND(ISNUMBER(F324),ISNUMBER(E324),E324&gt;0,F324=E324),"Draw",IF(AND(ISNUMBER(F324),ISNUMBER(E324),E324&gt;0,F324=0),"Disqualified",""))))))))</x:f>
      </x:c>
      <x:c r="L324" s="50"/>
      <x:c r="M324" s="58"/>
      <x:c r="N324" s="58"/>
      <x:c r="O324" s="62"/>
      <x:c r="P324" s="62"/>
      <x:c r="Q324" s="64" t="str">
        <x:f>IF(OR(B324="",C324="",C324&lt;B324),"",ROUNDUP((C324-B324)/7,0))</x:f>
      </x:c>
      <x:c r="R324" s="50"/>
      <x:c r="S324" s="50"/>
      <x:c r="T324" s="54"/>
      <x:c r="U324" s="66" t="str">
        <x:f>IF(A324="","",IF(K324="Subscription","",IF(ISNUMBER(G324),G324,0)-IF(ISNUMBER(I324),I324,0)))</x:f>
      </x:c>
      <x:c r="V324" s="64" t="str">
        <x:f>IF(OR(P324="",O324="",NOT(ISNUMBER(P324)),NOT(ISNUMBER(O324)),O324&gt;P324),"",P324-O324)</x:f>
      </x:c>
      <x:c r="W324" s="67" t="str">
        <x:f>IF(OR(P324="",P324=0,V324=""),"",V324/P324)</x:f>
      </x:c>
    </x:row>
    <x:row r="325" ht="21" customHeight="1">
      <x:c r="A325" s="54"/>
      <x:c r="B325" s="56"/>
      <x:c r="C325" s="56"/>
      <x:c r="D325" s="54"/>
      <x:c r="E325" s="58"/>
      <x:c r="F325" s="58"/>
      <x:c r="G325" s="58"/>
      <x:c r="H325" s="58"/>
      <x:c r="I325" s="58"/>
      <x:c r="J325" s="60" t="str">
        <x:f>IF(A325="","",IF(K325="Subscription","",IF(E325=0,"",IF(ISNUMBER(G325),G325/E325,IF(ISNUMBER(I325),-ABS(I325)/E325,IF(ISNUMBER(H325),0,IF(AND(ISNUMBER(F325),ISNUMBER(E325),E325&gt;0,F325&gt;E325),(F325-E325)/E325,IF(AND(ISNUMBER(F325),ISNUMBER(E325),E325&gt;0,F325=E325),0,IF(AND(ISNUMBER(F325),ISNUMBER(E325),E325&gt;0,F325=0),-1,"")))))))))</x:f>
      </x:c>
      <x:c r="K325" s="50" t="str">
        <x:f>IF(A325="","",IF(AND(ISNUMBER(E325),E325=0,OR(ISNUMBER(SEARCH("Free",D325&amp;"")),AND(ISNUMBER(F325),F325=0))),"Subscription",IF(ISNUMBER(G325),"Profit",IF(ISNUMBER(I325),"Disqualified",IF(ISNUMBER(H325),"Draw",IF(AND(ISNUMBER(F325),ISNUMBER(E325),E325&gt;0,F325&gt;E325),"Profit",IF(AND(ISNUMBER(F325),ISNUMBER(E325),E325&gt;0,F325=E325),"Draw",IF(AND(ISNUMBER(F325),ISNUMBER(E325),E325&gt;0,F325=0),"Disqualified",""))))))))</x:f>
      </x:c>
      <x:c r="L325" s="50"/>
      <x:c r="M325" s="58"/>
      <x:c r="N325" s="58"/>
      <x:c r="O325" s="62"/>
      <x:c r="P325" s="62"/>
      <x:c r="Q325" s="64" t="str">
        <x:f>IF(OR(B325="",C325="",C325&lt;B325),"",ROUNDUP((C325-B325)/7,0))</x:f>
      </x:c>
      <x:c r="R325" s="50"/>
      <x:c r="S325" s="50"/>
      <x:c r="T325" s="54"/>
      <x:c r="U325" s="66" t="str">
        <x:f>IF(A325="","",IF(K325="Subscription","",IF(ISNUMBER(G325),G325,0)-IF(ISNUMBER(I325),I325,0)))</x:f>
      </x:c>
      <x:c r="V325" s="64" t="str">
        <x:f>IF(OR(P325="",O325="",NOT(ISNUMBER(P325)),NOT(ISNUMBER(O325)),O325&gt;P325),"",P325-O325)</x:f>
      </x:c>
      <x:c r="W325" s="67" t="str">
        <x:f>IF(OR(P325="",P325=0,V325=""),"",V325/P325)</x:f>
      </x:c>
    </x:row>
    <x:row r="326" ht="21" customHeight="1">
      <x:c r="A326" s="54"/>
      <x:c r="B326" s="56"/>
      <x:c r="C326" s="56"/>
      <x:c r="D326" s="54"/>
      <x:c r="E326" s="58"/>
      <x:c r="F326" s="58"/>
      <x:c r="G326" s="58"/>
      <x:c r="H326" s="58"/>
      <x:c r="I326" s="58"/>
      <x:c r="J326" s="60" t="str">
        <x:f>IF(A326="","",IF(K326="Subscription","",IF(E326=0,"",IF(ISNUMBER(G326),G326/E326,IF(ISNUMBER(I326),-ABS(I326)/E326,IF(ISNUMBER(H326),0,IF(AND(ISNUMBER(F326),ISNUMBER(E326),E326&gt;0,F326&gt;E326),(F326-E326)/E326,IF(AND(ISNUMBER(F326),ISNUMBER(E326),E326&gt;0,F326=E326),0,IF(AND(ISNUMBER(F326),ISNUMBER(E326),E326&gt;0,F326=0),-1,"")))))))))</x:f>
      </x:c>
      <x:c r="K326" s="50" t="str">
        <x:f>IF(A326="","",IF(AND(ISNUMBER(E326),E326=0,OR(ISNUMBER(SEARCH("Free",D326&amp;"")),AND(ISNUMBER(F326),F326=0))),"Subscription",IF(ISNUMBER(G326),"Profit",IF(ISNUMBER(I326),"Disqualified",IF(ISNUMBER(H326),"Draw",IF(AND(ISNUMBER(F326),ISNUMBER(E326),E326&gt;0,F326&gt;E326),"Profit",IF(AND(ISNUMBER(F326),ISNUMBER(E326),E326&gt;0,F326=E326),"Draw",IF(AND(ISNUMBER(F326),ISNUMBER(E326),E326&gt;0,F326=0),"Disqualified",""))))))))</x:f>
      </x:c>
      <x:c r="L326" s="50"/>
      <x:c r="M326" s="58"/>
      <x:c r="N326" s="58"/>
      <x:c r="O326" s="62"/>
      <x:c r="P326" s="62"/>
      <x:c r="Q326" s="64" t="str">
        <x:f>IF(OR(B326="",C326="",C326&lt;B326),"",ROUNDUP((C326-B326)/7,0))</x:f>
      </x:c>
      <x:c r="R326" s="50"/>
      <x:c r="S326" s="50"/>
      <x:c r="T326" s="54"/>
      <x:c r="U326" s="66" t="str">
        <x:f>IF(A326="","",IF(K326="Subscription","",IF(ISNUMBER(G326),G326,0)-IF(ISNUMBER(I326),I326,0)))</x:f>
      </x:c>
      <x:c r="V326" s="64" t="str">
        <x:f>IF(OR(P326="",O326="",NOT(ISNUMBER(P326)),NOT(ISNUMBER(O326)),O326&gt;P326),"",P326-O326)</x:f>
      </x:c>
      <x:c r="W326" s="67" t="str">
        <x:f>IF(OR(P326="",P326=0,V326=""),"",V326/P326)</x:f>
      </x:c>
    </x:row>
    <x:row r="327" ht="21" customHeight="1">
      <x:c r="A327" s="54"/>
      <x:c r="B327" s="56"/>
      <x:c r="C327" s="56"/>
      <x:c r="D327" s="54"/>
      <x:c r="E327" s="58"/>
      <x:c r="F327" s="58"/>
      <x:c r="G327" s="58"/>
      <x:c r="H327" s="58"/>
      <x:c r="I327" s="58"/>
      <x:c r="J327" s="60" t="str">
        <x:f>IF(A327="","",IF(K327="Subscription","",IF(E327=0,"",IF(ISNUMBER(G327),G327/E327,IF(ISNUMBER(I327),-ABS(I327)/E327,IF(ISNUMBER(H327),0,IF(AND(ISNUMBER(F327),ISNUMBER(E327),E327&gt;0,F327&gt;E327),(F327-E327)/E327,IF(AND(ISNUMBER(F327),ISNUMBER(E327),E327&gt;0,F327=E327),0,IF(AND(ISNUMBER(F327),ISNUMBER(E327),E327&gt;0,F327=0),-1,"")))))))))</x:f>
      </x:c>
      <x:c r="K327" s="50" t="str">
        <x:f>IF(A327="","",IF(AND(ISNUMBER(E327),E327=0,OR(ISNUMBER(SEARCH("Free",D327&amp;"")),AND(ISNUMBER(F327),F327=0))),"Subscription",IF(ISNUMBER(G327),"Profit",IF(ISNUMBER(I327),"Disqualified",IF(ISNUMBER(H327),"Draw",IF(AND(ISNUMBER(F327),ISNUMBER(E327),E327&gt;0,F327&gt;E327),"Profit",IF(AND(ISNUMBER(F327),ISNUMBER(E327),E327&gt;0,F327=E327),"Draw",IF(AND(ISNUMBER(F327),ISNUMBER(E327),E327&gt;0,F327=0),"Disqualified",""))))))))</x:f>
      </x:c>
      <x:c r="L327" s="50"/>
      <x:c r="M327" s="58"/>
      <x:c r="N327" s="58"/>
      <x:c r="O327" s="62"/>
      <x:c r="P327" s="62"/>
      <x:c r="Q327" s="64" t="str">
        <x:f>IF(OR(B327="",C327="",C327&lt;B327),"",ROUNDUP((C327-B327)/7,0))</x:f>
      </x:c>
      <x:c r="R327" s="50"/>
      <x:c r="S327" s="50"/>
      <x:c r="T327" s="54"/>
      <x:c r="U327" s="66" t="str">
        <x:f>IF(A327="","",IF(K327="Subscription","",IF(ISNUMBER(G327),G327,0)-IF(ISNUMBER(I327),I327,0)))</x:f>
      </x:c>
      <x:c r="V327" s="64" t="str">
        <x:f>IF(OR(P327="",O327="",NOT(ISNUMBER(P327)),NOT(ISNUMBER(O327)),O327&gt;P327),"",P327-O327)</x:f>
      </x:c>
      <x:c r="W327" s="67" t="str">
        <x:f>IF(OR(P327="",P327=0,V327=""),"",V327/P327)</x:f>
      </x:c>
    </x:row>
    <x:row r="328" ht="21" customHeight="1">
      <x:c r="A328" s="54"/>
      <x:c r="B328" s="56"/>
      <x:c r="C328" s="56"/>
      <x:c r="D328" s="54"/>
      <x:c r="E328" s="58"/>
      <x:c r="F328" s="58"/>
      <x:c r="G328" s="58"/>
      <x:c r="H328" s="58"/>
      <x:c r="I328" s="58"/>
      <x:c r="J328" s="60" t="str">
        <x:f>IF(A328="","",IF(K328="Subscription","",IF(E328=0,"",IF(ISNUMBER(G328),G328/E328,IF(ISNUMBER(I328),-ABS(I328)/E328,IF(ISNUMBER(H328),0,IF(AND(ISNUMBER(F328),ISNUMBER(E328),E328&gt;0,F328&gt;E328),(F328-E328)/E328,IF(AND(ISNUMBER(F328),ISNUMBER(E328),E328&gt;0,F328=E328),0,IF(AND(ISNUMBER(F328),ISNUMBER(E328),E328&gt;0,F328=0),-1,"")))))))))</x:f>
      </x:c>
      <x:c r="K328" s="50" t="str">
        <x:f>IF(A328="","",IF(AND(ISNUMBER(E328),E328=0,OR(ISNUMBER(SEARCH("Free",D328&amp;"")),AND(ISNUMBER(F328),F328=0))),"Subscription",IF(ISNUMBER(G328),"Profit",IF(ISNUMBER(I328),"Disqualified",IF(ISNUMBER(H328),"Draw",IF(AND(ISNUMBER(F328),ISNUMBER(E328),E328&gt;0,F328&gt;E328),"Profit",IF(AND(ISNUMBER(F328),ISNUMBER(E328),E328&gt;0,F328=E328),"Draw",IF(AND(ISNUMBER(F328),ISNUMBER(E328),E328&gt;0,F328=0),"Disqualified",""))))))))</x:f>
      </x:c>
      <x:c r="L328" s="50"/>
      <x:c r="M328" s="58"/>
      <x:c r="N328" s="58"/>
      <x:c r="O328" s="62"/>
      <x:c r="P328" s="62"/>
      <x:c r="Q328" s="64" t="str">
        <x:f>IF(OR(B328="",C328="",C328&lt;B328),"",ROUNDUP((C328-B328)/7,0))</x:f>
      </x:c>
      <x:c r="R328" s="50"/>
      <x:c r="S328" s="50"/>
      <x:c r="T328" s="54"/>
      <x:c r="U328" s="66" t="str">
        <x:f>IF(A328="","",IF(K328="Subscription","",IF(ISNUMBER(G328),G328,0)-IF(ISNUMBER(I328),I328,0)))</x:f>
      </x:c>
      <x:c r="V328" s="64" t="str">
        <x:f>IF(OR(P328="",O328="",NOT(ISNUMBER(P328)),NOT(ISNUMBER(O328)),O328&gt;P328),"",P328-O328)</x:f>
      </x:c>
      <x:c r="W328" s="67" t="str">
        <x:f>IF(OR(P328="",P328=0,V328=""),"",V328/P328)</x:f>
      </x:c>
    </x:row>
    <x:row r="329" ht="21" customHeight="1">
      <x:c r="A329" s="54"/>
      <x:c r="B329" s="56"/>
      <x:c r="C329" s="56"/>
      <x:c r="D329" s="54"/>
      <x:c r="E329" s="58"/>
      <x:c r="F329" s="58"/>
      <x:c r="G329" s="58"/>
      <x:c r="H329" s="58"/>
      <x:c r="I329" s="58"/>
      <x:c r="J329" s="60" t="str">
        <x:f>IF(A329="","",IF(K329="Subscription","",IF(E329=0,"",IF(ISNUMBER(G329),G329/E329,IF(ISNUMBER(I329),-ABS(I329)/E329,IF(ISNUMBER(H329),0,IF(AND(ISNUMBER(F329),ISNUMBER(E329),E329&gt;0,F329&gt;E329),(F329-E329)/E329,IF(AND(ISNUMBER(F329),ISNUMBER(E329),E329&gt;0,F329=E329),0,IF(AND(ISNUMBER(F329),ISNUMBER(E329),E329&gt;0,F329=0),-1,"")))))))))</x:f>
      </x:c>
      <x:c r="K329" s="50" t="str">
        <x:f>IF(A329="","",IF(AND(ISNUMBER(E329),E329=0,OR(ISNUMBER(SEARCH("Free",D329&amp;"")),AND(ISNUMBER(F329),F329=0))),"Subscription",IF(ISNUMBER(G329),"Profit",IF(ISNUMBER(I329),"Disqualified",IF(ISNUMBER(H329),"Draw",IF(AND(ISNUMBER(F329),ISNUMBER(E329),E329&gt;0,F329&gt;E329),"Profit",IF(AND(ISNUMBER(F329),ISNUMBER(E329),E329&gt;0,F329=E329),"Draw",IF(AND(ISNUMBER(F329),ISNUMBER(E329),E329&gt;0,F329=0),"Disqualified",""))))))))</x:f>
      </x:c>
      <x:c r="L329" s="50"/>
      <x:c r="M329" s="58"/>
      <x:c r="N329" s="58"/>
      <x:c r="O329" s="62"/>
      <x:c r="P329" s="62"/>
      <x:c r="Q329" s="64" t="str">
        <x:f>IF(OR(B329="",C329="",C329&lt;B329),"",ROUNDUP((C329-B329)/7,0))</x:f>
      </x:c>
      <x:c r="R329" s="50"/>
      <x:c r="S329" s="50"/>
      <x:c r="T329" s="54"/>
      <x:c r="U329" s="66" t="str">
        <x:f>IF(A329="","",IF(K329="Subscription","",IF(ISNUMBER(G329),G329,0)-IF(ISNUMBER(I329),I329,0)))</x:f>
      </x:c>
      <x:c r="V329" s="64" t="str">
        <x:f>IF(OR(P329="",O329="",NOT(ISNUMBER(P329)),NOT(ISNUMBER(O329)),O329&gt;P329),"",P329-O329)</x:f>
      </x:c>
      <x:c r="W329" s="67" t="str">
        <x:f>IF(OR(P329="",P329=0,V329=""),"",V329/P329)</x:f>
      </x:c>
    </x:row>
    <x:row r="330" ht="21" customHeight="1">
      <x:c r="A330" s="54"/>
      <x:c r="B330" s="56"/>
      <x:c r="C330" s="56"/>
      <x:c r="D330" s="54"/>
      <x:c r="E330" s="58"/>
      <x:c r="F330" s="58"/>
      <x:c r="G330" s="58"/>
      <x:c r="H330" s="58"/>
      <x:c r="I330" s="58"/>
      <x:c r="J330" s="60" t="str">
        <x:f>IF(A330="","",IF(K330="Subscription","",IF(E330=0,"",IF(ISNUMBER(G330),G330/E330,IF(ISNUMBER(I330),-ABS(I330)/E330,IF(ISNUMBER(H330),0,IF(AND(ISNUMBER(F330),ISNUMBER(E330),E330&gt;0,F330&gt;E330),(F330-E330)/E330,IF(AND(ISNUMBER(F330),ISNUMBER(E330),E330&gt;0,F330=E330),0,IF(AND(ISNUMBER(F330),ISNUMBER(E330),E330&gt;0,F330=0),-1,"")))))))))</x:f>
      </x:c>
      <x:c r="K330" s="50" t="str">
        <x:f>IF(A330="","",IF(AND(ISNUMBER(E330),E330=0,OR(ISNUMBER(SEARCH("Free",D330&amp;"")),AND(ISNUMBER(F330),F330=0))),"Subscription",IF(ISNUMBER(G330),"Profit",IF(ISNUMBER(I330),"Disqualified",IF(ISNUMBER(H330),"Draw",IF(AND(ISNUMBER(F330),ISNUMBER(E330),E330&gt;0,F330&gt;E330),"Profit",IF(AND(ISNUMBER(F330),ISNUMBER(E330),E330&gt;0,F330=E330),"Draw",IF(AND(ISNUMBER(F330),ISNUMBER(E330),E330&gt;0,F330=0),"Disqualified",""))))))))</x:f>
      </x:c>
      <x:c r="L330" s="50"/>
      <x:c r="M330" s="58"/>
      <x:c r="N330" s="58"/>
      <x:c r="O330" s="62"/>
      <x:c r="P330" s="62"/>
      <x:c r="Q330" s="64" t="str">
        <x:f>IF(OR(B330="",C330="",C330&lt;B330),"",ROUNDUP((C330-B330)/7,0))</x:f>
      </x:c>
      <x:c r="R330" s="50"/>
      <x:c r="S330" s="50"/>
      <x:c r="T330" s="54"/>
      <x:c r="U330" s="66" t="str">
        <x:f>IF(A330="","",IF(K330="Subscription","",IF(ISNUMBER(G330),G330,0)-IF(ISNUMBER(I330),I330,0)))</x:f>
      </x:c>
      <x:c r="V330" s="64" t="str">
        <x:f>IF(OR(P330="",O330="",NOT(ISNUMBER(P330)),NOT(ISNUMBER(O330)),O330&gt;P330),"",P330-O330)</x:f>
      </x:c>
      <x:c r="W330" s="67" t="str">
        <x:f>IF(OR(P330="",P330=0,V330=""),"",V330/P330)</x:f>
      </x:c>
    </x:row>
    <x:row r="331" ht="21" customHeight="1">
      <x:c r="A331" s="54"/>
      <x:c r="B331" s="56"/>
      <x:c r="C331" s="56"/>
      <x:c r="D331" s="54"/>
      <x:c r="E331" s="58"/>
      <x:c r="F331" s="58"/>
      <x:c r="G331" s="58"/>
      <x:c r="H331" s="58"/>
      <x:c r="I331" s="58"/>
      <x:c r="J331" s="60" t="str">
        <x:f>IF(A331="","",IF(K331="Subscription","",IF(E331=0,"",IF(ISNUMBER(G331),G331/E331,IF(ISNUMBER(I331),-ABS(I331)/E331,IF(ISNUMBER(H331),0,IF(AND(ISNUMBER(F331),ISNUMBER(E331),E331&gt;0,F331&gt;E331),(F331-E331)/E331,IF(AND(ISNUMBER(F331),ISNUMBER(E331),E331&gt;0,F331=E331),0,IF(AND(ISNUMBER(F331),ISNUMBER(E331),E331&gt;0,F331=0),-1,"")))))))))</x:f>
      </x:c>
      <x:c r="K331" s="50" t="str">
        <x:f>IF(A331="","",IF(AND(ISNUMBER(E331),E331=0,OR(ISNUMBER(SEARCH("Free",D331&amp;"")),AND(ISNUMBER(F331),F331=0))),"Subscription",IF(ISNUMBER(G331),"Profit",IF(ISNUMBER(I331),"Disqualified",IF(ISNUMBER(H331),"Draw",IF(AND(ISNUMBER(F331),ISNUMBER(E331),E331&gt;0,F331&gt;E331),"Profit",IF(AND(ISNUMBER(F331),ISNUMBER(E331),E331&gt;0,F331=E331),"Draw",IF(AND(ISNUMBER(F331),ISNUMBER(E331),E331&gt;0,F331=0),"Disqualified",""))))))))</x:f>
      </x:c>
      <x:c r="L331" s="50"/>
      <x:c r="M331" s="58"/>
      <x:c r="N331" s="58"/>
      <x:c r="O331" s="62"/>
      <x:c r="P331" s="62"/>
      <x:c r="Q331" s="64" t="str">
        <x:f>IF(OR(B331="",C331="",C331&lt;B331),"",ROUNDUP((C331-B331)/7,0))</x:f>
      </x:c>
      <x:c r="R331" s="50"/>
      <x:c r="S331" s="50"/>
      <x:c r="T331" s="54"/>
      <x:c r="U331" s="66" t="str">
        <x:f>IF(A331="","",IF(K331="Subscription","",IF(ISNUMBER(G331),G331,0)-IF(ISNUMBER(I331),I331,0)))</x:f>
      </x:c>
      <x:c r="V331" s="64" t="str">
        <x:f>IF(OR(P331="",O331="",NOT(ISNUMBER(P331)),NOT(ISNUMBER(O331)),O331&gt;P331),"",P331-O331)</x:f>
      </x:c>
      <x:c r="W331" s="67" t="str">
        <x:f>IF(OR(P331="",P331=0,V331=""),"",V331/P331)</x:f>
      </x:c>
    </x:row>
    <x:row r="332" ht="21" customHeight="1">
      <x:c r="A332" s="54"/>
      <x:c r="B332" s="56"/>
      <x:c r="C332" s="56"/>
      <x:c r="D332" s="54"/>
      <x:c r="E332" s="58"/>
      <x:c r="F332" s="58"/>
      <x:c r="G332" s="58"/>
      <x:c r="H332" s="58"/>
      <x:c r="I332" s="58"/>
      <x:c r="J332" s="60" t="str">
        <x:f>IF(A332="","",IF(K332="Subscription","",IF(E332=0,"",IF(ISNUMBER(G332),G332/E332,IF(ISNUMBER(I332),-ABS(I332)/E332,IF(ISNUMBER(H332),0,IF(AND(ISNUMBER(F332),ISNUMBER(E332),E332&gt;0,F332&gt;E332),(F332-E332)/E332,IF(AND(ISNUMBER(F332),ISNUMBER(E332),E332&gt;0,F332=E332),0,IF(AND(ISNUMBER(F332),ISNUMBER(E332),E332&gt;0,F332=0),-1,"")))))))))</x:f>
      </x:c>
      <x:c r="K332" s="50" t="str">
        <x:f>IF(A332="","",IF(AND(ISNUMBER(E332),E332=0,OR(ISNUMBER(SEARCH("Free",D332&amp;"")),AND(ISNUMBER(F332),F332=0))),"Subscription",IF(ISNUMBER(G332),"Profit",IF(ISNUMBER(I332),"Disqualified",IF(ISNUMBER(H332),"Draw",IF(AND(ISNUMBER(F332),ISNUMBER(E332),E332&gt;0,F332&gt;E332),"Profit",IF(AND(ISNUMBER(F332),ISNUMBER(E332),E332&gt;0,F332=E332),"Draw",IF(AND(ISNUMBER(F332),ISNUMBER(E332),E332&gt;0,F332=0),"Disqualified",""))))))))</x:f>
      </x:c>
      <x:c r="L332" s="50"/>
      <x:c r="M332" s="58"/>
      <x:c r="N332" s="58"/>
      <x:c r="O332" s="62"/>
      <x:c r="P332" s="62"/>
      <x:c r="Q332" s="64" t="str">
        <x:f>IF(OR(B332="",C332="",C332&lt;B332),"",ROUNDUP((C332-B332)/7,0))</x:f>
      </x:c>
      <x:c r="R332" s="50"/>
      <x:c r="S332" s="50"/>
      <x:c r="T332" s="54"/>
      <x:c r="U332" s="66" t="str">
        <x:f>IF(A332="","",IF(K332="Subscription","",IF(ISNUMBER(G332),G332,0)-IF(ISNUMBER(I332),I332,0)))</x:f>
      </x:c>
      <x:c r="V332" s="64" t="str">
        <x:f>IF(OR(P332="",O332="",NOT(ISNUMBER(P332)),NOT(ISNUMBER(O332)),O332&gt;P332),"",P332-O332)</x:f>
      </x:c>
      <x:c r="W332" s="67" t="str">
        <x:f>IF(OR(P332="",P332=0,V332=""),"",V332/P332)</x:f>
      </x:c>
    </x:row>
    <x:row r="333" ht="21" customHeight="1">
      <x:c r="A333" s="54"/>
      <x:c r="B333" s="56"/>
      <x:c r="C333" s="56"/>
      <x:c r="D333" s="54"/>
      <x:c r="E333" s="58"/>
      <x:c r="F333" s="58"/>
      <x:c r="G333" s="58"/>
      <x:c r="H333" s="58"/>
      <x:c r="I333" s="58"/>
      <x:c r="J333" s="60" t="str">
        <x:f>IF(A333="","",IF(K333="Subscription","",IF(E333=0,"",IF(ISNUMBER(G333),G333/E333,IF(ISNUMBER(I333),-ABS(I333)/E333,IF(ISNUMBER(H333),0,IF(AND(ISNUMBER(F333),ISNUMBER(E333),E333&gt;0,F333&gt;E333),(F333-E333)/E333,IF(AND(ISNUMBER(F333),ISNUMBER(E333),E333&gt;0,F333=E333),0,IF(AND(ISNUMBER(F333),ISNUMBER(E333),E333&gt;0,F333=0),-1,"")))))))))</x:f>
      </x:c>
      <x:c r="K333" s="50" t="str">
        <x:f>IF(A333="","",IF(AND(ISNUMBER(E333),E333=0,OR(ISNUMBER(SEARCH("Free",D333&amp;"")),AND(ISNUMBER(F333),F333=0))),"Subscription",IF(ISNUMBER(G333),"Profit",IF(ISNUMBER(I333),"Disqualified",IF(ISNUMBER(H333),"Draw",IF(AND(ISNUMBER(F333),ISNUMBER(E333),E333&gt;0,F333&gt;E333),"Profit",IF(AND(ISNUMBER(F333),ISNUMBER(E333),E333&gt;0,F333=E333),"Draw",IF(AND(ISNUMBER(F333),ISNUMBER(E333),E333&gt;0,F333=0),"Disqualified",""))))))))</x:f>
      </x:c>
      <x:c r="L333" s="50"/>
      <x:c r="M333" s="58"/>
      <x:c r="N333" s="58"/>
      <x:c r="O333" s="62"/>
      <x:c r="P333" s="62"/>
      <x:c r="Q333" s="64" t="str">
        <x:f>IF(OR(B333="",C333="",C333&lt;B333),"",ROUNDUP((C333-B333)/7,0))</x:f>
      </x:c>
      <x:c r="R333" s="50"/>
      <x:c r="S333" s="50"/>
      <x:c r="T333" s="54"/>
      <x:c r="U333" s="66" t="str">
        <x:f>IF(A333="","",IF(K333="Subscription","",IF(ISNUMBER(G333),G333,0)-IF(ISNUMBER(I333),I333,0)))</x:f>
      </x:c>
      <x:c r="V333" s="64" t="str">
        <x:f>IF(OR(P333="",O333="",NOT(ISNUMBER(P333)),NOT(ISNUMBER(O333)),O333&gt;P333),"",P333-O333)</x:f>
      </x:c>
      <x:c r="W333" s="67" t="str">
        <x:f>IF(OR(P333="",P333=0,V333=""),"",V333/P333)</x:f>
      </x:c>
    </x:row>
    <x:row r="334" ht="21" customHeight="1">
      <x:c r="A334" s="54"/>
      <x:c r="B334" s="56"/>
      <x:c r="C334" s="56"/>
      <x:c r="D334" s="54"/>
      <x:c r="E334" s="58"/>
      <x:c r="F334" s="58"/>
      <x:c r="G334" s="58"/>
      <x:c r="H334" s="58"/>
      <x:c r="I334" s="58"/>
      <x:c r="J334" s="60" t="str">
        <x:f>IF(A334="","",IF(K334="Subscription","",IF(E334=0,"",IF(ISNUMBER(G334),G334/E334,IF(ISNUMBER(I334),-ABS(I334)/E334,IF(ISNUMBER(H334),0,IF(AND(ISNUMBER(F334),ISNUMBER(E334),E334&gt;0,F334&gt;E334),(F334-E334)/E334,IF(AND(ISNUMBER(F334),ISNUMBER(E334),E334&gt;0,F334=E334),0,IF(AND(ISNUMBER(F334),ISNUMBER(E334),E334&gt;0,F334=0),-1,"")))))))))</x:f>
      </x:c>
      <x:c r="K334" s="50" t="str">
        <x:f>IF(A334="","",IF(AND(ISNUMBER(E334),E334=0,OR(ISNUMBER(SEARCH("Free",D334&amp;"")),AND(ISNUMBER(F334),F334=0))),"Subscription",IF(ISNUMBER(G334),"Profit",IF(ISNUMBER(I334),"Disqualified",IF(ISNUMBER(H334),"Draw",IF(AND(ISNUMBER(F334),ISNUMBER(E334),E334&gt;0,F334&gt;E334),"Profit",IF(AND(ISNUMBER(F334),ISNUMBER(E334),E334&gt;0,F334=E334),"Draw",IF(AND(ISNUMBER(F334),ISNUMBER(E334),E334&gt;0,F334=0),"Disqualified",""))))))))</x:f>
      </x:c>
      <x:c r="L334" s="50"/>
      <x:c r="M334" s="58"/>
      <x:c r="N334" s="58"/>
      <x:c r="O334" s="62"/>
      <x:c r="P334" s="62"/>
      <x:c r="Q334" s="64" t="str">
        <x:f>IF(OR(B334="",C334="",C334&lt;B334),"",ROUNDUP((C334-B334)/7,0))</x:f>
      </x:c>
      <x:c r="R334" s="50"/>
      <x:c r="S334" s="50"/>
      <x:c r="T334" s="54"/>
      <x:c r="U334" s="66" t="str">
        <x:f>IF(A334="","",IF(K334="Subscription","",IF(ISNUMBER(G334),G334,0)-IF(ISNUMBER(I334),I334,0)))</x:f>
      </x:c>
      <x:c r="V334" s="64" t="str">
        <x:f>IF(OR(P334="",O334="",NOT(ISNUMBER(P334)),NOT(ISNUMBER(O334)),O334&gt;P334),"",P334-O334)</x:f>
      </x:c>
      <x:c r="W334" s="67" t="str">
        <x:f>IF(OR(P334="",P334=0,V334=""),"",V334/P334)</x:f>
      </x:c>
    </x:row>
    <x:row r="335" ht="21" customHeight="1">
      <x:c r="A335" s="54"/>
      <x:c r="B335" s="56"/>
      <x:c r="C335" s="56"/>
      <x:c r="D335" s="54"/>
      <x:c r="E335" s="58"/>
      <x:c r="F335" s="58"/>
      <x:c r="G335" s="58"/>
      <x:c r="H335" s="58"/>
      <x:c r="I335" s="58"/>
      <x:c r="J335" s="60" t="str">
        <x:f>IF(A335="","",IF(K335="Subscription","",IF(E335=0,"",IF(ISNUMBER(G335),G335/E335,IF(ISNUMBER(I335),-ABS(I335)/E335,IF(ISNUMBER(H335),0,IF(AND(ISNUMBER(F335),ISNUMBER(E335),E335&gt;0,F335&gt;E335),(F335-E335)/E335,IF(AND(ISNUMBER(F335),ISNUMBER(E335),E335&gt;0,F335=E335),0,IF(AND(ISNUMBER(F335),ISNUMBER(E335),E335&gt;0,F335=0),-1,"")))))))))</x:f>
      </x:c>
      <x:c r="K335" s="50" t="str">
        <x:f>IF(A335="","",IF(AND(ISNUMBER(E335),E335=0,OR(ISNUMBER(SEARCH("Free",D335&amp;"")),AND(ISNUMBER(F335),F335=0))),"Subscription",IF(ISNUMBER(G335),"Profit",IF(ISNUMBER(I335),"Disqualified",IF(ISNUMBER(H335),"Draw",IF(AND(ISNUMBER(F335),ISNUMBER(E335),E335&gt;0,F335&gt;E335),"Profit",IF(AND(ISNUMBER(F335),ISNUMBER(E335),E335&gt;0,F335=E335),"Draw",IF(AND(ISNUMBER(F335),ISNUMBER(E335),E335&gt;0,F335=0),"Disqualified",""))))))))</x:f>
      </x:c>
      <x:c r="L335" s="50"/>
      <x:c r="M335" s="58"/>
      <x:c r="N335" s="58"/>
      <x:c r="O335" s="62"/>
      <x:c r="P335" s="62"/>
      <x:c r="Q335" s="64" t="str">
        <x:f>IF(OR(B335="",C335="",C335&lt;B335),"",ROUNDUP((C335-B335)/7,0))</x:f>
      </x:c>
      <x:c r="R335" s="50"/>
      <x:c r="S335" s="50"/>
      <x:c r="T335" s="54"/>
      <x:c r="U335" s="66" t="str">
        <x:f>IF(A335="","",IF(K335="Subscription","",IF(ISNUMBER(G335),G335,0)-IF(ISNUMBER(I335),I335,0)))</x:f>
      </x:c>
      <x:c r="V335" s="64" t="str">
        <x:f>IF(OR(P335="",O335="",NOT(ISNUMBER(P335)),NOT(ISNUMBER(O335)),O335&gt;P335),"",P335-O335)</x:f>
      </x:c>
      <x:c r="W335" s="67" t="str">
        <x:f>IF(OR(P335="",P335=0,V335=""),"",V335/P335)</x:f>
      </x:c>
    </x:row>
    <x:row r="336" ht="21" customHeight="1">
      <x:c r="A336" s="54"/>
      <x:c r="B336" s="56"/>
      <x:c r="C336" s="56"/>
      <x:c r="D336" s="54"/>
      <x:c r="E336" s="58"/>
      <x:c r="F336" s="58"/>
      <x:c r="G336" s="58"/>
      <x:c r="H336" s="58"/>
      <x:c r="I336" s="58"/>
      <x:c r="J336" s="60" t="str">
        <x:f>IF(A336="","",IF(K336="Subscription","",IF(E336=0,"",IF(ISNUMBER(G336),G336/E336,IF(ISNUMBER(I336),-ABS(I336)/E336,IF(ISNUMBER(H336),0,IF(AND(ISNUMBER(F336),ISNUMBER(E336),E336&gt;0,F336&gt;E336),(F336-E336)/E336,IF(AND(ISNUMBER(F336),ISNUMBER(E336),E336&gt;0,F336=E336),0,IF(AND(ISNUMBER(F336),ISNUMBER(E336),E336&gt;0,F336=0),-1,"")))))))))</x:f>
      </x:c>
      <x:c r="K336" s="50" t="str">
        <x:f>IF(A336="","",IF(AND(ISNUMBER(E336),E336=0,OR(ISNUMBER(SEARCH("Free",D336&amp;"")),AND(ISNUMBER(F336),F336=0))),"Subscription",IF(ISNUMBER(G336),"Profit",IF(ISNUMBER(I336),"Disqualified",IF(ISNUMBER(H336),"Draw",IF(AND(ISNUMBER(F336),ISNUMBER(E336),E336&gt;0,F336&gt;E336),"Profit",IF(AND(ISNUMBER(F336),ISNUMBER(E336),E336&gt;0,F336=E336),"Draw",IF(AND(ISNUMBER(F336),ISNUMBER(E336),E336&gt;0,F336=0),"Disqualified",""))))))))</x:f>
      </x:c>
      <x:c r="L336" s="50"/>
      <x:c r="M336" s="58"/>
      <x:c r="N336" s="58"/>
      <x:c r="O336" s="62"/>
      <x:c r="P336" s="62"/>
      <x:c r="Q336" s="64" t="str">
        <x:f>IF(OR(B336="",C336="",C336&lt;B336),"",ROUNDUP((C336-B336)/7,0))</x:f>
      </x:c>
      <x:c r="R336" s="50"/>
      <x:c r="S336" s="50"/>
      <x:c r="T336" s="54"/>
      <x:c r="U336" s="66" t="str">
        <x:f>IF(A336="","",IF(K336="Subscription","",IF(ISNUMBER(G336),G336,0)-IF(ISNUMBER(I336),I336,0)))</x:f>
      </x:c>
      <x:c r="V336" s="64" t="str">
        <x:f>IF(OR(P336="",O336="",NOT(ISNUMBER(P336)),NOT(ISNUMBER(O336)),O336&gt;P336),"",P336-O336)</x:f>
      </x:c>
      <x:c r="W336" s="67" t="str">
        <x:f>IF(OR(P336="",P336=0,V336=""),"",V336/P336)</x:f>
      </x:c>
    </x:row>
    <x:row r="337" ht="21" customHeight="1">
      <x:c r="A337" s="54"/>
      <x:c r="B337" s="56"/>
      <x:c r="C337" s="56"/>
      <x:c r="D337" s="54"/>
      <x:c r="E337" s="58"/>
      <x:c r="F337" s="58"/>
      <x:c r="G337" s="58"/>
      <x:c r="H337" s="58"/>
      <x:c r="I337" s="58"/>
      <x:c r="J337" s="60" t="str">
        <x:f>IF(A337="","",IF(K337="Subscription","",IF(E337=0,"",IF(ISNUMBER(G337),G337/E337,IF(ISNUMBER(I337),-ABS(I337)/E337,IF(ISNUMBER(H337),0,IF(AND(ISNUMBER(F337),ISNUMBER(E337),E337&gt;0,F337&gt;E337),(F337-E337)/E337,IF(AND(ISNUMBER(F337),ISNUMBER(E337),E337&gt;0,F337=E337),0,IF(AND(ISNUMBER(F337),ISNUMBER(E337),E337&gt;0,F337=0),-1,"")))))))))</x:f>
      </x:c>
      <x:c r="K337" s="50" t="str">
        <x:f>IF(A337="","",IF(AND(ISNUMBER(E337),E337=0,OR(ISNUMBER(SEARCH("Free",D337&amp;"")),AND(ISNUMBER(F337),F337=0))),"Subscription",IF(ISNUMBER(G337),"Profit",IF(ISNUMBER(I337),"Disqualified",IF(ISNUMBER(H337),"Draw",IF(AND(ISNUMBER(F337),ISNUMBER(E337),E337&gt;0,F337&gt;E337),"Profit",IF(AND(ISNUMBER(F337),ISNUMBER(E337),E337&gt;0,F337=E337),"Draw",IF(AND(ISNUMBER(F337),ISNUMBER(E337),E337&gt;0,F337=0),"Disqualified",""))))))))</x:f>
      </x:c>
      <x:c r="L337" s="50"/>
      <x:c r="M337" s="58"/>
      <x:c r="N337" s="58"/>
      <x:c r="O337" s="62"/>
      <x:c r="P337" s="62"/>
      <x:c r="Q337" s="64" t="str">
        <x:f>IF(OR(B337="",C337="",C337&lt;B337),"",ROUNDUP((C337-B337)/7,0))</x:f>
      </x:c>
      <x:c r="R337" s="50"/>
      <x:c r="S337" s="50"/>
      <x:c r="T337" s="54"/>
      <x:c r="U337" s="66" t="str">
        <x:f>IF(A337="","",IF(K337="Subscription","",IF(ISNUMBER(G337),G337,0)-IF(ISNUMBER(I337),I337,0)))</x:f>
      </x:c>
      <x:c r="V337" s="64" t="str">
        <x:f>IF(OR(P337="",O337="",NOT(ISNUMBER(P337)),NOT(ISNUMBER(O337)),O337&gt;P337),"",P337-O337)</x:f>
      </x:c>
      <x:c r="W337" s="67" t="str">
        <x:f>IF(OR(P337="",P337=0,V337=""),"",V337/P337)</x:f>
      </x:c>
    </x:row>
    <x:row r="338" ht="21" customHeight="1">
      <x:c r="A338" s="54"/>
      <x:c r="B338" s="56"/>
      <x:c r="C338" s="56"/>
      <x:c r="D338" s="54"/>
      <x:c r="E338" s="58"/>
      <x:c r="F338" s="58"/>
      <x:c r="G338" s="58"/>
      <x:c r="H338" s="58"/>
      <x:c r="I338" s="58"/>
      <x:c r="J338" s="60" t="str">
        <x:f>IF(A338="","",IF(K338="Subscription","",IF(E338=0,"",IF(ISNUMBER(G338),G338/E338,IF(ISNUMBER(I338),-ABS(I338)/E338,IF(ISNUMBER(H338),0,IF(AND(ISNUMBER(F338),ISNUMBER(E338),E338&gt;0,F338&gt;E338),(F338-E338)/E338,IF(AND(ISNUMBER(F338),ISNUMBER(E338),E338&gt;0,F338=E338),0,IF(AND(ISNUMBER(F338),ISNUMBER(E338),E338&gt;0,F338=0),-1,"")))))))))</x:f>
      </x:c>
      <x:c r="K338" s="50" t="str">
        <x:f>IF(A338="","",IF(AND(ISNUMBER(E338),E338=0,OR(ISNUMBER(SEARCH("Free",D338&amp;"")),AND(ISNUMBER(F338),F338=0))),"Subscription",IF(ISNUMBER(G338),"Profit",IF(ISNUMBER(I338),"Disqualified",IF(ISNUMBER(H338),"Draw",IF(AND(ISNUMBER(F338),ISNUMBER(E338),E338&gt;0,F338&gt;E338),"Profit",IF(AND(ISNUMBER(F338),ISNUMBER(E338),E338&gt;0,F338=E338),"Draw",IF(AND(ISNUMBER(F338),ISNUMBER(E338),E338&gt;0,F338=0),"Disqualified",""))))))))</x:f>
      </x:c>
      <x:c r="L338" s="50"/>
      <x:c r="M338" s="58"/>
      <x:c r="N338" s="58"/>
      <x:c r="O338" s="62"/>
      <x:c r="P338" s="62"/>
      <x:c r="Q338" s="64" t="str">
        <x:f>IF(OR(B338="",C338="",C338&lt;B338),"",ROUNDUP((C338-B338)/7,0))</x:f>
      </x:c>
      <x:c r="R338" s="50"/>
      <x:c r="S338" s="50"/>
      <x:c r="T338" s="54"/>
      <x:c r="U338" s="66" t="str">
        <x:f>IF(A338="","",IF(K338="Subscription","",IF(ISNUMBER(G338),G338,0)-IF(ISNUMBER(I338),I338,0)))</x:f>
      </x:c>
      <x:c r="V338" s="64" t="str">
        <x:f>IF(OR(P338="",O338="",NOT(ISNUMBER(P338)),NOT(ISNUMBER(O338)),O338&gt;P338),"",P338-O338)</x:f>
      </x:c>
      <x:c r="W338" s="67" t="str">
        <x:f>IF(OR(P338="",P338=0,V338=""),"",V338/P338)</x:f>
      </x:c>
    </x:row>
    <x:row r="339" ht="21" customHeight="1">
      <x:c r="A339" s="54"/>
      <x:c r="B339" s="56"/>
      <x:c r="C339" s="56"/>
      <x:c r="D339" s="54"/>
      <x:c r="E339" s="58"/>
      <x:c r="F339" s="58"/>
      <x:c r="G339" s="58"/>
      <x:c r="H339" s="58"/>
      <x:c r="I339" s="58"/>
      <x:c r="J339" s="60" t="str">
        <x:f>IF(A339="","",IF(K339="Subscription","",IF(E339=0,"",IF(ISNUMBER(G339),G339/E339,IF(ISNUMBER(I339),-ABS(I339)/E339,IF(ISNUMBER(H339),0,IF(AND(ISNUMBER(F339),ISNUMBER(E339),E339&gt;0,F339&gt;E339),(F339-E339)/E339,IF(AND(ISNUMBER(F339),ISNUMBER(E339),E339&gt;0,F339=E339),0,IF(AND(ISNUMBER(F339),ISNUMBER(E339),E339&gt;0,F339=0),-1,"")))))))))</x:f>
      </x:c>
      <x:c r="K339" s="50" t="str">
        <x:f>IF(A339="","",IF(AND(ISNUMBER(E339),E339=0,OR(ISNUMBER(SEARCH("Free",D339&amp;"")),AND(ISNUMBER(F339),F339=0))),"Subscription",IF(ISNUMBER(G339),"Profit",IF(ISNUMBER(I339),"Disqualified",IF(ISNUMBER(H339),"Draw",IF(AND(ISNUMBER(F339),ISNUMBER(E339),E339&gt;0,F339&gt;E339),"Profit",IF(AND(ISNUMBER(F339),ISNUMBER(E339),E339&gt;0,F339=E339),"Draw",IF(AND(ISNUMBER(F339),ISNUMBER(E339),E339&gt;0,F339=0),"Disqualified",""))))))))</x:f>
      </x:c>
      <x:c r="L339" s="50"/>
      <x:c r="M339" s="58"/>
      <x:c r="N339" s="58"/>
      <x:c r="O339" s="62"/>
      <x:c r="P339" s="62"/>
      <x:c r="Q339" s="64" t="str">
        <x:f>IF(OR(B339="",C339="",C339&lt;B339),"",ROUNDUP((C339-B339)/7,0))</x:f>
      </x:c>
      <x:c r="R339" s="50"/>
      <x:c r="S339" s="50"/>
      <x:c r="T339" s="54"/>
      <x:c r="U339" s="66" t="str">
        <x:f>IF(A339="","",IF(K339="Subscription","",IF(ISNUMBER(G339),G339,0)-IF(ISNUMBER(I339),I339,0)))</x:f>
      </x:c>
      <x:c r="V339" s="64" t="str">
        <x:f>IF(OR(P339="",O339="",NOT(ISNUMBER(P339)),NOT(ISNUMBER(O339)),O339&gt;P339),"",P339-O339)</x:f>
      </x:c>
      <x:c r="W339" s="67" t="str">
        <x:f>IF(OR(P339="",P339=0,V339=""),"",V339/P339)</x:f>
      </x:c>
    </x:row>
    <x:row r="340" ht="21" customHeight="1">
      <x:c r="A340" s="54"/>
      <x:c r="B340" s="56"/>
      <x:c r="C340" s="56"/>
      <x:c r="D340" s="54"/>
      <x:c r="E340" s="58"/>
      <x:c r="F340" s="58"/>
      <x:c r="G340" s="58"/>
      <x:c r="H340" s="58"/>
      <x:c r="I340" s="58"/>
      <x:c r="J340" s="60" t="str">
        <x:f>IF(A340="","",IF(K340="Subscription","",IF(E340=0,"",IF(ISNUMBER(G340),G340/E340,IF(ISNUMBER(I340),-ABS(I340)/E340,IF(ISNUMBER(H340),0,IF(AND(ISNUMBER(F340),ISNUMBER(E340),E340&gt;0,F340&gt;E340),(F340-E340)/E340,IF(AND(ISNUMBER(F340),ISNUMBER(E340),E340&gt;0,F340=E340),0,IF(AND(ISNUMBER(F340),ISNUMBER(E340),E340&gt;0,F340=0),-1,"")))))))))</x:f>
      </x:c>
      <x:c r="K340" s="50" t="str">
        <x:f>IF(A340="","",IF(AND(ISNUMBER(E340),E340=0,OR(ISNUMBER(SEARCH("Free",D340&amp;"")),AND(ISNUMBER(F340),F340=0))),"Subscription",IF(ISNUMBER(G340),"Profit",IF(ISNUMBER(I340),"Disqualified",IF(ISNUMBER(H340),"Draw",IF(AND(ISNUMBER(F340),ISNUMBER(E340),E340&gt;0,F340&gt;E340),"Profit",IF(AND(ISNUMBER(F340),ISNUMBER(E340),E340&gt;0,F340=E340),"Draw",IF(AND(ISNUMBER(F340),ISNUMBER(E340),E340&gt;0,F340=0),"Disqualified",""))))))))</x:f>
      </x:c>
      <x:c r="L340" s="50"/>
      <x:c r="M340" s="58"/>
      <x:c r="N340" s="58"/>
      <x:c r="O340" s="62"/>
      <x:c r="P340" s="62"/>
      <x:c r="Q340" s="64" t="str">
        <x:f>IF(OR(B340="",C340="",C340&lt;B340),"",ROUNDUP((C340-B340)/7,0))</x:f>
      </x:c>
      <x:c r="R340" s="50"/>
      <x:c r="S340" s="50"/>
      <x:c r="T340" s="54"/>
      <x:c r="U340" s="66" t="str">
        <x:f>IF(A340="","",IF(K340="Subscription","",IF(ISNUMBER(G340),G340,0)-IF(ISNUMBER(I340),I340,0)))</x:f>
      </x:c>
      <x:c r="V340" s="64" t="str">
        <x:f>IF(OR(P340="",O340="",NOT(ISNUMBER(P340)),NOT(ISNUMBER(O340)),O340&gt;P340),"",P340-O340)</x:f>
      </x:c>
      <x:c r="W340" s="67" t="str">
        <x:f>IF(OR(P340="",P340=0,V340=""),"",V340/P340)</x:f>
      </x:c>
    </x:row>
    <x:row r="341" ht="21" customHeight="1">
      <x:c r="A341" s="54"/>
      <x:c r="B341" s="56"/>
      <x:c r="C341" s="56"/>
      <x:c r="D341" s="54"/>
      <x:c r="E341" s="58"/>
      <x:c r="F341" s="58"/>
      <x:c r="G341" s="58"/>
      <x:c r="H341" s="58"/>
      <x:c r="I341" s="58"/>
      <x:c r="J341" s="60" t="str">
        <x:f>IF(A341="","",IF(K341="Subscription","",IF(E341=0,"",IF(ISNUMBER(G341),G341/E341,IF(ISNUMBER(I341),-ABS(I341)/E341,IF(ISNUMBER(H341),0,IF(AND(ISNUMBER(F341),ISNUMBER(E341),E341&gt;0,F341&gt;E341),(F341-E341)/E341,IF(AND(ISNUMBER(F341),ISNUMBER(E341),E341&gt;0,F341=E341),0,IF(AND(ISNUMBER(F341),ISNUMBER(E341),E341&gt;0,F341=0),-1,"")))))))))</x:f>
      </x:c>
      <x:c r="K341" s="50" t="str">
        <x:f>IF(A341="","",IF(AND(ISNUMBER(E341),E341=0,OR(ISNUMBER(SEARCH("Free",D341&amp;"")),AND(ISNUMBER(F341),F341=0))),"Subscription",IF(ISNUMBER(G341),"Profit",IF(ISNUMBER(I341),"Disqualified",IF(ISNUMBER(H341),"Draw",IF(AND(ISNUMBER(F341),ISNUMBER(E341),E341&gt;0,F341&gt;E341),"Profit",IF(AND(ISNUMBER(F341),ISNUMBER(E341),E341&gt;0,F341=E341),"Draw",IF(AND(ISNUMBER(F341),ISNUMBER(E341),E341&gt;0,F341=0),"Disqualified",""))))))))</x:f>
      </x:c>
      <x:c r="L341" s="50"/>
      <x:c r="M341" s="58"/>
      <x:c r="N341" s="58"/>
      <x:c r="O341" s="62"/>
      <x:c r="P341" s="62"/>
      <x:c r="Q341" s="64" t="str">
        <x:f>IF(OR(B341="",C341="",C341&lt;B341),"",ROUNDUP((C341-B341)/7,0))</x:f>
      </x:c>
      <x:c r="R341" s="50"/>
      <x:c r="S341" s="50"/>
      <x:c r="T341" s="54"/>
      <x:c r="U341" s="66" t="str">
        <x:f>IF(A341="","",IF(K341="Subscription","",IF(ISNUMBER(G341),G341,0)-IF(ISNUMBER(I341),I341,0)))</x:f>
      </x:c>
      <x:c r="V341" s="64" t="str">
        <x:f>IF(OR(P341="",O341="",NOT(ISNUMBER(P341)),NOT(ISNUMBER(O341)),O341&gt;P341),"",P341-O341)</x:f>
      </x:c>
      <x:c r="W341" s="67" t="str">
        <x:f>IF(OR(P341="",P341=0,V341=""),"",V341/P341)</x:f>
      </x:c>
    </x:row>
    <x:row r="342" ht="21" customHeight="1">
      <x:c r="A342" s="54"/>
      <x:c r="B342" s="56"/>
      <x:c r="C342" s="56"/>
      <x:c r="D342" s="54"/>
      <x:c r="E342" s="58"/>
      <x:c r="F342" s="58"/>
      <x:c r="G342" s="58"/>
      <x:c r="H342" s="58"/>
      <x:c r="I342" s="58"/>
      <x:c r="J342" s="60" t="str">
        <x:f>IF(A342="","",IF(K342="Subscription","",IF(E342=0,"",IF(ISNUMBER(G342),G342/E342,IF(ISNUMBER(I342),-ABS(I342)/E342,IF(ISNUMBER(H342),0,IF(AND(ISNUMBER(F342),ISNUMBER(E342),E342&gt;0,F342&gt;E342),(F342-E342)/E342,IF(AND(ISNUMBER(F342),ISNUMBER(E342),E342&gt;0,F342=E342),0,IF(AND(ISNUMBER(F342),ISNUMBER(E342),E342&gt;0,F342=0),-1,"")))))))))</x:f>
      </x:c>
      <x:c r="K342" s="50" t="str">
        <x:f>IF(A342="","",IF(AND(ISNUMBER(E342),E342=0,OR(ISNUMBER(SEARCH("Free",D342&amp;"")),AND(ISNUMBER(F342),F342=0))),"Subscription",IF(ISNUMBER(G342),"Profit",IF(ISNUMBER(I342),"Disqualified",IF(ISNUMBER(H342),"Draw",IF(AND(ISNUMBER(F342),ISNUMBER(E342),E342&gt;0,F342&gt;E342),"Profit",IF(AND(ISNUMBER(F342),ISNUMBER(E342),E342&gt;0,F342=E342),"Draw",IF(AND(ISNUMBER(F342),ISNUMBER(E342),E342&gt;0,F342=0),"Disqualified",""))))))))</x:f>
      </x:c>
      <x:c r="L342" s="50"/>
      <x:c r="M342" s="58"/>
      <x:c r="N342" s="58"/>
      <x:c r="O342" s="62"/>
      <x:c r="P342" s="62"/>
      <x:c r="Q342" s="64" t="str">
        <x:f>IF(OR(B342="",C342="",C342&lt;B342),"",ROUNDUP((C342-B342)/7,0))</x:f>
      </x:c>
      <x:c r="R342" s="50"/>
      <x:c r="S342" s="50"/>
      <x:c r="T342" s="54"/>
      <x:c r="U342" s="66" t="str">
        <x:f>IF(A342="","",IF(K342="Subscription","",IF(ISNUMBER(G342),G342,0)-IF(ISNUMBER(I342),I342,0)))</x:f>
      </x:c>
      <x:c r="V342" s="64" t="str">
        <x:f>IF(OR(P342="",O342="",NOT(ISNUMBER(P342)),NOT(ISNUMBER(O342)),O342&gt;P342),"",P342-O342)</x:f>
      </x:c>
      <x:c r="W342" s="67" t="str">
        <x:f>IF(OR(P342="",P342=0,V342=""),"",V342/P342)</x:f>
      </x:c>
    </x:row>
    <x:row r="343" ht="21" customHeight="1">
      <x:c r="A343" s="54"/>
      <x:c r="B343" s="56"/>
      <x:c r="C343" s="56"/>
      <x:c r="D343" s="54"/>
      <x:c r="E343" s="58"/>
      <x:c r="F343" s="58"/>
      <x:c r="G343" s="58"/>
      <x:c r="H343" s="58"/>
      <x:c r="I343" s="58"/>
      <x:c r="J343" s="60" t="str">
        <x:f>IF(A343="","",IF(K343="Subscription","",IF(E343=0,"",IF(ISNUMBER(G343),G343/E343,IF(ISNUMBER(I343),-ABS(I343)/E343,IF(ISNUMBER(H343),0,IF(AND(ISNUMBER(F343),ISNUMBER(E343),E343&gt;0,F343&gt;E343),(F343-E343)/E343,IF(AND(ISNUMBER(F343),ISNUMBER(E343),E343&gt;0,F343=E343),0,IF(AND(ISNUMBER(F343),ISNUMBER(E343),E343&gt;0,F343=0),-1,"")))))))))</x:f>
      </x:c>
      <x:c r="K343" s="50" t="str">
        <x:f>IF(A343="","",IF(AND(ISNUMBER(E343),E343=0,OR(ISNUMBER(SEARCH("Free",D343&amp;"")),AND(ISNUMBER(F343),F343=0))),"Subscription",IF(ISNUMBER(G343),"Profit",IF(ISNUMBER(I343),"Disqualified",IF(ISNUMBER(H343),"Draw",IF(AND(ISNUMBER(F343),ISNUMBER(E343),E343&gt;0,F343&gt;E343),"Profit",IF(AND(ISNUMBER(F343),ISNUMBER(E343),E343&gt;0,F343=E343),"Draw",IF(AND(ISNUMBER(F343),ISNUMBER(E343),E343&gt;0,F343=0),"Disqualified",""))))))))</x:f>
      </x:c>
      <x:c r="L343" s="50"/>
      <x:c r="M343" s="58"/>
      <x:c r="N343" s="58"/>
      <x:c r="O343" s="62"/>
      <x:c r="P343" s="62"/>
      <x:c r="Q343" s="64" t="str">
        <x:f>IF(OR(B343="",C343="",C343&lt;B343),"",ROUNDUP((C343-B343)/7,0))</x:f>
      </x:c>
      <x:c r="R343" s="50"/>
      <x:c r="S343" s="50"/>
      <x:c r="T343" s="54"/>
      <x:c r="U343" s="66" t="str">
        <x:f>IF(A343="","",IF(K343="Subscription","",IF(ISNUMBER(G343),G343,0)-IF(ISNUMBER(I343),I343,0)))</x:f>
      </x:c>
      <x:c r="V343" s="64" t="str">
        <x:f>IF(OR(P343="",O343="",NOT(ISNUMBER(P343)),NOT(ISNUMBER(O343)),O343&gt;P343),"",P343-O343)</x:f>
      </x:c>
      <x:c r="W343" s="67" t="str">
        <x:f>IF(OR(P343="",P343=0,V343=""),"",V343/P343)</x:f>
      </x:c>
    </x:row>
    <x:row r="344" ht="21" customHeight="1">
      <x:c r="A344" s="54"/>
      <x:c r="B344" s="56"/>
      <x:c r="C344" s="56"/>
      <x:c r="D344" s="54"/>
      <x:c r="E344" s="58"/>
      <x:c r="F344" s="58"/>
      <x:c r="G344" s="58"/>
      <x:c r="H344" s="58"/>
      <x:c r="I344" s="58"/>
      <x:c r="J344" s="60" t="str">
        <x:f>IF(A344="","",IF(K344="Subscription","",IF(E344=0,"",IF(ISNUMBER(G344),G344/E344,IF(ISNUMBER(I344),-ABS(I344)/E344,IF(ISNUMBER(H344),0,IF(AND(ISNUMBER(F344),ISNUMBER(E344),E344&gt;0,F344&gt;E344),(F344-E344)/E344,IF(AND(ISNUMBER(F344),ISNUMBER(E344),E344&gt;0,F344=E344),0,IF(AND(ISNUMBER(F344),ISNUMBER(E344),E344&gt;0,F344=0),-1,"")))))))))</x:f>
      </x:c>
      <x:c r="K344" s="50" t="str">
        <x:f>IF(A344="","",IF(AND(ISNUMBER(E344),E344=0,OR(ISNUMBER(SEARCH("Free",D344&amp;"")),AND(ISNUMBER(F344),F344=0))),"Subscription",IF(ISNUMBER(G344),"Profit",IF(ISNUMBER(I344),"Disqualified",IF(ISNUMBER(H344),"Draw",IF(AND(ISNUMBER(F344),ISNUMBER(E344),E344&gt;0,F344&gt;E344),"Profit",IF(AND(ISNUMBER(F344),ISNUMBER(E344),E344&gt;0,F344=E344),"Draw",IF(AND(ISNUMBER(F344),ISNUMBER(E344),E344&gt;0,F344=0),"Disqualified",""))))))))</x:f>
      </x:c>
      <x:c r="L344" s="50"/>
      <x:c r="M344" s="58"/>
      <x:c r="N344" s="58"/>
      <x:c r="O344" s="62"/>
      <x:c r="P344" s="62"/>
      <x:c r="Q344" s="64" t="str">
        <x:f>IF(OR(B344="",C344="",C344&lt;B344),"",ROUNDUP((C344-B344)/7,0))</x:f>
      </x:c>
      <x:c r="R344" s="50"/>
      <x:c r="S344" s="50"/>
      <x:c r="T344" s="54"/>
      <x:c r="U344" s="66" t="str">
        <x:f>IF(A344="","",IF(K344="Subscription","",IF(ISNUMBER(G344),G344,0)-IF(ISNUMBER(I344),I344,0)))</x:f>
      </x:c>
      <x:c r="V344" s="64" t="str">
        <x:f>IF(OR(P344="",O344="",NOT(ISNUMBER(P344)),NOT(ISNUMBER(O344)),O344&gt;P344),"",P344-O344)</x:f>
      </x:c>
      <x:c r="W344" s="67" t="str">
        <x:f>IF(OR(P344="",P344=0,V344=""),"",V344/P344)</x:f>
      </x:c>
    </x:row>
    <x:row r="345" ht="21" customHeight="1">
      <x:c r="A345" s="54"/>
      <x:c r="B345" s="56"/>
      <x:c r="C345" s="56"/>
      <x:c r="D345" s="54"/>
      <x:c r="E345" s="58"/>
      <x:c r="F345" s="58"/>
      <x:c r="G345" s="58"/>
      <x:c r="H345" s="58"/>
      <x:c r="I345" s="58"/>
      <x:c r="J345" s="60" t="str">
        <x:f>IF(A345="","",IF(K345="Subscription","",IF(E345=0,"",IF(ISNUMBER(G345),G345/E345,IF(ISNUMBER(I345),-ABS(I345)/E345,IF(ISNUMBER(H345),0,IF(AND(ISNUMBER(F345),ISNUMBER(E345),E345&gt;0,F345&gt;E345),(F345-E345)/E345,IF(AND(ISNUMBER(F345),ISNUMBER(E345),E345&gt;0,F345=E345),0,IF(AND(ISNUMBER(F345),ISNUMBER(E345),E345&gt;0,F345=0),-1,"")))))))))</x:f>
      </x:c>
      <x:c r="K345" s="50" t="str">
        <x:f>IF(A345="","",IF(AND(ISNUMBER(E345),E345=0,OR(ISNUMBER(SEARCH("Free",D345&amp;"")),AND(ISNUMBER(F345),F345=0))),"Subscription",IF(ISNUMBER(G345),"Profit",IF(ISNUMBER(I345),"Disqualified",IF(ISNUMBER(H345),"Draw",IF(AND(ISNUMBER(F345),ISNUMBER(E345),E345&gt;0,F345&gt;E345),"Profit",IF(AND(ISNUMBER(F345),ISNUMBER(E345),E345&gt;0,F345=E345),"Draw",IF(AND(ISNUMBER(F345),ISNUMBER(E345),E345&gt;0,F345=0),"Disqualified",""))))))))</x:f>
      </x:c>
      <x:c r="L345" s="50"/>
      <x:c r="M345" s="58"/>
      <x:c r="N345" s="58"/>
      <x:c r="O345" s="62"/>
      <x:c r="P345" s="62"/>
      <x:c r="Q345" s="64" t="str">
        <x:f>IF(OR(B345="",C345="",C345&lt;B345),"",ROUNDUP((C345-B345)/7,0))</x:f>
      </x:c>
      <x:c r="R345" s="50"/>
      <x:c r="S345" s="50"/>
      <x:c r="T345" s="54"/>
      <x:c r="U345" s="66" t="str">
        <x:f>IF(A345="","",IF(K345="Subscription","",IF(ISNUMBER(G345),G345,0)-IF(ISNUMBER(I345),I345,0)))</x:f>
      </x:c>
      <x:c r="V345" s="64" t="str">
        <x:f>IF(OR(P345="",O345="",NOT(ISNUMBER(P345)),NOT(ISNUMBER(O345)),O345&gt;P345),"",P345-O345)</x:f>
      </x:c>
      <x:c r="W345" s="67" t="str">
        <x:f>IF(OR(P345="",P345=0,V345=""),"",V345/P345)</x:f>
      </x:c>
    </x:row>
    <x:row r="346" ht="21" customHeight="1">
      <x:c r="A346" s="54"/>
      <x:c r="B346" s="56"/>
      <x:c r="C346" s="56"/>
      <x:c r="D346" s="54"/>
      <x:c r="E346" s="58"/>
      <x:c r="F346" s="58"/>
      <x:c r="G346" s="58"/>
      <x:c r="H346" s="58"/>
      <x:c r="I346" s="58"/>
      <x:c r="J346" s="60" t="str">
        <x:f>IF(A346="","",IF(K346="Subscription","",IF(E346=0,"",IF(ISNUMBER(G346),G346/E346,IF(ISNUMBER(I346),-ABS(I346)/E346,IF(ISNUMBER(H346),0,IF(AND(ISNUMBER(F346),ISNUMBER(E346),E346&gt;0,F346&gt;E346),(F346-E346)/E346,IF(AND(ISNUMBER(F346),ISNUMBER(E346),E346&gt;0,F346=E346),0,IF(AND(ISNUMBER(F346),ISNUMBER(E346),E346&gt;0,F346=0),-1,"")))))))))</x:f>
      </x:c>
      <x:c r="K346" s="50" t="str">
        <x:f>IF(A346="","",IF(AND(ISNUMBER(E346),E346=0,OR(ISNUMBER(SEARCH("Free",D346&amp;"")),AND(ISNUMBER(F346),F346=0))),"Subscription",IF(ISNUMBER(G346),"Profit",IF(ISNUMBER(I346),"Disqualified",IF(ISNUMBER(H346),"Draw",IF(AND(ISNUMBER(F346),ISNUMBER(E346),E346&gt;0,F346&gt;E346),"Profit",IF(AND(ISNUMBER(F346),ISNUMBER(E346),E346&gt;0,F346=E346),"Draw",IF(AND(ISNUMBER(F346),ISNUMBER(E346),E346&gt;0,F346=0),"Disqualified",""))))))))</x:f>
      </x:c>
      <x:c r="L346" s="50"/>
      <x:c r="M346" s="58"/>
      <x:c r="N346" s="58"/>
      <x:c r="O346" s="62"/>
      <x:c r="P346" s="62"/>
      <x:c r="Q346" s="64" t="str">
        <x:f>IF(OR(B346="",C346="",C346&lt;B346),"",ROUNDUP((C346-B346)/7,0))</x:f>
      </x:c>
      <x:c r="R346" s="50"/>
      <x:c r="S346" s="50"/>
      <x:c r="T346" s="54"/>
      <x:c r="U346" s="66" t="str">
        <x:f>IF(A346="","",IF(K346="Subscription","",IF(ISNUMBER(G346),G346,0)-IF(ISNUMBER(I346),I346,0)))</x:f>
      </x:c>
      <x:c r="V346" s="64" t="str">
        <x:f>IF(OR(P346="",O346="",NOT(ISNUMBER(P346)),NOT(ISNUMBER(O346)),O346&gt;P346),"",P346-O346)</x:f>
      </x:c>
      <x:c r="W346" s="67" t="str">
        <x:f>IF(OR(P346="",P346=0,V346=""),"",V346/P346)</x:f>
      </x:c>
    </x:row>
    <x:row r="347" ht="21" customHeight="1">
      <x:c r="A347" s="54"/>
      <x:c r="B347" s="56"/>
      <x:c r="C347" s="56"/>
      <x:c r="D347" s="54"/>
      <x:c r="E347" s="58"/>
      <x:c r="F347" s="58"/>
      <x:c r="G347" s="58"/>
      <x:c r="H347" s="58"/>
      <x:c r="I347" s="58"/>
      <x:c r="J347" s="60" t="str">
        <x:f>IF(A347="","",IF(K347="Subscription","",IF(E347=0,"",IF(ISNUMBER(G347),G347/E347,IF(ISNUMBER(I347),-ABS(I347)/E347,IF(ISNUMBER(H347),0,IF(AND(ISNUMBER(F347),ISNUMBER(E347),E347&gt;0,F347&gt;E347),(F347-E347)/E347,IF(AND(ISNUMBER(F347),ISNUMBER(E347),E347&gt;0,F347=E347),0,IF(AND(ISNUMBER(F347),ISNUMBER(E347),E347&gt;0,F347=0),-1,"")))))))))</x:f>
      </x:c>
      <x:c r="K347" s="50" t="str">
        <x:f>IF(A347="","",IF(AND(ISNUMBER(E347),E347=0,OR(ISNUMBER(SEARCH("Free",D347&amp;"")),AND(ISNUMBER(F347),F347=0))),"Subscription",IF(ISNUMBER(G347),"Profit",IF(ISNUMBER(I347),"Disqualified",IF(ISNUMBER(H347),"Draw",IF(AND(ISNUMBER(F347),ISNUMBER(E347),E347&gt;0,F347&gt;E347),"Profit",IF(AND(ISNUMBER(F347),ISNUMBER(E347),E347&gt;0,F347=E347),"Draw",IF(AND(ISNUMBER(F347),ISNUMBER(E347),E347&gt;0,F347=0),"Disqualified",""))))))))</x:f>
      </x:c>
      <x:c r="L347" s="50"/>
      <x:c r="M347" s="58"/>
      <x:c r="N347" s="58"/>
      <x:c r="O347" s="62"/>
      <x:c r="P347" s="62"/>
      <x:c r="Q347" s="64" t="str">
        <x:f>IF(OR(B347="",C347="",C347&lt;B347),"",ROUNDUP((C347-B347)/7,0))</x:f>
      </x:c>
      <x:c r="R347" s="50"/>
      <x:c r="S347" s="50"/>
      <x:c r="T347" s="54"/>
      <x:c r="U347" s="66" t="str">
        <x:f>IF(A347="","",IF(K347="Subscription","",IF(ISNUMBER(G347),G347,0)-IF(ISNUMBER(I347),I347,0)))</x:f>
      </x:c>
      <x:c r="V347" s="64" t="str">
        <x:f>IF(OR(P347="",O347="",NOT(ISNUMBER(P347)),NOT(ISNUMBER(O347)),O347&gt;P347),"",P347-O347)</x:f>
      </x:c>
      <x:c r="W347" s="67" t="str">
        <x:f>IF(OR(P347="",P347=0,V347=""),"",V347/P347)</x:f>
      </x:c>
    </x:row>
    <x:row r="348" ht="21" customHeight="1">
      <x:c r="A348" s="54"/>
      <x:c r="B348" s="56"/>
      <x:c r="C348" s="56"/>
      <x:c r="D348" s="54"/>
      <x:c r="E348" s="58"/>
      <x:c r="F348" s="58"/>
      <x:c r="G348" s="58"/>
      <x:c r="H348" s="58"/>
      <x:c r="I348" s="58"/>
      <x:c r="J348" s="60" t="str">
        <x:f>IF(A348="","",IF(K348="Subscription","",IF(E348=0,"",IF(ISNUMBER(G348),G348/E348,IF(ISNUMBER(I348),-ABS(I348)/E348,IF(ISNUMBER(H348),0,IF(AND(ISNUMBER(F348),ISNUMBER(E348),E348&gt;0,F348&gt;E348),(F348-E348)/E348,IF(AND(ISNUMBER(F348),ISNUMBER(E348),E348&gt;0,F348=E348),0,IF(AND(ISNUMBER(F348),ISNUMBER(E348),E348&gt;0,F348=0),-1,"")))))))))</x:f>
      </x:c>
      <x:c r="K348" s="50" t="str">
        <x:f>IF(A348="","",IF(AND(ISNUMBER(E348),E348=0,OR(ISNUMBER(SEARCH("Free",D348&amp;"")),AND(ISNUMBER(F348),F348=0))),"Subscription",IF(ISNUMBER(G348),"Profit",IF(ISNUMBER(I348),"Disqualified",IF(ISNUMBER(H348),"Draw",IF(AND(ISNUMBER(F348),ISNUMBER(E348),E348&gt;0,F348&gt;E348),"Profit",IF(AND(ISNUMBER(F348),ISNUMBER(E348),E348&gt;0,F348=E348),"Draw",IF(AND(ISNUMBER(F348),ISNUMBER(E348),E348&gt;0,F348=0),"Disqualified",""))))))))</x:f>
      </x:c>
      <x:c r="L348" s="50"/>
      <x:c r="M348" s="58"/>
      <x:c r="N348" s="58"/>
      <x:c r="O348" s="62"/>
      <x:c r="P348" s="62"/>
      <x:c r="Q348" s="64" t="str">
        <x:f>IF(OR(B348="",C348="",C348&lt;B348),"",ROUNDUP((C348-B348)/7,0))</x:f>
      </x:c>
      <x:c r="R348" s="50"/>
      <x:c r="S348" s="50"/>
      <x:c r="T348" s="54"/>
      <x:c r="U348" s="66" t="str">
        <x:f>IF(A348="","",IF(K348="Subscription","",IF(ISNUMBER(G348),G348,0)-IF(ISNUMBER(I348),I348,0)))</x:f>
      </x:c>
      <x:c r="V348" s="64" t="str">
        <x:f>IF(OR(P348="",O348="",NOT(ISNUMBER(P348)),NOT(ISNUMBER(O348)),O348&gt;P348),"",P348-O348)</x:f>
      </x:c>
      <x:c r="W348" s="67" t="str">
        <x:f>IF(OR(P348="",P348=0,V348=""),"",V348/P348)</x:f>
      </x:c>
    </x:row>
    <x:row r="349" ht="21" customHeight="1">
      <x:c r="A349" s="54"/>
      <x:c r="B349" s="56"/>
      <x:c r="C349" s="56"/>
      <x:c r="D349" s="54"/>
      <x:c r="E349" s="58"/>
      <x:c r="F349" s="58"/>
      <x:c r="G349" s="58"/>
      <x:c r="H349" s="58"/>
      <x:c r="I349" s="58"/>
      <x:c r="J349" s="60" t="str">
        <x:f>IF(A349="","",IF(K349="Subscription","",IF(E349=0,"",IF(ISNUMBER(G349),G349/E349,IF(ISNUMBER(I349),-ABS(I349)/E349,IF(ISNUMBER(H349),0,IF(AND(ISNUMBER(F349),ISNUMBER(E349),E349&gt;0,F349&gt;E349),(F349-E349)/E349,IF(AND(ISNUMBER(F349),ISNUMBER(E349),E349&gt;0,F349=E349),0,IF(AND(ISNUMBER(F349),ISNUMBER(E349),E349&gt;0,F349=0),-1,"")))))))))</x:f>
      </x:c>
      <x:c r="K349" s="50" t="str">
        <x:f>IF(A349="","",IF(AND(ISNUMBER(E349),E349=0,OR(ISNUMBER(SEARCH("Free",D349&amp;"")),AND(ISNUMBER(F349),F349=0))),"Subscription",IF(ISNUMBER(G349),"Profit",IF(ISNUMBER(I349),"Disqualified",IF(ISNUMBER(H349),"Draw",IF(AND(ISNUMBER(F349),ISNUMBER(E349),E349&gt;0,F349&gt;E349),"Profit",IF(AND(ISNUMBER(F349),ISNUMBER(E349),E349&gt;0,F349=E349),"Draw",IF(AND(ISNUMBER(F349),ISNUMBER(E349),E349&gt;0,F349=0),"Disqualified",""))))))))</x:f>
      </x:c>
      <x:c r="L349" s="50"/>
      <x:c r="M349" s="58"/>
      <x:c r="N349" s="58"/>
      <x:c r="O349" s="62"/>
      <x:c r="P349" s="62"/>
      <x:c r="Q349" s="64" t="str">
        <x:f>IF(OR(B349="",C349="",C349&lt;B349),"",ROUNDUP((C349-B349)/7,0))</x:f>
      </x:c>
      <x:c r="R349" s="50"/>
      <x:c r="S349" s="50"/>
      <x:c r="T349" s="54"/>
      <x:c r="U349" s="66" t="str">
        <x:f>IF(A349="","",IF(K349="Subscription","",IF(ISNUMBER(G349),G349,0)-IF(ISNUMBER(I349),I349,0)))</x:f>
      </x:c>
      <x:c r="V349" s="64" t="str">
        <x:f>IF(OR(P349="",O349="",NOT(ISNUMBER(P349)),NOT(ISNUMBER(O349)),O349&gt;P349),"",P349-O349)</x:f>
      </x:c>
      <x:c r="W349" s="67" t="str">
        <x:f>IF(OR(P349="",P349=0,V349=""),"",V349/P349)</x:f>
      </x:c>
    </x:row>
    <x:row r="350" ht="21" customHeight="1">
      <x:c r="A350" s="54"/>
      <x:c r="B350" s="56"/>
      <x:c r="C350" s="56"/>
      <x:c r="D350" s="54"/>
      <x:c r="E350" s="58"/>
      <x:c r="F350" s="58"/>
      <x:c r="G350" s="58"/>
      <x:c r="H350" s="58"/>
      <x:c r="I350" s="58"/>
      <x:c r="J350" s="60" t="str">
        <x:f>IF(A350="","",IF(K350="Subscription","",IF(E350=0,"",IF(ISNUMBER(G350),G350/E350,IF(ISNUMBER(I350),-ABS(I350)/E350,IF(ISNUMBER(H350),0,IF(AND(ISNUMBER(F350),ISNUMBER(E350),E350&gt;0,F350&gt;E350),(F350-E350)/E350,IF(AND(ISNUMBER(F350),ISNUMBER(E350),E350&gt;0,F350=E350),0,IF(AND(ISNUMBER(F350),ISNUMBER(E350),E350&gt;0,F350=0),-1,"")))))))))</x:f>
      </x:c>
      <x:c r="K350" s="50" t="str">
        <x:f>IF(A350="","",IF(AND(ISNUMBER(E350),E350=0,OR(ISNUMBER(SEARCH("Free",D350&amp;"")),AND(ISNUMBER(F350),F350=0))),"Subscription",IF(ISNUMBER(G350),"Profit",IF(ISNUMBER(I350),"Disqualified",IF(ISNUMBER(H350),"Draw",IF(AND(ISNUMBER(F350),ISNUMBER(E350),E350&gt;0,F350&gt;E350),"Profit",IF(AND(ISNUMBER(F350),ISNUMBER(E350),E350&gt;0,F350=E350),"Draw",IF(AND(ISNUMBER(F350),ISNUMBER(E350),E350&gt;0,F350=0),"Disqualified",""))))))))</x:f>
      </x:c>
      <x:c r="L350" s="50"/>
      <x:c r="M350" s="58"/>
      <x:c r="N350" s="58"/>
      <x:c r="O350" s="62"/>
      <x:c r="P350" s="62"/>
      <x:c r="Q350" s="64" t="str">
        <x:f>IF(OR(B350="",C350="",C350&lt;B350),"",ROUNDUP((C350-B350)/7,0))</x:f>
      </x:c>
      <x:c r="R350" s="50"/>
      <x:c r="S350" s="50"/>
      <x:c r="T350" s="54"/>
      <x:c r="U350" s="66" t="str">
        <x:f>IF(A350="","",IF(K350="Subscription","",IF(ISNUMBER(G350),G350,0)-IF(ISNUMBER(I350),I350,0)))</x:f>
      </x:c>
      <x:c r="V350" s="64" t="str">
        <x:f>IF(OR(P350="",O350="",NOT(ISNUMBER(P350)),NOT(ISNUMBER(O350)),O350&gt;P350),"",P350-O350)</x:f>
      </x:c>
      <x:c r="W350" s="67" t="str">
        <x:f>IF(OR(P350="",P350=0,V350=""),"",V350/P350)</x:f>
      </x:c>
    </x:row>
    <x:row r="351" ht="21" customHeight="1">
      <x:c r="A351" s="54"/>
      <x:c r="B351" s="56"/>
      <x:c r="C351" s="56"/>
      <x:c r="D351" s="54"/>
      <x:c r="E351" s="58"/>
      <x:c r="F351" s="58"/>
      <x:c r="G351" s="58"/>
      <x:c r="H351" s="58"/>
      <x:c r="I351" s="58"/>
      <x:c r="J351" s="60" t="str">
        <x:f>IF(A351="","",IF(K351="Subscription","",IF(E351=0,"",IF(ISNUMBER(G351),G351/E351,IF(ISNUMBER(I351),-ABS(I351)/E351,IF(ISNUMBER(H351),0,IF(AND(ISNUMBER(F351),ISNUMBER(E351),E351&gt;0,F351&gt;E351),(F351-E351)/E351,IF(AND(ISNUMBER(F351),ISNUMBER(E351),E351&gt;0,F351=E351),0,IF(AND(ISNUMBER(F351),ISNUMBER(E351),E351&gt;0,F351=0),-1,"")))))))))</x:f>
      </x:c>
      <x:c r="K351" s="50" t="str">
        <x:f>IF(A351="","",IF(AND(ISNUMBER(E351),E351=0,OR(ISNUMBER(SEARCH("Free",D351&amp;"")),AND(ISNUMBER(F351),F351=0))),"Subscription",IF(ISNUMBER(G351),"Profit",IF(ISNUMBER(I351),"Disqualified",IF(ISNUMBER(H351),"Draw",IF(AND(ISNUMBER(F351),ISNUMBER(E351),E351&gt;0,F351&gt;E351),"Profit",IF(AND(ISNUMBER(F351),ISNUMBER(E351),E351&gt;0,F351=E351),"Draw",IF(AND(ISNUMBER(F351),ISNUMBER(E351),E351&gt;0,F351=0),"Disqualified",""))))))))</x:f>
      </x:c>
      <x:c r="L351" s="50"/>
      <x:c r="M351" s="58"/>
      <x:c r="N351" s="58"/>
      <x:c r="O351" s="62"/>
      <x:c r="P351" s="62"/>
      <x:c r="Q351" s="64" t="str">
        <x:f>IF(OR(B351="",C351="",C351&lt;B351),"",ROUNDUP((C351-B351)/7,0))</x:f>
      </x:c>
      <x:c r="R351" s="50"/>
      <x:c r="S351" s="50"/>
      <x:c r="T351" s="54"/>
      <x:c r="U351" s="66" t="str">
        <x:f>IF(A351="","",IF(K351="Subscription","",IF(ISNUMBER(G351),G351,0)-IF(ISNUMBER(I351),I351,0)))</x:f>
      </x:c>
      <x:c r="V351" s="64" t="str">
        <x:f>IF(OR(P351="",O351="",NOT(ISNUMBER(P351)),NOT(ISNUMBER(O351)),O351&gt;P351),"",P351-O351)</x:f>
      </x:c>
      <x:c r="W351" s="67" t="str">
        <x:f>IF(OR(P351="",P351=0,V351=""),"",V351/P351)</x:f>
      </x:c>
    </x:row>
    <x:row r="352" ht="21" customHeight="1">
      <x:c r="A352" s="54"/>
      <x:c r="B352" s="56"/>
      <x:c r="C352" s="56"/>
      <x:c r="D352" s="54"/>
      <x:c r="E352" s="58"/>
      <x:c r="F352" s="58"/>
      <x:c r="G352" s="58"/>
      <x:c r="H352" s="58"/>
      <x:c r="I352" s="58"/>
      <x:c r="J352" s="60" t="str">
        <x:f>IF(A352="","",IF(K352="Subscription","",IF(E352=0,"",IF(ISNUMBER(G352),G352/E352,IF(ISNUMBER(I352),-ABS(I352)/E352,IF(ISNUMBER(H352),0,IF(AND(ISNUMBER(F352),ISNUMBER(E352),E352&gt;0,F352&gt;E352),(F352-E352)/E352,IF(AND(ISNUMBER(F352),ISNUMBER(E352),E352&gt;0,F352=E352),0,IF(AND(ISNUMBER(F352),ISNUMBER(E352),E352&gt;0,F352=0),-1,"")))))))))</x:f>
      </x:c>
      <x:c r="K352" s="50" t="str">
        <x:f>IF(A352="","",IF(AND(ISNUMBER(E352),E352=0,OR(ISNUMBER(SEARCH("Free",D352&amp;"")),AND(ISNUMBER(F352),F352=0))),"Subscription",IF(ISNUMBER(G352),"Profit",IF(ISNUMBER(I352),"Disqualified",IF(ISNUMBER(H352),"Draw",IF(AND(ISNUMBER(F352),ISNUMBER(E352),E352&gt;0,F352&gt;E352),"Profit",IF(AND(ISNUMBER(F352),ISNUMBER(E352),E352&gt;0,F352=E352),"Draw",IF(AND(ISNUMBER(F352),ISNUMBER(E352),E352&gt;0,F352=0),"Disqualified",""))))))))</x:f>
      </x:c>
      <x:c r="L352" s="50"/>
      <x:c r="M352" s="58"/>
      <x:c r="N352" s="58"/>
      <x:c r="O352" s="62"/>
      <x:c r="P352" s="62"/>
      <x:c r="Q352" s="64" t="str">
        <x:f>IF(OR(B352="",C352="",C352&lt;B352),"",ROUNDUP((C352-B352)/7,0))</x:f>
      </x:c>
      <x:c r="R352" s="50"/>
      <x:c r="S352" s="50"/>
      <x:c r="T352" s="54"/>
      <x:c r="U352" s="66" t="str">
        <x:f>IF(A352="","",IF(K352="Subscription","",IF(ISNUMBER(G352),G352,0)-IF(ISNUMBER(I352),I352,0)))</x:f>
      </x:c>
      <x:c r="V352" s="64" t="str">
        <x:f>IF(OR(P352="",O352="",NOT(ISNUMBER(P352)),NOT(ISNUMBER(O352)),O352&gt;P352),"",P352-O352)</x:f>
      </x:c>
      <x:c r="W352" s="67" t="str">
        <x:f>IF(OR(P352="",P352=0,V352=""),"",V352/P352)</x:f>
      </x:c>
    </x:row>
    <x:row r="353" ht="21" customHeight="1">
      <x:c r="A353" s="54"/>
      <x:c r="B353" s="56"/>
      <x:c r="C353" s="56"/>
      <x:c r="D353" s="54"/>
      <x:c r="E353" s="58"/>
      <x:c r="F353" s="58"/>
      <x:c r="G353" s="58"/>
      <x:c r="H353" s="58"/>
      <x:c r="I353" s="58"/>
      <x:c r="J353" s="60" t="str">
        <x:f>IF(A353="","",IF(K353="Subscription","",IF(E353=0,"",IF(ISNUMBER(G353),G353/E353,IF(ISNUMBER(I353),-ABS(I353)/E353,IF(ISNUMBER(H353),0,IF(AND(ISNUMBER(F353),ISNUMBER(E353),E353&gt;0,F353&gt;E353),(F353-E353)/E353,IF(AND(ISNUMBER(F353),ISNUMBER(E353),E353&gt;0,F353=E353),0,IF(AND(ISNUMBER(F353),ISNUMBER(E353),E353&gt;0,F353=0),-1,"")))))))))</x:f>
      </x:c>
      <x:c r="K353" s="50" t="str">
        <x:f>IF(A353="","",IF(AND(ISNUMBER(E353),E353=0,OR(ISNUMBER(SEARCH("Free",D353&amp;"")),AND(ISNUMBER(F353),F353=0))),"Subscription",IF(ISNUMBER(G353),"Profit",IF(ISNUMBER(I353),"Disqualified",IF(ISNUMBER(H353),"Draw",IF(AND(ISNUMBER(F353),ISNUMBER(E353),E353&gt;0,F353&gt;E353),"Profit",IF(AND(ISNUMBER(F353),ISNUMBER(E353),E353&gt;0,F353=E353),"Draw",IF(AND(ISNUMBER(F353),ISNUMBER(E353),E353&gt;0,F353=0),"Disqualified",""))))))))</x:f>
      </x:c>
      <x:c r="L353" s="50"/>
      <x:c r="M353" s="58"/>
      <x:c r="N353" s="58"/>
      <x:c r="O353" s="62"/>
      <x:c r="P353" s="62"/>
      <x:c r="Q353" s="64" t="str">
        <x:f>IF(OR(B353="",C353="",C353&lt;B353),"",ROUNDUP((C353-B353)/7,0))</x:f>
      </x:c>
      <x:c r="R353" s="50"/>
      <x:c r="S353" s="50"/>
      <x:c r="T353" s="54"/>
      <x:c r="U353" s="66" t="str">
        <x:f>IF(A353="","",IF(K353="Subscription","",IF(ISNUMBER(G353),G353,0)-IF(ISNUMBER(I353),I353,0)))</x:f>
      </x:c>
      <x:c r="V353" s="64" t="str">
        <x:f>IF(OR(P353="",O353="",NOT(ISNUMBER(P353)),NOT(ISNUMBER(O353)),O353&gt;P353),"",P353-O353)</x:f>
      </x:c>
      <x:c r="W353" s="67" t="str">
        <x:f>IF(OR(P353="",P353=0,V353=""),"",V353/P353)</x:f>
      </x:c>
    </x:row>
    <x:row r="354" ht="21" customHeight="1">
      <x:c r="A354" s="54"/>
      <x:c r="B354" s="56"/>
      <x:c r="C354" s="56"/>
      <x:c r="D354" s="54"/>
      <x:c r="E354" s="58"/>
      <x:c r="F354" s="58"/>
      <x:c r="G354" s="58"/>
      <x:c r="H354" s="58"/>
      <x:c r="I354" s="58"/>
      <x:c r="J354" s="60" t="str">
        <x:f>IF(A354="","",IF(K354="Subscription","",IF(E354=0,"",IF(ISNUMBER(G354),G354/E354,IF(ISNUMBER(I354),-ABS(I354)/E354,IF(ISNUMBER(H354),0,IF(AND(ISNUMBER(F354),ISNUMBER(E354),E354&gt;0,F354&gt;E354),(F354-E354)/E354,IF(AND(ISNUMBER(F354),ISNUMBER(E354),E354&gt;0,F354=E354),0,IF(AND(ISNUMBER(F354),ISNUMBER(E354),E354&gt;0,F354=0),-1,"")))))))))</x:f>
      </x:c>
      <x:c r="K354" s="50" t="str">
        <x:f>IF(A354="","",IF(AND(ISNUMBER(E354),E354=0,OR(ISNUMBER(SEARCH("Free",D354&amp;"")),AND(ISNUMBER(F354),F354=0))),"Subscription",IF(ISNUMBER(G354),"Profit",IF(ISNUMBER(I354),"Disqualified",IF(ISNUMBER(H354),"Draw",IF(AND(ISNUMBER(F354),ISNUMBER(E354),E354&gt;0,F354&gt;E354),"Profit",IF(AND(ISNUMBER(F354),ISNUMBER(E354),E354&gt;0,F354=E354),"Draw",IF(AND(ISNUMBER(F354),ISNUMBER(E354),E354&gt;0,F354=0),"Disqualified",""))))))))</x:f>
      </x:c>
      <x:c r="L354" s="50"/>
      <x:c r="M354" s="58"/>
      <x:c r="N354" s="58"/>
      <x:c r="O354" s="62"/>
      <x:c r="P354" s="62"/>
      <x:c r="Q354" s="64" t="str">
        <x:f>IF(OR(B354="",C354="",C354&lt;B354),"",ROUNDUP((C354-B354)/7,0))</x:f>
      </x:c>
      <x:c r="R354" s="50"/>
      <x:c r="S354" s="50"/>
      <x:c r="T354" s="54"/>
      <x:c r="U354" s="66" t="str">
        <x:f>IF(A354="","",IF(K354="Subscription","",IF(ISNUMBER(G354),G354,0)-IF(ISNUMBER(I354),I354,0)))</x:f>
      </x:c>
      <x:c r="V354" s="64" t="str">
        <x:f>IF(OR(P354="",O354="",NOT(ISNUMBER(P354)),NOT(ISNUMBER(O354)),O354&gt;P354),"",P354-O354)</x:f>
      </x:c>
      <x:c r="W354" s="67" t="str">
        <x:f>IF(OR(P354="",P354=0,V354=""),"",V354/P354)</x:f>
      </x:c>
    </x:row>
    <x:row r="355" ht="21" customHeight="1">
      <x:c r="A355" s="54"/>
      <x:c r="B355" s="56"/>
      <x:c r="C355" s="56"/>
      <x:c r="D355" s="54"/>
      <x:c r="E355" s="58"/>
      <x:c r="F355" s="58"/>
      <x:c r="G355" s="58"/>
      <x:c r="H355" s="58"/>
      <x:c r="I355" s="58"/>
      <x:c r="J355" s="60" t="str">
        <x:f>IF(A355="","",IF(K355="Subscription","",IF(E355=0,"",IF(ISNUMBER(G355),G355/E355,IF(ISNUMBER(I355),-ABS(I355)/E355,IF(ISNUMBER(H355),0,IF(AND(ISNUMBER(F355),ISNUMBER(E355),E355&gt;0,F355&gt;E355),(F355-E355)/E355,IF(AND(ISNUMBER(F355),ISNUMBER(E355),E355&gt;0,F355=E355),0,IF(AND(ISNUMBER(F355),ISNUMBER(E355),E355&gt;0,F355=0),-1,"")))))))))</x:f>
      </x:c>
      <x:c r="K355" s="50" t="str">
        <x:f>IF(A355="","",IF(AND(ISNUMBER(E355),E355=0,OR(ISNUMBER(SEARCH("Free",D355&amp;"")),AND(ISNUMBER(F355),F355=0))),"Subscription",IF(ISNUMBER(G355),"Profit",IF(ISNUMBER(I355),"Disqualified",IF(ISNUMBER(H355),"Draw",IF(AND(ISNUMBER(F355),ISNUMBER(E355),E355&gt;0,F355&gt;E355),"Profit",IF(AND(ISNUMBER(F355),ISNUMBER(E355),E355&gt;0,F355=E355),"Draw",IF(AND(ISNUMBER(F355),ISNUMBER(E355),E355&gt;0,F355=0),"Disqualified",""))))))))</x:f>
      </x:c>
      <x:c r="L355" s="50"/>
      <x:c r="M355" s="58"/>
      <x:c r="N355" s="58"/>
      <x:c r="O355" s="62"/>
      <x:c r="P355" s="62"/>
      <x:c r="Q355" s="64" t="str">
        <x:f>IF(OR(B355="",C355="",C355&lt;B355),"",ROUNDUP((C355-B355)/7,0))</x:f>
      </x:c>
      <x:c r="R355" s="50"/>
      <x:c r="S355" s="50"/>
      <x:c r="T355" s="54"/>
      <x:c r="U355" s="66" t="str">
        <x:f>IF(A355="","",IF(K355="Subscription","",IF(ISNUMBER(G355),G355,0)-IF(ISNUMBER(I355),I355,0)))</x:f>
      </x:c>
      <x:c r="V355" s="64" t="str">
        <x:f>IF(OR(P355="",O355="",NOT(ISNUMBER(P355)),NOT(ISNUMBER(O355)),O355&gt;P355),"",P355-O355)</x:f>
      </x:c>
      <x:c r="W355" s="67" t="str">
        <x:f>IF(OR(P355="",P355=0,V355=""),"",V355/P355)</x:f>
      </x:c>
    </x:row>
    <x:row r="356" ht="21" customHeight="1">
      <x:c r="A356" s="54"/>
      <x:c r="B356" s="56"/>
      <x:c r="C356" s="56"/>
      <x:c r="D356" s="54"/>
      <x:c r="E356" s="58"/>
      <x:c r="F356" s="58"/>
      <x:c r="G356" s="58"/>
      <x:c r="H356" s="58"/>
      <x:c r="I356" s="58"/>
      <x:c r="J356" s="60" t="str">
        <x:f>IF(A356="","",IF(K356="Subscription","",IF(E356=0,"",IF(ISNUMBER(G356),G356/E356,IF(ISNUMBER(I356),-ABS(I356)/E356,IF(ISNUMBER(H356),0,IF(AND(ISNUMBER(F356),ISNUMBER(E356),E356&gt;0,F356&gt;E356),(F356-E356)/E356,IF(AND(ISNUMBER(F356),ISNUMBER(E356),E356&gt;0,F356=E356),0,IF(AND(ISNUMBER(F356),ISNUMBER(E356),E356&gt;0,F356=0),-1,"")))))))))</x:f>
      </x:c>
      <x:c r="K356" s="50" t="str">
        <x:f>IF(A356="","",IF(AND(ISNUMBER(E356),E356=0,OR(ISNUMBER(SEARCH("Free",D356&amp;"")),AND(ISNUMBER(F356),F356=0))),"Subscription",IF(ISNUMBER(G356),"Profit",IF(ISNUMBER(I356),"Disqualified",IF(ISNUMBER(H356),"Draw",IF(AND(ISNUMBER(F356),ISNUMBER(E356),E356&gt;0,F356&gt;E356),"Profit",IF(AND(ISNUMBER(F356),ISNUMBER(E356),E356&gt;0,F356=E356),"Draw",IF(AND(ISNUMBER(F356),ISNUMBER(E356),E356&gt;0,F356=0),"Disqualified",""))))))))</x:f>
      </x:c>
      <x:c r="L356" s="50"/>
      <x:c r="M356" s="58"/>
      <x:c r="N356" s="58"/>
      <x:c r="O356" s="62"/>
      <x:c r="P356" s="62"/>
      <x:c r="Q356" s="64" t="str">
        <x:f>IF(OR(B356="",C356="",C356&lt;B356),"",ROUNDUP((C356-B356)/7,0))</x:f>
      </x:c>
      <x:c r="R356" s="50"/>
      <x:c r="S356" s="50"/>
      <x:c r="T356" s="54"/>
      <x:c r="U356" s="66" t="str">
        <x:f>IF(A356="","",IF(K356="Subscription","",IF(ISNUMBER(G356),G356,0)-IF(ISNUMBER(I356),I356,0)))</x:f>
      </x:c>
      <x:c r="V356" s="64" t="str">
        <x:f>IF(OR(P356="",O356="",NOT(ISNUMBER(P356)),NOT(ISNUMBER(O356)),O356&gt;P356),"",P356-O356)</x:f>
      </x:c>
      <x:c r="W356" s="67" t="str">
        <x:f>IF(OR(P356="",P356=0,V356=""),"",V356/P356)</x:f>
      </x:c>
    </x:row>
    <x:row r="357" ht="21" customHeight="1">
      <x:c r="A357" s="54"/>
      <x:c r="B357" s="56"/>
      <x:c r="C357" s="56"/>
      <x:c r="D357" s="54"/>
      <x:c r="E357" s="58"/>
      <x:c r="F357" s="58"/>
      <x:c r="G357" s="58"/>
      <x:c r="H357" s="58"/>
      <x:c r="I357" s="58"/>
      <x:c r="J357" s="60" t="str">
        <x:f>IF(A357="","",IF(K357="Subscription","",IF(E357=0,"",IF(ISNUMBER(G357),G357/E357,IF(ISNUMBER(I357),-ABS(I357)/E357,IF(ISNUMBER(H357),0,IF(AND(ISNUMBER(F357),ISNUMBER(E357),E357&gt;0,F357&gt;E357),(F357-E357)/E357,IF(AND(ISNUMBER(F357),ISNUMBER(E357),E357&gt;0,F357=E357),0,IF(AND(ISNUMBER(F357),ISNUMBER(E357),E357&gt;0,F357=0),-1,"")))))))))</x:f>
      </x:c>
      <x:c r="K357" s="50" t="str">
        <x:f>IF(A357="","",IF(AND(ISNUMBER(E357),E357=0,OR(ISNUMBER(SEARCH("Free",D357&amp;"")),AND(ISNUMBER(F357),F357=0))),"Subscription",IF(ISNUMBER(G357),"Profit",IF(ISNUMBER(I357),"Disqualified",IF(ISNUMBER(H357),"Draw",IF(AND(ISNUMBER(F357),ISNUMBER(E357),E357&gt;0,F357&gt;E357),"Profit",IF(AND(ISNUMBER(F357),ISNUMBER(E357),E357&gt;0,F357=E357),"Draw",IF(AND(ISNUMBER(F357),ISNUMBER(E357),E357&gt;0,F357=0),"Disqualified",""))))))))</x:f>
      </x:c>
      <x:c r="L357" s="50"/>
      <x:c r="M357" s="58"/>
      <x:c r="N357" s="58"/>
      <x:c r="O357" s="62"/>
      <x:c r="P357" s="62"/>
      <x:c r="Q357" s="64" t="str">
        <x:f>IF(OR(B357="",C357="",C357&lt;B357),"",ROUNDUP((C357-B357)/7,0))</x:f>
      </x:c>
      <x:c r="R357" s="50"/>
      <x:c r="S357" s="50"/>
      <x:c r="T357" s="54"/>
      <x:c r="U357" s="66" t="str">
        <x:f>IF(A357="","",IF(K357="Subscription","",IF(ISNUMBER(G357),G357,0)-IF(ISNUMBER(I357),I357,0)))</x:f>
      </x:c>
      <x:c r="V357" s="64" t="str">
        <x:f>IF(OR(P357="",O357="",NOT(ISNUMBER(P357)),NOT(ISNUMBER(O357)),O357&gt;P357),"",P357-O357)</x:f>
      </x:c>
      <x:c r="W357" s="67" t="str">
        <x:f>IF(OR(P357="",P357=0,V357=""),"",V357/P357)</x:f>
      </x:c>
    </x:row>
    <x:row r="358" ht="21" customHeight="1">
      <x:c r="A358" s="54"/>
      <x:c r="B358" s="56"/>
      <x:c r="C358" s="56"/>
      <x:c r="D358" s="54"/>
      <x:c r="E358" s="58"/>
      <x:c r="F358" s="58"/>
      <x:c r="G358" s="58"/>
      <x:c r="H358" s="58"/>
      <x:c r="I358" s="58"/>
      <x:c r="J358" s="60" t="str">
        <x:f>IF(A358="","",IF(K358="Subscription","",IF(E358=0,"",IF(ISNUMBER(G358),G358/E358,IF(ISNUMBER(I358),-ABS(I358)/E358,IF(ISNUMBER(H358),0,IF(AND(ISNUMBER(F358),ISNUMBER(E358),E358&gt;0,F358&gt;E358),(F358-E358)/E358,IF(AND(ISNUMBER(F358),ISNUMBER(E358),E358&gt;0,F358=E358),0,IF(AND(ISNUMBER(F358),ISNUMBER(E358),E358&gt;0,F358=0),-1,"")))))))))</x:f>
      </x:c>
      <x:c r="K358" s="50" t="str">
        <x:f>IF(A358="","",IF(AND(ISNUMBER(E358),E358=0,OR(ISNUMBER(SEARCH("Free",D358&amp;"")),AND(ISNUMBER(F358),F358=0))),"Subscription",IF(ISNUMBER(G358),"Profit",IF(ISNUMBER(I358),"Disqualified",IF(ISNUMBER(H358),"Draw",IF(AND(ISNUMBER(F358),ISNUMBER(E358),E358&gt;0,F358&gt;E358),"Profit",IF(AND(ISNUMBER(F358),ISNUMBER(E358),E358&gt;0,F358=E358),"Draw",IF(AND(ISNUMBER(F358),ISNUMBER(E358),E358&gt;0,F358=0),"Disqualified",""))))))))</x:f>
      </x:c>
      <x:c r="L358" s="50"/>
      <x:c r="M358" s="58"/>
      <x:c r="N358" s="58"/>
      <x:c r="O358" s="62"/>
      <x:c r="P358" s="62"/>
      <x:c r="Q358" s="64" t="str">
        <x:f>IF(OR(B358="",C358="",C358&lt;B358),"",ROUNDUP((C358-B358)/7,0))</x:f>
      </x:c>
      <x:c r="R358" s="50"/>
      <x:c r="S358" s="50"/>
      <x:c r="T358" s="54"/>
      <x:c r="U358" s="66" t="str">
        <x:f>IF(A358="","",IF(K358="Subscription","",IF(ISNUMBER(G358),G358,0)-IF(ISNUMBER(I358),I358,0)))</x:f>
      </x:c>
      <x:c r="V358" s="64" t="str">
        <x:f>IF(OR(P358="",O358="",NOT(ISNUMBER(P358)),NOT(ISNUMBER(O358)),O358&gt;P358),"",P358-O358)</x:f>
      </x:c>
      <x:c r="W358" s="67" t="str">
        <x:f>IF(OR(P358="",P358=0,V358=""),"",V358/P358)</x:f>
      </x:c>
    </x:row>
    <x:row r="359" ht="21" customHeight="1">
      <x:c r="A359" s="54"/>
      <x:c r="B359" s="56"/>
      <x:c r="C359" s="56"/>
      <x:c r="D359" s="54"/>
      <x:c r="E359" s="58"/>
      <x:c r="F359" s="58"/>
      <x:c r="G359" s="58"/>
      <x:c r="H359" s="58"/>
      <x:c r="I359" s="58"/>
      <x:c r="J359" s="60" t="str">
        <x:f>IF(A359="","",IF(K359="Subscription","",IF(E359=0,"",IF(ISNUMBER(G359),G359/E359,IF(ISNUMBER(I359),-ABS(I359)/E359,IF(ISNUMBER(H359),0,IF(AND(ISNUMBER(F359),ISNUMBER(E359),E359&gt;0,F359&gt;E359),(F359-E359)/E359,IF(AND(ISNUMBER(F359),ISNUMBER(E359),E359&gt;0,F359=E359),0,IF(AND(ISNUMBER(F359),ISNUMBER(E359),E359&gt;0,F359=0),-1,"")))))))))</x:f>
      </x:c>
      <x:c r="K359" s="50" t="str">
        <x:f>IF(A359="","",IF(AND(ISNUMBER(E359),E359=0,OR(ISNUMBER(SEARCH("Free",D359&amp;"")),AND(ISNUMBER(F359),F359=0))),"Subscription",IF(ISNUMBER(G359),"Profit",IF(ISNUMBER(I359),"Disqualified",IF(ISNUMBER(H359),"Draw",IF(AND(ISNUMBER(F359),ISNUMBER(E359),E359&gt;0,F359&gt;E359),"Profit",IF(AND(ISNUMBER(F359),ISNUMBER(E359),E359&gt;0,F359=E359),"Draw",IF(AND(ISNUMBER(F359),ISNUMBER(E359),E359&gt;0,F359=0),"Disqualified",""))))))))</x:f>
      </x:c>
      <x:c r="L359" s="50"/>
      <x:c r="M359" s="58"/>
      <x:c r="N359" s="58"/>
      <x:c r="O359" s="62"/>
      <x:c r="P359" s="62"/>
      <x:c r="Q359" s="64" t="str">
        <x:f>IF(OR(B359="",C359="",C359&lt;B359),"",ROUNDUP((C359-B359)/7,0))</x:f>
      </x:c>
      <x:c r="R359" s="50"/>
      <x:c r="S359" s="50"/>
      <x:c r="T359" s="54"/>
      <x:c r="U359" s="66" t="str">
        <x:f>IF(A359="","",IF(K359="Subscription","",IF(ISNUMBER(G359),G359,0)-IF(ISNUMBER(I359),I359,0)))</x:f>
      </x:c>
      <x:c r="V359" s="64" t="str">
        <x:f>IF(OR(P359="",O359="",NOT(ISNUMBER(P359)),NOT(ISNUMBER(O359)),O359&gt;P359),"",P359-O359)</x:f>
      </x:c>
      <x:c r="W359" s="67" t="str">
        <x:f>IF(OR(P359="",P359=0,V359=""),"",V359/P359)</x:f>
      </x:c>
    </x:row>
    <x:row r="360" ht="21" customHeight="1">
      <x:c r="A360" s="54"/>
      <x:c r="B360" s="56"/>
      <x:c r="C360" s="56"/>
      <x:c r="D360" s="54"/>
      <x:c r="E360" s="58"/>
      <x:c r="F360" s="58"/>
      <x:c r="G360" s="58"/>
      <x:c r="H360" s="58"/>
      <x:c r="I360" s="58"/>
      <x:c r="J360" s="60" t="str">
        <x:f>IF(A360="","",IF(K360="Subscription","",IF(E360=0,"",IF(ISNUMBER(G360),G360/E360,IF(ISNUMBER(I360),-ABS(I360)/E360,IF(ISNUMBER(H360),0,IF(AND(ISNUMBER(F360),ISNUMBER(E360),E360&gt;0,F360&gt;E360),(F360-E360)/E360,IF(AND(ISNUMBER(F360),ISNUMBER(E360),E360&gt;0,F360=E360),0,IF(AND(ISNUMBER(F360),ISNUMBER(E360),E360&gt;0,F360=0),-1,"")))))))))</x:f>
      </x:c>
      <x:c r="K360" s="50" t="str">
        <x:f>IF(A360="","",IF(AND(ISNUMBER(E360),E360=0,OR(ISNUMBER(SEARCH("Free",D360&amp;"")),AND(ISNUMBER(F360),F360=0))),"Subscription",IF(ISNUMBER(G360),"Profit",IF(ISNUMBER(I360),"Disqualified",IF(ISNUMBER(H360),"Draw",IF(AND(ISNUMBER(F360),ISNUMBER(E360),E360&gt;0,F360&gt;E360),"Profit",IF(AND(ISNUMBER(F360),ISNUMBER(E360),E360&gt;0,F360=E360),"Draw",IF(AND(ISNUMBER(F360),ISNUMBER(E360),E360&gt;0,F360=0),"Disqualified",""))))))))</x:f>
      </x:c>
      <x:c r="L360" s="50"/>
      <x:c r="M360" s="58"/>
      <x:c r="N360" s="58"/>
      <x:c r="O360" s="62"/>
      <x:c r="P360" s="62"/>
      <x:c r="Q360" s="64" t="str">
        <x:f>IF(OR(B360="",C360="",C360&lt;B360),"",ROUNDUP((C360-B360)/7,0))</x:f>
      </x:c>
      <x:c r="R360" s="50"/>
      <x:c r="S360" s="50"/>
      <x:c r="T360" s="54"/>
      <x:c r="U360" s="66" t="str">
        <x:f>IF(A360="","",IF(K360="Subscription","",IF(ISNUMBER(G360),G360,0)-IF(ISNUMBER(I360),I360,0)))</x:f>
      </x:c>
      <x:c r="V360" s="64" t="str">
        <x:f>IF(OR(P360="",O360="",NOT(ISNUMBER(P360)),NOT(ISNUMBER(O360)),O360&gt;P360),"",P360-O360)</x:f>
      </x:c>
      <x:c r="W360" s="67" t="str">
        <x:f>IF(OR(P360="",P360=0,V360=""),"",V360/P360)</x:f>
      </x:c>
    </x:row>
    <x:row r="361" ht="21" customHeight="1">
      <x:c r="A361" s="54"/>
      <x:c r="B361" s="56"/>
      <x:c r="C361" s="56"/>
      <x:c r="D361" s="54"/>
      <x:c r="E361" s="58"/>
      <x:c r="F361" s="58"/>
      <x:c r="G361" s="58"/>
      <x:c r="H361" s="58"/>
      <x:c r="I361" s="58"/>
      <x:c r="J361" s="60" t="str">
        <x:f>IF(A361="","",IF(K361="Subscription","",IF(E361=0,"",IF(ISNUMBER(G361),G361/E361,IF(ISNUMBER(I361),-ABS(I361)/E361,IF(ISNUMBER(H361),0,IF(AND(ISNUMBER(F361),ISNUMBER(E361),E361&gt;0,F361&gt;E361),(F361-E361)/E361,IF(AND(ISNUMBER(F361),ISNUMBER(E361),E361&gt;0,F361=E361),0,IF(AND(ISNUMBER(F361),ISNUMBER(E361),E361&gt;0,F361=0),-1,"")))))))))</x:f>
      </x:c>
      <x:c r="K361" s="50" t="str">
        <x:f>IF(A361="","",IF(AND(ISNUMBER(E361),E361=0,OR(ISNUMBER(SEARCH("Free",D361&amp;"")),AND(ISNUMBER(F361),F361=0))),"Subscription",IF(ISNUMBER(G361),"Profit",IF(ISNUMBER(I361),"Disqualified",IF(ISNUMBER(H361),"Draw",IF(AND(ISNUMBER(F361),ISNUMBER(E361),E361&gt;0,F361&gt;E361),"Profit",IF(AND(ISNUMBER(F361),ISNUMBER(E361),E361&gt;0,F361=E361),"Draw",IF(AND(ISNUMBER(F361),ISNUMBER(E361),E361&gt;0,F361=0),"Disqualified",""))))))))</x:f>
      </x:c>
      <x:c r="L361" s="50"/>
      <x:c r="M361" s="58"/>
      <x:c r="N361" s="58"/>
      <x:c r="O361" s="62"/>
      <x:c r="P361" s="62"/>
      <x:c r="Q361" s="64" t="str">
        <x:f>IF(OR(B361="",C361="",C361&lt;B361),"",ROUNDUP((C361-B361)/7,0))</x:f>
      </x:c>
      <x:c r="R361" s="50"/>
      <x:c r="S361" s="50"/>
      <x:c r="T361" s="54"/>
      <x:c r="U361" s="66" t="str">
        <x:f>IF(A361="","",IF(K361="Subscription","",IF(ISNUMBER(G361),G361,0)-IF(ISNUMBER(I361),I361,0)))</x:f>
      </x:c>
      <x:c r="V361" s="64" t="str">
        <x:f>IF(OR(P361="",O361="",NOT(ISNUMBER(P361)),NOT(ISNUMBER(O361)),O361&gt;P361),"",P361-O361)</x:f>
      </x:c>
      <x:c r="W361" s="67" t="str">
        <x:f>IF(OR(P361="",P361=0,V361=""),"",V361/P361)</x:f>
      </x:c>
    </x:row>
    <x:row r="362" ht="21" customHeight="1">
      <x:c r="A362" s="54"/>
      <x:c r="B362" s="56"/>
      <x:c r="C362" s="56"/>
      <x:c r="D362" s="54"/>
      <x:c r="E362" s="58"/>
      <x:c r="F362" s="58"/>
      <x:c r="G362" s="58"/>
      <x:c r="H362" s="58"/>
      <x:c r="I362" s="58"/>
      <x:c r="J362" s="60" t="str">
        <x:f>IF(A362="","",IF(K362="Subscription","",IF(E362=0,"",IF(ISNUMBER(G362),G362/E362,IF(ISNUMBER(I362),-ABS(I362)/E362,IF(ISNUMBER(H362),0,IF(AND(ISNUMBER(F362),ISNUMBER(E362),E362&gt;0,F362&gt;E362),(F362-E362)/E362,IF(AND(ISNUMBER(F362),ISNUMBER(E362),E362&gt;0,F362=E362),0,IF(AND(ISNUMBER(F362),ISNUMBER(E362),E362&gt;0,F362=0),-1,"")))))))))</x:f>
      </x:c>
      <x:c r="K362" s="50" t="str">
        <x:f>IF(A362="","",IF(AND(ISNUMBER(E362),E362=0,OR(ISNUMBER(SEARCH("Free",D362&amp;"")),AND(ISNUMBER(F362),F362=0))),"Subscription",IF(ISNUMBER(G362),"Profit",IF(ISNUMBER(I362),"Disqualified",IF(ISNUMBER(H362),"Draw",IF(AND(ISNUMBER(F362),ISNUMBER(E362),E362&gt;0,F362&gt;E362),"Profit",IF(AND(ISNUMBER(F362),ISNUMBER(E362),E362&gt;0,F362=E362),"Draw",IF(AND(ISNUMBER(F362),ISNUMBER(E362),E362&gt;0,F362=0),"Disqualified",""))))))))</x:f>
      </x:c>
      <x:c r="L362" s="50"/>
      <x:c r="M362" s="58"/>
      <x:c r="N362" s="58"/>
      <x:c r="O362" s="62"/>
      <x:c r="P362" s="62"/>
      <x:c r="Q362" s="64" t="str">
        <x:f>IF(OR(B362="",C362="",C362&lt;B362),"",ROUNDUP((C362-B362)/7,0))</x:f>
      </x:c>
      <x:c r="R362" s="50"/>
      <x:c r="S362" s="50"/>
      <x:c r="T362" s="54"/>
      <x:c r="U362" s="66" t="str">
        <x:f>IF(A362="","",IF(K362="Subscription","",IF(ISNUMBER(G362),G362,0)-IF(ISNUMBER(I362),I362,0)))</x:f>
      </x:c>
      <x:c r="V362" s="64" t="str">
        <x:f>IF(OR(P362="",O362="",NOT(ISNUMBER(P362)),NOT(ISNUMBER(O362)),O362&gt;P362),"",P362-O362)</x:f>
      </x:c>
      <x:c r="W362" s="67" t="str">
        <x:f>IF(OR(P362="",P362=0,V362=""),"",V362/P362)</x:f>
      </x:c>
    </x:row>
    <x:row r="363" ht="21" customHeight="1">
      <x:c r="A363" s="54"/>
      <x:c r="B363" s="56"/>
      <x:c r="C363" s="56"/>
      <x:c r="D363" s="54"/>
      <x:c r="E363" s="58"/>
      <x:c r="F363" s="58"/>
      <x:c r="G363" s="58"/>
      <x:c r="H363" s="58"/>
      <x:c r="I363" s="58"/>
      <x:c r="J363" s="60" t="str">
        <x:f>IF(A363="","",IF(K363="Subscription","",IF(E363=0,"",IF(ISNUMBER(G363),G363/E363,IF(ISNUMBER(I363),-ABS(I363)/E363,IF(ISNUMBER(H363),0,IF(AND(ISNUMBER(F363),ISNUMBER(E363),E363&gt;0,F363&gt;E363),(F363-E363)/E363,IF(AND(ISNUMBER(F363),ISNUMBER(E363),E363&gt;0,F363=E363),0,IF(AND(ISNUMBER(F363),ISNUMBER(E363),E363&gt;0,F363=0),-1,"")))))))))</x:f>
      </x:c>
      <x:c r="K363" s="50" t="str">
        <x:f>IF(A363="","",IF(AND(ISNUMBER(E363),E363=0,OR(ISNUMBER(SEARCH("Free",D363&amp;"")),AND(ISNUMBER(F363),F363=0))),"Subscription",IF(ISNUMBER(G363),"Profit",IF(ISNUMBER(I363),"Disqualified",IF(ISNUMBER(H363),"Draw",IF(AND(ISNUMBER(F363),ISNUMBER(E363),E363&gt;0,F363&gt;E363),"Profit",IF(AND(ISNUMBER(F363),ISNUMBER(E363),E363&gt;0,F363=E363),"Draw",IF(AND(ISNUMBER(F363),ISNUMBER(E363),E363&gt;0,F363=0),"Disqualified",""))))))))</x:f>
      </x:c>
      <x:c r="L363" s="50"/>
      <x:c r="M363" s="58"/>
      <x:c r="N363" s="58"/>
      <x:c r="O363" s="62"/>
      <x:c r="P363" s="62"/>
      <x:c r="Q363" s="64" t="str">
        <x:f>IF(OR(B363="",C363="",C363&lt;B363),"",ROUNDUP((C363-B363)/7,0))</x:f>
      </x:c>
      <x:c r="R363" s="50"/>
      <x:c r="S363" s="50"/>
      <x:c r="T363" s="54"/>
      <x:c r="U363" s="66" t="str">
        <x:f>IF(A363="","",IF(K363="Subscription","",IF(ISNUMBER(G363),G363,0)-IF(ISNUMBER(I363),I363,0)))</x:f>
      </x:c>
      <x:c r="V363" s="64" t="str">
        <x:f>IF(OR(P363="",O363="",NOT(ISNUMBER(P363)),NOT(ISNUMBER(O363)),O363&gt;P363),"",P363-O363)</x:f>
      </x:c>
      <x:c r="W363" s="67" t="str">
        <x:f>IF(OR(P363="",P363=0,V363=""),"",V363/P363)</x:f>
      </x:c>
    </x:row>
    <x:row r="364" ht="21" customHeight="1">
      <x:c r="A364" s="54"/>
      <x:c r="B364" s="56"/>
      <x:c r="C364" s="56"/>
      <x:c r="D364" s="54"/>
      <x:c r="E364" s="58"/>
      <x:c r="F364" s="58"/>
      <x:c r="G364" s="58"/>
      <x:c r="H364" s="58"/>
      <x:c r="I364" s="58"/>
      <x:c r="J364" s="60" t="str">
        <x:f>IF(A364="","",IF(K364="Subscription","",IF(E364=0,"",IF(ISNUMBER(G364),G364/E364,IF(ISNUMBER(I364),-ABS(I364)/E364,IF(ISNUMBER(H364),0,IF(AND(ISNUMBER(F364),ISNUMBER(E364),E364&gt;0,F364&gt;E364),(F364-E364)/E364,IF(AND(ISNUMBER(F364),ISNUMBER(E364),E364&gt;0,F364=E364),0,IF(AND(ISNUMBER(F364),ISNUMBER(E364),E364&gt;0,F364=0),-1,"")))))))))</x:f>
      </x:c>
      <x:c r="K364" s="50" t="str">
        <x:f>IF(A364="","",IF(AND(ISNUMBER(E364),E364=0,OR(ISNUMBER(SEARCH("Free",D364&amp;"")),AND(ISNUMBER(F364),F364=0))),"Subscription",IF(ISNUMBER(G364),"Profit",IF(ISNUMBER(I364),"Disqualified",IF(ISNUMBER(H364),"Draw",IF(AND(ISNUMBER(F364),ISNUMBER(E364),E364&gt;0,F364&gt;E364),"Profit",IF(AND(ISNUMBER(F364),ISNUMBER(E364),E364&gt;0,F364=E364),"Draw",IF(AND(ISNUMBER(F364),ISNUMBER(E364),E364&gt;0,F364=0),"Disqualified",""))))))))</x:f>
      </x:c>
      <x:c r="L364" s="50"/>
      <x:c r="M364" s="58"/>
      <x:c r="N364" s="58"/>
      <x:c r="O364" s="62"/>
      <x:c r="P364" s="62"/>
      <x:c r="Q364" s="64" t="str">
        <x:f>IF(OR(B364="",C364="",C364&lt;B364),"",ROUNDUP((C364-B364)/7,0))</x:f>
      </x:c>
      <x:c r="R364" s="50"/>
      <x:c r="S364" s="50"/>
      <x:c r="T364" s="54"/>
      <x:c r="U364" s="66" t="str">
        <x:f>IF(A364="","",IF(K364="Subscription","",IF(ISNUMBER(G364),G364,0)-IF(ISNUMBER(I364),I364,0)))</x:f>
      </x:c>
      <x:c r="V364" s="64" t="str">
        <x:f>IF(OR(P364="",O364="",NOT(ISNUMBER(P364)),NOT(ISNUMBER(O364)),O364&gt;P364),"",P364-O364)</x:f>
      </x:c>
      <x:c r="W364" s="67" t="str">
        <x:f>IF(OR(P364="",P364=0,V364=""),"",V364/P364)</x:f>
      </x:c>
    </x:row>
    <x:row r="365" ht="21" customHeight="1">
      <x:c r="A365" s="54"/>
      <x:c r="B365" s="56"/>
      <x:c r="C365" s="56"/>
      <x:c r="D365" s="54"/>
      <x:c r="E365" s="58"/>
      <x:c r="F365" s="58"/>
      <x:c r="G365" s="58"/>
      <x:c r="H365" s="58"/>
      <x:c r="I365" s="58"/>
      <x:c r="J365" s="60" t="str">
        <x:f>IF(A365="","",IF(K365="Subscription","",IF(E365=0,"",IF(ISNUMBER(G365),G365/E365,IF(ISNUMBER(I365),-ABS(I365)/E365,IF(ISNUMBER(H365),0,IF(AND(ISNUMBER(F365),ISNUMBER(E365),E365&gt;0,F365&gt;E365),(F365-E365)/E365,IF(AND(ISNUMBER(F365),ISNUMBER(E365),E365&gt;0,F365=E365),0,IF(AND(ISNUMBER(F365),ISNUMBER(E365),E365&gt;0,F365=0),-1,"")))))))))</x:f>
      </x:c>
      <x:c r="K365" s="50" t="str">
        <x:f>IF(A365="","",IF(AND(ISNUMBER(E365),E365=0,OR(ISNUMBER(SEARCH("Free",D365&amp;"")),AND(ISNUMBER(F365),F365=0))),"Subscription",IF(ISNUMBER(G365),"Profit",IF(ISNUMBER(I365),"Disqualified",IF(ISNUMBER(H365),"Draw",IF(AND(ISNUMBER(F365),ISNUMBER(E365),E365&gt;0,F365&gt;E365),"Profit",IF(AND(ISNUMBER(F365),ISNUMBER(E365),E365&gt;0,F365=E365),"Draw",IF(AND(ISNUMBER(F365),ISNUMBER(E365),E365&gt;0,F365=0),"Disqualified",""))))))))</x:f>
      </x:c>
      <x:c r="L365" s="50"/>
      <x:c r="M365" s="58"/>
      <x:c r="N365" s="58"/>
      <x:c r="O365" s="62"/>
      <x:c r="P365" s="62"/>
      <x:c r="Q365" s="64" t="str">
        <x:f>IF(OR(B365="",C365="",C365&lt;B365),"",ROUNDUP((C365-B365)/7,0))</x:f>
      </x:c>
      <x:c r="R365" s="50"/>
      <x:c r="S365" s="50"/>
      <x:c r="T365" s="54"/>
      <x:c r="U365" s="66" t="str">
        <x:f>IF(A365="","",IF(K365="Subscription","",IF(ISNUMBER(G365),G365,0)-IF(ISNUMBER(I365),I365,0)))</x:f>
      </x:c>
      <x:c r="V365" s="64" t="str">
        <x:f>IF(OR(P365="",O365="",NOT(ISNUMBER(P365)),NOT(ISNUMBER(O365)),O365&gt;P365),"",P365-O365)</x:f>
      </x:c>
      <x:c r="W365" s="67" t="str">
        <x:f>IF(OR(P365="",P365=0,V365=""),"",V365/P365)</x:f>
      </x:c>
    </x:row>
    <x:row r="366" ht="21" customHeight="1">
      <x:c r="A366" s="54"/>
      <x:c r="B366" s="56"/>
      <x:c r="C366" s="56"/>
      <x:c r="D366" s="54"/>
      <x:c r="E366" s="58"/>
      <x:c r="F366" s="58"/>
      <x:c r="G366" s="58"/>
      <x:c r="H366" s="58"/>
      <x:c r="I366" s="58"/>
      <x:c r="J366" s="60" t="str">
        <x:f>IF(A366="","",IF(K366="Subscription","",IF(E366=0,"",IF(ISNUMBER(G366),G366/E366,IF(ISNUMBER(I366),-ABS(I366)/E366,IF(ISNUMBER(H366),0,IF(AND(ISNUMBER(F366),ISNUMBER(E366),E366&gt;0,F366&gt;E366),(F366-E366)/E366,IF(AND(ISNUMBER(F366),ISNUMBER(E366),E366&gt;0,F366=E366),0,IF(AND(ISNUMBER(F366),ISNUMBER(E366),E366&gt;0,F366=0),-1,"")))))))))</x:f>
      </x:c>
      <x:c r="K366" s="50" t="str">
        <x:f>IF(A366="","",IF(AND(ISNUMBER(E366),E366=0,OR(ISNUMBER(SEARCH("Free",D366&amp;"")),AND(ISNUMBER(F366),F366=0))),"Subscription",IF(ISNUMBER(G366),"Profit",IF(ISNUMBER(I366),"Disqualified",IF(ISNUMBER(H366),"Draw",IF(AND(ISNUMBER(F366),ISNUMBER(E366),E366&gt;0,F366&gt;E366),"Profit",IF(AND(ISNUMBER(F366),ISNUMBER(E366),E366&gt;0,F366=E366),"Draw",IF(AND(ISNUMBER(F366),ISNUMBER(E366),E366&gt;0,F366=0),"Disqualified",""))))))))</x:f>
      </x:c>
      <x:c r="L366" s="50"/>
      <x:c r="M366" s="58"/>
      <x:c r="N366" s="58"/>
      <x:c r="O366" s="62"/>
      <x:c r="P366" s="62"/>
      <x:c r="Q366" s="64" t="str">
        <x:f>IF(OR(B366="",C366="",C366&lt;B366),"",ROUNDUP((C366-B366)/7,0))</x:f>
      </x:c>
      <x:c r="R366" s="50"/>
      <x:c r="S366" s="50"/>
      <x:c r="T366" s="54"/>
      <x:c r="U366" s="66" t="str">
        <x:f>IF(A366="","",IF(K366="Subscription","",IF(ISNUMBER(G366),G366,0)-IF(ISNUMBER(I366),I366,0)))</x:f>
      </x:c>
      <x:c r="V366" s="64" t="str">
        <x:f>IF(OR(P366="",O366="",NOT(ISNUMBER(P366)),NOT(ISNUMBER(O366)),O366&gt;P366),"",P366-O366)</x:f>
      </x:c>
      <x:c r="W366" s="67" t="str">
        <x:f>IF(OR(P366="",P366=0,V366=""),"",V366/P366)</x:f>
      </x:c>
    </x:row>
    <x:row r="367" ht="21" customHeight="1">
      <x:c r="A367" s="54"/>
      <x:c r="B367" s="56"/>
      <x:c r="C367" s="56"/>
      <x:c r="D367" s="54"/>
      <x:c r="E367" s="58"/>
      <x:c r="F367" s="58"/>
      <x:c r="G367" s="58"/>
      <x:c r="H367" s="58"/>
      <x:c r="I367" s="58"/>
      <x:c r="J367" s="60" t="str">
        <x:f>IF(A367="","",IF(K367="Subscription","",IF(E367=0,"",IF(ISNUMBER(G367),G367/E367,IF(ISNUMBER(I367),-ABS(I367)/E367,IF(ISNUMBER(H367),0,IF(AND(ISNUMBER(F367),ISNUMBER(E367),E367&gt;0,F367&gt;E367),(F367-E367)/E367,IF(AND(ISNUMBER(F367),ISNUMBER(E367),E367&gt;0,F367=E367),0,IF(AND(ISNUMBER(F367),ISNUMBER(E367),E367&gt;0,F367=0),-1,"")))))))))</x:f>
      </x:c>
      <x:c r="K367" s="50" t="str">
        <x:f>IF(A367="","",IF(AND(ISNUMBER(E367),E367=0,OR(ISNUMBER(SEARCH("Free",D367&amp;"")),AND(ISNUMBER(F367),F367=0))),"Subscription",IF(ISNUMBER(G367),"Profit",IF(ISNUMBER(I367),"Disqualified",IF(ISNUMBER(H367),"Draw",IF(AND(ISNUMBER(F367),ISNUMBER(E367),E367&gt;0,F367&gt;E367),"Profit",IF(AND(ISNUMBER(F367),ISNUMBER(E367),E367&gt;0,F367=E367),"Draw",IF(AND(ISNUMBER(F367),ISNUMBER(E367),E367&gt;0,F367=0),"Disqualified",""))))))))</x:f>
      </x:c>
      <x:c r="L367" s="50"/>
      <x:c r="M367" s="58"/>
      <x:c r="N367" s="58"/>
      <x:c r="O367" s="62"/>
      <x:c r="P367" s="62"/>
      <x:c r="Q367" s="64" t="str">
        <x:f>IF(OR(B367="",C367="",C367&lt;B367),"",ROUNDUP((C367-B367)/7,0))</x:f>
      </x:c>
      <x:c r="R367" s="50"/>
      <x:c r="S367" s="50"/>
      <x:c r="T367" s="54"/>
      <x:c r="U367" s="66" t="str">
        <x:f>IF(A367="","",IF(K367="Subscription","",IF(ISNUMBER(G367),G367,0)-IF(ISNUMBER(I367),I367,0)))</x:f>
      </x:c>
      <x:c r="V367" s="64" t="str">
        <x:f>IF(OR(P367="",O367="",NOT(ISNUMBER(P367)),NOT(ISNUMBER(O367)),O367&gt;P367),"",P367-O367)</x:f>
      </x:c>
      <x:c r="W367" s="67" t="str">
        <x:f>IF(OR(P367="",P367=0,V367=""),"",V367/P367)</x:f>
      </x:c>
    </x:row>
    <x:row r="368" ht="21" customHeight="1">
      <x:c r="A368" s="54"/>
      <x:c r="B368" s="56"/>
      <x:c r="C368" s="56"/>
      <x:c r="D368" s="54"/>
      <x:c r="E368" s="58"/>
      <x:c r="F368" s="58"/>
      <x:c r="G368" s="58"/>
      <x:c r="H368" s="58"/>
      <x:c r="I368" s="58"/>
      <x:c r="J368" s="60" t="str">
        <x:f>IF(A368="","",IF(K368="Subscription","",IF(E368=0,"",IF(ISNUMBER(G368),G368/E368,IF(ISNUMBER(I368),-ABS(I368)/E368,IF(ISNUMBER(H368),0,IF(AND(ISNUMBER(F368),ISNUMBER(E368),E368&gt;0,F368&gt;E368),(F368-E368)/E368,IF(AND(ISNUMBER(F368),ISNUMBER(E368),E368&gt;0,F368=E368),0,IF(AND(ISNUMBER(F368),ISNUMBER(E368),E368&gt;0,F368=0),-1,"")))))))))</x:f>
      </x:c>
      <x:c r="K368" s="50" t="str">
        <x:f>IF(A368="","",IF(AND(ISNUMBER(E368),E368=0,OR(ISNUMBER(SEARCH("Free",D368&amp;"")),AND(ISNUMBER(F368),F368=0))),"Subscription",IF(ISNUMBER(G368),"Profit",IF(ISNUMBER(I368),"Disqualified",IF(ISNUMBER(H368),"Draw",IF(AND(ISNUMBER(F368),ISNUMBER(E368),E368&gt;0,F368&gt;E368),"Profit",IF(AND(ISNUMBER(F368),ISNUMBER(E368),E368&gt;0,F368=E368),"Draw",IF(AND(ISNUMBER(F368),ISNUMBER(E368),E368&gt;0,F368=0),"Disqualified",""))))))))</x:f>
      </x:c>
      <x:c r="L368" s="50"/>
      <x:c r="M368" s="58"/>
      <x:c r="N368" s="58"/>
      <x:c r="O368" s="62"/>
      <x:c r="P368" s="62"/>
      <x:c r="Q368" s="64" t="str">
        <x:f>IF(OR(B368="",C368="",C368&lt;B368),"",ROUNDUP((C368-B368)/7,0))</x:f>
      </x:c>
      <x:c r="R368" s="50"/>
      <x:c r="S368" s="50"/>
      <x:c r="T368" s="54"/>
      <x:c r="U368" s="66" t="str">
        <x:f>IF(A368="","",IF(K368="Subscription","",IF(ISNUMBER(G368),G368,0)-IF(ISNUMBER(I368),I368,0)))</x:f>
      </x:c>
      <x:c r="V368" s="64" t="str">
        <x:f>IF(OR(P368="",O368="",NOT(ISNUMBER(P368)),NOT(ISNUMBER(O368)),O368&gt;P368),"",P368-O368)</x:f>
      </x:c>
      <x:c r="W368" s="67" t="str">
        <x:f>IF(OR(P368="",P368=0,V368=""),"",V368/P368)</x:f>
      </x:c>
    </x:row>
    <x:row r="369" ht="21" customHeight="1">
      <x:c r="A369" s="54"/>
      <x:c r="B369" s="56"/>
      <x:c r="C369" s="56"/>
      <x:c r="D369" s="54"/>
      <x:c r="E369" s="58"/>
      <x:c r="F369" s="58"/>
      <x:c r="G369" s="58"/>
      <x:c r="H369" s="58"/>
      <x:c r="I369" s="58"/>
      <x:c r="J369" s="60" t="str">
        <x:f>IF(A369="","",IF(K369="Subscription","",IF(E369=0,"",IF(ISNUMBER(G369),G369/E369,IF(ISNUMBER(I369),-ABS(I369)/E369,IF(ISNUMBER(H369),0,IF(AND(ISNUMBER(F369),ISNUMBER(E369),E369&gt;0,F369&gt;E369),(F369-E369)/E369,IF(AND(ISNUMBER(F369),ISNUMBER(E369),E369&gt;0,F369=E369),0,IF(AND(ISNUMBER(F369),ISNUMBER(E369),E369&gt;0,F369=0),-1,"")))))))))</x:f>
      </x:c>
      <x:c r="K369" s="50" t="str">
        <x:f>IF(A369="","",IF(AND(ISNUMBER(E369),E369=0,OR(ISNUMBER(SEARCH("Free",D369&amp;"")),AND(ISNUMBER(F369),F369=0))),"Subscription",IF(ISNUMBER(G369),"Profit",IF(ISNUMBER(I369),"Disqualified",IF(ISNUMBER(H369),"Draw",IF(AND(ISNUMBER(F369),ISNUMBER(E369),E369&gt;0,F369&gt;E369),"Profit",IF(AND(ISNUMBER(F369),ISNUMBER(E369),E369&gt;0,F369=E369),"Draw",IF(AND(ISNUMBER(F369),ISNUMBER(E369),E369&gt;0,F369=0),"Disqualified",""))))))))</x:f>
      </x:c>
      <x:c r="L369" s="50"/>
      <x:c r="M369" s="58"/>
      <x:c r="N369" s="58"/>
      <x:c r="O369" s="62"/>
      <x:c r="P369" s="62"/>
      <x:c r="Q369" s="64" t="str">
        <x:f>IF(OR(B369="",C369="",C369&lt;B369),"",ROUNDUP((C369-B369)/7,0))</x:f>
      </x:c>
      <x:c r="R369" s="50"/>
      <x:c r="S369" s="50"/>
      <x:c r="T369" s="54"/>
      <x:c r="U369" s="66" t="str">
        <x:f>IF(A369="","",IF(K369="Subscription","",IF(ISNUMBER(G369),G369,0)-IF(ISNUMBER(I369),I369,0)))</x:f>
      </x:c>
      <x:c r="V369" s="64" t="str">
        <x:f>IF(OR(P369="",O369="",NOT(ISNUMBER(P369)),NOT(ISNUMBER(O369)),O369&gt;P369),"",P369-O369)</x:f>
      </x:c>
      <x:c r="W369" s="67" t="str">
        <x:f>IF(OR(P369="",P369=0,V369=""),"",V369/P369)</x:f>
      </x:c>
    </x:row>
    <x:row r="370" ht="21" customHeight="1">
      <x:c r="A370" s="54"/>
      <x:c r="B370" s="56"/>
      <x:c r="C370" s="56"/>
      <x:c r="D370" s="54"/>
      <x:c r="E370" s="58"/>
      <x:c r="F370" s="58"/>
      <x:c r="G370" s="58"/>
      <x:c r="H370" s="58"/>
      <x:c r="I370" s="58"/>
      <x:c r="J370" s="60" t="str">
        <x:f>IF(A370="","",IF(K370="Subscription","",IF(E370=0,"",IF(ISNUMBER(G370),G370/E370,IF(ISNUMBER(I370),-ABS(I370)/E370,IF(ISNUMBER(H370),0,IF(AND(ISNUMBER(F370),ISNUMBER(E370),E370&gt;0,F370&gt;E370),(F370-E370)/E370,IF(AND(ISNUMBER(F370),ISNUMBER(E370),E370&gt;0,F370=E370),0,IF(AND(ISNUMBER(F370),ISNUMBER(E370),E370&gt;0,F370=0),-1,"")))))))))</x:f>
      </x:c>
      <x:c r="K370" s="50" t="str">
        <x:f>IF(A370="","",IF(AND(ISNUMBER(E370),E370=0,OR(ISNUMBER(SEARCH("Free",D370&amp;"")),AND(ISNUMBER(F370),F370=0))),"Subscription",IF(ISNUMBER(G370),"Profit",IF(ISNUMBER(I370),"Disqualified",IF(ISNUMBER(H370),"Draw",IF(AND(ISNUMBER(F370),ISNUMBER(E370),E370&gt;0,F370&gt;E370),"Profit",IF(AND(ISNUMBER(F370),ISNUMBER(E370),E370&gt;0,F370=E370),"Draw",IF(AND(ISNUMBER(F370),ISNUMBER(E370),E370&gt;0,F370=0),"Disqualified",""))))))))</x:f>
      </x:c>
      <x:c r="L370" s="50"/>
      <x:c r="M370" s="58"/>
      <x:c r="N370" s="58"/>
      <x:c r="O370" s="62"/>
      <x:c r="P370" s="62"/>
      <x:c r="Q370" s="64" t="str">
        <x:f>IF(OR(B370="",C370="",C370&lt;B370),"",ROUNDUP((C370-B370)/7,0))</x:f>
      </x:c>
      <x:c r="R370" s="50"/>
      <x:c r="S370" s="50"/>
      <x:c r="T370" s="54"/>
      <x:c r="U370" s="66" t="str">
        <x:f>IF(A370="","",IF(K370="Subscription","",IF(ISNUMBER(G370),G370,0)-IF(ISNUMBER(I370),I370,0)))</x:f>
      </x:c>
      <x:c r="V370" s="64" t="str">
        <x:f>IF(OR(P370="",O370="",NOT(ISNUMBER(P370)),NOT(ISNUMBER(O370)),O370&gt;P370),"",P370-O370)</x:f>
      </x:c>
      <x:c r="W370" s="67" t="str">
        <x:f>IF(OR(P370="",P370=0,V370=""),"",V370/P370)</x:f>
      </x:c>
    </x:row>
    <x:row r="371" ht="21" customHeight="1">
      <x:c r="A371" s="54"/>
      <x:c r="B371" s="56"/>
      <x:c r="C371" s="56"/>
      <x:c r="D371" s="54"/>
      <x:c r="E371" s="58"/>
      <x:c r="F371" s="58"/>
      <x:c r="G371" s="58"/>
      <x:c r="H371" s="58"/>
      <x:c r="I371" s="58"/>
      <x:c r="J371" s="60" t="str">
        <x:f>IF(A371="","",IF(K371="Subscription","",IF(E371=0,"",IF(ISNUMBER(G371),G371/E371,IF(ISNUMBER(I371),-ABS(I371)/E371,IF(ISNUMBER(H371),0,IF(AND(ISNUMBER(F371),ISNUMBER(E371),E371&gt;0,F371&gt;E371),(F371-E371)/E371,IF(AND(ISNUMBER(F371),ISNUMBER(E371),E371&gt;0,F371=E371),0,IF(AND(ISNUMBER(F371),ISNUMBER(E371),E371&gt;0,F371=0),-1,"")))))))))</x:f>
      </x:c>
      <x:c r="K371" s="50" t="str">
        <x:f>IF(A371="","",IF(AND(ISNUMBER(E371),E371=0,OR(ISNUMBER(SEARCH("Free",D371&amp;"")),AND(ISNUMBER(F371),F371=0))),"Subscription",IF(ISNUMBER(G371),"Profit",IF(ISNUMBER(I371),"Disqualified",IF(ISNUMBER(H371),"Draw",IF(AND(ISNUMBER(F371),ISNUMBER(E371),E371&gt;0,F371&gt;E371),"Profit",IF(AND(ISNUMBER(F371),ISNUMBER(E371),E371&gt;0,F371=E371),"Draw",IF(AND(ISNUMBER(F371),ISNUMBER(E371),E371&gt;0,F371=0),"Disqualified",""))))))))</x:f>
      </x:c>
      <x:c r="L371" s="50"/>
      <x:c r="M371" s="58"/>
      <x:c r="N371" s="58"/>
      <x:c r="O371" s="62"/>
      <x:c r="P371" s="62"/>
      <x:c r="Q371" s="64" t="str">
        <x:f>IF(OR(B371="",C371="",C371&lt;B371),"",ROUNDUP((C371-B371)/7,0))</x:f>
      </x:c>
      <x:c r="R371" s="50"/>
      <x:c r="S371" s="50"/>
      <x:c r="T371" s="54"/>
      <x:c r="U371" s="66" t="str">
        <x:f>IF(A371="","",IF(K371="Subscription","",IF(ISNUMBER(G371),G371,0)-IF(ISNUMBER(I371),I371,0)))</x:f>
      </x:c>
      <x:c r="V371" s="64" t="str">
        <x:f>IF(OR(P371="",O371="",NOT(ISNUMBER(P371)),NOT(ISNUMBER(O371)),O371&gt;P371),"",P371-O371)</x:f>
      </x:c>
      <x:c r="W371" s="67" t="str">
        <x:f>IF(OR(P371="",P371=0,V371=""),"",V371/P371)</x:f>
      </x:c>
    </x:row>
    <x:row r="372" ht="21" customHeight="1">
      <x:c r="A372" s="54"/>
      <x:c r="B372" s="56"/>
      <x:c r="C372" s="56"/>
      <x:c r="D372" s="54"/>
      <x:c r="E372" s="58"/>
      <x:c r="F372" s="58"/>
      <x:c r="G372" s="58"/>
      <x:c r="H372" s="58"/>
      <x:c r="I372" s="58"/>
      <x:c r="J372" s="60" t="str">
        <x:f>IF(A372="","",IF(K372="Subscription","",IF(E372=0,"",IF(ISNUMBER(G372),G372/E372,IF(ISNUMBER(I372),-ABS(I372)/E372,IF(ISNUMBER(H372),0,IF(AND(ISNUMBER(F372),ISNUMBER(E372),E372&gt;0,F372&gt;E372),(F372-E372)/E372,IF(AND(ISNUMBER(F372),ISNUMBER(E372),E372&gt;0,F372=E372),0,IF(AND(ISNUMBER(F372),ISNUMBER(E372),E372&gt;0,F372=0),-1,"")))))))))</x:f>
      </x:c>
      <x:c r="K372" s="50" t="str">
        <x:f>IF(A372="","",IF(AND(ISNUMBER(E372),E372=0,OR(ISNUMBER(SEARCH("Free",D372&amp;"")),AND(ISNUMBER(F372),F372=0))),"Subscription",IF(ISNUMBER(G372),"Profit",IF(ISNUMBER(I372),"Disqualified",IF(ISNUMBER(H372),"Draw",IF(AND(ISNUMBER(F372),ISNUMBER(E372),E372&gt;0,F372&gt;E372),"Profit",IF(AND(ISNUMBER(F372),ISNUMBER(E372),E372&gt;0,F372=E372),"Draw",IF(AND(ISNUMBER(F372),ISNUMBER(E372),E372&gt;0,F372=0),"Disqualified",""))))))))</x:f>
      </x:c>
      <x:c r="L372" s="50"/>
      <x:c r="M372" s="58"/>
      <x:c r="N372" s="58"/>
      <x:c r="O372" s="62"/>
      <x:c r="P372" s="62"/>
      <x:c r="Q372" s="64" t="str">
        <x:f>IF(OR(B372="",C372="",C372&lt;B372),"",ROUNDUP((C372-B372)/7,0))</x:f>
      </x:c>
      <x:c r="R372" s="50"/>
      <x:c r="S372" s="50"/>
      <x:c r="T372" s="54"/>
      <x:c r="U372" s="66" t="str">
        <x:f>IF(A372="","",IF(K372="Subscription","",IF(ISNUMBER(G372),G372,0)-IF(ISNUMBER(I372),I372,0)))</x:f>
      </x:c>
      <x:c r="V372" s="64" t="str">
        <x:f>IF(OR(P372="",O372="",NOT(ISNUMBER(P372)),NOT(ISNUMBER(O372)),O372&gt;P372),"",P372-O372)</x:f>
      </x:c>
      <x:c r="W372" s="67" t="str">
        <x:f>IF(OR(P372="",P372=0,V372=""),"",V372/P372)</x:f>
      </x:c>
    </x:row>
    <x:row r="373" ht="21" customHeight="1">
      <x:c r="A373" s="54"/>
      <x:c r="B373" s="56"/>
      <x:c r="C373" s="56"/>
      <x:c r="D373" s="54"/>
      <x:c r="E373" s="58"/>
      <x:c r="F373" s="58"/>
      <x:c r="G373" s="58"/>
      <x:c r="H373" s="58"/>
      <x:c r="I373" s="58"/>
      <x:c r="J373" s="60" t="str">
        <x:f>IF(A373="","",IF(K373="Subscription","",IF(E373=0,"",IF(ISNUMBER(G373),G373/E373,IF(ISNUMBER(I373),-ABS(I373)/E373,IF(ISNUMBER(H373),0,IF(AND(ISNUMBER(F373),ISNUMBER(E373),E373&gt;0,F373&gt;E373),(F373-E373)/E373,IF(AND(ISNUMBER(F373),ISNUMBER(E373),E373&gt;0,F373=E373),0,IF(AND(ISNUMBER(F373),ISNUMBER(E373),E373&gt;0,F373=0),-1,"")))))))))</x:f>
      </x:c>
      <x:c r="K373" s="50" t="str">
        <x:f>IF(A373="","",IF(AND(ISNUMBER(E373),E373=0,OR(ISNUMBER(SEARCH("Free",D373&amp;"")),AND(ISNUMBER(F373),F373=0))),"Subscription",IF(ISNUMBER(G373),"Profit",IF(ISNUMBER(I373),"Disqualified",IF(ISNUMBER(H373),"Draw",IF(AND(ISNUMBER(F373),ISNUMBER(E373),E373&gt;0,F373&gt;E373),"Profit",IF(AND(ISNUMBER(F373),ISNUMBER(E373),E373&gt;0,F373=E373),"Draw",IF(AND(ISNUMBER(F373),ISNUMBER(E373),E373&gt;0,F373=0),"Disqualified",""))))))))</x:f>
      </x:c>
      <x:c r="L373" s="50"/>
      <x:c r="M373" s="58"/>
      <x:c r="N373" s="58"/>
      <x:c r="O373" s="62"/>
      <x:c r="P373" s="62"/>
      <x:c r="Q373" s="64" t="str">
        <x:f>IF(OR(B373="",C373="",C373&lt;B373),"",ROUNDUP((C373-B373)/7,0))</x:f>
      </x:c>
      <x:c r="R373" s="50"/>
      <x:c r="S373" s="50"/>
      <x:c r="T373" s="54"/>
      <x:c r="U373" s="66" t="str">
        <x:f>IF(A373="","",IF(K373="Subscription","",IF(ISNUMBER(G373),G373,0)-IF(ISNUMBER(I373),I373,0)))</x:f>
      </x:c>
      <x:c r="V373" s="64" t="str">
        <x:f>IF(OR(P373="",O373="",NOT(ISNUMBER(P373)),NOT(ISNUMBER(O373)),O373&gt;P373),"",P373-O373)</x:f>
      </x:c>
      <x:c r="W373" s="67" t="str">
        <x:f>IF(OR(P373="",P373=0,V373=""),"",V373/P373)</x:f>
      </x:c>
    </x:row>
    <x:row r="374" ht="21" customHeight="1">
      <x:c r="A374" s="54"/>
      <x:c r="B374" s="56"/>
      <x:c r="C374" s="56"/>
      <x:c r="D374" s="54"/>
      <x:c r="E374" s="58"/>
      <x:c r="F374" s="58"/>
      <x:c r="G374" s="58"/>
      <x:c r="H374" s="58"/>
      <x:c r="I374" s="58"/>
      <x:c r="J374" s="60" t="str">
        <x:f>IF(A374="","",IF(K374="Subscription","",IF(E374=0,"",IF(ISNUMBER(G374),G374/E374,IF(ISNUMBER(I374),-ABS(I374)/E374,IF(ISNUMBER(H374),0,IF(AND(ISNUMBER(F374),ISNUMBER(E374),E374&gt;0,F374&gt;E374),(F374-E374)/E374,IF(AND(ISNUMBER(F374),ISNUMBER(E374),E374&gt;0,F374=E374),0,IF(AND(ISNUMBER(F374),ISNUMBER(E374),E374&gt;0,F374=0),-1,"")))))))))</x:f>
      </x:c>
      <x:c r="K374" s="50" t="str">
        <x:f>IF(A374="","",IF(AND(ISNUMBER(E374),E374=0,OR(ISNUMBER(SEARCH("Free",D374&amp;"")),AND(ISNUMBER(F374),F374=0))),"Subscription",IF(ISNUMBER(G374),"Profit",IF(ISNUMBER(I374),"Disqualified",IF(ISNUMBER(H374),"Draw",IF(AND(ISNUMBER(F374),ISNUMBER(E374),E374&gt;0,F374&gt;E374),"Profit",IF(AND(ISNUMBER(F374),ISNUMBER(E374),E374&gt;0,F374=E374),"Draw",IF(AND(ISNUMBER(F374),ISNUMBER(E374),E374&gt;0,F374=0),"Disqualified",""))))))))</x:f>
      </x:c>
      <x:c r="L374" s="50"/>
      <x:c r="M374" s="58"/>
      <x:c r="N374" s="58"/>
      <x:c r="O374" s="62"/>
      <x:c r="P374" s="62"/>
      <x:c r="Q374" s="64" t="str">
        <x:f>IF(OR(B374="",C374="",C374&lt;B374),"",ROUNDUP((C374-B374)/7,0))</x:f>
      </x:c>
      <x:c r="R374" s="50"/>
      <x:c r="S374" s="50"/>
      <x:c r="T374" s="54"/>
      <x:c r="U374" s="66" t="str">
        <x:f>IF(A374="","",IF(K374="Subscription","",IF(ISNUMBER(G374),G374,0)-IF(ISNUMBER(I374),I374,0)))</x:f>
      </x:c>
      <x:c r="V374" s="64" t="str">
        <x:f>IF(OR(P374="",O374="",NOT(ISNUMBER(P374)),NOT(ISNUMBER(O374)),O374&gt;P374),"",P374-O374)</x:f>
      </x:c>
      <x:c r="W374" s="67" t="str">
        <x:f>IF(OR(P374="",P374=0,V374=""),"",V374/P374)</x:f>
      </x:c>
    </x:row>
    <x:row r="375" ht="21" customHeight="1">
      <x:c r="A375" s="54"/>
      <x:c r="B375" s="56"/>
      <x:c r="C375" s="56"/>
      <x:c r="D375" s="54"/>
      <x:c r="E375" s="58"/>
      <x:c r="F375" s="58"/>
      <x:c r="G375" s="58"/>
      <x:c r="H375" s="58"/>
      <x:c r="I375" s="58"/>
      <x:c r="J375" s="60" t="str">
        <x:f>IF(A375="","",IF(K375="Subscription","",IF(E375=0,"",IF(ISNUMBER(G375),G375/E375,IF(ISNUMBER(I375),-ABS(I375)/E375,IF(ISNUMBER(H375),0,IF(AND(ISNUMBER(F375),ISNUMBER(E375),E375&gt;0,F375&gt;E375),(F375-E375)/E375,IF(AND(ISNUMBER(F375),ISNUMBER(E375),E375&gt;0,F375=E375),0,IF(AND(ISNUMBER(F375),ISNUMBER(E375),E375&gt;0,F375=0),-1,"")))))))))</x:f>
      </x:c>
      <x:c r="K375" s="50" t="str">
        <x:f>IF(A375="","",IF(AND(ISNUMBER(E375),E375=0,OR(ISNUMBER(SEARCH("Free",D375&amp;"")),AND(ISNUMBER(F375),F375=0))),"Subscription",IF(ISNUMBER(G375),"Profit",IF(ISNUMBER(I375),"Disqualified",IF(ISNUMBER(H375),"Draw",IF(AND(ISNUMBER(F375),ISNUMBER(E375),E375&gt;0,F375&gt;E375),"Profit",IF(AND(ISNUMBER(F375),ISNUMBER(E375),E375&gt;0,F375=E375),"Draw",IF(AND(ISNUMBER(F375),ISNUMBER(E375),E375&gt;0,F375=0),"Disqualified",""))))))))</x:f>
      </x:c>
      <x:c r="L375" s="50"/>
      <x:c r="M375" s="58"/>
      <x:c r="N375" s="58"/>
      <x:c r="O375" s="62"/>
      <x:c r="P375" s="62"/>
      <x:c r="Q375" s="64" t="str">
        <x:f>IF(OR(B375="",C375="",C375&lt;B375),"",ROUNDUP((C375-B375)/7,0))</x:f>
      </x:c>
      <x:c r="R375" s="50"/>
      <x:c r="S375" s="50"/>
      <x:c r="T375" s="54"/>
      <x:c r="U375" s="66" t="str">
        <x:f>IF(A375="","",IF(K375="Subscription","",IF(ISNUMBER(G375),G375,0)-IF(ISNUMBER(I375),I375,0)))</x:f>
      </x:c>
      <x:c r="V375" s="64" t="str">
        <x:f>IF(OR(P375="",O375="",NOT(ISNUMBER(P375)),NOT(ISNUMBER(O375)),O375&gt;P375),"",P375-O375)</x:f>
      </x:c>
      <x:c r="W375" s="67" t="str">
        <x:f>IF(OR(P375="",P375=0,V375=""),"",V375/P375)</x:f>
      </x:c>
    </x:row>
    <x:row r="376" ht="21" customHeight="1">
      <x:c r="A376" s="54"/>
      <x:c r="B376" s="56"/>
      <x:c r="C376" s="56"/>
      <x:c r="D376" s="54"/>
      <x:c r="E376" s="58"/>
      <x:c r="F376" s="58"/>
      <x:c r="G376" s="58"/>
      <x:c r="H376" s="58"/>
      <x:c r="I376" s="58"/>
      <x:c r="J376" s="60" t="str">
        <x:f>IF(A376="","",IF(K376="Subscription","",IF(E376=0,"",IF(ISNUMBER(G376),G376/E376,IF(ISNUMBER(I376),-ABS(I376)/E376,IF(ISNUMBER(H376),0,IF(AND(ISNUMBER(F376),ISNUMBER(E376),E376&gt;0,F376&gt;E376),(F376-E376)/E376,IF(AND(ISNUMBER(F376),ISNUMBER(E376),E376&gt;0,F376=E376),0,IF(AND(ISNUMBER(F376),ISNUMBER(E376),E376&gt;0,F376=0),-1,"")))))))))</x:f>
      </x:c>
      <x:c r="K376" s="50" t="str">
        <x:f>IF(A376="","",IF(AND(ISNUMBER(E376),E376=0,OR(ISNUMBER(SEARCH("Free",D376&amp;"")),AND(ISNUMBER(F376),F376=0))),"Subscription",IF(ISNUMBER(G376),"Profit",IF(ISNUMBER(I376),"Disqualified",IF(ISNUMBER(H376),"Draw",IF(AND(ISNUMBER(F376),ISNUMBER(E376),E376&gt;0,F376&gt;E376),"Profit",IF(AND(ISNUMBER(F376),ISNUMBER(E376),E376&gt;0,F376=E376),"Draw",IF(AND(ISNUMBER(F376),ISNUMBER(E376),E376&gt;0,F376=0),"Disqualified",""))))))))</x:f>
      </x:c>
      <x:c r="L376" s="50"/>
      <x:c r="M376" s="58"/>
      <x:c r="N376" s="58"/>
      <x:c r="O376" s="62"/>
      <x:c r="P376" s="62"/>
      <x:c r="Q376" s="64" t="str">
        <x:f>IF(OR(B376="",C376="",C376&lt;B376),"",ROUNDUP((C376-B376)/7,0))</x:f>
      </x:c>
      <x:c r="R376" s="50"/>
      <x:c r="S376" s="50"/>
      <x:c r="T376" s="54"/>
      <x:c r="U376" s="66" t="str">
        <x:f>IF(A376="","",IF(K376="Subscription","",IF(ISNUMBER(G376),G376,0)-IF(ISNUMBER(I376),I376,0)))</x:f>
      </x:c>
      <x:c r="V376" s="64" t="str">
        <x:f>IF(OR(P376="",O376="",NOT(ISNUMBER(P376)),NOT(ISNUMBER(O376)),O376&gt;P376),"",P376-O376)</x:f>
      </x:c>
      <x:c r="W376" s="67" t="str">
        <x:f>IF(OR(P376="",P376=0,V376=""),"",V376/P376)</x:f>
      </x:c>
    </x:row>
    <x:row r="377" ht="21" customHeight="1">
      <x:c r="A377" s="54"/>
      <x:c r="B377" s="56"/>
      <x:c r="C377" s="56"/>
      <x:c r="D377" s="54"/>
      <x:c r="E377" s="58"/>
      <x:c r="F377" s="58"/>
      <x:c r="G377" s="58"/>
      <x:c r="H377" s="58"/>
      <x:c r="I377" s="58"/>
      <x:c r="J377" s="60" t="str">
        <x:f>IF(A377="","",IF(K377="Subscription","",IF(E377=0,"",IF(ISNUMBER(G377),G377/E377,IF(ISNUMBER(I377),-ABS(I377)/E377,IF(ISNUMBER(H377),0,IF(AND(ISNUMBER(F377),ISNUMBER(E377),E377&gt;0,F377&gt;E377),(F377-E377)/E377,IF(AND(ISNUMBER(F377),ISNUMBER(E377),E377&gt;0,F377=E377),0,IF(AND(ISNUMBER(F377),ISNUMBER(E377),E377&gt;0,F377=0),-1,"")))))))))</x:f>
      </x:c>
      <x:c r="K377" s="50" t="str">
        <x:f>IF(A377="","",IF(AND(ISNUMBER(E377),E377=0,OR(ISNUMBER(SEARCH("Free",D377&amp;"")),AND(ISNUMBER(F377),F377=0))),"Subscription",IF(ISNUMBER(G377),"Profit",IF(ISNUMBER(I377),"Disqualified",IF(ISNUMBER(H377),"Draw",IF(AND(ISNUMBER(F377),ISNUMBER(E377),E377&gt;0,F377&gt;E377),"Profit",IF(AND(ISNUMBER(F377),ISNUMBER(E377),E377&gt;0,F377=E377),"Draw",IF(AND(ISNUMBER(F377),ISNUMBER(E377),E377&gt;0,F377=0),"Disqualified",""))))))))</x:f>
      </x:c>
      <x:c r="L377" s="50"/>
      <x:c r="M377" s="58"/>
      <x:c r="N377" s="58"/>
      <x:c r="O377" s="62"/>
      <x:c r="P377" s="62"/>
      <x:c r="Q377" s="64" t="str">
        <x:f>IF(OR(B377="",C377="",C377&lt;B377),"",ROUNDUP((C377-B377)/7,0))</x:f>
      </x:c>
      <x:c r="R377" s="50"/>
      <x:c r="S377" s="50"/>
      <x:c r="T377" s="54"/>
      <x:c r="U377" s="66" t="str">
        <x:f>IF(A377="","",IF(K377="Subscription","",IF(ISNUMBER(G377),G377,0)-IF(ISNUMBER(I377),I377,0)))</x:f>
      </x:c>
      <x:c r="V377" s="64" t="str">
        <x:f>IF(OR(P377="",O377="",NOT(ISNUMBER(P377)),NOT(ISNUMBER(O377)),O377&gt;P377),"",P377-O377)</x:f>
      </x:c>
      <x:c r="W377" s="67" t="str">
        <x:f>IF(OR(P377="",P377=0,V377=""),"",V377/P377)</x:f>
      </x:c>
    </x:row>
    <x:row r="378" ht="21" customHeight="1">
      <x:c r="A378" s="54"/>
      <x:c r="B378" s="56"/>
      <x:c r="C378" s="56"/>
      <x:c r="D378" s="54"/>
      <x:c r="E378" s="58"/>
      <x:c r="F378" s="58"/>
      <x:c r="G378" s="58"/>
      <x:c r="H378" s="58"/>
      <x:c r="I378" s="58"/>
      <x:c r="J378" s="60" t="str">
        <x:f>IF(A378="","",IF(K378="Subscription","",IF(E378=0,"",IF(ISNUMBER(G378),G378/E378,IF(ISNUMBER(I378),-ABS(I378)/E378,IF(ISNUMBER(H378),0,IF(AND(ISNUMBER(F378),ISNUMBER(E378),E378&gt;0,F378&gt;E378),(F378-E378)/E378,IF(AND(ISNUMBER(F378),ISNUMBER(E378),E378&gt;0,F378=E378),0,IF(AND(ISNUMBER(F378),ISNUMBER(E378),E378&gt;0,F378=0),-1,"")))))))))</x:f>
      </x:c>
      <x:c r="K378" s="50" t="str">
        <x:f>IF(A378="","",IF(AND(ISNUMBER(E378),E378=0,OR(ISNUMBER(SEARCH("Free",D378&amp;"")),AND(ISNUMBER(F378),F378=0))),"Subscription",IF(ISNUMBER(G378),"Profit",IF(ISNUMBER(I378),"Disqualified",IF(ISNUMBER(H378),"Draw",IF(AND(ISNUMBER(F378),ISNUMBER(E378),E378&gt;0,F378&gt;E378),"Profit",IF(AND(ISNUMBER(F378),ISNUMBER(E378),E378&gt;0,F378=E378),"Draw",IF(AND(ISNUMBER(F378),ISNUMBER(E378),E378&gt;0,F378=0),"Disqualified",""))))))))</x:f>
      </x:c>
      <x:c r="L378" s="50"/>
      <x:c r="M378" s="58"/>
      <x:c r="N378" s="58"/>
      <x:c r="O378" s="62"/>
      <x:c r="P378" s="62"/>
      <x:c r="Q378" s="64" t="str">
        <x:f>IF(OR(B378="",C378="",C378&lt;B378),"",ROUNDUP((C378-B378)/7,0))</x:f>
      </x:c>
      <x:c r="R378" s="50"/>
      <x:c r="S378" s="50"/>
      <x:c r="T378" s="54"/>
      <x:c r="U378" s="66" t="str">
        <x:f>IF(A378="","",IF(K378="Subscription","",IF(ISNUMBER(G378),G378,0)-IF(ISNUMBER(I378),I378,0)))</x:f>
      </x:c>
      <x:c r="V378" s="64" t="str">
        <x:f>IF(OR(P378="",O378="",NOT(ISNUMBER(P378)),NOT(ISNUMBER(O378)),O378&gt;P378),"",P378-O378)</x:f>
      </x:c>
      <x:c r="W378" s="67" t="str">
        <x:f>IF(OR(P378="",P378=0,V378=""),"",V378/P378)</x:f>
      </x:c>
    </x:row>
    <x:row r="379" ht="21" customHeight="1">
      <x:c r="A379" s="54"/>
      <x:c r="B379" s="56"/>
      <x:c r="C379" s="56"/>
      <x:c r="D379" s="54"/>
      <x:c r="E379" s="58"/>
      <x:c r="F379" s="58"/>
      <x:c r="G379" s="58"/>
      <x:c r="H379" s="58"/>
      <x:c r="I379" s="58"/>
      <x:c r="J379" s="60" t="str">
        <x:f>IF(A379="","",IF(K379="Subscription","",IF(E379=0,"",IF(ISNUMBER(G379),G379/E379,IF(ISNUMBER(I379),-ABS(I379)/E379,IF(ISNUMBER(H379),0,IF(AND(ISNUMBER(F379),ISNUMBER(E379),E379&gt;0,F379&gt;E379),(F379-E379)/E379,IF(AND(ISNUMBER(F379),ISNUMBER(E379),E379&gt;0,F379=E379),0,IF(AND(ISNUMBER(F379),ISNUMBER(E379),E379&gt;0,F379=0),-1,"")))))))))</x:f>
      </x:c>
      <x:c r="K379" s="50" t="str">
        <x:f>IF(A379="","",IF(AND(ISNUMBER(E379),E379=0,OR(ISNUMBER(SEARCH("Free",D379&amp;"")),AND(ISNUMBER(F379),F379=0))),"Subscription",IF(ISNUMBER(G379),"Profit",IF(ISNUMBER(I379),"Disqualified",IF(ISNUMBER(H379),"Draw",IF(AND(ISNUMBER(F379),ISNUMBER(E379),E379&gt;0,F379&gt;E379),"Profit",IF(AND(ISNUMBER(F379),ISNUMBER(E379),E379&gt;0,F379=E379),"Draw",IF(AND(ISNUMBER(F379),ISNUMBER(E379),E379&gt;0,F379=0),"Disqualified",""))))))))</x:f>
      </x:c>
      <x:c r="L379" s="50"/>
      <x:c r="M379" s="58"/>
      <x:c r="N379" s="58"/>
      <x:c r="O379" s="62"/>
      <x:c r="P379" s="62"/>
      <x:c r="Q379" s="64" t="str">
        <x:f>IF(OR(B379="",C379="",C379&lt;B379),"",ROUNDUP((C379-B379)/7,0))</x:f>
      </x:c>
      <x:c r="R379" s="50"/>
      <x:c r="S379" s="50"/>
      <x:c r="T379" s="54"/>
      <x:c r="U379" s="66" t="str">
        <x:f>IF(A379="","",IF(K379="Subscription","",IF(ISNUMBER(G379),G379,0)-IF(ISNUMBER(I379),I379,0)))</x:f>
      </x:c>
      <x:c r="V379" s="64" t="str">
        <x:f>IF(OR(P379="",O379="",NOT(ISNUMBER(P379)),NOT(ISNUMBER(O379)),O379&gt;P379),"",P379-O379)</x:f>
      </x:c>
      <x:c r="W379" s="67" t="str">
        <x:f>IF(OR(P379="",P379=0,V379=""),"",V379/P379)</x:f>
      </x:c>
    </x:row>
    <x:row r="380" ht="21" customHeight="1">
      <x:c r="A380" s="54"/>
      <x:c r="B380" s="56"/>
      <x:c r="C380" s="56"/>
      <x:c r="D380" s="54"/>
      <x:c r="E380" s="58"/>
      <x:c r="F380" s="58"/>
      <x:c r="G380" s="58"/>
      <x:c r="H380" s="58"/>
      <x:c r="I380" s="58"/>
      <x:c r="J380" s="60" t="str">
        <x:f>IF(A380="","",IF(K380="Subscription","",IF(E380=0,"",IF(ISNUMBER(G380),G380/E380,IF(ISNUMBER(I380),-ABS(I380)/E380,IF(ISNUMBER(H380),0,IF(AND(ISNUMBER(F380),ISNUMBER(E380),E380&gt;0,F380&gt;E380),(F380-E380)/E380,IF(AND(ISNUMBER(F380),ISNUMBER(E380),E380&gt;0,F380=E380),0,IF(AND(ISNUMBER(F380),ISNUMBER(E380),E380&gt;0,F380=0),-1,"")))))))))</x:f>
      </x:c>
      <x:c r="K380" s="50" t="str">
        <x:f>IF(A380="","",IF(AND(ISNUMBER(E380),E380=0,OR(ISNUMBER(SEARCH("Free",D380&amp;"")),AND(ISNUMBER(F380),F380=0))),"Subscription",IF(ISNUMBER(G380),"Profit",IF(ISNUMBER(I380),"Disqualified",IF(ISNUMBER(H380),"Draw",IF(AND(ISNUMBER(F380),ISNUMBER(E380),E380&gt;0,F380&gt;E380),"Profit",IF(AND(ISNUMBER(F380),ISNUMBER(E380),E380&gt;0,F380=E380),"Draw",IF(AND(ISNUMBER(F380),ISNUMBER(E380),E380&gt;0,F380=0),"Disqualified",""))))))))</x:f>
      </x:c>
      <x:c r="L380" s="50"/>
      <x:c r="M380" s="58"/>
      <x:c r="N380" s="58"/>
      <x:c r="O380" s="62"/>
      <x:c r="P380" s="62"/>
      <x:c r="Q380" s="64" t="str">
        <x:f>IF(OR(B380="",C380="",C380&lt;B380),"",ROUNDUP((C380-B380)/7,0))</x:f>
      </x:c>
      <x:c r="R380" s="50"/>
      <x:c r="S380" s="50"/>
      <x:c r="T380" s="54"/>
      <x:c r="U380" s="66" t="str">
        <x:f>IF(A380="","",IF(K380="Subscription","",IF(ISNUMBER(G380),G380,0)-IF(ISNUMBER(I380),I380,0)))</x:f>
      </x:c>
      <x:c r="V380" s="64" t="str">
        <x:f>IF(OR(P380="",O380="",NOT(ISNUMBER(P380)),NOT(ISNUMBER(O380)),O380&gt;P380),"",P380-O380)</x:f>
      </x:c>
      <x:c r="W380" s="67" t="str">
        <x:f>IF(OR(P380="",P380=0,V380=""),"",V380/P380)</x:f>
      </x:c>
    </x:row>
    <x:row r="381" ht="21" customHeight="1">
      <x:c r="A381" s="54"/>
      <x:c r="B381" s="56"/>
      <x:c r="C381" s="56"/>
      <x:c r="D381" s="54"/>
      <x:c r="E381" s="58"/>
      <x:c r="F381" s="58"/>
      <x:c r="G381" s="58"/>
      <x:c r="H381" s="58"/>
      <x:c r="I381" s="58"/>
      <x:c r="J381" s="60" t="str">
        <x:f>IF(A381="","",IF(K381="Subscription","",IF(E381=0,"",IF(ISNUMBER(G381),G381/E381,IF(ISNUMBER(I381),-ABS(I381)/E381,IF(ISNUMBER(H381),0,IF(AND(ISNUMBER(F381),ISNUMBER(E381),E381&gt;0,F381&gt;E381),(F381-E381)/E381,IF(AND(ISNUMBER(F381),ISNUMBER(E381),E381&gt;0,F381=E381),0,IF(AND(ISNUMBER(F381),ISNUMBER(E381),E381&gt;0,F381=0),-1,"")))))))))</x:f>
      </x:c>
      <x:c r="K381" s="50" t="str">
        <x:f>IF(A381="","",IF(AND(ISNUMBER(E381),E381=0,OR(ISNUMBER(SEARCH("Free",D381&amp;"")),AND(ISNUMBER(F381),F381=0))),"Subscription",IF(ISNUMBER(G381),"Profit",IF(ISNUMBER(I381),"Disqualified",IF(ISNUMBER(H381),"Draw",IF(AND(ISNUMBER(F381),ISNUMBER(E381),E381&gt;0,F381&gt;E381),"Profit",IF(AND(ISNUMBER(F381),ISNUMBER(E381),E381&gt;0,F381=E381),"Draw",IF(AND(ISNUMBER(F381),ISNUMBER(E381),E381&gt;0,F381=0),"Disqualified",""))))))))</x:f>
      </x:c>
      <x:c r="L381" s="50"/>
      <x:c r="M381" s="58"/>
      <x:c r="N381" s="58"/>
      <x:c r="O381" s="62"/>
      <x:c r="P381" s="62"/>
      <x:c r="Q381" s="64" t="str">
        <x:f>IF(OR(B381="",C381="",C381&lt;B381),"",ROUNDUP((C381-B381)/7,0))</x:f>
      </x:c>
      <x:c r="R381" s="50"/>
      <x:c r="S381" s="50"/>
      <x:c r="T381" s="54"/>
      <x:c r="U381" s="66" t="str">
        <x:f>IF(A381="","",IF(K381="Subscription","",IF(ISNUMBER(G381),G381,0)-IF(ISNUMBER(I381),I381,0)))</x:f>
      </x:c>
      <x:c r="V381" s="64" t="str">
        <x:f>IF(OR(P381="",O381="",NOT(ISNUMBER(P381)),NOT(ISNUMBER(O381)),O381&gt;P381),"",P381-O381)</x:f>
      </x:c>
      <x:c r="W381" s="67" t="str">
        <x:f>IF(OR(P381="",P381=0,V381=""),"",V381/P381)</x:f>
      </x:c>
    </x:row>
    <x:row r="382" ht="21" customHeight="1">
      <x:c r="A382" s="54"/>
      <x:c r="B382" s="56"/>
      <x:c r="C382" s="56"/>
      <x:c r="D382" s="54"/>
      <x:c r="E382" s="58"/>
      <x:c r="F382" s="58"/>
      <x:c r="G382" s="58"/>
      <x:c r="H382" s="58"/>
      <x:c r="I382" s="58"/>
      <x:c r="J382" s="60" t="str">
        <x:f>IF(A382="","",IF(K382="Subscription","",IF(E382=0,"",IF(ISNUMBER(G382),G382/E382,IF(ISNUMBER(I382),-ABS(I382)/E382,IF(ISNUMBER(H382),0,IF(AND(ISNUMBER(F382),ISNUMBER(E382),E382&gt;0,F382&gt;E382),(F382-E382)/E382,IF(AND(ISNUMBER(F382),ISNUMBER(E382),E382&gt;0,F382=E382),0,IF(AND(ISNUMBER(F382),ISNUMBER(E382),E382&gt;0,F382=0),-1,"")))))))))</x:f>
      </x:c>
      <x:c r="K382" s="50" t="str">
        <x:f>IF(A382="","",IF(AND(ISNUMBER(E382),E382=0,OR(ISNUMBER(SEARCH("Free",D382&amp;"")),AND(ISNUMBER(F382),F382=0))),"Subscription",IF(ISNUMBER(G382),"Profit",IF(ISNUMBER(I382),"Disqualified",IF(ISNUMBER(H382),"Draw",IF(AND(ISNUMBER(F382),ISNUMBER(E382),E382&gt;0,F382&gt;E382),"Profit",IF(AND(ISNUMBER(F382),ISNUMBER(E382),E382&gt;0,F382=E382),"Draw",IF(AND(ISNUMBER(F382),ISNUMBER(E382),E382&gt;0,F382=0),"Disqualified",""))))))))</x:f>
      </x:c>
      <x:c r="L382" s="50"/>
      <x:c r="M382" s="58"/>
      <x:c r="N382" s="58"/>
      <x:c r="O382" s="62"/>
      <x:c r="P382" s="62"/>
      <x:c r="Q382" s="64" t="str">
        <x:f>IF(OR(B382="",C382="",C382&lt;B382),"",ROUNDUP((C382-B382)/7,0))</x:f>
      </x:c>
      <x:c r="R382" s="50"/>
      <x:c r="S382" s="50"/>
      <x:c r="T382" s="54"/>
      <x:c r="U382" s="66" t="str">
        <x:f>IF(A382="","",IF(K382="Subscription","",IF(ISNUMBER(G382),G382,0)-IF(ISNUMBER(I382),I382,0)))</x:f>
      </x:c>
      <x:c r="V382" s="64" t="str">
        <x:f>IF(OR(P382="",O382="",NOT(ISNUMBER(P382)),NOT(ISNUMBER(O382)),O382&gt;P382),"",P382-O382)</x:f>
      </x:c>
      <x:c r="W382" s="67" t="str">
        <x:f>IF(OR(P382="",P382=0,V382=""),"",V382/P382)</x:f>
      </x:c>
    </x:row>
    <x:row r="383" ht="21" customHeight="1">
      <x:c r="A383" s="54"/>
      <x:c r="B383" s="56"/>
      <x:c r="C383" s="56"/>
      <x:c r="D383" s="54"/>
      <x:c r="E383" s="58"/>
      <x:c r="F383" s="58"/>
      <x:c r="G383" s="58"/>
      <x:c r="H383" s="58"/>
      <x:c r="I383" s="58"/>
      <x:c r="J383" s="60" t="str">
        <x:f>IF(A383="","",IF(K383="Subscription","",IF(E383=0,"",IF(ISNUMBER(G383),G383/E383,IF(ISNUMBER(I383),-ABS(I383)/E383,IF(ISNUMBER(H383),0,IF(AND(ISNUMBER(F383),ISNUMBER(E383),E383&gt;0,F383&gt;E383),(F383-E383)/E383,IF(AND(ISNUMBER(F383),ISNUMBER(E383),E383&gt;0,F383=E383),0,IF(AND(ISNUMBER(F383),ISNUMBER(E383),E383&gt;0,F383=0),-1,"")))))))))</x:f>
      </x:c>
      <x:c r="K383" s="50" t="str">
        <x:f>IF(A383="","",IF(AND(ISNUMBER(E383),E383=0,OR(ISNUMBER(SEARCH("Free",D383&amp;"")),AND(ISNUMBER(F383),F383=0))),"Subscription",IF(ISNUMBER(G383),"Profit",IF(ISNUMBER(I383),"Disqualified",IF(ISNUMBER(H383),"Draw",IF(AND(ISNUMBER(F383),ISNUMBER(E383),E383&gt;0,F383&gt;E383),"Profit",IF(AND(ISNUMBER(F383),ISNUMBER(E383),E383&gt;0,F383=E383),"Draw",IF(AND(ISNUMBER(F383),ISNUMBER(E383),E383&gt;0,F383=0),"Disqualified",""))))))))</x:f>
      </x:c>
      <x:c r="L383" s="50"/>
      <x:c r="M383" s="58"/>
      <x:c r="N383" s="58"/>
      <x:c r="O383" s="62"/>
      <x:c r="P383" s="62"/>
      <x:c r="Q383" s="64" t="str">
        <x:f>IF(OR(B383="",C383="",C383&lt;B383),"",ROUNDUP((C383-B383)/7,0))</x:f>
      </x:c>
      <x:c r="R383" s="50"/>
      <x:c r="S383" s="50"/>
      <x:c r="T383" s="54"/>
      <x:c r="U383" s="66" t="str">
        <x:f>IF(A383="","",IF(K383="Subscription","",IF(ISNUMBER(G383),G383,0)-IF(ISNUMBER(I383),I383,0)))</x:f>
      </x:c>
      <x:c r="V383" s="64" t="str">
        <x:f>IF(OR(P383="",O383="",NOT(ISNUMBER(P383)),NOT(ISNUMBER(O383)),O383&gt;P383),"",P383-O383)</x:f>
      </x:c>
      <x:c r="W383" s="67" t="str">
        <x:f>IF(OR(P383="",P383=0,V383=""),"",V383/P383)</x:f>
      </x:c>
    </x:row>
    <x:row r="384" ht="21" customHeight="1">
      <x:c r="A384" s="54"/>
      <x:c r="B384" s="56"/>
      <x:c r="C384" s="56"/>
      <x:c r="D384" s="54"/>
      <x:c r="E384" s="58"/>
      <x:c r="F384" s="58"/>
      <x:c r="G384" s="58"/>
      <x:c r="H384" s="58"/>
      <x:c r="I384" s="58"/>
      <x:c r="J384" s="60" t="str">
        <x:f>IF(A384="","",IF(K384="Subscription","",IF(E384=0,"",IF(ISNUMBER(G384),G384/E384,IF(ISNUMBER(I384),-ABS(I384)/E384,IF(ISNUMBER(H384),0,IF(AND(ISNUMBER(F384),ISNUMBER(E384),E384&gt;0,F384&gt;E384),(F384-E384)/E384,IF(AND(ISNUMBER(F384),ISNUMBER(E384),E384&gt;0,F384=E384),0,IF(AND(ISNUMBER(F384),ISNUMBER(E384),E384&gt;0,F384=0),-1,"")))))))))</x:f>
      </x:c>
      <x:c r="K384" s="50" t="str">
        <x:f>IF(A384="","",IF(AND(ISNUMBER(E384),E384=0,OR(ISNUMBER(SEARCH("Free",D384&amp;"")),AND(ISNUMBER(F384),F384=0))),"Subscription",IF(ISNUMBER(G384),"Profit",IF(ISNUMBER(I384),"Disqualified",IF(ISNUMBER(H384),"Draw",IF(AND(ISNUMBER(F384),ISNUMBER(E384),E384&gt;0,F384&gt;E384),"Profit",IF(AND(ISNUMBER(F384),ISNUMBER(E384),E384&gt;0,F384=E384),"Draw",IF(AND(ISNUMBER(F384),ISNUMBER(E384),E384&gt;0,F384=0),"Disqualified",""))))))))</x:f>
      </x:c>
      <x:c r="L384" s="50"/>
      <x:c r="M384" s="58"/>
      <x:c r="N384" s="58"/>
      <x:c r="O384" s="62"/>
      <x:c r="P384" s="62"/>
      <x:c r="Q384" s="64" t="str">
        <x:f>IF(OR(B384="",C384="",C384&lt;B384),"",ROUNDUP((C384-B384)/7,0))</x:f>
      </x:c>
      <x:c r="R384" s="50"/>
      <x:c r="S384" s="50"/>
      <x:c r="T384" s="54"/>
      <x:c r="U384" s="66" t="str">
        <x:f>IF(A384="","",IF(K384="Subscription","",IF(ISNUMBER(G384),G384,0)-IF(ISNUMBER(I384),I384,0)))</x:f>
      </x:c>
      <x:c r="V384" s="64" t="str">
        <x:f>IF(OR(P384="",O384="",NOT(ISNUMBER(P384)),NOT(ISNUMBER(O384)),O384&gt;P384),"",P384-O384)</x:f>
      </x:c>
      <x:c r="W384" s="67" t="str">
        <x:f>IF(OR(P384="",P384=0,V384=""),"",V384/P384)</x:f>
      </x:c>
    </x:row>
    <x:row r="385" ht="21" customHeight="1">
      <x:c r="A385" s="54"/>
      <x:c r="B385" s="56"/>
      <x:c r="C385" s="56"/>
      <x:c r="D385" s="54"/>
      <x:c r="E385" s="58"/>
      <x:c r="F385" s="58"/>
      <x:c r="G385" s="58"/>
      <x:c r="H385" s="58"/>
      <x:c r="I385" s="58"/>
      <x:c r="J385" s="60" t="str">
        <x:f>IF(A385="","",IF(K385="Subscription","",IF(E385=0,"",IF(ISNUMBER(G385),G385/E385,IF(ISNUMBER(I385),-ABS(I385)/E385,IF(ISNUMBER(H385),0,IF(AND(ISNUMBER(F385),ISNUMBER(E385),E385&gt;0,F385&gt;E385),(F385-E385)/E385,IF(AND(ISNUMBER(F385),ISNUMBER(E385),E385&gt;0,F385=E385),0,IF(AND(ISNUMBER(F385),ISNUMBER(E385),E385&gt;0,F385=0),-1,"")))))))))</x:f>
      </x:c>
      <x:c r="K385" s="50" t="str">
        <x:f>IF(A385="","",IF(AND(ISNUMBER(E385),E385=0,OR(ISNUMBER(SEARCH("Free",D385&amp;"")),AND(ISNUMBER(F385),F385=0))),"Subscription",IF(ISNUMBER(G385),"Profit",IF(ISNUMBER(I385),"Disqualified",IF(ISNUMBER(H385),"Draw",IF(AND(ISNUMBER(F385),ISNUMBER(E385),E385&gt;0,F385&gt;E385),"Profit",IF(AND(ISNUMBER(F385),ISNUMBER(E385),E385&gt;0,F385=E385),"Draw",IF(AND(ISNUMBER(F385),ISNUMBER(E385),E385&gt;0,F385=0),"Disqualified",""))))))))</x:f>
      </x:c>
      <x:c r="L385" s="50"/>
      <x:c r="M385" s="58"/>
      <x:c r="N385" s="58"/>
      <x:c r="O385" s="62"/>
      <x:c r="P385" s="62"/>
      <x:c r="Q385" s="64" t="str">
        <x:f>IF(OR(B385="",C385="",C385&lt;B385),"",ROUNDUP((C385-B385)/7,0))</x:f>
      </x:c>
      <x:c r="R385" s="50"/>
      <x:c r="S385" s="50"/>
      <x:c r="T385" s="54"/>
      <x:c r="U385" s="66" t="str">
        <x:f>IF(A385="","",IF(K385="Subscription","",IF(ISNUMBER(G385),G385,0)-IF(ISNUMBER(I385),I385,0)))</x:f>
      </x:c>
      <x:c r="V385" s="64" t="str">
        <x:f>IF(OR(P385="",O385="",NOT(ISNUMBER(P385)),NOT(ISNUMBER(O385)),O385&gt;P385),"",P385-O385)</x:f>
      </x:c>
      <x:c r="W385" s="67" t="str">
        <x:f>IF(OR(P385="",P385=0,V385=""),"",V385/P385)</x:f>
      </x:c>
    </x:row>
    <x:row r="386" ht="21" customHeight="1">
      <x:c r="A386" s="54"/>
      <x:c r="B386" s="56"/>
      <x:c r="C386" s="56"/>
      <x:c r="D386" s="54"/>
      <x:c r="E386" s="58"/>
      <x:c r="F386" s="58"/>
      <x:c r="G386" s="58"/>
      <x:c r="H386" s="58"/>
      <x:c r="I386" s="58"/>
      <x:c r="J386" s="60" t="str">
        <x:f>IF(A386="","",IF(K386="Subscription","",IF(E386=0,"",IF(ISNUMBER(G386),G386/E386,IF(ISNUMBER(I386),-ABS(I386)/E386,IF(ISNUMBER(H386),0,IF(AND(ISNUMBER(F386),ISNUMBER(E386),E386&gt;0,F386&gt;E386),(F386-E386)/E386,IF(AND(ISNUMBER(F386),ISNUMBER(E386),E386&gt;0,F386=E386),0,IF(AND(ISNUMBER(F386),ISNUMBER(E386),E386&gt;0,F386=0),-1,"")))))))))</x:f>
      </x:c>
      <x:c r="K386" s="50" t="str">
        <x:f>IF(A386="","",IF(AND(ISNUMBER(E386),E386=0,OR(ISNUMBER(SEARCH("Free",D386&amp;"")),AND(ISNUMBER(F386),F386=0))),"Subscription",IF(ISNUMBER(G386),"Profit",IF(ISNUMBER(I386),"Disqualified",IF(ISNUMBER(H386),"Draw",IF(AND(ISNUMBER(F386),ISNUMBER(E386),E386&gt;0,F386&gt;E386),"Profit",IF(AND(ISNUMBER(F386),ISNUMBER(E386),E386&gt;0,F386=E386),"Draw",IF(AND(ISNUMBER(F386),ISNUMBER(E386),E386&gt;0,F386=0),"Disqualified",""))))))))</x:f>
      </x:c>
      <x:c r="L386" s="50"/>
      <x:c r="M386" s="58"/>
      <x:c r="N386" s="58"/>
      <x:c r="O386" s="62"/>
      <x:c r="P386" s="62"/>
      <x:c r="Q386" s="64" t="str">
        <x:f>IF(OR(B386="",C386="",C386&lt;B386),"",ROUNDUP((C386-B386)/7,0))</x:f>
      </x:c>
      <x:c r="R386" s="50"/>
      <x:c r="S386" s="50"/>
      <x:c r="T386" s="54"/>
      <x:c r="U386" s="66" t="str">
        <x:f>IF(A386="","",IF(K386="Subscription","",IF(ISNUMBER(G386),G386,0)-IF(ISNUMBER(I386),I386,0)))</x:f>
      </x:c>
      <x:c r="V386" s="64" t="str">
        <x:f>IF(OR(P386="",O386="",NOT(ISNUMBER(P386)),NOT(ISNUMBER(O386)),O386&gt;P386),"",P386-O386)</x:f>
      </x:c>
      <x:c r="W386" s="67" t="str">
        <x:f>IF(OR(P386="",P386=0,V386=""),"",V386/P386)</x:f>
      </x:c>
    </x:row>
    <x:row r="387" ht="21" customHeight="1">
      <x:c r="A387" s="54"/>
      <x:c r="B387" s="56"/>
      <x:c r="C387" s="56"/>
      <x:c r="D387" s="54"/>
      <x:c r="E387" s="58"/>
      <x:c r="F387" s="58"/>
      <x:c r="G387" s="58"/>
      <x:c r="H387" s="58"/>
      <x:c r="I387" s="58"/>
      <x:c r="J387" s="60" t="str">
        <x:f>IF(A387="","",IF(K387="Subscription","",IF(E387=0,"",IF(ISNUMBER(G387),G387/E387,IF(ISNUMBER(I387),-ABS(I387)/E387,IF(ISNUMBER(H387),0,IF(AND(ISNUMBER(F387),ISNUMBER(E387),E387&gt;0,F387&gt;E387),(F387-E387)/E387,IF(AND(ISNUMBER(F387),ISNUMBER(E387),E387&gt;0,F387=E387),0,IF(AND(ISNUMBER(F387),ISNUMBER(E387),E387&gt;0,F387=0),-1,"")))))))))</x:f>
      </x:c>
      <x:c r="K387" s="50" t="str">
        <x:f>IF(A387="","",IF(AND(ISNUMBER(E387),E387=0,OR(ISNUMBER(SEARCH("Free",D387&amp;"")),AND(ISNUMBER(F387),F387=0))),"Subscription",IF(ISNUMBER(G387),"Profit",IF(ISNUMBER(I387),"Disqualified",IF(ISNUMBER(H387),"Draw",IF(AND(ISNUMBER(F387),ISNUMBER(E387),E387&gt;0,F387&gt;E387),"Profit",IF(AND(ISNUMBER(F387),ISNUMBER(E387),E387&gt;0,F387=E387),"Draw",IF(AND(ISNUMBER(F387),ISNUMBER(E387),E387&gt;0,F387=0),"Disqualified",""))))))))</x:f>
      </x:c>
      <x:c r="L387" s="50"/>
      <x:c r="M387" s="58"/>
      <x:c r="N387" s="58"/>
      <x:c r="O387" s="62"/>
      <x:c r="P387" s="62"/>
      <x:c r="Q387" s="64" t="str">
        <x:f>IF(OR(B387="",C387="",C387&lt;B387),"",ROUNDUP((C387-B387)/7,0))</x:f>
      </x:c>
      <x:c r="R387" s="50"/>
      <x:c r="S387" s="50"/>
      <x:c r="T387" s="54"/>
      <x:c r="U387" s="66" t="str">
        <x:f>IF(A387="","",IF(K387="Subscription","",IF(ISNUMBER(G387),G387,0)-IF(ISNUMBER(I387),I387,0)))</x:f>
      </x:c>
      <x:c r="V387" s="64" t="str">
        <x:f>IF(OR(P387="",O387="",NOT(ISNUMBER(P387)),NOT(ISNUMBER(O387)),O387&gt;P387),"",P387-O387)</x:f>
      </x:c>
      <x:c r="W387" s="67" t="str">
        <x:f>IF(OR(P387="",P387=0,V387=""),"",V387/P387)</x:f>
      </x:c>
    </x:row>
    <x:row r="388" ht="21" customHeight="1">
      <x:c r="A388" s="54"/>
      <x:c r="B388" s="56"/>
      <x:c r="C388" s="56"/>
      <x:c r="D388" s="54"/>
      <x:c r="E388" s="58"/>
      <x:c r="F388" s="58"/>
      <x:c r="G388" s="58"/>
      <x:c r="H388" s="58"/>
      <x:c r="I388" s="58"/>
      <x:c r="J388" s="60" t="str">
        <x:f>IF(A388="","",IF(K388="Subscription","",IF(E388=0,"",IF(ISNUMBER(G388),G388/E388,IF(ISNUMBER(I388),-ABS(I388)/E388,IF(ISNUMBER(H388),0,IF(AND(ISNUMBER(F388),ISNUMBER(E388),E388&gt;0,F388&gt;E388),(F388-E388)/E388,IF(AND(ISNUMBER(F388),ISNUMBER(E388),E388&gt;0,F388=E388),0,IF(AND(ISNUMBER(F388),ISNUMBER(E388),E388&gt;0,F388=0),-1,"")))))))))</x:f>
      </x:c>
      <x:c r="K388" s="50" t="str">
        <x:f>IF(A388="","",IF(AND(ISNUMBER(E388),E388=0,OR(ISNUMBER(SEARCH("Free",D388&amp;"")),AND(ISNUMBER(F388),F388=0))),"Subscription",IF(ISNUMBER(G388),"Profit",IF(ISNUMBER(I388),"Disqualified",IF(ISNUMBER(H388),"Draw",IF(AND(ISNUMBER(F388),ISNUMBER(E388),E388&gt;0,F388&gt;E388),"Profit",IF(AND(ISNUMBER(F388),ISNUMBER(E388),E388&gt;0,F388=E388),"Draw",IF(AND(ISNUMBER(F388),ISNUMBER(E388),E388&gt;0,F388=0),"Disqualified",""))))))))</x:f>
      </x:c>
      <x:c r="L388" s="50"/>
      <x:c r="M388" s="58"/>
      <x:c r="N388" s="58"/>
      <x:c r="O388" s="62"/>
      <x:c r="P388" s="62"/>
      <x:c r="Q388" s="64" t="str">
        <x:f>IF(OR(B388="",C388="",C388&lt;B388),"",ROUNDUP((C388-B388)/7,0))</x:f>
      </x:c>
      <x:c r="R388" s="50"/>
      <x:c r="S388" s="50"/>
      <x:c r="T388" s="54"/>
      <x:c r="U388" s="66" t="str">
        <x:f>IF(A388="","",IF(K388="Subscription","",IF(ISNUMBER(G388),G388,0)-IF(ISNUMBER(I388),I388,0)))</x:f>
      </x:c>
      <x:c r="V388" s="64" t="str">
        <x:f>IF(OR(P388="",O388="",NOT(ISNUMBER(P388)),NOT(ISNUMBER(O388)),O388&gt;P388),"",P388-O388)</x:f>
      </x:c>
      <x:c r="W388" s="67" t="str">
        <x:f>IF(OR(P388="",P388=0,V388=""),"",V388/P388)</x:f>
      </x:c>
    </x:row>
    <x:row r="389" ht="21" customHeight="1">
      <x:c r="A389" s="54"/>
      <x:c r="B389" s="56"/>
      <x:c r="C389" s="56"/>
      <x:c r="D389" s="54"/>
      <x:c r="E389" s="58"/>
      <x:c r="F389" s="58"/>
      <x:c r="G389" s="58"/>
      <x:c r="H389" s="58"/>
      <x:c r="I389" s="58"/>
      <x:c r="J389" s="60" t="str">
        <x:f>IF(A389="","",IF(K389="Subscription","",IF(E389=0,"",IF(ISNUMBER(G389),G389/E389,IF(ISNUMBER(I389),-ABS(I389)/E389,IF(ISNUMBER(H389),0,IF(AND(ISNUMBER(F389),ISNUMBER(E389),E389&gt;0,F389&gt;E389),(F389-E389)/E389,IF(AND(ISNUMBER(F389),ISNUMBER(E389),E389&gt;0,F389=E389),0,IF(AND(ISNUMBER(F389),ISNUMBER(E389),E389&gt;0,F389=0),-1,"")))))))))</x:f>
      </x:c>
      <x:c r="K389" s="50" t="str">
        <x:f>IF(A389="","",IF(AND(ISNUMBER(E389),E389=0,OR(ISNUMBER(SEARCH("Free",D389&amp;"")),AND(ISNUMBER(F389),F389=0))),"Subscription",IF(ISNUMBER(G389),"Profit",IF(ISNUMBER(I389),"Disqualified",IF(ISNUMBER(H389),"Draw",IF(AND(ISNUMBER(F389),ISNUMBER(E389),E389&gt;0,F389&gt;E389),"Profit",IF(AND(ISNUMBER(F389),ISNUMBER(E389),E389&gt;0,F389=E389),"Draw",IF(AND(ISNUMBER(F389),ISNUMBER(E389),E389&gt;0,F389=0),"Disqualified",""))))))))</x:f>
      </x:c>
      <x:c r="L389" s="50"/>
      <x:c r="M389" s="58"/>
      <x:c r="N389" s="58"/>
      <x:c r="O389" s="62"/>
      <x:c r="P389" s="62"/>
      <x:c r="Q389" s="64" t="str">
        <x:f>IF(OR(B389="",C389="",C389&lt;B389),"",ROUNDUP((C389-B389)/7,0))</x:f>
      </x:c>
      <x:c r="R389" s="50"/>
      <x:c r="S389" s="50"/>
      <x:c r="T389" s="54"/>
      <x:c r="U389" s="66" t="str">
        <x:f>IF(A389="","",IF(K389="Subscription","",IF(ISNUMBER(G389),G389,0)-IF(ISNUMBER(I389),I389,0)))</x:f>
      </x:c>
      <x:c r="V389" s="64" t="str">
        <x:f>IF(OR(P389="",O389="",NOT(ISNUMBER(P389)),NOT(ISNUMBER(O389)),O389&gt;P389),"",P389-O389)</x:f>
      </x:c>
      <x:c r="W389" s="67" t="str">
        <x:f>IF(OR(P389="",P389=0,V389=""),"",V389/P389)</x:f>
      </x:c>
    </x:row>
    <x:row r="390" ht="21" customHeight="1">
      <x:c r="A390" s="54"/>
      <x:c r="B390" s="56"/>
      <x:c r="C390" s="56"/>
      <x:c r="D390" s="54"/>
      <x:c r="E390" s="58"/>
      <x:c r="F390" s="58"/>
      <x:c r="G390" s="58"/>
      <x:c r="H390" s="58"/>
      <x:c r="I390" s="58"/>
      <x:c r="J390" s="60" t="str">
        <x:f>IF(A390="","",IF(K390="Subscription","",IF(E390=0,"",IF(ISNUMBER(G390),G390/E390,IF(ISNUMBER(I390),-ABS(I390)/E390,IF(ISNUMBER(H390),0,IF(AND(ISNUMBER(F390),ISNUMBER(E390),E390&gt;0,F390&gt;E390),(F390-E390)/E390,IF(AND(ISNUMBER(F390),ISNUMBER(E390),E390&gt;0,F390=E390),0,IF(AND(ISNUMBER(F390),ISNUMBER(E390),E390&gt;0,F390=0),-1,"")))))))))</x:f>
      </x:c>
      <x:c r="K390" s="50" t="str">
        <x:f>IF(A390="","",IF(AND(ISNUMBER(E390),E390=0,OR(ISNUMBER(SEARCH("Free",D390&amp;"")),AND(ISNUMBER(F390),F390=0))),"Subscription",IF(ISNUMBER(G390),"Profit",IF(ISNUMBER(I390),"Disqualified",IF(ISNUMBER(H390),"Draw",IF(AND(ISNUMBER(F390),ISNUMBER(E390),E390&gt;0,F390&gt;E390),"Profit",IF(AND(ISNUMBER(F390),ISNUMBER(E390),E390&gt;0,F390=E390),"Draw",IF(AND(ISNUMBER(F390),ISNUMBER(E390),E390&gt;0,F390=0),"Disqualified",""))))))))</x:f>
      </x:c>
      <x:c r="L390" s="50"/>
      <x:c r="M390" s="58"/>
      <x:c r="N390" s="58"/>
      <x:c r="O390" s="62"/>
      <x:c r="P390" s="62"/>
      <x:c r="Q390" s="64" t="str">
        <x:f>IF(OR(B390="",C390="",C390&lt;B390),"",ROUNDUP((C390-B390)/7,0))</x:f>
      </x:c>
      <x:c r="R390" s="50"/>
      <x:c r="S390" s="50"/>
      <x:c r="T390" s="54"/>
      <x:c r="U390" s="66" t="str">
        <x:f>IF(A390="","",IF(K390="Subscription","",IF(ISNUMBER(G390),G390,0)-IF(ISNUMBER(I390),I390,0)))</x:f>
      </x:c>
      <x:c r="V390" s="64" t="str">
        <x:f>IF(OR(P390="",O390="",NOT(ISNUMBER(P390)),NOT(ISNUMBER(O390)),O390&gt;P390),"",P390-O390)</x:f>
      </x:c>
      <x:c r="W390" s="67" t="str">
        <x:f>IF(OR(P390="",P390=0,V390=""),"",V390/P390)</x:f>
      </x:c>
    </x:row>
    <x:row r="391" ht="21" customHeight="1">
      <x:c r="A391" s="54"/>
      <x:c r="B391" s="56"/>
      <x:c r="C391" s="56"/>
      <x:c r="D391" s="54"/>
      <x:c r="E391" s="58"/>
      <x:c r="F391" s="58"/>
      <x:c r="G391" s="58"/>
      <x:c r="H391" s="58"/>
      <x:c r="I391" s="58"/>
      <x:c r="J391" s="60" t="str">
        <x:f>IF(A391="","",IF(K391="Subscription","",IF(E391=0,"",IF(ISNUMBER(G391),G391/E391,IF(ISNUMBER(I391),-ABS(I391)/E391,IF(ISNUMBER(H391),0,IF(AND(ISNUMBER(F391),ISNUMBER(E391),E391&gt;0,F391&gt;E391),(F391-E391)/E391,IF(AND(ISNUMBER(F391),ISNUMBER(E391),E391&gt;0,F391=E391),0,IF(AND(ISNUMBER(F391),ISNUMBER(E391),E391&gt;0,F391=0),-1,"")))))))))</x:f>
      </x:c>
      <x:c r="K391" s="50" t="str">
        <x:f>IF(A391="","",IF(AND(ISNUMBER(E391),E391=0,OR(ISNUMBER(SEARCH("Free",D391&amp;"")),AND(ISNUMBER(F391),F391=0))),"Subscription",IF(ISNUMBER(G391),"Profit",IF(ISNUMBER(I391),"Disqualified",IF(ISNUMBER(H391),"Draw",IF(AND(ISNUMBER(F391),ISNUMBER(E391),E391&gt;0,F391&gt;E391),"Profit",IF(AND(ISNUMBER(F391),ISNUMBER(E391),E391&gt;0,F391=E391),"Draw",IF(AND(ISNUMBER(F391),ISNUMBER(E391),E391&gt;0,F391=0),"Disqualified",""))))))))</x:f>
      </x:c>
      <x:c r="L391" s="50"/>
      <x:c r="M391" s="58"/>
      <x:c r="N391" s="58"/>
      <x:c r="O391" s="62"/>
      <x:c r="P391" s="62"/>
      <x:c r="Q391" s="64" t="str">
        <x:f>IF(OR(B391="",C391="",C391&lt;B391),"",ROUNDUP((C391-B391)/7,0))</x:f>
      </x:c>
      <x:c r="R391" s="50"/>
      <x:c r="S391" s="50"/>
      <x:c r="T391" s="54"/>
      <x:c r="U391" s="66" t="str">
        <x:f>IF(A391="","",IF(K391="Subscription","",IF(ISNUMBER(G391),G391,0)-IF(ISNUMBER(I391),I391,0)))</x:f>
      </x:c>
      <x:c r="V391" s="64" t="str">
        <x:f>IF(OR(P391="",O391="",NOT(ISNUMBER(P391)),NOT(ISNUMBER(O391)),O391&gt;P391),"",P391-O391)</x:f>
      </x:c>
      <x:c r="W391" s="67" t="str">
        <x:f>IF(OR(P391="",P391=0,V391=""),"",V391/P391)</x:f>
      </x:c>
    </x:row>
    <x:row r="392" ht="21" customHeight="1">
      <x:c r="A392" s="54"/>
      <x:c r="B392" s="56"/>
      <x:c r="C392" s="56"/>
      <x:c r="D392" s="54"/>
      <x:c r="E392" s="58"/>
      <x:c r="F392" s="58"/>
      <x:c r="G392" s="58"/>
      <x:c r="H392" s="58"/>
      <x:c r="I392" s="58"/>
      <x:c r="J392" s="60" t="str">
        <x:f>IF(A392="","",IF(K392="Subscription","",IF(E392=0,"",IF(ISNUMBER(G392),G392/E392,IF(ISNUMBER(I392),-ABS(I392)/E392,IF(ISNUMBER(H392),0,IF(AND(ISNUMBER(F392),ISNUMBER(E392),E392&gt;0,F392&gt;E392),(F392-E392)/E392,IF(AND(ISNUMBER(F392),ISNUMBER(E392),E392&gt;0,F392=E392),0,IF(AND(ISNUMBER(F392),ISNUMBER(E392),E392&gt;0,F392=0),-1,"")))))))))</x:f>
      </x:c>
      <x:c r="K392" s="50" t="str">
        <x:f>IF(A392="","",IF(AND(ISNUMBER(E392),E392=0,OR(ISNUMBER(SEARCH("Free",D392&amp;"")),AND(ISNUMBER(F392),F392=0))),"Subscription",IF(ISNUMBER(G392),"Profit",IF(ISNUMBER(I392),"Disqualified",IF(ISNUMBER(H392),"Draw",IF(AND(ISNUMBER(F392),ISNUMBER(E392),E392&gt;0,F392&gt;E392),"Profit",IF(AND(ISNUMBER(F392),ISNUMBER(E392),E392&gt;0,F392=E392),"Draw",IF(AND(ISNUMBER(F392),ISNUMBER(E392),E392&gt;0,F392=0),"Disqualified",""))))))))</x:f>
      </x:c>
      <x:c r="L392" s="50"/>
      <x:c r="M392" s="58"/>
      <x:c r="N392" s="58"/>
      <x:c r="O392" s="62"/>
      <x:c r="P392" s="62"/>
      <x:c r="Q392" s="64" t="str">
        <x:f>IF(OR(B392="",C392="",C392&lt;B392),"",ROUNDUP((C392-B392)/7,0))</x:f>
      </x:c>
      <x:c r="R392" s="50"/>
      <x:c r="S392" s="50"/>
      <x:c r="T392" s="54"/>
      <x:c r="U392" s="66" t="str">
        <x:f>IF(A392="","",IF(K392="Subscription","",IF(ISNUMBER(G392),G392,0)-IF(ISNUMBER(I392),I392,0)))</x:f>
      </x:c>
      <x:c r="V392" s="64" t="str">
        <x:f>IF(OR(P392="",O392="",NOT(ISNUMBER(P392)),NOT(ISNUMBER(O392)),O392&gt;P392),"",P392-O392)</x:f>
      </x:c>
      <x:c r="W392" s="67" t="str">
        <x:f>IF(OR(P392="",P392=0,V392=""),"",V392/P392)</x:f>
      </x:c>
    </x:row>
    <x:row r="393" ht="21" customHeight="1">
      <x:c r="A393" s="54"/>
      <x:c r="B393" s="56"/>
      <x:c r="C393" s="56"/>
      <x:c r="D393" s="54"/>
      <x:c r="E393" s="58"/>
      <x:c r="F393" s="58"/>
      <x:c r="G393" s="58"/>
      <x:c r="H393" s="58"/>
      <x:c r="I393" s="58"/>
      <x:c r="J393" s="60" t="str">
        <x:f>IF(A393="","",IF(K393="Subscription","",IF(E393=0,"",IF(ISNUMBER(G393),G393/E393,IF(ISNUMBER(I393),-ABS(I393)/E393,IF(ISNUMBER(H393),0,IF(AND(ISNUMBER(F393),ISNUMBER(E393),E393&gt;0,F393&gt;E393),(F393-E393)/E393,IF(AND(ISNUMBER(F393),ISNUMBER(E393),E393&gt;0,F393=E393),0,IF(AND(ISNUMBER(F393),ISNUMBER(E393),E393&gt;0,F393=0),-1,"")))))))))</x:f>
      </x:c>
      <x:c r="K393" s="50" t="str">
        <x:f>IF(A393="","",IF(AND(ISNUMBER(E393),E393=0,OR(ISNUMBER(SEARCH("Free",D393&amp;"")),AND(ISNUMBER(F393),F393=0))),"Subscription",IF(ISNUMBER(G393),"Profit",IF(ISNUMBER(I393),"Disqualified",IF(ISNUMBER(H393),"Draw",IF(AND(ISNUMBER(F393),ISNUMBER(E393),E393&gt;0,F393&gt;E393),"Profit",IF(AND(ISNUMBER(F393),ISNUMBER(E393),E393&gt;0,F393=E393),"Draw",IF(AND(ISNUMBER(F393),ISNUMBER(E393),E393&gt;0,F393=0),"Disqualified",""))))))))</x:f>
      </x:c>
      <x:c r="L393" s="50"/>
      <x:c r="M393" s="58"/>
      <x:c r="N393" s="58"/>
      <x:c r="O393" s="62"/>
      <x:c r="P393" s="62"/>
      <x:c r="Q393" s="64" t="str">
        <x:f>IF(OR(B393="",C393="",C393&lt;B393),"",ROUNDUP((C393-B393)/7,0))</x:f>
      </x:c>
      <x:c r="R393" s="50"/>
      <x:c r="S393" s="50"/>
      <x:c r="T393" s="54"/>
      <x:c r="U393" s="66" t="str">
        <x:f>IF(A393="","",IF(K393="Subscription","",IF(ISNUMBER(G393),G393,0)-IF(ISNUMBER(I393),I393,0)))</x:f>
      </x:c>
      <x:c r="V393" s="64" t="str">
        <x:f>IF(OR(P393="",O393="",NOT(ISNUMBER(P393)),NOT(ISNUMBER(O393)),O393&gt;P393),"",P393-O393)</x:f>
      </x:c>
      <x:c r="W393" s="67" t="str">
        <x:f>IF(OR(P393="",P393=0,V393=""),"",V393/P393)</x:f>
      </x:c>
    </x:row>
    <x:row r="394" ht="21" customHeight="1">
      <x:c r="A394" s="54"/>
      <x:c r="B394" s="56"/>
      <x:c r="C394" s="56"/>
      <x:c r="D394" s="54"/>
      <x:c r="E394" s="58"/>
      <x:c r="F394" s="58"/>
      <x:c r="G394" s="58"/>
      <x:c r="H394" s="58"/>
      <x:c r="I394" s="58"/>
      <x:c r="J394" s="60" t="str">
        <x:f>IF(A394="","",IF(K394="Subscription","",IF(E394=0,"",IF(ISNUMBER(G394),G394/E394,IF(ISNUMBER(I394),-ABS(I394)/E394,IF(ISNUMBER(H394),0,IF(AND(ISNUMBER(F394),ISNUMBER(E394),E394&gt;0,F394&gt;E394),(F394-E394)/E394,IF(AND(ISNUMBER(F394),ISNUMBER(E394),E394&gt;0,F394=E394),0,IF(AND(ISNUMBER(F394),ISNUMBER(E394),E394&gt;0,F394=0),-1,"")))))))))</x:f>
      </x:c>
      <x:c r="K394" s="50" t="str">
        <x:f>IF(A394="","",IF(AND(ISNUMBER(E394),E394=0,OR(ISNUMBER(SEARCH("Free",D394&amp;"")),AND(ISNUMBER(F394),F394=0))),"Subscription",IF(ISNUMBER(G394),"Profit",IF(ISNUMBER(I394),"Disqualified",IF(ISNUMBER(H394),"Draw",IF(AND(ISNUMBER(F394),ISNUMBER(E394),E394&gt;0,F394&gt;E394),"Profit",IF(AND(ISNUMBER(F394),ISNUMBER(E394),E394&gt;0,F394=E394),"Draw",IF(AND(ISNUMBER(F394),ISNUMBER(E394),E394&gt;0,F394=0),"Disqualified",""))))))))</x:f>
      </x:c>
      <x:c r="L394" s="50"/>
      <x:c r="M394" s="58"/>
      <x:c r="N394" s="58"/>
      <x:c r="O394" s="62"/>
      <x:c r="P394" s="62"/>
      <x:c r="Q394" s="64" t="str">
        <x:f>IF(OR(B394="",C394="",C394&lt;B394),"",ROUNDUP((C394-B394)/7,0))</x:f>
      </x:c>
      <x:c r="R394" s="50"/>
      <x:c r="S394" s="50"/>
      <x:c r="T394" s="54"/>
      <x:c r="U394" s="66" t="str">
        <x:f>IF(A394="","",IF(K394="Subscription","",IF(ISNUMBER(G394),G394,0)-IF(ISNUMBER(I394),I394,0)))</x:f>
      </x:c>
      <x:c r="V394" s="64" t="str">
        <x:f>IF(OR(P394="",O394="",NOT(ISNUMBER(P394)),NOT(ISNUMBER(O394)),O394&gt;P394),"",P394-O394)</x:f>
      </x:c>
      <x:c r="W394" s="67" t="str">
        <x:f>IF(OR(P394="",P394=0,V394=""),"",V394/P394)</x:f>
      </x:c>
    </x:row>
    <x:row r="395" ht="21" customHeight="1">
      <x:c r="A395" s="54"/>
      <x:c r="B395" s="56"/>
      <x:c r="C395" s="56"/>
      <x:c r="D395" s="54"/>
      <x:c r="E395" s="58"/>
      <x:c r="F395" s="58"/>
      <x:c r="G395" s="58"/>
      <x:c r="H395" s="58"/>
      <x:c r="I395" s="58"/>
      <x:c r="J395" s="60" t="str">
        <x:f>IF(A395="","",IF(K395="Subscription","",IF(E395=0,"",IF(ISNUMBER(G395),G395/E395,IF(ISNUMBER(I395),-ABS(I395)/E395,IF(ISNUMBER(H395),0,IF(AND(ISNUMBER(F395),ISNUMBER(E395),E395&gt;0,F395&gt;E395),(F395-E395)/E395,IF(AND(ISNUMBER(F395),ISNUMBER(E395),E395&gt;0,F395=E395),0,IF(AND(ISNUMBER(F395),ISNUMBER(E395),E395&gt;0,F395=0),-1,"")))))))))</x:f>
      </x:c>
      <x:c r="K395" s="50" t="str">
        <x:f>IF(A395="","",IF(AND(ISNUMBER(E395),E395=0,OR(ISNUMBER(SEARCH("Free",D395&amp;"")),AND(ISNUMBER(F395),F395=0))),"Subscription",IF(ISNUMBER(G395),"Profit",IF(ISNUMBER(I395),"Disqualified",IF(ISNUMBER(H395),"Draw",IF(AND(ISNUMBER(F395),ISNUMBER(E395),E395&gt;0,F395&gt;E395),"Profit",IF(AND(ISNUMBER(F395),ISNUMBER(E395),E395&gt;0,F395=E395),"Draw",IF(AND(ISNUMBER(F395),ISNUMBER(E395),E395&gt;0,F395=0),"Disqualified",""))))))))</x:f>
      </x:c>
      <x:c r="L395" s="50"/>
      <x:c r="M395" s="58"/>
      <x:c r="N395" s="58"/>
      <x:c r="O395" s="62"/>
      <x:c r="P395" s="62"/>
      <x:c r="Q395" s="64" t="str">
        <x:f>IF(OR(B395="",C395="",C395&lt;B395),"",ROUNDUP((C395-B395)/7,0))</x:f>
      </x:c>
      <x:c r="R395" s="50"/>
      <x:c r="S395" s="50"/>
      <x:c r="T395" s="54"/>
      <x:c r="U395" s="66" t="str">
        <x:f>IF(A395="","",IF(K395="Subscription","",IF(ISNUMBER(G395),G395,0)-IF(ISNUMBER(I395),I395,0)))</x:f>
      </x:c>
      <x:c r="V395" s="64" t="str">
        <x:f>IF(OR(P395="",O395="",NOT(ISNUMBER(P395)),NOT(ISNUMBER(O395)),O395&gt;P395),"",P395-O395)</x:f>
      </x:c>
      <x:c r="W395" s="67" t="str">
        <x:f>IF(OR(P395="",P395=0,V395=""),"",V395/P395)</x:f>
      </x:c>
    </x:row>
    <x:row r="396" ht="21" customHeight="1">
      <x:c r="A396" s="54"/>
      <x:c r="B396" s="56"/>
      <x:c r="C396" s="56"/>
      <x:c r="D396" s="54"/>
      <x:c r="E396" s="58"/>
      <x:c r="F396" s="58"/>
      <x:c r="G396" s="58"/>
      <x:c r="H396" s="58"/>
      <x:c r="I396" s="58"/>
      <x:c r="J396" s="60" t="str">
        <x:f>IF(A396="","",IF(K396="Subscription","",IF(E396=0,"",IF(ISNUMBER(G396),G396/E396,IF(ISNUMBER(I396),-ABS(I396)/E396,IF(ISNUMBER(H396),0,IF(AND(ISNUMBER(F396),ISNUMBER(E396),E396&gt;0,F396&gt;E396),(F396-E396)/E396,IF(AND(ISNUMBER(F396),ISNUMBER(E396),E396&gt;0,F396=E396),0,IF(AND(ISNUMBER(F396),ISNUMBER(E396),E396&gt;0,F396=0),-1,"")))))))))</x:f>
      </x:c>
      <x:c r="K396" s="50" t="str">
        <x:f>IF(A396="","",IF(AND(ISNUMBER(E396),E396=0,OR(ISNUMBER(SEARCH("Free",D396&amp;"")),AND(ISNUMBER(F396),F396=0))),"Subscription",IF(ISNUMBER(G396),"Profit",IF(ISNUMBER(I396),"Disqualified",IF(ISNUMBER(H396),"Draw",IF(AND(ISNUMBER(F396),ISNUMBER(E396),E396&gt;0,F396&gt;E396),"Profit",IF(AND(ISNUMBER(F396),ISNUMBER(E396),E396&gt;0,F396=E396),"Draw",IF(AND(ISNUMBER(F396),ISNUMBER(E396),E396&gt;0,F396=0),"Disqualified",""))))))))</x:f>
      </x:c>
      <x:c r="L396" s="50"/>
      <x:c r="M396" s="58"/>
      <x:c r="N396" s="58"/>
      <x:c r="O396" s="62"/>
      <x:c r="P396" s="62"/>
      <x:c r="Q396" s="64" t="str">
        <x:f>IF(OR(B396="",C396="",C396&lt;B396),"",ROUNDUP((C396-B396)/7,0))</x:f>
      </x:c>
      <x:c r="R396" s="50"/>
      <x:c r="S396" s="50"/>
      <x:c r="T396" s="54"/>
      <x:c r="U396" s="66" t="str">
        <x:f>IF(A396="","",IF(K396="Subscription","",IF(ISNUMBER(G396),G396,0)-IF(ISNUMBER(I396),I396,0)))</x:f>
      </x:c>
      <x:c r="V396" s="64" t="str">
        <x:f>IF(OR(P396="",O396="",NOT(ISNUMBER(P396)),NOT(ISNUMBER(O396)),O396&gt;P396),"",P396-O396)</x:f>
      </x:c>
      <x:c r="W396" s="67" t="str">
        <x:f>IF(OR(P396="",P396=0,V396=""),"",V396/P396)</x:f>
      </x:c>
    </x:row>
    <x:row r="397" ht="21" customHeight="1">
      <x:c r="A397" s="54"/>
      <x:c r="B397" s="56"/>
      <x:c r="C397" s="56"/>
      <x:c r="D397" s="54"/>
      <x:c r="E397" s="58"/>
      <x:c r="F397" s="58"/>
      <x:c r="G397" s="58"/>
      <x:c r="H397" s="58"/>
      <x:c r="I397" s="58"/>
      <x:c r="J397" s="60" t="str">
        <x:f>IF(A397="","",IF(K397="Subscription","",IF(E397=0,"",IF(ISNUMBER(G397),G397/E397,IF(ISNUMBER(I397),-ABS(I397)/E397,IF(ISNUMBER(H397),0,IF(AND(ISNUMBER(F397),ISNUMBER(E397),E397&gt;0,F397&gt;E397),(F397-E397)/E397,IF(AND(ISNUMBER(F397),ISNUMBER(E397),E397&gt;0,F397=E397),0,IF(AND(ISNUMBER(F397),ISNUMBER(E397),E397&gt;0,F397=0),-1,"")))))))))</x:f>
      </x:c>
      <x:c r="K397" s="50" t="str">
        <x:f>IF(A397="","",IF(AND(ISNUMBER(E397),E397=0,OR(ISNUMBER(SEARCH("Free",D397&amp;"")),AND(ISNUMBER(F397),F397=0))),"Subscription",IF(ISNUMBER(G397),"Profit",IF(ISNUMBER(I397),"Disqualified",IF(ISNUMBER(H397),"Draw",IF(AND(ISNUMBER(F397),ISNUMBER(E397),E397&gt;0,F397&gt;E397),"Profit",IF(AND(ISNUMBER(F397),ISNUMBER(E397),E397&gt;0,F397=E397),"Draw",IF(AND(ISNUMBER(F397),ISNUMBER(E397),E397&gt;0,F397=0),"Disqualified",""))))))))</x:f>
      </x:c>
      <x:c r="L397" s="50"/>
      <x:c r="M397" s="58"/>
      <x:c r="N397" s="58"/>
      <x:c r="O397" s="62"/>
      <x:c r="P397" s="62"/>
      <x:c r="Q397" s="64" t="str">
        <x:f>IF(OR(B397="",C397="",C397&lt;B397),"",ROUNDUP((C397-B397)/7,0))</x:f>
      </x:c>
      <x:c r="R397" s="50"/>
      <x:c r="S397" s="50"/>
      <x:c r="T397" s="54"/>
      <x:c r="U397" s="66" t="str">
        <x:f>IF(A397="","",IF(K397="Subscription","",IF(ISNUMBER(G397),G397,0)-IF(ISNUMBER(I397),I397,0)))</x:f>
      </x:c>
      <x:c r="V397" s="64" t="str">
        <x:f>IF(OR(P397="",O397="",NOT(ISNUMBER(P397)),NOT(ISNUMBER(O397)),O397&gt;P397),"",P397-O397)</x:f>
      </x:c>
      <x:c r="W397" s="67" t="str">
        <x:f>IF(OR(P397="",P397=0,V397=""),"",V397/P397)</x:f>
      </x:c>
    </x:row>
    <x:row r="398" ht="21" customHeight="1">
      <x:c r="A398" s="54"/>
      <x:c r="B398" s="56"/>
      <x:c r="C398" s="56"/>
      <x:c r="D398" s="54"/>
      <x:c r="E398" s="58"/>
      <x:c r="F398" s="58"/>
      <x:c r="G398" s="58"/>
      <x:c r="H398" s="58"/>
      <x:c r="I398" s="58"/>
      <x:c r="J398" s="60" t="str">
        <x:f>IF(A398="","",IF(K398="Subscription","",IF(E398=0,"",IF(ISNUMBER(G398),G398/E398,IF(ISNUMBER(I398),-ABS(I398)/E398,IF(ISNUMBER(H398),0,IF(AND(ISNUMBER(F398),ISNUMBER(E398),E398&gt;0,F398&gt;E398),(F398-E398)/E398,IF(AND(ISNUMBER(F398),ISNUMBER(E398),E398&gt;0,F398=E398),0,IF(AND(ISNUMBER(F398),ISNUMBER(E398),E398&gt;0,F398=0),-1,"")))))))))</x:f>
      </x:c>
      <x:c r="K398" s="50" t="str">
        <x:f>IF(A398="","",IF(AND(ISNUMBER(E398),E398=0,OR(ISNUMBER(SEARCH("Free",D398&amp;"")),AND(ISNUMBER(F398),F398=0))),"Subscription",IF(ISNUMBER(G398),"Profit",IF(ISNUMBER(I398),"Disqualified",IF(ISNUMBER(H398),"Draw",IF(AND(ISNUMBER(F398),ISNUMBER(E398),E398&gt;0,F398&gt;E398),"Profit",IF(AND(ISNUMBER(F398),ISNUMBER(E398),E398&gt;0,F398=E398),"Draw",IF(AND(ISNUMBER(F398),ISNUMBER(E398),E398&gt;0,F398=0),"Disqualified",""))))))))</x:f>
      </x:c>
      <x:c r="L398" s="50"/>
      <x:c r="M398" s="58"/>
      <x:c r="N398" s="58"/>
      <x:c r="O398" s="62"/>
      <x:c r="P398" s="62"/>
      <x:c r="Q398" s="64" t="str">
        <x:f>IF(OR(B398="",C398="",C398&lt;B398),"",ROUNDUP((C398-B398)/7,0))</x:f>
      </x:c>
      <x:c r="R398" s="50"/>
      <x:c r="S398" s="50"/>
      <x:c r="T398" s="54"/>
      <x:c r="U398" s="66" t="str">
        <x:f>IF(A398="","",IF(K398="Subscription","",IF(ISNUMBER(G398),G398,0)-IF(ISNUMBER(I398),I398,0)))</x:f>
      </x:c>
      <x:c r="V398" s="64" t="str">
        <x:f>IF(OR(P398="",O398="",NOT(ISNUMBER(P398)),NOT(ISNUMBER(O398)),O398&gt;P398),"",P398-O398)</x:f>
      </x:c>
      <x:c r="W398" s="67" t="str">
        <x:f>IF(OR(P398="",P398=0,V398=""),"",V398/P398)</x:f>
      </x:c>
    </x:row>
    <x:row r="399" ht="21" customHeight="1">
      <x:c r="A399" s="54"/>
      <x:c r="B399" s="56"/>
      <x:c r="C399" s="56"/>
      <x:c r="D399" s="54"/>
      <x:c r="E399" s="58"/>
      <x:c r="F399" s="58"/>
      <x:c r="G399" s="58"/>
      <x:c r="H399" s="58"/>
      <x:c r="I399" s="58"/>
      <x:c r="J399" s="60" t="str">
        <x:f>IF(A399="","",IF(K399="Subscription","",IF(E399=0,"",IF(ISNUMBER(G399),G399/E399,IF(ISNUMBER(I399),-ABS(I399)/E399,IF(ISNUMBER(H399),0,IF(AND(ISNUMBER(F399),ISNUMBER(E399),E399&gt;0,F399&gt;E399),(F399-E399)/E399,IF(AND(ISNUMBER(F399),ISNUMBER(E399),E399&gt;0,F399=E399),0,IF(AND(ISNUMBER(F399),ISNUMBER(E399),E399&gt;0,F399=0),-1,"")))))))))</x:f>
      </x:c>
      <x:c r="K399" s="50" t="str">
        <x:f>IF(A399="","",IF(AND(ISNUMBER(E399),E399=0,OR(ISNUMBER(SEARCH("Free",D399&amp;"")),AND(ISNUMBER(F399),F399=0))),"Subscription",IF(ISNUMBER(G399),"Profit",IF(ISNUMBER(I399),"Disqualified",IF(ISNUMBER(H399),"Draw",IF(AND(ISNUMBER(F399),ISNUMBER(E399),E399&gt;0,F399&gt;E399),"Profit",IF(AND(ISNUMBER(F399),ISNUMBER(E399),E399&gt;0,F399=E399),"Draw",IF(AND(ISNUMBER(F399),ISNUMBER(E399),E399&gt;0,F399=0),"Disqualified",""))))))))</x:f>
      </x:c>
      <x:c r="L399" s="50"/>
      <x:c r="M399" s="58"/>
      <x:c r="N399" s="58"/>
      <x:c r="O399" s="62"/>
      <x:c r="P399" s="62"/>
      <x:c r="Q399" s="64" t="str">
        <x:f>IF(OR(B399="",C399="",C399&lt;B399),"",ROUNDUP((C399-B399)/7,0))</x:f>
      </x:c>
      <x:c r="R399" s="50"/>
      <x:c r="S399" s="50"/>
      <x:c r="T399" s="54"/>
      <x:c r="U399" s="66" t="str">
        <x:f>IF(A399="","",IF(K399="Subscription","",IF(ISNUMBER(G399),G399,0)-IF(ISNUMBER(I399),I399,0)))</x:f>
      </x:c>
      <x:c r="V399" s="64" t="str">
        <x:f>IF(OR(P399="",O399="",NOT(ISNUMBER(P399)),NOT(ISNUMBER(O399)),O399&gt;P399),"",P399-O399)</x:f>
      </x:c>
      <x:c r="W399" s="67" t="str">
        <x:f>IF(OR(P399="",P399=0,V399=""),"",V399/P399)</x:f>
      </x:c>
    </x:row>
    <x:row r="400" ht="21" customHeight="1">
      <x:c r="A400" s="54"/>
      <x:c r="B400" s="56"/>
      <x:c r="C400" s="56"/>
      <x:c r="D400" s="54"/>
      <x:c r="E400" s="58"/>
      <x:c r="F400" s="58"/>
      <x:c r="G400" s="58"/>
      <x:c r="H400" s="58"/>
      <x:c r="I400" s="58"/>
      <x:c r="J400" s="60" t="str">
        <x:f>IF(A400="","",IF(K400="Subscription","",IF(E400=0,"",IF(ISNUMBER(G400),G400/E400,IF(ISNUMBER(I400),-ABS(I400)/E400,IF(ISNUMBER(H400),0,IF(AND(ISNUMBER(F400),ISNUMBER(E400),E400&gt;0,F400&gt;E400),(F400-E400)/E400,IF(AND(ISNUMBER(F400),ISNUMBER(E400),E400&gt;0,F400=E400),0,IF(AND(ISNUMBER(F400),ISNUMBER(E400),E400&gt;0,F400=0),-1,"")))))))))</x:f>
      </x:c>
      <x:c r="K400" s="50" t="str">
        <x:f>IF(A400="","",IF(AND(ISNUMBER(E400),E400=0,OR(ISNUMBER(SEARCH("Free",D400&amp;"")),AND(ISNUMBER(F400),F400=0))),"Subscription",IF(ISNUMBER(G400),"Profit",IF(ISNUMBER(I400),"Disqualified",IF(ISNUMBER(H400),"Draw",IF(AND(ISNUMBER(F400),ISNUMBER(E400),E400&gt;0,F400&gt;E400),"Profit",IF(AND(ISNUMBER(F400),ISNUMBER(E400),E400&gt;0,F400=E400),"Draw",IF(AND(ISNUMBER(F400),ISNUMBER(E400),E400&gt;0,F400=0),"Disqualified",""))))))))</x:f>
      </x:c>
      <x:c r="L400" s="50"/>
      <x:c r="M400" s="58"/>
      <x:c r="N400" s="58"/>
      <x:c r="O400" s="62"/>
      <x:c r="P400" s="62"/>
      <x:c r="Q400" s="64" t="str">
        <x:f>IF(OR(B400="",C400="",C400&lt;B400),"",ROUNDUP((C400-B400)/7,0))</x:f>
      </x:c>
      <x:c r="R400" s="50"/>
      <x:c r="S400" s="50"/>
      <x:c r="T400" s="54"/>
      <x:c r="U400" s="66" t="str">
        <x:f>IF(A400="","",IF(K400="Subscription","",IF(ISNUMBER(G400),G400,0)-IF(ISNUMBER(I400),I400,0)))</x:f>
      </x:c>
      <x:c r="V400" s="64" t="str">
        <x:f>IF(OR(P400="",O400="",NOT(ISNUMBER(P400)),NOT(ISNUMBER(O400)),O400&gt;P400),"",P400-O400)</x:f>
      </x:c>
      <x:c r="W400" s="67" t="str">
        <x:f>IF(OR(P400="",P400=0,V400=""),"",V400/P400)</x:f>
      </x:c>
    </x:row>
    <x:row r="401" ht="21" customHeight="1">
      <x:c r="A401" s="54"/>
      <x:c r="B401" s="56"/>
      <x:c r="C401" s="56"/>
      <x:c r="D401" s="54"/>
      <x:c r="E401" s="58"/>
      <x:c r="F401" s="58"/>
      <x:c r="G401" s="58"/>
      <x:c r="H401" s="58"/>
      <x:c r="I401" s="58"/>
      <x:c r="J401" s="60" t="str">
        <x:f>IF(A401="","",IF(K401="Subscription","",IF(E401=0,"",IF(ISNUMBER(G401),G401/E401,IF(ISNUMBER(I401),-ABS(I401)/E401,IF(ISNUMBER(H401),0,IF(AND(ISNUMBER(F401),ISNUMBER(E401),E401&gt;0,F401&gt;E401),(F401-E401)/E401,IF(AND(ISNUMBER(F401),ISNUMBER(E401),E401&gt;0,F401=E401),0,IF(AND(ISNUMBER(F401),ISNUMBER(E401),E401&gt;0,F401=0),-1,"")))))))))</x:f>
      </x:c>
      <x:c r="K401" s="50" t="str">
        <x:f>IF(A401="","",IF(AND(ISNUMBER(E401),E401=0,OR(ISNUMBER(SEARCH("Free",D401&amp;"")),AND(ISNUMBER(F401),F401=0))),"Subscription",IF(ISNUMBER(G401),"Profit",IF(ISNUMBER(I401),"Disqualified",IF(ISNUMBER(H401),"Draw",IF(AND(ISNUMBER(F401),ISNUMBER(E401),E401&gt;0,F401&gt;E401),"Profit",IF(AND(ISNUMBER(F401),ISNUMBER(E401),E401&gt;0,F401=E401),"Draw",IF(AND(ISNUMBER(F401),ISNUMBER(E401),E401&gt;0,F401=0),"Disqualified",""))))))))</x:f>
      </x:c>
      <x:c r="L401" s="50"/>
      <x:c r="M401" s="58"/>
      <x:c r="N401" s="58"/>
      <x:c r="O401" s="62"/>
      <x:c r="P401" s="62"/>
      <x:c r="Q401" s="64" t="str">
        <x:f>IF(OR(B401="",C401="",C401&lt;B401),"",ROUNDUP((C401-B401)/7,0))</x:f>
      </x:c>
      <x:c r="R401" s="50"/>
      <x:c r="S401" s="50"/>
      <x:c r="T401" s="54"/>
      <x:c r="U401" s="66" t="str">
        <x:f>IF(A401="","",IF(K401="Subscription","",IF(ISNUMBER(G401),G401,0)-IF(ISNUMBER(I401),I401,0)))</x:f>
      </x:c>
      <x:c r="V401" s="64" t="str">
        <x:f>IF(OR(P401="",O401="",NOT(ISNUMBER(P401)),NOT(ISNUMBER(O401)),O401&gt;P401),"",P401-O401)</x:f>
      </x:c>
      <x:c r="W401" s="67" t="str">
        <x:f>IF(OR(P401="",P401=0,V401=""),"",V401/P401)</x:f>
      </x:c>
    </x:row>
    <x:row r="402" ht="21" customHeight="1">
      <x:c r="A402" s="54"/>
      <x:c r="B402" s="56"/>
      <x:c r="C402" s="56"/>
      <x:c r="D402" s="54"/>
      <x:c r="E402" s="58"/>
      <x:c r="F402" s="58"/>
      <x:c r="G402" s="58"/>
      <x:c r="H402" s="58"/>
      <x:c r="I402" s="58"/>
      <x:c r="J402" s="60" t="str">
        <x:f>IF(A402="","",IF(K402="Subscription","",IF(E402=0,"",IF(ISNUMBER(G402),G402/E402,IF(ISNUMBER(I402),-ABS(I402)/E402,IF(ISNUMBER(H402),0,IF(AND(ISNUMBER(F402),ISNUMBER(E402),E402&gt;0,F402&gt;E402),(F402-E402)/E402,IF(AND(ISNUMBER(F402),ISNUMBER(E402),E402&gt;0,F402=E402),0,IF(AND(ISNUMBER(F402),ISNUMBER(E402),E402&gt;0,F402=0),-1,"")))))))))</x:f>
      </x:c>
      <x:c r="K402" s="50" t="str">
        <x:f>IF(A402="","",IF(AND(ISNUMBER(E402),E402=0,OR(ISNUMBER(SEARCH("Free",D402&amp;"")),AND(ISNUMBER(F402),F402=0))),"Subscription",IF(ISNUMBER(G402),"Profit",IF(ISNUMBER(I402),"Disqualified",IF(ISNUMBER(H402),"Draw",IF(AND(ISNUMBER(F402),ISNUMBER(E402),E402&gt;0,F402&gt;E402),"Profit",IF(AND(ISNUMBER(F402),ISNUMBER(E402),E402&gt;0,F402=E402),"Draw",IF(AND(ISNUMBER(F402),ISNUMBER(E402),E402&gt;0,F402=0),"Disqualified",""))))))))</x:f>
      </x:c>
      <x:c r="L402" s="50"/>
      <x:c r="M402" s="58"/>
      <x:c r="N402" s="58"/>
      <x:c r="O402" s="62"/>
      <x:c r="P402" s="62"/>
      <x:c r="Q402" s="64" t="str">
        <x:f>IF(OR(B402="",C402="",C402&lt;B402),"",ROUNDUP((C402-B402)/7,0))</x:f>
      </x:c>
      <x:c r="R402" s="50"/>
      <x:c r="S402" s="50"/>
      <x:c r="T402" s="54"/>
      <x:c r="U402" s="66" t="str">
        <x:f>IF(A402="","",IF(K402="Subscription","",IF(ISNUMBER(G402),G402,0)-IF(ISNUMBER(I402),I402,0)))</x:f>
      </x:c>
      <x:c r="V402" s="64" t="str">
        <x:f>IF(OR(P402="",O402="",NOT(ISNUMBER(P402)),NOT(ISNUMBER(O402)),O402&gt;P402),"",P402-O402)</x:f>
      </x:c>
      <x:c r="W402" s="67" t="str">
        <x:f>IF(OR(P402="",P402=0,V402=""),"",V402/P402)</x:f>
      </x:c>
    </x:row>
    <x:row r="403" ht="21" customHeight="1">
      <x:c r="A403" s="54"/>
      <x:c r="B403" s="56"/>
      <x:c r="C403" s="56"/>
      <x:c r="D403" s="54"/>
      <x:c r="E403" s="58"/>
      <x:c r="F403" s="58"/>
      <x:c r="G403" s="58"/>
      <x:c r="H403" s="58"/>
      <x:c r="I403" s="58"/>
      <x:c r="J403" s="60" t="str">
        <x:f>IF(A403="","",IF(K403="Subscription","",IF(E403=0,"",IF(ISNUMBER(G403),G403/E403,IF(ISNUMBER(I403),-ABS(I403)/E403,IF(ISNUMBER(H403),0,IF(AND(ISNUMBER(F403),ISNUMBER(E403),E403&gt;0,F403&gt;E403),(F403-E403)/E403,IF(AND(ISNUMBER(F403),ISNUMBER(E403),E403&gt;0,F403=E403),0,IF(AND(ISNUMBER(F403),ISNUMBER(E403),E403&gt;0,F403=0),-1,"")))))))))</x:f>
      </x:c>
      <x:c r="K403" s="50" t="str">
        <x:f>IF(A403="","",IF(AND(ISNUMBER(E403),E403=0,OR(ISNUMBER(SEARCH("Free",D403&amp;"")),AND(ISNUMBER(F403),F403=0))),"Subscription",IF(ISNUMBER(G403),"Profit",IF(ISNUMBER(I403),"Disqualified",IF(ISNUMBER(H403),"Draw",IF(AND(ISNUMBER(F403),ISNUMBER(E403),E403&gt;0,F403&gt;E403),"Profit",IF(AND(ISNUMBER(F403),ISNUMBER(E403),E403&gt;0,F403=E403),"Draw",IF(AND(ISNUMBER(F403),ISNUMBER(E403),E403&gt;0,F403=0),"Disqualified",""))))))))</x:f>
      </x:c>
      <x:c r="L403" s="50"/>
      <x:c r="M403" s="58"/>
      <x:c r="N403" s="58"/>
      <x:c r="O403" s="62"/>
      <x:c r="P403" s="62"/>
      <x:c r="Q403" s="64" t="str">
        <x:f>IF(OR(B403="",C403="",C403&lt;B403),"",ROUNDUP((C403-B403)/7,0))</x:f>
      </x:c>
      <x:c r="R403" s="50"/>
      <x:c r="S403" s="50"/>
      <x:c r="T403" s="54"/>
      <x:c r="U403" s="66" t="str">
        <x:f>IF(A403="","",IF(K403="Subscription","",IF(ISNUMBER(G403),G403,0)-IF(ISNUMBER(I403),I403,0)))</x:f>
      </x:c>
      <x:c r="V403" s="64" t="str">
        <x:f>IF(OR(P403="",O403="",NOT(ISNUMBER(P403)),NOT(ISNUMBER(O403)),O403&gt;P403),"",P403-O403)</x:f>
      </x:c>
      <x:c r="W403" s="67" t="str">
        <x:f>IF(OR(P403="",P403=0,V403=""),"",V403/P403)</x:f>
      </x:c>
    </x:row>
    <x:row r="404" ht="21" customHeight="1">
      <x:c r="A404" s="54"/>
      <x:c r="B404" s="56"/>
      <x:c r="C404" s="56"/>
      <x:c r="D404" s="54"/>
      <x:c r="E404" s="58"/>
      <x:c r="F404" s="58"/>
      <x:c r="G404" s="58"/>
      <x:c r="H404" s="58"/>
      <x:c r="I404" s="58"/>
      <x:c r="J404" s="60" t="str">
        <x:f>IF(A404="","",IF(K404="Subscription","",IF(E404=0,"",IF(ISNUMBER(G404),G404/E404,IF(ISNUMBER(I404),-ABS(I404)/E404,IF(ISNUMBER(H404),0,IF(AND(ISNUMBER(F404),ISNUMBER(E404),E404&gt;0,F404&gt;E404),(F404-E404)/E404,IF(AND(ISNUMBER(F404),ISNUMBER(E404),E404&gt;0,F404=E404),0,IF(AND(ISNUMBER(F404),ISNUMBER(E404),E404&gt;0,F404=0),-1,"")))))))))</x:f>
      </x:c>
      <x:c r="K404" s="50" t="str">
        <x:f>IF(A404="","",IF(AND(ISNUMBER(E404),E404=0,OR(ISNUMBER(SEARCH("Free",D404&amp;"")),AND(ISNUMBER(F404),F404=0))),"Subscription",IF(ISNUMBER(G404),"Profit",IF(ISNUMBER(I404),"Disqualified",IF(ISNUMBER(H404),"Draw",IF(AND(ISNUMBER(F404),ISNUMBER(E404),E404&gt;0,F404&gt;E404),"Profit",IF(AND(ISNUMBER(F404),ISNUMBER(E404),E404&gt;0,F404=E404),"Draw",IF(AND(ISNUMBER(F404),ISNUMBER(E404),E404&gt;0,F404=0),"Disqualified",""))))))))</x:f>
      </x:c>
      <x:c r="L404" s="50"/>
      <x:c r="M404" s="58"/>
      <x:c r="N404" s="58"/>
      <x:c r="O404" s="62"/>
      <x:c r="P404" s="62"/>
      <x:c r="Q404" s="64" t="str">
        <x:f>IF(OR(B404="",C404="",C404&lt;B404),"",ROUNDUP((C404-B404)/7,0))</x:f>
      </x:c>
      <x:c r="R404" s="50"/>
      <x:c r="S404" s="50"/>
      <x:c r="T404" s="54"/>
      <x:c r="U404" s="66" t="str">
        <x:f>IF(A404="","",IF(K404="Subscription","",IF(ISNUMBER(G404),G404,0)-IF(ISNUMBER(I404),I404,0)))</x:f>
      </x:c>
      <x:c r="V404" s="64" t="str">
        <x:f>IF(OR(P404="",O404="",NOT(ISNUMBER(P404)),NOT(ISNUMBER(O404)),O404&gt;P404),"",P404-O404)</x:f>
      </x:c>
      <x:c r="W404" s="67" t="str">
        <x:f>IF(OR(P404="",P404=0,V404=""),"",V404/P404)</x:f>
      </x:c>
    </x:row>
    <x:row r="405" ht="21" customHeight="1">
      <x:c r="A405" s="54"/>
      <x:c r="B405" s="56"/>
      <x:c r="C405" s="56"/>
      <x:c r="D405" s="54"/>
      <x:c r="E405" s="58"/>
      <x:c r="F405" s="58"/>
      <x:c r="G405" s="58"/>
      <x:c r="H405" s="58"/>
      <x:c r="I405" s="58"/>
      <x:c r="J405" s="60" t="str">
        <x:f>IF(A405="","",IF(K405="Subscription","",IF(E405=0,"",IF(ISNUMBER(G405),G405/E405,IF(ISNUMBER(I405),-ABS(I405)/E405,IF(ISNUMBER(H405),0,IF(AND(ISNUMBER(F405),ISNUMBER(E405),E405&gt;0,F405&gt;E405),(F405-E405)/E405,IF(AND(ISNUMBER(F405),ISNUMBER(E405),E405&gt;0,F405=E405),0,IF(AND(ISNUMBER(F405),ISNUMBER(E405),E405&gt;0,F405=0),-1,"")))))))))</x:f>
      </x:c>
      <x:c r="K405" s="50" t="str">
        <x:f>IF(A405="","",IF(AND(ISNUMBER(E405),E405=0,OR(ISNUMBER(SEARCH("Free",D405&amp;"")),AND(ISNUMBER(F405),F405=0))),"Subscription",IF(ISNUMBER(G405),"Profit",IF(ISNUMBER(I405),"Disqualified",IF(ISNUMBER(H405),"Draw",IF(AND(ISNUMBER(F405),ISNUMBER(E405),E405&gt;0,F405&gt;E405),"Profit",IF(AND(ISNUMBER(F405),ISNUMBER(E405),E405&gt;0,F405=E405),"Draw",IF(AND(ISNUMBER(F405),ISNUMBER(E405),E405&gt;0,F405=0),"Disqualified",""))))))))</x:f>
      </x:c>
      <x:c r="L405" s="50"/>
      <x:c r="M405" s="58"/>
      <x:c r="N405" s="58"/>
      <x:c r="O405" s="62"/>
      <x:c r="P405" s="62"/>
      <x:c r="Q405" s="64" t="str">
        <x:f>IF(OR(B405="",C405="",C405&lt;B405),"",ROUNDUP((C405-B405)/7,0))</x:f>
      </x:c>
      <x:c r="R405" s="50"/>
      <x:c r="S405" s="50"/>
      <x:c r="T405" s="54"/>
      <x:c r="U405" s="66" t="str">
        <x:f>IF(A405="","",IF(K405="Subscription","",IF(ISNUMBER(G405),G405,0)-IF(ISNUMBER(I405),I405,0)))</x:f>
      </x:c>
      <x:c r="V405" s="64" t="str">
        <x:f>IF(OR(P405="",O405="",NOT(ISNUMBER(P405)),NOT(ISNUMBER(O405)),O405&gt;P405),"",P405-O405)</x:f>
      </x:c>
      <x:c r="W405" s="67" t="str">
        <x:f>IF(OR(P405="",P405=0,V405=""),"",V405/P405)</x:f>
      </x:c>
    </x:row>
    <x:row r="406" ht="21" customHeight="1">
      <x:c r="A406" s="54"/>
      <x:c r="B406" s="56"/>
      <x:c r="C406" s="56"/>
      <x:c r="D406" s="54"/>
      <x:c r="E406" s="58"/>
      <x:c r="F406" s="58"/>
      <x:c r="G406" s="58"/>
      <x:c r="H406" s="58"/>
      <x:c r="I406" s="58"/>
      <x:c r="J406" s="60" t="str">
        <x:f>IF(A406="","",IF(K406="Subscription","",IF(E406=0,"",IF(ISNUMBER(G406),G406/E406,IF(ISNUMBER(I406),-ABS(I406)/E406,IF(ISNUMBER(H406),0,IF(AND(ISNUMBER(F406),ISNUMBER(E406),E406&gt;0,F406&gt;E406),(F406-E406)/E406,IF(AND(ISNUMBER(F406),ISNUMBER(E406),E406&gt;0,F406=E406),0,IF(AND(ISNUMBER(F406),ISNUMBER(E406),E406&gt;0,F406=0),-1,"")))))))))</x:f>
      </x:c>
      <x:c r="K406" s="50" t="str">
        <x:f>IF(A406="","",IF(AND(ISNUMBER(E406),E406=0,OR(ISNUMBER(SEARCH("Free",D406&amp;"")),AND(ISNUMBER(F406),F406=0))),"Subscription",IF(ISNUMBER(G406),"Profit",IF(ISNUMBER(I406),"Disqualified",IF(ISNUMBER(H406),"Draw",IF(AND(ISNUMBER(F406),ISNUMBER(E406),E406&gt;0,F406&gt;E406),"Profit",IF(AND(ISNUMBER(F406),ISNUMBER(E406),E406&gt;0,F406=E406),"Draw",IF(AND(ISNUMBER(F406),ISNUMBER(E406),E406&gt;0,F406=0),"Disqualified",""))))))))</x:f>
      </x:c>
      <x:c r="L406" s="50"/>
      <x:c r="M406" s="58"/>
      <x:c r="N406" s="58"/>
      <x:c r="O406" s="62"/>
      <x:c r="P406" s="62"/>
      <x:c r="Q406" s="64" t="str">
        <x:f>IF(OR(B406="",C406="",C406&lt;B406),"",ROUNDUP((C406-B406)/7,0))</x:f>
      </x:c>
      <x:c r="R406" s="50"/>
      <x:c r="S406" s="50"/>
      <x:c r="T406" s="54"/>
      <x:c r="U406" s="66" t="str">
        <x:f>IF(A406="","",IF(K406="Subscription","",IF(ISNUMBER(G406),G406,0)-IF(ISNUMBER(I406),I406,0)))</x:f>
      </x:c>
      <x:c r="V406" s="64" t="str">
        <x:f>IF(OR(P406="",O406="",NOT(ISNUMBER(P406)),NOT(ISNUMBER(O406)),O406&gt;P406),"",P406-O406)</x:f>
      </x:c>
      <x:c r="W406" s="67" t="str">
        <x:f>IF(OR(P406="",P406=0,V406=""),"",V406/P406)</x:f>
      </x:c>
    </x:row>
    <x:row r="407" ht="21" customHeight="1">
      <x:c r="A407" s="54"/>
      <x:c r="B407" s="56"/>
      <x:c r="C407" s="56"/>
      <x:c r="D407" s="54"/>
      <x:c r="E407" s="58"/>
      <x:c r="F407" s="58"/>
      <x:c r="G407" s="58"/>
      <x:c r="H407" s="58"/>
      <x:c r="I407" s="58"/>
      <x:c r="J407" s="60" t="str">
        <x:f>IF(A407="","",IF(K407="Subscription","",IF(E407=0,"",IF(ISNUMBER(G407),G407/E407,IF(ISNUMBER(I407),-ABS(I407)/E407,IF(ISNUMBER(H407),0,IF(AND(ISNUMBER(F407),ISNUMBER(E407),E407&gt;0,F407&gt;E407),(F407-E407)/E407,IF(AND(ISNUMBER(F407),ISNUMBER(E407),E407&gt;0,F407=E407),0,IF(AND(ISNUMBER(F407),ISNUMBER(E407),E407&gt;0,F407=0),-1,"")))))))))</x:f>
      </x:c>
      <x:c r="K407" s="50" t="str">
        <x:f>IF(A407="","",IF(AND(ISNUMBER(E407),E407=0,OR(ISNUMBER(SEARCH("Free",D407&amp;"")),AND(ISNUMBER(F407),F407=0))),"Subscription",IF(ISNUMBER(G407),"Profit",IF(ISNUMBER(I407),"Disqualified",IF(ISNUMBER(H407),"Draw",IF(AND(ISNUMBER(F407),ISNUMBER(E407),E407&gt;0,F407&gt;E407),"Profit",IF(AND(ISNUMBER(F407),ISNUMBER(E407),E407&gt;0,F407=E407),"Draw",IF(AND(ISNUMBER(F407),ISNUMBER(E407),E407&gt;0,F407=0),"Disqualified",""))))))))</x:f>
      </x:c>
      <x:c r="L407" s="50"/>
      <x:c r="M407" s="58"/>
      <x:c r="N407" s="58"/>
      <x:c r="O407" s="62"/>
      <x:c r="P407" s="62"/>
      <x:c r="Q407" s="64" t="str">
        <x:f>IF(OR(B407="",C407="",C407&lt;B407),"",ROUNDUP((C407-B407)/7,0))</x:f>
      </x:c>
      <x:c r="R407" s="50"/>
      <x:c r="S407" s="50"/>
      <x:c r="T407" s="54"/>
      <x:c r="U407" s="66" t="str">
        <x:f>IF(A407="","",IF(K407="Subscription","",IF(ISNUMBER(G407),G407,0)-IF(ISNUMBER(I407),I407,0)))</x:f>
      </x:c>
      <x:c r="V407" s="64" t="str">
        <x:f>IF(OR(P407="",O407="",NOT(ISNUMBER(P407)),NOT(ISNUMBER(O407)),O407&gt;P407),"",P407-O407)</x:f>
      </x:c>
      <x:c r="W407" s="67" t="str">
        <x:f>IF(OR(P407="",P407=0,V407=""),"",V407/P407)</x:f>
      </x:c>
    </x:row>
    <x:row r="408" ht="21" customHeight="1">
      <x:c r="A408" s="54"/>
      <x:c r="B408" s="56"/>
      <x:c r="C408" s="56"/>
      <x:c r="D408" s="54"/>
      <x:c r="E408" s="58"/>
      <x:c r="F408" s="58"/>
      <x:c r="G408" s="58"/>
      <x:c r="H408" s="58"/>
      <x:c r="I408" s="58"/>
      <x:c r="J408" s="60" t="str">
        <x:f>IF(A408="","",IF(K408="Subscription","",IF(E408=0,"",IF(ISNUMBER(G408),G408/E408,IF(ISNUMBER(I408),-ABS(I408)/E408,IF(ISNUMBER(H408),0,IF(AND(ISNUMBER(F408),ISNUMBER(E408),E408&gt;0,F408&gt;E408),(F408-E408)/E408,IF(AND(ISNUMBER(F408),ISNUMBER(E408),E408&gt;0,F408=E408),0,IF(AND(ISNUMBER(F408),ISNUMBER(E408),E408&gt;0,F408=0),-1,"")))))))))</x:f>
      </x:c>
      <x:c r="K408" s="50" t="str">
        <x:f>IF(A408="","",IF(AND(ISNUMBER(E408),E408=0,OR(ISNUMBER(SEARCH("Free",D408&amp;"")),AND(ISNUMBER(F408),F408=0))),"Subscription",IF(ISNUMBER(G408),"Profit",IF(ISNUMBER(I408),"Disqualified",IF(ISNUMBER(H408),"Draw",IF(AND(ISNUMBER(F408),ISNUMBER(E408),E408&gt;0,F408&gt;E408),"Profit",IF(AND(ISNUMBER(F408),ISNUMBER(E408),E408&gt;0,F408=E408),"Draw",IF(AND(ISNUMBER(F408),ISNUMBER(E408),E408&gt;0,F408=0),"Disqualified",""))))))))</x:f>
      </x:c>
      <x:c r="L408" s="50"/>
      <x:c r="M408" s="58"/>
      <x:c r="N408" s="58"/>
      <x:c r="O408" s="62"/>
      <x:c r="P408" s="62"/>
      <x:c r="Q408" s="64" t="str">
        <x:f>IF(OR(B408="",C408="",C408&lt;B408),"",ROUNDUP((C408-B408)/7,0))</x:f>
      </x:c>
      <x:c r="R408" s="50"/>
      <x:c r="S408" s="50"/>
      <x:c r="T408" s="54"/>
      <x:c r="U408" s="66" t="str">
        <x:f>IF(A408="","",IF(K408="Subscription","",IF(ISNUMBER(G408),G408,0)-IF(ISNUMBER(I408),I408,0)))</x:f>
      </x:c>
      <x:c r="V408" s="64" t="str">
        <x:f>IF(OR(P408="",O408="",NOT(ISNUMBER(P408)),NOT(ISNUMBER(O408)),O408&gt;P408),"",P408-O408)</x:f>
      </x:c>
      <x:c r="W408" s="67" t="str">
        <x:f>IF(OR(P408="",P408=0,V408=""),"",V408/P408)</x:f>
      </x:c>
    </x:row>
    <x:row r="409" ht="21" customHeight="1">
      <x:c r="A409" s="54"/>
      <x:c r="B409" s="56"/>
      <x:c r="C409" s="56"/>
      <x:c r="D409" s="54"/>
      <x:c r="E409" s="58"/>
      <x:c r="F409" s="58"/>
      <x:c r="G409" s="58"/>
      <x:c r="H409" s="58"/>
      <x:c r="I409" s="58"/>
      <x:c r="J409" s="60" t="str">
        <x:f>IF(A409="","",IF(K409="Subscription","",IF(E409=0,"",IF(ISNUMBER(G409),G409/E409,IF(ISNUMBER(I409),-ABS(I409)/E409,IF(ISNUMBER(H409),0,IF(AND(ISNUMBER(F409),ISNUMBER(E409),E409&gt;0,F409&gt;E409),(F409-E409)/E409,IF(AND(ISNUMBER(F409),ISNUMBER(E409),E409&gt;0,F409=E409),0,IF(AND(ISNUMBER(F409),ISNUMBER(E409),E409&gt;0,F409=0),-1,"")))))))))</x:f>
      </x:c>
      <x:c r="K409" s="50" t="str">
        <x:f>IF(A409="","",IF(AND(ISNUMBER(E409),E409=0,OR(ISNUMBER(SEARCH("Free",D409&amp;"")),AND(ISNUMBER(F409),F409=0))),"Subscription",IF(ISNUMBER(G409),"Profit",IF(ISNUMBER(I409),"Disqualified",IF(ISNUMBER(H409),"Draw",IF(AND(ISNUMBER(F409),ISNUMBER(E409),E409&gt;0,F409&gt;E409),"Profit",IF(AND(ISNUMBER(F409),ISNUMBER(E409),E409&gt;0,F409=E409),"Draw",IF(AND(ISNUMBER(F409),ISNUMBER(E409),E409&gt;0,F409=0),"Disqualified",""))))))))</x:f>
      </x:c>
      <x:c r="L409" s="50"/>
      <x:c r="M409" s="58"/>
      <x:c r="N409" s="58"/>
      <x:c r="O409" s="62"/>
      <x:c r="P409" s="62"/>
      <x:c r="Q409" s="64" t="str">
        <x:f>IF(OR(B409="",C409="",C409&lt;B409),"",ROUNDUP((C409-B409)/7,0))</x:f>
      </x:c>
      <x:c r="R409" s="50"/>
      <x:c r="S409" s="50"/>
      <x:c r="T409" s="54"/>
      <x:c r="U409" s="66" t="str">
        <x:f>IF(A409="","",IF(K409="Subscription","",IF(ISNUMBER(G409),G409,0)-IF(ISNUMBER(I409),I409,0)))</x:f>
      </x:c>
      <x:c r="V409" s="64" t="str">
        <x:f>IF(OR(P409="",O409="",NOT(ISNUMBER(P409)),NOT(ISNUMBER(O409)),O409&gt;P409),"",P409-O409)</x:f>
      </x:c>
      <x:c r="W409" s="67" t="str">
        <x:f>IF(OR(P409="",P409=0,V409=""),"",V409/P409)</x:f>
      </x:c>
    </x:row>
    <x:row r="410" ht="21" customHeight="1">
      <x:c r="A410" s="54"/>
      <x:c r="B410" s="56"/>
      <x:c r="C410" s="56"/>
      <x:c r="D410" s="54"/>
      <x:c r="E410" s="58"/>
      <x:c r="F410" s="58"/>
      <x:c r="G410" s="58"/>
      <x:c r="H410" s="58"/>
      <x:c r="I410" s="58"/>
      <x:c r="J410" s="60" t="str">
        <x:f>IF(A410="","",IF(K410="Subscription","",IF(E410=0,"",IF(ISNUMBER(G410),G410/E410,IF(ISNUMBER(I410),-ABS(I410)/E410,IF(ISNUMBER(H410),0,IF(AND(ISNUMBER(F410),ISNUMBER(E410),E410&gt;0,F410&gt;E410),(F410-E410)/E410,IF(AND(ISNUMBER(F410),ISNUMBER(E410),E410&gt;0,F410=E410),0,IF(AND(ISNUMBER(F410),ISNUMBER(E410),E410&gt;0,F410=0),-1,"")))))))))</x:f>
      </x:c>
      <x:c r="K410" s="50" t="str">
        <x:f>IF(A410="","",IF(AND(ISNUMBER(E410),E410=0,OR(ISNUMBER(SEARCH("Free",D410&amp;"")),AND(ISNUMBER(F410),F410=0))),"Subscription",IF(ISNUMBER(G410),"Profit",IF(ISNUMBER(I410),"Disqualified",IF(ISNUMBER(H410),"Draw",IF(AND(ISNUMBER(F410),ISNUMBER(E410),E410&gt;0,F410&gt;E410),"Profit",IF(AND(ISNUMBER(F410),ISNUMBER(E410),E410&gt;0,F410=E410),"Draw",IF(AND(ISNUMBER(F410),ISNUMBER(E410),E410&gt;0,F410=0),"Disqualified",""))))))))</x:f>
      </x:c>
      <x:c r="L410" s="50"/>
      <x:c r="M410" s="58"/>
      <x:c r="N410" s="58"/>
      <x:c r="O410" s="62"/>
      <x:c r="P410" s="62"/>
      <x:c r="Q410" s="64" t="str">
        <x:f>IF(OR(B410="",C410="",C410&lt;B410),"",ROUNDUP((C410-B410)/7,0))</x:f>
      </x:c>
      <x:c r="R410" s="50"/>
      <x:c r="S410" s="50"/>
      <x:c r="T410" s="54"/>
      <x:c r="U410" s="66" t="str">
        <x:f>IF(A410="","",IF(K410="Subscription","",IF(ISNUMBER(G410),G410,0)-IF(ISNUMBER(I410),I410,0)))</x:f>
      </x:c>
      <x:c r="V410" s="64" t="str">
        <x:f>IF(OR(P410="",O410="",NOT(ISNUMBER(P410)),NOT(ISNUMBER(O410)),O410&gt;P410),"",P410-O410)</x:f>
      </x:c>
      <x:c r="W410" s="67" t="str">
        <x:f>IF(OR(P410="",P410=0,V410=""),"",V410/P410)</x:f>
      </x:c>
    </x:row>
    <x:row r="411" ht="21" customHeight="1">
      <x:c r="A411" s="54"/>
      <x:c r="B411" s="56"/>
      <x:c r="C411" s="56"/>
      <x:c r="D411" s="54"/>
      <x:c r="E411" s="58"/>
      <x:c r="F411" s="58"/>
      <x:c r="G411" s="58"/>
      <x:c r="H411" s="58"/>
      <x:c r="I411" s="58"/>
      <x:c r="J411" s="60" t="str">
        <x:f>IF(A411="","",IF(K411="Subscription","",IF(E411=0,"",IF(ISNUMBER(G411),G411/E411,IF(ISNUMBER(I411),-ABS(I411)/E411,IF(ISNUMBER(H411),0,IF(AND(ISNUMBER(F411),ISNUMBER(E411),E411&gt;0,F411&gt;E411),(F411-E411)/E411,IF(AND(ISNUMBER(F411),ISNUMBER(E411),E411&gt;0,F411=E411),0,IF(AND(ISNUMBER(F411),ISNUMBER(E411),E411&gt;0,F411=0),-1,"")))))))))</x:f>
      </x:c>
      <x:c r="K411" s="50" t="str">
        <x:f>IF(A411="","",IF(AND(ISNUMBER(E411),E411=0,OR(ISNUMBER(SEARCH("Free",D411&amp;"")),AND(ISNUMBER(F411),F411=0))),"Subscription",IF(ISNUMBER(G411),"Profit",IF(ISNUMBER(I411),"Disqualified",IF(ISNUMBER(H411),"Draw",IF(AND(ISNUMBER(F411),ISNUMBER(E411),E411&gt;0,F411&gt;E411),"Profit",IF(AND(ISNUMBER(F411),ISNUMBER(E411),E411&gt;0,F411=E411),"Draw",IF(AND(ISNUMBER(F411),ISNUMBER(E411),E411&gt;0,F411=0),"Disqualified",""))))))))</x:f>
      </x:c>
      <x:c r="L411" s="50"/>
      <x:c r="M411" s="58"/>
      <x:c r="N411" s="58"/>
      <x:c r="O411" s="62"/>
      <x:c r="P411" s="62"/>
      <x:c r="Q411" s="64" t="str">
        <x:f>IF(OR(B411="",C411="",C411&lt;B411),"",ROUNDUP((C411-B411)/7,0))</x:f>
      </x:c>
      <x:c r="R411" s="50"/>
      <x:c r="S411" s="50"/>
      <x:c r="T411" s="54"/>
      <x:c r="U411" s="66" t="str">
        <x:f>IF(A411="","",IF(K411="Subscription","",IF(ISNUMBER(G411),G411,0)-IF(ISNUMBER(I411),I411,0)))</x:f>
      </x:c>
      <x:c r="V411" s="64" t="str">
        <x:f>IF(OR(P411="",O411="",NOT(ISNUMBER(P411)),NOT(ISNUMBER(O411)),O411&gt;P411),"",P411-O411)</x:f>
      </x:c>
      <x:c r="W411" s="67" t="str">
        <x:f>IF(OR(P411="",P411=0,V411=""),"",V411/P411)</x:f>
      </x:c>
    </x:row>
    <x:row r="412" ht="21" customHeight="1">
      <x:c r="A412" s="54"/>
      <x:c r="B412" s="56"/>
      <x:c r="C412" s="56"/>
      <x:c r="D412" s="54"/>
      <x:c r="E412" s="58"/>
      <x:c r="F412" s="58"/>
      <x:c r="G412" s="58"/>
      <x:c r="H412" s="58"/>
      <x:c r="I412" s="58"/>
      <x:c r="J412" s="60" t="str">
        <x:f>IF(A412="","",IF(K412="Subscription","",IF(E412=0,"",IF(ISNUMBER(G412),G412/E412,IF(ISNUMBER(I412),-ABS(I412)/E412,IF(ISNUMBER(H412),0,IF(AND(ISNUMBER(F412),ISNUMBER(E412),E412&gt;0,F412&gt;E412),(F412-E412)/E412,IF(AND(ISNUMBER(F412),ISNUMBER(E412),E412&gt;0,F412=E412),0,IF(AND(ISNUMBER(F412),ISNUMBER(E412),E412&gt;0,F412=0),-1,"")))))))))</x:f>
      </x:c>
      <x:c r="K412" s="50" t="str">
        <x:f>IF(A412="","",IF(AND(ISNUMBER(E412),E412=0,OR(ISNUMBER(SEARCH("Free",D412&amp;"")),AND(ISNUMBER(F412),F412=0))),"Subscription",IF(ISNUMBER(G412),"Profit",IF(ISNUMBER(I412),"Disqualified",IF(ISNUMBER(H412),"Draw",IF(AND(ISNUMBER(F412),ISNUMBER(E412),E412&gt;0,F412&gt;E412),"Profit",IF(AND(ISNUMBER(F412),ISNUMBER(E412),E412&gt;0,F412=E412),"Draw",IF(AND(ISNUMBER(F412),ISNUMBER(E412),E412&gt;0,F412=0),"Disqualified",""))))))))</x:f>
      </x:c>
      <x:c r="L412" s="50"/>
      <x:c r="M412" s="58"/>
      <x:c r="N412" s="58"/>
      <x:c r="O412" s="62"/>
      <x:c r="P412" s="62"/>
      <x:c r="Q412" s="64" t="str">
        <x:f>IF(OR(B412="",C412="",C412&lt;B412),"",ROUNDUP((C412-B412)/7,0))</x:f>
      </x:c>
      <x:c r="R412" s="50"/>
      <x:c r="S412" s="50"/>
      <x:c r="T412" s="54"/>
      <x:c r="U412" s="66" t="str">
        <x:f>IF(A412="","",IF(K412="Subscription","",IF(ISNUMBER(G412),G412,0)-IF(ISNUMBER(I412),I412,0)))</x:f>
      </x:c>
      <x:c r="V412" s="64" t="str">
        <x:f>IF(OR(P412="",O412="",NOT(ISNUMBER(P412)),NOT(ISNUMBER(O412)),O412&gt;P412),"",P412-O412)</x:f>
      </x:c>
      <x:c r="W412" s="67" t="str">
        <x:f>IF(OR(P412="",P412=0,V412=""),"",V412/P412)</x:f>
      </x:c>
    </x:row>
    <x:row r="413" ht="21" customHeight="1">
      <x:c r="A413" s="54"/>
      <x:c r="B413" s="56"/>
      <x:c r="C413" s="56"/>
      <x:c r="D413" s="54"/>
      <x:c r="E413" s="58"/>
      <x:c r="F413" s="58"/>
      <x:c r="G413" s="58"/>
      <x:c r="H413" s="58"/>
      <x:c r="I413" s="58"/>
      <x:c r="J413" s="60" t="str">
        <x:f>IF(A413="","",IF(K413="Subscription","",IF(E413=0,"",IF(ISNUMBER(G413),G413/E413,IF(ISNUMBER(I413),-ABS(I413)/E413,IF(ISNUMBER(H413),0,IF(AND(ISNUMBER(F413),ISNUMBER(E413),E413&gt;0,F413&gt;E413),(F413-E413)/E413,IF(AND(ISNUMBER(F413),ISNUMBER(E413),E413&gt;0,F413=E413),0,IF(AND(ISNUMBER(F413),ISNUMBER(E413),E413&gt;0,F413=0),-1,"")))))))))</x:f>
      </x:c>
      <x:c r="K413" s="50" t="str">
        <x:f>IF(A413="","",IF(AND(ISNUMBER(E413),E413=0,OR(ISNUMBER(SEARCH("Free",D413&amp;"")),AND(ISNUMBER(F413),F413=0))),"Subscription",IF(ISNUMBER(G413),"Profit",IF(ISNUMBER(I413),"Disqualified",IF(ISNUMBER(H413),"Draw",IF(AND(ISNUMBER(F413),ISNUMBER(E413),E413&gt;0,F413&gt;E413),"Profit",IF(AND(ISNUMBER(F413),ISNUMBER(E413),E413&gt;0,F413=E413),"Draw",IF(AND(ISNUMBER(F413),ISNUMBER(E413),E413&gt;0,F413=0),"Disqualified",""))))))))</x:f>
      </x:c>
      <x:c r="L413" s="50"/>
      <x:c r="M413" s="58"/>
      <x:c r="N413" s="58"/>
      <x:c r="O413" s="62"/>
      <x:c r="P413" s="62"/>
      <x:c r="Q413" s="64" t="str">
        <x:f>IF(OR(B413="",C413="",C413&lt;B413),"",ROUNDUP((C413-B413)/7,0))</x:f>
      </x:c>
      <x:c r="R413" s="50"/>
      <x:c r="S413" s="50"/>
      <x:c r="T413" s="54"/>
      <x:c r="U413" s="66" t="str">
        <x:f>IF(A413="","",IF(K413="Subscription","",IF(ISNUMBER(G413),G413,0)-IF(ISNUMBER(I413),I413,0)))</x:f>
      </x:c>
      <x:c r="V413" s="64" t="str">
        <x:f>IF(OR(P413="",O413="",NOT(ISNUMBER(P413)),NOT(ISNUMBER(O413)),O413&gt;P413),"",P413-O413)</x:f>
      </x:c>
      <x:c r="W413" s="67" t="str">
        <x:f>IF(OR(P413="",P413=0,V413=""),"",V413/P413)</x:f>
      </x:c>
    </x:row>
    <x:row r="414" ht="21" customHeight="1">
      <x:c r="A414" s="54"/>
      <x:c r="B414" s="56"/>
      <x:c r="C414" s="56"/>
      <x:c r="D414" s="54"/>
      <x:c r="E414" s="58"/>
      <x:c r="F414" s="58"/>
      <x:c r="G414" s="58"/>
      <x:c r="H414" s="58"/>
      <x:c r="I414" s="58"/>
      <x:c r="J414" s="60" t="str">
        <x:f>IF(A414="","",IF(K414="Subscription","",IF(E414=0,"",IF(ISNUMBER(G414),G414/E414,IF(ISNUMBER(I414),-ABS(I414)/E414,IF(ISNUMBER(H414),0,IF(AND(ISNUMBER(F414),ISNUMBER(E414),E414&gt;0,F414&gt;E414),(F414-E414)/E414,IF(AND(ISNUMBER(F414),ISNUMBER(E414),E414&gt;0,F414=E414),0,IF(AND(ISNUMBER(F414),ISNUMBER(E414),E414&gt;0,F414=0),-1,"")))))))))</x:f>
      </x:c>
      <x:c r="K414" s="50" t="str">
        <x:f>IF(A414="","",IF(AND(ISNUMBER(E414),E414=0,OR(ISNUMBER(SEARCH("Free",D414&amp;"")),AND(ISNUMBER(F414),F414=0))),"Subscription",IF(ISNUMBER(G414),"Profit",IF(ISNUMBER(I414),"Disqualified",IF(ISNUMBER(H414),"Draw",IF(AND(ISNUMBER(F414),ISNUMBER(E414),E414&gt;0,F414&gt;E414),"Profit",IF(AND(ISNUMBER(F414),ISNUMBER(E414),E414&gt;0,F414=E414),"Draw",IF(AND(ISNUMBER(F414),ISNUMBER(E414),E414&gt;0,F414=0),"Disqualified",""))))))))</x:f>
      </x:c>
      <x:c r="L414" s="50"/>
      <x:c r="M414" s="58"/>
      <x:c r="N414" s="58"/>
      <x:c r="O414" s="62"/>
      <x:c r="P414" s="62"/>
      <x:c r="Q414" s="64" t="str">
        <x:f>IF(OR(B414="",C414="",C414&lt;B414),"",ROUNDUP((C414-B414)/7,0))</x:f>
      </x:c>
      <x:c r="R414" s="50"/>
      <x:c r="S414" s="50"/>
      <x:c r="T414" s="54"/>
      <x:c r="U414" s="66" t="str">
        <x:f>IF(A414="","",IF(K414="Subscription","",IF(ISNUMBER(G414),G414,0)-IF(ISNUMBER(I414),I414,0)))</x:f>
      </x:c>
      <x:c r="V414" s="64" t="str">
        <x:f>IF(OR(P414="",O414="",NOT(ISNUMBER(P414)),NOT(ISNUMBER(O414)),O414&gt;P414),"",P414-O414)</x:f>
      </x:c>
      <x:c r="W414" s="67" t="str">
        <x:f>IF(OR(P414="",P414=0,V414=""),"",V414/P414)</x:f>
      </x:c>
    </x:row>
    <x:row r="415" ht="21" customHeight="1">
      <x:c r="A415" s="54"/>
      <x:c r="B415" s="56"/>
      <x:c r="C415" s="56"/>
      <x:c r="D415" s="54"/>
      <x:c r="E415" s="58"/>
      <x:c r="F415" s="58"/>
      <x:c r="G415" s="58"/>
      <x:c r="H415" s="58"/>
      <x:c r="I415" s="58"/>
      <x:c r="J415" s="60" t="str">
        <x:f>IF(A415="","",IF(K415="Subscription","",IF(E415=0,"",IF(ISNUMBER(G415),G415/E415,IF(ISNUMBER(I415),-ABS(I415)/E415,IF(ISNUMBER(H415),0,IF(AND(ISNUMBER(F415),ISNUMBER(E415),E415&gt;0,F415&gt;E415),(F415-E415)/E415,IF(AND(ISNUMBER(F415),ISNUMBER(E415),E415&gt;0,F415=E415),0,IF(AND(ISNUMBER(F415),ISNUMBER(E415),E415&gt;0,F415=0),-1,"")))))))))</x:f>
      </x:c>
      <x:c r="K415" s="50" t="str">
        <x:f>IF(A415="","",IF(AND(ISNUMBER(E415),E415=0,OR(ISNUMBER(SEARCH("Free",D415&amp;"")),AND(ISNUMBER(F415),F415=0))),"Subscription",IF(ISNUMBER(G415),"Profit",IF(ISNUMBER(I415),"Disqualified",IF(ISNUMBER(H415),"Draw",IF(AND(ISNUMBER(F415),ISNUMBER(E415),E415&gt;0,F415&gt;E415),"Profit",IF(AND(ISNUMBER(F415),ISNUMBER(E415),E415&gt;0,F415=E415),"Draw",IF(AND(ISNUMBER(F415),ISNUMBER(E415),E415&gt;0,F415=0),"Disqualified",""))))))))</x:f>
      </x:c>
      <x:c r="L415" s="50"/>
      <x:c r="M415" s="58"/>
      <x:c r="N415" s="58"/>
      <x:c r="O415" s="62"/>
      <x:c r="P415" s="62"/>
      <x:c r="Q415" s="64" t="str">
        <x:f>IF(OR(B415="",C415="",C415&lt;B415),"",ROUNDUP((C415-B415)/7,0))</x:f>
      </x:c>
      <x:c r="R415" s="50"/>
      <x:c r="S415" s="50"/>
      <x:c r="T415" s="54"/>
      <x:c r="U415" s="66" t="str">
        <x:f>IF(A415="","",IF(K415="Subscription","",IF(ISNUMBER(G415),G415,0)-IF(ISNUMBER(I415),I415,0)))</x:f>
      </x:c>
      <x:c r="V415" s="64" t="str">
        <x:f>IF(OR(P415="",O415="",NOT(ISNUMBER(P415)),NOT(ISNUMBER(O415)),O415&gt;P415),"",P415-O415)</x:f>
      </x:c>
      <x:c r="W415" s="67" t="str">
        <x:f>IF(OR(P415="",P415=0,V415=""),"",V415/P415)</x:f>
      </x:c>
    </x:row>
    <x:row r="416" ht="21" customHeight="1">
      <x:c r="A416" s="54"/>
      <x:c r="B416" s="56"/>
      <x:c r="C416" s="56"/>
      <x:c r="D416" s="54"/>
      <x:c r="E416" s="58"/>
      <x:c r="F416" s="58"/>
      <x:c r="G416" s="58"/>
      <x:c r="H416" s="58"/>
      <x:c r="I416" s="58"/>
      <x:c r="J416" s="60" t="str">
        <x:f>IF(A416="","",IF(K416="Subscription","",IF(E416=0,"",IF(ISNUMBER(G416),G416/E416,IF(ISNUMBER(I416),-ABS(I416)/E416,IF(ISNUMBER(H416),0,IF(AND(ISNUMBER(F416),ISNUMBER(E416),E416&gt;0,F416&gt;E416),(F416-E416)/E416,IF(AND(ISNUMBER(F416),ISNUMBER(E416),E416&gt;0,F416=E416),0,IF(AND(ISNUMBER(F416),ISNUMBER(E416),E416&gt;0,F416=0),-1,"")))))))))</x:f>
      </x:c>
      <x:c r="K416" s="50" t="str">
        <x:f>IF(A416="","",IF(AND(ISNUMBER(E416),E416=0,OR(ISNUMBER(SEARCH("Free",D416&amp;"")),AND(ISNUMBER(F416),F416=0))),"Subscription",IF(ISNUMBER(G416),"Profit",IF(ISNUMBER(I416),"Disqualified",IF(ISNUMBER(H416),"Draw",IF(AND(ISNUMBER(F416),ISNUMBER(E416),E416&gt;0,F416&gt;E416),"Profit",IF(AND(ISNUMBER(F416),ISNUMBER(E416),E416&gt;0,F416=E416),"Draw",IF(AND(ISNUMBER(F416),ISNUMBER(E416),E416&gt;0,F416=0),"Disqualified",""))))))))</x:f>
      </x:c>
      <x:c r="L416" s="50"/>
      <x:c r="M416" s="58"/>
      <x:c r="N416" s="58"/>
      <x:c r="O416" s="62"/>
      <x:c r="P416" s="62"/>
      <x:c r="Q416" s="64" t="str">
        <x:f>IF(OR(B416="",C416="",C416&lt;B416),"",ROUNDUP((C416-B416)/7,0))</x:f>
      </x:c>
      <x:c r="R416" s="50"/>
      <x:c r="S416" s="50"/>
      <x:c r="T416" s="54"/>
      <x:c r="U416" s="66" t="str">
        <x:f>IF(A416="","",IF(K416="Subscription","",IF(ISNUMBER(G416),G416,0)-IF(ISNUMBER(I416),I416,0)))</x:f>
      </x:c>
      <x:c r="V416" s="64" t="str">
        <x:f>IF(OR(P416="",O416="",NOT(ISNUMBER(P416)),NOT(ISNUMBER(O416)),O416&gt;P416),"",P416-O416)</x:f>
      </x:c>
      <x:c r="W416" s="67" t="str">
        <x:f>IF(OR(P416="",P416=0,V416=""),"",V416/P416)</x:f>
      </x:c>
    </x:row>
    <x:row r="417" ht="21" customHeight="1">
      <x:c r="A417" s="54"/>
      <x:c r="B417" s="56"/>
      <x:c r="C417" s="56"/>
      <x:c r="D417" s="54"/>
      <x:c r="E417" s="58"/>
      <x:c r="F417" s="58"/>
      <x:c r="G417" s="58"/>
      <x:c r="H417" s="58"/>
      <x:c r="I417" s="58"/>
      <x:c r="J417" s="60" t="str">
        <x:f>IF(A417="","",IF(K417="Subscription","",IF(E417=0,"",IF(ISNUMBER(G417),G417/E417,IF(ISNUMBER(I417),-ABS(I417)/E417,IF(ISNUMBER(H417),0,IF(AND(ISNUMBER(F417),ISNUMBER(E417),E417&gt;0,F417&gt;E417),(F417-E417)/E417,IF(AND(ISNUMBER(F417),ISNUMBER(E417),E417&gt;0,F417=E417),0,IF(AND(ISNUMBER(F417),ISNUMBER(E417),E417&gt;0,F417=0),-1,"")))))))))</x:f>
      </x:c>
      <x:c r="K417" s="50" t="str">
        <x:f>IF(A417="","",IF(AND(ISNUMBER(E417),E417=0,OR(ISNUMBER(SEARCH("Free",D417&amp;"")),AND(ISNUMBER(F417),F417=0))),"Subscription",IF(ISNUMBER(G417),"Profit",IF(ISNUMBER(I417),"Disqualified",IF(ISNUMBER(H417),"Draw",IF(AND(ISNUMBER(F417),ISNUMBER(E417),E417&gt;0,F417&gt;E417),"Profit",IF(AND(ISNUMBER(F417),ISNUMBER(E417),E417&gt;0,F417=E417),"Draw",IF(AND(ISNUMBER(F417),ISNUMBER(E417),E417&gt;0,F417=0),"Disqualified",""))))))))</x:f>
      </x:c>
      <x:c r="L417" s="50"/>
      <x:c r="M417" s="58"/>
      <x:c r="N417" s="58"/>
      <x:c r="O417" s="62"/>
      <x:c r="P417" s="62"/>
      <x:c r="Q417" s="64" t="str">
        <x:f>IF(OR(B417="",C417="",C417&lt;B417),"",ROUNDUP((C417-B417)/7,0))</x:f>
      </x:c>
      <x:c r="R417" s="50"/>
      <x:c r="S417" s="50"/>
      <x:c r="T417" s="54"/>
      <x:c r="U417" s="66" t="str">
        <x:f>IF(A417="","",IF(K417="Subscription","",IF(ISNUMBER(G417),G417,0)-IF(ISNUMBER(I417),I417,0)))</x:f>
      </x:c>
      <x:c r="V417" s="64" t="str">
        <x:f>IF(OR(P417="",O417="",NOT(ISNUMBER(P417)),NOT(ISNUMBER(O417)),O417&gt;P417),"",P417-O417)</x:f>
      </x:c>
      <x:c r="W417" s="67" t="str">
        <x:f>IF(OR(P417="",P417=0,V417=""),"",V417/P417)</x:f>
      </x:c>
    </x:row>
    <x:row r="418" ht="21" customHeight="1">
      <x:c r="A418" s="54"/>
      <x:c r="B418" s="56"/>
      <x:c r="C418" s="56"/>
      <x:c r="D418" s="54"/>
      <x:c r="E418" s="58"/>
      <x:c r="F418" s="58"/>
      <x:c r="G418" s="58"/>
      <x:c r="H418" s="58"/>
      <x:c r="I418" s="58"/>
      <x:c r="J418" s="60" t="str">
        <x:f>IF(A418="","",IF(K418="Subscription","",IF(E418=0,"",IF(ISNUMBER(G418),G418/E418,IF(ISNUMBER(I418),-ABS(I418)/E418,IF(ISNUMBER(H418),0,IF(AND(ISNUMBER(F418),ISNUMBER(E418),E418&gt;0,F418&gt;E418),(F418-E418)/E418,IF(AND(ISNUMBER(F418),ISNUMBER(E418),E418&gt;0,F418=E418),0,IF(AND(ISNUMBER(F418),ISNUMBER(E418),E418&gt;0,F418=0),-1,"")))))))))</x:f>
      </x:c>
      <x:c r="K418" s="50" t="str">
        <x:f>IF(A418="","",IF(AND(ISNUMBER(E418),E418=0,OR(ISNUMBER(SEARCH("Free",D418&amp;"")),AND(ISNUMBER(F418),F418=0))),"Subscription",IF(ISNUMBER(G418),"Profit",IF(ISNUMBER(I418),"Disqualified",IF(ISNUMBER(H418),"Draw",IF(AND(ISNUMBER(F418),ISNUMBER(E418),E418&gt;0,F418&gt;E418),"Profit",IF(AND(ISNUMBER(F418),ISNUMBER(E418),E418&gt;0,F418=E418),"Draw",IF(AND(ISNUMBER(F418),ISNUMBER(E418),E418&gt;0,F418=0),"Disqualified",""))))))))</x:f>
      </x:c>
      <x:c r="L418" s="50"/>
      <x:c r="M418" s="58"/>
      <x:c r="N418" s="58"/>
      <x:c r="O418" s="62"/>
      <x:c r="P418" s="62"/>
      <x:c r="Q418" s="64" t="str">
        <x:f>IF(OR(B418="",C418="",C418&lt;B418),"",ROUNDUP((C418-B418)/7,0))</x:f>
      </x:c>
      <x:c r="R418" s="50"/>
      <x:c r="S418" s="50"/>
      <x:c r="T418" s="54"/>
      <x:c r="U418" s="66" t="str">
        <x:f>IF(A418="","",IF(K418="Subscription","",IF(ISNUMBER(G418),G418,0)-IF(ISNUMBER(I418),I418,0)))</x:f>
      </x:c>
      <x:c r="V418" s="64" t="str">
        <x:f>IF(OR(P418="",O418="",NOT(ISNUMBER(P418)),NOT(ISNUMBER(O418)),O418&gt;P418),"",P418-O418)</x:f>
      </x:c>
      <x:c r="W418" s="67" t="str">
        <x:f>IF(OR(P418="",P418=0,V418=""),"",V418/P418)</x:f>
      </x:c>
    </x:row>
    <x:row r="419" ht="21" customHeight="1">
      <x:c r="A419" s="54"/>
      <x:c r="B419" s="56"/>
      <x:c r="C419" s="56"/>
      <x:c r="D419" s="54"/>
      <x:c r="E419" s="58"/>
      <x:c r="F419" s="58"/>
      <x:c r="G419" s="58"/>
      <x:c r="H419" s="58"/>
      <x:c r="I419" s="58"/>
      <x:c r="J419" s="60" t="str">
        <x:f>IF(A419="","",IF(K419="Subscription","",IF(E419=0,"",IF(ISNUMBER(G419),G419/E419,IF(ISNUMBER(I419),-ABS(I419)/E419,IF(ISNUMBER(H419),0,IF(AND(ISNUMBER(F419),ISNUMBER(E419),E419&gt;0,F419&gt;E419),(F419-E419)/E419,IF(AND(ISNUMBER(F419),ISNUMBER(E419),E419&gt;0,F419=E419),0,IF(AND(ISNUMBER(F419),ISNUMBER(E419),E419&gt;0,F419=0),-1,"")))))))))</x:f>
      </x:c>
      <x:c r="K419" s="50" t="str">
        <x:f>IF(A419="","",IF(AND(ISNUMBER(E419),E419=0,OR(ISNUMBER(SEARCH("Free",D419&amp;"")),AND(ISNUMBER(F419),F419=0))),"Subscription",IF(ISNUMBER(G419),"Profit",IF(ISNUMBER(I419),"Disqualified",IF(ISNUMBER(H419),"Draw",IF(AND(ISNUMBER(F419),ISNUMBER(E419),E419&gt;0,F419&gt;E419),"Profit",IF(AND(ISNUMBER(F419),ISNUMBER(E419),E419&gt;0,F419=E419),"Draw",IF(AND(ISNUMBER(F419),ISNUMBER(E419),E419&gt;0,F419=0),"Disqualified",""))))))))</x:f>
      </x:c>
      <x:c r="L419" s="50"/>
      <x:c r="M419" s="58"/>
      <x:c r="N419" s="58"/>
      <x:c r="O419" s="62"/>
      <x:c r="P419" s="62"/>
      <x:c r="Q419" s="64" t="str">
        <x:f>IF(OR(B419="",C419="",C419&lt;B419),"",ROUNDUP((C419-B419)/7,0))</x:f>
      </x:c>
      <x:c r="R419" s="50"/>
      <x:c r="S419" s="50"/>
      <x:c r="T419" s="54"/>
      <x:c r="U419" s="66" t="str">
        <x:f>IF(A419="","",IF(K419="Subscription","",IF(ISNUMBER(G419),G419,0)-IF(ISNUMBER(I419),I419,0)))</x:f>
      </x:c>
      <x:c r="V419" s="64" t="str">
        <x:f>IF(OR(P419="",O419="",NOT(ISNUMBER(P419)),NOT(ISNUMBER(O419)),O419&gt;P419),"",P419-O419)</x:f>
      </x:c>
      <x:c r="W419" s="67" t="str">
        <x:f>IF(OR(P419="",P419=0,V419=""),"",V419/P419)</x:f>
      </x:c>
    </x:row>
    <x:row r="420" ht="21" customHeight="1">
      <x:c r="A420" s="54"/>
      <x:c r="B420" s="56"/>
      <x:c r="C420" s="56"/>
      <x:c r="D420" s="54"/>
      <x:c r="E420" s="58"/>
      <x:c r="F420" s="58"/>
      <x:c r="G420" s="58"/>
      <x:c r="H420" s="58"/>
      <x:c r="I420" s="58"/>
      <x:c r="J420" s="60" t="str">
        <x:f>IF(A420="","",IF(K420="Subscription","",IF(E420=0,"",IF(ISNUMBER(G420),G420/E420,IF(ISNUMBER(I420),-ABS(I420)/E420,IF(ISNUMBER(H420),0,IF(AND(ISNUMBER(F420),ISNUMBER(E420),E420&gt;0,F420&gt;E420),(F420-E420)/E420,IF(AND(ISNUMBER(F420),ISNUMBER(E420),E420&gt;0,F420=E420),0,IF(AND(ISNUMBER(F420),ISNUMBER(E420),E420&gt;0,F420=0),-1,"")))))))))</x:f>
      </x:c>
      <x:c r="K420" s="50" t="str">
        <x:f>IF(A420="","",IF(AND(ISNUMBER(E420),E420=0,OR(ISNUMBER(SEARCH("Free",D420&amp;"")),AND(ISNUMBER(F420),F420=0))),"Subscription",IF(ISNUMBER(G420),"Profit",IF(ISNUMBER(I420),"Disqualified",IF(ISNUMBER(H420),"Draw",IF(AND(ISNUMBER(F420),ISNUMBER(E420),E420&gt;0,F420&gt;E420),"Profit",IF(AND(ISNUMBER(F420),ISNUMBER(E420),E420&gt;0,F420=E420),"Draw",IF(AND(ISNUMBER(F420),ISNUMBER(E420),E420&gt;0,F420=0),"Disqualified",""))))))))</x:f>
      </x:c>
      <x:c r="L420" s="50"/>
      <x:c r="M420" s="58"/>
      <x:c r="N420" s="58"/>
      <x:c r="O420" s="62"/>
      <x:c r="P420" s="62"/>
      <x:c r="Q420" s="64" t="str">
        <x:f>IF(OR(B420="",C420="",C420&lt;B420),"",ROUNDUP((C420-B420)/7,0))</x:f>
      </x:c>
      <x:c r="R420" s="50"/>
      <x:c r="S420" s="50"/>
      <x:c r="T420" s="54"/>
      <x:c r="U420" s="66" t="str">
        <x:f>IF(A420="","",IF(K420="Subscription","",IF(ISNUMBER(G420),G420,0)-IF(ISNUMBER(I420),I420,0)))</x:f>
      </x:c>
      <x:c r="V420" s="64" t="str">
        <x:f>IF(OR(P420="",O420="",NOT(ISNUMBER(P420)),NOT(ISNUMBER(O420)),O420&gt;P420),"",P420-O420)</x:f>
      </x:c>
      <x:c r="W420" s="67" t="str">
        <x:f>IF(OR(P420="",P420=0,V420=""),"",V420/P420)</x:f>
      </x:c>
    </x:row>
    <x:row r="421" ht="21" customHeight="1">
      <x:c r="A421" s="54"/>
      <x:c r="B421" s="56"/>
      <x:c r="C421" s="56"/>
      <x:c r="D421" s="54"/>
      <x:c r="E421" s="58"/>
      <x:c r="F421" s="58"/>
      <x:c r="G421" s="58"/>
      <x:c r="H421" s="58"/>
      <x:c r="I421" s="58"/>
      <x:c r="J421" s="60" t="str">
        <x:f>IF(A421="","",IF(K421="Subscription","",IF(E421=0,"",IF(ISNUMBER(G421),G421/E421,IF(ISNUMBER(I421),-ABS(I421)/E421,IF(ISNUMBER(H421),0,IF(AND(ISNUMBER(F421),ISNUMBER(E421),E421&gt;0,F421&gt;E421),(F421-E421)/E421,IF(AND(ISNUMBER(F421),ISNUMBER(E421),E421&gt;0,F421=E421),0,IF(AND(ISNUMBER(F421),ISNUMBER(E421),E421&gt;0,F421=0),-1,"")))))))))</x:f>
      </x:c>
      <x:c r="K421" s="50" t="str">
        <x:f>IF(A421="","",IF(AND(ISNUMBER(E421),E421=0,OR(ISNUMBER(SEARCH("Free",D421&amp;"")),AND(ISNUMBER(F421),F421=0))),"Subscription",IF(ISNUMBER(G421),"Profit",IF(ISNUMBER(I421),"Disqualified",IF(ISNUMBER(H421),"Draw",IF(AND(ISNUMBER(F421),ISNUMBER(E421),E421&gt;0,F421&gt;E421),"Profit",IF(AND(ISNUMBER(F421),ISNUMBER(E421),E421&gt;0,F421=E421),"Draw",IF(AND(ISNUMBER(F421),ISNUMBER(E421),E421&gt;0,F421=0),"Disqualified",""))))))))</x:f>
      </x:c>
      <x:c r="L421" s="50"/>
      <x:c r="M421" s="58"/>
      <x:c r="N421" s="58"/>
      <x:c r="O421" s="62"/>
      <x:c r="P421" s="62"/>
      <x:c r="Q421" s="64" t="str">
        <x:f>IF(OR(B421="",C421="",C421&lt;B421),"",ROUNDUP((C421-B421)/7,0))</x:f>
      </x:c>
      <x:c r="R421" s="50"/>
      <x:c r="S421" s="50"/>
      <x:c r="T421" s="54"/>
      <x:c r="U421" s="66" t="str">
        <x:f>IF(A421="","",IF(K421="Subscription","",IF(ISNUMBER(G421),G421,0)-IF(ISNUMBER(I421),I421,0)))</x:f>
      </x:c>
      <x:c r="V421" s="64" t="str">
        <x:f>IF(OR(P421="",O421="",NOT(ISNUMBER(P421)),NOT(ISNUMBER(O421)),O421&gt;P421),"",P421-O421)</x:f>
      </x:c>
      <x:c r="W421" s="67" t="str">
        <x:f>IF(OR(P421="",P421=0,V421=""),"",V421/P421)</x:f>
      </x:c>
    </x:row>
    <x:row r="422" ht="21" customHeight="1">
      <x:c r="A422" s="54"/>
      <x:c r="B422" s="56"/>
      <x:c r="C422" s="56"/>
      <x:c r="D422" s="54"/>
      <x:c r="E422" s="58"/>
      <x:c r="F422" s="58"/>
      <x:c r="G422" s="58"/>
      <x:c r="H422" s="58"/>
      <x:c r="I422" s="58"/>
      <x:c r="J422" s="60" t="str">
        <x:f>IF(A422="","",IF(K422="Subscription","",IF(E422=0,"",IF(ISNUMBER(G422),G422/E422,IF(ISNUMBER(I422),-ABS(I422)/E422,IF(ISNUMBER(H422),0,IF(AND(ISNUMBER(F422),ISNUMBER(E422),E422&gt;0,F422&gt;E422),(F422-E422)/E422,IF(AND(ISNUMBER(F422),ISNUMBER(E422),E422&gt;0,F422=E422),0,IF(AND(ISNUMBER(F422),ISNUMBER(E422),E422&gt;0,F422=0),-1,"")))))))))</x:f>
      </x:c>
      <x:c r="K422" s="50" t="str">
        <x:f>IF(A422="","",IF(AND(ISNUMBER(E422),E422=0,OR(ISNUMBER(SEARCH("Free",D422&amp;"")),AND(ISNUMBER(F422),F422=0))),"Subscription",IF(ISNUMBER(G422),"Profit",IF(ISNUMBER(I422),"Disqualified",IF(ISNUMBER(H422),"Draw",IF(AND(ISNUMBER(F422),ISNUMBER(E422),E422&gt;0,F422&gt;E422),"Profit",IF(AND(ISNUMBER(F422),ISNUMBER(E422),E422&gt;0,F422=E422),"Draw",IF(AND(ISNUMBER(F422),ISNUMBER(E422),E422&gt;0,F422=0),"Disqualified",""))))))))</x:f>
      </x:c>
      <x:c r="L422" s="50"/>
      <x:c r="M422" s="58"/>
      <x:c r="N422" s="58"/>
      <x:c r="O422" s="62"/>
      <x:c r="P422" s="62"/>
      <x:c r="Q422" s="64" t="str">
        <x:f>IF(OR(B422="",C422="",C422&lt;B422),"",ROUNDUP((C422-B422)/7,0))</x:f>
      </x:c>
      <x:c r="R422" s="50"/>
      <x:c r="S422" s="50"/>
      <x:c r="T422" s="54"/>
      <x:c r="U422" s="66" t="str">
        <x:f>IF(A422="","",IF(K422="Subscription","",IF(ISNUMBER(G422),G422,0)-IF(ISNUMBER(I422),I422,0)))</x:f>
      </x:c>
      <x:c r="V422" s="64" t="str">
        <x:f>IF(OR(P422="",O422="",NOT(ISNUMBER(P422)),NOT(ISNUMBER(O422)),O422&gt;P422),"",P422-O422)</x:f>
      </x:c>
      <x:c r="W422" s="67" t="str">
        <x:f>IF(OR(P422="",P422=0,V422=""),"",V422/P422)</x:f>
      </x:c>
    </x:row>
    <x:row r="423" ht="21" customHeight="1">
      <x:c r="A423" s="54"/>
      <x:c r="B423" s="56"/>
      <x:c r="C423" s="56"/>
      <x:c r="D423" s="54"/>
      <x:c r="E423" s="58"/>
      <x:c r="F423" s="58"/>
      <x:c r="G423" s="58"/>
      <x:c r="H423" s="58"/>
      <x:c r="I423" s="58"/>
      <x:c r="J423" s="60" t="str">
        <x:f>IF(A423="","",IF(K423="Subscription","",IF(E423=0,"",IF(ISNUMBER(G423),G423/E423,IF(ISNUMBER(I423),-ABS(I423)/E423,IF(ISNUMBER(H423),0,IF(AND(ISNUMBER(F423),ISNUMBER(E423),E423&gt;0,F423&gt;E423),(F423-E423)/E423,IF(AND(ISNUMBER(F423),ISNUMBER(E423),E423&gt;0,F423=E423),0,IF(AND(ISNUMBER(F423),ISNUMBER(E423),E423&gt;0,F423=0),-1,"")))))))))</x:f>
      </x:c>
      <x:c r="K423" s="50" t="str">
        <x:f>IF(A423="","",IF(AND(ISNUMBER(E423),E423=0,OR(ISNUMBER(SEARCH("Free",D423&amp;"")),AND(ISNUMBER(F423),F423=0))),"Subscription",IF(ISNUMBER(G423),"Profit",IF(ISNUMBER(I423),"Disqualified",IF(ISNUMBER(H423),"Draw",IF(AND(ISNUMBER(F423),ISNUMBER(E423),E423&gt;0,F423&gt;E423),"Profit",IF(AND(ISNUMBER(F423),ISNUMBER(E423),E423&gt;0,F423=E423),"Draw",IF(AND(ISNUMBER(F423),ISNUMBER(E423),E423&gt;0,F423=0),"Disqualified",""))))))))</x:f>
      </x:c>
      <x:c r="L423" s="50"/>
      <x:c r="M423" s="58"/>
      <x:c r="N423" s="58"/>
      <x:c r="O423" s="62"/>
      <x:c r="P423" s="62"/>
      <x:c r="Q423" s="64" t="str">
        <x:f>IF(OR(B423="",C423="",C423&lt;B423),"",ROUNDUP((C423-B423)/7,0))</x:f>
      </x:c>
      <x:c r="R423" s="50"/>
      <x:c r="S423" s="50"/>
      <x:c r="T423" s="54"/>
      <x:c r="U423" s="66" t="str">
        <x:f>IF(A423="","",IF(K423="Subscription","",IF(ISNUMBER(G423),G423,0)-IF(ISNUMBER(I423),I423,0)))</x:f>
      </x:c>
      <x:c r="V423" s="64" t="str">
        <x:f>IF(OR(P423="",O423="",NOT(ISNUMBER(P423)),NOT(ISNUMBER(O423)),O423&gt;P423),"",P423-O423)</x:f>
      </x:c>
      <x:c r="W423" s="67" t="str">
        <x:f>IF(OR(P423="",P423=0,V423=""),"",V423/P423)</x:f>
      </x:c>
    </x:row>
    <x:row r="424" ht="21" customHeight="1">
      <x:c r="A424" s="54"/>
      <x:c r="B424" s="56"/>
      <x:c r="C424" s="56"/>
      <x:c r="D424" s="54"/>
      <x:c r="E424" s="58"/>
      <x:c r="F424" s="58"/>
      <x:c r="G424" s="58"/>
      <x:c r="H424" s="58"/>
      <x:c r="I424" s="58"/>
      <x:c r="J424" s="60" t="str">
        <x:f>IF(A424="","",IF(K424="Subscription","",IF(E424=0,"",IF(ISNUMBER(G424),G424/E424,IF(ISNUMBER(I424),-ABS(I424)/E424,IF(ISNUMBER(H424),0,IF(AND(ISNUMBER(F424),ISNUMBER(E424),E424&gt;0,F424&gt;E424),(F424-E424)/E424,IF(AND(ISNUMBER(F424),ISNUMBER(E424),E424&gt;0,F424=E424),0,IF(AND(ISNUMBER(F424),ISNUMBER(E424),E424&gt;0,F424=0),-1,"")))))))))</x:f>
      </x:c>
      <x:c r="K424" s="50" t="str">
        <x:f>IF(A424="","",IF(AND(ISNUMBER(E424),E424=0,OR(ISNUMBER(SEARCH("Free",D424&amp;"")),AND(ISNUMBER(F424),F424=0))),"Subscription",IF(ISNUMBER(G424),"Profit",IF(ISNUMBER(I424),"Disqualified",IF(ISNUMBER(H424),"Draw",IF(AND(ISNUMBER(F424),ISNUMBER(E424),E424&gt;0,F424&gt;E424),"Profit",IF(AND(ISNUMBER(F424),ISNUMBER(E424),E424&gt;0,F424=E424),"Draw",IF(AND(ISNUMBER(F424),ISNUMBER(E424),E424&gt;0,F424=0),"Disqualified",""))))))))</x:f>
      </x:c>
      <x:c r="L424" s="50"/>
      <x:c r="M424" s="58"/>
      <x:c r="N424" s="58"/>
      <x:c r="O424" s="62"/>
      <x:c r="P424" s="62"/>
      <x:c r="Q424" s="64" t="str">
        <x:f>IF(OR(B424="",C424="",C424&lt;B424),"",ROUNDUP((C424-B424)/7,0))</x:f>
      </x:c>
      <x:c r="R424" s="50"/>
      <x:c r="S424" s="50"/>
      <x:c r="T424" s="54"/>
      <x:c r="U424" s="66" t="str">
        <x:f>IF(A424="","",IF(K424="Subscription","",IF(ISNUMBER(G424),G424,0)-IF(ISNUMBER(I424),I424,0)))</x:f>
      </x:c>
      <x:c r="V424" s="64" t="str">
        <x:f>IF(OR(P424="",O424="",NOT(ISNUMBER(P424)),NOT(ISNUMBER(O424)),O424&gt;P424),"",P424-O424)</x:f>
      </x:c>
      <x:c r="W424" s="67" t="str">
        <x:f>IF(OR(P424="",P424=0,V424=""),"",V424/P424)</x:f>
      </x:c>
    </x:row>
    <x:row r="425" ht="21" customHeight="1">
      <x:c r="A425" s="54"/>
      <x:c r="B425" s="56"/>
      <x:c r="C425" s="56"/>
      <x:c r="D425" s="54"/>
      <x:c r="E425" s="58"/>
      <x:c r="F425" s="58"/>
      <x:c r="G425" s="58"/>
      <x:c r="H425" s="58"/>
      <x:c r="I425" s="58"/>
      <x:c r="J425" s="60" t="str">
        <x:f>IF(A425="","",IF(K425="Subscription","",IF(E425=0,"",IF(ISNUMBER(G425),G425/E425,IF(ISNUMBER(I425),-ABS(I425)/E425,IF(ISNUMBER(H425),0,IF(AND(ISNUMBER(F425),ISNUMBER(E425),E425&gt;0,F425&gt;E425),(F425-E425)/E425,IF(AND(ISNUMBER(F425),ISNUMBER(E425),E425&gt;0,F425=E425),0,IF(AND(ISNUMBER(F425),ISNUMBER(E425),E425&gt;0,F425=0),-1,"")))))))))</x:f>
      </x:c>
      <x:c r="K425" s="50" t="str">
        <x:f>IF(A425="","",IF(AND(ISNUMBER(E425),E425=0,OR(ISNUMBER(SEARCH("Free",D425&amp;"")),AND(ISNUMBER(F425),F425=0))),"Subscription",IF(ISNUMBER(G425),"Profit",IF(ISNUMBER(I425),"Disqualified",IF(ISNUMBER(H425),"Draw",IF(AND(ISNUMBER(F425),ISNUMBER(E425),E425&gt;0,F425&gt;E425),"Profit",IF(AND(ISNUMBER(F425),ISNUMBER(E425),E425&gt;0,F425=E425),"Draw",IF(AND(ISNUMBER(F425),ISNUMBER(E425),E425&gt;0,F425=0),"Disqualified",""))))))))</x:f>
      </x:c>
      <x:c r="L425" s="50"/>
      <x:c r="M425" s="58"/>
      <x:c r="N425" s="58"/>
      <x:c r="O425" s="62"/>
      <x:c r="P425" s="62"/>
      <x:c r="Q425" s="64" t="str">
        <x:f>IF(OR(B425="",C425="",C425&lt;B425),"",ROUNDUP((C425-B425)/7,0))</x:f>
      </x:c>
      <x:c r="R425" s="50"/>
      <x:c r="S425" s="50"/>
      <x:c r="T425" s="54"/>
      <x:c r="U425" s="66" t="str">
        <x:f>IF(A425="","",IF(K425="Subscription","",IF(ISNUMBER(G425),G425,0)-IF(ISNUMBER(I425),I425,0)))</x:f>
      </x:c>
      <x:c r="V425" s="64" t="str">
        <x:f>IF(OR(P425="",O425="",NOT(ISNUMBER(P425)),NOT(ISNUMBER(O425)),O425&gt;P425),"",P425-O425)</x:f>
      </x:c>
      <x:c r="W425" s="67" t="str">
        <x:f>IF(OR(P425="",P425=0,V425=""),"",V425/P425)</x:f>
      </x:c>
    </x:row>
    <x:row r="426" ht="21" customHeight="1">
      <x:c r="A426" s="54"/>
      <x:c r="B426" s="56"/>
      <x:c r="C426" s="56"/>
      <x:c r="D426" s="54"/>
      <x:c r="E426" s="58"/>
      <x:c r="F426" s="58"/>
      <x:c r="G426" s="58"/>
      <x:c r="H426" s="58"/>
      <x:c r="I426" s="58"/>
      <x:c r="J426" s="60" t="str">
        <x:f>IF(A426="","",IF(K426="Subscription","",IF(E426=0,"",IF(ISNUMBER(G426),G426/E426,IF(ISNUMBER(I426),-ABS(I426)/E426,IF(ISNUMBER(H426),0,IF(AND(ISNUMBER(F426),ISNUMBER(E426),E426&gt;0,F426&gt;E426),(F426-E426)/E426,IF(AND(ISNUMBER(F426),ISNUMBER(E426),E426&gt;0,F426=E426),0,IF(AND(ISNUMBER(F426),ISNUMBER(E426),E426&gt;0,F426=0),-1,"")))))))))</x:f>
      </x:c>
      <x:c r="K426" s="50" t="str">
        <x:f>IF(A426="","",IF(AND(ISNUMBER(E426),E426=0,OR(ISNUMBER(SEARCH("Free",D426&amp;"")),AND(ISNUMBER(F426),F426=0))),"Subscription",IF(ISNUMBER(G426),"Profit",IF(ISNUMBER(I426),"Disqualified",IF(ISNUMBER(H426),"Draw",IF(AND(ISNUMBER(F426),ISNUMBER(E426),E426&gt;0,F426&gt;E426),"Profit",IF(AND(ISNUMBER(F426),ISNUMBER(E426),E426&gt;0,F426=E426),"Draw",IF(AND(ISNUMBER(F426),ISNUMBER(E426),E426&gt;0,F426=0),"Disqualified",""))))))))</x:f>
      </x:c>
      <x:c r="L426" s="50"/>
      <x:c r="M426" s="58"/>
      <x:c r="N426" s="58"/>
      <x:c r="O426" s="62"/>
      <x:c r="P426" s="62"/>
      <x:c r="Q426" s="64" t="str">
        <x:f>IF(OR(B426="",C426="",C426&lt;B426),"",ROUNDUP((C426-B426)/7,0))</x:f>
      </x:c>
      <x:c r="R426" s="50"/>
      <x:c r="S426" s="50"/>
      <x:c r="T426" s="54"/>
      <x:c r="U426" s="66" t="str">
        <x:f>IF(A426="","",IF(K426="Subscription","",IF(ISNUMBER(G426),G426,0)-IF(ISNUMBER(I426),I426,0)))</x:f>
      </x:c>
      <x:c r="V426" s="64" t="str">
        <x:f>IF(OR(P426="",O426="",NOT(ISNUMBER(P426)),NOT(ISNUMBER(O426)),O426&gt;P426),"",P426-O426)</x:f>
      </x:c>
      <x:c r="W426" s="67" t="str">
        <x:f>IF(OR(P426="",P426=0,V426=""),"",V426/P426)</x:f>
      </x:c>
    </x:row>
    <x:row r="427" ht="21" customHeight="1">
      <x:c r="A427" s="54"/>
      <x:c r="B427" s="56"/>
      <x:c r="C427" s="56"/>
      <x:c r="D427" s="54"/>
      <x:c r="E427" s="58"/>
      <x:c r="F427" s="58"/>
      <x:c r="G427" s="58"/>
      <x:c r="H427" s="58"/>
      <x:c r="I427" s="58"/>
      <x:c r="J427" s="60" t="str">
        <x:f>IF(A427="","",IF(K427="Subscription","",IF(E427=0,"",IF(ISNUMBER(G427),G427/E427,IF(ISNUMBER(I427),-ABS(I427)/E427,IF(ISNUMBER(H427),0,IF(AND(ISNUMBER(F427),ISNUMBER(E427),E427&gt;0,F427&gt;E427),(F427-E427)/E427,IF(AND(ISNUMBER(F427),ISNUMBER(E427),E427&gt;0,F427=E427),0,IF(AND(ISNUMBER(F427),ISNUMBER(E427),E427&gt;0,F427=0),-1,"")))))))))</x:f>
      </x:c>
      <x:c r="K427" s="50" t="str">
        <x:f>IF(A427="","",IF(AND(ISNUMBER(E427),E427=0,OR(ISNUMBER(SEARCH("Free",D427&amp;"")),AND(ISNUMBER(F427),F427=0))),"Subscription",IF(ISNUMBER(G427),"Profit",IF(ISNUMBER(I427),"Disqualified",IF(ISNUMBER(H427),"Draw",IF(AND(ISNUMBER(F427),ISNUMBER(E427),E427&gt;0,F427&gt;E427),"Profit",IF(AND(ISNUMBER(F427),ISNUMBER(E427),E427&gt;0,F427=E427),"Draw",IF(AND(ISNUMBER(F427),ISNUMBER(E427),E427&gt;0,F427=0),"Disqualified",""))))))))</x:f>
      </x:c>
      <x:c r="L427" s="50"/>
      <x:c r="M427" s="58"/>
      <x:c r="N427" s="58"/>
      <x:c r="O427" s="62"/>
      <x:c r="P427" s="62"/>
      <x:c r="Q427" s="64" t="str">
        <x:f>IF(OR(B427="",C427="",C427&lt;B427),"",ROUNDUP((C427-B427)/7,0))</x:f>
      </x:c>
      <x:c r="R427" s="50"/>
      <x:c r="S427" s="50"/>
      <x:c r="T427" s="54"/>
      <x:c r="U427" s="66" t="str">
        <x:f>IF(A427="","",IF(K427="Subscription","",IF(ISNUMBER(G427),G427,0)-IF(ISNUMBER(I427),I427,0)))</x:f>
      </x:c>
      <x:c r="V427" s="64" t="str">
        <x:f>IF(OR(P427="",O427="",NOT(ISNUMBER(P427)),NOT(ISNUMBER(O427)),O427&gt;P427),"",P427-O427)</x:f>
      </x:c>
      <x:c r="W427" s="67" t="str">
        <x:f>IF(OR(P427="",P427=0,V427=""),"",V427/P427)</x:f>
      </x:c>
    </x:row>
    <x:row r="428" ht="21" customHeight="1">
      <x:c r="A428" s="54"/>
      <x:c r="B428" s="56"/>
      <x:c r="C428" s="56"/>
      <x:c r="D428" s="54"/>
      <x:c r="E428" s="58"/>
      <x:c r="F428" s="58"/>
      <x:c r="G428" s="58"/>
      <x:c r="H428" s="58"/>
      <x:c r="I428" s="58"/>
      <x:c r="J428" s="60" t="str">
        <x:f>IF(A428="","",IF(K428="Subscription","",IF(E428=0,"",IF(ISNUMBER(G428),G428/E428,IF(ISNUMBER(I428),-ABS(I428)/E428,IF(ISNUMBER(H428),0,IF(AND(ISNUMBER(F428),ISNUMBER(E428),E428&gt;0,F428&gt;E428),(F428-E428)/E428,IF(AND(ISNUMBER(F428),ISNUMBER(E428),E428&gt;0,F428=E428),0,IF(AND(ISNUMBER(F428),ISNUMBER(E428),E428&gt;0,F428=0),-1,"")))))))))</x:f>
      </x:c>
      <x:c r="K428" s="50" t="str">
        <x:f>IF(A428="","",IF(AND(ISNUMBER(E428),E428=0,OR(ISNUMBER(SEARCH("Free",D428&amp;"")),AND(ISNUMBER(F428),F428=0))),"Subscription",IF(ISNUMBER(G428),"Profit",IF(ISNUMBER(I428),"Disqualified",IF(ISNUMBER(H428),"Draw",IF(AND(ISNUMBER(F428),ISNUMBER(E428),E428&gt;0,F428&gt;E428),"Profit",IF(AND(ISNUMBER(F428),ISNUMBER(E428),E428&gt;0,F428=E428),"Draw",IF(AND(ISNUMBER(F428),ISNUMBER(E428),E428&gt;0,F428=0),"Disqualified",""))))))))</x:f>
      </x:c>
      <x:c r="L428" s="50"/>
      <x:c r="M428" s="58"/>
      <x:c r="N428" s="58"/>
      <x:c r="O428" s="62"/>
      <x:c r="P428" s="62"/>
      <x:c r="Q428" s="64" t="str">
        <x:f>IF(OR(B428="",C428="",C428&lt;B428),"",ROUNDUP((C428-B428)/7,0))</x:f>
      </x:c>
      <x:c r="R428" s="50"/>
      <x:c r="S428" s="50"/>
      <x:c r="T428" s="54"/>
      <x:c r="U428" s="66" t="str">
        <x:f>IF(A428="","",IF(K428="Subscription","",IF(ISNUMBER(G428),G428,0)-IF(ISNUMBER(I428),I428,0)))</x:f>
      </x:c>
      <x:c r="V428" s="64" t="str">
        <x:f>IF(OR(P428="",O428="",NOT(ISNUMBER(P428)),NOT(ISNUMBER(O428)),O428&gt;P428),"",P428-O428)</x:f>
      </x:c>
      <x:c r="W428" s="67" t="str">
        <x:f>IF(OR(P428="",P428=0,V428=""),"",V428/P428)</x:f>
      </x:c>
    </x:row>
    <x:row r="429" ht="21" customHeight="1">
      <x:c r="A429" s="54"/>
      <x:c r="B429" s="56"/>
      <x:c r="C429" s="56"/>
      <x:c r="D429" s="54"/>
      <x:c r="E429" s="58"/>
      <x:c r="F429" s="58"/>
      <x:c r="G429" s="58"/>
      <x:c r="H429" s="58"/>
      <x:c r="I429" s="58"/>
      <x:c r="J429" s="60" t="str">
        <x:f>IF(A429="","",IF(K429="Subscription","",IF(E429=0,"",IF(ISNUMBER(G429),G429/E429,IF(ISNUMBER(I429),-ABS(I429)/E429,IF(ISNUMBER(H429),0,IF(AND(ISNUMBER(F429),ISNUMBER(E429),E429&gt;0,F429&gt;E429),(F429-E429)/E429,IF(AND(ISNUMBER(F429),ISNUMBER(E429),E429&gt;0,F429=E429),0,IF(AND(ISNUMBER(F429),ISNUMBER(E429),E429&gt;0,F429=0),-1,"")))))))))</x:f>
      </x:c>
      <x:c r="K429" s="50" t="str">
        <x:f>IF(A429="","",IF(AND(ISNUMBER(E429),E429=0,OR(ISNUMBER(SEARCH("Free",D429&amp;"")),AND(ISNUMBER(F429),F429=0))),"Subscription",IF(ISNUMBER(G429),"Profit",IF(ISNUMBER(I429),"Disqualified",IF(ISNUMBER(H429),"Draw",IF(AND(ISNUMBER(F429),ISNUMBER(E429),E429&gt;0,F429&gt;E429),"Profit",IF(AND(ISNUMBER(F429),ISNUMBER(E429),E429&gt;0,F429=E429),"Draw",IF(AND(ISNUMBER(F429),ISNUMBER(E429),E429&gt;0,F429=0),"Disqualified",""))))))))</x:f>
      </x:c>
      <x:c r="L429" s="50"/>
      <x:c r="M429" s="58"/>
      <x:c r="N429" s="58"/>
      <x:c r="O429" s="62"/>
      <x:c r="P429" s="62"/>
      <x:c r="Q429" s="64" t="str">
        <x:f>IF(OR(B429="",C429="",C429&lt;B429),"",ROUNDUP((C429-B429)/7,0))</x:f>
      </x:c>
      <x:c r="R429" s="50"/>
      <x:c r="S429" s="50"/>
      <x:c r="T429" s="54"/>
      <x:c r="U429" s="66" t="str">
        <x:f>IF(A429="","",IF(K429="Subscription","",IF(ISNUMBER(G429),G429,0)-IF(ISNUMBER(I429),I429,0)))</x:f>
      </x:c>
      <x:c r="V429" s="64" t="str">
        <x:f>IF(OR(P429="",O429="",NOT(ISNUMBER(P429)),NOT(ISNUMBER(O429)),O429&gt;P429),"",P429-O429)</x:f>
      </x:c>
      <x:c r="W429" s="67" t="str">
        <x:f>IF(OR(P429="",P429=0,V429=""),"",V429/P429)</x:f>
      </x:c>
    </x:row>
    <x:row r="430" ht="21" customHeight="1">
      <x:c r="A430" s="54"/>
      <x:c r="B430" s="56"/>
      <x:c r="C430" s="56"/>
      <x:c r="D430" s="54"/>
      <x:c r="E430" s="58"/>
      <x:c r="F430" s="58"/>
      <x:c r="G430" s="58"/>
      <x:c r="H430" s="58"/>
      <x:c r="I430" s="58"/>
      <x:c r="J430" s="60" t="str">
        <x:f>IF(A430="","",IF(K430="Subscription","",IF(E430=0,"",IF(ISNUMBER(G430),G430/E430,IF(ISNUMBER(I430),-ABS(I430)/E430,IF(ISNUMBER(H430),0,IF(AND(ISNUMBER(F430),ISNUMBER(E430),E430&gt;0,F430&gt;E430),(F430-E430)/E430,IF(AND(ISNUMBER(F430),ISNUMBER(E430),E430&gt;0,F430=E430),0,IF(AND(ISNUMBER(F430),ISNUMBER(E430),E430&gt;0,F430=0),-1,"")))))))))</x:f>
      </x:c>
      <x:c r="K430" s="50" t="str">
        <x:f>IF(A430="","",IF(AND(ISNUMBER(E430),E430=0,OR(ISNUMBER(SEARCH("Free",D430&amp;"")),AND(ISNUMBER(F430),F430=0))),"Subscription",IF(ISNUMBER(G430),"Profit",IF(ISNUMBER(I430),"Disqualified",IF(ISNUMBER(H430),"Draw",IF(AND(ISNUMBER(F430),ISNUMBER(E430),E430&gt;0,F430&gt;E430),"Profit",IF(AND(ISNUMBER(F430),ISNUMBER(E430),E430&gt;0,F430=E430),"Draw",IF(AND(ISNUMBER(F430),ISNUMBER(E430),E430&gt;0,F430=0),"Disqualified",""))))))))</x:f>
      </x:c>
      <x:c r="L430" s="50"/>
      <x:c r="M430" s="58"/>
      <x:c r="N430" s="58"/>
      <x:c r="O430" s="62"/>
      <x:c r="P430" s="62"/>
      <x:c r="Q430" s="64" t="str">
        <x:f>IF(OR(B430="",C430="",C430&lt;B430),"",ROUNDUP((C430-B430)/7,0))</x:f>
      </x:c>
      <x:c r="R430" s="50"/>
      <x:c r="S430" s="50"/>
      <x:c r="T430" s="54"/>
      <x:c r="U430" s="66" t="str">
        <x:f>IF(A430="","",IF(K430="Subscription","",IF(ISNUMBER(G430),G430,0)-IF(ISNUMBER(I430),I430,0)))</x:f>
      </x:c>
      <x:c r="V430" s="64" t="str">
        <x:f>IF(OR(P430="",O430="",NOT(ISNUMBER(P430)),NOT(ISNUMBER(O430)),O430&gt;P430),"",P430-O430)</x:f>
      </x:c>
      <x:c r="W430" s="67" t="str">
        <x:f>IF(OR(P430="",P430=0,V430=""),"",V430/P430)</x:f>
      </x:c>
    </x:row>
    <x:row r="431" ht="21" customHeight="1">
      <x:c r="A431" s="54"/>
      <x:c r="B431" s="56"/>
      <x:c r="C431" s="56"/>
      <x:c r="D431" s="54"/>
      <x:c r="E431" s="58"/>
      <x:c r="F431" s="58"/>
      <x:c r="G431" s="58"/>
      <x:c r="H431" s="58"/>
      <x:c r="I431" s="58"/>
      <x:c r="J431" s="60" t="str">
        <x:f>IF(A431="","",IF(K431="Subscription","",IF(E431=0,"",IF(ISNUMBER(G431),G431/E431,IF(ISNUMBER(I431),-ABS(I431)/E431,IF(ISNUMBER(H431),0,IF(AND(ISNUMBER(F431),ISNUMBER(E431),E431&gt;0,F431&gt;E431),(F431-E431)/E431,IF(AND(ISNUMBER(F431),ISNUMBER(E431),E431&gt;0,F431=E431),0,IF(AND(ISNUMBER(F431),ISNUMBER(E431),E431&gt;0,F431=0),-1,"")))))))))</x:f>
      </x:c>
      <x:c r="K431" s="50" t="str">
        <x:f>IF(A431="","",IF(AND(ISNUMBER(E431),E431=0,OR(ISNUMBER(SEARCH("Free",D431&amp;"")),AND(ISNUMBER(F431),F431=0))),"Subscription",IF(ISNUMBER(G431),"Profit",IF(ISNUMBER(I431),"Disqualified",IF(ISNUMBER(H431),"Draw",IF(AND(ISNUMBER(F431),ISNUMBER(E431),E431&gt;0,F431&gt;E431),"Profit",IF(AND(ISNUMBER(F431),ISNUMBER(E431),E431&gt;0,F431=E431),"Draw",IF(AND(ISNUMBER(F431),ISNUMBER(E431),E431&gt;0,F431=0),"Disqualified",""))))))))</x:f>
      </x:c>
      <x:c r="L431" s="50"/>
      <x:c r="M431" s="58"/>
      <x:c r="N431" s="58"/>
      <x:c r="O431" s="62"/>
      <x:c r="P431" s="62"/>
      <x:c r="Q431" s="64" t="str">
        <x:f>IF(OR(B431="",C431="",C431&lt;B431),"",ROUNDUP((C431-B431)/7,0))</x:f>
      </x:c>
      <x:c r="R431" s="50"/>
      <x:c r="S431" s="50"/>
      <x:c r="T431" s="54"/>
      <x:c r="U431" s="66" t="str">
        <x:f>IF(A431="","",IF(K431="Subscription","",IF(ISNUMBER(G431),G431,0)-IF(ISNUMBER(I431),I431,0)))</x:f>
      </x:c>
      <x:c r="V431" s="64" t="str">
        <x:f>IF(OR(P431="",O431="",NOT(ISNUMBER(P431)),NOT(ISNUMBER(O431)),O431&gt;P431),"",P431-O431)</x:f>
      </x:c>
      <x:c r="W431" s="67" t="str">
        <x:f>IF(OR(P431="",P431=0,V431=""),"",V431/P431)</x:f>
      </x:c>
    </x:row>
    <x:row r="432" ht="21" customHeight="1">
      <x:c r="A432" s="54"/>
      <x:c r="B432" s="56"/>
      <x:c r="C432" s="56"/>
      <x:c r="D432" s="54"/>
      <x:c r="E432" s="58"/>
      <x:c r="F432" s="58"/>
      <x:c r="G432" s="58"/>
      <x:c r="H432" s="58"/>
      <x:c r="I432" s="58"/>
      <x:c r="J432" s="60" t="str">
        <x:f>IF(A432="","",IF(K432="Subscription","",IF(E432=0,"",IF(ISNUMBER(G432),G432/E432,IF(ISNUMBER(I432),-ABS(I432)/E432,IF(ISNUMBER(H432),0,IF(AND(ISNUMBER(F432),ISNUMBER(E432),E432&gt;0,F432&gt;E432),(F432-E432)/E432,IF(AND(ISNUMBER(F432),ISNUMBER(E432),E432&gt;0,F432=E432),0,IF(AND(ISNUMBER(F432),ISNUMBER(E432),E432&gt;0,F432=0),-1,"")))))))))</x:f>
      </x:c>
      <x:c r="K432" s="50" t="str">
        <x:f>IF(A432="","",IF(AND(ISNUMBER(E432),E432=0,OR(ISNUMBER(SEARCH("Free",D432&amp;"")),AND(ISNUMBER(F432),F432=0))),"Subscription",IF(ISNUMBER(G432),"Profit",IF(ISNUMBER(I432),"Disqualified",IF(ISNUMBER(H432),"Draw",IF(AND(ISNUMBER(F432),ISNUMBER(E432),E432&gt;0,F432&gt;E432),"Profit",IF(AND(ISNUMBER(F432),ISNUMBER(E432),E432&gt;0,F432=E432),"Draw",IF(AND(ISNUMBER(F432),ISNUMBER(E432),E432&gt;0,F432=0),"Disqualified",""))))))))</x:f>
      </x:c>
      <x:c r="L432" s="50"/>
      <x:c r="M432" s="58"/>
      <x:c r="N432" s="58"/>
      <x:c r="O432" s="62"/>
      <x:c r="P432" s="62"/>
      <x:c r="Q432" s="64" t="str">
        <x:f>IF(OR(B432="",C432="",C432&lt;B432),"",ROUNDUP((C432-B432)/7,0))</x:f>
      </x:c>
      <x:c r="R432" s="50"/>
      <x:c r="S432" s="50"/>
      <x:c r="T432" s="54"/>
      <x:c r="U432" s="66" t="str">
        <x:f>IF(A432="","",IF(K432="Subscription","",IF(ISNUMBER(G432),G432,0)-IF(ISNUMBER(I432),I432,0)))</x:f>
      </x:c>
      <x:c r="V432" s="64" t="str">
        <x:f>IF(OR(P432="",O432="",NOT(ISNUMBER(P432)),NOT(ISNUMBER(O432)),O432&gt;P432),"",P432-O432)</x:f>
      </x:c>
      <x:c r="W432" s="67" t="str">
        <x:f>IF(OR(P432="",P432=0,V432=""),"",V432/P432)</x:f>
      </x:c>
    </x:row>
    <x:row r="433" ht="21" customHeight="1">
      <x:c r="A433" s="54"/>
      <x:c r="B433" s="56"/>
      <x:c r="C433" s="56"/>
      <x:c r="D433" s="54"/>
      <x:c r="E433" s="58"/>
      <x:c r="F433" s="58"/>
      <x:c r="G433" s="58"/>
      <x:c r="H433" s="58"/>
      <x:c r="I433" s="58"/>
      <x:c r="J433" s="60" t="str">
        <x:f>IF(A433="","",IF(K433="Subscription","",IF(E433=0,"",IF(ISNUMBER(G433),G433/E433,IF(ISNUMBER(I433),-ABS(I433)/E433,IF(ISNUMBER(H433),0,IF(AND(ISNUMBER(F433),ISNUMBER(E433),E433&gt;0,F433&gt;E433),(F433-E433)/E433,IF(AND(ISNUMBER(F433),ISNUMBER(E433),E433&gt;0,F433=E433),0,IF(AND(ISNUMBER(F433),ISNUMBER(E433),E433&gt;0,F433=0),-1,"")))))))))</x:f>
      </x:c>
      <x:c r="K433" s="50" t="str">
        <x:f>IF(A433="","",IF(AND(ISNUMBER(E433),E433=0,OR(ISNUMBER(SEARCH("Free",D433&amp;"")),AND(ISNUMBER(F433),F433=0))),"Subscription",IF(ISNUMBER(G433),"Profit",IF(ISNUMBER(I433),"Disqualified",IF(ISNUMBER(H433),"Draw",IF(AND(ISNUMBER(F433),ISNUMBER(E433),E433&gt;0,F433&gt;E433),"Profit",IF(AND(ISNUMBER(F433),ISNUMBER(E433),E433&gt;0,F433=E433),"Draw",IF(AND(ISNUMBER(F433),ISNUMBER(E433),E433&gt;0,F433=0),"Disqualified",""))))))))</x:f>
      </x:c>
      <x:c r="L433" s="50"/>
      <x:c r="M433" s="58"/>
      <x:c r="N433" s="58"/>
      <x:c r="O433" s="62"/>
      <x:c r="P433" s="62"/>
      <x:c r="Q433" s="64" t="str">
        <x:f>IF(OR(B433="",C433="",C433&lt;B433),"",ROUNDUP((C433-B433)/7,0))</x:f>
      </x:c>
      <x:c r="R433" s="50"/>
      <x:c r="S433" s="50"/>
      <x:c r="T433" s="54"/>
      <x:c r="U433" s="66" t="str">
        <x:f>IF(A433="","",IF(K433="Subscription","",IF(ISNUMBER(G433),G433,0)-IF(ISNUMBER(I433),I433,0)))</x:f>
      </x:c>
      <x:c r="V433" s="64" t="str">
        <x:f>IF(OR(P433="",O433="",NOT(ISNUMBER(P433)),NOT(ISNUMBER(O433)),O433&gt;P433),"",P433-O433)</x:f>
      </x:c>
      <x:c r="W433" s="67" t="str">
        <x:f>IF(OR(P433="",P433=0,V433=""),"",V433/P433)</x:f>
      </x:c>
    </x:row>
    <x:row r="434" ht="21" customHeight="1">
      <x:c r="A434" s="54"/>
      <x:c r="B434" s="56"/>
      <x:c r="C434" s="56"/>
      <x:c r="D434" s="54"/>
      <x:c r="E434" s="58"/>
      <x:c r="F434" s="58"/>
      <x:c r="G434" s="58"/>
      <x:c r="H434" s="58"/>
      <x:c r="I434" s="58"/>
      <x:c r="J434" s="60" t="str">
        <x:f>IF(A434="","",IF(K434="Subscription","",IF(E434=0,"",IF(ISNUMBER(G434),G434/E434,IF(ISNUMBER(I434),-ABS(I434)/E434,IF(ISNUMBER(H434),0,IF(AND(ISNUMBER(F434),ISNUMBER(E434),E434&gt;0,F434&gt;E434),(F434-E434)/E434,IF(AND(ISNUMBER(F434),ISNUMBER(E434),E434&gt;0,F434=E434),0,IF(AND(ISNUMBER(F434),ISNUMBER(E434),E434&gt;0,F434=0),-1,"")))))))))</x:f>
      </x:c>
      <x:c r="K434" s="50" t="str">
        <x:f>IF(A434="","",IF(AND(ISNUMBER(E434),E434=0,OR(ISNUMBER(SEARCH("Free",D434&amp;"")),AND(ISNUMBER(F434),F434=0))),"Subscription",IF(ISNUMBER(G434),"Profit",IF(ISNUMBER(I434),"Disqualified",IF(ISNUMBER(H434),"Draw",IF(AND(ISNUMBER(F434),ISNUMBER(E434),E434&gt;0,F434&gt;E434),"Profit",IF(AND(ISNUMBER(F434),ISNUMBER(E434),E434&gt;0,F434=E434),"Draw",IF(AND(ISNUMBER(F434),ISNUMBER(E434),E434&gt;0,F434=0),"Disqualified",""))))))))</x:f>
      </x:c>
      <x:c r="L434" s="50"/>
      <x:c r="M434" s="58"/>
      <x:c r="N434" s="58"/>
      <x:c r="O434" s="62"/>
      <x:c r="P434" s="62"/>
      <x:c r="Q434" s="64" t="str">
        <x:f>IF(OR(B434="",C434="",C434&lt;B434),"",ROUNDUP((C434-B434)/7,0))</x:f>
      </x:c>
      <x:c r="R434" s="50"/>
      <x:c r="S434" s="50"/>
      <x:c r="T434" s="54"/>
      <x:c r="U434" s="66" t="str">
        <x:f>IF(A434="","",IF(K434="Subscription","",IF(ISNUMBER(G434),G434,0)-IF(ISNUMBER(I434),I434,0)))</x:f>
      </x:c>
      <x:c r="V434" s="64" t="str">
        <x:f>IF(OR(P434="",O434="",NOT(ISNUMBER(P434)),NOT(ISNUMBER(O434)),O434&gt;P434),"",P434-O434)</x:f>
      </x:c>
      <x:c r="W434" s="67" t="str">
        <x:f>IF(OR(P434="",P434=0,V434=""),"",V434/P434)</x:f>
      </x:c>
    </x:row>
    <x:row r="435" ht="21" customHeight="1">
      <x:c r="A435" s="54"/>
      <x:c r="B435" s="56"/>
      <x:c r="C435" s="56"/>
      <x:c r="D435" s="54"/>
      <x:c r="E435" s="58"/>
      <x:c r="F435" s="58"/>
      <x:c r="G435" s="58"/>
      <x:c r="H435" s="58"/>
      <x:c r="I435" s="58"/>
      <x:c r="J435" s="60" t="str">
        <x:f>IF(A435="","",IF(K435="Subscription","",IF(E435=0,"",IF(ISNUMBER(G435),G435/E435,IF(ISNUMBER(I435),-ABS(I435)/E435,IF(ISNUMBER(H435),0,IF(AND(ISNUMBER(F435),ISNUMBER(E435),E435&gt;0,F435&gt;E435),(F435-E435)/E435,IF(AND(ISNUMBER(F435),ISNUMBER(E435),E435&gt;0,F435=E435),0,IF(AND(ISNUMBER(F435),ISNUMBER(E435),E435&gt;0,F435=0),-1,"")))))))))</x:f>
      </x:c>
      <x:c r="K435" s="50" t="str">
        <x:f>IF(A435="","",IF(AND(ISNUMBER(E435),E435=0,OR(ISNUMBER(SEARCH("Free",D435&amp;"")),AND(ISNUMBER(F435),F435=0))),"Subscription",IF(ISNUMBER(G435),"Profit",IF(ISNUMBER(I435),"Disqualified",IF(ISNUMBER(H435),"Draw",IF(AND(ISNUMBER(F435),ISNUMBER(E435),E435&gt;0,F435&gt;E435),"Profit",IF(AND(ISNUMBER(F435),ISNUMBER(E435),E435&gt;0,F435=E435),"Draw",IF(AND(ISNUMBER(F435),ISNUMBER(E435),E435&gt;0,F435=0),"Disqualified",""))))))))</x:f>
      </x:c>
      <x:c r="L435" s="50"/>
      <x:c r="M435" s="58"/>
      <x:c r="N435" s="58"/>
      <x:c r="O435" s="62"/>
      <x:c r="P435" s="62"/>
      <x:c r="Q435" s="64" t="str">
        <x:f>IF(OR(B435="",C435="",C435&lt;B435),"",ROUNDUP((C435-B435)/7,0))</x:f>
      </x:c>
      <x:c r="R435" s="50"/>
      <x:c r="S435" s="50"/>
      <x:c r="T435" s="54"/>
      <x:c r="U435" s="66" t="str">
        <x:f>IF(A435="","",IF(K435="Subscription","",IF(ISNUMBER(G435),G435,0)-IF(ISNUMBER(I435),I435,0)))</x:f>
      </x:c>
      <x:c r="V435" s="64" t="str">
        <x:f>IF(OR(P435="",O435="",NOT(ISNUMBER(P435)),NOT(ISNUMBER(O435)),O435&gt;P435),"",P435-O435)</x:f>
      </x:c>
      <x:c r="W435" s="67" t="str">
        <x:f>IF(OR(P435="",P435=0,V435=""),"",V435/P435)</x:f>
      </x:c>
    </x:row>
    <x:row r="436" ht="21" customHeight="1">
      <x:c r="A436" s="54"/>
      <x:c r="B436" s="56"/>
      <x:c r="C436" s="56"/>
      <x:c r="D436" s="54"/>
      <x:c r="E436" s="58"/>
      <x:c r="F436" s="58"/>
      <x:c r="G436" s="58"/>
      <x:c r="H436" s="58"/>
      <x:c r="I436" s="58"/>
      <x:c r="J436" s="60" t="str">
        <x:f>IF(A436="","",IF(K436="Subscription","",IF(E436=0,"",IF(ISNUMBER(G436),G436/E436,IF(ISNUMBER(I436),-ABS(I436)/E436,IF(ISNUMBER(H436),0,IF(AND(ISNUMBER(F436),ISNUMBER(E436),E436&gt;0,F436&gt;E436),(F436-E436)/E436,IF(AND(ISNUMBER(F436),ISNUMBER(E436),E436&gt;0,F436=E436),0,IF(AND(ISNUMBER(F436),ISNUMBER(E436),E436&gt;0,F436=0),-1,"")))))))))</x:f>
      </x:c>
      <x:c r="K436" s="50" t="str">
        <x:f>IF(A436="","",IF(AND(ISNUMBER(E436),E436=0,OR(ISNUMBER(SEARCH("Free",D436&amp;"")),AND(ISNUMBER(F436),F436=0))),"Subscription",IF(ISNUMBER(G436),"Profit",IF(ISNUMBER(I436),"Disqualified",IF(ISNUMBER(H436),"Draw",IF(AND(ISNUMBER(F436),ISNUMBER(E436),E436&gt;0,F436&gt;E436),"Profit",IF(AND(ISNUMBER(F436),ISNUMBER(E436),E436&gt;0,F436=E436),"Draw",IF(AND(ISNUMBER(F436),ISNUMBER(E436),E436&gt;0,F436=0),"Disqualified",""))))))))</x:f>
      </x:c>
      <x:c r="L436" s="50"/>
      <x:c r="M436" s="58"/>
      <x:c r="N436" s="58"/>
      <x:c r="O436" s="62"/>
      <x:c r="P436" s="62"/>
      <x:c r="Q436" s="64" t="str">
        <x:f>IF(OR(B436="",C436="",C436&lt;B436),"",ROUNDUP((C436-B436)/7,0))</x:f>
      </x:c>
      <x:c r="R436" s="50"/>
      <x:c r="S436" s="50"/>
      <x:c r="T436" s="54"/>
      <x:c r="U436" s="66" t="str">
        <x:f>IF(A436="","",IF(K436="Subscription","",IF(ISNUMBER(G436),G436,0)-IF(ISNUMBER(I436),I436,0)))</x:f>
      </x:c>
      <x:c r="V436" s="64" t="str">
        <x:f>IF(OR(P436="",O436="",NOT(ISNUMBER(P436)),NOT(ISNUMBER(O436)),O436&gt;P436),"",P436-O436)</x:f>
      </x:c>
      <x:c r="W436" s="67" t="str">
        <x:f>IF(OR(P436="",P436=0,V436=""),"",V436/P436)</x:f>
      </x:c>
    </x:row>
    <x:row r="437" ht="21" customHeight="1">
      <x:c r="A437" s="54"/>
      <x:c r="B437" s="56"/>
      <x:c r="C437" s="56"/>
      <x:c r="D437" s="54"/>
      <x:c r="E437" s="58"/>
      <x:c r="F437" s="58"/>
      <x:c r="G437" s="58"/>
      <x:c r="H437" s="58"/>
      <x:c r="I437" s="58"/>
      <x:c r="J437" s="60" t="str">
        <x:f>IF(A437="","",IF(K437="Subscription","",IF(E437=0,"",IF(ISNUMBER(G437),G437/E437,IF(ISNUMBER(I437),-ABS(I437)/E437,IF(ISNUMBER(H437),0,IF(AND(ISNUMBER(F437),ISNUMBER(E437),E437&gt;0,F437&gt;E437),(F437-E437)/E437,IF(AND(ISNUMBER(F437),ISNUMBER(E437),E437&gt;0,F437=E437),0,IF(AND(ISNUMBER(F437),ISNUMBER(E437),E437&gt;0,F437=0),-1,"")))))))))</x:f>
      </x:c>
      <x:c r="K437" s="50" t="str">
        <x:f>IF(A437="","",IF(AND(ISNUMBER(E437),E437=0,OR(ISNUMBER(SEARCH("Free",D437&amp;"")),AND(ISNUMBER(F437),F437=0))),"Subscription",IF(ISNUMBER(G437),"Profit",IF(ISNUMBER(I437),"Disqualified",IF(ISNUMBER(H437),"Draw",IF(AND(ISNUMBER(F437),ISNUMBER(E437),E437&gt;0,F437&gt;E437),"Profit",IF(AND(ISNUMBER(F437),ISNUMBER(E437),E437&gt;0,F437=E437),"Draw",IF(AND(ISNUMBER(F437),ISNUMBER(E437),E437&gt;0,F437=0),"Disqualified",""))))))))</x:f>
      </x:c>
      <x:c r="L437" s="50"/>
      <x:c r="M437" s="58"/>
      <x:c r="N437" s="58"/>
      <x:c r="O437" s="62"/>
      <x:c r="P437" s="62"/>
      <x:c r="Q437" s="64" t="str">
        <x:f>IF(OR(B437="",C437="",C437&lt;B437),"",ROUNDUP((C437-B437)/7,0))</x:f>
      </x:c>
      <x:c r="R437" s="50"/>
      <x:c r="S437" s="50"/>
      <x:c r="T437" s="54"/>
      <x:c r="U437" s="66" t="str">
        <x:f>IF(A437="","",IF(K437="Subscription","",IF(ISNUMBER(G437),G437,0)-IF(ISNUMBER(I437),I437,0)))</x:f>
      </x:c>
      <x:c r="V437" s="64" t="str">
        <x:f>IF(OR(P437="",O437="",NOT(ISNUMBER(P437)),NOT(ISNUMBER(O437)),O437&gt;P437),"",P437-O437)</x:f>
      </x:c>
      <x:c r="W437" s="67" t="str">
        <x:f>IF(OR(P437="",P437=0,V437=""),"",V437/P437)</x:f>
      </x:c>
    </x:row>
    <x:row r="438" ht="21" customHeight="1">
      <x:c r="A438" s="54"/>
      <x:c r="B438" s="56"/>
      <x:c r="C438" s="56"/>
      <x:c r="D438" s="54"/>
      <x:c r="E438" s="58"/>
      <x:c r="F438" s="58"/>
      <x:c r="G438" s="58"/>
      <x:c r="H438" s="58"/>
      <x:c r="I438" s="58"/>
      <x:c r="J438" s="60" t="str">
        <x:f>IF(A438="","",IF(K438="Subscription","",IF(E438=0,"",IF(ISNUMBER(G438),G438/E438,IF(ISNUMBER(I438),-ABS(I438)/E438,IF(ISNUMBER(H438),0,IF(AND(ISNUMBER(F438),ISNUMBER(E438),E438&gt;0,F438&gt;E438),(F438-E438)/E438,IF(AND(ISNUMBER(F438),ISNUMBER(E438),E438&gt;0,F438=E438),0,IF(AND(ISNUMBER(F438),ISNUMBER(E438),E438&gt;0,F438=0),-1,"")))))))))</x:f>
      </x:c>
      <x:c r="K438" s="50" t="str">
        <x:f>IF(A438="","",IF(AND(ISNUMBER(E438),E438=0,OR(ISNUMBER(SEARCH("Free",D438&amp;"")),AND(ISNUMBER(F438),F438=0))),"Subscription",IF(ISNUMBER(G438),"Profit",IF(ISNUMBER(I438),"Disqualified",IF(ISNUMBER(H438),"Draw",IF(AND(ISNUMBER(F438),ISNUMBER(E438),E438&gt;0,F438&gt;E438),"Profit",IF(AND(ISNUMBER(F438),ISNUMBER(E438),E438&gt;0,F438=E438),"Draw",IF(AND(ISNUMBER(F438),ISNUMBER(E438),E438&gt;0,F438=0),"Disqualified",""))))))))</x:f>
      </x:c>
      <x:c r="L438" s="50"/>
      <x:c r="M438" s="58"/>
      <x:c r="N438" s="58"/>
      <x:c r="O438" s="62"/>
      <x:c r="P438" s="62"/>
      <x:c r="Q438" s="64" t="str">
        <x:f>IF(OR(B438="",C438="",C438&lt;B438),"",ROUNDUP((C438-B438)/7,0))</x:f>
      </x:c>
      <x:c r="R438" s="50"/>
      <x:c r="S438" s="50"/>
      <x:c r="T438" s="54"/>
      <x:c r="U438" s="66" t="str">
        <x:f>IF(A438="","",IF(K438="Subscription","",IF(ISNUMBER(G438),G438,0)-IF(ISNUMBER(I438),I438,0)))</x:f>
      </x:c>
      <x:c r="V438" s="64" t="str">
        <x:f>IF(OR(P438="",O438="",NOT(ISNUMBER(P438)),NOT(ISNUMBER(O438)),O438&gt;P438),"",P438-O438)</x:f>
      </x:c>
      <x:c r="W438" s="67" t="str">
        <x:f>IF(OR(P438="",P438=0,V438=""),"",V438/P438)</x:f>
      </x:c>
    </x:row>
    <x:row r="439" ht="21" customHeight="1">
      <x:c r="A439" s="54"/>
      <x:c r="B439" s="56"/>
      <x:c r="C439" s="56"/>
      <x:c r="D439" s="54"/>
      <x:c r="E439" s="58"/>
      <x:c r="F439" s="58"/>
      <x:c r="G439" s="58"/>
      <x:c r="H439" s="58"/>
      <x:c r="I439" s="58"/>
      <x:c r="J439" s="60" t="str">
        <x:f>IF(A439="","",IF(K439="Subscription","",IF(E439=0,"",IF(ISNUMBER(G439),G439/E439,IF(ISNUMBER(I439),-ABS(I439)/E439,IF(ISNUMBER(H439),0,IF(AND(ISNUMBER(F439),ISNUMBER(E439),E439&gt;0,F439&gt;E439),(F439-E439)/E439,IF(AND(ISNUMBER(F439),ISNUMBER(E439),E439&gt;0,F439=E439),0,IF(AND(ISNUMBER(F439),ISNUMBER(E439),E439&gt;0,F439=0),-1,"")))))))))</x:f>
      </x:c>
      <x:c r="K439" s="50" t="str">
        <x:f>IF(A439="","",IF(AND(ISNUMBER(E439),E439=0,OR(ISNUMBER(SEARCH("Free",D439&amp;"")),AND(ISNUMBER(F439),F439=0))),"Subscription",IF(ISNUMBER(G439),"Profit",IF(ISNUMBER(I439),"Disqualified",IF(ISNUMBER(H439),"Draw",IF(AND(ISNUMBER(F439),ISNUMBER(E439),E439&gt;0,F439&gt;E439),"Profit",IF(AND(ISNUMBER(F439),ISNUMBER(E439),E439&gt;0,F439=E439),"Draw",IF(AND(ISNUMBER(F439),ISNUMBER(E439),E439&gt;0,F439=0),"Disqualified",""))))))))</x:f>
      </x:c>
      <x:c r="L439" s="50"/>
      <x:c r="M439" s="58"/>
      <x:c r="N439" s="58"/>
      <x:c r="O439" s="62"/>
      <x:c r="P439" s="62"/>
      <x:c r="Q439" s="64" t="str">
        <x:f>IF(OR(B439="",C439="",C439&lt;B439),"",ROUNDUP((C439-B439)/7,0))</x:f>
      </x:c>
      <x:c r="R439" s="50"/>
      <x:c r="S439" s="50"/>
      <x:c r="T439" s="54"/>
      <x:c r="U439" s="66" t="str">
        <x:f>IF(A439="","",IF(K439="Subscription","",IF(ISNUMBER(G439),G439,0)-IF(ISNUMBER(I439),I439,0)))</x:f>
      </x:c>
      <x:c r="V439" s="64" t="str">
        <x:f>IF(OR(P439="",O439="",NOT(ISNUMBER(P439)),NOT(ISNUMBER(O439)),O439&gt;P439),"",P439-O439)</x:f>
      </x:c>
      <x:c r="W439" s="67" t="str">
        <x:f>IF(OR(P439="",P439=0,V439=""),"",V439/P439)</x:f>
      </x:c>
    </x:row>
    <x:row r="440" ht="21" customHeight="1">
      <x:c r="A440" s="54"/>
      <x:c r="B440" s="56"/>
      <x:c r="C440" s="56"/>
      <x:c r="D440" s="54"/>
      <x:c r="E440" s="58"/>
      <x:c r="F440" s="58"/>
      <x:c r="G440" s="58"/>
      <x:c r="H440" s="58"/>
      <x:c r="I440" s="58"/>
      <x:c r="J440" s="60" t="str">
        <x:f>IF(A440="","",IF(K440="Subscription","",IF(E440=0,"",IF(ISNUMBER(G440),G440/E440,IF(ISNUMBER(I440),-ABS(I440)/E440,IF(ISNUMBER(H440),0,IF(AND(ISNUMBER(F440),ISNUMBER(E440),E440&gt;0,F440&gt;E440),(F440-E440)/E440,IF(AND(ISNUMBER(F440),ISNUMBER(E440),E440&gt;0,F440=E440),0,IF(AND(ISNUMBER(F440),ISNUMBER(E440),E440&gt;0,F440=0),-1,"")))))))))</x:f>
      </x:c>
      <x:c r="K440" s="50" t="str">
        <x:f>IF(A440="","",IF(AND(ISNUMBER(E440),E440=0,OR(ISNUMBER(SEARCH("Free",D440&amp;"")),AND(ISNUMBER(F440),F440=0))),"Subscription",IF(ISNUMBER(G440),"Profit",IF(ISNUMBER(I440),"Disqualified",IF(ISNUMBER(H440),"Draw",IF(AND(ISNUMBER(F440),ISNUMBER(E440),E440&gt;0,F440&gt;E440),"Profit",IF(AND(ISNUMBER(F440),ISNUMBER(E440),E440&gt;0,F440=E440),"Draw",IF(AND(ISNUMBER(F440),ISNUMBER(E440),E440&gt;0,F440=0),"Disqualified",""))))))))</x:f>
      </x:c>
      <x:c r="L440" s="50"/>
      <x:c r="M440" s="58"/>
      <x:c r="N440" s="58"/>
      <x:c r="O440" s="62"/>
      <x:c r="P440" s="62"/>
      <x:c r="Q440" s="64" t="str">
        <x:f>IF(OR(B440="",C440="",C440&lt;B440),"",ROUNDUP((C440-B440)/7,0))</x:f>
      </x:c>
      <x:c r="R440" s="50"/>
      <x:c r="S440" s="50"/>
      <x:c r="T440" s="54"/>
      <x:c r="U440" s="66" t="str">
        <x:f>IF(A440="","",IF(K440="Subscription","",IF(ISNUMBER(G440),G440,0)-IF(ISNUMBER(I440),I440,0)))</x:f>
      </x:c>
      <x:c r="V440" s="64" t="str">
        <x:f>IF(OR(P440="",O440="",NOT(ISNUMBER(P440)),NOT(ISNUMBER(O440)),O440&gt;P440),"",P440-O440)</x:f>
      </x:c>
      <x:c r="W440" s="67" t="str">
        <x:f>IF(OR(P440="",P440=0,V440=""),"",V440/P440)</x:f>
      </x:c>
    </x:row>
    <x:row r="441" ht="21" customHeight="1">
      <x:c r="A441" s="54"/>
      <x:c r="B441" s="56"/>
      <x:c r="C441" s="56"/>
      <x:c r="D441" s="54"/>
      <x:c r="E441" s="58"/>
      <x:c r="F441" s="58"/>
      <x:c r="G441" s="58"/>
      <x:c r="H441" s="58"/>
      <x:c r="I441" s="58"/>
      <x:c r="J441" s="60" t="str">
        <x:f>IF(A441="","",IF(K441="Subscription","",IF(E441=0,"",IF(ISNUMBER(G441),G441/E441,IF(ISNUMBER(I441),-ABS(I441)/E441,IF(ISNUMBER(H441),0,IF(AND(ISNUMBER(F441),ISNUMBER(E441),E441&gt;0,F441&gt;E441),(F441-E441)/E441,IF(AND(ISNUMBER(F441),ISNUMBER(E441),E441&gt;0,F441=E441),0,IF(AND(ISNUMBER(F441),ISNUMBER(E441),E441&gt;0,F441=0),-1,"")))))))))</x:f>
      </x:c>
      <x:c r="K441" s="50" t="str">
        <x:f>IF(A441="","",IF(AND(ISNUMBER(E441),E441=0,OR(ISNUMBER(SEARCH("Free",D441&amp;"")),AND(ISNUMBER(F441),F441=0))),"Subscription",IF(ISNUMBER(G441),"Profit",IF(ISNUMBER(I441),"Disqualified",IF(ISNUMBER(H441),"Draw",IF(AND(ISNUMBER(F441),ISNUMBER(E441),E441&gt;0,F441&gt;E441),"Profit",IF(AND(ISNUMBER(F441),ISNUMBER(E441),E441&gt;0,F441=E441),"Draw",IF(AND(ISNUMBER(F441),ISNUMBER(E441),E441&gt;0,F441=0),"Disqualified",""))))))))</x:f>
      </x:c>
      <x:c r="L441" s="50"/>
      <x:c r="M441" s="58"/>
      <x:c r="N441" s="58"/>
      <x:c r="O441" s="62"/>
      <x:c r="P441" s="62"/>
      <x:c r="Q441" s="64" t="str">
        <x:f>IF(OR(B441="",C441="",C441&lt;B441),"",ROUNDUP((C441-B441)/7,0))</x:f>
      </x:c>
      <x:c r="R441" s="50"/>
      <x:c r="S441" s="50"/>
      <x:c r="T441" s="54"/>
      <x:c r="U441" s="66" t="str">
        <x:f>IF(A441="","",IF(K441="Subscription","",IF(ISNUMBER(G441),G441,0)-IF(ISNUMBER(I441),I441,0)))</x:f>
      </x:c>
      <x:c r="V441" s="64" t="str">
        <x:f>IF(OR(P441="",O441="",NOT(ISNUMBER(P441)),NOT(ISNUMBER(O441)),O441&gt;P441),"",P441-O441)</x:f>
      </x:c>
      <x:c r="W441" s="67" t="str">
        <x:f>IF(OR(P441="",P441=0,V441=""),"",V441/P441)</x:f>
      </x:c>
    </x:row>
    <x:row r="442" ht="21" customHeight="1">
      <x:c r="A442" s="54"/>
      <x:c r="B442" s="56"/>
      <x:c r="C442" s="56"/>
      <x:c r="D442" s="54"/>
      <x:c r="E442" s="58"/>
      <x:c r="F442" s="58"/>
      <x:c r="G442" s="58"/>
      <x:c r="H442" s="58"/>
      <x:c r="I442" s="58"/>
      <x:c r="J442" s="60" t="str">
        <x:f>IF(A442="","",IF(K442="Subscription","",IF(E442=0,"",IF(ISNUMBER(G442),G442/E442,IF(ISNUMBER(I442),-ABS(I442)/E442,IF(ISNUMBER(H442),0,IF(AND(ISNUMBER(F442),ISNUMBER(E442),E442&gt;0,F442&gt;E442),(F442-E442)/E442,IF(AND(ISNUMBER(F442),ISNUMBER(E442),E442&gt;0,F442=E442),0,IF(AND(ISNUMBER(F442),ISNUMBER(E442),E442&gt;0,F442=0),-1,"")))))))))</x:f>
      </x:c>
      <x:c r="K442" s="50" t="str">
        <x:f>IF(A442="","",IF(AND(ISNUMBER(E442),E442=0,OR(ISNUMBER(SEARCH("Free",D442&amp;"")),AND(ISNUMBER(F442),F442=0))),"Subscription",IF(ISNUMBER(G442),"Profit",IF(ISNUMBER(I442),"Disqualified",IF(ISNUMBER(H442),"Draw",IF(AND(ISNUMBER(F442),ISNUMBER(E442),E442&gt;0,F442&gt;E442),"Profit",IF(AND(ISNUMBER(F442),ISNUMBER(E442),E442&gt;0,F442=E442),"Draw",IF(AND(ISNUMBER(F442),ISNUMBER(E442),E442&gt;0,F442=0),"Disqualified",""))))))))</x:f>
      </x:c>
      <x:c r="L442" s="50"/>
      <x:c r="M442" s="58"/>
      <x:c r="N442" s="58"/>
      <x:c r="O442" s="62"/>
      <x:c r="P442" s="62"/>
      <x:c r="Q442" s="64" t="str">
        <x:f>IF(OR(B442="",C442="",C442&lt;B442),"",ROUNDUP((C442-B442)/7,0))</x:f>
      </x:c>
      <x:c r="R442" s="50"/>
      <x:c r="S442" s="50"/>
      <x:c r="T442" s="54"/>
      <x:c r="U442" s="66" t="str">
        <x:f>IF(A442="","",IF(K442="Subscription","",IF(ISNUMBER(G442),G442,0)-IF(ISNUMBER(I442),I442,0)))</x:f>
      </x:c>
      <x:c r="V442" s="64" t="str">
        <x:f>IF(OR(P442="",O442="",NOT(ISNUMBER(P442)),NOT(ISNUMBER(O442)),O442&gt;P442),"",P442-O442)</x:f>
      </x:c>
      <x:c r="W442" s="67" t="str">
        <x:f>IF(OR(P442="",P442=0,V442=""),"",V442/P442)</x:f>
      </x:c>
    </x:row>
    <x:row r="443" ht="21" customHeight="1">
      <x:c r="A443" s="54"/>
      <x:c r="B443" s="56"/>
      <x:c r="C443" s="56"/>
      <x:c r="D443" s="54"/>
      <x:c r="E443" s="58"/>
      <x:c r="F443" s="58"/>
      <x:c r="G443" s="58"/>
      <x:c r="H443" s="58"/>
      <x:c r="I443" s="58"/>
      <x:c r="J443" s="60" t="str">
        <x:f>IF(A443="","",IF(K443="Subscription","",IF(E443=0,"",IF(ISNUMBER(G443),G443/E443,IF(ISNUMBER(I443),-ABS(I443)/E443,IF(ISNUMBER(H443),0,IF(AND(ISNUMBER(F443),ISNUMBER(E443),E443&gt;0,F443&gt;E443),(F443-E443)/E443,IF(AND(ISNUMBER(F443),ISNUMBER(E443),E443&gt;0,F443=E443),0,IF(AND(ISNUMBER(F443),ISNUMBER(E443),E443&gt;0,F443=0),-1,"")))))))))</x:f>
      </x:c>
      <x:c r="K443" s="50" t="str">
        <x:f>IF(A443="","",IF(AND(ISNUMBER(E443),E443=0,OR(ISNUMBER(SEARCH("Free",D443&amp;"")),AND(ISNUMBER(F443),F443=0))),"Subscription",IF(ISNUMBER(G443),"Profit",IF(ISNUMBER(I443),"Disqualified",IF(ISNUMBER(H443),"Draw",IF(AND(ISNUMBER(F443),ISNUMBER(E443),E443&gt;0,F443&gt;E443),"Profit",IF(AND(ISNUMBER(F443),ISNUMBER(E443),E443&gt;0,F443=E443),"Draw",IF(AND(ISNUMBER(F443),ISNUMBER(E443),E443&gt;0,F443=0),"Disqualified",""))))))))</x:f>
      </x:c>
      <x:c r="L443" s="50"/>
      <x:c r="M443" s="58"/>
      <x:c r="N443" s="58"/>
      <x:c r="O443" s="62"/>
      <x:c r="P443" s="62"/>
      <x:c r="Q443" s="64" t="str">
        <x:f>IF(OR(B443="",C443="",C443&lt;B443),"",ROUNDUP((C443-B443)/7,0))</x:f>
      </x:c>
      <x:c r="R443" s="50"/>
      <x:c r="S443" s="50"/>
      <x:c r="T443" s="54"/>
      <x:c r="U443" s="66" t="str">
        <x:f>IF(A443="","",IF(K443="Subscription","",IF(ISNUMBER(G443),G443,0)-IF(ISNUMBER(I443),I443,0)))</x:f>
      </x:c>
      <x:c r="V443" s="64" t="str">
        <x:f>IF(OR(P443="",O443="",NOT(ISNUMBER(P443)),NOT(ISNUMBER(O443)),O443&gt;P443),"",P443-O443)</x:f>
      </x:c>
      <x:c r="W443" s="67" t="str">
        <x:f>IF(OR(P443="",P443=0,V443=""),"",V443/P443)</x:f>
      </x:c>
    </x:row>
    <x:row r="444" ht="21" customHeight="1">
      <x:c r="A444" s="54"/>
      <x:c r="B444" s="56"/>
      <x:c r="C444" s="56"/>
      <x:c r="D444" s="54"/>
      <x:c r="E444" s="58"/>
      <x:c r="F444" s="58"/>
      <x:c r="G444" s="58"/>
      <x:c r="H444" s="58"/>
      <x:c r="I444" s="58"/>
      <x:c r="J444" s="60" t="str">
        <x:f>IF(A444="","",IF(K444="Subscription","",IF(E444=0,"",IF(ISNUMBER(G444),G444/E444,IF(ISNUMBER(I444),-ABS(I444)/E444,IF(ISNUMBER(H444),0,IF(AND(ISNUMBER(F444),ISNUMBER(E444),E444&gt;0,F444&gt;E444),(F444-E444)/E444,IF(AND(ISNUMBER(F444),ISNUMBER(E444),E444&gt;0,F444=E444),0,IF(AND(ISNUMBER(F444),ISNUMBER(E444),E444&gt;0,F444=0),-1,"")))))))))</x:f>
      </x:c>
      <x:c r="K444" s="50" t="str">
        <x:f>IF(A444="","",IF(AND(ISNUMBER(E444),E444=0,OR(ISNUMBER(SEARCH("Free",D444&amp;"")),AND(ISNUMBER(F444),F444=0))),"Subscription",IF(ISNUMBER(G444),"Profit",IF(ISNUMBER(I444),"Disqualified",IF(ISNUMBER(H444),"Draw",IF(AND(ISNUMBER(F444),ISNUMBER(E444),E444&gt;0,F444&gt;E444),"Profit",IF(AND(ISNUMBER(F444),ISNUMBER(E444),E444&gt;0,F444=E444),"Draw",IF(AND(ISNUMBER(F444),ISNUMBER(E444),E444&gt;0,F444=0),"Disqualified",""))))))))</x:f>
      </x:c>
      <x:c r="L444" s="50"/>
      <x:c r="M444" s="58"/>
      <x:c r="N444" s="58"/>
      <x:c r="O444" s="62"/>
      <x:c r="P444" s="62"/>
      <x:c r="Q444" s="64" t="str">
        <x:f>IF(OR(B444="",C444="",C444&lt;B444),"",ROUNDUP((C444-B444)/7,0))</x:f>
      </x:c>
      <x:c r="R444" s="50"/>
      <x:c r="S444" s="50"/>
      <x:c r="T444" s="54"/>
      <x:c r="U444" s="66" t="str">
        <x:f>IF(A444="","",IF(K444="Subscription","",IF(ISNUMBER(G444),G444,0)-IF(ISNUMBER(I444),I444,0)))</x:f>
      </x:c>
      <x:c r="V444" s="64" t="str">
        <x:f>IF(OR(P444="",O444="",NOT(ISNUMBER(P444)),NOT(ISNUMBER(O444)),O444&gt;P444),"",P444-O444)</x:f>
      </x:c>
      <x:c r="W444" s="67" t="str">
        <x:f>IF(OR(P444="",P444=0,V444=""),"",V444/P444)</x:f>
      </x:c>
    </x:row>
    <x:row r="445" ht="21" customHeight="1">
      <x:c r="A445" s="54"/>
      <x:c r="B445" s="56"/>
      <x:c r="C445" s="56"/>
      <x:c r="D445" s="54"/>
      <x:c r="E445" s="58"/>
      <x:c r="F445" s="58"/>
      <x:c r="G445" s="58"/>
      <x:c r="H445" s="58"/>
      <x:c r="I445" s="58"/>
      <x:c r="J445" s="60" t="str">
        <x:f>IF(A445="","",IF(K445="Subscription","",IF(E445=0,"",IF(ISNUMBER(G445),G445/E445,IF(ISNUMBER(I445),-ABS(I445)/E445,IF(ISNUMBER(H445),0,IF(AND(ISNUMBER(F445),ISNUMBER(E445),E445&gt;0,F445&gt;E445),(F445-E445)/E445,IF(AND(ISNUMBER(F445),ISNUMBER(E445),E445&gt;0,F445=E445),0,IF(AND(ISNUMBER(F445),ISNUMBER(E445),E445&gt;0,F445=0),-1,"")))))))))</x:f>
      </x:c>
      <x:c r="K445" s="50" t="str">
        <x:f>IF(A445="","",IF(AND(ISNUMBER(E445),E445=0,OR(ISNUMBER(SEARCH("Free",D445&amp;"")),AND(ISNUMBER(F445),F445=0))),"Subscription",IF(ISNUMBER(G445),"Profit",IF(ISNUMBER(I445),"Disqualified",IF(ISNUMBER(H445),"Draw",IF(AND(ISNUMBER(F445),ISNUMBER(E445),E445&gt;0,F445&gt;E445),"Profit",IF(AND(ISNUMBER(F445),ISNUMBER(E445),E445&gt;0,F445=E445),"Draw",IF(AND(ISNUMBER(F445),ISNUMBER(E445),E445&gt;0,F445=0),"Disqualified",""))))))))</x:f>
      </x:c>
      <x:c r="L445" s="50"/>
      <x:c r="M445" s="58"/>
      <x:c r="N445" s="58"/>
      <x:c r="O445" s="62"/>
      <x:c r="P445" s="62"/>
      <x:c r="Q445" s="64" t="str">
        <x:f>IF(OR(B445="",C445="",C445&lt;B445),"",ROUNDUP((C445-B445)/7,0))</x:f>
      </x:c>
      <x:c r="R445" s="50"/>
      <x:c r="S445" s="50"/>
      <x:c r="T445" s="54"/>
      <x:c r="U445" s="66" t="str">
        <x:f>IF(A445="","",IF(K445="Subscription","",IF(ISNUMBER(G445),G445,0)-IF(ISNUMBER(I445),I445,0)))</x:f>
      </x:c>
      <x:c r="V445" s="64" t="str">
        <x:f>IF(OR(P445="",O445="",NOT(ISNUMBER(P445)),NOT(ISNUMBER(O445)),O445&gt;P445),"",P445-O445)</x:f>
      </x:c>
      <x:c r="W445" s="67" t="str">
        <x:f>IF(OR(P445="",P445=0,V445=""),"",V445/P445)</x:f>
      </x:c>
    </x:row>
    <x:row r="446" ht="21" customHeight="1">
      <x:c r="A446" s="54"/>
      <x:c r="B446" s="56"/>
      <x:c r="C446" s="56"/>
      <x:c r="D446" s="54"/>
      <x:c r="E446" s="58"/>
      <x:c r="F446" s="58"/>
      <x:c r="G446" s="58"/>
      <x:c r="H446" s="58"/>
      <x:c r="I446" s="58"/>
      <x:c r="J446" s="60" t="str">
        <x:f>IF(A446="","",IF(K446="Subscription","",IF(E446=0,"",IF(ISNUMBER(G446),G446/E446,IF(ISNUMBER(I446),-ABS(I446)/E446,IF(ISNUMBER(H446),0,IF(AND(ISNUMBER(F446),ISNUMBER(E446),E446&gt;0,F446&gt;E446),(F446-E446)/E446,IF(AND(ISNUMBER(F446),ISNUMBER(E446),E446&gt;0,F446=E446),0,IF(AND(ISNUMBER(F446),ISNUMBER(E446),E446&gt;0,F446=0),-1,"")))))))))</x:f>
      </x:c>
      <x:c r="K446" s="50" t="str">
        <x:f>IF(A446="","",IF(AND(ISNUMBER(E446),E446=0,OR(ISNUMBER(SEARCH("Free",D446&amp;"")),AND(ISNUMBER(F446),F446=0))),"Subscription",IF(ISNUMBER(G446),"Profit",IF(ISNUMBER(I446),"Disqualified",IF(ISNUMBER(H446),"Draw",IF(AND(ISNUMBER(F446),ISNUMBER(E446),E446&gt;0,F446&gt;E446),"Profit",IF(AND(ISNUMBER(F446),ISNUMBER(E446),E446&gt;0,F446=E446),"Draw",IF(AND(ISNUMBER(F446),ISNUMBER(E446),E446&gt;0,F446=0),"Disqualified",""))))))))</x:f>
      </x:c>
      <x:c r="L446" s="50"/>
      <x:c r="M446" s="58"/>
      <x:c r="N446" s="58"/>
      <x:c r="O446" s="62"/>
      <x:c r="P446" s="62"/>
      <x:c r="Q446" s="64" t="str">
        <x:f>IF(OR(B446="",C446="",C446&lt;B446),"",ROUNDUP((C446-B446)/7,0))</x:f>
      </x:c>
      <x:c r="R446" s="50"/>
      <x:c r="S446" s="50"/>
      <x:c r="T446" s="54"/>
      <x:c r="U446" s="66" t="str">
        <x:f>IF(A446="","",IF(K446="Subscription","",IF(ISNUMBER(G446),G446,0)-IF(ISNUMBER(I446),I446,0)))</x:f>
      </x:c>
      <x:c r="V446" s="64" t="str">
        <x:f>IF(OR(P446="",O446="",NOT(ISNUMBER(P446)),NOT(ISNUMBER(O446)),O446&gt;P446),"",P446-O446)</x:f>
      </x:c>
      <x:c r="W446" s="67" t="str">
        <x:f>IF(OR(P446="",P446=0,V446=""),"",V446/P446)</x:f>
      </x:c>
    </x:row>
    <x:row r="447" ht="21" customHeight="1">
      <x:c r="A447" s="54"/>
      <x:c r="B447" s="56"/>
      <x:c r="C447" s="56"/>
      <x:c r="D447" s="54"/>
      <x:c r="E447" s="58"/>
      <x:c r="F447" s="58"/>
      <x:c r="G447" s="58"/>
      <x:c r="H447" s="58"/>
      <x:c r="I447" s="58"/>
      <x:c r="J447" s="60" t="str">
        <x:f>IF(A447="","",IF(K447="Subscription","",IF(E447=0,"",IF(ISNUMBER(G447),G447/E447,IF(ISNUMBER(I447),-ABS(I447)/E447,IF(ISNUMBER(H447),0,IF(AND(ISNUMBER(F447),ISNUMBER(E447),E447&gt;0,F447&gt;E447),(F447-E447)/E447,IF(AND(ISNUMBER(F447),ISNUMBER(E447),E447&gt;0,F447=E447),0,IF(AND(ISNUMBER(F447),ISNUMBER(E447),E447&gt;0,F447=0),-1,"")))))))))</x:f>
      </x:c>
      <x:c r="K447" s="50" t="str">
        <x:f>IF(A447="","",IF(AND(ISNUMBER(E447),E447=0,OR(ISNUMBER(SEARCH("Free",D447&amp;"")),AND(ISNUMBER(F447),F447=0))),"Subscription",IF(ISNUMBER(G447),"Profit",IF(ISNUMBER(I447),"Disqualified",IF(ISNUMBER(H447),"Draw",IF(AND(ISNUMBER(F447),ISNUMBER(E447),E447&gt;0,F447&gt;E447),"Profit",IF(AND(ISNUMBER(F447),ISNUMBER(E447),E447&gt;0,F447=E447),"Draw",IF(AND(ISNUMBER(F447),ISNUMBER(E447),E447&gt;0,F447=0),"Disqualified",""))))))))</x:f>
      </x:c>
      <x:c r="L447" s="50"/>
      <x:c r="M447" s="58"/>
      <x:c r="N447" s="58"/>
      <x:c r="O447" s="62"/>
      <x:c r="P447" s="62"/>
      <x:c r="Q447" s="64" t="str">
        <x:f>IF(OR(B447="",C447="",C447&lt;B447),"",ROUNDUP((C447-B447)/7,0))</x:f>
      </x:c>
      <x:c r="R447" s="50"/>
      <x:c r="S447" s="50"/>
      <x:c r="T447" s="54"/>
      <x:c r="U447" s="66" t="str">
        <x:f>IF(A447="","",IF(K447="Subscription","",IF(ISNUMBER(G447),G447,0)-IF(ISNUMBER(I447),I447,0)))</x:f>
      </x:c>
      <x:c r="V447" s="64" t="str">
        <x:f>IF(OR(P447="",O447="",NOT(ISNUMBER(P447)),NOT(ISNUMBER(O447)),O447&gt;P447),"",P447-O447)</x:f>
      </x:c>
      <x:c r="W447" s="67" t="str">
        <x:f>IF(OR(P447="",P447=0,V447=""),"",V447/P447)</x:f>
      </x:c>
    </x:row>
    <x:row r="448" ht="21" customHeight="1">
      <x:c r="A448" s="54"/>
      <x:c r="B448" s="56"/>
      <x:c r="C448" s="56"/>
      <x:c r="D448" s="54"/>
      <x:c r="E448" s="58"/>
      <x:c r="F448" s="58"/>
      <x:c r="G448" s="58"/>
      <x:c r="H448" s="58"/>
      <x:c r="I448" s="58"/>
      <x:c r="J448" s="60" t="str">
        <x:f>IF(A448="","",IF(K448="Subscription","",IF(E448=0,"",IF(ISNUMBER(G448),G448/E448,IF(ISNUMBER(I448),-ABS(I448)/E448,IF(ISNUMBER(H448),0,IF(AND(ISNUMBER(F448),ISNUMBER(E448),E448&gt;0,F448&gt;E448),(F448-E448)/E448,IF(AND(ISNUMBER(F448),ISNUMBER(E448),E448&gt;0,F448=E448),0,IF(AND(ISNUMBER(F448),ISNUMBER(E448),E448&gt;0,F448=0),-1,"")))))))))</x:f>
      </x:c>
      <x:c r="K448" s="50" t="str">
        <x:f>IF(A448="","",IF(AND(ISNUMBER(E448),E448=0,OR(ISNUMBER(SEARCH("Free",D448&amp;"")),AND(ISNUMBER(F448),F448=0))),"Subscription",IF(ISNUMBER(G448),"Profit",IF(ISNUMBER(I448),"Disqualified",IF(ISNUMBER(H448),"Draw",IF(AND(ISNUMBER(F448),ISNUMBER(E448),E448&gt;0,F448&gt;E448),"Profit",IF(AND(ISNUMBER(F448),ISNUMBER(E448),E448&gt;0,F448=E448),"Draw",IF(AND(ISNUMBER(F448),ISNUMBER(E448),E448&gt;0,F448=0),"Disqualified",""))))))))</x:f>
      </x:c>
      <x:c r="L448" s="50"/>
      <x:c r="M448" s="58"/>
      <x:c r="N448" s="58"/>
      <x:c r="O448" s="62"/>
      <x:c r="P448" s="62"/>
      <x:c r="Q448" s="64" t="str">
        <x:f>IF(OR(B448="",C448="",C448&lt;B448),"",ROUNDUP((C448-B448)/7,0))</x:f>
      </x:c>
      <x:c r="R448" s="50"/>
      <x:c r="S448" s="50"/>
      <x:c r="T448" s="54"/>
      <x:c r="U448" s="66" t="str">
        <x:f>IF(A448="","",IF(K448="Subscription","",IF(ISNUMBER(G448),G448,0)-IF(ISNUMBER(I448),I448,0)))</x:f>
      </x:c>
      <x:c r="V448" s="64" t="str">
        <x:f>IF(OR(P448="",O448="",NOT(ISNUMBER(P448)),NOT(ISNUMBER(O448)),O448&gt;P448),"",P448-O448)</x:f>
      </x:c>
      <x:c r="W448" s="67" t="str">
        <x:f>IF(OR(P448="",P448=0,V448=""),"",V448/P448)</x:f>
      </x:c>
    </x:row>
    <x:row r="449" ht="21" customHeight="1">
      <x:c r="A449" s="54"/>
      <x:c r="B449" s="56"/>
      <x:c r="C449" s="56"/>
      <x:c r="D449" s="54"/>
      <x:c r="E449" s="58"/>
      <x:c r="F449" s="58"/>
      <x:c r="G449" s="58"/>
      <x:c r="H449" s="58"/>
      <x:c r="I449" s="58"/>
      <x:c r="J449" s="60" t="str">
        <x:f>IF(A449="","",IF(K449="Subscription","",IF(E449=0,"",IF(ISNUMBER(G449),G449/E449,IF(ISNUMBER(I449),-ABS(I449)/E449,IF(ISNUMBER(H449),0,IF(AND(ISNUMBER(F449),ISNUMBER(E449),E449&gt;0,F449&gt;E449),(F449-E449)/E449,IF(AND(ISNUMBER(F449),ISNUMBER(E449),E449&gt;0,F449=E449),0,IF(AND(ISNUMBER(F449),ISNUMBER(E449),E449&gt;0,F449=0),-1,"")))))))))</x:f>
      </x:c>
      <x:c r="K449" s="50" t="str">
        <x:f>IF(A449="","",IF(AND(ISNUMBER(E449),E449=0,OR(ISNUMBER(SEARCH("Free",D449&amp;"")),AND(ISNUMBER(F449),F449=0))),"Subscription",IF(ISNUMBER(G449),"Profit",IF(ISNUMBER(I449),"Disqualified",IF(ISNUMBER(H449),"Draw",IF(AND(ISNUMBER(F449),ISNUMBER(E449),E449&gt;0,F449&gt;E449),"Profit",IF(AND(ISNUMBER(F449),ISNUMBER(E449),E449&gt;0,F449=E449),"Draw",IF(AND(ISNUMBER(F449),ISNUMBER(E449),E449&gt;0,F449=0),"Disqualified",""))))))))</x:f>
      </x:c>
      <x:c r="L449" s="50"/>
      <x:c r="M449" s="58"/>
      <x:c r="N449" s="58"/>
      <x:c r="O449" s="62"/>
      <x:c r="P449" s="62"/>
      <x:c r="Q449" s="64" t="str">
        <x:f>IF(OR(B449="",C449="",C449&lt;B449),"",ROUNDUP((C449-B449)/7,0))</x:f>
      </x:c>
      <x:c r="R449" s="50"/>
      <x:c r="S449" s="50"/>
      <x:c r="T449" s="54"/>
      <x:c r="U449" s="66" t="str">
        <x:f>IF(A449="","",IF(K449="Subscription","",IF(ISNUMBER(G449),G449,0)-IF(ISNUMBER(I449),I449,0)))</x:f>
      </x:c>
      <x:c r="V449" s="64" t="str">
        <x:f>IF(OR(P449="",O449="",NOT(ISNUMBER(P449)),NOT(ISNUMBER(O449)),O449&gt;P449),"",P449-O449)</x:f>
      </x:c>
      <x:c r="W449" s="67" t="str">
        <x:f>IF(OR(P449="",P449=0,V449=""),"",V449/P449)</x:f>
      </x:c>
    </x:row>
    <x:row r="450" ht="21" customHeight="1">
      <x:c r="A450" s="54"/>
      <x:c r="B450" s="56"/>
      <x:c r="C450" s="56"/>
      <x:c r="D450" s="54"/>
      <x:c r="E450" s="58"/>
      <x:c r="F450" s="58"/>
      <x:c r="G450" s="58"/>
      <x:c r="H450" s="58"/>
      <x:c r="I450" s="58"/>
      <x:c r="J450" s="60" t="str">
        <x:f>IF(A450="","",IF(K450="Subscription","",IF(E450=0,"",IF(ISNUMBER(G450),G450/E450,IF(ISNUMBER(I450),-ABS(I450)/E450,IF(ISNUMBER(H450),0,IF(AND(ISNUMBER(F450),ISNUMBER(E450),E450&gt;0,F450&gt;E450),(F450-E450)/E450,IF(AND(ISNUMBER(F450),ISNUMBER(E450),E450&gt;0,F450=E450),0,IF(AND(ISNUMBER(F450),ISNUMBER(E450),E450&gt;0,F450=0),-1,"")))))))))</x:f>
      </x:c>
      <x:c r="K450" s="50" t="str">
        <x:f>IF(A450="","",IF(AND(ISNUMBER(E450),E450=0,OR(ISNUMBER(SEARCH("Free",D450&amp;"")),AND(ISNUMBER(F450),F450=0))),"Subscription",IF(ISNUMBER(G450),"Profit",IF(ISNUMBER(I450),"Disqualified",IF(ISNUMBER(H450),"Draw",IF(AND(ISNUMBER(F450),ISNUMBER(E450),E450&gt;0,F450&gt;E450),"Profit",IF(AND(ISNUMBER(F450),ISNUMBER(E450),E450&gt;0,F450=E450),"Draw",IF(AND(ISNUMBER(F450),ISNUMBER(E450),E450&gt;0,F450=0),"Disqualified",""))))))))</x:f>
      </x:c>
      <x:c r="L450" s="50"/>
      <x:c r="M450" s="58"/>
      <x:c r="N450" s="58"/>
      <x:c r="O450" s="62"/>
      <x:c r="P450" s="62"/>
      <x:c r="Q450" s="64" t="str">
        <x:f>IF(OR(B450="",C450="",C450&lt;B450),"",ROUNDUP((C450-B450)/7,0))</x:f>
      </x:c>
      <x:c r="R450" s="50"/>
      <x:c r="S450" s="50"/>
      <x:c r="T450" s="54"/>
      <x:c r="U450" s="66" t="str">
        <x:f>IF(A450="","",IF(K450="Subscription","",IF(ISNUMBER(G450),G450,0)-IF(ISNUMBER(I450),I450,0)))</x:f>
      </x:c>
      <x:c r="V450" s="64" t="str">
        <x:f>IF(OR(P450="",O450="",NOT(ISNUMBER(P450)),NOT(ISNUMBER(O450)),O450&gt;P450),"",P450-O450)</x:f>
      </x:c>
      <x:c r="W450" s="67" t="str">
        <x:f>IF(OR(P450="",P450=0,V450=""),"",V450/P450)</x:f>
      </x:c>
    </x:row>
    <x:row r="451" ht="21" customHeight="1">
      <x:c r="A451" s="54"/>
      <x:c r="B451" s="56"/>
      <x:c r="C451" s="56"/>
      <x:c r="D451" s="54"/>
      <x:c r="E451" s="58"/>
      <x:c r="F451" s="58"/>
      <x:c r="G451" s="58"/>
      <x:c r="H451" s="58"/>
      <x:c r="I451" s="58"/>
      <x:c r="J451" s="60" t="str">
        <x:f>IF(A451="","",IF(K451="Subscription","",IF(E451=0,"",IF(ISNUMBER(G451),G451/E451,IF(ISNUMBER(I451),-ABS(I451)/E451,IF(ISNUMBER(H451),0,IF(AND(ISNUMBER(F451),ISNUMBER(E451),E451&gt;0,F451&gt;E451),(F451-E451)/E451,IF(AND(ISNUMBER(F451),ISNUMBER(E451),E451&gt;0,F451=E451),0,IF(AND(ISNUMBER(F451),ISNUMBER(E451),E451&gt;0,F451=0),-1,"")))))))))</x:f>
      </x:c>
      <x:c r="K451" s="50" t="str">
        <x:f>IF(A451="","",IF(AND(ISNUMBER(E451),E451=0,OR(ISNUMBER(SEARCH("Free",D451&amp;"")),AND(ISNUMBER(F451),F451=0))),"Subscription",IF(ISNUMBER(G451),"Profit",IF(ISNUMBER(I451),"Disqualified",IF(ISNUMBER(H451),"Draw",IF(AND(ISNUMBER(F451),ISNUMBER(E451),E451&gt;0,F451&gt;E451),"Profit",IF(AND(ISNUMBER(F451),ISNUMBER(E451),E451&gt;0,F451=E451),"Draw",IF(AND(ISNUMBER(F451),ISNUMBER(E451),E451&gt;0,F451=0),"Disqualified",""))))))))</x:f>
      </x:c>
      <x:c r="L451" s="50"/>
      <x:c r="M451" s="58"/>
      <x:c r="N451" s="58"/>
      <x:c r="O451" s="62"/>
      <x:c r="P451" s="62"/>
      <x:c r="Q451" s="64" t="str">
        <x:f>IF(OR(B451="",C451="",C451&lt;B451),"",ROUNDUP((C451-B451)/7,0))</x:f>
      </x:c>
      <x:c r="R451" s="50"/>
      <x:c r="S451" s="50"/>
      <x:c r="T451" s="54"/>
      <x:c r="U451" s="66" t="str">
        <x:f>IF(A451="","",IF(K451="Subscription","",IF(ISNUMBER(G451),G451,0)-IF(ISNUMBER(I451),I451,0)))</x:f>
      </x:c>
      <x:c r="V451" s="64" t="str">
        <x:f>IF(OR(P451="",O451="",NOT(ISNUMBER(P451)),NOT(ISNUMBER(O451)),O451&gt;P451),"",P451-O451)</x:f>
      </x:c>
      <x:c r="W451" s="67" t="str">
        <x:f>IF(OR(P451="",P451=0,V451=""),"",V451/P451)</x:f>
      </x:c>
    </x:row>
    <x:row r="452" ht="21" customHeight="1">
      <x:c r="A452" s="54"/>
      <x:c r="B452" s="56"/>
      <x:c r="C452" s="56"/>
      <x:c r="D452" s="54"/>
      <x:c r="E452" s="58"/>
      <x:c r="F452" s="58"/>
      <x:c r="G452" s="58"/>
      <x:c r="H452" s="58"/>
      <x:c r="I452" s="58"/>
      <x:c r="J452" s="60" t="str">
        <x:f>IF(A452="","",IF(K452="Subscription","",IF(E452=0,"",IF(ISNUMBER(G452),G452/E452,IF(ISNUMBER(I452),-ABS(I452)/E452,IF(ISNUMBER(H452),0,IF(AND(ISNUMBER(F452),ISNUMBER(E452),E452&gt;0,F452&gt;E452),(F452-E452)/E452,IF(AND(ISNUMBER(F452),ISNUMBER(E452),E452&gt;0,F452=E452),0,IF(AND(ISNUMBER(F452),ISNUMBER(E452),E452&gt;0,F452=0),-1,"")))))))))</x:f>
      </x:c>
      <x:c r="K452" s="50" t="str">
        <x:f>IF(A452="","",IF(AND(ISNUMBER(E452),E452=0,OR(ISNUMBER(SEARCH("Free",D452&amp;"")),AND(ISNUMBER(F452),F452=0))),"Subscription",IF(ISNUMBER(G452),"Profit",IF(ISNUMBER(I452),"Disqualified",IF(ISNUMBER(H452),"Draw",IF(AND(ISNUMBER(F452),ISNUMBER(E452),E452&gt;0,F452&gt;E452),"Profit",IF(AND(ISNUMBER(F452),ISNUMBER(E452),E452&gt;0,F452=E452),"Draw",IF(AND(ISNUMBER(F452),ISNUMBER(E452),E452&gt;0,F452=0),"Disqualified",""))))))))</x:f>
      </x:c>
      <x:c r="L452" s="50"/>
      <x:c r="M452" s="58"/>
      <x:c r="N452" s="58"/>
      <x:c r="O452" s="62"/>
      <x:c r="P452" s="62"/>
      <x:c r="Q452" s="64" t="str">
        <x:f>IF(OR(B452="",C452="",C452&lt;B452),"",ROUNDUP((C452-B452)/7,0))</x:f>
      </x:c>
      <x:c r="R452" s="50"/>
      <x:c r="S452" s="50"/>
      <x:c r="T452" s="54"/>
      <x:c r="U452" s="66" t="str">
        <x:f>IF(A452="","",IF(K452="Subscription","",IF(ISNUMBER(G452),G452,0)-IF(ISNUMBER(I452),I452,0)))</x:f>
      </x:c>
      <x:c r="V452" s="64" t="str">
        <x:f>IF(OR(P452="",O452="",NOT(ISNUMBER(P452)),NOT(ISNUMBER(O452)),O452&gt;P452),"",P452-O452)</x:f>
      </x:c>
      <x:c r="W452" s="67" t="str">
        <x:f>IF(OR(P452="",P452=0,V452=""),"",V452/P452)</x:f>
      </x:c>
    </x:row>
    <x:row r="453" ht="21" customHeight="1">
      <x:c r="A453" s="54"/>
      <x:c r="B453" s="56"/>
      <x:c r="C453" s="56"/>
      <x:c r="D453" s="54"/>
      <x:c r="E453" s="58"/>
      <x:c r="F453" s="58"/>
      <x:c r="G453" s="58"/>
      <x:c r="H453" s="58"/>
      <x:c r="I453" s="58"/>
      <x:c r="J453" s="60" t="str">
        <x:f>IF(A453="","",IF(K453="Subscription","",IF(E453=0,"",IF(ISNUMBER(G453),G453/E453,IF(ISNUMBER(I453),-ABS(I453)/E453,IF(ISNUMBER(H453),0,IF(AND(ISNUMBER(F453),ISNUMBER(E453),E453&gt;0,F453&gt;E453),(F453-E453)/E453,IF(AND(ISNUMBER(F453),ISNUMBER(E453),E453&gt;0,F453=E453),0,IF(AND(ISNUMBER(F453),ISNUMBER(E453),E453&gt;0,F453=0),-1,"")))))))))</x:f>
      </x:c>
      <x:c r="K453" s="50" t="str">
        <x:f>IF(A453="","",IF(AND(ISNUMBER(E453),E453=0,OR(ISNUMBER(SEARCH("Free",D453&amp;"")),AND(ISNUMBER(F453),F453=0))),"Subscription",IF(ISNUMBER(G453),"Profit",IF(ISNUMBER(I453),"Disqualified",IF(ISNUMBER(H453),"Draw",IF(AND(ISNUMBER(F453),ISNUMBER(E453),E453&gt;0,F453&gt;E453),"Profit",IF(AND(ISNUMBER(F453),ISNUMBER(E453),E453&gt;0,F453=E453),"Draw",IF(AND(ISNUMBER(F453),ISNUMBER(E453),E453&gt;0,F453=0),"Disqualified",""))))))))</x:f>
      </x:c>
      <x:c r="L453" s="50"/>
      <x:c r="M453" s="58"/>
      <x:c r="N453" s="58"/>
      <x:c r="O453" s="62"/>
      <x:c r="P453" s="62"/>
      <x:c r="Q453" s="64" t="str">
        <x:f>IF(OR(B453="",C453="",C453&lt;B453),"",ROUNDUP((C453-B453)/7,0))</x:f>
      </x:c>
      <x:c r="R453" s="50"/>
      <x:c r="S453" s="50"/>
      <x:c r="T453" s="54"/>
      <x:c r="U453" s="66" t="str">
        <x:f>IF(A453="","",IF(K453="Subscription","",IF(ISNUMBER(G453),G453,0)-IF(ISNUMBER(I453),I453,0)))</x:f>
      </x:c>
      <x:c r="V453" s="64" t="str">
        <x:f>IF(OR(P453="",O453="",NOT(ISNUMBER(P453)),NOT(ISNUMBER(O453)),O453&gt;P453),"",P453-O453)</x:f>
      </x:c>
      <x:c r="W453" s="67" t="str">
        <x:f>IF(OR(P453="",P453=0,V453=""),"",V453/P453)</x:f>
      </x:c>
    </x:row>
    <x:row r="454" ht="21" customHeight="1">
      <x:c r="A454" s="54"/>
      <x:c r="B454" s="56"/>
      <x:c r="C454" s="56"/>
      <x:c r="D454" s="54"/>
      <x:c r="E454" s="58"/>
      <x:c r="F454" s="58"/>
      <x:c r="G454" s="58"/>
      <x:c r="H454" s="58"/>
      <x:c r="I454" s="58"/>
      <x:c r="J454" s="60" t="str">
        <x:f>IF(A454="","",IF(K454="Subscription","",IF(E454=0,"",IF(ISNUMBER(G454),G454/E454,IF(ISNUMBER(I454),-ABS(I454)/E454,IF(ISNUMBER(H454),0,IF(AND(ISNUMBER(F454),ISNUMBER(E454),E454&gt;0,F454&gt;E454),(F454-E454)/E454,IF(AND(ISNUMBER(F454),ISNUMBER(E454),E454&gt;0,F454=E454),0,IF(AND(ISNUMBER(F454),ISNUMBER(E454),E454&gt;0,F454=0),-1,"")))))))))</x:f>
      </x:c>
      <x:c r="K454" s="50" t="str">
        <x:f>IF(A454="","",IF(AND(ISNUMBER(E454),E454=0,OR(ISNUMBER(SEARCH("Free",D454&amp;"")),AND(ISNUMBER(F454),F454=0))),"Subscription",IF(ISNUMBER(G454),"Profit",IF(ISNUMBER(I454),"Disqualified",IF(ISNUMBER(H454),"Draw",IF(AND(ISNUMBER(F454),ISNUMBER(E454),E454&gt;0,F454&gt;E454),"Profit",IF(AND(ISNUMBER(F454),ISNUMBER(E454),E454&gt;0,F454=E454),"Draw",IF(AND(ISNUMBER(F454),ISNUMBER(E454),E454&gt;0,F454=0),"Disqualified",""))))))))</x:f>
      </x:c>
      <x:c r="L454" s="50"/>
      <x:c r="M454" s="58"/>
      <x:c r="N454" s="58"/>
      <x:c r="O454" s="62"/>
      <x:c r="P454" s="62"/>
      <x:c r="Q454" s="64" t="str">
        <x:f>IF(OR(B454="",C454="",C454&lt;B454),"",ROUNDUP((C454-B454)/7,0))</x:f>
      </x:c>
      <x:c r="R454" s="50"/>
      <x:c r="S454" s="50"/>
      <x:c r="T454" s="54"/>
      <x:c r="U454" s="66" t="str">
        <x:f>IF(A454="","",IF(K454="Subscription","",IF(ISNUMBER(G454),G454,0)-IF(ISNUMBER(I454),I454,0)))</x:f>
      </x:c>
      <x:c r="V454" s="64" t="str">
        <x:f>IF(OR(P454="",O454="",NOT(ISNUMBER(P454)),NOT(ISNUMBER(O454)),O454&gt;P454),"",P454-O454)</x:f>
      </x:c>
      <x:c r="W454" s="67" t="str">
        <x:f>IF(OR(P454="",P454=0,V454=""),"",V454/P454)</x:f>
      </x:c>
    </x:row>
    <x:row r="455" ht="21" customHeight="1">
      <x:c r="A455" s="54"/>
      <x:c r="B455" s="56"/>
      <x:c r="C455" s="56"/>
      <x:c r="D455" s="54"/>
      <x:c r="E455" s="58"/>
      <x:c r="F455" s="58"/>
      <x:c r="G455" s="58"/>
      <x:c r="H455" s="58"/>
      <x:c r="I455" s="58"/>
      <x:c r="J455" s="60" t="str">
        <x:f>IF(A455="","",IF(K455="Subscription","",IF(E455=0,"",IF(ISNUMBER(G455),G455/E455,IF(ISNUMBER(I455),-ABS(I455)/E455,IF(ISNUMBER(H455),0,IF(AND(ISNUMBER(F455),ISNUMBER(E455),E455&gt;0,F455&gt;E455),(F455-E455)/E455,IF(AND(ISNUMBER(F455),ISNUMBER(E455),E455&gt;0,F455=E455),0,IF(AND(ISNUMBER(F455),ISNUMBER(E455),E455&gt;0,F455=0),-1,"")))))))))</x:f>
      </x:c>
      <x:c r="K455" s="50" t="str">
        <x:f>IF(A455="","",IF(AND(ISNUMBER(E455),E455=0,OR(ISNUMBER(SEARCH("Free",D455&amp;"")),AND(ISNUMBER(F455),F455=0))),"Subscription",IF(ISNUMBER(G455),"Profit",IF(ISNUMBER(I455),"Disqualified",IF(ISNUMBER(H455),"Draw",IF(AND(ISNUMBER(F455),ISNUMBER(E455),E455&gt;0,F455&gt;E455),"Profit",IF(AND(ISNUMBER(F455),ISNUMBER(E455),E455&gt;0,F455=E455),"Draw",IF(AND(ISNUMBER(F455),ISNUMBER(E455),E455&gt;0,F455=0),"Disqualified",""))))))))</x:f>
      </x:c>
      <x:c r="L455" s="50"/>
      <x:c r="M455" s="58"/>
      <x:c r="N455" s="58"/>
      <x:c r="O455" s="62"/>
      <x:c r="P455" s="62"/>
      <x:c r="Q455" s="64" t="str">
        <x:f>IF(OR(B455="",C455="",C455&lt;B455),"",ROUNDUP((C455-B455)/7,0))</x:f>
      </x:c>
      <x:c r="R455" s="50"/>
      <x:c r="S455" s="50"/>
      <x:c r="T455" s="54"/>
      <x:c r="U455" s="66" t="str">
        <x:f>IF(A455="","",IF(K455="Subscription","",IF(ISNUMBER(G455),G455,0)-IF(ISNUMBER(I455),I455,0)))</x:f>
      </x:c>
      <x:c r="V455" s="64" t="str">
        <x:f>IF(OR(P455="",O455="",NOT(ISNUMBER(P455)),NOT(ISNUMBER(O455)),O455&gt;P455),"",P455-O455)</x:f>
      </x:c>
      <x:c r="W455" s="67" t="str">
        <x:f>IF(OR(P455="",P455=0,V455=""),"",V455/P455)</x:f>
      </x:c>
    </x:row>
    <x:row r="456" ht="21" customHeight="1">
      <x:c r="A456" s="54"/>
      <x:c r="B456" s="56"/>
      <x:c r="C456" s="56"/>
      <x:c r="D456" s="54"/>
      <x:c r="E456" s="58"/>
      <x:c r="F456" s="58"/>
      <x:c r="G456" s="58"/>
      <x:c r="H456" s="58"/>
      <x:c r="I456" s="58"/>
      <x:c r="J456" s="60" t="str">
        <x:f>IF(A456="","",IF(K456="Subscription","",IF(E456=0,"",IF(ISNUMBER(G456),G456/E456,IF(ISNUMBER(I456),-ABS(I456)/E456,IF(ISNUMBER(H456),0,IF(AND(ISNUMBER(F456),ISNUMBER(E456),E456&gt;0,F456&gt;E456),(F456-E456)/E456,IF(AND(ISNUMBER(F456),ISNUMBER(E456),E456&gt;0,F456=E456),0,IF(AND(ISNUMBER(F456),ISNUMBER(E456),E456&gt;0,F456=0),-1,"")))))))))</x:f>
      </x:c>
      <x:c r="K456" s="50" t="str">
        <x:f>IF(A456="","",IF(AND(ISNUMBER(E456),E456=0,OR(ISNUMBER(SEARCH("Free",D456&amp;"")),AND(ISNUMBER(F456),F456=0))),"Subscription",IF(ISNUMBER(G456),"Profit",IF(ISNUMBER(I456),"Disqualified",IF(ISNUMBER(H456),"Draw",IF(AND(ISNUMBER(F456),ISNUMBER(E456),E456&gt;0,F456&gt;E456),"Profit",IF(AND(ISNUMBER(F456),ISNUMBER(E456),E456&gt;0,F456=E456),"Draw",IF(AND(ISNUMBER(F456),ISNUMBER(E456),E456&gt;0,F456=0),"Disqualified",""))))))))</x:f>
      </x:c>
      <x:c r="L456" s="50"/>
      <x:c r="M456" s="58"/>
      <x:c r="N456" s="58"/>
      <x:c r="O456" s="62"/>
      <x:c r="P456" s="62"/>
      <x:c r="Q456" s="64" t="str">
        <x:f>IF(OR(B456="",C456="",C456&lt;B456),"",ROUNDUP((C456-B456)/7,0))</x:f>
      </x:c>
      <x:c r="R456" s="50"/>
      <x:c r="S456" s="50"/>
      <x:c r="T456" s="54"/>
      <x:c r="U456" s="66" t="str">
        <x:f>IF(A456="","",IF(K456="Subscription","",IF(ISNUMBER(G456),G456,0)-IF(ISNUMBER(I456),I456,0)))</x:f>
      </x:c>
      <x:c r="V456" s="64" t="str">
        <x:f>IF(OR(P456="",O456="",NOT(ISNUMBER(P456)),NOT(ISNUMBER(O456)),O456&gt;P456),"",P456-O456)</x:f>
      </x:c>
      <x:c r="W456" s="67" t="str">
        <x:f>IF(OR(P456="",P456=0,V456=""),"",V456/P456)</x:f>
      </x:c>
    </x:row>
    <x:row r="457" ht="21" customHeight="1">
      <x:c r="A457" s="54"/>
      <x:c r="B457" s="56"/>
      <x:c r="C457" s="56"/>
      <x:c r="D457" s="54"/>
      <x:c r="E457" s="58"/>
      <x:c r="F457" s="58"/>
      <x:c r="G457" s="58"/>
      <x:c r="H457" s="58"/>
      <x:c r="I457" s="58"/>
      <x:c r="J457" s="60" t="str">
        <x:f>IF(A457="","",IF(K457="Subscription","",IF(E457=0,"",IF(ISNUMBER(G457),G457/E457,IF(ISNUMBER(I457),-ABS(I457)/E457,IF(ISNUMBER(H457),0,IF(AND(ISNUMBER(F457),ISNUMBER(E457),E457&gt;0,F457&gt;E457),(F457-E457)/E457,IF(AND(ISNUMBER(F457),ISNUMBER(E457),E457&gt;0,F457=E457),0,IF(AND(ISNUMBER(F457),ISNUMBER(E457),E457&gt;0,F457=0),-1,"")))))))))</x:f>
      </x:c>
      <x:c r="K457" s="50" t="str">
        <x:f>IF(A457="","",IF(AND(ISNUMBER(E457),E457=0,OR(ISNUMBER(SEARCH("Free",D457&amp;"")),AND(ISNUMBER(F457),F457=0))),"Subscription",IF(ISNUMBER(G457),"Profit",IF(ISNUMBER(I457),"Disqualified",IF(ISNUMBER(H457),"Draw",IF(AND(ISNUMBER(F457),ISNUMBER(E457),E457&gt;0,F457&gt;E457),"Profit",IF(AND(ISNUMBER(F457),ISNUMBER(E457),E457&gt;0,F457=E457),"Draw",IF(AND(ISNUMBER(F457),ISNUMBER(E457),E457&gt;0,F457=0),"Disqualified",""))))))))</x:f>
      </x:c>
      <x:c r="L457" s="50"/>
      <x:c r="M457" s="58"/>
      <x:c r="N457" s="58"/>
      <x:c r="O457" s="62"/>
      <x:c r="P457" s="62"/>
      <x:c r="Q457" s="64" t="str">
        <x:f>IF(OR(B457="",C457="",C457&lt;B457),"",ROUNDUP((C457-B457)/7,0))</x:f>
      </x:c>
      <x:c r="R457" s="50"/>
      <x:c r="S457" s="50"/>
      <x:c r="T457" s="54"/>
      <x:c r="U457" s="66" t="str">
        <x:f>IF(A457="","",IF(K457="Subscription","",IF(ISNUMBER(G457),G457,0)-IF(ISNUMBER(I457),I457,0)))</x:f>
      </x:c>
      <x:c r="V457" s="64" t="str">
        <x:f>IF(OR(P457="",O457="",NOT(ISNUMBER(P457)),NOT(ISNUMBER(O457)),O457&gt;P457),"",P457-O457)</x:f>
      </x:c>
      <x:c r="W457" s="67" t="str">
        <x:f>IF(OR(P457="",P457=0,V457=""),"",V457/P457)</x:f>
      </x:c>
    </x:row>
    <x:row r="458" ht="21" customHeight="1">
      <x:c r="A458" s="54"/>
      <x:c r="B458" s="56"/>
      <x:c r="C458" s="56"/>
      <x:c r="D458" s="54"/>
      <x:c r="E458" s="58"/>
      <x:c r="F458" s="58"/>
      <x:c r="G458" s="58"/>
      <x:c r="H458" s="58"/>
      <x:c r="I458" s="58"/>
      <x:c r="J458" s="60" t="str">
        <x:f>IF(A458="","",IF(K458="Subscription","",IF(E458=0,"",IF(ISNUMBER(G458),G458/E458,IF(ISNUMBER(I458),-ABS(I458)/E458,IF(ISNUMBER(H458),0,IF(AND(ISNUMBER(F458),ISNUMBER(E458),E458&gt;0,F458&gt;E458),(F458-E458)/E458,IF(AND(ISNUMBER(F458),ISNUMBER(E458),E458&gt;0,F458=E458),0,IF(AND(ISNUMBER(F458),ISNUMBER(E458),E458&gt;0,F458=0),-1,"")))))))))</x:f>
      </x:c>
      <x:c r="K458" s="50" t="str">
        <x:f>IF(A458="","",IF(AND(ISNUMBER(E458),E458=0,OR(ISNUMBER(SEARCH("Free",D458&amp;"")),AND(ISNUMBER(F458),F458=0))),"Subscription",IF(ISNUMBER(G458),"Profit",IF(ISNUMBER(I458),"Disqualified",IF(ISNUMBER(H458),"Draw",IF(AND(ISNUMBER(F458),ISNUMBER(E458),E458&gt;0,F458&gt;E458),"Profit",IF(AND(ISNUMBER(F458),ISNUMBER(E458),E458&gt;0,F458=E458),"Draw",IF(AND(ISNUMBER(F458),ISNUMBER(E458),E458&gt;0,F458=0),"Disqualified",""))))))))</x:f>
      </x:c>
      <x:c r="L458" s="50"/>
      <x:c r="M458" s="58"/>
      <x:c r="N458" s="58"/>
      <x:c r="O458" s="62"/>
      <x:c r="P458" s="62"/>
      <x:c r="Q458" s="64" t="str">
        <x:f>IF(OR(B458="",C458="",C458&lt;B458),"",ROUNDUP((C458-B458)/7,0))</x:f>
      </x:c>
      <x:c r="R458" s="50"/>
      <x:c r="S458" s="50"/>
      <x:c r="T458" s="54"/>
      <x:c r="U458" s="66" t="str">
        <x:f>IF(A458="","",IF(K458="Subscription","",IF(ISNUMBER(G458),G458,0)-IF(ISNUMBER(I458),I458,0)))</x:f>
      </x:c>
      <x:c r="V458" s="64" t="str">
        <x:f>IF(OR(P458="",O458="",NOT(ISNUMBER(P458)),NOT(ISNUMBER(O458)),O458&gt;P458),"",P458-O458)</x:f>
      </x:c>
      <x:c r="W458" s="67" t="str">
        <x:f>IF(OR(P458="",P458=0,V458=""),"",V458/P458)</x:f>
      </x:c>
    </x:row>
    <x:row r="459" ht="21" customHeight="1">
      <x:c r="A459" s="54"/>
      <x:c r="B459" s="56"/>
      <x:c r="C459" s="56"/>
      <x:c r="D459" s="54"/>
      <x:c r="E459" s="58"/>
      <x:c r="F459" s="58"/>
      <x:c r="G459" s="58"/>
      <x:c r="H459" s="58"/>
      <x:c r="I459" s="58"/>
      <x:c r="J459" s="60" t="str">
        <x:f>IF(A459="","",IF(K459="Subscription","",IF(E459=0,"",IF(ISNUMBER(G459),G459/E459,IF(ISNUMBER(I459),-ABS(I459)/E459,IF(ISNUMBER(H459),0,IF(AND(ISNUMBER(F459),ISNUMBER(E459),E459&gt;0,F459&gt;E459),(F459-E459)/E459,IF(AND(ISNUMBER(F459),ISNUMBER(E459),E459&gt;0,F459=E459),0,IF(AND(ISNUMBER(F459),ISNUMBER(E459),E459&gt;0,F459=0),-1,"")))))))))</x:f>
      </x:c>
      <x:c r="K459" s="50" t="str">
        <x:f>IF(A459="","",IF(AND(ISNUMBER(E459),E459=0,OR(ISNUMBER(SEARCH("Free",D459&amp;"")),AND(ISNUMBER(F459),F459=0))),"Subscription",IF(ISNUMBER(G459),"Profit",IF(ISNUMBER(I459),"Disqualified",IF(ISNUMBER(H459),"Draw",IF(AND(ISNUMBER(F459),ISNUMBER(E459),E459&gt;0,F459&gt;E459),"Profit",IF(AND(ISNUMBER(F459),ISNUMBER(E459),E459&gt;0,F459=E459),"Draw",IF(AND(ISNUMBER(F459),ISNUMBER(E459),E459&gt;0,F459=0),"Disqualified",""))))))))</x:f>
      </x:c>
      <x:c r="L459" s="50"/>
      <x:c r="M459" s="58"/>
      <x:c r="N459" s="58"/>
      <x:c r="O459" s="62"/>
      <x:c r="P459" s="62"/>
      <x:c r="Q459" s="64" t="str">
        <x:f>IF(OR(B459="",C459="",C459&lt;B459),"",ROUNDUP((C459-B459)/7,0))</x:f>
      </x:c>
      <x:c r="R459" s="50"/>
      <x:c r="S459" s="50"/>
      <x:c r="T459" s="54"/>
      <x:c r="U459" s="66" t="str">
        <x:f>IF(A459="","",IF(K459="Subscription","",IF(ISNUMBER(G459),G459,0)-IF(ISNUMBER(I459),I459,0)))</x:f>
      </x:c>
      <x:c r="V459" s="64" t="str">
        <x:f>IF(OR(P459="",O459="",NOT(ISNUMBER(P459)),NOT(ISNUMBER(O459)),O459&gt;P459),"",P459-O459)</x:f>
      </x:c>
      <x:c r="W459" s="67" t="str">
        <x:f>IF(OR(P459="",P459=0,V459=""),"",V459/P459)</x:f>
      </x:c>
    </x:row>
    <x:row r="460" ht="21" customHeight="1">
      <x:c r="A460" s="54"/>
      <x:c r="B460" s="56"/>
      <x:c r="C460" s="56"/>
      <x:c r="D460" s="54"/>
      <x:c r="E460" s="58"/>
      <x:c r="F460" s="58"/>
      <x:c r="G460" s="58"/>
      <x:c r="H460" s="58"/>
      <x:c r="I460" s="58"/>
      <x:c r="J460" s="60" t="str">
        <x:f>IF(A460="","",IF(K460="Subscription","",IF(E460=0,"",IF(ISNUMBER(G460),G460/E460,IF(ISNUMBER(I460),-ABS(I460)/E460,IF(ISNUMBER(H460),0,IF(AND(ISNUMBER(F460),ISNUMBER(E460),E460&gt;0,F460&gt;E460),(F460-E460)/E460,IF(AND(ISNUMBER(F460),ISNUMBER(E460),E460&gt;0,F460=E460),0,IF(AND(ISNUMBER(F460),ISNUMBER(E460),E460&gt;0,F460=0),-1,"")))))))))</x:f>
      </x:c>
      <x:c r="K460" s="50" t="str">
        <x:f>IF(A460="","",IF(AND(ISNUMBER(E460),E460=0,OR(ISNUMBER(SEARCH("Free",D460&amp;"")),AND(ISNUMBER(F460),F460=0))),"Subscription",IF(ISNUMBER(G460),"Profit",IF(ISNUMBER(I460),"Disqualified",IF(ISNUMBER(H460),"Draw",IF(AND(ISNUMBER(F460),ISNUMBER(E460),E460&gt;0,F460&gt;E460),"Profit",IF(AND(ISNUMBER(F460),ISNUMBER(E460),E460&gt;0,F460=E460),"Draw",IF(AND(ISNUMBER(F460),ISNUMBER(E460),E460&gt;0,F460=0),"Disqualified",""))))))))</x:f>
      </x:c>
      <x:c r="L460" s="50"/>
      <x:c r="M460" s="58"/>
      <x:c r="N460" s="58"/>
      <x:c r="O460" s="62"/>
      <x:c r="P460" s="62"/>
      <x:c r="Q460" s="64" t="str">
        <x:f>IF(OR(B460="",C460="",C460&lt;B460),"",ROUNDUP((C460-B460)/7,0))</x:f>
      </x:c>
      <x:c r="R460" s="50"/>
      <x:c r="S460" s="50"/>
      <x:c r="T460" s="54"/>
      <x:c r="U460" s="66" t="str">
        <x:f>IF(A460="","",IF(K460="Subscription","",IF(ISNUMBER(G460),G460,0)-IF(ISNUMBER(I460),I460,0)))</x:f>
      </x:c>
      <x:c r="V460" s="64" t="str">
        <x:f>IF(OR(P460="",O460="",NOT(ISNUMBER(P460)),NOT(ISNUMBER(O460)),O460&gt;P460),"",P460-O460)</x:f>
      </x:c>
      <x:c r="W460" s="67" t="str">
        <x:f>IF(OR(P460="",P460=0,V460=""),"",V460/P460)</x:f>
      </x:c>
    </x:row>
    <x:row r="461" ht="21" customHeight="1">
      <x:c r="A461" s="54"/>
      <x:c r="B461" s="56"/>
      <x:c r="C461" s="56"/>
      <x:c r="D461" s="54"/>
      <x:c r="E461" s="58"/>
      <x:c r="F461" s="58"/>
      <x:c r="G461" s="58"/>
      <x:c r="H461" s="58"/>
      <x:c r="I461" s="58"/>
      <x:c r="J461" s="60" t="str">
        <x:f>IF(A461="","",IF(K461="Subscription","",IF(E461=0,"",IF(ISNUMBER(G461),G461/E461,IF(ISNUMBER(I461),-ABS(I461)/E461,IF(ISNUMBER(H461),0,IF(AND(ISNUMBER(F461),ISNUMBER(E461),E461&gt;0,F461&gt;E461),(F461-E461)/E461,IF(AND(ISNUMBER(F461),ISNUMBER(E461),E461&gt;0,F461=E461),0,IF(AND(ISNUMBER(F461),ISNUMBER(E461),E461&gt;0,F461=0),-1,"")))))))))</x:f>
      </x:c>
      <x:c r="K461" s="50" t="str">
        <x:f>IF(A461="","",IF(AND(ISNUMBER(E461),E461=0,OR(ISNUMBER(SEARCH("Free",D461&amp;"")),AND(ISNUMBER(F461),F461=0))),"Subscription",IF(ISNUMBER(G461),"Profit",IF(ISNUMBER(I461),"Disqualified",IF(ISNUMBER(H461),"Draw",IF(AND(ISNUMBER(F461),ISNUMBER(E461),E461&gt;0,F461&gt;E461),"Profit",IF(AND(ISNUMBER(F461),ISNUMBER(E461),E461&gt;0,F461=E461),"Draw",IF(AND(ISNUMBER(F461),ISNUMBER(E461),E461&gt;0,F461=0),"Disqualified",""))))))))</x:f>
      </x:c>
      <x:c r="L461" s="50"/>
      <x:c r="M461" s="58"/>
      <x:c r="N461" s="58"/>
      <x:c r="O461" s="62"/>
      <x:c r="P461" s="62"/>
      <x:c r="Q461" s="64" t="str">
        <x:f>IF(OR(B461="",C461="",C461&lt;B461),"",ROUNDUP((C461-B461)/7,0))</x:f>
      </x:c>
      <x:c r="R461" s="50"/>
      <x:c r="S461" s="50"/>
      <x:c r="T461" s="54"/>
      <x:c r="U461" s="66" t="str">
        <x:f>IF(A461="","",IF(K461="Subscription","",IF(ISNUMBER(G461),G461,0)-IF(ISNUMBER(I461),I461,0)))</x:f>
      </x:c>
      <x:c r="V461" s="64" t="str">
        <x:f>IF(OR(P461="",O461="",NOT(ISNUMBER(P461)),NOT(ISNUMBER(O461)),O461&gt;P461),"",P461-O461)</x:f>
      </x:c>
      <x:c r="W461" s="67" t="str">
        <x:f>IF(OR(P461="",P461=0,V461=""),"",V461/P461)</x:f>
      </x:c>
    </x:row>
    <x:row r="462" ht="21" customHeight="1">
      <x:c r="A462" s="54"/>
      <x:c r="B462" s="56"/>
      <x:c r="C462" s="56"/>
      <x:c r="D462" s="54"/>
      <x:c r="E462" s="58"/>
      <x:c r="F462" s="58"/>
      <x:c r="G462" s="58"/>
      <x:c r="H462" s="58"/>
      <x:c r="I462" s="58"/>
      <x:c r="J462" s="60" t="str">
        <x:f>IF(A462="","",IF(K462="Subscription","",IF(E462=0,"",IF(ISNUMBER(G462),G462/E462,IF(ISNUMBER(I462),-ABS(I462)/E462,IF(ISNUMBER(H462),0,IF(AND(ISNUMBER(F462),ISNUMBER(E462),E462&gt;0,F462&gt;E462),(F462-E462)/E462,IF(AND(ISNUMBER(F462),ISNUMBER(E462),E462&gt;0,F462=E462),0,IF(AND(ISNUMBER(F462),ISNUMBER(E462),E462&gt;0,F462=0),-1,"")))))))))</x:f>
      </x:c>
      <x:c r="K462" s="50" t="str">
        <x:f>IF(A462="","",IF(AND(ISNUMBER(E462),E462=0,OR(ISNUMBER(SEARCH("Free",D462&amp;"")),AND(ISNUMBER(F462),F462=0))),"Subscription",IF(ISNUMBER(G462),"Profit",IF(ISNUMBER(I462),"Disqualified",IF(ISNUMBER(H462),"Draw",IF(AND(ISNUMBER(F462),ISNUMBER(E462),E462&gt;0,F462&gt;E462),"Profit",IF(AND(ISNUMBER(F462),ISNUMBER(E462),E462&gt;0,F462=E462),"Draw",IF(AND(ISNUMBER(F462),ISNUMBER(E462),E462&gt;0,F462=0),"Disqualified",""))))))))</x:f>
      </x:c>
      <x:c r="L462" s="50"/>
      <x:c r="M462" s="58"/>
      <x:c r="N462" s="58"/>
      <x:c r="O462" s="62"/>
      <x:c r="P462" s="62"/>
      <x:c r="Q462" s="64" t="str">
        <x:f>IF(OR(B462="",C462="",C462&lt;B462),"",ROUNDUP((C462-B462)/7,0))</x:f>
      </x:c>
      <x:c r="R462" s="50"/>
      <x:c r="S462" s="50"/>
      <x:c r="T462" s="54"/>
      <x:c r="U462" s="66" t="str">
        <x:f>IF(A462="","",IF(K462="Subscription","",IF(ISNUMBER(G462),G462,0)-IF(ISNUMBER(I462),I462,0)))</x:f>
      </x:c>
      <x:c r="V462" s="64" t="str">
        <x:f>IF(OR(P462="",O462="",NOT(ISNUMBER(P462)),NOT(ISNUMBER(O462)),O462&gt;P462),"",P462-O462)</x:f>
      </x:c>
      <x:c r="W462" s="67" t="str">
        <x:f>IF(OR(P462="",P462=0,V462=""),"",V462/P462)</x:f>
      </x:c>
    </x:row>
    <x:row r="463" ht="21" customHeight="1">
      <x:c r="A463" s="54"/>
      <x:c r="B463" s="56"/>
      <x:c r="C463" s="56"/>
      <x:c r="D463" s="54"/>
      <x:c r="E463" s="58"/>
      <x:c r="F463" s="58"/>
      <x:c r="G463" s="58"/>
      <x:c r="H463" s="58"/>
      <x:c r="I463" s="58"/>
      <x:c r="J463" s="60" t="str">
        <x:f>IF(A463="","",IF(K463="Subscription","",IF(E463=0,"",IF(ISNUMBER(G463),G463/E463,IF(ISNUMBER(I463),-ABS(I463)/E463,IF(ISNUMBER(H463),0,IF(AND(ISNUMBER(F463),ISNUMBER(E463),E463&gt;0,F463&gt;E463),(F463-E463)/E463,IF(AND(ISNUMBER(F463),ISNUMBER(E463),E463&gt;0,F463=E463),0,IF(AND(ISNUMBER(F463),ISNUMBER(E463),E463&gt;0,F463=0),-1,"")))))))))</x:f>
      </x:c>
      <x:c r="K463" s="50" t="str">
        <x:f>IF(A463="","",IF(AND(ISNUMBER(E463),E463=0,OR(ISNUMBER(SEARCH("Free",D463&amp;"")),AND(ISNUMBER(F463),F463=0))),"Subscription",IF(ISNUMBER(G463),"Profit",IF(ISNUMBER(I463),"Disqualified",IF(ISNUMBER(H463),"Draw",IF(AND(ISNUMBER(F463),ISNUMBER(E463),E463&gt;0,F463&gt;E463),"Profit",IF(AND(ISNUMBER(F463),ISNUMBER(E463),E463&gt;0,F463=E463),"Draw",IF(AND(ISNUMBER(F463),ISNUMBER(E463),E463&gt;0,F463=0),"Disqualified",""))))))))</x:f>
      </x:c>
      <x:c r="L463" s="50"/>
      <x:c r="M463" s="58"/>
      <x:c r="N463" s="58"/>
      <x:c r="O463" s="62"/>
      <x:c r="P463" s="62"/>
      <x:c r="Q463" s="64" t="str">
        <x:f>IF(OR(B463="",C463="",C463&lt;B463),"",ROUNDUP((C463-B463)/7,0))</x:f>
      </x:c>
      <x:c r="R463" s="50"/>
      <x:c r="S463" s="50"/>
      <x:c r="T463" s="54"/>
      <x:c r="U463" s="66" t="str">
        <x:f>IF(A463="","",IF(K463="Subscription","",IF(ISNUMBER(G463),G463,0)-IF(ISNUMBER(I463),I463,0)))</x:f>
      </x:c>
      <x:c r="V463" s="64" t="str">
        <x:f>IF(OR(P463="",O463="",NOT(ISNUMBER(P463)),NOT(ISNUMBER(O463)),O463&gt;P463),"",P463-O463)</x:f>
      </x:c>
      <x:c r="W463" s="67" t="str">
        <x:f>IF(OR(P463="",P463=0,V463=""),"",V463/P463)</x:f>
      </x:c>
    </x:row>
    <x:row r="464" ht="21" customHeight="1">
      <x:c r="A464" s="54"/>
      <x:c r="B464" s="56"/>
      <x:c r="C464" s="56"/>
      <x:c r="D464" s="54"/>
      <x:c r="E464" s="58"/>
      <x:c r="F464" s="58"/>
      <x:c r="G464" s="58"/>
      <x:c r="H464" s="58"/>
      <x:c r="I464" s="58"/>
      <x:c r="J464" s="60" t="str">
        <x:f>IF(A464="","",IF(K464="Subscription","",IF(E464=0,"",IF(ISNUMBER(G464),G464/E464,IF(ISNUMBER(I464),-ABS(I464)/E464,IF(ISNUMBER(H464),0,IF(AND(ISNUMBER(F464),ISNUMBER(E464),E464&gt;0,F464&gt;E464),(F464-E464)/E464,IF(AND(ISNUMBER(F464),ISNUMBER(E464),E464&gt;0,F464=E464),0,IF(AND(ISNUMBER(F464),ISNUMBER(E464),E464&gt;0,F464=0),-1,"")))))))))</x:f>
      </x:c>
      <x:c r="K464" s="50" t="str">
        <x:f>IF(A464="","",IF(AND(ISNUMBER(E464),E464=0,OR(ISNUMBER(SEARCH("Free",D464&amp;"")),AND(ISNUMBER(F464),F464=0))),"Subscription",IF(ISNUMBER(G464),"Profit",IF(ISNUMBER(I464),"Disqualified",IF(ISNUMBER(H464),"Draw",IF(AND(ISNUMBER(F464),ISNUMBER(E464),E464&gt;0,F464&gt;E464),"Profit",IF(AND(ISNUMBER(F464),ISNUMBER(E464),E464&gt;0,F464=E464),"Draw",IF(AND(ISNUMBER(F464),ISNUMBER(E464),E464&gt;0,F464=0),"Disqualified",""))))))))</x:f>
      </x:c>
      <x:c r="L464" s="50"/>
      <x:c r="M464" s="58"/>
      <x:c r="N464" s="58"/>
      <x:c r="O464" s="62"/>
      <x:c r="P464" s="62"/>
      <x:c r="Q464" s="64" t="str">
        <x:f>IF(OR(B464="",C464="",C464&lt;B464),"",ROUNDUP((C464-B464)/7,0))</x:f>
      </x:c>
      <x:c r="R464" s="50"/>
      <x:c r="S464" s="50"/>
      <x:c r="T464" s="54"/>
      <x:c r="U464" s="66" t="str">
        <x:f>IF(A464="","",IF(K464="Subscription","",IF(ISNUMBER(G464),G464,0)-IF(ISNUMBER(I464),I464,0)))</x:f>
      </x:c>
      <x:c r="V464" s="64" t="str">
        <x:f>IF(OR(P464="",O464="",NOT(ISNUMBER(P464)),NOT(ISNUMBER(O464)),O464&gt;P464),"",P464-O464)</x:f>
      </x:c>
      <x:c r="W464" s="67" t="str">
        <x:f>IF(OR(P464="",P464=0,V464=""),"",V464/P464)</x:f>
      </x:c>
    </x:row>
    <x:row r="465" ht="21" customHeight="1">
      <x:c r="A465" s="54"/>
      <x:c r="B465" s="56"/>
      <x:c r="C465" s="56"/>
      <x:c r="D465" s="54"/>
      <x:c r="E465" s="58"/>
      <x:c r="F465" s="58"/>
      <x:c r="G465" s="58"/>
      <x:c r="H465" s="58"/>
      <x:c r="I465" s="58"/>
      <x:c r="J465" s="60" t="str">
        <x:f>IF(A465="","",IF(K465="Subscription","",IF(E465=0,"",IF(ISNUMBER(G465),G465/E465,IF(ISNUMBER(I465),-ABS(I465)/E465,IF(ISNUMBER(H465),0,IF(AND(ISNUMBER(F465),ISNUMBER(E465),E465&gt;0,F465&gt;E465),(F465-E465)/E465,IF(AND(ISNUMBER(F465),ISNUMBER(E465),E465&gt;0,F465=E465),0,IF(AND(ISNUMBER(F465),ISNUMBER(E465),E465&gt;0,F465=0),-1,"")))))))))</x:f>
      </x:c>
      <x:c r="K465" s="50" t="str">
        <x:f>IF(A465="","",IF(AND(ISNUMBER(E465),E465=0,OR(ISNUMBER(SEARCH("Free",D465&amp;"")),AND(ISNUMBER(F465),F465=0))),"Subscription",IF(ISNUMBER(G465),"Profit",IF(ISNUMBER(I465),"Disqualified",IF(ISNUMBER(H465),"Draw",IF(AND(ISNUMBER(F465),ISNUMBER(E465),E465&gt;0,F465&gt;E465),"Profit",IF(AND(ISNUMBER(F465),ISNUMBER(E465),E465&gt;0,F465=E465),"Draw",IF(AND(ISNUMBER(F465),ISNUMBER(E465),E465&gt;0,F465=0),"Disqualified",""))))))))</x:f>
      </x:c>
      <x:c r="L465" s="50"/>
      <x:c r="M465" s="58"/>
      <x:c r="N465" s="58"/>
      <x:c r="O465" s="62"/>
      <x:c r="P465" s="62"/>
      <x:c r="Q465" s="64" t="str">
        <x:f>IF(OR(B465="",C465="",C465&lt;B465),"",ROUNDUP((C465-B465)/7,0))</x:f>
      </x:c>
      <x:c r="R465" s="50"/>
      <x:c r="S465" s="50"/>
      <x:c r="T465" s="54"/>
      <x:c r="U465" s="66" t="str">
        <x:f>IF(A465="","",IF(K465="Subscription","",IF(ISNUMBER(G465),G465,0)-IF(ISNUMBER(I465),I465,0)))</x:f>
      </x:c>
      <x:c r="V465" s="64" t="str">
        <x:f>IF(OR(P465="",O465="",NOT(ISNUMBER(P465)),NOT(ISNUMBER(O465)),O465&gt;P465),"",P465-O465)</x:f>
      </x:c>
      <x:c r="W465" s="67" t="str">
        <x:f>IF(OR(P465="",P465=0,V465=""),"",V465/P465)</x:f>
      </x:c>
    </x:row>
    <x:row r="466" ht="21" customHeight="1">
      <x:c r="A466" s="54"/>
      <x:c r="B466" s="56"/>
      <x:c r="C466" s="56"/>
      <x:c r="D466" s="54"/>
      <x:c r="E466" s="58"/>
      <x:c r="F466" s="58"/>
      <x:c r="G466" s="58"/>
      <x:c r="H466" s="58"/>
      <x:c r="I466" s="58"/>
      <x:c r="J466" s="60" t="str">
        <x:f>IF(A466="","",IF(K466="Subscription","",IF(E466=0,"",IF(ISNUMBER(G466),G466/E466,IF(ISNUMBER(I466),-ABS(I466)/E466,IF(ISNUMBER(H466),0,IF(AND(ISNUMBER(F466),ISNUMBER(E466),E466&gt;0,F466&gt;E466),(F466-E466)/E466,IF(AND(ISNUMBER(F466),ISNUMBER(E466),E466&gt;0,F466=E466),0,IF(AND(ISNUMBER(F466),ISNUMBER(E466),E466&gt;0,F466=0),-1,"")))))))))</x:f>
      </x:c>
      <x:c r="K466" s="50" t="str">
        <x:f>IF(A466="","",IF(AND(ISNUMBER(E466),E466=0,OR(ISNUMBER(SEARCH("Free",D466&amp;"")),AND(ISNUMBER(F466),F466=0))),"Subscription",IF(ISNUMBER(G466),"Profit",IF(ISNUMBER(I466),"Disqualified",IF(ISNUMBER(H466),"Draw",IF(AND(ISNUMBER(F466),ISNUMBER(E466),E466&gt;0,F466&gt;E466),"Profit",IF(AND(ISNUMBER(F466),ISNUMBER(E466),E466&gt;0,F466=E466),"Draw",IF(AND(ISNUMBER(F466),ISNUMBER(E466),E466&gt;0,F466=0),"Disqualified",""))))))))</x:f>
      </x:c>
      <x:c r="L466" s="50"/>
      <x:c r="M466" s="58"/>
      <x:c r="N466" s="58"/>
      <x:c r="O466" s="62"/>
      <x:c r="P466" s="62"/>
      <x:c r="Q466" s="64" t="str">
        <x:f>IF(OR(B466="",C466="",C466&lt;B466),"",ROUNDUP((C466-B466)/7,0))</x:f>
      </x:c>
      <x:c r="R466" s="50"/>
      <x:c r="S466" s="50"/>
      <x:c r="T466" s="54"/>
      <x:c r="U466" s="66" t="str">
        <x:f>IF(A466="","",IF(K466="Subscription","",IF(ISNUMBER(G466),G466,0)-IF(ISNUMBER(I466),I466,0)))</x:f>
      </x:c>
      <x:c r="V466" s="64" t="str">
        <x:f>IF(OR(P466="",O466="",NOT(ISNUMBER(P466)),NOT(ISNUMBER(O466)),O466&gt;P466),"",P466-O466)</x:f>
      </x:c>
      <x:c r="W466" s="67" t="str">
        <x:f>IF(OR(P466="",P466=0,V466=""),"",V466/P466)</x:f>
      </x:c>
    </x:row>
    <x:row r="467" ht="21" customHeight="1">
      <x:c r="A467" s="54"/>
      <x:c r="B467" s="56"/>
      <x:c r="C467" s="56"/>
      <x:c r="D467" s="54"/>
      <x:c r="E467" s="58"/>
      <x:c r="F467" s="58"/>
      <x:c r="G467" s="58"/>
      <x:c r="H467" s="58"/>
      <x:c r="I467" s="58"/>
      <x:c r="J467" s="60" t="str">
        <x:f>IF(A467="","",IF(K467="Subscription","",IF(E467=0,"",IF(ISNUMBER(G467),G467/E467,IF(ISNUMBER(I467),-ABS(I467)/E467,IF(ISNUMBER(H467),0,IF(AND(ISNUMBER(F467),ISNUMBER(E467),E467&gt;0,F467&gt;E467),(F467-E467)/E467,IF(AND(ISNUMBER(F467),ISNUMBER(E467),E467&gt;0,F467=E467),0,IF(AND(ISNUMBER(F467),ISNUMBER(E467),E467&gt;0,F467=0),-1,"")))))))))</x:f>
      </x:c>
      <x:c r="K467" s="50" t="str">
        <x:f>IF(A467="","",IF(AND(ISNUMBER(E467),E467=0,OR(ISNUMBER(SEARCH("Free",D467&amp;"")),AND(ISNUMBER(F467),F467=0))),"Subscription",IF(ISNUMBER(G467),"Profit",IF(ISNUMBER(I467),"Disqualified",IF(ISNUMBER(H467),"Draw",IF(AND(ISNUMBER(F467),ISNUMBER(E467),E467&gt;0,F467&gt;E467),"Profit",IF(AND(ISNUMBER(F467),ISNUMBER(E467),E467&gt;0,F467=E467),"Draw",IF(AND(ISNUMBER(F467),ISNUMBER(E467),E467&gt;0,F467=0),"Disqualified",""))))))))</x:f>
      </x:c>
      <x:c r="L467" s="50"/>
      <x:c r="M467" s="58"/>
      <x:c r="N467" s="58"/>
      <x:c r="O467" s="62"/>
      <x:c r="P467" s="62"/>
      <x:c r="Q467" s="64" t="str">
        <x:f>IF(OR(B467="",C467="",C467&lt;B467),"",ROUNDUP((C467-B467)/7,0))</x:f>
      </x:c>
      <x:c r="R467" s="50"/>
      <x:c r="S467" s="50"/>
      <x:c r="T467" s="54"/>
      <x:c r="U467" s="66" t="str">
        <x:f>IF(A467="","",IF(K467="Subscription","",IF(ISNUMBER(G467),G467,0)-IF(ISNUMBER(I467),I467,0)))</x:f>
      </x:c>
      <x:c r="V467" s="64" t="str">
        <x:f>IF(OR(P467="",O467="",NOT(ISNUMBER(P467)),NOT(ISNUMBER(O467)),O467&gt;P467),"",P467-O467)</x:f>
      </x:c>
      <x:c r="W467" s="67" t="str">
        <x:f>IF(OR(P467="",P467=0,V467=""),"",V467/P467)</x:f>
      </x:c>
    </x:row>
    <x:row r="468" ht="21" customHeight="1">
      <x:c r="A468" s="54"/>
      <x:c r="B468" s="56"/>
      <x:c r="C468" s="56"/>
      <x:c r="D468" s="54"/>
      <x:c r="E468" s="58"/>
      <x:c r="F468" s="58"/>
      <x:c r="G468" s="58"/>
      <x:c r="H468" s="58"/>
      <x:c r="I468" s="58"/>
      <x:c r="J468" s="60" t="str">
        <x:f>IF(A468="","",IF(K468="Subscription","",IF(E468=0,"",IF(ISNUMBER(G468),G468/E468,IF(ISNUMBER(I468),-ABS(I468)/E468,IF(ISNUMBER(H468),0,IF(AND(ISNUMBER(F468),ISNUMBER(E468),E468&gt;0,F468&gt;E468),(F468-E468)/E468,IF(AND(ISNUMBER(F468),ISNUMBER(E468),E468&gt;0,F468=E468),0,IF(AND(ISNUMBER(F468),ISNUMBER(E468),E468&gt;0,F468=0),-1,"")))))))))</x:f>
      </x:c>
      <x:c r="K468" s="50" t="str">
        <x:f>IF(A468="","",IF(AND(ISNUMBER(E468),E468=0,OR(ISNUMBER(SEARCH("Free",D468&amp;"")),AND(ISNUMBER(F468),F468=0))),"Subscription",IF(ISNUMBER(G468),"Profit",IF(ISNUMBER(I468),"Disqualified",IF(ISNUMBER(H468),"Draw",IF(AND(ISNUMBER(F468),ISNUMBER(E468),E468&gt;0,F468&gt;E468),"Profit",IF(AND(ISNUMBER(F468),ISNUMBER(E468),E468&gt;0,F468=E468),"Draw",IF(AND(ISNUMBER(F468),ISNUMBER(E468),E468&gt;0,F468=0),"Disqualified",""))))))))</x:f>
      </x:c>
      <x:c r="L468" s="50"/>
      <x:c r="M468" s="58"/>
      <x:c r="N468" s="58"/>
      <x:c r="O468" s="62"/>
      <x:c r="P468" s="62"/>
      <x:c r="Q468" s="64" t="str">
        <x:f>IF(OR(B468="",C468="",C468&lt;B468),"",ROUNDUP((C468-B468)/7,0))</x:f>
      </x:c>
      <x:c r="R468" s="50"/>
      <x:c r="S468" s="50"/>
      <x:c r="T468" s="54"/>
      <x:c r="U468" s="66" t="str">
        <x:f>IF(A468="","",IF(K468="Subscription","",IF(ISNUMBER(G468),G468,0)-IF(ISNUMBER(I468),I468,0)))</x:f>
      </x:c>
      <x:c r="V468" s="64" t="str">
        <x:f>IF(OR(P468="",O468="",NOT(ISNUMBER(P468)),NOT(ISNUMBER(O468)),O468&gt;P468),"",P468-O468)</x:f>
      </x:c>
      <x:c r="W468" s="67" t="str">
        <x:f>IF(OR(P468="",P468=0,V468=""),"",V468/P468)</x:f>
      </x:c>
    </x:row>
    <x:row r="469" ht="21" customHeight="1">
      <x:c r="A469" s="54"/>
      <x:c r="B469" s="56"/>
      <x:c r="C469" s="56"/>
      <x:c r="D469" s="54"/>
      <x:c r="E469" s="58"/>
      <x:c r="F469" s="58"/>
      <x:c r="G469" s="58"/>
      <x:c r="H469" s="58"/>
      <x:c r="I469" s="58"/>
      <x:c r="J469" s="60" t="str">
        <x:f>IF(A469="","",IF(K469="Subscription","",IF(E469=0,"",IF(ISNUMBER(G469),G469/E469,IF(ISNUMBER(I469),-ABS(I469)/E469,IF(ISNUMBER(H469),0,IF(AND(ISNUMBER(F469),ISNUMBER(E469),E469&gt;0,F469&gt;E469),(F469-E469)/E469,IF(AND(ISNUMBER(F469),ISNUMBER(E469),E469&gt;0,F469=E469),0,IF(AND(ISNUMBER(F469),ISNUMBER(E469),E469&gt;0,F469=0),-1,"")))))))))</x:f>
      </x:c>
      <x:c r="K469" s="50" t="str">
        <x:f>IF(A469="","",IF(AND(ISNUMBER(E469),E469=0,OR(ISNUMBER(SEARCH("Free",D469&amp;"")),AND(ISNUMBER(F469),F469=0))),"Subscription",IF(ISNUMBER(G469),"Profit",IF(ISNUMBER(I469),"Disqualified",IF(ISNUMBER(H469),"Draw",IF(AND(ISNUMBER(F469),ISNUMBER(E469),E469&gt;0,F469&gt;E469),"Profit",IF(AND(ISNUMBER(F469),ISNUMBER(E469),E469&gt;0,F469=E469),"Draw",IF(AND(ISNUMBER(F469),ISNUMBER(E469),E469&gt;0,F469=0),"Disqualified",""))))))))</x:f>
      </x:c>
      <x:c r="L469" s="50"/>
      <x:c r="M469" s="58"/>
      <x:c r="N469" s="58"/>
      <x:c r="O469" s="62"/>
      <x:c r="P469" s="62"/>
      <x:c r="Q469" s="64" t="str">
        <x:f>IF(OR(B469="",C469="",C469&lt;B469),"",ROUNDUP((C469-B469)/7,0))</x:f>
      </x:c>
      <x:c r="R469" s="50"/>
      <x:c r="S469" s="50"/>
      <x:c r="T469" s="54"/>
      <x:c r="U469" s="66" t="str">
        <x:f>IF(A469="","",IF(K469="Subscription","",IF(ISNUMBER(G469),G469,0)-IF(ISNUMBER(I469),I469,0)))</x:f>
      </x:c>
      <x:c r="V469" s="64" t="str">
        <x:f>IF(OR(P469="",O469="",NOT(ISNUMBER(P469)),NOT(ISNUMBER(O469)),O469&gt;P469),"",P469-O469)</x:f>
      </x:c>
      <x:c r="W469" s="67" t="str">
        <x:f>IF(OR(P469="",P469=0,V469=""),"",V469/P469)</x:f>
      </x:c>
    </x:row>
    <x:row r="470" ht="21" customHeight="1">
      <x:c r="A470" s="54"/>
      <x:c r="B470" s="56"/>
      <x:c r="C470" s="56"/>
      <x:c r="D470" s="54"/>
      <x:c r="E470" s="58"/>
      <x:c r="F470" s="58"/>
      <x:c r="G470" s="58"/>
      <x:c r="H470" s="58"/>
      <x:c r="I470" s="58"/>
      <x:c r="J470" s="60" t="str">
        <x:f>IF(A470="","",IF(K470="Subscription","",IF(E470=0,"",IF(ISNUMBER(G470),G470/E470,IF(ISNUMBER(I470),-ABS(I470)/E470,IF(ISNUMBER(H470),0,IF(AND(ISNUMBER(F470),ISNUMBER(E470),E470&gt;0,F470&gt;E470),(F470-E470)/E470,IF(AND(ISNUMBER(F470),ISNUMBER(E470),E470&gt;0,F470=E470),0,IF(AND(ISNUMBER(F470),ISNUMBER(E470),E470&gt;0,F470=0),-1,"")))))))))</x:f>
      </x:c>
      <x:c r="K470" s="50" t="str">
        <x:f>IF(A470="","",IF(AND(ISNUMBER(E470),E470=0,OR(ISNUMBER(SEARCH("Free",D470&amp;"")),AND(ISNUMBER(F470),F470=0))),"Subscription",IF(ISNUMBER(G470),"Profit",IF(ISNUMBER(I470),"Disqualified",IF(ISNUMBER(H470),"Draw",IF(AND(ISNUMBER(F470),ISNUMBER(E470),E470&gt;0,F470&gt;E470),"Profit",IF(AND(ISNUMBER(F470),ISNUMBER(E470),E470&gt;0,F470=E470),"Draw",IF(AND(ISNUMBER(F470),ISNUMBER(E470),E470&gt;0,F470=0),"Disqualified",""))))))))</x:f>
      </x:c>
      <x:c r="L470" s="50"/>
      <x:c r="M470" s="58"/>
      <x:c r="N470" s="58"/>
      <x:c r="O470" s="62"/>
      <x:c r="P470" s="62"/>
      <x:c r="Q470" s="64" t="str">
        <x:f>IF(OR(B470="",C470="",C470&lt;B470),"",ROUNDUP((C470-B470)/7,0))</x:f>
      </x:c>
      <x:c r="R470" s="50"/>
      <x:c r="S470" s="50"/>
      <x:c r="T470" s="54"/>
      <x:c r="U470" s="66" t="str">
        <x:f>IF(A470="","",IF(K470="Subscription","",IF(ISNUMBER(G470),G470,0)-IF(ISNUMBER(I470),I470,0)))</x:f>
      </x:c>
      <x:c r="V470" s="64" t="str">
        <x:f>IF(OR(P470="",O470="",NOT(ISNUMBER(P470)),NOT(ISNUMBER(O470)),O470&gt;P470),"",P470-O470)</x:f>
      </x:c>
      <x:c r="W470" s="67" t="str">
        <x:f>IF(OR(P470="",P470=0,V470=""),"",V470/P470)</x:f>
      </x:c>
    </x:row>
    <x:row r="471" ht="21" customHeight="1">
      <x:c r="A471" s="54"/>
      <x:c r="B471" s="56"/>
      <x:c r="C471" s="56"/>
      <x:c r="D471" s="54"/>
      <x:c r="E471" s="58"/>
      <x:c r="F471" s="58"/>
      <x:c r="G471" s="58"/>
      <x:c r="H471" s="58"/>
      <x:c r="I471" s="58"/>
      <x:c r="J471" s="60" t="str">
        <x:f>IF(A471="","",IF(K471="Subscription","",IF(E471=0,"",IF(ISNUMBER(G471),G471/E471,IF(ISNUMBER(I471),-ABS(I471)/E471,IF(ISNUMBER(H471),0,IF(AND(ISNUMBER(F471),ISNUMBER(E471),E471&gt;0,F471&gt;E471),(F471-E471)/E471,IF(AND(ISNUMBER(F471),ISNUMBER(E471),E471&gt;0,F471=E471),0,IF(AND(ISNUMBER(F471),ISNUMBER(E471),E471&gt;0,F471=0),-1,"")))))))))</x:f>
      </x:c>
      <x:c r="K471" s="50" t="str">
        <x:f>IF(A471="","",IF(AND(ISNUMBER(E471),E471=0,OR(ISNUMBER(SEARCH("Free",D471&amp;"")),AND(ISNUMBER(F471),F471=0))),"Subscription",IF(ISNUMBER(G471),"Profit",IF(ISNUMBER(I471),"Disqualified",IF(ISNUMBER(H471),"Draw",IF(AND(ISNUMBER(F471),ISNUMBER(E471),E471&gt;0,F471&gt;E471),"Profit",IF(AND(ISNUMBER(F471),ISNUMBER(E471),E471&gt;0,F471=E471),"Draw",IF(AND(ISNUMBER(F471),ISNUMBER(E471),E471&gt;0,F471=0),"Disqualified",""))))))))</x:f>
      </x:c>
      <x:c r="L471" s="50"/>
      <x:c r="M471" s="58"/>
      <x:c r="N471" s="58"/>
      <x:c r="O471" s="62"/>
      <x:c r="P471" s="62"/>
      <x:c r="Q471" s="64" t="str">
        <x:f>IF(OR(B471="",C471="",C471&lt;B471),"",ROUNDUP((C471-B471)/7,0))</x:f>
      </x:c>
      <x:c r="R471" s="50"/>
      <x:c r="S471" s="50"/>
      <x:c r="T471" s="54"/>
      <x:c r="U471" s="66" t="str">
        <x:f>IF(A471="","",IF(K471="Subscription","",IF(ISNUMBER(G471),G471,0)-IF(ISNUMBER(I471),I471,0)))</x:f>
      </x:c>
      <x:c r="V471" s="64" t="str">
        <x:f>IF(OR(P471="",O471="",NOT(ISNUMBER(P471)),NOT(ISNUMBER(O471)),O471&gt;P471),"",P471-O471)</x:f>
      </x:c>
      <x:c r="W471" s="67" t="str">
        <x:f>IF(OR(P471="",P471=0,V471=""),"",V471/P471)</x:f>
      </x:c>
    </x:row>
    <x:row r="472" ht="21" customHeight="1">
      <x:c r="A472" s="54"/>
      <x:c r="B472" s="56"/>
      <x:c r="C472" s="56"/>
      <x:c r="D472" s="54"/>
      <x:c r="E472" s="58"/>
      <x:c r="F472" s="58"/>
      <x:c r="G472" s="58"/>
      <x:c r="H472" s="58"/>
      <x:c r="I472" s="58"/>
      <x:c r="J472" s="60" t="str">
        <x:f>IF(A472="","",IF(K472="Subscription","",IF(E472=0,"",IF(ISNUMBER(G472),G472/E472,IF(ISNUMBER(I472),-ABS(I472)/E472,IF(ISNUMBER(H472),0,IF(AND(ISNUMBER(F472),ISNUMBER(E472),E472&gt;0,F472&gt;E472),(F472-E472)/E472,IF(AND(ISNUMBER(F472),ISNUMBER(E472),E472&gt;0,F472=E472),0,IF(AND(ISNUMBER(F472),ISNUMBER(E472),E472&gt;0,F472=0),-1,"")))))))))</x:f>
      </x:c>
      <x:c r="K472" s="50" t="str">
        <x:f>IF(A472="","",IF(AND(ISNUMBER(E472),E472=0,OR(ISNUMBER(SEARCH("Free",D472&amp;"")),AND(ISNUMBER(F472),F472=0))),"Subscription",IF(ISNUMBER(G472),"Profit",IF(ISNUMBER(I472),"Disqualified",IF(ISNUMBER(H472),"Draw",IF(AND(ISNUMBER(F472),ISNUMBER(E472),E472&gt;0,F472&gt;E472),"Profit",IF(AND(ISNUMBER(F472),ISNUMBER(E472),E472&gt;0,F472=E472),"Draw",IF(AND(ISNUMBER(F472),ISNUMBER(E472),E472&gt;0,F472=0),"Disqualified",""))))))))</x:f>
      </x:c>
      <x:c r="L472" s="50"/>
      <x:c r="M472" s="58"/>
      <x:c r="N472" s="58"/>
      <x:c r="O472" s="62"/>
      <x:c r="P472" s="62"/>
      <x:c r="Q472" s="64" t="str">
        <x:f>IF(OR(B472="",C472="",C472&lt;B472),"",ROUNDUP((C472-B472)/7,0))</x:f>
      </x:c>
      <x:c r="R472" s="50"/>
      <x:c r="S472" s="50"/>
      <x:c r="T472" s="54"/>
      <x:c r="U472" s="66" t="str">
        <x:f>IF(A472="","",IF(K472="Subscription","",IF(ISNUMBER(G472),G472,0)-IF(ISNUMBER(I472),I472,0)))</x:f>
      </x:c>
      <x:c r="V472" s="64" t="str">
        <x:f>IF(OR(P472="",O472="",NOT(ISNUMBER(P472)),NOT(ISNUMBER(O472)),O472&gt;P472),"",P472-O472)</x:f>
      </x:c>
      <x:c r="W472" s="67" t="str">
        <x:f>IF(OR(P472="",P472=0,V472=""),"",V472/P472)</x:f>
      </x:c>
    </x:row>
    <x:row r="473" ht="21" customHeight="1">
      <x:c r="A473" s="54"/>
      <x:c r="B473" s="56"/>
      <x:c r="C473" s="56"/>
      <x:c r="D473" s="54"/>
      <x:c r="E473" s="58"/>
      <x:c r="F473" s="58"/>
      <x:c r="G473" s="58"/>
      <x:c r="H473" s="58"/>
      <x:c r="I473" s="58"/>
      <x:c r="J473" s="60" t="str">
        <x:f>IF(A473="","",IF(K473="Subscription","",IF(E473=0,"",IF(ISNUMBER(G473),G473/E473,IF(ISNUMBER(I473),-ABS(I473)/E473,IF(ISNUMBER(H473),0,IF(AND(ISNUMBER(F473),ISNUMBER(E473),E473&gt;0,F473&gt;E473),(F473-E473)/E473,IF(AND(ISNUMBER(F473),ISNUMBER(E473),E473&gt;0,F473=E473),0,IF(AND(ISNUMBER(F473),ISNUMBER(E473),E473&gt;0,F473=0),-1,"")))))))))</x:f>
      </x:c>
      <x:c r="K473" s="50" t="str">
        <x:f>IF(A473="","",IF(AND(ISNUMBER(E473),E473=0,OR(ISNUMBER(SEARCH("Free",D473&amp;"")),AND(ISNUMBER(F473),F473=0))),"Subscription",IF(ISNUMBER(G473),"Profit",IF(ISNUMBER(I473),"Disqualified",IF(ISNUMBER(H473),"Draw",IF(AND(ISNUMBER(F473),ISNUMBER(E473),E473&gt;0,F473&gt;E473),"Profit",IF(AND(ISNUMBER(F473),ISNUMBER(E473),E473&gt;0,F473=E473),"Draw",IF(AND(ISNUMBER(F473),ISNUMBER(E473),E473&gt;0,F473=0),"Disqualified",""))))))))</x:f>
      </x:c>
      <x:c r="L473" s="50"/>
      <x:c r="M473" s="58"/>
      <x:c r="N473" s="58"/>
      <x:c r="O473" s="62"/>
      <x:c r="P473" s="62"/>
      <x:c r="Q473" s="64" t="str">
        <x:f>IF(OR(B473="",C473="",C473&lt;B473),"",ROUNDUP((C473-B473)/7,0))</x:f>
      </x:c>
      <x:c r="R473" s="50"/>
      <x:c r="S473" s="50"/>
      <x:c r="T473" s="54"/>
      <x:c r="U473" s="66" t="str">
        <x:f>IF(A473="","",IF(K473="Subscription","",IF(ISNUMBER(G473),G473,0)-IF(ISNUMBER(I473),I473,0)))</x:f>
      </x:c>
      <x:c r="V473" s="64" t="str">
        <x:f>IF(OR(P473="",O473="",NOT(ISNUMBER(P473)),NOT(ISNUMBER(O473)),O473&gt;P473),"",P473-O473)</x:f>
      </x:c>
      <x:c r="W473" s="67" t="str">
        <x:f>IF(OR(P473="",P473=0,V473=""),"",V473/P473)</x:f>
      </x:c>
    </x:row>
    <x:row r="474" ht="21" customHeight="1">
      <x:c r="A474" s="54"/>
      <x:c r="B474" s="56"/>
      <x:c r="C474" s="56"/>
      <x:c r="D474" s="54"/>
      <x:c r="E474" s="58"/>
      <x:c r="F474" s="58"/>
      <x:c r="G474" s="58"/>
      <x:c r="H474" s="58"/>
      <x:c r="I474" s="58"/>
      <x:c r="J474" s="60" t="str">
        <x:f>IF(A474="","",IF(K474="Subscription","",IF(E474=0,"",IF(ISNUMBER(G474),G474/E474,IF(ISNUMBER(I474),-ABS(I474)/E474,IF(ISNUMBER(H474),0,IF(AND(ISNUMBER(F474),ISNUMBER(E474),E474&gt;0,F474&gt;E474),(F474-E474)/E474,IF(AND(ISNUMBER(F474),ISNUMBER(E474),E474&gt;0,F474=E474),0,IF(AND(ISNUMBER(F474),ISNUMBER(E474),E474&gt;0,F474=0),-1,"")))))))))</x:f>
      </x:c>
      <x:c r="K474" s="50" t="str">
        <x:f>IF(A474="","",IF(AND(ISNUMBER(E474),E474=0,OR(ISNUMBER(SEARCH("Free",D474&amp;"")),AND(ISNUMBER(F474),F474=0))),"Subscription",IF(ISNUMBER(G474),"Profit",IF(ISNUMBER(I474),"Disqualified",IF(ISNUMBER(H474),"Draw",IF(AND(ISNUMBER(F474),ISNUMBER(E474),E474&gt;0,F474&gt;E474),"Profit",IF(AND(ISNUMBER(F474),ISNUMBER(E474),E474&gt;0,F474=E474),"Draw",IF(AND(ISNUMBER(F474),ISNUMBER(E474),E474&gt;0,F474=0),"Disqualified",""))))))))</x:f>
      </x:c>
      <x:c r="L474" s="50"/>
      <x:c r="M474" s="58"/>
      <x:c r="N474" s="58"/>
      <x:c r="O474" s="62"/>
      <x:c r="P474" s="62"/>
      <x:c r="Q474" s="64" t="str">
        <x:f>IF(OR(B474="",C474="",C474&lt;B474),"",ROUNDUP((C474-B474)/7,0))</x:f>
      </x:c>
      <x:c r="R474" s="50"/>
      <x:c r="S474" s="50"/>
      <x:c r="T474" s="54"/>
      <x:c r="U474" s="66" t="str">
        <x:f>IF(A474="","",IF(K474="Subscription","",IF(ISNUMBER(G474),G474,0)-IF(ISNUMBER(I474),I474,0)))</x:f>
      </x:c>
      <x:c r="V474" s="64" t="str">
        <x:f>IF(OR(P474="",O474="",NOT(ISNUMBER(P474)),NOT(ISNUMBER(O474)),O474&gt;P474),"",P474-O474)</x:f>
      </x:c>
      <x:c r="W474" s="67" t="str">
        <x:f>IF(OR(P474="",P474=0,V474=""),"",V474/P474)</x:f>
      </x:c>
    </x:row>
    <x:row r="475" ht="21" customHeight="1">
      <x:c r="A475" s="54"/>
      <x:c r="B475" s="56"/>
      <x:c r="C475" s="56"/>
      <x:c r="D475" s="54"/>
      <x:c r="E475" s="58"/>
      <x:c r="F475" s="58"/>
      <x:c r="G475" s="58"/>
      <x:c r="H475" s="58"/>
      <x:c r="I475" s="58"/>
      <x:c r="J475" s="60" t="str">
        <x:f>IF(A475="","",IF(K475="Subscription","",IF(E475=0,"",IF(ISNUMBER(G475),G475/E475,IF(ISNUMBER(I475),-ABS(I475)/E475,IF(ISNUMBER(H475),0,IF(AND(ISNUMBER(F475),ISNUMBER(E475),E475&gt;0,F475&gt;E475),(F475-E475)/E475,IF(AND(ISNUMBER(F475),ISNUMBER(E475),E475&gt;0,F475=E475),0,IF(AND(ISNUMBER(F475),ISNUMBER(E475),E475&gt;0,F475=0),-1,"")))))))))</x:f>
      </x:c>
      <x:c r="K475" s="50" t="str">
        <x:f>IF(A475="","",IF(AND(ISNUMBER(E475),E475=0,OR(ISNUMBER(SEARCH("Free",D475&amp;"")),AND(ISNUMBER(F475),F475=0))),"Subscription",IF(ISNUMBER(G475),"Profit",IF(ISNUMBER(I475),"Disqualified",IF(ISNUMBER(H475),"Draw",IF(AND(ISNUMBER(F475),ISNUMBER(E475),E475&gt;0,F475&gt;E475),"Profit",IF(AND(ISNUMBER(F475),ISNUMBER(E475),E475&gt;0,F475=E475),"Draw",IF(AND(ISNUMBER(F475),ISNUMBER(E475),E475&gt;0,F475=0),"Disqualified",""))))))))</x:f>
      </x:c>
      <x:c r="L475" s="50"/>
      <x:c r="M475" s="58"/>
      <x:c r="N475" s="58"/>
      <x:c r="O475" s="62"/>
      <x:c r="P475" s="62"/>
      <x:c r="Q475" s="64" t="str">
        <x:f>IF(OR(B475="",C475="",C475&lt;B475),"",ROUNDUP((C475-B475)/7,0))</x:f>
      </x:c>
      <x:c r="R475" s="50"/>
      <x:c r="S475" s="50"/>
      <x:c r="T475" s="54"/>
      <x:c r="U475" s="66" t="str">
        <x:f>IF(A475="","",IF(K475="Subscription","",IF(ISNUMBER(G475),G475,0)-IF(ISNUMBER(I475),I475,0)))</x:f>
      </x:c>
      <x:c r="V475" s="64" t="str">
        <x:f>IF(OR(P475="",O475="",NOT(ISNUMBER(P475)),NOT(ISNUMBER(O475)),O475&gt;P475),"",P475-O475)</x:f>
      </x:c>
      <x:c r="W475" s="67" t="str">
        <x:f>IF(OR(P475="",P475=0,V475=""),"",V475/P475)</x:f>
      </x:c>
    </x:row>
    <x:row r="476" ht="21" customHeight="1">
      <x:c r="A476" s="54"/>
      <x:c r="B476" s="56"/>
      <x:c r="C476" s="56"/>
      <x:c r="D476" s="54"/>
      <x:c r="E476" s="58"/>
      <x:c r="F476" s="58"/>
      <x:c r="G476" s="58"/>
      <x:c r="H476" s="58"/>
      <x:c r="I476" s="58"/>
      <x:c r="J476" s="60" t="str">
        <x:f>IF(A476="","",IF(K476="Subscription","",IF(E476=0,"",IF(ISNUMBER(G476),G476/E476,IF(ISNUMBER(I476),-ABS(I476)/E476,IF(ISNUMBER(H476),0,IF(AND(ISNUMBER(F476),ISNUMBER(E476),E476&gt;0,F476&gt;E476),(F476-E476)/E476,IF(AND(ISNUMBER(F476),ISNUMBER(E476),E476&gt;0,F476=E476),0,IF(AND(ISNUMBER(F476),ISNUMBER(E476),E476&gt;0,F476=0),-1,"")))))))))</x:f>
      </x:c>
      <x:c r="K476" s="50" t="str">
        <x:f>IF(A476="","",IF(AND(ISNUMBER(E476),E476=0,OR(ISNUMBER(SEARCH("Free",D476&amp;"")),AND(ISNUMBER(F476),F476=0))),"Subscription",IF(ISNUMBER(G476),"Profit",IF(ISNUMBER(I476),"Disqualified",IF(ISNUMBER(H476),"Draw",IF(AND(ISNUMBER(F476),ISNUMBER(E476),E476&gt;0,F476&gt;E476),"Profit",IF(AND(ISNUMBER(F476),ISNUMBER(E476),E476&gt;0,F476=E476),"Draw",IF(AND(ISNUMBER(F476),ISNUMBER(E476),E476&gt;0,F476=0),"Disqualified",""))))))))</x:f>
      </x:c>
      <x:c r="L476" s="50"/>
      <x:c r="M476" s="58"/>
      <x:c r="N476" s="58"/>
      <x:c r="O476" s="62"/>
      <x:c r="P476" s="62"/>
      <x:c r="Q476" s="64" t="str">
        <x:f>IF(OR(B476="",C476="",C476&lt;B476),"",ROUNDUP((C476-B476)/7,0))</x:f>
      </x:c>
      <x:c r="R476" s="50"/>
      <x:c r="S476" s="50"/>
      <x:c r="T476" s="54"/>
      <x:c r="U476" s="66" t="str">
        <x:f>IF(A476="","",IF(K476="Subscription","",IF(ISNUMBER(G476),G476,0)-IF(ISNUMBER(I476),I476,0)))</x:f>
      </x:c>
      <x:c r="V476" s="64" t="str">
        <x:f>IF(OR(P476="",O476="",NOT(ISNUMBER(P476)),NOT(ISNUMBER(O476)),O476&gt;P476),"",P476-O476)</x:f>
      </x:c>
      <x:c r="W476" s="67" t="str">
        <x:f>IF(OR(P476="",P476=0,V476=""),"",V476/P476)</x:f>
      </x:c>
    </x:row>
    <x:row r="477" ht="21" customHeight="1">
      <x:c r="A477" s="54"/>
      <x:c r="B477" s="56"/>
      <x:c r="C477" s="56"/>
      <x:c r="D477" s="54"/>
      <x:c r="E477" s="58"/>
      <x:c r="F477" s="58"/>
      <x:c r="G477" s="58"/>
      <x:c r="H477" s="58"/>
      <x:c r="I477" s="58"/>
      <x:c r="J477" s="60" t="str">
        <x:f>IF(A477="","",IF(K477="Subscription","",IF(E477=0,"",IF(ISNUMBER(G477),G477/E477,IF(ISNUMBER(I477),-ABS(I477)/E477,IF(ISNUMBER(H477),0,IF(AND(ISNUMBER(F477),ISNUMBER(E477),E477&gt;0,F477&gt;E477),(F477-E477)/E477,IF(AND(ISNUMBER(F477),ISNUMBER(E477),E477&gt;0,F477=E477),0,IF(AND(ISNUMBER(F477),ISNUMBER(E477),E477&gt;0,F477=0),-1,"")))))))))</x:f>
      </x:c>
      <x:c r="K477" s="50" t="str">
        <x:f>IF(A477="","",IF(AND(ISNUMBER(E477),E477=0,OR(ISNUMBER(SEARCH("Free",D477&amp;"")),AND(ISNUMBER(F477),F477=0))),"Subscription",IF(ISNUMBER(G477),"Profit",IF(ISNUMBER(I477),"Disqualified",IF(ISNUMBER(H477),"Draw",IF(AND(ISNUMBER(F477),ISNUMBER(E477),E477&gt;0,F477&gt;E477),"Profit",IF(AND(ISNUMBER(F477),ISNUMBER(E477),E477&gt;0,F477=E477),"Draw",IF(AND(ISNUMBER(F477),ISNUMBER(E477),E477&gt;0,F477=0),"Disqualified",""))))))))</x:f>
      </x:c>
      <x:c r="L477" s="50"/>
      <x:c r="M477" s="58"/>
      <x:c r="N477" s="58"/>
      <x:c r="O477" s="62"/>
      <x:c r="P477" s="62"/>
      <x:c r="Q477" s="64" t="str">
        <x:f>IF(OR(B477="",C477="",C477&lt;B477),"",ROUNDUP((C477-B477)/7,0))</x:f>
      </x:c>
      <x:c r="R477" s="50"/>
      <x:c r="S477" s="50"/>
      <x:c r="T477" s="54"/>
      <x:c r="U477" s="66" t="str">
        <x:f>IF(A477="","",IF(K477="Subscription","",IF(ISNUMBER(G477),G477,0)-IF(ISNUMBER(I477),I477,0)))</x:f>
      </x:c>
      <x:c r="V477" s="64" t="str">
        <x:f>IF(OR(P477="",O477="",NOT(ISNUMBER(P477)),NOT(ISNUMBER(O477)),O477&gt;P477),"",P477-O477)</x:f>
      </x:c>
      <x:c r="W477" s="67" t="str">
        <x:f>IF(OR(P477="",P477=0,V477=""),"",V477/P477)</x:f>
      </x:c>
    </x:row>
    <x:row r="478" ht="21" customHeight="1">
      <x:c r="A478" s="54"/>
      <x:c r="B478" s="56"/>
      <x:c r="C478" s="56"/>
      <x:c r="D478" s="54"/>
      <x:c r="E478" s="58"/>
      <x:c r="F478" s="58"/>
      <x:c r="G478" s="58"/>
      <x:c r="H478" s="58"/>
      <x:c r="I478" s="58"/>
      <x:c r="J478" s="60" t="str">
        <x:f>IF(A478="","",IF(K478="Subscription","",IF(E478=0,"",IF(ISNUMBER(G478),G478/E478,IF(ISNUMBER(I478),-ABS(I478)/E478,IF(ISNUMBER(H478),0,IF(AND(ISNUMBER(F478),ISNUMBER(E478),E478&gt;0,F478&gt;E478),(F478-E478)/E478,IF(AND(ISNUMBER(F478),ISNUMBER(E478),E478&gt;0,F478=E478),0,IF(AND(ISNUMBER(F478),ISNUMBER(E478),E478&gt;0,F478=0),-1,"")))))))))</x:f>
      </x:c>
      <x:c r="K478" s="50" t="str">
        <x:f>IF(A478="","",IF(AND(ISNUMBER(E478),E478=0,OR(ISNUMBER(SEARCH("Free",D478&amp;"")),AND(ISNUMBER(F478),F478=0))),"Subscription",IF(ISNUMBER(G478),"Profit",IF(ISNUMBER(I478),"Disqualified",IF(ISNUMBER(H478),"Draw",IF(AND(ISNUMBER(F478),ISNUMBER(E478),E478&gt;0,F478&gt;E478),"Profit",IF(AND(ISNUMBER(F478),ISNUMBER(E478),E478&gt;0,F478=E478),"Draw",IF(AND(ISNUMBER(F478),ISNUMBER(E478),E478&gt;0,F478=0),"Disqualified",""))))))))</x:f>
      </x:c>
      <x:c r="L478" s="50"/>
      <x:c r="M478" s="58"/>
      <x:c r="N478" s="58"/>
      <x:c r="O478" s="62"/>
      <x:c r="P478" s="62"/>
      <x:c r="Q478" s="64" t="str">
        <x:f>IF(OR(B478="",C478="",C478&lt;B478),"",ROUNDUP((C478-B478)/7,0))</x:f>
      </x:c>
      <x:c r="R478" s="50"/>
      <x:c r="S478" s="50"/>
      <x:c r="T478" s="54"/>
      <x:c r="U478" s="66" t="str">
        <x:f>IF(A478="","",IF(K478="Subscription","",IF(ISNUMBER(G478),G478,0)-IF(ISNUMBER(I478),I478,0)))</x:f>
      </x:c>
      <x:c r="V478" s="64" t="str">
        <x:f>IF(OR(P478="",O478="",NOT(ISNUMBER(P478)),NOT(ISNUMBER(O478)),O478&gt;P478),"",P478-O478)</x:f>
      </x:c>
      <x:c r="W478" s="67" t="str">
        <x:f>IF(OR(P478="",P478=0,V478=""),"",V478/P478)</x:f>
      </x:c>
    </x:row>
    <x:row r="479" ht="21" customHeight="1">
      <x:c r="A479" s="54"/>
      <x:c r="B479" s="56"/>
      <x:c r="C479" s="56"/>
      <x:c r="D479" s="54"/>
      <x:c r="E479" s="58"/>
      <x:c r="F479" s="58"/>
      <x:c r="G479" s="58"/>
      <x:c r="H479" s="58"/>
      <x:c r="I479" s="58"/>
      <x:c r="J479" s="60" t="str">
        <x:f>IF(A479="","",IF(K479="Subscription","",IF(E479=0,"",IF(ISNUMBER(G479),G479/E479,IF(ISNUMBER(I479),-ABS(I479)/E479,IF(ISNUMBER(H479),0,IF(AND(ISNUMBER(F479),ISNUMBER(E479),E479&gt;0,F479&gt;E479),(F479-E479)/E479,IF(AND(ISNUMBER(F479),ISNUMBER(E479),E479&gt;0,F479=E479),0,IF(AND(ISNUMBER(F479),ISNUMBER(E479),E479&gt;0,F479=0),-1,"")))))))))</x:f>
      </x:c>
      <x:c r="K479" s="50" t="str">
        <x:f>IF(A479="","",IF(AND(ISNUMBER(E479),E479=0,OR(ISNUMBER(SEARCH("Free",D479&amp;"")),AND(ISNUMBER(F479),F479=0))),"Subscription",IF(ISNUMBER(G479),"Profit",IF(ISNUMBER(I479),"Disqualified",IF(ISNUMBER(H479),"Draw",IF(AND(ISNUMBER(F479),ISNUMBER(E479),E479&gt;0,F479&gt;E479),"Profit",IF(AND(ISNUMBER(F479),ISNUMBER(E479),E479&gt;0,F479=E479),"Draw",IF(AND(ISNUMBER(F479),ISNUMBER(E479),E479&gt;0,F479=0),"Disqualified",""))))))))</x:f>
      </x:c>
      <x:c r="L479" s="50"/>
      <x:c r="M479" s="58"/>
      <x:c r="N479" s="58"/>
      <x:c r="O479" s="62"/>
      <x:c r="P479" s="62"/>
      <x:c r="Q479" s="64" t="str">
        <x:f>IF(OR(B479="",C479="",C479&lt;B479),"",ROUNDUP((C479-B479)/7,0))</x:f>
      </x:c>
      <x:c r="R479" s="50"/>
      <x:c r="S479" s="50"/>
      <x:c r="T479" s="54"/>
      <x:c r="U479" s="66" t="str">
        <x:f>IF(A479="","",IF(K479="Subscription","",IF(ISNUMBER(G479),G479,0)-IF(ISNUMBER(I479),I479,0)))</x:f>
      </x:c>
      <x:c r="V479" s="64" t="str">
        <x:f>IF(OR(P479="",O479="",NOT(ISNUMBER(P479)),NOT(ISNUMBER(O479)),O479&gt;P479),"",P479-O479)</x:f>
      </x:c>
      <x:c r="W479" s="67" t="str">
        <x:f>IF(OR(P479="",P479=0,V479=""),"",V479/P479)</x:f>
      </x:c>
    </x:row>
    <x:row r="480" ht="21" customHeight="1">
      <x:c r="A480" s="54"/>
      <x:c r="B480" s="56"/>
      <x:c r="C480" s="56"/>
      <x:c r="D480" s="54"/>
      <x:c r="E480" s="58"/>
      <x:c r="F480" s="58"/>
      <x:c r="G480" s="58"/>
      <x:c r="H480" s="58"/>
      <x:c r="I480" s="58"/>
      <x:c r="J480" s="60" t="str">
        <x:f>IF(A480="","",IF(K480="Subscription","",IF(E480=0,"",IF(ISNUMBER(G480),G480/E480,IF(ISNUMBER(I480),-ABS(I480)/E480,IF(ISNUMBER(H480),0,IF(AND(ISNUMBER(F480),ISNUMBER(E480),E480&gt;0,F480&gt;E480),(F480-E480)/E480,IF(AND(ISNUMBER(F480),ISNUMBER(E480),E480&gt;0,F480=E480),0,IF(AND(ISNUMBER(F480),ISNUMBER(E480),E480&gt;0,F480=0),-1,"")))))))))</x:f>
      </x:c>
      <x:c r="K480" s="50" t="str">
        <x:f>IF(A480="","",IF(AND(ISNUMBER(E480),E480=0,OR(ISNUMBER(SEARCH("Free",D480&amp;"")),AND(ISNUMBER(F480),F480=0))),"Subscription",IF(ISNUMBER(G480),"Profit",IF(ISNUMBER(I480),"Disqualified",IF(ISNUMBER(H480),"Draw",IF(AND(ISNUMBER(F480),ISNUMBER(E480),E480&gt;0,F480&gt;E480),"Profit",IF(AND(ISNUMBER(F480),ISNUMBER(E480),E480&gt;0,F480=E480),"Draw",IF(AND(ISNUMBER(F480),ISNUMBER(E480),E480&gt;0,F480=0),"Disqualified",""))))))))</x:f>
      </x:c>
      <x:c r="L480" s="50"/>
      <x:c r="M480" s="58"/>
      <x:c r="N480" s="58"/>
      <x:c r="O480" s="62"/>
      <x:c r="P480" s="62"/>
      <x:c r="Q480" s="64" t="str">
        <x:f>IF(OR(B480="",C480="",C480&lt;B480),"",ROUNDUP((C480-B480)/7,0))</x:f>
      </x:c>
      <x:c r="R480" s="50"/>
      <x:c r="S480" s="50"/>
      <x:c r="T480" s="54"/>
      <x:c r="U480" s="66" t="str">
        <x:f>IF(A480="","",IF(K480="Subscription","",IF(ISNUMBER(G480),G480,0)-IF(ISNUMBER(I480),I480,0)))</x:f>
      </x:c>
      <x:c r="V480" s="64" t="str">
        <x:f>IF(OR(P480="",O480="",NOT(ISNUMBER(P480)),NOT(ISNUMBER(O480)),O480&gt;P480),"",P480-O480)</x:f>
      </x:c>
      <x:c r="W480" s="67" t="str">
        <x:f>IF(OR(P480="",P480=0,V480=""),"",V480/P480)</x:f>
      </x:c>
    </x:row>
    <x:row r="481" ht="21" customHeight="1">
      <x:c r="A481" s="54"/>
      <x:c r="B481" s="56"/>
      <x:c r="C481" s="56"/>
      <x:c r="D481" s="54"/>
      <x:c r="E481" s="58"/>
      <x:c r="F481" s="58"/>
      <x:c r="G481" s="58"/>
      <x:c r="H481" s="58"/>
      <x:c r="I481" s="58"/>
      <x:c r="J481" s="60" t="str">
        <x:f>IF(A481="","",IF(K481="Subscription","",IF(E481=0,"",IF(ISNUMBER(G481),G481/E481,IF(ISNUMBER(I481),-ABS(I481)/E481,IF(ISNUMBER(H481),0,IF(AND(ISNUMBER(F481),ISNUMBER(E481),E481&gt;0,F481&gt;E481),(F481-E481)/E481,IF(AND(ISNUMBER(F481),ISNUMBER(E481),E481&gt;0,F481=E481),0,IF(AND(ISNUMBER(F481),ISNUMBER(E481),E481&gt;0,F481=0),-1,"")))))))))</x:f>
      </x:c>
      <x:c r="K481" s="50" t="str">
        <x:f>IF(A481="","",IF(AND(ISNUMBER(E481),E481=0,OR(ISNUMBER(SEARCH("Free",D481&amp;"")),AND(ISNUMBER(F481),F481=0))),"Subscription",IF(ISNUMBER(G481),"Profit",IF(ISNUMBER(I481),"Disqualified",IF(ISNUMBER(H481),"Draw",IF(AND(ISNUMBER(F481),ISNUMBER(E481),E481&gt;0,F481&gt;E481),"Profit",IF(AND(ISNUMBER(F481),ISNUMBER(E481),E481&gt;0,F481=E481),"Draw",IF(AND(ISNUMBER(F481),ISNUMBER(E481),E481&gt;0,F481=0),"Disqualified",""))))))))</x:f>
      </x:c>
      <x:c r="L481" s="50"/>
      <x:c r="M481" s="58"/>
      <x:c r="N481" s="58"/>
      <x:c r="O481" s="62"/>
      <x:c r="P481" s="62"/>
      <x:c r="Q481" s="64" t="str">
        <x:f>IF(OR(B481="",C481="",C481&lt;B481),"",ROUNDUP((C481-B481)/7,0))</x:f>
      </x:c>
      <x:c r="R481" s="50"/>
      <x:c r="S481" s="50"/>
      <x:c r="T481" s="54"/>
      <x:c r="U481" s="66" t="str">
        <x:f>IF(A481="","",IF(K481="Subscription","",IF(ISNUMBER(G481),G481,0)-IF(ISNUMBER(I481),I481,0)))</x:f>
      </x:c>
      <x:c r="V481" s="64" t="str">
        <x:f>IF(OR(P481="",O481="",NOT(ISNUMBER(P481)),NOT(ISNUMBER(O481)),O481&gt;P481),"",P481-O481)</x:f>
      </x:c>
      <x:c r="W481" s="67" t="str">
        <x:f>IF(OR(P481="",P481=0,V481=""),"",V481/P481)</x:f>
      </x:c>
    </x:row>
    <x:row r="482" ht="21" customHeight="1">
      <x:c r="A482" s="54"/>
      <x:c r="B482" s="56"/>
      <x:c r="C482" s="56"/>
      <x:c r="D482" s="54"/>
      <x:c r="E482" s="58"/>
      <x:c r="F482" s="58"/>
      <x:c r="G482" s="58"/>
      <x:c r="H482" s="58"/>
      <x:c r="I482" s="58"/>
      <x:c r="J482" s="60" t="str">
        <x:f>IF(A482="","",IF(K482="Subscription","",IF(E482=0,"",IF(ISNUMBER(G482),G482/E482,IF(ISNUMBER(I482),-ABS(I482)/E482,IF(ISNUMBER(H482),0,IF(AND(ISNUMBER(F482),ISNUMBER(E482),E482&gt;0,F482&gt;E482),(F482-E482)/E482,IF(AND(ISNUMBER(F482),ISNUMBER(E482),E482&gt;0,F482=E482),0,IF(AND(ISNUMBER(F482),ISNUMBER(E482),E482&gt;0,F482=0),-1,"")))))))))</x:f>
      </x:c>
      <x:c r="K482" s="50" t="str">
        <x:f>IF(A482="","",IF(AND(ISNUMBER(E482),E482=0,OR(ISNUMBER(SEARCH("Free",D482&amp;"")),AND(ISNUMBER(F482),F482=0))),"Subscription",IF(ISNUMBER(G482),"Profit",IF(ISNUMBER(I482),"Disqualified",IF(ISNUMBER(H482),"Draw",IF(AND(ISNUMBER(F482),ISNUMBER(E482),E482&gt;0,F482&gt;E482),"Profit",IF(AND(ISNUMBER(F482),ISNUMBER(E482),E482&gt;0,F482=E482),"Draw",IF(AND(ISNUMBER(F482),ISNUMBER(E482),E482&gt;0,F482=0),"Disqualified",""))))))))</x:f>
      </x:c>
      <x:c r="L482" s="50"/>
      <x:c r="M482" s="58"/>
      <x:c r="N482" s="58"/>
      <x:c r="O482" s="62"/>
      <x:c r="P482" s="62"/>
      <x:c r="Q482" s="64" t="str">
        <x:f>IF(OR(B482="",C482="",C482&lt;B482),"",ROUNDUP((C482-B482)/7,0))</x:f>
      </x:c>
      <x:c r="R482" s="50"/>
      <x:c r="S482" s="50"/>
      <x:c r="T482" s="54"/>
      <x:c r="U482" s="66" t="str">
        <x:f>IF(A482="","",IF(K482="Subscription","",IF(ISNUMBER(G482),G482,0)-IF(ISNUMBER(I482),I482,0)))</x:f>
      </x:c>
      <x:c r="V482" s="64" t="str">
        <x:f>IF(OR(P482="",O482="",NOT(ISNUMBER(P482)),NOT(ISNUMBER(O482)),O482&gt;P482),"",P482-O482)</x:f>
      </x:c>
      <x:c r="W482" s="67" t="str">
        <x:f>IF(OR(P482="",P482=0,V482=""),"",V482/P482)</x:f>
      </x:c>
    </x:row>
    <x:row r="483" ht="21" customHeight="1">
      <x:c r="A483" s="54"/>
      <x:c r="B483" s="56"/>
      <x:c r="C483" s="56"/>
      <x:c r="D483" s="54"/>
      <x:c r="E483" s="58"/>
      <x:c r="F483" s="58"/>
      <x:c r="G483" s="58"/>
      <x:c r="H483" s="58"/>
      <x:c r="I483" s="58"/>
      <x:c r="J483" s="60" t="str">
        <x:f>IF(A483="","",IF(K483="Subscription","",IF(E483=0,"",IF(ISNUMBER(G483),G483/E483,IF(ISNUMBER(I483),-ABS(I483)/E483,IF(ISNUMBER(H483),0,IF(AND(ISNUMBER(F483),ISNUMBER(E483),E483&gt;0,F483&gt;E483),(F483-E483)/E483,IF(AND(ISNUMBER(F483),ISNUMBER(E483),E483&gt;0,F483=E483),0,IF(AND(ISNUMBER(F483),ISNUMBER(E483),E483&gt;0,F483=0),-1,"")))))))))</x:f>
      </x:c>
      <x:c r="K483" s="50" t="str">
        <x:f>IF(A483="","",IF(AND(ISNUMBER(E483),E483=0,OR(ISNUMBER(SEARCH("Free",D483&amp;"")),AND(ISNUMBER(F483),F483=0))),"Subscription",IF(ISNUMBER(G483),"Profit",IF(ISNUMBER(I483),"Disqualified",IF(ISNUMBER(H483),"Draw",IF(AND(ISNUMBER(F483),ISNUMBER(E483),E483&gt;0,F483&gt;E483),"Profit",IF(AND(ISNUMBER(F483),ISNUMBER(E483),E483&gt;0,F483=E483),"Draw",IF(AND(ISNUMBER(F483),ISNUMBER(E483),E483&gt;0,F483=0),"Disqualified",""))))))))</x:f>
      </x:c>
      <x:c r="L483" s="50"/>
      <x:c r="M483" s="58"/>
      <x:c r="N483" s="58"/>
      <x:c r="O483" s="62"/>
      <x:c r="P483" s="62"/>
      <x:c r="Q483" s="64" t="str">
        <x:f>IF(OR(B483="",C483="",C483&lt;B483),"",ROUNDUP((C483-B483)/7,0))</x:f>
      </x:c>
      <x:c r="R483" s="50"/>
      <x:c r="S483" s="50"/>
      <x:c r="T483" s="54"/>
      <x:c r="U483" s="66" t="str">
        <x:f>IF(A483="","",IF(K483="Subscription","",IF(ISNUMBER(G483),G483,0)-IF(ISNUMBER(I483),I483,0)))</x:f>
      </x:c>
      <x:c r="V483" s="64" t="str">
        <x:f>IF(OR(P483="",O483="",NOT(ISNUMBER(P483)),NOT(ISNUMBER(O483)),O483&gt;P483),"",P483-O483)</x:f>
      </x:c>
      <x:c r="W483" s="67" t="str">
        <x:f>IF(OR(P483="",P483=0,V483=""),"",V483/P483)</x:f>
      </x:c>
    </x:row>
    <x:row r="484" ht="21" customHeight="1">
      <x:c r="A484" s="54"/>
      <x:c r="B484" s="56"/>
      <x:c r="C484" s="56"/>
      <x:c r="D484" s="54"/>
      <x:c r="E484" s="58"/>
      <x:c r="F484" s="58"/>
      <x:c r="G484" s="58"/>
      <x:c r="H484" s="58"/>
      <x:c r="I484" s="58"/>
      <x:c r="J484" s="60" t="str">
        <x:f>IF(A484="","",IF(K484="Subscription","",IF(E484=0,"",IF(ISNUMBER(G484),G484/E484,IF(ISNUMBER(I484),-ABS(I484)/E484,IF(ISNUMBER(H484),0,IF(AND(ISNUMBER(F484),ISNUMBER(E484),E484&gt;0,F484&gt;E484),(F484-E484)/E484,IF(AND(ISNUMBER(F484),ISNUMBER(E484),E484&gt;0,F484=E484),0,IF(AND(ISNUMBER(F484),ISNUMBER(E484),E484&gt;0,F484=0),-1,"")))))))))</x:f>
      </x:c>
      <x:c r="K484" s="50" t="str">
        <x:f>IF(A484="","",IF(AND(ISNUMBER(E484),E484=0,OR(ISNUMBER(SEARCH("Free",D484&amp;"")),AND(ISNUMBER(F484),F484=0))),"Subscription",IF(ISNUMBER(G484),"Profit",IF(ISNUMBER(I484),"Disqualified",IF(ISNUMBER(H484),"Draw",IF(AND(ISNUMBER(F484),ISNUMBER(E484),E484&gt;0,F484&gt;E484),"Profit",IF(AND(ISNUMBER(F484),ISNUMBER(E484),E484&gt;0,F484=E484),"Draw",IF(AND(ISNUMBER(F484),ISNUMBER(E484),E484&gt;0,F484=0),"Disqualified",""))))))))</x:f>
      </x:c>
      <x:c r="L484" s="50"/>
      <x:c r="M484" s="58"/>
      <x:c r="N484" s="58"/>
      <x:c r="O484" s="62"/>
      <x:c r="P484" s="62"/>
      <x:c r="Q484" s="64" t="str">
        <x:f>IF(OR(B484="",C484="",C484&lt;B484),"",ROUNDUP((C484-B484)/7,0))</x:f>
      </x:c>
      <x:c r="R484" s="50"/>
      <x:c r="S484" s="50"/>
      <x:c r="T484" s="54"/>
      <x:c r="U484" s="66" t="str">
        <x:f>IF(A484="","",IF(K484="Subscription","",IF(ISNUMBER(G484),G484,0)-IF(ISNUMBER(I484),I484,0)))</x:f>
      </x:c>
      <x:c r="V484" s="64" t="str">
        <x:f>IF(OR(P484="",O484="",NOT(ISNUMBER(P484)),NOT(ISNUMBER(O484)),O484&gt;P484),"",P484-O484)</x:f>
      </x:c>
      <x:c r="W484" s="67" t="str">
        <x:f>IF(OR(P484="",P484=0,V484=""),"",V484/P484)</x:f>
      </x:c>
    </x:row>
    <x:row r="485" ht="21" customHeight="1">
      <x:c r="A485" s="54"/>
      <x:c r="B485" s="56"/>
      <x:c r="C485" s="56"/>
      <x:c r="D485" s="54"/>
      <x:c r="E485" s="58"/>
      <x:c r="F485" s="58"/>
      <x:c r="G485" s="58"/>
      <x:c r="H485" s="58"/>
      <x:c r="I485" s="58"/>
      <x:c r="J485" s="60" t="str">
        <x:f>IF(A485="","",IF(K485="Subscription","",IF(E485=0,"",IF(ISNUMBER(G485),G485/E485,IF(ISNUMBER(I485),-ABS(I485)/E485,IF(ISNUMBER(H485),0,IF(AND(ISNUMBER(F485),ISNUMBER(E485),E485&gt;0,F485&gt;E485),(F485-E485)/E485,IF(AND(ISNUMBER(F485),ISNUMBER(E485),E485&gt;0,F485=E485),0,IF(AND(ISNUMBER(F485),ISNUMBER(E485),E485&gt;0,F485=0),-1,"")))))))))</x:f>
      </x:c>
      <x:c r="K485" s="50" t="str">
        <x:f>IF(A485="","",IF(AND(ISNUMBER(E485),E485=0,OR(ISNUMBER(SEARCH("Free",D485&amp;"")),AND(ISNUMBER(F485),F485=0))),"Subscription",IF(ISNUMBER(G485),"Profit",IF(ISNUMBER(I485),"Disqualified",IF(ISNUMBER(H485),"Draw",IF(AND(ISNUMBER(F485),ISNUMBER(E485),E485&gt;0,F485&gt;E485),"Profit",IF(AND(ISNUMBER(F485),ISNUMBER(E485),E485&gt;0,F485=E485),"Draw",IF(AND(ISNUMBER(F485),ISNUMBER(E485),E485&gt;0,F485=0),"Disqualified",""))))))))</x:f>
      </x:c>
      <x:c r="L485" s="50"/>
      <x:c r="M485" s="58"/>
      <x:c r="N485" s="58"/>
      <x:c r="O485" s="62"/>
      <x:c r="P485" s="62"/>
      <x:c r="Q485" s="64" t="str">
        <x:f>IF(OR(B485="",C485="",C485&lt;B485),"",ROUNDUP((C485-B485)/7,0))</x:f>
      </x:c>
      <x:c r="R485" s="50"/>
      <x:c r="S485" s="50"/>
      <x:c r="T485" s="54"/>
      <x:c r="U485" s="66" t="str">
        <x:f>IF(A485="","",IF(K485="Subscription","",IF(ISNUMBER(G485),G485,0)-IF(ISNUMBER(I485),I485,0)))</x:f>
      </x:c>
      <x:c r="V485" s="64" t="str">
        <x:f>IF(OR(P485="",O485="",NOT(ISNUMBER(P485)),NOT(ISNUMBER(O485)),O485&gt;P485),"",P485-O485)</x:f>
      </x:c>
      <x:c r="W485" s="67" t="str">
        <x:f>IF(OR(P485="",P485=0,V485=""),"",V485/P485)</x:f>
      </x:c>
    </x:row>
    <x:row r="486" ht="21" customHeight="1">
      <x:c r="A486" s="54"/>
      <x:c r="B486" s="56"/>
      <x:c r="C486" s="56"/>
      <x:c r="D486" s="54"/>
      <x:c r="E486" s="58"/>
      <x:c r="F486" s="58"/>
      <x:c r="G486" s="58"/>
      <x:c r="H486" s="58"/>
      <x:c r="I486" s="58"/>
      <x:c r="J486" s="60" t="str">
        <x:f>IF(A486="","",IF(K486="Subscription","",IF(E486=0,"",IF(ISNUMBER(G486),G486/E486,IF(ISNUMBER(I486),-ABS(I486)/E486,IF(ISNUMBER(H486),0,IF(AND(ISNUMBER(F486),ISNUMBER(E486),E486&gt;0,F486&gt;E486),(F486-E486)/E486,IF(AND(ISNUMBER(F486),ISNUMBER(E486),E486&gt;0,F486=E486),0,IF(AND(ISNUMBER(F486),ISNUMBER(E486),E486&gt;0,F486=0),-1,"")))))))))</x:f>
      </x:c>
      <x:c r="K486" s="50" t="str">
        <x:f>IF(A486="","",IF(AND(ISNUMBER(E486),E486=0,OR(ISNUMBER(SEARCH("Free",D486&amp;"")),AND(ISNUMBER(F486),F486=0))),"Subscription",IF(ISNUMBER(G486),"Profit",IF(ISNUMBER(I486),"Disqualified",IF(ISNUMBER(H486),"Draw",IF(AND(ISNUMBER(F486),ISNUMBER(E486),E486&gt;0,F486&gt;E486),"Profit",IF(AND(ISNUMBER(F486),ISNUMBER(E486),E486&gt;0,F486=E486),"Draw",IF(AND(ISNUMBER(F486),ISNUMBER(E486),E486&gt;0,F486=0),"Disqualified",""))))))))</x:f>
      </x:c>
      <x:c r="L486" s="50"/>
      <x:c r="M486" s="58"/>
      <x:c r="N486" s="58"/>
      <x:c r="O486" s="62"/>
      <x:c r="P486" s="62"/>
      <x:c r="Q486" s="64" t="str">
        <x:f>IF(OR(B486="",C486="",C486&lt;B486),"",ROUNDUP((C486-B486)/7,0))</x:f>
      </x:c>
      <x:c r="R486" s="50"/>
      <x:c r="S486" s="50"/>
      <x:c r="T486" s="54"/>
      <x:c r="U486" s="66" t="str">
        <x:f>IF(A486="","",IF(K486="Subscription","",IF(ISNUMBER(G486),G486,0)-IF(ISNUMBER(I486),I486,0)))</x:f>
      </x:c>
      <x:c r="V486" s="64" t="str">
        <x:f>IF(OR(P486="",O486="",NOT(ISNUMBER(P486)),NOT(ISNUMBER(O486)),O486&gt;P486),"",P486-O486)</x:f>
      </x:c>
      <x:c r="W486" s="67" t="str">
        <x:f>IF(OR(P486="",P486=0,V486=""),"",V486/P486)</x:f>
      </x:c>
    </x:row>
    <x:row r="487" ht="21" customHeight="1">
      <x:c r="A487" s="54"/>
      <x:c r="B487" s="56"/>
      <x:c r="C487" s="56"/>
      <x:c r="D487" s="54"/>
      <x:c r="E487" s="58"/>
      <x:c r="F487" s="58"/>
      <x:c r="G487" s="58"/>
      <x:c r="H487" s="58"/>
      <x:c r="I487" s="58"/>
      <x:c r="J487" s="60" t="str">
        <x:f>IF(A487="","",IF(K487="Subscription","",IF(E487=0,"",IF(ISNUMBER(G487),G487/E487,IF(ISNUMBER(I487),-ABS(I487)/E487,IF(ISNUMBER(H487),0,IF(AND(ISNUMBER(F487),ISNUMBER(E487),E487&gt;0,F487&gt;E487),(F487-E487)/E487,IF(AND(ISNUMBER(F487),ISNUMBER(E487),E487&gt;0,F487=E487),0,IF(AND(ISNUMBER(F487),ISNUMBER(E487),E487&gt;0,F487=0),-1,"")))))))))</x:f>
      </x:c>
      <x:c r="K487" s="50" t="str">
        <x:f>IF(A487="","",IF(AND(ISNUMBER(E487),E487=0,OR(ISNUMBER(SEARCH("Free",D487&amp;"")),AND(ISNUMBER(F487),F487=0))),"Subscription",IF(ISNUMBER(G487),"Profit",IF(ISNUMBER(I487),"Disqualified",IF(ISNUMBER(H487),"Draw",IF(AND(ISNUMBER(F487),ISNUMBER(E487),E487&gt;0,F487&gt;E487),"Profit",IF(AND(ISNUMBER(F487),ISNUMBER(E487),E487&gt;0,F487=E487),"Draw",IF(AND(ISNUMBER(F487),ISNUMBER(E487),E487&gt;0,F487=0),"Disqualified",""))))))))</x:f>
      </x:c>
      <x:c r="L487" s="50"/>
      <x:c r="M487" s="58"/>
      <x:c r="N487" s="58"/>
      <x:c r="O487" s="62"/>
      <x:c r="P487" s="62"/>
      <x:c r="Q487" s="64" t="str">
        <x:f>IF(OR(B487="",C487="",C487&lt;B487),"",ROUNDUP((C487-B487)/7,0))</x:f>
      </x:c>
      <x:c r="R487" s="50"/>
      <x:c r="S487" s="50"/>
      <x:c r="T487" s="54"/>
      <x:c r="U487" s="66" t="str">
        <x:f>IF(A487="","",IF(K487="Subscription","",IF(ISNUMBER(G487),G487,0)-IF(ISNUMBER(I487),I487,0)))</x:f>
      </x:c>
      <x:c r="V487" s="64" t="str">
        <x:f>IF(OR(P487="",O487="",NOT(ISNUMBER(P487)),NOT(ISNUMBER(O487)),O487&gt;P487),"",P487-O487)</x:f>
      </x:c>
      <x:c r="W487" s="67" t="str">
        <x:f>IF(OR(P487="",P487=0,V487=""),"",V487/P487)</x:f>
      </x:c>
    </x:row>
    <x:row r="488" ht="21" customHeight="1">
      <x:c r="A488" s="54"/>
      <x:c r="B488" s="56"/>
      <x:c r="C488" s="56"/>
      <x:c r="D488" s="54"/>
      <x:c r="E488" s="58"/>
      <x:c r="F488" s="58"/>
      <x:c r="G488" s="58"/>
      <x:c r="H488" s="58"/>
      <x:c r="I488" s="58"/>
      <x:c r="J488" s="60" t="str">
        <x:f>IF(A488="","",IF(K488="Subscription","",IF(E488=0,"",IF(ISNUMBER(G488),G488/E488,IF(ISNUMBER(I488),-ABS(I488)/E488,IF(ISNUMBER(H488),0,IF(AND(ISNUMBER(F488),ISNUMBER(E488),E488&gt;0,F488&gt;E488),(F488-E488)/E488,IF(AND(ISNUMBER(F488),ISNUMBER(E488),E488&gt;0,F488=E488),0,IF(AND(ISNUMBER(F488),ISNUMBER(E488),E488&gt;0,F488=0),-1,"")))))))))</x:f>
      </x:c>
      <x:c r="K488" s="50" t="str">
        <x:f>IF(A488="","",IF(AND(ISNUMBER(E488),E488=0,OR(ISNUMBER(SEARCH("Free",D488&amp;"")),AND(ISNUMBER(F488),F488=0))),"Subscription",IF(ISNUMBER(G488),"Profit",IF(ISNUMBER(I488),"Disqualified",IF(ISNUMBER(H488),"Draw",IF(AND(ISNUMBER(F488),ISNUMBER(E488),E488&gt;0,F488&gt;E488),"Profit",IF(AND(ISNUMBER(F488),ISNUMBER(E488),E488&gt;0,F488=E488),"Draw",IF(AND(ISNUMBER(F488),ISNUMBER(E488),E488&gt;0,F488=0),"Disqualified",""))))))))</x:f>
      </x:c>
      <x:c r="L488" s="50"/>
      <x:c r="M488" s="58"/>
      <x:c r="N488" s="58"/>
      <x:c r="O488" s="62"/>
      <x:c r="P488" s="62"/>
      <x:c r="Q488" s="64" t="str">
        <x:f>IF(OR(B488="",C488="",C488&lt;B488),"",ROUNDUP((C488-B488)/7,0))</x:f>
      </x:c>
      <x:c r="R488" s="50"/>
      <x:c r="S488" s="50"/>
      <x:c r="T488" s="54"/>
      <x:c r="U488" s="66" t="str">
        <x:f>IF(A488="","",IF(K488="Subscription","",IF(ISNUMBER(G488),G488,0)-IF(ISNUMBER(I488),I488,0)))</x:f>
      </x:c>
      <x:c r="V488" s="64" t="str">
        <x:f>IF(OR(P488="",O488="",NOT(ISNUMBER(P488)),NOT(ISNUMBER(O488)),O488&gt;P488),"",P488-O488)</x:f>
      </x:c>
      <x:c r="W488" s="67" t="str">
        <x:f>IF(OR(P488="",P488=0,V488=""),"",V488/P488)</x:f>
      </x:c>
    </x:row>
    <x:row r="489" ht="21" customHeight="1">
      <x:c r="A489" s="54"/>
      <x:c r="B489" s="56"/>
      <x:c r="C489" s="56"/>
      <x:c r="D489" s="54"/>
      <x:c r="E489" s="58"/>
      <x:c r="F489" s="58"/>
      <x:c r="G489" s="58"/>
      <x:c r="H489" s="58"/>
      <x:c r="I489" s="58"/>
      <x:c r="J489" s="60" t="str">
        <x:f>IF(A489="","",IF(K489="Subscription","",IF(E489=0,"",IF(ISNUMBER(G489),G489/E489,IF(ISNUMBER(I489),-ABS(I489)/E489,IF(ISNUMBER(H489),0,IF(AND(ISNUMBER(F489),ISNUMBER(E489),E489&gt;0,F489&gt;E489),(F489-E489)/E489,IF(AND(ISNUMBER(F489),ISNUMBER(E489),E489&gt;0,F489=E489),0,IF(AND(ISNUMBER(F489),ISNUMBER(E489),E489&gt;0,F489=0),-1,"")))))))))</x:f>
      </x:c>
      <x:c r="K489" s="50" t="str">
        <x:f>IF(A489="","",IF(AND(ISNUMBER(E489),E489=0,OR(ISNUMBER(SEARCH("Free",D489&amp;"")),AND(ISNUMBER(F489),F489=0))),"Subscription",IF(ISNUMBER(G489),"Profit",IF(ISNUMBER(I489),"Disqualified",IF(ISNUMBER(H489),"Draw",IF(AND(ISNUMBER(F489),ISNUMBER(E489),E489&gt;0,F489&gt;E489),"Profit",IF(AND(ISNUMBER(F489),ISNUMBER(E489),E489&gt;0,F489=E489),"Draw",IF(AND(ISNUMBER(F489),ISNUMBER(E489),E489&gt;0,F489=0),"Disqualified",""))))))))</x:f>
      </x:c>
      <x:c r="L489" s="50"/>
      <x:c r="M489" s="58"/>
      <x:c r="N489" s="58"/>
      <x:c r="O489" s="62"/>
      <x:c r="P489" s="62"/>
      <x:c r="Q489" s="64" t="str">
        <x:f>IF(OR(B489="",C489="",C489&lt;B489),"",ROUNDUP((C489-B489)/7,0))</x:f>
      </x:c>
      <x:c r="R489" s="50"/>
      <x:c r="S489" s="50"/>
      <x:c r="T489" s="54"/>
      <x:c r="U489" s="66" t="str">
        <x:f>IF(A489="","",IF(K489="Subscription","",IF(ISNUMBER(G489),G489,0)-IF(ISNUMBER(I489),I489,0)))</x:f>
      </x:c>
      <x:c r="V489" s="64" t="str">
        <x:f>IF(OR(P489="",O489="",NOT(ISNUMBER(P489)),NOT(ISNUMBER(O489)),O489&gt;P489),"",P489-O489)</x:f>
      </x:c>
      <x:c r="W489" s="67" t="str">
        <x:f>IF(OR(P489="",P489=0,V489=""),"",V489/P489)</x:f>
      </x:c>
    </x:row>
    <x:row r="490" ht="21" customHeight="1">
      <x:c r="A490" s="54"/>
      <x:c r="B490" s="56"/>
      <x:c r="C490" s="56"/>
      <x:c r="D490" s="54"/>
      <x:c r="E490" s="58"/>
      <x:c r="F490" s="58"/>
      <x:c r="G490" s="58"/>
      <x:c r="H490" s="58"/>
      <x:c r="I490" s="58"/>
      <x:c r="J490" s="60" t="str">
        <x:f>IF(A490="","",IF(K490="Subscription","",IF(E490=0,"",IF(ISNUMBER(G490),G490/E490,IF(ISNUMBER(I490),-ABS(I490)/E490,IF(ISNUMBER(H490),0,IF(AND(ISNUMBER(F490),ISNUMBER(E490),E490&gt;0,F490&gt;E490),(F490-E490)/E490,IF(AND(ISNUMBER(F490),ISNUMBER(E490),E490&gt;0,F490=E490),0,IF(AND(ISNUMBER(F490),ISNUMBER(E490),E490&gt;0,F490=0),-1,"")))))))))</x:f>
      </x:c>
      <x:c r="K490" s="50" t="str">
        <x:f>IF(A490="","",IF(AND(ISNUMBER(E490),E490=0,OR(ISNUMBER(SEARCH("Free",D490&amp;"")),AND(ISNUMBER(F490),F490=0))),"Subscription",IF(ISNUMBER(G490),"Profit",IF(ISNUMBER(I490),"Disqualified",IF(ISNUMBER(H490),"Draw",IF(AND(ISNUMBER(F490),ISNUMBER(E490),E490&gt;0,F490&gt;E490),"Profit",IF(AND(ISNUMBER(F490),ISNUMBER(E490),E490&gt;0,F490=E490),"Draw",IF(AND(ISNUMBER(F490),ISNUMBER(E490),E490&gt;0,F490=0),"Disqualified",""))))))))</x:f>
      </x:c>
      <x:c r="L490" s="50"/>
      <x:c r="M490" s="58"/>
      <x:c r="N490" s="58"/>
      <x:c r="O490" s="62"/>
      <x:c r="P490" s="62"/>
      <x:c r="Q490" s="64" t="str">
        <x:f>IF(OR(B490="",C490="",C490&lt;B490),"",ROUNDUP((C490-B490)/7,0))</x:f>
      </x:c>
      <x:c r="R490" s="50"/>
      <x:c r="S490" s="50"/>
      <x:c r="T490" s="54"/>
      <x:c r="U490" s="66" t="str">
        <x:f>IF(A490="","",IF(K490="Subscription","",IF(ISNUMBER(G490),G490,0)-IF(ISNUMBER(I490),I490,0)))</x:f>
      </x:c>
      <x:c r="V490" s="64" t="str">
        <x:f>IF(OR(P490="",O490="",NOT(ISNUMBER(P490)),NOT(ISNUMBER(O490)),O490&gt;P490),"",P490-O490)</x:f>
      </x:c>
      <x:c r="W490" s="67" t="str">
        <x:f>IF(OR(P490="",P490=0,V490=""),"",V490/P490)</x:f>
      </x:c>
    </x:row>
    <x:row r="491" ht="21" customHeight="1">
      <x:c r="A491" s="54"/>
      <x:c r="B491" s="56"/>
      <x:c r="C491" s="56"/>
      <x:c r="D491" s="54"/>
      <x:c r="E491" s="58"/>
      <x:c r="F491" s="58"/>
      <x:c r="G491" s="58"/>
      <x:c r="H491" s="58"/>
      <x:c r="I491" s="58"/>
      <x:c r="J491" s="60" t="str">
        <x:f>IF(A491="","",IF(K491="Subscription","",IF(E491=0,"",IF(ISNUMBER(G491),G491/E491,IF(ISNUMBER(I491),-ABS(I491)/E491,IF(ISNUMBER(H491),0,IF(AND(ISNUMBER(F491),ISNUMBER(E491),E491&gt;0,F491&gt;E491),(F491-E491)/E491,IF(AND(ISNUMBER(F491),ISNUMBER(E491),E491&gt;0,F491=E491),0,IF(AND(ISNUMBER(F491),ISNUMBER(E491),E491&gt;0,F491=0),-1,"")))))))))</x:f>
      </x:c>
      <x:c r="K491" s="50" t="str">
        <x:f>IF(A491="","",IF(AND(ISNUMBER(E491),E491=0,OR(ISNUMBER(SEARCH("Free",D491&amp;"")),AND(ISNUMBER(F491),F491=0))),"Subscription",IF(ISNUMBER(G491),"Profit",IF(ISNUMBER(I491),"Disqualified",IF(ISNUMBER(H491),"Draw",IF(AND(ISNUMBER(F491),ISNUMBER(E491),E491&gt;0,F491&gt;E491),"Profit",IF(AND(ISNUMBER(F491),ISNUMBER(E491),E491&gt;0,F491=E491),"Draw",IF(AND(ISNUMBER(F491),ISNUMBER(E491),E491&gt;0,F491=0),"Disqualified",""))))))))</x:f>
      </x:c>
      <x:c r="L491" s="50"/>
      <x:c r="M491" s="58"/>
      <x:c r="N491" s="58"/>
      <x:c r="O491" s="62"/>
      <x:c r="P491" s="62"/>
      <x:c r="Q491" s="64" t="str">
        <x:f>IF(OR(B491="",C491="",C491&lt;B491),"",ROUNDUP((C491-B491)/7,0))</x:f>
      </x:c>
      <x:c r="R491" s="50"/>
      <x:c r="S491" s="50"/>
      <x:c r="T491" s="54"/>
      <x:c r="U491" s="66" t="str">
        <x:f>IF(A491="","",IF(K491="Subscription","",IF(ISNUMBER(G491),G491,0)-IF(ISNUMBER(I491),I491,0)))</x:f>
      </x:c>
      <x:c r="V491" s="64" t="str">
        <x:f>IF(OR(P491="",O491="",NOT(ISNUMBER(P491)),NOT(ISNUMBER(O491)),O491&gt;P491),"",P491-O491)</x:f>
      </x:c>
      <x:c r="W491" s="67" t="str">
        <x:f>IF(OR(P491="",P491=0,V491=""),"",V491/P491)</x:f>
      </x:c>
    </x:row>
    <x:row r="492" ht="21" customHeight="1">
      <x:c r="A492" s="54"/>
      <x:c r="B492" s="56"/>
      <x:c r="C492" s="56"/>
      <x:c r="D492" s="54"/>
      <x:c r="E492" s="58"/>
      <x:c r="F492" s="58"/>
      <x:c r="G492" s="58"/>
      <x:c r="H492" s="58"/>
      <x:c r="I492" s="58"/>
      <x:c r="J492" s="60" t="str">
        <x:f>IF(A492="","",IF(K492="Subscription","",IF(E492=0,"",IF(ISNUMBER(G492),G492/E492,IF(ISNUMBER(I492),-ABS(I492)/E492,IF(ISNUMBER(H492),0,IF(AND(ISNUMBER(F492),ISNUMBER(E492),E492&gt;0,F492&gt;E492),(F492-E492)/E492,IF(AND(ISNUMBER(F492),ISNUMBER(E492),E492&gt;0,F492=E492),0,IF(AND(ISNUMBER(F492),ISNUMBER(E492),E492&gt;0,F492=0),-1,"")))))))))</x:f>
      </x:c>
      <x:c r="K492" s="50" t="str">
        <x:f>IF(A492="","",IF(AND(ISNUMBER(E492),E492=0,OR(ISNUMBER(SEARCH("Free",D492&amp;"")),AND(ISNUMBER(F492),F492=0))),"Subscription",IF(ISNUMBER(G492),"Profit",IF(ISNUMBER(I492),"Disqualified",IF(ISNUMBER(H492),"Draw",IF(AND(ISNUMBER(F492),ISNUMBER(E492),E492&gt;0,F492&gt;E492),"Profit",IF(AND(ISNUMBER(F492),ISNUMBER(E492),E492&gt;0,F492=E492),"Draw",IF(AND(ISNUMBER(F492),ISNUMBER(E492),E492&gt;0,F492=0),"Disqualified",""))))))))</x:f>
      </x:c>
      <x:c r="L492" s="50"/>
      <x:c r="M492" s="58"/>
      <x:c r="N492" s="58"/>
      <x:c r="O492" s="62"/>
      <x:c r="P492" s="62"/>
      <x:c r="Q492" s="64" t="str">
        <x:f>IF(OR(B492="",C492="",C492&lt;B492),"",ROUNDUP((C492-B492)/7,0))</x:f>
      </x:c>
      <x:c r="R492" s="50"/>
      <x:c r="S492" s="50"/>
      <x:c r="T492" s="54"/>
      <x:c r="U492" s="66" t="str">
        <x:f>IF(A492="","",IF(K492="Subscription","",IF(ISNUMBER(G492),G492,0)-IF(ISNUMBER(I492),I492,0)))</x:f>
      </x:c>
      <x:c r="V492" s="64" t="str">
        <x:f>IF(OR(P492="",O492="",NOT(ISNUMBER(P492)),NOT(ISNUMBER(O492)),O492&gt;P492),"",P492-O492)</x:f>
      </x:c>
      <x:c r="W492" s="67" t="str">
        <x:f>IF(OR(P492="",P492=0,V492=""),"",V492/P492)</x:f>
      </x:c>
    </x:row>
    <x:row r="493" ht="21" customHeight="1">
      <x:c r="A493" s="54"/>
      <x:c r="B493" s="56"/>
      <x:c r="C493" s="56"/>
      <x:c r="D493" s="54"/>
      <x:c r="E493" s="58"/>
      <x:c r="F493" s="58"/>
      <x:c r="G493" s="58"/>
      <x:c r="H493" s="58"/>
      <x:c r="I493" s="58"/>
      <x:c r="J493" s="60" t="str">
        <x:f>IF(A493="","",IF(K493="Subscription","",IF(E493=0,"",IF(ISNUMBER(G493),G493/E493,IF(ISNUMBER(I493),-ABS(I493)/E493,IF(ISNUMBER(H493),0,IF(AND(ISNUMBER(F493),ISNUMBER(E493),E493&gt;0,F493&gt;E493),(F493-E493)/E493,IF(AND(ISNUMBER(F493),ISNUMBER(E493),E493&gt;0,F493=E493),0,IF(AND(ISNUMBER(F493),ISNUMBER(E493),E493&gt;0,F493=0),-1,"")))))))))</x:f>
      </x:c>
      <x:c r="K493" s="50" t="str">
        <x:f>IF(A493="","",IF(AND(ISNUMBER(E493),E493=0,OR(ISNUMBER(SEARCH("Free",D493&amp;"")),AND(ISNUMBER(F493),F493=0))),"Subscription",IF(ISNUMBER(G493),"Profit",IF(ISNUMBER(I493),"Disqualified",IF(ISNUMBER(H493),"Draw",IF(AND(ISNUMBER(F493),ISNUMBER(E493),E493&gt;0,F493&gt;E493),"Profit",IF(AND(ISNUMBER(F493),ISNUMBER(E493),E493&gt;0,F493=E493),"Draw",IF(AND(ISNUMBER(F493),ISNUMBER(E493),E493&gt;0,F493=0),"Disqualified",""))))))))</x:f>
      </x:c>
      <x:c r="L493" s="50"/>
      <x:c r="M493" s="58"/>
      <x:c r="N493" s="58"/>
      <x:c r="O493" s="62"/>
      <x:c r="P493" s="62"/>
      <x:c r="Q493" s="64" t="str">
        <x:f>IF(OR(B493="",C493="",C493&lt;B493),"",ROUNDUP((C493-B493)/7,0))</x:f>
      </x:c>
      <x:c r="R493" s="50"/>
      <x:c r="S493" s="50"/>
      <x:c r="T493" s="54"/>
      <x:c r="U493" s="66" t="str">
        <x:f>IF(A493="","",IF(K493="Subscription","",IF(ISNUMBER(G493),G493,0)-IF(ISNUMBER(I493),I493,0)))</x:f>
      </x:c>
      <x:c r="V493" s="64" t="str">
        <x:f>IF(OR(P493="",O493="",NOT(ISNUMBER(P493)),NOT(ISNUMBER(O493)),O493&gt;P493),"",P493-O493)</x:f>
      </x:c>
      <x:c r="W493" s="67" t="str">
        <x:f>IF(OR(P493="",P493=0,V493=""),"",V493/P493)</x:f>
      </x:c>
    </x:row>
    <x:row r="494" ht="21" customHeight="1">
      <x:c r="A494" s="54"/>
      <x:c r="B494" s="56"/>
      <x:c r="C494" s="56"/>
      <x:c r="D494" s="54"/>
      <x:c r="E494" s="58"/>
      <x:c r="F494" s="58"/>
      <x:c r="G494" s="58"/>
      <x:c r="H494" s="58"/>
      <x:c r="I494" s="58"/>
      <x:c r="J494" s="60" t="str">
        <x:f>IF(A494="","",IF(K494="Subscription","",IF(E494=0,"",IF(ISNUMBER(G494),G494/E494,IF(ISNUMBER(I494),-ABS(I494)/E494,IF(ISNUMBER(H494),0,IF(AND(ISNUMBER(F494),ISNUMBER(E494),E494&gt;0,F494&gt;E494),(F494-E494)/E494,IF(AND(ISNUMBER(F494),ISNUMBER(E494),E494&gt;0,F494=E494),0,IF(AND(ISNUMBER(F494),ISNUMBER(E494),E494&gt;0,F494=0),-1,"")))))))))</x:f>
      </x:c>
      <x:c r="K494" s="50" t="str">
        <x:f>IF(A494="","",IF(AND(ISNUMBER(E494),E494=0,OR(ISNUMBER(SEARCH("Free",D494&amp;"")),AND(ISNUMBER(F494),F494=0))),"Subscription",IF(ISNUMBER(G494),"Profit",IF(ISNUMBER(I494),"Disqualified",IF(ISNUMBER(H494),"Draw",IF(AND(ISNUMBER(F494),ISNUMBER(E494),E494&gt;0,F494&gt;E494),"Profit",IF(AND(ISNUMBER(F494),ISNUMBER(E494),E494&gt;0,F494=E494),"Draw",IF(AND(ISNUMBER(F494),ISNUMBER(E494),E494&gt;0,F494=0),"Disqualified",""))))))))</x:f>
      </x:c>
      <x:c r="L494" s="50"/>
      <x:c r="M494" s="58"/>
      <x:c r="N494" s="58"/>
      <x:c r="O494" s="62"/>
      <x:c r="P494" s="62"/>
      <x:c r="Q494" s="64" t="str">
        <x:f>IF(OR(B494="",C494="",C494&lt;B494),"",ROUNDUP((C494-B494)/7,0))</x:f>
      </x:c>
      <x:c r="R494" s="50"/>
      <x:c r="S494" s="50"/>
      <x:c r="T494" s="54"/>
      <x:c r="U494" s="66" t="str">
        <x:f>IF(A494="","",IF(K494="Subscription","",IF(ISNUMBER(G494),G494,0)-IF(ISNUMBER(I494),I494,0)))</x:f>
      </x:c>
      <x:c r="V494" s="64" t="str">
        <x:f>IF(OR(P494="",O494="",NOT(ISNUMBER(P494)),NOT(ISNUMBER(O494)),O494&gt;P494),"",P494-O494)</x:f>
      </x:c>
      <x:c r="W494" s="67" t="str">
        <x:f>IF(OR(P494="",P494=0,V494=""),"",V494/P494)</x:f>
      </x:c>
    </x:row>
    <x:row r="495" ht="21" customHeight="1">
      <x:c r="A495" s="54"/>
      <x:c r="B495" s="56"/>
      <x:c r="C495" s="56"/>
      <x:c r="D495" s="54"/>
      <x:c r="E495" s="58"/>
      <x:c r="F495" s="58"/>
      <x:c r="G495" s="58"/>
      <x:c r="H495" s="58"/>
      <x:c r="I495" s="58"/>
      <x:c r="J495" s="60" t="str">
        <x:f>IF(A495="","",IF(K495="Subscription","",IF(E495=0,"",IF(ISNUMBER(G495),G495/E495,IF(ISNUMBER(I495),-ABS(I495)/E495,IF(ISNUMBER(H495),0,IF(AND(ISNUMBER(F495),ISNUMBER(E495),E495&gt;0,F495&gt;E495),(F495-E495)/E495,IF(AND(ISNUMBER(F495),ISNUMBER(E495),E495&gt;0,F495=E495),0,IF(AND(ISNUMBER(F495),ISNUMBER(E495),E495&gt;0,F495=0),-1,"")))))))))</x:f>
      </x:c>
      <x:c r="K495" s="50" t="str">
        <x:f>IF(A495="","",IF(AND(ISNUMBER(E495),E495=0,OR(ISNUMBER(SEARCH("Free",D495&amp;"")),AND(ISNUMBER(F495),F495=0))),"Subscription",IF(ISNUMBER(G495),"Profit",IF(ISNUMBER(I495),"Disqualified",IF(ISNUMBER(H495),"Draw",IF(AND(ISNUMBER(F495),ISNUMBER(E495),E495&gt;0,F495&gt;E495),"Profit",IF(AND(ISNUMBER(F495),ISNUMBER(E495),E495&gt;0,F495=E495),"Draw",IF(AND(ISNUMBER(F495),ISNUMBER(E495),E495&gt;0,F495=0),"Disqualified",""))))))))</x:f>
      </x:c>
      <x:c r="L495" s="50"/>
      <x:c r="M495" s="58"/>
      <x:c r="N495" s="58"/>
      <x:c r="O495" s="62"/>
      <x:c r="P495" s="62"/>
      <x:c r="Q495" s="64" t="str">
        <x:f>IF(OR(B495="",C495="",C495&lt;B495),"",ROUNDUP((C495-B495)/7,0))</x:f>
      </x:c>
      <x:c r="R495" s="50"/>
      <x:c r="S495" s="50"/>
      <x:c r="T495" s="54"/>
      <x:c r="U495" s="66" t="str">
        <x:f>IF(A495="","",IF(K495="Subscription","",IF(ISNUMBER(G495),G495,0)-IF(ISNUMBER(I495),I495,0)))</x:f>
      </x:c>
      <x:c r="V495" s="64" t="str">
        <x:f>IF(OR(P495="",O495="",NOT(ISNUMBER(P495)),NOT(ISNUMBER(O495)),O495&gt;P495),"",P495-O495)</x:f>
      </x:c>
      <x:c r="W495" s="67" t="str">
        <x:f>IF(OR(P495="",P495=0,V495=""),"",V495/P495)</x:f>
      </x:c>
    </x:row>
    <x:row r="496" ht="21" customHeight="1">
      <x:c r="A496" s="54"/>
      <x:c r="B496" s="56"/>
      <x:c r="C496" s="56"/>
      <x:c r="D496" s="54"/>
      <x:c r="E496" s="58"/>
      <x:c r="F496" s="58"/>
      <x:c r="G496" s="58"/>
      <x:c r="H496" s="58"/>
      <x:c r="I496" s="58"/>
      <x:c r="J496" s="60" t="str">
        <x:f>IF(A496="","",IF(K496="Subscription","",IF(E496=0,"",IF(ISNUMBER(G496),G496/E496,IF(ISNUMBER(I496),-ABS(I496)/E496,IF(ISNUMBER(H496),0,IF(AND(ISNUMBER(F496),ISNUMBER(E496),E496&gt;0,F496&gt;E496),(F496-E496)/E496,IF(AND(ISNUMBER(F496),ISNUMBER(E496),E496&gt;0,F496=E496),0,IF(AND(ISNUMBER(F496),ISNUMBER(E496),E496&gt;0,F496=0),-1,"")))))))))</x:f>
      </x:c>
      <x:c r="K496" s="50" t="str">
        <x:f>IF(A496="","",IF(AND(ISNUMBER(E496),E496=0,OR(ISNUMBER(SEARCH("Free",D496&amp;"")),AND(ISNUMBER(F496),F496=0))),"Subscription",IF(ISNUMBER(G496),"Profit",IF(ISNUMBER(I496),"Disqualified",IF(ISNUMBER(H496),"Draw",IF(AND(ISNUMBER(F496),ISNUMBER(E496),E496&gt;0,F496&gt;E496),"Profit",IF(AND(ISNUMBER(F496),ISNUMBER(E496),E496&gt;0,F496=E496),"Draw",IF(AND(ISNUMBER(F496),ISNUMBER(E496),E496&gt;0,F496=0),"Disqualified",""))))))))</x:f>
      </x:c>
      <x:c r="L496" s="50"/>
      <x:c r="M496" s="58"/>
      <x:c r="N496" s="58"/>
      <x:c r="O496" s="62"/>
      <x:c r="P496" s="62"/>
      <x:c r="Q496" s="64" t="str">
        <x:f>IF(OR(B496="",C496="",C496&lt;B496),"",ROUNDUP((C496-B496)/7,0))</x:f>
      </x:c>
      <x:c r="R496" s="50"/>
      <x:c r="S496" s="50"/>
      <x:c r="T496" s="54"/>
      <x:c r="U496" s="66" t="str">
        <x:f>IF(A496="","",IF(K496="Subscription","",IF(ISNUMBER(G496),G496,0)-IF(ISNUMBER(I496),I496,0)))</x:f>
      </x:c>
      <x:c r="V496" s="64" t="str">
        <x:f>IF(OR(P496="",O496="",NOT(ISNUMBER(P496)),NOT(ISNUMBER(O496)),O496&gt;P496),"",P496-O496)</x:f>
      </x:c>
      <x:c r="W496" s="67" t="str">
        <x:f>IF(OR(P496="",P496=0,V496=""),"",V496/P496)</x:f>
      </x:c>
    </x:row>
    <x:row r="497" ht="21" customHeight="1">
      <x:c r="A497" s="54"/>
      <x:c r="B497" s="56"/>
      <x:c r="C497" s="56"/>
      <x:c r="D497" s="54"/>
      <x:c r="E497" s="58"/>
      <x:c r="F497" s="58"/>
      <x:c r="G497" s="58"/>
      <x:c r="H497" s="58"/>
      <x:c r="I497" s="58"/>
      <x:c r="J497" s="60" t="str">
        <x:f>IF(A497="","",IF(K497="Subscription","",IF(E497=0,"",IF(ISNUMBER(G497),G497/E497,IF(ISNUMBER(I497),-ABS(I497)/E497,IF(ISNUMBER(H497),0,IF(AND(ISNUMBER(F497),ISNUMBER(E497),E497&gt;0,F497&gt;E497),(F497-E497)/E497,IF(AND(ISNUMBER(F497),ISNUMBER(E497),E497&gt;0,F497=E497),0,IF(AND(ISNUMBER(F497),ISNUMBER(E497),E497&gt;0,F497=0),-1,"")))))))))</x:f>
      </x:c>
      <x:c r="K497" s="50" t="str">
        <x:f>IF(A497="","",IF(AND(ISNUMBER(E497),E497=0,OR(ISNUMBER(SEARCH("Free",D497&amp;"")),AND(ISNUMBER(F497),F497=0))),"Subscription",IF(ISNUMBER(G497),"Profit",IF(ISNUMBER(I497),"Disqualified",IF(ISNUMBER(H497),"Draw",IF(AND(ISNUMBER(F497),ISNUMBER(E497),E497&gt;0,F497&gt;E497),"Profit",IF(AND(ISNUMBER(F497),ISNUMBER(E497),E497&gt;0,F497=E497),"Draw",IF(AND(ISNUMBER(F497),ISNUMBER(E497),E497&gt;0,F497=0),"Disqualified",""))))))))</x:f>
      </x:c>
      <x:c r="L497" s="50"/>
      <x:c r="M497" s="58"/>
      <x:c r="N497" s="58"/>
      <x:c r="O497" s="62"/>
      <x:c r="P497" s="62"/>
      <x:c r="Q497" s="64" t="str">
        <x:f>IF(OR(B497="",C497="",C497&lt;B497),"",ROUNDUP((C497-B497)/7,0))</x:f>
      </x:c>
      <x:c r="R497" s="50"/>
      <x:c r="S497" s="50"/>
      <x:c r="T497" s="54"/>
      <x:c r="U497" s="66" t="str">
        <x:f>IF(A497="","",IF(K497="Subscription","",IF(ISNUMBER(G497),G497,0)-IF(ISNUMBER(I497),I497,0)))</x:f>
      </x:c>
      <x:c r="V497" s="64" t="str">
        <x:f>IF(OR(P497="",O497="",NOT(ISNUMBER(P497)),NOT(ISNUMBER(O497)),O497&gt;P497),"",P497-O497)</x:f>
      </x:c>
      <x:c r="W497" s="67" t="str">
        <x:f>IF(OR(P497="",P497=0,V497=""),"",V497/P497)</x:f>
      </x:c>
    </x:row>
    <x:row r="498" ht="21" customHeight="1">
      <x:c r="A498" s="54"/>
      <x:c r="B498" s="56"/>
      <x:c r="C498" s="56"/>
      <x:c r="D498" s="54"/>
      <x:c r="E498" s="58"/>
      <x:c r="F498" s="58"/>
      <x:c r="G498" s="58"/>
      <x:c r="H498" s="58"/>
      <x:c r="I498" s="58"/>
      <x:c r="J498" s="60" t="str">
        <x:f>IF(A498="","",IF(K498="Subscription","",IF(E498=0,"",IF(ISNUMBER(G498),G498/E498,IF(ISNUMBER(I498),-ABS(I498)/E498,IF(ISNUMBER(H498),0,IF(AND(ISNUMBER(F498),ISNUMBER(E498),E498&gt;0,F498&gt;E498),(F498-E498)/E498,IF(AND(ISNUMBER(F498),ISNUMBER(E498),E498&gt;0,F498=E498),0,IF(AND(ISNUMBER(F498),ISNUMBER(E498),E498&gt;0,F498=0),-1,"")))))))))</x:f>
      </x:c>
      <x:c r="K498" s="50" t="str">
        <x:f>IF(A498="","",IF(AND(ISNUMBER(E498),E498=0,OR(ISNUMBER(SEARCH("Free",D498&amp;"")),AND(ISNUMBER(F498),F498=0))),"Subscription",IF(ISNUMBER(G498),"Profit",IF(ISNUMBER(I498),"Disqualified",IF(ISNUMBER(H498),"Draw",IF(AND(ISNUMBER(F498),ISNUMBER(E498),E498&gt;0,F498&gt;E498),"Profit",IF(AND(ISNUMBER(F498),ISNUMBER(E498),E498&gt;0,F498=E498),"Draw",IF(AND(ISNUMBER(F498),ISNUMBER(E498),E498&gt;0,F498=0),"Disqualified",""))))))))</x:f>
      </x:c>
      <x:c r="L498" s="50"/>
      <x:c r="M498" s="58"/>
      <x:c r="N498" s="58"/>
      <x:c r="O498" s="62"/>
      <x:c r="P498" s="62"/>
      <x:c r="Q498" s="64" t="str">
        <x:f>IF(OR(B498="",C498="",C498&lt;B498),"",ROUNDUP((C498-B498)/7,0))</x:f>
      </x:c>
      <x:c r="R498" s="50"/>
      <x:c r="S498" s="50"/>
      <x:c r="T498" s="54"/>
      <x:c r="U498" s="66" t="str">
        <x:f>IF(A498="","",IF(K498="Subscription","",IF(ISNUMBER(G498),G498,0)-IF(ISNUMBER(I498),I498,0)))</x:f>
      </x:c>
      <x:c r="V498" s="64" t="str">
        <x:f>IF(OR(P498="",O498="",NOT(ISNUMBER(P498)),NOT(ISNUMBER(O498)),O498&gt;P498),"",P498-O498)</x:f>
      </x:c>
      <x:c r="W498" s="67" t="str">
        <x:f>IF(OR(P498="",P498=0,V498=""),"",V498/P498)</x:f>
      </x:c>
    </x:row>
    <x:row r="499" ht="21" customHeight="1">
      <x:c r="A499" s="54"/>
      <x:c r="B499" s="56"/>
      <x:c r="C499" s="56"/>
      <x:c r="D499" s="54"/>
      <x:c r="E499" s="58"/>
      <x:c r="F499" s="58"/>
      <x:c r="G499" s="58"/>
      <x:c r="H499" s="58"/>
      <x:c r="I499" s="58"/>
      <x:c r="J499" s="60" t="str">
        <x:f>IF(A499="","",IF(K499="Subscription","",IF(E499=0,"",IF(ISNUMBER(G499),G499/E499,IF(ISNUMBER(I499),-ABS(I499)/E499,IF(ISNUMBER(H499),0,IF(AND(ISNUMBER(F499),ISNUMBER(E499),E499&gt;0,F499&gt;E499),(F499-E499)/E499,IF(AND(ISNUMBER(F499),ISNUMBER(E499),E499&gt;0,F499=E499),0,IF(AND(ISNUMBER(F499),ISNUMBER(E499),E499&gt;0,F499=0),-1,"")))))))))</x:f>
      </x:c>
      <x:c r="K499" s="50" t="str">
        <x:f>IF(A499="","",IF(AND(ISNUMBER(E499),E499=0,OR(ISNUMBER(SEARCH("Free",D499&amp;"")),AND(ISNUMBER(F499),F499=0))),"Subscription",IF(ISNUMBER(G499),"Profit",IF(ISNUMBER(I499),"Disqualified",IF(ISNUMBER(H499),"Draw",IF(AND(ISNUMBER(F499),ISNUMBER(E499),E499&gt;0,F499&gt;E499),"Profit",IF(AND(ISNUMBER(F499),ISNUMBER(E499),E499&gt;0,F499=E499),"Draw",IF(AND(ISNUMBER(F499),ISNUMBER(E499),E499&gt;0,F499=0),"Disqualified",""))))))))</x:f>
      </x:c>
      <x:c r="L499" s="50"/>
      <x:c r="M499" s="58"/>
      <x:c r="N499" s="58"/>
      <x:c r="O499" s="62"/>
      <x:c r="P499" s="62"/>
      <x:c r="Q499" s="64" t="str">
        <x:f>IF(OR(B499="",C499="",C499&lt;B499),"",ROUNDUP((C499-B499)/7,0))</x:f>
      </x:c>
      <x:c r="R499" s="50"/>
      <x:c r="S499" s="50"/>
      <x:c r="T499" s="54"/>
      <x:c r="U499" s="66" t="str">
        <x:f>IF(A499="","",IF(K499="Subscription","",IF(ISNUMBER(G499),G499,0)-IF(ISNUMBER(I499),I499,0)))</x:f>
      </x:c>
      <x:c r="V499" s="64" t="str">
        <x:f>IF(OR(P499="",O499="",NOT(ISNUMBER(P499)),NOT(ISNUMBER(O499)),O499&gt;P499),"",P499-O499)</x:f>
      </x:c>
      <x:c r="W499" s="67" t="str">
        <x:f>IF(OR(P499="",P499=0,V499=""),"",V499/P499)</x:f>
      </x:c>
    </x:row>
    <x:row r="500" ht="21" customHeight="1">
      <x:c r="A500" s="54"/>
      <x:c r="B500" s="56"/>
      <x:c r="C500" s="56"/>
      <x:c r="D500" s="54"/>
      <x:c r="E500" s="58"/>
      <x:c r="F500" s="58"/>
      <x:c r="G500" s="58"/>
      <x:c r="H500" s="58"/>
      <x:c r="I500" s="58"/>
      <x:c r="J500" s="60" t="str">
        <x:f>IF(A500="","",IF(K500="Subscription","",IF(E500=0,"",IF(ISNUMBER(G500),G500/E500,IF(ISNUMBER(I500),-ABS(I500)/E500,IF(ISNUMBER(H500),0,IF(AND(ISNUMBER(F500),ISNUMBER(E500),E500&gt;0,F500&gt;E500),(F500-E500)/E500,IF(AND(ISNUMBER(F500),ISNUMBER(E500),E500&gt;0,F500=E500),0,IF(AND(ISNUMBER(F500),ISNUMBER(E500),E500&gt;0,F500=0),-1,"")))))))))</x:f>
      </x:c>
      <x:c r="K500" s="50" t="str">
        <x:f>IF(A500="","",IF(AND(ISNUMBER(E500),E500=0,OR(ISNUMBER(SEARCH("Free",D500&amp;"")),AND(ISNUMBER(F500),F500=0))),"Subscription",IF(ISNUMBER(G500),"Profit",IF(ISNUMBER(I500),"Disqualified",IF(ISNUMBER(H500),"Draw",IF(AND(ISNUMBER(F500),ISNUMBER(E500),E500&gt;0,F500&gt;E500),"Profit",IF(AND(ISNUMBER(F500),ISNUMBER(E500),E500&gt;0,F500=E500),"Draw",IF(AND(ISNUMBER(F500),ISNUMBER(E500),E500&gt;0,F500=0),"Disqualified",""))))))))</x:f>
      </x:c>
      <x:c r="L500" s="50"/>
      <x:c r="M500" s="58"/>
      <x:c r="N500" s="58"/>
      <x:c r="O500" s="62"/>
      <x:c r="P500" s="62"/>
      <x:c r="Q500" s="64" t="str">
        <x:f>IF(OR(B500="",C500="",C500&lt;B500),"",ROUNDUP((C500-B500)/7,0))</x:f>
      </x:c>
      <x:c r="R500" s="50"/>
      <x:c r="S500" s="50"/>
      <x:c r="T500" s="54"/>
      <x:c r="U500" s="66" t="str">
        <x:f>IF(A500="","",IF(K500="Subscription","",IF(ISNUMBER(G500),G500,0)-IF(ISNUMBER(I500),I500,0)))</x:f>
      </x:c>
      <x:c r="V500" s="64" t="str">
        <x:f>IF(OR(P500="",O500="",NOT(ISNUMBER(P500)),NOT(ISNUMBER(O500)),O500&gt;P500),"",P500-O500)</x:f>
      </x:c>
      <x:c r="W500" s="67" t="str">
        <x:f>IF(OR(P500="",P500=0,V500=""),"",V500/P500)</x:f>
      </x:c>
    </x:row>
    <x:row r="501" ht="21" customHeight="1">
      <x:c r="A501" s="54"/>
      <x:c r="B501" s="56"/>
      <x:c r="C501" s="56"/>
      <x:c r="D501" s="54"/>
      <x:c r="E501" s="58"/>
      <x:c r="F501" s="58"/>
      <x:c r="G501" s="58"/>
      <x:c r="H501" s="58"/>
      <x:c r="I501" s="58"/>
      <x:c r="J501" s="60"/>
      <x:c r="K501" s="50" t="str">
        <x:f>IF(A501="","",IF(AND(ISNUMBER(E501),E501=0,OR(ISNUMBER(SEARCH("Free",D501&amp;"")),AND(ISNUMBER(F501),F501=0))),"Subscription",IF(ISNUMBER(G501),"Profit",IF(ISNUMBER(I501),"Disqualified",IF(ISNUMBER(H501),"Draw",IF(AND(ISNUMBER(F501),ISNUMBER(E501),E501&gt;0,F501&gt;E501),"Profit",IF(AND(ISNUMBER(F501),ISNUMBER(E501),E501&gt;0,F501=E501),"Draw",IF(AND(ISNUMBER(F501),ISNUMBER(E501),E501&gt;0,F501=0),"Disqualified",""))))))))</x:f>
      </x:c>
      <x:c r="L501" s="50"/>
      <x:c r="M501" s="58"/>
      <x:c r="N501" s="58"/>
      <x:c r="O501" s="62"/>
      <x:c r="P501" s="62"/>
      <x:c r="Q501" s="64" t="str">
        <x:f>IF(OR(B501="",C501="",C501&lt;B501),"",ROUNDUP((C501-B501)/7,0))</x:f>
      </x:c>
      <x:c r="R501" s="50"/>
      <x:c r="S501" s="50"/>
      <x:c r="T501" s="54"/>
      <x:c r="U501" s="66" t="str">
        <x:f>IF(A501="","",IF(K501="Subscription","",IF(ISNUMBER(G501),G501,0)-IF(ISNUMBER(I501),I501,0)))</x:f>
      </x:c>
      <x:c r="V501" s="64" t="str">
        <x:f>IF(OR(P501="",O501="",NOT(ISNUMBER(P501)),NOT(ISNUMBER(O501)),O501&gt;P501),"",P501-O501)</x:f>
      </x:c>
      <x:c r="W501" s="67" t="str">
        <x:f>IF(OR(P501="",P501=0,V501=""),"",V501/P501)</x:f>
      </x:c>
    </x:row>
    <x:row r="502" ht="21" customHeight="1">
      <x:c r="A502" s="54"/>
      <x:c r="B502" s="56"/>
      <x:c r="C502" s="56"/>
      <x:c r="D502" s="54"/>
      <x:c r="E502" s="58"/>
      <x:c r="F502" s="58"/>
      <x:c r="G502" s="58"/>
      <x:c r="H502" s="58"/>
      <x:c r="I502" s="58"/>
      <x:c r="J502" s="60"/>
      <x:c r="K502" s="50" t="str">
        <x:f>IF(A502="","",IF(AND(ISNUMBER(E502),E502=0,OR(ISNUMBER(SEARCH("Free",D502&amp;"")),AND(ISNUMBER(F502),F502=0))),"Subscription",IF(ISNUMBER(G502),"Profit",IF(ISNUMBER(I502),"Disqualified",IF(ISNUMBER(H502),"Draw",IF(AND(ISNUMBER(F502),ISNUMBER(E502),E502&gt;0,F502&gt;E502),"Profit",IF(AND(ISNUMBER(F502),ISNUMBER(E502),E502&gt;0,F502=E502),"Draw",IF(AND(ISNUMBER(F502),ISNUMBER(E502),E502&gt;0,F502=0),"Disqualified",""))))))))</x:f>
      </x:c>
      <x:c r="L502" s="50"/>
      <x:c r="M502" s="58"/>
      <x:c r="N502" s="58"/>
      <x:c r="O502" s="62"/>
      <x:c r="P502" s="62"/>
      <x:c r="Q502" s="64" t="str">
        <x:f>IF(OR(B502="",C502="",C502&lt;B502),"",ROUNDUP((C502-B502)/7,0))</x:f>
      </x:c>
      <x:c r="R502" s="50"/>
      <x:c r="S502" s="50"/>
      <x:c r="T502" s="54"/>
      <x:c r="U502" s="66" t="str">
        <x:f>IF(A502="","",IF(K502="Subscription","",IF(ISNUMBER(G502),G502,0)-IF(ISNUMBER(I502),I502,0)))</x:f>
      </x:c>
      <x:c r="V502" s="64" t="str">
        <x:f>IF(OR(P502="",O502="",NOT(ISNUMBER(P502)),NOT(ISNUMBER(O502)),O502&gt;P502),"",P502-O502)</x:f>
      </x:c>
      <x:c r="W502" s="67" t="str">
        <x:f>IF(OR(P502="",P502=0,V502=""),"",V502/P502)</x:f>
      </x:c>
    </x:row>
    <x:row r="503" ht="21" customHeight="1">
      <x:c r="A503" s="54"/>
      <x:c r="B503" s="56"/>
      <x:c r="C503" s="56"/>
      <x:c r="D503" s="54"/>
      <x:c r="E503" s="58"/>
      <x:c r="F503" s="58"/>
      <x:c r="G503" s="58"/>
      <x:c r="H503" s="58"/>
      <x:c r="I503" s="58"/>
      <x:c r="J503" s="60"/>
      <x:c r="K503" s="50" t="str">
        <x:f>IF(A503="","",IF(AND(ISNUMBER(E503),E503=0,OR(ISNUMBER(SEARCH("Free",D503&amp;"")),AND(ISNUMBER(F503),F503=0))),"Subscription",IF(ISNUMBER(G503),"Profit",IF(ISNUMBER(I503),"Disqualified",IF(ISNUMBER(H503),"Draw",IF(AND(ISNUMBER(F503),ISNUMBER(E503),E503&gt;0,F503&gt;E503),"Profit",IF(AND(ISNUMBER(F503),ISNUMBER(E503),E503&gt;0,F503=E503),"Draw",IF(AND(ISNUMBER(F503),ISNUMBER(E503),E503&gt;0,F503=0),"Disqualified",""))))))))</x:f>
      </x:c>
      <x:c r="L503" s="50"/>
      <x:c r="M503" s="58"/>
      <x:c r="N503" s="58"/>
      <x:c r="O503" s="62"/>
      <x:c r="P503" s="62"/>
      <x:c r="Q503" s="64" t="str">
        <x:f>IF(OR(B503="",C503="",C503&lt;B503),"",ROUNDUP((C503-B503)/7,0))</x:f>
      </x:c>
      <x:c r="R503" s="50"/>
      <x:c r="S503" s="50"/>
      <x:c r="T503" s="54"/>
      <x:c r="U503" s="66" t="str">
        <x:f>IF(A503="","",IF(K503="Subscription","",IF(ISNUMBER(G503),G503,0)-IF(ISNUMBER(I503),I503,0)))</x:f>
      </x:c>
      <x:c r="V503" s="64" t="str">
        <x:f>IF(OR(P503="",O503="",NOT(ISNUMBER(P503)),NOT(ISNUMBER(O503)),O503&gt;P503),"",P503-O503)</x:f>
      </x:c>
      <x:c r="W503" s="67" t="str">
        <x:f>IF(OR(P503="",P503=0,V503=""),"",V503/P503)</x:f>
      </x:c>
    </x:row>
    <x:row r="504" ht="21" customHeight="1">
      <x:c r="A504" s="54"/>
      <x:c r="B504" s="56"/>
      <x:c r="C504" s="56"/>
      <x:c r="D504" s="54"/>
      <x:c r="E504" s="58"/>
      <x:c r="F504" s="58"/>
      <x:c r="G504" s="58"/>
      <x:c r="H504" s="58"/>
      <x:c r="I504" s="58"/>
      <x:c r="J504" s="60"/>
      <x:c r="K504" s="50" t="str">
        <x:f>IF(A504="","",IF(AND(ISNUMBER(E504),E504=0,OR(ISNUMBER(SEARCH("Free",D504&amp;"")),AND(ISNUMBER(F504),F504=0))),"Subscription",IF(ISNUMBER(G504),"Profit",IF(ISNUMBER(I504),"Disqualified",IF(ISNUMBER(H504),"Draw",IF(AND(ISNUMBER(F504),ISNUMBER(E504),E504&gt;0,F504&gt;E504),"Profit",IF(AND(ISNUMBER(F504),ISNUMBER(E504),E504&gt;0,F504=E504),"Draw",IF(AND(ISNUMBER(F504),ISNUMBER(E504),E504&gt;0,F504=0),"Disqualified",""))))))))</x:f>
      </x:c>
      <x:c r="L504" s="50"/>
      <x:c r="M504" s="58"/>
      <x:c r="N504" s="58"/>
      <x:c r="O504" s="62"/>
      <x:c r="P504" s="62"/>
      <x:c r="Q504" s="64" t="str">
        <x:f>IF(OR(B504="",C504="",C504&lt;B504),"",ROUNDUP((C504-B504)/7,0))</x:f>
      </x:c>
      <x:c r="R504" s="50"/>
      <x:c r="S504" s="50"/>
      <x:c r="T504" s="54"/>
      <x:c r="U504" s="66" t="str">
        <x:f>IF(A504="","",IF(K504="Subscription","",IF(ISNUMBER(G504),G504,0)-IF(ISNUMBER(I504),I504,0)))</x:f>
      </x:c>
      <x:c r="V504" s="64" t="str">
        <x:f>IF(OR(P504="",O504="",NOT(ISNUMBER(P504)),NOT(ISNUMBER(O504)),O504&gt;P504),"",P504-O504)</x:f>
      </x:c>
      <x:c r="W504" s="67" t="str">
        <x:f>IF(OR(P504="",P504=0,V504=""),"",V504/P504)</x:f>
      </x:c>
    </x:row>
  </x:sheetData>
  <x:mergeCells>
    <x:mergeCell ref="A1:W1"/>
    <x:mergeCell ref="A2:W2"/>
  </x:mergeCells>
  <x:conditionalFormatting sqref="U5:U504">
    <x:cfRule type="colorScale" priority="1">
      <x:colorScale>
        <x:cfvo type="min"/>
        <x:cfvo type="percentile" val="50"/>
        <x:cfvo type="max"/>
        <x:color rgb="FFF4CCCC"/>
        <x:color rgb="FFFFF2CC"/>
        <x:color rgb="FFD9EAD3"/>
      </x:colorScale>
    </x:cfRule>
  </x:conditionalFormatting>
  <x:conditionalFormatting sqref="K5:K504">
    <x:cfRule type="expression" dxfId="0" priority="2">
      <x:formula>K5="Profit"</x:formula>
    </x:cfRule>
    <x:cfRule type="expression" dxfId="1" priority="3">
      <x:formula>K5="Draw"</x:formula>
    </x:cfRule>
    <x:cfRule type="expression" dxfId="2" priority="4">
      <x:formula>K5="Disqualified"</x:formula>
    </x:cfRule>
    <x:cfRule type="expression" dxfId="3" priority="5">
      <x:formula>K5="Loss"</x:formula>
    </x:cfRule>
    <x:cfRule type="expression" dxfId="4" priority="6">
      <x:formula>K5="Subscription"</x:formula>
    </x:cfRule>
  </x:conditionalFormatting>
  <x:dataValidations count="4">
    <x:dataValidation type="list" sqref="K5:K504">
      <x:formula1>"Profit,Draw,Disqualified,Loss,Subscription"</x:formula1>
    </x:dataValidation>
    <x:dataValidation type="list" sqref="L5:L504">
      <x:formula1>"Member,Non-Member"</x:formula1>
    </x:dataValidation>
    <x:dataValidation type="list" sqref="R5:R504">
      <x:formula1>"Reported,Estimated,Partly Estimated"</x:formula1>
    </x:dataValidation>
    <x:dataValidation type="list" sqref="S5:S504">
      <x:formula1>"High,Medium,Low"</x:formula1>
    </x:dataValidation>
  </x:dataValidations>
  <x:pageMargins left="0.7" right="0.7" top="0.75" bottom="0.75" header="0.3" footer="0.3"/>
  <x:tableParts count="1">
    <x:tablePart xmlns:r="http://schemas.openxmlformats.org/officeDocument/2006/relationships" r:id="R0a262baeaeef40ae"/>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x:c r="A1" s="5" t="str">
        <x:v>Summary</x:v>
      </x:c>
      <x:c r="B1" s="5"/>
      <x:c r="C1" s="5"/>
      <x:c r="D1" s="5"/>
      <x:c r="E1" s="5"/>
      <x:c r="F1" s="5"/>
      <x:c r="G1" s="5"/>
      <x:c r="H1" s="5"/>
    </x:row>
    <x:row r="2">
      <x:c r="A2" s="32" t="str">
        <x:v>Updates automatically after rows are pasted into Game Records.</x:v>
      </x:c>
      <x:c r="B2" s="32"/>
      <x:c r="C2" s="32"/>
      <x:c r="D2" s="32"/>
      <x:c r="E2" s="32"/>
      <x:c r="F2" s="32"/>
      <x:c r="G2" s="32"/>
      <x:c r="H2" s="32"/>
    </x:row>
    <x:row r="4">
      <x:c r="A4" s="73" t="str">
        <x:v>Total Games</x:v>
      </x:c>
      <x:c r="B4" s="73"/>
      <x:c r="C4" s="73" t="str">
        <x:v>Total Profit</x:v>
      </x:c>
      <x:c r="D4" s="73"/>
      <x:c r="E4" s="73" t="str">
        <x:v>Net Profit After Losses</x:v>
      </x:c>
      <x:c r="F4" s="73"/>
      <x:c r="G4" s="73" t="str">
        <x:v>Average Profit per Game</x:v>
      </x:c>
      <x:c r="H4" s="73"/>
    </x:row>
    <x:row r="5">
      <x:c r="A5" s="86" t="n">
        <x:f>COUNTIFS('Game Records'!$A$5:$A$504,"&lt;&gt;",'Game Records'!$K$5:$K$504,"&lt;&gt;Subscription")</x:f>
        <x:v>0</x:v>
      </x:c>
      <x:c r="B5" s="86"/>
      <x:c r="C5" s="88" t="n">
        <x:f>SUM('Game Records'!$G$5:$G$504)</x:f>
        <x:v>0</x:v>
      </x:c>
      <x:c r="D5" s="88"/>
      <x:c r="E5" s="88" t="n">
        <x:f>SUM('Game Records'!$U$5:$U$504)</x:f>
        <x:v>0</x:v>
      </x:c>
      <x:c r="F5" s="88"/>
      <x:c r="G5" s="88" t="n">
        <x:f>IF(A5=0,0,E5/A5)</x:f>
        <x:v>0</x:v>
      </x:c>
      <x:c r="H5" s="88"/>
    </x:row>
    <x:row r="6">
      <x:c r="A6" s="86"/>
      <x:c r="B6" s="86"/>
      <x:c r="C6" s="88"/>
      <x:c r="D6" s="88"/>
      <x:c r="E6" s="88"/>
      <x:c r="F6" s="88"/>
      <x:c r="G6" s="88"/>
      <x:c r="H6" s="88"/>
    </x:row>
    <x:row r="8">
      <x:c r="A8" s="73" t="str">
        <x:v>Average ROI</x:v>
      </x:c>
      <x:c r="B8" s="73"/>
      <x:c r="C8" s="73" t="str">
        <x:v>Profit Rate</x:v>
      </x:c>
      <x:c r="D8" s="73"/>
      <x:c r="E8" s="73" t="str">
        <x:v>Draw Rate</x:v>
      </x:c>
      <x:c r="F8" s="73"/>
      <x:c r="G8" s="73" t="str">
        <x:v>Loss Rate</x:v>
      </x:c>
      <x:c r="H8" s="73"/>
    </x:row>
    <x:row r="9">
      <x:c r="A9" s="90" t="n">
        <x:f>IFERROR(SUM('Game Records'!$J$5:$J$504)/COUNT('Game Records'!$J$5:$J$504),0)</x:f>
        <x:v>0</x:v>
      </x:c>
      <x:c r="B9" s="90"/>
      <x:c r="C9" s="90" t="n">
        <x:f>IF(A5=0,0,COUNTIF('Game Records'!$K$5:$K$504,"Profit")/A5)</x:f>
        <x:v>0</x:v>
      </x:c>
      <x:c r="D9" s="90"/>
      <x:c r="E9" s="90" t="n">
        <x:f>IF(A5=0,0,COUNTIF('Game Records'!$K$5:$K$504,"Draw")/A5)</x:f>
        <x:v>0</x:v>
      </x:c>
      <x:c r="F9" s="90"/>
      <x:c r="G9" s="90" t="n">
        <x:f>IF(A5=0,0,(COUNTIF('Game Records'!$K$5:$K$504,"Disqualified")+COUNTIF('Game Records'!$K$5:$K$504,"Loss"))/A5)</x:f>
        <x:v>0</x:v>
      </x:c>
      <x:c r="H9" s="90"/>
    </x:row>
    <x:row r="10">
      <x:c r="A10" s="90"/>
      <x:c r="B10" s="90"/>
      <x:c r="C10" s="90"/>
      <x:c r="D10" s="90"/>
      <x:c r="E10" s="90"/>
      <x:c r="F10" s="90"/>
      <x:c r="G10" s="90"/>
      <x:c r="H10" s="90"/>
    </x:row>
    <x:row r="13">
      <x:c r="A13" s="23" t="str">
        <x:v>Result Breakdown</x:v>
      </x:c>
      <x:c r="B13" s="23"/>
    </x:row>
    <x:row r="14">
      <x:c r="A14" s="42" t="str">
        <x:v>Result</x:v>
      </x:c>
      <x:c r="B14" s="42" t="str">
        <x:v>Games</x:v>
      </x:c>
    </x:row>
    <x:row r="15">
      <x:c r="A15" s="50" t="str">
        <x:v>Profit</x:v>
      </x:c>
      <x:c r="B15" s="50" t="n">
        <x:f>COUNTIF('Game Records'!$K$5:$K$504,"Profit")</x:f>
        <x:v>0</x:v>
      </x:c>
    </x:row>
    <x:row r="16">
      <x:c r="A16" s="50" t="str">
        <x:v>Draw</x:v>
      </x:c>
      <x:c r="B16" s="50" t="n">
        <x:f>COUNTIF('Game Records'!$K$5:$K$504,"Draw")</x:f>
        <x:v>0</x:v>
      </x:c>
    </x:row>
    <x:row r="17">
      <x:c r="A17" s="50" t="str">
        <x:v>Disqualified / Loss</x:v>
      </x:c>
      <x:c r="B17" s="50" t="n">
        <x:f>COUNTIF('Game Records'!$K$5:$K$504,"Disqualified")+COUNTIF('Game Records'!$K$5:$K$504,"Loss")</x:f>
        <x:v>0</x:v>
      </x:c>
    </x:row>
    <x:row r="18">
      <x:c r="A18" s="50" t="str">
        <x:v>Subscription</x:v>
      </x:c>
      <x:c r="B18" s="50" t="n">
        <x:f>COUNTIF('Game Records'!$K$5:$K$504,"Subscription")</x:f>
        <x:v>0</x:v>
      </x:c>
    </x:row>
    <x:row r="21">
      <x:c r="A21" s="23" t="str">
        <x:v>How to read this sheet</x:v>
      </x:c>
      <x:c r="B21" s="23"/>
      <x:c r="C21" s="23"/>
      <x:c r="D21" s="23"/>
      <x:c r="E21" s="23"/>
      <x:c r="F21" s="23"/>
      <x:c r="G21" s="23"/>
      <x:c r="H21" s="23"/>
    </x:row>
    <x:row r="22" ht="26" customHeight="1">
      <x:c r="A22" s="32" t="str">
        <x:v>Total Profit adds positive Profit amounts. Net Profit After Losses subtracts forfeited Entry Fees. Average Profit per Game uses Net Profit, so losses are included. Challenge Length is compared on the Game Comparisons sheet, but this template does not describe profit as a weekly payout.</x:v>
      </x:c>
      <x:c r="B22" s="32"/>
      <x:c r="C22" s="32"/>
      <x:c r="D22" s="32"/>
      <x:c r="E22" s="32"/>
      <x:c r="F22" s="32"/>
      <x:c r="G22" s="32"/>
      <x:c r="H22" s="32"/>
    </x:row>
    <x:row r="23" ht="26" customHeight="1">
      <x:c r="A23" s="32"/>
      <x:c r="B23" s="32"/>
      <x:c r="C23" s="32"/>
      <x:c r="D23" s="32"/>
      <x:c r="E23" s="32"/>
      <x:c r="F23" s="32"/>
      <x:c r="G23" s="32"/>
      <x:c r="H23" s="32"/>
    </x:row>
    <x:row r="24" ht="26" customHeight="1">
      <x:c r="A24" s="32"/>
      <x:c r="B24" s="32"/>
      <x:c r="C24" s="32"/>
      <x:c r="D24" s="32"/>
      <x:c r="E24" s="32"/>
      <x:c r="F24" s="32"/>
      <x:c r="G24" s="32"/>
      <x:c r="H24" s="32"/>
    </x:row>
    <x:row r="25" ht="26" customHeight="1">
      <x:c r="A25" s="32"/>
      <x:c r="B25" s="32"/>
      <x:c r="C25" s="32"/>
      <x:c r="D25" s="32"/>
      <x:c r="E25" s="32"/>
      <x:c r="F25" s="32"/>
      <x:c r="G25" s="32"/>
      <x:c r="H25" s="32"/>
    </x:row>
    <x:row r="27" ht="12" customHeight="1"/>
  </x:sheetData>
  <x:mergeCells>
    <x:mergeCell ref="A1:H1"/>
    <x:mergeCell ref="A2:H2"/>
    <x:mergeCell ref="A4:B4"/>
    <x:mergeCell ref="A5:B6"/>
    <x:mergeCell ref="C4:D4"/>
    <x:mergeCell ref="C5:D6"/>
    <x:mergeCell ref="E4:F4"/>
    <x:mergeCell ref="E5:F6"/>
    <x:mergeCell ref="G4:H4"/>
    <x:mergeCell ref="G5:H6"/>
    <x:mergeCell ref="A8:B8"/>
    <x:mergeCell ref="A9:B10"/>
    <x:mergeCell ref="C8:D8"/>
    <x:mergeCell ref="C9:D10"/>
    <x:mergeCell ref="E8:F8"/>
    <x:mergeCell ref="E9:F10"/>
    <x:mergeCell ref="G8:H8"/>
    <x:mergeCell ref="G9:H10"/>
    <x:mergeCell ref="A13:B13"/>
    <x:mergeCell ref="A21:H21"/>
    <x:mergeCell ref="A22:H25"/>
  </x:mergeCells>
  <x:pageMargins left="0.7" right="0.7" top="0.75" bottom="0.75" header="0.3" footer="0.3"/>
  <x:drawing xmlns:r="http://schemas.openxmlformats.org/officeDocument/2006/relationships" r:id="R91c3517ea3174e29"/>
</x:worksheet>
</file>

<file path=xl/worksheets/sheet4.xml><?xml version="1.0" encoding="utf-8"?>
<x:worksheet xmlns:x="http://schemas.openxmlformats.org/spreadsheetml/2006/main">
  <x:sheetFormatPr defaultRowHeight="15"/>
  <x:cols>
    <x:col min="1" max="1" width="22" hidden="0" customWidth="1"/>
    <x:col min="2" max="2" width="9" hidden="0" customWidth="1"/>
    <x:col min="3" max="3" width="15" hidden="0" customWidth="1"/>
    <x:col min="4" max="4" width="17" hidden="0" customWidth="1"/>
    <x:col min="5" max="5" width="11" hidden="0" customWidth="1"/>
    <x:col min="6" max="6" width="11" hidden="0" customWidth="1"/>
    <x:col min="7" max="7" width="11" hidden="0" customWidth="1"/>
    <x:col min="8" max="8" width="11" hidden="0" customWidth="1"/>
  </x:cols>
  <x:sheetData>
    <x:row r="1">
      <x:c r="A1" s="5" t="str">
        <x:v>Game Comparisons</x:v>
      </x:c>
      <x:c r="B1" s="5"/>
      <x:c r="C1" s="5"/>
      <x:c r="D1" s="5"/>
      <x:c r="E1" s="5"/>
      <x:c r="F1" s="5"/>
      <x:c r="G1" s="5"/>
      <x:c r="H1" s="5"/>
    </x:row>
    <x:row r="2">
      <x:c r="A2" s="32" t="str">
        <x:v>Compares completed games by category. Blank categories stay empty until matching records are added.</x:v>
      </x:c>
      <x:c r="B2" s="32"/>
      <x:c r="C2" s="32"/>
      <x:c r="D2" s="32"/>
      <x:c r="E2" s="32"/>
      <x:c r="F2" s="32"/>
      <x:c r="G2" s="32"/>
      <x:c r="H2" s="32"/>
    </x:row>
    <x:row r="4">
      <x:c r="A4" s="23" t="str">
        <x:v>Game Type</x:v>
      </x:c>
      <x:c r="B4" s="23"/>
      <x:c r="C4" s="23"/>
      <x:c r="D4" s="23"/>
      <x:c r="E4" s="23"/>
      <x:c r="F4" s="23"/>
      <x:c r="G4" s="23"/>
      <x:c r="H4" s="23"/>
    </x:row>
    <x:row r="5">
      <x:c r="A5" s="96" t="str">
        <x:v>Category</x:v>
      </x:c>
      <x:c r="B5" s="42" t="str">
        <x:v>Games</x:v>
      </x:c>
      <x:c r="C5" s="98" t="str">
        <x:v>Total Net Profit</x:v>
      </x:c>
      <x:c r="D5" s="98" t="str">
        <x:v>Average Net Profit</x:v>
      </x:c>
      <x:c r="E5" s="102" t="str">
        <x:v>Average ROI</x:v>
      </x:c>
      <x:c r="F5" s="102" t="str">
        <x:v>Profit Rate</x:v>
      </x:c>
      <x:c r="G5" s="102" t="str">
        <x:v>Draw Rate</x:v>
      </x:c>
      <x:c r="H5" s="102" t="str">
        <x:v>Loss Rate</x:v>
      </x:c>
    </x:row>
    <x:row r="6">
      <x:c r="A6" s="54" t="str">
        <x:v>Member</x:v>
      </x:c>
      <x:c r="B6" s="50" t="n">
        <x:f>COUNTIFS('Game Records'!$A$5:$A$504,"&lt;&gt;",'Game Records'!$L$5:$L$504,"Member",'Game Records'!$K$5:$K$504,"&lt;&gt;Subscription")</x:f>
        <x:v>0</x:v>
      </x:c>
      <x:c r="C6" s="58" t="n">
        <x:f>SUMIFS('Game Records'!$U$5:$U$504,'Game Records'!$A$5:$A$504,"&lt;&gt;",'Game Records'!$L$5:$L$504,"Member")</x:f>
        <x:v>0</x:v>
      </x:c>
      <x:c r="D6" s="58" t="str">
        <x:f>IF(B6=0,"",C6/B6)</x:f>
      </x:c>
      <x:c r="E6" s="60" t="str">
        <x:f>IF(COUNTIFS('Game Records'!$A$5:$A$504,"&lt;&gt;",'Game Records'!$L$5:$L$504,"Member",'Game Records'!$J$5:$J$504,"&lt;&gt;")=0,"",SUMIFS('Game Records'!$J$5:$J$504,'Game Records'!$A$5:$A$504,"&lt;&gt;",'Game Records'!$L$5:$L$504,"Member")/COUNTIFS('Game Records'!$A$5:$A$504,"&lt;&gt;",'Game Records'!$L$5:$L$504,"Member",'Game Records'!$J$5:$J$504,"&lt;&gt;"))</x:f>
      </x:c>
      <x:c r="F6" s="60" t="str">
        <x:f>IF(B6=0,"",COUNTIFS('Game Records'!$A$5:$A$504,"&lt;&gt;",'Game Records'!$L$5:$L$504,"Member",'Game Records'!$K$5:$K$504,"Profit")/B6)</x:f>
      </x:c>
      <x:c r="G6" s="60" t="str">
        <x:f>IF(B6=0,"",COUNTIFS('Game Records'!$A$5:$A$504,"&lt;&gt;",'Game Records'!$L$5:$L$504,"Member",'Game Records'!$K$5:$K$504,"Draw")/B6)</x:f>
      </x:c>
      <x:c r="H6" s="60" t="str">
        <x:f>IF(B6=0,"",(COUNTIFS('Game Records'!$A$5:$A$504,"&lt;&gt;",'Game Records'!$L$5:$L$504,"Member",'Game Records'!$K$5:$K$504,"Disqualified")+COUNTIFS('Game Records'!$A$5:$A$504,"&lt;&gt;",'Game Records'!$L$5:$L$504,"Member",'Game Records'!$K$5:$K$504,"Loss"))/B6)</x:f>
      </x:c>
    </x:row>
    <x:row r="7">
      <x:c r="A7" s="54" t="str">
        <x:v>Non-Member</x:v>
      </x:c>
      <x:c r="B7" s="50" t="n">
        <x:f>COUNTIFS('Game Records'!$A$5:$A$504,"&lt;&gt;",'Game Records'!$L$5:$L$504,"Non-Member",'Game Records'!$K$5:$K$504,"&lt;&gt;Subscription")</x:f>
        <x:v>0</x:v>
      </x:c>
      <x:c r="C7" s="58" t="n">
        <x:f>SUMIFS('Game Records'!$U$5:$U$504,'Game Records'!$A$5:$A$504,"&lt;&gt;",'Game Records'!$L$5:$L$504,"Non-Member")</x:f>
        <x:v>0</x:v>
      </x:c>
      <x:c r="D7" s="58" t="str">
        <x:f>IF(B7=0,"",C7/B7)</x:f>
      </x:c>
      <x:c r="E7" s="60" t="str">
        <x:f>IF(COUNTIFS('Game Records'!$A$5:$A$504,"&lt;&gt;",'Game Records'!$L$5:$L$504,"Non-Member",'Game Records'!$J$5:$J$504,"&lt;&gt;")=0,"",SUMIFS('Game Records'!$J$5:$J$504,'Game Records'!$A$5:$A$504,"&lt;&gt;",'Game Records'!$L$5:$L$504,"Non-Member")/COUNTIFS('Game Records'!$A$5:$A$504,"&lt;&gt;",'Game Records'!$L$5:$L$504,"Non-Member",'Game Records'!$J$5:$J$504,"&lt;&gt;"))</x:f>
      </x:c>
      <x:c r="F7" s="60" t="str">
        <x:f>IF(B7=0,"",COUNTIFS('Game Records'!$A$5:$A$504,"&lt;&gt;",'Game Records'!$L$5:$L$504,"Non-Member",'Game Records'!$K$5:$K$504,"Profit")/B7)</x:f>
      </x:c>
      <x:c r="G7" s="60" t="str">
        <x:f>IF(B7=0,"",COUNTIFS('Game Records'!$A$5:$A$504,"&lt;&gt;",'Game Records'!$L$5:$L$504,"Non-Member",'Game Records'!$K$5:$K$504,"Draw")/B7)</x:f>
      </x:c>
      <x:c r="H7" s="60" t="str">
        <x:f>IF(B7=0,"",(COUNTIFS('Game Records'!$A$5:$A$504,"&lt;&gt;",'Game Records'!$L$5:$L$504,"Non-Member",'Game Records'!$K$5:$K$504,"Disqualified")+COUNTIFS('Game Records'!$A$5:$A$504,"&lt;&gt;",'Game Records'!$L$5:$L$504,"Non-Member",'Game Records'!$K$5:$K$504,"Loss"))/B7)</x:f>
      </x:c>
    </x:row>
    <x:row r="8">
      <x:c r="A8" s="54"/>
      <x:c r="B8" s="50"/>
      <x:c r="C8" s="58"/>
      <x:c r="D8" s="58"/>
      <x:c r="E8" s="60"/>
      <x:c r="F8" s="60"/>
      <x:c r="G8" s="60"/>
      <x:c r="H8" s="60"/>
    </x:row>
    <x:row r="9">
      <x:c r="A9" s="54"/>
      <x:c r="B9" s="50"/>
      <x:c r="C9" s="58"/>
      <x:c r="D9" s="58"/>
      <x:c r="E9" s="60"/>
      <x:c r="F9" s="60"/>
      <x:c r="G9" s="60"/>
      <x:c r="H9" s="60"/>
    </x:row>
    <x:row r="10">
      <x:c r="A10" s="92" t="str">
        <x:v>Challenge Length</x:v>
      </x:c>
      <x:c r="B10" s="93"/>
      <x:c r="C10" s="99"/>
      <x:c r="D10" s="99"/>
      <x:c r="E10" s="103"/>
      <x:c r="F10" s="103"/>
      <x:c r="G10" s="103"/>
      <x:c r="H10" s="103"/>
    </x:row>
    <x:row r="11">
      <x:c r="A11" s="96" t="str">
        <x:v>Category</x:v>
      </x:c>
      <x:c r="B11" s="42" t="str">
        <x:v>Games</x:v>
      </x:c>
      <x:c r="C11" s="98" t="str">
        <x:v>Total Net Profit</x:v>
      </x:c>
      <x:c r="D11" s="98" t="str">
        <x:v>Average Net Profit</x:v>
      </x:c>
      <x:c r="E11" s="102" t="str">
        <x:v>Average ROI</x:v>
      </x:c>
      <x:c r="F11" s="102" t="str">
        <x:v>Profit Rate</x:v>
      </x:c>
      <x:c r="G11" s="102" t="str">
        <x:v>Draw Rate</x:v>
      </x:c>
      <x:c r="H11" s="102" t="str">
        <x:v>Loss Rate</x:v>
      </x:c>
    </x:row>
    <x:row r="12">
      <x:c r="A12" s="54" t="str">
        <x:v>1 Week</x:v>
      </x:c>
      <x:c r="B12" s="50" t="n">
        <x:f>COUNTIFS('Game Records'!$A$5:$A$504,"&lt;&gt;",'Game Records'!$Q$5:$Q$504,1,'Game Records'!$K$5:$K$504,"&lt;&gt;Subscription")</x:f>
        <x:v>0</x:v>
      </x:c>
      <x:c r="C12" s="58" t="n">
        <x:f>SUMIFS('Game Records'!$U$5:$U$504,'Game Records'!$A$5:$A$504,"&lt;&gt;",'Game Records'!$Q$5:$Q$504,1)</x:f>
        <x:v>0</x:v>
      </x:c>
      <x:c r="D12" s="58" t="str">
        <x:f>IF(B12=0,"",C12/B12)</x:f>
      </x:c>
      <x:c r="E12" s="60" t="str">
        <x:f>IF(COUNTIFS('Game Records'!$A$5:$A$504,"&lt;&gt;",'Game Records'!$Q$5:$Q$504,1,'Game Records'!$J$5:$J$504,"&lt;&gt;")=0,"",SUMIFS('Game Records'!$J$5:$J$504,'Game Records'!$A$5:$A$504,"&lt;&gt;",'Game Records'!$Q$5:$Q$504,1)/COUNTIFS('Game Records'!$A$5:$A$504,"&lt;&gt;",'Game Records'!$Q$5:$Q$504,1,'Game Records'!$J$5:$J$504,"&lt;&gt;"))</x:f>
      </x:c>
      <x:c r="F12" s="60" t="str">
        <x:f>IF(B12=0,"",COUNTIFS('Game Records'!$A$5:$A$504,"&lt;&gt;",'Game Records'!$Q$5:$Q$504,1,'Game Records'!$K$5:$K$504,"Profit")/B12)</x:f>
      </x:c>
      <x:c r="G12" s="60" t="str">
        <x:f>IF(B12=0,"",COUNTIFS('Game Records'!$A$5:$A$504,"&lt;&gt;",'Game Records'!$Q$5:$Q$504,1,'Game Records'!$K$5:$K$504,"Draw")/B12)</x:f>
      </x:c>
      <x:c r="H12" s="60" t="str">
        <x:f>IF(B12=0,"",(COUNTIFS('Game Records'!$A$5:$A$504,"&lt;&gt;",'Game Records'!$Q$5:$Q$504,1,'Game Records'!$K$5:$K$504,"Disqualified")+COUNTIFS('Game Records'!$A$5:$A$504,"&lt;&gt;",'Game Records'!$Q$5:$Q$504,1,'Game Records'!$K$5:$K$504,"Loss"))/B12)</x:f>
      </x:c>
    </x:row>
    <x:row r="13">
      <x:c r="A13" s="54" t="str">
        <x:v>2 Weeks</x:v>
      </x:c>
      <x:c r="B13" s="50" t="n">
        <x:f>COUNTIFS('Game Records'!$A$5:$A$504,"&lt;&gt;",'Game Records'!$Q$5:$Q$504,2,'Game Records'!$K$5:$K$504,"&lt;&gt;Subscription")</x:f>
        <x:v>0</x:v>
      </x:c>
      <x:c r="C13" s="58" t="n">
        <x:f>SUMIFS('Game Records'!$U$5:$U$504,'Game Records'!$A$5:$A$504,"&lt;&gt;",'Game Records'!$Q$5:$Q$504,2)</x:f>
        <x:v>0</x:v>
      </x:c>
      <x:c r="D13" s="58" t="str">
        <x:f>IF(B13=0,"",C13/B13)</x:f>
      </x:c>
      <x:c r="E13" s="60" t="str">
        <x:f>IF(COUNTIFS('Game Records'!$A$5:$A$504,"&lt;&gt;",'Game Records'!$Q$5:$Q$504,2,'Game Records'!$J$5:$J$504,"&lt;&gt;")=0,"",SUMIFS('Game Records'!$J$5:$J$504,'Game Records'!$A$5:$A$504,"&lt;&gt;",'Game Records'!$Q$5:$Q$504,2)/COUNTIFS('Game Records'!$A$5:$A$504,"&lt;&gt;",'Game Records'!$Q$5:$Q$504,2,'Game Records'!$J$5:$J$504,"&lt;&gt;"))</x:f>
      </x:c>
      <x:c r="F13" s="60" t="str">
        <x:f>IF(B13=0,"",COUNTIFS('Game Records'!$A$5:$A$504,"&lt;&gt;",'Game Records'!$Q$5:$Q$504,2,'Game Records'!$K$5:$K$504,"Profit")/B13)</x:f>
      </x:c>
      <x:c r="G13" s="60" t="str">
        <x:f>IF(B13=0,"",COUNTIFS('Game Records'!$A$5:$A$504,"&lt;&gt;",'Game Records'!$Q$5:$Q$504,2,'Game Records'!$K$5:$K$504,"Draw")/B13)</x:f>
      </x:c>
      <x:c r="H13" s="60" t="str">
        <x:f>IF(B13=0,"",(COUNTIFS('Game Records'!$A$5:$A$504,"&lt;&gt;",'Game Records'!$Q$5:$Q$504,2,'Game Records'!$K$5:$K$504,"Disqualified")+COUNTIFS('Game Records'!$A$5:$A$504,"&lt;&gt;",'Game Records'!$Q$5:$Q$504,2,'Game Records'!$K$5:$K$504,"Loss"))/B13)</x:f>
      </x:c>
    </x:row>
    <x:row r="14">
      <x:c r="A14" s="54" t="str">
        <x:v>3 Weeks</x:v>
      </x:c>
      <x:c r="B14" s="50" t="n">
        <x:f>COUNTIFS('Game Records'!$A$5:$A$504,"&lt;&gt;",'Game Records'!$Q$5:$Q$504,3,'Game Records'!$K$5:$K$504,"&lt;&gt;Subscription")</x:f>
        <x:v>0</x:v>
      </x:c>
      <x:c r="C14" s="58" t="n">
        <x:f>SUMIFS('Game Records'!$U$5:$U$504,'Game Records'!$A$5:$A$504,"&lt;&gt;",'Game Records'!$Q$5:$Q$504,3)</x:f>
        <x:v>0</x:v>
      </x:c>
      <x:c r="D14" s="58" t="str">
        <x:f>IF(B14=0,"",C14/B14)</x:f>
      </x:c>
      <x:c r="E14" s="60" t="str">
        <x:f>IF(COUNTIFS('Game Records'!$A$5:$A$504,"&lt;&gt;",'Game Records'!$Q$5:$Q$504,3,'Game Records'!$J$5:$J$504,"&lt;&gt;")=0,"",SUMIFS('Game Records'!$J$5:$J$504,'Game Records'!$A$5:$A$504,"&lt;&gt;",'Game Records'!$Q$5:$Q$504,3)/COUNTIFS('Game Records'!$A$5:$A$504,"&lt;&gt;",'Game Records'!$Q$5:$Q$504,3,'Game Records'!$J$5:$J$504,"&lt;&gt;"))</x:f>
      </x:c>
      <x:c r="F14" s="60" t="str">
        <x:f>IF(B14=0,"",COUNTIFS('Game Records'!$A$5:$A$504,"&lt;&gt;",'Game Records'!$Q$5:$Q$504,3,'Game Records'!$K$5:$K$504,"Profit")/B14)</x:f>
      </x:c>
      <x:c r="G14" s="60" t="str">
        <x:f>IF(B14=0,"",COUNTIFS('Game Records'!$A$5:$A$504,"&lt;&gt;",'Game Records'!$Q$5:$Q$504,3,'Game Records'!$K$5:$K$504,"Draw")/B14)</x:f>
      </x:c>
      <x:c r="H14" s="60" t="str">
        <x:f>IF(B14=0,"",(COUNTIFS('Game Records'!$A$5:$A$504,"&lt;&gt;",'Game Records'!$Q$5:$Q$504,3,'Game Records'!$K$5:$K$504,"Disqualified")+COUNTIFS('Game Records'!$A$5:$A$504,"&lt;&gt;",'Game Records'!$Q$5:$Q$504,3,'Game Records'!$K$5:$K$504,"Loss"))/B14)</x:f>
      </x:c>
    </x:row>
    <x:row r="15">
      <x:c r="A15" s="54" t="str">
        <x:v>4 Weeks</x:v>
      </x:c>
      <x:c r="B15" s="50" t="n">
        <x:f>COUNTIFS('Game Records'!$A$5:$A$504,"&lt;&gt;",'Game Records'!$Q$5:$Q$504,4,'Game Records'!$K$5:$K$504,"&lt;&gt;Subscription")</x:f>
        <x:v>0</x:v>
      </x:c>
      <x:c r="C15" s="58" t="n">
        <x:f>SUMIFS('Game Records'!$U$5:$U$504,'Game Records'!$A$5:$A$504,"&lt;&gt;",'Game Records'!$Q$5:$Q$504,4)</x:f>
        <x:v>0</x:v>
      </x:c>
      <x:c r="D15" s="58" t="str">
        <x:f>IF(B15=0,"",C15/B15)</x:f>
      </x:c>
      <x:c r="E15" s="60" t="str">
        <x:f>IF(COUNTIFS('Game Records'!$A$5:$A$504,"&lt;&gt;",'Game Records'!$Q$5:$Q$504,4,'Game Records'!$J$5:$J$504,"&lt;&gt;")=0,"",SUMIFS('Game Records'!$J$5:$J$504,'Game Records'!$A$5:$A$504,"&lt;&gt;",'Game Records'!$Q$5:$Q$504,4)/COUNTIFS('Game Records'!$A$5:$A$504,"&lt;&gt;",'Game Records'!$Q$5:$Q$504,4,'Game Records'!$J$5:$J$504,"&lt;&gt;"))</x:f>
      </x:c>
      <x:c r="F15" s="60" t="str">
        <x:f>IF(B15=0,"",COUNTIFS('Game Records'!$A$5:$A$504,"&lt;&gt;",'Game Records'!$Q$5:$Q$504,4,'Game Records'!$K$5:$K$504,"Profit")/B15)</x:f>
      </x:c>
      <x:c r="G15" s="60" t="str">
        <x:f>IF(B15=0,"",COUNTIFS('Game Records'!$A$5:$A$504,"&lt;&gt;",'Game Records'!$Q$5:$Q$504,4,'Game Records'!$K$5:$K$504,"Draw")/B15)</x:f>
      </x:c>
      <x:c r="H15" s="60" t="str">
        <x:f>IF(B15=0,"",(COUNTIFS('Game Records'!$A$5:$A$504,"&lt;&gt;",'Game Records'!$Q$5:$Q$504,4,'Game Records'!$K$5:$K$504,"Disqualified")+COUNTIFS('Game Records'!$A$5:$A$504,"&lt;&gt;",'Game Records'!$Q$5:$Q$504,4,'Game Records'!$K$5:$K$504,"Loss"))/B15)</x:f>
      </x:c>
    </x:row>
    <x:row r="16">
      <x:c r="A16" s="54" t="str">
        <x:v>5 Weeks</x:v>
      </x:c>
      <x:c r="B16" s="50" t="n">
        <x:f>COUNTIFS('Game Records'!$A$5:$A$504,"&lt;&gt;",'Game Records'!$Q$5:$Q$504,5,'Game Records'!$K$5:$K$504,"&lt;&gt;Subscription")</x:f>
        <x:v>0</x:v>
      </x:c>
      <x:c r="C16" s="58" t="n">
        <x:f>SUMIFS('Game Records'!$U$5:$U$504,'Game Records'!$A$5:$A$504,"&lt;&gt;",'Game Records'!$Q$5:$Q$504,5)</x:f>
        <x:v>0</x:v>
      </x:c>
      <x:c r="D16" s="58" t="str">
        <x:f>IF(B16=0,"",C16/B16)</x:f>
      </x:c>
      <x:c r="E16" s="60" t="str">
        <x:f>IF(COUNTIFS('Game Records'!$A$5:$A$504,"&lt;&gt;",'Game Records'!$Q$5:$Q$504,5,'Game Records'!$J$5:$J$504,"&lt;&gt;")=0,"",SUMIFS('Game Records'!$J$5:$J$504,'Game Records'!$A$5:$A$504,"&lt;&gt;",'Game Records'!$Q$5:$Q$504,5)/COUNTIFS('Game Records'!$A$5:$A$504,"&lt;&gt;",'Game Records'!$Q$5:$Q$504,5,'Game Records'!$J$5:$J$504,"&lt;&gt;"))</x:f>
      </x:c>
      <x:c r="F16" s="60" t="str">
        <x:f>IF(B16=0,"",COUNTIFS('Game Records'!$A$5:$A$504,"&lt;&gt;",'Game Records'!$Q$5:$Q$504,5,'Game Records'!$K$5:$K$504,"Profit")/B16)</x:f>
      </x:c>
      <x:c r="G16" s="60" t="str">
        <x:f>IF(B16=0,"",COUNTIFS('Game Records'!$A$5:$A$504,"&lt;&gt;",'Game Records'!$Q$5:$Q$504,5,'Game Records'!$K$5:$K$504,"Draw")/B16)</x:f>
      </x:c>
      <x:c r="H16" s="60" t="str">
        <x:f>IF(B16=0,"",(COUNTIFS('Game Records'!$A$5:$A$504,"&lt;&gt;",'Game Records'!$Q$5:$Q$504,5,'Game Records'!$K$5:$K$504,"Disqualified")+COUNTIFS('Game Records'!$A$5:$A$504,"&lt;&gt;",'Game Records'!$Q$5:$Q$504,5,'Game Records'!$K$5:$K$504,"Loss"))/B16)</x:f>
      </x:c>
    </x:row>
    <x:row r="17">
      <x:c r="A17" s="54" t="str">
        <x:v>6 Weeks</x:v>
      </x:c>
      <x:c r="B17" s="50" t="n">
        <x:f>COUNTIFS('Game Records'!$A$5:$A$504,"&lt;&gt;",'Game Records'!$Q$5:$Q$504,6,'Game Records'!$K$5:$K$504,"&lt;&gt;Subscription")</x:f>
        <x:v>0</x:v>
      </x:c>
      <x:c r="C17" s="58" t="n">
        <x:f>SUMIFS('Game Records'!$U$5:$U$504,'Game Records'!$A$5:$A$504,"&lt;&gt;",'Game Records'!$Q$5:$Q$504,6)</x:f>
        <x:v>0</x:v>
      </x:c>
      <x:c r="D17" s="58" t="str">
        <x:f>IF(B17=0,"",C17/B17)</x:f>
      </x:c>
      <x:c r="E17" s="60" t="str">
        <x:f>IF(COUNTIFS('Game Records'!$A$5:$A$504,"&lt;&gt;",'Game Records'!$Q$5:$Q$504,6,'Game Records'!$J$5:$J$504,"&lt;&gt;")=0,"",SUMIFS('Game Records'!$J$5:$J$504,'Game Records'!$A$5:$A$504,"&lt;&gt;",'Game Records'!$Q$5:$Q$504,6)/COUNTIFS('Game Records'!$A$5:$A$504,"&lt;&gt;",'Game Records'!$Q$5:$Q$504,6,'Game Records'!$J$5:$J$504,"&lt;&gt;"))</x:f>
      </x:c>
      <x:c r="F17" s="60" t="str">
        <x:f>IF(B17=0,"",COUNTIFS('Game Records'!$A$5:$A$504,"&lt;&gt;",'Game Records'!$Q$5:$Q$504,6,'Game Records'!$K$5:$K$504,"Profit")/B17)</x:f>
      </x:c>
      <x:c r="G17" s="60" t="str">
        <x:f>IF(B17=0,"",COUNTIFS('Game Records'!$A$5:$A$504,"&lt;&gt;",'Game Records'!$Q$5:$Q$504,6,'Game Records'!$K$5:$K$504,"Draw")/B17)</x:f>
      </x:c>
      <x:c r="H17" s="60" t="str">
        <x:f>IF(B17=0,"",(COUNTIFS('Game Records'!$A$5:$A$504,"&lt;&gt;",'Game Records'!$Q$5:$Q$504,6,'Game Records'!$K$5:$K$504,"Disqualified")+COUNTIFS('Game Records'!$A$5:$A$504,"&lt;&gt;",'Game Records'!$Q$5:$Q$504,6,'Game Records'!$K$5:$K$504,"Loss"))/B17)</x:f>
      </x:c>
    </x:row>
    <x:row r="18">
      <x:c r="A18" s="54" t="str">
        <x:v>7 Weeks</x:v>
      </x:c>
      <x:c r="B18" s="50" t="n">
        <x:f>COUNTIFS('Game Records'!$A$5:$A$504,"&lt;&gt;",'Game Records'!$Q$5:$Q$504,7,'Game Records'!$K$5:$K$504,"&lt;&gt;Subscription")</x:f>
        <x:v>0</x:v>
      </x:c>
      <x:c r="C18" s="58" t="n">
        <x:f>SUMIFS('Game Records'!$U$5:$U$504,'Game Records'!$A$5:$A$504,"&lt;&gt;",'Game Records'!$Q$5:$Q$504,7)</x:f>
        <x:v>0</x:v>
      </x:c>
      <x:c r="D18" s="58" t="str">
        <x:f>IF(B18=0,"",C18/B18)</x:f>
      </x:c>
      <x:c r="E18" s="60" t="str">
        <x:f>IF(COUNTIFS('Game Records'!$A$5:$A$504,"&lt;&gt;",'Game Records'!$Q$5:$Q$504,7,'Game Records'!$J$5:$J$504,"&lt;&gt;")=0,"",SUMIFS('Game Records'!$J$5:$J$504,'Game Records'!$A$5:$A$504,"&lt;&gt;",'Game Records'!$Q$5:$Q$504,7)/COUNTIFS('Game Records'!$A$5:$A$504,"&lt;&gt;",'Game Records'!$Q$5:$Q$504,7,'Game Records'!$J$5:$J$504,"&lt;&gt;"))</x:f>
      </x:c>
      <x:c r="F18" s="60" t="str">
        <x:f>IF(B18=0,"",COUNTIFS('Game Records'!$A$5:$A$504,"&lt;&gt;",'Game Records'!$Q$5:$Q$504,7,'Game Records'!$K$5:$K$504,"Profit")/B18)</x:f>
      </x:c>
      <x:c r="G18" s="60" t="str">
        <x:f>IF(B18=0,"",COUNTIFS('Game Records'!$A$5:$A$504,"&lt;&gt;",'Game Records'!$Q$5:$Q$504,7,'Game Records'!$K$5:$K$504,"Draw")/B18)</x:f>
      </x:c>
      <x:c r="H18" s="60" t="str">
        <x:f>IF(B18=0,"",(COUNTIFS('Game Records'!$A$5:$A$504,"&lt;&gt;",'Game Records'!$Q$5:$Q$504,7,'Game Records'!$K$5:$K$504,"Disqualified")+COUNTIFS('Game Records'!$A$5:$A$504,"&lt;&gt;",'Game Records'!$Q$5:$Q$504,7,'Game Records'!$K$5:$K$504,"Loss"))/B18)</x:f>
      </x:c>
    </x:row>
    <x:row r="19">
      <x:c r="A19" s="54" t="str">
        <x:v>8+ Weeks</x:v>
      </x:c>
      <x:c r="B19" s="50" t="n">
        <x:f>COUNTIFS('Game Records'!$A$5:$A$504,"&lt;&gt;",'Game Records'!$Q$5:$Q$504,"&gt;=8",'Game Records'!$K$5:$K$504,"&lt;&gt;Subscription")</x:f>
        <x:v>0</x:v>
      </x:c>
      <x:c r="C19" s="58" t="n">
        <x:f>SUMIFS('Game Records'!$U$5:$U$504,'Game Records'!$A$5:$A$504,"&lt;&gt;",'Game Records'!$Q$5:$Q$504,"&gt;=8")</x:f>
        <x:v>0</x:v>
      </x:c>
      <x:c r="D19" s="58" t="str">
        <x:f>IF(B19=0,"",C19/B19)</x:f>
      </x:c>
      <x:c r="E19" s="60" t="str">
        <x:f>IF(COUNTIFS('Game Records'!$A$5:$A$504,"&lt;&gt;",'Game Records'!$Q$5:$Q$504,"&gt;=8",'Game Records'!$J$5:$J$504,"&lt;&gt;")=0,"",SUMIFS('Game Records'!$J$5:$J$504,'Game Records'!$A$5:$A$504,"&lt;&gt;",'Game Records'!$Q$5:$Q$504,"&gt;=8")/COUNTIFS('Game Records'!$A$5:$A$504,"&lt;&gt;",'Game Records'!$Q$5:$Q$504,"&gt;=8",'Game Records'!$J$5:$J$504,"&lt;&gt;"))</x:f>
      </x:c>
      <x:c r="F19" s="60" t="str">
        <x:f>IF(B19=0,"",COUNTIFS('Game Records'!$A$5:$A$504,"&lt;&gt;",'Game Records'!$Q$5:$Q$504,"&gt;=8",'Game Records'!$K$5:$K$504,"Profit")/B19)</x:f>
      </x:c>
      <x:c r="G19" s="60" t="str">
        <x:f>IF(B19=0,"",COUNTIFS('Game Records'!$A$5:$A$504,"&lt;&gt;",'Game Records'!$Q$5:$Q$504,"&gt;=8",'Game Records'!$K$5:$K$504,"Draw")/B19)</x:f>
      </x:c>
      <x:c r="H19" s="60" t="str">
        <x:f>IF(B19=0,"",(COUNTIFS('Game Records'!$A$5:$A$504,"&lt;&gt;",'Game Records'!$Q$5:$Q$504,"&gt;=8",'Game Records'!$K$5:$K$504,"Disqualified")+COUNTIFS('Game Records'!$A$5:$A$504,"&lt;&gt;",'Game Records'!$Q$5:$Q$504,"&gt;=8",'Game Records'!$K$5:$K$504,"Loss"))/B19)</x:f>
      </x:c>
    </x:row>
    <x:row r="20">
      <x:c r="A20" s="54"/>
      <x:c r="B20" s="50"/>
      <x:c r="C20" s="58"/>
      <x:c r="D20" s="58"/>
      <x:c r="E20" s="60"/>
      <x:c r="F20" s="60"/>
      <x:c r="G20" s="60"/>
      <x:c r="H20" s="60"/>
    </x:row>
    <x:row r="21">
      <x:c r="A21" s="54"/>
      <x:c r="B21" s="50"/>
      <x:c r="C21" s="58"/>
      <x:c r="D21" s="58"/>
      <x:c r="E21" s="60"/>
      <x:c r="F21" s="60"/>
      <x:c r="G21" s="60"/>
      <x:c r="H21" s="60"/>
    </x:row>
    <x:row r="22">
      <x:c r="A22" s="92" t="str">
        <x:v>Entry Fee</x:v>
      </x:c>
      <x:c r="B22" s="93"/>
      <x:c r="C22" s="99"/>
      <x:c r="D22" s="99"/>
      <x:c r="E22" s="103"/>
      <x:c r="F22" s="103"/>
      <x:c r="G22" s="103"/>
      <x:c r="H22" s="103"/>
    </x:row>
    <x:row r="23">
      <x:c r="A23" s="96" t="str">
        <x:v>Category</x:v>
      </x:c>
      <x:c r="B23" s="42" t="str">
        <x:v>Games</x:v>
      </x:c>
      <x:c r="C23" s="98" t="str">
        <x:v>Total Net Profit</x:v>
      </x:c>
      <x:c r="D23" s="98" t="str">
        <x:v>Average Net Profit</x:v>
      </x:c>
      <x:c r="E23" s="102" t="str">
        <x:v>Average ROI</x:v>
      </x:c>
      <x:c r="F23" s="102" t="str">
        <x:v>Profit Rate</x:v>
      </x:c>
      <x:c r="G23" s="102" t="str">
        <x:v>Draw Rate</x:v>
      </x:c>
      <x:c r="H23" s="102" t="str">
        <x:v>Loss Rate</x:v>
      </x:c>
    </x:row>
    <x:row r="24">
      <x:c r="A24" s="54" t="str">
        <x:v>Free</x:v>
      </x:c>
      <x:c r="B24" s="50" t="n">
        <x:f>COUNTIFS('Game Records'!$A$5:$A$504,"&lt;&gt;",'Game Records'!$E$5:$E$504,0,'Game Records'!$K$5:$K$504,"&lt;&gt;Subscription")</x:f>
        <x:v>0</x:v>
      </x:c>
      <x:c r="C24" s="58" t="n">
        <x:f>SUMIFS('Game Records'!$U$5:$U$504,'Game Records'!$A$5:$A$504,"&lt;&gt;",'Game Records'!$E$5:$E$504,0)</x:f>
        <x:v>0</x:v>
      </x:c>
      <x:c r="D24" s="58" t="str">
        <x:f>IF(B24=0,"",C24/B24)</x:f>
      </x:c>
      <x:c r="E24" s="60" t="str">
        <x:f>IF(COUNTIFS('Game Records'!$A$5:$A$504,"&lt;&gt;",'Game Records'!$E$5:$E$504,0,'Game Records'!$J$5:$J$504,"&lt;&gt;")=0,"",SUMIFS('Game Records'!$J$5:$J$504,'Game Records'!$A$5:$A$504,"&lt;&gt;",'Game Records'!$E$5:$E$504,0)/COUNTIFS('Game Records'!$A$5:$A$504,"&lt;&gt;",'Game Records'!$E$5:$E$504,0,'Game Records'!$J$5:$J$504,"&lt;&gt;"))</x:f>
      </x:c>
      <x:c r="F24" s="60" t="str">
        <x:f>IF(B24=0,"",COUNTIFS('Game Records'!$A$5:$A$504,"&lt;&gt;",'Game Records'!$E$5:$E$504,0,'Game Records'!$K$5:$K$504,"Profit")/B24)</x:f>
      </x:c>
      <x:c r="G24" s="60" t="str">
        <x:f>IF(B24=0,"",COUNTIFS('Game Records'!$A$5:$A$504,"&lt;&gt;",'Game Records'!$E$5:$E$504,0,'Game Records'!$K$5:$K$504,"Draw")/B24)</x:f>
      </x:c>
      <x:c r="H24" s="60" t="str">
        <x:f>IF(B24=0,"",(COUNTIFS('Game Records'!$A$5:$A$504,"&lt;&gt;",'Game Records'!$E$5:$E$504,0,'Game Records'!$K$5:$K$504,"Disqualified")+COUNTIFS('Game Records'!$A$5:$A$504,"&lt;&gt;",'Game Records'!$E$5:$E$504,0,'Game Records'!$K$5:$K$504,"Loss"))/B24)</x:f>
      </x:c>
    </x:row>
    <x:row r="25">
      <x:c r="A25" s="54" t="str">
        <x:v>$20–$30</x:v>
      </x:c>
      <x:c r="B25" s="50" t="n">
        <x:f>COUNTIFS('Game Records'!$A$5:$A$504,"&lt;&gt;",'Game Records'!$E$5:$E$504,"&gt;=20",'Game Records'!$E$5:$E$504,"&lt;=30",'Game Records'!$K$5:$K$504,"&lt;&gt;Subscription")</x:f>
        <x:v>0</x:v>
      </x:c>
      <x:c r="C25" s="58" t="n">
        <x:f>SUMIFS('Game Records'!$U$5:$U$504,'Game Records'!$A$5:$A$504,"&lt;&gt;",'Game Records'!$E$5:$E$504,"&gt;=20",'Game Records'!$E$5:$E$504,"&lt;=30")</x:f>
        <x:v>0</x:v>
      </x:c>
      <x:c r="D25" s="58" t="str">
        <x:f>IF(B25=0,"",C25/B25)</x:f>
      </x:c>
      <x:c r="E25" s="60" t="str">
        <x:f>IF(COUNTIFS('Game Records'!$A$5:$A$504,"&lt;&gt;",'Game Records'!$E$5:$E$504,"&gt;=20",'Game Records'!$E$5:$E$504,"&lt;=30",'Game Records'!$J$5:$J$504,"&lt;&gt;")=0,"",SUMIFS('Game Records'!$J$5:$J$504,'Game Records'!$A$5:$A$504,"&lt;&gt;",'Game Records'!$E$5:$E$504,"&gt;=20",'Game Records'!$E$5:$E$504,"&lt;=30")/COUNTIFS('Game Records'!$A$5:$A$504,"&lt;&gt;",'Game Records'!$E$5:$E$504,"&gt;=20",'Game Records'!$E$5:$E$504,"&lt;=30",'Game Records'!$J$5:$J$504,"&lt;&gt;"))</x:f>
      </x:c>
      <x:c r="F25" s="60" t="str">
        <x:f>IF(B25=0,"",COUNTIFS('Game Records'!$A$5:$A$504,"&lt;&gt;",'Game Records'!$E$5:$E$504,"&gt;=20",'Game Records'!$E$5:$E$504,"&lt;=30",'Game Records'!$K$5:$K$504,"Profit")/B25)</x:f>
      </x:c>
      <x:c r="G25" s="60" t="str">
        <x:f>IF(B25=0,"",COUNTIFS('Game Records'!$A$5:$A$504,"&lt;&gt;",'Game Records'!$E$5:$E$504,"&gt;=20",'Game Records'!$E$5:$E$504,"&lt;=30",'Game Records'!$K$5:$K$504,"Draw")/B25)</x:f>
      </x:c>
      <x:c r="H25" s="60" t="str">
        <x:f>IF(B25=0,"",(COUNTIFS('Game Records'!$A$5:$A$504,"&lt;&gt;",'Game Records'!$E$5:$E$504,"&gt;=20",'Game Records'!$E$5:$E$504,"&lt;=30",'Game Records'!$K$5:$K$504,"Disqualified")+COUNTIFS('Game Records'!$A$5:$A$504,"&lt;&gt;",'Game Records'!$E$5:$E$504,"&gt;=20",'Game Records'!$E$5:$E$504,"&lt;=30",'Game Records'!$K$5:$K$504,"Loss"))/B25)</x:f>
      </x:c>
    </x:row>
    <x:row r="26">
      <x:c r="A26" s="54" t="str">
        <x:v>$40–$50</x:v>
      </x:c>
      <x:c r="B26" s="50" t="n">
        <x:f>COUNTIFS('Game Records'!$A$5:$A$504,"&lt;&gt;",'Game Records'!$E$5:$E$504,"&gt;=40",'Game Records'!$E$5:$E$504,"&lt;=50",'Game Records'!$K$5:$K$504,"&lt;&gt;Subscription")</x:f>
        <x:v>0</x:v>
      </x:c>
      <x:c r="C26" s="58" t="n">
        <x:f>SUMIFS('Game Records'!$U$5:$U$504,'Game Records'!$A$5:$A$504,"&lt;&gt;",'Game Records'!$E$5:$E$504,"&gt;=40",'Game Records'!$E$5:$E$504,"&lt;=50")</x:f>
        <x:v>0</x:v>
      </x:c>
      <x:c r="D26" s="58" t="str">
        <x:f>IF(B26=0,"",C26/B26)</x:f>
      </x:c>
      <x:c r="E26" s="60" t="str">
        <x:f>IF(COUNTIFS('Game Records'!$A$5:$A$504,"&lt;&gt;",'Game Records'!$E$5:$E$504,"&gt;=40",'Game Records'!$E$5:$E$504,"&lt;=50",'Game Records'!$J$5:$J$504,"&lt;&gt;")=0,"",SUMIFS('Game Records'!$J$5:$J$504,'Game Records'!$A$5:$A$504,"&lt;&gt;",'Game Records'!$E$5:$E$504,"&gt;=40",'Game Records'!$E$5:$E$504,"&lt;=50")/COUNTIFS('Game Records'!$A$5:$A$504,"&lt;&gt;",'Game Records'!$E$5:$E$504,"&gt;=40",'Game Records'!$E$5:$E$504,"&lt;=50",'Game Records'!$J$5:$J$504,"&lt;&gt;"))</x:f>
      </x:c>
      <x:c r="F26" s="60" t="str">
        <x:f>IF(B26=0,"",COUNTIFS('Game Records'!$A$5:$A$504,"&lt;&gt;",'Game Records'!$E$5:$E$504,"&gt;=40",'Game Records'!$E$5:$E$504,"&lt;=50",'Game Records'!$K$5:$K$504,"Profit")/B26)</x:f>
      </x:c>
      <x:c r="G26" s="60" t="str">
        <x:f>IF(B26=0,"",COUNTIFS('Game Records'!$A$5:$A$504,"&lt;&gt;",'Game Records'!$E$5:$E$504,"&gt;=40",'Game Records'!$E$5:$E$504,"&lt;=50",'Game Records'!$K$5:$K$504,"Draw")/B26)</x:f>
      </x:c>
      <x:c r="H26" s="60" t="str">
        <x:f>IF(B26=0,"",(COUNTIFS('Game Records'!$A$5:$A$504,"&lt;&gt;",'Game Records'!$E$5:$E$504,"&gt;=40",'Game Records'!$E$5:$E$504,"&lt;=50",'Game Records'!$K$5:$K$504,"Disqualified")+COUNTIFS('Game Records'!$A$5:$A$504,"&lt;&gt;",'Game Records'!$E$5:$E$504,"&gt;=40",'Game Records'!$E$5:$E$504,"&lt;=50",'Game Records'!$K$5:$K$504,"Loss"))/B26)</x:f>
      </x:c>
    </x:row>
    <x:row r="27">
      <x:c r="A27" s="54" t="str">
        <x:v>$60</x:v>
      </x:c>
      <x:c r="B27" s="50" t="n">
        <x:f>COUNTIFS('Game Records'!$A$5:$A$504,"&lt;&gt;",'Game Records'!$E$5:$E$504,60,'Game Records'!$K$5:$K$504,"&lt;&gt;Subscription")</x:f>
        <x:v>0</x:v>
      </x:c>
      <x:c r="C27" s="58" t="n">
        <x:f>SUMIFS('Game Records'!$U$5:$U$504,'Game Records'!$A$5:$A$504,"&lt;&gt;",'Game Records'!$E$5:$E$504,60)</x:f>
        <x:v>0</x:v>
      </x:c>
      <x:c r="D27" s="58" t="str">
        <x:f>IF(B27=0,"",C27/B27)</x:f>
      </x:c>
      <x:c r="E27" s="60" t="str">
        <x:f>IF(COUNTIFS('Game Records'!$A$5:$A$504,"&lt;&gt;",'Game Records'!$E$5:$E$504,60,'Game Records'!$J$5:$J$504,"&lt;&gt;")=0,"",SUMIFS('Game Records'!$J$5:$J$504,'Game Records'!$A$5:$A$504,"&lt;&gt;",'Game Records'!$E$5:$E$504,60)/COUNTIFS('Game Records'!$A$5:$A$504,"&lt;&gt;",'Game Records'!$E$5:$E$504,60,'Game Records'!$J$5:$J$504,"&lt;&gt;"))</x:f>
      </x:c>
      <x:c r="F27" s="60" t="str">
        <x:f>IF(B27=0,"",COUNTIFS('Game Records'!$A$5:$A$504,"&lt;&gt;",'Game Records'!$E$5:$E$504,60,'Game Records'!$K$5:$K$504,"Profit")/B27)</x:f>
      </x:c>
      <x:c r="G27" s="60" t="str">
        <x:f>IF(B27=0,"",COUNTIFS('Game Records'!$A$5:$A$504,"&lt;&gt;",'Game Records'!$E$5:$E$504,60,'Game Records'!$K$5:$K$504,"Draw")/B27)</x:f>
      </x:c>
      <x:c r="H27" s="60" t="str">
        <x:f>IF(B27=0,"",(COUNTIFS('Game Records'!$A$5:$A$504,"&lt;&gt;",'Game Records'!$E$5:$E$504,60,'Game Records'!$K$5:$K$504,"Disqualified")+COUNTIFS('Game Records'!$A$5:$A$504,"&lt;&gt;",'Game Records'!$E$5:$E$504,60,'Game Records'!$K$5:$K$504,"Loss"))/B27)</x:f>
      </x:c>
    </x:row>
    <x:row r="28">
      <x:c r="A28" s="54" t="str">
        <x:v>$100+</x:v>
      </x:c>
      <x:c r="B28" s="50" t="n">
        <x:f>COUNTIFS('Game Records'!$A$5:$A$504,"&lt;&gt;",'Game Records'!$E$5:$E$504,"&gt;=100",'Game Records'!$K$5:$K$504,"&lt;&gt;Subscription")</x:f>
        <x:v>0</x:v>
      </x:c>
      <x:c r="C28" s="58" t="n">
        <x:f>SUMIFS('Game Records'!$U$5:$U$504,'Game Records'!$A$5:$A$504,"&lt;&gt;",'Game Records'!$E$5:$E$504,"&gt;=100")</x:f>
        <x:v>0</x:v>
      </x:c>
      <x:c r="D28" s="58" t="str">
        <x:f>IF(B28=0,"",C28/B28)</x:f>
      </x:c>
      <x:c r="E28" s="60" t="str">
        <x:f>IF(COUNTIFS('Game Records'!$A$5:$A$504,"&lt;&gt;",'Game Records'!$E$5:$E$504,"&gt;=100",'Game Records'!$J$5:$J$504,"&lt;&gt;")=0,"",SUMIFS('Game Records'!$J$5:$J$504,'Game Records'!$A$5:$A$504,"&lt;&gt;",'Game Records'!$E$5:$E$504,"&gt;=100")/COUNTIFS('Game Records'!$A$5:$A$504,"&lt;&gt;",'Game Records'!$E$5:$E$504,"&gt;=100",'Game Records'!$J$5:$J$504,"&lt;&gt;"))</x:f>
      </x:c>
      <x:c r="F28" s="60" t="str">
        <x:f>IF(B28=0,"",COUNTIFS('Game Records'!$A$5:$A$504,"&lt;&gt;",'Game Records'!$E$5:$E$504,"&gt;=100",'Game Records'!$K$5:$K$504,"Profit")/B28)</x:f>
      </x:c>
      <x:c r="G28" s="60" t="str">
        <x:f>IF(B28=0,"",COUNTIFS('Game Records'!$A$5:$A$504,"&lt;&gt;",'Game Records'!$E$5:$E$504,"&gt;=100",'Game Records'!$K$5:$K$504,"Draw")/B28)</x:f>
      </x:c>
      <x:c r="H28" s="60" t="str">
        <x:f>IF(B28=0,"",(COUNTIFS('Game Records'!$A$5:$A$504,"&lt;&gt;",'Game Records'!$E$5:$E$504,"&gt;=100",'Game Records'!$K$5:$K$504,"Disqualified")+COUNTIFS('Game Records'!$A$5:$A$504,"&lt;&gt;",'Game Records'!$E$5:$E$504,"&gt;=100",'Game Records'!$K$5:$K$504,"Loss"))/B28)</x:f>
      </x:c>
    </x:row>
    <x:row r="29">
      <x:c r="A29" s="54"/>
      <x:c r="B29" s="50"/>
      <x:c r="C29" s="58"/>
      <x:c r="D29" s="58"/>
      <x:c r="E29" s="60"/>
      <x:c r="F29" s="60"/>
      <x:c r="G29" s="60"/>
      <x:c r="H29" s="60"/>
    </x:row>
    <x:row r="30">
      <x:c r="A30" s="54"/>
      <x:c r="B30" s="50"/>
      <x:c r="C30" s="58"/>
      <x:c r="D30" s="58"/>
      <x:c r="E30" s="60"/>
      <x:c r="F30" s="60"/>
      <x:c r="G30" s="60"/>
      <x:c r="H30" s="60"/>
    </x:row>
    <x:row r="31">
      <x:c r="A31" s="92" t="str">
        <x:v>Payment Type</x:v>
      </x:c>
      <x:c r="B31" s="93"/>
      <x:c r="C31" s="99"/>
      <x:c r="D31" s="99"/>
      <x:c r="E31" s="103"/>
      <x:c r="F31" s="103"/>
      <x:c r="G31" s="103"/>
      <x:c r="H31" s="103"/>
    </x:row>
    <x:row r="32">
      <x:c r="A32" s="96" t="str">
        <x:v>Category</x:v>
      </x:c>
      <x:c r="B32" s="42" t="str">
        <x:v>Games</x:v>
      </x:c>
      <x:c r="C32" s="98" t="str">
        <x:v>Total Net Profit</x:v>
      </x:c>
      <x:c r="D32" s="98" t="str">
        <x:v>Average Net Profit</x:v>
      </x:c>
      <x:c r="E32" s="102" t="str">
        <x:v>Average ROI</x:v>
      </x:c>
      <x:c r="F32" s="102" t="str">
        <x:v>Profit Rate</x:v>
      </x:c>
      <x:c r="G32" s="102" t="str">
        <x:v>Draw Rate</x:v>
      </x:c>
      <x:c r="H32" s="102" t="str">
        <x:v>Loss Rate</x:v>
      </x:c>
    </x:row>
    <x:row r="33">
      <x:c r="A33" s="54" t="str">
        <x:v>Cash</x:v>
      </x:c>
      <x:c r="B33" s="50" t="n">
        <x:f>COUNTIFS('Game Records'!$A$5:$A$504,"&lt;&gt;",'Game Records'!$D$5:$D$504,"*Cash*",'Game Records'!$K$5:$K$504,"&lt;&gt;Subscription")</x:f>
        <x:v>0</x:v>
      </x:c>
      <x:c r="C33" s="58" t="n">
        <x:f>SUMIFS('Game Records'!$U$5:$U$504,'Game Records'!$A$5:$A$504,"&lt;&gt;",'Game Records'!$D$5:$D$504,"*Cash*")</x:f>
        <x:v>0</x:v>
      </x:c>
      <x:c r="D33" s="58" t="str">
        <x:f>IF(B33=0,"",C33/B33)</x:f>
      </x:c>
      <x:c r="E33" s="60" t="str">
        <x:f>IF(COUNTIFS('Game Records'!$A$5:$A$504,"&lt;&gt;",'Game Records'!$D$5:$D$504,"*Cash*",'Game Records'!$J$5:$J$504,"&lt;&gt;")=0,"",SUMIFS('Game Records'!$J$5:$J$504,'Game Records'!$A$5:$A$504,"&lt;&gt;",'Game Records'!$D$5:$D$504,"*Cash*")/COUNTIFS('Game Records'!$A$5:$A$504,"&lt;&gt;",'Game Records'!$D$5:$D$504,"*Cash*",'Game Records'!$J$5:$J$504,"&lt;&gt;"))</x:f>
      </x:c>
      <x:c r="F33" s="60" t="str">
        <x:f>IF(B33=0,"",COUNTIFS('Game Records'!$A$5:$A$504,"&lt;&gt;",'Game Records'!$D$5:$D$504,"*Cash*",'Game Records'!$K$5:$K$504,"Profit")/B33)</x:f>
      </x:c>
      <x:c r="G33" s="60" t="str">
        <x:f>IF(B33=0,"",COUNTIFS('Game Records'!$A$5:$A$504,"&lt;&gt;",'Game Records'!$D$5:$D$504,"*Cash*",'Game Records'!$K$5:$K$504,"Draw")/B33)</x:f>
      </x:c>
      <x:c r="H33" s="60" t="str">
        <x:f>IF(B33=0,"",(COUNTIFS('Game Records'!$A$5:$A$504,"&lt;&gt;",'Game Records'!$D$5:$D$504,"*Cash*",'Game Records'!$K$5:$K$504,"Disqualified")+COUNTIFS('Game Records'!$A$5:$A$504,"&lt;&gt;",'Game Records'!$D$5:$D$504,"*Cash*",'Game Records'!$K$5:$K$504,"Loss"))/B33)</x:f>
      </x:c>
    </x:row>
    <x:row r="34">
      <x:c r="A34" s="54" t="str">
        <x:v>Points</x:v>
      </x:c>
      <x:c r="B34" s="50" t="n">
        <x:f>COUNTIFS('Game Records'!$A$5:$A$504,"&lt;&gt;",'Game Records'!$D$5:$D$504,"*Points*",'Game Records'!$K$5:$K$504,"&lt;&gt;Subscription")</x:f>
        <x:v>0</x:v>
      </x:c>
      <x:c r="C34" s="58" t="n">
        <x:f>SUMIFS('Game Records'!$U$5:$U$504,'Game Records'!$A$5:$A$504,"&lt;&gt;",'Game Records'!$D$5:$D$504,"*Points*")</x:f>
        <x:v>0</x:v>
      </x:c>
      <x:c r="D34" s="58" t="str">
        <x:f>IF(B34=0,"",C34/B34)</x:f>
      </x:c>
      <x:c r="E34" s="60" t="str">
        <x:f>IF(COUNTIFS('Game Records'!$A$5:$A$504,"&lt;&gt;",'Game Records'!$D$5:$D$504,"*Points*",'Game Records'!$J$5:$J$504,"&lt;&gt;")=0,"",SUMIFS('Game Records'!$J$5:$J$504,'Game Records'!$A$5:$A$504,"&lt;&gt;",'Game Records'!$D$5:$D$504,"*Points*")/COUNTIFS('Game Records'!$A$5:$A$504,"&lt;&gt;",'Game Records'!$D$5:$D$504,"*Points*",'Game Records'!$J$5:$J$504,"&lt;&gt;"))</x:f>
      </x:c>
      <x:c r="F34" s="60" t="str">
        <x:f>IF(B34=0,"",COUNTIFS('Game Records'!$A$5:$A$504,"&lt;&gt;",'Game Records'!$D$5:$D$504,"*Points*",'Game Records'!$K$5:$K$504,"Profit")/B34)</x:f>
      </x:c>
      <x:c r="G34" s="60" t="str">
        <x:f>IF(B34=0,"",COUNTIFS('Game Records'!$A$5:$A$504,"&lt;&gt;",'Game Records'!$D$5:$D$504,"*Points*",'Game Records'!$K$5:$K$504,"Draw")/B34)</x:f>
      </x:c>
      <x:c r="H34" s="60" t="str">
        <x:f>IF(B34=0,"",(COUNTIFS('Game Records'!$A$5:$A$504,"&lt;&gt;",'Game Records'!$D$5:$D$504,"*Points*",'Game Records'!$K$5:$K$504,"Disqualified")+COUNTIFS('Game Records'!$A$5:$A$504,"&lt;&gt;",'Game Records'!$D$5:$D$504,"*Points*",'Game Records'!$K$5:$K$504,"Loss"))/B34)</x:f>
      </x:c>
    </x:row>
    <x:row r="35">
      <x:c r="A35" s="54" t="str">
        <x:v>Hybrid</x:v>
      </x:c>
      <x:c r="B35" s="50" t="n">
        <x:f>COUNTIFS('Game Records'!$A$5:$A$504,"&lt;&gt;",'Game Records'!$D$5:$D$504,"*Hybrid*",'Game Records'!$K$5:$K$504,"&lt;&gt;Subscription")</x:f>
        <x:v>0</x:v>
      </x:c>
      <x:c r="C35" s="58" t="n">
        <x:f>SUMIFS('Game Records'!$U$5:$U$504,'Game Records'!$A$5:$A$504,"&lt;&gt;",'Game Records'!$D$5:$D$504,"*Hybrid*")</x:f>
        <x:v>0</x:v>
      </x:c>
      <x:c r="D35" s="58" t="str">
        <x:f>IF(B35=0,"",C35/B35)</x:f>
      </x:c>
      <x:c r="E35" s="60" t="str">
        <x:f>IF(COUNTIFS('Game Records'!$A$5:$A$504,"&lt;&gt;",'Game Records'!$D$5:$D$504,"*Hybrid*",'Game Records'!$J$5:$J$504,"&lt;&gt;")=0,"",SUMIFS('Game Records'!$J$5:$J$504,'Game Records'!$A$5:$A$504,"&lt;&gt;",'Game Records'!$D$5:$D$504,"*Hybrid*")/COUNTIFS('Game Records'!$A$5:$A$504,"&lt;&gt;",'Game Records'!$D$5:$D$504,"*Hybrid*",'Game Records'!$J$5:$J$504,"&lt;&gt;"))</x:f>
      </x:c>
      <x:c r="F35" s="60" t="str">
        <x:f>IF(B35=0,"",COUNTIFS('Game Records'!$A$5:$A$504,"&lt;&gt;",'Game Records'!$D$5:$D$504,"*Hybrid*",'Game Records'!$K$5:$K$504,"Profit")/B35)</x:f>
      </x:c>
      <x:c r="G35" s="60" t="str">
        <x:f>IF(B35=0,"",COUNTIFS('Game Records'!$A$5:$A$504,"&lt;&gt;",'Game Records'!$D$5:$D$504,"*Hybrid*",'Game Records'!$K$5:$K$504,"Draw")/B35)</x:f>
      </x:c>
      <x:c r="H35" s="60" t="str">
        <x:f>IF(B35=0,"",(COUNTIFS('Game Records'!$A$5:$A$504,"&lt;&gt;",'Game Records'!$D$5:$D$504,"*Hybrid*",'Game Records'!$K$5:$K$504,"Disqualified")+COUNTIFS('Game Records'!$A$5:$A$504,"&lt;&gt;",'Game Records'!$D$5:$D$504,"*Hybrid*",'Game Records'!$K$5:$K$504,"Loss"))/B35)</x:f>
      </x:c>
    </x:row>
    <x:row r="36">
      <x:c r="A36" s="54" t="str">
        <x:v>Free Game</x:v>
      </x:c>
      <x:c r="B36" s="50" t="n">
        <x:f>COUNTIFS('Game Records'!$A$5:$A$504,"&lt;&gt;",'Game Records'!$D$5:$D$504,"*Free*",'Game Records'!$K$5:$K$504,"&lt;&gt;Subscription")</x:f>
        <x:v>0</x:v>
      </x:c>
      <x:c r="C36" s="58" t="n">
        <x:f>SUMIFS('Game Records'!$U$5:$U$504,'Game Records'!$A$5:$A$504,"&lt;&gt;",'Game Records'!$D$5:$D$504,"*Free*")</x:f>
        <x:v>0</x:v>
      </x:c>
      <x:c r="D36" s="58" t="str">
        <x:f>IF(B36=0,"",C36/B36)</x:f>
      </x:c>
      <x:c r="E36" s="60" t="str">
        <x:f>IF(COUNTIFS('Game Records'!$A$5:$A$504,"&lt;&gt;",'Game Records'!$D$5:$D$504,"*Free*",'Game Records'!$J$5:$J$504,"&lt;&gt;")=0,"",SUMIFS('Game Records'!$J$5:$J$504,'Game Records'!$A$5:$A$504,"&lt;&gt;",'Game Records'!$D$5:$D$504,"*Free*")/COUNTIFS('Game Records'!$A$5:$A$504,"&lt;&gt;",'Game Records'!$D$5:$D$504,"*Free*",'Game Records'!$J$5:$J$504,"&lt;&gt;"))</x:f>
      </x:c>
      <x:c r="F36" s="60" t="str">
        <x:f>IF(B36=0,"",COUNTIFS('Game Records'!$A$5:$A$504,"&lt;&gt;",'Game Records'!$D$5:$D$504,"*Free*",'Game Records'!$K$5:$K$504,"Profit")/B36)</x:f>
      </x:c>
      <x:c r="G36" s="60" t="str">
        <x:f>IF(B36=0,"",COUNTIFS('Game Records'!$A$5:$A$504,"&lt;&gt;",'Game Records'!$D$5:$D$504,"*Free*",'Game Records'!$K$5:$K$504,"Draw")/B36)</x:f>
      </x:c>
      <x:c r="H36" s="60" t="str">
        <x:f>IF(B36=0,"",(COUNTIFS('Game Records'!$A$5:$A$504,"&lt;&gt;",'Game Records'!$D$5:$D$504,"*Free*",'Game Records'!$K$5:$K$504,"Disqualified")+COUNTIFS('Game Records'!$A$5:$A$504,"&lt;&gt;",'Game Records'!$D$5:$D$504,"*Free*",'Game Records'!$K$5:$K$504,"Loss"))/B36)</x:f>
      </x:c>
    </x:row>
    <x:row r="37">
      <x:c r="A37" s="54"/>
      <x:c r="B37" s="50"/>
      <x:c r="C37" s="58"/>
      <x:c r="D37" s="58"/>
      <x:c r="E37" s="60"/>
      <x:c r="F37" s="60"/>
      <x:c r="G37" s="60"/>
      <x:c r="H37" s="60"/>
    </x:row>
    <x:row r="38">
      <x:c r="A38" s="54"/>
      <x:c r="B38" s="50"/>
      <x:c r="C38" s="58"/>
      <x:c r="D38" s="58"/>
      <x:c r="E38" s="60"/>
      <x:c r="F38" s="60"/>
      <x:c r="G38" s="60"/>
      <x:c r="H38" s="60"/>
    </x:row>
    <x:row r="39">
      <x:c r="A39" s="92" t="str">
        <x:v>Eligible Player Range</x:v>
      </x:c>
      <x:c r="B39" s="93"/>
      <x:c r="C39" s="99"/>
      <x:c r="D39" s="99"/>
      <x:c r="E39" s="103"/>
      <x:c r="F39" s="103"/>
      <x:c r="G39" s="103"/>
      <x:c r="H39" s="103"/>
    </x:row>
    <x:row r="40">
      <x:c r="A40" s="96" t="str">
        <x:v>Category</x:v>
      </x:c>
      <x:c r="B40" s="42" t="str">
        <x:v>Games</x:v>
      </x:c>
      <x:c r="C40" s="98" t="str">
        <x:v>Total Net Profit</x:v>
      </x:c>
      <x:c r="D40" s="98" t="str">
        <x:v>Average Net Profit</x:v>
      </x:c>
      <x:c r="E40" s="102" t="str">
        <x:v>Average ROI</x:v>
      </x:c>
      <x:c r="F40" s="102" t="str">
        <x:v>Profit Rate</x:v>
      </x:c>
      <x:c r="G40" s="102" t="str">
        <x:v>Draw Rate</x:v>
      </x:c>
      <x:c r="H40" s="102" t="str">
        <x:v>Loss Rate</x:v>
      </x:c>
    </x:row>
    <x:row r="41">
      <x:c r="A41" s="54" t="str">
        <x:v>Under 200</x:v>
      </x:c>
      <x:c r="B41" s="50" t="n">
        <x:f>COUNTIFS('Game Records'!$A$5:$A$504,"&lt;&gt;",'Game Records'!$O$5:$O$504,"&gt;0",'Game Records'!$O$5:$O$504,"&lt;200",'Game Records'!$K$5:$K$504,"&lt;&gt;Subscription")</x:f>
        <x:v>0</x:v>
      </x:c>
      <x:c r="C41" s="58" t="n">
        <x:f>SUMIFS('Game Records'!$U$5:$U$504,'Game Records'!$A$5:$A$504,"&lt;&gt;",'Game Records'!$O$5:$O$504,"&gt;0",'Game Records'!$O$5:$O$504,"&lt;200")</x:f>
        <x:v>0</x:v>
      </x:c>
      <x:c r="D41" s="58" t="str">
        <x:f>IF(B41=0,"",C41/B41)</x:f>
      </x:c>
      <x:c r="E41" s="60" t="str">
        <x:f>IF(COUNTIFS('Game Records'!$A$5:$A$504,"&lt;&gt;",'Game Records'!$O$5:$O$504,"&gt;0",'Game Records'!$O$5:$O$504,"&lt;200",'Game Records'!$J$5:$J$504,"&lt;&gt;")=0,"",SUMIFS('Game Records'!$J$5:$J$504,'Game Records'!$A$5:$A$504,"&lt;&gt;",'Game Records'!$O$5:$O$504,"&gt;0",'Game Records'!$O$5:$O$504,"&lt;200")/COUNTIFS('Game Records'!$A$5:$A$504,"&lt;&gt;",'Game Records'!$O$5:$O$504,"&gt;0",'Game Records'!$O$5:$O$504,"&lt;200",'Game Records'!$J$5:$J$504,"&lt;&gt;"))</x:f>
      </x:c>
      <x:c r="F41" s="60" t="str">
        <x:f>IF(B41=0,"",COUNTIFS('Game Records'!$A$5:$A$504,"&lt;&gt;",'Game Records'!$O$5:$O$504,"&gt;0",'Game Records'!$O$5:$O$504,"&lt;200",'Game Records'!$K$5:$K$504,"Profit")/B41)</x:f>
      </x:c>
      <x:c r="G41" s="60" t="str">
        <x:f>IF(B41=0,"",COUNTIFS('Game Records'!$A$5:$A$504,"&lt;&gt;",'Game Records'!$O$5:$O$504,"&gt;0",'Game Records'!$O$5:$O$504,"&lt;200",'Game Records'!$K$5:$K$504,"Draw")/B41)</x:f>
      </x:c>
      <x:c r="H41" s="60" t="str">
        <x:f>IF(B41=0,"",(COUNTIFS('Game Records'!$A$5:$A$504,"&lt;&gt;",'Game Records'!$O$5:$O$504,"&gt;0",'Game Records'!$O$5:$O$504,"&lt;200",'Game Records'!$K$5:$K$504,"Disqualified")+COUNTIFS('Game Records'!$A$5:$A$504,"&lt;&gt;",'Game Records'!$O$5:$O$504,"&gt;0",'Game Records'!$O$5:$O$504,"&lt;200",'Game Records'!$K$5:$K$504,"Loss"))/B41)</x:f>
      </x:c>
    </x:row>
    <x:row r="42">
      <x:c r="A42" s="54" t="str">
        <x:v>200–499</x:v>
      </x:c>
      <x:c r="B42" s="50" t="n">
        <x:f>COUNTIFS('Game Records'!$A$5:$A$504,"&lt;&gt;",'Game Records'!$O$5:$O$504,"&gt;=200",'Game Records'!$O$5:$O$504,"&lt;=499",'Game Records'!$K$5:$K$504,"&lt;&gt;Subscription")</x:f>
        <x:v>0</x:v>
      </x:c>
      <x:c r="C42" s="58" t="n">
        <x:f>SUMIFS('Game Records'!$U$5:$U$504,'Game Records'!$A$5:$A$504,"&lt;&gt;",'Game Records'!$O$5:$O$504,"&gt;=200",'Game Records'!$O$5:$O$504,"&lt;=499")</x:f>
        <x:v>0</x:v>
      </x:c>
      <x:c r="D42" s="58" t="str">
        <x:f>IF(B42=0,"",C42/B42)</x:f>
      </x:c>
      <x:c r="E42" s="60" t="str">
        <x:f>IF(COUNTIFS('Game Records'!$A$5:$A$504,"&lt;&gt;",'Game Records'!$O$5:$O$504,"&gt;=200",'Game Records'!$O$5:$O$504,"&lt;=499",'Game Records'!$J$5:$J$504,"&lt;&gt;")=0,"",SUMIFS('Game Records'!$J$5:$J$504,'Game Records'!$A$5:$A$504,"&lt;&gt;",'Game Records'!$O$5:$O$504,"&gt;=200",'Game Records'!$O$5:$O$504,"&lt;=499")/COUNTIFS('Game Records'!$A$5:$A$504,"&lt;&gt;",'Game Records'!$O$5:$O$504,"&gt;=200",'Game Records'!$O$5:$O$504,"&lt;=499",'Game Records'!$J$5:$J$504,"&lt;&gt;"))</x:f>
      </x:c>
      <x:c r="F42" s="60" t="str">
        <x:f>IF(B42=0,"",COUNTIFS('Game Records'!$A$5:$A$504,"&lt;&gt;",'Game Records'!$O$5:$O$504,"&gt;=200",'Game Records'!$O$5:$O$504,"&lt;=499",'Game Records'!$K$5:$K$504,"Profit")/B42)</x:f>
      </x:c>
      <x:c r="G42" s="60" t="str">
        <x:f>IF(B42=0,"",COUNTIFS('Game Records'!$A$5:$A$504,"&lt;&gt;",'Game Records'!$O$5:$O$504,"&gt;=200",'Game Records'!$O$5:$O$504,"&lt;=499",'Game Records'!$K$5:$K$504,"Draw")/B42)</x:f>
      </x:c>
      <x:c r="H42" s="60" t="str">
        <x:f>IF(B42=0,"",(COUNTIFS('Game Records'!$A$5:$A$504,"&lt;&gt;",'Game Records'!$O$5:$O$504,"&gt;=200",'Game Records'!$O$5:$O$504,"&lt;=499",'Game Records'!$K$5:$K$504,"Disqualified")+COUNTIFS('Game Records'!$A$5:$A$504,"&lt;&gt;",'Game Records'!$O$5:$O$504,"&gt;=200",'Game Records'!$O$5:$O$504,"&lt;=499",'Game Records'!$K$5:$K$504,"Loss"))/B42)</x:f>
      </x:c>
    </x:row>
    <x:row r="43">
      <x:c r="A43" s="54" t="str">
        <x:v>500–999</x:v>
      </x:c>
      <x:c r="B43" s="50" t="n">
        <x:f>COUNTIFS('Game Records'!$A$5:$A$504,"&lt;&gt;",'Game Records'!$O$5:$O$504,"&gt;=500",'Game Records'!$O$5:$O$504,"&lt;=999",'Game Records'!$K$5:$K$504,"&lt;&gt;Subscription")</x:f>
        <x:v>0</x:v>
      </x:c>
      <x:c r="C43" s="58" t="n">
        <x:f>SUMIFS('Game Records'!$U$5:$U$504,'Game Records'!$A$5:$A$504,"&lt;&gt;",'Game Records'!$O$5:$O$504,"&gt;=500",'Game Records'!$O$5:$O$504,"&lt;=999")</x:f>
        <x:v>0</x:v>
      </x:c>
      <x:c r="D43" s="58" t="str">
        <x:f>IF(B43=0,"",C43/B43)</x:f>
      </x:c>
      <x:c r="E43" s="60" t="str">
        <x:f>IF(COUNTIFS('Game Records'!$A$5:$A$504,"&lt;&gt;",'Game Records'!$O$5:$O$504,"&gt;=500",'Game Records'!$O$5:$O$504,"&lt;=999",'Game Records'!$J$5:$J$504,"&lt;&gt;")=0,"",SUMIFS('Game Records'!$J$5:$J$504,'Game Records'!$A$5:$A$504,"&lt;&gt;",'Game Records'!$O$5:$O$504,"&gt;=500",'Game Records'!$O$5:$O$504,"&lt;=999")/COUNTIFS('Game Records'!$A$5:$A$504,"&lt;&gt;",'Game Records'!$O$5:$O$504,"&gt;=500",'Game Records'!$O$5:$O$504,"&lt;=999",'Game Records'!$J$5:$J$504,"&lt;&gt;"))</x:f>
      </x:c>
      <x:c r="F43" s="60" t="str">
        <x:f>IF(B43=0,"",COUNTIFS('Game Records'!$A$5:$A$504,"&lt;&gt;",'Game Records'!$O$5:$O$504,"&gt;=500",'Game Records'!$O$5:$O$504,"&lt;=999",'Game Records'!$K$5:$K$504,"Profit")/B43)</x:f>
      </x:c>
      <x:c r="G43" s="60" t="str">
        <x:f>IF(B43=0,"",COUNTIFS('Game Records'!$A$5:$A$504,"&lt;&gt;",'Game Records'!$O$5:$O$504,"&gt;=500",'Game Records'!$O$5:$O$504,"&lt;=999",'Game Records'!$K$5:$K$504,"Draw")/B43)</x:f>
      </x:c>
      <x:c r="H43" s="60" t="str">
        <x:f>IF(B43=0,"",(COUNTIFS('Game Records'!$A$5:$A$504,"&lt;&gt;",'Game Records'!$O$5:$O$504,"&gt;=500",'Game Records'!$O$5:$O$504,"&lt;=999",'Game Records'!$K$5:$K$504,"Disqualified")+COUNTIFS('Game Records'!$A$5:$A$504,"&lt;&gt;",'Game Records'!$O$5:$O$504,"&gt;=500",'Game Records'!$O$5:$O$504,"&lt;=999",'Game Records'!$K$5:$K$504,"Loss"))/B43)</x:f>
      </x:c>
    </x:row>
    <x:row r="44">
      <x:c r="A44" s="54" t="str">
        <x:v>1,000–2,999</x:v>
      </x:c>
      <x:c r="B44" s="50" t="n">
        <x:f>COUNTIFS('Game Records'!$A$5:$A$504,"&lt;&gt;",'Game Records'!$O$5:$O$504,"&gt;=1000",'Game Records'!$O$5:$O$504,"&lt;=2999",'Game Records'!$K$5:$K$504,"&lt;&gt;Subscription")</x:f>
        <x:v>0</x:v>
      </x:c>
      <x:c r="C44" s="58" t="n">
        <x:f>SUMIFS('Game Records'!$U$5:$U$504,'Game Records'!$A$5:$A$504,"&lt;&gt;",'Game Records'!$O$5:$O$504,"&gt;=1000",'Game Records'!$O$5:$O$504,"&lt;=2999")</x:f>
        <x:v>0</x:v>
      </x:c>
      <x:c r="D44" s="58" t="str">
        <x:f>IF(B44=0,"",C44/B44)</x:f>
      </x:c>
      <x:c r="E44" s="60" t="str">
        <x:f>IF(COUNTIFS('Game Records'!$A$5:$A$504,"&lt;&gt;",'Game Records'!$O$5:$O$504,"&gt;=1000",'Game Records'!$O$5:$O$504,"&lt;=2999",'Game Records'!$J$5:$J$504,"&lt;&gt;")=0,"",SUMIFS('Game Records'!$J$5:$J$504,'Game Records'!$A$5:$A$504,"&lt;&gt;",'Game Records'!$O$5:$O$504,"&gt;=1000",'Game Records'!$O$5:$O$504,"&lt;=2999")/COUNTIFS('Game Records'!$A$5:$A$504,"&lt;&gt;",'Game Records'!$O$5:$O$504,"&gt;=1000",'Game Records'!$O$5:$O$504,"&lt;=2999",'Game Records'!$J$5:$J$504,"&lt;&gt;"))</x:f>
      </x:c>
      <x:c r="F44" s="60" t="str">
        <x:f>IF(B44=0,"",COUNTIFS('Game Records'!$A$5:$A$504,"&lt;&gt;",'Game Records'!$O$5:$O$504,"&gt;=1000",'Game Records'!$O$5:$O$504,"&lt;=2999",'Game Records'!$K$5:$K$504,"Profit")/B44)</x:f>
      </x:c>
      <x:c r="G44" s="60" t="str">
        <x:f>IF(B44=0,"",COUNTIFS('Game Records'!$A$5:$A$504,"&lt;&gt;",'Game Records'!$O$5:$O$504,"&gt;=1000",'Game Records'!$O$5:$O$504,"&lt;=2999",'Game Records'!$K$5:$K$504,"Draw")/B44)</x:f>
      </x:c>
      <x:c r="H44" s="60" t="str">
        <x:f>IF(B44=0,"",(COUNTIFS('Game Records'!$A$5:$A$504,"&lt;&gt;",'Game Records'!$O$5:$O$504,"&gt;=1000",'Game Records'!$O$5:$O$504,"&lt;=2999",'Game Records'!$K$5:$K$504,"Disqualified")+COUNTIFS('Game Records'!$A$5:$A$504,"&lt;&gt;",'Game Records'!$O$5:$O$504,"&gt;=1000",'Game Records'!$O$5:$O$504,"&lt;=2999",'Game Records'!$K$5:$K$504,"Loss"))/B44)</x:f>
      </x:c>
    </x:row>
    <x:row r="45">
      <x:c r="A45" s="54" t="str">
        <x:v>3,000+</x:v>
      </x:c>
      <x:c r="B45" s="50" t="n">
        <x:f>COUNTIFS('Game Records'!$A$5:$A$504,"&lt;&gt;",'Game Records'!$O$5:$O$504,"&gt;=3000",'Game Records'!$K$5:$K$504,"&lt;&gt;Subscription")</x:f>
        <x:v>0</x:v>
      </x:c>
      <x:c r="C45" s="58" t="n">
        <x:f>SUMIFS('Game Records'!$U$5:$U$504,'Game Records'!$A$5:$A$504,"&lt;&gt;",'Game Records'!$O$5:$O$504,"&gt;=3000")</x:f>
        <x:v>0</x:v>
      </x:c>
      <x:c r="D45" s="58" t="str">
        <x:f>IF(B45=0,"",C45/B45)</x:f>
      </x:c>
      <x:c r="E45" s="60" t="str">
        <x:f>IF(COUNTIFS('Game Records'!$A$5:$A$504,"&lt;&gt;",'Game Records'!$O$5:$O$504,"&gt;=3000",'Game Records'!$J$5:$J$504,"&lt;&gt;")=0,"",SUMIFS('Game Records'!$J$5:$J$504,'Game Records'!$A$5:$A$504,"&lt;&gt;",'Game Records'!$O$5:$O$504,"&gt;=3000")/COUNTIFS('Game Records'!$A$5:$A$504,"&lt;&gt;",'Game Records'!$O$5:$O$504,"&gt;=3000",'Game Records'!$J$5:$J$504,"&lt;&gt;"))</x:f>
      </x:c>
      <x:c r="F45" s="60" t="str">
        <x:f>IF(B45=0,"",COUNTIFS('Game Records'!$A$5:$A$504,"&lt;&gt;",'Game Records'!$O$5:$O$504,"&gt;=3000",'Game Records'!$K$5:$K$504,"Profit")/B45)</x:f>
      </x:c>
      <x:c r="G45" s="60" t="str">
        <x:f>IF(B45=0,"",COUNTIFS('Game Records'!$A$5:$A$504,"&lt;&gt;",'Game Records'!$O$5:$O$504,"&gt;=3000",'Game Records'!$K$5:$K$504,"Draw")/B45)</x:f>
      </x:c>
      <x:c r="H45" s="60" t="str">
        <x:f>IF(B45=0,"",(COUNTIFS('Game Records'!$A$5:$A$504,"&lt;&gt;",'Game Records'!$O$5:$O$504,"&gt;=3000",'Game Records'!$K$5:$K$504,"Disqualified")+COUNTIFS('Game Records'!$A$5:$A$504,"&lt;&gt;",'Game Records'!$O$5:$O$504,"&gt;=3000",'Game Records'!$K$5:$K$504,"Loss"))/B45)</x:f>
      </x:c>
    </x:row>
    <x:row r="46">
      <x:c r="A46" s="54"/>
      <x:c r="B46" s="50"/>
      <x:c r="C46" s="58"/>
      <x:c r="D46" s="58"/>
      <x:c r="E46" s="60"/>
      <x:c r="F46" s="60"/>
      <x:c r="G46" s="60"/>
      <x:c r="H46" s="60"/>
    </x:row>
    <x:row r="47">
      <x:c r="A47" s="54"/>
      <x:c r="B47" s="50"/>
      <x:c r="C47" s="58"/>
      <x:c r="D47" s="58"/>
      <x:c r="E47" s="60"/>
      <x:c r="F47" s="60"/>
      <x:c r="G47" s="60"/>
      <x:c r="H47" s="60"/>
    </x:row>
    <x:row r="48">
      <x:c r="A48" s="92" t="str">
        <x:v>Elimination Rate</x:v>
      </x:c>
      <x:c r="B48" s="93"/>
      <x:c r="C48" s="99"/>
      <x:c r="D48" s="99"/>
      <x:c r="E48" s="103"/>
      <x:c r="F48" s="103"/>
      <x:c r="G48" s="103"/>
      <x:c r="H48" s="103"/>
    </x:row>
    <x:row r="49">
      <x:c r="A49" s="96" t="str">
        <x:v>Category</x:v>
      </x:c>
      <x:c r="B49" s="42" t="str">
        <x:v>Games</x:v>
      </x:c>
      <x:c r="C49" s="98" t="str">
        <x:v>Total Net Profit</x:v>
      </x:c>
      <x:c r="D49" s="98" t="str">
        <x:v>Average Net Profit</x:v>
      </x:c>
      <x:c r="E49" s="102" t="str">
        <x:v>Average ROI</x:v>
      </x:c>
      <x:c r="F49" s="102" t="str">
        <x:v>Profit Rate</x:v>
      </x:c>
      <x:c r="G49" s="102" t="str">
        <x:v>Draw Rate</x:v>
      </x:c>
      <x:c r="H49" s="102" t="str">
        <x:v>Loss Rate</x:v>
      </x:c>
    </x:row>
    <x:row r="50">
      <x:c r="A50" s="54" t="str">
        <x:v>Under 10%</x:v>
      </x:c>
      <x:c r="B50" s="50" t="n">
        <x:f>COUNTIFS('Game Records'!$A$5:$A$504,"&lt;&gt;",'Game Records'!$V$5:$V$504,"&lt;&gt;",'Game Records'!$W$5:$W$504,"&gt;=0",'Game Records'!$W$5:$W$504,"&lt;0.1",'Game Records'!$K$5:$K$504,"&lt;&gt;Subscription")</x:f>
        <x:v>0</x:v>
      </x:c>
      <x:c r="C50" s="58" t="n">
        <x:f>SUMIFS('Game Records'!$U$5:$U$504,'Game Records'!$A$5:$A$504,"&lt;&gt;",'Game Records'!$V$5:$V$504,"&lt;&gt;",'Game Records'!$W$5:$W$504,"&gt;=0",'Game Records'!$W$5:$W$504,"&lt;0.1")</x:f>
        <x:v>0</x:v>
      </x:c>
      <x:c r="D50" s="58" t="str">
        <x:f>IF(B50=0,"",C50/B50)</x:f>
      </x:c>
      <x:c r="E50" s="60" t="str">
        <x:f>IF(COUNTIFS('Game Records'!$A$5:$A$504,"&lt;&gt;",'Game Records'!$V$5:$V$504,"&lt;&gt;",'Game Records'!$W$5:$W$504,"&gt;=0",'Game Records'!$W$5:$W$504,"&lt;0.1",'Game Records'!$J$5:$J$504,"&lt;&gt;")=0,"",SUMIFS('Game Records'!$J$5:$J$504,'Game Records'!$A$5:$A$504,"&lt;&gt;",'Game Records'!$V$5:$V$504,"&lt;&gt;",'Game Records'!$W$5:$W$504,"&gt;=0",'Game Records'!$W$5:$W$504,"&lt;0.1")/COUNTIFS('Game Records'!$A$5:$A$504,"&lt;&gt;",'Game Records'!$V$5:$V$504,"&lt;&gt;",'Game Records'!$W$5:$W$504,"&gt;=0",'Game Records'!$W$5:$W$504,"&lt;0.1",'Game Records'!$J$5:$J$504,"&lt;&gt;"))</x:f>
      </x:c>
      <x:c r="F50" s="60" t="str">
        <x:f>IF(B50=0,"",COUNTIFS('Game Records'!$A$5:$A$504,"&lt;&gt;",'Game Records'!$V$5:$V$504,"&lt;&gt;",'Game Records'!$W$5:$W$504,"&gt;=0",'Game Records'!$W$5:$W$504,"&lt;0.1",'Game Records'!$K$5:$K$504,"Profit")/B50)</x:f>
      </x:c>
      <x:c r="G50" s="60" t="str">
        <x:f>IF(B50=0,"",COUNTIFS('Game Records'!$A$5:$A$504,"&lt;&gt;",'Game Records'!$V$5:$V$504,"&lt;&gt;",'Game Records'!$W$5:$W$504,"&gt;=0",'Game Records'!$W$5:$W$504,"&lt;0.1",'Game Records'!$K$5:$K$504,"Draw")/B50)</x:f>
      </x:c>
      <x:c r="H50" s="60" t="str">
        <x:f>IF(B50=0,"",(COUNTIFS('Game Records'!$A$5:$A$504,"&lt;&gt;",'Game Records'!$V$5:$V$504,"&lt;&gt;",'Game Records'!$W$5:$W$504,"&gt;=0",'Game Records'!$W$5:$W$504,"&lt;0.1",'Game Records'!$K$5:$K$504,"Disqualified")+COUNTIFS('Game Records'!$A$5:$A$504,"&lt;&gt;",'Game Records'!$V$5:$V$504,"&lt;&gt;",'Game Records'!$W$5:$W$504,"&gt;=0",'Game Records'!$W$5:$W$504,"&lt;0.1",'Game Records'!$K$5:$K$504,"Loss"))/B50)</x:f>
      </x:c>
    </x:row>
    <x:row r="51">
      <x:c r="A51" s="54" t="str">
        <x:v>10–19.9%</x:v>
      </x:c>
      <x:c r="B51" s="50" t="n">
        <x:f>COUNTIFS('Game Records'!$A$5:$A$504,"&lt;&gt;",'Game Records'!$V$5:$V$504,"&lt;&gt;",'Game Records'!$W$5:$W$504,"&gt;=0.1",'Game Records'!$W$5:$W$504,"&lt;0.2",'Game Records'!$K$5:$K$504,"&lt;&gt;Subscription")</x:f>
        <x:v>0</x:v>
      </x:c>
      <x:c r="C51" s="58" t="n">
        <x:f>SUMIFS('Game Records'!$U$5:$U$504,'Game Records'!$A$5:$A$504,"&lt;&gt;",'Game Records'!$V$5:$V$504,"&lt;&gt;",'Game Records'!$W$5:$W$504,"&gt;=0.1",'Game Records'!$W$5:$W$504,"&lt;0.2")</x:f>
        <x:v>0</x:v>
      </x:c>
      <x:c r="D51" s="58" t="str">
        <x:f>IF(B51=0,"",C51/B51)</x:f>
      </x:c>
      <x:c r="E51" s="60" t="str">
        <x:f>IF(COUNTIFS('Game Records'!$A$5:$A$504,"&lt;&gt;",'Game Records'!$V$5:$V$504,"&lt;&gt;",'Game Records'!$W$5:$W$504,"&gt;=0.1",'Game Records'!$W$5:$W$504,"&lt;0.2",'Game Records'!$J$5:$J$504,"&lt;&gt;")=0,"",SUMIFS('Game Records'!$J$5:$J$504,'Game Records'!$A$5:$A$504,"&lt;&gt;",'Game Records'!$V$5:$V$504,"&lt;&gt;",'Game Records'!$W$5:$W$504,"&gt;=0.1",'Game Records'!$W$5:$W$504,"&lt;0.2")/COUNTIFS('Game Records'!$A$5:$A$504,"&lt;&gt;",'Game Records'!$V$5:$V$504,"&lt;&gt;",'Game Records'!$W$5:$W$504,"&gt;=0.1",'Game Records'!$W$5:$W$504,"&lt;0.2",'Game Records'!$J$5:$J$504,"&lt;&gt;"))</x:f>
      </x:c>
      <x:c r="F51" s="60" t="str">
        <x:f>IF(B51=0,"",COUNTIFS('Game Records'!$A$5:$A$504,"&lt;&gt;",'Game Records'!$V$5:$V$504,"&lt;&gt;",'Game Records'!$W$5:$W$504,"&gt;=0.1",'Game Records'!$W$5:$W$504,"&lt;0.2",'Game Records'!$K$5:$K$504,"Profit")/B51)</x:f>
      </x:c>
      <x:c r="G51" s="60" t="str">
        <x:f>IF(B51=0,"",COUNTIFS('Game Records'!$A$5:$A$504,"&lt;&gt;",'Game Records'!$V$5:$V$504,"&lt;&gt;",'Game Records'!$W$5:$W$504,"&gt;=0.1",'Game Records'!$W$5:$W$504,"&lt;0.2",'Game Records'!$K$5:$K$504,"Draw")/B51)</x:f>
      </x:c>
      <x:c r="H51" s="60" t="str">
        <x:f>IF(B51=0,"",(COUNTIFS('Game Records'!$A$5:$A$504,"&lt;&gt;",'Game Records'!$V$5:$V$504,"&lt;&gt;",'Game Records'!$W$5:$W$504,"&gt;=0.1",'Game Records'!$W$5:$W$504,"&lt;0.2",'Game Records'!$K$5:$K$504,"Disqualified")+COUNTIFS('Game Records'!$A$5:$A$504,"&lt;&gt;",'Game Records'!$V$5:$V$504,"&lt;&gt;",'Game Records'!$W$5:$W$504,"&gt;=0.1",'Game Records'!$W$5:$W$504,"&lt;0.2",'Game Records'!$K$5:$K$504,"Loss"))/B51)</x:f>
      </x:c>
    </x:row>
    <x:row r="52">
      <x:c r="A52" s="54" t="str">
        <x:v>20–29.9%</x:v>
      </x:c>
      <x:c r="B52" s="50" t="n">
        <x:f>COUNTIFS('Game Records'!$A$5:$A$504,"&lt;&gt;",'Game Records'!$V$5:$V$504,"&lt;&gt;",'Game Records'!$W$5:$W$504,"&gt;=0.2",'Game Records'!$W$5:$W$504,"&lt;0.3",'Game Records'!$K$5:$K$504,"&lt;&gt;Subscription")</x:f>
        <x:v>0</x:v>
      </x:c>
      <x:c r="C52" s="58" t="n">
        <x:f>SUMIFS('Game Records'!$U$5:$U$504,'Game Records'!$A$5:$A$504,"&lt;&gt;",'Game Records'!$V$5:$V$504,"&lt;&gt;",'Game Records'!$W$5:$W$504,"&gt;=0.2",'Game Records'!$W$5:$W$504,"&lt;0.3")</x:f>
        <x:v>0</x:v>
      </x:c>
      <x:c r="D52" s="58" t="str">
        <x:f>IF(B52=0,"",C52/B52)</x:f>
      </x:c>
      <x:c r="E52" s="60" t="str">
        <x:f>IF(COUNTIFS('Game Records'!$A$5:$A$504,"&lt;&gt;",'Game Records'!$V$5:$V$504,"&lt;&gt;",'Game Records'!$W$5:$W$504,"&gt;=0.2",'Game Records'!$W$5:$W$504,"&lt;0.3",'Game Records'!$J$5:$J$504,"&lt;&gt;")=0,"",SUMIFS('Game Records'!$J$5:$J$504,'Game Records'!$A$5:$A$504,"&lt;&gt;",'Game Records'!$V$5:$V$504,"&lt;&gt;",'Game Records'!$W$5:$W$504,"&gt;=0.2",'Game Records'!$W$5:$W$504,"&lt;0.3")/COUNTIFS('Game Records'!$A$5:$A$504,"&lt;&gt;",'Game Records'!$V$5:$V$504,"&lt;&gt;",'Game Records'!$W$5:$W$504,"&gt;=0.2",'Game Records'!$W$5:$W$504,"&lt;0.3",'Game Records'!$J$5:$J$504,"&lt;&gt;"))</x:f>
      </x:c>
      <x:c r="F52" s="60" t="str">
        <x:f>IF(B52=0,"",COUNTIFS('Game Records'!$A$5:$A$504,"&lt;&gt;",'Game Records'!$V$5:$V$504,"&lt;&gt;",'Game Records'!$W$5:$W$504,"&gt;=0.2",'Game Records'!$W$5:$W$504,"&lt;0.3",'Game Records'!$K$5:$K$504,"Profit")/B52)</x:f>
      </x:c>
      <x:c r="G52" s="60" t="str">
        <x:f>IF(B52=0,"",COUNTIFS('Game Records'!$A$5:$A$504,"&lt;&gt;",'Game Records'!$V$5:$V$504,"&lt;&gt;",'Game Records'!$W$5:$W$504,"&gt;=0.2",'Game Records'!$W$5:$W$504,"&lt;0.3",'Game Records'!$K$5:$K$504,"Draw")/B52)</x:f>
      </x:c>
      <x:c r="H52" s="60" t="str">
        <x:f>IF(B52=0,"",(COUNTIFS('Game Records'!$A$5:$A$504,"&lt;&gt;",'Game Records'!$V$5:$V$504,"&lt;&gt;",'Game Records'!$W$5:$W$504,"&gt;=0.2",'Game Records'!$W$5:$W$504,"&lt;0.3",'Game Records'!$K$5:$K$504,"Disqualified")+COUNTIFS('Game Records'!$A$5:$A$504,"&lt;&gt;",'Game Records'!$V$5:$V$504,"&lt;&gt;",'Game Records'!$W$5:$W$504,"&gt;=0.2",'Game Records'!$W$5:$W$504,"&lt;0.3",'Game Records'!$K$5:$K$504,"Loss"))/B52)</x:f>
      </x:c>
    </x:row>
    <x:row r="53">
      <x:c r="A53" s="54" t="str">
        <x:v>30%+</x:v>
      </x:c>
      <x:c r="B53" s="50" t="n">
        <x:f>COUNTIFS('Game Records'!$A$5:$A$504,"&lt;&gt;",'Game Records'!$V$5:$V$504,"&lt;&gt;",'Game Records'!$W$5:$W$504,"&gt;=0.3",'Game Records'!$K$5:$K$504,"&lt;&gt;Subscription")</x:f>
        <x:v>0</x:v>
      </x:c>
      <x:c r="C53" s="58" t="n">
        <x:f>SUMIFS('Game Records'!$U$5:$U$504,'Game Records'!$A$5:$A$504,"&lt;&gt;",'Game Records'!$V$5:$V$504,"&lt;&gt;",'Game Records'!$W$5:$W$504,"&gt;=0.3")</x:f>
        <x:v>0</x:v>
      </x:c>
      <x:c r="D53" s="58" t="str">
        <x:f>IF(B53=0,"",C53/B53)</x:f>
      </x:c>
      <x:c r="E53" s="60" t="str">
        <x:f>IF(COUNTIFS('Game Records'!$A$5:$A$504,"&lt;&gt;",'Game Records'!$V$5:$V$504,"&lt;&gt;",'Game Records'!$W$5:$W$504,"&gt;=0.3",'Game Records'!$J$5:$J$504,"&lt;&gt;")=0,"",SUMIFS('Game Records'!$J$5:$J$504,'Game Records'!$A$5:$A$504,"&lt;&gt;",'Game Records'!$V$5:$V$504,"&lt;&gt;",'Game Records'!$W$5:$W$504,"&gt;=0.3")/COUNTIFS('Game Records'!$A$5:$A$504,"&lt;&gt;",'Game Records'!$V$5:$V$504,"&lt;&gt;",'Game Records'!$W$5:$W$504,"&gt;=0.3",'Game Records'!$J$5:$J$504,"&lt;&gt;"))</x:f>
      </x:c>
      <x:c r="F53" s="60" t="str">
        <x:f>IF(B53=0,"",COUNTIFS('Game Records'!$A$5:$A$504,"&lt;&gt;",'Game Records'!$V$5:$V$504,"&lt;&gt;",'Game Records'!$W$5:$W$504,"&gt;=0.3",'Game Records'!$K$5:$K$504,"Profit")/B53)</x:f>
      </x:c>
      <x:c r="G53" s="60" t="str">
        <x:f>IF(B53=0,"",COUNTIFS('Game Records'!$A$5:$A$504,"&lt;&gt;",'Game Records'!$V$5:$V$504,"&lt;&gt;",'Game Records'!$W$5:$W$504,"&gt;=0.3",'Game Records'!$K$5:$K$504,"Draw")/B53)</x:f>
      </x:c>
      <x:c r="H53" s="60" t="str">
        <x:f>IF(B53=0,"",(COUNTIFS('Game Records'!$A$5:$A$504,"&lt;&gt;",'Game Records'!$V$5:$V$504,"&lt;&gt;",'Game Records'!$W$5:$W$504,"&gt;=0.3",'Game Records'!$K$5:$K$504,"Disqualified")+COUNTIFS('Game Records'!$A$5:$A$504,"&lt;&gt;",'Game Records'!$V$5:$V$504,"&lt;&gt;",'Game Records'!$W$5:$W$504,"&gt;=0.3",'Game Records'!$K$5:$K$504,"Loss"))/B53)</x:f>
      </x:c>
    </x:row>
  </x:sheetData>
  <x:mergeCells>
    <x:mergeCell ref="A1:H1"/>
    <x:mergeCell ref="A2:H2"/>
    <x:mergeCell ref="A4:H4"/>
    <x:mergeCell ref="A10:H10"/>
    <x:mergeCell ref="A22:H22"/>
    <x:mergeCell ref="A31:H31"/>
    <x:mergeCell ref="A39:H39"/>
    <x:mergeCell ref="A48:H48"/>
  </x:mergeCells>
  <x:pageMargins left="0.7" right="0.7" top="0.75" bottom="0.75" header="0.3" footer="0.3"/>
  <x:drawing xmlns:r="http://schemas.openxmlformats.org/officeDocument/2006/relationships" r:id="Rd6ac504635644184"/>
</x:worksheet>
</file>

<file path=xl/worksheets/sheet5.xml><?xml version="1.0" encoding="utf-8"?>
<x:worksheet xmlns:x="http://schemas.openxmlformats.org/spreadsheetml/2006/main">
  <x:sheetFormatPr defaultRowHeight="15"/>
  <x:cols>
    <x:col min="1" max="1" width="8" hidden="0" customWidth="1"/>
    <x:col min="2" max="2" width="30" hidden="0" customWidth="1"/>
    <x:col min="3" max="3" width="14" hidden="0" customWidth="1"/>
    <x:col min="4" max="4" width="9" hidden="0" customWidth="1"/>
    <x:col min="5" max="5" width="11" hidden="0" customWidth="1"/>
    <x:col min="6" max="6" width="12" hidden="0" customWidth="1"/>
    <x:col min="7" max="7" width="10" hidden="0" customWidth="1"/>
    <x:col min="8" max="8" width="15" hidden="0" customWidth="1"/>
  </x:cols>
  <x:sheetData>
    <x:row r="1">
      <x:c r="A1" s="5" t="str">
        <x:v>Best Results</x:v>
      </x:c>
      <x:c r="B1" s="5"/>
      <x:c r="C1" s="5"/>
      <x:c r="D1" s="5"/>
      <x:c r="E1" s="5"/>
      <x:c r="F1" s="5"/>
      <x:c r="G1" s="5"/>
      <x:c r="H1" s="5"/>
    </x:row>
    <x:row r="2">
      <x:c r="A2" s="32" t="str">
        <x:v>Lists the highest completed-game Net Profit and ROI values. Tied values may show the first matching game.</x:v>
      </x:c>
      <x:c r="B2" s="32"/>
      <x:c r="C2" s="32"/>
      <x:c r="D2" s="32"/>
      <x:c r="E2" s="32"/>
      <x:c r="F2" s="32"/>
      <x:c r="G2" s="32"/>
      <x:c r="H2" s="32"/>
    </x:row>
    <x:row r="4">
      <x:c r="A4" s="23" t="str">
        <x:v>Top 10 by Net Profit</x:v>
      </x:c>
      <x:c r="B4" s="23"/>
      <x:c r="C4" s="23"/>
      <x:c r="D4" s="23"/>
      <x:c r="E4" s="23"/>
      <x:c r="F4" s="23"/>
      <x:c r="G4" s="23"/>
      <x:c r="H4" s="23"/>
    </x:row>
    <x:row r="5">
      <x:c r="A5" s="42" t="str">
        <x:v>Rank</x:v>
      </x:c>
      <x:c r="B5" s="96" t="str">
        <x:v>Game Name</x:v>
      </x:c>
      <x:c r="C5" s="42" t="str">
        <x:v>Game Type</x:v>
      </x:c>
      <x:c r="D5" s="42" t="str">
        <x:v>Weeks</x:v>
      </x:c>
      <x:c r="E5" s="98" t="str">
        <x:v>Entry Fee</x:v>
      </x:c>
      <x:c r="F5" s="98" t="str">
        <x:v>Net Profit</x:v>
      </x:c>
      <x:c r="G5" s="102" t="str">
        <x:v>ROI</x:v>
      </x:c>
      <x:c r="H5" s="42" t="str">
        <x:v>Result</x:v>
      </x:c>
    </x:row>
    <x:row r="6">
      <x:c r="A6" s="50" t="n">
        <x:v>1</x:v>
      </x:c>
      <x:c r="B6" s="54" t="str">
        <x:f>IFERROR(INDEX('Game Records'!$A$5:$A$504,MATCH(F6,'Game Records'!$U$5:$U$504,0)),"")</x:f>
      </x:c>
      <x:c r="C6" s="50" t="str">
        <x:f>IFERROR(INDEX('Game Records'!$L$5:$L$504,MATCH(F6,'Game Records'!$U$5:$U$504,0)),"")</x:f>
      </x:c>
      <x:c r="D6" s="50" t="str">
        <x:f>IFERROR(INDEX('Game Records'!$Q$5:$Q$504,MATCH(F6,'Game Records'!$U$5:$U$504,0)),"")</x:f>
      </x:c>
      <x:c r="E6" s="58" t="str">
        <x:f>IFERROR(INDEX('Game Records'!$E$5:$E$504,MATCH(F6,'Game Records'!$U$5:$U$504,0)),"")</x:f>
      </x:c>
      <x:c r="F6" s="58" t="str">
        <x:f>IFERROR(LARGE('Game Records'!$U$5:$U$504,A6),"")</x:f>
      </x:c>
      <x:c r="G6" s="60" t="str">
        <x:f>IFERROR(INDEX('Game Records'!$J$5:$J$504,MATCH(F6,'Game Records'!$U$5:$U$504,0)),"")</x:f>
      </x:c>
      <x:c r="H6" s="50" t="str">
        <x:f>IFERROR(INDEX('Game Records'!$K$5:$K$504,MATCH(F6,'Game Records'!$U$5:$U$504,0)),"")</x:f>
      </x:c>
    </x:row>
    <x:row r="7">
      <x:c r="A7" s="50" t="n">
        <x:v>2</x:v>
      </x:c>
      <x:c r="B7" s="54" t="str">
        <x:f>IFERROR(INDEX('Game Records'!$A$5:$A$504,MATCH(F7,'Game Records'!$U$5:$U$504,0)),"")</x:f>
      </x:c>
      <x:c r="C7" s="50" t="str">
        <x:f>IFERROR(INDEX('Game Records'!$L$5:$L$504,MATCH(F7,'Game Records'!$U$5:$U$504,0)),"")</x:f>
      </x:c>
      <x:c r="D7" s="50" t="str">
        <x:f>IFERROR(INDEX('Game Records'!$Q$5:$Q$504,MATCH(F7,'Game Records'!$U$5:$U$504,0)),"")</x:f>
      </x:c>
      <x:c r="E7" s="58" t="str">
        <x:f>IFERROR(INDEX('Game Records'!$E$5:$E$504,MATCH(F7,'Game Records'!$U$5:$U$504,0)),"")</x:f>
      </x:c>
      <x:c r="F7" s="58" t="str">
        <x:f>IFERROR(LARGE('Game Records'!$U$5:$U$504,A7),"")</x:f>
      </x:c>
      <x:c r="G7" s="60" t="str">
        <x:f>IFERROR(INDEX('Game Records'!$J$5:$J$504,MATCH(F7,'Game Records'!$U$5:$U$504,0)),"")</x:f>
      </x:c>
      <x:c r="H7" s="50" t="str">
        <x:f>IFERROR(INDEX('Game Records'!$K$5:$K$504,MATCH(F7,'Game Records'!$U$5:$U$504,0)),"")</x:f>
      </x:c>
    </x:row>
    <x:row r="8">
      <x:c r="A8" s="50" t="n">
        <x:v>3</x:v>
      </x:c>
      <x:c r="B8" s="54" t="str">
        <x:f>IFERROR(INDEX('Game Records'!$A$5:$A$504,MATCH(F8,'Game Records'!$U$5:$U$504,0)),"")</x:f>
      </x:c>
      <x:c r="C8" s="50" t="str">
        <x:f>IFERROR(INDEX('Game Records'!$L$5:$L$504,MATCH(F8,'Game Records'!$U$5:$U$504,0)),"")</x:f>
      </x:c>
      <x:c r="D8" s="50" t="str">
        <x:f>IFERROR(INDEX('Game Records'!$Q$5:$Q$504,MATCH(F8,'Game Records'!$U$5:$U$504,0)),"")</x:f>
      </x:c>
      <x:c r="E8" s="58" t="str">
        <x:f>IFERROR(INDEX('Game Records'!$E$5:$E$504,MATCH(F8,'Game Records'!$U$5:$U$504,0)),"")</x:f>
      </x:c>
      <x:c r="F8" s="58" t="str">
        <x:f>IFERROR(LARGE('Game Records'!$U$5:$U$504,A8),"")</x:f>
      </x:c>
      <x:c r="G8" s="60" t="str">
        <x:f>IFERROR(INDEX('Game Records'!$J$5:$J$504,MATCH(F8,'Game Records'!$U$5:$U$504,0)),"")</x:f>
      </x:c>
      <x:c r="H8" s="50" t="str">
        <x:f>IFERROR(INDEX('Game Records'!$K$5:$K$504,MATCH(F8,'Game Records'!$U$5:$U$504,0)),"")</x:f>
      </x:c>
    </x:row>
    <x:row r="9">
      <x:c r="A9" s="50" t="n">
        <x:v>4</x:v>
      </x:c>
      <x:c r="B9" s="54" t="str">
        <x:f>IFERROR(INDEX('Game Records'!$A$5:$A$504,MATCH(F9,'Game Records'!$U$5:$U$504,0)),"")</x:f>
      </x:c>
      <x:c r="C9" s="50" t="str">
        <x:f>IFERROR(INDEX('Game Records'!$L$5:$L$504,MATCH(F9,'Game Records'!$U$5:$U$504,0)),"")</x:f>
      </x:c>
      <x:c r="D9" s="50" t="str">
        <x:f>IFERROR(INDEX('Game Records'!$Q$5:$Q$504,MATCH(F9,'Game Records'!$U$5:$U$504,0)),"")</x:f>
      </x:c>
      <x:c r="E9" s="58" t="str">
        <x:f>IFERROR(INDEX('Game Records'!$E$5:$E$504,MATCH(F9,'Game Records'!$U$5:$U$504,0)),"")</x:f>
      </x:c>
      <x:c r="F9" s="58" t="str">
        <x:f>IFERROR(LARGE('Game Records'!$U$5:$U$504,A9),"")</x:f>
      </x:c>
      <x:c r="G9" s="60" t="str">
        <x:f>IFERROR(INDEX('Game Records'!$J$5:$J$504,MATCH(F9,'Game Records'!$U$5:$U$504,0)),"")</x:f>
      </x:c>
      <x:c r="H9" s="50" t="str">
        <x:f>IFERROR(INDEX('Game Records'!$K$5:$K$504,MATCH(F9,'Game Records'!$U$5:$U$504,0)),"")</x:f>
      </x:c>
    </x:row>
    <x:row r="10">
      <x:c r="A10" s="50" t="n">
        <x:v>5</x:v>
      </x:c>
      <x:c r="B10" s="54" t="str">
        <x:f>IFERROR(INDEX('Game Records'!$A$5:$A$504,MATCH(F10,'Game Records'!$U$5:$U$504,0)),"")</x:f>
      </x:c>
      <x:c r="C10" s="50" t="str">
        <x:f>IFERROR(INDEX('Game Records'!$L$5:$L$504,MATCH(F10,'Game Records'!$U$5:$U$504,0)),"")</x:f>
      </x:c>
      <x:c r="D10" s="50" t="str">
        <x:f>IFERROR(INDEX('Game Records'!$Q$5:$Q$504,MATCH(F10,'Game Records'!$U$5:$U$504,0)),"")</x:f>
      </x:c>
      <x:c r="E10" s="58" t="str">
        <x:f>IFERROR(INDEX('Game Records'!$E$5:$E$504,MATCH(F10,'Game Records'!$U$5:$U$504,0)),"")</x:f>
      </x:c>
      <x:c r="F10" s="58" t="str">
        <x:f>IFERROR(LARGE('Game Records'!$U$5:$U$504,A10),"")</x:f>
      </x:c>
      <x:c r="G10" s="60" t="str">
        <x:f>IFERROR(INDEX('Game Records'!$J$5:$J$504,MATCH(F10,'Game Records'!$U$5:$U$504,0)),"")</x:f>
      </x:c>
      <x:c r="H10" s="50" t="str">
        <x:f>IFERROR(INDEX('Game Records'!$K$5:$K$504,MATCH(F10,'Game Records'!$U$5:$U$504,0)),"")</x:f>
      </x:c>
    </x:row>
    <x:row r="11">
      <x:c r="A11" s="50" t="n">
        <x:v>6</x:v>
      </x:c>
      <x:c r="B11" s="54" t="str">
        <x:f>IFERROR(INDEX('Game Records'!$A$5:$A$504,MATCH(F11,'Game Records'!$U$5:$U$504,0)),"")</x:f>
      </x:c>
      <x:c r="C11" s="50" t="str">
        <x:f>IFERROR(INDEX('Game Records'!$L$5:$L$504,MATCH(F11,'Game Records'!$U$5:$U$504,0)),"")</x:f>
      </x:c>
      <x:c r="D11" s="50" t="str">
        <x:f>IFERROR(INDEX('Game Records'!$Q$5:$Q$504,MATCH(F11,'Game Records'!$U$5:$U$504,0)),"")</x:f>
      </x:c>
      <x:c r="E11" s="58" t="str">
        <x:f>IFERROR(INDEX('Game Records'!$E$5:$E$504,MATCH(F11,'Game Records'!$U$5:$U$504,0)),"")</x:f>
      </x:c>
      <x:c r="F11" s="58" t="str">
        <x:f>IFERROR(LARGE('Game Records'!$U$5:$U$504,A11),"")</x:f>
      </x:c>
      <x:c r="G11" s="60" t="str">
        <x:f>IFERROR(INDEX('Game Records'!$J$5:$J$504,MATCH(F11,'Game Records'!$U$5:$U$504,0)),"")</x:f>
      </x:c>
      <x:c r="H11" s="50" t="str">
        <x:f>IFERROR(INDEX('Game Records'!$K$5:$K$504,MATCH(F11,'Game Records'!$U$5:$U$504,0)),"")</x:f>
      </x:c>
    </x:row>
    <x:row r="12">
      <x:c r="A12" s="50" t="n">
        <x:v>7</x:v>
      </x:c>
      <x:c r="B12" s="54" t="str">
        <x:f>IFERROR(INDEX('Game Records'!$A$5:$A$504,MATCH(F12,'Game Records'!$U$5:$U$504,0)),"")</x:f>
      </x:c>
      <x:c r="C12" s="50" t="str">
        <x:f>IFERROR(INDEX('Game Records'!$L$5:$L$504,MATCH(F12,'Game Records'!$U$5:$U$504,0)),"")</x:f>
      </x:c>
      <x:c r="D12" s="50" t="str">
        <x:f>IFERROR(INDEX('Game Records'!$Q$5:$Q$504,MATCH(F12,'Game Records'!$U$5:$U$504,0)),"")</x:f>
      </x:c>
      <x:c r="E12" s="58" t="str">
        <x:f>IFERROR(INDEX('Game Records'!$E$5:$E$504,MATCH(F12,'Game Records'!$U$5:$U$504,0)),"")</x:f>
      </x:c>
      <x:c r="F12" s="58" t="str">
        <x:f>IFERROR(LARGE('Game Records'!$U$5:$U$504,A12),"")</x:f>
      </x:c>
      <x:c r="G12" s="60" t="str">
        <x:f>IFERROR(INDEX('Game Records'!$J$5:$J$504,MATCH(F12,'Game Records'!$U$5:$U$504,0)),"")</x:f>
      </x:c>
      <x:c r="H12" s="50" t="str">
        <x:f>IFERROR(INDEX('Game Records'!$K$5:$K$504,MATCH(F12,'Game Records'!$U$5:$U$504,0)),"")</x:f>
      </x:c>
    </x:row>
    <x:row r="13">
      <x:c r="A13" s="50" t="n">
        <x:v>8</x:v>
      </x:c>
      <x:c r="B13" s="54" t="str">
        <x:f>IFERROR(INDEX('Game Records'!$A$5:$A$504,MATCH(F13,'Game Records'!$U$5:$U$504,0)),"")</x:f>
      </x:c>
      <x:c r="C13" s="50" t="str">
        <x:f>IFERROR(INDEX('Game Records'!$L$5:$L$504,MATCH(F13,'Game Records'!$U$5:$U$504,0)),"")</x:f>
      </x:c>
      <x:c r="D13" s="50" t="str">
        <x:f>IFERROR(INDEX('Game Records'!$Q$5:$Q$504,MATCH(F13,'Game Records'!$U$5:$U$504,0)),"")</x:f>
      </x:c>
      <x:c r="E13" s="58" t="str">
        <x:f>IFERROR(INDEX('Game Records'!$E$5:$E$504,MATCH(F13,'Game Records'!$U$5:$U$504,0)),"")</x:f>
      </x:c>
      <x:c r="F13" s="58" t="str">
        <x:f>IFERROR(LARGE('Game Records'!$U$5:$U$504,A13),"")</x:f>
      </x:c>
      <x:c r="G13" s="60" t="str">
        <x:f>IFERROR(INDEX('Game Records'!$J$5:$J$504,MATCH(F13,'Game Records'!$U$5:$U$504,0)),"")</x:f>
      </x:c>
      <x:c r="H13" s="50" t="str">
        <x:f>IFERROR(INDEX('Game Records'!$K$5:$K$504,MATCH(F13,'Game Records'!$U$5:$U$504,0)),"")</x:f>
      </x:c>
    </x:row>
    <x:row r="14">
      <x:c r="A14" s="50" t="n">
        <x:v>9</x:v>
      </x:c>
      <x:c r="B14" s="54" t="str">
        <x:f>IFERROR(INDEX('Game Records'!$A$5:$A$504,MATCH(F14,'Game Records'!$U$5:$U$504,0)),"")</x:f>
      </x:c>
      <x:c r="C14" s="50" t="str">
        <x:f>IFERROR(INDEX('Game Records'!$L$5:$L$504,MATCH(F14,'Game Records'!$U$5:$U$504,0)),"")</x:f>
      </x:c>
      <x:c r="D14" s="50" t="str">
        <x:f>IFERROR(INDEX('Game Records'!$Q$5:$Q$504,MATCH(F14,'Game Records'!$U$5:$U$504,0)),"")</x:f>
      </x:c>
      <x:c r="E14" s="58" t="str">
        <x:f>IFERROR(INDEX('Game Records'!$E$5:$E$504,MATCH(F14,'Game Records'!$U$5:$U$504,0)),"")</x:f>
      </x:c>
      <x:c r="F14" s="58" t="str">
        <x:f>IFERROR(LARGE('Game Records'!$U$5:$U$504,A14),"")</x:f>
      </x:c>
      <x:c r="G14" s="60" t="str">
        <x:f>IFERROR(INDEX('Game Records'!$J$5:$J$504,MATCH(F14,'Game Records'!$U$5:$U$504,0)),"")</x:f>
      </x:c>
      <x:c r="H14" s="50" t="str">
        <x:f>IFERROR(INDEX('Game Records'!$K$5:$K$504,MATCH(F14,'Game Records'!$U$5:$U$504,0)),"")</x:f>
      </x:c>
    </x:row>
    <x:row r="15">
      <x:c r="A15" s="50" t="n">
        <x:v>10</x:v>
      </x:c>
      <x:c r="B15" s="54" t="str">
        <x:f>IFERROR(INDEX('Game Records'!$A$5:$A$504,MATCH(F15,'Game Records'!$U$5:$U$504,0)),"")</x:f>
      </x:c>
      <x:c r="C15" s="50" t="str">
        <x:f>IFERROR(INDEX('Game Records'!$L$5:$L$504,MATCH(F15,'Game Records'!$U$5:$U$504,0)),"")</x:f>
      </x:c>
      <x:c r="D15" s="50" t="str">
        <x:f>IFERROR(INDEX('Game Records'!$Q$5:$Q$504,MATCH(F15,'Game Records'!$U$5:$U$504,0)),"")</x:f>
      </x:c>
      <x:c r="E15" s="58" t="str">
        <x:f>IFERROR(INDEX('Game Records'!$E$5:$E$504,MATCH(F15,'Game Records'!$U$5:$U$504,0)),"")</x:f>
      </x:c>
      <x:c r="F15" s="58" t="str">
        <x:f>IFERROR(LARGE('Game Records'!$U$5:$U$504,A15),"")</x:f>
      </x:c>
      <x:c r="G15" s="60" t="str">
        <x:f>IFERROR(INDEX('Game Records'!$J$5:$J$504,MATCH(F15,'Game Records'!$U$5:$U$504,0)),"")</x:f>
      </x:c>
      <x:c r="H15" s="50" t="str">
        <x:f>IFERROR(INDEX('Game Records'!$K$5:$K$504,MATCH(F15,'Game Records'!$U$5:$U$504,0)),"")</x:f>
      </x:c>
    </x:row>
    <x:row r="16">
      <x:c r="A16" s="50"/>
      <x:c r="B16" s="54"/>
      <x:c r="C16" s="50"/>
      <x:c r="D16" s="50"/>
      <x:c r="E16" s="58"/>
      <x:c r="F16" s="58"/>
      <x:c r="G16" s="60"/>
      <x:c r="H16" s="50"/>
    </x:row>
    <x:row r="17">
      <x:c r="A17" s="50"/>
      <x:c r="B17" s="54"/>
      <x:c r="C17" s="50"/>
      <x:c r="D17" s="50"/>
      <x:c r="E17" s="58"/>
      <x:c r="F17" s="58"/>
      <x:c r="G17" s="60"/>
      <x:c r="H17" s="50"/>
    </x:row>
    <x:row r="18">
      <x:c r="A18" s="93" t="str">
        <x:v>Top 10 by ROI</x:v>
      </x:c>
      <x:c r="B18" s="92"/>
      <x:c r="C18" s="93"/>
      <x:c r="D18" s="93"/>
      <x:c r="E18" s="99"/>
      <x:c r="F18" s="99"/>
      <x:c r="G18" s="103"/>
      <x:c r="H18" s="93"/>
    </x:row>
    <x:row r="19">
      <x:c r="A19" s="42" t="str">
        <x:v>Rank</x:v>
      </x:c>
      <x:c r="B19" s="96" t="str">
        <x:v>Game Name</x:v>
      </x:c>
      <x:c r="C19" s="42" t="str">
        <x:v>Game Type</x:v>
      </x:c>
      <x:c r="D19" s="42" t="str">
        <x:v>Weeks</x:v>
      </x:c>
      <x:c r="E19" s="98" t="str">
        <x:v>Entry Fee</x:v>
      </x:c>
      <x:c r="F19" s="98" t="str">
        <x:v>Net Profit</x:v>
      </x:c>
      <x:c r="G19" s="102" t="str">
        <x:v>ROI</x:v>
      </x:c>
      <x:c r="H19" s="42" t="str">
        <x:v>Result</x:v>
      </x:c>
    </x:row>
    <x:row r="20">
      <x:c r="A20" s="50" t="n">
        <x:v>1</x:v>
      </x:c>
      <x:c r="B20" s="54" t="str">
        <x:f>IFERROR(INDEX('Game Records'!$A$5:$A$504,MATCH(G20,'Game Records'!$J$5:$J$504,0)),"")</x:f>
      </x:c>
      <x:c r="C20" s="50" t="str">
        <x:f>IFERROR(INDEX('Game Records'!$L$5:$L$504,MATCH(G20,'Game Records'!$J$5:$J$504,0)),"")</x:f>
      </x:c>
      <x:c r="D20" s="50" t="str">
        <x:f>IFERROR(INDEX('Game Records'!$Q$5:$Q$504,MATCH(G20,'Game Records'!$J$5:$J$504,0)),"")</x:f>
      </x:c>
      <x:c r="E20" s="58" t="str">
        <x:f>IFERROR(INDEX('Game Records'!$E$5:$E$504,MATCH(G20,'Game Records'!$J$5:$J$504,0)),"")</x:f>
      </x:c>
      <x:c r="F20" s="58" t="str">
        <x:f>IFERROR(INDEX('Game Records'!$U$5:$U$504,MATCH(G20,'Game Records'!$J$5:$J$504,0)),"")</x:f>
      </x:c>
      <x:c r="G20" s="60" t="str">
        <x:f>IFERROR(LARGE('Game Records'!$J$5:$J$504,A20),"")</x:f>
      </x:c>
      <x:c r="H20" s="50" t="str">
        <x:f>IFERROR(INDEX('Game Records'!$K$5:$K$504,MATCH(G20,'Game Records'!$J$5:$J$504,0)),"")</x:f>
      </x:c>
    </x:row>
    <x:row r="21">
      <x:c r="A21" s="50" t="n">
        <x:v>2</x:v>
      </x:c>
      <x:c r="B21" s="54" t="str">
        <x:f>IFERROR(INDEX('Game Records'!$A$5:$A$504,MATCH(G21,'Game Records'!$J$5:$J$504,0)),"")</x:f>
      </x:c>
      <x:c r="C21" s="50" t="str">
        <x:f>IFERROR(INDEX('Game Records'!$L$5:$L$504,MATCH(G21,'Game Records'!$J$5:$J$504,0)),"")</x:f>
      </x:c>
      <x:c r="D21" s="50" t="str">
        <x:f>IFERROR(INDEX('Game Records'!$Q$5:$Q$504,MATCH(G21,'Game Records'!$J$5:$J$504,0)),"")</x:f>
      </x:c>
      <x:c r="E21" s="58" t="str">
        <x:f>IFERROR(INDEX('Game Records'!$E$5:$E$504,MATCH(G21,'Game Records'!$J$5:$J$504,0)),"")</x:f>
      </x:c>
      <x:c r="F21" s="58" t="str">
        <x:f>IFERROR(INDEX('Game Records'!$U$5:$U$504,MATCH(G21,'Game Records'!$J$5:$J$504,0)),"")</x:f>
      </x:c>
      <x:c r="G21" s="60" t="str">
        <x:f>IFERROR(LARGE('Game Records'!$J$5:$J$504,A21),"")</x:f>
      </x:c>
      <x:c r="H21" s="50" t="str">
        <x:f>IFERROR(INDEX('Game Records'!$K$5:$K$504,MATCH(G21,'Game Records'!$J$5:$J$504,0)),"")</x:f>
      </x:c>
    </x:row>
    <x:row r="22">
      <x:c r="A22" s="50" t="n">
        <x:v>3</x:v>
      </x:c>
      <x:c r="B22" s="54" t="str">
        <x:f>IFERROR(INDEX('Game Records'!$A$5:$A$504,MATCH(G22,'Game Records'!$J$5:$J$504,0)),"")</x:f>
      </x:c>
      <x:c r="C22" s="50" t="str">
        <x:f>IFERROR(INDEX('Game Records'!$L$5:$L$504,MATCH(G22,'Game Records'!$J$5:$J$504,0)),"")</x:f>
      </x:c>
      <x:c r="D22" s="50" t="str">
        <x:f>IFERROR(INDEX('Game Records'!$Q$5:$Q$504,MATCH(G22,'Game Records'!$J$5:$J$504,0)),"")</x:f>
      </x:c>
      <x:c r="E22" s="58" t="str">
        <x:f>IFERROR(INDEX('Game Records'!$E$5:$E$504,MATCH(G22,'Game Records'!$J$5:$J$504,0)),"")</x:f>
      </x:c>
      <x:c r="F22" s="58" t="str">
        <x:f>IFERROR(INDEX('Game Records'!$U$5:$U$504,MATCH(G22,'Game Records'!$J$5:$J$504,0)),"")</x:f>
      </x:c>
      <x:c r="G22" s="60" t="str">
        <x:f>IFERROR(LARGE('Game Records'!$J$5:$J$504,A22),"")</x:f>
      </x:c>
      <x:c r="H22" s="50" t="str">
        <x:f>IFERROR(INDEX('Game Records'!$K$5:$K$504,MATCH(G22,'Game Records'!$J$5:$J$504,0)),"")</x:f>
      </x:c>
    </x:row>
    <x:row r="23">
      <x:c r="A23" s="50" t="n">
        <x:v>4</x:v>
      </x:c>
      <x:c r="B23" s="54" t="str">
        <x:f>IFERROR(INDEX('Game Records'!$A$5:$A$504,MATCH(G23,'Game Records'!$J$5:$J$504,0)),"")</x:f>
      </x:c>
      <x:c r="C23" s="50" t="str">
        <x:f>IFERROR(INDEX('Game Records'!$L$5:$L$504,MATCH(G23,'Game Records'!$J$5:$J$504,0)),"")</x:f>
      </x:c>
      <x:c r="D23" s="50" t="str">
        <x:f>IFERROR(INDEX('Game Records'!$Q$5:$Q$504,MATCH(G23,'Game Records'!$J$5:$J$504,0)),"")</x:f>
      </x:c>
      <x:c r="E23" s="58" t="str">
        <x:f>IFERROR(INDEX('Game Records'!$E$5:$E$504,MATCH(G23,'Game Records'!$J$5:$J$504,0)),"")</x:f>
      </x:c>
      <x:c r="F23" s="58" t="str">
        <x:f>IFERROR(INDEX('Game Records'!$U$5:$U$504,MATCH(G23,'Game Records'!$J$5:$J$504,0)),"")</x:f>
      </x:c>
      <x:c r="G23" s="60" t="str">
        <x:f>IFERROR(LARGE('Game Records'!$J$5:$J$504,A23),"")</x:f>
      </x:c>
      <x:c r="H23" s="50" t="str">
        <x:f>IFERROR(INDEX('Game Records'!$K$5:$K$504,MATCH(G23,'Game Records'!$J$5:$J$504,0)),"")</x:f>
      </x:c>
    </x:row>
    <x:row r="24">
      <x:c r="A24" s="50" t="n">
        <x:v>5</x:v>
      </x:c>
      <x:c r="B24" s="54" t="str">
        <x:f>IFERROR(INDEX('Game Records'!$A$5:$A$504,MATCH(G24,'Game Records'!$J$5:$J$504,0)),"")</x:f>
      </x:c>
      <x:c r="C24" s="50" t="str">
        <x:f>IFERROR(INDEX('Game Records'!$L$5:$L$504,MATCH(G24,'Game Records'!$J$5:$J$504,0)),"")</x:f>
      </x:c>
      <x:c r="D24" s="50" t="str">
        <x:f>IFERROR(INDEX('Game Records'!$Q$5:$Q$504,MATCH(G24,'Game Records'!$J$5:$J$504,0)),"")</x:f>
      </x:c>
      <x:c r="E24" s="58" t="str">
        <x:f>IFERROR(INDEX('Game Records'!$E$5:$E$504,MATCH(G24,'Game Records'!$J$5:$J$504,0)),"")</x:f>
      </x:c>
      <x:c r="F24" s="58" t="str">
        <x:f>IFERROR(INDEX('Game Records'!$U$5:$U$504,MATCH(G24,'Game Records'!$J$5:$J$504,0)),"")</x:f>
      </x:c>
      <x:c r="G24" s="60" t="str">
        <x:f>IFERROR(LARGE('Game Records'!$J$5:$J$504,A24),"")</x:f>
      </x:c>
      <x:c r="H24" s="50" t="str">
        <x:f>IFERROR(INDEX('Game Records'!$K$5:$K$504,MATCH(G24,'Game Records'!$J$5:$J$504,0)),"")</x:f>
      </x:c>
    </x:row>
    <x:row r="25">
      <x:c r="A25" s="50" t="n">
        <x:v>6</x:v>
      </x:c>
      <x:c r="B25" s="54" t="str">
        <x:f>IFERROR(INDEX('Game Records'!$A$5:$A$504,MATCH(G25,'Game Records'!$J$5:$J$504,0)),"")</x:f>
      </x:c>
      <x:c r="C25" s="50" t="str">
        <x:f>IFERROR(INDEX('Game Records'!$L$5:$L$504,MATCH(G25,'Game Records'!$J$5:$J$504,0)),"")</x:f>
      </x:c>
      <x:c r="D25" s="50" t="str">
        <x:f>IFERROR(INDEX('Game Records'!$Q$5:$Q$504,MATCH(G25,'Game Records'!$J$5:$J$504,0)),"")</x:f>
      </x:c>
      <x:c r="E25" s="58" t="str">
        <x:f>IFERROR(INDEX('Game Records'!$E$5:$E$504,MATCH(G25,'Game Records'!$J$5:$J$504,0)),"")</x:f>
      </x:c>
      <x:c r="F25" s="58" t="str">
        <x:f>IFERROR(INDEX('Game Records'!$U$5:$U$504,MATCH(G25,'Game Records'!$J$5:$J$504,0)),"")</x:f>
      </x:c>
      <x:c r="G25" s="60" t="str">
        <x:f>IFERROR(LARGE('Game Records'!$J$5:$J$504,A25),"")</x:f>
      </x:c>
      <x:c r="H25" s="50" t="str">
        <x:f>IFERROR(INDEX('Game Records'!$K$5:$K$504,MATCH(G25,'Game Records'!$J$5:$J$504,0)),"")</x:f>
      </x:c>
    </x:row>
    <x:row r="26">
      <x:c r="A26" s="50" t="n">
        <x:v>7</x:v>
      </x:c>
      <x:c r="B26" s="54" t="str">
        <x:f>IFERROR(INDEX('Game Records'!$A$5:$A$504,MATCH(G26,'Game Records'!$J$5:$J$504,0)),"")</x:f>
      </x:c>
      <x:c r="C26" s="50" t="str">
        <x:f>IFERROR(INDEX('Game Records'!$L$5:$L$504,MATCH(G26,'Game Records'!$J$5:$J$504,0)),"")</x:f>
      </x:c>
      <x:c r="D26" s="50" t="str">
        <x:f>IFERROR(INDEX('Game Records'!$Q$5:$Q$504,MATCH(G26,'Game Records'!$J$5:$J$504,0)),"")</x:f>
      </x:c>
      <x:c r="E26" s="58" t="str">
        <x:f>IFERROR(INDEX('Game Records'!$E$5:$E$504,MATCH(G26,'Game Records'!$J$5:$J$504,0)),"")</x:f>
      </x:c>
      <x:c r="F26" s="58" t="str">
        <x:f>IFERROR(INDEX('Game Records'!$U$5:$U$504,MATCH(G26,'Game Records'!$J$5:$J$504,0)),"")</x:f>
      </x:c>
      <x:c r="G26" s="60" t="str">
        <x:f>IFERROR(LARGE('Game Records'!$J$5:$J$504,A26),"")</x:f>
      </x:c>
      <x:c r="H26" s="50" t="str">
        <x:f>IFERROR(INDEX('Game Records'!$K$5:$K$504,MATCH(G26,'Game Records'!$J$5:$J$504,0)),"")</x:f>
      </x:c>
    </x:row>
    <x:row r="27">
      <x:c r="A27" s="50" t="n">
        <x:v>8</x:v>
      </x:c>
      <x:c r="B27" s="54" t="str">
        <x:f>IFERROR(INDEX('Game Records'!$A$5:$A$504,MATCH(G27,'Game Records'!$J$5:$J$504,0)),"")</x:f>
      </x:c>
      <x:c r="C27" s="50" t="str">
        <x:f>IFERROR(INDEX('Game Records'!$L$5:$L$504,MATCH(G27,'Game Records'!$J$5:$J$504,0)),"")</x:f>
      </x:c>
      <x:c r="D27" s="50" t="str">
        <x:f>IFERROR(INDEX('Game Records'!$Q$5:$Q$504,MATCH(G27,'Game Records'!$J$5:$J$504,0)),"")</x:f>
      </x:c>
      <x:c r="E27" s="58" t="str">
        <x:f>IFERROR(INDEX('Game Records'!$E$5:$E$504,MATCH(G27,'Game Records'!$J$5:$J$504,0)),"")</x:f>
      </x:c>
      <x:c r="F27" s="58" t="str">
        <x:f>IFERROR(INDEX('Game Records'!$U$5:$U$504,MATCH(G27,'Game Records'!$J$5:$J$504,0)),"")</x:f>
      </x:c>
      <x:c r="G27" s="60" t="str">
        <x:f>IFERROR(LARGE('Game Records'!$J$5:$J$504,A27),"")</x:f>
      </x:c>
      <x:c r="H27" s="50" t="str">
        <x:f>IFERROR(INDEX('Game Records'!$K$5:$K$504,MATCH(G27,'Game Records'!$J$5:$J$504,0)),"")</x:f>
      </x:c>
    </x:row>
    <x:row r="28">
      <x:c r="A28" s="50" t="n">
        <x:v>9</x:v>
      </x:c>
      <x:c r="B28" s="54" t="str">
        <x:f>IFERROR(INDEX('Game Records'!$A$5:$A$504,MATCH(G28,'Game Records'!$J$5:$J$504,0)),"")</x:f>
      </x:c>
      <x:c r="C28" s="50" t="str">
        <x:f>IFERROR(INDEX('Game Records'!$L$5:$L$504,MATCH(G28,'Game Records'!$J$5:$J$504,0)),"")</x:f>
      </x:c>
      <x:c r="D28" s="50" t="str">
        <x:f>IFERROR(INDEX('Game Records'!$Q$5:$Q$504,MATCH(G28,'Game Records'!$J$5:$J$504,0)),"")</x:f>
      </x:c>
      <x:c r="E28" s="58" t="str">
        <x:f>IFERROR(INDEX('Game Records'!$E$5:$E$504,MATCH(G28,'Game Records'!$J$5:$J$504,0)),"")</x:f>
      </x:c>
      <x:c r="F28" s="58" t="str">
        <x:f>IFERROR(INDEX('Game Records'!$U$5:$U$504,MATCH(G28,'Game Records'!$J$5:$J$504,0)),"")</x:f>
      </x:c>
      <x:c r="G28" s="60" t="str">
        <x:f>IFERROR(LARGE('Game Records'!$J$5:$J$504,A28),"")</x:f>
      </x:c>
      <x:c r="H28" s="50" t="str">
        <x:f>IFERROR(INDEX('Game Records'!$K$5:$K$504,MATCH(G28,'Game Records'!$J$5:$J$504,0)),"")</x:f>
      </x:c>
    </x:row>
    <x:row r="29">
      <x:c r="A29" s="50" t="n">
        <x:v>10</x:v>
      </x:c>
      <x:c r="B29" s="54" t="str">
        <x:f>IFERROR(INDEX('Game Records'!$A$5:$A$504,MATCH(G29,'Game Records'!$J$5:$J$504,0)),"")</x:f>
      </x:c>
      <x:c r="C29" s="50" t="str">
        <x:f>IFERROR(INDEX('Game Records'!$L$5:$L$504,MATCH(G29,'Game Records'!$J$5:$J$504,0)),"")</x:f>
      </x:c>
      <x:c r="D29" s="50" t="str">
        <x:f>IFERROR(INDEX('Game Records'!$Q$5:$Q$504,MATCH(G29,'Game Records'!$J$5:$J$504,0)),"")</x:f>
      </x:c>
      <x:c r="E29" s="58" t="str">
        <x:f>IFERROR(INDEX('Game Records'!$E$5:$E$504,MATCH(G29,'Game Records'!$J$5:$J$504,0)),"")</x:f>
      </x:c>
      <x:c r="F29" s="58" t="str">
        <x:f>IFERROR(INDEX('Game Records'!$U$5:$U$504,MATCH(G29,'Game Records'!$J$5:$J$504,0)),"")</x:f>
      </x:c>
      <x:c r="G29" s="60" t="str">
        <x:f>IFERROR(LARGE('Game Records'!$J$5:$J$504,A29),"")</x:f>
      </x:c>
      <x:c r="H29" s="50" t="str">
        <x:f>IFERROR(INDEX('Game Records'!$K$5:$K$504,MATCH(G29,'Game Records'!$J$5:$J$504,0)),"")</x:f>
      </x:c>
    </x:row>
  </x:sheetData>
  <x:mergeCells>
    <x:mergeCell ref="A1:H1"/>
    <x:mergeCell ref="A2:H2"/>
    <x:mergeCell ref="A4:H4"/>
    <x:mergeCell ref="A18:H18"/>
  </x:mergeCells>
  <x:conditionalFormatting sqref="F5:F29">
    <x:cfRule type="colorScale" priority="1">
      <x:colorScale>
        <x:cfvo type="min"/>
        <x:cfvo type="percentile" val="50"/>
        <x:cfvo type="max"/>
        <x:color rgb="FFF4CCCC"/>
        <x:color rgb="FFFFF2CC"/>
        <x:color rgb="FFD9EAD3"/>
      </x:colorScale>
    </x:cfRule>
  </x:conditionalFormatting>
  <x:conditionalFormatting sqref="G5:G29">
    <x:cfRule type="colorScale" priority="2">
      <x:colorScale>
        <x:cfvo type="min"/>
        <x:cfvo type="percentile" val="50"/>
        <x:cfvo type="max"/>
        <x:color rgb="FFF4CCCC"/>
        <x:color rgb="FFFFF2CC"/>
        <x:color rgb="FFD9EAD3"/>
      </x:colorScale>
    </x:cfRule>
  </x:conditionalFormatting>
  <x:pageMargins left="0.7" right="0.7" top="0.75" bottom="0.75" header="0.3" footer="0.3"/>
</x:worksheet>
</file>