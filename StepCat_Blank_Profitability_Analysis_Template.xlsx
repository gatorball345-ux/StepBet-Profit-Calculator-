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07e3f797dea4e2a" /></Relationships>
</file>

<file path=xl/workbook.xml><?xml version="1.0" encoding="utf-8"?>
<x:workbook xmlns:x="http://schemas.openxmlformats.org/spreadsheetml/2006/main">
  <x:sheets>
    <x:sheet xmlns:r="http://schemas.openxmlformats.org/officeDocument/2006/relationships" name="Instructions" sheetId="1" r:id="R597c2eb9461d488d"/>
    <x:sheet xmlns:r="http://schemas.openxmlformats.org/officeDocument/2006/relationships" name="Game Records" sheetId="2" r:id="Rc68c02984b5b4120"/>
    <x:sheet xmlns:r="http://schemas.openxmlformats.org/officeDocument/2006/relationships" name="Record Review" sheetId="3" r:id="Rd4c5068c07a04b9c"/>
    <x:sheet xmlns:r="http://schemas.openxmlformats.org/officeDocument/2006/relationships" name="Summary" sheetId="4" r:id="Rfeb667f14342470a"/>
    <x:sheet xmlns:r="http://schemas.openxmlformats.org/officeDocument/2006/relationships" name="Game Comparisons" sheetId="5" r:id="Rfdb725c8053d4cba"/>
    <x:sheet xmlns:r="http://schemas.openxmlformats.org/officeDocument/2006/relationships" name="Best Results" sheetId="6" r:id="R9812448eb0c74783"/>
  </x:sheets>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 numFmtId="210" formatCode="#,##0.00"/>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xf numFmtId="210" fontId="16" fillId="20" borderId="0" xfId="0" applyNumberFormat="1" applyFont="1" applyFill="1" applyBorder="1" applyAlignment="1">
      <x:alignment horizontal="center" vertical="center" wrapText="1"/>
    </x:xf>
    <x:xf numFmtId="210" fontId="16" fillId="20" xfId="0" applyNumberFormat="1" applyFont="1" applyFill="1" applyBorder="0" applyAlignment="1">
      <x:alignment horizontal="center" vertical="center" wrapText="1"/>
    </x:xf>
    <x:xf numFmtId="210" fontId="0" fillId="0" borderId="0" xfId="0" applyNumberFormat="1" applyFont="1" applyFill="1" applyBorder="1" applyAlignment="1">
      <x:alignment vertical="top" wrapText="1"/>
    </x:xf>
    <x:xf numFmtId="210" fontId="0" fillId="0" borderId="0" xfId="0" applyNumberFormat="1" applyFont="1" applyFill="1" applyBorder="1" applyAlignment="1">
      <x:alignment wrapText="1"/>
    </x:xf>
  </x:cellXfs>
  <x:cellStyles count="1">
    <x:cellStyle name="Normal" xfId="0"/>
  </x:cellStyles>
  <x:dxfs count="4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1f52aec130b4ac8" /><Relationship Type="http://schemas.openxmlformats.org/officeDocument/2006/relationships/theme" Target="/xl/theme/theme1.xml" Id="R3580ba2950c64b04" /><Relationship Type="http://schemas.openxmlformats.org/officeDocument/2006/relationships/sharedStrings" Target="/xl/sharedStrings.xml" Id="Rd43982eac01c482c" /><Relationship Type="http://schemas.openxmlformats.org/officeDocument/2006/relationships/worksheet" Target="/xl/worksheets/sheet1.xml" Id="R597c2eb9461d488d" /><Relationship Type="http://schemas.openxmlformats.org/officeDocument/2006/relationships/worksheet" Target="/xl/worksheets/sheet2.xml" Id="Rc68c02984b5b4120" /><Relationship Type="http://schemas.openxmlformats.org/officeDocument/2006/relationships/worksheet" Target="/xl/worksheets/sheet3.xml" Id="Rd4c5068c07a04b9c" /><Relationship Type="http://schemas.openxmlformats.org/officeDocument/2006/relationships/worksheet" Target="/xl/worksheets/sheet4.xml" Id="Rfeb667f14342470a" /><Relationship Type="http://schemas.openxmlformats.org/officeDocument/2006/relationships/worksheet" Target="/xl/worksheets/sheet5.xml" Id="Rfdb725c8053d4cba" /><Relationship Type="http://schemas.openxmlformats.org/officeDocument/2006/relationships/worksheet" Target="/xl/worksheets/sheet6.xml" Id="R9812448eb0c7478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v246.3</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Payment Type = Subscription and enter the annual cost in Entry Fee on that subscription row. The row is treated as a non-game expense.</x:v>
      </x:c>
      <x:c r="C11" s="833"/>
      <x:c r="D11" s="833"/>
      <x:c r="E11" s="833"/>
      <x:c r="F11" s="833"/>
      <x:c r="G11" s="833"/>
      <x:c r="H11" s="833"/>
      <x:c r="I11" s="833"/>
      <x:c r="J11" s="833"/>
    </x:row>
    <x:row r="12" ht="105" hidden="0" customHeight="1">
      <x:c r="A12" s="528" t="str">
        <x:v>Free games</x:v>
      </x:c>
      <x:c r="B12" s="532" t="str">
        <x:v>Select Payment Type = Free Game. Enter chips awarded in Final Earned / Chips. Chips are non-cash game credit and do not increase Gross Profit Earned, Net Game Profit, Actual Running Net Profit, or column Z. Because columns G, K, and N:P can contain cash or chips, they display plain two-decimal numbers without a $ symbol; pure cash columns retain currency formatting. Free Games remain outside paid-game counts and ROI averages.</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82" customHeight="1">
      <x:c r="A48" s="685" t="str">
        <x:v>What changed in v246.3</x:v>
      </x:c>
      <x:c r="B48" s="975" t="str">
        <x:v>v246.3 is primarily a web-app guided-entry update. Game Entry stays open, Membership Type must be confirmed before entry fields activate, Calculate &amp; Save shows live readiness, and A–M badges identify each copied workbook column. Spreadsheet formulas, calculations, layout, and copied A–M order are unchanged from v246.2.</x:v>
      </x:c>
      <x:c r="C48" s="833"/>
      <x:c r="D48" s="833"/>
      <x:c r="E48" s="833"/>
      <x:c r="F48" s="833"/>
      <x:c r="G48" s="833"/>
      <x:c r="H48" s="833"/>
      <x:c r="I48" s="833"/>
      <x:c r="J48" s="833"/>
    </x:row>
    <x:row r="49" ht="54" customHeight="1">
      <x:c r="A49" s="528" t="str">
        <x:v>Using v246.2</x:v>
      </x:c>
      <x:c r="B49" s="532" t="str">
        <x:v>Existing v246.2 workbooks remain fully current and compatible with rows copied from the v246.3 webpage. No migration or replacement workbook is required; the v246.3 workbook only updates version labels and this explanatory notice.</x:v>
      </x:c>
      <x:c r="C49" s="833"/>
      <x:c r="D49" s="833"/>
      <x:c r="E49" s="833"/>
      <x:c r="F49" s="833"/>
      <x:c r="G49" s="833"/>
      <x:c r="H49" s="833"/>
      <x:c r="I49" s="833"/>
      <x:c r="J49" s="833"/>
    </x:row>
    <x:row r="50" ht="60" customHeight="1">
      <x:c r="A50" s="977" t="str">
        <x:v>Updating from an older workbook</x:v>
      </x:c>
      <x:c r="B50" s="979" t="str">
        <x:v>In the older workbook, copy only populated Game Records cells A5:M. In v246.3, select A5 and paste—preferably as values only. Existing paid games and Free Game chip records recalculate automatically under the current rules.</x:v>
      </x:c>
      <x:c r="C50" s="833"/>
      <x:c r="D50" s="833"/>
      <x:c r="E50" s="833"/>
      <x:c r="F50" s="833"/>
      <x:c r="G50" s="833"/>
      <x:c r="H50" s="833"/>
      <x:c r="I50" s="833"/>
      <x:c r="J50" s="833"/>
    </x:row>
    <x:row r="51" ht="48" customHeight="1">
      <x:c r="A51" s="833" t="str">
        <x:v>Protect v246.3 formulas</x:v>
      </x:c>
      <x:c r="B51" s="833" t="str">
        <x:v>Do not copy entire sheets or replace columns N–Z. Keep the older workbook as a backup until transferred records and totals have been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sheetViews>
    <x:sheetView workbookViewId="0">
      <x:pane ySplit="4" topLeftCell="A5" activePane="bottomLeft" state="frozen"/>
      <x:selection pane="bottomLeft" activeCell="A5" sqref="A5"/>
    </x:sheetView>
  </x:sheetViews>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v246.3"</x:f>
        <x:v>Running Net Game Profit: $0.00  |  Gross Profit Earned: $0.00  |  Total Lost Entry Fees: $0.00  |  StepCat v246.3</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v246.3 is primarily a web-app guided-entry update; workbook formulas, layout, and copied A–M structure are unchanged from v246.2. Existing v246.2 workbooks remain fully current. Free Game chips remain excluded from cash profit totals.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 / Chips</x:v>
      </x:c>
      <x:c r="H4" s="95" t="str">
        <x:v>Entry Fee</x:v>
      </x:c>
      <x:c r="I4" s="95" t="str">
        <x:v>Eligible Players</x:v>
      </x:c>
      <x:c r="J4" s="95" t="str">
        <x:v>Total Players</x:v>
      </x:c>
      <x:c r="K4" s="95" t="str">
        <x:v>Final Earned / Chips</x:v>
      </x:c>
      <x:c r="L4" s="95" t="str">
        <x:v>Disqualified / Lost Entry Fee</x:v>
      </x:c>
      <x:c r="M4" s="95" t="str">
        <x:v>Notes</x:v>
      </x:c>
      <x:c r="N4" s="294" t="str">
        <x:v>Adjusted Pot / Chips</x:v>
      </x:c>
      <x:c r="O4" s="294" t="str">
        <x:v>Estimated Earned / Chips</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985"/>
      <x:c r="H5" s="451"/>
      <x:c r="I5" s="452"/>
      <x:c r="J5" s="452"/>
      <x:c r="K5" s="985"/>
      <x:c r="L5" s="450"/>
      <x:c r="M5" s="439"/>
      <x:c r="N5" s="987" t="str">
        <x:f>IF(COUNTA($A5:$M5)=0,"",IF(OR(LOWER($F5&amp;"")="subscription",LOWER($F5&amp;"")="membership"),"",IF($G5="","",IF(ISNUMBER(SEARCH("non",LOWER($E5&amp;""))),$G5*0.85,$G5))))</x:f>
      </x:c>
      <x:c r="O5" s="987" t="str">
        <x:f>IF(COUNTA($A5:$M5)=0,"",IF(OR(LOWER($F5&amp;"")="subscription",LOWER($F5&amp;"")="membership"),"",IF(OR($N5="",$I5="",$I5=0),"",IFERROR($N5/$I5,""))))</x:f>
      </x:c>
      <x:c r="P5" s="987" t="str">
        <x:f>IF(COUNTA($A5:$M5)=0,"",IF(OR(LOWER($F5&amp;"")="subscription",LOWER($F5&amp;"")="membership"),"",IF(LOWER($L5&amp;"")="yes",0,IF($K5&lt;&gt;"",$K5,IF($O5&lt;&gt;"",$O5,"")))))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IF(COUNTA($A5:$M5)=0,"",IF(OR(LOWER($F5&amp;"")="subscription",LOWER($F5&amp;"")="membership"),"Subscription",IF(OR(AND($H5&lt;&gt;"",$H5=0),LOWER($F5&amp;"")="free game",LOWER($F5&amp;"")="free",LOWER($F5&amp;"")="free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986"/>
      <x:c r="H6" s="455"/>
      <x:c r="I6" s="456"/>
      <x:c r="J6" s="456"/>
      <x:c r="K6" s="986"/>
      <x:c r="L6" s="454"/>
      <x:c r="M6" s="439"/>
      <x:c r="N6" s="987" t="str">
        <x:f>IF(COUNTA($A6:$M6)=0,"",IF(OR(LOWER($F6&amp;"")="subscription",LOWER($F6&amp;"")="membership"),"",IF($G6="","",IF(ISNUMBER(SEARCH("non",LOWER($E6&amp;""))),$G6*0.85,$G6))))</x:f>
      </x:c>
      <x:c r="O6" s="987" t="str">
        <x:f>IF(COUNTA($A6:$M6)=0,"",IF(OR(LOWER($F6&amp;"")="subscription",LOWER($F6&amp;"")="membership"),"",IF(OR($N6="",$I6="",$I6=0),"",IFERROR($N6/$I6,""))))</x:f>
      </x:c>
      <x:c r="P6" s="987" t="str">
        <x:f>IF(COUNTA($A6:$M6)=0,"",IF(OR(LOWER($F6&amp;"")="subscription",LOWER($F6&amp;"")="membership"),"",IF(LOWER($L6&amp;"")="yes",0,IF($K6&lt;&gt;"",$K6,IF($O6&lt;&gt;"",$O6,"")))))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IF(COUNTA($A6:$M6)=0,"",IF(OR(LOWER($F6&amp;"")="subscription",LOWER($F6&amp;"")="membership"),"Subscription",IF(OR(AND($H6&lt;&gt;"",$H6=0),LOWER($F6&amp;"")="free game",LOWER($F6&amp;"")="free",LOWER($F6&amp;"")="free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986"/>
      <x:c r="H7" s="455"/>
      <x:c r="I7" s="456"/>
      <x:c r="J7" s="456"/>
      <x:c r="K7" s="986"/>
      <x:c r="L7" s="454"/>
      <x:c r="M7" s="439"/>
      <x:c r="N7" s="987" t="str">
        <x:f>IF(COUNTA($A7:$M7)=0,"",IF(OR(LOWER($F7&amp;"")="subscription",LOWER($F7&amp;"")="membership"),"",IF($G7="","",IF(ISNUMBER(SEARCH("non",LOWER($E7&amp;""))),$G7*0.85,$G7))))</x:f>
      </x:c>
      <x:c r="O7" s="987" t="str">
        <x:f>IF(COUNTA($A7:$M7)=0,"",IF(OR(LOWER($F7&amp;"")="subscription",LOWER($F7&amp;"")="membership"),"",IF(OR($N7="",$I7="",$I7=0),"",IFERROR($N7/$I7,""))))</x:f>
      </x:c>
      <x:c r="P7" s="987" t="str">
        <x:f>IF(COUNTA($A7:$M7)=0,"",IF(OR(LOWER($F7&amp;"")="subscription",LOWER($F7&amp;"")="membership"),"",IF(LOWER($L7&amp;"")="yes",0,IF($K7&lt;&gt;"",$K7,IF($O7&lt;&gt;"",$O7,"")))))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IF(COUNTA($A7:$M7)=0,"",IF(OR(LOWER($F7&amp;"")="subscription",LOWER($F7&amp;"")="membership"),"Subscription",IF(OR(AND($H7&lt;&gt;"",$H7=0),LOWER($F7&amp;"")="free game",LOWER($F7&amp;"")="free",LOWER($F7&amp;"")="free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986"/>
      <x:c r="H8" s="455"/>
      <x:c r="I8" s="456"/>
      <x:c r="J8" s="456"/>
      <x:c r="K8" s="986"/>
      <x:c r="L8" s="454"/>
      <x:c r="M8" s="439"/>
      <x:c r="N8" s="987" t="str">
        <x:f>IF(COUNTA($A8:$M8)=0,"",IF(OR(LOWER($F8&amp;"")="subscription",LOWER($F8&amp;"")="membership"),"",IF($G8="","",IF(ISNUMBER(SEARCH("non",LOWER($E8&amp;""))),$G8*0.85,$G8))))</x:f>
      </x:c>
      <x:c r="O8" s="987" t="str">
        <x:f>IF(COUNTA($A8:$M8)=0,"",IF(OR(LOWER($F8&amp;"")="subscription",LOWER($F8&amp;"")="membership"),"",IF(OR($N8="",$I8="",$I8=0),"",IFERROR($N8/$I8,""))))</x:f>
      </x:c>
      <x:c r="P8" s="987" t="str">
        <x:f>IF(COUNTA($A8:$M8)=0,"",IF(OR(LOWER($F8&amp;"")="subscription",LOWER($F8&amp;"")="membership"),"",IF(LOWER($L8&amp;"")="yes",0,IF($K8&lt;&gt;"",$K8,IF($O8&lt;&gt;"",$O8,"")))))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IF(COUNTA($A8:$M8)=0,"",IF(OR(LOWER($F8&amp;"")="subscription",LOWER($F8&amp;"")="membership"),"Subscription",IF(OR(AND($H8&lt;&gt;"",$H8=0),LOWER($F8&amp;"")="free game",LOWER($F8&amp;"")="free",LOWER($F8&amp;"")="free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986"/>
      <x:c r="H9" s="455"/>
      <x:c r="I9" s="456"/>
      <x:c r="J9" s="456"/>
      <x:c r="K9" s="986"/>
      <x:c r="L9" s="454"/>
      <x:c r="M9" s="439"/>
      <x:c r="N9" s="987" t="str">
        <x:f>IF(COUNTA($A9:$M9)=0,"",IF(OR(LOWER($F9&amp;"")="subscription",LOWER($F9&amp;"")="membership"),"",IF($G9="","",IF(ISNUMBER(SEARCH("non",LOWER($E9&amp;""))),$G9*0.85,$G9))))</x:f>
      </x:c>
      <x:c r="O9" s="987" t="str">
        <x:f>IF(COUNTA($A9:$M9)=0,"",IF(OR(LOWER($F9&amp;"")="subscription",LOWER($F9&amp;"")="membership"),"",IF(OR($N9="",$I9="",$I9=0),"",IFERROR($N9/$I9,""))))</x:f>
      </x:c>
      <x:c r="P9" s="987" t="str">
        <x:f>IF(COUNTA($A9:$M9)=0,"",IF(OR(LOWER($F9&amp;"")="subscription",LOWER($F9&amp;"")="membership"),"",IF(LOWER($L9&amp;"")="yes",0,IF($K9&lt;&gt;"",$K9,IF($O9&lt;&gt;"",$O9,"")))))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IF(COUNTA($A9:$M9)=0,"",IF(OR(LOWER($F9&amp;"")="subscription",LOWER($F9&amp;"")="membership"),"Subscription",IF(OR(AND($H9&lt;&gt;"",$H9=0),LOWER($F9&amp;"")="free game",LOWER($F9&amp;"")="free",LOWER($F9&amp;"")="free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986"/>
      <x:c r="H10" s="455"/>
      <x:c r="I10" s="456"/>
      <x:c r="J10" s="456"/>
      <x:c r="K10" s="986"/>
      <x:c r="L10" s="454"/>
      <x:c r="M10" s="439"/>
      <x:c r="N10" s="987" t="str">
        <x:f>IF(COUNTA($A10:$M10)=0,"",IF(OR(LOWER($F10&amp;"")="subscription",LOWER($F10&amp;"")="membership"),"",IF($G10="","",IF(ISNUMBER(SEARCH("non",LOWER($E10&amp;""))),$G10*0.85,$G10))))</x:f>
      </x:c>
      <x:c r="O10" s="987" t="str">
        <x:f>IF(COUNTA($A10:$M10)=0,"",IF(OR(LOWER($F10&amp;"")="subscription",LOWER($F10&amp;"")="membership"),"",IF(OR($N10="",$I10="",$I10=0),"",IFERROR($N10/$I10,""))))</x:f>
      </x:c>
      <x:c r="P10" s="987" t="str">
        <x:f>IF(COUNTA($A10:$M10)=0,"",IF(OR(LOWER($F10&amp;"")="subscription",LOWER($F10&amp;"")="membership"),"",IF(LOWER($L10&amp;"")="yes",0,IF($K10&lt;&gt;"",$K10,IF($O10&lt;&gt;"",$O10,"")))))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IF(COUNTA($A10:$M10)=0,"",IF(OR(LOWER($F10&amp;"")="subscription",LOWER($F10&amp;"")="membership"),"Subscription",IF(OR(AND($H10&lt;&gt;"",$H10=0),LOWER($F10&amp;"")="free game",LOWER($F10&amp;"")="free",LOWER($F10&amp;"")="free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986"/>
      <x:c r="H11" s="455"/>
      <x:c r="I11" s="456"/>
      <x:c r="J11" s="456"/>
      <x:c r="K11" s="986"/>
      <x:c r="L11" s="454"/>
      <x:c r="M11" s="439"/>
      <x:c r="N11" s="987" t="str">
        <x:f>IF(COUNTA($A11:$M11)=0,"",IF(OR(LOWER($F11&amp;"")="subscription",LOWER($F11&amp;"")="membership"),"",IF($G11="","",IF(ISNUMBER(SEARCH("non",LOWER($E11&amp;""))),$G11*0.85,$G11))))</x:f>
      </x:c>
      <x:c r="O11" s="987" t="str">
        <x:f>IF(COUNTA($A11:$M11)=0,"",IF(OR(LOWER($F11&amp;"")="subscription",LOWER($F11&amp;"")="membership"),"",IF(OR($N11="",$I11="",$I11=0),"",IFERROR($N11/$I11,""))))</x:f>
      </x:c>
      <x:c r="P11" s="987" t="str">
        <x:f>IF(COUNTA($A11:$M11)=0,"",IF(OR(LOWER($F11&amp;"")="subscription",LOWER($F11&amp;"")="membership"),"",IF(LOWER($L11&amp;"")="yes",0,IF($K11&lt;&gt;"",$K11,IF($O11&lt;&gt;"",$O11,"")))))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IF(COUNTA($A11:$M11)=0,"",IF(OR(LOWER($F11&amp;"")="subscription",LOWER($F11&amp;"")="membership"),"Subscription",IF(OR(AND($H11&lt;&gt;"",$H11=0),LOWER($F11&amp;"")="free game",LOWER($F11&amp;"")="free",LOWER($F11&amp;"")="free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986"/>
      <x:c r="H12" s="455"/>
      <x:c r="I12" s="456"/>
      <x:c r="J12" s="456"/>
      <x:c r="K12" s="986"/>
      <x:c r="L12" s="454"/>
      <x:c r="M12" s="439"/>
      <x:c r="N12" s="987" t="str">
        <x:f>IF(COUNTA($A12:$M12)=0,"",IF(OR(LOWER($F12&amp;"")="subscription",LOWER($F12&amp;"")="membership"),"",IF($G12="","",IF(ISNUMBER(SEARCH("non",LOWER($E12&amp;""))),$G12*0.85,$G12))))</x:f>
      </x:c>
      <x:c r="O12" s="987" t="str">
        <x:f>IF(COUNTA($A12:$M12)=0,"",IF(OR(LOWER($F12&amp;"")="subscription",LOWER($F12&amp;"")="membership"),"",IF(OR($N12="",$I12="",$I12=0),"",IFERROR($N12/$I12,""))))</x:f>
      </x:c>
      <x:c r="P12" s="987" t="str">
        <x:f>IF(COUNTA($A12:$M12)=0,"",IF(OR(LOWER($F12&amp;"")="subscription",LOWER($F12&amp;"")="membership"),"",IF(LOWER($L12&amp;"")="yes",0,IF($K12&lt;&gt;"",$K12,IF($O12&lt;&gt;"",$O12,"")))))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IF(COUNTA($A12:$M12)=0,"",IF(OR(LOWER($F12&amp;"")="subscription",LOWER($F12&amp;"")="membership"),"Subscription",IF(OR(AND($H12&lt;&gt;"",$H12=0),LOWER($F12&amp;"")="free game",LOWER($F12&amp;"")="free",LOWER($F12&amp;"")="free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986"/>
      <x:c r="H13" s="455"/>
      <x:c r="I13" s="456"/>
      <x:c r="J13" s="456"/>
      <x:c r="K13" s="986"/>
      <x:c r="L13" s="454"/>
      <x:c r="M13" s="439"/>
      <x:c r="N13" s="987" t="str">
        <x:f>IF(COUNTA($A13:$M13)=0,"",IF(OR(LOWER($F13&amp;"")="subscription",LOWER($F13&amp;"")="membership"),"",IF($G13="","",IF(ISNUMBER(SEARCH("non",LOWER($E13&amp;""))),$G13*0.85,$G13))))</x:f>
      </x:c>
      <x:c r="O13" s="987" t="str">
        <x:f>IF(COUNTA($A13:$M13)=0,"",IF(OR(LOWER($F13&amp;"")="subscription",LOWER($F13&amp;"")="membership"),"",IF(OR($N13="",$I13="",$I13=0),"",IFERROR($N13/$I13,""))))</x:f>
      </x:c>
      <x:c r="P13" s="987" t="str">
        <x:f>IF(COUNTA($A13:$M13)=0,"",IF(OR(LOWER($F13&amp;"")="subscription",LOWER($F13&amp;"")="membership"),"",IF(LOWER($L13&amp;"")="yes",0,IF($K13&lt;&gt;"",$K13,IF($O13&lt;&gt;"",$O13,"")))))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IF(COUNTA($A13:$M13)=0,"",IF(OR(LOWER($F13&amp;"")="subscription",LOWER($F13&amp;"")="membership"),"Subscription",IF(OR(AND($H13&lt;&gt;"",$H13=0),LOWER($F13&amp;"")="free game",LOWER($F13&amp;"")="free",LOWER($F13&amp;"")="free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986"/>
      <x:c r="H14" s="455"/>
      <x:c r="I14" s="456"/>
      <x:c r="J14" s="456"/>
      <x:c r="K14" s="986"/>
      <x:c r="L14" s="454"/>
      <x:c r="M14" s="439"/>
      <x:c r="N14" s="987" t="str">
        <x:f>IF(COUNTA($A14:$M14)=0,"",IF(OR(LOWER($F14&amp;"")="subscription",LOWER($F14&amp;"")="membership"),"",IF($G14="","",IF(ISNUMBER(SEARCH("non",LOWER($E14&amp;""))),$G14*0.85,$G14))))</x:f>
      </x:c>
      <x:c r="O14" s="987" t="str">
        <x:f>IF(COUNTA($A14:$M14)=0,"",IF(OR(LOWER($F14&amp;"")="subscription",LOWER($F14&amp;"")="membership"),"",IF(OR($N14="",$I14="",$I14=0),"",IFERROR($N14/$I14,""))))</x:f>
      </x:c>
      <x:c r="P14" s="987" t="str">
        <x:f>IF(COUNTA($A14:$M14)=0,"",IF(OR(LOWER($F14&amp;"")="subscription",LOWER($F14&amp;"")="membership"),"",IF(LOWER($L14&amp;"")="yes",0,IF($K14&lt;&gt;"",$K14,IF($O14&lt;&gt;"",$O14,"")))))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IF(COUNTA($A14:$M14)=0,"",IF(OR(LOWER($F14&amp;"")="subscription",LOWER($F14&amp;"")="membership"),"Subscription",IF(OR(AND($H14&lt;&gt;"",$H14=0),LOWER($F14&amp;"")="free game",LOWER($F14&amp;"")="free",LOWER($F14&amp;"")="free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986"/>
      <x:c r="H15" s="455"/>
      <x:c r="I15" s="456"/>
      <x:c r="J15" s="456"/>
      <x:c r="K15" s="986"/>
      <x:c r="L15" s="454"/>
      <x:c r="M15" s="439"/>
      <x:c r="N15" s="987" t="str">
        <x:f>IF(COUNTA($A15:$M15)=0,"",IF(OR(LOWER($F15&amp;"")="subscription",LOWER($F15&amp;"")="membership"),"",IF($G15="","",IF(ISNUMBER(SEARCH("non",LOWER($E15&amp;""))),$G15*0.85,$G15))))</x:f>
      </x:c>
      <x:c r="O15" s="987" t="str">
        <x:f>IF(COUNTA($A15:$M15)=0,"",IF(OR(LOWER($F15&amp;"")="subscription",LOWER($F15&amp;"")="membership"),"",IF(OR($N15="",$I15="",$I15=0),"",IFERROR($N15/$I15,""))))</x:f>
      </x:c>
      <x:c r="P15" s="987" t="str">
        <x:f>IF(COUNTA($A15:$M15)=0,"",IF(OR(LOWER($F15&amp;"")="subscription",LOWER($F15&amp;"")="membership"),"",IF(LOWER($L15&amp;"")="yes",0,IF($K15&lt;&gt;"",$K15,IF($O15&lt;&gt;"",$O15,"")))))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IF(COUNTA($A15:$M15)=0,"",IF(OR(LOWER($F15&amp;"")="subscription",LOWER($F15&amp;"")="membership"),"Subscription",IF(OR(AND($H15&lt;&gt;"",$H15=0),LOWER($F15&amp;"")="free game",LOWER($F15&amp;"")="free",LOWER($F15&amp;"")="free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986"/>
      <x:c r="H16" s="455"/>
      <x:c r="I16" s="456"/>
      <x:c r="J16" s="456"/>
      <x:c r="K16" s="986"/>
      <x:c r="L16" s="454"/>
      <x:c r="M16" s="439"/>
      <x:c r="N16" s="987" t="str">
        <x:f>IF(COUNTA($A16:$M16)=0,"",IF(OR(LOWER($F16&amp;"")="subscription",LOWER($F16&amp;"")="membership"),"",IF($G16="","",IF(ISNUMBER(SEARCH("non",LOWER($E16&amp;""))),$G16*0.85,$G16))))</x:f>
      </x:c>
      <x:c r="O16" s="987" t="str">
        <x:f>IF(COUNTA($A16:$M16)=0,"",IF(OR(LOWER($F16&amp;"")="subscription",LOWER($F16&amp;"")="membership"),"",IF(OR($N16="",$I16="",$I16=0),"",IFERROR($N16/$I16,""))))</x:f>
      </x:c>
      <x:c r="P16" s="987" t="str">
        <x:f>IF(COUNTA($A16:$M16)=0,"",IF(OR(LOWER($F16&amp;"")="subscription",LOWER($F16&amp;"")="membership"),"",IF(LOWER($L16&amp;"")="yes",0,IF($K16&lt;&gt;"",$K16,IF($O16&lt;&gt;"",$O16,"")))))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IF(COUNTA($A16:$M16)=0,"",IF(OR(LOWER($F16&amp;"")="subscription",LOWER($F16&amp;"")="membership"),"Subscription",IF(OR(AND($H16&lt;&gt;"",$H16=0),LOWER($F16&amp;"")="free game",LOWER($F16&amp;"")="free",LOWER($F16&amp;"")="free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986"/>
      <x:c r="H17" s="455"/>
      <x:c r="I17" s="456"/>
      <x:c r="J17" s="456"/>
      <x:c r="K17" s="986"/>
      <x:c r="L17" s="454"/>
      <x:c r="M17" s="439"/>
      <x:c r="N17" s="987" t="str">
        <x:f>IF(COUNTA($A17:$M17)=0,"",IF(OR(LOWER($F17&amp;"")="subscription",LOWER($F17&amp;"")="membership"),"",IF($G17="","",IF(ISNUMBER(SEARCH("non",LOWER($E17&amp;""))),$G17*0.85,$G17))))</x:f>
      </x:c>
      <x:c r="O17" s="987" t="str">
        <x:f>IF(COUNTA($A17:$M17)=0,"",IF(OR(LOWER($F17&amp;"")="subscription",LOWER($F17&amp;"")="membership"),"",IF(OR($N17="",$I17="",$I17=0),"",IFERROR($N17/$I17,""))))</x:f>
      </x:c>
      <x:c r="P17" s="987" t="str">
        <x:f>IF(COUNTA($A17:$M17)=0,"",IF(OR(LOWER($F17&amp;"")="subscription",LOWER($F17&amp;"")="membership"),"",IF(LOWER($L17&amp;"")="yes",0,IF($K17&lt;&gt;"",$K17,IF($O17&lt;&gt;"",$O17,"")))))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IF(COUNTA($A17:$M17)=0,"",IF(OR(LOWER($F17&amp;"")="subscription",LOWER($F17&amp;"")="membership"),"Subscription",IF(OR(AND($H17&lt;&gt;"",$H17=0),LOWER($F17&amp;"")="free game",LOWER($F17&amp;"")="free",LOWER($F17&amp;"")="free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986"/>
      <x:c r="H18" s="455"/>
      <x:c r="I18" s="456"/>
      <x:c r="J18" s="456"/>
      <x:c r="K18" s="986"/>
      <x:c r="L18" s="454"/>
      <x:c r="M18" s="439"/>
      <x:c r="N18" s="987" t="str">
        <x:f>IF(COUNTA($A18:$M18)=0,"",IF(OR(LOWER($F18&amp;"")="subscription",LOWER($F18&amp;"")="membership"),"",IF($G18="","",IF(ISNUMBER(SEARCH("non",LOWER($E18&amp;""))),$G18*0.85,$G18))))</x:f>
      </x:c>
      <x:c r="O18" s="987" t="str">
        <x:f>IF(COUNTA($A18:$M18)=0,"",IF(OR(LOWER($F18&amp;"")="subscription",LOWER($F18&amp;"")="membership"),"",IF(OR($N18="",$I18="",$I18=0),"",IFERROR($N18/$I18,""))))</x:f>
      </x:c>
      <x:c r="P18" s="987" t="str">
        <x:f>IF(COUNTA($A18:$M18)=0,"",IF(OR(LOWER($F18&amp;"")="subscription",LOWER($F18&amp;"")="membership"),"",IF(LOWER($L18&amp;"")="yes",0,IF($K18&lt;&gt;"",$K18,IF($O18&lt;&gt;"",$O18,"")))))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IF(COUNTA($A18:$M18)=0,"",IF(OR(LOWER($F18&amp;"")="subscription",LOWER($F18&amp;"")="membership"),"Subscription",IF(OR(AND($H18&lt;&gt;"",$H18=0),LOWER($F18&amp;"")="free game",LOWER($F18&amp;"")="free",LOWER($F18&amp;"")="free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986"/>
      <x:c r="H19" s="455"/>
      <x:c r="I19" s="456"/>
      <x:c r="J19" s="456"/>
      <x:c r="K19" s="986"/>
      <x:c r="L19" s="454"/>
      <x:c r="M19" s="439"/>
      <x:c r="N19" s="987" t="str">
        <x:f>IF(COUNTA($A19:$M19)=0,"",IF(OR(LOWER($F19&amp;"")="subscription",LOWER($F19&amp;"")="membership"),"",IF($G19="","",IF(ISNUMBER(SEARCH("non",LOWER($E19&amp;""))),$G19*0.85,$G19))))</x:f>
      </x:c>
      <x:c r="O19" s="987" t="str">
        <x:f>IF(COUNTA($A19:$M19)=0,"",IF(OR(LOWER($F19&amp;"")="subscription",LOWER($F19&amp;"")="membership"),"",IF(OR($N19="",$I19="",$I19=0),"",IFERROR($N19/$I19,""))))</x:f>
      </x:c>
      <x:c r="P19" s="987" t="str">
        <x:f>IF(COUNTA($A19:$M19)=0,"",IF(OR(LOWER($F19&amp;"")="subscription",LOWER($F19&amp;"")="membership"),"",IF(LOWER($L19&amp;"")="yes",0,IF($K19&lt;&gt;"",$K19,IF($O19&lt;&gt;"",$O19,"")))))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IF(COUNTA($A19:$M19)=0,"",IF(OR(LOWER($F19&amp;"")="subscription",LOWER($F19&amp;"")="membership"),"Subscription",IF(OR(AND($H19&lt;&gt;"",$H19=0),LOWER($F19&amp;"")="free game",LOWER($F19&amp;"")="free",LOWER($F19&amp;"")="free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986"/>
      <x:c r="H20" s="455"/>
      <x:c r="I20" s="456"/>
      <x:c r="J20" s="456"/>
      <x:c r="K20" s="986"/>
      <x:c r="L20" s="454"/>
      <x:c r="M20" s="439"/>
      <x:c r="N20" s="987" t="str">
        <x:f>IF(COUNTA($A20:$M20)=0,"",IF(OR(LOWER($F20&amp;"")="subscription",LOWER($F20&amp;"")="membership"),"",IF($G20="","",IF(ISNUMBER(SEARCH("non",LOWER($E20&amp;""))),$G20*0.85,$G20))))</x:f>
      </x:c>
      <x:c r="O20" s="987" t="str">
        <x:f>IF(COUNTA($A20:$M20)=0,"",IF(OR(LOWER($F20&amp;"")="subscription",LOWER($F20&amp;"")="membership"),"",IF(OR($N20="",$I20="",$I20=0),"",IFERROR($N20/$I20,""))))</x:f>
      </x:c>
      <x:c r="P20" s="987" t="str">
        <x:f>IF(COUNTA($A20:$M20)=0,"",IF(OR(LOWER($F20&amp;"")="subscription",LOWER($F20&amp;"")="membership"),"",IF(LOWER($L20&amp;"")="yes",0,IF($K20&lt;&gt;"",$K20,IF($O20&lt;&gt;"",$O20,"")))))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IF(COUNTA($A20:$M20)=0,"",IF(OR(LOWER($F20&amp;"")="subscription",LOWER($F20&amp;"")="membership"),"Subscription",IF(OR(AND($H20&lt;&gt;"",$H20=0),LOWER($F20&amp;"")="free game",LOWER($F20&amp;"")="free",LOWER($F20&amp;"")="free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986"/>
      <x:c r="H21" s="455"/>
      <x:c r="I21" s="456"/>
      <x:c r="J21" s="456"/>
      <x:c r="K21" s="986"/>
      <x:c r="L21" s="454"/>
      <x:c r="M21" s="439"/>
      <x:c r="N21" s="987" t="str">
        <x:f>IF(COUNTA($A21:$M21)=0,"",IF(OR(LOWER($F21&amp;"")="subscription",LOWER($F21&amp;"")="membership"),"",IF($G21="","",IF(ISNUMBER(SEARCH("non",LOWER($E21&amp;""))),$G21*0.85,$G21))))</x:f>
      </x:c>
      <x:c r="O21" s="987" t="str">
        <x:f>IF(COUNTA($A21:$M21)=0,"",IF(OR(LOWER($F21&amp;"")="subscription",LOWER($F21&amp;"")="membership"),"",IF(OR($N21="",$I21="",$I21=0),"",IFERROR($N21/$I21,""))))</x:f>
      </x:c>
      <x:c r="P21" s="987" t="str">
        <x:f>IF(COUNTA($A21:$M21)=0,"",IF(OR(LOWER($F21&amp;"")="subscription",LOWER($F21&amp;"")="membership"),"",IF(LOWER($L21&amp;"")="yes",0,IF($K21&lt;&gt;"",$K21,IF($O21&lt;&gt;"",$O21,"")))))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IF(COUNTA($A21:$M21)=0,"",IF(OR(LOWER($F21&amp;"")="subscription",LOWER($F21&amp;"")="membership"),"Subscription",IF(OR(AND($H21&lt;&gt;"",$H21=0),LOWER($F21&amp;"")="free game",LOWER($F21&amp;"")="free",LOWER($F21&amp;"")="free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986"/>
      <x:c r="H22" s="455"/>
      <x:c r="I22" s="456"/>
      <x:c r="J22" s="456"/>
      <x:c r="K22" s="986"/>
      <x:c r="L22" s="454"/>
      <x:c r="M22" s="439"/>
      <x:c r="N22" s="987" t="str">
        <x:f>IF(COUNTA($A22:$M22)=0,"",IF(OR(LOWER($F22&amp;"")="subscription",LOWER($F22&amp;"")="membership"),"",IF($G22="","",IF(ISNUMBER(SEARCH("non",LOWER($E22&amp;""))),$G22*0.85,$G22))))</x:f>
      </x:c>
      <x:c r="O22" s="987" t="str">
        <x:f>IF(COUNTA($A22:$M22)=0,"",IF(OR(LOWER($F22&amp;"")="subscription",LOWER($F22&amp;"")="membership"),"",IF(OR($N22="",$I22="",$I22=0),"",IFERROR($N22/$I22,""))))</x:f>
      </x:c>
      <x:c r="P22" s="987" t="str">
        <x:f>IF(COUNTA($A22:$M22)=0,"",IF(OR(LOWER($F22&amp;"")="subscription",LOWER($F22&amp;"")="membership"),"",IF(LOWER($L22&amp;"")="yes",0,IF($K22&lt;&gt;"",$K22,IF($O22&lt;&gt;"",$O22,"")))))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IF(COUNTA($A22:$M22)=0,"",IF(OR(LOWER($F22&amp;"")="subscription",LOWER($F22&amp;"")="membership"),"Subscription",IF(OR(AND($H22&lt;&gt;"",$H22=0),LOWER($F22&amp;"")="free game",LOWER($F22&amp;"")="free",LOWER($F22&amp;"")="free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986"/>
      <x:c r="H23" s="455"/>
      <x:c r="I23" s="456"/>
      <x:c r="J23" s="456"/>
      <x:c r="K23" s="986"/>
      <x:c r="L23" s="454"/>
      <x:c r="M23" s="439"/>
      <x:c r="N23" s="987" t="str">
        <x:f>IF(COUNTA($A23:$M23)=0,"",IF(OR(LOWER($F23&amp;"")="subscription",LOWER($F23&amp;"")="membership"),"",IF($G23="","",IF(ISNUMBER(SEARCH("non",LOWER($E23&amp;""))),$G23*0.85,$G23))))</x:f>
      </x:c>
      <x:c r="O23" s="987" t="str">
        <x:f>IF(COUNTA($A23:$M23)=0,"",IF(OR(LOWER($F23&amp;"")="subscription",LOWER($F23&amp;"")="membership"),"",IF(OR($N23="",$I23="",$I23=0),"",IFERROR($N23/$I23,""))))</x:f>
      </x:c>
      <x:c r="P23" s="987" t="str">
        <x:f>IF(COUNTA($A23:$M23)=0,"",IF(OR(LOWER($F23&amp;"")="subscription",LOWER($F23&amp;"")="membership"),"",IF(LOWER($L23&amp;"")="yes",0,IF($K23&lt;&gt;"",$K23,IF($O23&lt;&gt;"",$O23,"")))))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IF(COUNTA($A23:$M23)=0,"",IF(OR(LOWER($F23&amp;"")="subscription",LOWER($F23&amp;"")="membership"),"Subscription",IF(OR(AND($H23&lt;&gt;"",$H23=0),LOWER($F23&amp;"")="free game",LOWER($F23&amp;"")="free",LOWER($F23&amp;"")="free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986"/>
      <x:c r="H24" s="455"/>
      <x:c r="I24" s="456"/>
      <x:c r="J24" s="456"/>
      <x:c r="K24" s="986"/>
      <x:c r="L24" s="454"/>
      <x:c r="M24" s="439"/>
      <x:c r="N24" s="987" t="str">
        <x:f>IF(COUNTA($A24:$M24)=0,"",IF(OR(LOWER($F24&amp;"")="subscription",LOWER($F24&amp;"")="membership"),"",IF($G24="","",IF(ISNUMBER(SEARCH("non",LOWER($E24&amp;""))),$G24*0.85,$G24))))</x:f>
      </x:c>
      <x:c r="O24" s="987" t="str">
        <x:f>IF(COUNTA($A24:$M24)=0,"",IF(OR(LOWER($F24&amp;"")="subscription",LOWER($F24&amp;"")="membership"),"",IF(OR($N24="",$I24="",$I24=0),"",IFERROR($N24/$I24,""))))</x:f>
      </x:c>
      <x:c r="P24" s="987" t="str">
        <x:f>IF(COUNTA($A24:$M24)=0,"",IF(OR(LOWER($F24&amp;"")="subscription",LOWER($F24&amp;"")="membership"),"",IF(LOWER($L24&amp;"")="yes",0,IF($K24&lt;&gt;"",$K24,IF($O24&lt;&gt;"",$O24,"")))))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IF(COUNTA($A24:$M24)=0,"",IF(OR(LOWER($F24&amp;"")="subscription",LOWER($F24&amp;"")="membership"),"Subscription",IF(OR(AND($H24&lt;&gt;"",$H24=0),LOWER($F24&amp;"")="free game",LOWER($F24&amp;"")="free",LOWER($F24&amp;"")="free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986"/>
      <x:c r="H25" s="455"/>
      <x:c r="I25" s="456"/>
      <x:c r="J25" s="456"/>
      <x:c r="K25" s="986"/>
      <x:c r="L25" s="454"/>
      <x:c r="M25" s="439"/>
      <x:c r="N25" s="987" t="str">
        <x:f>IF(COUNTA($A25:$M25)=0,"",IF(OR(LOWER($F25&amp;"")="subscription",LOWER($F25&amp;"")="membership"),"",IF($G25="","",IF(ISNUMBER(SEARCH("non",LOWER($E25&amp;""))),$G25*0.85,$G25))))</x:f>
      </x:c>
      <x:c r="O25" s="987" t="str">
        <x:f>IF(COUNTA($A25:$M25)=0,"",IF(OR(LOWER($F25&amp;"")="subscription",LOWER($F25&amp;"")="membership"),"",IF(OR($N25="",$I25="",$I25=0),"",IFERROR($N25/$I25,""))))</x:f>
      </x:c>
      <x:c r="P25" s="987" t="str">
        <x:f>IF(COUNTA($A25:$M25)=0,"",IF(OR(LOWER($F25&amp;"")="subscription",LOWER($F25&amp;"")="membership"),"",IF(LOWER($L25&amp;"")="yes",0,IF($K25&lt;&gt;"",$K25,IF($O25&lt;&gt;"",$O25,"")))))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IF(COUNTA($A25:$M25)=0,"",IF(OR(LOWER($F25&amp;"")="subscription",LOWER($F25&amp;"")="membership"),"Subscription",IF(OR(AND($H25&lt;&gt;"",$H25=0),LOWER($F25&amp;"")="free game",LOWER($F25&amp;"")="free",LOWER($F25&amp;"")="free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986"/>
      <x:c r="H26" s="455"/>
      <x:c r="I26" s="456"/>
      <x:c r="J26" s="456"/>
      <x:c r="K26" s="986"/>
      <x:c r="L26" s="454"/>
      <x:c r="M26" s="439"/>
      <x:c r="N26" s="987" t="str">
        <x:f>IF(COUNTA($A26:$M26)=0,"",IF(OR(LOWER($F26&amp;"")="subscription",LOWER($F26&amp;"")="membership"),"",IF($G26="","",IF(ISNUMBER(SEARCH("non",LOWER($E26&amp;""))),$G26*0.85,$G26))))</x:f>
      </x:c>
      <x:c r="O26" s="987" t="str">
        <x:f>IF(COUNTA($A26:$M26)=0,"",IF(OR(LOWER($F26&amp;"")="subscription",LOWER($F26&amp;"")="membership"),"",IF(OR($N26="",$I26="",$I26=0),"",IFERROR($N26/$I26,""))))</x:f>
      </x:c>
      <x:c r="P26" s="987" t="str">
        <x:f>IF(COUNTA($A26:$M26)=0,"",IF(OR(LOWER($F26&amp;"")="subscription",LOWER($F26&amp;"")="membership"),"",IF(LOWER($L26&amp;"")="yes",0,IF($K26&lt;&gt;"",$K26,IF($O26&lt;&gt;"",$O26,"")))))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IF(COUNTA($A26:$M26)=0,"",IF(OR(LOWER($F26&amp;"")="subscription",LOWER($F26&amp;"")="membership"),"Subscription",IF(OR(AND($H26&lt;&gt;"",$H26=0),LOWER($F26&amp;"")="free game",LOWER($F26&amp;"")="free",LOWER($F26&amp;"")="free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986"/>
      <x:c r="H27" s="455"/>
      <x:c r="I27" s="456"/>
      <x:c r="J27" s="456"/>
      <x:c r="K27" s="986"/>
      <x:c r="L27" s="454"/>
      <x:c r="M27" s="439"/>
      <x:c r="N27" s="987" t="str">
        <x:f>IF(COUNTA($A27:$M27)=0,"",IF(OR(LOWER($F27&amp;"")="subscription",LOWER($F27&amp;"")="membership"),"",IF($G27="","",IF(ISNUMBER(SEARCH("non",LOWER($E27&amp;""))),$G27*0.85,$G27))))</x:f>
      </x:c>
      <x:c r="O27" s="987" t="str">
        <x:f>IF(COUNTA($A27:$M27)=0,"",IF(OR(LOWER($F27&amp;"")="subscription",LOWER($F27&amp;"")="membership"),"",IF(OR($N27="",$I27="",$I27=0),"",IFERROR($N27/$I27,""))))</x:f>
      </x:c>
      <x:c r="P27" s="987" t="str">
        <x:f>IF(COUNTA($A27:$M27)=0,"",IF(OR(LOWER($F27&amp;"")="subscription",LOWER($F27&amp;"")="membership"),"",IF(LOWER($L27&amp;"")="yes",0,IF($K27&lt;&gt;"",$K27,IF($O27&lt;&gt;"",$O27,"")))))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IF(COUNTA($A27:$M27)=0,"",IF(OR(LOWER($F27&amp;"")="subscription",LOWER($F27&amp;"")="membership"),"Subscription",IF(OR(AND($H27&lt;&gt;"",$H27=0),LOWER($F27&amp;"")="free game",LOWER($F27&amp;"")="free",LOWER($F27&amp;"")="free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986"/>
      <x:c r="H28" s="455"/>
      <x:c r="I28" s="456"/>
      <x:c r="J28" s="456"/>
      <x:c r="K28" s="986"/>
      <x:c r="L28" s="454"/>
      <x:c r="M28" s="439"/>
      <x:c r="N28" s="987" t="str">
        <x:f>IF(COUNTA($A28:$M28)=0,"",IF(OR(LOWER($F28&amp;"")="subscription",LOWER($F28&amp;"")="membership"),"",IF($G28="","",IF(ISNUMBER(SEARCH("non",LOWER($E28&amp;""))),$G28*0.85,$G28))))</x:f>
      </x:c>
      <x:c r="O28" s="987" t="str">
        <x:f>IF(COUNTA($A28:$M28)=0,"",IF(OR(LOWER($F28&amp;"")="subscription",LOWER($F28&amp;"")="membership"),"",IF(OR($N28="",$I28="",$I28=0),"",IFERROR($N28/$I28,""))))</x:f>
      </x:c>
      <x:c r="P28" s="987" t="str">
        <x:f>IF(COUNTA($A28:$M28)=0,"",IF(OR(LOWER($F28&amp;"")="subscription",LOWER($F28&amp;"")="membership"),"",IF(LOWER($L28&amp;"")="yes",0,IF($K28&lt;&gt;"",$K28,IF($O28&lt;&gt;"",$O28,"")))))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IF(COUNTA($A28:$M28)=0,"",IF(OR(LOWER($F28&amp;"")="subscription",LOWER($F28&amp;"")="membership"),"Subscription",IF(OR(AND($H28&lt;&gt;"",$H28=0),LOWER($F28&amp;"")="free game",LOWER($F28&amp;"")="free",LOWER($F28&amp;"")="free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986"/>
      <x:c r="H29" s="455"/>
      <x:c r="I29" s="456"/>
      <x:c r="J29" s="456"/>
      <x:c r="K29" s="986"/>
      <x:c r="L29" s="454"/>
      <x:c r="M29" s="439"/>
      <x:c r="N29" s="987" t="str">
        <x:f>IF(COUNTA($A29:$M29)=0,"",IF(OR(LOWER($F29&amp;"")="subscription",LOWER($F29&amp;"")="membership"),"",IF($G29="","",IF(ISNUMBER(SEARCH("non",LOWER($E29&amp;""))),$G29*0.85,$G29))))</x:f>
      </x:c>
      <x:c r="O29" s="987" t="str">
        <x:f>IF(COUNTA($A29:$M29)=0,"",IF(OR(LOWER($F29&amp;"")="subscription",LOWER($F29&amp;"")="membership"),"",IF(OR($N29="",$I29="",$I29=0),"",IFERROR($N29/$I29,""))))</x:f>
      </x:c>
      <x:c r="P29" s="987" t="str">
        <x:f>IF(COUNTA($A29:$M29)=0,"",IF(OR(LOWER($F29&amp;"")="subscription",LOWER($F29&amp;"")="membership"),"",IF(LOWER($L29&amp;"")="yes",0,IF($K29&lt;&gt;"",$K29,IF($O29&lt;&gt;"",$O29,"")))))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IF(COUNTA($A29:$M29)=0,"",IF(OR(LOWER($F29&amp;"")="subscription",LOWER($F29&amp;"")="membership"),"Subscription",IF(OR(AND($H29&lt;&gt;"",$H29=0),LOWER($F29&amp;"")="free game",LOWER($F29&amp;"")="free",LOWER($F29&amp;"")="free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986"/>
      <x:c r="H30" s="455"/>
      <x:c r="I30" s="456"/>
      <x:c r="J30" s="456"/>
      <x:c r="K30" s="986"/>
      <x:c r="L30" s="454"/>
      <x:c r="M30" s="439"/>
      <x:c r="N30" s="987" t="str">
        <x:f>IF(COUNTA($A30:$M30)=0,"",IF(OR(LOWER($F30&amp;"")="subscription",LOWER($F30&amp;"")="membership"),"",IF($G30="","",IF(ISNUMBER(SEARCH("non",LOWER($E30&amp;""))),$G30*0.85,$G30))))</x:f>
      </x:c>
      <x:c r="O30" s="987" t="str">
        <x:f>IF(COUNTA($A30:$M30)=0,"",IF(OR(LOWER($F30&amp;"")="subscription",LOWER($F30&amp;"")="membership"),"",IF(OR($N30="",$I30="",$I30=0),"",IFERROR($N30/$I30,""))))</x:f>
      </x:c>
      <x:c r="P30" s="987" t="str">
        <x:f>IF(COUNTA($A30:$M30)=0,"",IF(OR(LOWER($F30&amp;"")="subscription",LOWER($F30&amp;"")="membership"),"",IF(LOWER($L30&amp;"")="yes",0,IF($K30&lt;&gt;"",$K30,IF($O30&lt;&gt;"",$O30,"")))))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IF(COUNTA($A30:$M30)=0,"",IF(OR(LOWER($F30&amp;"")="subscription",LOWER($F30&amp;"")="membership"),"Subscription",IF(OR(AND($H30&lt;&gt;"",$H30=0),LOWER($F30&amp;"")="free game",LOWER($F30&amp;"")="free",LOWER($F30&amp;"")="free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986"/>
      <x:c r="H31" s="455"/>
      <x:c r="I31" s="456"/>
      <x:c r="J31" s="456"/>
      <x:c r="K31" s="986"/>
      <x:c r="L31" s="454"/>
      <x:c r="M31" s="439"/>
      <x:c r="N31" s="987" t="str">
        <x:f>IF(COUNTA($A31:$M31)=0,"",IF(OR(LOWER($F31&amp;"")="subscription",LOWER($F31&amp;"")="membership"),"",IF($G31="","",IF(ISNUMBER(SEARCH("non",LOWER($E31&amp;""))),$G31*0.85,$G31))))</x:f>
      </x:c>
      <x:c r="O31" s="987" t="str">
        <x:f>IF(COUNTA($A31:$M31)=0,"",IF(OR(LOWER($F31&amp;"")="subscription",LOWER($F31&amp;"")="membership"),"",IF(OR($N31="",$I31="",$I31=0),"",IFERROR($N31/$I31,""))))</x:f>
      </x:c>
      <x:c r="P31" s="987" t="str">
        <x:f>IF(COUNTA($A31:$M31)=0,"",IF(OR(LOWER($F31&amp;"")="subscription",LOWER($F31&amp;"")="membership"),"",IF(LOWER($L31&amp;"")="yes",0,IF($K31&lt;&gt;"",$K31,IF($O31&lt;&gt;"",$O31,"")))))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IF(COUNTA($A31:$M31)=0,"",IF(OR(LOWER($F31&amp;"")="subscription",LOWER($F31&amp;"")="membership"),"Subscription",IF(OR(AND($H31&lt;&gt;"",$H31=0),LOWER($F31&amp;"")="free game",LOWER($F31&amp;"")="free",LOWER($F31&amp;"")="free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986"/>
      <x:c r="H32" s="455"/>
      <x:c r="I32" s="456"/>
      <x:c r="J32" s="456"/>
      <x:c r="K32" s="986"/>
      <x:c r="L32" s="454"/>
      <x:c r="M32" s="439"/>
      <x:c r="N32" s="987" t="str">
        <x:f>IF(COUNTA($A32:$M32)=0,"",IF(OR(LOWER($F32&amp;"")="subscription",LOWER($F32&amp;"")="membership"),"",IF($G32="","",IF(ISNUMBER(SEARCH("non",LOWER($E32&amp;""))),$G32*0.85,$G32))))</x:f>
      </x:c>
      <x:c r="O32" s="987" t="str">
        <x:f>IF(COUNTA($A32:$M32)=0,"",IF(OR(LOWER($F32&amp;"")="subscription",LOWER($F32&amp;"")="membership"),"",IF(OR($N32="",$I32="",$I32=0),"",IFERROR($N32/$I32,""))))</x:f>
      </x:c>
      <x:c r="P32" s="987" t="str">
        <x:f>IF(COUNTA($A32:$M32)=0,"",IF(OR(LOWER($F32&amp;"")="subscription",LOWER($F32&amp;"")="membership"),"",IF(LOWER($L32&amp;"")="yes",0,IF($K32&lt;&gt;"",$K32,IF($O32&lt;&gt;"",$O32,"")))))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IF(COUNTA($A32:$M32)=0,"",IF(OR(LOWER($F32&amp;"")="subscription",LOWER($F32&amp;"")="membership"),"Subscription",IF(OR(AND($H32&lt;&gt;"",$H32=0),LOWER($F32&amp;"")="free game",LOWER($F32&amp;"")="free",LOWER($F32&amp;"")="free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986"/>
      <x:c r="H33" s="455"/>
      <x:c r="I33" s="456"/>
      <x:c r="J33" s="456"/>
      <x:c r="K33" s="986"/>
      <x:c r="L33" s="454"/>
      <x:c r="M33" s="439"/>
      <x:c r="N33" s="987" t="str">
        <x:f>IF(COUNTA($A33:$M33)=0,"",IF(OR(LOWER($F33&amp;"")="subscription",LOWER($F33&amp;"")="membership"),"",IF($G33="","",IF(ISNUMBER(SEARCH("non",LOWER($E33&amp;""))),$G33*0.85,$G33))))</x:f>
      </x:c>
      <x:c r="O33" s="987" t="str">
        <x:f>IF(COUNTA($A33:$M33)=0,"",IF(OR(LOWER($F33&amp;"")="subscription",LOWER($F33&amp;"")="membership"),"",IF(OR($N33="",$I33="",$I33=0),"",IFERROR($N33/$I33,""))))</x:f>
      </x:c>
      <x:c r="P33" s="987" t="str">
        <x:f>IF(COUNTA($A33:$M33)=0,"",IF(OR(LOWER($F33&amp;"")="subscription",LOWER($F33&amp;"")="membership"),"",IF(LOWER($L33&amp;"")="yes",0,IF($K33&lt;&gt;"",$K33,IF($O33&lt;&gt;"",$O33,"")))))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IF(COUNTA($A33:$M33)=0,"",IF(OR(LOWER($F33&amp;"")="subscription",LOWER($F33&amp;"")="membership"),"Subscription",IF(OR(AND($H33&lt;&gt;"",$H33=0),LOWER($F33&amp;"")="free game",LOWER($F33&amp;"")="free",LOWER($F33&amp;"")="free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986"/>
      <x:c r="H34" s="455"/>
      <x:c r="I34" s="456"/>
      <x:c r="J34" s="456"/>
      <x:c r="K34" s="986"/>
      <x:c r="L34" s="454"/>
      <x:c r="M34" s="439"/>
      <x:c r="N34" s="987" t="str">
        <x:f>IF(COUNTA($A34:$M34)=0,"",IF(OR(LOWER($F34&amp;"")="subscription",LOWER($F34&amp;"")="membership"),"",IF($G34="","",IF(ISNUMBER(SEARCH("non",LOWER($E34&amp;""))),$G34*0.85,$G34))))</x:f>
      </x:c>
      <x:c r="O34" s="987" t="str">
        <x:f>IF(COUNTA($A34:$M34)=0,"",IF(OR(LOWER($F34&amp;"")="subscription",LOWER($F34&amp;"")="membership"),"",IF(OR($N34="",$I34="",$I34=0),"",IFERROR($N34/$I34,""))))</x:f>
      </x:c>
      <x:c r="P34" s="987" t="str">
        <x:f>IF(COUNTA($A34:$M34)=0,"",IF(OR(LOWER($F34&amp;"")="subscription",LOWER($F34&amp;"")="membership"),"",IF(LOWER($L34&amp;"")="yes",0,IF($K34&lt;&gt;"",$K34,IF($O34&lt;&gt;"",$O34,"")))))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IF(COUNTA($A34:$M34)=0,"",IF(OR(LOWER($F34&amp;"")="subscription",LOWER($F34&amp;"")="membership"),"Subscription",IF(OR(AND($H34&lt;&gt;"",$H34=0),LOWER($F34&amp;"")="free game",LOWER($F34&amp;"")="free",LOWER($F34&amp;"")="free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986"/>
      <x:c r="H35" s="455"/>
      <x:c r="I35" s="456"/>
      <x:c r="J35" s="456"/>
      <x:c r="K35" s="986"/>
      <x:c r="L35" s="454"/>
      <x:c r="M35" s="439"/>
      <x:c r="N35" s="987" t="str">
        <x:f>IF(COUNTA($A35:$M35)=0,"",IF(OR(LOWER($F35&amp;"")="subscription",LOWER($F35&amp;"")="membership"),"",IF($G35="","",IF(ISNUMBER(SEARCH("non",LOWER($E35&amp;""))),$G35*0.85,$G35))))</x:f>
      </x:c>
      <x:c r="O35" s="987" t="str">
        <x:f>IF(COUNTA($A35:$M35)=0,"",IF(OR(LOWER($F35&amp;"")="subscription",LOWER($F35&amp;"")="membership"),"",IF(OR($N35="",$I35="",$I35=0),"",IFERROR($N35/$I35,""))))</x:f>
      </x:c>
      <x:c r="P35" s="987" t="str">
        <x:f>IF(COUNTA($A35:$M35)=0,"",IF(OR(LOWER($F35&amp;"")="subscription",LOWER($F35&amp;"")="membership"),"",IF(LOWER($L35&amp;"")="yes",0,IF($K35&lt;&gt;"",$K35,IF($O35&lt;&gt;"",$O35,"")))))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IF(COUNTA($A35:$M35)=0,"",IF(OR(LOWER($F35&amp;"")="subscription",LOWER($F35&amp;"")="membership"),"Subscription",IF(OR(AND($H35&lt;&gt;"",$H35=0),LOWER($F35&amp;"")="free game",LOWER($F35&amp;"")="free",LOWER($F35&amp;"")="free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986"/>
      <x:c r="H36" s="455"/>
      <x:c r="I36" s="456"/>
      <x:c r="J36" s="456"/>
      <x:c r="K36" s="986"/>
      <x:c r="L36" s="454"/>
      <x:c r="M36" s="439"/>
      <x:c r="N36" s="987" t="str">
        <x:f>IF(COUNTA($A36:$M36)=0,"",IF(OR(LOWER($F36&amp;"")="subscription",LOWER($F36&amp;"")="membership"),"",IF($G36="","",IF(ISNUMBER(SEARCH("non",LOWER($E36&amp;""))),$G36*0.85,$G36))))</x:f>
      </x:c>
      <x:c r="O36" s="987" t="str">
        <x:f>IF(COUNTA($A36:$M36)=0,"",IF(OR(LOWER($F36&amp;"")="subscription",LOWER($F36&amp;"")="membership"),"",IF(OR($N36="",$I36="",$I36=0),"",IFERROR($N36/$I36,""))))</x:f>
      </x:c>
      <x:c r="P36" s="987" t="str">
        <x:f>IF(COUNTA($A36:$M36)=0,"",IF(OR(LOWER($F36&amp;"")="subscription",LOWER($F36&amp;"")="membership"),"",IF(LOWER($L36&amp;"")="yes",0,IF($K36&lt;&gt;"",$K36,IF($O36&lt;&gt;"",$O36,"")))))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IF(COUNTA($A36:$M36)=0,"",IF(OR(LOWER($F36&amp;"")="subscription",LOWER($F36&amp;"")="membership"),"Subscription",IF(OR(AND($H36&lt;&gt;"",$H36=0),LOWER($F36&amp;"")="free game",LOWER($F36&amp;"")="free",LOWER($F36&amp;"")="free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986"/>
      <x:c r="H37" s="455"/>
      <x:c r="I37" s="456"/>
      <x:c r="J37" s="456"/>
      <x:c r="K37" s="986"/>
      <x:c r="L37" s="454"/>
      <x:c r="M37" s="439"/>
      <x:c r="N37" s="987" t="str">
        <x:f>IF(COUNTA($A37:$M37)=0,"",IF(OR(LOWER($F37&amp;"")="subscription",LOWER($F37&amp;"")="membership"),"",IF($G37="","",IF(ISNUMBER(SEARCH("non",LOWER($E37&amp;""))),$G37*0.85,$G37))))</x:f>
      </x:c>
      <x:c r="O37" s="987" t="str">
        <x:f>IF(COUNTA($A37:$M37)=0,"",IF(OR(LOWER($F37&amp;"")="subscription",LOWER($F37&amp;"")="membership"),"",IF(OR($N37="",$I37="",$I37=0),"",IFERROR($N37/$I37,""))))</x:f>
      </x:c>
      <x:c r="P37" s="987" t="str">
        <x:f>IF(COUNTA($A37:$M37)=0,"",IF(OR(LOWER($F37&amp;"")="subscription",LOWER($F37&amp;"")="membership"),"",IF(LOWER($L37&amp;"")="yes",0,IF($K37&lt;&gt;"",$K37,IF($O37&lt;&gt;"",$O37,"")))))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IF(COUNTA($A37:$M37)=0,"",IF(OR(LOWER($F37&amp;"")="subscription",LOWER($F37&amp;"")="membership"),"Subscription",IF(OR(AND($H37&lt;&gt;"",$H37=0),LOWER($F37&amp;"")="free game",LOWER($F37&amp;"")="free",LOWER($F37&amp;"")="free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986"/>
      <x:c r="H38" s="455"/>
      <x:c r="I38" s="456"/>
      <x:c r="J38" s="456"/>
      <x:c r="K38" s="986"/>
      <x:c r="L38" s="454"/>
      <x:c r="M38" s="439"/>
      <x:c r="N38" s="987" t="str">
        <x:f>IF(COUNTA($A38:$M38)=0,"",IF(OR(LOWER($F38&amp;"")="subscription",LOWER($F38&amp;"")="membership"),"",IF($G38="","",IF(ISNUMBER(SEARCH("non",LOWER($E38&amp;""))),$G38*0.85,$G38))))</x:f>
      </x:c>
      <x:c r="O38" s="987" t="str">
        <x:f>IF(COUNTA($A38:$M38)=0,"",IF(OR(LOWER($F38&amp;"")="subscription",LOWER($F38&amp;"")="membership"),"",IF(OR($N38="",$I38="",$I38=0),"",IFERROR($N38/$I38,""))))</x:f>
      </x:c>
      <x:c r="P38" s="987" t="str">
        <x:f>IF(COUNTA($A38:$M38)=0,"",IF(OR(LOWER($F38&amp;"")="subscription",LOWER($F38&amp;"")="membership"),"",IF(LOWER($L38&amp;"")="yes",0,IF($K38&lt;&gt;"",$K38,IF($O38&lt;&gt;"",$O38,"")))))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IF(COUNTA($A38:$M38)=0,"",IF(OR(LOWER($F38&amp;"")="subscription",LOWER($F38&amp;"")="membership"),"Subscription",IF(OR(AND($H38&lt;&gt;"",$H38=0),LOWER($F38&amp;"")="free game",LOWER($F38&amp;"")="free",LOWER($F38&amp;"")="free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986"/>
      <x:c r="H39" s="455"/>
      <x:c r="I39" s="456"/>
      <x:c r="J39" s="456"/>
      <x:c r="K39" s="986"/>
      <x:c r="L39" s="454"/>
      <x:c r="M39" s="439"/>
      <x:c r="N39" s="987" t="str">
        <x:f>IF(COUNTA($A39:$M39)=0,"",IF(OR(LOWER($F39&amp;"")="subscription",LOWER($F39&amp;"")="membership"),"",IF($G39="","",IF(ISNUMBER(SEARCH("non",LOWER($E39&amp;""))),$G39*0.85,$G39))))</x:f>
      </x:c>
      <x:c r="O39" s="987" t="str">
        <x:f>IF(COUNTA($A39:$M39)=0,"",IF(OR(LOWER($F39&amp;"")="subscription",LOWER($F39&amp;"")="membership"),"",IF(OR($N39="",$I39="",$I39=0),"",IFERROR($N39/$I39,""))))</x:f>
      </x:c>
      <x:c r="P39" s="987" t="str">
        <x:f>IF(COUNTA($A39:$M39)=0,"",IF(OR(LOWER($F39&amp;"")="subscription",LOWER($F39&amp;"")="membership"),"",IF(LOWER($L39&amp;"")="yes",0,IF($K39&lt;&gt;"",$K39,IF($O39&lt;&gt;"",$O39,"")))))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IF(COUNTA($A39:$M39)=0,"",IF(OR(LOWER($F39&amp;"")="subscription",LOWER($F39&amp;"")="membership"),"Subscription",IF(OR(AND($H39&lt;&gt;"",$H39=0),LOWER($F39&amp;"")="free game",LOWER($F39&amp;"")="free",LOWER($F39&amp;"")="free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986"/>
      <x:c r="H40" s="455"/>
      <x:c r="I40" s="456"/>
      <x:c r="J40" s="456"/>
      <x:c r="K40" s="986"/>
      <x:c r="L40" s="454"/>
      <x:c r="M40" s="439"/>
      <x:c r="N40" s="987" t="str">
        <x:f>IF(COUNTA($A40:$M40)=0,"",IF(OR(LOWER($F40&amp;"")="subscription",LOWER($F40&amp;"")="membership"),"",IF($G40="","",IF(ISNUMBER(SEARCH("non",LOWER($E40&amp;""))),$G40*0.85,$G40))))</x:f>
      </x:c>
      <x:c r="O40" s="987" t="str">
        <x:f>IF(COUNTA($A40:$M40)=0,"",IF(OR(LOWER($F40&amp;"")="subscription",LOWER($F40&amp;"")="membership"),"",IF(OR($N40="",$I40="",$I40=0),"",IFERROR($N40/$I40,""))))</x:f>
      </x:c>
      <x:c r="P40" s="987" t="str">
        <x:f>IF(COUNTA($A40:$M40)=0,"",IF(OR(LOWER($F40&amp;"")="subscription",LOWER($F40&amp;"")="membership"),"",IF(LOWER($L40&amp;"")="yes",0,IF($K40&lt;&gt;"",$K40,IF($O40&lt;&gt;"",$O40,"")))))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IF(COUNTA($A40:$M40)=0,"",IF(OR(LOWER($F40&amp;"")="subscription",LOWER($F40&amp;"")="membership"),"Subscription",IF(OR(AND($H40&lt;&gt;"",$H40=0),LOWER($F40&amp;"")="free game",LOWER($F40&amp;"")="free",LOWER($F40&amp;"")="free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986"/>
      <x:c r="H41" s="455"/>
      <x:c r="I41" s="456"/>
      <x:c r="J41" s="456"/>
      <x:c r="K41" s="986"/>
      <x:c r="L41" s="454"/>
      <x:c r="M41" s="439"/>
      <x:c r="N41" s="987" t="str">
        <x:f>IF(COUNTA($A41:$M41)=0,"",IF(OR(LOWER($F41&amp;"")="subscription",LOWER($F41&amp;"")="membership"),"",IF($G41="","",IF(ISNUMBER(SEARCH("non",LOWER($E41&amp;""))),$G41*0.85,$G41))))</x:f>
      </x:c>
      <x:c r="O41" s="987" t="str">
        <x:f>IF(COUNTA($A41:$M41)=0,"",IF(OR(LOWER($F41&amp;"")="subscription",LOWER($F41&amp;"")="membership"),"",IF(OR($N41="",$I41="",$I41=0),"",IFERROR($N41/$I41,""))))</x:f>
      </x:c>
      <x:c r="P41" s="987" t="str">
        <x:f>IF(COUNTA($A41:$M41)=0,"",IF(OR(LOWER($F41&amp;"")="subscription",LOWER($F41&amp;"")="membership"),"",IF(LOWER($L41&amp;"")="yes",0,IF($K41&lt;&gt;"",$K41,IF($O41&lt;&gt;"",$O41,"")))))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IF(COUNTA($A41:$M41)=0,"",IF(OR(LOWER($F41&amp;"")="subscription",LOWER($F41&amp;"")="membership"),"Subscription",IF(OR(AND($H41&lt;&gt;"",$H41=0),LOWER($F41&amp;"")="free game",LOWER($F41&amp;"")="free",LOWER($F41&amp;"")="free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986"/>
      <x:c r="H42" s="455"/>
      <x:c r="I42" s="456"/>
      <x:c r="J42" s="456"/>
      <x:c r="K42" s="986"/>
      <x:c r="L42" s="454"/>
      <x:c r="M42" s="439"/>
      <x:c r="N42" s="987" t="str">
        <x:f>IF(COUNTA($A42:$M42)=0,"",IF(OR(LOWER($F42&amp;"")="subscription",LOWER($F42&amp;"")="membership"),"",IF($G42="","",IF(ISNUMBER(SEARCH("non",LOWER($E42&amp;""))),$G42*0.85,$G42))))</x:f>
      </x:c>
      <x:c r="O42" s="987" t="str">
        <x:f>IF(COUNTA($A42:$M42)=0,"",IF(OR(LOWER($F42&amp;"")="subscription",LOWER($F42&amp;"")="membership"),"",IF(OR($N42="",$I42="",$I42=0),"",IFERROR($N42/$I42,""))))</x:f>
      </x:c>
      <x:c r="P42" s="987" t="str">
        <x:f>IF(COUNTA($A42:$M42)=0,"",IF(OR(LOWER($F42&amp;"")="subscription",LOWER($F42&amp;"")="membership"),"",IF(LOWER($L42&amp;"")="yes",0,IF($K42&lt;&gt;"",$K42,IF($O42&lt;&gt;"",$O42,"")))))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IF(COUNTA($A42:$M42)=0,"",IF(OR(LOWER($F42&amp;"")="subscription",LOWER($F42&amp;"")="membership"),"Subscription",IF(OR(AND($H42&lt;&gt;"",$H42=0),LOWER($F42&amp;"")="free game",LOWER($F42&amp;"")="free",LOWER($F42&amp;"")="free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986"/>
      <x:c r="H43" s="455"/>
      <x:c r="I43" s="456"/>
      <x:c r="J43" s="456"/>
      <x:c r="K43" s="986"/>
      <x:c r="L43" s="454"/>
      <x:c r="M43" s="439"/>
      <x:c r="N43" s="987" t="str">
        <x:f>IF(COUNTA($A43:$M43)=0,"",IF(OR(LOWER($F43&amp;"")="subscription",LOWER($F43&amp;"")="membership"),"",IF($G43="","",IF(ISNUMBER(SEARCH("non",LOWER($E43&amp;""))),$G43*0.85,$G43))))</x:f>
      </x:c>
      <x:c r="O43" s="987" t="str">
        <x:f>IF(COUNTA($A43:$M43)=0,"",IF(OR(LOWER($F43&amp;"")="subscription",LOWER($F43&amp;"")="membership"),"",IF(OR($N43="",$I43="",$I43=0),"",IFERROR($N43/$I43,""))))</x:f>
      </x:c>
      <x:c r="P43" s="987" t="str">
        <x:f>IF(COUNTA($A43:$M43)=0,"",IF(OR(LOWER($F43&amp;"")="subscription",LOWER($F43&amp;"")="membership"),"",IF(LOWER($L43&amp;"")="yes",0,IF($K43&lt;&gt;"",$K43,IF($O43&lt;&gt;"",$O43,"")))))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IF(COUNTA($A43:$M43)=0,"",IF(OR(LOWER($F43&amp;"")="subscription",LOWER($F43&amp;"")="membership"),"Subscription",IF(OR(AND($H43&lt;&gt;"",$H43=0),LOWER($F43&amp;"")="free game",LOWER($F43&amp;"")="free",LOWER($F43&amp;"")="free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986"/>
      <x:c r="H44" s="455"/>
      <x:c r="I44" s="456"/>
      <x:c r="J44" s="456"/>
      <x:c r="K44" s="986"/>
      <x:c r="L44" s="454"/>
      <x:c r="M44" s="439"/>
      <x:c r="N44" s="987" t="str">
        <x:f>IF(COUNTA($A44:$M44)=0,"",IF(OR(LOWER($F44&amp;"")="subscription",LOWER($F44&amp;"")="membership"),"",IF($G44="","",IF(ISNUMBER(SEARCH("non",LOWER($E44&amp;""))),$G44*0.85,$G44))))</x:f>
      </x:c>
      <x:c r="O44" s="987" t="str">
        <x:f>IF(COUNTA($A44:$M44)=0,"",IF(OR(LOWER($F44&amp;"")="subscription",LOWER($F44&amp;"")="membership"),"",IF(OR($N44="",$I44="",$I44=0),"",IFERROR($N44/$I44,""))))</x:f>
      </x:c>
      <x:c r="P44" s="987" t="str">
        <x:f>IF(COUNTA($A44:$M44)=0,"",IF(OR(LOWER($F44&amp;"")="subscription",LOWER($F44&amp;"")="membership"),"",IF(LOWER($L44&amp;"")="yes",0,IF($K44&lt;&gt;"",$K44,IF($O44&lt;&gt;"",$O44,"")))))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IF(COUNTA($A44:$M44)=0,"",IF(OR(LOWER($F44&amp;"")="subscription",LOWER($F44&amp;"")="membership"),"Subscription",IF(OR(AND($H44&lt;&gt;"",$H44=0),LOWER($F44&amp;"")="free game",LOWER($F44&amp;"")="free",LOWER($F44&amp;"")="free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986"/>
      <x:c r="H45" s="455"/>
      <x:c r="I45" s="456"/>
      <x:c r="J45" s="456"/>
      <x:c r="K45" s="986"/>
      <x:c r="L45" s="454"/>
      <x:c r="M45" s="439"/>
      <x:c r="N45" s="987" t="str">
        <x:f>IF(COUNTA($A45:$M45)=0,"",IF(OR(LOWER($F45&amp;"")="subscription",LOWER($F45&amp;"")="membership"),"",IF($G45="","",IF(ISNUMBER(SEARCH("non",LOWER($E45&amp;""))),$G45*0.85,$G45))))</x:f>
      </x:c>
      <x:c r="O45" s="987" t="str">
        <x:f>IF(COUNTA($A45:$M45)=0,"",IF(OR(LOWER($F45&amp;"")="subscription",LOWER($F45&amp;"")="membership"),"",IF(OR($N45="",$I45="",$I45=0),"",IFERROR($N45/$I45,""))))</x:f>
      </x:c>
      <x:c r="P45" s="987" t="str">
        <x:f>IF(COUNTA($A45:$M45)=0,"",IF(OR(LOWER($F45&amp;"")="subscription",LOWER($F45&amp;"")="membership"),"",IF(LOWER($L45&amp;"")="yes",0,IF($K45&lt;&gt;"",$K45,IF($O45&lt;&gt;"",$O45,"")))))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IF(COUNTA($A45:$M45)=0,"",IF(OR(LOWER($F45&amp;"")="subscription",LOWER($F45&amp;"")="membership"),"Subscription",IF(OR(AND($H45&lt;&gt;"",$H45=0),LOWER($F45&amp;"")="free game",LOWER($F45&amp;"")="free",LOWER($F45&amp;"")="free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986"/>
      <x:c r="H46" s="455"/>
      <x:c r="I46" s="456"/>
      <x:c r="J46" s="456"/>
      <x:c r="K46" s="986"/>
      <x:c r="L46" s="454"/>
      <x:c r="M46" s="439"/>
      <x:c r="N46" s="987" t="str">
        <x:f>IF(COUNTA($A46:$M46)=0,"",IF(OR(LOWER($F46&amp;"")="subscription",LOWER($F46&amp;"")="membership"),"",IF($G46="","",IF(ISNUMBER(SEARCH("non",LOWER($E46&amp;""))),$G46*0.85,$G46))))</x:f>
      </x:c>
      <x:c r="O46" s="987" t="str">
        <x:f>IF(COUNTA($A46:$M46)=0,"",IF(OR(LOWER($F46&amp;"")="subscription",LOWER($F46&amp;"")="membership"),"",IF(OR($N46="",$I46="",$I46=0),"",IFERROR($N46/$I46,""))))</x:f>
      </x:c>
      <x:c r="P46" s="987" t="str">
        <x:f>IF(COUNTA($A46:$M46)=0,"",IF(OR(LOWER($F46&amp;"")="subscription",LOWER($F46&amp;"")="membership"),"",IF(LOWER($L46&amp;"")="yes",0,IF($K46&lt;&gt;"",$K46,IF($O46&lt;&gt;"",$O46,"")))))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IF(COUNTA($A46:$M46)=0,"",IF(OR(LOWER($F46&amp;"")="subscription",LOWER($F46&amp;"")="membership"),"Subscription",IF(OR(AND($H46&lt;&gt;"",$H46=0),LOWER($F46&amp;"")="free game",LOWER($F46&amp;"")="free",LOWER($F46&amp;"")="free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986"/>
      <x:c r="H47" s="455"/>
      <x:c r="I47" s="456"/>
      <x:c r="J47" s="456"/>
      <x:c r="K47" s="986"/>
      <x:c r="L47" s="454"/>
      <x:c r="M47" s="439"/>
      <x:c r="N47" s="987" t="str">
        <x:f>IF(COUNTA($A47:$M47)=0,"",IF(OR(LOWER($F47&amp;"")="subscription",LOWER($F47&amp;"")="membership"),"",IF($G47="","",IF(ISNUMBER(SEARCH("non",LOWER($E47&amp;""))),$G47*0.85,$G47))))</x:f>
      </x:c>
      <x:c r="O47" s="987" t="str">
        <x:f>IF(COUNTA($A47:$M47)=0,"",IF(OR(LOWER($F47&amp;"")="subscription",LOWER($F47&amp;"")="membership"),"",IF(OR($N47="",$I47="",$I47=0),"",IFERROR($N47/$I47,""))))</x:f>
      </x:c>
      <x:c r="P47" s="987" t="str">
        <x:f>IF(COUNTA($A47:$M47)=0,"",IF(OR(LOWER($F47&amp;"")="subscription",LOWER($F47&amp;"")="membership"),"",IF(LOWER($L47&amp;"")="yes",0,IF($K47&lt;&gt;"",$K47,IF($O47&lt;&gt;"",$O47,"")))))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IF(COUNTA($A47:$M47)=0,"",IF(OR(LOWER($F47&amp;"")="subscription",LOWER($F47&amp;"")="membership"),"Subscription",IF(OR(AND($H47&lt;&gt;"",$H47=0),LOWER($F47&amp;"")="free game",LOWER($F47&amp;"")="free",LOWER($F47&amp;"")="free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986"/>
      <x:c r="H48" s="455"/>
      <x:c r="I48" s="456"/>
      <x:c r="J48" s="456"/>
      <x:c r="K48" s="986"/>
      <x:c r="L48" s="454"/>
      <x:c r="M48" s="439"/>
      <x:c r="N48" s="987" t="str">
        <x:f>IF(COUNTA($A48:$M48)=0,"",IF(OR(LOWER($F48&amp;"")="subscription",LOWER($F48&amp;"")="membership"),"",IF($G48="","",IF(ISNUMBER(SEARCH("non",LOWER($E48&amp;""))),$G48*0.85,$G48))))</x:f>
      </x:c>
      <x:c r="O48" s="987" t="str">
        <x:f>IF(COUNTA($A48:$M48)=0,"",IF(OR(LOWER($F48&amp;"")="subscription",LOWER($F48&amp;"")="membership"),"",IF(OR($N48="",$I48="",$I48=0),"",IFERROR($N48/$I48,""))))</x:f>
      </x:c>
      <x:c r="P48" s="987" t="str">
        <x:f>IF(COUNTA($A48:$M48)=0,"",IF(OR(LOWER($F48&amp;"")="subscription",LOWER($F48&amp;"")="membership"),"",IF(LOWER($L48&amp;"")="yes",0,IF($K48&lt;&gt;"",$K48,IF($O48&lt;&gt;"",$O48,"")))))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IF(COUNTA($A48:$M48)=0,"",IF(OR(LOWER($F48&amp;"")="subscription",LOWER($F48&amp;"")="membership"),"Subscription",IF(OR(AND($H48&lt;&gt;"",$H48=0),LOWER($F48&amp;"")="free game",LOWER($F48&amp;"")="free",LOWER($F48&amp;"")="free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986"/>
      <x:c r="H49" s="455"/>
      <x:c r="I49" s="456"/>
      <x:c r="J49" s="456"/>
      <x:c r="K49" s="986"/>
      <x:c r="L49" s="454"/>
      <x:c r="M49" s="439"/>
      <x:c r="N49" s="987" t="str">
        <x:f>IF(COUNTA($A49:$M49)=0,"",IF(OR(LOWER($F49&amp;"")="subscription",LOWER($F49&amp;"")="membership"),"",IF($G49="","",IF(ISNUMBER(SEARCH("non",LOWER($E49&amp;""))),$G49*0.85,$G49))))</x:f>
      </x:c>
      <x:c r="O49" s="987" t="str">
        <x:f>IF(COUNTA($A49:$M49)=0,"",IF(OR(LOWER($F49&amp;"")="subscription",LOWER($F49&amp;"")="membership"),"",IF(OR($N49="",$I49="",$I49=0),"",IFERROR($N49/$I49,""))))</x:f>
      </x:c>
      <x:c r="P49" s="987" t="str">
        <x:f>IF(COUNTA($A49:$M49)=0,"",IF(OR(LOWER($F49&amp;"")="subscription",LOWER($F49&amp;"")="membership"),"",IF(LOWER($L49&amp;"")="yes",0,IF($K49&lt;&gt;"",$K49,IF($O49&lt;&gt;"",$O49,"")))))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IF(COUNTA($A49:$M49)=0,"",IF(OR(LOWER($F49&amp;"")="subscription",LOWER($F49&amp;"")="membership"),"Subscription",IF(OR(AND($H49&lt;&gt;"",$H49=0),LOWER($F49&amp;"")="free game",LOWER($F49&amp;"")="free",LOWER($F49&amp;"")="free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986"/>
      <x:c r="H50" s="455"/>
      <x:c r="I50" s="456"/>
      <x:c r="J50" s="456"/>
      <x:c r="K50" s="986"/>
      <x:c r="L50" s="454"/>
      <x:c r="M50" s="439"/>
      <x:c r="N50" s="987" t="str">
        <x:f>IF(COUNTA($A50:$M50)=0,"",IF(OR(LOWER($F50&amp;"")="subscription",LOWER($F50&amp;"")="membership"),"",IF($G50="","",IF(ISNUMBER(SEARCH("non",LOWER($E50&amp;""))),$G50*0.85,$G50))))</x:f>
      </x:c>
      <x:c r="O50" s="987" t="str">
        <x:f>IF(COUNTA($A50:$M50)=0,"",IF(OR(LOWER($F50&amp;"")="subscription",LOWER($F50&amp;"")="membership"),"",IF(OR($N50="",$I50="",$I50=0),"",IFERROR($N50/$I50,""))))</x:f>
      </x:c>
      <x:c r="P50" s="987" t="str">
        <x:f>IF(COUNTA($A50:$M50)=0,"",IF(OR(LOWER($F50&amp;"")="subscription",LOWER($F50&amp;"")="membership"),"",IF(LOWER($L50&amp;"")="yes",0,IF($K50&lt;&gt;"",$K50,IF($O50&lt;&gt;"",$O50,"")))))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IF(COUNTA($A50:$M50)=0,"",IF(OR(LOWER($F50&amp;"")="subscription",LOWER($F50&amp;"")="membership"),"Subscription",IF(OR(AND($H50&lt;&gt;"",$H50=0),LOWER($F50&amp;"")="free game",LOWER($F50&amp;"")="free",LOWER($F50&amp;"")="free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986"/>
      <x:c r="H51" s="455"/>
      <x:c r="I51" s="456"/>
      <x:c r="J51" s="456"/>
      <x:c r="K51" s="986"/>
      <x:c r="L51" s="454"/>
      <x:c r="M51" s="439"/>
      <x:c r="N51" s="987" t="str">
        <x:f>IF(COUNTA($A51:$M51)=0,"",IF(OR(LOWER($F51&amp;"")="subscription",LOWER($F51&amp;"")="membership"),"",IF($G51="","",IF(ISNUMBER(SEARCH("non",LOWER($E51&amp;""))),$G51*0.85,$G51))))</x:f>
      </x:c>
      <x:c r="O51" s="987" t="str">
        <x:f>IF(COUNTA($A51:$M51)=0,"",IF(OR(LOWER($F51&amp;"")="subscription",LOWER($F51&amp;"")="membership"),"",IF(OR($N51="",$I51="",$I51=0),"",IFERROR($N51/$I51,""))))</x:f>
      </x:c>
      <x:c r="P51" s="987" t="str">
        <x:f>IF(COUNTA($A51:$M51)=0,"",IF(OR(LOWER($F51&amp;"")="subscription",LOWER($F51&amp;"")="membership"),"",IF(LOWER($L51&amp;"")="yes",0,IF($K51&lt;&gt;"",$K51,IF($O51&lt;&gt;"",$O51,"")))))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IF(COUNTA($A51:$M51)=0,"",IF(OR(LOWER($F51&amp;"")="subscription",LOWER($F51&amp;"")="membership"),"Subscription",IF(OR(AND($H51&lt;&gt;"",$H51=0),LOWER($F51&amp;"")="free game",LOWER($F51&amp;"")="free",LOWER($F51&amp;"")="free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986"/>
      <x:c r="H52" s="455"/>
      <x:c r="I52" s="456"/>
      <x:c r="J52" s="456"/>
      <x:c r="K52" s="986"/>
      <x:c r="L52" s="454"/>
      <x:c r="M52" s="439"/>
      <x:c r="N52" s="987" t="str">
        <x:f>IF(COUNTA($A52:$M52)=0,"",IF(OR(LOWER($F52&amp;"")="subscription",LOWER($F52&amp;"")="membership"),"",IF($G52="","",IF(ISNUMBER(SEARCH("non",LOWER($E52&amp;""))),$G52*0.85,$G52))))</x:f>
      </x:c>
      <x:c r="O52" s="987" t="str">
        <x:f>IF(COUNTA($A52:$M52)=0,"",IF(OR(LOWER($F52&amp;"")="subscription",LOWER($F52&amp;"")="membership"),"",IF(OR($N52="",$I52="",$I52=0),"",IFERROR($N52/$I52,""))))</x:f>
      </x:c>
      <x:c r="P52" s="987" t="str">
        <x:f>IF(COUNTA($A52:$M52)=0,"",IF(OR(LOWER($F52&amp;"")="subscription",LOWER($F52&amp;"")="membership"),"",IF(LOWER($L52&amp;"")="yes",0,IF($K52&lt;&gt;"",$K52,IF($O52&lt;&gt;"",$O52,"")))))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IF(COUNTA($A52:$M52)=0,"",IF(OR(LOWER($F52&amp;"")="subscription",LOWER($F52&amp;"")="membership"),"Subscription",IF(OR(AND($H52&lt;&gt;"",$H52=0),LOWER($F52&amp;"")="free game",LOWER($F52&amp;"")="free",LOWER($F52&amp;"")="free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986"/>
      <x:c r="H53" s="455"/>
      <x:c r="I53" s="456"/>
      <x:c r="J53" s="456"/>
      <x:c r="K53" s="986"/>
      <x:c r="L53" s="454"/>
      <x:c r="M53" s="439"/>
      <x:c r="N53" s="987" t="str">
        <x:f>IF(COUNTA($A53:$M53)=0,"",IF(OR(LOWER($F53&amp;"")="subscription",LOWER($F53&amp;"")="membership"),"",IF($G53="","",IF(ISNUMBER(SEARCH("non",LOWER($E53&amp;""))),$G53*0.85,$G53))))</x:f>
      </x:c>
      <x:c r="O53" s="987" t="str">
        <x:f>IF(COUNTA($A53:$M53)=0,"",IF(OR(LOWER($F53&amp;"")="subscription",LOWER($F53&amp;"")="membership"),"",IF(OR($N53="",$I53="",$I53=0),"",IFERROR($N53/$I53,""))))</x:f>
      </x:c>
      <x:c r="P53" s="987" t="str">
        <x:f>IF(COUNTA($A53:$M53)=0,"",IF(OR(LOWER($F53&amp;"")="subscription",LOWER($F53&amp;"")="membership"),"",IF(LOWER($L53&amp;"")="yes",0,IF($K53&lt;&gt;"",$K53,IF($O53&lt;&gt;"",$O53,"")))))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IF(COUNTA($A53:$M53)=0,"",IF(OR(LOWER($F53&amp;"")="subscription",LOWER($F53&amp;"")="membership"),"Subscription",IF(OR(AND($H53&lt;&gt;"",$H53=0),LOWER($F53&amp;"")="free game",LOWER($F53&amp;"")="free",LOWER($F53&amp;"")="free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986"/>
      <x:c r="H54" s="455"/>
      <x:c r="I54" s="456"/>
      <x:c r="J54" s="456"/>
      <x:c r="K54" s="986"/>
      <x:c r="L54" s="454"/>
      <x:c r="M54" s="439"/>
      <x:c r="N54" s="987" t="str">
        <x:f>IF(COUNTA($A54:$M54)=0,"",IF(OR(LOWER($F54&amp;"")="subscription",LOWER($F54&amp;"")="membership"),"",IF($G54="","",IF(ISNUMBER(SEARCH("non",LOWER($E54&amp;""))),$G54*0.85,$G54))))</x:f>
      </x:c>
      <x:c r="O54" s="987" t="str">
        <x:f>IF(COUNTA($A54:$M54)=0,"",IF(OR(LOWER($F54&amp;"")="subscription",LOWER($F54&amp;"")="membership"),"",IF(OR($N54="",$I54="",$I54=0),"",IFERROR($N54/$I54,""))))</x:f>
      </x:c>
      <x:c r="P54" s="987" t="str">
        <x:f>IF(COUNTA($A54:$M54)=0,"",IF(OR(LOWER($F54&amp;"")="subscription",LOWER($F54&amp;"")="membership"),"",IF(LOWER($L54&amp;"")="yes",0,IF($K54&lt;&gt;"",$K54,IF($O54&lt;&gt;"",$O54,"")))))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IF(COUNTA($A54:$M54)=0,"",IF(OR(LOWER($F54&amp;"")="subscription",LOWER($F54&amp;"")="membership"),"Subscription",IF(OR(AND($H54&lt;&gt;"",$H54=0),LOWER($F54&amp;"")="free game",LOWER($F54&amp;"")="free",LOWER($F54&amp;"")="free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986"/>
      <x:c r="H55" s="455"/>
      <x:c r="I55" s="456"/>
      <x:c r="J55" s="456"/>
      <x:c r="K55" s="986"/>
      <x:c r="L55" s="454"/>
      <x:c r="M55" s="439"/>
      <x:c r="N55" s="987" t="str">
        <x:f>IF(COUNTA($A55:$M55)=0,"",IF(OR(LOWER($F55&amp;"")="subscription",LOWER($F55&amp;"")="membership"),"",IF($G55="","",IF(ISNUMBER(SEARCH("non",LOWER($E55&amp;""))),$G55*0.85,$G55))))</x:f>
      </x:c>
      <x:c r="O55" s="987" t="str">
        <x:f>IF(COUNTA($A55:$M55)=0,"",IF(OR(LOWER($F55&amp;"")="subscription",LOWER($F55&amp;"")="membership"),"",IF(OR($N55="",$I55="",$I55=0),"",IFERROR($N55/$I55,""))))</x:f>
      </x:c>
      <x:c r="P55" s="987" t="str">
        <x:f>IF(COUNTA($A55:$M55)=0,"",IF(OR(LOWER($F55&amp;"")="subscription",LOWER($F55&amp;"")="membership"),"",IF(LOWER($L55&amp;"")="yes",0,IF($K55&lt;&gt;"",$K55,IF($O55&lt;&gt;"",$O55,"")))))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IF(COUNTA($A55:$M55)=0,"",IF(OR(LOWER($F55&amp;"")="subscription",LOWER($F55&amp;"")="membership"),"Subscription",IF(OR(AND($H55&lt;&gt;"",$H55=0),LOWER($F55&amp;"")="free game",LOWER($F55&amp;"")="free",LOWER($F55&amp;"")="free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986"/>
      <x:c r="H56" s="455"/>
      <x:c r="I56" s="456"/>
      <x:c r="J56" s="456"/>
      <x:c r="K56" s="986"/>
      <x:c r="L56" s="454"/>
      <x:c r="M56" s="439"/>
      <x:c r="N56" s="987" t="str">
        <x:f>IF(COUNTA($A56:$M56)=0,"",IF(OR(LOWER($F56&amp;"")="subscription",LOWER($F56&amp;"")="membership"),"",IF($G56="","",IF(ISNUMBER(SEARCH("non",LOWER($E56&amp;""))),$G56*0.85,$G56))))</x:f>
      </x:c>
      <x:c r="O56" s="987" t="str">
        <x:f>IF(COUNTA($A56:$M56)=0,"",IF(OR(LOWER($F56&amp;"")="subscription",LOWER($F56&amp;"")="membership"),"",IF(OR($N56="",$I56="",$I56=0),"",IFERROR($N56/$I56,""))))</x:f>
      </x:c>
      <x:c r="P56" s="987" t="str">
        <x:f>IF(COUNTA($A56:$M56)=0,"",IF(OR(LOWER($F56&amp;"")="subscription",LOWER($F56&amp;"")="membership"),"",IF(LOWER($L56&amp;"")="yes",0,IF($K56&lt;&gt;"",$K56,IF($O56&lt;&gt;"",$O56,"")))))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IF(COUNTA($A56:$M56)=0,"",IF(OR(LOWER($F56&amp;"")="subscription",LOWER($F56&amp;"")="membership"),"Subscription",IF(OR(AND($H56&lt;&gt;"",$H56=0),LOWER($F56&amp;"")="free game",LOWER($F56&amp;"")="free",LOWER($F56&amp;"")="free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986"/>
      <x:c r="H57" s="455"/>
      <x:c r="I57" s="456"/>
      <x:c r="J57" s="456"/>
      <x:c r="K57" s="986"/>
      <x:c r="L57" s="454"/>
      <x:c r="M57" s="439"/>
      <x:c r="N57" s="987" t="str">
        <x:f>IF(COUNTA($A57:$M57)=0,"",IF(OR(LOWER($F57&amp;"")="subscription",LOWER($F57&amp;"")="membership"),"",IF($G57="","",IF(ISNUMBER(SEARCH("non",LOWER($E57&amp;""))),$G57*0.85,$G57))))</x:f>
      </x:c>
      <x:c r="O57" s="987" t="str">
        <x:f>IF(COUNTA($A57:$M57)=0,"",IF(OR(LOWER($F57&amp;"")="subscription",LOWER($F57&amp;"")="membership"),"",IF(OR($N57="",$I57="",$I57=0),"",IFERROR($N57/$I57,""))))</x:f>
      </x:c>
      <x:c r="P57" s="987" t="str">
        <x:f>IF(COUNTA($A57:$M57)=0,"",IF(OR(LOWER($F57&amp;"")="subscription",LOWER($F57&amp;"")="membership"),"",IF(LOWER($L57&amp;"")="yes",0,IF($K57&lt;&gt;"",$K57,IF($O57&lt;&gt;"",$O57,"")))))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IF(COUNTA($A57:$M57)=0,"",IF(OR(LOWER($F57&amp;"")="subscription",LOWER($F57&amp;"")="membership"),"Subscription",IF(OR(AND($H57&lt;&gt;"",$H57=0),LOWER($F57&amp;"")="free game",LOWER($F57&amp;"")="free",LOWER($F57&amp;"")="free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986"/>
      <x:c r="H58" s="455"/>
      <x:c r="I58" s="456"/>
      <x:c r="J58" s="456"/>
      <x:c r="K58" s="986"/>
      <x:c r="L58" s="454"/>
      <x:c r="M58" s="439"/>
      <x:c r="N58" s="987" t="str">
        <x:f>IF(COUNTA($A58:$M58)=0,"",IF(OR(LOWER($F58&amp;"")="subscription",LOWER($F58&amp;"")="membership"),"",IF($G58="","",IF(ISNUMBER(SEARCH("non",LOWER($E58&amp;""))),$G58*0.85,$G58))))</x:f>
      </x:c>
      <x:c r="O58" s="987" t="str">
        <x:f>IF(COUNTA($A58:$M58)=0,"",IF(OR(LOWER($F58&amp;"")="subscription",LOWER($F58&amp;"")="membership"),"",IF(OR($N58="",$I58="",$I58=0),"",IFERROR($N58/$I58,""))))</x:f>
      </x:c>
      <x:c r="P58" s="987" t="str">
        <x:f>IF(COUNTA($A58:$M58)=0,"",IF(OR(LOWER($F58&amp;"")="subscription",LOWER($F58&amp;"")="membership"),"",IF(LOWER($L58&amp;"")="yes",0,IF($K58&lt;&gt;"",$K58,IF($O58&lt;&gt;"",$O58,"")))))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IF(COUNTA($A58:$M58)=0,"",IF(OR(LOWER($F58&amp;"")="subscription",LOWER($F58&amp;"")="membership"),"Subscription",IF(OR(AND($H58&lt;&gt;"",$H58=0),LOWER($F58&amp;"")="free game",LOWER($F58&amp;"")="free",LOWER($F58&amp;"")="free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986"/>
      <x:c r="H59" s="455"/>
      <x:c r="I59" s="456"/>
      <x:c r="J59" s="456"/>
      <x:c r="K59" s="986"/>
      <x:c r="L59" s="454"/>
      <x:c r="M59" s="439"/>
      <x:c r="N59" s="987" t="str">
        <x:f>IF(COUNTA($A59:$M59)=0,"",IF(OR(LOWER($F59&amp;"")="subscription",LOWER($F59&amp;"")="membership"),"",IF($G59="","",IF(ISNUMBER(SEARCH("non",LOWER($E59&amp;""))),$G59*0.85,$G59))))</x:f>
      </x:c>
      <x:c r="O59" s="987" t="str">
        <x:f>IF(COUNTA($A59:$M59)=0,"",IF(OR(LOWER($F59&amp;"")="subscription",LOWER($F59&amp;"")="membership"),"",IF(OR($N59="",$I59="",$I59=0),"",IFERROR($N59/$I59,""))))</x:f>
      </x:c>
      <x:c r="P59" s="987" t="str">
        <x:f>IF(COUNTA($A59:$M59)=0,"",IF(OR(LOWER($F59&amp;"")="subscription",LOWER($F59&amp;"")="membership"),"",IF(LOWER($L59&amp;"")="yes",0,IF($K59&lt;&gt;"",$K59,IF($O59&lt;&gt;"",$O59,"")))))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IF(COUNTA($A59:$M59)=0,"",IF(OR(LOWER($F59&amp;"")="subscription",LOWER($F59&amp;"")="membership"),"Subscription",IF(OR(AND($H59&lt;&gt;"",$H59=0),LOWER($F59&amp;"")="free game",LOWER($F59&amp;"")="free",LOWER($F59&amp;"")="free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986"/>
      <x:c r="H60" s="455"/>
      <x:c r="I60" s="456"/>
      <x:c r="J60" s="456"/>
      <x:c r="K60" s="986"/>
      <x:c r="L60" s="454"/>
      <x:c r="M60" s="439"/>
      <x:c r="N60" s="987" t="str">
        <x:f>IF(COUNTA($A60:$M60)=0,"",IF(OR(LOWER($F60&amp;"")="subscription",LOWER($F60&amp;"")="membership"),"",IF($G60="","",IF(ISNUMBER(SEARCH("non",LOWER($E60&amp;""))),$G60*0.85,$G60))))</x:f>
      </x:c>
      <x:c r="O60" s="987" t="str">
        <x:f>IF(COUNTA($A60:$M60)=0,"",IF(OR(LOWER($F60&amp;"")="subscription",LOWER($F60&amp;"")="membership"),"",IF(OR($N60="",$I60="",$I60=0),"",IFERROR($N60/$I60,""))))</x:f>
      </x:c>
      <x:c r="P60" s="987" t="str">
        <x:f>IF(COUNTA($A60:$M60)=0,"",IF(OR(LOWER($F60&amp;"")="subscription",LOWER($F60&amp;"")="membership"),"",IF(LOWER($L60&amp;"")="yes",0,IF($K60&lt;&gt;"",$K60,IF($O60&lt;&gt;"",$O60,"")))))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IF(COUNTA($A60:$M60)=0,"",IF(OR(LOWER($F60&amp;"")="subscription",LOWER($F60&amp;"")="membership"),"Subscription",IF(OR(AND($H60&lt;&gt;"",$H60=0),LOWER($F60&amp;"")="free game",LOWER($F60&amp;"")="free",LOWER($F60&amp;"")="free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986"/>
      <x:c r="H61" s="455"/>
      <x:c r="I61" s="456"/>
      <x:c r="J61" s="456"/>
      <x:c r="K61" s="986"/>
      <x:c r="L61" s="454"/>
      <x:c r="M61" s="439"/>
      <x:c r="N61" s="987" t="str">
        <x:f>IF(COUNTA($A61:$M61)=0,"",IF(OR(LOWER($F61&amp;"")="subscription",LOWER($F61&amp;"")="membership"),"",IF($G61="","",IF(ISNUMBER(SEARCH("non",LOWER($E61&amp;""))),$G61*0.85,$G61))))</x:f>
      </x:c>
      <x:c r="O61" s="987" t="str">
        <x:f>IF(COUNTA($A61:$M61)=0,"",IF(OR(LOWER($F61&amp;"")="subscription",LOWER($F61&amp;"")="membership"),"",IF(OR($N61="",$I61="",$I61=0),"",IFERROR($N61/$I61,""))))</x:f>
      </x:c>
      <x:c r="P61" s="987" t="str">
        <x:f>IF(COUNTA($A61:$M61)=0,"",IF(OR(LOWER($F61&amp;"")="subscription",LOWER($F61&amp;"")="membership"),"",IF(LOWER($L61&amp;"")="yes",0,IF($K61&lt;&gt;"",$K61,IF($O61&lt;&gt;"",$O61,"")))))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IF(COUNTA($A61:$M61)=0,"",IF(OR(LOWER($F61&amp;"")="subscription",LOWER($F61&amp;"")="membership"),"Subscription",IF(OR(AND($H61&lt;&gt;"",$H61=0),LOWER($F61&amp;"")="free game",LOWER($F61&amp;"")="free",LOWER($F61&amp;"")="free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986"/>
      <x:c r="H62" s="455"/>
      <x:c r="I62" s="456"/>
      <x:c r="J62" s="456"/>
      <x:c r="K62" s="986"/>
      <x:c r="L62" s="454"/>
      <x:c r="M62" s="439"/>
      <x:c r="N62" s="987" t="str">
        <x:f>IF(COUNTA($A62:$M62)=0,"",IF(OR(LOWER($F62&amp;"")="subscription",LOWER($F62&amp;"")="membership"),"",IF($G62="","",IF(ISNUMBER(SEARCH("non",LOWER($E62&amp;""))),$G62*0.85,$G62))))</x:f>
      </x:c>
      <x:c r="O62" s="987" t="str">
        <x:f>IF(COUNTA($A62:$M62)=0,"",IF(OR(LOWER($F62&amp;"")="subscription",LOWER($F62&amp;"")="membership"),"",IF(OR($N62="",$I62="",$I62=0),"",IFERROR($N62/$I62,""))))</x:f>
      </x:c>
      <x:c r="P62" s="987" t="str">
        <x:f>IF(COUNTA($A62:$M62)=0,"",IF(OR(LOWER($F62&amp;"")="subscription",LOWER($F62&amp;"")="membership"),"",IF(LOWER($L62&amp;"")="yes",0,IF($K62&lt;&gt;"",$K62,IF($O62&lt;&gt;"",$O62,"")))))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IF(COUNTA($A62:$M62)=0,"",IF(OR(LOWER($F62&amp;"")="subscription",LOWER($F62&amp;"")="membership"),"Subscription",IF(OR(AND($H62&lt;&gt;"",$H62=0),LOWER($F62&amp;"")="free game",LOWER($F62&amp;"")="free",LOWER($F62&amp;"")="free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986"/>
      <x:c r="H63" s="455"/>
      <x:c r="I63" s="456"/>
      <x:c r="J63" s="456"/>
      <x:c r="K63" s="986"/>
      <x:c r="L63" s="454"/>
      <x:c r="M63" s="439"/>
      <x:c r="N63" s="987" t="str">
        <x:f>IF(COUNTA($A63:$M63)=0,"",IF(OR(LOWER($F63&amp;"")="subscription",LOWER($F63&amp;"")="membership"),"",IF($G63="","",IF(ISNUMBER(SEARCH("non",LOWER($E63&amp;""))),$G63*0.85,$G63))))</x:f>
      </x:c>
      <x:c r="O63" s="987" t="str">
        <x:f>IF(COUNTA($A63:$M63)=0,"",IF(OR(LOWER($F63&amp;"")="subscription",LOWER($F63&amp;"")="membership"),"",IF(OR($N63="",$I63="",$I63=0),"",IFERROR($N63/$I63,""))))</x:f>
      </x:c>
      <x:c r="P63" s="987" t="str">
        <x:f>IF(COUNTA($A63:$M63)=0,"",IF(OR(LOWER($F63&amp;"")="subscription",LOWER($F63&amp;"")="membership"),"",IF(LOWER($L63&amp;"")="yes",0,IF($K63&lt;&gt;"",$K63,IF($O63&lt;&gt;"",$O63,"")))))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IF(COUNTA($A63:$M63)=0,"",IF(OR(LOWER($F63&amp;"")="subscription",LOWER($F63&amp;"")="membership"),"Subscription",IF(OR(AND($H63&lt;&gt;"",$H63=0),LOWER($F63&amp;"")="free game",LOWER($F63&amp;"")="free",LOWER($F63&amp;"")="free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986"/>
      <x:c r="H64" s="455"/>
      <x:c r="I64" s="456"/>
      <x:c r="J64" s="456"/>
      <x:c r="K64" s="986"/>
      <x:c r="L64" s="454"/>
      <x:c r="M64" s="439"/>
      <x:c r="N64" s="987" t="str">
        <x:f>IF(COUNTA($A64:$M64)=0,"",IF(OR(LOWER($F64&amp;"")="subscription",LOWER($F64&amp;"")="membership"),"",IF($G64="","",IF(ISNUMBER(SEARCH("non",LOWER($E64&amp;""))),$G64*0.85,$G64))))</x:f>
      </x:c>
      <x:c r="O64" s="987" t="str">
        <x:f>IF(COUNTA($A64:$M64)=0,"",IF(OR(LOWER($F64&amp;"")="subscription",LOWER($F64&amp;"")="membership"),"",IF(OR($N64="",$I64="",$I64=0),"",IFERROR($N64/$I64,""))))</x:f>
      </x:c>
      <x:c r="P64" s="987" t="str">
        <x:f>IF(COUNTA($A64:$M64)=0,"",IF(OR(LOWER($F64&amp;"")="subscription",LOWER($F64&amp;"")="membership"),"",IF(LOWER($L64&amp;"")="yes",0,IF($K64&lt;&gt;"",$K64,IF($O64&lt;&gt;"",$O64,"")))))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IF(COUNTA($A64:$M64)=0,"",IF(OR(LOWER($F64&amp;"")="subscription",LOWER($F64&amp;"")="membership"),"Subscription",IF(OR(AND($H64&lt;&gt;"",$H64=0),LOWER($F64&amp;"")="free game",LOWER($F64&amp;"")="free",LOWER($F64&amp;"")="free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986"/>
      <x:c r="H65" s="455"/>
      <x:c r="I65" s="456"/>
      <x:c r="J65" s="456"/>
      <x:c r="K65" s="986"/>
      <x:c r="L65" s="454"/>
      <x:c r="M65" s="439"/>
      <x:c r="N65" s="987" t="str">
        <x:f>IF(COUNTA($A65:$M65)=0,"",IF(OR(LOWER($F65&amp;"")="subscription",LOWER($F65&amp;"")="membership"),"",IF($G65="","",IF(ISNUMBER(SEARCH("non",LOWER($E65&amp;""))),$G65*0.85,$G65))))</x:f>
      </x:c>
      <x:c r="O65" s="987" t="str">
        <x:f>IF(COUNTA($A65:$M65)=0,"",IF(OR(LOWER($F65&amp;"")="subscription",LOWER($F65&amp;"")="membership"),"",IF(OR($N65="",$I65="",$I65=0),"",IFERROR($N65/$I65,""))))</x:f>
      </x:c>
      <x:c r="P65" s="987" t="str">
        <x:f>IF(COUNTA($A65:$M65)=0,"",IF(OR(LOWER($F65&amp;"")="subscription",LOWER($F65&amp;"")="membership"),"",IF(LOWER($L65&amp;"")="yes",0,IF($K65&lt;&gt;"",$K65,IF($O65&lt;&gt;"",$O65,"")))))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IF(COUNTA($A65:$M65)=0,"",IF(OR(LOWER($F65&amp;"")="subscription",LOWER($F65&amp;"")="membership"),"Subscription",IF(OR(AND($H65&lt;&gt;"",$H65=0),LOWER($F65&amp;"")="free game",LOWER($F65&amp;"")="free",LOWER($F65&amp;"")="free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986"/>
      <x:c r="H66" s="455"/>
      <x:c r="I66" s="456"/>
      <x:c r="J66" s="456"/>
      <x:c r="K66" s="986"/>
      <x:c r="L66" s="454"/>
      <x:c r="M66" s="439"/>
      <x:c r="N66" s="987" t="str">
        <x:f>IF(COUNTA($A66:$M66)=0,"",IF(OR(LOWER($F66&amp;"")="subscription",LOWER($F66&amp;"")="membership"),"",IF($G66="","",IF(ISNUMBER(SEARCH("non",LOWER($E66&amp;""))),$G66*0.85,$G66))))</x:f>
      </x:c>
      <x:c r="O66" s="987" t="str">
        <x:f>IF(COUNTA($A66:$M66)=0,"",IF(OR(LOWER($F66&amp;"")="subscription",LOWER($F66&amp;"")="membership"),"",IF(OR($N66="",$I66="",$I66=0),"",IFERROR($N66/$I66,""))))</x:f>
      </x:c>
      <x:c r="P66" s="987" t="str">
        <x:f>IF(COUNTA($A66:$M66)=0,"",IF(OR(LOWER($F66&amp;"")="subscription",LOWER($F66&amp;"")="membership"),"",IF(LOWER($L66&amp;"")="yes",0,IF($K66&lt;&gt;"",$K66,IF($O66&lt;&gt;"",$O66,"")))))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IF(COUNTA($A66:$M66)=0,"",IF(OR(LOWER($F66&amp;"")="subscription",LOWER($F66&amp;"")="membership"),"Subscription",IF(OR(AND($H66&lt;&gt;"",$H66=0),LOWER($F66&amp;"")="free game",LOWER($F66&amp;"")="free",LOWER($F66&amp;"")="free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986"/>
      <x:c r="H67" s="455"/>
      <x:c r="I67" s="456"/>
      <x:c r="J67" s="456"/>
      <x:c r="K67" s="986"/>
      <x:c r="L67" s="454"/>
      <x:c r="M67" s="439"/>
      <x:c r="N67" s="987" t="str">
        <x:f>IF(COUNTA($A67:$M67)=0,"",IF(OR(LOWER($F67&amp;"")="subscription",LOWER($F67&amp;"")="membership"),"",IF($G67="","",IF(ISNUMBER(SEARCH("non",LOWER($E67&amp;""))),$G67*0.85,$G67))))</x:f>
      </x:c>
      <x:c r="O67" s="987" t="str">
        <x:f>IF(COUNTA($A67:$M67)=0,"",IF(OR(LOWER($F67&amp;"")="subscription",LOWER($F67&amp;"")="membership"),"",IF(OR($N67="",$I67="",$I67=0),"",IFERROR($N67/$I67,""))))</x:f>
      </x:c>
      <x:c r="P67" s="987" t="str">
        <x:f>IF(COUNTA($A67:$M67)=0,"",IF(OR(LOWER($F67&amp;"")="subscription",LOWER($F67&amp;"")="membership"),"",IF(LOWER($L67&amp;"")="yes",0,IF($K67&lt;&gt;"",$K67,IF($O67&lt;&gt;"",$O67,"")))))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IF(COUNTA($A67:$M67)=0,"",IF(OR(LOWER($F67&amp;"")="subscription",LOWER($F67&amp;"")="membership"),"Subscription",IF(OR(AND($H67&lt;&gt;"",$H67=0),LOWER($F67&amp;"")="free game",LOWER($F67&amp;"")="free",LOWER($F67&amp;"")="free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986"/>
      <x:c r="H68" s="455"/>
      <x:c r="I68" s="456"/>
      <x:c r="J68" s="456"/>
      <x:c r="K68" s="986"/>
      <x:c r="L68" s="454"/>
      <x:c r="M68" s="439"/>
      <x:c r="N68" s="987" t="str">
        <x:f>IF(COUNTA($A68:$M68)=0,"",IF(OR(LOWER($F68&amp;"")="subscription",LOWER($F68&amp;"")="membership"),"",IF($G68="","",IF(ISNUMBER(SEARCH("non",LOWER($E68&amp;""))),$G68*0.85,$G68))))</x:f>
      </x:c>
      <x:c r="O68" s="987" t="str">
        <x:f>IF(COUNTA($A68:$M68)=0,"",IF(OR(LOWER($F68&amp;"")="subscription",LOWER($F68&amp;"")="membership"),"",IF(OR($N68="",$I68="",$I68=0),"",IFERROR($N68/$I68,""))))</x:f>
      </x:c>
      <x:c r="P68" s="987" t="str">
        <x:f>IF(COUNTA($A68:$M68)=0,"",IF(OR(LOWER($F68&amp;"")="subscription",LOWER($F68&amp;"")="membership"),"",IF(LOWER($L68&amp;"")="yes",0,IF($K68&lt;&gt;"",$K68,IF($O68&lt;&gt;"",$O68,"")))))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IF(COUNTA($A68:$M68)=0,"",IF(OR(LOWER($F68&amp;"")="subscription",LOWER($F68&amp;"")="membership"),"Subscription",IF(OR(AND($H68&lt;&gt;"",$H68=0),LOWER($F68&amp;"")="free game",LOWER($F68&amp;"")="free",LOWER($F68&amp;"")="free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986"/>
      <x:c r="H69" s="455"/>
      <x:c r="I69" s="456"/>
      <x:c r="J69" s="456"/>
      <x:c r="K69" s="986"/>
      <x:c r="L69" s="454"/>
      <x:c r="M69" s="439"/>
      <x:c r="N69" s="987" t="str">
        <x:f>IF(COUNTA($A69:$M69)=0,"",IF(OR(LOWER($F69&amp;"")="subscription",LOWER($F69&amp;"")="membership"),"",IF($G69="","",IF(ISNUMBER(SEARCH("non",LOWER($E69&amp;""))),$G69*0.85,$G69))))</x:f>
      </x:c>
      <x:c r="O69" s="987" t="str">
        <x:f>IF(COUNTA($A69:$M69)=0,"",IF(OR(LOWER($F69&amp;"")="subscription",LOWER($F69&amp;"")="membership"),"",IF(OR($N69="",$I69="",$I69=0),"",IFERROR($N69/$I69,""))))</x:f>
      </x:c>
      <x:c r="P69" s="987" t="str">
        <x:f>IF(COUNTA($A69:$M69)=0,"",IF(OR(LOWER($F69&amp;"")="subscription",LOWER($F69&amp;"")="membership"),"",IF(LOWER($L69&amp;"")="yes",0,IF($K69&lt;&gt;"",$K69,IF($O69&lt;&gt;"",$O69,"")))))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IF(COUNTA($A69:$M69)=0,"",IF(OR(LOWER($F69&amp;"")="subscription",LOWER($F69&amp;"")="membership"),"Subscription",IF(OR(AND($H69&lt;&gt;"",$H69=0),LOWER($F69&amp;"")="free game",LOWER($F69&amp;"")="free",LOWER($F69&amp;"")="free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986"/>
      <x:c r="H70" s="455"/>
      <x:c r="I70" s="456"/>
      <x:c r="J70" s="456"/>
      <x:c r="K70" s="986"/>
      <x:c r="L70" s="454"/>
      <x:c r="M70" s="439"/>
      <x:c r="N70" s="987" t="str">
        <x:f>IF(COUNTA($A70:$M70)=0,"",IF(OR(LOWER($F70&amp;"")="subscription",LOWER($F70&amp;"")="membership"),"",IF($G70="","",IF(ISNUMBER(SEARCH("non",LOWER($E70&amp;""))),$G70*0.85,$G70))))</x:f>
      </x:c>
      <x:c r="O70" s="987" t="str">
        <x:f>IF(COUNTA($A70:$M70)=0,"",IF(OR(LOWER($F70&amp;"")="subscription",LOWER($F70&amp;"")="membership"),"",IF(OR($N70="",$I70="",$I70=0),"",IFERROR($N70/$I70,""))))</x:f>
      </x:c>
      <x:c r="P70" s="987" t="str">
        <x:f>IF(COUNTA($A70:$M70)=0,"",IF(OR(LOWER($F70&amp;"")="subscription",LOWER($F70&amp;"")="membership"),"",IF(LOWER($L70&amp;"")="yes",0,IF($K70&lt;&gt;"",$K70,IF($O70&lt;&gt;"",$O70,"")))))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IF(COUNTA($A70:$M70)=0,"",IF(OR(LOWER($F70&amp;"")="subscription",LOWER($F70&amp;"")="membership"),"Subscription",IF(OR(AND($H70&lt;&gt;"",$H70=0),LOWER($F70&amp;"")="free game",LOWER($F70&amp;"")="free",LOWER($F70&amp;"")="free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986"/>
      <x:c r="H71" s="455"/>
      <x:c r="I71" s="456"/>
      <x:c r="J71" s="456"/>
      <x:c r="K71" s="986"/>
      <x:c r="L71" s="454"/>
      <x:c r="M71" s="439"/>
      <x:c r="N71" s="987" t="str">
        <x:f>IF(COUNTA($A71:$M71)=0,"",IF(OR(LOWER($F71&amp;"")="subscription",LOWER($F71&amp;"")="membership"),"",IF($G71="","",IF(ISNUMBER(SEARCH("non",LOWER($E71&amp;""))),$G71*0.85,$G71))))</x:f>
      </x:c>
      <x:c r="O71" s="987" t="str">
        <x:f>IF(COUNTA($A71:$M71)=0,"",IF(OR(LOWER($F71&amp;"")="subscription",LOWER($F71&amp;"")="membership"),"",IF(OR($N71="",$I71="",$I71=0),"",IFERROR($N71/$I71,""))))</x:f>
      </x:c>
      <x:c r="P71" s="987" t="str">
        <x:f>IF(COUNTA($A71:$M71)=0,"",IF(OR(LOWER($F71&amp;"")="subscription",LOWER($F71&amp;"")="membership"),"",IF(LOWER($L71&amp;"")="yes",0,IF($K71&lt;&gt;"",$K71,IF($O71&lt;&gt;"",$O71,"")))))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IF(COUNTA($A71:$M71)=0,"",IF(OR(LOWER($F71&amp;"")="subscription",LOWER($F71&amp;"")="membership"),"Subscription",IF(OR(AND($H71&lt;&gt;"",$H71=0),LOWER($F71&amp;"")="free game",LOWER($F71&amp;"")="free",LOWER($F71&amp;"")="free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986"/>
      <x:c r="H72" s="455"/>
      <x:c r="I72" s="456"/>
      <x:c r="J72" s="456"/>
      <x:c r="K72" s="986"/>
      <x:c r="L72" s="454"/>
      <x:c r="M72" s="439"/>
      <x:c r="N72" s="987" t="str">
        <x:f>IF(COUNTA($A72:$M72)=0,"",IF(OR(LOWER($F72&amp;"")="subscription",LOWER($F72&amp;"")="membership"),"",IF($G72="","",IF(ISNUMBER(SEARCH("non",LOWER($E72&amp;""))),$G72*0.85,$G72))))</x:f>
      </x:c>
      <x:c r="O72" s="987" t="str">
        <x:f>IF(COUNTA($A72:$M72)=0,"",IF(OR(LOWER($F72&amp;"")="subscription",LOWER($F72&amp;"")="membership"),"",IF(OR($N72="",$I72="",$I72=0),"",IFERROR($N72/$I72,""))))</x:f>
      </x:c>
      <x:c r="P72" s="987" t="str">
        <x:f>IF(COUNTA($A72:$M72)=0,"",IF(OR(LOWER($F72&amp;"")="subscription",LOWER($F72&amp;"")="membership"),"",IF(LOWER($L72&amp;"")="yes",0,IF($K72&lt;&gt;"",$K72,IF($O72&lt;&gt;"",$O72,"")))))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IF(COUNTA($A72:$M72)=0,"",IF(OR(LOWER($F72&amp;"")="subscription",LOWER($F72&amp;"")="membership"),"Subscription",IF(OR(AND($H72&lt;&gt;"",$H72=0),LOWER($F72&amp;"")="free game",LOWER($F72&amp;"")="free",LOWER($F72&amp;"")="free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986"/>
      <x:c r="H73" s="455"/>
      <x:c r="I73" s="456"/>
      <x:c r="J73" s="456"/>
      <x:c r="K73" s="986"/>
      <x:c r="L73" s="454"/>
      <x:c r="M73" s="439"/>
      <x:c r="N73" s="987" t="str">
        <x:f>IF(COUNTA($A73:$M73)=0,"",IF(OR(LOWER($F73&amp;"")="subscription",LOWER($F73&amp;"")="membership"),"",IF($G73="","",IF(ISNUMBER(SEARCH("non",LOWER($E73&amp;""))),$G73*0.85,$G73))))</x:f>
      </x:c>
      <x:c r="O73" s="987" t="str">
        <x:f>IF(COUNTA($A73:$M73)=0,"",IF(OR(LOWER($F73&amp;"")="subscription",LOWER($F73&amp;"")="membership"),"",IF(OR($N73="",$I73="",$I73=0),"",IFERROR($N73/$I73,""))))</x:f>
      </x:c>
      <x:c r="P73" s="987" t="str">
        <x:f>IF(COUNTA($A73:$M73)=0,"",IF(OR(LOWER($F73&amp;"")="subscription",LOWER($F73&amp;"")="membership"),"",IF(LOWER($L73&amp;"")="yes",0,IF($K73&lt;&gt;"",$K73,IF($O73&lt;&gt;"",$O73,"")))))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IF(COUNTA($A73:$M73)=0,"",IF(OR(LOWER($F73&amp;"")="subscription",LOWER($F73&amp;"")="membership"),"Subscription",IF(OR(AND($H73&lt;&gt;"",$H73=0),LOWER($F73&amp;"")="free game",LOWER($F73&amp;"")="free",LOWER($F73&amp;"")="free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986"/>
      <x:c r="H74" s="455"/>
      <x:c r="I74" s="456"/>
      <x:c r="J74" s="456"/>
      <x:c r="K74" s="986"/>
      <x:c r="L74" s="454"/>
      <x:c r="M74" s="439"/>
      <x:c r="N74" s="987" t="str">
        <x:f>IF(COUNTA($A74:$M74)=0,"",IF(OR(LOWER($F74&amp;"")="subscription",LOWER($F74&amp;"")="membership"),"",IF($G74="","",IF(ISNUMBER(SEARCH("non",LOWER($E74&amp;""))),$G74*0.85,$G74))))</x:f>
      </x:c>
      <x:c r="O74" s="987" t="str">
        <x:f>IF(COUNTA($A74:$M74)=0,"",IF(OR(LOWER($F74&amp;"")="subscription",LOWER($F74&amp;"")="membership"),"",IF(OR($N74="",$I74="",$I74=0),"",IFERROR($N74/$I74,""))))</x:f>
      </x:c>
      <x:c r="P74" s="987" t="str">
        <x:f>IF(COUNTA($A74:$M74)=0,"",IF(OR(LOWER($F74&amp;"")="subscription",LOWER($F74&amp;"")="membership"),"",IF(LOWER($L74&amp;"")="yes",0,IF($K74&lt;&gt;"",$K74,IF($O74&lt;&gt;"",$O74,"")))))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IF(COUNTA($A74:$M74)=0,"",IF(OR(LOWER($F74&amp;"")="subscription",LOWER($F74&amp;"")="membership"),"Subscription",IF(OR(AND($H74&lt;&gt;"",$H74=0),LOWER($F74&amp;"")="free game",LOWER($F74&amp;"")="free",LOWER($F74&amp;"")="free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986"/>
      <x:c r="H75" s="455"/>
      <x:c r="I75" s="456"/>
      <x:c r="J75" s="456"/>
      <x:c r="K75" s="986"/>
      <x:c r="L75" s="454"/>
      <x:c r="M75" s="439"/>
      <x:c r="N75" s="987" t="str">
        <x:f>IF(COUNTA($A75:$M75)=0,"",IF(OR(LOWER($F75&amp;"")="subscription",LOWER($F75&amp;"")="membership"),"",IF($G75="","",IF(ISNUMBER(SEARCH("non",LOWER($E75&amp;""))),$G75*0.85,$G75))))</x:f>
      </x:c>
      <x:c r="O75" s="987" t="str">
        <x:f>IF(COUNTA($A75:$M75)=0,"",IF(OR(LOWER($F75&amp;"")="subscription",LOWER($F75&amp;"")="membership"),"",IF(OR($N75="",$I75="",$I75=0),"",IFERROR($N75/$I75,""))))</x:f>
      </x:c>
      <x:c r="P75" s="987" t="str">
        <x:f>IF(COUNTA($A75:$M75)=0,"",IF(OR(LOWER($F75&amp;"")="subscription",LOWER($F75&amp;"")="membership"),"",IF(LOWER($L75&amp;"")="yes",0,IF($K75&lt;&gt;"",$K75,IF($O75&lt;&gt;"",$O75,"")))))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IF(COUNTA($A75:$M75)=0,"",IF(OR(LOWER($F75&amp;"")="subscription",LOWER($F75&amp;"")="membership"),"Subscription",IF(OR(AND($H75&lt;&gt;"",$H75=0),LOWER($F75&amp;"")="free game",LOWER($F75&amp;"")="free",LOWER($F75&amp;"")="free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986"/>
      <x:c r="H76" s="455"/>
      <x:c r="I76" s="456"/>
      <x:c r="J76" s="456"/>
      <x:c r="K76" s="986"/>
      <x:c r="L76" s="454"/>
      <x:c r="M76" s="439"/>
      <x:c r="N76" s="987" t="str">
        <x:f>IF(COUNTA($A76:$M76)=0,"",IF(OR(LOWER($F76&amp;"")="subscription",LOWER($F76&amp;"")="membership"),"",IF($G76="","",IF(ISNUMBER(SEARCH("non",LOWER($E76&amp;""))),$G76*0.85,$G76))))</x:f>
      </x:c>
      <x:c r="O76" s="987" t="str">
        <x:f>IF(COUNTA($A76:$M76)=0,"",IF(OR(LOWER($F76&amp;"")="subscription",LOWER($F76&amp;"")="membership"),"",IF(OR($N76="",$I76="",$I76=0),"",IFERROR($N76/$I76,""))))</x:f>
      </x:c>
      <x:c r="P76" s="987" t="str">
        <x:f>IF(COUNTA($A76:$M76)=0,"",IF(OR(LOWER($F76&amp;"")="subscription",LOWER($F76&amp;"")="membership"),"",IF(LOWER($L76&amp;"")="yes",0,IF($K76&lt;&gt;"",$K76,IF($O76&lt;&gt;"",$O76,"")))))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IF(COUNTA($A76:$M76)=0,"",IF(OR(LOWER($F76&amp;"")="subscription",LOWER($F76&amp;"")="membership"),"Subscription",IF(OR(AND($H76&lt;&gt;"",$H76=0),LOWER($F76&amp;"")="free game",LOWER($F76&amp;"")="free",LOWER($F76&amp;"")="free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986"/>
      <x:c r="H77" s="455"/>
      <x:c r="I77" s="456"/>
      <x:c r="J77" s="456"/>
      <x:c r="K77" s="986"/>
      <x:c r="L77" s="454"/>
      <x:c r="M77" s="439"/>
      <x:c r="N77" s="987" t="str">
        <x:f>IF(COUNTA($A77:$M77)=0,"",IF(OR(LOWER($F77&amp;"")="subscription",LOWER($F77&amp;"")="membership"),"",IF($G77="","",IF(ISNUMBER(SEARCH("non",LOWER($E77&amp;""))),$G77*0.85,$G77))))</x:f>
      </x:c>
      <x:c r="O77" s="987" t="str">
        <x:f>IF(COUNTA($A77:$M77)=0,"",IF(OR(LOWER($F77&amp;"")="subscription",LOWER($F77&amp;"")="membership"),"",IF(OR($N77="",$I77="",$I77=0),"",IFERROR($N77/$I77,""))))</x:f>
      </x:c>
      <x:c r="P77" s="987" t="str">
        <x:f>IF(COUNTA($A77:$M77)=0,"",IF(OR(LOWER($F77&amp;"")="subscription",LOWER($F77&amp;"")="membership"),"",IF(LOWER($L77&amp;"")="yes",0,IF($K77&lt;&gt;"",$K77,IF($O77&lt;&gt;"",$O77,"")))))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IF(COUNTA($A77:$M77)=0,"",IF(OR(LOWER($F77&amp;"")="subscription",LOWER($F77&amp;"")="membership"),"Subscription",IF(OR(AND($H77&lt;&gt;"",$H77=0),LOWER($F77&amp;"")="free game",LOWER($F77&amp;"")="free",LOWER($F77&amp;"")="free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986"/>
      <x:c r="H78" s="455"/>
      <x:c r="I78" s="456"/>
      <x:c r="J78" s="456"/>
      <x:c r="K78" s="986"/>
      <x:c r="L78" s="454"/>
      <x:c r="M78" s="439"/>
      <x:c r="N78" s="987" t="str">
        <x:f>IF(COUNTA($A78:$M78)=0,"",IF(OR(LOWER($F78&amp;"")="subscription",LOWER($F78&amp;"")="membership"),"",IF($G78="","",IF(ISNUMBER(SEARCH("non",LOWER($E78&amp;""))),$G78*0.85,$G78))))</x:f>
      </x:c>
      <x:c r="O78" s="987" t="str">
        <x:f>IF(COUNTA($A78:$M78)=0,"",IF(OR(LOWER($F78&amp;"")="subscription",LOWER($F78&amp;"")="membership"),"",IF(OR($N78="",$I78="",$I78=0),"",IFERROR($N78/$I78,""))))</x:f>
      </x:c>
      <x:c r="P78" s="987" t="str">
        <x:f>IF(COUNTA($A78:$M78)=0,"",IF(OR(LOWER($F78&amp;"")="subscription",LOWER($F78&amp;"")="membership"),"",IF(LOWER($L78&amp;"")="yes",0,IF($K78&lt;&gt;"",$K78,IF($O78&lt;&gt;"",$O78,"")))))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IF(COUNTA($A78:$M78)=0,"",IF(OR(LOWER($F78&amp;"")="subscription",LOWER($F78&amp;"")="membership"),"Subscription",IF(OR(AND($H78&lt;&gt;"",$H78=0),LOWER($F78&amp;"")="free game",LOWER($F78&amp;"")="free",LOWER($F78&amp;"")="free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986"/>
      <x:c r="H79" s="455"/>
      <x:c r="I79" s="456"/>
      <x:c r="J79" s="456"/>
      <x:c r="K79" s="986"/>
      <x:c r="L79" s="454"/>
      <x:c r="M79" s="439"/>
      <x:c r="N79" s="987" t="str">
        <x:f>IF(COUNTA($A79:$M79)=0,"",IF(OR(LOWER($F79&amp;"")="subscription",LOWER($F79&amp;"")="membership"),"",IF($G79="","",IF(ISNUMBER(SEARCH("non",LOWER($E79&amp;""))),$G79*0.85,$G79))))</x:f>
      </x:c>
      <x:c r="O79" s="987" t="str">
        <x:f>IF(COUNTA($A79:$M79)=0,"",IF(OR(LOWER($F79&amp;"")="subscription",LOWER($F79&amp;"")="membership"),"",IF(OR($N79="",$I79="",$I79=0),"",IFERROR($N79/$I79,""))))</x:f>
      </x:c>
      <x:c r="P79" s="987" t="str">
        <x:f>IF(COUNTA($A79:$M79)=0,"",IF(OR(LOWER($F79&amp;"")="subscription",LOWER($F79&amp;"")="membership"),"",IF(LOWER($L79&amp;"")="yes",0,IF($K79&lt;&gt;"",$K79,IF($O79&lt;&gt;"",$O79,"")))))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IF(COUNTA($A79:$M79)=0,"",IF(OR(LOWER($F79&amp;"")="subscription",LOWER($F79&amp;"")="membership"),"Subscription",IF(OR(AND($H79&lt;&gt;"",$H79=0),LOWER($F79&amp;"")="free game",LOWER($F79&amp;"")="free",LOWER($F79&amp;"")="free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986"/>
      <x:c r="H80" s="455"/>
      <x:c r="I80" s="456"/>
      <x:c r="J80" s="456"/>
      <x:c r="K80" s="986"/>
      <x:c r="L80" s="454"/>
      <x:c r="M80" s="439"/>
      <x:c r="N80" s="987" t="str">
        <x:f>IF(COUNTA($A80:$M80)=0,"",IF(OR(LOWER($F80&amp;"")="subscription",LOWER($F80&amp;"")="membership"),"",IF($G80="","",IF(ISNUMBER(SEARCH("non",LOWER($E80&amp;""))),$G80*0.85,$G80))))</x:f>
      </x:c>
      <x:c r="O80" s="987" t="str">
        <x:f>IF(COUNTA($A80:$M80)=0,"",IF(OR(LOWER($F80&amp;"")="subscription",LOWER($F80&amp;"")="membership"),"",IF(OR($N80="",$I80="",$I80=0),"",IFERROR($N80/$I80,""))))</x:f>
      </x:c>
      <x:c r="P80" s="987" t="str">
        <x:f>IF(COUNTA($A80:$M80)=0,"",IF(OR(LOWER($F80&amp;"")="subscription",LOWER($F80&amp;"")="membership"),"",IF(LOWER($L80&amp;"")="yes",0,IF($K80&lt;&gt;"",$K80,IF($O80&lt;&gt;"",$O80,"")))))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IF(COUNTA($A80:$M80)=0,"",IF(OR(LOWER($F80&amp;"")="subscription",LOWER($F80&amp;"")="membership"),"Subscription",IF(OR(AND($H80&lt;&gt;"",$H80=0),LOWER($F80&amp;"")="free game",LOWER($F80&amp;"")="free",LOWER($F80&amp;"")="free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986"/>
      <x:c r="H81" s="455"/>
      <x:c r="I81" s="456"/>
      <x:c r="J81" s="456"/>
      <x:c r="K81" s="986"/>
      <x:c r="L81" s="454"/>
      <x:c r="M81" s="439"/>
      <x:c r="N81" s="987" t="str">
        <x:f>IF(COUNTA($A81:$M81)=0,"",IF(OR(LOWER($F81&amp;"")="subscription",LOWER($F81&amp;"")="membership"),"",IF($G81="","",IF(ISNUMBER(SEARCH("non",LOWER($E81&amp;""))),$G81*0.85,$G81))))</x:f>
      </x:c>
      <x:c r="O81" s="987" t="str">
        <x:f>IF(COUNTA($A81:$M81)=0,"",IF(OR(LOWER($F81&amp;"")="subscription",LOWER($F81&amp;"")="membership"),"",IF(OR($N81="",$I81="",$I81=0),"",IFERROR($N81/$I81,""))))</x:f>
      </x:c>
      <x:c r="P81" s="987" t="str">
        <x:f>IF(COUNTA($A81:$M81)=0,"",IF(OR(LOWER($F81&amp;"")="subscription",LOWER($F81&amp;"")="membership"),"",IF(LOWER($L81&amp;"")="yes",0,IF($K81&lt;&gt;"",$K81,IF($O81&lt;&gt;"",$O81,"")))))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IF(COUNTA($A81:$M81)=0,"",IF(OR(LOWER($F81&amp;"")="subscription",LOWER($F81&amp;"")="membership"),"Subscription",IF(OR(AND($H81&lt;&gt;"",$H81=0),LOWER($F81&amp;"")="free game",LOWER($F81&amp;"")="free",LOWER($F81&amp;"")="free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986"/>
      <x:c r="H82" s="455"/>
      <x:c r="I82" s="456"/>
      <x:c r="J82" s="456"/>
      <x:c r="K82" s="986"/>
      <x:c r="L82" s="454"/>
      <x:c r="M82" s="439"/>
      <x:c r="N82" s="987" t="str">
        <x:f>IF(COUNTA($A82:$M82)=0,"",IF(OR(LOWER($F82&amp;"")="subscription",LOWER($F82&amp;"")="membership"),"",IF($G82="","",IF(ISNUMBER(SEARCH("non",LOWER($E82&amp;""))),$G82*0.85,$G82))))</x:f>
      </x:c>
      <x:c r="O82" s="987" t="str">
        <x:f>IF(COUNTA($A82:$M82)=0,"",IF(OR(LOWER($F82&amp;"")="subscription",LOWER($F82&amp;"")="membership"),"",IF(OR($N82="",$I82="",$I82=0),"",IFERROR($N82/$I82,""))))</x:f>
      </x:c>
      <x:c r="P82" s="987" t="str">
        <x:f>IF(COUNTA($A82:$M82)=0,"",IF(OR(LOWER($F82&amp;"")="subscription",LOWER($F82&amp;"")="membership"),"",IF(LOWER($L82&amp;"")="yes",0,IF($K82&lt;&gt;"",$K82,IF($O82&lt;&gt;"",$O82,"")))))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IF(COUNTA($A82:$M82)=0,"",IF(OR(LOWER($F82&amp;"")="subscription",LOWER($F82&amp;"")="membership"),"Subscription",IF(OR(AND($H82&lt;&gt;"",$H82=0),LOWER($F82&amp;"")="free game",LOWER($F82&amp;"")="free",LOWER($F82&amp;"")="free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986"/>
      <x:c r="H83" s="455"/>
      <x:c r="I83" s="456"/>
      <x:c r="J83" s="456"/>
      <x:c r="K83" s="986"/>
      <x:c r="L83" s="454"/>
      <x:c r="M83" s="439"/>
      <x:c r="N83" s="987" t="str">
        <x:f>IF(COUNTA($A83:$M83)=0,"",IF(OR(LOWER($F83&amp;"")="subscription",LOWER($F83&amp;"")="membership"),"",IF($G83="","",IF(ISNUMBER(SEARCH("non",LOWER($E83&amp;""))),$G83*0.85,$G83))))</x:f>
      </x:c>
      <x:c r="O83" s="987" t="str">
        <x:f>IF(COUNTA($A83:$M83)=0,"",IF(OR(LOWER($F83&amp;"")="subscription",LOWER($F83&amp;"")="membership"),"",IF(OR($N83="",$I83="",$I83=0),"",IFERROR($N83/$I83,""))))</x:f>
      </x:c>
      <x:c r="P83" s="987" t="str">
        <x:f>IF(COUNTA($A83:$M83)=0,"",IF(OR(LOWER($F83&amp;"")="subscription",LOWER($F83&amp;"")="membership"),"",IF(LOWER($L83&amp;"")="yes",0,IF($K83&lt;&gt;"",$K83,IF($O83&lt;&gt;"",$O83,"")))))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IF(COUNTA($A83:$M83)=0,"",IF(OR(LOWER($F83&amp;"")="subscription",LOWER($F83&amp;"")="membership"),"Subscription",IF(OR(AND($H83&lt;&gt;"",$H83=0),LOWER($F83&amp;"")="free game",LOWER($F83&amp;"")="free",LOWER($F83&amp;"")="free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986"/>
      <x:c r="H84" s="455"/>
      <x:c r="I84" s="456"/>
      <x:c r="J84" s="456"/>
      <x:c r="K84" s="986"/>
      <x:c r="L84" s="454"/>
      <x:c r="M84" s="439"/>
      <x:c r="N84" s="987" t="str">
        <x:f>IF(COUNTA($A84:$M84)=0,"",IF(OR(LOWER($F84&amp;"")="subscription",LOWER($F84&amp;"")="membership"),"",IF($G84="","",IF(ISNUMBER(SEARCH("non",LOWER($E84&amp;""))),$G84*0.85,$G84))))</x:f>
      </x:c>
      <x:c r="O84" s="987" t="str">
        <x:f>IF(COUNTA($A84:$M84)=0,"",IF(OR(LOWER($F84&amp;"")="subscription",LOWER($F84&amp;"")="membership"),"",IF(OR($N84="",$I84="",$I84=0),"",IFERROR($N84/$I84,""))))</x:f>
      </x:c>
      <x:c r="P84" s="987" t="str">
        <x:f>IF(COUNTA($A84:$M84)=0,"",IF(OR(LOWER($F84&amp;"")="subscription",LOWER($F84&amp;"")="membership"),"",IF(LOWER($L84&amp;"")="yes",0,IF($K84&lt;&gt;"",$K84,IF($O84&lt;&gt;"",$O84,"")))))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IF(COUNTA($A84:$M84)=0,"",IF(OR(LOWER($F84&amp;"")="subscription",LOWER($F84&amp;"")="membership"),"Subscription",IF(OR(AND($H84&lt;&gt;"",$H84=0),LOWER($F84&amp;"")="free game",LOWER($F84&amp;"")="free",LOWER($F84&amp;"")="free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986"/>
      <x:c r="H85" s="455"/>
      <x:c r="I85" s="456"/>
      <x:c r="J85" s="456"/>
      <x:c r="K85" s="986"/>
      <x:c r="L85" s="454"/>
      <x:c r="M85" s="439"/>
      <x:c r="N85" s="987" t="str">
        <x:f>IF(COUNTA($A85:$M85)=0,"",IF(OR(LOWER($F85&amp;"")="subscription",LOWER($F85&amp;"")="membership"),"",IF($G85="","",IF(ISNUMBER(SEARCH("non",LOWER($E85&amp;""))),$G85*0.85,$G85))))</x:f>
      </x:c>
      <x:c r="O85" s="987" t="str">
        <x:f>IF(COUNTA($A85:$M85)=0,"",IF(OR(LOWER($F85&amp;"")="subscription",LOWER($F85&amp;"")="membership"),"",IF(OR($N85="",$I85="",$I85=0),"",IFERROR($N85/$I85,""))))</x:f>
      </x:c>
      <x:c r="P85" s="987" t="str">
        <x:f>IF(COUNTA($A85:$M85)=0,"",IF(OR(LOWER($F85&amp;"")="subscription",LOWER($F85&amp;"")="membership"),"",IF(LOWER($L85&amp;"")="yes",0,IF($K85&lt;&gt;"",$K85,IF($O85&lt;&gt;"",$O85,"")))))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IF(COUNTA($A85:$M85)=0,"",IF(OR(LOWER($F85&amp;"")="subscription",LOWER($F85&amp;"")="membership"),"Subscription",IF(OR(AND($H85&lt;&gt;"",$H85=0),LOWER($F85&amp;"")="free game",LOWER($F85&amp;"")="free",LOWER($F85&amp;"")="free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986"/>
      <x:c r="H86" s="455"/>
      <x:c r="I86" s="456"/>
      <x:c r="J86" s="456"/>
      <x:c r="K86" s="986"/>
      <x:c r="L86" s="454"/>
      <x:c r="M86" s="439"/>
      <x:c r="N86" s="987" t="str">
        <x:f>IF(COUNTA($A86:$M86)=0,"",IF(OR(LOWER($F86&amp;"")="subscription",LOWER($F86&amp;"")="membership"),"",IF($G86="","",IF(ISNUMBER(SEARCH("non",LOWER($E86&amp;""))),$G86*0.85,$G86))))</x:f>
      </x:c>
      <x:c r="O86" s="987" t="str">
        <x:f>IF(COUNTA($A86:$M86)=0,"",IF(OR(LOWER($F86&amp;"")="subscription",LOWER($F86&amp;"")="membership"),"",IF(OR($N86="",$I86="",$I86=0),"",IFERROR($N86/$I86,""))))</x:f>
      </x:c>
      <x:c r="P86" s="987" t="str">
        <x:f>IF(COUNTA($A86:$M86)=0,"",IF(OR(LOWER($F86&amp;"")="subscription",LOWER($F86&amp;"")="membership"),"",IF(LOWER($L86&amp;"")="yes",0,IF($K86&lt;&gt;"",$K86,IF($O86&lt;&gt;"",$O86,"")))))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IF(COUNTA($A86:$M86)=0,"",IF(OR(LOWER($F86&amp;"")="subscription",LOWER($F86&amp;"")="membership"),"Subscription",IF(OR(AND($H86&lt;&gt;"",$H86=0),LOWER($F86&amp;"")="free game",LOWER($F86&amp;"")="free",LOWER($F86&amp;"")="free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986"/>
      <x:c r="H87" s="455"/>
      <x:c r="I87" s="456"/>
      <x:c r="J87" s="456"/>
      <x:c r="K87" s="986"/>
      <x:c r="L87" s="454"/>
      <x:c r="M87" s="439"/>
      <x:c r="N87" s="987" t="str">
        <x:f>IF(COUNTA($A87:$M87)=0,"",IF(OR(LOWER($F87&amp;"")="subscription",LOWER($F87&amp;"")="membership"),"",IF($G87="","",IF(ISNUMBER(SEARCH("non",LOWER($E87&amp;""))),$G87*0.85,$G87))))</x:f>
      </x:c>
      <x:c r="O87" s="987" t="str">
        <x:f>IF(COUNTA($A87:$M87)=0,"",IF(OR(LOWER($F87&amp;"")="subscription",LOWER($F87&amp;"")="membership"),"",IF(OR($N87="",$I87="",$I87=0),"",IFERROR($N87/$I87,""))))</x:f>
      </x:c>
      <x:c r="P87" s="987" t="str">
        <x:f>IF(COUNTA($A87:$M87)=0,"",IF(OR(LOWER($F87&amp;"")="subscription",LOWER($F87&amp;"")="membership"),"",IF(LOWER($L87&amp;"")="yes",0,IF($K87&lt;&gt;"",$K87,IF($O87&lt;&gt;"",$O87,"")))))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IF(COUNTA($A87:$M87)=0,"",IF(OR(LOWER($F87&amp;"")="subscription",LOWER($F87&amp;"")="membership"),"Subscription",IF(OR(AND($H87&lt;&gt;"",$H87=0),LOWER($F87&amp;"")="free game",LOWER($F87&amp;"")="free",LOWER($F87&amp;"")="free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986"/>
      <x:c r="H88" s="455"/>
      <x:c r="I88" s="456"/>
      <x:c r="J88" s="456"/>
      <x:c r="K88" s="986"/>
      <x:c r="L88" s="454"/>
      <x:c r="M88" s="439"/>
      <x:c r="N88" s="987" t="str">
        <x:f>IF(COUNTA($A88:$M88)=0,"",IF(OR(LOWER($F88&amp;"")="subscription",LOWER($F88&amp;"")="membership"),"",IF($G88="","",IF(ISNUMBER(SEARCH("non",LOWER($E88&amp;""))),$G88*0.85,$G88))))</x:f>
      </x:c>
      <x:c r="O88" s="987" t="str">
        <x:f>IF(COUNTA($A88:$M88)=0,"",IF(OR(LOWER($F88&amp;"")="subscription",LOWER($F88&amp;"")="membership"),"",IF(OR($N88="",$I88="",$I88=0),"",IFERROR($N88/$I88,""))))</x:f>
      </x:c>
      <x:c r="P88" s="987" t="str">
        <x:f>IF(COUNTA($A88:$M88)=0,"",IF(OR(LOWER($F88&amp;"")="subscription",LOWER($F88&amp;"")="membership"),"",IF(LOWER($L88&amp;"")="yes",0,IF($K88&lt;&gt;"",$K88,IF($O88&lt;&gt;"",$O88,"")))))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IF(COUNTA($A88:$M88)=0,"",IF(OR(LOWER($F88&amp;"")="subscription",LOWER($F88&amp;"")="membership"),"Subscription",IF(OR(AND($H88&lt;&gt;"",$H88=0),LOWER($F88&amp;"")="free game",LOWER($F88&amp;"")="free",LOWER($F88&amp;"")="free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986"/>
      <x:c r="H89" s="455"/>
      <x:c r="I89" s="456"/>
      <x:c r="J89" s="456"/>
      <x:c r="K89" s="986"/>
      <x:c r="L89" s="454"/>
      <x:c r="M89" s="439"/>
      <x:c r="N89" s="987" t="str">
        <x:f>IF(COUNTA($A89:$M89)=0,"",IF(OR(LOWER($F89&amp;"")="subscription",LOWER($F89&amp;"")="membership"),"",IF($G89="","",IF(ISNUMBER(SEARCH("non",LOWER($E89&amp;""))),$G89*0.85,$G89))))</x:f>
      </x:c>
      <x:c r="O89" s="987" t="str">
        <x:f>IF(COUNTA($A89:$M89)=0,"",IF(OR(LOWER($F89&amp;"")="subscription",LOWER($F89&amp;"")="membership"),"",IF(OR($N89="",$I89="",$I89=0),"",IFERROR($N89/$I89,""))))</x:f>
      </x:c>
      <x:c r="P89" s="987" t="str">
        <x:f>IF(COUNTA($A89:$M89)=0,"",IF(OR(LOWER($F89&amp;"")="subscription",LOWER($F89&amp;"")="membership"),"",IF(LOWER($L89&amp;"")="yes",0,IF($K89&lt;&gt;"",$K89,IF($O89&lt;&gt;"",$O89,"")))))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IF(COUNTA($A89:$M89)=0,"",IF(OR(LOWER($F89&amp;"")="subscription",LOWER($F89&amp;"")="membership"),"Subscription",IF(OR(AND($H89&lt;&gt;"",$H89=0),LOWER($F89&amp;"")="free game",LOWER($F89&amp;"")="free",LOWER($F89&amp;"")="free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986"/>
      <x:c r="H90" s="455"/>
      <x:c r="I90" s="456"/>
      <x:c r="J90" s="456"/>
      <x:c r="K90" s="986"/>
      <x:c r="L90" s="454"/>
      <x:c r="M90" s="439"/>
      <x:c r="N90" s="987" t="str">
        <x:f>IF(COUNTA($A90:$M90)=0,"",IF(OR(LOWER($F90&amp;"")="subscription",LOWER($F90&amp;"")="membership"),"",IF($G90="","",IF(ISNUMBER(SEARCH("non",LOWER($E90&amp;""))),$G90*0.85,$G90))))</x:f>
      </x:c>
      <x:c r="O90" s="987" t="str">
        <x:f>IF(COUNTA($A90:$M90)=0,"",IF(OR(LOWER($F90&amp;"")="subscription",LOWER($F90&amp;"")="membership"),"",IF(OR($N90="",$I90="",$I90=0),"",IFERROR($N90/$I90,""))))</x:f>
      </x:c>
      <x:c r="P90" s="987" t="str">
        <x:f>IF(COUNTA($A90:$M90)=0,"",IF(OR(LOWER($F90&amp;"")="subscription",LOWER($F90&amp;"")="membership"),"",IF(LOWER($L90&amp;"")="yes",0,IF($K90&lt;&gt;"",$K90,IF($O90&lt;&gt;"",$O90,"")))))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IF(COUNTA($A90:$M90)=0,"",IF(OR(LOWER($F90&amp;"")="subscription",LOWER($F90&amp;"")="membership"),"Subscription",IF(OR(AND($H90&lt;&gt;"",$H90=0),LOWER($F90&amp;"")="free game",LOWER($F90&amp;"")="free",LOWER($F90&amp;"")="free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986"/>
      <x:c r="H91" s="455"/>
      <x:c r="I91" s="456"/>
      <x:c r="J91" s="456"/>
      <x:c r="K91" s="986"/>
      <x:c r="L91" s="454"/>
      <x:c r="M91" s="439"/>
      <x:c r="N91" s="987" t="str">
        <x:f>IF(COUNTA($A91:$M91)=0,"",IF(OR(LOWER($F91&amp;"")="subscription",LOWER($F91&amp;"")="membership"),"",IF($G91="","",IF(ISNUMBER(SEARCH("non",LOWER($E91&amp;""))),$G91*0.85,$G91))))</x:f>
      </x:c>
      <x:c r="O91" s="987" t="str">
        <x:f>IF(COUNTA($A91:$M91)=0,"",IF(OR(LOWER($F91&amp;"")="subscription",LOWER($F91&amp;"")="membership"),"",IF(OR($N91="",$I91="",$I91=0),"",IFERROR($N91/$I91,""))))</x:f>
      </x:c>
      <x:c r="P91" s="987" t="str">
        <x:f>IF(COUNTA($A91:$M91)=0,"",IF(OR(LOWER($F91&amp;"")="subscription",LOWER($F91&amp;"")="membership"),"",IF(LOWER($L91&amp;"")="yes",0,IF($K91&lt;&gt;"",$K91,IF($O91&lt;&gt;"",$O91,"")))))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IF(COUNTA($A91:$M91)=0,"",IF(OR(LOWER($F91&amp;"")="subscription",LOWER($F91&amp;"")="membership"),"Subscription",IF(OR(AND($H91&lt;&gt;"",$H91=0),LOWER($F91&amp;"")="free game",LOWER($F91&amp;"")="free",LOWER($F91&amp;"")="free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986"/>
      <x:c r="H92" s="455"/>
      <x:c r="I92" s="456"/>
      <x:c r="J92" s="456"/>
      <x:c r="K92" s="986"/>
      <x:c r="L92" s="454"/>
      <x:c r="M92" s="439"/>
      <x:c r="N92" s="987" t="str">
        <x:f>IF(COUNTA($A92:$M92)=0,"",IF(OR(LOWER($F92&amp;"")="subscription",LOWER($F92&amp;"")="membership"),"",IF($G92="","",IF(ISNUMBER(SEARCH("non",LOWER($E92&amp;""))),$G92*0.85,$G92))))</x:f>
      </x:c>
      <x:c r="O92" s="987" t="str">
        <x:f>IF(COUNTA($A92:$M92)=0,"",IF(OR(LOWER($F92&amp;"")="subscription",LOWER($F92&amp;"")="membership"),"",IF(OR($N92="",$I92="",$I92=0),"",IFERROR($N92/$I92,""))))</x:f>
      </x:c>
      <x:c r="P92" s="987" t="str">
        <x:f>IF(COUNTA($A92:$M92)=0,"",IF(OR(LOWER($F92&amp;"")="subscription",LOWER($F92&amp;"")="membership"),"",IF(LOWER($L92&amp;"")="yes",0,IF($K92&lt;&gt;"",$K92,IF($O92&lt;&gt;"",$O92,"")))))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IF(COUNTA($A92:$M92)=0,"",IF(OR(LOWER($F92&amp;"")="subscription",LOWER($F92&amp;"")="membership"),"Subscription",IF(OR(AND($H92&lt;&gt;"",$H92=0),LOWER($F92&amp;"")="free game",LOWER($F92&amp;"")="free",LOWER($F92&amp;"")="free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986"/>
      <x:c r="H93" s="455"/>
      <x:c r="I93" s="456"/>
      <x:c r="J93" s="456"/>
      <x:c r="K93" s="986"/>
      <x:c r="L93" s="454"/>
      <x:c r="M93" s="439"/>
      <x:c r="N93" s="987" t="str">
        <x:f>IF(COUNTA($A93:$M93)=0,"",IF(OR(LOWER($F93&amp;"")="subscription",LOWER($F93&amp;"")="membership"),"",IF($G93="","",IF(ISNUMBER(SEARCH("non",LOWER($E93&amp;""))),$G93*0.85,$G93))))</x:f>
      </x:c>
      <x:c r="O93" s="987" t="str">
        <x:f>IF(COUNTA($A93:$M93)=0,"",IF(OR(LOWER($F93&amp;"")="subscription",LOWER($F93&amp;"")="membership"),"",IF(OR($N93="",$I93="",$I93=0),"",IFERROR($N93/$I93,""))))</x:f>
      </x:c>
      <x:c r="P93" s="987" t="str">
        <x:f>IF(COUNTA($A93:$M93)=0,"",IF(OR(LOWER($F93&amp;"")="subscription",LOWER($F93&amp;"")="membership"),"",IF(LOWER($L93&amp;"")="yes",0,IF($K93&lt;&gt;"",$K93,IF($O93&lt;&gt;"",$O93,"")))))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IF(COUNTA($A93:$M93)=0,"",IF(OR(LOWER($F93&amp;"")="subscription",LOWER($F93&amp;"")="membership"),"Subscription",IF(OR(AND($H93&lt;&gt;"",$H93=0),LOWER($F93&amp;"")="free game",LOWER($F93&amp;"")="free",LOWER($F93&amp;"")="free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986"/>
      <x:c r="H94" s="455"/>
      <x:c r="I94" s="456"/>
      <x:c r="J94" s="456"/>
      <x:c r="K94" s="986"/>
      <x:c r="L94" s="454"/>
      <x:c r="M94" s="439"/>
      <x:c r="N94" s="987" t="str">
        <x:f>IF(COUNTA($A94:$M94)=0,"",IF(OR(LOWER($F94&amp;"")="subscription",LOWER($F94&amp;"")="membership"),"",IF($G94="","",IF(ISNUMBER(SEARCH("non",LOWER($E94&amp;""))),$G94*0.85,$G94))))</x:f>
      </x:c>
      <x:c r="O94" s="987" t="str">
        <x:f>IF(COUNTA($A94:$M94)=0,"",IF(OR(LOWER($F94&amp;"")="subscription",LOWER($F94&amp;"")="membership"),"",IF(OR($N94="",$I94="",$I94=0),"",IFERROR($N94/$I94,""))))</x:f>
      </x:c>
      <x:c r="P94" s="987" t="str">
        <x:f>IF(COUNTA($A94:$M94)=0,"",IF(OR(LOWER($F94&amp;"")="subscription",LOWER($F94&amp;"")="membership"),"",IF(LOWER($L94&amp;"")="yes",0,IF($K94&lt;&gt;"",$K94,IF($O94&lt;&gt;"",$O94,"")))))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IF(COUNTA($A94:$M94)=0,"",IF(OR(LOWER($F94&amp;"")="subscription",LOWER($F94&amp;"")="membership"),"Subscription",IF(OR(AND($H94&lt;&gt;"",$H94=0),LOWER($F94&amp;"")="free game",LOWER($F94&amp;"")="free",LOWER($F94&amp;"")="free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986"/>
      <x:c r="H95" s="455"/>
      <x:c r="I95" s="456"/>
      <x:c r="J95" s="456"/>
      <x:c r="K95" s="986"/>
      <x:c r="L95" s="454"/>
      <x:c r="M95" s="439"/>
      <x:c r="N95" s="987" t="str">
        <x:f>IF(COUNTA($A95:$M95)=0,"",IF(OR(LOWER($F95&amp;"")="subscription",LOWER($F95&amp;"")="membership"),"",IF($G95="","",IF(ISNUMBER(SEARCH("non",LOWER($E95&amp;""))),$G95*0.85,$G95))))</x:f>
      </x:c>
      <x:c r="O95" s="987" t="str">
        <x:f>IF(COUNTA($A95:$M95)=0,"",IF(OR(LOWER($F95&amp;"")="subscription",LOWER($F95&amp;"")="membership"),"",IF(OR($N95="",$I95="",$I95=0),"",IFERROR($N95/$I95,""))))</x:f>
      </x:c>
      <x:c r="P95" s="987" t="str">
        <x:f>IF(COUNTA($A95:$M95)=0,"",IF(OR(LOWER($F95&amp;"")="subscription",LOWER($F95&amp;"")="membership"),"",IF(LOWER($L95&amp;"")="yes",0,IF($K95&lt;&gt;"",$K95,IF($O95&lt;&gt;"",$O95,"")))))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IF(COUNTA($A95:$M95)=0,"",IF(OR(LOWER($F95&amp;"")="subscription",LOWER($F95&amp;"")="membership"),"Subscription",IF(OR(AND($H95&lt;&gt;"",$H95=0),LOWER($F95&amp;"")="free game",LOWER($F95&amp;"")="free",LOWER($F95&amp;"")="free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986"/>
      <x:c r="H96" s="455"/>
      <x:c r="I96" s="456"/>
      <x:c r="J96" s="456"/>
      <x:c r="K96" s="986"/>
      <x:c r="L96" s="454"/>
      <x:c r="M96" s="439"/>
      <x:c r="N96" s="987" t="str">
        <x:f>IF(COUNTA($A96:$M96)=0,"",IF(OR(LOWER($F96&amp;"")="subscription",LOWER($F96&amp;"")="membership"),"",IF($G96="","",IF(ISNUMBER(SEARCH("non",LOWER($E96&amp;""))),$G96*0.85,$G96))))</x:f>
      </x:c>
      <x:c r="O96" s="987" t="str">
        <x:f>IF(COUNTA($A96:$M96)=0,"",IF(OR(LOWER($F96&amp;"")="subscription",LOWER($F96&amp;"")="membership"),"",IF(OR($N96="",$I96="",$I96=0),"",IFERROR($N96/$I96,""))))</x:f>
      </x:c>
      <x:c r="P96" s="987" t="str">
        <x:f>IF(COUNTA($A96:$M96)=0,"",IF(OR(LOWER($F96&amp;"")="subscription",LOWER($F96&amp;"")="membership"),"",IF(LOWER($L96&amp;"")="yes",0,IF($K96&lt;&gt;"",$K96,IF($O96&lt;&gt;"",$O96,"")))))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IF(COUNTA($A96:$M96)=0,"",IF(OR(LOWER($F96&amp;"")="subscription",LOWER($F96&amp;"")="membership"),"Subscription",IF(OR(AND($H96&lt;&gt;"",$H96=0),LOWER($F96&amp;"")="free game",LOWER($F96&amp;"")="free",LOWER($F96&amp;"")="free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986"/>
      <x:c r="H97" s="455"/>
      <x:c r="I97" s="456"/>
      <x:c r="J97" s="456"/>
      <x:c r="K97" s="986"/>
      <x:c r="L97" s="454"/>
      <x:c r="M97" s="439"/>
      <x:c r="N97" s="987" t="str">
        <x:f>IF(COUNTA($A97:$M97)=0,"",IF(OR(LOWER($F97&amp;"")="subscription",LOWER($F97&amp;"")="membership"),"",IF($G97="","",IF(ISNUMBER(SEARCH("non",LOWER($E97&amp;""))),$G97*0.85,$G97))))</x:f>
      </x:c>
      <x:c r="O97" s="987" t="str">
        <x:f>IF(COUNTA($A97:$M97)=0,"",IF(OR(LOWER($F97&amp;"")="subscription",LOWER($F97&amp;"")="membership"),"",IF(OR($N97="",$I97="",$I97=0),"",IFERROR($N97/$I97,""))))</x:f>
      </x:c>
      <x:c r="P97" s="987" t="str">
        <x:f>IF(COUNTA($A97:$M97)=0,"",IF(OR(LOWER($F97&amp;"")="subscription",LOWER($F97&amp;"")="membership"),"",IF(LOWER($L97&amp;"")="yes",0,IF($K97&lt;&gt;"",$K97,IF($O97&lt;&gt;"",$O97,"")))))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IF(COUNTA($A97:$M97)=0,"",IF(OR(LOWER($F97&amp;"")="subscription",LOWER($F97&amp;"")="membership"),"Subscription",IF(OR(AND($H97&lt;&gt;"",$H97=0),LOWER($F97&amp;"")="free game",LOWER($F97&amp;"")="free",LOWER($F97&amp;"")="free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986"/>
      <x:c r="H98" s="455"/>
      <x:c r="I98" s="456"/>
      <x:c r="J98" s="456"/>
      <x:c r="K98" s="986"/>
      <x:c r="L98" s="454"/>
      <x:c r="M98" s="439"/>
      <x:c r="N98" s="987" t="str">
        <x:f>IF(COUNTA($A98:$M98)=0,"",IF(OR(LOWER($F98&amp;"")="subscription",LOWER($F98&amp;"")="membership"),"",IF($G98="","",IF(ISNUMBER(SEARCH("non",LOWER($E98&amp;""))),$G98*0.85,$G98))))</x:f>
      </x:c>
      <x:c r="O98" s="987" t="str">
        <x:f>IF(COUNTA($A98:$M98)=0,"",IF(OR(LOWER($F98&amp;"")="subscription",LOWER($F98&amp;"")="membership"),"",IF(OR($N98="",$I98="",$I98=0),"",IFERROR($N98/$I98,""))))</x:f>
      </x:c>
      <x:c r="P98" s="987" t="str">
        <x:f>IF(COUNTA($A98:$M98)=0,"",IF(OR(LOWER($F98&amp;"")="subscription",LOWER($F98&amp;"")="membership"),"",IF(LOWER($L98&amp;"")="yes",0,IF($K98&lt;&gt;"",$K98,IF($O98&lt;&gt;"",$O98,"")))))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IF(COUNTA($A98:$M98)=0,"",IF(OR(LOWER($F98&amp;"")="subscription",LOWER($F98&amp;"")="membership"),"Subscription",IF(OR(AND($H98&lt;&gt;"",$H98=0),LOWER($F98&amp;"")="free game",LOWER($F98&amp;"")="free",LOWER($F98&amp;"")="free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986"/>
      <x:c r="H99" s="455"/>
      <x:c r="I99" s="456"/>
      <x:c r="J99" s="456"/>
      <x:c r="K99" s="986"/>
      <x:c r="L99" s="454"/>
      <x:c r="M99" s="439"/>
      <x:c r="N99" s="987" t="str">
        <x:f>IF(COUNTA($A99:$M99)=0,"",IF(OR(LOWER($F99&amp;"")="subscription",LOWER($F99&amp;"")="membership"),"",IF($G99="","",IF(ISNUMBER(SEARCH("non",LOWER($E99&amp;""))),$G99*0.85,$G99))))</x:f>
      </x:c>
      <x:c r="O99" s="987" t="str">
        <x:f>IF(COUNTA($A99:$M99)=0,"",IF(OR(LOWER($F99&amp;"")="subscription",LOWER($F99&amp;"")="membership"),"",IF(OR($N99="",$I99="",$I99=0),"",IFERROR($N99/$I99,""))))</x:f>
      </x:c>
      <x:c r="P99" s="987" t="str">
        <x:f>IF(COUNTA($A99:$M99)=0,"",IF(OR(LOWER($F99&amp;"")="subscription",LOWER($F99&amp;"")="membership"),"",IF(LOWER($L99&amp;"")="yes",0,IF($K99&lt;&gt;"",$K99,IF($O99&lt;&gt;"",$O99,"")))))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IF(COUNTA($A99:$M99)=0,"",IF(OR(LOWER($F99&amp;"")="subscription",LOWER($F99&amp;"")="membership"),"Subscription",IF(OR(AND($H99&lt;&gt;"",$H99=0),LOWER($F99&amp;"")="free game",LOWER($F99&amp;"")="free",LOWER($F99&amp;"")="free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986"/>
      <x:c r="H100" s="455"/>
      <x:c r="I100" s="456"/>
      <x:c r="J100" s="456"/>
      <x:c r="K100" s="986"/>
      <x:c r="L100" s="454"/>
      <x:c r="M100" s="439"/>
      <x:c r="N100" s="987" t="str">
        <x:f>IF(COUNTA($A100:$M100)=0,"",IF(OR(LOWER($F100&amp;"")="subscription",LOWER($F100&amp;"")="membership"),"",IF($G100="","",IF(ISNUMBER(SEARCH("non",LOWER($E100&amp;""))),$G100*0.85,$G100))))</x:f>
      </x:c>
      <x:c r="O100" s="987" t="str">
        <x:f>IF(COUNTA($A100:$M100)=0,"",IF(OR(LOWER($F100&amp;"")="subscription",LOWER($F100&amp;"")="membership"),"",IF(OR($N100="",$I100="",$I100=0),"",IFERROR($N100/$I100,""))))</x:f>
      </x:c>
      <x:c r="P100" s="987" t="str">
        <x:f>IF(COUNTA($A100:$M100)=0,"",IF(OR(LOWER($F100&amp;"")="subscription",LOWER($F100&amp;"")="membership"),"",IF(LOWER($L100&amp;"")="yes",0,IF($K100&lt;&gt;"",$K100,IF($O100&lt;&gt;"",$O100,"")))))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IF(COUNTA($A100:$M100)=0,"",IF(OR(LOWER($F100&amp;"")="subscription",LOWER($F100&amp;"")="membership"),"Subscription",IF(OR(AND($H100&lt;&gt;"",$H100=0),LOWER($F100&amp;"")="free game",LOWER($F100&amp;"")="free",LOWER($F100&amp;"")="free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986"/>
      <x:c r="H101" s="455"/>
      <x:c r="I101" s="456"/>
      <x:c r="J101" s="456"/>
      <x:c r="K101" s="986"/>
      <x:c r="L101" s="454"/>
      <x:c r="M101" s="439"/>
      <x:c r="N101" s="987" t="str">
        <x:f>IF(COUNTA($A101:$M101)=0,"",IF(OR(LOWER($F101&amp;"")="subscription",LOWER($F101&amp;"")="membership"),"",IF($G101="","",IF(ISNUMBER(SEARCH("non",LOWER($E101&amp;""))),$G101*0.85,$G101))))</x:f>
      </x:c>
      <x:c r="O101" s="987" t="str">
        <x:f>IF(COUNTA($A101:$M101)=0,"",IF(OR(LOWER($F101&amp;"")="subscription",LOWER($F101&amp;"")="membership"),"",IF(OR($N101="",$I101="",$I101=0),"",IFERROR($N101/$I101,""))))</x:f>
      </x:c>
      <x:c r="P101" s="987" t="str">
        <x:f>IF(COUNTA($A101:$M101)=0,"",IF(OR(LOWER($F101&amp;"")="subscription",LOWER($F101&amp;"")="membership"),"",IF(LOWER($L101&amp;"")="yes",0,IF($K101&lt;&gt;"",$K101,IF($O101&lt;&gt;"",$O101,"")))))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IF(COUNTA($A101:$M101)=0,"",IF(OR(LOWER($F101&amp;"")="subscription",LOWER($F101&amp;"")="membership"),"Subscription",IF(OR(AND($H101&lt;&gt;"",$H101=0),LOWER($F101&amp;"")="free game",LOWER($F101&amp;"")="free",LOWER($F101&amp;"")="free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986"/>
      <x:c r="H102" s="455"/>
      <x:c r="I102" s="456"/>
      <x:c r="J102" s="456"/>
      <x:c r="K102" s="986"/>
      <x:c r="L102" s="454"/>
      <x:c r="M102" s="439"/>
      <x:c r="N102" s="987" t="str">
        <x:f>IF(COUNTA($A102:$M102)=0,"",IF(OR(LOWER($F102&amp;"")="subscription",LOWER($F102&amp;"")="membership"),"",IF($G102="","",IF(ISNUMBER(SEARCH("non",LOWER($E102&amp;""))),$G102*0.85,$G102))))</x:f>
      </x:c>
      <x:c r="O102" s="987" t="str">
        <x:f>IF(COUNTA($A102:$M102)=0,"",IF(OR(LOWER($F102&amp;"")="subscription",LOWER($F102&amp;"")="membership"),"",IF(OR($N102="",$I102="",$I102=0),"",IFERROR($N102/$I102,""))))</x:f>
      </x:c>
      <x:c r="P102" s="987" t="str">
        <x:f>IF(COUNTA($A102:$M102)=0,"",IF(OR(LOWER($F102&amp;"")="subscription",LOWER($F102&amp;"")="membership"),"",IF(LOWER($L102&amp;"")="yes",0,IF($K102&lt;&gt;"",$K102,IF($O102&lt;&gt;"",$O102,"")))))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IF(COUNTA($A102:$M102)=0,"",IF(OR(LOWER($F102&amp;"")="subscription",LOWER($F102&amp;"")="membership"),"Subscription",IF(OR(AND($H102&lt;&gt;"",$H102=0),LOWER($F102&amp;"")="free game",LOWER($F102&amp;"")="free",LOWER($F102&amp;"")="free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986"/>
      <x:c r="H103" s="455"/>
      <x:c r="I103" s="456"/>
      <x:c r="J103" s="456"/>
      <x:c r="K103" s="986"/>
      <x:c r="L103" s="454"/>
      <x:c r="M103" s="439"/>
      <x:c r="N103" s="987" t="str">
        <x:f>IF(COUNTA($A103:$M103)=0,"",IF(OR(LOWER($F103&amp;"")="subscription",LOWER($F103&amp;"")="membership"),"",IF($G103="","",IF(ISNUMBER(SEARCH("non",LOWER($E103&amp;""))),$G103*0.85,$G103))))</x:f>
      </x:c>
      <x:c r="O103" s="987" t="str">
        <x:f>IF(COUNTA($A103:$M103)=0,"",IF(OR(LOWER($F103&amp;"")="subscription",LOWER($F103&amp;"")="membership"),"",IF(OR($N103="",$I103="",$I103=0),"",IFERROR($N103/$I103,""))))</x:f>
      </x:c>
      <x:c r="P103" s="987" t="str">
        <x:f>IF(COUNTA($A103:$M103)=0,"",IF(OR(LOWER($F103&amp;"")="subscription",LOWER($F103&amp;"")="membership"),"",IF(LOWER($L103&amp;"")="yes",0,IF($K103&lt;&gt;"",$K103,IF($O103&lt;&gt;"",$O103,"")))))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IF(COUNTA($A103:$M103)=0,"",IF(OR(LOWER($F103&amp;"")="subscription",LOWER($F103&amp;"")="membership"),"Subscription",IF(OR(AND($H103&lt;&gt;"",$H103=0),LOWER($F103&amp;"")="free game",LOWER($F103&amp;"")="free",LOWER($F103&amp;"")="free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986"/>
      <x:c r="H104" s="455"/>
      <x:c r="I104" s="456"/>
      <x:c r="J104" s="456"/>
      <x:c r="K104" s="986"/>
      <x:c r="L104" s="454"/>
      <x:c r="M104" s="439"/>
      <x:c r="N104" s="987" t="str">
        <x:f>IF(COUNTA($A104:$M104)=0,"",IF(OR(LOWER($F104&amp;"")="subscription",LOWER($F104&amp;"")="membership"),"",IF($G104="","",IF(ISNUMBER(SEARCH("non",LOWER($E104&amp;""))),$G104*0.85,$G104))))</x:f>
      </x:c>
      <x:c r="O104" s="987" t="str">
        <x:f>IF(COUNTA($A104:$M104)=0,"",IF(OR(LOWER($F104&amp;"")="subscription",LOWER($F104&amp;"")="membership"),"",IF(OR($N104="",$I104="",$I104=0),"",IFERROR($N104/$I104,""))))</x:f>
      </x:c>
      <x:c r="P104" s="987" t="str">
        <x:f>IF(COUNTA($A104:$M104)=0,"",IF(OR(LOWER($F104&amp;"")="subscription",LOWER($F104&amp;"")="membership"),"",IF(LOWER($L104&amp;"")="yes",0,IF($K104&lt;&gt;"",$K104,IF($O104&lt;&gt;"",$O104,"")))))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IF(COUNTA($A104:$M104)=0,"",IF(OR(LOWER($F104&amp;"")="subscription",LOWER($F104&amp;"")="membership"),"Subscription",IF(OR(AND($H104&lt;&gt;"",$H104=0),LOWER($F104&amp;"")="free game",LOWER($F104&amp;"")="free",LOWER($F104&amp;"")="free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986"/>
      <x:c r="H105" s="455"/>
      <x:c r="I105" s="456"/>
      <x:c r="J105" s="456"/>
      <x:c r="K105" s="986"/>
      <x:c r="L105" s="454"/>
      <x:c r="M105" s="439"/>
      <x:c r="N105" s="987" t="str">
        <x:f>IF(COUNTA($A105:$M105)=0,"",IF(OR(LOWER($F105&amp;"")="subscription",LOWER($F105&amp;"")="membership"),"",IF($G105="","",IF(ISNUMBER(SEARCH("non",LOWER($E105&amp;""))),$G105*0.85,$G105))))</x:f>
      </x:c>
      <x:c r="O105" s="987" t="str">
        <x:f>IF(COUNTA($A105:$M105)=0,"",IF(OR(LOWER($F105&amp;"")="subscription",LOWER($F105&amp;"")="membership"),"",IF(OR($N105="",$I105="",$I105=0),"",IFERROR($N105/$I105,""))))</x:f>
      </x:c>
      <x:c r="P105" s="987" t="str">
        <x:f>IF(COUNTA($A105:$M105)=0,"",IF(OR(LOWER($F105&amp;"")="subscription",LOWER($F105&amp;"")="membership"),"",IF(LOWER($L105&amp;"")="yes",0,IF($K105&lt;&gt;"",$K105,IF($O105&lt;&gt;"",$O105,"")))))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IF(COUNTA($A105:$M105)=0,"",IF(OR(LOWER($F105&amp;"")="subscription",LOWER($F105&amp;"")="membership"),"Subscription",IF(OR(AND($H105&lt;&gt;"",$H105=0),LOWER($F105&amp;"")="free game",LOWER($F105&amp;"")="free",LOWER($F105&amp;"")="free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986"/>
      <x:c r="H106" s="455"/>
      <x:c r="I106" s="456"/>
      <x:c r="J106" s="456"/>
      <x:c r="K106" s="986"/>
      <x:c r="L106" s="454"/>
      <x:c r="M106" s="439"/>
      <x:c r="N106" s="987" t="str">
        <x:f>IF(COUNTA($A106:$M106)=0,"",IF(OR(LOWER($F106&amp;"")="subscription",LOWER($F106&amp;"")="membership"),"",IF($G106="","",IF(ISNUMBER(SEARCH("non",LOWER($E106&amp;""))),$G106*0.85,$G106))))</x:f>
      </x:c>
      <x:c r="O106" s="987" t="str">
        <x:f>IF(COUNTA($A106:$M106)=0,"",IF(OR(LOWER($F106&amp;"")="subscription",LOWER($F106&amp;"")="membership"),"",IF(OR($N106="",$I106="",$I106=0),"",IFERROR($N106/$I106,""))))</x:f>
      </x:c>
      <x:c r="P106" s="987" t="str">
        <x:f>IF(COUNTA($A106:$M106)=0,"",IF(OR(LOWER($F106&amp;"")="subscription",LOWER($F106&amp;"")="membership"),"",IF(LOWER($L106&amp;"")="yes",0,IF($K106&lt;&gt;"",$K106,IF($O106&lt;&gt;"",$O106,"")))))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IF(COUNTA($A106:$M106)=0,"",IF(OR(LOWER($F106&amp;"")="subscription",LOWER($F106&amp;"")="membership"),"Subscription",IF(OR(AND($H106&lt;&gt;"",$H106=0),LOWER($F106&amp;"")="free game",LOWER($F106&amp;"")="free",LOWER($F106&amp;"")="free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986"/>
      <x:c r="H107" s="455"/>
      <x:c r="I107" s="456"/>
      <x:c r="J107" s="456"/>
      <x:c r="K107" s="986"/>
      <x:c r="L107" s="454"/>
      <x:c r="M107" s="439"/>
      <x:c r="N107" s="987" t="str">
        <x:f>IF(COUNTA($A107:$M107)=0,"",IF(OR(LOWER($F107&amp;"")="subscription",LOWER($F107&amp;"")="membership"),"",IF($G107="","",IF(ISNUMBER(SEARCH("non",LOWER($E107&amp;""))),$G107*0.85,$G107))))</x:f>
      </x:c>
      <x:c r="O107" s="987" t="str">
        <x:f>IF(COUNTA($A107:$M107)=0,"",IF(OR(LOWER($F107&amp;"")="subscription",LOWER($F107&amp;"")="membership"),"",IF(OR($N107="",$I107="",$I107=0),"",IFERROR($N107/$I107,""))))</x:f>
      </x:c>
      <x:c r="P107" s="987" t="str">
        <x:f>IF(COUNTA($A107:$M107)=0,"",IF(OR(LOWER($F107&amp;"")="subscription",LOWER($F107&amp;"")="membership"),"",IF(LOWER($L107&amp;"")="yes",0,IF($K107&lt;&gt;"",$K107,IF($O107&lt;&gt;"",$O107,"")))))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IF(COUNTA($A107:$M107)=0,"",IF(OR(LOWER($F107&amp;"")="subscription",LOWER($F107&amp;"")="membership"),"Subscription",IF(OR(AND($H107&lt;&gt;"",$H107=0),LOWER($F107&amp;"")="free game",LOWER($F107&amp;"")="free",LOWER($F107&amp;"")="free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986"/>
      <x:c r="H108" s="455"/>
      <x:c r="I108" s="456"/>
      <x:c r="J108" s="456"/>
      <x:c r="K108" s="986"/>
      <x:c r="L108" s="454"/>
      <x:c r="M108" s="439"/>
      <x:c r="N108" s="987" t="str">
        <x:f>IF(COUNTA($A108:$M108)=0,"",IF(OR(LOWER($F108&amp;"")="subscription",LOWER($F108&amp;"")="membership"),"",IF($G108="","",IF(ISNUMBER(SEARCH("non",LOWER($E108&amp;""))),$G108*0.85,$G108))))</x:f>
      </x:c>
      <x:c r="O108" s="987" t="str">
        <x:f>IF(COUNTA($A108:$M108)=0,"",IF(OR(LOWER($F108&amp;"")="subscription",LOWER($F108&amp;"")="membership"),"",IF(OR($N108="",$I108="",$I108=0),"",IFERROR($N108/$I108,""))))</x:f>
      </x:c>
      <x:c r="P108" s="987" t="str">
        <x:f>IF(COUNTA($A108:$M108)=0,"",IF(OR(LOWER($F108&amp;"")="subscription",LOWER($F108&amp;"")="membership"),"",IF(LOWER($L108&amp;"")="yes",0,IF($K108&lt;&gt;"",$K108,IF($O108&lt;&gt;"",$O108,"")))))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IF(COUNTA($A108:$M108)=0,"",IF(OR(LOWER($F108&amp;"")="subscription",LOWER($F108&amp;"")="membership"),"Subscription",IF(OR(AND($H108&lt;&gt;"",$H108=0),LOWER($F108&amp;"")="free game",LOWER($F108&amp;"")="free",LOWER($F108&amp;"")="free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986"/>
      <x:c r="H109" s="455"/>
      <x:c r="I109" s="456"/>
      <x:c r="J109" s="456"/>
      <x:c r="K109" s="986"/>
      <x:c r="L109" s="454"/>
      <x:c r="M109" s="439"/>
      <x:c r="N109" s="987" t="str">
        <x:f>IF(COUNTA($A109:$M109)=0,"",IF(OR(LOWER($F109&amp;"")="subscription",LOWER($F109&amp;"")="membership"),"",IF($G109="","",IF(ISNUMBER(SEARCH("non",LOWER($E109&amp;""))),$G109*0.85,$G109))))</x:f>
      </x:c>
      <x:c r="O109" s="987" t="str">
        <x:f>IF(COUNTA($A109:$M109)=0,"",IF(OR(LOWER($F109&amp;"")="subscription",LOWER($F109&amp;"")="membership"),"",IF(OR($N109="",$I109="",$I109=0),"",IFERROR($N109/$I109,""))))</x:f>
      </x:c>
      <x:c r="P109" s="987" t="str">
        <x:f>IF(COUNTA($A109:$M109)=0,"",IF(OR(LOWER($F109&amp;"")="subscription",LOWER($F109&amp;"")="membership"),"",IF(LOWER($L109&amp;"")="yes",0,IF($K109&lt;&gt;"",$K109,IF($O109&lt;&gt;"",$O109,"")))))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IF(COUNTA($A109:$M109)=0,"",IF(OR(LOWER($F109&amp;"")="subscription",LOWER($F109&amp;"")="membership"),"Subscription",IF(OR(AND($H109&lt;&gt;"",$H109=0),LOWER($F109&amp;"")="free game",LOWER($F109&amp;"")="free",LOWER($F109&amp;"")="free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986"/>
      <x:c r="H110" s="455"/>
      <x:c r="I110" s="456"/>
      <x:c r="J110" s="456"/>
      <x:c r="K110" s="986"/>
      <x:c r="L110" s="454"/>
      <x:c r="M110" s="439"/>
      <x:c r="N110" s="987" t="str">
        <x:f>IF(COUNTA($A110:$M110)=0,"",IF(OR(LOWER($F110&amp;"")="subscription",LOWER($F110&amp;"")="membership"),"",IF($G110="","",IF(ISNUMBER(SEARCH("non",LOWER($E110&amp;""))),$G110*0.85,$G110))))</x:f>
      </x:c>
      <x:c r="O110" s="987" t="str">
        <x:f>IF(COUNTA($A110:$M110)=0,"",IF(OR(LOWER($F110&amp;"")="subscription",LOWER($F110&amp;"")="membership"),"",IF(OR($N110="",$I110="",$I110=0),"",IFERROR($N110/$I110,""))))</x:f>
      </x:c>
      <x:c r="P110" s="987" t="str">
        <x:f>IF(COUNTA($A110:$M110)=0,"",IF(OR(LOWER($F110&amp;"")="subscription",LOWER($F110&amp;"")="membership"),"",IF(LOWER($L110&amp;"")="yes",0,IF($K110&lt;&gt;"",$K110,IF($O110&lt;&gt;"",$O110,"")))))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IF(COUNTA($A110:$M110)=0,"",IF(OR(LOWER($F110&amp;"")="subscription",LOWER($F110&amp;"")="membership"),"Subscription",IF(OR(AND($H110&lt;&gt;"",$H110=0),LOWER($F110&amp;"")="free game",LOWER($F110&amp;"")="free",LOWER($F110&amp;"")="free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986"/>
      <x:c r="H111" s="455"/>
      <x:c r="I111" s="456"/>
      <x:c r="J111" s="456"/>
      <x:c r="K111" s="986"/>
      <x:c r="L111" s="454"/>
      <x:c r="M111" s="439"/>
      <x:c r="N111" s="987" t="str">
        <x:f>IF(COUNTA($A111:$M111)=0,"",IF(OR(LOWER($F111&amp;"")="subscription",LOWER($F111&amp;"")="membership"),"",IF($G111="","",IF(ISNUMBER(SEARCH("non",LOWER($E111&amp;""))),$G111*0.85,$G111))))</x:f>
      </x:c>
      <x:c r="O111" s="987" t="str">
        <x:f>IF(COUNTA($A111:$M111)=0,"",IF(OR(LOWER($F111&amp;"")="subscription",LOWER($F111&amp;"")="membership"),"",IF(OR($N111="",$I111="",$I111=0),"",IFERROR($N111/$I111,""))))</x:f>
      </x:c>
      <x:c r="P111" s="987" t="str">
        <x:f>IF(COUNTA($A111:$M111)=0,"",IF(OR(LOWER($F111&amp;"")="subscription",LOWER($F111&amp;"")="membership"),"",IF(LOWER($L111&amp;"")="yes",0,IF($K111&lt;&gt;"",$K111,IF($O111&lt;&gt;"",$O111,"")))))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IF(COUNTA($A111:$M111)=0,"",IF(OR(LOWER($F111&amp;"")="subscription",LOWER($F111&amp;"")="membership"),"Subscription",IF(OR(AND($H111&lt;&gt;"",$H111=0),LOWER($F111&amp;"")="free game",LOWER($F111&amp;"")="free",LOWER($F111&amp;"")="free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986"/>
      <x:c r="H112" s="455"/>
      <x:c r="I112" s="456"/>
      <x:c r="J112" s="456"/>
      <x:c r="K112" s="986"/>
      <x:c r="L112" s="454"/>
      <x:c r="M112" s="439"/>
      <x:c r="N112" s="987" t="str">
        <x:f>IF(COUNTA($A112:$M112)=0,"",IF(OR(LOWER($F112&amp;"")="subscription",LOWER($F112&amp;"")="membership"),"",IF($G112="","",IF(ISNUMBER(SEARCH("non",LOWER($E112&amp;""))),$G112*0.85,$G112))))</x:f>
      </x:c>
      <x:c r="O112" s="987" t="str">
        <x:f>IF(COUNTA($A112:$M112)=0,"",IF(OR(LOWER($F112&amp;"")="subscription",LOWER($F112&amp;"")="membership"),"",IF(OR($N112="",$I112="",$I112=0),"",IFERROR($N112/$I112,""))))</x:f>
      </x:c>
      <x:c r="P112" s="987" t="str">
        <x:f>IF(COUNTA($A112:$M112)=0,"",IF(OR(LOWER($F112&amp;"")="subscription",LOWER($F112&amp;"")="membership"),"",IF(LOWER($L112&amp;"")="yes",0,IF($K112&lt;&gt;"",$K112,IF($O112&lt;&gt;"",$O112,"")))))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IF(COUNTA($A112:$M112)=0,"",IF(OR(LOWER($F112&amp;"")="subscription",LOWER($F112&amp;"")="membership"),"Subscription",IF(OR(AND($H112&lt;&gt;"",$H112=0),LOWER($F112&amp;"")="free game",LOWER($F112&amp;"")="free",LOWER($F112&amp;"")="free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986"/>
      <x:c r="H113" s="455"/>
      <x:c r="I113" s="456"/>
      <x:c r="J113" s="456"/>
      <x:c r="K113" s="986"/>
      <x:c r="L113" s="454"/>
      <x:c r="M113" s="439"/>
      <x:c r="N113" s="987" t="str">
        <x:f>IF(COUNTA($A113:$M113)=0,"",IF(OR(LOWER($F113&amp;"")="subscription",LOWER($F113&amp;"")="membership"),"",IF($G113="","",IF(ISNUMBER(SEARCH("non",LOWER($E113&amp;""))),$G113*0.85,$G113))))</x:f>
      </x:c>
      <x:c r="O113" s="987" t="str">
        <x:f>IF(COUNTA($A113:$M113)=0,"",IF(OR(LOWER($F113&amp;"")="subscription",LOWER($F113&amp;"")="membership"),"",IF(OR($N113="",$I113="",$I113=0),"",IFERROR($N113/$I113,""))))</x:f>
      </x:c>
      <x:c r="P113" s="987" t="str">
        <x:f>IF(COUNTA($A113:$M113)=0,"",IF(OR(LOWER($F113&amp;"")="subscription",LOWER($F113&amp;"")="membership"),"",IF(LOWER($L113&amp;"")="yes",0,IF($K113&lt;&gt;"",$K113,IF($O113&lt;&gt;"",$O113,"")))))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IF(COUNTA($A113:$M113)=0,"",IF(OR(LOWER($F113&amp;"")="subscription",LOWER($F113&amp;"")="membership"),"Subscription",IF(OR(AND($H113&lt;&gt;"",$H113=0),LOWER($F113&amp;"")="free game",LOWER($F113&amp;"")="free",LOWER($F113&amp;"")="free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986"/>
      <x:c r="H114" s="455"/>
      <x:c r="I114" s="456"/>
      <x:c r="J114" s="456"/>
      <x:c r="K114" s="986"/>
      <x:c r="L114" s="454"/>
      <x:c r="M114" s="439"/>
      <x:c r="N114" s="987" t="str">
        <x:f>IF(COUNTA($A114:$M114)=0,"",IF(OR(LOWER($F114&amp;"")="subscription",LOWER($F114&amp;"")="membership"),"",IF($G114="","",IF(ISNUMBER(SEARCH("non",LOWER($E114&amp;""))),$G114*0.85,$G114))))</x:f>
      </x:c>
      <x:c r="O114" s="987" t="str">
        <x:f>IF(COUNTA($A114:$M114)=0,"",IF(OR(LOWER($F114&amp;"")="subscription",LOWER($F114&amp;"")="membership"),"",IF(OR($N114="",$I114="",$I114=0),"",IFERROR($N114/$I114,""))))</x:f>
      </x:c>
      <x:c r="P114" s="987" t="str">
        <x:f>IF(COUNTA($A114:$M114)=0,"",IF(OR(LOWER($F114&amp;"")="subscription",LOWER($F114&amp;"")="membership"),"",IF(LOWER($L114&amp;"")="yes",0,IF($K114&lt;&gt;"",$K114,IF($O114&lt;&gt;"",$O114,"")))))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IF(COUNTA($A114:$M114)=0,"",IF(OR(LOWER($F114&amp;"")="subscription",LOWER($F114&amp;"")="membership"),"Subscription",IF(OR(AND($H114&lt;&gt;"",$H114=0),LOWER($F114&amp;"")="free game",LOWER($F114&amp;"")="free",LOWER($F114&amp;"")="free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986"/>
      <x:c r="H115" s="455"/>
      <x:c r="I115" s="456"/>
      <x:c r="J115" s="456"/>
      <x:c r="K115" s="986"/>
      <x:c r="L115" s="454"/>
      <x:c r="M115" s="439"/>
      <x:c r="N115" s="987" t="str">
        <x:f>IF(COUNTA($A115:$M115)=0,"",IF(OR(LOWER($F115&amp;"")="subscription",LOWER($F115&amp;"")="membership"),"",IF($G115="","",IF(ISNUMBER(SEARCH("non",LOWER($E115&amp;""))),$G115*0.85,$G115))))</x:f>
      </x:c>
      <x:c r="O115" s="987" t="str">
        <x:f>IF(COUNTA($A115:$M115)=0,"",IF(OR(LOWER($F115&amp;"")="subscription",LOWER($F115&amp;"")="membership"),"",IF(OR($N115="",$I115="",$I115=0),"",IFERROR($N115/$I115,""))))</x:f>
      </x:c>
      <x:c r="P115" s="987" t="str">
        <x:f>IF(COUNTA($A115:$M115)=0,"",IF(OR(LOWER($F115&amp;"")="subscription",LOWER($F115&amp;"")="membership"),"",IF(LOWER($L115&amp;"")="yes",0,IF($K115&lt;&gt;"",$K115,IF($O115&lt;&gt;"",$O115,"")))))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IF(COUNTA($A115:$M115)=0,"",IF(OR(LOWER($F115&amp;"")="subscription",LOWER($F115&amp;"")="membership"),"Subscription",IF(OR(AND($H115&lt;&gt;"",$H115=0),LOWER($F115&amp;"")="free game",LOWER($F115&amp;"")="free",LOWER($F115&amp;"")="free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986"/>
      <x:c r="H116" s="455"/>
      <x:c r="I116" s="456"/>
      <x:c r="J116" s="456"/>
      <x:c r="K116" s="986"/>
      <x:c r="L116" s="454"/>
      <x:c r="M116" s="439"/>
      <x:c r="N116" s="987" t="str">
        <x:f>IF(COUNTA($A116:$M116)=0,"",IF(OR(LOWER($F116&amp;"")="subscription",LOWER($F116&amp;"")="membership"),"",IF($G116="","",IF(ISNUMBER(SEARCH("non",LOWER($E116&amp;""))),$G116*0.85,$G116))))</x:f>
      </x:c>
      <x:c r="O116" s="987" t="str">
        <x:f>IF(COUNTA($A116:$M116)=0,"",IF(OR(LOWER($F116&amp;"")="subscription",LOWER($F116&amp;"")="membership"),"",IF(OR($N116="",$I116="",$I116=0),"",IFERROR($N116/$I116,""))))</x:f>
      </x:c>
      <x:c r="P116" s="987" t="str">
        <x:f>IF(COUNTA($A116:$M116)=0,"",IF(OR(LOWER($F116&amp;"")="subscription",LOWER($F116&amp;"")="membership"),"",IF(LOWER($L116&amp;"")="yes",0,IF($K116&lt;&gt;"",$K116,IF($O116&lt;&gt;"",$O116,"")))))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IF(COUNTA($A116:$M116)=0,"",IF(OR(LOWER($F116&amp;"")="subscription",LOWER($F116&amp;"")="membership"),"Subscription",IF(OR(AND($H116&lt;&gt;"",$H116=0),LOWER($F116&amp;"")="free game",LOWER($F116&amp;"")="free",LOWER($F116&amp;"")="free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986"/>
      <x:c r="H117" s="455"/>
      <x:c r="I117" s="456"/>
      <x:c r="J117" s="456"/>
      <x:c r="K117" s="986"/>
      <x:c r="L117" s="454"/>
      <x:c r="M117" s="439"/>
      <x:c r="N117" s="987" t="str">
        <x:f>IF(COUNTA($A117:$M117)=0,"",IF(OR(LOWER($F117&amp;"")="subscription",LOWER($F117&amp;"")="membership"),"",IF($G117="","",IF(ISNUMBER(SEARCH("non",LOWER($E117&amp;""))),$G117*0.85,$G117))))</x:f>
      </x:c>
      <x:c r="O117" s="987" t="str">
        <x:f>IF(COUNTA($A117:$M117)=0,"",IF(OR(LOWER($F117&amp;"")="subscription",LOWER($F117&amp;"")="membership"),"",IF(OR($N117="",$I117="",$I117=0),"",IFERROR($N117/$I117,""))))</x:f>
      </x:c>
      <x:c r="P117" s="987" t="str">
        <x:f>IF(COUNTA($A117:$M117)=0,"",IF(OR(LOWER($F117&amp;"")="subscription",LOWER($F117&amp;"")="membership"),"",IF(LOWER($L117&amp;"")="yes",0,IF($K117&lt;&gt;"",$K117,IF($O117&lt;&gt;"",$O117,"")))))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IF(COUNTA($A117:$M117)=0,"",IF(OR(LOWER($F117&amp;"")="subscription",LOWER($F117&amp;"")="membership"),"Subscription",IF(OR(AND($H117&lt;&gt;"",$H117=0),LOWER($F117&amp;"")="free game",LOWER($F117&amp;"")="free",LOWER($F117&amp;"")="free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986"/>
      <x:c r="H118" s="455"/>
      <x:c r="I118" s="456"/>
      <x:c r="J118" s="456"/>
      <x:c r="K118" s="986"/>
      <x:c r="L118" s="454"/>
      <x:c r="M118" s="439"/>
      <x:c r="N118" s="987" t="str">
        <x:f>IF(COUNTA($A118:$M118)=0,"",IF(OR(LOWER($F118&amp;"")="subscription",LOWER($F118&amp;"")="membership"),"",IF($G118="","",IF(ISNUMBER(SEARCH("non",LOWER($E118&amp;""))),$G118*0.85,$G118))))</x:f>
      </x:c>
      <x:c r="O118" s="987" t="str">
        <x:f>IF(COUNTA($A118:$M118)=0,"",IF(OR(LOWER($F118&amp;"")="subscription",LOWER($F118&amp;"")="membership"),"",IF(OR($N118="",$I118="",$I118=0),"",IFERROR($N118/$I118,""))))</x:f>
      </x:c>
      <x:c r="P118" s="987" t="str">
        <x:f>IF(COUNTA($A118:$M118)=0,"",IF(OR(LOWER($F118&amp;"")="subscription",LOWER($F118&amp;"")="membership"),"",IF(LOWER($L118&amp;"")="yes",0,IF($K118&lt;&gt;"",$K118,IF($O118&lt;&gt;"",$O118,"")))))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IF(COUNTA($A118:$M118)=0,"",IF(OR(LOWER($F118&amp;"")="subscription",LOWER($F118&amp;"")="membership"),"Subscription",IF(OR(AND($H118&lt;&gt;"",$H118=0),LOWER($F118&amp;"")="free game",LOWER($F118&amp;"")="free",LOWER($F118&amp;"")="free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986"/>
      <x:c r="H119" s="455"/>
      <x:c r="I119" s="456"/>
      <x:c r="J119" s="456"/>
      <x:c r="K119" s="986"/>
      <x:c r="L119" s="454"/>
      <x:c r="M119" s="439"/>
      <x:c r="N119" s="987" t="str">
        <x:f>IF(COUNTA($A119:$M119)=0,"",IF(OR(LOWER($F119&amp;"")="subscription",LOWER($F119&amp;"")="membership"),"",IF($G119="","",IF(ISNUMBER(SEARCH("non",LOWER($E119&amp;""))),$G119*0.85,$G119))))</x:f>
      </x:c>
      <x:c r="O119" s="987" t="str">
        <x:f>IF(COUNTA($A119:$M119)=0,"",IF(OR(LOWER($F119&amp;"")="subscription",LOWER($F119&amp;"")="membership"),"",IF(OR($N119="",$I119="",$I119=0),"",IFERROR($N119/$I119,""))))</x:f>
      </x:c>
      <x:c r="P119" s="987" t="str">
        <x:f>IF(COUNTA($A119:$M119)=0,"",IF(OR(LOWER($F119&amp;"")="subscription",LOWER($F119&amp;"")="membership"),"",IF(LOWER($L119&amp;"")="yes",0,IF($K119&lt;&gt;"",$K119,IF($O119&lt;&gt;"",$O119,"")))))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IF(COUNTA($A119:$M119)=0,"",IF(OR(LOWER($F119&amp;"")="subscription",LOWER($F119&amp;"")="membership"),"Subscription",IF(OR(AND($H119&lt;&gt;"",$H119=0),LOWER($F119&amp;"")="free game",LOWER($F119&amp;"")="free",LOWER($F119&amp;"")="free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986"/>
      <x:c r="H120" s="455"/>
      <x:c r="I120" s="456"/>
      <x:c r="J120" s="456"/>
      <x:c r="K120" s="986"/>
      <x:c r="L120" s="454"/>
      <x:c r="M120" s="439"/>
      <x:c r="N120" s="987" t="str">
        <x:f>IF(COUNTA($A120:$M120)=0,"",IF(OR(LOWER($F120&amp;"")="subscription",LOWER($F120&amp;"")="membership"),"",IF($G120="","",IF(ISNUMBER(SEARCH("non",LOWER($E120&amp;""))),$G120*0.85,$G120))))</x:f>
      </x:c>
      <x:c r="O120" s="987" t="str">
        <x:f>IF(COUNTA($A120:$M120)=0,"",IF(OR(LOWER($F120&amp;"")="subscription",LOWER($F120&amp;"")="membership"),"",IF(OR($N120="",$I120="",$I120=0),"",IFERROR($N120/$I120,""))))</x:f>
      </x:c>
      <x:c r="P120" s="987" t="str">
        <x:f>IF(COUNTA($A120:$M120)=0,"",IF(OR(LOWER($F120&amp;"")="subscription",LOWER($F120&amp;"")="membership"),"",IF(LOWER($L120&amp;"")="yes",0,IF($K120&lt;&gt;"",$K120,IF($O120&lt;&gt;"",$O120,"")))))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IF(COUNTA($A120:$M120)=0,"",IF(OR(LOWER($F120&amp;"")="subscription",LOWER($F120&amp;"")="membership"),"Subscription",IF(OR(AND($H120&lt;&gt;"",$H120=0),LOWER($F120&amp;"")="free game",LOWER($F120&amp;"")="free",LOWER($F120&amp;"")="free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986"/>
      <x:c r="H121" s="455"/>
      <x:c r="I121" s="456"/>
      <x:c r="J121" s="456"/>
      <x:c r="K121" s="986"/>
      <x:c r="L121" s="454"/>
      <x:c r="M121" s="439"/>
      <x:c r="N121" s="987" t="str">
        <x:f>IF(COUNTA($A121:$M121)=0,"",IF(OR(LOWER($F121&amp;"")="subscription",LOWER($F121&amp;"")="membership"),"",IF($G121="","",IF(ISNUMBER(SEARCH("non",LOWER($E121&amp;""))),$G121*0.85,$G121))))</x:f>
      </x:c>
      <x:c r="O121" s="987" t="str">
        <x:f>IF(COUNTA($A121:$M121)=0,"",IF(OR(LOWER($F121&amp;"")="subscription",LOWER($F121&amp;"")="membership"),"",IF(OR($N121="",$I121="",$I121=0),"",IFERROR($N121/$I121,""))))</x:f>
      </x:c>
      <x:c r="P121" s="987" t="str">
        <x:f>IF(COUNTA($A121:$M121)=0,"",IF(OR(LOWER($F121&amp;"")="subscription",LOWER($F121&amp;"")="membership"),"",IF(LOWER($L121&amp;"")="yes",0,IF($K121&lt;&gt;"",$K121,IF($O121&lt;&gt;"",$O121,"")))))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IF(COUNTA($A121:$M121)=0,"",IF(OR(LOWER($F121&amp;"")="subscription",LOWER($F121&amp;"")="membership"),"Subscription",IF(OR(AND($H121&lt;&gt;"",$H121=0),LOWER($F121&amp;"")="free game",LOWER($F121&amp;"")="free",LOWER($F121&amp;"")="free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986"/>
      <x:c r="H122" s="455"/>
      <x:c r="I122" s="456"/>
      <x:c r="J122" s="456"/>
      <x:c r="K122" s="986"/>
      <x:c r="L122" s="454"/>
      <x:c r="M122" s="439"/>
      <x:c r="N122" s="987" t="str">
        <x:f>IF(COUNTA($A122:$M122)=0,"",IF(OR(LOWER($F122&amp;"")="subscription",LOWER($F122&amp;"")="membership"),"",IF($G122="","",IF(ISNUMBER(SEARCH("non",LOWER($E122&amp;""))),$G122*0.85,$G122))))</x:f>
      </x:c>
      <x:c r="O122" s="987" t="str">
        <x:f>IF(COUNTA($A122:$M122)=0,"",IF(OR(LOWER($F122&amp;"")="subscription",LOWER($F122&amp;"")="membership"),"",IF(OR($N122="",$I122="",$I122=0),"",IFERROR($N122/$I122,""))))</x:f>
      </x:c>
      <x:c r="P122" s="987" t="str">
        <x:f>IF(COUNTA($A122:$M122)=0,"",IF(OR(LOWER($F122&amp;"")="subscription",LOWER($F122&amp;"")="membership"),"",IF(LOWER($L122&amp;"")="yes",0,IF($K122&lt;&gt;"",$K122,IF($O122&lt;&gt;"",$O122,"")))))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IF(COUNTA($A122:$M122)=0,"",IF(OR(LOWER($F122&amp;"")="subscription",LOWER($F122&amp;"")="membership"),"Subscription",IF(OR(AND($H122&lt;&gt;"",$H122=0),LOWER($F122&amp;"")="free game",LOWER($F122&amp;"")="free",LOWER($F122&amp;"")="free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986"/>
      <x:c r="H123" s="455"/>
      <x:c r="I123" s="456"/>
      <x:c r="J123" s="456"/>
      <x:c r="K123" s="986"/>
      <x:c r="L123" s="454"/>
      <x:c r="M123" s="439"/>
      <x:c r="N123" s="987" t="str">
        <x:f>IF(COUNTA($A123:$M123)=0,"",IF(OR(LOWER($F123&amp;"")="subscription",LOWER($F123&amp;"")="membership"),"",IF($G123="","",IF(ISNUMBER(SEARCH("non",LOWER($E123&amp;""))),$G123*0.85,$G123))))</x:f>
      </x:c>
      <x:c r="O123" s="987" t="str">
        <x:f>IF(COUNTA($A123:$M123)=0,"",IF(OR(LOWER($F123&amp;"")="subscription",LOWER($F123&amp;"")="membership"),"",IF(OR($N123="",$I123="",$I123=0),"",IFERROR($N123/$I123,""))))</x:f>
      </x:c>
      <x:c r="P123" s="987" t="str">
        <x:f>IF(COUNTA($A123:$M123)=0,"",IF(OR(LOWER($F123&amp;"")="subscription",LOWER($F123&amp;"")="membership"),"",IF(LOWER($L123&amp;"")="yes",0,IF($K123&lt;&gt;"",$K123,IF($O123&lt;&gt;"",$O123,"")))))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IF(COUNTA($A123:$M123)=0,"",IF(OR(LOWER($F123&amp;"")="subscription",LOWER($F123&amp;"")="membership"),"Subscription",IF(OR(AND($H123&lt;&gt;"",$H123=0),LOWER($F123&amp;"")="free game",LOWER($F123&amp;"")="free",LOWER($F123&amp;"")="free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986"/>
      <x:c r="H124" s="455"/>
      <x:c r="I124" s="456"/>
      <x:c r="J124" s="456"/>
      <x:c r="K124" s="986"/>
      <x:c r="L124" s="454"/>
      <x:c r="M124" s="439"/>
      <x:c r="N124" s="987" t="str">
        <x:f>IF(COUNTA($A124:$M124)=0,"",IF(OR(LOWER($F124&amp;"")="subscription",LOWER($F124&amp;"")="membership"),"",IF($G124="","",IF(ISNUMBER(SEARCH("non",LOWER($E124&amp;""))),$G124*0.85,$G124))))</x:f>
      </x:c>
      <x:c r="O124" s="987" t="str">
        <x:f>IF(COUNTA($A124:$M124)=0,"",IF(OR(LOWER($F124&amp;"")="subscription",LOWER($F124&amp;"")="membership"),"",IF(OR($N124="",$I124="",$I124=0),"",IFERROR($N124/$I124,""))))</x:f>
      </x:c>
      <x:c r="P124" s="987" t="str">
        <x:f>IF(COUNTA($A124:$M124)=0,"",IF(OR(LOWER($F124&amp;"")="subscription",LOWER($F124&amp;"")="membership"),"",IF(LOWER($L124&amp;"")="yes",0,IF($K124&lt;&gt;"",$K124,IF($O124&lt;&gt;"",$O124,"")))))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IF(COUNTA($A124:$M124)=0,"",IF(OR(LOWER($F124&amp;"")="subscription",LOWER($F124&amp;"")="membership"),"Subscription",IF(OR(AND($H124&lt;&gt;"",$H124=0),LOWER($F124&amp;"")="free game",LOWER($F124&amp;"")="free",LOWER($F124&amp;"")="free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986"/>
      <x:c r="H125" s="455"/>
      <x:c r="I125" s="456"/>
      <x:c r="J125" s="456"/>
      <x:c r="K125" s="986"/>
      <x:c r="L125" s="454"/>
      <x:c r="M125" s="439"/>
      <x:c r="N125" s="987" t="str">
        <x:f>IF(COUNTA($A125:$M125)=0,"",IF(OR(LOWER($F125&amp;"")="subscription",LOWER($F125&amp;"")="membership"),"",IF($G125="","",IF(ISNUMBER(SEARCH("non",LOWER($E125&amp;""))),$G125*0.85,$G125))))</x:f>
      </x:c>
      <x:c r="O125" s="987" t="str">
        <x:f>IF(COUNTA($A125:$M125)=0,"",IF(OR(LOWER($F125&amp;"")="subscription",LOWER($F125&amp;"")="membership"),"",IF(OR($N125="",$I125="",$I125=0),"",IFERROR($N125/$I125,""))))</x:f>
      </x:c>
      <x:c r="P125" s="987" t="str">
        <x:f>IF(COUNTA($A125:$M125)=0,"",IF(OR(LOWER($F125&amp;"")="subscription",LOWER($F125&amp;"")="membership"),"",IF(LOWER($L125&amp;"")="yes",0,IF($K125&lt;&gt;"",$K125,IF($O125&lt;&gt;"",$O125,"")))))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IF(COUNTA($A125:$M125)=0,"",IF(OR(LOWER($F125&amp;"")="subscription",LOWER($F125&amp;"")="membership"),"Subscription",IF(OR(AND($H125&lt;&gt;"",$H125=0),LOWER($F125&amp;"")="free game",LOWER($F125&amp;"")="free",LOWER($F125&amp;"")="free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986"/>
      <x:c r="H126" s="455"/>
      <x:c r="I126" s="456"/>
      <x:c r="J126" s="456"/>
      <x:c r="K126" s="986"/>
      <x:c r="L126" s="454"/>
      <x:c r="M126" s="439"/>
      <x:c r="N126" s="987" t="str">
        <x:f>IF(COUNTA($A126:$M126)=0,"",IF(OR(LOWER($F126&amp;"")="subscription",LOWER($F126&amp;"")="membership"),"",IF($G126="","",IF(ISNUMBER(SEARCH("non",LOWER($E126&amp;""))),$G126*0.85,$G126))))</x:f>
      </x:c>
      <x:c r="O126" s="987" t="str">
        <x:f>IF(COUNTA($A126:$M126)=0,"",IF(OR(LOWER($F126&amp;"")="subscription",LOWER($F126&amp;"")="membership"),"",IF(OR($N126="",$I126="",$I126=0),"",IFERROR($N126/$I126,""))))</x:f>
      </x:c>
      <x:c r="P126" s="987" t="str">
        <x:f>IF(COUNTA($A126:$M126)=0,"",IF(OR(LOWER($F126&amp;"")="subscription",LOWER($F126&amp;"")="membership"),"",IF(LOWER($L126&amp;"")="yes",0,IF($K126&lt;&gt;"",$K126,IF($O126&lt;&gt;"",$O126,"")))))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IF(COUNTA($A126:$M126)=0,"",IF(OR(LOWER($F126&amp;"")="subscription",LOWER($F126&amp;"")="membership"),"Subscription",IF(OR(AND($H126&lt;&gt;"",$H126=0),LOWER($F126&amp;"")="free game",LOWER($F126&amp;"")="free",LOWER($F126&amp;"")="free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986"/>
      <x:c r="H127" s="455"/>
      <x:c r="I127" s="456"/>
      <x:c r="J127" s="456"/>
      <x:c r="K127" s="986"/>
      <x:c r="L127" s="454"/>
      <x:c r="M127" s="439"/>
      <x:c r="N127" s="987" t="str">
        <x:f>IF(COUNTA($A127:$M127)=0,"",IF(OR(LOWER($F127&amp;"")="subscription",LOWER($F127&amp;"")="membership"),"",IF($G127="","",IF(ISNUMBER(SEARCH("non",LOWER($E127&amp;""))),$G127*0.85,$G127))))</x:f>
      </x:c>
      <x:c r="O127" s="987" t="str">
        <x:f>IF(COUNTA($A127:$M127)=0,"",IF(OR(LOWER($F127&amp;"")="subscription",LOWER($F127&amp;"")="membership"),"",IF(OR($N127="",$I127="",$I127=0),"",IFERROR($N127/$I127,""))))</x:f>
      </x:c>
      <x:c r="P127" s="987" t="str">
        <x:f>IF(COUNTA($A127:$M127)=0,"",IF(OR(LOWER($F127&amp;"")="subscription",LOWER($F127&amp;"")="membership"),"",IF(LOWER($L127&amp;"")="yes",0,IF($K127&lt;&gt;"",$K127,IF($O127&lt;&gt;"",$O127,"")))))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IF(COUNTA($A127:$M127)=0,"",IF(OR(LOWER($F127&amp;"")="subscription",LOWER($F127&amp;"")="membership"),"Subscription",IF(OR(AND($H127&lt;&gt;"",$H127=0),LOWER($F127&amp;"")="free game",LOWER($F127&amp;"")="free",LOWER($F127&amp;"")="free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986"/>
      <x:c r="H128" s="455"/>
      <x:c r="I128" s="456"/>
      <x:c r="J128" s="456"/>
      <x:c r="K128" s="986"/>
      <x:c r="L128" s="454"/>
      <x:c r="M128" s="439"/>
      <x:c r="N128" s="987" t="str">
        <x:f>IF(COUNTA($A128:$M128)=0,"",IF(OR(LOWER($F128&amp;"")="subscription",LOWER($F128&amp;"")="membership"),"",IF($G128="","",IF(ISNUMBER(SEARCH("non",LOWER($E128&amp;""))),$G128*0.85,$G128))))</x:f>
      </x:c>
      <x:c r="O128" s="987" t="str">
        <x:f>IF(COUNTA($A128:$M128)=0,"",IF(OR(LOWER($F128&amp;"")="subscription",LOWER($F128&amp;"")="membership"),"",IF(OR($N128="",$I128="",$I128=0),"",IFERROR($N128/$I128,""))))</x:f>
      </x:c>
      <x:c r="P128" s="987" t="str">
        <x:f>IF(COUNTA($A128:$M128)=0,"",IF(OR(LOWER($F128&amp;"")="subscription",LOWER($F128&amp;"")="membership"),"",IF(LOWER($L128&amp;"")="yes",0,IF($K128&lt;&gt;"",$K128,IF($O128&lt;&gt;"",$O128,"")))))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IF(COUNTA($A128:$M128)=0,"",IF(OR(LOWER($F128&amp;"")="subscription",LOWER($F128&amp;"")="membership"),"Subscription",IF(OR(AND($H128&lt;&gt;"",$H128=0),LOWER($F128&amp;"")="free game",LOWER($F128&amp;"")="free",LOWER($F128&amp;"")="free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986"/>
      <x:c r="H129" s="455"/>
      <x:c r="I129" s="456"/>
      <x:c r="J129" s="456"/>
      <x:c r="K129" s="986"/>
      <x:c r="L129" s="454"/>
      <x:c r="M129" s="439"/>
      <x:c r="N129" s="987" t="str">
        <x:f>IF(COUNTA($A129:$M129)=0,"",IF(OR(LOWER($F129&amp;"")="subscription",LOWER($F129&amp;"")="membership"),"",IF($G129="","",IF(ISNUMBER(SEARCH("non",LOWER($E129&amp;""))),$G129*0.85,$G129))))</x:f>
      </x:c>
      <x:c r="O129" s="987" t="str">
        <x:f>IF(COUNTA($A129:$M129)=0,"",IF(OR(LOWER($F129&amp;"")="subscription",LOWER($F129&amp;"")="membership"),"",IF(OR($N129="",$I129="",$I129=0),"",IFERROR($N129/$I129,""))))</x:f>
      </x:c>
      <x:c r="P129" s="987" t="str">
        <x:f>IF(COUNTA($A129:$M129)=0,"",IF(OR(LOWER($F129&amp;"")="subscription",LOWER($F129&amp;"")="membership"),"",IF(LOWER($L129&amp;"")="yes",0,IF($K129&lt;&gt;"",$K129,IF($O129&lt;&gt;"",$O129,"")))))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IF(COUNTA($A129:$M129)=0,"",IF(OR(LOWER($F129&amp;"")="subscription",LOWER($F129&amp;"")="membership"),"Subscription",IF(OR(AND($H129&lt;&gt;"",$H129=0),LOWER($F129&amp;"")="free game",LOWER($F129&amp;"")="free",LOWER($F129&amp;"")="free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986"/>
      <x:c r="H130" s="455"/>
      <x:c r="I130" s="456"/>
      <x:c r="J130" s="456"/>
      <x:c r="K130" s="986"/>
      <x:c r="L130" s="454"/>
      <x:c r="M130" s="439"/>
      <x:c r="N130" s="987" t="str">
        <x:f>IF(COUNTA($A130:$M130)=0,"",IF(OR(LOWER($F130&amp;"")="subscription",LOWER($F130&amp;"")="membership"),"",IF($G130="","",IF(ISNUMBER(SEARCH("non",LOWER($E130&amp;""))),$G130*0.85,$G130))))</x:f>
      </x:c>
      <x:c r="O130" s="987" t="str">
        <x:f>IF(COUNTA($A130:$M130)=0,"",IF(OR(LOWER($F130&amp;"")="subscription",LOWER($F130&amp;"")="membership"),"",IF(OR($N130="",$I130="",$I130=0),"",IFERROR($N130/$I130,""))))</x:f>
      </x:c>
      <x:c r="P130" s="987" t="str">
        <x:f>IF(COUNTA($A130:$M130)=0,"",IF(OR(LOWER($F130&amp;"")="subscription",LOWER($F130&amp;"")="membership"),"",IF(LOWER($L130&amp;"")="yes",0,IF($K130&lt;&gt;"",$K130,IF($O130&lt;&gt;"",$O130,"")))))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IF(COUNTA($A130:$M130)=0,"",IF(OR(LOWER($F130&amp;"")="subscription",LOWER($F130&amp;"")="membership"),"Subscription",IF(OR(AND($H130&lt;&gt;"",$H130=0),LOWER($F130&amp;"")="free game",LOWER($F130&amp;"")="free",LOWER($F130&amp;"")="free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986"/>
      <x:c r="H131" s="455"/>
      <x:c r="I131" s="456"/>
      <x:c r="J131" s="456"/>
      <x:c r="K131" s="986"/>
      <x:c r="L131" s="454"/>
      <x:c r="M131" s="439"/>
      <x:c r="N131" s="987" t="str">
        <x:f>IF(COUNTA($A131:$M131)=0,"",IF(OR(LOWER($F131&amp;"")="subscription",LOWER($F131&amp;"")="membership"),"",IF($G131="","",IF(ISNUMBER(SEARCH("non",LOWER($E131&amp;""))),$G131*0.85,$G131))))</x:f>
      </x:c>
      <x:c r="O131" s="987" t="str">
        <x:f>IF(COUNTA($A131:$M131)=0,"",IF(OR(LOWER($F131&amp;"")="subscription",LOWER($F131&amp;"")="membership"),"",IF(OR($N131="",$I131="",$I131=0),"",IFERROR($N131/$I131,""))))</x:f>
      </x:c>
      <x:c r="P131" s="987" t="str">
        <x:f>IF(COUNTA($A131:$M131)=0,"",IF(OR(LOWER($F131&amp;"")="subscription",LOWER($F131&amp;"")="membership"),"",IF(LOWER($L131&amp;"")="yes",0,IF($K131&lt;&gt;"",$K131,IF($O131&lt;&gt;"",$O131,"")))))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IF(COUNTA($A131:$M131)=0,"",IF(OR(LOWER($F131&amp;"")="subscription",LOWER($F131&amp;"")="membership"),"Subscription",IF(OR(AND($H131&lt;&gt;"",$H131=0),LOWER($F131&amp;"")="free game",LOWER($F131&amp;"")="free",LOWER($F131&amp;"")="free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986"/>
      <x:c r="H132" s="455"/>
      <x:c r="I132" s="456"/>
      <x:c r="J132" s="456"/>
      <x:c r="K132" s="986"/>
      <x:c r="L132" s="454"/>
      <x:c r="M132" s="439"/>
      <x:c r="N132" s="987" t="str">
        <x:f>IF(COUNTA($A132:$M132)=0,"",IF(OR(LOWER($F132&amp;"")="subscription",LOWER($F132&amp;"")="membership"),"",IF($G132="","",IF(ISNUMBER(SEARCH("non",LOWER($E132&amp;""))),$G132*0.85,$G132))))</x:f>
      </x:c>
      <x:c r="O132" s="987" t="str">
        <x:f>IF(COUNTA($A132:$M132)=0,"",IF(OR(LOWER($F132&amp;"")="subscription",LOWER($F132&amp;"")="membership"),"",IF(OR($N132="",$I132="",$I132=0),"",IFERROR($N132/$I132,""))))</x:f>
      </x:c>
      <x:c r="P132" s="987" t="str">
        <x:f>IF(COUNTA($A132:$M132)=0,"",IF(OR(LOWER($F132&amp;"")="subscription",LOWER($F132&amp;"")="membership"),"",IF(LOWER($L132&amp;"")="yes",0,IF($K132&lt;&gt;"",$K132,IF($O132&lt;&gt;"",$O132,"")))))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IF(COUNTA($A132:$M132)=0,"",IF(OR(LOWER($F132&amp;"")="subscription",LOWER($F132&amp;"")="membership"),"Subscription",IF(OR(AND($H132&lt;&gt;"",$H132=0),LOWER($F132&amp;"")="free game",LOWER($F132&amp;"")="free",LOWER($F132&amp;"")="free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986"/>
      <x:c r="H133" s="455"/>
      <x:c r="I133" s="456"/>
      <x:c r="J133" s="456"/>
      <x:c r="K133" s="986"/>
      <x:c r="L133" s="454"/>
      <x:c r="M133" s="439"/>
      <x:c r="N133" s="987" t="str">
        <x:f>IF(COUNTA($A133:$M133)=0,"",IF(OR(LOWER($F133&amp;"")="subscription",LOWER($F133&amp;"")="membership"),"",IF($G133="","",IF(ISNUMBER(SEARCH("non",LOWER($E133&amp;""))),$G133*0.85,$G133))))</x:f>
      </x:c>
      <x:c r="O133" s="987" t="str">
        <x:f>IF(COUNTA($A133:$M133)=0,"",IF(OR(LOWER($F133&amp;"")="subscription",LOWER($F133&amp;"")="membership"),"",IF(OR($N133="",$I133="",$I133=0),"",IFERROR($N133/$I133,""))))</x:f>
      </x:c>
      <x:c r="P133" s="987" t="str">
        <x:f>IF(COUNTA($A133:$M133)=0,"",IF(OR(LOWER($F133&amp;"")="subscription",LOWER($F133&amp;"")="membership"),"",IF(LOWER($L133&amp;"")="yes",0,IF($K133&lt;&gt;"",$K133,IF($O133&lt;&gt;"",$O133,"")))))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IF(COUNTA($A133:$M133)=0,"",IF(OR(LOWER($F133&amp;"")="subscription",LOWER($F133&amp;"")="membership"),"Subscription",IF(OR(AND($H133&lt;&gt;"",$H133=0),LOWER($F133&amp;"")="free game",LOWER($F133&amp;"")="free",LOWER($F133&amp;"")="free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986"/>
      <x:c r="H134" s="455"/>
      <x:c r="I134" s="456"/>
      <x:c r="J134" s="456"/>
      <x:c r="K134" s="986"/>
      <x:c r="L134" s="454"/>
      <x:c r="M134" s="439"/>
      <x:c r="N134" s="987" t="str">
        <x:f>IF(COUNTA($A134:$M134)=0,"",IF(OR(LOWER($F134&amp;"")="subscription",LOWER($F134&amp;"")="membership"),"",IF($G134="","",IF(ISNUMBER(SEARCH("non",LOWER($E134&amp;""))),$G134*0.85,$G134))))</x:f>
      </x:c>
      <x:c r="O134" s="987" t="str">
        <x:f>IF(COUNTA($A134:$M134)=0,"",IF(OR(LOWER($F134&amp;"")="subscription",LOWER($F134&amp;"")="membership"),"",IF(OR($N134="",$I134="",$I134=0),"",IFERROR($N134/$I134,""))))</x:f>
      </x:c>
      <x:c r="P134" s="987" t="str">
        <x:f>IF(COUNTA($A134:$M134)=0,"",IF(OR(LOWER($F134&amp;"")="subscription",LOWER($F134&amp;"")="membership"),"",IF(LOWER($L134&amp;"")="yes",0,IF($K134&lt;&gt;"",$K134,IF($O134&lt;&gt;"",$O134,"")))))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IF(COUNTA($A134:$M134)=0,"",IF(OR(LOWER($F134&amp;"")="subscription",LOWER($F134&amp;"")="membership"),"Subscription",IF(OR(AND($H134&lt;&gt;"",$H134=0),LOWER($F134&amp;"")="free game",LOWER($F134&amp;"")="free",LOWER($F134&amp;"")="free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986"/>
      <x:c r="H135" s="455"/>
      <x:c r="I135" s="456"/>
      <x:c r="J135" s="456"/>
      <x:c r="K135" s="986"/>
      <x:c r="L135" s="454"/>
      <x:c r="M135" s="439"/>
      <x:c r="N135" s="987" t="str">
        <x:f>IF(COUNTA($A135:$M135)=0,"",IF(OR(LOWER($F135&amp;"")="subscription",LOWER($F135&amp;"")="membership"),"",IF($G135="","",IF(ISNUMBER(SEARCH("non",LOWER($E135&amp;""))),$G135*0.85,$G135))))</x:f>
      </x:c>
      <x:c r="O135" s="987" t="str">
        <x:f>IF(COUNTA($A135:$M135)=0,"",IF(OR(LOWER($F135&amp;"")="subscription",LOWER($F135&amp;"")="membership"),"",IF(OR($N135="",$I135="",$I135=0),"",IFERROR($N135/$I135,""))))</x:f>
      </x:c>
      <x:c r="P135" s="987" t="str">
        <x:f>IF(COUNTA($A135:$M135)=0,"",IF(OR(LOWER($F135&amp;"")="subscription",LOWER($F135&amp;"")="membership"),"",IF(LOWER($L135&amp;"")="yes",0,IF($K135&lt;&gt;"",$K135,IF($O135&lt;&gt;"",$O135,"")))))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IF(COUNTA($A135:$M135)=0,"",IF(OR(LOWER($F135&amp;"")="subscription",LOWER($F135&amp;"")="membership"),"Subscription",IF(OR(AND($H135&lt;&gt;"",$H135=0),LOWER($F135&amp;"")="free game",LOWER($F135&amp;"")="free",LOWER($F135&amp;"")="free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986"/>
      <x:c r="H136" s="455"/>
      <x:c r="I136" s="456"/>
      <x:c r="J136" s="456"/>
      <x:c r="K136" s="986"/>
      <x:c r="L136" s="454"/>
      <x:c r="M136" s="439"/>
      <x:c r="N136" s="987" t="str">
        <x:f>IF(COUNTA($A136:$M136)=0,"",IF(OR(LOWER($F136&amp;"")="subscription",LOWER($F136&amp;"")="membership"),"",IF($G136="","",IF(ISNUMBER(SEARCH("non",LOWER($E136&amp;""))),$G136*0.85,$G136))))</x:f>
      </x:c>
      <x:c r="O136" s="987" t="str">
        <x:f>IF(COUNTA($A136:$M136)=0,"",IF(OR(LOWER($F136&amp;"")="subscription",LOWER($F136&amp;"")="membership"),"",IF(OR($N136="",$I136="",$I136=0),"",IFERROR($N136/$I136,""))))</x:f>
      </x:c>
      <x:c r="P136" s="987" t="str">
        <x:f>IF(COUNTA($A136:$M136)=0,"",IF(OR(LOWER($F136&amp;"")="subscription",LOWER($F136&amp;"")="membership"),"",IF(LOWER($L136&amp;"")="yes",0,IF($K136&lt;&gt;"",$K136,IF($O136&lt;&gt;"",$O136,"")))))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IF(COUNTA($A136:$M136)=0,"",IF(OR(LOWER($F136&amp;"")="subscription",LOWER($F136&amp;"")="membership"),"Subscription",IF(OR(AND($H136&lt;&gt;"",$H136=0),LOWER($F136&amp;"")="free game",LOWER($F136&amp;"")="free",LOWER($F136&amp;"")="free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986"/>
      <x:c r="H137" s="455"/>
      <x:c r="I137" s="456"/>
      <x:c r="J137" s="456"/>
      <x:c r="K137" s="986"/>
      <x:c r="L137" s="454"/>
      <x:c r="M137" s="439"/>
      <x:c r="N137" s="987" t="str">
        <x:f>IF(COUNTA($A137:$M137)=0,"",IF(OR(LOWER($F137&amp;"")="subscription",LOWER($F137&amp;"")="membership"),"",IF($G137="","",IF(ISNUMBER(SEARCH("non",LOWER($E137&amp;""))),$G137*0.85,$G137))))</x:f>
      </x:c>
      <x:c r="O137" s="987" t="str">
        <x:f>IF(COUNTA($A137:$M137)=0,"",IF(OR(LOWER($F137&amp;"")="subscription",LOWER($F137&amp;"")="membership"),"",IF(OR($N137="",$I137="",$I137=0),"",IFERROR($N137/$I137,""))))</x:f>
      </x:c>
      <x:c r="P137" s="987" t="str">
        <x:f>IF(COUNTA($A137:$M137)=0,"",IF(OR(LOWER($F137&amp;"")="subscription",LOWER($F137&amp;"")="membership"),"",IF(LOWER($L137&amp;"")="yes",0,IF($K137&lt;&gt;"",$K137,IF($O137&lt;&gt;"",$O137,"")))))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IF(COUNTA($A137:$M137)=0,"",IF(OR(LOWER($F137&amp;"")="subscription",LOWER($F137&amp;"")="membership"),"Subscription",IF(OR(AND($H137&lt;&gt;"",$H137=0),LOWER($F137&amp;"")="free game",LOWER($F137&amp;"")="free",LOWER($F137&amp;"")="free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986"/>
      <x:c r="H138" s="455"/>
      <x:c r="I138" s="456"/>
      <x:c r="J138" s="456"/>
      <x:c r="K138" s="986"/>
      <x:c r="L138" s="454"/>
      <x:c r="M138" s="439"/>
      <x:c r="N138" s="987" t="str">
        <x:f>IF(COUNTA($A138:$M138)=0,"",IF(OR(LOWER($F138&amp;"")="subscription",LOWER($F138&amp;"")="membership"),"",IF($G138="","",IF(ISNUMBER(SEARCH("non",LOWER($E138&amp;""))),$G138*0.85,$G138))))</x:f>
      </x:c>
      <x:c r="O138" s="987" t="str">
        <x:f>IF(COUNTA($A138:$M138)=0,"",IF(OR(LOWER($F138&amp;"")="subscription",LOWER($F138&amp;"")="membership"),"",IF(OR($N138="",$I138="",$I138=0),"",IFERROR($N138/$I138,""))))</x:f>
      </x:c>
      <x:c r="P138" s="987" t="str">
        <x:f>IF(COUNTA($A138:$M138)=0,"",IF(OR(LOWER($F138&amp;"")="subscription",LOWER($F138&amp;"")="membership"),"",IF(LOWER($L138&amp;"")="yes",0,IF($K138&lt;&gt;"",$K138,IF($O138&lt;&gt;"",$O138,"")))))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IF(COUNTA($A138:$M138)=0,"",IF(OR(LOWER($F138&amp;"")="subscription",LOWER($F138&amp;"")="membership"),"Subscription",IF(OR(AND($H138&lt;&gt;"",$H138=0),LOWER($F138&amp;"")="free game",LOWER($F138&amp;"")="free",LOWER($F138&amp;"")="free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986"/>
      <x:c r="H139" s="455"/>
      <x:c r="I139" s="456"/>
      <x:c r="J139" s="456"/>
      <x:c r="K139" s="986"/>
      <x:c r="L139" s="454"/>
      <x:c r="M139" s="439"/>
      <x:c r="N139" s="987" t="str">
        <x:f>IF(COUNTA($A139:$M139)=0,"",IF(OR(LOWER($F139&amp;"")="subscription",LOWER($F139&amp;"")="membership"),"",IF($G139="","",IF(ISNUMBER(SEARCH("non",LOWER($E139&amp;""))),$G139*0.85,$G139))))</x:f>
      </x:c>
      <x:c r="O139" s="987" t="str">
        <x:f>IF(COUNTA($A139:$M139)=0,"",IF(OR(LOWER($F139&amp;"")="subscription",LOWER($F139&amp;"")="membership"),"",IF(OR($N139="",$I139="",$I139=0),"",IFERROR($N139/$I139,""))))</x:f>
      </x:c>
      <x:c r="P139" s="987" t="str">
        <x:f>IF(COUNTA($A139:$M139)=0,"",IF(OR(LOWER($F139&amp;"")="subscription",LOWER($F139&amp;"")="membership"),"",IF(LOWER($L139&amp;"")="yes",0,IF($K139&lt;&gt;"",$K139,IF($O139&lt;&gt;"",$O139,"")))))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IF(COUNTA($A139:$M139)=0,"",IF(OR(LOWER($F139&amp;"")="subscription",LOWER($F139&amp;"")="membership"),"Subscription",IF(OR(AND($H139&lt;&gt;"",$H139=0),LOWER($F139&amp;"")="free game",LOWER($F139&amp;"")="free",LOWER($F139&amp;"")="free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986"/>
      <x:c r="H140" s="455"/>
      <x:c r="I140" s="456"/>
      <x:c r="J140" s="456"/>
      <x:c r="K140" s="986"/>
      <x:c r="L140" s="454"/>
      <x:c r="M140" s="439"/>
      <x:c r="N140" s="987" t="str">
        <x:f>IF(COUNTA($A140:$M140)=0,"",IF(OR(LOWER($F140&amp;"")="subscription",LOWER($F140&amp;"")="membership"),"",IF($G140="","",IF(ISNUMBER(SEARCH("non",LOWER($E140&amp;""))),$G140*0.85,$G140))))</x:f>
      </x:c>
      <x:c r="O140" s="987" t="str">
        <x:f>IF(COUNTA($A140:$M140)=0,"",IF(OR(LOWER($F140&amp;"")="subscription",LOWER($F140&amp;"")="membership"),"",IF(OR($N140="",$I140="",$I140=0),"",IFERROR($N140/$I140,""))))</x:f>
      </x:c>
      <x:c r="P140" s="987" t="str">
        <x:f>IF(COUNTA($A140:$M140)=0,"",IF(OR(LOWER($F140&amp;"")="subscription",LOWER($F140&amp;"")="membership"),"",IF(LOWER($L140&amp;"")="yes",0,IF($K140&lt;&gt;"",$K140,IF($O140&lt;&gt;"",$O140,"")))))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IF(COUNTA($A140:$M140)=0,"",IF(OR(LOWER($F140&amp;"")="subscription",LOWER($F140&amp;"")="membership"),"Subscription",IF(OR(AND($H140&lt;&gt;"",$H140=0),LOWER($F140&amp;"")="free game",LOWER($F140&amp;"")="free",LOWER($F140&amp;"")="free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986"/>
      <x:c r="H141" s="455"/>
      <x:c r="I141" s="456"/>
      <x:c r="J141" s="456"/>
      <x:c r="K141" s="986"/>
      <x:c r="L141" s="454"/>
      <x:c r="M141" s="439"/>
      <x:c r="N141" s="987" t="str">
        <x:f>IF(COUNTA($A141:$M141)=0,"",IF(OR(LOWER($F141&amp;"")="subscription",LOWER($F141&amp;"")="membership"),"",IF($G141="","",IF(ISNUMBER(SEARCH("non",LOWER($E141&amp;""))),$G141*0.85,$G141))))</x:f>
      </x:c>
      <x:c r="O141" s="987" t="str">
        <x:f>IF(COUNTA($A141:$M141)=0,"",IF(OR(LOWER($F141&amp;"")="subscription",LOWER($F141&amp;"")="membership"),"",IF(OR($N141="",$I141="",$I141=0),"",IFERROR($N141/$I141,""))))</x:f>
      </x:c>
      <x:c r="P141" s="987" t="str">
        <x:f>IF(COUNTA($A141:$M141)=0,"",IF(OR(LOWER($F141&amp;"")="subscription",LOWER($F141&amp;"")="membership"),"",IF(LOWER($L141&amp;"")="yes",0,IF($K141&lt;&gt;"",$K141,IF($O141&lt;&gt;"",$O141,"")))))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IF(COUNTA($A141:$M141)=0,"",IF(OR(LOWER($F141&amp;"")="subscription",LOWER($F141&amp;"")="membership"),"Subscription",IF(OR(AND($H141&lt;&gt;"",$H141=0),LOWER($F141&amp;"")="free game",LOWER($F141&amp;"")="free",LOWER($F141&amp;"")="free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986"/>
      <x:c r="H142" s="455"/>
      <x:c r="I142" s="456"/>
      <x:c r="J142" s="456"/>
      <x:c r="K142" s="986"/>
      <x:c r="L142" s="454"/>
      <x:c r="M142" s="439"/>
      <x:c r="N142" s="987" t="str">
        <x:f>IF(COUNTA($A142:$M142)=0,"",IF(OR(LOWER($F142&amp;"")="subscription",LOWER($F142&amp;"")="membership"),"",IF($G142="","",IF(ISNUMBER(SEARCH("non",LOWER($E142&amp;""))),$G142*0.85,$G142))))</x:f>
      </x:c>
      <x:c r="O142" s="987" t="str">
        <x:f>IF(COUNTA($A142:$M142)=0,"",IF(OR(LOWER($F142&amp;"")="subscription",LOWER($F142&amp;"")="membership"),"",IF(OR($N142="",$I142="",$I142=0),"",IFERROR($N142/$I142,""))))</x:f>
      </x:c>
      <x:c r="P142" s="987" t="str">
        <x:f>IF(COUNTA($A142:$M142)=0,"",IF(OR(LOWER($F142&amp;"")="subscription",LOWER($F142&amp;"")="membership"),"",IF(LOWER($L142&amp;"")="yes",0,IF($K142&lt;&gt;"",$K142,IF($O142&lt;&gt;"",$O142,"")))))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IF(COUNTA($A142:$M142)=0,"",IF(OR(LOWER($F142&amp;"")="subscription",LOWER($F142&amp;"")="membership"),"Subscription",IF(OR(AND($H142&lt;&gt;"",$H142=0),LOWER($F142&amp;"")="free game",LOWER($F142&amp;"")="free",LOWER($F142&amp;"")="free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986"/>
      <x:c r="H143" s="455"/>
      <x:c r="I143" s="456"/>
      <x:c r="J143" s="456"/>
      <x:c r="K143" s="986"/>
      <x:c r="L143" s="454"/>
      <x:c r="M143" s="439"/>
      <x:c r="N143" s="987" t="str">
        <x:f>IF(COUNTA($A143:$M143)=0,"",IF(OR(LOWER($F143&amp;"")="subscription",LOWER($F143&amp;"")="membership"),"",IF($G143="","",IF(ISNUMBER(SEARCH("non",LOWER($E143&amp;""))),$G143*0.85,$G143))))</x:f>
      </x:c>
      <x:c r="O143" s="987" t="str">
        <x:f>IF(COUNTA($A143:$M143)=0,"",IF(OR(LOWER($F143&amp;"")="subscription",LOWER($F143&amp;"")="membership"),"",IF(OR($N143="",$I143="",$I143=0),"",IFERROR($N143/$I143,""))))</x:f>
      </x:c>
      <x:c r="P143" s="987" t="str">
        <x:f>IF(COUNTA($A143:$M143)=0,"",IF(OR(LOWER($F143&amp;"")="subscription",LOWER($F143&amp;"")="membership"),"",IF(LOWER($L143&amp;"")="yes",0,IF($K143&lt;&gt;"",$K143,IF($O143&lt;&gt;"",$O143,"")))))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IF(COUNTA($A143:$M143)=0,"",IF(OR(LOWER($F143&amp;"")="subscription",LOWER($F143&amp;"")="membership"),"Subscription",IF(OR(AND($H143&lt;&gt;"",$H143=0),LOWER($F143&amp;"")="free game",LOWER($F143&amp;"")="free",LOWER($F143&amp;"")="free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986"/>
      <x:c r="H144" s="455"/>
      <x:c r="I144" s="456"/>
      <x:c r="J144" s="456"/>
      <x:c r="K144" s="986"/>
      <x:c r="L144" s="454"/>
      <x:c r="M144" s="439"/>
      <x:c r="N144" s="987" t="str">
        <x:f>IF(COUNTA($A144:$M144)=0,"",IF(OR(LOWER($F144&amp;"")="subscription",LOWER($F144&amp;"")="membership"),"",IF($G144="","",IF(ISNUMBER(SEARCH("non",LOWER($E144&amp;""))),$G144*0.85,$G144))))</x:f>
      </x:c>
      <x:c r="O144" s="987" t="str">
        <x:f>IF(COUNTA($A144:$M144)=0,"",IF(OR(LOWER($F144&amp;"")="subscription",LOWER($F144&amp;"")="membership"),"",IF(OR($N144="",$I144="",$I144=0),"",IFERROR($N144/$I144,""))))</x:f>
      </x:c>
      <x:c r="P144" s="987" t="str">
        <x:f>IF(COUNTA($A144:$M144)=0,"",IF(OR(LOWER($F144&amp;"")="subscription",LOWER($F144&amp;"")="membership"),"",IF(LOWER($L144&amp;"")="yes",0,IF($K144&lt;&gt;"",$K144,IF($O144&lt;&gt;"",$O144,"")))))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IF(COUNTA($A144:$M144)=0,"",IF(OR(LOWER($F144&amp;"")="subscription",LOWER($F144&amp;"")="membership"),"Subscription",IF(OR(AND($H144&lt;&gt;"",$H144=0),LOWER($F144&amp;"")="free game",LOWER($F144&amp;"")="free",LOWER($F144&amp;"")="free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986"/>
      <x:c r="H145" s="455"/>
      <x:c r="I145" s="456"/>
      <x:c r="J145" s="456"/>
      <x:c r="K145" s="986"/>
      <x:c r="L145" s="454"/>
      <x:c r="M145" s="439"/>
      <x:c r="N145" s="987" t="str">
        <x:f>IF(COUNTA($A145:$M145)=0,"",IF(OR(LOWER($F145&amp;"")="subscription",LOWER($F145&amp;"")="membership"),"",IF($G145="","",IF(ISNUMBER(SEARCH("non",LOWER($E145&amp;""))),$G145*0.85,$G145))))</x:f>
      </x:c>
      <x:c r="O145" s="987" t="str">
        <x:f>IF(COUNTA($A145:$M145)=0,"",IF(OR(LOWER($F145&amp;"")="subscription",LOWER($F145&amp;"")="membership"),"",IF(OR($N145="",$I145="",$I145=0),"",IFERROR($N145/$I145,""))))</x:f>
      </x:c>
      <x:c r="P145" s="987" t="str">
        <x:f>IF(COUNTA($A145:$M145)=0,"",IF(OR(LOWER($F145&amp;"")="subscription",LOWER($F145&amp;"")="membership"),"",IF(LOWER($L145&amp;"")="yes",0,IF($K145&lt;&gt;"",$K145,IF($O145&lt;&gt;"",$O145,"")))))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IF(COUNTA($A145:$M145)=0,"",IF(OR(LOWER($F145&amp;"")="subscription",LOWER($F145&amp;"")="membership"),"Subscription",IF(OR(AND($H145&lt;&gt;"",$H145=0),LOWER($F145&amp;"")="free game",LOWER($F145&amp;"")="free",LOWER($F145&amp;"")="free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986"/>
      <x:c r="H146" s="455"/>
      <x:c r="I146" s="456"/>
      <x:c r="J146" s="456"/>
      <x:c r="K146" s="986"/>
      <x:c r="L146" s="454"/>
      <x:c r="M146" s="439"/>
      <x:c r="N146" s="987" t="str">
        <x:f>IF(COUNTA($A146:$M146)=0,"",IF(OR(LOWER($F146&amp;"")="subscription",LOWER($F146&amp;"")="membership"),"",IF($G146="","",IF(ISNUMBER(SEARCH("non",LOWER($E146&amp;""))),$G146*0.85,$G146))))</x:f>
      </x:c>
      <x:c r="O146" s="987" t="str">
        <x:f>IF(COUNTA($A146:$M146)=0,"",IF(OR(LOWER($F146&amp;"")="subscription",LOWER($F146&amp;"")="membership"),"",IF(OR($N146="",$I146="",$I146=0),"",IFERROR($N146/$I146,""))))</x:f>
      </x:c>
      <x:c r="P146" s="987" t="str">
        <x:f>IF(COUNTA($A146:$M146)=0,"",IF(OR(LOWER($F146&amp;"")="subscription",LOWER($F146&amp;"")="membership"),"",IF(LOWER($L146&amp;"")="yes",0,IF($K146&lt;&gt;"",$K146,IF($O146&lt;&gt;"",$O146,"")))))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IF(COUNTA($A146:$M146)=0,"",IF(OR(LOWER($F146&amp;"")="subscription",LOWER($F146&amp;"")="membership"),"Subscription",IF(OR(AND($H146&lt;&gt;"",$H146=0),LOWER($F146&amp;"")="free game",LOWER($F146&amp;"")="free",LOWER($F146&amp;"")="free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986"/>
      <x:c r="H147" s="455"/>
      <x:c r="I147" s="456"/>
      <x:c r="J147" s="456"/>
      <x:c r="K147" s="986"/>
      <x:c r="L147" s="454"/>
      <x:c r="M147" s="439"/>
      <x:c r="N147" s="987" t="str">
        <x:f>IF(COUNTA($A147:$M147)=0,"",IF(OR(LOWER($F147&amp;"")="subscription",LOWER($F147&amp;"")="membership"),"",IF($G147="","",IF(ISNUMBER(SEARCH("non",LOWER($E147&amp;""))),$G147*0.85,$G147))))</x:f>
      </x:c>
      <x:c r="O147" s="987" t="str">
        <x:f>IF(COUNTA($A147:$M147)=0,"",IF(OR(LOWER($F147&amp;"")="subscription",LOWER($F147&amp;"")="membership"),"",IF(OR($N147="",$I147="",$I147=0),"",IFERROR($N147/$I147,""))))</x:f>
      </x:c>
      <x:c r="P147" s="987" t="str">
        <x:f>IF(COUNTA($A147:$M147)=0,"",IF(OR(LOWER($F147&amp;"")="subscription",LOWER($F147&amp;"")="membership"),"",IF(LOWER($L147&amp;"")="yes",0,IF($K147&lt;&gt;"",$K147,IF($O147&lt;&gt;"",$O147,"")))))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IF(COUNTA($A147:$M147)=0,"",IF(OR(LOWER($F147&amp;"")="subscription",LOWER($F147&amp;"")="membership"),"Subscription",IF(OR(AND($H147&lt;&gt;"",$H147=0),LOWER($F147&amp;"")="free game",LOWER($F147&amp;"")="free",LOWER($F147&amp;"")="free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986"/>
      <x:c r="H148" s="455"/>
      <x:c r="I148" s="456"/>
      <x:c r="J148" s="456"/>
      <x:c r="K148" s="986"/>
      <x:c r="L148" s="454"/>
      <x:c r="M148" s="439"/>
      <x:c r="N148" s="987" t="str">
        <x:f>IF(COUNTA($A148:$M148)=0,"",IF(OR(LOWER($F148&amp;"")="subscription",LOWER($F148&amp;"")="membership"),"",IF($G148="","",IF(ISNUMBER(SEARCH("non",LOWER($E148&amp;""))),$G148*0.85,$G148))))</x:f>
      </x:c>
      <x:c r="O148" s="987" t="str">
        <x:f>IF(COUNTA($A148:$M148)=0,"",IF(OR(LOWER($F148&amp;"")="subscription",LOWER($F148&amp;"")="membership"),"",IF(OR($N148="",$I148="",$I148=0),"",IFERROR($N148/$I148,""))))</x:f>
      </x:c>
      <x:c r="P148" s="987" t="str">
        <x:f>IF(COUNTA($A148:$M148)=0,"",IF(OR(LOWER($F148&amp;"")="subscription",LOWER($F148&amp;"")="membership"),"",IF(LOWER($L148&amp;"")="yes",0,IF($K148&lt;&gt;"",$K148,IF($O148&lt;&gt;"",$O148,"")))))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IF(COUNTA($A148:$M148)=0,"",IF(OR(LOWER($F148&amp;"")="subscription",LOWER($F148&amp;"")="membership"),"Subscription",IF(OR(AND($H148&lt;&gt;"",$H148=0),LOWER($F148&amp;"")="free game",LOWER($F148&amp;"")="free",LOWER($F148&amp;"")="free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986"/>
      <x:c r="H149" s="455"/>
      <x:c r="I149" s="456"/>
      <x:c r="J149" s="456"/>
      <x:c r="K149" s="986"/>
      <x:c r="L149" s="454"/>
      <x:c r="M149" s="439"/>
      <x:c r="N149" s="987" t="str">
        <x:f>IF(COUNTA($A149:$M149)=0,"",IF(OR(LOWER($F149&amp;"")="subscription",LOWER($F149&amp;"")="membership"),"",IF($G149="","",IF(ISNUMBER(SEARCH("non",LOWER($E149&amp;""))),$G149*0.85,$G149))))</x:f>
      </x:c>
      <x:c r="O149" s="987" t="str">
        <x:f>IF(COUNTA($A149:$M149)=0,"",IF(OR(LOWER($F149&amp;"")="subscription",LOWER($F149&amp;"")="membership"),"",IF(OR($N149="",$I149="",$I149=0),"",IFERROR($N149/$I149,""))))</x:f>
      </x:c>
      <x:c r="P149" s="987" t="str">
        <x:f>IF(COUNTA($A149:$M149)=0,"",IF(OR(LOWER($F149&amp;"")="subscription",LOWER($F149&amp;"")="membership"),"",IF(LOWER($L149&amp;"")="yes",0,IF($K149&lt;&gt;"",$K149,IF($O149&lt;&gt;"",$O149,"")))))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IF(COUNTA($A149:$M149)=0,"",IF(OR(LOWER($F149&amp;"")="subscription",LOWER($F149&amp;"")="membership"),"Subscription",IF(OR(AND($H149&lt;&gt;"",$H149=0),LOWER($F149&amp;"")="free game",LOWER($F149&amp;"")="free",LOWER($F149&amp;"")="free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986"/>
      <x:c r="H150" s="455"/>
      <x:c r="I150" s="456"/>
      <x:c r="J150" s="456"/>
      <x:c r="K150" s="986"/>
      <x:c r="L150" s="454"/>
      <x:c r="M150" s="439"/>
      <x:c r="N150" s="987" t="str">
        <x:f>IF(COUNTA($A150:$M150)=0,"",IF(OR(LOWER($F150&amp;"")="subscription",LOWER($F150&amp;"")="membership"),"",IF($G150="","",IF(ISNUMBER(SEARCH("non",LOWER($E150&amp;""))),$G150*0.85,$G150))))</x:f>
      </x:c>
      <x:c r="O150" s="987" t="str">
        <x:f>IF(COUNTA($A150:$M150)=0,"",IF(OR(LOWER($F150&amp;"")="subscription",LOWER($F150&amp;"")="membership"),"",IF(OR($N150="",$I150="",$I150=0),"",IFERROR($N150/$I150,""))))</x:f>
      </x:c>
      <x:c r="P150" s="987" t="str">
        <x:f>IF(COUNTA($A150:$M150)=0,"",IF(OR(LOWER($F150&amp;"")="subscription",LOWER($F150&amp;"")="membership"),"",IF(LOWER($L150&amp;"")="yes",0,IF($K150&lt;&gt;"",$K150,IF($O150&lt;&gt;"",$O150,"")))))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IF(COUNTA($A150:$M150)=0,"",IF(OR(LOWER($F150&amp;"")="subscription",LOWER($F150&amp;"")="membership"),"Subscription",IF(OR(AND($H150&lt;&gt;"",$H150=0),LOWER($F150&amp;"")="free game",LOWER($F150&amp;"")="free",LOWER($F150&amp;"")="free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986"/>
      <x:c r="H151" s="455"/>
      <x:c r="I151" s="456"/>
      <x:c r="J151" s="456"/>
      <x:c r="K151" s="986"/>
      <x:c r="L151" s="454"/>
      <x:c r="M151" s="439"/>
      <x:c r="N151" s="987" t="str">
        <x:f>IF(COUNTA($A151:$M151)=0,"",IF(OR(LOWER($F151&amp;"")="subscription",LOWER($F151&amp;"")="membership"),"",IF($G151="","",IF(ISNUMBER(SEARCH("non",LOWER($E151&amp;""))),$G151*0.85,$G151))))</x:f>
      </x:c>
      <x:c r="O151" s="987" t="str">
        <x:f>IF(COUNTA($A151:$M151)=0,"",IF(OR(LOWER($F151&amp;"")="subscription",LOWER($F151&amp;"")="membership"),"",IF(OR($N151="",$I151="",$I151=0),"",IFERROR($N151/$I151,""))))</x:f>
      </x:c>
      <x:c r="P151" s="987" t="str">
        <x:f>IF(COUNTA($A151:$M151)=0,"",IF(OR(LOWER($F151&amp;"")="subscription",LOWER($F151&amp;"")="membership"),"",IF(LOWER($L151&amp;"")="yes",0,IF($K151&lt;&gt;"",$K151,IF($O151&lt;&gt;"",$O151,"")))))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IF(COUNTA($A151:$M151)=0,"",IF(OR(LOWER($F151&amp;"")="subscription",LOWER($F151&amp;"")="membership"),"Subscription",IF(OR(AND($H151&lt;&gt;"",$H151=0),LOWER($F151&amp;"")="free game",LOWER($F151&amp;"")="free",LOWER($F151&amp;"")="free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986"/>
      <x:c r="H152" s="455"/>
      <x:c r="I152" s="456"/>
      <x:c r="J152" s="456"/>
      <x:c r="K152" s="986"/>
      <x:c r="L152" s="454"/>
      <x:c r="M152" s="439"/>
      <x:c r="N152" s="987" t="str">
        <x:f>IF(COUNTA($A152:$M152)=0,"",IF(OR(LOWER($F152&amp;"")="subscription",LOWER($F152&amp;"")="membership"),"",IF($G152="","",IF(ISNUMBER(SEARCH("non",LOWER($E152&amp;""))),$G152*0.85,$G152))))</x:f>
      </x:c>
      <x:c r="O152" s="987" t="str">
        <x:f>IF(COUNTA($A152:$M152)=0,"",IF(OR(LOWER($F152&amp;"")="subscription",LOWER($F152&amp;"")="membership"),"",IF(OR($N152="",$I152="",$I152=0),"",IFERROR($N152/$I152,""))))</x:f>
      </x:c>
      <x:c r="P152" s="987" t="str">
        <x:f>IF(COUNTA($A152:$M152)=0,"",IF(OR(LOWER($F152&amp;"")="subscription",LOWER($F152&amp;"")="membership"),"",IF(LOWER($L152&amp;"")="yes",0,IF($K152&lt;&gt;"",$K152,IF($O152&lt;&gt;"",$O152,"")))))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IF(COUNTA($A152:$M152)=0,"",IF(OR(LOWER($F152&amp;"")="subscription",LOWER($F152&amp;"")="membership"),"Subscription",IF(OR(AND($H152&lt;&gt;"",$H152=0),LOWER($F152&amp;"")="free game",LOWER($F152&amp;"")="free",LOWER($F152&amp;"")="free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986"/>
      <x:c r="H153" s="455"/>
      <x:c r="I153" s="456"/>
      <x:c r="J153" s="456"/>
      <x:c r="K153" s="986"/>
      <x:c r="L153" s="454"/>
      <x:c r="M153" s="439"/>
      <x:c r="N153" s="987" t="str">
        <x:f>IF(COUNTA($A153:$M153)=0,"",IF(OR(LOWER($F153&amp;"")="subscription",LOWER($F153&amp;"")="membership"),"",IF($G153="","",IF(ISNUMBER(SEARCH("non",LOWER($E153&amp;""))),$G153*0.85,$G153))))</x:f>
      </x:c>
      <x:c r="O153" s="987" t="str">
        <x:f>IF(COUNTA($A153:$M153)=0,"",IF(OR(LOWER($F153&amp;"")="subscription",LOWER($F153&amp;"")="membership"),"",IF(OR($N153="",$I153="",$I153=0),"",IFERROR($N153/$I153,""))))</x:f>
      </x:c>
      <x:c r="P153" s="987" t="str">
        <x:f>IF(COUNTA($A153:$M153)=0,"",IF(OR(LOWER($F153&amp;"")="subscription",LOWER($F153&amp;"")="membership"),"",IF(LOWER($L153&amp;"")="yes",0,IF($K153&lt;&gt;"",$K153,IF($O153&lt;&gt;"",$O153,"")))))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IF(COUNTA($A153:$M153)=0,"",IF(OR(LOWER($F153&amp;"")="subscription",LOWER($F153&amp;"")="membership"),"Subscription",IF(OR(AND($H153&lt;&gt;"",$H153=0),LOWER($F153&amp;"")="free game",LOWER($F153&amp;"")="free",LOWER($F153&amp;"")="free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986"/>
      <x:c r="H154" s="455"/>
      <x:c r="I154" s="456"/>
      <x:c r="J154" s="456"/>
      <x:c r="K154" s="986"/>
      <x:c r="L154" s="454"/>
      <x:c r="M154" s="439"/>
      <x:c r="N154" s="987" t="str">
        <x:f>IF(COUNTA($A154:$M154)=0,"",IF(OR(LOWER($F154&amp;"")="subscription",LOWER($F154&amp;"")="membership"),"",IF($G154="","",IF(ISNUMBER(SEARCH("non",LOWER($E154&amp;""))),$G154*0.85,$G154))))</x:f>
      </x:c>
      <x:c r="O154" s="987" t="str">
        <x:f>IF(COUNTA($A154:$M154)=0,"",IF(OR(LOWER($F154&amp;"")="subscription",LOWER($F154&amp;"")="membership"),"",IF(OR($N154="",$I154="",$I154=0),"",IFERROR($N154/$I154,""))))</x:f>
      </x:c>
      <x:c r="P154" s="987" t="str">
        <x:f>IF(COUNTA($A154:$M154)=0,"",IF(OR(LOWER($F154&amp;"")="subscription",LOWER($F154&amp;"")="membership"),"",IF(LOWER($L154&amp;"")="yes",0,IF($K154&lt;&gt;"",$K154,IF($O154&lt;&gt;"",$O154,"")))))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IF(COUNTA($A154:$M154)=0,"",IF(OR(LOWER($F154&amp;"")="subscription",LOWER($F154&amp;"")="membership"),"Subscription",IF(OR(AND($H154&lt;&gt;"",$H154=0),LOWER($F154&amp;"")="free game",LOWER($F154&amp;"")="free",LOWER($F154&amp;"")="free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986"/>
      <x:c r="H155" s="455"/>
      <x:c r="I155" s="456"/>
      <x:c r="J155" s="456"/>
      <x:c r="K155" s="986"/>
      <x:c r="L155" s="454"/>
      <x:c r="M155" s="439"/>
      <x:c r="N155" s="987" t="str">
        <x:f>IF(COUNTA($A155:$M155)=0,"",IF(OR(LOWER($F155&amp;"")="subscription",LOWER($F155&amp;"")="membership"),"",IF($G155="","",IF(ISNUMBER(SEARCH("non",LOWER($E155&amp;""))),$G155*0.85,$G155))))</x:f>
      </x:c>
      <x:c r="O155" s="987" t="str">
        <x:f>IF(COUNTA($A155:$M155)=0,"",IF(OR(LOWER($F155&amp;"")="subscription",LOWER($F155&amp;"")="membership"),"",IF(OR($N155="",$I155="",$I155=0),"",IFERROR($N155/$I155,""))))</x:f>
      </x:c>
      <x:c r="P155" s="987" t="str">
        <x:f>IF(COUNTA($A155:$M155)=0,"",IF(OR(LOWER($F155&amp;"")="subscription",LOWER($F155&amp;"")="membership"),"",IF(LOWER($L155&amp;"")="yes",0,IF($K155&lt;&gt;"",$K155,IF($O155&lt;&gt;"",$O155,"")))))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IF(COUNTA($A155:$M155)=0,"",IF(OR(LOWER($F155&amp;"")="subscription",LOWER($F155&amp;"")="membership"),"Subscription",IF(OR(AND($H155&lt;&gt;"",$H155=0),LOWER($F155&amp;"")="free game",LOWER($F155&amp;"")="free",LOWER($F155&amp;"")="free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986"/>
      <x:c r="H156" s="455"/>
      <x:c r="I156" s="456"/>
      <x:c r="J156" s="456"/>
      <x:c r="K156" s="986"/>
      <x:c r="L156" s="454"/>
      <x:c r="M156" s="439"/>
      <x:c r="N156" s="987" t="str">
        <x:f>IF(COUNTA($A156:$M156)=0,"",IF(OR(LOWER($F156&amp;"")="subscription",LOWER($F156&amp;"")="membership"),"",IF($G156="","",IF(ISNUMBER(SEARCH("non",LOWER($E156&amp;""))),$G156*0.85,$G156))))</x:f>
      </x:c>
      <x:c r="O156" s="987" t="str">
        <x:f>IF(COUNTA($A156:$M156)=0,"",IF(OR(LOWER($F156&amp;"")="subscription",LOWER($F156&amp;"")="membership"),"",IF(OR($N156="",$I156="",$I156=0),"",IFERROR($N156/$I156,""))))</x:f>
      </x:c>
      <x:c r="P156" s="987" t="str">
        <x:f>IF(COUNTA($A156:$M156)=0,"",IF(OR(LOWER($F156&amp;"")="subscription",LOWER($F156&amp;"")="membership"),"",IF(LOWER($L156&amp;"")="yes",0,IF($K156&lt;&gt;"",$K156,IF($O156&lt;&gt;"",$O156,"")))))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IF(COUNTA($A156:$M156)=0,"",IF(OR(LOWER($F156&amp;"")="subscription",LOWER($F156&amp;"")="membership"),"Subscription",IF(OR(AND($H156&lt;&gt;"",$H156=0),LOWER($F156&amp;"")="free game",LOWER($F156&amp;"")="free",LOWER($F156&amp;"")="free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986"/>
      <x:c r="H157" s="455"/>
      <x:c r="I157" s="456"/>
      <x:c r="J157" s="456"/>
      <x:c r="K157" s="986"/>
      <x:c r="L157" s="454"/>
      <x:c r="M157" s="439"/>
      <x:c r="N157" s="987" t="str">
        <x:f>IF(COUNTA($A157:$M157)=0,"",IF(OR(LOWER($F157&amp;"")="subscription",LOWER($F157&amp;"")="membership"),"",IF($G157="","",IF(ISNUMBER(SEARCH("non",LOWER($E157&amp;""))),$G157*0.85,$G157))))</x:f>
      </x:c>
      <x:c r="O157" s="987" t="str">
        <x:f>IF(COUNTA($A157:$M157)=0,"",IF(OR(LOWER($F157&amp;"")="subscription",LOWER($F157&amp;"")="membership"),"",IF(OR($N157="",$I157="",$I157=0),"",IFERROR($N157/$I157,""))))</x:f>
      </x:c>
      <x:c r="P157" s="987" t="str">
        <x:f>IF(COUNTA($A157:$M157)=0,"",IF(OR(LOWER($F157&amp;"")="subscription",LOWER($F157&amp;"")="membership"),"",IF(LOWER($L157&amp;"")="yes",0,IF($K157&lt;&gt;"",$K157,IF($O157&lt;&gt;"",$O157,"")))))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IF(COUNTA($A157:$M157)=0,"",IF(OR(LOWER($F157&amp;"")="subscription",LOWER($F157&amp;"")="membership"),"Subscription",IF(OR(AND($H157&lt;&gt;"",$H157=0),LOWER($F157&amp;"")="free game",LOWER($F157&amp;"")="free",LOWER($F157&amp;"")="free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986"/>
      <x:c r="H158" s="455"/>
      <x:c r="I158" s="456"/>
      <x:c r="J158" s="456"/>
      <x:c r="K158" s="986"/>
      <x:c r="L158" s="454"/>
      <x:c r="M158" s="439"/>
      <x:c r="N158" s="987" t="str">
        <x:f>IF(COUNTA($A158:$M158)=0,"",IF(OR(LOWER($F158&amp;"")="subscription",LOWER($F158&amp;"")="membership"),"",IF($G158="","",IF(ISNUMBER(SEARCH("non",LOWER($E158&amp;""))),$G158*0.85,$G158))))</x:f>
      </x:c>
      <x:c r="O158" s="987" t="str">
        <x:f>IF(COUNTA($A158:$M158)=0,"",IF(OR(LOWER($F158&amp;"")="subscription",LOWER($F158&amp;"")="membership"),"",IF(OR($N158="",$I158="",$I158=0),"",IFERROR($N158/$I158,""))))</x:f>
      </x:c>
      <x:c r="P158" s="987" t="str">
        <x:f>IF(COUNTA($A158:$M158)=0,"",IF(OR(LOWER($F158&amp;"")="subscription",LOWER($F158&amp;"")="membership"),"",IF(LOWER($L158&amp;"")="yes",0,IF($K158&lt;&gt;"",$K158,IF($O158&lt;&gt;"",$O158,"")))))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IF(COUNTA($A158:$M158)=0,"",IF(OR(LOWER($F158&amp;"")="subscription",LOWER($F158&amp;"")="membership"),"Subscription",IF(OR(AND($H158&lt;&gt;"",$H158=0),LOWER($F158&amp;"")="free game",LOWER($F158&amp;"")="free",LOWER($F158&amp;"")="free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986"/>
      <x:c r="H159" s="455"/>
      <x:c r="I159" s="456"/>
      <x:c r="J159" s="456"/>
      <x:c r="K159" s="986"/>
      <x:c r="L159" s="454"/>
      <x:c r="M159" s="439"/>
      <x:c r="N159" s="987" t="str">
        <x:f>IF(COUNTA($A159:$M159)=0,"",IF(OR(LOWER($F159&amp;"")="subscription",LOWER($F159&amp;"")="membership"),"",IF($G159="","",IF(ISNUMBER(SEARCH("non",LOWER($E159&amp;""))),$G159*0.85,$G159))))</x:f>
      </x:c>
      <x:c r="O159" s="987" t="str">
        <x:f>IF(COUNTA($A159:$M159)=0,"",IF(OR(LOWER($F159&amp;"")="subscription",LOWER($F159&amp;"")="membership"),"",IF(OR($N159="",$I159="",$I159=0),"",IFERROR($N159/$I159,""))))</x:f>
      </x:c>
      <x:c r="P159" s="987" t="str">
        <x:f>IF(COUNTA($A159:$M159)=0,"",IF(OR(LOWER($F159&amp;"")="subscription",LOWER($F159&amp;"")="membership"),"",IF(LOWER($L159&amp;"")="yes",0,IF($K159&lt;&gt;"",$K159,IF($O159&lt;&gt;"",$O159,"")))))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IF(COUNTA($A159:$M159)=0,"",IF(OR(LOWER($F159&amp;"")="subscription",LOWER($F159&amp;"")="membership"),"Subscription",IF(OR(AND($H159&lt;&gt;"",$H159=0),LOWER($F159&amp;"")="free game",LOWER($F159&amp;"")="free",LOWER($F159&amp;"")="free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986"/>
      <x:c r="H160" s="455"/>
      <x:c r="I160" s="456"/>
      <x:c r="J160" s="456"/>
      <x:c r="K160" s="986"/>
      <x:c r="L160" s="454"/>
      <x:c r="M160" s="439"/>
      <x:c r="N160" s="987" t="str">
        <x:f>IF(COUNTA($A160:$M160)=0,"",IF(OR(LOWER($F160&amp;"")="subscription",LOWER($F160&amp;"")="membership"),"",IF($G160="","",IF(ISNUMBER(SEARCH("non",LOWER($E160&amp;""))),$G160*0.85,$G160))))</x:f>
      </x:c>
      <x:c r="O160" s="987" t="str">
        <x:f>IF(COUNTA($A160:$M160)=0,"",IF(OR(LOWER($F160&amp;"")="subscription",LOWER($F160&amp;"")="membership"),"",IF(OR($N160="",$I160="",$I160=0),"",IFERROR($N160/$I160,""))))</x:f>
      </x:c>
      <x:c r="P160" s="987" t="str">
        <x:f>IF(COUNTA($A160:$M160)=0,"",IF(OR(LOWER($F160&amp;"")="subscription",LOWER($F160&amp;"")="membership"),"",IF(LOWER($L160&amp;"")="yes",0,IF($K160&lt;&gt;"",$K160,IF($O160&lt;&gt;"",$O160,"")))))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IF(COUNTA($A160:$M160)=0,"",IF(OR(LOWER($F160&amp;"")="subscription",LOWER($F160&amp;"")="membership"),"Subscription",IF(OR(AND($H160&lt;&gt;"",$H160=0),LOWER($F160&amp;"")="free game",LOWER($F160&amp;"")="free",LOWER($F160&amp;"")="free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986"/>
      <x:c r="H161" s="455"/>
      <x:c r="I161" s="456"/>
      <x:c r="J161" s="456"/>
      <x:c r="K161" s="986"/>
      <x:c r="L161" s="454"/>
      <x:c r="M161" s="439"/>
      <x:c r="N161" s="987" t="str">
        <x:f>IF(COUNTA($A161:$M161)=0,"",IF(OR(LOWER($F161&amp;"")="subscription",LOWER($F161&amp;"")="membership"),"",IF($G161="","",IF(ISNUMBER(SEARCH("non",LOWER($E161&amp;""))),$G161*0.85,$G161))))</x:f>
      </x:c>
      <x:c r="O161" s="987" t="str">
        <x:f>IF(COUNTA($A161:$M161)=0,"",IF(OR(LOWER($F161&amp;"")="subscription",LOWER($F161&amp;"")="membership"),"",IF(OR($N161="",$I161="",$I161=0),"",IFERROR($N161/$I161,""))))</x:f>
      </x:c>
      <x:c r="P161" s="987" t="str">
        <x:f>IF(COUNTA($A161:$M161)=0,"",IF(OR(LOWER($F161&amp;"")="subscription",LOWER($F161&amp;"")="membership"),"",IF(LOWER($L161&amp;"")="yes",0,IF($K161&lt;&gt;"",$K161,IF($O161&lt;&gt;"",$O161,"")))))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IF(COUNTA($A161:$M161)=0,"",IF(OR(LOWER($F161&amp;"")="subscription",LOWER($F161&amp;"")="membership"),"Subscription",IF(OR(AND($H161&lt;&gt;"",$H161=0),LOWER($F161&amp;"")="free game",LOWER($F161&amp;"")="free",LOWER($F161&amp;"")="free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986"/>
      <x:c r="H162" s="455"/>
      <x:c r="I162" s="456"/>
      <x:c r="J162" s="456"/>
      <x:c r="K162" s="986"/>
      <x:c r="L162" s="454"/>
      <x:c r="M162" s="439"/>
      <x:c r="N162" s="987" t="str">
        <x:f>IF(COUNTA($A162:$M162)=0,"",IF(OR(LOWER($F162&amp;"")="subscription",LOWER($F162&amp;"")="membership"),"",IF($G162="","",IF(ISNUMBER(SEARCH("non",LOWER($E162&amp;""))),$G162*0.85,$G162))))</x:f>
      </x:c>
      <x:c r="O162" s="987" t="str">
        <x:f>IF(COUNTA($A162:$M162)=0,"",IF(OR(LOWER($F162&amp;"")="subscription",LOWER($F162&amp;"")="membership"),"",IF(OR($N162="",$I162="",$I162=0),"",IFERROR($N162/$I162,""))))</x:f>
      </x:c>
      <x:c r="P162" s="987" t="str">
        <x:f>IF(COUNTA($A162:$M162)=0,"",IF(OR(LOWER($F162&amp;"")="subscription",LOWER($F162&amp;"")="membership"),"",IF(LOWER($L162&amp;"")="yes",0,IF($K162&lt;&gt;"",$K162,IF($O162&lt;&gt;"",$O162,"")))))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IF(COUNTA($A162:$M162)=0,"",IF(OR(LOWER($F162&amp;"")="subscription",LOWER($F162&amp;"")="membership"),"Subscription",IF(OR(AND($H162&lt;&gt;"",$H162=0),LOWER($F162&amp;"")="free game",LOWER($F162&amp;"")="free",LOWER($F162&amp;"")="free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986"/>
      <x:c r="H163" s="455"/>
      <x:c r="I163" s="456"/>
      <x:c r="J163" s="456"/>
      <x:c r="K163" s="986"/>
      <x:c r="L163" s="454"/>
      <x:c r="M163" s="439"/>
      <x:c r="N163" s="987" t="str">
        <x:f>IF(COUNTA($A163:$M163)=0,"",IF(OR(LOWER($F163&amp;"")="subscription",LOWER($F163&amp;"")="membership"),"",IF($G163="","",IF(ISNUMBER(SEARCH("non",LOWER($E163&amp;""))),$G163*0.85,$G163))))</x:f>
      </x:c>
      <x:c r="O163" s="987" t="str">
        <x:f>IF(COUNTA($A163:$M163)=0,"",IF(OR(LOWER($F163&amp;"")="subscription",LOWER($F163&amp;"")="membership"),"",IF(OR($N163="",$I163="",$I163=0),"",IFERROR($N163/$I163,""))))</x:f>
      </x:c>
      <x:c r="P163" s="987" t="str">
        <x:f>IF(COUNTA($A163:$M163)=0,"",IF(OR(LOWER($F163&amp;"")="subscription",LOWER($F163&amp;"")="membership"),"",IF(LOWER($L163&amp;"")="yes",0,IF($K163&lt;&gt;"",$K163,IF($O163&lt;&gt;"",$O163,"")))))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IF(COUNTA($A163:$M163)=0,"",IF(OR(LOWER($F163&amp;"")="subscription",LOWER($F163&amp;"")="membership"),"Subscription",IF(OR(AND($H163&lt;&gt;"",$H163=0),LOWER($F163&amp;"")="free game",LOWER($F163&amp;"")="free",LOWER($F163&amp;"")="free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986"/>
      <x:c r="H164" s="455"/>
      <x:c r="I164" s="456"/>
      <x:c r="J164" s="456"/>
      <x:c r="K164" s="986"/>
      <x:c r="L164" s="454"/>
      <x:c r="M164" s="439"/>
      <x:c r="N164" s="987" t="str">
        <x:f>IF(COUNTA($A164:$M164)=0,"",IF(OR(LOWER($F164&amp;"")="subscription",LOWER($F164&amp;"")="membership"),"",IF($G164="","",IF(ISNUMBER(SEARCH("non",LOWER($E164&amp;""))),$G164*0.85,$G164))))</x:f>
      </x:c>
      <x:c r="O164" s="987" t="str">
        <x:f>IF(COUNTA($A164:$M164)=0,"",IF(OR(LOWER($F164&amp;"")="subscription",LOWER($F164&amp;"")="membership"),"",IF(OR($N164="",$I164="",$I164=0),"",IFERROR($N164/$I164,""))))</x:f>
      </x:c>
      <x:c r="P164" s="987" t="str">
        <x:f>IF(COUNTA($A164:$M164)=0,"",IF(OR(LOWER($F164&amp;"")="subscription",LOWER($F164&amp;"")="membership"),"",IF(LOWER($L164&amp;"")="yes",0,IF($K164&lt;&gt;"",$K164,IF($O164&lt;&gt;"",$O164,"")))))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IF(COUNTA($A164:$M164)=0,"",IF(OR(LOWER($F164&amp;"")="subscription",LOWER($F164&amp;"")="membership"),"Subscription",IF(OR(AND($H164&lt;&gt;"",$H164=0),LOWER($F164&amp;"")="free game",LOWER($F164&amp;"")="free",LOWER($F164&amp;"")="free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986"/>
      <x:c r="H165" s="455"/>
      <x:c r="I165" s="456"/>
      <x:c r="J165" s="456"/>
      <x:c r="K165" s="986"/>
      <x:c r="L165" s="454"/>
      <x:c r="M165" s="439"/>
      <x:c r="N165" s="987" t="str">
        <x:f>IF(COUNTA($A165:$M165)=0,"",IF(OR(LOWER($F165&amp;"")="subscription",LOWER($F165&amp;"")="membership"),"",IF($G165="","",IF(ISNUMBER(SEARCH("non",LOWER($E165&amp;""))),$G165*0.85,$G165))))</x:f>
      </x:c>
      <x:c r="O165" s="987" t="str">
        <x:f>IF(COUNTA($A165:$M165)=0,"",IF(OR(LOWER($F165&amp;"")="subscription",LOWER($F165&amp;"")="membership"),"",IF(OR($N165="",$I165="",$I165=0),"",IFERROR($N165/$I165,""))))</x:f>
      </x:c>
      <x:c r="P165" s="987" t="str">
        <x:f>IF(COUNTA($A165:$M165)=0,"",IF(OR(LOWER($F165&amp;"")="subscription",LOWER($F165&amp;"")="membership"),"",IF(LOWER($L165&amp;"")="yes",0,IF($K165&lt;&gt;"",$K165,IF($O165&lt;&gt;"",$O165,"")))))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IF(COUNTA($A165:$M165)=0,"",IF(OR(LOWER($F165&amp;"")="subscription",LOWER($F165&amp;"")="membership"),"Subscription",IF(OR(AND($H165&lt;&gt;"",$H165=0),LOWER($F165&amp;"")="free game",LOWER($F165&amp;"")="free",LOWER($F165&amp;"")="free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986"/>
      <x:c r="H166" s="455"/>
      <x:c r="I166" s="456"/>
      <x:c r="J166" s="456"/>
      <x:c r="K166" s="986"/>
      <x:c r="L166" s="454"/>
      <x:c r="M166" s="439"/>
      <x:c r="N166" s="987" t="str">
        <x:f>IF(COUNTA($A166:$M166)=0,"",IF(OR(LOWER($F166&amp;"")="subscription",LOWER($F166&amp;"")="membership"),"",IF($G166="","",IF(ISNUMBER(SEARCH("non",LOWER($E166&amp;""))),$G166*0.85,$G166))))</x:f>
      </x:c>
      <x:c r="O166" s="987" t="str">
        <x:f>IF(COUNTA($A166:$M166)=0,"",IF(OR(LOWER($F166&amp;"")="subscription",LOWER($F166&amp;"")="membership"),"",IF(OR($N166="",$I166="",$I166=0),"",IFERROR($N166/$I166,""))))</x:f>
      </x:c>
      <x:c r="P166" s="987" t="str">
        <x:f>IF(COUNTA($A166:$M166)=0,"",IF(OR(LOWER($F166&amp;"")="subscription",LOWER($F166&amp;"")="membership"),"",IF(LOWER($L166&amp;"")="yes",0,IF($K166&lt;&gt;"",$K166,IF($O166&lt;&gt;"",$O166,"")))))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IF(COUNTA($A166:$M166)=0,"",IF(OR(LOWER($F166&amp;"")="subscription",LOWER($F166&amp;"")="membership"),"Subscription",IF(OR(AND($H166&lt;&gt;"",$H166=0),LOWER($F166&amp;"")="free game",LOWER($F166&amp;"")="free",LOWER($F166&amp;"")="free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986"/>
      <x:c r="H167" s="455"/>
      <x:c r="I167" s="456"/>
      <x:c r="J167" s="456"/>
      <x:c r="K167" s="986"/>
      <x:c r="L167" s="454"/>
      <x:c r="M167" s="439"/>
      <x:c r="N167" s="987" t="str">
        <x:f>IF(COUNTA($A167:$M167)=0,"",IF(OR(LOWER($F167&amp;"")="subscription",LOWER($F167&amp;"")="membership"),"",IF($G167="","",IF(ISNUMBER(SEARCH("non",LOWER($E167&amp;""))),$G167*0.85,$G167))))</x:f>
      </x:c>
      <x:c r="O167" s="987" t="str">
        <x:f>IF(COUNTA($A167:$M167)=0,"",IF(OR(LOWER($F167&amp;"")="subscription",LOWER($F167&amp;"")="membership"),"",IF(OR($N167="",$I167="",$I167=0),"",IFERROR($N167/$I167,""))))</x:f>
      </x:c>
      <x:c r="P167" s="987" t="str">
        <x:f>IF(COUNTA($A167:$M167)=0,"",IF(OR(LOWER($F167&amp;"")="subscription",LOWER($F167&amp;"")="membership"),"",IF(LOWER($L167&amp;"")="yes",0,IF($K167&lt;&gt;"",$K167,IF($O167&lt;&gt;"",$O167,"")))))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IF(COUNTA($A167:$M167)=0,"",IF(OR(LOWER($F167&amp;"")="subscription",LOWER($F167&amp;"")="membership"),"Subscription",IF(OR(AND($H167&lt;&gt;"",$H167=0),LOWER($F167&amp;"")="free game",LOWER($F167&amp;"")="free",LOWER($F167&amp;"")="free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986"/>
      <x:c r="H168" s="455"/>
      <x:c r="I168" s="456"/>
      <x:c r="J168" s="456"/>
      <x:c r="K168" s="986"/>
      <x:c r="L168" s="454"/>
      <x:c r="M168" s="439"/>
      <x:c r="N168" s="987" t="str">
        <x:f>IF(COUNTA($A168:$M168)=0,"",IF(OR(LOWER($F168&amp;"")="subscription",LOWER($F168&amp;"")="membership"),"",IF($G168="","",IF(ISNUMBER(SEARCH("non",LOWER($E168&amp;""))),$G168*0.85,$G168))))</x:f>
      </x:c>
      <x:c r="O168" s="987" t="str">
        <x:f>IF(COUNTA($A168:$M168)=0,"",IF(OR(LOWER($F168&amp;"")="subscription",LOWER($F168&amp;"")="membership"),"",IF(OR($N168="",$I168="",$I168=0),"",IFERROR($N168/$I168,""))))</x:f>
      </x:c>
      <x:c r="P168" s="987" t="str">
        <x:f>IF(COUNTA($A168:$M168)=0,"",IF(OR(LOWER($F168&amp;"")="subscription",LOWER($F168&amp;"")="membership"),"",IF(LOWER($L168&amp;"")="yes",0,IF($K168&lt;&gt;"",$K168,IF($O168&lt;&gt;"",$O168,"")))))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IF(COUNTA($A168:$M168)=0,"",IF(OR(LOWER($F168&amp;"")="subscription",LOWER($F168&amp;"")="membership"),"Subscription",IF(OR(AND($H168&lt;&gt;"",$H168=0),LOWER($F168&amp;"")="free game",LOWER($F168&amp;"")="free",LOWER($F168&amp;"")="free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986"/>
      <x:c r="H169" s="455"/>
      <x:c r="I169" s="456"/>
      <x:c r="J169" s="456"/>
      <x:c r="K169" s="986"/>
      <x:c r="L169" s="454"/>
      <x:c r="M169" s="439"/>
      <x:c r="N169" s="987" t="str">
        <x:f>IF(COUNTA($A169:$M169)=0,"",IF(OR(LOWER($F169&amp;"")="subscription",LOWER($F169&amp;"")="membership"),"",IF($G169="","",IF(ISNUMBER(SEARCH("non",LOWER($E169&amp;""))),$G169*0.85,$G169))))</x:f>
      </x:c>
      <x:c r="O169" s="987" t="str">
        <x:f>IF(COUNTA($A169:$M169)=0,"",IF(OR(LOWER($F169&amp;"")="subscription",LOWER($F169&amp;"")="membership"),"",IF(OR($N169="",$I169="",$I169=0),"",IFERROR($N169/$I169,""))))</x:f>
      </x:c>
      <x:c r="P169" s="987" t="str">
        <x:f>IF(COUNTA($A169:$M169)=0,"",IF(OR(LOWER($F169&amp;"")="subscription",LOWER($F169&amp;"")="membership"),"",IF(LOWER($L169&amp;"")="yes",0,IF($K169&lt;&gt;"",$K169,IF($O169&lt;&gt;"",$O169,"")))))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IF(COUNTA($A169:$M169)=0,"",IF(OR(LOWER($F169&amp;"")="subscription",LOWER($F169&amp;"")="membership"),"Subscription",IF(OR(AND($H169&lt;&gt;"",$H169=0),LOWER($F169&amp;"")="free game",LOWER($F169&amp;"")="free",LOWER($F169&amp;"")="free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986"/>
      <x:c r="H170" s="455"/>
      <x:c r="I170" s="456"/>
      <x:c r="J170" s="456"/>
      <x:c r="K170" s="986"/>
      <x:c r="L170" s="454"/>
      <x:c r="M170" s="439"/>
      <x:c r="N170" s="987" t="str">
        <x:f>IF(COUNTA($A170:$M170)=0,"",IF(OR(LOWER($F170&amp;"")="subscription",LOWER($F170&amp;"")="membership"),"",IF($G170="","",IF(ISNUMBER(SEARCH("non",LOWER($E170&amp;""))),$G170*0.85,$G170))))</x:f>
      </x:c>
      <x:c r="O170" s="987" t="str">
        <x:f>IF(COUNTA($A170:$M170)=0,"",IF(OR(LOWER($F170&amp;"")="subscription",LOWER($F170&amp;"")="membership"),"",IF(OR($N170="",$I170="",$I170=0),"",IFERROR($N170/$I170,""))))</x:f>
      </x:c>
      <x:c r="P170" s="987" t="str">
        <x:f>IF(COUNTA($A170:$M170)=0,"",IF(OR(LOWER($F170&amp;"")="subscription",LOWER($F170&amp;"")="membership"),"",IF(LOWER($L170&amp;"")="yes",0,IF($K170&lt;&gt;"",$K170,IF($O170&lt;&gt;"",$O170,"")))))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IF(COUNTA($A170:$M170)=0,"",IF(OR(LOWER($F170&amp;"")="subscription",LOWER($F170&amp;"")="membership"),"Subscription",IF(OR(AND($H170&lt;&gt;"",$H170=0),LOWER($F170&amp;"")="free game",LOWER($F170&amp;"")="free",LOWER($F170&amp;"")="free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986"/>
      <x:c r="H171" s="455"/>
      <x:c r="I171" s="456"/>
      <x:c r="J171" s="456"/>
      <x:c r="K171" s="986"/>
      <x:c r="L171" s="454"/>
      <x:c r="M171" s="439"/>
      <x:c r="N171" s="987" t="str">
        <x:f>IF(COUNTA($A171:$M171)=0,"",IF(OR(LOWER($F171&amp;"")="subscription",LOWER($F171&amp;"")="membership"),"",IF($G171="","",IF(ISNUMBER(SEARCH("non",LOWER($E171&amp;""))),$G171*0.85,$G171))))</x:f>
      </x:c>
      <x:c r="O171" s="987" t="str">
        <x:f>IF(COUNTA($A171:$M171)=0,"",IF(OR(LOWER($F171&amp;"")="subscription",LOWER($F171&amp;"")="membership"),"",IF(OR($N171="",$I171="",$I171=0),"",IFERROR($N171/$I171,""))))</x:f>
      </x:c>
      <x:c r="P171" s="987" t="str">
        <x:f>IF(COUNTA($A171:$M171)=0,"",IF(OR(LOWER($F171&amp;"")="subscription",LOWER($F171&amp;"")="membership"),"",IF(LOWER($L171&amp;"")="yes",0,IF($K171&lt;&gt;"",$K171,IF($O171&lt;&gt;"",$O171,"")))))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IF(COUNTA($A171:$M171)=0,"",IF(OR(LOWER($F171&amp;"")="subscription",LOWER($F171&amp;"")="membership"),"Subscription",IF(OR(AND($H171&lt;&gt;"",$H171=0),LOWER($F171&amp;"")="free game",LOWER($F171&amp;"")="free",LOWER($F171&amp;"")="free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986"/>
      <x:c r="H172" s="455"/>
      <x:c r="I172" s="456"/>
      <x:c r="J172" s="456"/>
      <x:c r="K172" s="986"/>
      <x:c r="L172" s="454"/>
      <x:c r="M172" s="439"/>
      <x:c r="N172" s="987" t="str">
        <x:f>IF(COUNTA($A172:$M172)=0,"",IF(OR(LOWER($F172&amp;"")="subscription",LOWER($F172&amp;"")="membership"),"",IF($G172="","",IF(ISNUMBER(SEARCH("non",LOWER($E172&amp;""))),$G172*0.85,$G172))))</x:f>
      </x:c>
      <x:c r="O172" s="987" t="str">
        <x:f>IF(COUNTA($A172:$M172)=0,"",IF(OR(LOWER($F172&amp;"")="subscription",LOWER($F172&amp;"")="membership"),"",IF(OR($N172="",$I172="",$I172=0),"",IFERROR($N172/$I172,""))))</x:f>
      </x:c>
      <x:c r="P172" s="987" t="str">
        <x:f>IF(COUNTA($A172:$M172)=0,"",IF(OR(LOWER($F172&amp;"")="subscription",LOWER($F172&amp;"")="membership"),"",IF(LOWER($L172&amp;"")="yes",0,IF($K172&lt;&gt;"",$K172,IF($O172&lt;&gt;"",$O172,"")))))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IF(COUNTA($A172:$M172)=0,"",IF(OR(LOWER($F172&amp;"")="subscription",LOWER($F172&amp;"")="membership"),"Subscription",IF(OR(AND($H172&lt;&gt;"",$H172=0),LOWER($F172&amp;"")="free game",LOWER($F172&amp;"")="free",LOWER($F172&amp;"")="free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986"/>
      <x:c r="H173" s="455"/>
      <x:c r="I173" s="456"/>
      <x:c r="J173" s="456"/>
      <x:c r="K173" s="986"/>
      <x:c r="L173" s="454"/>
      <x:c r="M173" s="439"/>
      <x:c r="N173" s="987" t="str">
        <x:f>IF(COUNTA($A173:$M173)=0,"",IF(OR(LOWER($F173&amp;"")="subscription",LOWER($F173&amp;"")="membership"),"",IF($G173="","",IF(ISNUMBER(SEARCH("non",LOWER($E173&amp;""))),$G173*0.85,$G173))))</x:f>
      </x:c>
      <x:c r="O173" s="987" t="str">
        <x:f>IF(COUNTA($A173:$M173)=0,"",IF(OR(LOWER($F173&amp;"")="subscription",LOWER($F173&amp;"")="membership"),"",IF(OR($N173="",$I173="",$I173=0),"",IFERROR($N173/$I173,""))))</x:f>
      </x:c>
      <x:c r="P173" s="987" t="str">
        <x:f>IF(COUNTA($A173:$M173)=0,"",IF(OR(LOWER($F173&amp;"")="subscription",LOWER($F173&amp;"")="membership"),"",IF(LOWER($L173&amp;"")="yes",0,IF($K173&lt;&gt;"",$K173,IF($O173&lt;&gt;"",$O173,"")))))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IF(COUNTA($A173:$M173)=0,"",IF(OR(LOWER($F173&amp;"")="subscription",LOWER($F173&amp;"")="membership"),"Subscription",IF(OR(AND($H173&lt;&gt;"",$H173=0),LOWER($F173&amp;"")="free game",LOWER($F173&amp;"")="free",LOWER($F173&amp;"")="free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986"/>
      <x:c r="H174" s="455"/>
      <x:c r="I174" s="456"/>
      <x:c r="J174" s="456"/>
      <x:c r="K174" s="986"/>
      <x:c r="L174" s="454"/>
      <x:c r="M174" s="439"/>
      <x:c r="N174" s="987" t="str">
        <x:f>IF(COUNTA($A174:$M174)=0,"",IF(OR(LOWER($F174&amp;"")="subscription",LOWER($F174&amp;"")="membership"),"",IF($G174="","",IF(ISNUMBER(SEARCH("non",LOWER($E174&amp;""))),$G174*0.85,$G174))))</x:f>
      </x:c>
      <x:c r="O174" s="987" t="str">
        <x:f>IF(COUNTA($A174:$M174)=0,"",IF(OR(LOWER($F174&amp;"")="subscription",LOWER($F174&amp;"")="membership"),"",IF(OR($N174="",$I174="",$I174=0),"",IFERROR($N174/$I174,""))))</x:f>
      </x:c>
      <x:c r="P174" s="987" t="str">
        <x:f>IF(COUNTA($A174:$M174)=0,"",IF(OR(LOWER($F174&amp;"")="subscription",LOWER($F174&amp;"")="membership"),"",IF(LOWER($L174&amp;"")="yes",0,IF($K174&lt;&gt;"",$K174,IF($O174&lt;&gt;"",$O174,"")))))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IF(COUNTA($A174:$M174)=0,"",IF(OR(LOWER($F174&amp;"")="subscription",LOWER($F174&amp;"")="membership"),"Subscription",IF(OR(AND($H174&lt;&gt;"",$H174=0),LOWER($F174&amp;"")="free game",LOWER($F174&amp;"")="free",LOWER($F174&amp;"")="free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986"/>
      <x:c r="H175" s="455"/>
      <x:c r="I175" s="456"/>
      <x:c r="J175" s="456"/>
      <x:c r="K175" s="986"/>
      <x:c r="L175" s="454"/>
      <x:c r="M175" s="439"/>
      <x:c r="N175" s="987" t="str">
        <x:f>IF(COUNTA($A175:$M175)=0,"",IF(OR(LOWER($F175&amp;"")="subscription",LOWER($F175&amp;"")="membership"),"",IF($G175="","",IF(ISNUMBER(SEARCH("non",LOWER($E175&amp;""))),$G175*0.85,$G175))))</x:f>
      </x:c>
      <x:c r="O175" s="987" t="str">
        <x:f>IF(COUNTA($A175:$M175)=0,"",IF(OR(LOWER($F175&amp;"")="subscription",LOWER($F175&amp;"")="membership"),"",IF(OR($N175="",$I175="",$I175=0),"",IFERROR($N175/$I175,""))))</x:f>
      </x:c>
      <x:c r="P175" s="987" t="str">
        <x:f>IF(COUNTA($A175:$M175)=0,"",IF(OR(LOWER($F175&amp;"")="subscription",LOWER($F175&amp;"")="membership"),"",IF(LOWER($L175&amp;"")="yes",0,IF($K175&lt;&gt;"",$K175,IF($O175&lt;&gt;"",$O175,"")))))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IF(COUNTA($A175:$M175)=0,"",IF(OR(LOWER($F175&amp;"")="subscription",LOWER($F175&amp;"")="membership"),"Subscription",IF(OR(AND($H175&lt;&gt;"",$H175=0),LOWER($F175&amp;"")="free game",LOWER($F175&amp;"")="free",LOWER($F175&amp;"")="free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986"/>
      <x:c r="H176" s="455"/>
      <x:c r="I176" s="456"/>
      <x:c r="J176" s="456"/>
      <x:c r="K176" s="986"/>
      <x:c r="L176" s="454"/>
      <x:c r="M176" s="439"/>
      <x:c r="N176" s="987" t="str">
        <x:f>IF(COUNTA($A176:$M176)=0,"",IF(OR(LOWER($F176&amp;"")="subscription",LOWER($F176&amp;"")="membership"),"",IF($G176="","",IF(ISNUMBER(SEARCH("non",LOWER($E176&amp;""))),$G176*0.85,$G176))))</x:f>
      </x:c>
      <x:c r="O176" s="987" t="str">
        <x:f>IF(COUNTA($A176:$M176)=0,"",IF(OR(LOWER($F176&amp;"")="subscription",LOWER($F176&amp;"")="membership"),"",IF(OR($N176="",$I176="",$I176=0),"",IFERROR($N176/$I176,""))))</x:f>
      </x:c>
      <x:c r="P176" s="987" t="str">
        <x:f>IF(COUNTA($A176:$M176)=0,"",IF(OR(LOWER($F176&amp;"")="subscription",LOWER($F176&amp;"")="membership"),"",IF(LOWER($L176&amp;"")="yes",0,IF($K176&lt;&gt;"",$K176,IF($O176&lt;&gt;"",$O176,"")))))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IF(COUNTA($A176:$M176)=0,"",IF(OR(LOWER($F176&amp;"")="subscription",LOWER($F176&amp;"")="membership"),"Subscription",IF(OR(AND($H176&lt;&gt;"",$H176=0),LOWER($F176&amp;"")="free game",LOWER($F176&amp;"")="free",LOWER($F176&amp;"")="free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986"/>
      <x:c r="H177" s="455"/>
      <x:c r="I177" s="456"/>
      <x:c r="J177" s="456"/>
      <x:c r="K177" s="986"/>
      <x:c r="L177" s="454"/>
      <x:c r="M177" s="439"/>
      <x:c r="N177" s="987" t="str">
        <x:f>IF(COUNTA($A177:$M177)=0,"",IF(OR(LOWER($F177&amp;"")="subscription",LOWER($F177&amp;"")="membership"),"",IF($G177="","",IF(ISNUMBER(SEARCH("non",LOWER($E177&amp;""))),$G177*0.85,$G177))))</x:f>
      </x:c>
      <x:c r="O177" s="987" t="str">
        <x:f>IF(COUNTA($A177:$M177)=0,"",IF(OR(LOWER($F177&amp;"")="subscription",LOWER($F177&amp;"")="membership"),"",IF(OR($N177="",$I177="",$I177=0),"",IFERROR($N177/$I177,""))))</x:f>
      </x:c>
      <x:c r="P177" s="987" t="str">
        <x:f>IF(COUNTA($A177:$M177)=0,"",IF(OR(LOWER($F177&amp;"")="subscription",LOWER($F177&amp;"")="membership"),"",IF(LOWER($L177&amp;"")="yes",0,IF($K177&lt;&gt;"",$K177,IF($O177&lt;&gt;"",$O177,"")))))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IF(COUNTA($A177:$M177)=0,"",IF(OR(LOWER($F177&amp;"")="subscription",LOWER($F177&amp;"")="membership"),"Subscription",IF(OR(AND($H177&lt;&gt;"",$H177=0),LOWER($F177&amp;"")="free game",LOWER($F177&amp;"")="free",LOWER($F177&amp;"")="free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986"/>
      <x:c r="H178" s="455"/>
      <x:c r="I178" s="456"/>
      <x:c r="J178" s="456"/>
      <x:c r="K178" s="986"/>
      <x:c r="L178" s="454"/>
      <x:c r="M178" s="439"/>
      <x:c r="N178" s="987" t="str">
        <x:f>IF(COUNTA($A178:$M178)=0,"",IF(OR(LOWER($F178&amp;"")="subscription",LOWER($F178&amp;"")="membership"),"",IF($G178="","",IF(ISNUMBER(SEARCH("non",LOWER($E178&amp;""))),$G178*0.85,$G178))))</x:f>
      </x:c>
      <x:c r="O178" s="987" t="str">
        <x:f>IF(COUNTA($A178:$M178)=0,"",IF(OR(LOWER($F178&amp;"")="subscription",LOWER($F178&amp;"")="membership"),"",IF(OR($N178="",$I178="",$I178=0),"",IFERROR($N178/$I178,""))))</x:f>
      </x:c>
      <x:c r="P178" s="987" t="str">
        <x:f>IF(COUNTA($A178:$M178)=0,"",IF(OR(LOWER($F178&amp;"")="subscription",LOWER($F178&amp;"")="membership"),"",IF(LOWER($L178&amp;"")="yes",0,IF($K178&lt;&gt;"",$K178,IF($O178&lt;&gt;"",$O178,"")))))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IF(COUNTA($A178:$M178)=0,"",IF(OR(LOWER($F178&amp;"")="subscription",LOWER($F178&amp;"")="membership"),"Subscription",IF(OR(AND($H178&lt;&gt;"",$H178=0),LOWER($F178&amp;"")="free game",LOWER($F178&amp;"")="free",LOWER($F178&amp;"")="free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986"/>
      <x:c r="H179" s="455"/>
      <x:c r="I179" s="456"/>
      <x:c r="J179" s="456"/>
      <x:c r="K179" s="986"/>
      <x:c r="L179" s="454"/>
      <x:c r="M179" s="439"/>
      <x:c r="N179" s="987" t="str">
        <x:f>IF(COUNTA($A179:$M179)=0,"",IF(OR(LOWER($F179&amp;"")="subscription",LOWER($F179&amp;"")="membership"),"",IF($G179="","",IF(ISNUMBER(SEARCH("non",LOWER($E179&amp;""))),$G179*0.85,$G179))))</x:f>
      </x:c>
      <x:c r="O179" s="987" t="str">
        <x:f>IF(COUNTA($A179:$M179)=0,"",IF(OR(LOWER($F179&amp;"")="subscription",LOWER($F179&amp;"")="membership"),"",IF(OR($N179="",$I179="",$I179=0),"",IFERROR($N179/$I179,""))))</x:f>
      </x:c>
      <x:c r="P179" s="987" t="str">
        <x:f>IF(COUNTA($A179:$M179)=0,"",IF(OR(LOWER($F179&amp;"")="subscription",LOWER($F179&amp;"")="membership"),"",IF(LOWER($L179&amp;"")="yes",0,IF($K179&lt;&gt;"",$K179,IF($O179&lt;&gt;"",$O179,"")))))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IF(COUNTA($A179:$M179)=0,"",IF(OR(LOWER($F179&amp;"")="subscription",LOWER($F179&amp;"")="membership"),"Subscription",IF(OR(AND($H179&lt;&gt;"",$H179=0),LOWER($F179&amp;"")="free game",LOWER($F179&amp;"")="free",LOWER($F179&amp;"")="free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986"/>
      <x:c r="H180" s="455"/>
      <x:c r="I180" s="456"/>
      <x:c r="J180" s="456"/>
      <x:c r="K180" s="986"/>
      <x:c r="L180" s="454"/>
      <x:c r="M180" s="439"/>
      <x:c r="N180" s="987" t="str">
        <x:f>IF(COUNTA($A180:$M180)=0,"",IF(OR(LOWER($F180&amp;"")="subscription",LOWER($F180&amp;"")="membership"),"",IF($G180="","",IF(ISNUMBER(SEARCH("non",LOWER($E180&amp;""))),$G180*0.85,$G180))))</x:f>
      </x:c>
      <x:c r="O180" s="987" t="str">
        <x:f>IF(COUNTA($A180:$M180)=0,"",IF(OR(LOWER($F180&amp;"")="subscription",LOWER($F180&amp;"")="membership"),"",IF(OR($N180="",$I180="",$I180=0),"",IFERROR($N180/$I180,""))))</x:f>
      </x:c>
      <x:c r="P180" s="987" t="str">
        <x:f>IF(COUNTA($A180:$M180)=0,"",IF(OR(LOWER($F180&amp;"")="subscription",LOWER($F180&amp;"")="membership"),"",IF(LOWER($L180&amp;"")="yes",0,IF($K180&lt;&gt;"",$K180,IF($O180&lt;&gt;"",$O180,"")))))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IF(COUNTA($A180:$M180)=0,"",IF(OR(LOWER($F180&amp;"")="subscription",LOWER($F180&amp;"")="membership"),"Subscription",IF(OR(AND($H180&lt;&gt;"",$H180=0),LOWER($F180&amp;"")="free game",LOWER($F180&amp;"")="free",LOWER($F180&amp;"")="free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986"/>
      <x:c r="H181" s="455"/>
      <x:c r="I181" s="456"/>
      <x:c r="J181" s="456"/>
      <x:c r="K181" s="986"/>
      <x:c r="L181" s="454"/>
      <x:c r="M181" s="439"/>
      <x:c r="N181" s="987" t="str">
        <x:f>IF(COUNTA($A181:$M181)=0,"",IF(OR(LOWER($F181&amp;"")="subscription",LOWER($F181&amp;"")="membership"),"",IF($G181="","",IF(ISNUMBER(SEARCH("non",LOWER($E181&amp;""))),$G181*0.85,$G181))))</x:f>
      </x:c>
      <x:c r="O181" s="987" t="str">
        <x:f>IF(COUNTA($A181:$M181)=0,"",IF(OR(LOWER($F181&amp;"")="subscription",LOWER($F181&amp;"")="membership"),"",IF(OR($N181="",$I181="",$I181=0),"",IFERROR($N181/$I181,""))))</x:f>
      </x:c>
      <x:c r="P181" s="987" t="str">
        <x:f>IF(COUNTA($A181:$M181)=0,"",IF(OR(LOWER($F181&amp;"")="subscription",LOWER($F181&amp;"")="membership"),"",IF(LOWER($L181&amp;"")="yes",0,IF($K181&lt;&gt;"",$K181,IF($O181&lt;&gt;"",$O181,"")))))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IF(COUNTA($A181:$M181)=0,"",IF(OR(LOWER($F181&amp;"")="subscription",LOWER($F181&amp;"")="membership"),"Subscription",IF(OR(AND($H181&lt;&gt;"",$H181=0),LOWER($F181&amp;"")="free game",LOWER($F181&amp;"")="free",LOWER($F181&amp;"")="free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986"/>
      <x:c r="H182" s="455"/>
      <x:c r="I182" s="456"/>
      <x:c r="J182" s="456"/>
      <x:c r="K182" s="986"/>
      <x:c r="L182" s="454"/>
      <x:c r="M182" s="439"/>
      <x:c r="N182" s="987" t="str">
        <x:f>IF(COUNTA($A182:$M182)=0,"",IF(OR(LOWER($F182&amp;"")="subscription",LOWER($F182&amp;"")="membership"),"",IF($G182="","",IF(ISNUMBER(SEARCH("non",LOWER($E182&amp;""))),$G182*0.85,$G182))))</x:f>
      </x:c>
      <x:c r="O182" s="987" t="str">
        <x:f>IF(COUNTA($A182:$M182)=0,"",IF(OR(LOWER($F182&amp;"")="subscription",LOWER($F182&amp;"")="membership"),"",IF(OR($N182="",$I182="",$I182=0),"",IFERROR($N182/$I182,""))))</x:f>
      </x:c>
      <x:c r="P182" s="987" t="str">
        <x:f>IF(COUNTA($A182:$M182)=0,"",IF(OR(LOWER($F182&amp;"")="subscription",LOWER($F182&amp;"")="membership"),"",IF(LOWER($L182&amp;"")="yes",0,IF($K182&lt;&gt;"",$K182,IF($O182&lt;&gt;"",$O182,"")))))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IF(COUNTA($A182:$M182)=0,"",IF(OR(LOWER($F182&amp;"")="subscription",LOWER($F182&amp;"")="membership"),"Subscription",IF(OR(AND($H182&lt;&gt;"",$H182=0),LOWER($F182&amp;"")="free game",LOWER($F182&amp;"")="free",LOWER($F182&amp;"")="free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986"/>
      <x:c r="H183" s="455"/>
      <x:c r="I183" s="456"/>
      <x:c r="J183" s="456"/>
      <x:c r="K183" s="986"/>
      <x:c r="L183" s="454"/>
      <x:c r="M183" s="439"/>
      <x:c r="N183" s="987" t="str">
        <x:f>IF(COUNTA($A183:$M183)=0,"",IF(OR(LOWER($F183&amp;"")="subscription",LOWER($F183&amp;"")="membership"),"",IF($G183="","",IF(ISNUMBER(SEARCH("non",LOWER($E183&amp;""))),$G183*0.85,$G183))))</x:f>
      </x:c>
      <x:c r="O183" s="987" t="str">
        <x:f>IF(COUNTA($A183:$M183)=0,"",IF(OR(LOWER($F183&amp;"")="subscription",LOWER($F183&amp;"")="membership"),"",IF(OR($N183="",$I183="",$I183=0),"",IFERROR($N183/$I183,""))))</x:f>
      </x:c>
      <x:c r="P183" s="987" t="str">
        <x:f>IF(COUNTA($A183:$M183)=0,"",IF(OR(LOWER($F183&amp;"")="subscription",LOWER($F183&amp;"")="membership"),"",IF(LOWER($L183&amp;"")="yes",0,IF($K183&lt;&gt;"",$K183,IF($O183&lt;&gt;"",$O183,"")))))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IF(COUNTA($A183:$M183)=0,"",IF(OR(LOWER($F183&amp;"")="subscription",LOWER($F183&amp;"")="membership"),"Subscription",IF(OR(AND($H183&lt;&gt;"",$H183=0),LOWER($F183&amp;"")="free game",LOWER($F183&amp;"")="free",LOWER($F183&amp;"")="free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986"/>
      <x:c r="H184" s="455"/>
      <x:c r="I184" s="456"/>
      <x:c r="J184" s="456"/>
      <x:c r="K184" s="986"/>
      <x:c r="L184" s="454"/>
      <x:c r="M184" s="439"/>
      <x:c r="N184" s="987" t="str">
        <x:f>IF(COUNTA($A184:$M184)=0,"",IF(OR(LOWER($F184&amp;"")="subscription",LOWER($F184&amp;"")="membership"),"",IF($G184="","",IF(ISNUMBER(SEARCH("non",LOWER($E184&amp;""))),$G184*0.85,$G184))))</x:f>
      </x:c>
      <x:c r="O184" s="987" t="str">
        <x:f>IF(COUNTA($A184:$M184)=0,"",IF(OR(LOWER($F184&amp;"")="subscription",LOWER($F184&amp;"")="membership"),"",IF(OR($N184="",$I184="",$I184=0),"",IFERROR($N184/$I184,""))))</x:f>
      </x:c>
      <x:c r="P184" s="987" t="str">
        <x:f>IF(COUNTA($A184:$M184)=0,"",IF(OR(LOWER($F184&amp;"")="subscription",LOWER($F184&amp;"")="membership"),"",IF(LOWER($L184&amp;"")="yes",0,IF($K184&lt;&gt;"",$K184,IF($O184&lt;&gt;"",$O184,"")))))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IF(COUNTA($A184:$M184)=0,"",IF(OR(LOWER($F184&amp;"")="subscription",LOWER($F184&amp;"")="membership"),"Subscription",IF(OR(AND($H184&lt;&gt;"",$H184=0),LOWER($F184&amp;"")="free game",LOWER($F184&amp;"")="free",LOWER($F184&amp;"")="free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986"/>
      <x:c r="H185" s="455"/>
      <x:c r="I185" s="456"/>
      <x:c r="J185" s="456"/>
      <x:c r="K185" s="986"/>
      <x:c r="L185" s="454"/>
      <x:c r="M185" s="439"/>
      <x:c r="N185" s="987" t="str">
        <x:f>IF(COUNTA($A185:$M185)=0,"",IF(OR(LOWER($F185&amp;"")="subscription",LOWER($F185&amp;"")="membership"),"",IF($G185="","",IF(ISNUMBER(SEARCH("non",LOWER($E185&amp;""))),$G185*0.85,$G185))))</x:f>
      </x:c>
      <x:c r="O185" s="987" t="str">
        <x:f>IF(COUNTA($A185:$M185)=0,"",IF(OR(LOWER($F185&amp;"")="subscription",LOWER($F185&amp;"")="membership"),"",IF(OR($N185="",$I185="",$I185=0),"",IFERROR($N185/$I185,""))))</x:f>
      </x:c>
      <x:c r="P185" s="987" t="str">
        <x:f>IF(COUNTA($A185:$M185)=0,"",IF(OR(LOWER($F185&amp;"")="subscription",LOWER($F185&amp;"")="membership"),"",IF(LOWER($L185&amp;"")="yes",0,IF($K185&lt;&gt;"",$K185,IF($O185&lt;&gt;"",$O185,"")))))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IF(COUNTA($A185:$M185)=0,"",IF(OR(LOWER($F185&amp;"")="subscription",LOWER($F185&amp;"")="membership"),"Subscription",IF(OR(AND($H185&lt;&gt;"",$H185=0),LOWER($F185&amp;"")="free game",LOWER($F185&amp;"")="free",LOWER($F185&amp;"")="free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986"/>
      <x:c r="H186" s="455"/>
      <x:c r="I186" s="456"/>
      <x:c r="J186" s="456"/>
      <x:c r="K186" s="986"/>
      <x:c r="L186" s="454"/>
      <x:c r="M186" s="439"/>
      <x:c r="N186" s="987" t="str">
        <x:f>IF(COUNTA($A186:$M186)=0,"",IF(OR(LOWER($F186&amp;"")="subscription",LOWER($F186&amp;"")="membership"),"",IF($G186="","",IF(ISNUMBER(SEARCH("non",LOWER($E186&amp;""))),$G186*0.85,$G186))))</x:f>
      </x:c>
      <x:c r="O186" s="987" t="str">
        <x:f>IF(COUNTA($A186:$M186)=0,"",IF(OR(LOWER($F186&amp;"")="subscription",LOWER($F186&amp;"")="membership"),"",IF(OR($N186="",$I186="",$I186=0),"",IFERROR($N186/$I186,""))))</x:f>
      </x:c>
      <x:c r="P186" s="987" t="str">
        <x:f>IF(COUNTA($A186:$M186)=0,"",IF(OR(LOWER($F186&amp;"")="subscription",LOWER($F186&amp;"")="membership"),"",IF(LOWER($L186&amp;"")="yes",0,IF($K186&lt;&gt;"",$K186,IF($O186&lt;&gt;"",$O186,"")))))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IF(COUNTA($A186:$M186)=0,"",IF(OR(LOWER($F186&amp;"")="subscription",LOWER($F186&amp;"")="membership"),"Subscription",IF(OR(AND($H186&lt;&gt;"",$H186=0),LOWER($F186&amp;"")="free game",LOWER($F186&amp;"")="free",LOWER($F186&amp;"")="free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986"/>
      <x:c r="H187" s="455"/>
      <x:c r="I187" s="456"/>
      <x:c r="J187" s="456"/>
      <x:c r="K187" s="986"/>
      <x:c r="L187" s="454"/>
      <x:c r="M187" s="439"/>
      <x:c r="N187" s="987" t="str">
        <x:f>IF(COUNTA($A187:$M187)=0,"",IF(OR(LOWER($F187&amp;"")="subscription",LOWER($F187&amp;"")="membership"),"",IF($G187="","",IF(ISNUMBER(SEARCH("non",LOWER($E187&amp;""))),$G187*0.85,$G187))))</x:f>
      </x:c>
      <x:c r="O187" s="987" t="str">
        <x:f>IF(COUNTA($A187:$M187)=0,"",IF(OR(LOWER($F187&amp;"")="subscription",LOWER($F187&amp;"")="membership"),"",IF(OR($N187="",$I187="",$I187=0),"",IFERROR($N187/$I187,""))))</x:f>
      </x:c>
      <x:c r="P187" s="987" t="str">
        <x:f>IF(COUNTA($A187:$M187)=0,"",IF(OR(LOWER($F187&amp;"")="subscription",LOWER($F187&amp;"")="membership"),"",IF(LOWER($L187&amp;"")="yes",0,IF($K187&lt;&gt;"",$K187,IF($O187&lt;&gt;"",$O187,"")))))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IF(COUNTA($A187:$M187)=0,"",IF(OR(LOWER($F187&amp;"")="subscription",LOWER($F187&amp;"")="membership"),"Subscription",IF(OR(AND($H187&lt;&gt;"",$H187=0),LOWER($F187&amp;"")="free game",LOWER($F187&amp;"")="free",LOWER($F187&amp;"")="free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986"/>
      <x:c r="H188" s="455"/>
      <x:c r="I188" s="456"/>
      <x:c r="J188" s="456"/>
      <x:c r="K188" s="986"/>
      <x:c r="L188" s="454"/>
      <x:c r="M188" s="439"/>
      <x:c r="N188" s="987" t="str">
        <x:f>IF(COUNTA($A188:$M188)=0,"",IF(OR(LOWER($F188&amp;"")="subscription",LOWER($F188&amp;"")="membership"),"",IF($G188="","",IF(ISNUMBER(SEARCH("non",LOWER($E188&amp;""))),$G188*0.85,$G188))))</x:f>
      </x:c>
      <x:c r="O188" s="987" t="str">
        <x:f>IF(COUNTA($A188:$M188)=0,"",IF(OR(LOWER($F188&amp;"")="subscription",LOWER($F188&amp;"")="membership"),"",IF(OR($N188="",$I188="",$I188=0),"",IFERROR($N188/$I188,""))))</x:f>
      </x:c>
      <x:c r="P188" s="987" t="str">
        <x:f>IF(COUNTA($A188:$M188)=0,"",IF(OR(LOWER($F188&amp;"")="subscription",LOWER($F188&amp;"")="membership"),"",IF(LOWER($L188&amp;"")="yes",0,IF($K188&lt;&gt;"",$K188,IF($O188&lt;&gt;"",$O188,"")))))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IF(COUNTA($A188:$M188)=0,"",IF(OR(LOWER($F188&amp;"")="subscription",LOWER($F188&amp;"")="membership"),"Subscription",IF(OR(AND($H188&lt;&gt;"",$H188=0),LOWER($F188&amp;"")="free game",LOWER($F188&amp;"")="free",LOWER($F188&amp;"")="free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986"/>
      <x:c r="H189" s="455"/>
      <x:c r="I189" s="456"/>
      <x:c r="J189" s="456"/>
      <x:c r="K189" s="986"/>
      <x:c r="L189" s="454"/>
      <x:c r="M189" s="439"/>
      <x:c r="N189" s="987" t="str">
        <x:f>IF(COUNTA($A189:$M189)=0,"",IF(OR(LOWER($F189&amp;"")="subscription",LOWER($F189&amp;"")="membership"),"",IF($G189="","",IF(ISNUMBER(SEARCH("non",LOWER($E189&amp;""))),$G189*0.85,$G189))))</x:f>
      </x:c>
      <x:c r="O189" s="987" t="str">
        <x:f>IF(COUNTA($A189:$M189)=0,"",IF(OR(LOWER($F189&amp;"")="subscription",LOWER($F189&amp;"")="membership"),"",IF(OR($N189="",$I189="",$I189=0),"",IFERROR($N189/$I189,""))))</x:f>
      </x:c>
      <x:c r="P189" s="987" t="str">
        <x:f>IF(COUNTA($A189:$M189)=0,"",IF(OR(LOWER($F189&amp;"")="subscription",LOWER($F189&amp;"")="membership"),"",IF(LOWER($L189&amp;"")="yes",0,IF($K189&lt;&gt;"",$K189,IF($O189&lt;&gt;"",$O189,"")))))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IF(COUNTA($A189:$M189)=0,"",IF(OR(LOWER($F189&amp;"")="subscription",LOWER($F189&amp;"")="membership"),"Subscription",IF(OR(AND($H189&lt;&gt;"",$H189=0),LOWER($F189&amp;"")="free game",LOWER($F189&amp;"")="free",LOWER($F189&amp;"")="free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986"/>
      <x:c r="H190" s="455"/>
      <x:c r="I190" s="456"/>
      <x:c r="J190" s="456"/>
      <x:c r="K190" s="986"/>
      <x:c r="L190" s="454"/>
      <x:c r="M190" s="439"/>
      <x:c r="N190" s="987" t="str">
        <x:f>IF(COUNTA($A190:$M190)=0,"",IF(OR(LOWER($F190&amp;"")="subscription",LOWER($F190&amp;"")="membership"),"",IF($G190="","",IF(ISNUMBER(SEARCH("non",LOWER($E190&amp;""))),$G190*0.85,$G190))))</x:f>
      </x:c>
      <x:c r="O190" s="987" t="str">
        <x:f>IF(COUNTA($A190:$M190)=0,"",IF(OR(LOWER($F190&amp;"")="subscription",LOWER($F190&amp;"")="membership"),"",IF(OR($N190="",$I190="",$I190=0),"",IFERROR($N190/$I190,""))))</x:f>
      </x:c>
      <x:c r="P190" s="987" t="str">
        <x:f>IF(COUNTA($A190:$M190)=0,"",IF(OR(LOWER($F190&amp;"")="subscription",LOWER($F190&amp;"")="membership"),"",IF(LOWER($L190&amp;"")="yes",0,IF($K190&lt;&gt;"",$K190,IF($O190&lt;&gt;"",$O190,"")))))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IF(COUNTA($A190:$M190)=0,"",IF(OR(LOWER($F190&amp;"")="subscription",LOWER($F190&amp;"")="membership"),"Subscription",IF(OR(AND($H190&lt;&gt;"",$H190=0),LOWER($F190&amp;"")="free game",LOWER($F190&amp;"")="free",LOWER($F190&amp;"")="free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986"/>
      <x:c r="H191" s="455"/>
      <x:c r="I191" s="456"/>
      <x:c r="J191" s="456"/>
      <x:c r="K191" s="986"/>
      <x:c r="L191" s="454"/>
      <x:c r="M191" s="439"/>
      <x:c r="N191" s="987" t="str">
        <x:f>IF(COUNTA($A191:$M191)=0,"",IF(OR(LOWER($F191&amp;"")="subscription",LOWER($F191&amp;"")="membership"),"",IF($G191="","",IF(ISNUMBER(SEARCH("non",LOWER($E191&amp;""))),$G191*0.85,$G191))))</x:f>
      </x:c>
      <x:c r="O191" s="987" t="str">
        <x:f>IF(COUNTA($A191:$M191)=0,"",IF(OR(LOWER($F191&amp;"")="subscription",LOWER($F191&amp;"")="membership"),"",IF(OR($N191="",$I191="",$I191=0),"",IFERROR($N191/$I191,""))))</x:f>
      </x:c>
      <x:c r="P191" s="987" t="str">
        <x:f>IF(COUNTA($A191:$M191)=0,"",IF(OR(LOWER($F191&amp;"")="subscription",LOWER($F191&amp;"")="membership"),"",IF(LOWER($L191&amp;"")="yes",0,IF($K191&lt;&gt;"",$K191,IF($O191&lt;&gt;"",$O191,"")))))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IF(COUNTA($A191:$M191)=0,"",IF(OR(LOWER($F191&amp;"")="subscription",LOWER($F191&amp;"")="membership"),"Subscription",IF(OR(AND($H191&lt;&gt;"",$H191=0),LOWER($F191&amp;"")="free game",LOWER($F191&amp;"")="free",LOWER($F191&amp;"")="free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986"/>
      <x:c r="H192" s="455"/>
      <x:c r="I192" s="456"/>
      <x:c r="J192" s="456"/>
      <x:c r="K192" s="986"/>
      <x:c r="L192" s="454"/>
      <x:c r="M192" s="439"/>
      <x:c r="N192" s="987" t="str">
        <x:f>IF(COUNTA($A192:$M192)=0,"",IF(OR(LOWER($F192&amp;"")="subscription",LOWER($F192&amp;"")="membership"),"",IF($G192="","",IF(ISNUMBER(SEARCH("non",LOWER($E192&amp;""))),$G192*0.85,$G192))))</x:f>
      </x:c>
      <x:c r="O192" s="987" t="str">
        <x:f>IF(COUNTA($A192:$M192)=0,"",IF(OR(LOWER($F192&amp;"")="subscription",LOWER($F192&amp;"")="membership"),"",IF(OR($N192="",$I192="",$I192=0),"",IFERROR($N192/$I192,""))))</x:f>
      </x:c>
      <x:c r="P192" s="987" t="str">
        <x:f>IF(COUNTA($A192:$M192)=0,"",IF(OR(LOWER($F192&amp;"")="subscription",LOWER($F192&amp;"")="membership"),"",IF(LOWER($L192&amp;"")="yes",0,IF($K192&lt;&gt;"",$K192,IF($O192&lt;&gt;"",$O192,"")))))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IF(COUNTA($A192:$M192)=0,"",IF(OR(LOWER($F192&amp;"")="subscription",LOWER($F192&amp;"")="membership"),"Subscription",IF(OR(AND($H192&lt;&gt;"",$H192=0),LOWER($F192&amp;"")="free game",LOWER($F192&amp;"")="free",LOWER($F192&amp;"")="free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986"/>
      <x:c r="H193" s="455"/>
      <x:c r="I193" s="456"/>
      <x:c r="J193" s="456"/>
      <x:c r="K193" s="986"/>
      <x:c r="L193" s="454"/>
      <x:c r="M193" s="439"/>
      <x:c r="N193" s="987" t="str">
        <x:f>IF(COUNTA($A193:$M193)=0,"",IF(OR(LOWER($F193&amp;"")="subscription",LOWER($F193&amp;"")="membership"),"",IF($G193="","",IF(ISNUMBER(SEARCH("non",LOWER($E193&amp;""))),$G193*0.85,$G193))))</x:f>
      </x:c>
      <x:c r="O193" s="987" t="str">
        <x:f>IF(COUNTA($A193:$M193)=0,"",IF(OR(LOWER($F193&amp;"")="subscription",LOWER($F193&amp;"")="membership"),"",IF(OR($N193="",$I193="",$I193=0),"",IFERROR($N193/$I193,""))))</x:f>
      </x:c>
      <x:c r="P193" s="987" t="str">
        <x:f>IF(COUNTA($A193:$M193)=0,"",IF(OR(LOWER($F193&amp;"")="subscription",LOWER($F193&amp;"")="membership"),"",IF(LOWER($L193&amp;"")="yes",0,IF($K193&lt;&gt;"",$K193,IF($O193&lt;&gt;"",$O193,"")))))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IF(COUNTA($A193:$M193)=0,"",IF(OR(LOWER($F193&amp;"")="subscription",LOWER($F193&amp;"")="membership"),"Subscription",IF(OR(AND($H193&lt;&gt;"",$H193=0),LOWER($F193&amp;"")="free game",LOWER($F193&amp;"")="free",LOWER($F193&amp;"")="free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986"/>
      <x:c r="H194" s="455"/>
      <x:c r="I194" s="456"/>
      <x:c r="J194" s="456"/>
      <x:c r="K194" s="986"/>
      <x:c r="L194" s="454"/>
      <x:c r="M194" s="439"/>
      <x:c r="N194" s="987" t="str">
        <x:f>IF(COUNTA($A194:$M194)=0,"",IF(OR(LOWER($F194&amp;"")="subscription",LOWER($F194&amp;"")="membership"),"",IF($G194="","",IF(ISNUMBER(SEARCH("non",LOWER($E194&amp;""))),$G194*0.85,$G194))))</x:f>
      </x:c>
      <x:c r="O194" s="987" t="str">
        <x:f>IF(COUNTA($A194:$M194)=0,"",IF(OR(LOWER($F194&amp;"")="subscription",LOWER($F194&amp;"")="membership"),"",IF(OR($N194="",$I194="",$I194=0),"",IFERROR($N194/$I194,""))))</x:f>
      </x:c>
      <x:c r="P194" s="987" t="str">
        <x:f>IF(COUNTA($A194:$M194)=0,"",IF(OR(LOWER($F194&amp;"")="subscription",LOWER($F194&amp;"")="membership"),"",IF(LOWER($L194&amp;"")="yes",0,IF($K194&lt;&gt;"",$K194,IF($O194&lt;&gt;"",$O194,"")))))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IF(COUNTA($A194:$M194)=0,"",IF(OR(LOWER($F194&amp;"")="subscription",LOWER($F194&amp;"")="membership"),"Subscription",IF(OR(AND($H194&lt;&gt;"",$H194=0),LOWER($F194&amp;"")="free game",LOWER($F194&amp;"")="free",LOWER($F194&amp;"")="free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986"/>
      <x:c r="H195" s="455"/>
      <x:c r="I195" s="456"/>
      <x:c r="J195" s="456"/>
      <x:c r="K195" s="986"/>
      <x:c r="L195" s="454"/>
      <x:c r="M195" s="439"/>
      <x:c r="N195" s="987" t="str">
        <x:f>IF(COUNTA($A195:$M195)=0,"",IF(OR(LOWER($F195&amp;"")="subscription",LOWER($F195&amp;"")="membership"),"",IF($G195="","",IF(ISNUMBER(SEARCH("non",LOWER($E195&amp;""))),$G195*0.85,$G195))))</x:f>
      </x:c>
      <x:c r="O195" s="987" t="str">
        <x:f>IF(COUNTA($A195:$M195)=0,"",IF(OR(LOWER($F195&amp;"")="subscription",LOWER($F195&amp;"")="membership"),"",IF(OR($N195="",$I195="",$I195=0),"",IFERROR($N195/$I195,""))))</x:f>
      </x:c>
      <x:c r="P195" s="987" t="str">
        <x:f>IF(COUNTA($A195:$M195)=0,"",IF(OR(LOWER($F195&amp;"")="subscription",LOWER($F195&amp;"")="membership"),"",IF(LOWER($L195&amp;"")="yes",0,IF($K195&lt;&gt;"",$K195,IF($O195&lt;&gt;"",$O195,"")))))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IF(COUNTA($A195:$M195)=0,"",IF(OR(LOWER($F195&amp;"")="subscription",LOWER($F195&amp;"")="membership"),"Subscription",IF(OR(AND($H195&lt;&gt;"",$H195=0),LOWER($F195&amp;"")="free game",LOWER($F195&amp;"")="free",LOWER($F195&amp;"")="free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986"/>
      <x:c r="H196" s="455"/>
      <x:c r="I196" s="456"/>
      <x:c r="J196" s="456"/>
      <x:c r="K196" s="986"/>
      <x:c r="L196" s="454"/>
      <x:c r="M196" s="439"/>
      <x:c r="N196" s="987" t="str">
        <x:f>IF(COUNTA($A196:$M196)=0,"",IF(OR(LOWER($F196&amp;"")="subscription",LOWER($F196&amp;"")="membership"),"",IF($G196="","",IF(ISNUMBER(SEARCH("non",LOWER($E196&amp;""))),$G196*0.85,$G196))))</x:f>
      </x:c>
      <x:c r="O196" s="987" t="str">
        <x:f>IF(COUNTA($A196:$M196)=0,"",IF(OR(LOWER($F196&amp;"")="subscription",LOWER($F196&amp;"")="membership"),"",IF(OR($N196="",$I196="",$I196=0),"",IFERROR($N196/$I196,""))))</x:f>
      </x:c>
      <x:c r="P196" s="987" t="str">
        <x:f>IF(COUNTA($A196:$M196)=0,"",IF(OR(LOWER($F196&amp;"")="subscription",LOWER($F196&amp;"")="membership"),"",IF(LOWER($L196&amp;"")="yes",0,IF($K196&lt;&gt;"",$K196,IF($O196&lt;&gt;"",$O196,"")))))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IF(COUNTA($A196:$M196)=0,"",IF(OR(LOWER($F196&amp;"")="subscription",LOWER($F196&amp;"")="membership"),"Subscription",IF(OR(AND($H196&lt;&gt;"",$H196=0),LOWER($F196&amp;"")="free game",LOWER($F196&amp;"")="free",LOWER($F196&amp;"")="free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986"/>
      <x:c r="H197" s="455"/>
      <x:c r="I197" s="456"/>
      <x:c r="J197" s="456"/>
      <x:c r="K197" s="986"/>
      <x:c r="L197" s="454"/>
      <x:c r="M197" s="439"/>
      <x:c r="N197" s="987" t="str">
        <x:f>IF(COUNTA($A197:$M197)=0,"",IF(OR(LOWER($F197&amp;"")="subscription",LOWER($F197&amp;"")="membership"),"",IF($G197="","",IF(ISNUMBER(SEARCH("non",LOWER($E197&amp;""))),$G197*0.85,$G197))))</x:f>
      </x:c>
      <x:c r="O197" s="987" t="str">
        <x:f>IF(COUNTA($A197:$M197)=0,"",IF(OR(LOWER($F197&amp;"")="subscription",LOWER($F197&amp;"")="membership"),"",IF(OR($N197="",$I197="",$I197=0),"",IFERROR($N197/$I197,""))))</x:f>
      </x:c>
      <x:c r="P197" s="987" t="str">
        <x:f>IF(COUNTA($A197:$M197)=0,"",IF(OR(LOWER($F197&amp;"")="subscription",LOWER($F197&amp;"")="membership"),"",IF(LOWER($L197&amp;"")="yes",0,IF($K197&lt;&gt;"",$K197,IF($O197&lt;&gt;"",$O197,"")))))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IF(COUNTA($A197:$M197)=0,"",IF(OR(LOWER($F197&amp;"")="subscription",LOWER($F197&amp;"")="membership"),"Subscription",IF(OR(AND($H197&lt;&gt;"",$H197=0),LOWER($F197&amp;"")="free game",LOWER($F197&amp;"")="free",LOWER($F197&amp;"")="free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986"/>
      <x:c r="H198" s="455"/>
      <x:c r="I198" s="456"/>
      <x:c r="J198" s="456"/>
      <x:c r="K198" s="986"/>
      <x:c r="L198" s="454"/>
      <x:c r="M198" s="439"/>
      <x:c r="N198" s="987" t="str">
        <x:f>IF(COUNTA($A198:$M198)=0,"",IF(OR(LOWER($F198&amp;"")="subscription",LOWER($F198&amp;"")="membership"),"",IF($G198="","",IF(ISNUMBER(SEARCH("non",LOWER($E198&amp;""))),$G198*0.85,$G198))))</x:f>
      </x:c>
      <x:c r="O198" s="987" t="str">
        <x:f>IF(COUNTA($A198:$M198)=0,"",IF(OR(LOWER($F198&amp;"")="subscription",LOWER($F198&amp;"")="membership"),"",IF(OR($N198="",$I198="",$I198=0),"",IFERROR($N198/$I198,""))))</x:f>
      </x:c>
      <x:c r="P198" s="987" t="str">
        <x:f>IF(COUNTA($A198:$M198)=0,"",IF(OR(LOWER($F198&amp;"")="subscription",LOWER($F198&amp;"")="membership"),"",IF(LOWER($L198&amp;"")="yes",0,IF($K198&lt;&gt;"",$K198,IF($O198&lt;&gt;"",$O198,"")))))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IF(COUNTA($A198:$M198)=0,"",IF(OR(LOWER($F198&amp;"")="subscription",LOWER($F198&amp;"")="membership"),"Subscription",IF(OR(AND($H198&lt;&gt;"",$H198=0),LOWER($F198&amp;"")="free game",LOWER($F198&amp;"")="free",LOWER($F198&amp;"")="free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986"/>
      <x:c r="H199" s="455"/>
      <x:c r="I199" s="456"/>
      <x:c r="J199" s="456"/>
      <x:c r="K199" s="986"/>
      <x:c r="L199" s="454"/>
      <x:c r="M199" s="439"/>
      <x:c r="N199" s="987" t="str">
        <x:f>IF(COUNTA($A199:$M199)=0,"",IF(OR(LOWER($F199&amp;"")="subscription",LOWER($F199&amp;"")="membership"),"",IF($G199="","",IF(ISNUMBER(SEARCH("non",LOWER($E199&amp;""))),$G199*0.85,$G199))))</x:f>
      </x:c>
      <x:c r="O199" s="987" t="str">
        <x:f>IF(COUNTA($A199:$M199)=0,"",IF(OR(LOWER($F199&amp;"")="subscription",LOWER($F199&amp;"")="membership"),"",IF(OR($N199="",$I199="",$I199=0),"",IFERROR($N199/$I199,""))))</x:f>
      </x:c>
      <x:c r="P199" s="987" t="str">
        <x:f>IF(COUNTA($A199:$M199)=0,"",IF(OR(LOWER($F199&amp;"")="subscription",LOWER($F199&amp;"")="membership"),"",IF(LOWER($L199&amp;"")="yes",0,IF($K199&lt;&gt;"",$K199,IF($O199&lt;&gt;"",$O199,"")))))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IF(COUNTA($A199:$M199)=0,"",IF(OR(LOWER($F199&amp;"")="subscription",LOWER($F199&amp;"")="membership"),"Subscription",IF(OR(AND($H199&lt;&gt;"",$H199=0),LOWER($F199&amp;"")="free game",LOWER($F199&amp;"")="free",LOWER($F199&amp;"")="free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986"/>
      <x:c r="H200" s="455"/>
      <x:c r="I200" s="456"/>
      <x:c r="J200" s="456"/>
      <x:c r="K200" s="986"/>
      <x:c r="L200" s="454"/>
      <x:c r="M200" s="439"/>
      <x:c r="N200" s="987" t="str">
        <x:f>IF(COUNTA($A200:$M200)=0,"",IF(OR(LOWER($F200&amp;"")="subscription",LOWER($F200&amp;"")="membership"),"",IF($G200="","",IF(ISNUMBER(SEARCH("non",LOWER($E200&amp;""))),$G200*0.85,$G200))))</x:f>
      </x:c>
      <x:c r="O200" s="987" t="str">
        <x:f>IF(COUNTA($A200:$M200)=0,"",IF(OR(LOWER($F200&amp;"")="subscription",LOWER($F200&amp;"")="membership"),"",IF(OR($N200="",$I200="",$I200=0),"",IFERROR($N200/$I200,""))))</x:f>
      </x:c>
      <x:c r="P200" s="987" t="str">
        <x:f>IF(COUNTA($A200:$M200)=0,"",IF(OR(LOWER($F200&amp;"")="subscription",LOWER($F200&amp;"")="membership"),"",IF(LOWER($L200&amp;"")="yes",0,IF($K200&lt;&gt;"",$K200,IF($O200&lt;&gt;"",$O200,"")))))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IF(COUNTA($A200:$M200)=0,"",IF(OR(LOWER($F200&amp;"")="subscription",LOWER($F200&amp;"")="membership"),"Subscription",IF(OR(AND($H200&lt;&gt;"",$H200=0),LOWER($F200&amp;"")="free game",LOWER($F200&amp;"")="free",LOWER($F200&amp;"")="free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986"/>
      <x:c r="H201" s="455"/>
      <x:c r="I201" s="456"/>
      <x:c r="J201" s="456"/>
      <x:c r="K201" s="986"/>
      <x:c r="L201" s="454"/>
      <x:c r="M201" s="439"/>
      <x:c r="N201" s="987" t="str">
        <x:f>IF(COUNTA($A201:$M201)=0,"",IF(OR(LOWER($F201&amp;"")="subscription",LOWER($F201&amp;"")="membership"),"",IF($G201="","",IF(ISNUMBER(SEARCH("non",LOWER($E201&amp;""))),$G201*0.85,$G201))))</x:f>
      </x:c>
      <x:c r="O201" s="987" t="str">
        <x:f>IF(COUNTA($A201:$M201)=0,"",IF(OR(LOWER($F201&amp;"")="subscription",LOWER($F201&amp;"")="membership"),"",IF(OR($N201="",$I201="",$I201=0),"",IFERROR($N201/$I201,""))))</x:f>
      </x:c>
      <x:c r="P201" s="987" t="str">
        <x:f>IF(COUNTA($A201:$M201)=0,"",IF(OR(LOWER($F201&amp;"")="subscription",LOWER($F201&amp;"")="membership"),"",IF(LOWER($L201&amp;"")="yes",0,IF($K201&lt;&gt;"",$K201,IF($O201&lt;&gt;"",$O201,"")))))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IF(COUNTA($A201:$M201)=0,"",IF(OR(LOWER($F201&amp;"")="subscription",LOWER($F201&amp;"")="membership"),"Subscription",IF(OR(AND($H201&lt;&gt;"",$H201=0),LOWER($F201&amp;"")="free game",LOWER($F201&amp;"")="free",LOWER($F201&amp;"")="free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986"/>
      <x:c r="H202" s="455"/>
      <x:c r="I202" s="456"/>
      <x:c r="J202" s="456"/>
      <x:c r="K202" s="986"/>
      <x:c r="L202" s="454"/>
      <x:c r="M202" s="439"/>
      <x:c r="N202" s="987" t="str">
        <x:f>IF(COUNTA($A202:$M202)=0,"",IF(OR(LOWER($F202&amp;"")="subscription",LOWER($F202&amp;"")="membership"),"",IF($G202="","",IF(ISNUMBER(SEARCH("non",LOWER($E202&amp;""))),$G202*0.85,$G202))))</x:f>
      </x:c>
      <x:c r="O202" s="987" t="str">
        <x:f>IF(COUNTA($A202:$M202)=0,"",IF(OR(LOWER($F202&amp;"")="subscription",LOWER($F202&amp;"")="membership"),"",IF(OR($N202="",$I202="",$I202=0),"",IFERROR($N202/$I202,""))))</x:f>
      </x:c>
      <x:c r="P202" s="987" t="str">
        <x:f>IF(COUNTA($A202:$M202)=0,"",IF(OR(LOWER($F202&amp;"")="subscription",LOWER($F202&amp;"")="membership"),"",IF(LOWER($L202&amp;"")="yes",0,IF($K202&lt;&gt;"",$K202,IF($O202&lt;&gt;"",$O202,"")))))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IF(COUNTA($A202:$M202)=0,"",IF(OR(LOWER($F202&amp;"")="subscription",LOWER($F202&amp;"")="membership"),"Subscription",IF(OR(AND($H202&lt;&gt;"",$H202=0),LOWER($F202&amp;"")="free game",LOWER($F202&amp;"")="free",LOWER($F202&amp;"")="free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986"/>
      <x:c r="H203" s="455"/>
      <x:c r="I203" s="456"/>
      <x:c r="J203" s="456"/>
      <x:c r="K203" s="986"/>
      <x:c r="L203" s="454"/>
      <x:c r="M203" s="439"/>
      <x:c r="N203" s="987" t="str">
        <x:f>IF(COUNTA($A203:$M203)=0,"",IF(OR(LOWER($F203&amp;"")="subscription",LOWER($F203&amp;"")="membership"),"",IF($G203="","",IF(ISNUMBER(SEARCH("non",LOWER($E203&amp;""))),$G203*0.85,$G203))))</x:f>
      </x:c>
      <x:c r="O203" s="987" t="str">
        <x:f>IF(COUNTA($A203:$M203)=0,"",IF(OR(LOWER($F203&amp;"")="subscription",LOWER($F203&amp;"")="membership"),"",IF(OR($N203="",$I203="",$I203=0),"",IFERROR($N203/$I203,""))))</x:f>
      </x:c>
      <x:c r="P203" s="987" t="str">
        <x:f>IF(COUNTA($A203:$M203)=0,"",IF(OR(LOWER($F203&amp;"")="subscription",LOWER($F203&amp;"")="membership"),"",IF(LOWER($L203&amp;"")="yes",0,IF($K203&lt;&gt;"",$K203,IF($O203&lt;&gt;"",$O203,"")))))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IF(COUNTA($A203:$M203)=0,"",IF(OR(LOWER($F203&amp;"")="subscription",LOWER($F203&amp;"")="membership"),"Subscription",IF(OR(AND($H203&lt;&gt;"",$H203=0),LOWER($F203&amp;"")="free game",LOWER($F203&amp;"")="free",LOWER($F203&amp;"")="free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986"/>
      <x:c r="H204" s="455"/>
      <x:c r="I204" s="456"/>
      <x:c r="J204" s="456"/>
      <x:c r="K204" s="986"/>
      <x:c r="L204" s="454"/>
      <x:c r="M204" s="439"/>
      <x:c r="N204" s="987" t="str">
        <x:f>IF(COUNTA($A204:$M204)=0,"",IF(OR(LOWER($F204&amp;"")="subscription",LOWER($F204&amp;"")="membership"),"",IF($G204="","",IF(ISNUMBER(SEARCH("non",LOWER($E204&amp;""))),$G204*0.85,$G204))))</x:f>
      </x:c>
      <x:c r="O204" s="987" t="str">
        <x:f>IF(COUNTA($A204:$M204)=0,"",IF(OR(LOWER($F204&amp;"")="subscription",LOWER($F204&amp;"")="membership"),"",IF(OR($N204="",$I204="",$I204=0),"",IFERROR($N204/$I204,""))))</x:f>
      </x:c>
      <x:c r="P204" s="987" t="str">
        <x:f>IF(COUNTA($A204:$M204)=0,"",IF(OR(LOWER($F204&amp;"")="subscription",LOWER($F204&amp;"")="membership"),"",IF(LOWER($L204&amp;"")="yes",0,IF($K204&lt;&gt;"",$K204,IF($O204&lt;&gt;"",$O204,"")))))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IF(COUNTA($A204:$M204)=0,"",IF(OR(LOWER($F204&amp;"")="subscription",LOWER($F204&amp;"")="membership"),"Subscription",IF(OR(AND($H204&lt;&gt;"",$H204=0),LOWER($F204&amp;"")="free game",LOWER($F204&amp;"")="free",LOWER($F204&amp;"")="free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986"/>
      <x:c r="H205" s="455"/>
      <x:c r="I205" s="456"/>
      <x:c r="J205" s="456"/>
      <x:c r="K205" s="986"/>
      <x:c r="L205" s="454"/>
      <x:c r="M205" s="439"/>
      <x:c r="N205" s="987" t="str">
        <x:f>IF(COUNTA($A205:$M205)=0,"",IF(OR(LOWER($F205&amp;"")="subscription",LOWER($F205&amp;"")="membership"),"",IF($G205="","",IF(ISNUMBER(SEARCH("non",LOWER($E205&amp;""))),$G205*0.85,$G205))))</x:f>
      </x:c>
      <x:c r="O205" s="987" t="str">
        <x:f>IF(COUNTA($A205:$M205)=0,"",IF(OR(LOWER($F205&amp;"")="subscription",LOWER($F205&amp;"")="membership"),"",IF(OR($N205="",$I205="",$I205=0),"",IFERROR($N205/$I205,""))))</x:f>
      </x:c>
      <x:c r="P205" s="987" t="str">
        <x:f>IF(COUNTA($A205:$M205)=0,"",IF(OR(LOWER($F205&amp;"")="subscription",LOWER($F205&amp;"")="membership"),"",IF(LOWER($L205&amp;"")="yes",0,IF($K205&lt;&gt;"",$K205,IF($O205&lt;&gt;"",$O205,"")))))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IF(COUNTA($A205:$M205)=0,"",IF(OR(LOWER($F205&amp;"")="subscription",LOWER($F205&amp;"")="membership"),"Subscription",IF(OR(AND($H205&lt;&gt;"",$H205=0),LOWER($F205&amp;"")="free game",LOWER($F205&amp;"")="free",LOWER($F205&amp;"")="free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986"/>
      <x:c r="H206" s="455"/>
      <x:c r="I206" s="456"/>
      <x:c r="J206" s="456"/>
      <x:c r="K206" s="986"/>
      <x:c r="L206" s="454"/>
      <x:c r="M206" s="439"/>
      <x:c r="N206" s="987" t="str">
        <x:f>IF(COUNTA($A206:$M206)=0,"",IF(OR(LOWER($F206&amp;"")="subscription",LOWER($F206&amp;"")="membership"),"",IF($G206="","",IF(ISNUMBER(SEARCH("non",LOWER($E206&amp;""))),$G206*0.85,$G206))))</x:f>
      </x:c>
      <x:c r="O206" s="987" t="str">
        <x:f>IF(COUNTA($A206:$M206)=0,"",IF(OR(LOWER($F206&amp;"")="subscription",LOWER($F206&amp;"")="membership"),"",IF(OR($N206="",$I206="",$I206=0),"",IFERROR($N206/$I206,""))))</x:f>
      </x:c>
      <x:c r="P206" s="987" t="str">
        <x:f>IF(COUNTA($A206:$M206)=0,"",IF(OR(LOWER($F206&amp;"")="subscription",LOWER($F206&amp;"")="membership"),"",IF(LOWER($L206&amp;"")="yes",0,IF($K206&lt;&gt;"",$K206,IF($O206&lt;&gt;"",$O206,"")))))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IF(COUNTA($A206:$M206)=0,"",IF(OR(LOWER($F206&amp;"")="subscription",LOWER($F206&amp;"")="membership"),"Subscription",IF(OR(AND($H206&lt;&gt;"",$H206=0),LOWER($F206&amp;"")="free game",LOWER($F206&amp;"")="free",LOWER($F206&amp;"")="free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986"/>
      <x:c r="H207" s="455"/>
      <x:c r="I207" s="456"/>
      <x:c r="J207" s="456"/>
      <x:c r="K207" s="986"/>
      <x:c r="L207" s="454"/>
      <x:c r="M207" s="439"/>
      <x:c r="N207" s="987" t="str">
        <x:f>IF(COUNTA($A207:$M207)=0,"",IF(OR(LOWER($F207&amp;"")="subscription",LOWER($F207&amp;"")="membership"),"",IF($G207="","",IF(ISNUMBER(SEARCH("non",LOWER($E207&amp;""))),$G207*0.85,$G207))))</x:f>
      </x:c>
      <x:c r="O207" s="987" t="str">
        <x:f>IF(COUNTA($A207:$M207)=0,"",IF(OR(LOWER($F207&amp;"")="subscription",LOWER($F207&amp;"")="membership"),"",IF(OR($N207="",$I207="",$I207=0),"",IFERROR($N207/$I207,""))))</x:f>
      </x:c>
      <x:c r="P207" s="987" t="str">
        <x:f>IF(COUNTA($A207:$M207)=0,"",IF(OR(LOWER($F207&amp;"")="subscription",LOWER($F207&amp;"")="membership"),"",IF(LOWER($L207&amp;"")="yes",0,IF($K207&lt;&gt;"",$K207,IF($O207&lt;&gt;"",$O207,"")))))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IF(COUNTA($A207:$M207)=0,"",IF(OR(LOWER($F207&amp;"")="subscription",LOWER($F207&amp;"")="membership"),"Subscription",IF(OR(AND($H207&lt;&gt;"",$H207=0),LOWER($F207&amp;"")="free game",LOWER($F207&amp;"")="free",LOWER($F207&amp;"")="free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986"/>
      <x:c r="H208" s="455"/>
      <x:c r="I208" s="456"/>
      <x:c r="J208" s="456"/>
      <x:c r="K208" s="986"/>
      <x:c r="L208" s="454"/>
      <x:c r="M208" s="439"/>
      <x:c r="N208" s="987" t="str">
        <x:f>IF(COUNTA($A208:$M208)=0,"",IF(OR(LOWER($F208&amp;"")="subscription",LOWER($F208&amp;"")="membership"),"",IF($G208="","",IF(ISNUMBER(SEARCH("non",LOWER($E208&amp;""))),$G208*0.85,$G208))))</x:f>
      </x:c>
      <x:c r="O208" s="987" t="str">
        <x:f>IF(COUNTA($A208:$M208)=0,"",IF(OR(LOWER($F208&amp;"")="subscription",LOWER($F208&amp;"")="membership"),"",IF(OR($N208="",$I208="",$I208=0),"",IFERROR($N208/$I208,""))))</x:f>
      </x:c>
      <x:c r="P208" s="987" t="str">
        <x:f>IF(COUNTA($A208:$M208)=0,"",IF(OR(LOWER($F208&amp;"")="subscription",LOWER($F208&amp;"")="membership"),"",IF(LOWER($L208&amp;"")="yes",0,IF($K208&lt;&gt;"",$K208,IF($O208&lt;&gt;"",$O208,"")))))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IF(COUNTA($A208:$M208)=0,"",IF(OR(LOWER($F208&amp;"")="subscription",LOWER($F208&amp;"")="membership"),"Subscription",IF(OR(AND($H208&lt;&gt;"",$H208=0),LOWER($F208&amp;"")="free game",LOWER($F208&amp;"")="free",LOWER($F208&amp;"")="free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986"/>
      <x:c r="H209" s="455"/>
      <x:c r="I209" s="456"/>
      <x:c r="J209" s="456"/>
      <x:c r="K209" s="986"/>
      <x:c r="L209" s="454"/>
      <x:c r="M209" s="439"/>
      <x:c r="N209" s="987" t="str">
        <x:f>IF(COUNTA($A209:$M209)=0,"",IF(OR(LOWER($F209&amp;"")="subscription",LOWER($F209&amp;"")="membership"),"",IF($G209="","",IF(ISNUMBER(SEARCH("non",LOWER($E209&amp;""))),$G209*0.85,$G209))))</x:f>
      </x:c>
      <x:c r="O209" s="987" t="str">
        <x:f>IF(COUNTA($A209:$M209)=0,"",IF(OR(LOWER($F209&amp;"")="subscription",LOWER($F209&amp;"")="membership"),"",IF(OR($N209="",$I209="",$I209=0),"",IFERROR($N209/$I209,""))))</x:f>
      </x:c>
      <x:c r="P209" s="987" t="str">
        <x:f>IF(COUNTA($A209:$M209)=0,"",IF(OR(LOWER($F209&amp;"")="subscription",LOWER($F209&amp;"")="membership"),"",IF(LOWER($L209&amp;"")="yes",0,IF($K209&lt;&gt;"",$K209,IF($O209&lt;&gt;"",$O209,"")))))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IF(COUNTA($A209:$M209)=0,"",IF(OR(LOWER($F209&amp;"")="subscription",LOWER($F209&amp;"")="membership"),"Subscription",IF(OR(AND($H209&lt;&gt;"",$H209=0),LOWER($F209&amp;"")="free game",LOWER($F209&amp;"")="free",LOWER($F209&amp;"")="free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986"/>
      <x:c r="H210" s="455"/>
      <x:c r="I210" s="456"/>
      <x:c r="J210" s="456"/>
      <x:c r="K210" s="986"/>
      <x:c r="L210" s="454"/>
      <x:c r="M210" s="439"/>
      <x:c r="N210" s="987" t="str">
        <x:f>IF(COUNTA($A210:$M210)=0,"",IF(OR(LOWER($F210&amp;"")="subscription",LOWER($F210&amp;"")="membership"),"",IF($G210="","",IF(ISNUMBER(SEARCH("non",LOWER($E210&amp;""))),$G210*0.85,$G210))))</x:f>
      </x:c>
      <x:c r="O210" s="987" t="str">
        <x:f>IF(COUNTA($A210:$M210)=0,"",IF(OR(LOWER($F210&amp;"")="subscription",LOWER($F210&amp;"")="membership"),"",IF(OR($N210="",$I210="",$I210=0),"",IFERROR($N210/$I210,""))))</x:f>
      </x:c>
      <x:c r="P210" s="987" t="str">
        <x:f>IF(COUNTA($A210:$M210)=0,"",IF(OR(LOWER($F210&amp;"")="subscription",LOWER($F210&amp;"")="membership"),"",IF(LOWER($L210&amp;"")="yes",0,IF($K210&lt;&gt;"",$K210,IF($O210&lt;&gt;"",$O210,"")))))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IF(COUNTA($A210:$M210)=0,"",IF(OR(LOWER($F210&amp;"")="subscription",LOWER($F210&amp;"")="membership"),"Subscription",IF(OR(AND($H210&lt;&gt;"",$H210=0),LOWER($F210&amp;"")="free game",LOWER($F210&amp;"")="free",LOWER($F210&amp;"")="free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986"/>
      <x:c r="H211" s="455"/>
      <x:c r="I211" s="456"/>
      <x:c r="J211" s="456"/>
      <x:c r="K211" s="986"/>
      <x:c r="L211" s="454"/>
      <x:c r="M211" s="439"/>
      <x:c r="N211" s="987" t="str">
        <x:f>IF(COUNTA($A211:$M211)=0,"",IF(OR(LOWER($F211&amp;"")="subscription",LOWER($F211&amp;"")="membership"),"",IF($G211="","",IF(ISNUMBER(SEARCH("non",LOWER($E211&amp;""))),$G211*0.85,$G211))))</x:f>
      </x:c>
      <x:c r="O211" s="987" t="str">
        <x:f>IF(COUNTA($A211:$M211)=0,"",IF(OR(LOWER($F211&amp;"")="subscription",LOWER($F211&amp;"")="membership"),"",IF(OR($N211="",$I211="",$I211=0),"",IFERROR($N211/$I211,""))))</x:f>
      </x:c>
      <x:c r="P211" s="987" t="str">
        <x:f>IF(COUNTA($A211:$M211)=0,"",IF(OR(LOWER($F211&amp;"")="subscription",LOWER($F211&amp;"")="membership"),"",IF(LOWER($L211&amp;"")="yes",0,IF($K211&lt;&gt;"",$K211,IF($O211&lt;&gt;"",$O211,"")))))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IF(COUNTA($A211:$M211)=0,"",IF(OR(LOWER($F211&amp;"")="subscription",LOWER($F211&amp;"")="membership"),"Subscription",IF(OR(AND($H211&lt;&gt;"",$H211=0),LOWER($F211&amp;"")="free game",LOWER($F211&amp;"")="free",LOWER($F211&amp;"")="free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986"/>
      <x:c r="H212" s="455"/>
      <x:c r="I212" s="456"/>
      <x:c r="J212" s="456"/>
      <x:c r="K212" s="986"/>
      <x:c r="L212" s="454"/>
      <x:c r="M212" s="439"/>
      <x:c r="N212" s="987" t="str">
        <x:f>IF(COUNTA($A212:$M212)=0,"",IF(OR(LOWER($F212&amp;"")="subscription",LOWER($F212&amp;"")="membership"),"",IF($G212="","",IF(ISNUMBER(SEARCH("non",LOWER($E212&amp;""))),$G212*0.85,$G212))))</x:f>
      </x:c>
      <x:c r="O212" s="987" t="str">
        <x:f>IF(COUNTA($A212:$M212)=0,"",IF(OR(LOWER($F212&amp;"")="subscription",LOWER($F212&amp;"")="membership"),"",IF(OR($N212="",$I212="",$I212=0),"",IFERROR($N212/$I212,""))))</x:f>
      </x:c>
      <x:c r="P212" s="987" t="str">
        <x:f>IF(COUNTA($A212:$M212)=0,"",IF(OR(LOWER($F212&amp;"")="subscription",LOWER($F212&amp;"")="membership"),"",IF(LOWER($L212&amp;"")="yes",0,IF($K212&lt;&gt;"",$K212,IF($O212&lt;&gt;"",$O212,"")))))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IF(COUNTA($A212:$M212)=0,"",IF(OR(LOWER($F212&amp;"")="subscription",LOWER($F212&amp;"")="membership"),"Subscription",IF(OR(AND($H212&lt;&gt;"",$H212=0),LOWER($F212&amp;"")="free game",LOWER($F212&amp;"")="free",LOWER($F212&amp;"")="free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986"/>
      <x:c r="H213" s="455"/>
      <x:c r="I213" s="456"/>
      <x:c r="J213" s="456"/>
      <x:c r="K213" s="986"/>
      <x:c r="L213" s="454"/>
      <x:c r="M213" s="439"/>
      <x:c r="N213" s="987" t="str">
        <x:f>IF(COUNTA($A213:$M213)=0,"",IF(OR(LOWER($F213&amp;"")="subscription",LOWER($F213&amp;"")="membership"),"",IF($G213="","",IF(ISNUMBER(SEARCH("non",LOWER($E213&amp;""))),$G213*0.85,$G213))))</x:f>
      </x:c>
      <x:c r="O213" s="987" t="str">
        <x:f>IF(COUNTA($A213:$M213)=0,"",IF(OR(LOWER($F213&amp;"")="subscription",LOWER($F213&amp;"")="membership"),"",IF(OR($N213="",$I213="",$I213=0),"",IFERROR($N213/$I213,""))))</x:f>
      </x:c>
      <x:c r="P213" s="987" t="str">
        <x:f>IF(COUNTA($A213:$M213)=0,"",IF(OR(LOWER($F213&amp;"")="subscription",LOWER($F213&amp;"")="membership"),"",IF(LOWER($L213&amp;"")="yes",0,IF($K213&lt;&gt;"",$K213,IF($O213&lt;&gt;"",$O213,"")))))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IF(COUNTA($A213:$M213)=0,"",IF(OR(LOWER($F213&amp;"")="subscription",LOWER($F213&amp;"")="membership"),"Subscription",IF(OR(AND($H213&lt;&gt;"",$H213=0),LOWER($F213&amp;"")="free game",LOWER($F213&amp;"")="free",LOWER($F213&amp;"")="free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986"/>
      <x:c r="H214" s="455"/>
      <x:c r="I214" s="456"/>
      <x:c r="J214" s="456"/>
      <x:c r="K214" s="986"/>
      <x:c r="L214" s="454"/>
      <x:c r="M214" s="439"/>
      <x:c r="N214" s="987" t="str">
        <x:f>IF(COUNTA($A214:$M214)=0,"",IF(OR(LOWER($F214&amp;"")="subscription",LOWER($F214&amp;"")="membership"),"",IF($G214="","",IF(ISNUMBER(SEARCH("non",LOWER($E214&amp;""))),$G214*0.85,$G214))))</x:f>
      </x:c>
      <x:c r="O214" s="987" t="str">
        <x:f>IF(COUNTA($A214:$M214)=0,"",IF(OR(LOWER($F214&amp;"")="subscription",LOWER($F214&amp;"")="membership"),"",IF(OR($N214="",$I214="",$I214=0),"",IFERROR($N214/$I214,""))))</x:f>
      </x:c>
      <x:c r="P214" s="987" t="str">
        <x:f>IF(COUNTA($A214:$M214)=0,"",IF(OR(LOWER($F214&amp;"")="subscription",LOWER($F214&amp;"")="membership"),"",IF(LOWER($L214&amp;"")="yes",0,IF($K214&lt;&gt;"",$K214,IF($O214&lt;&gt;"",$O214,"")))))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IF(COUNTA($A214:$M214)=0,"",IF(OR(LOWER($F214&amp;"")="subscription",LOWER($F214&amp;"")="membership"),"Subscription",IF(OR(AND($H214&lt;&gt;"",$H214=0),LOWER($F214&amp;"")="free game",LOWER($F214&amp;"")="free",LOWER($F214&amp;"")="free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986"/>
      <x:c r="H215" s="455"/>
      <x:c r="I215" s="456"/>
      <x:c r="J215" s="456"/>
      <x:c r="K215" s="986"/>
      <x:c r="L215" s="454"/>
      <x:c r="M215" s="439"/>
      <x:c r="N215" s="987" t="str">
        <x:f>IF(COUNTA($A215:$M215)=0,"",IF(OR(LOWER($F215&amp;"")="subscription",LOWER($F215&amp;"")="membership"),"",IF($G215="","",IF(ISNUMBER(SEARCH("non",LOWER($E215&amp;""))),$G215*0.85,$G215))))</x:f>
      </x:c>
      <x:c r="O215" s="987" t="str">
        <x:f>IF(COUNTA($A215:$M215)=0,"",IF(OR(LOWER($F215&amp;"")="subscription",LOWER($F215&amp;"")="membership"),"",IF(OR($N215="",$I215="",$I215=0),"",IFERROR($N215/$I215,""))))</x:f>
      </x:c>
      <x:c r="P215" s="987" t="str">
        <x:f>IF(COUNTA($A215:$M215)=0,"",IF(OR(LOWER($F215&amp;"")="subscription",LOWER($F215&amp;"")="membership"),"",IF(LOWER($L215&amp;"")="yes",0,IF($K215&lt;&gt;"",$K215,IF($O215&lt;&gt;"",$O215,"")))))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IF(COUNTA($A215:$M215)=0,"",IF(OR(LOWER($F215&amp;"")="subscription",LOWER($F215&amp;"")="membership"),"Subscription",IF(OR(AND($H215&lt;&gt;"",$H215=0),LOWER($F215&amp;"")="free game",LOWER($F215&amp;"")="free",LOWER($F215&amp;"")="free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986"/>
      <x:c r="H216" s="455"/>
      <x:c r="I216" s="456"/>
      <x:c r="J216" s="456"/>
      <x:c r="K216" s="986"/>
      <x:c r="L216" s="454"/>
      <x:c r="M216" s="439"/>
      <x:c r="N216" s="987" t="str">
        <x:f>IF(COUNTA($A216:$M216)=0,"",IF(OR(LOWER($F216&amp;"")="subscription",LOWER($F216&amp;"")="membership"),"",IF($G216="","",IF(ISNUMBER(SEARCH("non",LOWER($E216&amp;""))),$G216*0.85,$G216))))</x:f>
      </x:c>
      <x:c r="O216" s="987" t="str">
        <x:f>IF(COUNTA($A216:$M216)=0,"",IF(OR(LOWER($F216&amp;"")="subscription",LOWER($F216&amp;"")="membership"),"",IF(OR($N216="",$I216="",$I216=0),"",IFERROR($N216/$I216,""))))</x:f>
      </x:c>
      <x:c r="P216" s="987" t="str">
        <x:f>IF(COUNTA($A216:$M216)=0,"",IF(OR(LOWER($F216&amp;"")="subscription",LOWER($F216&amp;"")="membership"),"",IF(LOWER($L216&amp;"")="yes",0,IF($K216&lt;&gt;"",$K216,IF($O216&lt;&gt;"",$O216,"")))))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IF(COUNTA($A216:$M216)=0,"",IF(OR(LOWER($F216&amp;"")="subscription",LOWER($F216&amp;"")="membership"),"Subscription",IF(OR(AND($H216&lt;&gt;"",$H216=0),LOWER($F216&amp;"")="free game",LOWER($F216&amp;"")="free",LOWER($F216&amp;"")="free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986"/>
      <x:c r="H217" s="455"/>
      <x:c r="I217" s="456"/>
      <x:c r="J217" s="456"/>
      <x:c r="K217" s="986"/>
      <x:c r="L217" s="454"/>
      <x:c r="M217" s="439"/>
      <x:c r="N217" s="987" t="str">
        <x:f>IF(COUNTA($A217:$M217)=0,"",IF(OR(LOWER($F217&amp;"")="subscription",LOWER($F217&amp;"")="membership"),"",IF($G217="","",IF(ISNUMBER(SEARCH("non",LOWER($E217&amp;""))),$G217*0.85,$G217))))</x:f>
      </x:c>
      <x:c r="O217" s="987" t="str">
        <x:f>IF(COUNTA($A217:$M217)=0,"",IF(OR(LOWER($F217&amp;"")="subscription",LOWER($F217&amp;"")="membership"),"",IF(OR($N217="",$I217="",$I217=0),"",IFERROR($N217/$I217,""))))</x:f>
      </x:c>
      <x:c r="P217" s="987" t="str">
        <x:f>IF(COUNTA($A217:$M217)=0,"",IF(OR(LOWER($F217&amp;"")="subscription",LOWER($F217&amp;"")="membership"),"",IF(LOWER($L217&amp;"")="yes",0,IF($K217&lt;&gt;"",$K217,IF($O217&lt;&gt;"",$O217,"")))))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IF(COUNTA($A217:$M217)=0,"",IF(OR(LOWER($F217&amp;"")="subscription",LOWER($F217&amp;"")="membership"),"Subscription",IF(OR(AND($H217&lt;&gt;"",$H217=0),LOWER($F217&amp;"")="free game",LOWER($F217&amp;"")="free",LOWER($F217&amp;"")="free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986"/>
      <x:c r="H218" s="455"/>
      <x:c r="I218" s="456"/>
      <x:c r="J218" s="456"/>
      <x:c r="K218" s="986"/>
      <x:c r="L218" s="454"/>
      <x:c r="M218" s="439"/>
      <x:c r="N218" s="987" t="str">
        <x:f>IF(COUNTA($A218:$M218)=0,"",IF(OR(LOWER($F218&amp;"")="subscription",LOWER($F218&amp;"")="membership"),"",IF($G218="","",IF(ISNUMBER(SEARCH("non",LOWER($E218&amp;""))),$G218*0.85,$G218))))</x:f>
      </x:c>
      <x:c r="O218" s="987" t="str">
        <x:f>IF(COUNTA($A218:$M218)=0,"",IF(OR(LOWER($F218&amp;"")="subscription",LOWER($F218&amp;"")="membership"),"",IF(OR($N218="",$I218="",$I218=0),"",IFERROR($N218/$I218,""))))</x:f>
      </x:c>
      <x:c r="P218" s="987" t="str">
        <x:f>IF(COUNTA($A218:$M218)=0,"",IF(OR(LOWER($F218&amp;"")="subscription",LOWER($F218&amp;"")="membership"),"",IF(LOWER($L218&amp;"")="yes",0,IF($K218&lt;&gt;"",$K218,IF($O218&lt;&gt;"",$O218,"")))))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IF(COUNTA($A218:$M218)=0,"",IF(OR(LOWER($F218&amp;"")="subscription",LOWER($F218&amp;"")="membership"),"Subscription",IF(OR(AND($H218&lt;&gt;"",$H218=0),LOWER($F218&amp;"")="free game",LOWER($F218&amp;"")="free",LOWER($F218&amp;"")="free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986"/>
      <x:c r="H219" s="455"/>
      <x:c r="I219" s="456"/>
      <x:c r="J219" s="456"/>
      <x:c r="K219" s="986"/>
      <x:c r="L219" s="454"/>
      <x:c r="M219" s="439"/>
      <x:c r="N219" s="987" t="str">
        <x:f>IF(COUNTA($A219:$M219)=0,"",IF(OR(LOWER($F219&amp;"")="subscription",LOWER($F219&amp;"")="membership"),"",IF($G219="","",IF(ISNUMBER(SEARCH("non",LOWER($E219&amp;""))),$G219*0.85,$G219))))</x:f>
      </x:c>
      <x:c r="O219" s="987" t="str">
        <x:f>IF(COUNTA($A219:$M219)=0,"",IF(OR(LOWER($F219&amp;"")="subscription",LOWER($F219&amp;"")="membership"),"",IF(OR($N219="",$I219="",$I219=0),"",IFERROR($N219/$I219,""))))</x:f>
      </x:c>
      <x:c r="P219" s="987" t="str">
        <x:f>IF(COUNTA($A219:$M219)=0,"",IF(OR(LOWER($F219&amp;"")="subscription",LOWER($F219&amp;"")="membership"),"",IF(LOWER($L219&amp;"")="yes",0,IF($K219&lt;&gt;"",$K219,IF($O219&lt;&gt;"",$O219,"")))))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IF(COUNTA($A219:$M219)=0,"",IF(OR(LOWER($F219&amp;"")="subscription",LOWER($F219&amp;"")="membership"),"Subscription",IF(OR(AND($H219&lt;&gt;"",$H219=0),LOWER($F219&amp;"")="free game",LOWER($F219&amp;"")="free",LOWER($F219&amp;"")="free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986"/>
      <x:c r="H220" s="455"/>
      <x:c r="I220" s="456"/>
      <x:c r="J220" s="456"/>
      <x:c r="K220" s="986"/>
      <x:c r="L220" s="454"/>
      <x:c r="M220" s="439"/>
      <x:c r="N220" s="987" t="str">
        <x:f>IF(COUNTA($A220:$M220)=0,"",IF(OR(LOWER($F220&amp;"")="subscription",LOWER($F220&amp;"")="membership"),"",IF($G220="","",IF(ISNUMBER(SEARCH("non",LOWER($E220&amp;""))),$G220*0.85,$G220))))</x:f>
      </x:c>
      <x:c r="O220" s="987" t="str">
        <x:f>IF(COUNTA($A220:$M220)=0,"",IF(OR(LOWER($F220&amp;"")="subscription",LOWER($F220&amp;"")="membership"),"",IF(OR($N220="",$I220="",$I220=0),"",IFERROR($N220/$I220,""))))</x:f>
      </x:c>
      <x:c r="P220" s="987" t="str">
        <x:f>IF(COUNTA($A220:$M220)=0,"",IF(OR(LOWER($F220&amp;"")="subscription",LOWER($F220&amp;"")="membership"),"",IF(LOWER($L220&amp;"")="yes",0,IF($K220&lt;&gt;"",$K220,IF($O220&lt;&gt;"",$O220,"")))))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IF(COUNTA($A220:$M220)=0,"",IF(OR(LOWER($F220&amp;"")="subscription",LOWER($F220&amp;"")="membership"),"Subscription",IF(OR(AND($H220&lt;&gt;"",$H220=0),LOWER($F220&amp;"")="free game",LOWER($F220&amp;"")="free",LOWER($F220&amp;"")="free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986"/>
      <x:c r="H221" s="455"/>
      <x:c r="I221" s="456"/>
      <x:c r="J221" s="456"/>
      <x:c r="K221" s="986"/>
      <x:c r="L221" s="454"/>
      <x:c r="M221" s="439"/>
      <x:c r="N221" s="987" t="str">
        <x:f>IF(COUNTA($A221:$M221)=0,"",IF(OR(LOWER($F221&amp;"")="subscription",LOWER($F221&amp;"")="membership"),"",IF($G221="","",IF(ISNUMBER(SEARCH("non",LOWER($E221&amp;""))),$G221*0.85,$G221))))</x:f>
      </x:c>
      <x:c r="O221" s="987" t="str">
        <x:f>IF(COUNTA($A221:$M221)=0,"",IF(OR(LOWER($F221&amp;"")="subscription",LOWER($F221&amp;"")="membership"),"",IF(OR($N221="",$I221="",$I221=0),"",IFERROR($N221/$I221,""))))</x:f>
      </x:c>
      <x:c r="P221" s="987" t="str">
        <x:f>IF(COUNTA($A221:$M221)=0,"",IF(OR(LOWER($F221&amp;"")="subscription",LOWER($F221&amp;"")="membership"),"",IF(LOWER($L221&amp;"")="yes",0,IF($K221&lt;&gt;"",$K221,IF($O221&lt;&gt;"",$O221,"")))))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IF(COUNTA($A221:$M221)=0,"",IF(OR(LOWER($F221&amp;"")="subscription",LOWER($F221&amp;"")="membership"),"Subscription",IF(OR(AND($H221&lt;&gt;"",$H221=0),LOWER($F221&amp;"")="free game",LOWER($F221&amp;"")="free",LOWER($F221&amp;"")="free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986"/>
      <x:c r="H222" s="455"/>
      <x:c r="I222" s="456"/>
      <x:c r="J222" s="456"/>
      <x:c r="K222" s="986"/>
      <x:c r="L222" s="454"/>
      <x:c r="M222" s="439"/>
      <x:c r="N222" s="987" t="str">
        <x:f>IF(COUNTA($A222:$M222)=0,"",IF(OR(LOWER($F222&amp;"")="subscription",LOWER($F222&amp;"")="membership"),"",IF($G222="","",IF(ISNUMBER(SEARCH("non",LOWER($E222&amp;""))),$G222*0.85,$G222))))</x:f>
      </x:c>
      <x:c r="O222" s="987" t="str">
        <x:f>IF(COUNTA($A222:$M222)=0,"",IF(OR(LOWER($F222&amp;"")="subscription",LOWER($F222&amp;"")="membership"),"",IF(OR($N222="",$I222="",$I222=0),"",IFERROR($N222/$I222,""))))</x:f>
      </x:c>
      <x:c r="P222" s="987" t="str">
        <x:f>IF(COUNTA($A222:$M222)=0,"",IF(OR(LOWER($F222&amp;"")="subscription",LOWER($F222&amp;"")="membership"),"",IF(LOWER($L222&amp;"")="yes",0,IF($K222&lt;&gt;"",$K222,IF($O222&lt;&gt;"",$O222,"")))))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IF(COUNTA($A222:$M222)=0,"",IF(OR(LOWER($F222&amp;"")="subscription",LOWER($F222&amp;"")="membership"),"Subscription",IF(OR(AND($H222&lt;&gt;"",$H222=0),LOWER($F222&amp;"")="free game",LOWER($F222&amp;"")="free",LOWER($F222&amp;"")="free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986"/>
      <x:c r="H223" s="455"/>
      <x:c r="I223" s="456"/>
      <x:c r="J223" s="456"/>
      <x:c r="K223" s="986"/>
      <x:c r="L223" s="454"/>
      <x:c r="M223" s="439"/>
      <x:c r="N223" s="987" t="str">
        <x:f>IF(COUNTA($A223:$M223)=0,"",IF(OR(LOWER($F223&amp;"")="subscription",LOWER($F223&amp;"")="membership"),"",IF($G223="","",IF(ISNUMBER(SEARCH("non",LOWER($E223&amp;""))),$G223*0.85,$G223))))</x:f>
      </x:c>
      <x:c r="O223" s="987" t="str">
        <x:f>IF(COUNTA($A223:$M223)=0,"",IF(OR(LOWER($F223&amp;"")="subscription",LOWER($F223&amp;"")="membership"),"",IF(OR($N223="",$I223="",$I223=0),"",IFERROR($N223/$I223,""))))</x:f>
      </x:c>
      <x:c r="P223" s="987" t="str">
        <x:f>IF(COUNTA($A223:$M223)=0,"",IF(OR(LOWER($F223&amp;"")="subscription",LOWER($F223&amp;"")="membership"),"",IF(LOWER($L223&amp;"")="yes",0,IF($K223&lt;&gt;"",$K223,IF($O223&lt;&gt;"",$O223,"")))))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IF(COUNTA($A223:$M223)=0,"",IF(OR(LOWER($F223&amp;"")="subscription",LOWER($F223&amp;"")="membership"),"Subscription",IF(OR(AND($H223&lt;&gt;"",$H223=0),LOWER($F223&amp;"")="free game",LOWER($F223&amp;"")="free",LOWER($F223&amp;"")="free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986"/>
      <x:c r="H224" s="455"/>
      <x:c r="I224" s="456"/>
      <x:c r="J224" s="456"/>
      <x:c r="K224" s="986"/>
      <x:c r="L224" s="454"/>
      <x:c r="M224" s="439"/>
      <x:c r="N224" s="987" t="str">
        <x:f>IF(COUNTA($A224:$M224)=0,"",IF(OR(LOWER($F224&amp;"")="subscription",LOWER($F224&amp;"")="membership"),"",IF($G224="","",IF(ISNUMBER(SEARCH("non",LOWER($E224&amp;""))),$G224*0.85,$G224))))</x:f>
      </x:c>
      <x:c r="O224" s="987" t="str">
        <x:f>IF(COUNTA($A224:$M224)=0,"",IF(OR(LOWER($F224&amp;"")="subscription",LOWER($F224&amp;"")="membership"),"",IF(OR($N224="",$I224="",$I224=0),"",IFERROR($N224/$I224,""))))</x:f>
      </x:c>
      <x:c r="P224" s="987" t="str">
        <x:f>IF(COUNTA($A224:$M224)=0,"",IF(OR(LOWER($F224&amp;"")="subscription",LOWER($F224&amp;"")="membership"),"",IF(LOWER($L224&amp;"")="yes",0,IF($K224&lt;&gt;"",$K224,IF($O224&lt;&gt;"",$O224,"")))))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IF(COUNTA($A224:$M224)=0,"",IF(OR(LOWER($F224&amp;"")="subscription",LOWER($F224&amp;"")="membership"),"Subscription",IF(OR(AND($H224&lt;&gt;"",$H224=0),LOWER($F224&amp;"")="free game",LOWER($F224&amp;"")="free",LOWER($F224&amp;"")="free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986"/>
      <x:c r="H225" s="455"/>
      <x:c r="I225" s="456"/>
      <x:c r="J225" s="456"/>
      <x:c r="K225" s="986"/>
      <x:c r="L225" s="454"/>
      <x:c r="M225" s="439"/>
      <x:c r="N225" s="987" t="str">
        <x:f>IF(COUNTA($A225:$M225)=0,"",IF(OR(LOWER($F225&amp;"")="subscription",LOWER($F225&amp;"")="membership"),"",IF($G225="","",IF(ISNUMBER(SEARCH("non",LOWER($E225&amp;""))),$G225*0.85,$G225))))</x:f>
      </x:c>
      <x:c r="O225" s="987" t="str">
        <x:f>IF(COUNTA($A225:$M225)=0,"",IF(OR(LOWER($F225&amp;"")="subscription",LOWER($F225&amp;"")="membership"),"",IF(OR($N225="",$I225="",$I225=0),"",IFERROR($N225/$I225,""))))</x:f>
      </x:c>
      <x:c r="P225" s="987" t="str">
        <x:f>IF(COUNTA($A225:$M225)=0,"",IF(OR(LOWER($F225&amp;"")="subscription",LOWER($F225&amp;"")="membership"),"",IF(LOWER($L225&amp;"")="yes",0,IF($K225&lt;&gt;"",$K225,IF($O225&lt;&gt;"",$O225,"")))))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IF(COUNTA($A225:$M225)=0,"",IF(OR(LOWER($F225&amp;"")="subscription",LOWER($F225&amp;"")="membership"),"Subscription",IF(OR(AND($H225&lt;&gt;"",$H225=0),LOWER($F225&amp;"")="free game",LOWER($F225&amp;"")="free",LOWER($F225&amp;"")="free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986"/>
      <x:c r="H226" s="455"/>
      <x:c r="I226" s="456"/>
      <x:c r="J226" s="456"/>
      <x:c r="K226" s="986"/>
      <x:c r="L226" s="454"/>
      <x:c r="M226" s="439"/>
      <x:c r="N226" s="987" t="str">
        <x:f>IF(COUNTA($A226:$M226)=0,"",IF(OR(LOWER($F226&amp;"")="subscription",LOWER($F226&amp;"")="membership"),"",IF($G226="","",IF(ISNUMBER(SEARCH("non",LOWER($E226&amp;""))),$G226*0.85,$G226))))</x:f>
      </x:c>
      <x:c r="O226" s="987" t="str">
        <x:f>IF(COUNTA($A226:$M226)=0,"",IF(OR(LOWER($F226&amp;"")="subscription",LOWER($F226&amp;"")="membership"),"",IF(OR($N226="",$I226="",$I226=0),"",IFERROR($N226/$I226,""))))</x:f>
      </x:c>
      <x:c r="P226" s="987" t="str">
        <x:f>IF(COUNTA($A226:$M226)=0,"",IF(OR(LOWER($F226&amp;"")="subscription",LOWER($F226&amp;"")="membership"),"",IF(LOWER($L226&amp;"")="yes",0,IF($K226&lt;&gt;"",$K226,IF($O226&lt;&gt;"",$O226,"")))))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IF(COUNTA($A226:$M226)=0,"",IF(OR(LOWER($F226&amp;"")="subscription",LOWER($F226&amp;"")="membership"),"Subscription",IF(OR(AND($H226&lt;&gt;"",$H226=0),LOWER($F226&amp;"")="free game",LOWER($F226&amp;"")="free",LOWER($F226&amp;"")="free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986"/>
      <x:c r="H227" s="455"/>
      <x:c r="I227" s="456"/>
      <x:c r="J227" s="456"/>
      <x:c r="K227" s="986"/>
      <x:c r="L227" s="454"/>
      <x:c r="M227" s="439"/>
      <x:c r="N227" s="987" t="str">
        <x:f>IF(COUNTA($A227:$M227)=0,"",IF(OR(LOWER($F227&amp;"")="subscription",LOWER($F227&amp;"")="membership"),"",IF($G227="","",IF(ISNUMBER(SEARCH("non",LOWER($E227&amp;""))),$G227*0.85,$G227))))</x:f>
      </x:c>
      <x:c r="O227" s="987" t="str">
        <x:f>IF(COUNTA($A227:$M227)=0,"",IF(OR(LOWER($F227&amp;"")="subscription",LOWER($F227&amp;"")="membership"),"",IF(OR($N227="",$I227="",$I227=0),"",IFERROR($N227/$I227,""))))</x:f>
      </x:c>
      <x:c r="P227" s="987" t="str">
        <x:f>IF(COUNTA($A227:$M227)=0,"",IF(OR(LOWER($F227&amp;"")="subscription",LOWER($F227&amp;"")="membership"),"",IF(LOWER($L227&amp;"")="yes",0,IF($K227&lt;&gt;"",$K227,IF($O227&lt;&gt;"",$O227,"")))))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IF(COUNTA($A227:$M227)=0,"",IF(OR(LOWER($F227&amp;"")="subscription",LOWER($F227&amp;"")="membership"),"Subscription",IF(OR(AND($H227&lt;&gt;"",$H227=0),LOWER($F227&amp;"")="free game",LOWER($F227&amp;"")="free",LOWER($F227&amp;"")="free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986"/>
      <x:c r="H228" s="455"/>
      <x:c r="I228" s="456"/>
      <x:c r="J228" s="456"/>
      <x:c r="K228" s="986"/>
      <x:c r="L228" s="454"/>
      <x:c r="M228" s="439"/>
      <x:c r="N228" s="987" t="str">
        <x:f>IF(COUNTA($A228:$M228)=0,"",IF(OR(LOWER($F228&amp;"")="subscription",LOWER($F228&amp;"")="membership"),"",IF($G228="","",IF(ISNUMBER(SEARCH("non",LOWER($E228&amp;""))),$G228*0.85,$G228))))</x:f>
      </x:c>
      <x:c r="O228" s="987" t="str">
        <x:f>IF(COUNTA($A228:$M228)=0,"",IF(OR(LOWER($F228&amp;"")="subscription",LOWER($F228&amp;"")="membership"),"",IF(OR($N228="",$I228="",$I228=0),"",IFERROR($N228/$I228,""))))</x:f>
      </x:c>
      <x:c r="P228" s="987" t="str">
        <x:f>IF(COUNTA($A228:$M228)=0,"",IF(OR(LOWER($F228&amp;"")="subscription",LOWER($F228&amp;"")="membership"),"",IF(LOWER($L228&amp;"")="yes",0,IF($K228&lt;&gt;"",$K228,IF($O228&lt;&gt;"",$O228,"")))))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IF(COUNTA($A228:$M228)=0,"",IF(OR(LOWER($F228&amp;"")="subscription",LOWER($F228&amp;"")="membership"),"Subscription",IF(OR(AND($H228&lt;&gt;"",$H228=0),LOWER($F228&amp;"")="free game",LOWER($F228&amp;"")="free",LOWER($F228&amp;"")="free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986"/>
      <x:c r="H229" s="455"/>
      <x:c r="I229" s="456"/>
      <x:c r="J229" s="456"/>
      <x:c r="K229" s="986"/>
      <x:c r="L229" s="454"/>
      <x:c r="M229" s="439"/>
      <x:c r="N229" s="987" t="str">
        <x:f>IF(COUNTA($A229:$M229)=0,"",IF(OR(LOWER($F229&amp;"")="subscription",LOWER($F229&amp;"")="membership"),"",IF($G229="","",IF(ISNUMBER(SEARCH("non",LOWER($E229&amp;""))),$G229*0.85,$G229))))</x:f>
      </x:c>
      <x:c r="O229" s="987" t="str">
        <x:f>IF(COUNTA($A229:$M229)=0,"",IF(OR(LOWER($F229&amp;"")="subscription",LOWER($F229&amp;"")="membership"),"",IF(OR($N229="",$I229="",$I229=0),"",IFERROR($N229/$I229,""))))</x:f>
      </x:c>
      <x:c r="P229" s="987" t="str">
        <x:f>IF(COUNTA($A229:$M229)=0,"",IF(OR(LOWER($F229&amp;"")="subscription",LOWER($F229&amp;"")="membership"),"",IF(LOWER($L229&amp;"")="yes",0,IF($K229&lt;&gt;"",$K229,IF($O229&lt;&gt;"",$O229,"")))))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IF(COUNTA($A229:$M229)=0,"",IF(OR(LOWER($F229&amp;"")="subscription",LOWER($F229&amp;"")="membership"),"Subscription",IF(OR(AND($H229&lt;&gt;"",$H229=0),LOWER($F229&amp;"")="free game",LOWER($F229&amp;"")="free",LOWER($F229&amp;"")="free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986"/>
      <x:c r="H230" s="455"/>
      <x:c r="I230" s="456"/>
      <x:c r="J230" s="456"/>
      <x:c r="K230" s="986"/>
      <x:c r="L230" s="454"/>
      <x:c r="M230" s="439"/>
      <x:c r="N230" s="987" t="str">
        <x:f>IF(COUNTA($A230:$M230)=0,"",IF(OR(LOWER($F230&amp;"")="subscription",LOWER($F230&amp;"")="membership"),"",IF($G230="","",IF(ISNUMBER(SEARCH("non",LOWER($E230&amp;""))),$G230*0.85,$G230))))</x:f>
      </x:c>
      <x:c r="O230" s="987" t="str">
        <x:f>IF(COUNTA($A230:$M230)=0,"",IF(OR(LOWER($F230&amp;"")="subscription",LOWER($F230&amp;"")="membership"),"",IF(OR($N230="",$I230="",$I230=0),"",IFERROR($N230/$I230,""))))</x:f>
      </x:c>
      <x:c r="P230" s="987" t="str">
        <x:f>IF(COUNTA($A230:$M230)=0,"",IF(OR(LOWER($F230&amp;"")="subscription",LOWER($F230&amp;"")="membership"),"",IF(LOWER($L230&amp;"")="yes",0,IF($K230&lt;&gt;"",$K230,IF($O230&lt;&gt;"",$O230,"")))))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IF(COUNTA($A230:$M230)=0,"",IF(OR(LOWER($F230&amp;"")="subscription",LOWER($F230&amp;"")="membership"),"Subscription",IF(OR(AND($H230&lt;&gt;"",$H230=0),LOWER($F230&amp;"")="free game",LOWER($F230&amp;"")="free",LOWER($F230&amp;"")="free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986"/>
      <x:c r="H231" s="455"/>
      <x:c r="I231" s="456"/>
      <x:c r="J231" s="456"/>
      <x:c r="K231" s="986"/>
      <x:c r="L231" s="454"/>
      <x:c r="M231" s="439"/>
      <x:c r="N231" s="987" t="str">
        <x:f>IF(COUNTA($A231:$M231)=0,"",IF(OR(LOWER($F231&amp;"")="subscription",LOWER($F231&amp;"")="membership"),"",IF($G231="","",IF(ISNUMBER(SEARCH("non",LOWER($E231&amp;""))),$G231*0.85,$G231))))</x:f>
      </x:c>
      <x:c r="O231" s="987" t="str">
        <x:f>IF(COUNTA($A231:$M231)=0,"",IF(OR(LOWER($F231&amp;"")="subscription",LOWER($F231&amp;"")="membership"),"",IF(OR($N231="",$I231="",$I231=0),"",IFERROR($N231/$I231,""))))</x:f>
      </x:c>
      <x:c r="P231" s="987" t="str">
        <x:f>IF(COUNTA($A231:$M231)=0,"",IF(OR(LOWER($F231&amp;"")="subscription",LOWER($F231&amp;"")="membership"),"",IF(LOWER($L231&amp;"")="yes",0,IF($K231&lt;&gt;"",$K231,IF($O231&lt;&gt;"",$O231,"")))))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IF(COUNTA($A231:$M231)=0,"",IF(OR(LOWER($F231&amp;"")="subscription",LOWER($F231&amp;"")="membership"),"Subscription",IF(OR(AND($H231&lt;&gt;"",$H231=0),LOWER($F231&amp;"")="free game",LOWER($F231&amp;"")="free",LOWER($F231&amp;"")="free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986"/>
      <x:c r="H232" s="455"/>
      <x:c r="I232" s="456"/>
      <x:c r="J232" s="456"/>
      <x:c r="K232" s="986"/>
      <x:c r="L232" s="454"/>
      <x:c r="M232" s="439"/>
      <x:c r="N232" s="987" t="str">
        <x:f>IF(COUNTA($A232:$M232)=0,"",IF(OR(LOWER($F232&amp;"")="subscription",LOWER($F232&amp;"")="membership"),"",IF($G232="","",IF(ISNUMBER(SEARCH("non",LOWER($E232&amp;""))),$G232*0.85,$G232))))</x:f>
      </x:c>
      <x:c r="O232" s="987" t="str">
        <x:f>IF(COUNTA($A232:$M232)=0,"",IF(OR(LOWER($F232&amp;"")="subscription",LOWER($F232&amp;"")="membership"),"",IF(OR($N232="",$I232="",$I232=0),"",IFERROR($N232/$I232,""))))</x:f>
      </x:c>
      <x:c r="P232" s="987" t="str">
        <x:f>IF(COUNTA($A232:$M232)=0,"",IF(OR(LOWER($F232&amp;"")="subscription",LOWER($F232&amp;"")="membership"),"",IF(LOWER($L232&amp;"")="yes",0,IF($K232&lt;&gt;"",$K232,IF($O232&lt;&gt;"",$O232,"")))))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IF(COUNTA($A232:$M232)=0,"",IF(OR(LOWER($F232&amp;"")="subscription",LOWER($F232&amp;"")="membership"),"Subscription",IF(OR(AND($H232&lt;&gt;"",$H232=0),LOWER($F232&amp;"")="free game",LOWER($F232&amp;"")="free",LOWER($F232&amp;"")="free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986"/>
      <x:c r="H233" s="455"/>
      <x:c r="I233" s="456"/>
      <x:c r="J233" s="456"/>
      <x:c r="K233" s="986"/>
      <x:c r="L233" s="454"/>
      <x:c r="M233" s="439"/>
      <x:c r="N233" s="987" t="str">
        <x:f>IF(COUNTA($A233:$M233)=0,"",IF(OR(LOWER($F233&amp;"")="subscription",LOWER($F233&amp;"")="membership"),"",IF($G233="","",IF(ISNUMBER(SEARCH("non",LOWER($E233&amp;""))),$G233*0.85,$G233))))</x:f>
      </x:c>
      <x:c r="O233" s="987" t="str">
        <x:f>IF(COUNTA($A233:$M233)=0,"",IF(OR(LOWER($F233&amp;"")="subscription",LOWER($F233&amp;"")="membership"),"",IF(OR($N233="",$I233="",$I233=0),"",IFERROR($N233/$I233,""))))</x:f>
      </x:c>
      <x:c r="P233" s="987" t="str">
        <x:f>IF(COUNTA($A233:$M233)=0,"",IF(OR(LOWER($F233&amp;"")="subscription",LOWER($F233&amp;"")="membership"),"",IF(LOWER($L233&amp;"")="yes",0,IF($K233&lt;&gt;"",$K233,IF($O233&lt;&gt;"",$O233,"")))))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IF(COUNTA($A233:$M233)=0,"",IF(OR(LOWER($F233&amp;"")="subscription",LOWER($F233&amp;"")="membership"),"Subscription",IF(OR(AND($H233&lt;&gt;"",$H233=0),LOWER($F233&amp;"")="free game",LOWER($F233&amp;"")="free",LOWER($F233&amp;"")="free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986"/>
      <x:c r="H234" s="455"/>
      <x:c r="I234" s="456"/>
      <x:c r="J234" s="456"/>
      <x:c r="K234" s="986"/>
      <x:c r="L234" s="454"/>
      <x:c r="M234" s="439"/>
      <x:c r="N234" s="987" t="str">
        <x:f>IF(COUNTA($A234:$M234)=0,"",IF(OR(LOWER($F234&amp;"")="subscription",LOWER($F234&amp;"")="membership"),"",IF($G234="","",IF(ISNUMBER(SEARCH("non",LOWER($E234&amp;""))),$G234*0.85,$G234))))</x:f>
      </x:c>
      <x:c r="O234" s="987" t="str">
        <x:f>IF(COUNTA($A234:$M234)=0,"",IF(OR(LOWER($F234&amp;"")="subscription",LOWER($F234&amp;"")="membership"),"",IF(OR($N234="",$I234="",$I234=0),"",IFERROR($N234/$I234,""))))</x:f>
      </x:c>
      <x:c r="P234" s="987" t="str">
        <x:f>IF(COUNTA($A234:$M234)=0,"",IF(OR(LOWER($F234&amp;"")="subscription",LOWER($F234&amp;"")="membership"),"",IF(LOWER($L234&amp;"")="yes",0,IF($K234&lt;&gt;"",$K234,IF($O234&lt;&gt;"",$O234,"")))))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IF(COUNTA($A234:$M234)=0,"",IF(OR(LOWER($F234&amp;"")="subscription",LOWER($F234&amp;"")="membership"),"Subscription",IF(OR(AND($H234&lt;&gt;"",$H234=0),LOWER($F234&amp;"")="free game",LOWER($F234&amp;"")="free",LOWER($F234&amp;"")="free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986"/>
      <x:c r="H235" s="455"/>
      <x:c r="I235" s="456"/>
      <x:c r="J235" s="456"/>
      <x:c r="K235" s="986"/>
      <x:c r="L235" s="454"/>
      <x:c r="M235" s="439"/>
      <x:c r="N235" s="987" t="str">
        <x:f>IF(COUNTA($A235:$M235)=0,"",IF(OR(LOWER($F235&amp;"")="subscription",LOWER($F235&amp;"")="membership"),"",IF($G235="","",IF(ISNUMBER(SEARCH("non",LOWER($E235&amp;""))),$G235*0.85,$G235))))</x:f>
      </x:c>
      <x:c r="O235" s="987" t="str">
        <x:f>IF(COUNTA($A235:$M235)=0,"",IF(OR(LOWER($F235&amp;"")="subscription",LOWER($F235&amp;"")="membership"),"",IF(OR($N235="",$I235="",$I235=0),"",IFERROR($N235/$I235,""))))</x:f>
      </x:c>
      <x:c r="P235" s="987" t="str">
        <x:f>IF(COUNTA($A235:$M235)=0,"",IF(OR(LOWER($F235&amp;"")="subscription",LOWER($F235&amp;"")="membership"),"",IF(LOWER($L235&amp;"")="yes",0,IF($K235&lt;&gt;"",$K235,IF($O235&lt;&gt;"",$O235,"")))))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IF(COUNTA($A235:$M235)=0,"",IF(OR(LOWER($F235&amp;"")="subscription",LOWER($F235&amp;"")="membership"),"Subscription",IF(OR(AND($H235&lt;&gt;"",$H235=0),LOWER($F235&amp;"")="free game",LOWER($F235&amp;"")="free",LOWER($F235&amp;"")="free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986"/>
      <x:c r="H236" s="455"/>
      <x:c r="I236" s="456"/>
      <x:c r="J236" s="456"/>
      <x:c r="K236" s="986"/>
      <x:c r="L236" s="454"/>
      <x:c r="M236" s="439"/>
      <x:c r="N236" s="987" t="str">
        <x:f>IF(COUNTA($A236:$M236)=0,"",IF(OR(LOWER($F236&amp;"")="subscription",LOWER($F236&amp;"")="membership"),"",IF($G236="","",IF(ISNUMBER(SEARCH("non",LOWER($E236&amp;""))),$G236*0.85,$G236))))</x:f>
      </x:c>
      <x:c r="O236" s="987" t="str">
        <x:f>IF(COUNTA($A236:$M236)=0,"",IF(OR(LOWER($F236&amp;"")="subscription",LOWER($F236&amp;"")="membership"),"",IF(OR($N236="",$I236="",$I236=0),"",IFERROR($N236/$I236,""))))</x:f>
      </x:c>
      <x:c r="P236" s="987" t="str">
        <x:f>IF(COUNTA($A236:$M236)=0,"",IF(OR(LOWER($F236&amp;"")="subscription",LOWER($F236&amp;"")="membership"),"",IF(LOWER($L236&amp;"")="yes",0,IF($K236&lt;&gt;"",$K236,IF($O236&lt;&gt;"",$O236,"")))))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IF(COUNTA($A236:$M236)=0,"",IF(OR(LOWER($F236&amp;"")="subscription",LOWER($F236&amp;"")="membership"),"Subscription",IF(OR(AND($H236&lt;&gt;"",$H236=0),LOWER($F236&amp;"")="free game",LOWER($F236&amp;"")="free",LOWER($F236&amp;"")="free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986"/>
      <x:c r="H237" s="455"/>
      <x:c r="I237" s="456"/>
      <x:c r="J237" s="456"/>
      <x:c r="K237" s="986"/>
      <x:c r="L237" s="454"/>
      <x:c r="M237" s="439"/>
      <x:c r="N237" s="987" t="str">
        <x:f>IF(COUNTA($A237:$M237)=0,"",IF(OR(LOWER($F237&amp;"")="subscription",LOWER($F237&amp;"")="membership"),"",IF($G237="","",IF(ISNUMBER(SEARCH("non",LOWER($E237&amp;""))),$G237*0.85,$G237))))</x:f>
      </x:c>
      <x:c r="O237" s="987" t="str">
        <x:f>IF(COUNTA($A237:$M237)=0,"",IF(OR(LOWER($F237&amp;"")="subscription",LOWER($F237&amp;"")="membership"),"",IF(OR($N237="",$I237="",$I237=0),"",IFERROR($N237/$I237,""))))</x:f>
      </x:c>
      <x:c r="P237" s="987" t="str">
        <x:f>IF(COUNTA($A237:$M237)=0,"",IF(OR(LOWER($F237&amp;"")="subscription",LOWER($F237&amp;"")="membership"),"",IF(LOWER($L237&amp;"")="yes",0,IF($K237&lt;&gt;"",$K237,IF($O237&lt;&gt;"",$O237,"")))))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IF(COUNTA($A237:$M237)=0,"",IF(OR(LOWER($F237&amp;"")="subscription",LOWER($F237&amp;"")="membership"),"Subscription",IF(OR(AND($H237&lt;&gt;"",$H237=0),LOWER($F237&amp;"")="free game",LOWER($F237&amp;"")="free",LOWER($F237&amp;"")="free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986"/>
      <x:c r="H238" s="455"/>
      <x:c r="I238" s="456"/>
      <x:c r="J238" s="456"/>
      <x:c r="K238" s="986"/>
      <x:c r="L238" s="454"/>
      <x:c r="M238" s="439"/>
      <x:c r="N238" s="987" t="str">
        <x:f>IF(COUNTA($A238:$M238)=0,"",IF(OR(LOWER($F238&amp;"")="subscription",LOWER($F238&amp;"")="membership"),"",IF($G238="","",IF(ISNUMBER(SEARCH("non",LOWER($E238&amp;""))),$G238*0.85,$G238))))</x:f>
      </x:c>
      <x:c r="O238" s="987" t="str">
        <x:f>IF(COUNTA($A238:$M238)=0,"",IF(OR(LOWER($F238&amp;"")="subscription",LOWER($F238&amp;"")="membership"),"",IF(OR($N238="",$I238="",$I238=0),"",IFERROR($N238/$I238,""))))</x:f>
      </x:c>
      <x:c r="P238" s="987" t="str">
        <x:f>IF(COUNTA($A238:$M238)=0,"",IF(OR(LOWER($F238&amp;"")="subscription",LOWER($F238&amp;"")="membership"),"",IF(LOWER($L238&amp;"")="yes",0,IF($K238&lt;&gt;"",$K238,IF($O238&lt;&gt;"",$O238,"")))))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IF(COUNTA($A238:$M238)=0,"",IF(OR(LOWER($F238&amp;"")="subscription",LOWER($F238&amp;"")="membership"),"Subscription",IF(OR(AND($H238&lt;&gt;"",$H238=0),LOWER($F238&amp;"")="free game",LOWER($F238&amp;"")="free",LOWER($F238&amp;"")="free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986"/>
      <x:c r="H239" s="455"/>
      <x:c r="I239" s="456"/>
      <x:c r="J239" s="456"/>
      <x:c r="K239" s="986"/>
      <x:c r="L239" s="454"/>
      <x:c r="M239" s="439"/>
      <x:c r="N239" s="987" t="str">
        <x:f>IF(COUNTA($A239:$M239)=0,"",IF(OR(LOWER($F239&amp;"")="subscription",LOWER($F239&amp;"")="membership"),"",IF($G239="","",IF(ISNUMBER(SEARCH("non",LOWER($E239&amp;""))),$G239*0.85,$G239))))</x:f>
      </x:c>
      <x:c r="O239" s="987" t="str">
        <x:f>IF(COUNTA($A239:$M239)=0,"",IF(OR(LOWER($F239&amp;"")="subscription",LOWER($F239&amp;"")="membership"),"",IF(OR($N239="",$I239="",$I239=0),"",IFERROR($N239/$I239,""))))</x:f>
      </x:c>
      <x:c r="P239" s="987" t="str">
        <x:f>IF(COUNTA($A239:$M239)=0,"",IF(OR(LOWER($F239&amp;"")="subscription",LOWER($F239&amp;"")="membership"),"",IF(LOWER($L239&amp;"")="yes",0,IF($K239&lt;&gt;"",$K239,IF($O239&lt;&gt;"",$O239,"")))))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IF(COUNTA($A239:$M239)=0,"",IF(OR(LOWER($F239&amp;"")="subscription",LOWER($F239&amp;"")="membership"),"Subscription",IF(OR(AND($H239&lt;&gt;"",$H239=0),LOWER($F239&amp;"")="free game",LOWER($F239&amp;"")="free",LOWER($F239&amp;"")="free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986"/>
      <x:c r="H240" s="455"/>
      <x:c r="I240" s="456"/>
      <x:c r="J240" s="456"/>
      <x:c r="K240" s="986"/>
      <x:c r="L240" s="454"/>
      <x:c r="M240" s="439"/>
      <x:c r="N240" s="987" t="str">
        <x:f>IF(COUNTA($A240:$M240)=0,"",IF(OR(LOWER($F240&amp;"")="subscription",LOWER($F240&amp;"")="membership"),"",IF($G240="","",IF(ISNUMBER(SEARCH("non",LOWER($E240&amp;""))),$G240*0.85,$G240))))</x:f>
      </x:c>
      <x:c r="O240" s="987" t="str">
        <x:f>IF(COUNTA($A240:$M240)=0,"",IF(OR(LOWER($F240&amp;"")="subscription",LOWER($F240&amp;"")="membership"),"",IF(OR($N240="",$I240="",$I240=0),"",IFERROR($N240/$I240,""))))</x:f>
      </x:c>
      <x:c r="P240" s="987" t="str">
        <x:f>IF(COUNTA($A240:$M240)=0,"",IF(OR(LOWER($F240&amp;"")="subscription",LOWER($F240&amp;"")="membership"),"",IF(LOWER($L240&amp;"")="yes",0,IF($K240&lt;&gt;"",$K240,IF($O240&lt;&gt;"",$O240,"")))))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IF(COUNTA($A240:$M240)=0,"",IF(OR(LOWER($F240&amp;"")="subscription",LOWER($F240&amp;"")="membership"),"Subscription",IF(OR(AND($H240&lt;&gt;"",$H240=0),LOWER($F240&amp;"")="free game",LOWER($F240&amp;"")="free",LOWER($F240&amp;"")="free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986"/>
      <x:c r="H241" s="455"/>
      <x:c r="I241" s="456"/>
      <x:c r="J241" s="456"/>
      <x:c r="K241" s="986"/>
      <x:c r="L241" s="454"/>
      <x:c r="M241" s="439"/>
      <x:c r="N241" s="987" t="str">
        <x:f>IF(COUNTA($A241:$M241)=0,"",IF(OR(LOWER($F241&amp;"")="subscription",LOWER($F241&amp;"")="membership"),"",IF($G241="","",IF(ISNUMBER(SEARCH("non",LOWER($E241&amp;""))),$G241*0.85,$G241))))</x:f>
      </x:c>
      <x:c r="O241" s="987" t="str">
        <x:f>IF(COUNTA($A241:$M241)=0,"",IF(OR(LOWER($F241&amp;"")="subscription",LOWER($F241&amp;"")="membership"),"",IF(OR($N241="",$I241="",$I241=0),"",IFERROR($N241/$I241,""))))</x:f>
      </x:c>
      <x:c r="P241" s="987" t="str">
        <x:f>IF(COUNTA($A241:$M241)=0,"",IF(OR(LOWER($F241&amp;"")="subscription",LOWER($F241&amp;"")="membership"),"",IF(LOWER($L241&amp;"")="yes",0,IF($K241&lt;&gt;"",$K241,IF($O241&lt;&gt;"",$O241,"")))))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IF(COUNTA($A241:$M241)=0,"",IF(OR(LOWER($F241&amp;"")="subscription",LOWER($F241&amp;"")="membership"),"Subscription",IF(OR(AND($H241&lt;&gt;"",$H241=0),LOWER($F241&amp;"")="free game",LOWER($F241&amp;"")="free",LOWER($F241&amp;"")="free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986"/>
      <x:c r="H242" s="455"/>
      <x:c r="I242" s="456"/>
      <x:c r="J242" s="456"/>
      <x:c r="K242" s="986"/>
      <x:c r="L242" s="454"/>
      <x:c r="M242" s="439"/>
      <x:c r="N242" s="987" t="str">
        <x:f>IF(COUNTA($A242:$M242)=0,"",IF(OR(LOWER($F242&amp;"")="subscription",LOWER($F242&amp;"")="membership"),"",IF($G242="","",IF(ISNUMBER(SEARCH("non",LOWER($E242&amp;""))),$G242*0.85,$G242))))</x:f>
      </x:c>
      <x:c r="O242" s="987" t="str">
        <x:f>IF(COUNTA($A242:$M242)=0,"",IF(OR(LOWER($F242&amp;"")="subscription",LOWER($F242&amp;"")="membership"),"",IF(OR($N242="",$I242="",$I242=0),"",IFERROR($N242/$I242,""))))</x:f>
      </x:c>
      <x:c r="P242" s="987" t="str">
        <x:f>IF(COUNTA($A242:$M242)=0,"",IF(OR(LOWER($F242&amp;"")="subscription",LOWER($F242&amp;"")="membership"),"",IF(LOWER($L242&amp;"")="yes",0,IF($K242&lt;&gt;"",$K242,IF($O242&lt;&gt;"",$O242,"")))))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IF(COUNTA($A242:$M242)=0,"",IF(OR(LOWER($F242&amp;"")="subscription",LOWER($F242&amp;"")="membership"),"Subscription",IF(OR(AND($H242&lt;&gt;"",$H242=0),LOWER($F242&amp;"")="free game",LOWER($F242&amp;"")="free",LOWER($F242&amp;"")="free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986"/>
      <x:c r="H243" s="455"/>
      <x:c r="I243" s="456"/>
      <x:c r="J243" s="456"/>
      <x:c r="K243" s="986"/>
      <x:c r="L243" s="454"/>
      <x:c r="M243" s="439"/>
      <x:c r="N243" s="987" t="str">
        <x:f>IF(COUNTA($A243:$M243)=0,"",IF(OR(LOWER($F243&amp;"")="subscription",LOWER($F243&amp;"")="membership"),"",IF($G243="","",IF(ISNUMBER(SEARCH("non",LOWER($E243&amp;""))),$G243*0.85,$G243))))</x:f>
      </x:c>
      <x:c r="O243" s="987" t="str">
        <x:f>IF(COUNTA($A243:$M243)=0,"",IF(OR(LOWER($F243&amp;"")="subscription",LOWER($F243&amp;"")="membership"),"",IF(OR($N243="",$I243="",$I243=0),"",IFERROR($N243/$I243,""))))</x:f>
      </x:c>
      <x:c r="P243" s="987" t="str">
        <x:f>IF(COUNTA($A243:$M243)=0,"",IF(OR(LOWER($F243&amp;"")="subscription",LOWER($F243&amp;"")="membership"),"",IF(LOWER($L243&amp;"")="yes",0,IF($K243&lt;&gt;"",$K243,IF($O243&lt;&gt;"",$O243,"")))))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IF(COUNTA($A243:$M243)=0,"",IF(OR(LOWER($F243&amp;"")="subscription",LOWER($F243&amp;"")="membership"),"Subscription",IF(OR(AND($H243&lt;&gt;"",$H243=0),LOWER($F243&amp;"")="free game",LOWER($F243&amp;"")="free",LOWER($F243&amp;"")="free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986"/>
      <x:c r="H244" s="455"/>
      <x:c r="I244" s="456"/>
      <x:c r="J244" s="456"/>
      <x:c r="K244" s="986"/>
      <x:c r="L244" s="454"/>
      <x:c r="M244" s="439"/>
      <x:c r="N244" s="987" t="str">
        <x:f>IF(COUNTA($A244:$M244)=0,"",IF(OR(LOWER($F244&amp;"")="subscription",LOWER($F244&amp;"")="membership"),"",IF($G244="","",IF(ISNUMBER(SEARCH("non",LOWER($E244&amp;""))),$G244*0.85,$G244))))</x:f>
      </x:c>
      <x:c r="O244" s="987" t="str">
        <x:f>IF(COUNTA($A244:$M244)=0,"",IF(OR(LOWER($F244&amp;"")="subscription",LOWER($F244&amp;"")="membership"),"",IF(OR($N244="",$I244="",$I244=0),"",IFERROR($N244/$I244,""))))</x:f>
      </x:c>
      <x:c r="P244" s="987" t="str">
        <x:f>IF(COUNTA($A244:$M244)=0,"",IF(OR(LOWER($F244&amp;"")="subscription",LOWER($F244&amp;"")="membership"),"",IF(LOWER($L244&amp;"")="yes",0,IF($K244&lt;&gt;"",$K244,IF($O244&lt;&gt;"",$O244,"")))))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IF(COUNTA($A244:$M244)=0,"",IF(OR(LOWER($F244&amp;"")="subscription",LOWER($F244&amp;"")="membership"),"Subscription",IF(OR(AND($H244&lt;&gt;"",$H244=0),LOWER($F244&amp;"")="free game",LOWER($F244&amp;"")="free",LOWER($F244&amp;"")="free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986"/>
      <x:c r="H245" s="455"/>
      <x:c r="I245" s="456"/>
      <x:c r="J245" s="456"/>
      <x:c r="K245" s="986"/>
      <x:c r="L245" s="454"/>
      <x:c r="M245" s="439"/>
      <x:c r="N245" s="987" t="str">
        <x:f>IF(COUNTA($A245:$M245)=0,"",IF(OR(LOWER($F245&amp;"")="subscription",LOWER($F245&amp;"")="membership"),"",IF($G245="","",IF(ISNUMBER(SEARCH("non",LOWER($E245&amp;""))),$G245*0.85,$G245))))</x:f>
      </x:c>
      <x:c r="O245" s="987" t="str">
        <x:f>IF(COUNTA($A245:$M245)=0,"",IF(OR(LOWER($F245&amp;"")="subscription",LOWER($F245&amp;"")="membership"),"",IF(OR($N245="",$I245="",$I245=0),"",IFERROR($N245/$I245,""))))</x:f>
      </x:c>
      <x:c r="P245" s="987" t="str">
        <x:f>IF(COUNTA($A245:$M245)=0,"",IF(OR(LOWER($F245&amp;"")="subscription",LOWER($F245&amp;"")="membership"),"",IF(LOWER($L245&amp;"")="yes",0,IF($K245&lt;&gt;"",$K245,IF($O245&lt;&gt;"",$O245,"")))))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IF(COUNTA($A245:$M245)=0,"",IF(OR(LOWER($F245&amp;"")="subscription",LOWER($F245&amp;"")="membership"),"Subscription",IF(OR(AND($H245&lt;&gt;"",$H245=0),LOWER($F245&amp;"")="free game",LOWER($F245&amp;"")="free",LOWER($F245&amp;"")="free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986"/>
      <x:c r="H246" s="455"/>
      <x:c r="I246" s="456"/>
      <x:c r="J246" s="456"/>
      <x:c r="K246" s="986"/>
      <x:c r="L246" s="454"/>
      <x:c r="M246" s="439"/>
      <x:c r="N246" s="987" t="str">
        <x:f>IF(COUNTA($A246:$M246)=0,"",IF(OR(LOWER($F246&amp;"")="subscription",LOWER($F246&amp;"")="membership"),"",IF($G246="","",IF(ISNUMBER(SEARCH("non",LOWER($E246&amp;""))),$G246*0.85,$G246))))</x:f>
      </x:c>
      <x:c r="O246" s="987" t="str">
        <x:f>IF(COUNTA($A246:$M246)=0,"",IF(OR(LOWER($F246&amp;"")="subscription",LOWER($F246&amp;"")="membership"),"",IF(OR($N246="",$I246="",$I246=0),"",IFERROR($N246/$I246,""))))</x:f>
      </x:c>
      <x:c r="P246" s="987" t="str">
        <x:f>IF(COUNTA($A246:$M246)=0,"",IF(OR(LOWER($F246&amp;"")="subscription",LOWER($F246&amp;"")="membership"),"",IF(LOWER($L246&amp;"")="yes",0,IF($K246&lt;&gt;"",$K246,IF($O246&lt;&gt;"",$O246,"")))))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IF(COUNTA($A246:$M246)=0,"",IF(OR(LOWER($F246&amp;"")="subscription",LOWER($F246&amp;"")="membership"),"Subscription",IF(OR(AND($H246&lt;&gt;"",$H246=0),LOWER($F246&amp;"")="free game",LOWER($F246&amp;"")="free",LOWER($F246&amp;"")="free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986"/>
      <x:c r="H247" s="455"/>
      <x:c r="I247" s="456"/>
      <x:c r="J247" s="456"/>
      <x:c r="K247" s="986"/>
      <x:c r="L247" s="454"/>
      <x:c r="M247" s="439"/>
      <x:c r="N247" s="987" t="str">
        <x:f>IF(COUNTA($A247:$M247)=0,"",IF(OR(LOWER($F247&amp;"")="subscription",LOWER($F247&amp;"")="membership"),"",IF($G247="","",IF(ISNUMBER(SEARCH("non",LOWER($E247&amp;""))),$G247*0.85,$G247))))</x:f>
      </x:c>
      <x:c r="O247" s="987" t="str">
        <x:f>IF(COUNTA($A247:$M247)=0,"",IF(OR(LOWER($F247&amp;"")="subscription",LOWER($F247&amp;"")="membership"),"",IF(OR($N247="",$I247="",$I247=0),"",IFERROR($N247/$I247,""))))</x:f>
      </x:c>
      <x:c r="P247" s="987" t="str">
        <x:f>IF(COUNTA($A247:$M247)=0,"",IF(OR(LOWER($F247&amp;"")="subscription",LOWER($F247&amp;"")="membership"),"",IF(LOWER($L247&amp;"")="yes",0,IF($K247&lt;&gt;"",$K247,IF($O247&lt;&gt;"",$O247,"")))))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IF(COUNTA($A247:$M247)=0,"",IF(OR(LOWER($F247&amp;"")="subscription",LOWER($F247&amp;"")="membership"),"Subscription",IF(OR(AND($H247&lt;&gt;"",$H247=0),LOWER($F247&amp;"")="free game",LOWER($F247&amp;"")="free",LOWER($F247&amp;"")="free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986"/>
      <x:c r="H248" s="455"/>
      <x:c r="I248" s="456"/>
      <x:c r="J248" s="456"/>
      <x:c r="K248" s="986"/>
      <x:c r="L248" s="454"/>
      <x:c r="M248" s="439"/>
      <x:c r="N248" s="987" t="str">
        <x:f>IF(COUNTA($A248:$M248)=0,"",IF(OR(LOWER($F248&amp;"")="subscription",LOWER($F248&amp;"")="membership"),"",IF($G248="","",IF(ISNUMBER(SEARCH("non",LOWER($E248&amp;""))),$G248*0.85,$G248))))</x:f>
      </x:c>
      <x:c r="O248" s="987" t="str">
        <x:f>IF(COUNTA($A248:$M248)=0,"",IF(OR(LOWER($F248&amp;"")="subscription",LOWER($F248&amp;"")="membership"),"",IF(OR($N248="",$I248="",$I248=0),"",IFERROR($N248/$I248,""))))</x:f>
      </x:c>
      <x:c r="P248" s="987" t="str">
        <x:f>IF(COUNTA($A248:$M248)=0,"",IF(OR(LOWER($F248&amp;"")="subscription",LOWER($F248&amp;"")="membership"),"",IF(LOWER($L248&amp;"")="yes",0,IF($K248&lt;&gt;"",$K248,IF($O248&lt;&gt;"",$O248,"")))))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IF(COUNTA($A248:$M248)=0,"",IF(OR(LOWER($F248&amp;"")="subscription",LOWER($F248&amp;"")="membership"),"Subscription",IF(OR(AND($H248&lt;&gt;"",$H248=0),LOWER($F248&amp;"")="free game",LOWER($F248&amp;"")="free",LOWER($F248&amp;"")="free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986"/>
      <x:c r="H249" s="455"/>
      <x:c r="I249" s="456"/>
      <x:c r="J249" s="456"/>
      <x:c r="K249" s="986"/>
      <x:c r="L249" s="454"/>
      <x:c r="M249" s="439"/>
      <x:c r="N249" s="987" t="str">
        <x:f>IF(COUNTA($A249:$M249)=0,"",IF(OR(LOWER($F249&amp;"")="subscription",LOWER($F249&amp;"")="membership"),"",IF($G249="","",IF(ISNUMBER(SEARCH("non",LOWER($E249&amp;""))),$G249*0.85,$G249))))</x:f>
      </x:c>
      <x:c r="O249" s="987" t="str">
        <x:f>IF(COUNTA($A249:$M249)=0,"",IF(OR(LOWER($F249&amp;"")="subscription",LOWER($F249&amp;"")="membership"),"",IF(OR($N249="",$I249="",$I249=0),"",IFERROR($N249/$I249,""))))</x:f>
      </x:c>
      <x:c r="P249" s="987" t="str">
        <x:f>IF(COUNTA($A249:$M249)=0,"",IF(OR(LOWER($F249&amp;"")="subscription",LOWER($F249&amp;"")="membership"),"",IF(LOWER($L249&amp;"")="yes",0,IF($K249&lt;&gt;"",$K249,IF($O249&lt;&gt;"",$O249,"")))))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IF(COUNTA($A249:$M249)=0,"",IF(OR(LOWER($F249&amp;"")="subscription",LOWER($F249&amp;"")="membership"),"Subscription",IF(OR(AND($H249&lt;&gt;"",$H249=0),LOWER($F249&amp;"")="free game",LOWER($F249&amp;"")="free",LOWER($F249&amp;"")="free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986"/>
      <x:c r="H250" s="455"/>
      <x:c r="I250" s="456"/>
      <x:c r="J250" s="456"/>
      <x:c r="K250" s="986"/>
      <x:c r="L250" s="454"/>
      <x:c r="M250" s="439"/>
      <x:c r="N250" s="987" t="str">
        <x:f>IF(COUNTA($A250:$M250)=0,"",IF(OR(LOWER($F250&amp;"")="subscription",LOWER($F250&amp;"")="membership"),"",IF($G250="","",IF(ISNUMBER(SEARCH("non",LOWER($E250&amp;""))),$G250*0.85,$G250))))</x:f>
      </x:c>
      <x:c r="O250" s="987" t="str">
        <x:f>IF(COUNTA($A250:$M250)=0,"",IF(OR(LOWER($F250&amp;"")="subscription",LOWER($F250&amp;"")="membership"),"",IF(OR($N250="",$I250="",$I250=0),"",IFERROR($N250/$I250,""))))</x:f>
      </x:c>
      <x:c r="P250" s="987" t="str">
        <x:f>IF(COUNTA($A250:$M250)=0,"",IF(OR(LOWER($F250&amp;"")="subscription",LOWER($F250&amp;"")="membership"),"",IF(LOWER($L250&amp;"")="yes",0,IF($K250&lt;&gt;"",$K250,IF($O250&lt;&gt;"",$O250,"")))))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IF(COUNTA($A250:$M250)=0,"",IF(OR(LOWER($F250&amp;"")="subscription",LOWER($F250&amp;"")="membership"),"Subscription",IF(OR(AND($H250&lt;&gt;"",$H250=0),LOWER($F250&amp;"")="free game",LOWER($F250&amp;"")="free",LOWER($F250&amp;"")="free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986"/>
      <x:c r="H251" s="455"/>
      <x:c r="I251" s="456"/>
      <x:c r="J251" s="456"/>
      <x:c r="K251" s="986"/>
      <x:c r="L251" s="454"/>
      <x:c r="M251" s="439"/>
      <x:c r="N251" s="987" t="str">
        <x:f>IF(COUNTA($A251:$M251)=0,"",IF(OR(LOWER($F251&amp;"")="subscription",LOWER($F251&amp;"")="membership"),"",IF($G251="","",IF(ISNUMBER(SEARCH("non",LOWER($E251&amp;""))),$G251*0.85,$G251))))</x:f>
      </x:c>
      <x:c r="O251" s="987" t="str">
        <x:f>IF(COUNTA($A251:$M251)=0,"",IF(OR(LOWER($F251&amp;"")="subscription",LOWER($F251&amp;"")="membership"),"",IF(OR($N251="",$I251="",$I251=0),"",IFERROR($N251/$I251,""))))</x:f>
      </x:c>
      <x:c r="P251" s="987" t="str">
        <x:f>IF(COUNTA($A251:$M251)=0,"",IF(OR(LOWER($F251&amp;"")="subscription",LOWER($F251&amp;"")="membership"),"",IF(LOWER($L251&amp;"")="yes",0,IF($K251&lt;&gt;"",$K251,IF($O251&lt;&gt;"",$O251,"")))))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IF(COUNTA($A251:$M251)=0,"",IF(OR(LOWER($F251&amp;"")="subscription",LOWER($F251&amp;"")="membership"),"Subscription",IF(OR(AND($H251&lt;&gt;"",$H251=0),LOWER($F251&amp;"")="free game",LOWER($F251&amp;"")="free",LOWER($F251&amp;"")="free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986"/>
      <x:c r="H252" s="455"/>
      <x:c r="I252" s="456"/>
      <x:c r="J252" s="456"/>
      <x:c r="K252" s="986"/>
      <x:c r="L252" s="454"/>
      <x:c r="M252" s="439"/>
      <x:c r="N252" s="987" t="str">
        <x:f>IF(COUNTA($A252:$M252)=0,"",IF(OR(LOWER($F252&amp;"")="subscription",LOWER($F252&amp;"")="membership"),"",IF($G252="","",IF(ISNUMBER(SEARCH("non",LOWER($E252&amp;""))),$G252*0.85,$G252))))</x:f>
      </x:c>
      <x:c r="O252" s="987" t="str">
        <x:f>IF(COUNTA($A252:$M252)=0,"",IF(OR(LOWER($F252&amp;"")="subscription",LOWER($F252&amp;"")="membership"),"",IF(OR($N252="",$I252="",$I252=0),"",IFERROR($N252/$I252,""))))</x:f>
      </x:c>
      <x:c r="P252" s="987" t="str">
        <x:f>IF(COUNTA($A252:$M252)=0,"",IF(OR(LOWER($F252&amp;"")="subscription",LOWER($F252&amp;"")="membership"),"",IF(LOWER($L252&amp;"")="yes",0,IF($K252&lt;&gt;"",$K252,IF($O252&lt;&gt;"",$O252,"")))))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IF(COUNTA($A252:$M252)=0,"",IF(OR(LOWER($F252&amp;"")="subscription",LOWER($F252&amp;"")="membership"),"Subscription",IF(OR(AND($H252&lt;&gt;"",$H252=0),LOWER($F252&amp;"")="free game",LOWER($F252&amp;"")="free",LOWER($F252&amp;"")="free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986"/>
      <x:c r="H253" s="455"/>
      <x:c r="I253" s="456"/>
      <x:c r="J253" s="456"/>
      <x:c r="K253" s="986"/>
      <x:c r="L253" s="454"/>
      <x:c r="M253" s="439"/>
      <x:c r="N253" s="987" t="str">
        <x:f>IF(COUNTA($A253:$M253)=0,"",IF(OR(LOWER($F253&amp;"")="subscription",LOWER($F253&amp;"")="membership"),"",IF($G253="","",IF(ISNUMBER(SEARCH("non",LOWER($E253&amp;""))),$G253*0.85,$G253))))</x:f>
      </x:c>
      <x:c r="O253" s="987" t="str">
        <x:f>IF(COUNTA($A253:$M253)=0,"",IF(OR(LOWER($F253&amp;"")="subscription",LOWER($F253&amp;"")="membership"),"",IF(OR($N253="",$I253="",$I253=0),"",IFERROR($N253/$I253,""))))</x:f>
      </x:c>
      <x:c r="P253" s="987" t="str">
        <x:f>IF(COUNTA($A253:$M253)=0,"",IF(OR(LOWER($F253&amp;"")="subscription",LOWER($F253&amp;"")="membership"),"",IF(LOWER($L253&amp;"")="yes",0,IF($K253&lt;&gt;"",$K253,IF($O253&lt;&gt;"",$O253,"")))))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IF(COUNTA($A253:$M253)=0,"",IF(OR(LOWER($F253&amp;"")="subscription",LOWER($F253&amp;"")="membership"),"Subscription",IF(OR(AND($H253&lt;&gt;"",$H253=0),LOWER($F253&amp;"")="free game",LOWER($F253&amp;"")="free",LOWER($F253&amp;"")="free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986"/>
      <x:c r="H254" s="455"/>
      <x:c r="I254" s="456"/>
      <x:c r="J254" s="456"/>
      <x:c r="K254" s="986"/>
      <x:c r="L254" s="454"/>
      <x:c r="M254" s="439"/>
      <x:c r="N254" s="987" t="str">
        <x:f>IF(COUNTA($A254:$M254)=0,"",IF(OR(LOWER($F254&amp;"")="subscription",LOWER($F254&amp;"")="membership"),"",IF($G254="","",IF(ISNUMBER(SEARCH("non",LOWER($E254&amp;""))),$G254*0.85,$G254))))</x:f>
      </x:c>
      <x:c r="O254" s="987" t="str">
        <x:f>IF(COUNTA($A254:$M254)=0,"",IF(OR(LOWER($F254&amp;"")="subscription",LOWER($F254&amp;"")="membership"),"",IF(OR($N254="",$I254="",$I254=0),"",IFERROR($N254/$I254,""))))</x:f>
      </x:c>
      <x:c r="P254" s="987" t="str">
        <x:f>IF(COUNTA($A254:$M254)=0,"",IF(OR(LOWER($F254&amp;"")="subscription",LOWER($F254&amp;"")="membership"),"",IF(LOWER($L254&amp;"")="yes",0,IF($K254&lt;&gt;"",$K254,IF($O254&lt;&gt;"",$O254,"")))))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IF(COUNTA($A254:$M254)=0,"",IF(OR(LOWER($F254&amp;"")="subscription",LOWER($F254&amp;"")="membership"),"Subscription",IF(OR(AND($H254&lt;&gt;"",$H254=0),LOWER($F254&amp;"")="free game",LOWER($F254&amp;"")="free",LOWER($F254&amp;"")="free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986"/>
      <x:c r="H255" s="455"/>
      <x:c r="I255" s="456"/>
      <x:c r="J255" s="456"/>
      <x:c r="K255" s="986"/>
      <x:c r="L255" s="454"/>
      <x:c r="M255" s="439"/>
      <x:c r="N255" s="987" t="str">
        <x:f>IF(COUNTA($A255:$M255)=0,"",IF(OR(LOWER($F255&amp;"")="subscription",LOWER($F255&amp;"")="membership"),"",IF($G255="","",IF(ISNUMBER(SEARCH("non",LOWER($E255&amp;""))),$G255*0.85,$G255))))</x:f>
      </x:c>
      <x:c r="O255" s="987" t="str">
        <x:f>IF(COUNTA($A255:$M255)=0,"",IF(OR(LOWER($F255&amp;"")="subscription",LOWER($F255&amp;"")="membership"),"",IF(OR($N255="",$I255="",$I255=0),"",IFERROR($N255/$I255,""))))</x:f>
      </x:c>
      <x:c r="P255" s="987" t="str">
        <x:f>IF(COUNTA($A255:$M255)=0,"",IF(OR(LOWER($F255&amp;"")="subscription",LOWER($F255&amp;"")="membership"),"",IF(LOWER($L255&amp;"")="yes",0,IF($K255&lt;&gt;"",$K255,IF($O255&lt;&gt;"",$O255,"")))))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IF(COUNTA($A255:$M255)=0,"",IF(OR(LOWER($F255&amp;"")="subscription",LOWER($F255&amp;"")="membership"),"Subscription",IF(OR(AND($H255&lt;&gt;"",$H255=0),LOWER($F255&amp;"")="free game",LOWER($F255&amp;"")="free",LOWER($F255&amp;"")="free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986"/>
      <x:c r="H256" s="455"/>
      <x:c r="I256" s="456"/>
      <x:c r="J256" s="456"/>
      <x:c r="K256" s="986"/>
      <x:c r="L256" s="454"/>
      <x:c r="M256" s="439"/>
      <x:c r="N256" s="987" t="str">
        <x:f>IF(COUNTA($A256:$M256)=0,"",IF(OR(LOWER($F256&amp;"")="subscription",LOWER($F256&amp;"")="membership"),"",IF($G256="","",IF(ISNUMBER(SEARCH("non",LOWER($E256&amp;""))),$G256*0.85,$G256))))</x:f>
      </x:c>
      <x:c r="O256" s="987" t="str">
        <x:f>IF(COUNTA($A256:$M256)=0,"",IF(OR(LOWER($F256&amp;"")="subscription",LOWER($F256&amp;"")="membership"),"",IF(OR($N256="",$I256="",$I256=0),"",IFERROR($N256/$I256,""))))</x:f>
      </x:c>
      <x:c r="P256" s="987" t="str">
        <x:f>IF(COUNTA($A256:$M256)=0,"",IF(OR(LOWER($F256&amp;"")="subscription",LOWER($F256&amp;"")="membership"),"",IF(LOWER($L256&amp;"")="yes",0,IF($K256&lt;&gt;"",$K256,IF($O256&lt;&gt;"",$O256,"")))))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IF(COUNTA($A256:$M256)=0,"",IF(OR(LOWER($F256&amp;"")="subscription",LOWER($F256&amp;"")="membership"),"Subscription",IF(OR(AND($H256&lt;&gt;"",$H256=0),LOWER($F256&amp;"")="free game",LOWER($F256&amp;"")="free",LOWER($F256&amp;"")="free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986"/>
      <x:c r="H257" s="455"/>
      <x:c r="I257" s="456"/>
      <x:c r="J257" s="456"/>
      <x:c r="K257" s="986"/>
      <x:c r="L257" s="454"/>
      <x:c r="M257" s="439"/>
      <x:c r="N257" s="987" t="str">
        <x:f>IF(COUNTA($A257:$M257)=0,"",IF(OR(LOWER($F257&amp;"")="subscription",LOWER($F257&amp;"")="membership"),"",IF($G257="","",IF(ISNUMBER(SEARCH("non",LOWER($E257&amp;""))),$G257*0.85,$G257))))</x:f>
      </x:c>
      <x:c r="O257" s="987" t="str">
        <x:f>IF(COUNTA($A257:$M257)=0,"",IF(OR(LOWER($F257&amp;"")="subscription",LOWER($F257&amp;"")="membership"),"",IF(OR($N257="",$I257="",$I257=0),"",IFERROR($N257/$I257,""))))</x:f>
      </x:c>
      <x:c r="P257" s="987" t="str">
        <x:f>IF(COUNTA($A257:$M257)=0,"",IF(OR(LOWER($F257&amp;"")="subscription",LOWER($F257&amp;"")="membership"),"",IF(LOWER($L257&amp;"")="yes",0,IF($K257&lt;&gt;"",$K257,IF($O257&lt;&gt;"",$O257,"")))))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IF(COUNTA($A257:$M257)=0,"",IF(OR(LOWER($F257&amp;"")="subscription",LOWER($F257&amp;"")="membership"),"Subscription",IF(OR(AND($H257&lt;&gt;"",$H257=0),LOWER($F257&amp;"")="free game",LOWER($F257&amp;"")="free",LOWER($F257&amp;"")="free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986"/>
      <x:c r="H258" s="455"/>
      <x:c r="I258" s="456"/>
      <x:c r="J258" s="456"/>
      <x:c r="K258" s="986"/>
      <x:c r="L258" s="454"/>
      <x:c r="M258" s="439"/>
      <x:c r="N258" s="987" t="str">
        <x:f>IF(COUNTA($A258:$M258)=0,"",IF(OR(LOWER($F258&amp;"")="subscription",LOWER($F258&amp;"")="membership"),"",IF($G258="","",IF(ISNUMBER(SEARCH("non",LOWER($E258&amp;""))),$G258*0.85,$G258))))</x:f>
      </x:c>
      <x:c r="O258" s="987" t="str">
        <x:f>IF(COUNTA($A258:$M258)=0,"",IF(OR(LOWER($F258&amp;"")="subscription",LOWER($F258&amp;"")="membership"),"",IF(OR($N258="",$I258="",$I258=0),"",IFERROR($N258/$I258,""))))</x:f>
      </x:c>
      <x:c r="P258" s="987" t="str">
        <x:f>IF(COUNTA($A258:$M258)=0,"",IF(OR(LOWER($F258&amp;"")="subscription",LOWER($F258&amp;"")="membership"),"",IF(LOWER($L258&amp;"")="yes",0,IF($K258&lt;&gt;"",$K258,IF($O258&lt;&gt;"",$O258,"")))))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IF(COUNTA($A258:$M258)=0,"",IF(OR(LOWER($F258&amp;"")="subscription",LOWER($F258&amp;"")="membership"),"Subscription",IF(OR(AND($H258&lt;&gt;"",$H258=0),LOWER($F258&amp;"")="free game",LOWER($F258&amp;"")="free",LOWER($F258&amp;"")="free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986"/>
      <x:c r="H259" s="455"/>
      <x:c r="I259" s="456"/>
      <x:c r="J259" s="456"/>
      <x:c r="K259" s="986"/>
      <x:c r="L259" s="454"/>
      <x:c r="M259" s="439"/>
      <x:c r="N259" s="987" t="str">
        <x:f>IF(COUNTA($A259:$M259)=0,"",IF(OR(LOWER($F259&amp;"")="subscription",LOWER($F259&amp;"")="membership"),"",IF($G259="","",IF(ISNUMBER(SEARCH("non",LOWER($E259&amp;""))),$G259*0.85,$G259))))</x:f>
      </x:c>
      <x:c r="O259" s="987" t="str">
        <x:f>IF(COUNTA($A259:$M259)=0,"",IF(OR(LOWER($F259&amp;"")="subscription",LOWER($F259&amp;"")="membership"),"",IF(OR($N259="",$I259="",$I259=0),"",IFERROR($N259/$I259,""))))</x:f>
      </x:c>
      <x:c r="P259" s="987" t="str">
        <x:f>IF(COUNTA($A259:$M259)=0,"",IF(OR(LOWER($F259&amp;"")="subscription",LOWER($F259&amp;"")="membership"),"",IF(LOWER($L259&amp;"")="yes",0,IF($K259&lt;&gt;"",$K259,IF($O259&lt;&gt;"",$O259,"")))))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IF(COUNTA($A259:$M259)=0,"",IF(OR(LOWER($F259&amp;"")="subscription",LOWER($F259&amp;"")="membership"),"Subscription",IF(OR(AND($H259&lt;&gt;"",$H259=0),LOWER($F259&amp;"")="free game",LOWER($F259&amp;"")="free",LOWER($F259&amp;"")="free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986"/>
      <x:c r="H260" s="455"/>
      <x:c r="I260" s="456"/>
      <x:c r="J260" s="456"/>
      <x:c r="K260" s="986"/>
      <x:c r="L260" s="454"/>
      <x:c r="M260" s="439"/>
      <x:c r="N260" s="987" t="str">
        <x:f>IF(COUNTA($A260:$M260)=0,"",IF(OR(LOWER($F260&amp;"")="subscription",LOWER($F260&amp;"")="membership"),"",IF($G260="","",IF(ISNUMBER(SEARCH("non",LOWER($E260&amp;""))),$G260*0.85,$G260))))</x:f>
      </x:c>
      <x:c r="O260" s="987" t="str">
        <x:f>IF(COUNTA($A260:$M260)=0,"",IF(OR(LOWER($F260&amp;"")="subscription",LOWER($F260&amp;"")="membership"),"",IF(OR($N260="",$I260="",$I260=0),"",IFERROR($N260/$I260,""))))</x:f>
      </x:c>
      <x:c r="P260" s="987" t="str">
        <x:f>IF(COUNTA($A260:$M260)=0,"",IF(OR(LOWER($F260&amp;"")="subscription",LOWER($F260&amp;"")="membership"),"",IF(LOWER($L260&amp;"")="yes",0,IF($K260&lt;&gt;"",$K260,IF($O260&lt;&gt;"",$O260,"")))))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IF(COUNTA($A260:$M260)=0,"",IF(OR(LOWER($F260&amp;"")="subscription",LOWER($F260&amp;"")="membership"),"Subscription",IF(OR(AND($H260&lt;&gt;"",$H260=0),LOWER($F260&amp;"")="free game",LOWER($F260&amp;"")="free",LOWER($F260&amp;"")="free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986"/>
      <x:c r="H261" s="455"/>
      <x:c r="I261" s="456"/>
      <x:c r="J261" s="456"/>
      <x:c r="K261" s="986"/>
      <x:c r="L261" s="454"/>
      <x:c r="M261" s="439"/>
      <x:c r="N261" s="987" t="str">
        <x:f>IF(COUNTA($A261:$M261)=0,"",IF(OR(LOWER($F261&amp;"")="subscription",LOWER($F261&amp;"")="membership"),"",IF($G261="","",IF(ISNUMBER(SEARCH("non",LOWER($E261&amp;""))),$G261*0.85,$G261))))</x:f>
      </x:c>
      <x:c r="O261" s="987" t="str">
        <x:f>IF(COUNTA($A261:$M261)=0,"",IF(OR(LOWER($F261&amp;"")="subscription",LOWER($F261&amp;"")="membership"),"",IF(OR($N261="",$I261="",$I261=0),"",IFERROR($N261/$I261,""))))</x:f>
      </x:c>
      <x:c r="P261" s="987" t="str">
        <x:f>IF(COUNTA($A261:$M261)=0,"",IF(OR(LOWER($F261&amp;"")="subscription",LOWER($F261&amp;"")="membership"),"",IF(LOWER($L261&amp;"")="yes",0,IF($K261&lt;&gt;"",$K261,IF($O261&lt;&gt;"",$O261,"")))))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IF(COUNTA($A261:$M261)=0,"",IF(OR(LOWER($F261&amp;"")="subscription",LOWER($F261&amp;"")="membership"),"Subscription",IF(OR(AND($H261&lt;&gt;"",$H261=0),LOWER($F261&amp;"")="free game",LOWER($F261&amp;"")="free",LOWER($F261&amp;"")="free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986"/>
      <x:c r="H262" s="455"/>
      <x:c r="I262" s="456"/>
      <x:c r="J262" s="456"/>
      <x:c r="K262" s="986"/>
      <x:c r="L262" s="454"/>
      <x:c r="M262" s="439"/>
      <x:c r="N262" s="987" t="str">
        <x:f>IF(COUNTA($A262:$M262)=0,"",IF(OR(LOWER($F262&amp;"")="subscription",LOWER($F262&amp;"")="membership"),"",IF($G262="","",IF(ISNUMBER(SEARCH("non",LOWER($E262&amp;""))),$G262*0.85,$G262))))</x:f>
      </x:c>
      <x:c r="O262" s="987" t="str">
        <x:f>IF(COUNTA($A262:$M262)=0,"",IF(OR(LOWER($F262&amp;"")="subscription",LOWER($F262&amp;"")="membership"),"",IF(OR($N262="",$I262="",$I262=0),"",IFERROR($N262/$I262,""))))</x:f>
      </x:c>
      <x:c r="P262" s="987" t="str">
        <x:f>IF(COUNTA($A262:$M262)=0,"",IF(OR(LOWER($F262&amp;"")="subscription",LOWER($F262&amp;"")="membership"),"",IF(LOWER($L262&amp;"")="yes",0,IF($K262&lt;&gt;"",$K262,IF($O262&lt;&gt;"",$O262,"")))))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IF(COUNTA($A262:$M262)=0,"",IF(OR(LOWER($F262&amp;"")="subscription",LOWER($F262&amp;"")="membership"),"Subscription",IF(OR(AND($H262&lt;&gt;"",$H262=0),LOWER($F262&amp;"")="free game",LOWER($F262&amp;"")="free",LOWER($F262&amp;"")="free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986"/>
      <x:c r="H263" s="455"/>
      <x:c r="I263" s="456"/>
      <x:c r="J263" s="456"/>
      <x:c r="K263" s="986"/>
      <x:c r="L263" s="454"/>
      <x:c r="M263" s="439"/>
      <x:c r="N263" s="987" t="str">
        <x:f>IF(COUNTA($A263:$M263)=0,"",IF(OR(LOWER($F263&amp;"")="subscription",LOWER($F263&amp;"")="membership"),"",IF($G263="","",IF(ISNUMBER(SEARCH("non",LOWER($E263&amp;""))),$G263*0.85,$G263))))</x:f>
      </x:c>
      <x:c r="O263" s="987" t="str">
        <x:f>IF(COUNTA($A263:$M263)=0,"",IF(OR(LOWER($F263&amp;"")="subscription",LOWER($F263&amp;"")="membership"),"",IF(OR($N263="",$I263="",$I263=0),"",IFERROR($N263/$I263,""))))</x:f>
      </x:c>
      <x:c r="P263" s="987" t="str">
        <x:f>IF(COUNTA($A263:$M263)=0,"",IF(OR(LOWER($F263&amp;"")="subscription",LOWER($F263&amp;"")="membership"),"",IF(LOWER($L263&amp;"")="yes",0,IF($K263&lt;&gt;"",$K263,IF($O263&lt;&gt;"",$O263,"")))))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IF(COUNTA($A263:$M263)=0,"",IF(OR(LOWER($F263&amp;"")="subscription",LOWER($F263&amp;"")="membership"),"Subscription",IF(OR(AND($H263&lt;&gt;"",$H263=0),LOWER($F263&amp;"")="free game",LOWER($F263&amp;"")="free",LOWER($F263&amp;"")="free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986"/>
      <x:c r="H264" s="455"/>
      <x:c r="I264" s="456"/>
      <x:c r="J264" s="456"/>
      <x:c r="K264" s="986"/>
      <x:c r="L264" s="454"/>
      <x:c r="M264" s="439"/>
      <x:c r="N264" s="987" t="str">
        <x:f>IF(COUNTA($A264:$M264)=0,"",IF(OR(LOWER($F264&amp;"")="subscription",LOWER($F264&amp;"")="membership"),"",IF($G264="","",IF(ISNUMBER(SEARCH("non",LOWER($E264&amp;""))),$G264*0.85,$G264))))</x:f>
      </x:c>
      <x:c r="O264" s="987" t="str">
        <x:f>IF(COUNTA($A264:$M264)=0,"",IF(OR(LOWER($F264&amp;"")="subscription",LOWER($F264&amp;"")="membership"),"",IF(OR($N264="",$I264="",$I264=0),"",IFERROR($N264/$I264,""))))</x:f>
      </x:c>
      <x:c r="P264" s="987" t="str">
        <x:f>IF(COUNTA($A264:$M264)=0,"",IF(OR(LOWER($F264&amp;"")="subscription",LOWER($F264&amp;"")="membership"),"",IF(LOWER($L264&amp;"")="yes",0,IF($K264&lt;&gt;"",$K264,IF($O264&lt;&gt;"",$O264,"")))))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IF(COUNTA($A264:$M264)=0,"",IF(OR(LOWER($F264&amp;"")="subscription",LOWER($F264&amp;"")="membership"),"Subscription",IF(OR(AND($H264&lt;&gt;"",$H264=0),LOWER($F264&amp;"")="free game",LOWER($F264&amp;"")="free",LOWER($F264&amp;"")="free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986"/>
      <x:c r="H265" s="455"/>
      <x:c r="I265" s="456"/>
      <x:c r="J265" s="456"/>
      <x:c r="K265" s="986"/>
      <x:c r="L265" s="454"/>
      <x:c r="M265" s="439"/>
      <x:c r="N265" s="987" t="str">
        <x:f>IF(COUNTA($A265:$M265)=0,"",IF(OR(LOWER($F265&amp;"")="subscription",LOWER($F265&amp;"")="membership"),"",IF($G265="","",IF(ISNUMBER(SEARCH("non",LOWER($E265&amp;""))),$G265*0.85,$G265))))</x:f>
      </x:c>
      <x:c r="O265" s="987" t="str">
        <x:f>IF(COUNTA($A265:$M265)=0,"",IF(OR(LOWER($F265&amp;"")="subscription",LOWER($F265&amp;"")="membership"),"",IF(OR($N265="",$I265="",$I265=0),"",IFERROR($N265/$I265,""))))</x:f>
      </x:c>
      <x:c r="P265" s="987" t="str">
        <x:f>IF(COUNTA($A265:$M265)=0,"",IF(OR(LOWER($F265&amp;"")="subscription",LOWER($F265&amp;"")="membership"),"",IF(LOWER($L265&amp;"")="yes",0,IF($K265&lt;&gt;"",$K265,IF($O265&lt;&gt;"",$O265,"")))))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IF(COUNTA($A265:$M265)=0,"",IF(OR(LOWER($F265&amp;"")="subscription",LOWER($F265&amp;"")="membership"),"Subscription",IF(OR(AND($H265&lt;&gt;"",$H265=0),LOWER($F265&amp;"")="free game",LOWER($F265&amp;"")="free",LOWER($F265&amp;"")="free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986"/>
      <x:c r="H266" s="455"/>
      <x:c r="I266" s="456"/>
      <x:c r="J266" s="456"/>
      <x:c r="K266" s="986"/>
      <x:c r="L266" s="454"/>
      <x:c r="M266" s="439"/>
      <x:c r="N266" s="987" t="str">
        <x:f>IF(COUNTA($A266:$M266)=0,"",IF(OR(LOWER($F266&amp;"")="subscription",LOWER($F266&amp;"")="membership"),"",IF($G266="","",IF(ISNUMBER(SEARCH("non",LOWER($E266&amp;""))),$G266*0.85,$G266))))</x:f>
      </x:c>
      <x:c r="O266" s="987" t="str">
        <x:f>IF(COUNTA($A266:$M266)=0,"",IF(OR(LOWER($F266&amp;"")="subscription",LOWER($F266&amp;"")="membership"),"",IF(OR($N266="",$I266="",$I266=0),"",IFERROR($N266/$I266,""))))</x:f>
      </x:c>
      <x:c r="P266" s="987" t="str">
        <x:f>IF(COUNTA($A266:$M266)=0,"",IF(OR(LOWER($F266&amp;"")="subscription",LOWER($F266&amp;"")="membership"),"",IF(LOWER($L266&amp;"")="yes",0,IF($K266&lt;&gt;"",$K266,IF($O266&lt;&gt;"",$O266,"")))))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IF(COUNTA($A266:$M266)=0,"",IF(OR(LOWER($F266&amp;"")="subscription",LOWER($F266&amp;"")="membership"),"Subscription",IF(OR(AND($H266&lt;&gt;"",$H266=0),LOWER($F266&amp;"")="free game",LOWER($F266&amp;"")="free",LOWER($F266&amp;"")="free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986"/>
      <x:c r="H267" s="455"/>
      <x:c r="I267" s="456"/>
      <x:c r="J267" s="456"/>
      <x:c r="K267" s="986"/>
      <x:c r="L267" s="454"/>
      <x:c r="M267" s="439"/>
      <x:c r="N267" s="987" t="str">
        <x:f>IF(COUNTA($A267:$M267)=0,"",IF(OR(LOWER($F267&amp;"")="subscription",LOWER($F267&amp;"")="membership"),"",IF($G267="","",IF(ISNUMBER(SEARCH("non",LOWER($E267&amp;""))),$G267*0.85,$G267))))</x:f>
      </x:c>
      <x:c r="O267" s="987" t="str">
        <x:f>IF(COUNTA($A267:$M267)=0,"",IF(OR(LOWER($F267&amp;"")="subscription",LOWER($F267&amp;"")="membership"),"",IF(OR($N267="",$I267="",$I267=0),"",IFERROR($N267/$I267,""))))</x:f>
      </x:c>
      <x:c r="P267" s="987" t="str">
        <x:f>IF(COUNTA($A267:$M267)=0,"",IF(OR(LOWER($F267&amp;"")="subscription",LOWER($F267&amp;"")="membership"),"",IF(LOWER($L267&amp;"")="yes",0,IF($K267&lt;&gt;"",$K267,IF($O267&lt;&gt;"",$O267,"")))))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IF(COUNTA($A267:$M267)=0,"",IF(OR(LOWER($F267&amp;"")="subscription",LOWER($F267&amp;"")="membership"),"Subscription",IF(OR(AND($H267&lt;&gt;"",$H267=0),LOWER($F267&amp;"")="free game",LOWER($F267&amp;"")="free",LOWER($F267&amp;"")="free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986"/>
      <x:c r="H268" s="455"/>
      <x:c r="I268" s="456"/>
      <x:c r="J268" s="456"/>
      <x:c r="K268" s="986"/>
      <x:c r="L268" s="454"/>
      <x:c r="M268" s="439"/>
      <x:c r="N268" s="987" t="str">
        <x:f>IF(COUNTA($A268:$M268)=0,"",IF(OR(LOWER($F268&amp;"")="subscription",LOWER($F268&amp;"")="membership"),"",IF($G268="","",IF(ISNUMBER(SEARCH("non",LOWER($E268&amp;""))),$G268*0.85,$G268))))</x:f>
      </x:c>
      <x:c r="O268" s="987" t="str">
        <x:f>IF(COUNTA($A268:$M268)=0,"",IF(OR(LOWER($F268&amp;"")="subscription",LOWER($F268&amp;"")="membership"),"",IF(OR($N268="",$I268="",$I268=0),"",IFERROR($N268/$I268,""))))</x:f>
      </x:c>
      <x:c r="P268" s="987" t="str">
        <x:f>IF(COUNTA($A268:$M268)=0,"",IF(OR(LOWER($F268&amp;"")="subscription",LOWER($F268&amp;"")="membership"),"",IF(LOWER($L268&amp;"")="yes",0,IF($K268&lt;&gt;"",$K268,IF($O268&lt;&gt;"",$O268,"")))))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IF(COUNTA($A268:$M268)=0,"",IF(OR(LOWER($F268&amp;"")="subscription",LOWER($F268&amp;"")="membership"),"Subscription",IF(OR(AND($H268&lt;&gt;"",$H268=0),LOWER($F268&amp;"")="free game",LOWER($F268&amp;"")="free",LOWER($F268&amp;"")="free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986"/>
      <x:c r="H269" s="455"/>
      <x:c r="I269" s="456"/>
      <x:c r="J269" s="456"/>
      <x:c r="K269" s="986"/>
      <x:c r="L269" s="454"/>
      <x:c r="M269" s="439"/>
      <x:c r="N269" s="987" t="str">
        <x:f>IF(COUNTA($A269:$M269)=0,"",IF(OR(LOWER($F269&amp;"")="subscription",LOWER($F269&amp;"")="membership"),"",IF($G269="","",IF(ISNUMBER(SEARCH("non",LOWER($E269&amp;""))),$G269*0.85,$G269))))</x:f>
      </x:c>
      <x:c r="O269" s="987" t="str">
        <x:f>IF(COUNTA($A269:$M269)=0,"",IF(OR(LOWER($F269&amp;"")="subscription",LOWER($F269&amp;"")="membership"),"",IF(OR($N269="",$I269="",$I269=0),"",IFERROR($N269/$I269,""))))</x:f>
      </x:c>
      <x:c r="P269" s="987" t="str">
        <x:f>IF(COUNTA($A269:$M269)=0,"",IF(OR(LOWER($F269&amp;"")="subscription",LOWER($F269&amp;"")="membership"),"",IF(LOWER($L269&amp;"")="yes",0,IF($K269&lt;&gt;"",$K269,IF($O269&lt;&gt;"",$O269,"")))))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IF(COUNTA($A269:$M269)=0,"",IF(OR(LOWER($F269&amp;"")="subscription",LOWER($F269&amp;"")="membership"),"Subscription",IF(OR(AND($H269&lt;&gt;"",$H269=0),LOWER($F269&amp;"")="free game",LOWER($F269&amp;"")="free",LOWER($F269&amp;"")="free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986"/>
      <x:c r="H270" s="455"/>
      <x:c r="I270" s="456"/>
      <x:c r="J270" s="456"/>
      <x:c r="K270" s="986"/>
      <x:c r="L270" s="454"/>
      <x:c r="M270" s="439"/>
      <x:c r="N270" s="987" t="str">
        <x:f>IF(COUNTA($A270:$M270)=0,"",IF(OR(LOWER($F270&amp;"")="subscription",LOWER($F270&amp;"")="membership"),"",IF($G270="","",IF(ISNUMBER(SEARCH("non",LOWER($E270&amp;""))),$G270*0.85,$G270))))</x:f>
      </x:c>
      <x:c r="O270" s="987" t="str">
        <x:f>IF(COUNTA($A270:$M270)=0,"",IF(OR(LOWER($F270&amp;"")="subscription",LOWER($F270&amp;"")="membership"),"",IF(OR($N270="",$I270="",$I270=0),"",IFERROR($N270/$I270,""))))</x:f>
      </x:c>
      <x:c r="P270" s="987" t="str">
        <x:f>IF(COUNTA($A270:$M270)=0,"",IF(OR(LOWER($F270&amp;"")="subscription",LOWER($F270&amp;"")="membership"),"",IF(LOWER($L270&amp;"")="yes",0,IF($K270&lt;&gt;"",$K270,IF($O270&lt;&gt;"",$O270,"")))))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IF(COUNTA($A270:$M270)=0,"",IF(OR(LOWER($F270&amp;"")="subscription",LOWER($F270&amp;"")="membership"),"Subscription",IF(OR(AND($H270&lt;&gt;"",$H270=0),LOWER($F270&amp;"")="free game",LOWER($F270&amp;"")="free",LOWER($F270&amp;"")="free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986"/>
      <x:c r="H271" s="455"/>
      <x:c r="I271" s="456"/>
      <x:c r="J271" s="456"/>
      <x:c r="K271" s="986"/>
      <x:c r="L271" s="454"/>
      <x:c r="M271" s="439"/>
      <x:c r="N271" s="987" t="str">
        <x:f>IF(COUNTA($A271:$M271)=0,"",IF(OR(LOWER($F271&amp;"")="subscription",LOWER($F271&amp;"")="membership"),"",IF($G271="","",IF(ISNUMBER(SEARCH("non",LOWER($E271&amp;""))),$G271*0.85,$G271))))</x:f>
      </x:c>
      <x:c r="O271" s="987" t="str">
        <x:f>IF(COUNTA($A271:$M271)=0,"",IF(OR(LOWER($F271&amp;"")="subscription",LOWER($F271&amp;"")="membership"),"",IF(OR($N271="",$I271="",$I271=0),"",IFERROR($N271/$I271,""))))</x:f>
      </x:c>
      <x:c r="P271" s="987" t="str">
        <x:f>IF(COUNTA($A271:$M271)=0,"",IF(OR(LOWER($F271&amp;"")="subscription",LOWER($F271&amp;"")="membership"),"",IF(LOWER($L271&amp;"")="yes",0,IF($K271&lt;&gt;"",$K271,IF($O271&lt;&gt;"",$O271,"")))))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IF(COUNTA($A271:$M271)=0,"",IF(OR(LOWER($F271&amp;"")="subscription",LOWER($F271&amp;"")="membership"),"Subscription",IF(OR(AND($H271&lt;&gt;"",$H271=0),LOWER($F271&amp;"")="free game",LOWER($F271&amp;"")="free",LOWER($F271&amp;"")="free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986"/>
      <x:c r="H272" s="455"/>
      <x:c r="I272" s="456"/>
      <x:c r="J272" s="456"/>
      <x:c r="K272" s="986"/>
      <x:c r="L272" s="454"/>
      <x:c r="M272" s="439"/>
      <x:c r="N272" s="987" t="str">
        <x:f>IF(COUNTA($A272:$M272)=0,"",IF(OR(LOWER($F272&amp;"")="subscription",LOWER($F272&amp;"")="membership"),"",IF($G272="","",IF(ISNUMBER(SEARCH("non",LOWER($E272&amp;""))),$G272*0.85,$G272))))</x:f>
      </x:c>
      <x:c r="O272" s="987" t="str">
        <x:f>IF(COUNTA($A272:$M272)=0,"",IF(OR(LOWER($F272&amp;"")="subscription",LOWER($F272&amp;"")="membership"),"",IF(OR($N272="",$I272="",$I272=0),"",IFERROR($N272/$I272,""))))</x:f>
      </x:c>
      <x:c r="P272" s="987" t="str">
        <x:f>IF(COUNTA($A272:$M272)=0,"",IF(OR(LOWER($F272&amp;"")="subscription",LOWER($F272&amp;"")="membership"),"",IF(LOWER($L272&amp;"")="yes",0,IF($K272&lt;&gt;"",$K272,IF($O272&lt;&gt;"",$O272,"")))))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IF(COUNTA($A272:$M272)=0,"",IF(OR(LOWER($F272&amp;"")="subscription",LOWER($F272&amp;"")="membership"),"Subscription",IF(OR(AND($H272&lt;&gt;"",$H272=0),LOWER($F272&amp;"")="free game",LOWER($F272&amp;"")="free",LOWER($F272&amp;"")="free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986"/>
      <x:c r="H273" s="455"/>
      <x:c r="I273" s="456"/>
      <x:c r="J273" s="456"/>
      <x:c r="K273" s="986"/>
      <x:c r="L273" s="454"/>
      <x:c r="M273" s="439"/>
      <x:c r="N273" s="987" t="str">
        <x:f>IF(COUNTA($A273:$M273)=0,"",IF(OR(LOWER($F273&amp;"")="subscription",LOWER($F273&amp;"")="membership"),"",IF($G273="","",IF(ISNUMBER(SEARCH("non",LOWER($E273&amp;""))),$G273*0.85,$G273))))</x:f>
      </x:c>
      <x:c r="O273" s="987" t="str">
        <x:f>IF(COUNTA($A273:$M273)=0,"",IF(OR(LOWER($F273&amp;"")="subscription",LOWER($F273&amp;"")="membership"),"",IF(OR($N273="",$I273="",$I273=0),"",IFERROR($N273/$I273,""))))</x:f>
      </x:c>
      <x:c r="P273" s="987" t="str">
        <x:f>IF(COUNTA($A273:$M273)=0,"",IF(OR(LOWER($F273&amp;"")="subscription",LOWER($F273&amp;"")="membership"),"",IF(LOWER($L273&amp;"")="yes",0,IF($K273&lt;&gt;"",$K273,IF($O273&lt;&gt;"",$O273,"")))))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IF(COUNTA($A273:$M273)=0,"",IF(OR(LOWER($F273&amp;"")="subscription",LOWER($F273&amp;"")="membership"),"Subscription",IF(OR(AND($H273&lt;&gt;"",$H273=0),LOWER($F273&amp;"")="free game",LOWER($F273&amp;"")="free",LOWER($F273&amp;"")="free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986"/>
      <x:c r="H274" s="455"/>
      <x:c r="I274" s="456"/>
      <x:c r="J274" s="456"/>
      <x:c r="K274" s="986"/>
      <x:c r="L274" s="454"/>
      <x:c r="M274" s="439"/>
      <x:c r="N274" s="987" t="str">
        <x:f>IF(COUNTA($A274:$M274)=0,"",IF(OR(LOWER($F274&amp;"")="subscription",LOWER($F274&amp;"")="membership"),"",IF($G274="","",IF(ISNUMBER(SEARCH("non",LOWER($E274&amp;""))),$G274*0.85,$G274))))</x:f>
      </x:c>
      <x:c r="O274" s="987" t="str">
        <x:f>IF(COUNTA($A274:$M274)=0,"",IF(OR(LOWER($F274&amp;"")="subscription",LOWER($F274&amp;"")="membership"),"",IF(OR($N274="",$I274="",$I274=0),"",IFERROR($N274/$I274,""))))</x:f>
      </x:c>
      <x:c r="P274" s="987" t="str">
        <x:f>IF(COUNTA($A274:$M274)=0,"",IF(OR(LOWER($F274&amp;"")="subscription",LOWER($F274&amp;"")="membership"),"",IF(LOWER($L274&amp;"")="yes",0,IF($K274&lt;&gt;"",$K274,IF($O274&lt;&gt;"",$O274,"")))))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IF(COUNTA($A274:$M274)=0,"",IF(OR(LOWER($F274&amp;"")="subscription",LOWER($F274&amp;"")="membership"),"Subscription",IF(OR(AND($H274&lt;&gt;"",$H274=0),LOWER($F274&amp;"")="free game",LOWER($F274&amp;"")="free",LOWER($F274&amp;"")="free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986"/>
      <x:c r="H275" s="455"/>
      <x:c r="I275" s="456"/>
      <x:c r="J275" s="456"/>
      <x:c r="K275" s="986"/>
      <x:c r="L275" s="454"/>
      <x:c r="M275" s="439"/>
      <x:c r="N275" s="987" t="str">
        <x:f>IF(COUNTA($A275:$M275)=0,"",IF(OR(LOWER($F275&amp;"")="subscription",LOWER($F275&amp;"")="membership"),"",IF($G275="","",IF(ISNUMBER(SEARCH("non",LOWER($E275&amp;""))),$G275*0.85,$G275))))</x:f>
      </x:c>
      <x:c r="O275" s="987" t="str">
        <x:f>IF(COUNTA($A275:$M275)=0,"",IF(OR(LOWER($F275&amp;"")="subscription",LOWER($F275&amp;"")="membership"),"",IF(OR($N275="",$I275="",$I275=0),"",IFERROR($N275/$I275,""))))</x:f>
      </x:c>
      <x:c r="P275" s="987" t="str">
        <x:f>IF(COUNTA($A275:$M275)=0,"",IF(OR(LOWER($F275&amp;"")="subscription",LOWER($F275&amp;"")="membership"),"",IF(LOWER($L275&amp;"")="yes",0,IF($K275&lt;&gt;"",$K275,IF($O275&lt;&gt;"",$O275,"")))))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IF(COUNTA($A275:$M275)=0,"",IF(OR(LOWER($F275&amp;"")="subscription",LOWER($F275&amp;"")="membership"),"Subscription",IF(OR(AND($H275&lt;&gt;"",$H275=0),LOWER($F275&amp;"")="free game",LOWER($F275&amp;"")="free",LOWER($F275&amp;"")="free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986"/>
      <x:c r="H276" s="455"/>
      <x:c r="I276" s="456"/>
      <x:c r="J276" s="456"/>
      <x:c r="K276" s="986"/>
      <x:c r="L276" s="454"/>
      <x:c r="M276" s="439"/>
      <x:c r="N276" s="987" t="str">
        <x:f>IF(COUNTA($A276:$M276)=0,"",IF(OR(LOWER($F276&amp;"")="subscription",LOWER($F276&amp;"")="membership"),"",IF($G276="","",IF(ISNUMBER(SEARCH("non",LOWER($E276&amp;""))),$G276*0.85,$G276))))</x:f>
      </x:c>
      <x:c r="O276" s="987" t="str">
        <x:f>IF(COUNTA($A276:$M276)=0,"",IF(OR(LOWER($F276&amp;"")="subscription",LOWER($F276&amp;"")="membership"),"",IF(OR($N276="",$I276="",$I276=0),"",IFERROR($N276/$I276,""))))</x:f>
      </x:c>
      <x:c r="P276" s="987" t="str">
        <x:f>IF(COUNTA($A276:$M276)=0,"",IF(OR(LOWER($F276&amp;"")="subscription",LOWER($F276&amp;"")="membership"),"",IF(LOWER($L276&amp;"")="yes",0,IF($K276&lt;&gt;"",$K276,IF($O276&lt;&gt;"",$O276,"")))))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IF(COUNTA($A276:$M276)=0,"",IF(OR(LOWER($F276&amp;"")="subscription",LOWER($F276&amp;"")="membership"),"Subscription",IF(OR(AND($H276&lt;&gt;"",$H276=0),LOWER($F276&amp;"")="free game",LOWER($F276&amp;"")="free",LOWER($F276&amp;"")="free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986"/>
      <x:c r="H277" s="455"/>
      <x:c r="I277" s="456"/>
      <x:c r="J277" s="456"/>
      <x:c r="K277" s="986"/>
      <x:c r="L277" s="454"/>
      <x:c r="M277" s="439"/>
      <x:c r="N277" s="987" t="str">
        <x:f>IF(COUNTA($A277:$M277)=0,"",IF(OR(LOWER($F277&amp;"")="subscription",LOWER($F277&amp;"")="membership"),"",IF($G277="","",IF(ISNUMBER(SEARCH("non",LOWER($E277&amp;""))),$G277*0.85,$G277))))</x:f>
      </x:c>
      <x:c r="O277" s="987" t="str">
        <x:f>IF(COUNTA($A277:$M277)=0,"",IF(OR(LOWER($F277&amp;"")="subscription",LOWER($F277&amp;"")="membership"),"",IF(OR($N277="",$I277="",$I277=0),"",IFERROR($N277/$I277,""))))</x:f>
      </x:c>
      <x:c r="P277" s="987" t="str">
        <x:f>IF(COUNTA($A277:$M277)=0,"",IF(OR(LOWER($F277&amp;"")="subscription",LOWER($F277&amp;"")="membership"),"",IF(LOWER($L277&amp;"")="yes",0,IF($K277&lt;&gt;"",$K277,IF($O277&lt;&gt;"",$O277,"")))))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IF(COUNTA($A277:$M277)=0,"",IF(OR(LOWER($F277&amp;"")="subscription",LOWER($F277&amp;"")="membership"),"Subscription",IF(OR(AND($H277&lt;&gt;"",$H277=0),LOWER($F277&amp;"")="free game",LOWER($F277&amp;"")="free",LOWER($F277&amp;"")="free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986"/>
      <x:c r="H278" s="455"/>
      <x:c r="I278" s="456"/>
      <x:c r="J278" s="456"/>
      <x:c r="K278" s="986"/>
      <x:c r="L278" s="454"/>
      <x:c r="M278" s="439"/>
      <x:c r="N278" s="987" t="str">
        <x:f>IF(COUNTA($A278:$M278)=0,"",IF(OR(LOWER($F278&amp;"")="subscription",LOWER($F278&amp;"")="membership"),"",IF($G278="","",IF(ISNUMBER(SEARCH("non",LOWER($E278&amp;""))),$G278*0.85,$G278))))</x:f>
      </x:c>
      <x:c r="O278" s="987" t="str">
        <x:f>IF(COUNTA($A278:$M278)=0,"",IF(OR(LOWER($F278&amp;"")="subscription",LOWER($F278&amp;"")="membership"),"",IF(OR($N278="",$I278="",$I278=0),"",IFERROR($N278/$I278,""))))</x:f>
      </x:c>
      <x:c r="P278" s="987" t="str">
        <x:f>IF(COUNTA($A278:$M278)=0,"",IF(OR(LOWER($F278&amp;"")="subscription",LOWER($F278&amp;"")="membership"),"",IF(LOWER($L278&amp;"")="yes",0,IF($K278&lt;&gt;"",$K278,IF($O278&lt;&gt;"",$O278,"")))))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IF(COUNTA($A278:$M278)=0,"",IF(OR(LOWER($F278&amp;"")="subscription",LOWER($F278&amp;"")="membership"),"Subscription",IF(OR(AND($H278&lt;&gt;"",$H278=0),LOWER($F278&amp;"")="free game",LOWER($F278&amp;"")="free",LOWER($F278&amp;"")="free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986"/>
      <x:c r="H279" s="455"/>
      <x:c r="I279" s="456"/>
      <x:c r="J279" s="456"/>
      <x:c r="K279" s="986"/>
      <x:c r="L279" s="454"/>
      <x:c r="M279" s="439"/>
      <x:c r="N279" s="987" t="str">
        <x:f>IF(COUNTA($A279:$M279)=0,"",IF(OR(LOWER($F279&amp;"")="subscription",LOWER($F279&amp;"")="membership"),"",IF($G279="","",IF(ISNUMBER(SEARCH("non",LOWER($E279&amp;""))),$G279*0.85,$G279))))</x:f>
      </x:c>
      <x:c r="O279" s="987" t="str">
        <x:f>IF(COUNTA($A279:$M279)=0,"",IF(OR(LOWER($F279&amp;"")="subscription",LOWER($F279&amp;"")="membership"),"",IF(OR($N279="",$I279="",$I279=0),"",IFERROR($N279/$I279,""))))</x:f>
      </x:c>
      <x:c r="P279" s="987" t="str">
        <x:f>IF(COUNTA($A279:$M279)=0,"",IF(OR(LOWER($F279&amp;"")="subscription",LOWER($F279&amp;"")="membership"),"",IF(LOWER($L279&amp;"")="yes",0,IF($K279&lt;&gt;"",$K279,IF($O279&lt;&gt;"",$O279,"")))))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IF(COUNTA($A279:$M279)=0,"",IF(OR(LOWER($F279&amp;"")="subscription",LOWER($F279&amp;"")="membership"),"Subscription",IF(OR(AND($H279&lt;&gt;"",$H279=0),LOWER($F279&amp;"")="free game",LOWER($F279&amp;"")="free",LOWER($F279&amp;"")="free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986"/>
      <x:c r="H280" s="455"/>
      <x:c r="I280" s="456"/>
      <x:c r="J280" s="456"/>
      <x:c r="K280" s="986"/>
      <x:c r="L280" s="454"/>
      <x:c r="M280" s="439"/>
      <x:c r="N280" s="987" t="str">
        <x:f>IF(COUNTA($A280:$M280)=0,"",IF(OR(LOWER($F280&amp;"")="subscription",LOWER($F280&amp;"")="membership"),"",IF($G280="","",IF(ISNUMBER(SEARCH("non",LOWER($E280&amp;""))),$G280*0.85,$G280))))</x:f>
      </x:c>
      <x:c r="O280" s="987" t="str">
        <x:f>IF(COUNTA($A280:$M280)=0,"",IF(OR(LOWER($F280&amp;"")="subscription",LOWER($F280&amp;"")="membership"),"",IF(OR($N280="",$I280="",$I280=0),"",IFERROR($N280/$I280,""))))</x:f>
      </x:c>
      <x:c r="P280" s="987" t="str">
        <x:f>IF(COUNTA($A280:$M280)=0,"",IF(OR(LOWER($F280&amp;"")="subscription",LOWER($F280&amp;"")="membership"),"",IF(LOWER($L280&amp;"")="yes",0,IF($K280&lt;&gt;"",$K280,IF($O280&lt;&gt;"",$O280,"")))))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IF(COUNTA($A280:$M280)=0,"",IF(OR(LOWER($F280&amp;"")="subscription",LOWER($F280&amp;"")="membership"),"Subscription",IF(OR(AND($H280&lt;&gt;"",$H280=0),LOWER($F280&amp;"")="free game",LOWER($F280&amp;"")="free",LOWER($F280&amp;"")="free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986"/>
      <x:c r="H281" s="455"/>
      <x:c r="I281" s="456"/>
      <x:c r="J281" s="456"/>
      <x:c r="K281" s="986"/>
      <x:c r="L281" s="454"/>
      <x:c r="M281" s="439"/>
      <x:c r="N281" s="987" t="str">
        <x:f>IF(COUNTA($A281:$M281)=0,"",IF(OR(LOWER($F281&amp;"")="subscription",LOWER($F281&amp;"")="membership"),"",IF($G281="","",IF(ISNUMBER(SEARCH("non",LOWER($E281&amp;""))),$G281*0.85,$G281))))</x:f>
      </x:c>
      <x:c r="O281" s="987" t="str">
        <x:f>IF(COUNTA($A281:$M281)=0,"",IF(OR(LOWER($F281&amp;"")="subscription",LOWER($F281&amp;"")="membership"),"",IF(OR($N281="",$I281="",$I281=0),"",IFERROR($N281/$I281,""))))</x:f>
      </x:c>
      <x:c r="P281" s="987" t="str">
        <x:f>IF(COUNTA($A281:$M281)=0,"",IF(OR(LOWER($F281&amp;"")="subscription",LOWER($F281&amp;"")="membership"),"",IF(LOWER($L281&amp;"")="yes",0,IF($K281&lt;&gt;"",$K281,IF($O281&lt;&gt;"",$O281,"")))))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IF(COUNTA($A281:$M281)=0,"",IF(OR(LOWER($F281&amp;"")="subscription",LOWER($F281&amp;"")="membership"),"Subscription",IF(OR(AND($H281&lt;&gt;"",$H281=0),LOWER($F281&amp;"")="free game",LOWER($F281&amp;"")="free",LOWER($F281&amp;"")="free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986"/>
      <x:c r="H282" s="455"/>
      <x:c r="I282" s="456"/>
      <x:c r="J282" s="456"/>
      <x:c r="K282" s="986"/>
      <x:c r="L282" s="454"/>
      <x:c r="M282" s="439"/>
      <x:c r="N282" s="987" t="str">
        <x:f>IF(COUNTA($A282:$M282)=0,"",IF(OR(LOWER($F282&amp;"")="subscription",LOWER($F282&amp;"")="membership"),"",IF($G282="","",IF(ISNUMBER(SEARCH("non",LOWER($E282&amp;""))),$G282*0.85,$G282))))</x:f>
      </x:c>
      <x:c r="O282" s="987" t="str">
        <x:f>IF(COUNTA($A282:$M282)=0,"",IF(OR(LOWER($F282&amp;"")="subscription",LOWER($F282&amp;"")="membership"),"",IF(OR($N282="",$I282="",$I282=0),"",IFERROR($N282/$I282,""))))</x:f>
      </x:c>
      <x:c r="P282" s="987" t="str">
        <x:f>IF(COUNTA($A282:$M282)=0,"",IF(OR(LOWER($F282&amp;"")="subscription",LOWER($F282&amp;"")="membership"),"",IF(LOWER($L282&amp;"")="yes",0,IF($K282&lt;&gt;"",$K282,IF($O282&lt;&gt;"",$O282,"")))))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IF(COUNTA($A282:$M282)=0,"",IF(OR(LOWER($F282&amp;"")="subscription",LOWER($F282&amp;"")="membership"),"Subscription",IF(OR(AND($H282&lt;&gt;"",$H282=0),LOWER($F282&amp;"")="free game",LOWER($F282&amp;"")="free",LOWER($F282&amp;"")="free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986"/>
      <x:c r="H283" s="455"/>
      <x:c r="I283" s="456"/>
      <x:c r="J283" s="456"/>
      <x:c r="K283" s="986"/>
      <x:c r="L283" s="454"/>
      <x:c r="M283" s="439"/>
      <x:c r="N283" s="987" t="str">
        <x:f>IF(COUNTA($A283:$M283)=0,"",IF(OR(LOWER($F283&amp;"")="subscription",LOWER($F283&amp;"")="membership"),"",IF($G283="","",IF(ISNUMBER(SEARCH("non",LOWER($E283&amp;""))),$G283*0.85,$G283))))</x:f>
      </x:c>
      <x:c r="O283" s="987" t="str">
        <x:f>IF(COUNTA($A283:$M283)=0,"",IF(OR(LOWER($F283&amp;"")="subscription",LOWER($F283&amp;"")="membership"),"",IF(OR($N283="",$I283="",$I283=0),"",IFERROR($N283/$I283,""))))</x:f>
      </x:c>
      <x:c r="P283" s="987" t="str">
        <x:f>IF(COUNTA($A283:$M283)=0,"",IF(OR(LOWER($F283&amp;"")="subscription",LOWER($F283&amp;"")="membership"),"",IF(LOWER($L283&amp;"")="yes",0,IF($K283&lt;&gt;"",$K283,IF($O283&lt;&gt;"",$O283,"")))))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IF(COUNTA($A283:$M283)=0,"",IF(OR(LOWER($F283&amp;"")="subscription",LOWER($F283&amp;"")="membership"),"Subscription",IF(OR(AND($H283&lt;&gt;"",$H283=0),LOWER($F283&amp;"")="free game",LOWER($F283&amp;"")="free",LOWER($F283&amp;"")="free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986"/>
      <x:c r="H284" s="455"/>
      <x:c r="I284" s="456"/>
      <x:c r="J284" s="456"/>
      <x:c r="K284" s="986"/>
      <x:c r="L284" s="454"/>
      <x:c r="M284" s="439"/>
      <x:c r="N284" s="987" t="str">
        <x:f>IF(COUNTA($A284:$M284)=0,"",IF(OR(LOWER($F284&amp;"")="subscription",LOWER($F284&amp;"")="membership"),"",IF($G284="","",IF(ISNUMBER(SEARCH("non",LOWER($E284&amp;""))),$G284*0.85,$G284))))</x:f>
      </x:c>
      <x:c r="O284" s="987" t="str">
        <x:f>IF(COUNTA($A284:$M284)=0,"",IF(OR(LOWER($F284&amp;"")="subscription",LOWER($F284&amp;"")="membership"),"",IF(OR($N284="",$I284="",$I284=0),"",IFERROR($N284/$I284,""))))</x:f>
      </x:c>
      <x:c r="P284" s="987" t="str">
        <x:f>IF(COUNTA($A284:$M284)=0,"",IF(OR(LOWER($F284&amp;"")="subscription",LOWER($F284&amp;"")="membership"),"",IF(LOWER($L284&amp;"")="yes",0,IF($K284&lt;&gt;"",$K284,IF($O284&lt;&gt;"",$O284,"")))))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IF(COUNTA($A284:$M284)=0,"",IF(OR(LOWER($F284&amp;"")="subscription",LOWER($F284&amp;"")="membership"),"Subscription",IF(OR(AND($H284&lt;&gt;"",$H284=0),LOWER($F284&amp;"")="free game",LOWER($F284&amp;"")="free",LOWER($F284&amp;"")="free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986"/>
      <x:c r="H285" s="455"/>
      <x:c r="I285" s="456"/>
      <x:c r="J285" s="456"/>
      <x:c r="K285" s="986"/>
      <x:c r="L285" s="454"/>
      <x:c r="M285" s="439"/>
      <x:c r="N285" s="987" t="str">
        <x:f>IF(COUNTA($A285:$M285)=0,"",IF(OR(LOWER($F285&amp;"")="subscription",LOWER($F285&amp;"")="membership"),"",IF($G285="","",IF(ISNUMBER(SEARCH("non",LOWER($E285&amp;""))),$G285*0.85,$G285))))</x:f>
      </x:c>
      <x:c r="O285" s="987" t="str">
        <x:f>IF(COUNTA($A285:$M285)=0,"",IF(OR(LOWER($F285&amp;"")="subscription",LOWER($F285&amp;"")="membership"),"",IF(OR($N285="",$I285="",$I285=0),"",IFERROR($N285/$I285,""))))</x:f>
      </x:c>
      <x:c r="P285" s="987" t="str">
        <x:f>IF(COUNTA($A285:$M285)=0,"",IF(OR(LOWER($F285&amp;"")="subscription",LOWER($F285&amp;"")="membership"),"",IF(LOWER($L285&amp;"")="yes",0,IF($K285&lt;&gt;"",$K285,IF($O285&lt;&gt;"",$O285,"")))))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IF(COUNTA($A285:$M285)=0,"",IF(OR(LOWER($F285&amp;"")="subscription",LOWER($F285&amp;"")="membership"),"Subscription",IF(OR(AND($H285&lt;&gt;"",$H285=0),LOWER($F285&amp;"")="free game",LOWER($F285&amp;"")="free",LOWER($F285&amp;"")="free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986"/>
      <x:c r="H286" s="455"/>
      <x:c r="I286" s="456"/>
      <x:c r="J286" s="456"/>
      <x:c r="K286" s="986"/>
      <x:c r="L286" s="454"/>
      <x:c r="M286" s="439"/>
      <x:c r="N286" s="987" t="str">
        <x:f>IF(COUNTA($A286:$M286)=0,"",IF(OR(LOWER($F286&amp;"")="subscription",LOWER($F286&amp;"")="membership"),"",IF($G286="","",IF(ISNUMBER(SEARCH("non",LOWER($E286&amp;""))),$G286*0.85,$G286))))</x:f>
      </x:c>
      <x:c r="O286" s="987" t="str">
        <x:f>IF(COUNTA($A286:$M286)=0,"",IF(OR(LOWER($F286&amp;"")="subscription",LOWER($F286&amp;"")="membership"),"",IF(OR($N286="",$I286="",$I286=0),"",IFERROR($N286/$I286,""))))</x:f>
      </x:c>
      <x:c r="P286" s="987" t="str">
        <x:f>IF(COUNTA($A286:$M286)=0,"",IF(OR(LOWER($F286&amp;"")="subscription",LOWER($F286&amp;"")="membership"),"",IF(LOWER($L286&amp;"")="yes",0,IF($K286&lt;&gt;"",$K286,IF($O286&lt;&gt;"",$O286,"")))))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IF(COUNTA($A286:$M286)=0,"",IF(OR(LOWER($F286&amp;"")="subscription",LOWER($F286&amp;"")="membership"),"Subscription",IF(OR(AND($H286&lt;&gt;"",$H286=0),LOWER($F286&amp;"")="free game",LOWER($F286&amp;"")="free",LOWER($F286&amp;"")="free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986"/>
      <x:c r="H287" s="455"/>
      <x:c r="I287" s="456"/>
      <x:c r="J287" s="456"/>
      <x:c r="K287" s="986"/>
      <x:c r="L287" s="454"/>
      <x:c r="M287" s="439"/>
      <x:c r="N287" s="987" t="str">
        <x:f>IF(COUNTA($A287:$M287)=0,"",IF(OR(LOWER($F287&amp;"")="subscription",LOWER($F287&amp;"")="membership"),"",IF($G287="","",IF(ISNUMBER(SEARCH("non",LOWER($E287&amp;""))),$G287*0.85,$G287))))</x:f>
      </x:c>
      <x:c r="O287" s="987" t="str">
        <x:f>IF(COUNTA($A287:$M287)=0,"",IF(OR(LOWER($F287&amp;"")="subscription",LOWER($F287&amp;"")="membership"),"",IF(OR($N287="",$I287="",$I287=0),"",IFERROR($N287/$I287,""))))</x:f>
      </x:c>
      <x:c r="P287" s="987" t="str">
        <x:f>IF(COUNTA($A287:$M287)=0,"",IF(OR(LOWER($F287&amp;"")="subscription",LOWER($F287&amp;"")="membership"),"",IF(LOWER($L287&amp;"")="yes",0,IF($K287&lt;&gt;"",$K287,IF($O287&lt;&gt;"",$O287,"")))))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IF(COUNTA($A287:$M287)=0,"",IF(OR(LOWER($F287&amp;"")="subscription",LOWER($F287&amp;"")="membership"),"Subscription",IF(OR(AND($H287&lt;&gt;"",$H287=0),LOWER($F287&amp;"")="free game",LOWER($F287&amp;"")="free",LOWER($F287&amp;"")="free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986"/>
      <x:c r="H288" s="455"/>
      <x:c r="I288" s="456"/>
      <x:c r="J288" s="456"/>
      <x:c r="K288" s="986"/>
      <x:c r="L288" s="454"/>
      <x:c r="M288" s="439"/>
      <x:c r="N288" s="987" t="str">
        <x:f>IF(COUNTA($A288:$M288)=0,"",IF(OR(LOWER($F288&amp;"")="subscription",LOWER($F288&amp;"")="membership"),"",IF($G288="","",IF(ISNUMBER(SEARCH("non",LOWER($E288&amp;""))),$G288*0.85,$G288))))</x:f>
      </x:c>
      <x:c r="O288" s="987" t="str">
        <x:f>IF(COUNTA($A288:$M288)=0,"",IF(OR(LOWER($F288&amp;"")="subscription",LOWER($F288&amp;"")="membership"),"",IF(OR($N288="",$I288="",$I288=0),"",IFERROR($N288/$I288,""))))</x:f>
      </x:c>
      <x:c r="P288" s="987" t="str">
        <x:f>IF(COUNTA($A288:$M288)=0,"",IF(OR(LOWER($F288&amp;"")="subscription",LOWER($F288&amp;"")="membership"),"",IF(LOWER($L288&amp;"")="yes",0,IF($K288&lt;&gt;"",$K288,IF($O288&lt;&gt;"",$O288,"")))))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IF(COUNTA($A288:$M288)=0,"",IF(OR(LOWER($F288&amp;"")="subscription",LOWER($F288&amp;"")="membership"),"Subscription",IF(OR(AND($H288&lt;&gt;"",$H288=0),LOWER($F288&amp;"")="free game",LOWER($F288&amp;"")="free",LOWER($F288&amp;"")="free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986"/>
      <x:c r="H289" s="455"/>
      <x:c r="I289" s="456"/>
      <x:c r="J289" s="456"/>
      <x:c r="K289" s="986"/>
      <x:c r="L289" s="454"/>
      <x:c r="M289" s="439"/>
      <x:c r="N289" s="987" t="str">
        <x:f>IF(COUNTA($A289:$M289)=0,"",IF(OR(LOWER($F289&amp;"")="subscription",LOWER($F289&amp;"")="membership"),"",IF($G289="","",IF(ISNUMBER(SEARCH("non",LOWER($E289&amp;""))),$G289*0.85,$G289))))</x:f>
      </x:c>
      <x:c r="O289" s="987" t="str">
        <x:f>IF(COUNTA($A289:$M289)=0,"",IF(OR(LOWER($F289&amp;"")="subscription",LOWER($F289&amp;"")="membership"),"",IF(OR($N289="",$I289="",$I289=0),"",IFERROR($N289/$I289,""))))</x:f>
      </x:c>
      <x:c r="P289" s="987" t="str">
        <x:f>IF(COUNTA($A289:$M289)=0,"",IF(OR(LOWER($F289&amp;"")="subscription",LOWER($F289&amp;"")="membership"),"",IF(LOWER($L289&amp;"")="yes",0,IF($K289&lt;&gt;"",$K289,IF($O289&lt;&gt;"",$O289,"")))))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IF(COUNTA($A289:$M289)=0,"",IF(OR(LOWER($F289&amp;"")="subscription",LOWER($F289&amp;"")="membership"),"Subscription",IF(OR(AND($H289&lt;&gt;"",$H289=0),LOWER($F289&amp;"")="free game",LOWER($F289&amp;"")="free",LOWER($F289&amp;"")="free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986"/>
      <x:c r="H290" s="455"/>
      <x:c r="I290" s="456"/>
      <x:c r="J290" s="456"/>
      <x:c r="K290" s="986"/>
      <x:c r="L290" s="454"/>
      <x:c r="M290" s="439"/>
      <x:c r="N290" s="987" t="str">
        <x:f>IF(COUNTA($A290:$M290)=0,"",IF(OR(LOWER($F290&amp;"")="subscription",LOWER($F290&amp;"")="membership"),"",IF($G290="","",IF(ISNUMBER(SEARCH("non",LOWER($E290&amp;""))),$G290*0.85,$G290))))</x:f>
      </x:c>
      <x:c r="O290" s="987" t="str">
        <x:f>IF(COUNTA($A290:$M290)=0,"",IF(OR(LOWER($F290&amp;"")="subscription",LOWER($F290&amp;"")="membership"),"",IF(OR($N290="",$I290="",$I290=0),"",IFERROR($N290/$I290,""))))</x:f>
      </x:c>
      <x:c r="P290" s="987" t="str">
        <x:f>IF(COUNTA($A290:$M290)=0,"",IF(OR(LOWER($F290&amp;"")="subscription",LOWER($F290&amp;"")="membership"),"",IF(LOWER($L290&amp;"")="yes",0,IF($K290&lt;&gt;"",$K290,IF($O290&lt;&gt;"",$O290,"")))))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IF(COUNTA($A290:$M290)=0,"",IF(OR(LOWER($F290&amp;"")="subscription",LOWER($F290&amp;"")="membership"),"Subscription",IF(OR(AND($H290&lt;&gt;"",$H290=0),LOWER($F290&amp;"")="free game",LOWER($F290&amp;"")="free",LOWER($F290&amp;"")="free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986"/>
      <x:c r="H291" s="455"/>
      <x:c r="I291" s="456"/>
      <x:c r="J291" s="456"/>
      <x:c r="K291" s="986"/>
      <x:c r="L291" s="454"/>
      <x:c r="M291" s="439"/>
      <x:c r="N291" s="987" t="str">
        <x:f>IF(COUNTA($A291:$M291)=0,"",IF(OR(LOWER($F291&amp;"")="subscription",LOWER($F291&amp;"")="membership"),"",IF($G291="","",IF(ISNUMBER(SEARCH("non",LOWER($E291&amp;""))),$G291*0.85,$G291))))</x:f>
      </x:c>
      <x:c r="O291" s="987" t="str">
        <x:f>IF(COUNTA($A291:$M291)=0,"",IF(OR(LOWER($F291&amp;"")="subscription",LOWER($F291&amp;"")="membership"),"",IF(OR($N291="",$I291="",$I291=0),"",IFERROR($N291/$I291,""))))</x:f>
      </x:c>
      <x:c r="P291" s="987" t="str">
        <x:f>IF(COUNTA($A291:$M291)=0,"",IF(OR(LOWER($F291&amp;"")="subscription",LOWER($F291&amp;"")="membership"),"",IF(LOWER($L291&amp;"")="yes",0,IF($K291&lt;&gt;"",$K291,IF($O291&lt;&gt;"",$O291,"")))))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IF(COUNTA($A291:$M291)=0,"",IF(OR(LOWER($F291&amp;"")="subscription",LOWER($F291&amp;"")="membership"),"Subscription",IF(OR(AND($H291&lt;&gt;"",$H291=0),LOWER($F291&amp;"")="free game",LOWER($F291&amp;"")="free",LOWER($F291&amp;"")="free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986"/>
      <x:c r="H292" s="455"/>
      <x:c r="I292" s="456"/>
      <x:c r="J292" s="456"/>
      <x:c r="K292" s="986"/>
      <x:c r="L292" s="454"/>
      <x:c r="M292" s="439"/>
      <x:c r="N292" s="987" t="str">
        <x:f>IF(COUNTA($A292:$M292)=0,"",IF(OR(LOWER($F292&amp;"")="subscription",LOWER($F292&amp;"")="membership"),"",IF($G292="","",IF(ISNUMBER(SEARCH("non",LOWER($E292&amp;""))),$G292*0.85,$G292))))</x:f>
      </x:c>
      <x:c r="O292" s="987" t="str">
        <x:f>IF(COUNTA($A292:$M292)=0,"",IF(OR(LOWER($F292&amp;"")="subscription",LOWER($F292&amp;"")="membership"),"",IF(OR($N292="",$I292="",$I292=0),"",IFERROR($N292/$I292,""))))</x:f>
      </x:c>
      <x:c r="P292" s="987" t="str">
        <x:f>IF(COUNTA($A292:$M292)=0,"",IF(OR(LOWER($F292&amp;"")="subscription",LOWER($F292&amp;"")="membership"),"",IF(LOWER($L292&amp;"")="yes",0,IF($K292&lt;&gt;"",$K292,IF($O292&lt;&gt;"",$O292,"")))))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IF(COUNTA($A292:$M292)=0,"",IF(OR(LOWER($F292&amp;"")="subscription",LOWER($F292&amp;"")="membership"),"Subscription",IF(OR(AND($H292&lt;&gt;"",$H292=0),LOWER($F292&amp;"")="free game",LOWER($F292&amp;"")="free",LOWER($F292&amp;"")="free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986"/>
      <x:c r="H293" s="455"/>
      <x:c r="I293" s="456"/>
      <x:c r="J293" s="456"/>
      <x:c r="K293" s="986"/>
      <x:c r="L293" s="454"/>
      <x:c r="M293" s="439"/>
      <x:c r="N293" s="987" t="str">
        <x:f>IF(COUNTA($A293:$M293)=0,"",IF(OR(LOWER($F293&amp;"")="subscription",LOWER($F293&amp;"")="membership"),"",IF($G293="","",IF(ISNUMBER(SEARCH("non",LOWER($E293&amp;""))),$G293*0.85,$G293))))</x:f>
      </x:c>
      <x:c r="O293" s="987" t="str">
        <x:f>IF(COUNTA($A293:$M293)=0,"",IF(OR(LOWER($F293&amp;"")="subscription",LOWER($F293&amp;"")="membership"),"",IF(OR($N293="",$I293="",$I293=0),"",IFERROR($N293/$I293,""))))</x:f>
      </x:c>
      <x:c r="P293" s="987" t="str">
        <x:f>IF(COUNTA($A293:$M293)=0,"",IF(OR(LOWER($F293&amp;"")="subscription",LOWER($F293&amp;"")="membership"),"",IF(LOWER($L293&amp;"")="yes",0,IF($K293&lt;&gt;"",$K293,IF($O293&lt;&gt;"",$O293,"")))))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IF(COUNTA($A293:$M293)=0,"",IF(OR(LOWER($F293&amp;"")="subscription",LOWER($F293&amp;"")="membership"),"Subscription",IF(OR(AND($H293&lt;&gt;"",$H293=0),LOWER($F293&amp;"")="free game",LOWER($F293&amp;"")="free",LOWER($F293&amp;"")="free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986"/>
      <x:c r="H294" s="455"/>
      <x:c r="I294" s="456"/>
      <x:c r="J294" s="456"/>
      <x:c r="K294" s="986"/>
      <x:c r="L294" s="454"/>
      <x:c r="M294" s="439"/>
      <x:c r="N294" s="987" t="str">
        <x:f>IF(COUNTA($A294:$M294)=0,"",IF(OR(LOWER($F294&amp;"")="subscription",LOWER($F294&amp;"")="membership"),"",IF($G294="","",IF(ISNUMBER(SEARCH("non",LOWER($E294&amp;""))),$G294*0.85,$G294))))</x:f>
      </x:c>
      <x:c r="O294" s="987" t="str">
        <x:f>IF(COUNTA($A294:$M294)=0,"",IF(OR(LOWER($F294&amp;"")="subscription",LOWER($F294&amp;"")="membership"),"",IF(OR($N294="",$I294="",$I294=0),"",IFERROR($N294/$I294,""))))</x:f>
      </x:c>
      <x:c r="P294" s="987" t="str">
        <x:f>IF(COUNTA($A294:$M294)=0,"",IF(OR(LOWER($F294&amp;"")="subscription",LOWER($F294&amp;"")="membership"),"",IF(LOWER($L294&amp;"")="yes",0,IF($K294&lt;&gt;"",$K294,IF($O294&lt;&gt;"",$O294,"")))))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IF(COUNTA($A294:$M294)=0,"",IF(OR(LOWER($F294&amp;"")="subscription",LOWER($F294&amp;"")="membership"),"Subscription",IF(OR(AND($H294&lt;&gt;"",$H294=0),LOWER($F294&amp;"")="free game",LOWER($F294&amp;"")="free",LOWER($F294&amp;"")="free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986"/>
      <x:c r="H295" s="455"/>
      <x:c r="I295" s="456"/>
      <x:c r="J295" s="456"/>
      <x:c r="K295" s="986"/>
      <x:c r="L295" s="454"/>
      <x:c r="M295" s="439"/>
      <x:c r="N295" s="987" t="str">
        <x:f>IF(COUNTA($A295:$M295)=0,"",IF(OR(LOWER($F295&amp;"")="subscription",LOWER($F295&amp;"")="membership"),"",IF($G295="","",IF(ISNUMBER(SEARCH("non",LOWER($E295&amp;""))),$G295*0.85,$G295))))</x:f>
      </x:c>
      <x:c r="O295" s="987" t="str">
        <x:f>IF(COUNTA($A295:$M295)=0,"",IF(OR(LOWER($F295&amp;"")="subscription",LOWER($F295&amp;"")="membership"),"",IF(OR($N295="",$I295="",$I295=0),"",IFERROR($N295/$I295,""))))</x:f>
      </x:c>
      <x:c r="P295" s="987" t="str">
        <x:f>IF(COUNTA($A295:$M295)=0,"",IF(OR(LOWER($F295&amp;"")="subscription",LOWER($F295&amp;"")="membership"),"",IF(LOWER($L295&amp;"")="yes",0,IF($K295&lt;&gt;"",$K295,IF($O295&lt;&gt;"",$O295,"")))))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IF(COUNTA($A295:$M295)=0,"",IF(OR(LOWER($F295&amp;"")="subscription",LOWER($F295&amp;"")="membership"),"Subscription",IF(OR(AND($H295&lt;&gt;"",$H295=0),LOWER($F295&amp;"")="free game",LOWER($F295&amp;"")="free",LOWER($F295&amp;"")="free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986"/>
      <x:c r="H296" s="455"/>
      <x:c r="I296" s="456"/>
      <x:c r="J296" s="456"/>
      <x:c r="K296" s="986"/>
      <x:c r="L296" s="454"/>
      <x:c r="M296" s="439"/>
      <x:c r="N296" s="987" t="str">
        <x:f>IF(COUNTA($A296:$M296)=0,"",IF(OR(LOWER($F296&amp;"")="subscription",LOWER($F296&amp;"")="membership"),"",IF($G296="","",IF(ISNUMBER(SEARCH("non",LOWER($E296&amp;""))),$G296*0.85,$G296))))</x:f>
      </x:c>
      <x:c r="O296" s="987" t="str">
        <x:f>IF(COUNTA($A296:$M296)=0,"",IF(OR(LOWER($F296&amp;"")="subscription",LOWER($F296&amp;"")="membership"),"",IF(OR($N296="",$I296="",$I296=0),"",IFERROR($N296/$I296,""))))</x:f>
      </x:c>
      <x:c r="P296" s="987" t="str">
        <x:f>IF(COUNTA($A296:$M296)=0,"",IF(OR(LOWER($F296&amp;"")="subscription",LOWER($F296&amp;"")="membership"),"",IF(LOWER($L296&amp;"")="yes",0,IF($K296&lt;&gt;"",$K296,IF($O296&lt;&gt;"",$O296,"")))))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IF(COUNTA($A296:$M296)=0,"",IF(OR(LOWER($F296&amp;"")="subscription",LOWER($F296&amp;"")="membership"),"Subscription",IF(OR(AND($H296&lt;&gt;"",$H296=0),LOWER($F296&amp;"")="free game",LOWER($F296&amp;"")="free",LOWER($F296&amp;"")="free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986"/>
      <x:c r="H297" s="455"/>
      <x:c r="I297" s="456"/>
      <x:c r="J297" s="456"/>
      <x:c r="K297" s="986"/>
      <x:c r="L297" s="454"/>
      <x:c r="M297" s="439"/>
      <x:c r="N297" s="987" t="str">
        <x:f>IF(COUNTA($A297:$M297)=0,"",IF(OR(LOWER($F297&amp;"")="subscription",LOWER($F297&amp;"")="membership"),"",IF($G297="","",IF(ISNUMBER(SEARCH("non",LOWER($E297&amp;""))),$G297*0.85,$G297))))</x:f>
      </x:c>
      <x:c r="O297" s="987" t="str">
        <x:f>IF(COUNTA($A297:$M297)=0,"",IF(OR(LOWER($F297&amp;"")="subscription",LOWER($F297&amp;"")="membership"),"",IF(OR($N297="",$I297="",$I297=0),"",IFERROR($N297/$I297,""))))</x:f>
      </x:c>
      <x:c r="P297" s="987" t="str">
        <x:f>IF(COUNTA($A297:$M297)=0,"",IF(OR(LOWER($F297&amp;"")="subscription",LOWER($F297&amp;"")="membership"),"",IF(LOWER($L297&amp;"")="yes",0,IF($K297&lt;&gt;"",$K297,IF($O297&lt;&gt;"",$O297,"")))))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IF(COUNTA($A297:$M297)=0,"",IF(OR(LOWER($F297&amp;"")="subscription",LOWER($F297&amp;"")="membership"),"Subscription",IF(OR(AND($H297&lt;&gt;"",$H297=0),LOWER($F297&amp;"")="free game",LOWER($F297&amp;"")="free",LOWER($F297&amp;"")="free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986"/>
      <x:c r="H298" s="455"/>
      <x:c r="I298" s="456"/>
      <x:c r="J298" s="456"/>
      <x:c r="K298" s="986"/>
      <x:c r="L298" s="454"/>
      <x:c r="M298" s="439"/>
      <x:c r="N298" s="987" t="str">
        <x:f>IF(COUNTA($A298:$M298)=0,"",IF(OR(LOWER($F298&amp;"")="subscription",LOWER($F298&amp;"")="membership"),"",IF($G298="","",IF(ISNUMBER(SEARCH("non",LOWER($E298&amp;""))),$G298*0.85,$G298))))</x:f>
      </x:c>
      <x:c r="O298" s="987" t="str">
        <x:f>IF(COUNTA($A298:$M298)=0,"",IF(OR(LOWER($F298&amp;"")="subscription",LOWER($F298&amp;"")="membership"),"",IF(OR($N298="",$I298="",$I298=0),"",IFERROR($N298/$I298,""))))</x:f>
      </x:c>
      <x:c r="P298" s="987" t="str">
        <x:f>IF(COUNTA($A298:$M298)=0,"",IF(OR(LOWER($F298&amp;"")="subscription",LOWER($F298&amp;"")="membership"),"",IF(LOWER($L298&amp;"")="yes",0,IF($K298&lt;&gt;"",$K298,IF($O298&lt;&gt;"",$O298,"")))))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IF(COUNTA($A298:$M298)=0,"",IF(OR(LOWER($F298&amp;"")="subscription",LOWER($F298&amp;"")="membership"),"Subscription",IF(OR(AND($H298&lt;&gt;"",$H298=0),LOWER($F298&amp;"")="free game",LOWER($F298&amp;"")="free",LOWER($F298&amp;"")="free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986"/>
      <x:c r="H299" s="455"/>
      <x:c r="I299" s="456"/>
      <x:c r="J299" s="456"/>
      <x:c r="K299" s="986"/>
      <x:c r="L299" s="454"/>
      <x:c r="M299" s="439"/>
      <x:c r="N299" s="987" t="str">
        <x:f>IF(COUNTA($A299:$M299)=0,"",IF(OR(LOWER($F299&amp;"")="subscription",LOWER($F299&amp;"")="membership"),"",IF($G299="","",IF(ISNUMBER(SEARCH("non",LOWER($E299&amp;""))),$G299*0.85,$G299))))</x:f>
      </x:c>
      <x:c r="O299" s="987" t="str">
        <x:f>IF(COUNTA($A299:$M299)=0,"",IF(OR(LOWER($F299&amp;"")="subscription",LOWER($F299&amp;"")="membership"),"",IF(OR($N299="",$I299="",$I299=0),"",IFERROR($N299/$I299,""))))</x:f>
      </x:c>
      <x:c r="P299" s="987" t="str">
        <x:f>IF(COUNTA($A299:$M299)=0,"",IF(OR(LOWER($F299&amp;"")="subscription",LOWER($F299&amp;"")="membership"),"",IF(LOWER($L299&amp;"")="yes",0,IF($K299&lt;&gt;"",$K299,IF($O299&lt;&gt;"",$O299,"")))))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IF(COUNTA($A299:$M299)=0,"",IF(OR(LOWER($F299&amp;"")="subscription",LOWER($F299&amp;"")="membership"),"Subscription",IF(OR(AND($H299&lt;&gt;"",$H299=0),LOWER($F299&amp;"")="free game",LOWER($F299&amp;"")="free",LOWER($F299&amp;"")="free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986"/>
      <x:c r="H300" s="455"/>
      <x:c r="I300" s="456"/>
      <x:c r="J300" s="456"/>
      <x:c r="K300" s="986"/>
      <x:c r="L300" s="454"/>
      <x:c r="M300" s="439"/>
      <x:c r="N300" s="987" t="str">
        <x:f>IF(COUNTA($A300:$M300)=0,"",IF(OR(LOWER($F300&amp;"")="subscription",LOWER($F300&amp;"")="membership"),"",IF($G300="","",IF(ISNUMBER(SEARCH("non",LOWER($E300&amp;""))),$G300*0.85,$G300))))</x:f>
      </x:c>
      <x:c r="O300" s="987" t="str">
        <x:f>IF(COUNTA($A300:$M300)=0,"",IF(OR(LOWER($F300&amp;"")="subscription",LOWER($F300&amp;"")="membership"),"",IF(OR($N300="",$I300="",$I300=0),"",IFERROR($N300/$I300,""))))</x:f>
      </x:c>
      <x:c r="P300" s="987" t="str">
        <x:f>IF(COUNTA($A300:$M300)=0,"",IF(OR(LOWER($F300&amp;"")="subscription",LOWER($F300&amp;"")="membership"),"",IF(LOWER($L300&amp;"")="yes",0,IF($K300&lt;&gt;"",$K300,IF($O300&lt;&gt;"",$O300,"")))))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IF(COUNTA($A300:$M300)=0,"",IF(OR(LOWER($F300&amp;"")="subscription",LOWER($F300&amp;"")="membership"),"Subscription",IF(OR(AND($H300&lt;&gt;"",$H300=0),LOWER($F300&amp;"")="free game",LOWER($F300&amp;"")="free",LOWER($F300&amp;"")="free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986"/>
      <x:c r="H301" s="455"/>
      <x:c r="I301" s="456"/>
      <x:c r="J301" s="456"/>
      <x:c r="K301" s="986"/>
      <x:c r="L301" s="454"/>
      <x:c r="M301" s="439"/>
      <x:c r="N301" s="987" t="str">
        <x:f>IF(COUNTA($A301:$M301)=0,"",IF(OR(LOWER($F301&amp;"")="subscription",LOWER($F301&amp;"")="membership"),"",IF($G301="","",IF(ISNUMBER(SEARCH("non",LOWER($E301&amp;""))),$G301*0.85,$G301))))</x:f>
      </x:c>
      <x:c r="O301" s="987" t="str">
        <x:f>IF(COUNTA($A301:$M301)=0,"",IF(OR(LOWER($F301&amp;"")="subscription",LOWER($F301&amp;"")="membership"),"",IF(OR($N301="",$I301="",$I301=0),"",IFERROR($N301/$I301,""))))</x:f>
      </x:c>
      <x:c r="P301" s="987" t="str">
        <x:f>IF(COUNTA($A301:$M301)=0,"",IF(OR(LOWER($F301&amp;"")="subscription",LOWER($F301&amp;"")="membership"),"",IF(LOWER($L301&amp;"")="yes",0,IF($K301&lt;&gt;"",$K301,IF($O301&lt;&gt;"",$O301,"")))))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IF(COUNTA($A301:$M301)=0,"",IF(OR(LOWER($F301&amp;"")="subscription",LOWER($F301&amp;"")="membership"),"Subscription",IF(OR(AND($H301&lt;&gt;"",$H301=0),LOWER($F301&amp;"")="free game",LOWER($F301&amp;"")="free",LOWER($F301&amp;"")="free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986"/>
      <x:c r="H302" s="455"/>
      <x:c r="I302" s="456"/>
      <x:c r="J302" s="456"/>
      <x:c r="K302" s="986"/>
      <x:c r="L302" s="454"/>
      <x:c r="M302" s="439"/>
      <x:c r="N302" s="987" t="str">
        <x:f>IF(COUNTA($A302:$M302)=0,"",IF(OR(LOWER($F302&amp;"")="subscription",LOWER($F302&amp;"")="membership"),"",IF($G302="","",IF(ISNUMBER(SEARCH("non",LOWER($E302&amp;""))),$G302*0.85,$G302))))</x:f>
      </x:c>
      <x:c r="O302" s="987" t="str">
        <x:f>IF(COUNTA($A302:$M302)=0,"",IF(OR(LOWER($F302&amp;"")="subscription",LOWER($F302&amp;"")="membership"),"",IF(OR($N302="",$I302="",$I302=0),"",IFERROR($N302/$I302,""))))</x:f>
      </x:c>
      <x:c r="P302" s="987" t="str">
        <x:f>IF(COUNTA($A302:$M302)=0,"",IF(OR(LOWER($F302&amp;"")="subscription",LOWER($F302&amp;"")="membership"),"",IF(LOWER($L302&amp;"")="yes",0,IF($K302&lt;&gt;"",$K302,IF($O302&lt;&gt;"",$O302,"")))))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IF(COUNTA($A302:$M302)=0,"",IF(OR(LOWER($F302&amp;"")="subscription",LOWER($F302&amp;"")="membership"),"Subscription",IF(OR(AND($H302&lt;&gt;"",$H302=0),LOWER($F302&amp;"")="free game",LOWER($F302&amp;"")="free",LOWER($F302&amp;"")="free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986"/>
      <x:c r="H303" s="455"/>
      <x:c r="I303" s="456"/>
      <x:c r="J303" s="456"/>
      <x:c r="K303" s="986"/>
      <x:c r="L303" s="454"/>
      <x:c r="M303" s="439"/>
      <x:c r="N303" s="987" t="str">
        <x:f>IF(COUNTA($A303:$M303)=0,"",IF(OR(LOWER($F303&amp;"")="subscription",LOWER($F303&amp;"")="membership"),"",IF($G303="","",IF(ISNUMBER(SEARCH("non",LOWER($E303&amp;""))),$G303*0.85,$G303))))</x:f>
      </x:c>
      <x:c r="O303" s="987" t="str">
        <x:f>IF(COUNTA($A303:$M303)=0,"",IF(OR(LOWER($F303&amp;"")="subscription",LOWER($F303&amp;"")="membership"),"",IF(OR($N303="",$I303="",$I303=0),"",IFERROR($N303/$I303,""))))</x:f>
      </x:c>
      <x:c r="P303" s="987" t="str">
        <x:f>IF(COUNTA($A303:$M303)=0,"",IF(OR(LOWER($F303&amp;"")="subscription",LOWER($F303&amp;"")="membership"),"",IF(LOWER($L303&amp;"")="yes",0,IF($K303&lt;&gt;"",$K303,IF($O303&lt;&gt;"",$O303,"")))))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IF(COUNTA($A303:$M303)=0,"",IF(OR(LOWER($F303&amp;"")="subscription",LOWER($F303&amp;"")="membership"),"Subscription",IF(OR(AND($H303&lt;&gt;"",$H303=0),LOWER($F303&amp;"")="free game",LOWER($F303&amp;"")="free",LOWER($F303&amp;"")="free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986"/>
      <x:c r="H304" s="455"/>
      <x:c r="I304" s="456"/>
      <x:c r="J304" s="456"/>
      <x:c r="K304" s="986"/>
      <x:c r="L304" s="454"/>
      <x:c r="M304" s="439"/>
      <x:c r="N304" s="987" t="str">
        <x:f>IF(COUNTA($A304:$M304)=0,"",IF(OR(LOWER($F304&amp;"")="subscription",LOWER($F304&amp;"")="membership"),"",IF($G304="","",IF(ISNUMBER(SEARCH("non",LOWER($E304&amp;""))),$G304*0.85,$G304))))</x:f>
      </x:c>
      <x:c r="O304" s="987" t="str">
        <x:f>IF(COUNTA($A304:$M304)=0,"",IF(OR(LOWER($F304&amp;"")="subscription",LOWER($F304&amp;"")="membership"),"",IF(OR($N304="",$I304="",$I304=0),"",IFERROR($N304/$I304,""))))</x:f>
      </x:c>
      <x:c r="P304" s="987" t="str">
        <x:f>IF(COUNTA($A304:$M304)=0,"",IF(OR(LOWER($F304&amp;"")="subscription",LOWER($F304&amp;"")="membership"),"",IF(LOWER($L304&amp;"")="yes",0,IF($K304&lt;&gt;"",$K304,IF($O304&lt;&gt;"",$O304,"")))))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IF(COUNTA($A304:$M304)=0,"",IF(OR(LOWER($F304&amp;"")="subscription",LOWER($F304&amp;"")="membership"),"Subscription",IF(OR(AND($H304&lt;&gt;"",$H304=0),LOWER($F304&amp;"")="free game",LOWER($F304&amp;"")="free",LOWER($F304&amp;"")="free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986"/>
      <x:c r="H305" s="455"/>
      <x:c r="I305" s="456"/>
      <x:c r="J305" s="456"/>
      <x:c r="K305" s="986"/>
      <x:c r="L305" s="454"/>
      <x:c r="M305" s="439"/>
      <x:c r="N305" s="987" t="str">
        <x:f>IF(COUNTA($A305:$M305)=0,"",IF(OR(LOWER($F305&amp;"")="subscription",LOWER($F305&amp;"")="membership"),"",IF($G305="","",IF(ISNUMBER(SEARCH("non",LOWER($E305&amp;""))),$G305*0.85,$G305))))</x:f>
      </x:c>
      <x:c r="O305" s="987" t="str">
        <x:f>IF(COUNTA($A305:$M305)=0,"",IF(OR(LOWER($F305&amp;"")="subscription",LOWER($F305&amp;"")="membership"),"",IF(OR($N305="",$I305="",$I305=0),"",IFERROR($N305/$I305,""))))</x:f>
      </x:c>
      <x:c r="P305" s="987" t="str">
        <x:f>IF(COUNTA($A305:$M305)=0,"",IF(OR(LOWER($F305&amp;"")="subscription",LOWER($F305&amp;"")="membership"),"",IF(LOWER($L305&amp;"")="yes",0,IF($K305&lt;&gt;"",$K305,IF($O305&lt;&gt;"",$O305,"")))))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IF(COUNTA($A305:$M305)=0,"",IF(OR(LOWER($F305&amp;"")="subscription",LOWER($F305&amp;"")="membership"),"Subscription",IF(OR(AND($H305&lt;&gt;"",$H305=0),LOWER($F305&amp;"")="free game",LOWER($F305&amp;"")="free",LOWER($F305&amp;"")="free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986"/>
      <x:c r="H306" s="455"/>
      <x:c r="I306" s="456"/>
      <x:c r="J306" s="456"/>
      <x:c r="K306" s="986"/>
      <x:c r="L306" s="454"/>
      <x:c r="M306" s="439"/>
      <x:c r="N306" s="987" t="str">
        <x:f>IF(COUNTA($A306:$M306)=0,"",IF(OR(LOWER($F306&amp;"")="subscription",LOWER($F306&amp;"")="membership"),"",IF($G306="","",IF(ISNUMBER(SEARCH("non",LOWER($E306&amp;""))),$G306*0.85,$G306))))</x:f>
      </x:c>
      <x:c r="O306" s="987" t="str">
        <x:f>IF(COUNTA($A306:$M306)=0,"",IF(OR(LOWER($F306&amp;"")="subscription",LOWER($F306&amp;"")="membership"),"",IF(OR($N306="",$I306="",$I306=0),"",IFERROR($N306/$I306,""))))</x:f>
      </x:c>
      <x:c r="P306" s="987" t="str">
        <x:f>IF(COUNTA($A306:$M306)=0,"",IF(OR(LOWER($F306&amp;"")="subscription",LOWER($F306&amp;"")="membership"),"",IF(LOWER($L306&amp;"")="yes",0,IF($K306&lt;&gt;"",$K306,IF($O306&lt;&gt;"",$O306,"")))))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IF(COUNTA($A306:$M306)=0,"",IF(OR(LOWER($F306&amp;"")="subscription",LOWER($F306&amp;"")="membership"),"Subscription",IF(OR(AND($H306&lt;&gt;"",$H306=0),LOWER($F306&amp;"")="free game",LOWER($F306&amp;"")="free",LOWER($F306&amp;"")="free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986"/>
      <x:c r="H307" s="455"/>
      <x:c r="I307" s="456"/>
      <x:c r="J307" s="456"/>
      <x:c r="K307" s="986"/>
      <x:c r="L307" s="454"/>
      <x:c r="M307" s="439"/>
      <x:c r="N307" s="987" t="str">
        <x:f>IF(COUNTA($A307:$M307)=0,"",IF(OR(LOWER($F307&amp;"")="subscription",LOWER($F307&amp;"")="membership"),"",IF($G307="","",IF(ISNUMBER(SEARCH("non",LOWER($E307&amp;""))),$G307*0.85,$G307))))</x:f>
      </x:c>
      <x:c r="O307" s="987" t="str">
        <x:f>IF(COUNTA($A307:$M307)=0,"",IF(OR(LOWER($F307&amp;"")="subscription",LOWER($F307&amp;"")="membership"),"",IF(OR($N307="",$I307="",$I307=0),"",IFERROR($N307/$I307,""))))</x:f>
      </x:c>
      <x:c r="P307" s="987" t="str">
        <x:f>IF(COUNTA($A307:$M307)=0,"",IF(OR(LOWER($F307&amp;"")="subscription",LOWER($F307&amp;"")="membership"),"",IF(LOWER($L307&amp;"")="yes",0,IF($K307&lt;&gt;"",$K307,IF($O307&lt;&gt;"",$O307,"")))))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IF(COUNTA($A307:$M307)=0,"",IF(OR(LOWER($F307&amp;"")="subscription",LOWER($F307&amp;"")="membership"),"Subscription",IF(OR(AND($H307&lt;&gt;"",$H307=0),LOWER($F307&amp;"")="free game",LOWER($F307&amp;"")="free",LOWER($F307&amp;"")="free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986"/>
      <x:c r="H308" s="455"/>
      <x:c r="I308" s="456"/>
      <x:c r="J308" s="456"/>
      <x:c r="K308" s="986"/>
      <x:c r="L308" s="454"/>
      <x:c r="M308" s="439"/>
      <x:c r="N308" s="987" t="str">
        <x:f>IF(COUNTA($A308:$M308)=0,"",IF(OR(LOWER($F308&amp;"")="subscription",LOWER($F308&amp;"")="membership"),"",IF($G308="","",IF(ISNUMBER(SEARCH("non",LOWER($E308&amp;""))),$G308*0.85,$G308))))</x:f>
      </x:c>
      <x:c r="O308" s="987" t="str">
        <x:f>IF(COUNTA($A308:$M308)=0,"",IF(OR(LOWER($F308&amp;"")="subscription",LOWER($F308&amp;"")="membership"),"",IF(OR($N308="",$I308="",$I308=0),"",IFERROR($N308/$I308,""))))</x:f>
      </x:c>
      <x:c r="P308" s="987" t="str">
        <x:f>IF(COUNTA($A308:$M308)=0,"",IF(OR(LOWER($F308&amp;"")="subscription",LOWER($F308&amp;"")="membership"),"",IF(LOWER($L308&amp;"")="yes",0,IF($K308&lt;&gt;"",$K308,IF($O308&lt;&gt;"",$O308,"")))))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IF(COUNTA($A308:$M308)=0,"",IF(OR(LOWER($F308&amp;"")="subscription",LOWER($F308&amp;"")="membership"),"Subscription",IF(OR(AND($H308&lt;&gt;"",$H308=0),LOWER($F308&amp;"")="free game",LOWER($F308&amp;"")="free",LOWER($F308&amp;"")="free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986"/>
      <x:c r="H309" s="455"/>
      <x:c r="I309" s="456"/>
      <x:c r="J309" s="456"/>
      <x:c r="K309" s="986"/>
      <x:c r="L309" s="454"/>
      <x:c r="M309" s="439"/>
      <x:c r="N309" s="987" t="str">
        <x:f>IF(COUNTA($A309:$M309)=0,"",IF(OR(LOWER($F309&amp;"")="subscription",LOWER($F309&amp;"")="membership"),"",IF($G309="","",IF(ISNUMBER(SEARCH("non",LOWER($E309&amp;""))),$G309*0.85,$G309))))</x:f>
      </x:c>
      <x:c r="O309" s="987" t="str">
        <x:f>IF(COUNTA($A309:$M309)=0,"",IF(OR(LOWER($F309&amp;"")="subscription",LOWER($F309&amp;"")="membership"),"",IF(OR($N309="",$I309="",$I309=0),"",IFERROR($N309/$I309,""))))</x:f>
      </x:c>
      <x:c r="P309" s="987" t="str">
        <x:f>IF(COUNTA($A309:$M309)=0,"",IF(OR(LOWER($F309&amp;"")="subscription",LOWER($F309&amp;"")="membership"),"",IF(LOWER($L309&amp;"")="yes",0,IF($K309&lt;&gt;"",$K309,IF($O309&lt;&gt;"",$O309,"")))))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IF(COUNTA($A309:$M309)=0,"",IF(OR(LOWER($F309&amp;"")="subscription",LOWER($F309&amp;"")="membership"),"Subscription",IF(OR(AND($H309&lt;&gt;"",$H309=0),LOWER($F309&amp;"")="free game",LOWER($F309&amp;"")="free",LOWER($F309&amp;"")="free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986"/>
      <x:c r="H310" s="455"/>
      <x:c r="I310" s="456"/>
      <x:c r="J310" s="456"/>
      <x:c r="K310" s="986"/>
      <x:c r="L310" s="454"/>
      <x:c r="M310" s="439"/>
      <x:c r="N310" s="987" t="str">
        <x:f>IF(COUNTA($A310:$M310)=0,"",IF(OR(LOWER($F310&amp;"")="subscription",LOWER($F310&amp;"")="membership"),"",IF($G310="","",IF(ISNUMBER(SEARCH("non",LOWER($E310&amp;""))),$G310*0.85,$G310))))</x:f>
      </x:c>
      <x:c r="O310" s="987" t="str">
        <x:f>IF(COUNTA($A310:$M310)=0,"",IF(OR(LOWER($F310&amp;"")="subscription",LOWER($F310&amp;"")="membership"),"",IF(OR($N310="",$I310="",$I310=0),"",IFERROR($N310/$I310,""))))</x:f>
      </x:c>
      <x:c r="P310" s="987" t="str">
        <x:f>IF(COUNTA($A310:$M310)=0,"",IF(OR(LOWER($F310&amp;"")="subscription",LOWER($F310&amp;"")="membership"),"",IF(LOWER($L310&amp;"")="yes",0,IF($K310&lt;&gt;"",$K310,IF($O310&lt;&gt;"",$O310,"")))))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IF(COUNTA($A310:$M310)=0,"",IF(OR(LOWER($F310&amp;"")="subscription",LOWER($F310&amp;"")="membership"),"Subscription",IF(OR(AND($H310&lt;&gt;"",$H310=0),LOWER($F310&amp;"")="free game",LOWER($F310&amp;"")="free",LOWER($F310&amp;"")="free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986"/>
      <x:c r="H311" s="455"/>
      <x:c r="I311" s="456"/>
      <x:c r="J311" s="456"/>
      <x:c r="K311" s="986"/>
      <x:c r="L311" s="454"/>
      <x:c r="M311" s="439"/>
      <x:c r="N311" s="987" t="str">
        <x:f>IF(COUNTA($A311:$M311)=0,"",IF(OR(LOWER($F311&amp;"")="subscription",LOWER($F311&amp;"")="membership"),"",IF($G311="","",IF(ISNUMBER(SEARCH("non",LOWER($E311&amp;""))),$G311*0.85,$G311))))</x:f>
      </x:c>
      <x:c r="O311" s="987" t="str">
        <x:f>IF(COUNTA($A311:$M311)=0,"",IF(OR(LOWER($F311&amp;"")="subscription",LOWER($F311&amp;"")="membership"),"",IF(OR($N311="",$I311="",$I311=0),"",IFERROR($N311/$I311,""))))</x:f>
      </x:c>
      <x:c r="P311" s="987" t="str">
        <x:f>IF(COUNTA($A311:$M311)=0,"",IF(OR(LOWER($F311&amp;"")="subscription",LOWER($F311&amp;"")="membership"),"",IF(LOWER($L311&amp;"")="yes",0,IF($K311&lt;&gt;"",$K311,IF($O311&lt;&gt;"",$O311,"")))))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IF(COUNTA($A311:$M311)=0,"",IF(OR(LOWER($F311&amp;"")="subscription",LOWER($F311&amp;"")="membership"),"Subscription",IF(OR(AND($H311&lt;&gt;"",$H311=0),LOWER($F311&amp;"")="free game",LOWER($F311&amp;"")="free",LOWER($F311&amp;"")="free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986"/>
      <x:c r="H312" s="455"/>
      <x:c r="I312" s="456"/>
      <x:c r="J312" s="456"/>
      <x:c r="K312" s="986"/>
      <x:c r="L312" s="454"/>
      <x:c r="M312" s="439"/>
      <x:c r="N312" s="987" t="str">
        <x:f>IF(COUNTA($A312:$M312)=0,"",IF(OR(LOWER($F312&amp;"")="subscription",LOWER($F312&amp;"")="membership"),"",IF($G312="","",IF(ISNUMBER(SEARCH("non",LOWER($E312&amp;""))),$G312*0.85,$G312))))</x:f>
      </x:c>
      <x:c r="O312" s="987" t="str">
        <x:f>IF(COUNTA($A312:$M312)=0,"",IF(OR(LOWER($F312&amp;"")="subscription",LOWER($F312&amp;"")="membership"),"",IF(OR($N312="",$I312="",$I312=0),"",IFERROR($N312/$I312,""))))</x:f>
      </x:c>
      <x:c r="P312" s="987" t="str">
        <x:f>IF(COUNTA($A312:$M312)=0,"",IF(OR(LOWER($F312&amp;"")="subscription",LOWER($F312&amp;"")="membership"),"",IF(LOWER($L312&amp;"")="yes",0,IF($K312&lt;&gt;"",$K312,IF($O312&lt;&gt;"",$O312,"")))))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IF(COUNTA($A312:$M312)=0,"",IF(OR(LOWER($F312&amp;"")="subscription",LOWER($F312&amp;"")="membership"),"Subscription",IF(OR(AND($H312&lt;&gt;"",$H312=0),LOWER($F312&amp;"")="free game",LOWER($F312&amp;"")="free",LOWER($F312&amp;"")="free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986"/>
      <x:c r="H313" s="455"/>
      <x:c r="I313" s="456"/>
      <x:c r="J313" s="456"/>
      <x:c r="K313" s="986"/>
      <x:c r="L313" s="454"/>
      <x:c r="M313" s="439"/>
      <x:c r="N313" s="987" t="str">
        <x:f>IF(COUNTA($A313:$M313)=0,"",IF(OR(LOWER($F313&amp;"")="subscription",LOWER($F313&amp;"")="membership"),"",IF($G313="","",IF(ISNUMBER(SEARCH("non",LOWER($E313&amp;""))),$G313*0.85,$G313))))</x:f>
      </x:c>
      <x:c r="O313" s="987" t="str">
        <x:f>IF(COUNTA($A313:$M313)=0,"",IF(OR(LOWER($F313&amp;"")="subscription",LOWER($F313&amp;"")="membership"),"",IF(OR($N313="",$I313="",$I313=0),"",IFERROR($N313/$I313,""))))</x:f>
      </x:c>
      <x:c r="P313" s="987" t="str">
        <x:f>IF(COUNTA($A313:$M313)=0,"",IF(OR(LOWER($F313&amp;"")="subscription",LOWER($F313&amp;"")="membership"),"",IF(LOWER($L313&amp;"")="yes",0,IF($K313&lt;&gt;"",$K313,IF($O313&lt;&gt;"",$O313,"")))))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IF(COUNTA($A313:$M313)=0,"",IF(OR(LOWER($F313&amp;"")="subscription",LOWER($F313&amp;"")="membership"),"Subscription",IF(OR(AND($H313&lt;&gt;"",$H313=0),LOWER($F313&amp;"")="free game",LOWER($F313&amp;"")="free",LOWER($F313&amp;"")="free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986"/>
      <x:c r="H314" s="455"/>
      <x:c r="I314" s="456"/>
      <x:c r="J314" s="456"/>
      <x:c r="K314" s="986"/>
      <x:c r="L314" s="454"/>
      <x:c r="M314" s="439"/>
      <x:c r="N314" s="987" t="str">
        <x:f>IF(COUNTA($A314:$M314)=0,"",IF(OR(LOWER($F314&amp;"")="subscription",LOWER($F314&amp;"")="membership"),"",IF($G314="","",IF(ISNUMBER(SEARCH("non",LOWER($E314&amp;""))),$G314*0.85,$G314))))</x:f>
      </x:c>
      <x:c r="O314" s="987" t="str">
        <x:f>IF(COUNTA($A314:$M314)=0,"",IF(OR(LOWER($F314&amp;"")="subscription",LOWER($F314&amp;"")="membership"),"",IF(OR($N314="",$I314="",$I314=0),"",IFERROR($N314/$I314,""))))</x:f>
      </x:c>
      <x:c r="P314" s="987" t="str">
        <x:f>IF(COUNTA($A314:$M314)=0,"",IF(OR(LOWER($F314&amp;"")="subscription",LOWER($F314&amp;"")="membership"),"",IF(LOWER($L314&amp;"")="yes",0,IF($K314&lt;&gt;"",$K314,IF($O314&lt;&gt;"",$O314,"")))))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IF(COUNTA($A314:$M314)=0,"",IF(OR(LOWER($F314&amp;"")="subscription",LOWER($F314&amp;"")="membership"),"Subscription",IF(OR(AND($H314&lt;&gt;"",$H314=0),LOWER($F314&amp;"")="free game",LOWER($F314&amp;"")="free",LOWER($F314&amp;"")="free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986"/>
      <x:c r="H315" s="455"/>
      <x:c r="I315" s="456"/>
      <x:c r="J315" s="456"/>
      <x:c r="K315" s="986"/>
      <x:c r="L315" s="454"/>
      <x:c r="M315" s="439"/>
      <x:c r="N315" s="987" t="str">
        <x:f>IF(COUNTA($A315:$M315)=0,"",IF(OR(LOWER($F315&amp;"")="subscription",LOWER($F315&amp;"")="membership"),"",IF($G315="","",IF(ISNUMBER(SEARCH("non",LOWER($E315&amp;""))),$G315*0.85,$G315))))</x:f>
      </x:c>
      <x:c r="O315" s="987" t="str">
        <x:f>IF(COUNTA($A315:$M315)=0,"",IF(OR(LOWER($F315&amp;"")="subscription",LOWER($F315&amp;"")="membership"),"",IF(OR($N315="",$I315="",$I315=0),"",IFERROR($N315/$I315,""))))</x:f>
      </x:c>
      <x:c r="P315" s="987" t="str">
        <x:f>IF(COUNTA($A315:$M315)=0,"",IF(OR(LOWER($F315&amp;"")="subscription",LOWER($F315&amp;"")="membership"),"",IF(LOWER($L315&amp;"")="yes",0,IF($K315&lt;&gt;"",$K315,IF($O315&lt;&gt;"",$O315,"")))))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IF(COUNTA($A315:$M315)=0,"",IF(OR(LOWER($F315&amp;"")="subscription",LOWER($F315&amp;"")="membership"),"Subscription",IF(OR(AND($H315&lt;&gt;"",$H315=0),LOWER($F315&amp;"")="free game",LOWER($F315&amp;"")="free",LOWER($F315&amp;"")="free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986"/>
      <x:c r="H316" s="455"/>
      <x:c r="I316" s="456"/>
      <x:c r="J316" s="456"/>
      <x:c r="K316" s="986"/>
      <x:c r="L316" s="454"/>
      <x:c r="M316" s="439"/>
      <x:c r="N316" s="987" t="str">
        <x:f>IF(COUNTA($A316:$M316)=0,"",IF(OR(LOWER($F316&amp;"")="subscription",LOWER($F316&amp;"")="membership"),"",IF($G316="","",IF(ISNUMBER(SEARCH("non",LOWER($E316&amp;""))),$G316*0.85,$G316))))</x:f>
      </x:c>
      <x:c r="O316" s="987" t="str">
        <x:f>IF(COUNTA($A316:$M316)=0,"",IF(OR(LOWER($F316&amp;"")="subscription",LOWER($F316&amp;"")="membership"),"",IF(OR($N316="",$I316="",$I316=0),"",IFERROR($N316/$I316,""))))</x:f>
      </x:c>
      <x:c r="P316" s="987" t="str">
        <x:f>IF(COUNTA($A316:$M316)=0,"",IF(OR(LOWER($F316&amp;"")="subscription",LOWER($F316&amp;"")="membership"),"",IF(LOWER($L316&amp;"")="yes",0,IF($K316&lt;&gt;"",$K316,IF($O316&lt;&gt;"",$O316,"")))))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IF(COUNTA($A316:$M316)=0,"",IF(OR(LOWER($F316&amp;"")="subscription",LOWER($F316&amp;"")="membership"),"Subscription",IF(OR(AND($H316&lt;&gt;"",$H316=0),LOWER($F316&amp;"")="free game",LOWER($F316&amp;"")="free",LOWER($F316&amp;"")="free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986"/>
      <x:c r="H317" s="455"/>
      <x:c r="I317" s="456"/>
      <x:c r="J317" s="456"/>
      <x:c r="K317" s="986"/>
      <x:c r="L317" s="454"/>
      <x:c r="M317" s="439"/>
      <x:c r="N317" s="987" t="str">
        <x:f>IF(COUNTA($A317:$M317)=0,"",IF(OR(LOWER($F317&amp;"")="subscription",LOWER($F317&amp;"")="membership"),"",IF($G317="","",IF(ISNUMBER(SEARCH("non",LOWER($E317&amp;""))),$G317*0.85,$G317))))</x:f>
      </x:c>
      <x:c r="O317" s="987" t="str">
        <x:f>IF(COUNTA($A317:$M317)=0,"",IF(OR(LOWER($F317&amp;"")="subscription",LOWER($F317&amp;"")="membership"),"",IF(OR($N317="",$I317="",$I317=0),"",IFERROR($N317/$I317,""))))</x:f>
      </x:c>
      <x:c r="P317" s="987" t="str">
        <x:f>IF(COUNTA($A317:$M317)=0,"",IF(OR(LOWER($F317&amp;"")="subscription",LOWER($F317&amp;"")="membership"),"",IF(LOWER($L317&amp;"")="yes",0,IF($K317&lt;&gt;"",$K317,IF($O317&lt;&gt;"",$O317,"")))))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IF(COUNTA($A317:$M317)=0,"",IF(OR(LOWER($F317&amp;"")="subscription",LOWER($F317&amp;"")="membership"),"Subscription",IF(OR(AND($H317&lt;&gt;"",$H317=0),LOWER($F317&amp;"")="free game",LOWER($F317&amp;"")="free",LOWER($F317&amp;"")="free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986"/>
      <x:c r="H318" s="455"/>
      <x:c r="I318" s="456"/>
      <x:c r="J318" s="456"/>
      <x:c r="K318" s="986"/>
      <x:c r="L318" s="454"/>
      <x:c r="M318" s="439"/>
      <x:c r="N318" s="987" t="str">
        <x:f>IF(COUNTA($A318:$M318)=0,"",IF(OR(LOWER($F318&amp;"")="subscription",LOWER($F318&amp;"")="membership"),"",IF($G318="","",IF(ISNUMBER(SEARCH("non",LOWER($E318&amp;""))),$G318*0.85,$G318))))</x:f>
      </x:c>
      <x:c r="O318" s="987" t="str">
        <x:f>IF(COUNTA($A318:$M318)=0,"",IF(OR(LOWER($F318&amp;"")="subscription",LOWER($F318&amp;"")="membership"),"",IF(OR($N318="",$I318="",$I318=0),"",IFERROR($N318/$I318,""))))</x:f>
      </x:c>
      <x:c r="P318" s="987" t="str">
        <x:f>IF(COUNTA($A318:$M318)=0,"",IF(OR(LOWER($F318&amp;"")="subscription",LOWER($F318&amp;"")="membership"),"",IF(LOWER($L318&amp;"")="yes",0,IF($K318&lt;&gt;"",$K318,IF($O318&lt;&gt;"",$O318,"")))))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IF(COUNTA($A318:$M318)=0,"",IF(OR(LOWER($F318&amp;"")="subscription",LOWER($F318&amp;"")="membership"),"Subscription",IF(OR(AND($H318&lt;&gt;"",$H318=0),LOWER($F318&amp;"")="free game",LOWER($F318&amp;"")="free",LOWER($F318&amp;"")="free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986"/>
      <x:c r="H319" s="455"/>
      <x:c r="I319" s="456"/>
      <x:c r="J319" s="456"/>
      <x:c r="K319" s="986"/>
      <x:c r="L319" s="454"/>
      <x:c r="M319" s="439"/>
      <x:c r="N319" s="987" t="str">
        <x:f>IF(COUNTA($A319:$M319)=0,"",IF(OR(LOWER($F319&amp;"")="subscription",LOWER($F319&amp;"")="membership"),"",IF($G319="","",IF(ISNUMBER(SEARCH("non",LOWER($E319&amp;""))),$G319*0.85,$G319))))</x:f>
      </x:c>
      <x:c r="O319" s="987" t="str">
        <x:f>IF(COUNTA($A319:$M319)=0,"",IF(OR(LOWER($F319&amp;"")="subscription",LOWER($F319&amp;"")="membership"),"",IF(OR($N319="",$I319="",$I319=0),"",IFERROR($N319/$I319,""))))</x:f>
      </x:c>
      <x:c r="P319" s="987" t="str">
        <x:f>IF(COUNTA($A319:$M319)=0,"",IF(OR(LOWER($F319&amp;"")="subscription",LOWER($F319&amp;"")="membership"),"",IF(LOWER($L319&amp;"")="yes",0,IF($K319&lt;&gt;"",$K319,IF($O319&lt;&gt;"",$O319,"")))))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IF(COUNTA($A319:$M319)=0,"",IF(OR(LOWER($F319&amp;"")="subscription",LOWER($F319&amp;"")="membership"),"Subscription",IF(OR(AND($H319&lt;&gt;"",$H319=0),LOWER($F319&amp;"")="free game",LOWER($F319&amp;"")="free",LOWER($F319&amp;"")="free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986"/>
      <x:c r="H320" s="455"/>
      <x:c r="I320" s="456"/>
      <x:c r="J320" s="456"/>
      <x:c r="K320" s="986"/>
      <x:c r="L320" s="454"/>
      <x:c r="M320" s="439"/>
      <x:c r="N320" s="987" t="str">
        <x:f>IF(COUNTA($A320:$M320)=0,"",IF(OR(LOWER($F320&amp;"")="subscription",LOWER($F320&amp;"")="membership"),"",IF($G320="","",IF(ISNUMBER(SEARCH("non",LOWER($E320&amp;""))),$G320*0.85,$G320))))</x:f>
      </x:c>
      <x:c r="O320" s="987" t="str">
        <x:f>IF(COUNTA($A320:$M320)=0,"",IF(OR(LOWER($F320&amp;"")="subscription",LOWER($F320&amp;"")="membership"),"",IF(OR($N320="",$I320="",$I320=0),"",IFERROR($N320/$I320,""))))</x:f>
      </x:c>
      <x:c r="P320" s="987" t="str">
        <x:f>IF(COUNTA($A320:$M320)=0,"",IF(OR(LOWER($F320&amp;"")="subscription",LOWER($F320&amp;"")="membership"),"",IF(LOWER($L320&amp;"")="yes",0,IF($K320&lt;&gt;"",$K320,IF($O320&lt;&gt;"",$O320,"")))))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IF(COUNTA($A320:$M320)=0,"",IF(OR(LOWER($F320&amp;"")="subscription",LOWER($F320&amp;"")="membership"),"Subscription",IF(OR(AND($H320&lt;&gt;"",$H320=0),LOWER($F320&amp;"")="free game",LOWER($F320&amp;"")="free",LOWER($F320&amp;"")="free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986"/>
      <x:c r="H321" s="455"/>
      <x:c r="I321" s="456"/>
      <x:c r="J321" s="456"/>
      <x:c r="K321" s="986"/>
      <x:c r="L321" s="454"/>
      <x:c r="M321" s="439"/>
      <x:c r="N321" s="987" t="str">
        <x:f>IF(COUNTA($A321:$M321)=0,"",IF(OR(LOWER($F321&amp;"")="subscription",LOWER($F321&amp;"")="membership"),"",IF($G321="","",IF(ISNUMBER(SEARCH("non",LOWER($E321&amp;""))),$G321*0.85,$G321))))</x:f>
      </x:c>
      <x:c r="O321" s="987" t="str">
        <x:f>IF(COUNTA($A321:$M321)=0,"",IF(OR(LOWER($F321&amp;"")="subscription",LOWER($F321&amp;"")="membership"),"",IF(OR($N321="",$I321="",$I321=0),"",IFERROR($N321/$I321,""))))</x:f>
      </x:c>
      <x:c r="P321" s="987" t="str">
        <x:f>IF(COUNTA($A321:$M321)=0,"",IF(OR(LOWER($F321&amp;"")="subscription",LOWER($F321&amp;"")="membership"),"",IF(LOWER($L321&amp;"")="yes",0,IF($K321&lt;&gt;"",$K321,IF($O321&lt;&gt;"",$O321,"")))))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IF(COUNTA($A321:$M321)=0,"",IF(OR(LOWER($F321&amp;"")="subscription",LOWER($F321&amp;"")="membership"),"Subscription",IF(OR(AND($H321&lt;&gt;"",$H321=0),LOWER($F321&amp;"")="free game",LOWER($F321&amp;"")="free",LOWER($F321&amp;"")="free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986"/>
      <x:c r="H322" s="455"/>
      <x:c r="I322" s="456"/>
      <x:c r="J322" s="456"/>
      <x:c r="K322" s="986"/>
      <x:c r="L322" s="454"/>
      <x:c r="M322" s="439"/>
      <x:c r="N322" s="987" t="str">
        <x:f>IF(COUNTA($A322:$M322)=0,"",IF(OR(LOWER($F322&amp;"")="subscription",LOWER($F322&amp;"")="membership"),"",IF($G322="","",IF(ISNUMBER(SEARCH("non",LOWER($E322&amp;""))),$G322*0.85,$G322))))</x:f>
      </x:c>
      <x:c r="O322" s="987" t="str">
        <x:f>IF(COUNTA($A322:$M322)=0,"",IF(OR(LOWER($F322&amp;"")="subscription",LOWER($F322&amp;"")="membership"),"",IF(OR($N322="",$I322="",$I322=0),"",IFERROR($N322/$I322,""))))</x:f>
      </x:c>
      <x:c r="P322" s="987" t="str">
        <x:f>IF(COUNTA($A322:$M322)=0,"",IF(OR(LOWER($F322&amp;"")="subscription",LOWER($F322&amp;"")="membership"),"",IF(LOWER($L322&amp;"")="yes",0,IF($K322&lt;&gt;"",$K322,IF($O322&lt;&gt;"",$O322,"")))))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IF(COUNTA($A322:$M322)=0,"",IF(OR(LOWER($F322&amp;"")="subscription",LOWER($F322&amp;"")="membership"),"Subscription",IF(OR(AND($H322&lt;&gt;"",$H322=0),LOWER($F322&amp;"")="free game",LOWER($F322&amp;"")="free",LOWER($F322&amp;"")="free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986"/>
      <x:c r="H323" s="455"/>
      <x:c r="I323" s="456"/>
      <x:c r="J323" s="456"/>
      <x:c r="K323" s="986"/>
      <x:c r="L323" s="454"/>
      <x:c r="M323" s="439"/>
      <x:c r="N323" s="987" t="str">
        <x:f>IF(COUNTA($A323:$M323)=0,"",IF(OR(LOWER($F323&amp;"")="subscription",LOWER($F323&amp;"")="membership"),"",IF($G323="","",IF(ISNUMBER(SEARCH("non",LOWER($E323&amp;""))),$G323*0.85,$G323))))</x:f>
      </x:c>
      <x:c r="O323" s="987" t="str">
        <x:f>IF(COUNTA($A323:$M323)=0,"",IF(OR(LOWER($F323&amp;"")="subscription",LOWER($F323&amp;"")="membership"),"",IF(OR($N323="",$I323="",$I323=0),"",IFERROR($N323/$I323,""))))</x:f>
      </x:c>
      <x:c r="P323" s="987" t="str">
        <x:f>IF(COUNTA($A323:$M323)=0,"",IF(OR(LOWER($F323&amp;"")="subscription",LOWER($F323&amp;"")="membership"),"",IF(LOWER($L323&amp;"")="yes",0,IF($K323&lt;&gt;"",$K323,IF($O323&lt;&gt;"",$O323,"")))))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IF(COUNTA($A323:$M323)=0,"",IF(OR(LOWER($F323&amp;"")="subscription",LOWER($F323&amp;"")="membership"),"Subscription",IF(OR(AND($H323&lt;&gt;"",$H323=0),LOWER($F323&amp;"")="free game",LOWER($F323&amp;"")="free",LOWER($F323&amp;"")="free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986"/>
      <x:c r="H324" s="455"/>
      <x:c r="I324" s="456"/>
      <x:c r="J324" s="456"/>
      <x:c r="K324" s="986"/>
      <x:c r="L324" s="454"/>
      <x:c r="M324" s="439"/>
      <x:c r="N324" s="987" t="str">
        <x:f>IF(COUNTA($A324:$M324)=0,"",IF(OR(LOWER($F324&amp;"")="subscription",LOWER($F324&amp;"")="membership"),"",IF($G324="","",IF(ISNUMBER(SEARCH("non",LOWER($E324&amp;""))),$G324*0.85,$G324))))</x:f>
      </x:c>
      <x:c r="O324" s="987" t="str">
        <x:f>IF(COUNTA($A324:$M324)=0,"",IF(OR(LOWER($F324&amp;"")="subscription",LOWER($F324&amp;"")="membership"),"",IF(OR($N324="",$I324="",$I324=0),"",IFERROR($N324/$I324,""))))</x:f>
      </x:c>
      <x:c r="P324" s="987" t="str">
        <x:f>IF(COUNTA($A324:$M324)=0,"",IF(OR(LOWER($F324&amp;"")="subscription",LOWER($F324&amp;"")="membership"),"",IF(LOWER($L324&amp;"")="yes",0,IF($K324&lt;&gt;"",$K324,IF($O324&lt;&gt;"",$O324,"")))))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IF(COUNTA($A324:$M324)=0,"",IF(OR(LOWER($F324&amp;"")="subscription",LOWER($F324&amp;"")="membership"),"Subscription",IF(OR(AND($H324&lt;&gt;"",$H324=0),LOWER($F324&amp;"")="free game",LOWER($F324&amp;"")="free",LOWER($F324&amp;"")="free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986"/>
      <x:c r="H325" s="455"/>
      <x:c r="I325" s="456"/>
      <x:c r="J325" s="456"/>
      <x:c r="K325" s="986"/>
      <x:c r="L325" s="454"/>
      <x:c r="M325" s="439"/>
      <x:c r="N325" s="987" t="str">
        <x:f>IF(COUNTA($A325:$M325)=0,"",IF(OR(LOWER($F325&amp;"")="subscription",LOWER($F325&amp;"")="membership"),"",IF($G325="","",IF(ISNUMBER(SEARCH("non",LOWER($E325&amp;""))),$G325*0.85,$G325))))</x:f>
      </x:c>
      <x:c r="O325" s="987" t="str">
        <x:f>IF(COUNTA($A325:$M325)=0,"",IF(OR(LOWER($F325&amp;"")="subscription",LOWER($F325&amp;"")="membership"),"",IF(OR($N325="",$I325="",$I325=0),"",IFERROR($N325/$I325,""))))</x:f>
      </x:c>
      <x:c r="P325" s="987" t="str">
        <x:f>IF(COUNTA($A325:$M325)=0,"",IF(OR(LOWER($F325&amp;"")="subscription",LOWER($F325&amp;"")="membership"),"",IF(LOWER($L325&amp;"")="yes",0,IF($K325&lt;&gt;"",$K325,IF($O325&lt;&gt;"",$O325,"")))))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IF(COUNTA($A325:$M325)=0,"",IF(OR(LOWER($F325&amp;"")="subscription",LOWER($F325&amp;"")="membership"),"Subscription",IF(OR(AND($H325&lt;&gt;"",$H325=0),LOWER($F325&amp;"")="free game",LOWER($F325&amp;"")="free",LOWER($F325&amp;"")="free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986"/>
      <x:c r="H326" s="455"/>
      <x:c r="I326" s="456"/>
      <x:c r="J326" s="456"/>
      <x:c r="K326" s="986"/>
      <x:c r="L326" s="454"/>
      <x:c r="M326" s="439"/>
      <x:c r="N326" s="987" t="str">
        <x:f>IF(COUNTA($A326:$M326)=0,"",IF(OR(LOWER($F326&amp;"")="subscription",LOWER($F326&amp;"")="membership"),"",IF($G326="","",IF(ISNUMBER(SEARCH("non",LOWER($E326&amp;""))),$G326*0.85,$G326))))</x:f>
      </x:c>
      <x:c r="O326" s="987" t="str">
        <x:f>IF(COUNTA($A326:$M326)=0,"",IF(OR(LOWER($F326&amp;"")="subscription",LOWER($F326&amp;"")="membership"),"",IF(OR($N326="",$I326="",$I326=0),"",IFERROR($N326/$I326,""))))</x:f>
      </x:c>
      <x:c r="P326" s="987" t="str">
        <x:f>IF(COUNTA($A326:$M326)=0,"",IF(OR(LOWER($F326&amp;"")="subscription",LOWER($F326&amp;"")="membership"),"",IF(LOWER($L326&amp;"")="yes",0,IF($K326&lt;&gt;"",$K326,IF($O326&lt;&gt;"",$O326,"")))))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IF(COUNTA($A326:$M326)=0,"",IF(OR(LOWER($F326&amp;"")="subscription",LOWER($F326&amp;"")="membership"),"Subscription",IF(OR(AND($H326&lt;&gt;"",$H326=0),LOWER($F326&amp;"")="free game",LOWER($F326&amp;"")="free",LOWER($F326&amp;"")="free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986"/>
      <x:c r="H327" s="455"/>
      <x:c r="I327" s="456"/>
      <x:c r="J327" s="456"/>
      <x:c r="K327" s="986"/>
      <x:c r="L327" s="454"/>
      <x:c r="M327" s="439"/>
      <x:c r="N327" s="987" t="str">
        <x:f>IF(COUNTA($A327:$M327)=0,"",IF(OR(LOWER($F327&amp;"")="subscription",LOWER($F327&amp;"")="membership"),"",IF($G327="","",IF(ISNUMBER(SEARCH("non",LOWER($E327&amp;""))),$G327*0.85,$G327))))</x:f>
      </x:c>
      <x:c r="O327" s="987" t="str">
        <x:f>IF(COUNTA($A327:$M327)=0,"",IF(OR(LOWER($F327&amp;"")="subscription",LOWER($F327&amp;"")="membership"),"",IF(OR($N327="",$I327="",$I327=0),"",IFERROR($N327/$I327,""))))</x:f>
      </x:c>
      <x:c r="P327" s="987" t="str">
        <x:f>IF(COUNTA($A327:$M327)=0,"",IF(OR(LOWER($F327&amp;"")="subscription",LOWER($F327&amp;"")="membership"),"",IF(LOWER($L327&amp;"")="yes",0,IF($K327&lt;&gt;"",$K327,IF($O327&lt;&gt;"",$O327,"")))))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IF(COUNTA($A327:$M327)=0,"",IF(OR(LOWER($F327&amp;"")="subscription",LOWER($F327&amp;"")="membership"),"Subscription",IF(OR(AND($H327&lt;&gt;"",$H327=0),LOWER($F327&amp;"")="free game",LOWER($F327&amp;"")="free",LOWER($F327&amp;"")="free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986"/>
      <x:c r="H328" s="455"/>
      <x:c r="I328" s="456"/>
      <x:c r="J328" s="456"/>
      <x:c r="K328" s="986"/>
      <x:c r="L328" s="454"/>
      <x:c r="M328" s="439"/>
      <x:c r="N328" s="987" t="str">
        <x:f>IF(COUNTA($A328:$M328)=0,"",IF(OR(LOWER($F328&amp;"")="subscription",LOWER($F328&amp;"")="membership"),"",IF($G328="","",IF(ISNUMBER(SEARCH("non",LOWER($E328&amp;""))),$G328*0.85,$G328))))</x:f>
      </x:c>
      <x:c r="O328" s="987" t="str">
        <x:f>IF(COUNTA($A328:$M328)=0,"",IF(OR(LOWER($F328&amp;"")="subscription",LOWER($F328&amp;"")="membership"),"",IF(OR($N328="",$I328="",$I328=0),"",IFERROR($N328/$I328,""))))</x:f>
      </x:c>
      <x:c r="P328" s="987" t="str">
        <x:f>IF(COUNTA($A328:$M328)=0,"",IF(OR(LOWER($F328&amp;"")="subscription",LOWER($F328&amp;"")="membership"),"",IF(LOWER($L328&amp;"")="yes",0,IF($K328&lt;&gt;"",$K328,IF($O328&lt;&gt;"",$O328,"")))))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IF(COUNTA($A328:$M328)=0,"",IF(OR(LOWER($F328&amp;"")="subscription",LOWER($F328&amp;"")="membership"),"Subscription",IF(OR(AND($H328&lt;&gt;"",$H328=0),LOWER($F328&amp;"")="free game",LOWER($F328&amp;"")="free",LOWER($F328&amp;"")="free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986"/>
      <x:c r="H329" s="455"/>
      <x:c r="I329" s="456"/>
      <x:c r="J329" s="456"/>
      <x:c r="K329" s="986"/>
      <x:c r="L329" s="454"/>
      <x:c r="M329" s="439"/>
      <x:c r="N329" s="987" t="str">
        <x:f>IF(COUNTA($A329:$M329)=0,"",IF(OR(LOWER($F329&amp;"")="subscription",LOWER($F329&amp;"")="membership"),"",IF($G329="","",IF(ISNUMBER(SEARCH("non",LOWER($E329&amp;""))),$G329*0.85,$G329))))</x:f>
      </x:c>
      <x:c r="O329" s="987" t="str">
        <x:f>IF(COUNTA($A329:$M329)=0,"",IF(OR(LOWER($F329&amp;"")="subscription",LOWER($F329&amp;"")="membership"),"",IF(OR($N329="",$I329="",$I329=0),"",IFERROR($N329/$I329,""))))</x:f>
      </x:c>
      <x:c r="P329" s="987" t="str">
        <x:f>IF(COUNTA($A329:$M329)=0,"",IF(OR(LOWER($F329&amp;"")="subscription",LOWER($F329&amp;"")="membership"),"",IF(LOWER($L329&amp;"")="yes",0,IF($K329&lt;&gt;"",$K329,IF($O329&lt;&gt;"",$O329,"")))))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IF(COUNTA($A329:$M329)=0,"",IF(OR(LOWER($F329&amp;"")="subscription",LOWER($F329&amp;"")="membership"),"Subscription",IF(OR(AND($H329&lt;&gt;"",$H329=0),LOWER($F329&amp;"")="free game",LOWER($F329&amp;"")="free",LOWER($F329&amp;"")="free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986"/>
      <x:c r="H330" s="455"/>
      <x:c r="I330" s="456"/>
      <x:c r="J330" s="456"/>
      <x:c r="K330" s="986"/>
      <x:c r="L330" s="454"/>
      <x:c r="M330" s="439"/>
      <x:c r="N330" s="987" t="str">
        <x:f>IF(COUNTA($A330:$M330)=0,"",IF(OR(LOWER($F330&amp;"")="subscription",LOWER($F330&amp;"")="membership"),"",IF($G330="","",IF(ISNUMBER(SEARCH("non",LOWER($E330&amp;""))),$G330*0.85,$G330))))</x:f>
      </x:c>
      <x:c r="O330" s="987" t="str">
        <x:f>IF(COUNTA($A330:$M330)=0,"",IF(OR(LOWER($F330&amp;"")="subscription",LOWER($F330&amp;"")="membership"),"",IF(OR($N330="",$I330="",$I330=0),"",IFERROR($N330/$I330,""))))</x:f>
      </x:c>
      <x:c r="P330" s="987" t="str">
        <x:f>IF(COUNTA($A330:$M330)=0,"",IF(OR(LOWER($F330&amp;"")="subscription",LOWER($F330&amp;"")="membership"),"",IF(LOWER($L330&amp;"")="yes",0,IF($K330&lt;&gt;"",$K330,IF($O330&lt;&gt;"",$O330,"")))))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IF(COUNTA($A330:$M330)=0,"",IF(OR(LOWER($F330&amp;"")="subscription",LOWER($F330&amp;"")="membership"),"Subscription",IF(OR(AND($H330&lt;&gt;"",$H330=0),LOWER($F330&amp;"")="free game",LOWER($F330&amp;"")="free",LOWER($F330&amp;"")="free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986"/>
      <x:c r="H331" s="455"/>
      <x:c r="I331" s="456"/>
      <x:c r="J331" s="456"/>
      <x:c r="K331" s="986"/>
      <x:c r="L331" s="454"/>
      <x:c r="M331" s="439"/>
      <x:c r="N331" s="987" t="str">
        <x:f>IF(COUNTA($A331:$M331)=0,"",IF(OR(LOWER($F331&amp;"")="subscription",LOWER($F331&amp;"")="membership"),"",IF($G331="","",IF(ISNUMBER(SEARCH("non",LOWER($E331&amp;""))),$G331*0.85,$G331))))</x:f>
      </x:c>
      <x:c r="O331" s="987" t="str">
        <x:f>IF(COUNTA($A331:$M331)=0,"",IF(OR(LOWER($F331&amp;"")="subscription",LOWER($F331&amp;"")="membership"),"",IF(OR($N331="",$I331="",$I331=0),"",IFERROR($N331/$I331,""))))</x:f>
      </x:c>
      <x:c r="P331" s="987" t="str">
        <x:f>IF(COUNTA($A331:$M331)=0,"",IF(OR(LOWER($F331&amp;"")="subscription",LOWER($F331&amp;"")="membership"),"",IF(LOWER($L331&amp;"")="yes",0,IF($K331&lt;&gt;"",$K331,IF($O331&lt;&gt;"",$O331,"")))))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IF(COUNTA($A331:$M331)=0,"",IF(OR(LOWER($F331&amp;"")="subscription",LOWER($F331&amp;"")="membership"),"Subscription",IF(OR(AND($H331&lt;&gt;"",$H331=0),LOWER($F331&amp;"")="free game",LOWER($F331&amp;"")="free",LOWER($F331&amp;"")="free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986"/>
      <x:c r="H332" s="455"/>
      <x:c r="I332" s="456"/>
      <x:c r="J332" s="456"/>
      <x:c r="K332" s="986"/>
      <x:c r="L332" s="454"/>
      <x:c r="M332" s="439"/>
      <x:c r="N332" s="987" t="str">
        <x:f>IF(COUNTA($A332:$M332)=0,"",IF(OR(LOWER($F332&amp;"")="subscription",LOWER($F332&amp;"")="membership"),"",IF($G332="","",IF(ISNUMBER(SEARCH("non",LOWER($E332&amp;""))),$G332*0.85,$G332))))</x:f>
      </x:c>
      <x:c r="O332" s="987" t="str">
        <x:f>IF(COUNTA($A332:$M332)=0,"",IF(OR(LOWER($F332&amp;"")="subscription",LOWER($F332&amp;"")="membership"),"",IF(OR($N332="",$I332="",$I332=0),"",IFERROR($N332/$I332,""))))</x:f>
      </x:c>
      <x:c r="P332" s="987" t="str">
        <x:f>IF(COUNTA($A332:$M332)=0,"",IF(OR(LOWER($F332&amp;"")="subscription",LOWER($F332&amp;"")="membership"),"",IF(LOWER($L332&amp;"")="yes",0,IF($K332&lt;&gt;"",$K332,IF($O332&lt;&gt;"",$O332,"")))))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IF(COUNTA($A332:$M332)=0,"",IF(OR(LOWER($F332&amp;"")="subscription",LOWER($F332&amp;"")="membership"),"Subscription",IF(OR(AND($H332&lt;&gt;"",$H332=0),LOWER($F332&amp;"")="free game",LOWER($F332&amp;"")="free",LOWER($F332&amp;"")="free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986"/>
      <x:c r="H333" s="455"/>
      <x:c r="I333" s="456"/>
      <x:c r="J333" s="456"/>
      <x:c r="K333" s="986"/>
      <x:c r="L333" s="454"/>
      <x:c r="M333" s="439"/>
      <x:c r="N333" s="987" t="str">
        <x:f>IF(COUNTA($A333:$M333)=0,"",IF(OR(LOWER($F333&amp;"")="subscription",LOWER($F333&amp;"")="membership"),"",IF($G333="","",IF(ISNUMBER(SEARCH("non",LOWER($E333&amp;""))),$G333*0.85,$G333))))</x:f>
      </x:c>
      <x:c r="O333" s="987" t="str">
        <x:f>IF(COUNTA($A333:$M333)=0,"",IF(OR(LOWER($F333&amp;"")="subscription",LOWER($F333&amp;"")="membership"),"",IF(OR($N333="",$I333="",$I333=0),"",IFERROR($N333/$I333,""))))</x:f>
      </x:c>
      <x:c r="P333" s="987" t="str">
        <x:f>IF(COUNTA($A333:$M333)=0,"",IF(OR(LOWER($F333&amp;"")="subscription",LOWER($F333&amp;"")="membership"),"",IF(LOWER($L333&amp;"")="yes",0,IF($K333&lt;&gt;"",$K333,IF($O333&lt;&gt;"",$O333,"")))))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IF(COUNTA($A333:$M333)=0,"",IF(OR(LOWER($F333&amp;"")="subscription",LOWER($F333&amp;"")="membership"),"Subscription",IF(OR(AND($H333&lt;&gt;"",$H333=0),LOWER($F333&amp;"")="free game",LOWER($F333&amp;"")="free",LOWER($F333&amp;"")="free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986"/>
      <x:c r="H334" s="455"/>
      <x:c r="I334" s="456"/>
      <x:c r="J334" s="456"/>
      <x:c r="K334" s="986"/>
      <x:c r="L334" s="454"/>
      <x:c r="M334" s="439"/>
      <x:c r="N334" s="987" t="str">
        <x:f>IF(COUNTA($A334:$M334)=0,"",IF(OR(LOWER($F334&amp;"")="subscription",LOWER($F334&amp;"")="membership"),"",IF($G334="","",IF(ISNUMBER(SEARCH("non",LOWER($E334&amp;""))),$G334*0.85,$G334))))</x:f>
      </x:c>
      <x:c r="O334" s="987" t="str">
        <x:f>IF(COUNTA($A334:$M334)=0,"",IF(OR(LOWER($F334&amp;"")="subscription",LOWER($F334&amp;"")="membership"),"",IF(OR($N334="",$I334="",$I334=0),"",IFERROR($N334/$I334,""))))</x:f>
      </x:c>
      <x:c r="P334" s="987" t="str">
        <x:f>IF(COUNTA($A334:$M334)=0,"",IF(OR(LOWER($F334&amp;"")="subscription",LOWER($F334&amp;"")="membership"),"",IF(LOWER($L334&amp;"")="yes",0,IF($K334&lt;&gt;"",$K334,IF($O334&lt;&gt;"",$O334,"")))))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IF(COUNTA($A334:$M334)=0,"",IF(OR(LOWER($F334&amp;"")="subscription",LOWER($F334&amp;"")="membership"),"Subscription",IF(OR(AND($H334&lt;&gt;"",$H334=0),LOWER($F334&amp;"")="free game",LOWER($F334&amp;"")="free",LOWER($F334&amp;"")="free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986"/>
      <x:c r="H335" s="455"/>
      <x:c r="I335" s="456"/>
      <x:c r="J335" s="456"/>
      <x:c r="K335" s="986"/>
      <x:c r="L335" s="454"/>
      <x:c r="M335" s="439"/>
      <x:c r="N335" s="987" t="str">
        <x:f>IF(COUNTA($A335:$M335)=0,"",IF(OR(LOWER($F335&amp;"")="subscription",LOWER($F335&amp;"")="membership"),"",IF($G335="","",IF(ISNUMBER(SEARCH("non",LOWER($E335&amp;""))),$G335*0.85,$G335))))</x:f>
      </x:c>
      <x:c r="O335" s="987" t="str">
        <x:f>IF(COUNTA($A335:$M335)=0,"",IF(OR(LOWER($F335&amp;"")="subscription",LOWER($F335&amp;"")="membership"),"",IF(OR($N335="",$I335="",$I335=0),"",IFERROR($N335/$I335,""))))</x:f>
      </x:c>
      <x:c r="P335" s="987" t="str">
        <x:f>IF(COUNTA($A335:$M335)=0,"",IF(OR(LOWER($F335&amp;"")="subscription",LOWER($F335&amp;"")="membership"),"",IF(LOWER($L335&amp;"")="yes",0,IF($K335&lt;&gt;"",$K335,IF($O335&lt;&gt;"",$O335,"")))))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IF(COUNTA($A335:$M335)=0,"",IF(OR(LOWER($F335&amp;"")="subscription",LOWER($F335&amp;"")="membership"),"Subscription",IF(OR(AND($H335&lt;&gt;"",$H335=0),LOWER($F335&amp;"")="free game",LOWER($F335&amp;"")="free",LOWER($F335&amp;"")="free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986"/>
      <x:c r="H336" s="455"/>
      <x:c r="I336" s="456"/>
      <x:c r="J336" s="456"/>
      <x:c r="K336" s="986"/>
      <x:c r="L336" s="454"/>
      <x:c r="M336" s="439"/>
      <x:c r="N336" s="987" t="str">
        <x:f>IF(COUNTA($A336:$M336)=0,"",IF(OR(LOWER($F336&amp;"")="subscription",LOWER($F336&amp;"")="membership"),"",IF($G336="","",IF(ISNUMBER(SEARCH("non",LOWER($E336&amp;""))),$G336*0.85,$G336))))</x:f>
      </x:c>
      <x:c r="O336" s="987" t="str">
        <x:f>IF(COUNTA($A336:$M336)=0,"",IF(OR(LOWER($F336&amp;"")="subscription",LOWER($F336&amp;"")="membership"),"",IF(OR($N336="",$I336="",$I336=0),"",IFERROR($N336/$I336,""))))</x:f>
      </x:c>
      <x:c r="P336" s="987" t="str">
        <x:f>IF(COUNTA($A336:$M336)=0,"",IF(OR(LOWER($F336&amp;"")="subscription",LOWER($F336&amp;"")="membership"),"",IF(LOWER($L336&amp;"")="yes",0,IF($K336&lt;&gt;"",$K336,IF($O336&lt;&gt;"",$O336,"")))))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IF(COUNTA($A336:$M336)=0,"",IF(OR(LOWER($F336&amp;"")="subscription",LOWER($F336&amp;"")="membership"),"Subscription",IF(OR(AND($H336&lt;&gt;"",$H336=0),LOWER($F336&amp;"")="free game",LOWER($F336&amp;"")="free",LOWER($F336&amp;"")="free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986"/>
      <x:c r="H337" s="455"/>
      <x:c r="I337" s="456"/>
      <x:c r="J337" s="456"/>
      <x:c r="K337" s="986"/>
      <x:c r="L337" s="454"/>
      <x:c r="M337" s="439"/>
      <x:c r="N337" s="987" t="str">
        <x:f>IF(COUNTA($A337:$M337)=0,"",IF(OR(LOWER($F337&amp;"")="subscription",LOWER($F337&amp;"")="membership"),"",IF($G337="","",IF(ISNUMBER(SEARCH("non",LOWER($E337&amp;""))),$G337*0.85,$G337))))</x:f>
      </x:c>
      <x:c r="O337" s="987" t="str">
        <x:f>IF(COUNTA($A337:$M337)=0,"",IF(OR(LOWER($F337&amp;"")="subscription",LOWER($F337&amp;"")="membership"),"",IF(OR($N337="",$I337="",$I337=0),"",IFERROR($N337/$I337,""))))</x:f>
      </x:c>
      <x:c r="P337" s="987" t="str">
        <x:f>IF(COUNTA($A337:$M337)=0,"",IF(OR(LOWER($F337&amp;"")="subscription",LOWER($F337&amp;"")="membership"),"",IF(LOWER($L337&amp;"")="yes",0,IF($K337&lt;&gt;"",$K337,IF($O337&lt;&gt;"",$O337,"")))))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IF(COUNTA($A337:$M337)=0,"",IF(OR(LOWER($F337&amp;"")="subscription",LOWER($F337&amp;"")="membership"),"Subscription",IF(OR(AND($H337&lt;&gt;"",$H337=0),LOWER($F337&amp;"")="free game",LOWER($F337&amp;"")="free",LOWER($F337&amp;"")="free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986"/>
      <x:c r="H338" s="455"/>
      <x:c r="I338" s="456"/>
      <x:c r="J338" s="456"/>
      <x:c r="K338" s="986"/>
      <x:c r="L338" s="454"/>
      <x:c r="M338" s="439"/>
      <x:c r="N338" s="987" t="str">
        <x:f>IF(COUNTA($A338:$M338)=0,"",IF(OR(LOWER($F338&amp;"")="subscription",LOWER($F338&amp;"")="membership"),"",IF($G338="","",IF(ISNUMBER(SEARCH("non",LOWER($E338&amp;""))),$G338*0.85,$G338))))</x:f>
      </x:c>
      <x:c r="O338" s="987" t="str">
        <x:f>IF(COUNTA($A338:$M338)=0,"",IF(OR(LOWER($F338&amp;"")="subscription",LOWER($F338&amp;"")="membership"),"",IF(OR($N338="",$I338="",$I338=0),"",IFERROR($N338/$I338,""))))</x:f>
      </x:c>
      <x:c r="P338" s="987" t="str">
        <x:f>IF(COUNTA($A338:$M338)=0,"",IF(OR(LOWER($F338&amp;"")="subscription",LOWER($F338&amp;"")="membership"),"",IF(LOWER($L338&amp;"")="yes",0,IF($K338&lt;&gt;"",$K338,IF($O338&lt;&gt;"",$O338,"")))))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IF(COUNTA($A338:$M338)=0,"",IF(OR(LOWER($F338&amp;"")="subscription",LOWER($F338&amp;"")="membership"),"Subscription",IF(OR(AND($H338&lt;&gt;"",$H338=0),LOWER($F338&amp;"")="free game",LOWER($F338&amp;"")="free",LOWER($F338&amp;"")="free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986"/>
      <x:c r="H339" s="455"/>
      <x:c r="I339" s="456"/>
      <x:c r="J339" s="456"/>
      <x:c r="K339" s="986"/>
      <x:c r="L339" s="454"/>
      <x:c r="M339" s="439"/>
      <x:c r="N339" s="987" t="str">
        <x:f>IF(COUNTA($A339:$M339)=0,"",IF(OR(LOWER($F339&amp;"")="subscription",LOWER($F339&amp;"")="membership"),"",IF($G339="","",IF(ISNUMBER(SEARCH("non",LOWER($E339&amp;""))),$G339*0.85,$G339))))</x:f>
      </x:c>
      <x:c r="O339" s="987" t="str">
        <x:f>IF(COUNTA($A339:$M339)=0,"",IF(OR(LOWER($F339&amp;"")="subscription",LOWER($F339&amp;"")="membership"),"",IF(OR($N339="",$I339="",$I339=0),"",IFERROR($N339/$I339,""))))</x:f>
      </x:c>
      <x:c r="P339" s="987" t="str">
        <x:f>IF(COUNTA($A339:$M339)=0,"",IF(OR(LOWER($F339&amp;"")="subscription",LOWER($F339&amp;"")="membership"),"",IF(LOWER($L339&amp;"")="yes",0,IF($K339&lt;&gt;"",$K339,IF($O339&lt;&gt;"",$O339,"")))))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IF(COUNTA($A339:$M339)=0,"",IF(OR(LOWER($F339&amp;"")="subscription",LOWER($F339&amp;"")="membership"),"Subscription",IF(OR(AND($H339&lt;&gt;"",$H339=0),LOWER($F339&amp;"")="free game",LOWER($F339&amp;"")="free",LOWER($F339&amp;"")="free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986"/>
      <x:c r="H340" s="455"/>
      <x:c r="I340" s="456"/>
      <x:c r="J340" s="456"/>
      <x:c r="K340" s="986"/>
      <x:c r="L340" s="454"/>
      <x:c r="M340" s="439"/>
      <x:c r="N340" s="987" t="str">
        <x:f>IF(COUNTA($A340:$M340)=0,"",IF(OR(LOWER($F340&amp;"")="subscription",LOWER($F340&amp;"")="membership"),"",IF($G340="","",IF(ISNUMBER(SEARCH("non",LOWER($E340&amp;""))),$G340*0.85,$G340))))</x:f>
      </x:c>
      <x:c r="O340" s="987" t="str">
        <x:f>IF(COUNTA($A340:$M340)=0,"",IF(OR(LOWER($F340&amp;"")="subscription",LOWER($F340&amp;"")="membership"),"",IF(OR($N340="",$I340="",$I340=0),"",IFERROR($N340/$I340,""))))</x:f>
      </x:c>
      <x:c r="P340" s="987" t="str">
        <x:f>IF(COUNTA($A340:$M340)=0,"",IF(OR(LOWER($F340&amp;"")="subscription",LOWER($F340&amp;"")="membership"),"",IF(LOWER($L340&amp;"")="yes",0,IF($K340&lt;&gt;"",$K340,IF($O340&lt;&gt;"",$O340,"")))))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IF(COUNTA($A340:$M340)=0,"",IF(OR(LOWER($F340&amp;"")="subscription",LOWER($F340&amp;"")="membership"),"Subscription",IF(OR(AND($H340&lt;&gt;"",$H340=0),LOWER($F340&amp;"")="free game",LOWER($F340&amp;"")="free",LOWER($F340&amp;"")="free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986"/>
      <x:c r="H341" s="455"/>
      <x:c r="I341" s="456"/>
      <x:c r="J341" s="456"/>
      <x:c r="K341" s="986"/>
      <x:c r="L341" s="454"/>
      <x:c r="M341" s="439"/>
      <x:c r="N341" s="987" t="str">
        <x:f>IF(COUNTA($A341:$M341)=0,"",IF(OR(LOWER($F341&amp;"")="subscription",LOWER($F341&amp;"")="membership"),"",IF($G341="","",IF(ISNUMBER(SEARCH("non",LOWER($E341&amp;""))),$G341*0.85,$G341))))</x:f>
      </x:c>
      <x:c r="O341" s="987" t="str">
        <x:f>IF(COUNTA($A341:$M341)=0,"",IF(OR(LOWER($F341&amp;"")="subscription",LOWER($F341&amp;"")="membership"),"",IF(OR($N341="",$I341="",$I341=0),"",IFERROR($N341/$I341,""))))</x:f>
      </x:c>
      <x:c r="P341" s="987" t="str">
        <x:f>IF(COUNTA($A341:$M341)=0,"",IF(OR(LOWER($F341&amp;"")="subscription",LOWER($F341&amp;"")="membership"),"",IF(LOWER($L341&amp;"")="yes",0,IF($K341&lt;&gt;"",$K341,IF($O341&lt;&gt;"",$O341,"")))))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IF(COUNTA($A341:$M341)=0,"",IF(OR(LOWER($F341&amp;"")="subscription",LOWER($F341&amp;"")="membership"),"Subscription",IF(OR(AND($H341&lt;&gt;"",$H341=0),LOWER($F341&amp;"")="free game",LOWER($F341&amp;"")="free",LOWER($F341&amp;"")="free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986"/>
      <x:c r="H342" s="455"/>
      <x:c r="I342" s="456"/>
      <x:c r="J342" s="456"/>
      <x:c r="K342" s="986"/>
      <x:c r="L342" s="454"/>
      <x:c r="M342" s="439"/>
      <x:c r="N342" s="987" t="str">
        <x:f>IF(COUNTA($A342:$M342)=0,"",IF(OR(LOWER($F342&amp;"")="subscription",LOWER($F342&amp;"")="membership"),"",IF($G342="","",IF(ISNUMBER(SEARCH("non",LOWER($E342&amp;""))),$G342*0.85,$G342))))</x:f>
      </x:c>
      <x:c r="O342" s="987" t="str">
        <x:f>IF(COUNTA($A342:$M342)=0,"",IF(OR(LOWER($F342&amp;"")="subscription",LOWER($F342&amp;"")="membership"),"",IF(OR($N342="",$I342="",$I342=0),"",IFERROR($N342/$I342,""))))</x:f>
      </x:c>
      <x:c r="P342" s="987" t="str">
        <x:f>IF(COUNTA($A342:$M342)=0,"",IF(OR(LOWER($F342&amp;"")="subscription",LOWER($F342&amp;"")="membership"),"",IF(LOWER($L342&amp;"")="yes",0,IF($K342&lt;&gt;"",$K342,IF($O342&lt;&gt;"",$O342,"")))))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IF(COUNTA($A342:$M342)=0,"",IF(OR(LOWER($F342&amp;"")="subscription",LOWER($F342&amp;"")="membership"),"Subscription",IF(OR(AND($H342&lt;&gt;"",$H342=0),LOWER($F342&amp;"")="free game",LOWER($F342&amp;"")="free",LOWER($F342&amp;"")="free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986"/>
      <x:c r="H343" s="455"/>
      <x:c r="I343" s="456"/>
      <x:c r="J343" s="456"/>
      <x:c r="K343" s="986"/>
      <x:c r="L343" s="454"/>
      <x:c r="M343" s="439"/>
      <x:c r="N343" s="987" t="str">
        <x:f>IF(COUNTA($A343:$M343)=0,"",IF(OR(LOWER($F343&amp;"")="subscription",LOWER($F343&amp;"")="membership"),"",IF($G343="","",IF(ISNUMBER(SEARCH("non",LOWER($E343&amp;""))),$G343*0.85,$G343))))</x:f>
      </x:c>
      <x:c r="O343" s="987" t="str">
        <x:f>IF(COUNTA($A343:$M343)=0,"",IF(OR(LOWER($F343&amp;"")="subscription",LOWER($F343&amp;"")="membership"),"",IF(OR($N343="",$I343="",$I343=0),"",IFERROR($N343/$I343,""))))</x:f>
      </x:c>
      <x:c r="P343" s="987" t="str">
        <x:f>IF(COUNTA($A343:$M343)=0,"",IF(OR(LOWER($F343&amp;"")="subscription",LOWER($F343&amp;"")="membership"),"",IF(LOWER($L343&amp;"")="yes",0,IF($K343&lt;&gt;"",$K343,IF($O343&lt;&gt;"",$O343,"")))))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IF(COUNTA($A343:$M343)=0,"",IF(OR(LOWER($F343&amp;"")="subscription",LOWER($F343&amp;"")="membership"),"Subscription",IF(OR(AND($H343&lt;&gt;"",$H343=0),LOWER($F343&amp;"")="free game",LOWER($F343&amp;"")="free",LOWER($F343&amp;"")="free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986"/>
      <x:c r="H344" s="455"/>
      <x:c r="I344" s="456"/>
      <x:c r="J344" s="456"/>
      <x:c r="K344" s="986"/>
      <x:c r="L344" s="454"/>
      <x:c r="M344" s="439"/>
      <x:c r="N344" s="987" t="str">
        <x:f>IF(COUNTA($A344:$M344)=0,"",IF(OR(LOWER($F344&amp;"")="subscription",LOWER($F344&amp;"")="membership"),"",IF($G344="","",IF(ISNUMBER(SEARCH("non",LOWER($E344&amp;""))),$G344*0.85,$G344))))</x:f>
      </x:c>
      <x:c r="O344" s="987" t="str">
        <x:f>IF(COUNTA($A344:$M344)=0,"",IF(OR(LOWER($F344&amp;"")="subscription",LOWER($F344&amp;"")="membership"),"",IF(OR($N344="",$I344="",$I344=0),"",IFERROR($N344/$I344,""))))</x:f>
      </x:c>
      <x:c r="P344" s="987" t="str">
        <x:f>IF(COUNTA($A344:$M344)=0,"",IF(OR(LOWER($F344&amp;"")="subscription",LOWER($F344&amp;"")="membership"),"",IF(LOWER($L344&amp;"")="yes",0,IF($K344&lt;&gt;"",$K344,IF($O344&lt;&gt;"",$O344,"")))))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IF(COUNTA($A344:$M344)=0,"",IF(OR(LOWER($F344&amp;"")="subscription",LOWER($F344&amp;"")="membership"),"Subscription",IF(OR(AND($H344&lt;&gt;"",$H344=0),LOWER($F344&amp;"")="free game",LOWER($F344&amp;"")="free",LOWER($F344&amp;"")="free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986"/>
      <x:c r="H345" s="455"/>
      <x:c r="I345" s="456"/>
      <x:c r="J345" s="456"/>
      <x:c r="K345" s="986"/>
      <x:c r="L345" s="454"/>
      <x:c r="M345" s="439"/>
      <x:c r="N345" s="987" t="str">
        <x:f>IF(COUNTA($A345:$M345)=0,"",IF(OR(LOWER($F345&amp;"")="subscription",LOWER($F345&amp;"")="membership"),"",IF($G345="","",IF(ISNUMBER(SEARCH("non",LOWER($E345&amp;""))),$G345*0.85,$G345))))</x:f>
      </x:c>
      <x:c r="O345" s="987" t="str">
        <x:f>IF(COUNTA($A345:$M345)=0,"",IF(OR(LOWER($F345&amp;"")="subscription",LOWER($F345&amp;"")="membership"),"",IF(OR($N345="",$I345="",$I345=0),"",IFERROR($N345/$I345,""))))</x:f>
      </x:c>
      <x:c r="P345" s="987" t="str">
        <x:f>IF(COUNTA($A345:$M345)=0,"",IF(OR(LOWER($F345&amp;"")="subscription",LOWER($F345&amp;"")="membership"),"",IF(LOWER($L345&amp;"")="yes",0,IF($K345&lt;&gt;"",$K345,IF($O345&lt;&gt;"",$O345,"")))))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IF(COUNTA($A345:$M345)=0,"",IF(OR(LOWER($F345&amp;"")="subscription",LOWER($F345&amp;"")="membership"),"Subscription",IF(OR(AND($H345&lt;&gt;"",$H345=0),LOWER($F345&amp;"")="free game",LOWER($F345&amp;"")="free",LOWER($F345&amp;"")="free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986"/>
      <x:c r="H346" s="455"/>
      <x:c r="I346" s="456"/>
      <x:c r="J346" s="456"/>
      <x:c r="K346" s="986"/>
      <x:c r="L346" s="454"/>
      <x:c r="M346" s="439"/>
      <x:c r="N346" s="987" t="str">
        <x:f>IF(COUNTA($A346:$M346)=0,"",IF(OR(LOWER($F346&amp;"")="subscription",LOWER($F346&amp;"")="membership"),"",IF($G346="","",IF(ISNUMBER(SEARCH("non",LOWER($E346&amp;""))),$G346*0.85,$G346))))</x:f>
      </x:c>
      <x:c r="O346" s="987" t="str">
        <x:f>IF(COUNTA($A346:$M346)=0,"",IF(OR(LOWER($F346&amp;"")="subscription",LOWER($F346&amp;"")="membership"),"",IF(OR($N346="",$I346="",$I346=0),"",IFERROR($N346/$I346,""))))</x:f>
      </x:c>
      <x:c r="P346" s="987" t="str">
        <x:f>IF(COUNTA($A346:$M346)=0,"",IF(OR(LOWER($F346&amp;"")="subscription",LOWER($F346&amp;"")="membership"),"",IF(LOWER($L346&amp;"")="yes",0,IF($K346&lt;&gt;"",$K346,IF($O346&lt;&gt;"",$O346,"")))))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IF(COUNTA($A346:$M346)=0,"",IF(OR(LOWER($F346&amp;"")="subscription",LOWER($F346&amp;"")="membership"),"Subscription",IF(OR(AND($H346&lt;&gt;"",$H346=0),LOWER($F346&amp;"")="free game",LOWER($F346&amp;"")="free",LOWER($F346&amp;"")="free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986"/>
      <x:c r="H347" s="455"/>
      <x:c r="I347" s="456"/>
      <x:c r="J347" s="456"/>
      <x:c r="K347" s="986"/>
      <x:c r="L347" s="454"/>
      <x:c r="M347" s="439"/>
      <x:c r="N347" s="987" t="str">
        <x:f>IF(COUNTA($A347:$M347)=0,"",IF(OR(LOWER($F347&amp;"")="subscription",LOWER($F347&amp;"")="membership"),"",IF($G347="","",IF(ISNUMBER(SEARCH("non",LOWER($E347&amp;""))),$G347*0.85,$G347))))</x:f>
      </x:c>
      <x:c r="O347" s="987" t="str">
        <x:f>IF(COUNTA($A347:$M347)=0,"",IF(OR(LOWER($F347&amp;"")="subscription",LOWER($F347&amp;"")="membership"),"",IF(OR($N347="",$I347="",$I347=0),"",IFERROR($N347/$I347,""))))</x:f>
      </x:c>
      <x:c r="P347" s="987" t="str">
        <x:f>IF(COUNTA($A347:$M347)=0,"",IF(OR(LOWER($F347&amp;"")="subscription",LOWER($F347&amp;"")="membership"),"",IF(LOWER($L347&amp;"")="yes",0,IF($K347&lt;&gt;"",$K347,IF($O347&lt;&gt;"",$O347,"")))))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IF(COUNTA($A347:$M347)=0,"",IF(OR(LOWER($F347&amp;"")="subscription",LOWER($F347&amp;"")="membership"),"Subscription",IF(OR(AND($H347&lt;&gt;"",$H347=0),LOWER($F347&amp;"")="free game",LOWER($F347&amp;"")="free",LOWER($F347&amp;"")="free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986"/>
      <x:c r="H348" s="455"/>
      <x:c r="I348" s="456"/>
      <x:c r="J348" s="456"/>
      <x:c r="K348" s="986"/>
      <x:c r="L348" s="454"/>
      <x:c r="M348" s="439"/>
      <x:c r="N348" s="987" t="str">
        <x:f>IF(COUNTA($A348:$M348)=0,"",IF(OR(LOWER($F348&amp;"")="subscription",LOWER($F348&amp;"")="membership"),"",IF($G348="","",IF(ISNUMBER(SEARCH("non",LOWER($E348&amp;""))),$G348*0.85,$G348))))</x:f>
      </x:c>
      <x:c r="O348" s="987" t="str">
        <x:f>IF(COUNTA($A348:$M348)=0,"",IF(OR(LOWER($F348&amp;"")="subscription",LOWER($F348&amp;"")="membership"),"",IF(OR($N348="",$I348="",$I348=0),"",IFERROR($N348/$I348,""))))</x:f>
      </x:c>
      <x:c r="P348" s="987" t="str">
        <x:f>IF(COUNTA($A348:$M348)=0,"",IF(OR(LOWER($F348&amp;"")="subscription",LOWER($F348&amp;"")="membership"),"",IF(LOWER($L348&amp;"")="yes",0,IF($K348&lt;&gt;"",$K348,IF($O348&lt;&gt;"",$O348,"")))))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IF(COUNTA($A348:$M348)=0,"",IF(OR(LOWER($F348&amp;"")="subscription",LOWER($F348&amp;"")="membership"),"Subscription",IF(OR(AND($H348&lt;&gt;"",$H348=0),LOWER($F348&amp;"")="free game",LOWER($F348&amp;"")="free",LOWER($F348&amp;"")="free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986"/>
      <x:c r="H349" s="455"/>
      <x:c r="I349" s="456"/>
      <x:c r="J349" s="456"/>
      <x:c r="K349" s="986"/>
      <x:c r="L349" s="454"/>
      <x:c r="M349" s="439"/>
      <x:c r="N349" s="987" t="str">
        <x:f>IF(COUNTA($A349:$M349)=0,"",IF(OR(LOWER($F349&amp;"")="subscription",LOWER($F349&amp;"")="membership"),"",IF($G349="","",IF(ISNUMBER(SEARCH("non",LOWER($E349&amp;""))),$G349*0.85,$G349))))</x:f>
      </x:c>
      <x:c r="O349" s="987" t="str">
        <x:f>IF(COUNTA($A349:$M349)=0,"",IF(OR(LOWER($F349&amp;"")="subscription",LOWER($F349&amp;"")="membership"),"",IF(OR($N349="",$I349="",$I349=0),"",IFERROR($N349/$I349,""))))</x:f>
      </x:c>
      <x:c r="P349" s="987" t="str">
        <x:f>IF(COUNTA($A349:$M349)=0,"",IF(OR(LOWER($F349&amp;"")="subscription",LOWER($F349&amp;"")="membership"),"",IF(LOWER($L349&amp;"")="yes",0,IF($K349&lt;&gt;"",$K349,IF($O349&lt;&gt;"",$O349,"")))))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IF(COUNTA($A349:$M349)=0,"",IF(OR(LOWER($F349&amp;"")="subscription",LOWER($F349&amp;"")="membership"),"Subscription",IF(OR(AND($H349&lt;&gt;"",$H349=0),LOWER($F349&amp;"")="free game",LOWER($F349&amp;"")="free",LOWER($F349&amp;"")="free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986"/>
      <x:c r="H350" s="455"/>
      <x:c r="I350" s="456"/>
      <x:c r="J350" s="456"/>
      <x:c r="K350" s="986"/>
      <x:c r="L350" s="454"/>
      <x:c r="M350" s="439"/>
      <x:c r="N350" s="987" t="str">
        <x:f>IF(COUNTA($A350:$M350)=0,"",IF(OR(LOWER($F350&amp;"")="subscription",LOWER($F350&amp;"")="membership"),"",IF($G350="","",IF(ISNUMBER(SEARCH("non",LOWER($E350&amp;""))),$G350*0.85,$G350))))</x:f>
      </x:c>
      <x:c r="O350" s="987" t="str">
        <x:f>IF(COUNTA($A350:$M350)=0,"",IF(OR(LOWER($F350&amp;"")="subscription",LOWER($F350&amp;"")="membership"),"",IF(OR($N350="",$I350="",$I350=0),"",IFERROR($N350/$I350,""))))</x:f>
      </x:c>
      <x:c r="P350" s="987" t="str">
        <x:f>IF(COUNTA($A350:$M350)=0,"",IF(OR(LOWER($F350&amp;"")="subscription",LOWER($F350&amp;"")="membership"),"",IF(LOWER($L350&amp;"")="yes",0,IF($K350&lt;&gt;"",$K350,IF($O350&lt;&gt;"",$O350,"")))))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IF(COUNTA($A350:$M350)=0,"",IF(OR(LOWER($F350&amp;"")="subscription",LOWER($F350&amp;"")="membership"),"Subscription",IF(OR(AND($H350&lt;&gt;"",$H350=0),LOWER($F350&amp;"")="free game",LOWER($F350&amp;"")="free",LOWER($F350&amp;"")="free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986"/>
      <x:c r="H351" s="455"/>
      <x:c r="I351" s="456"/>
      <x:c r="J351" s="456"/>
      <x:c r="K351" s="986"/>
      <x:c r="L351" s="454"/>
      <x:c r="M351" s="439"/>
      <x:c r="N351" s="987" t="str">
        <x:f>IF(COUNTA($A351:$M351)=0,"",IF(OR(LOWER($F351&amp;"")="subscription",LOWER($F351&amp;"")="membership"),"",IF($G351="","",IF(ISNUMBER(SEARCH("non",LOWER($E351&amp;""))),$G351*0.85,$G351))))</x:f>
      </x:c>
      <x:c r="O351" s="987" t="str">
        <x:f>IF(COUNTA($A351:$M351)=0,"",IF(OR(LOWER($F351&amp;"")="subscription",LOWER($F351&amp;"")="membership"),"",IF(OR($N351="",$I351="",$I351=0),"",IFERROR($N351/$I351,""))))</x:f>
      </x:c>
      <x:c r="P351" s="987" t="str">
        <x:f>IF(COUNTA($A351:$M351)=0,"",IF(OR(LOWER($F351&amp;"")="subscription",LOWER($F351&amp;"")="membership"),"",IF(LOWER($L351&amp;"")="yes",0,IF($K351&lt;&gt;"",$K351,IF($O351&lt;&gt;"",$O351,"")))))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IF(COUNTA($A351:$M351)=0,"",IF(OR(LOWER($F351&amp;"")="subscription",LOWER($F351&amp;"")="membership"),"Subscription",IF(OR(AND($H351&lt;&gt;"",$H351=0),LOWER($F351&amp;"")="free game",LOWER($F351&amp;"")="free",LOWER($F351&amp;"")="free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986"/>
      <x:c r="H352" s="455"/>
      <x:c r="I352" s="456"/>
      <x:c r="J352" s="456"/>
      <x:c r="K352" s="986"/>
      <x:c r="L352" s="454"/>
      <x:c r="M352" s="439"/>
      <x:c r="N352" s="987" t="str">
        <x:f>IF(COUNTA($A352:$M352)=0,"",IF(OR(LOWER($F352&amp;"")="subscription",LOWER($F352&amp;"")="membership"),"",IF($G352="","",IF(ISNUMBER(SEARCH("non",LOWER($E352&amp;""))),$G352*0.85,$G352))))</x:f>
      </x:c>
      <x:c r="O352" s="987" t="str">
        <x:f>IF(COUNTA($A352:$M352)=0,"",IF(OR(LOWER($F352&amp;"")="subscription",LOWER($F352&amp;"")="membership"),"",IF(OR($N352="",$I352="",$I352=0),"",IFERROR($N352/$I352,""))))</x:f>
      </x:c>
      <x:c r="P352" s="987" t="str">
        <x:f>IF(COUNTA($A352:$M352)=0,"",IF(OR(LOWER($F352&amp;"")="subscription",LOWER($F352&amp;"")="membership"),"",IF(LOWER($L352&amp;"")="yes",0,IF($K352&lt;&gt;"",$K352,IF($O352&lt;&gt;"",$O352,"")))))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IF(COUNTA($A352:$M352)=0,"",IF(OR(LOWER($F352&amp;"")="subscription",LOWER($F352&amp;"")="membership"),"Subscription",IF(OR(AND($H352&lt;&gt;"",$H352=0),LOWER($F352&amp;"")="free game",LOWER($F352&amp;"")="free",LOWER($F352&amp;"")="free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986"/>
      <x:c r="H353" s="455"/>
      <x:c r="I353" s="456"/>
      <x:c r="J353" s="456"/>
      <x:c r="K353" s="986"/>
      <x:c r="L353" s="454"/>
      <x:c r="M353" s="439"/>
      <x:c r="N353" s="987" t="str">
        <x:f>IF(COUNTA($A353:$M353)=0,"",IF(OR(LOWER($F353&amp;"")="subscription",LOWER($F353&amp;"")="membership"),"",IF($G353="","",IF(ISNUMBER(SEARCH("non",LOWER($E353&amp;""))),$G353*0.85,$G353))))</x:f>
      </x:c>
      <x:c r="O353" s="987" t="str">
        <x:f>IF(COUNTA($A353:$M353)=0,"",IF(OR(LOWER($F353&amp;"")="subscription",LOWER($F353&amp;"")="membership"),"",IF(OR($N353="",$I353="",$I353=0),"",IFERROR($N353/$I353,""))))</x:f>
      </x:c>
      <x:c r="P353" s="987" t="str">
        <x:f>IF(COUNTA($A353:$M353)=0,"",IF(OR(LOWER($F353&amp;"")="subscription",LOWER($F353&amp;"")="membership"),"",IF(LOWER($L353&amp;"")="yes",0,IF($K353&lt;&gt;"",$K353,IF($O353&lt;&gt;"",$O353,"")))))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IF(COUNTA($A353:$M353)=0,"",IF(OR(LOWER($F353&amp;"")="subscription",LOWER($F353&amp;"")="membership"),"Subscription",IF(OR(AND($H353&lt;&gt;"",$H353=0),LOWER($F353&amp;"")="free game",LOWER($F353&amp;"")="free",LOWER($F353&amp;"")="free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986"/>
      <x:c r="H354" s="455"/>
      <x:c r="I354" s="456"/>
      <x:c r="J354" s="456"/>
      <x:c r="K354" s="986"/>
      <x:c r="L354" s="454"/>
      <x:c r="M354" s="439"/>
      <x:c r="N354" s="987" t="str">
        <x:f>IF(COUNTA($A354:$M354)=0,"",IF(OR(LOWER($F354&amp;"")="subscription",LOWER($F354&amp;"")="membership"),"",IF($G354="","",IF(ISNUMBER(SEARCH("non",LOWER($E354&amp;""))),$G354*0.85,$G354))))</x:f>
      </x:c>
      <x:c r="O354" s="987" t="str">
        <x:f>IF(COUNTA($A354:$M354)=0,"",IF(OR(LOWER($F354&amp;"")="subscription",LOWER($F354&amp;"")="membership"),"",IF(OR($N354="",$I354="",$I354=0),"",IFERROR($N354/$I354,""))))</x:f>
      </x:c>
      <x:c r="P354" s="987" t="str">
        <x:f>IF(COUNTA($A354:$M354)=0,"",IF(OR(LOWER($F354&amp;"")="subscription",LOWER($F354&amp;"")="membership"),"",IF(LOWER($L354&amp;"")="yes",0,IF($K354&lt;&gt;"",$K354,IF($O354&lt;&gt;"",$O354,"")))))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IF(COUNTA($A354:$M354)=0,"",IF(OR(LOWER($F354&amp;"")="subscription",LOWER($F354&amp;"")="membership"),"Subscription",IF(OR(AND($H354&lt;&gt;"",$H354=0),LOWER($F354&amp;"")="free game",LOWER($F354&amp;"")="free",LOWER($F354&amp;"")="free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986"/>
      <x:c r="H355" s="455"/>
      <x:c r="I355" s="456"/>
      <x:c r="J355" s="456"/>
      <x:c r="K355" s="986"/>
      <x:c r="L355" s="454"/>
      <x:c r="M355" s="439"/>
      <x:c r="N355" s="987" t="str">
        <x:f>IF(COUNTA($A355:$M355)=0,"",IF(OR(LOWER($F355&amp;"")="subscription",LOWER($F355&amp;"")="membership"),"",IF($G355="","",IF(ISNUMBER(SEARCH("non",LOWER($E355&amp;""))),$G355*0.85,$G355))))</x:f>
      </x:c>
      <x:c r="O355" s="987" t="str">
        <x:f>IF(COUNTA($A355:$M355)=0,"",IF(OR(LOWER($F355&amp;"")="subscription",LOWER($F355&amp;"")="membership"),"",IF(OR($N355="",$I355="",$I355=0),"",IFERROR($N355/$I355,""))))</x:f>
      </x:c>
      <x:c r="P355" s="987" t="str">
        <x:f>IF(COUNTA($A355:$M355)=0,"",IF(OR(LOWER($F355&amp;"")="subscription",LOWER($F355&amp;"")="membership"),"",IF(LOWER($L355&amp;"")="yes",0,IF($K355&lt;&gt;"",$K355,IF($O355&lt;&gt;"",$O355,"")))))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IF(COUNTA($A355:$M355)=0,"",IF(OR(LOWER($F355&amp;"")="subscription",LOWER($F355&amp;"")="membership"),"Subscription",IF(OR(AND($H355&lt;&gt;"",$H355=0),LOWER($F355&amp;"")="free game",LOWER($F355&amp;"")="free",LOWER($F355&amp;"")="free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986"/>
      <x:c r="H356" s="455"/>
      <x:c r="I356" s="456"/>
      <x:c r="J356" s="456"/>
      <x:c r="K356" s="986"/>
      <x:c r="L356" s="454"/>
      <x:c r="M356" s="439"/>
      <x:c r="N356" s="987" t="str">
        <x:f>IF(COUNTA($A356:$M356)=0,"",IF(OR(LOWER($F356&amp;"")="subscription",LOWER($F356&amp;"")="membership"),"",IF($G356="","",IF(ISNUMBER(SEARCH("non",LOWER($E356&amp;""))),$G356*0.85,$G356))))</x:f>
      </x:c>
      <x:c r="O356" s="987" t="str">
        <x:f>IF(COUNTA($A356:$M356)=0,"",IF(OR(LOWER($F356&amp;"")="subscription",LOWER($F356&amp;"")="membership"),"",IF(OR($N356="",$I356="",$I356=0),"",IFERROR($N356/$I356,""))))</x:f>
      </x:c>
      <x:c r="P356" s="987" t="str">
        <x:f>IF(COUNTA($A356:$M356)=0,"",IF(OR(LOWER($F356&amp;"")="subscription",LOWER($F356&amp;"")="membership"),"",IF(LOWER($L356&amp;"")="yes",0,IF($K356&lt;&gt;"",$K356,IF($O356&lt;&gt;"",$O356,"")))))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IF(COUNTA($A356:$M356)=0,"",IF(OR(LOWER($F356&amp;"")="subscription",LOWER($F356&amp;"")="membership"),"Subscription",IF(OR(AND($H356&lt;&gt;"",$H356=0),LOWER($F356&amp;"")="free game",LOWER($F356&amp;"")="free",LOWER($F356&amp;"")="free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986"/>
      <x:c r="H357" s="455"/>
      <x:c r="I357" s="456"/>
      <x:c r="J357" s="456"/>
      <x:c r="K357" s="986"/>
      <x:c r="L357" s="454"/>
      <x:c r="M357" s="439"/>
      <x:c r="N357" s="987" t="str">
        <x:f>IF(COUNTA($A357:$M357)=0,"",IF(OR(LOWER($F357&amp;"")="subscription",LOWER($F357&amp;"")="membership"),"",IF($G357="","",IF(ISNUMBER(SEARCH("non",LOWER($E357&amp;""))),$G357*0.85,$G357))))</x:f>
      </x:c>
      <x:c r="O357" s="987" t="str">
        <x:f>IF(COUNTA($A357:$M357)=0,"",IF(OR(LOWER($F357&amp;"")="subscription",LOWER($F357&amp;"")="membership"),"",IF(OR($N357="",$I357="",$I357=0),"",IFERROR($N357/$I357,""))))</x:f>
      </x:c>
      <x:c r="P357" s="987" t="str">
        <x:f>IF(COUNTA($A357:$M357)=0,"",IF(OR(LOWER($F357&amp;"")="subscription",LOWER($F357&amp;"")="membership"),"",IF(LOWER($L357&amp;"")="yes",0,IF($K357&lt;&gt;"",$K357,IF($O357&lt;&gt;"",$O357,"")))))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IF(COUNTA($A357:$M357)=0,"",IF(OR(LOWER($F357&amp;"")="subscription",LOWER($F357&amp;"")="membership"),"Subscription",IF(OR(AND($H357&lt;&gt;"",$H357=0),LOWER($F357&amp;"")="free game",LOWER($F357&amp;"")="free",LOWER($F357&amp;"")="free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986"/>
      <x:c r="H358" s="455"/>
      <x:c r="I358" s="456"/>
      <x:c r="J358" s="456"/>
      <x:c r="K358" s="986"/>
      <x:c r="L358" s="454"/>
      <x:c r="M358" s="439"/>
      <x:c r="N358" s="987" t="str">
        <x:f>IF(COUNTA($A358:$M358)=0,"",IF(OR(LOWER($F358&amp;"")="subscription",LOWER($F358&amp;"")="membership"),"",IF($G358="","",IF(ISNUMBER(SEARCH("non",LOWER($E358&amp;""))),$G358*0.85,$G358))))</x:f>
      </x:c>
      <x:c r="O358" s="987" t="str">
        <x:f>IF(COUNTA($A358:$M358)=0,"",IF(OR(LOWER($F358&amp;"")="subscription",LOWER($F358&amp;"")="membership"),"",IF(OR($N358="",$I358="",$I358=0),"",IFERROR($N358/$I358,""))))</x:f>
      </x:c>
      <x:c r="P358" s="987" t="str">
        <x:f>IF(COUNTA($A358:$M358)=0,"",IF(OR(LOWER($F358&amp;"")="subscription",LOWER($F358&amp;"")="membership"),"",IF(LOWER($L358&amp;"")="yes",0,IF($K358&lt;&gt;"",$K358,IF($O358&lt;&gt;"",$O358,"")))))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IF(COUNTA($A358:$M358)=0,"",IF(OR(LOWER($F358&amp;"")="subscription",LOWER($F358&amp;"")="membership"),"Subscription",IF(OR(AND($H358&lt;&gt;"",$H358=0),LOWER($F358&amp;"")="free game",LOWER($F358&amp;"")="free",LOWER($F358&amp;"")="free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986"/>
      <x:c r="H359" s="455"/>
      <x:c r="I359" s="456"/>
      <x:c r="J359" s="456"/>
      <x:c r="K359" s="986"/>
      <x:c r="L359" s="454"/>
      <x:c r="M359" s="439"/>
      <x:c r="N359" s="987" t="str">
        <x:f>IF(COUNTA($A359:$M359)=0,"",IF(OR(LOWER($F359&amp;"")="subscription",LOWER($F359&amp;"")="membership"),"",IF($G359="","",IF(ISNUMBER(SEARCH("non",LOWER($E359&amp;""))),$G359*0.85,$G359))))</x:f>
      </x:c>
      <x:c r="O359" s="987" t="str">
        <x:f>IF(COUNTA($A359:$M359)=0,"",IF(OR(LOWER($F359&amp;"")="subscription",LOWER($F359&amp;"")="membership"),"",IF(OR($N359="",$I359="",$I359=0),"",IFERROR($N359/$I359,""))))</x:f>
      </x:c>
      <x:c r="P359" s="987" t="str">
        <x:f>IF(COUNTA($A359:$M359)=0,"",IF(OR(LOWER($F359&amp;"")="subscription",LOWER($F359&amp;"")="membership"),"",IF(LOWER($L359&amp;"")="yes",0,IF($K359&lt;&gt;"",$K359,IF($O359&lt;&gt;"",$O359,"")))))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IF(COUNTA($A359:$M359)=0,"",IF(OR(LOWER($F359&amp;"")="subscription",LOWER($F359&amp;"")="membership"),"Subscription",IF(OR(AND($H359&lt;&gt;"",$H359=0),LOWER($F359&amp;"")="free game",LOWER($F359&amp;"")="free",LOWER($F359&amp;"")="free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986"/>
      <x:c r="H360" s="455"/>
      <x:c r="I360" s="456"/>
      <x:c r="J360" s="456"/>
      <x:c r="K360" s="986"/>
      <x:c r="L360" s="454"/>
      <x:c r="M360" s="439"/>
      <x:c r="N360" s="987" t="str">
        <x:f>IF(COUNTA($A360:$M360)=0,"",IF(OR(LOWER($F360&amp;"")="subscription",LOWER($F360&amp;"")="membership"),"",IF($G360="","",IF(ISNUMBER(SEARCH("non",LOWER($E360&amp;""))),$G360*0.85,$G360))))</x:f>
      </x:c>
      <x:c r="O360" s="987" t="str">
        <x:f>IF(COUNTA($A360:$M360)=0,"",IF(OR(LOWER($F360&amp;"")="subscription",LOWER($F360&amp;"")="membership"),"",IF(OR($N360="",$I360="",$I360=0),"",IFERROR($N360/$I360,""))))</x:f>
      </x:c>
      <x:c r="P360" s="987" t="str">
        <x:f>IF(COUNTA($A360:$M360)=0,"",IF(OR(LOWER($F360&amp;"")="subscription",LOWER($F360&amp;"")="membership"),"",IF(LOWER($L360&amp;"")="yes",0,IF($K360&lt;&gt;"",$K360,IF($O360&lt;&gt;"",$O360,"")))))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IF(COUNTA($A360:$M360)=0,"",IF(OR(LOWER($F360&amp;"")="subscription",LOWER($F360&amp;"")="membership"),"Subscription",IF(OR(AND($H360&lt;&gt;"",$H360=0),LOWER($F360&amp;"")="free game",LOWER($F360&amp;"")="free",LOWER($F360&amp;"")="free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986"/>
      <x:c r="H361" s="455"/>
      <x:c r="I361" s="456"/>
      <x:c r="J361" s="456"/>
      <x:c r="K361" s="986"/>
      <x:c r="L361" s="454"/>
      <x:c r="M361" s="439"/>
      <x:c r="N361" s="987" t="str">
        <x:f>IF(COUNTA($A361:$M361)=0,"",IF(OR(LOWER($F361&amp;"")="subscription",LOWER($F361&amp;"")="membership"),"",IF($G361="","",IF(ISNUMBER(SEARCH("non",LOWER($E361&amp;""))),$G361*0.85,$G361))))</x:f>
      </x:c>
      <x:c r="O361" s="987" t="str">
        <x:f>IF(COUNTA($A361:$M361)=0,"",IF(OR(LOWER($F361&amp;"")="subscription",LOWER($F361&amp;"")="membership"),"",IF(OR($N361="",$I361="",$I361=0),"",IFERROR($N361/$I361,""))))</x:f>
      </x:c>
      <x:c r="P361" s="987" t="str">
        <x:f>IF(COUNTA($A361:$M361)=0,"",IF(OR(LOWER($F361&amp;"")="subscription",LOWER($F361&amp;"")="membership"),"",IF(LOWER($L361&amp;"")="yes",0,IF($K361&lt;&gt;"",$K361,IF($O361&lt;&gt;"",$O361,"")))))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IF(COUNTA($A361:$M361)=0,"",IF(OR(LOWER($F361&amp;"")="subscription",LOWER($F361&amp;"")="membership"),"Subscription",IF(OR(AND($H361&lt;&gt;"",$H361=0),LOWER($F361&amp;"")="free game",LOWER($F361&amp;"")="free",LOWER($F361&amp;"")="free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986"/>
      <x:c r="H362" s="455"/>
      <x:c r="I362" s="456"/>
      <x:c r="J362" s="456"/>
      <x:c r="K362" s="986"/>
      <x:c r="L362" s="454"/>
      <x:c r="M362" s="439"/>
      <x:c r="N362" s="987" t="str">
        <x:f>IF(COUNTA($A362:$M362)=0,"",IF(OR(LOWER($F362&amp;"")="subscription",LOWER($F362&amp;"")="membership"),"",IF($G362="","",IF(ISNUMBER(SEARCH("non",LOWER($E362&amp;""))),$G362*0.85,$G362))))</x:f>
      </x:c>
      <x:c r="O362" s="987" t="str">
        <x:f>IF(COUNTA($A362:$M362)=0,"",IF(OR(LOWER($F362&amp;"")="subscription",LOWER($F362&amp;"")="membership"),"",IF(OR($N362="",$I362="",$I362=0),"",IFERROR($N362/$I362,""))))</x:f>
      </x:c>
      <x:c r="P362" s="987" t="str">
        <x:f>IF(COUNTA($A362:$M362)=0,"",IF(OR(LOWER($F362&amp;"")="subscription",LOWER($F362&amp;"")="membership"),"",IF(LOWER($L362&amp;"")="yes",0,IF($K362&lt;&gt;"",$K362,IF($O362&lt;&gt;"",$O362,"")))))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IF(COUNTA($A362:$M362)=0,"",IF(OR(LOWER($F362&amp;"")="subscription",LOWER($F362&amp;"")="membership"),"Subscription",IF(OR(AND($H362&lt;&gt;"",$H362=0),LOWER($F362&amp;"")="free game",LOWER($F362&amp;"")="free",LOWER($F362&amp;"")="free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986"/>
      <x:c r="H363" s="455"/>
      <x:c r="I363" s="456"/>
      <x:c r="J363" s="456"/>
      <x:c r="K363" s="986"/>
      <x:c r="L363" s="454"/>
      <x:c r="M363" s="439"/>
      <x:c r="N363" s="987" t="str">
        <x:f>IF(COUNTA($A363:$M363)=0,"",IF(OR(LOWER($F363&amp;"")="subscription",LOWER($F363&amp;"")="membership"),"",IF($G363="","",IF(ISNUMBER(SEARCH("non",LOWER($E363&amp;""))),$G363*0.85,$G363))))</x:f>
      </x:c>
      <x:c r="O363" s="987" t="str">
        <x:f>IF(COUNTA($A363:$M363)=0,"",IF(OR(LOWER($F363&amp;"")="subscription",LOWER($F363&amp;"")="membership"),"",IF(OR($N363="",$I363="",$I363=0),"",IFERROR($N363/$I363,""))))</x:f>
      </x:c>
      <x:c r="P363" s="987" t="str">
        <x:f>IF(COUNTA($A363:$M363)=0,"",IF(OR(LOWER($F363&amp;"")="subscription",LOWER($F363&amp;"")="membership"),"",IF(LOWER($L363&amp;"")="yes",0,IF($K363&lt;&gt;"",$K363,IF($O363&lt;&gt;"",$O363,"")))))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IF(COUNTA($A363:$M363)=0,"",IF(OR(LOWER($F363&amp;"")="subscription",LOWER($F363&amp;"")="membership"),"Subscription",IF(OR(AND($H363&lt;&gt;"",$H363=0),LOWER($F363&amp;"")="free game",LOWER($F363&amp;"")="free",LOWER($F363&amp;"")="free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986"/>
      <x:c r="H364" s="455"/>
      <x:c r="I364" s="456"/>
      <x:c r="J364" s="456"/>
      <x:c r="K364" s="986"/>
      <x:c r="L364" s="454"/>
      <x:c r="M364" s="439"/>
      <x:c r="N364" s="987" t="str">
        <x:f>IF(COUNTA($A364:$M364)=0,"",IF(OR(LOWER($F364&amp;"")="subscription",LOWER($F364&amp;"")="membership"),"",IF($G364="","",IF(ISNUMBER(SEARCH("non",LOWER($E364&amp;""))),$G364*0.85,$G364))))</x:f>
      </x:c>
      <x:c r="O364" s="987" t="str">
        <x:f>IF(COUNTA($A364:$M364)=0,"",IF(OR(LOWER($F364&amp;"")="subscription",LOWER($F364&amp;"")="membership"),"",IF(OR($N364="",$I364="",$I364=0),"",IFERROR($N364/$I364,""))))</x:f>
      </x:c>
      <x:c r="P364" s="987" t="str">
        <x:f>IF(COUNTA($A364:$M364)=0,"",IF(OR(LOWER($F364&amp;"")="subscription",LOWER($F364&amp;"")="membership"),"",IF(LOWER($L364&amp;"")="yes",0,IF($K364&lt;&gt;"",$K364,IF($O364&lt;&gt;"",$O364,"")))))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IF(COUNTA($A364:$M364)=0,"",IF(OR(LOWER($F364&amp;"")="subscription",LOWER($F364&amp;"")="membership"),"Subscription",IF(OR(AND($H364&lt;&gt;"",$H364=0),LOWER($F364&amp;"")="free game",LOWER($F364&amp;"")="free",LOWER($F364&amp;"")="free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986"/>
      <x:c r="H365" s="455"/>
      <x:c r="I365" s="456"/>
      <x:c r="J365" s="456"/>
      <x:c r="K365" s="986"/>
      <x:c r="L365" s="454"/>
      <x:c r="M365" s="439"/>
      <x:c r="N365" s="987" t="str">
        <x:f>IF(COUNTA($A365:$M365)=0,"",IF(OR(LOWER($F365&amp;"")="subscription",LOWER($F365&amp;"")="membership"),"",IF($G365="","",IF(ISNUMBER(SEARCH("non",LOWER($E365&amp;""))),$G365*0.85,$G365))))</x:f>
      </x:c>
      <x:c r="O365" s="987" t="str">
        <x:f>IF(COUNTA($A365:$M365)=0,"",IF(OR(LOWER($F365&amp;"")="subscription",LOWER($F365&amp;"")="membership"),"",IF(OR($N365="",$I365="",$I365=0),"",IFERROR($N365/$I365,""))))</x:f>
      </x:c>
      <x:c r="P365" s="987" t="str">
        <x:f>IF(COUNTA($A365:$M365)=0,"",IF(OR(LOWER($F365&amp;"")="subscription",LOWER($F365&amp;"")="membership"),"",IF(LOWER($L365&amp;"")="yes",0,IF($K365&lt;&gt;"",$K365,IF($O365&lt;&gt;"",$O365,"")))))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IF(COUNTA($A365:$M365)=0,"",IF(OR(LOWER($F365&amp;"")="subscription",LOWER($F365&amp;"")="membership"),"Subscription",IF(OR(AND($H365&lt;&gt;"",$H365=0),LOWER($F365&amp;"")="free game",LOWER($F365&amp;"")="free",LOWER($F365&amp;"")="free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986"/>
      <x:c r="H366" s="455"/>
      <x:c r="I366" s="456"/>
      <x:c r="J366" s="456"/>
      <x:c r="K366" s="986"/>
      <x:c r="L366" s="454"/>
      <x:c r="M366" s="439"/>
      <x:c r="N366" s="987" t="str">
        <x:f>IF(COUNTA($A366:$M366)=0,"",IF(OR(LOWER($F366&amp;"")="subscription",LOWER($F366&amp;"")="membership"),"",IF($G366="","",IF(ISNUMBER(SEARCH("non",LOWER($E366&amp;""))),$G366*0.85,$G366))))</x:f>
      </x:c>
      <x:c r="O366" s="987" t="str">
        <x:f>IF(COUNTA($A366:$M366)=0,"",IF(OR(LOWER($F366&amp;"")="subscription",LOWER($F366&amp;"")="membership"),"",IF(OR($N366="",$I366="",$I366=0),"",IFERROR($N366/$I366,""))))</x:f>
      </x:c>
      <x:c r="P366" s="987" t="str">
        <x:f>IF(COUNTA($A366:$M366)=0,"",IF(OR(LOWER($F366&amp;"")="subscription",LOWER($F366&amp;"")="membership"),"",IF(LOWER($L366&amp;"")="yes",0,IF($K366&lt;&gt;"",$K366,IF($O366&lt;&gt;"",$O366,"")))))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IF(COUNTA($A366:$M366)=0,"",IF(OR(LOWER($F366&amp;"")="subscription",LOWER($F366&amp;"")="membership"),"Subscription",IF(OR(AND($H366&lt;&gt;"",$H366=0),LOWER($F366&amp;"")="free game",LOWER($F366&amp;"")="free",LOWER($F366&amp;"")="free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986"/>
      <x:c r="H367" s="455"/>
      <x:c r="I367" s="456"/>
      <x:c r="J367" s="456"/>
      <x:c r="K367" s="986"/>
      <x:c r="L367" s="454"/>
      <x:c r="M367" s="439"/>
      <x:c r="N367" s="987" t="str">
        <x:f>IF(COUNTA($A367:$M367)=0,"",IF(OR(LOWER($F367&amp;"")="subscription",LOWER($F367&amp;"")="membership"),"",IF($G367="","",IF(ISNUMBER(SEARCH("non",LOWER($E367&amp;""))),$G367*0.85,$G367))))</x:f>
      </x:c>
      <x:c r="O367" s="987" t="str">
        <x:f>IF(COUNTA($A367:$M367)=0,"",IF(OR(LOWER($F367&amp;"")="subscription",LOWER($F367&amp;"")="membership"),"",IF(OR($N367="",$I367="",$I367=0),"",IFERROR($N367/$I367,""))))</x:f>
      </x:c>
      <x:c r="P367" s="987" t="str">
        <x:f>IF(COUNTA($A367:$M367)=0,"",IF(OR(LOWER($F367&amp;"")="subscription",LOWER($F367&amp;"")="membership"),"",IF(LOWER($L367&amp;"")="yes",0,IF($K367&lt;&gt;"",$K367,IF($O367&lt;&gt;"",$O367,"")))))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IF(COUNTA($A367:$M367)=0,"",IF(OR(LOWER($F367&amp;"")="subscription",LOWER($F367&amp;"")="membership"),"Subscription",IF(OR(AND($H367&lt;&gt;"",$H367=0),LOWER($F367&amp;"")="free game",LOWER($F367&amp;"")="free",LOWER($F367&amp;"")="free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986"/>
      <x:c r="H368" s="455"/>
      <x:c r="I368" s="456"/>
      <x:c r="J368" s="456"/>
      <x:c r="K368" s="986"/>
      <x:c r="L368" s="454"/>
      <x:c r="M368" s="439"/>
      <x:c r="N368" s="987" t="str">
        <x:f>IF(COUNTA($A368:$M368)=0,"",IF(OR(LOWER($F368&amp;"")="subscription",LOWER($F368&amp;"")="membership"),"",IF($G368="","",IF(ISNUMBER(SEARCH("non",LOWER($E368&amp;""))),$G368*0.85,$G368))))</x:f>
      </x:c>
      <x:c r="O368" s="987" t="str">
        <x:f>IF(COUNTA($A368:$M368)=0,"",IF(OR(LOWER($F368&amp;"")="subscription",LOWER($F368&amp;"")="membership"),"",IF(OR($N368="",$I368="",$I368=0),"",IFERROR($N368/$I368,""))))</x:f>
      </x:c>
      <x:c r="P368" s="987" t="str">
        <x:f>IF(COUNTA($A368:$M368)=0,"",IF(OR(LOWER($F368&amp;"")="subscription",LOWER($F368&amp;"")="membership"),"",IF(LOWER($L368&amp;"")="yes",0,IF($K368&lt;&gt;"",$K368,IF($O368&lt;&gt;"",$O368,"")))))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IF(COUNTA($A368:$M368)=0,"",IF(OR(LOWER($F368&amp;"")="subscription",LOWER($F368&amp;"")="membership"),"Subscription",IF(OR(AND($H368&lt;&gt;"",$H368=0),LOWER($F368&amp;"")="free game",LOWER($F368&amp;"")="free",LOWER($F368&amp;"")="free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986"/>
      <x:c r="H369" s="455"/>
      <x:c r="I369" s="456"/>
      <x:c r="J369" s="456"/>
      <x:c r="K369" s="986"/>
      <x:c r="L369" s="454"/>
      <x:c r="M369" s="439"/>
      <x:c r="N369" s="987" t="str">
        <x:f>IF(COUNTA($A369:$M369)=0,"",IF(OR(LOWER($F369&amp;"")="subscription",LOWER($F369&amp;"")="membership"),"",IF($G369="","",IF(ISNUMBER(SEARCH("non",LOWER($E369&amp;""))),$G369*0.85,$G369))))</x:f>
      </x:c>
      <x:c r="O369" s="987" t="str">
        <x:f>IF(COUNTA($A369:$M369)=0,"",IF(OR(LOWER($F369&amp;"")="subscription",LOWER($F369&amp;"")="membership"),"",IF(OR($N369="",$I369="",$I369=0),"",IFERROR($N369/$I369,""))))</x:f>
      </x:c>
      <x:c r="P369" s="987" t="str">
        <x:f>IF(COUNTA($A369:$M369)=0,"",IF(OR(LOWER($F369&amp;"")="subscription",LOWER($F369&amp;"")="membership"),"",IF(LOWER($L369&amp;"")="yes",0,IF($K369&lt;&gt;"",$K369,IF($O369&lt;&gt;"",$O369,"")))))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IF(COUNTA($A369:$M369)=0,"",IF(OR(LOWER($F369&amp;"")="subscription",LOWER($F369&amp;"")="membership"),"Subscription",IF(OR(AND($H369&lt;&gt;"",$H369=0),LOWER($F369&amp;"")="free game",LOWER($F369&amp;"")="free",LOWER($F369&amp;"")="free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986"/>
      <x:c r="H370" s="455"/>
      <x:c r="I370" s="456"/>
      <x:c r="J370" s="456"/>
      <x:c r="K370" s="986"/>
      <x:c r="L370" s="454"/>
      <x:c r="M370" s="439"/>
      <x:c r="N370" s="987" t="str">
        <x:f>IF(COUNTA($A370:$M370)=0,"",IF(OR(LOWER($F370&amp;"")="subscription",LOWER($F370&amp;"")="membership"),"",IF($G370="","",IF(ISNUMBER(SEARCH("non",LOWER($E370&amp;""))),$G370*0.85,$G370))))</x:f>
      </x:c>
      <x:c r="O370" s="987" t="str">
        <x:f>IF(COUNTA($A370:$M370)=0,"",IF(OR(LOWER($F370&amp;"")="subscription",LOWER($F370&amp;"")="membership"),"",IF(OR($N370="",$I370="",$I370=0),"",IFERROR($N370/$I370,""))))</x:f>
      </x:c>
      <x:c r="P370" s="987" t="str">
        <x:f>IF(COUNTA($A370:$M370)=0,"",IF(OR(LOWER($F370&amp;"")="subscription",LOWER($F370&amp;"")="membership"),"",IF(LOWER($L370&amp;"")="yes",0,IF($K370&lt;&gt;"",$K370,IF($O370&lt;&gt;"",$O370,"")))))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IF(COUNTA($A370:$M370)=0,"",IF(OR(LOWER($F370&amp;"")="subscription",LOWER($F370&amp;"")="membership"),"Subscription",IF(OR(AND($H370&lt;&gt;"",$H370=0),LOWER($F370&amp;"")="free game",LOWER($F370&amp;"")="free",LOWER($F370&amp;"")="free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986"/>
      <x:c r="H371" s="455"/>
      <x:c r="I371" s="456"/>
      <x:c r="J371" s="456"/>
      <x:c r="K371" s="986"/>
      <x:c r="L371" s="454"/>
      <x:c r="M371" s="439"/>
      <x:c r="N371" s="987" t="str">
        <x:f>IF(COUNTA($A371:$M371)=0,"",IF(OR(LOWER($F371&amp;"")="subscription",LOWER($F371&amp;"")="membership"),"",IF($G371="","",IF(ISNUMBER(SEARCH("non",LOWER($E371&amp;""))),$G371*0.85,$G371))))</x:f>
      </x:c>
      <x:c r="O371" s="987" t="str">
        <x:f>IF(COUNTA($A371:$M371)=0,"",IF(OR(LOWER($F371&amp;"")="subscription",LOWER($F371&amp;"")="membership"),"",IF(OR($N371="",$I371="",$I371=0),"",IFERROR($N371/$I371,""))))</x:f>
      </x:c>
      <x:c r="P371" s="987" t="str">
        <x:f>IF(COUNTA($A371:$M371)=0,"",IF(OR(LOWER($F371&amp;"")="subscription",LOWER($F371&amp;"")="membership"),"",IF(LOWER($L371&amp;"")="yes",0,IF($K371&lt;&gt;"",$K371,IF($O371&lt;&gt;"",$O371,"")))))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IF(COUNTA($A371:$M371)=0,"",IF(OR(LOWER($F371&amp;"")="subscription",LOWER($F371&amp;"")="membership"),"Subscription",IF(OR(AND($H371&lt;&gt;"",$H371=0),LOWER($F371&amp;"")="free game",LOWER($F371&amp;"")="free",LOWER($F371&amp;"")="free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986"/>
      <x:c r="H372" s="455"/>
      <x:c r="I372" s="456"/>
      <x:c r="J372" s="456"/>
      <x:c r="K372" s="986"/>
      <x:c r="L372" s="454"/>
      <x:c r="M372" s="439"/>
      <x:c r="N372" s="987" t="str">
        <x:f>IF(COUNTA($A372:$M372)=0,"",IF(OR(LOWER($F372&amp;"")="subscription",LOWER($F372&amp;"")="membership"),"",IF($G372="","",IF(ISNUMBER(SEARCH("non",LOWER($E372&amp;""))),$G372*0.85,$G372))))</x:f>
      </x:c>
      <x:c r="O372" s="987" t="str">
        <x:f>IF(COUNTA($A372:$M372)=0,"",IF(OR(LOWER($F372&amp;"")="subscription",LOWER($F372&amp;"")="membership"),"",IF(OR($N372="",$I372="",$I372=0),"",IFERROR($N372/$I372,""))))</x:f>
      </x:c>
      <x:c r="P372" s="987" t="str">
        <x:f>IF(COUNTA($A372:$M372)=0,"",IF(OR(LOWER($F372&amp;"")="subscription",LOWER($F372&amp;"")="membership"),"",IF(LOWER($L372&amp;"")="yes",0,IF($K372&lt;&gt;"",$K372,IF($O372&lt;&gt;"",$O372,"")))))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IF(COUNTA($A372:$M372)=0,"",IF(OR(LOWER($F372&amp;"")="subscription",LOWER($F372&amp;"")="membership"),"Subscription",IF(OR(AND($H372&lt;&gt;"",$H372=0),LOWER($F372&amp;"")="free game",LOWER($F372&amp;"")="free",LOWER($F372&amp;"")="free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986"/>
      <x:c r="H373" s="455"/>
      <x:c r="I373" s="456"/>
      <x:c r="J373" s="456"/>
      <x:c r="K373" s="986"/>
      <x:c r="L373" s="454"/>
      <x:c r="M373" s="439"/>
      <x:c r="N373" s="987" t="str">
        <x:f>IF(COUNTA($A373:$M373)=0,"",IF(OR(LOWER($F373&amp;"")="subscription",LOWER($F373&amp;"")="membership"),"",IF($G373="","",IF(ISNUMBER(SEARCH("non",LOWER($E373&amp;""))),$G373*0.85,$G373))))</x:f>
      </x:c>
      <x:c r="O373" s="987" t="str">
        <x:f>IF(COUNTA($A373:$M373)=0,"",IF(OR(LOWER($F373&amp;"")="subscription",LOWER($F373&amp;"")="membership"),"",IF(OR($N373="",$I373="",$I373=0),"",IFERROR($N373/$I373,""))))</x:f>
      </x:c>
      <x:c r="P373" s="987" t="str">
        <x:f>IF(COUNTA($A373:$M373)=0,"",IF(OR(LOWER($F373&amp;"")="subscription",LOWER($F373&amp;"")="membership"),"",IF(LOWER($L373&amp;"")="yes",0,IF($K373&lt;&gt;"",$K373,IF($O373&lt;&gt;"",$O373,"")))))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IF(COUNTA($A373:$M373)=0,"",IF(OR(LOWER($F373&amp;"")="subscription",LOWER($F373&amp;"")="membership"),"Subscription",IF(OR(AND($H373&lt;&gt;"",$H373=0),LOWER($F373&amp;"")="free game",LOWER($F373&amp;"")="free",LOWER($F373&amp;"")="free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986"/>
      <x:c r="H374" s="455"/>
      <x:c r="I374" s="456"/>
      <x:c r="J374" s="456"/>
      <x:c r="K374" s="986"/>
      <x:c r="L374" s="454"/>
      <x:c r="M374" s="439"/>
      <x:c r="N374" s="987" t="str">
        <x:f>IF(COUNTA($A374:$M374)=0,"",IF(OR(LOWER($F374&amp;"")="subscription",LOWER($F374&amp;"")="membership"),"",IF($G374="","",IF(ISNUMBER(SEARCH("non",LOWER($E374&amp;""))),$G374*0.85,$G374))))</x:f>
      </x:c>
      <x:c r="O374" s="987" t="str">
        <x:f>IF(COUNTA($A374:$M374)=0,"",IF(OR(LOWER($F374&amp;"")="subscription",LOWER($F374&amp;"")="membership"),"",IF(OR($N374="",$I374="",$I374=0),"",IFERROR($N374/$I374,""))))</x:f>
      </x:c>
      <x:c r="P374" s="987" t="str">
        <x:f>IF(COUNTA($A374:$M374)=0,"",IF(OR(LOWER($F374&amp;"")="subscription",LOWER($F374&amp;"")="membership"),"",IF(LOWER($L374&amp;"")="yes",0,IF($K374&lt;&gt;"",$K374,IF($O374&lt;&gt;"",$O374,"")))))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IF(COUNTA($A374:$M374)=0,"",IF(OR(LOWER($F374&amp;"")="subscription",LOWER($F374&amp;"")="membership"),"Subscription",IF(OR(AND($H374&lt;&gt;"",$H374=0),LOWER($F374&amp;"")="free game",LOWER($F374&amp;"")="free",LOWER($F374&amp;"")="free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986"/>
      <x:c r="H375" s="455"/>
      <x:c r="I375" s="456"/>
      <x:c r="J375" s="456"/>
      <x:c r="K375" s="986"/>
      <x:c r="L375" s="454"/>
      <x:c r="M375" s="439"/>
      <x:c r="N375" s="987" t="str">
        <x:f>IF(COUNTA($A375:$M375)=0,"",IF(OR(LOWER($F375&amp;"")="subscription",LOWER($F375&amp;"")="membership"),"",IF($G375="","",IF(ISNUMBER(SEARCH("non",LOWER($E375&amp;""))),$G375*0.85,$G375))))</x:f>
      </x:c>
      <x:c r="O375" s="987" t="str">
        <x:f>IF(COUNTA($A375:$M375)=0,"",IF(OR(LOWER($F375&amp;"")="subscription",LOWER($F375&amp;"")="membership"),"",IF(OR($N375="",$I375="",$I375=0),"",IFERROR($N375/$I375,""))))</x:f>
      </x:c>
      <x:c r="P375" s="987" t="str">
        <x:f>IF(COUNTA($A375:$M375)=0,"",IF(OR(LOWER($F375&amp;"")="subscription",LOWER($F375&amp;"")="membership"),"",IF(LOWER($L375&amp;"")="yes",0,IF($K375&lt;&gt;"",$K375,IF($O375&lt;&gt;"",$O375,"")))))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IF(COUNTA($A375:$M375)=0,"",IF(OR(LOWER($F375&amp;"")="subscription",LOWER($F375&amp;"")="membership"),"Subscription",IF(OR(AND($H375&lt;&gt;"",$H375=0),LOWER($F375&amp;"")="free game",LOWER($F375&amp;"")="free",LOWER($F375&amp;"")="free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986"/>
      <x:c r="H376" s="455"/>
      <x:c r="I376" s="456"/>
      <x:c r="J376" s="456"/>
      <x:c r="K376" s="986"/>
      <x:c r="L376" s="454"/>
      <x:c r="M376" s="439"/>
      <x:c r="N376" s="987" t="str">
        <x:f>IF(COUNTA($A376:$M376)=0,"",IF(OR(LOWER($F376&amp;"")="subscription",LOWER($F376&amp;"")="membership"),"",IF($G376="","",IF(ISNUMBER(SEARCH("non",LOWER($E376&amp;""))),$G376*0.85,$G376))))</x:f>
      </x:c>
      <x:c r="O376" s="987" t="str">
        <x:f>IF(COUNTA($A376:$M376)=0,"",IF(OR(LOWER($F376&amp;"")="subscription",LOWER($F376&amp;"")="membership"),"",IF(OR($N376="",$I376="",$I376=0),"",IFERROR($N376/$I376,""))))</x:f>
      </x:c>
      <x:c r="P376" s="987" t="str">
        <x:f>IF(COUNTA($A376:$M376)=0,"",IF(OR(LOWER($F376&amp;"")="subscription",LOWER($F376&amp;"")="membership"),"",IF(LOWER($L376&amp;"")="yes",0,IF($K376&lt;&gt;"",$K376,IF($O376&lt;&gt;"",$O376,"")))))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IF(COUNTA($A376:$M376)=0,"",IF(OR(LOWER($F376&amp;"")="subscription",LOWER($F376&amp;"")="membership"),"Subscription",IF(OR(AND($H376&lt;&gt;"",$H376=0),LOWER($F376&amp;"")="free game",LOWER($F376&amp;"")="free",LOWER($F376&amp;"")="free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986"/>
      <x:c r="H377" s="455"/>
      <x:c r="I377" s="456"/>
      <x:c r="J377" s="456"/>
      <x:c r="K377" s="986"/>
      <x:c r="L377" s="454"/>
      <x:c r="M377" s="439"/>
      <x:c r="N377" s="987" t="str">
        <x:f>IF(COUNTA($A377:$M377)=0,"",IF(OR(LOWER($F377&amp;"")="subscription",LOWER($F377&amp;"")="membership"),"",IF($G377="","",IF(ISNUMBER(SEARCH("non",LOWER($E377&amp;""))),$G377*0.85,$G377))))</x:f>
      </x:c>
      <x:c r="O377" s="987" t="str">
        <x:f>IF(COUNTA($A377:$M377)=0,"",IF(OR(LOWER($F377&amp;"")="subscription",LOWER($F377&amp;"")="membership"),"",IF(OR($N377="",$I377="",$I377=0),"",IFERROR($N377/$I377,""))))</x:f>
      </x:c>
      <x:c r="P377" s="987" t="str">
        <x:f>IF(COUNTA($A377:$M377)=0,"",IF(OR(LOWER($F377&amp;"")="subscription",LOWER($F377&amp;"")="membership"),"",IF(LOWER($L377&amp;"")="yes",0,IF($K377&lt;&gt;"",$K377,IF($O377&lt;&gt;"",$O377,"")))))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IF(COUNTA($A377:$M377)=0,"",IF(OR(LOWER($F377&amp;"")="subscription",LOWER($F377&amp;"")="membership"),"Subscription",IF(OR(AND($H377&lt;&gt;"",$H377=0),LOWER($F377&amp;"")="free game",LOWER($F377&amp;"")="free",LOWER($F377&amp;"")="free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986"/>
      <x:c r="H378" s="455"/>
      <x:c r="I378" s="456"/>
      <x:c r="J378" s="456"/>
      <x:c r="K378" s="986"/>
      <x:c r="L378" s="454"/>
      <x:c r="M378" s="439"/>
      <x:c r="N378" s="987" t="str">
        <x:f>IF(COUNTA($A378:$M378)=0,"",IF(OR(LOWER($F378&amp;"")="subscription",LOWER($F378&amp;"")="membership"),"",IF($G378="","",IF(ISNUMBER(SEARCH("non",LOWER($E378&amp;""))),$G378*0.85,$G378))))</x:f>
      </x:c>
      <x:c r="O378" s="987" t="str">
        <x:f>IF(COUNTA($A378:$M378)=0,"",IF(OR(LOWER($F378&amp;"")="subscription",LOWER($F378&amp;"")="membership"),"",IF(OR($N378="",$I378="",$I378=0),"",IFERROR($N378/$I378,""))))</x:f>
      </x:c>
      <x:c r="P378" s="987" t="str">
        <x:f>IF(COUNTA($A378:$M378)=0,"",IF(OR(LOWER($F378&amp;"")="subscription",LOWER($F378&amp;"")="membership"),"",IF(LOWER($L378&amp;"")="yes",0,IF($K378&lt;&gt;"",$K378,IF($O378&lt;&gt;"",$O378,"")))))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IF(COUNTA($A378:$M378)=0,"",IF(OR(LOWER($F378&amp;"")="subscription",LOWER($F378&amp;"")="membership"),"Subscription",IF(OR(AND($H378&lt;&gt;"",$H378=0),LOWER($F378&amp;"")="free game",LOWER($F378&amp;"")="free",LOWER($F378&amp;"")="free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986"/>
      <x:c r="H379" s="455"/>
      <x:c r="I379" s="456"/>
      <x:c r="J379" s="456"/>
      <x:c r="K379" s="986"/>
      <x:c r="L379" s="454"/>
      <x:c r="M379" s="439"/>
      <x:c r="N379" s="987" t="str">
        <x:f>IF(COUNTA($A379:$M379)=0,"",IF(OR(LOWER($F379&amp;"")="subscription",LOWER($F379&amp;"")="membership"),"",IF($G379="","",IF(ISNUMBER(SEARCH("non",LOWER($E379&amp;""))),$G379*0.85,$G379))))</x:f>
      </x:c>
      <x:c r="O379" s="987" t="str">
        <x:f>IF(COUNTA($A379:$M379)=0,"",IF(OR(LOWER($F379&amp;"")="subscription",LOWER($F379&amp;"")="membership"),"",IF(OR($N379="",$I379="",$I379=0),"",IFERROR($N379/$I379,""))))</x:f>
      </x:c>
      <x:c r="P379" s="987" t="str">
        <x:f>IF(COUNTA($A379:$M379)=0,"",IF(OR(LOWER($F379&amp;"")="subscription",LOWER($F379&amp;"")="membership"),"",IF(LOWER($L379&amp;"")="yes",0,IF($K379&lt;&gt;"",$K379,IF($O379&lt;&gt;"",$O379,"")))))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IF(COUNTA($A379:$M379)=0,"",IF(OR(LOWER($F379&amp;"")="subscription",LOWER($F379&amp;"")="membership"),"Subscription",IF(OR(AND($H379&lt;&gt;"",$H379=0),LOWER($F379&amp;"")="free game",LOWER($F379&amp;"")="free",LOWER($F379&amp;"")="free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986"/>
      <x:c r="H380" s="455"/>
      <x:c r="I380" s="456"/>
      <x:c r="J380" s="456"/>
      <x:c r="K380" s="986"/>
      <x:c r="L380" s="454"/>
      <x:c r="M380" s="439"/>
      <x:c r="N380" s="987" t="str">
        <x:f>IF(COUNTA($A380:$M380)=0,"",IF(OR(LOWER($F380&amp;"")="subscription",LOWER($F380&amp;"")="membership"),"",IF($G380="","",IF(ISNUMBER(SEARCH("non",LOWER($E380&amp;""))),$G380*0.85,$G380))))</x:f>
      </x:c>
      <x:c r="O380" s="987" t="str">
        <x:f>IF(COUNTA($A380:$M380)=0,"",IF(OR(LOWER($F380&amp;"")="subscription",LOWER($F380&amp;"")="membership"),"",IF(OR($N380="",$I380="",$I380=0),"",IFERROR($N380/$I380,""))))</x:f>
      </x:c>
      <x:c r="P380" s="987" t="str">
        <x:f>IF(COUNTA($A380:$M380)=0,"",IF(OR(LOWER($F380&amp;"")="subscription",LOWER($F380&amp;"")="membership"),"",IF(LOWER($L380&amp;"")="yes",0,IF($K380&lt;&gt;"",$K380,IF($O380&lt;&gt;"",$O380,"")))))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IF(COUNTA($A380:$M380)=0,"",IF(OR(LOWER($F380&amp;"")="subscription",LOWER($F380&amp;"")="membership"),"Subscription",IF(OR(AND($H380&lt;&gt;"",$H380=0),LOWER($F380&amp;"")="free game",LOWER($F380&amp;"")="free",LOWER($F380&amp;"")="free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986"/>
      <x:c r="H381" s="455"/>
      <x:c r="I381" s="456"/>
      <x:c r="J381" s="456"/>
      <x:c r="K381" s="986"/>
      <x:c r="L381" s="454"/>
      <x:c r="M381" s="439"/>
      <x:c r="N381" s="987" t="str">
        <x:f>IF(COUNTA($A381:$M381)=0,"",IF(OR(LOWER($F381&amp;"")="subscription",LOWER($F381&amp;"")="membership"),"",IF($G381="","",IF(ISNUMBER(SEARCH("non",LOWER($E381&amp;""))),$G381*0.85,$G381))))</x:f>
      </x:c>
      <x:c r="O381" s="987" t="str">
        <x:f>IF(COUNTA($A381:$M381)=0,"",IF(OR(LOWER($F381&amp;"")="subscription",LOWER($F381&amp;"")="membership"),"",IF(OR($N381="",$I381="",$I381=0),"",IFERROR($N381/$I381,""))))</x:f>
      </x:c>
      <x:c r="P381" s="987" t="str">
        <x:f>IF(COUNTA($A381:$M381)=0,"",IF(OR(LOWER($F381&amp;"")="subscription",LOWER($F381&amp;"")="membership"),"",IF(LOWER($L381&amp;"")="yes",0,IF($K381&lt;&gt;"",$K381,IF($O381&lt;&gt;"",$O381,"")))))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IF(COUNTA($A381:$M381)=0,"",IF(OR(LOWER($F381&amp;"")="subscription",LOWER($F381&amp;"")="membership"),"Subscription",IF(OR(AND($H381&lt;&gt;"",$H381=0),LOWER($F381&amp;"")="free game",LOWER($F381&amp;"")="free",LOWER($F381&amp;"")="free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986"/>
      <x:c r="H382" s="455"/>
      <x:c r="I382" s="456"/>
      <x:c r="J382" s="456"/>
      <x:c r="K382" s="986"/>
      <x:c r="L382" s="454"/>
      <x:c r="M382" s="439"/>
      <x:c r="N382" s="987" t="str">
        <x:f>IF(COUNTA($A382:$M382)=0,"",IF(OR(LOWER($F382&amp;"")="subscription",LOWER($F382&amp;"")="membership"),"",IF($G382="","",IF(ISNUMBER(SEARCH("non",LOWER($E382&amp;""))),$G382*0.85,$G382))))</x:f>
      </x:c>
      <x:c r="O382" s="987" t="str">
        <x:f>IF(COUNTA($A382:$M382)=0,"",IF(OR(LOWER($F382&amp;"")="subscription",LOWER($F382&amp;"")="membership"),"",IF(OR($N382="",$I382="",$I382=0),"",IFERROR($N382/$I382,""))))</x:f>
      </x:c>
      <x:c r="P382" s="987" t="str">
        <x:f>IF(COUNTA($A382:$M382)=0,"",IF(OR(LOWER($F382&amp;"")="subscription",LOWER($F382&amp;"")="membership"),"",IF(LOWER($L382&amp;"")="yes",0,IF($K382&lt;&gt;"",$K382,IF($O382&lt;&gt;"",$O382,"")))))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IF(COUNTA($A382:$M382)=0,"",IF(OR(LOWER($F382&amp;"")="subscription",LOWER($F382&amp;"")="membership"),"Subscription",IF(OR(AND($H382&lt;&gt;"",$H382=0),LOWER($F382&amp;"")="free game",LOWER($F382&amp;"")="free",LOWER($F382&amp;"")="free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986"/>
      <x:c r="H383" s="455"/>
      <x:c r="I383" s="456"/>
      <x:c r="J383" s="456"/>
      <x:c r="K383" s="986"/>
      <x:c r="L383" s="454"/>
      <x:c r="M383" s="439"/>
      <x:c r="N383" s="987" t="str">
        <x:f>IF(COUNTA($A383:$M383)=0,"",IF(OR(LOWER($F383&amp;"")="subscription",LOWER($F383&amp;"")="membership"),"",IF($G383="","",IF(ISNUMBER(SEARCH("non",LOWER($E383&amp;""))),$G383*0.85,$G383))))</x:f>
      </x:c>
      <x:c r="O383" s="987" t="str">
        <x:f>IF(COUNTA($A383:$M383)=0,"",IF(OR(LOWER($F383&amp;"")="subscription",LOWER($F383&amp;"")="membership"),"",IF(OR($N383="",$I383="",$I383=0),"",IFERROR($N383/$I383,""))))</x:f>
      </x:c>
      <x:c r="P383" s="987" t="str">
        <x:f>IF(COUNTA($A383:$M383)=0,"",IF(OR(LOWER($F383&amp;"")="subscription",LOWER($F383&amp;"")="membership"),"",IF(LOWER($L383&amp;"")="yes",0,IF($K383&lt;&gt;"",$K383,IF($O383&lt;&gt;"",$O383,"")))))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IF(COUNTA($A383:$M383)=0,"",IF(OR(LOWER($F383&amp;"")="subscription",LOWER($F383&amp;"")="membership"),"Subscription",IF(OR(AND($H383&lt;&gt;"",$H383=0),LOWER($F383&amp;"")="free game",LOWER($F383&amp;"")="free",LOWER($F383&amp;"")="free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986"/>
      <x:c r="H384" s="455"/>
      <x:c r="I384" s="456"/>
      <x:c r="J384" s="456"/>
      <x:c r="K384" s="986"/>
      <x:c r="L384" s="454"/>
      <x:c r="M384" s="439"/>
      <x:c r="N384" s="987" t="str">
        <x:f>IF(COUNTA($A384:$M384)=0,"",IF(OR(LOWER($F384&amp;"")="subscription",LOWER($F384&amp;"")="membership"),"",IF($G384="","",IF(ISNUMBER(SEARCH("non",LOWER($E384&amp;""))),$G384*0.85,$G384))))</x:f>
      </x:c>
      <x:c r="O384" s="987" t="str">
        <x:f>IF(COUNTA($A384:$M384)=0,"",IF(OR(LOWER($F384&amp;"")="subscription",LOWER($F384&amp;"")="membership"),"",IF(OR($N384="",$I384="",$I384=0),"",IFERROR($N384/$I384,""))))</x:f>
      </x:c>
      <x:c r="P384" s="987" t="str">
        <x:f>IF(COUNTA($A384:$M384)=0,"",IF(OR(LOWER($F384&amp;"")="subscription",LOWER($F384&amp;"")="membership"),"",IF(LOWER($L384&amp;"")="yes",0,IF($K384&lt;&gt;"",$K384,IF($O384&lt;&gt;"",$O384,"")))))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IF(COUNTA($A384:$M384)=0,"",IF(OR(LOWER($F384&amp;"")="subscription",LOWER($F384&amp;"")="membership"),"Subscription",IF(OR(AND($H384&lt;&gt;"",$H384=0),LOWER($F384&amp;"")="free game",LOWER($F384&amp;"")="free",LOWER($F384&amp;"")="free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986"/>
      <x:c r="H385" s="455"/>
      <x:c r="I385" s="456"/>
      <x:c r="J385" s="456"/>
      <x:c r="K385" s="986"/>
      <x:c r="L385" s="454"/>
      <x:c r="M385" s="439"/>
      <x:c r="N385" s="987" t="str">
        <x:f>IF(COUNTA($A385:$M385)=0,"",IF(OR(LOWER($F385&amp;"")="subscription",LOWER($F385&amp;"")="membership"),"",IF($G385="","",IF(ISNUMBER(SEARCH("non",LOWER($E385&amp;""))),$G385*0.85,$G385))))</x:f>
      </x:c>
      <x:c r="O385" s="987" t="str">
        <x:f>IF(COUNTA($A385:$M385)=0,"",IF(OR(LOWER($F385&amp;"")="subscription",LOWER($F385&amp;"")="membership"),"",IF(OR($N385="",$I385="",$I385=0),"",IFERROR($N385/$I385,""))))</x:f>
      </x:c>
      <x:c r="P385" s="987" t="str">
        <x:f>IF(COUNTA($A385:$M385)=0,"",IF(OR(LOWER($F385&amp;"")="subscription",LOWER($F385&amp;"")="membership"),"",IF(LOWER($L385&amp;"")="yes",0,IF($K385&lt;&gt;"",$K385,IF($O385&lt;&gt;"",$O385,"")))))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IF(COUNTA($A385:$M385)=0,"",IF(OR(LOWER($F385&amp;"")="subscription",LOWER($F385&amp;"")="membership"),"Subscription",IF(OR(AND($H385&lt;&gt;"",$H385=0),LOWER($F385&amp;"")="free game",LOWER($F385&amp;"")="free",LOWER($F385&amp;"")="free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986"/>
      <x:c r="H386" s="455"/>
      <x:c r="I386" s="456"/>
      <x:c r="J386" s="456"/>
      <x:c r="K386" s="986"/>
      <x:c r="L386" s="454"/>
      <x:c r="M386" s="439"/>
      <x:c r="N386" s="987" t="str">
        <x:f>IF(COUNTA($A386:$M386)=0,"",IF(OR(LOWER($F386&amp;"")="subscription",LOWER($F386&amp;"")="membership"),"",IF($G386="","",IF(ISNUMBER(SEARCH("non",LOWER($E386&amp;""))),$G386*0.85,$G386))))</x:f>
      </x:c>
      <x:c r="O386" s="987" t="str">
        <x:f>IF(COUNTA($A386:$M386)=0,"",IF(OR(LOWER($F386&amp;"")="subscription",LOWER($F386&amp;"")="membership"),"",IF(OR($N386="",$I386="",$I386=0),"",IFERROR($N386/$I386,""))))</x:f>
      </x:c>
      <x:c r="P386" s="987" t="str">
        <x:f>IF(COUNTA($A386:$M386)=0,"",IF(OR(LOWER($F386&amp;"")="subscription",LOWER($F386&amp;"")="membership"),"",IF(LOWER($L386&amp;"")="yes",0,IF($K386&lt;&gt;"",$K386,IF($O386&lt;&gt;"",$O386,"")))))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IF(COUNTA($A386:$M386)=0,"",IF(OR(LOWER($F386&amp;"")="subscription",LOWER($F386&amp;"")="membership"),"Subscription",IF(OR(AND($H386&lt;&gt;"",$H386=0),LOWER($F386&amp;"")="free game",LOWER($F386&amp;"")="free",LOWER($F386&amp;"")="free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986"/>
      <x:c r="H387" s="455"/>
      <x:c r="I387" s="456"/>
      <x:c r="J387" s="456"/>
      <x:c r="K387" s="986"/>
      <x:c r="L387" s="454"/>
      <x:c r="M387" s="439"/>
      <x:c r="N387" s="987" t="str">
        <x:f>IF(COUNTA($A387:$M387)=0,"",IF(OR(LOWER($F387&amp;"")="subscription",LOWER($F387&amp;"")="membership"),"",IF($G387="","",IF(ISNUMBER(SEARCH("non",LOWER($E387&amp;""))),$G387*0.85,$G387))))</x:f>
      </x:c>
      <x:c r="O387" s="987" t="str">
        <x:f>IF(COUNTA($A387:$M387)=0,"",IF(OR(LOWER($F387&amp;"")="subscription",LOWER($F387&amp;"")="membership"),"",IF(OR($N387="",$I387="",$I387=0),"",IFERROR($N387/$I387,""))))</x:f>
      </x:c>
      <x:c r="P387" s="987" t="str">
        <x:f>IF(COUNTA($A387:$M387)=0,"",IF(OR(LOWER($F387&amp;"")="subscription",LOWER($F387&amp;"")="membership"),"",IF(LOWER($L387&amp;"")="yes",0,IF($K387&lt;&gt;"",$K387,IF($O387&lt;&gt;"",$O387,"")))))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IF(COUNTA($A387:$M387)=0,"",IF(OR(LOWER($F387&amp;"")="subscription",LOWER($F387&amp;"")="membership"),"Subscription",IF(OR(AND($H387&lt;&gt;"",$H387=0),LOWER($F387&amp;"")="free game",LOWER($F387&amp;"")="free",LOWER($F387&amp;"")="free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986"/>
      <x:c r="H388" s="455"/>
      <x:c r="I388" s="456"/>
      <x:c r="J388" s="456"/>
      <x:c r="K388" s="986"/>
      <x:c r="L388" s="454"/>
      <x:c r="M388" s="439"/>
      <x:c r="N388" s="987" t="str">
        <x:f>IF(COUNTA($A388:$M388)=0,"",IF(OR(LOWER($F388&amp;"")="subscription",LOWER($F388&amp;"")="membership"),"",IF($G388="","",IF(ISNUMBER(SEARCH("non",LOWER($E388&amp;""))),$G388*0.85,$G388))))</x:f>
      </x:c>
      <x:c r="O388" s="987" t="str">
        <x:f>IF(COUNTA($A388:$M388)=0,"",IF(OR(LOWER($F388&amp;"")="subscription",LOWER($F388&amp;"")="membership"),"",IF(OR($N388="",$I388="",$I388=0),"",IFERROR($N388/$I388,""))))</x:f>
      </x:c>
      <x:c r="P388" s="987" t="str">
        <x:f>IF(COUNTA($A388:$M388)=0,"",IF(OR(LOWER($F388&amp;"")="subscription",LOWER($F388&amp;"")="membership"),"",IF(LOWER($L388&amp;"")="yes",0,IF($K388&lt;&gt;"",$K388,IF($O388&lt;&gt;"",$O388,"")))))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IF(COUNTA($A388:$M388)=0,"",IF(OR(LOWER($F388&amp;"")="subscription",LOWER($F388&amp;"")="membership"),"Subscription",IF(OR(AND($H388&lt;&gt;"",$H388=0),LOWER($F388&amp;"")="free game",LOWER($F388&amp;"")="free",LOWER($F388&amp;"")="free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986"/>
      <x:c r="H389" s="455"/>
      <x:c r="I389" s="456"/>
      <x:c r="J389" s="456"/>
      <x:c r="K389" s="986"/>
      <x:c r="L389" s="454"/>
      <x:c r="M389" s="439"/>
      <x:c r="N389" s="987" t="str">
        <x:f>IF(COUNTA($A389:$M389)=0,"",IF(OR(LOWER($F389&amp;"")="subscription",LOWER($F389&amp;"")="membership"),"",IF($G389="","",IF(ISNUMBER(SEARCH("non",LOWER($E389&amp;""))),$G389*0.85,$G389))))</x:f>
      </x:c>
      <x:c r="O389" s="987" t="str">
        <x:f>IF(COUNTA($A389:$M389)=0,"",IF(OR(LOWER($F389&amp;"")="subscription",LOWER($F389&amp;"")="membership"),"",IF(OR($N389="",$I389="",$I389=0),"",IFERROR($N389/$I389,""))))</x:f>
      </x:c>
      <x:c r="P389" s="987" t="str">
        <x:f>IF(COUNTA($A389:$M389)=0,"",IF(OR(LOWER($F389&amp;"")="subscription",LOWER($F389&amp;"")="membership"),"",IF(LOWER($L389&amp;"")="yes",0,IF($K389&lt;&gt;"",$K389,IF($O389&lt;&gt;"",$O389,"")))))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IF(COUNTA($A389:$M389)=0,"",IF(OR(LOWER($F389&amp;"")="subscription",LOWER($F389&amp;"")="membership"),"Subscription",IF(OR(AND($H389&lt;&gt;"",$H389=0),LOWER($F389&amp;"")="free game",LOWER($F389&amp;"")="free",LOWER($F389&amp;"")="free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986"/>
      <x:c r="H390" s="455"/>
      <x:c r="I390" s="456"/>
      <x:c r="J390" s="456"/>
      <x:c r="K390" s="986"/>
      <x:c r="L390" s="454"/>
      <x:c r="M390" s="439"/>
      <x:c r="N390" s="987" t="str">
        <x:f>IF(COUNTA($A390:$M390)=0,"",IF(OR(LOWER($F390&amp;"")="subscription",LOWER($F390&amp;"")="membership"),"",IF($G390="","",IF(ISNUMBER(SEARCH("non",LOWER($E390&amp;""))),$G390*0.85,$G390))))</x:f>
      </x:c>
      <x:c r="O390" s="987" t="str">
        <x:f>IF(COUNTA($A390:$M390)=0,"",IF(OR(LOWER($F390&amp;"")="subscription",LOWER($F390&amp;"")="membership"),"",IF(OR($N390="",$I390="",$I390=0),"",IFERROR($N390/$I390,""))))</x:f>
      </x:c>
      <x:c r="P390" s="987" t="str">
        <x:f>IF(COUNTA($A390:$M390)=0,"",IF(OR(LOWER($F390&amp;"")="subscription",LOWER($F390&amp;"")="membership"),"",IF(LOWER($L390&amp;"")="yes",0,IF($K390&lt;&gt;"",$K390,IF($O390&lt;&gt;"",$O390,"")))))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IF(COUNTA($A390:$M390)=0,"",IF(OR(LOWER($F390&amp;"")="subscription",LOWER($F390&amp;"")="membership"),"Subscription",IF(OR(AND($H390&lt;&gt;"",$H390=0),LOWER($F390&amp;"")="free game",LOWER($F390&amp;"")="free",LOWER($F390&amp;"")="free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986"/>
      <x:c r="H391" s="455"/>
      <x:c r="I391" s="456"/>
      <x:c r="J391" s="456"/>
      <x:c r="K391" s="986"/>
      <x:c r="L391" s="454"/>
      <x:c r="M391" s="439"/>
      <x:c r="N391" s="987" t="str">
        <x:f>IF(COUNTA($A391:$M391)=0,"",IF(OR(LOWER($F391&amp;"")="subscription",LOWER($F391&amp;"")="membership"),"",IF($G391="","",IF(ISNUMBER(SEARCH("non",LOWER($E391&amp;""))),$G391*0.85,$G391))))</x:f>
      </x:c>
      <x:c r="O391" s="987" t="str">
        <x:f>IF(COUNTA($A391:$M391)=0,"",IF(OR(LOWER($F391&amp;"")="subscription",LOWER($F391&amp;"")="membership"),"",IF(OR($N391="",$I391="",$I391=0),"",IFERROR($N391/$I391,""))))</x:f>
      </x:c>
      <x:c r="P391" s="987" t="str">
        <x:f>IF(COUNTA($A391:$M391)=0,"",IF(OR(LOWER($F391&amp;"")="subscription",LOWER($F391&amp;"")="membership"),"",IF(LOWER($L391&amp;"")="yes",0,IF($K391&lt;&gt;"",$K391,IF($O391&lt;&gt;"",$O391,"")))))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IF(COUNTA($A391:$M391)=0,"",IF(OR(LOWER($F391&amp;"")="subscription",LOWER($F391&amp;"")="membership"),"Subscription",IF(OR(AND($H391&lt;&gt;"",$H391=0),LOWER($F391&amp;"")="free game",LOWER($F391&amp;"")="free",LOWER($F391&amp;"")="free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986"/>
      <x:c r="H392" s="455"/>
      <x:c r="I392" s="456"/>
      <x:c r="J392" s="456"/>
      <x:c r="K392" s="986"/>
      <x:c r="L392" s="454"/>
      <x:c r="M392" s="439"/>
      <x:c r="N392" s="987" t="str">
        <x:f>IF(COUNTA($A392:$M392)=0,"",IF(OR(LOWER($F392&amp;"")="subscription",LOWER($F392&amp;"")="membership"),"",IF($G392="","",IF(ISNUMBER(SEARCH("non",LOWER($E392&amp;""))),$G392*0.85,$G392))))</x:f>
      </x:c>
      <x:c r="O392" s="987" t="str">
        <x:f>IF(COUNTA($A392:$M392)=0,"",IF(OR(LOWER($F392&amp;"")="subscription",LOWER($F392&amp;"")="membership"),"",IF(OR($N392="",$I392="",$I392=0),"",IFERROR($N392/$I392,""))))</x:f>
      </x:c>
      <x:c r="P392" s="987" t="str">
        <x:f>IF(COUNTA($A392:$M392)=0,"",IF(OR(LOWER($F392&amp;"")="subscription",LOWER($F392&amp;"")="membership"),"",IF(LOWER($L392&amp;"")="yes",0,IF($K392&lt;&gt;"",$K392,IF($O392&lt;&gt;"",$O392,"")))))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IF(COUNTA($A392:$M392)=0,"",IF(OR(LOWER($F392&amp;"")="subscription",LOWER($F392&amp;"")="membership"),"Subscription",IF(OR(AND($H392&lt;&gt;"",$H392=0),LOWER($F392&amp;"")="free game",LOWER($F392&amp;"")="free",LOWER($F392&amp;"")="free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986"/>
      <x:c r="H393" s="455"/>
      <x:c r="I393" s="456"/>
      <x:c r="J393" s="456"/>
      <x:c r="K393" s="986"/>
      <x:c r="L393" s="454"/>
      <x:c r="M393" s="439"/>
      <x:c r="N393" s="987" t="str">
        <x:f>IF(COUNTA($A393:$M393)=0,"",IF(OR(LOWER($F393&amp;"")="subscription",LOWER($F393&amp;"")="membership"),"",IF($G393="","",IF(ISNUMBER(SEARCH("non",LOWER($E393&amp;""))),$G393*0.85,$G393))))</x:f>
      </x:c>
      <x:c r="O393" s="987" t="str">
        <x:f>IF(COUNTA($A393:$M393)=0,"",IF(OR(LOWER($F393&amp;"")="subscription",LOWER($F393&amp;"")="membership"),"",IF(OR($N393="",$I393="",$I393=0),"",IFERROR($N393/$I393,""))))</x:f>
      </x:c>
      <x:c r="P393" s="987" t="str">
        <x:f>IF(COUNTA($A393:$M393)=0,"",IF(OR(LOWER($F393&amp;"")="subscription",LOWER($F393&amp;"")="membership"),"",IF(LOWER($L393&amp;"")="yes",0,IF($K393&lt;&gt;"",$K393,IF($O393&lt;&gt;"",$O393,"")))))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IF(COUNTA($A393:$M393)=0,"",IF(OR(LOWER($F393&amp;"")="subscription",LOWER($F393&amp;"")="membership"),"Subscription",IF(OR(AND($H393&lt;&gt;"",$H393=0),LOWER($F393&amp;"")="free game",LOWER($F393&amp;"")="free",LOWER($F393&amp;"")="free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986"/>
      <x:c r="H394" s="455"/>
      <x:c r="I394" s="456"/>
      <x:c r="J394" s="456"/>
      <x:c r="K394" s="986"/>
      <x:c r="L394" s="454"/>
      <x:c r="M394" s="439"/>
      <x:c r="N394" s="987" t="str">
        <x:f>IF(COUNTA($A394:$M394)=0,"",IF(OR(LOWER($F394&amp;"")="subscription",LOWER($F394&amp;"")="membership"),"",IF($G394="","",IF(ISNUMBER(SEARCH("non",LOWER($E394&amp;""))),$G394*0.85,$G394))))</x:f>
      </x:c>
      <x:c r="O394" s="987" t="str">
        <x:f>IF(COUNTA($A394:$M394)=0,"",IF(OR(LOWER($F394&amp;"")="subscription",LOWER($F394&amp;"")="membership"),"",IF(OR($N394="",$I394="",$I394=0),"",IFERROR($N394/$I394,""))))</x:f>
      </x:c>
      <x:c r="P394" s="987" t="str">
        <x:f>IF(COUNTA($A394:$M394)=0,"",IF(OR(LOWER($F394&amp;"")="subscription",LOWER($F394&amp;"")="membership"),"",IF(LOWER($L394&amp;"")="yes",0,IF($K394&lt;&gt;"",$K394,IF($O394&lt;&gt;"",$O394,"")))))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IF(COUNTA($A394:$M394)=0,"",IF(OR(LOWER($F394&amp;"")="subscription",LOWER($F394&amp;"")="membership"),"Subscription",IF(OR(AND($H394&lt;&gt;"",$H394=0),LOWER($F394&amp;"")="free game",LOWER($F394&amp;"")="free",LOWER($F394&amp;"")="free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986"/>
      <x:c r="H395" s="455"/>
      <x:c r="I395" s="456"/>
      <x:c r="J395" s="456"/>
      <x:c r="K395" s="986"/>
      <x:c r="L395" s="454"/>
      <x:c r="M395" s="439"/>
      <x:c r="N395" s="987" t="str">
        <x:f>IF(COUNTA($A395:$M395)=0,"",IF(OR(LOWER($F395&amp;"")="subscription",LOWER($F395&amp;"")="membership"),"",IF($G395="","",IF(ISNUMBER(SEARCH("non",LOWER($E395&amp;""))),$G395*0.85,$G395))))</x:f>
      </x:c>
      <x:c r="O395" s="987" t="str">
        <x:f>IF(COUNTA($A395:$M395)=0,"",IF(OR(LOWER($F395&amp;"")="subscription",LOWER($F395&amp;"")="membership"),"",IF(OR($N395="",$I395="",$I395=0),"",IFERROR($N395/$I395,""))))</x:f>
      </x:c>
      <x:c r="P395" s="987" t="str">
        <x:f>IF(COUNTA($A395:$M395)=0,"",IF(OR(LOWER($F395&amp;"")="subscription",LOWER($F395&amp;"")="membership"),"",IF(LOWER($L395&amp;"")="yes",0,IF($K395&lt;&gt;"",$K395,IF($O395&lt;&gt;"",$O395,"")))))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IF(COUNTA($A395:$M395)=0,"",IF(OR(LOWER($F395&amp;"")="subscription",LOWER($F395&amp;"")="membership"),"Subscription",IF(OR(AND($H395&lt;&gt;"",$H395=0),LOWER($F395&amp;"")="free game",LOWER($F395&amp;"")="free",LOWER($F395&amp;"")="free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986"/>
      <x:c r="H396" s="455"/>
      <x:c r="I396" s="456"/>
      <x:c r="J396" s="456"/>
      <x:c r="K396" s="986"/>
      <x:c r="L396" s="454"/>
      <x:c r="M396" s="439"/>
      <x:c r="N396" s="987" t="str">
        <x:f>IF(COUNTA($A396:$M396)=0,"",IF(OR(LOWER($F396&amp;"")="subscription",LOWER($F396&amp;"")="membership"),"",IF($G396="","",IF(ISNUMBER(SEARCH("non",LOWER($E396&amp;""))),$G396*0.85,$G396))))</x:f>
      </x:c>
      <x:c r="O396" s="987" t="str">
        <x:f>IF(COUNTA($A396:$M396)=0,"",IF(OR(LOWER($F396&amp;"")="subscription",LOWER($F396&amp;"")="membership"),"",IF(OR($N396="",$I396="",$I396=0),"",IFERROR($N396/$I396,""))))</x:f>
      </x:c>
      <x:c r="P396" s="987" t="str">
        <x:f>IF(COUNTA($A396:$M396)=0,"",IF(OR(LOWER($F396&amp;"")="subscription",LOWER($F396&amp;"")="membership"),"",IF(LOWER($L396&amp;"")="yes",0,IF($K396&lt;&gt;"",$K396,IF($O396&lt;&gt;"",$O396,"")))))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IF(COUNTA($A396:$M396)=0,"",IF(OR(LOWER($F396&amp;"")="subscription",LOWER($F396&amp;"")="membership"),"Subscription",IF(OR(AND($H396&lt;&gt;"",$H396=0),LOWER($F396&amp;"")="free game",LOWER($F396&amp;"")="free",LOWER($F396&amp;"")="free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986"/>
      <x:c r="H397" s="455"/>
      <x:c r="I397" s="456"/>
      <x:c r="J397" s="456"/>
      <x:c r="K397" s="986"/>
      <x:c r="L397" s="454"/>
      <x:c r="M397" s="439"/>
      <x:c r="N397" s="987" t="str">
        <x:f>IF(COUNTA($A397:$M397)=0,"",IF(OR(LOWER($F397&amp;"")="subscription",LOWER($F397&amp;"")="membership"),"",IF($G397="","",IF(ISNUMBER(SEARCH("non",LOWER($E397&amp;""))),$G397*0.85,$G397))))</x:f>
      </x:c>
      <x:c r="O397" s="987" t="str">
        <x:f>IF(COUNTA($A397:$M397)=0,"",IF(OR(LOWER($F397&amp;"")="subscription",LOWER($F397&amp;"")="membership"),"",IF(OR($N397="",$I397="",$I397=0),"",IFERROR($N397/$I397,""))))</x:f>
      </x:c>
      <x:c r="P397" s="987" t="str">
        <x:f>IF(COUNTA($A397:$M397)=0,"",IF(OR(LOWER($F397&amp;"")="subscription",LOWER($F397&amp;"")="membership"),"",IF(LOWER($L397&amp;"")="yes",0,IF($K397&lt;&gt;"",$K397,IF($O397&lt;&gt;"",$O397,"")))))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IF(COUNTA($A397:$M397)=0,"",IF(OR(LOWER($F397&amp;"")="subscription",LOWER($F397&amp;"")="membership"),"Subscription",IF(OR(AND($H397&lt;&gt;"",$H397=0),LOWER($F397&amp;"")="free game",LOWER($F397&amp;"")="free",LOWER($F397&amp;"")="free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986"/>
      <x:c r="H398" s="455"/>
      <x:c r="I398" s="456"/>
      <x:c r="J398" s="456"/>
      <x:c r="K398" s="986"/>
      <x:c r="L398" s="454"/>
      <x:c r="M398" s="439"/>
      <x:c r="N398" s="987" t="str">
        <x:f>IF(COUNTA($A398:$M398)=0,"",IF(OR(LOWER($F398&amp;"")="subscription",LOWER($F398&amp;"")="membership"),"",IF($G398="","",IF(ISNUMBER(SEARCH("non",LOWER($E398&amp;""))),$G398*0.85,$G398))))</x:f>
      </x:c>
      <x:c r="O398" s="987" t="str">
        <x:f>IF(COUNTA($A398:$M398)=0,"",IF(OR(LOWER($F398&amp;"")="subscription",LOWER($F398&amp;"")="membership"),"",IF(OR($N398="",$I398="",$I398=0),"",IFERROR($N398/$I398,""))))</x:f>
      </x:c>
      <x:c r="P398" s="987" t="str">
        <x:f>IF(COUNTA($A398:$M398)=0,"",IF(OR(LOWER($F398&amp;"")="subscription",LOWER($F398&amp;"")="membership"),"",IF(LOWER($L398&amp;"")="yes",0,IF($K398&lt;&gt;"",$K398,IF($O398&lt;&gt;"",$O398,"")))))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IF(COUNTA($A398:$M398)=0,"",IF(OR(LOWER($F398&amp;"")="subscription",LOWER($F398&amp;"")="membership"),"Subscription",IF(OR(AND($H398&lt;&gt;"",$H398=0),LOWER($F398&amp;"")="free game",LOWER($F398&amp;"")="free",LOWER($F398&amp;"")="free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986"/>
      <x:c r="H399" s="455"/>
      <x:c r="I399" s="456"/>
      <x:c r="J399" s="456"/>
      <x:c r="K399" s="986"/>
      <x:c r="L399" s="454"/>
      <x:c r="M399" s="439"/>
      <x:c r="N399" s="987" t="str">
        <x:f>IF(COUNTA($A399:$M399)=0,"",IF(OR(LOWER($F399&amp;"")="subscription",LOWER($F399&amp;"")="membership"),"",IF($G399="","",IF(ISNUMBER(SEARCH("non",LOWER($E399&amp;""))),$G399*0.85,$G399))))</x:f>
      </x:c>
      <x:c r="O399" s="987" t="str">
        <x:f>IF(COUNTA($A399:$M399)=0,"",IF(OR(LOWER($F399&amp;"")="subscription",LOWER($F399&amp;"")="membership"),"",IF(OR($N399="",$I399="",$I399=0),"",IFERROR($N399/$I399,""))))</x:f>
      </x:c>
      <x:c r="P399" s="987" t="str">
        <x:f>IF(COUNTA($A399:$M399)=0,"",IF(OR(LOWER($F399&amp;"")="subscription",LOWER($F399&amp;"")="membership"),"",IF(LOWER($L399&amp;"")="yes",0,IF($K399&lt;&gt;"",$K399,IF($O399&lt;&gt;"",$O399,"")))))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IF(COUNTA($A399:$M399)=0,"",IF(OR(LOWER($F399&amp;"")="subscription",LOWER($F399&amp;"")="membership"),"Subscription",IF(OR(AND($H399&lt;&gt;"",$H399=0),LOWER($F399&amp;"")="free game",LOWER($F399&amp;"")="free",LOWER($F399&amp;"")="free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986"/>
      <x:c r="H400" s="455"/>
      <x:c r="I400" s="456"/>
      <x:c r="J400" s="456"/>
      <x:c r="K400" s="986"/>
      <x:c r="L400" s="454"/>
      <x:c r="M400" s="439"/>
      <x:c r="N400" s="987" t="str">
        <x:f>IF(COUNTA($A400:$M400)=0,"",IF(OR(LOWER($F400&amp;"")="subscription",LOWER($F400&amp;"")="membership"),"",IF($G400="","",IF(ISNUMBER(SEARCH("non",LOWER($E400&amp;""))),$G400*0.85,$G400))))</x:f>
      </x:c>
      <x:c r="O400" s="987" t="str">
        <x:f>IF(COUNTA($A400:$M400)=0,"",IF(OR(LOWER($F400&amp;"")="subscription",LOWER($F400&amp;"")="membership"),"",IF(OR($N400="",$I400="",$I400=0),"",IFERROR($N400/$I400,""))))</x:f>
      </x:c>
      <x:c r="P400" s="987" t="str">
        <x:f>IF(COUNTA($A400:$M400)=0,"",IF(OR(LOWER($F400&amp;"")="subscription",LOWER($F400&amp;"")="membership"),"",IF(LOWER($L400&amp;"")="yes",0,IF($K400&lt;&gt;"",$K400,IF($O400&lt;&gt;"",$O400,"")))))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IF(COUNTA($A400:$M400)=0,"",IF(OR(LOWER($F400&amp;"")="subscription",LOWER($F400&amp;"")="membership"),"Subscription",IF(OR(AND($H400&lt;&gt;"",$H400=0),LOWER($F400&amp;"")="free game",LOWER($F400&amp;"")="free",LOWER($F400&amp;"")="free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986"/>
      <x:c r="H401" s="455"/>
      <x:c r="I401" s="456"/>
      <x:c r="J401" s="456"/>
      <x:c r="K401" s="986"/>
      <x:c r="L401" s="454"/>
      <x:c r="M401" s="439"/>
      <x:c r="N401" s="987" t="str">
        <x:f>IF(COUNTA($A401:$M401)=0,"",IF(OR(LOWER($F401&amp;"")="subscription",LOWER($F401&amp;"")="membership"),"",IF($G401="","",IF(ISNUMBER(SEARCH("non",LOWER($E401&amp;""))),$G401*0.85,$G401))))</x:f>
      </x:c>
      <x:c r="O401" s="987" t="str">
        <x:f>IF(COUNTA($A401:$M401)=0,"",IF(OR(LOWER($F401&amp;"")="subscription",LOWER($F401&amp;"")="membership"),"",IF(OR($N401="",$I401="",$I401=0),"",IFERROR($N401/$I401,""))))</x:f>
      </x:c>
      <x:c r="P401" s="987" t="str">
        <x:f>IF(COUNTA($A401:$M401)=0,"",IF(OR(LOWER($F401&amp;"")="subscription",LOWER($F401&amp;"")="membership"),"",IF(LOWER($L401&amp;"")="yes",0,IF($K401&lt;&gt;"",$K401,IF($O401&lt;&gt;"",$O401,"")))))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IF(COUNTA($A401:$M401)=0,"",IF(OR(LOWER($F401&amp;"")="subscription",LOWER($F401&amp;"")="membership"),"Subscription",IF(OR(AND($H401&lt;&gt;"",$H401=0),LOWER($F401&amp;"")="free game",LOWER($F401&amp;"")="free",LOWER($F401&amp;"")="free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986"/>
      <x:c r="H402" s="455"/>
      <x:c r="I402" s="456"/>
      <x:c r="J402" s="456"/>
      <x:c r="K402" s="986"/>
      <x:c r="L402" s="454"/>
      <x:c r="M402" s="439"/>
      <x:c r="N402" s="987" t="str">
        <x:f>IF(COUNTA($A402:$M402)=0,"",IF(OR(LOWER($F402&amp;"")="subscription",LOWER($F402&amp;"")="membership"),"",IF($G402="","",IF(ISNUMBER(SEARCH("non",LOWER($E402&amp;""))),$G402*0.85,$G402))))</x:f>
      </x:c>
      <x:c r="O402" s="987" t="str">
        <x:f>IF(COUNTA($A402:$M402)=0,"",IF(OR(LOWER($F402&amp;"")="subscription",LOWER($F402&amp;"")="membership"),"",IF(OR($N402="",$I402="",$I402=0),"",IFERROR($N402/$I402,""))))</x:f>
      </x:c>
      <x:c r="P402" s="987" t="str">
        <x:f>IF(COUNTA($A402:$M402)=0,"",IF(OR(LOWER($F402&amp;"")="subscription",LOWER($F402&amp;"")="membership"),"",IF(LOWER($L402&amp;"")="yes",0,IF($K402&lt;&gt;"",$K402,IF($O402&lt;&gt;"",$O402,"")))))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IF(COUNTA($A402:$M402)=0,"",IF(OR(LOWER($F402&amp;"")="subscription",LOWER($F402&amp;"")="membership"),"Subscription",IF(OR(AND($H402&lt;&gt;"",$H402=0),LOWER($F402&amp;"")="free game",LOWER($F402&amp;"")="free",LOWER($F402&amp;"")="free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986"/>
      <x:c r="H403" s="455"/>
      <x:c r="I403" s="456"/>
      <x:c r="J403" s="456"/>
      <x:c r="K403" s="986"/>
      <x:c r="L403" s="454"/>
      <x:c r="M403" s="439"/>
      <x:c r="N403" s="987" t="str">
        <x:f>IF(COUNTA($A403:$M403)=0,"",IF(OR(LOWER($F403&amp;"")="subscription",LOWER($F403&amp;"")="membership"),"",IF($G403="","",IF(ISNUMBER(SEARCH("non",LOWER($E403&amp;""))),$G403*0.85,$G403))))</x:f>
      </x:c>
      <x:c r="O403" s="987" t="str">
        <x:f>IF(COUNTA($A403:$M403)=0,"",IF(OR(LOWER($F403&amp;"")="subscription",LOWER($F403&amp;"")="membership"),"",IF(OR($N403="",$I403="",$I403=0),"",IFERROR($N403/$I403,""))))</x:f>
      </x:c>
      <x:c r="P403" s="987" t="str">
        <x:f>IF(COUNTA($A403:$M403)=0,"",IF(OR(LOWER($F403&amp;"")="subscription",LOWER($F403&amp;"")="membership"),"",IF(LOWER($L403&amp;"")="yes",0,IF($K403&lt;&gt;"",$K403,IF($O403&lt;&gt;"",$O403,"")))))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IF(COUNTA($A403:$M403)=0,"",IF(OR(LOWER($F403&amp;"")="subscription",LOWER($F403&amp;"")="membership"),"Subscription",IF(OR(AND($H403&lt;&gt;"",$H403=0),LOWER($F403&amp;"")="free game",LOWER($F403&amp;"")="free",LOWER($F403&amp;"")="free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986"/>
      <x:c r="H404" s="455"/>
      <x:c r="I404" s="456"/>
      <x:c r="J404" s="456"/>
      <x:c r="K404" s="986"/>
      <x:c r="L404" s="454"/>
      <x:c r="M404" s="439"/>
      <x:c r="N404" s="987" t="str">
        <x:f>IF(COUNTA($A404:$M404)=0,"",IF(OR(LOWER($F404&amp;"")="subscription",LOWER($F404&amp;"")="membership"),"",IF($G404="","",IF(ISNUMBER(SEARCH("non",LOWER($E404&amp;""))),$G404*0.85,$G404))))</x:f>
      </x:c>
      <x:c r="O404" s="987" t="str">
        <x:f>IF(COUNTA($A404:$M404)=0,"",IF(OR(LOWER($F404&amp;"")="subscription",LOWER($F404&amp;"")="membership"),"",IF(OR($N404="",$I404="",$I404=0),"",IFERROR($N404/$I404,""))))</x:f>
      </x:c>
      <x:c r="P404" s="987" t="str">
        <x:f>IF(COUNTA($A404:$M404)=0,"",IF(OR(LOWER($F404&amp;"")="subscription",LOWER($F404&amp;"")="membership"),"",IF(LOWER($L404&amp;"")="yes",0,IF($K404&lt;&gt;"",$K404,IF($O404&lt;&gt;"",$O404,"")))))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IF(COUNTA($A404:$M404)=0,"",IF(OR(LOWER($F404&amp;"")="subscription",LOWER($F404&amp;"")="membership"),"Subscription",IF(OR(AND($H404&lt;&gt;"",$H404=0),LOWER($F404&amp;"")="free game",LOWER($F404&amp;"")="free",LOWER($F404&amp;"")="free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986"/>
      <x:c r="H405" s="455"/>
      <x:c r="I405" s="456"/>
      <x:c r="J405" s="456"/>
      <x:c r="K405" s="986"/>
      <x:c r="L405" s="454"/>
      <x:c r="M405" s="439"/>
      <x:c r="N405" s="987" t="str">
        <x:f>IF(COUNTA($A405:$M405)=0,"",IF(OR(LOWER($F405&amp;"")="subscription",LOWER($F405&amp;"")="membership"),"",IF($G405="","",IF(ISNUMBER(SEARCH("non",LOWER($E405&amp;""))),$G405*0.85,$G405))))</x:f>
      </x:c>
      <x:c r="O405" s="987" t="str">
        <x:f>IF(COUNTA($A405:$M405)=0,"",IF(OR(LOWER($F405&amp;"")="subscription",LOWER($F405&amp;"")="membership"),"",IF(OR($N405="",$I405="",$I405=0),"",IFERROR($N405/$I405,""))))</x:f>
      </x:c>
      <x:c r="P405" s="987" t="str">
        <x:f>IF(COUNTA($A405:$M405)=0,"",IF(OR(LOWER($F405&amp;"")="subscription",LOWER($F405&amp;"")="membership"),"",IF(LOWER($L405&amp;"")="yes",0,IF($K405&lt;&gt;"",$K405,IF($O405&lt;&gt;"",$O405,"")))))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IF(COUNTA($A405:$M405)=0,"",IF(OR(LOWER($F405&amp;"")="subscription",LOWER($F405&amp;"")="membership"),"Subscription",IF(OR(AND($H405&lt;&gt;"",$H405=0),LOWER($F405&amp;"")="free game",LOWER($F405&amp;"")="free",LOWER($F405&amp;"")="free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986"/>
      <x:c r="H406" s="455"/>
      <x:c r="I406" s="456"/>
      <x:c r="J406" s="456"/>
      <x:c r="K406" s="986"/>
      <x:c r="L406" s="454"/>
      <x:c r="M406" s="439"/>
      <x:c r="N406" s="987" t="str">
        <x:f>IF(COUNTA($A406:$M406)=0,"",IF(OR(LOWER($F406&amp;"")="subscription",LOWER($F406&amp;"")="membership"),"",IF($G406="","",IF(ISNUMBER(SEARCH("non",LOWER($E406&amp;""))),$G406*0.85,$G406))))</x:f>
      </x:c>
      <x:c r="O406" s="987" t="str">
        <x:f>IF(COUNTA($A406:$M406)=0,"",IF(OR(LOWER($F406&amp;"")="subscription",LOWER($F406&amp;"")="membership"),"",IF(OR($N406="",$I406="",$I406=0),"",IFERROR($N406/$I406,""))))</x:f>
      </x:c>
      <x:c r="P406" s="987" t="str">
        <x:f>IF(COUNTA($A406:$M406)=0,"",IF(OR(LOWER($F406&amp;"")="subscription",LOWER($F406&amp;"")="membership"),"",IF(LOWER($L406&amp;"")="yes",0,IF($K406&lt;&gt;"",$K406,IF($O406&lt;&gt;"",$O406,"")))))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IF(COUNTA($A406:$M406)=0,"",IF(OR(LOWER($F406&amp;"")="subscription",LOWER($F406&amp;"")="membership"),"Subscription",IF(OR(AND($H406&lt;&gt;"",$H406=0),LOWER($F406&amp;"")="free game",LOWER($F406&amp;"")="free",LOWER($F406&amp;"")="free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986"/>
      <x:c r="H407" s="455"/>
      <x:c r="I407" s="456"/>
      <x:c r="J407" s="456"/>
      <x:c r="K407" s="986"/>
      <x:c r="L407" s="454"/>
      <x:c r="M407" s="439"/>
      <x:c r="N407" s="987" t="str">
        <x:f>IF(COUNTA($A407:$M407)=0,"",IF(OR(LOWER($F407&amp;"")="subscription",LOWER($F407&amp;"")="membership"),"",IF($G407="","",IF(ISNUMBER(SEARCH("non",LOWER($E407&amp;""))),$G407*0.85,$G407))))</x:f>
      </x:c>
      <x:c r="O407" s="987" t="str">
        <x:f>IF(COUNTA($A407:$M407)=0,"",IF(OR(LOWER($F407&amp;"")="subscription",LOWER($F407&amp;"")="membership"),"",IF(OR($N407="",$I407="",$I407=0),"",IFERROR($N407/$I407,""))))</x:f>
      </x:c>
      <x:c r="P407" s="987" t="str">
        <x:f>IF(COUNTA($A407:$M407)=0,"",IF(OR(LOWER($F407&amp;"")="subscription",LOWER($F407&amp;"")="membership"),"",IF(LOWER($L407&amp;"")="yes",0,IF($K407&lt;&gt;"",$K407,IF($O407&lt;&gt;"",$O407,"")))))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IF(COUNTA($A407:$M407)=0,"",IF(OR(LOWER($F407&amp;"")="subscription",LOWER($F407&amp;"")="membership"),"Subscription",IF(OR(AND($H407&lt;&gt;"",$H407=0),LOWER($F407&amp;"")="free game",LOWER($F407&amp;"")="free",LOWER($F407&amp;"")="free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986"/>
      <x:c r="H408" s="455"/>
      <x:c r="I408" s="456"/>
      <x:c r="J408" s="456"/>
      <x:c r="K408" s="986"/>
      <x:c r="L408" s="454"/>
      <x:c r="M408" s="439"/>
      <x:c r="N408" s="987" t="str">
        <x:f>IF(COUNTA($A408:$M408)=0,"",IF(OR(LOWER($F408&amp;"")="subscription",LOWER($F408&amp;"")="membership"),"",IF($G408="","",IF(ISNUMBER(SEARCH("non",LOWER($E408&amp;""))),$G408*0.85,$G408))))</x:f>
      </x:c>
      <x:c r="O408" s="987" t="str">
        <x:f>IF(COUNTA($A408:$M408)=0,"",IF(OR(LOWER($F408&amp;"")="subscription",LOWER($F408&amp;"")="membership"),"",IF(OR($N408="",$I408="",$I408=0),"",IFERROR($N408/$I408,""))))</x:f>
      </x:c>
      <x:c r="P408" s="987" t="str">
        <x:f>IF(COUNTA($A408:$M408)=0,"",IF(OR(LOWER($F408&amp;"")="subscription",LOWER($F408&amp;"")="membership"),"",IF(LOWER($L408&amp;"")="yes",0,IF($K408&lt;&gt;"",$K408,IF($O408&lt;&gt;"",$O408,"")))))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IF(COUNTA($A408:$M408)=0,"",IF(OR(LOWER($F408&amp;"")="subscription",LOWER($F408&amp;"")="membership"),"Subscription",IF(OR(AND($H408&lt;&gt;"",$H408=0),LOWER($F408&amp;"")="free game",LOWER($F408&amp;"")="free",LOWER($F408&amp;"")="free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986"/>
      <x:c r="H409" s="455"/>
      <x:c r="I409" s="456"/>
      <x:c r="J409" s="456"/>
      <x:c r="K409" s="986"/>
      <x:c r="L409" s="454"/>
      <x:c r="M409" s="439"/>
      <x:c r="N409" s="987" t="str">
        <x:f>IF(COUNTA($A409:$M409)=0,"",IF(OR(LOWER($F409&amp;"")="subscription",LOWER($F409&amp;"")="membership"),"",IF($G409="","",IF(ISNUMBER(SEARCH("non",LOWER($E409&amp;""))),$G409*0.85,$G409))))</x:f>
      </x:c>
      <x:c r="O409" s="987" t="str">
        <x:f>IF(COUNTA($A409:$M409)=0,"",IF(OR(LOWER($F409&amp;"")="subscription",LOWER($F409&amp;"")="membership"),"",IF(OR($N409="",$I409="",$I409=0),"",IFERROR($N409/$I409,""))))</x:f>
      </x:c>
      <x:c r="P409" s="987" t="str">
        <x:f>IF(COUNTA($A409:$M409)=0,"",IF(OR(LOWER($F409&amp;"")="subscription",LOWER($F409&amp;"")="membership"),"",IF(LOWER($L409&amp;"")="yes",0,IF($K409&lt;&gt;"",$K409,IF($O409&lt;&gt;"",$O409,"")))))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IF(COUNTA($A409:$M409)=0,"",IF(OR(LOWER($F409&amp;"")="subscription",LOWER($F409&amp;"")="membership"),"Subscription",IF(OR(AND($H409&lt;&gt;"",$H409=0),LOWER($F409&amp;"")="free game",LOWER($F409&amp;"")="free",LOWER($F409&amp;"")="free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986"/>
      <x:c r="H410" s="455"/>
      <x:c r="I410" s="456"/>
      <x:c r="J410" s="456"/>
      <x:c r="K410" s="986"/>
      <x:c r="L410" s="454"/>
      <x:c r="M410" s="439"/>
      <x:c r="N410" s="987" t="str">
        <x:f>IF(COUNTA($A410:$M410)=0,"",IF(OR(LOWER($F410&amp;"")="subscription",LOWER($F410&amp;"")="membership"),"",IF($G410="","",IF(ISNUMBER(SEARCH("non",LOWER($E410&amp;""))),$G410*0.85,$G410))))</x:f>
      </x:c>
      <x:c r="O410" s="987" t="str">
        <x:f>IF(COUNTA($A410:$M410)=0,"",IF(OR(LOWER($F410&amp;"")="subscription",LOWER($F410&amp;"")="membership"),"",IF(OR($N410="",$I410="",$I410=0),"",IFERROR($N410/$I410,""))))</x:f>
      </x:c>
      <x:c r="P410" s="987" t="str">
        <x:f>IF(COUNTA($A410:$M410)=0,"",IF(OR(LOWER($F410&amp;"")="subscription",LOWER($F410&amp;"")="membership"),"",IF(LOWER($L410&amp;"")="yes",0,IF($K410&lt;&gt;"",$K410,IF($O410&lt;&gt;"",$O410,"")))))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IF(COUNTA($A410:$M410)=0,"",IF(OR(LOWER($F410&amp;"")="subscription",LOWER($F410&amp;"")="membership"),"Subscription",IF(OR(AND($H410&lt;&gt;"",$H410=0),LOWER($F410&amp;"")="free game",LOWER($F410&amp;"")="free",LOWER($F410&amp;"")="free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986"/>
      <x:c r="H411" s="455"/>
      <x:c r="I411" s="456"/>
      <x:c r="J411" s="456"/>
      <x:c r="K411" s="986"/>
      <x:c r="L411" s="454"/>
      <x:c r="M411" s="439"/>
      <x:c r="N411" s="987" t="str">
        <x:f>IF(COUNTA($A411:$M411)=0,"",IF(OR(LOWER($F411&amp;"")="subscription",LOWER($F411&amp;"")="membership"),"",IF($G411="","",IF(ISNUMBER(SEARCH("non",LOWER($E411&amp;""))),$G411*0.85,$G411))))</x:f>
      </x:c>
      <x:c r="O411" s="987" t="str">
        <x:f>IF(COUNTA($A411:$M411)=0,"",IF(OR(LOWER($F411&amp;"")="subscription",LOWER($F411&amp;"")="membership"),"",IF(OR($N411="",$I411="",$I411=0),"",IFERROR($N411/$I411,""))))</x:f>
      </x:c>
      <x:c r="P411" s="987" t="str">
        <x:f>IF(COUNTA($A411:$M411)=0,"",IF(OR(LOWER($F411&amp;"")="subscription",LOWER($F411&amp;"")="membership"),"",IF(LOWER($L411&amp;"")="yes",0,IF($K411&lt;&gt;"",$K411,IF($O411&lt;&gt;"",$O411,"")))))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IF(COUNTA($A411:$M411)=0,"",IF(OR(LOWER($F411&amp;"")="subscription",LOWER($F411&amp;"")="membership"),"Subscription",IF(OR(AND($H411&lt;&gt;"",$H411=0),LOWER($F411&amp;"")="free game",LOWER($F411&amp;"")="free",LOWER($F411&amp;"")="free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986"/>
      <x:c r="H412" s="455"/>
      <x:c r="I412" s="456"/>
      <x:c r="J412" s="456"/>
      <x:c r="K412" s="986"/>
      <x:c r="L412" s="454"/>
      <x:c r="M412" s="439"/>
      <x:c r="N412" s="987" t="str">
        <x:f>IF(COUNTA($A412:$M412)=0,"",IF(OR(LOWER($F412&amp;"")="subscription",LOWER($F412&amp;"")="membership"),"",IF($G412="","",IF(ISNUMBER(SEARCH("non",LOWER($E412&amp;""))),$G412*0.85,$G412))))</x:f>
      </x:c>
      <x:c r="O412" s="987" t="str">
        <x:f>IF(COUNTA($A412:$M412)=0,"",IF(OR(LOWER($F412&amp;"")="subscription",LOWER($F412&amp;"")="membership"),"",IF(OR($N412="",$I412="",$I412=0),"",IFERROR($N412/$I412,""))))</x:f>
      </x:c>
      <x:c r="P412" s="987" t="str">
        <x:f>IF(COUNTA($A412:$M412)=0,"",IF(OR(LOWER($F412&amp;"")="subscription",LOWER($F412&amp;"")="membership"),"",IF(LOWER($L412&amp;"")="yes",0,IF($K412&lt;&gt;"",$K412,IF($O412&lt;&gt;"",$O412,"")))))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IF(COUNTA($A412:$M412)=0,"",IF(OR(LOWER($F412&amp;"")="subscription",LOWER($F412&amp;"")="membership"),"Subscription",IF(OR(AND($H412&lt;&gt;"",$H412=0),LOWER($F412&amp;"")="free game",LOWER($F412&amp;"")="free",LOWER($F412&amp;"")="free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986"/>
      <x:c r="H413" s="455"/>
      <x:c r="I413" s="456"/>
      <x:c r="J413" s="456"/>
      <x:c r="K413" s="986"/>
      <x:c r="L413" s="454"/>
      <x:c r="M413" s="439"/>
      <x:c r="N413" s="987" t="str">
        <x:f>IF(COUNTA($A413:$M413)=0,"",IF(OR(LOWER($F413&amp;"")="subscription",LOWER($F413&amp;"")="membership"),"",IF($G413="","",IF(ISNUMBER(SEARCH("non",LOWER($E413&amp;""))),$G413*0.85,$G413))))</x:f>
      </x:c>
      <x:c r="O413" s="987" t="str">
        <x:f>IF(COUNTA($A413:$M413)=0,"",IF(OR(LOWER($F413&amp;"")="subscription",LOWER($F413&amp;"")="membership"),"",IF(OR($N413="",$I413="",$I413=0),"",IFERROR($N413/$I413,""))))</x:f>
      </x:c>
      <x:c r="P413" s="987" t="str">
        <x:f>IF(COUNTA($A413:$M413)=0,"",IF(OR(LOWER($F413&amp;"")="subscription",LOWER($F413&amp;"")="membership"),"",IF(LOWER($L413&amp;"")="yes",0,IF($K413&lt;&gt;"",$K413,IF($O413&lt;&gt;"",$O413,"")))))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IF(COUNTA($A413:$M413)=0,"",IF(OR(LOWER($F413&amp;"")="subscription",LOWER($F413&amp;"")="membership"),"Subscription",IF(OR(AND($H413&lt;&gt;"",$H413=0),LOWER($F413&amp;"")="free game",LOWER($F413&amp;"")="free",LOWER($F413&amp;"")="free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986"/>
      <x:c r="H414" s="455"/>
      <x:c r="I414" s="456"/>
      <x:c r="J414" s="456"/>
      <x:c r="K414" s="986"/>
      <x:c r="L414" s="454"/>
      <x:c r="M414" s="439"/>
      <x:c r="N414" s="987" t="str">
        <x:f>IF(COUNTA($A414:$M414)=0,"",IF(OR(LOWER($F414&amp;"")="subscription",LOWER($F414&amp;"")="membership"),"",IF($G414="","",IF(ISNUMBER(SEARCH("non",LOWER($E414&amp;""))),$G414*0.85,$G414))))</x:f>
      </x:c>
      <x:c r="O414" s="987" t="str">
        <x:f>IF(COUNTA($A414:$M414)=0,"",IF(OR(LOWER($F414&amp;"")="subscription",LOWER($F414&amp;"")="membership"),"",IF(OR($N414="",$I414="",$I414=0),"",IFERROR($N414/$I414,""))))</x:f>
      </x:c>
      <x:c r="P414" s="987" t="str">
        <x:f>IF(COUNTA($A414:$M414)=0,"",IF(OR(LOWER($F414&amp;"")="subscription",LOWER($F414&amp;"")="membership"),"",IF(LOWER($L414&amp;"")="yes",0,IF($K414&lt;&gt;"",$K414,IF($O414&lt;&gt;"",$O414,"")))))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IF(COUNTA($A414:$M414)=0,"",IF(OR(LOWER($F414&amp;"")="subscription",LOWER($F414&amp;"")="membership"),"Subscription",IF(OR(AND($H414&lt;&gt;"",$H414=0),LOWER($F414&amp;"")="free game",LOWER($F414&amp;"")="free",LOWER($F414&amp;"")="free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986"/>
      <x:c r="H415" s="455"/>
      <x:c r="I415" s="456"/>
      <x:c r="J415" s="456"/>
      <x:c r="K415" s="986"/>
      <x:c r="L415" s="454"/>
      <x:c r="M415" s="439"/>
      <x:c r="N415" s="987" t="str">
        <x:f>IF(COUNTA($A415:$M415)=0,"",IF(OR(LOWER($F415&amp;"")="subscription",LOWER($F415&amp;"")="membership"),"",IF($G415="","",IF(ISNUMBER(SEARCH("non",LOWER($E415&amp;""))),$G415*0.85,$G415))))</x:f>
      </x:c>
      <x:c r="O415" s="987" t="str">
        <x:f>IF(COUNTA($A415:$M415)=0,"",IF(OR(LOWER($F415&amp;"")="subscription",LOWER($F415&amp;"")="membership"),"",IF(OR($N415="",$I415="",$I415=0),"",IFERROR($N415/$I415,""))))</x:f>
      </x:c>
      <x:c r="P415" s="987" t="str">
        <x:f>IF(COUNTA($A415:$M415)=0,"",IF(OR(LOWER($F415&amp;"")="subscription",LOWER($F415&amp;"")="membership"),"",IF(LOWER($L415&amp;"")="yes",0,IF($K415&lt;&gt;"",$K415,IF($O415&lt;&gt;"",$O415,"")))))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IF(COUNTA($A415:$M415)=0,"",IF(OR(LOWER($F415&amp;"")="subscription",LOWER($F415&amp;"")="membership"),"Subscription",IF(OR(AND($H415&lt;&gt;"",$H415=0),LOWER($F415&amp;"")="free game",LOWER($F415&amp;"")="free",LOWER($F415&amp;"")="free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986"/>
      <x:c r="H416" s="455"/>
      <x:c r="I416" s="456"/>
      <x:c r="J416" s="456"/>
      <x:c r="K416" s="986"/>
      <x:c r="L416" s="454"/>
      <x:c r="M416" s="439"/>
      <x:c r="N416" s="987" t="str">
        <x:f>IF(COUNTA($A416:$M416)=0,"",IF(OR(LOWER($F416&amp;"")="subscription",LOWER($F416&amp;"")="membership"),"",IF($G416="","",IF(ISNUMBER(SEARCH("non",LOWER($E416&amp;""))),$G416*0.85,$G416))))</x:f>
      </x:c>
      <x:c r="O416" s="987" t="str">
        <x:f>IF(COUNTA($A416:$M416)=0,"",IF(OR(LOWER($F416&amp;"")="subscription",LOWER($F416&amp;"")="membership"),"",IF(OR($N416="",$I416="",$I416=0),"",IFERROR($N416/$I416,""))))</x:f>
      </x:c>
      <x:c r="P416" s="987" t="str">
        <x:f>IF(COUNTA($A416:$M416)=0,"",IF(OR(LOWER($F416&amp;"")="subscription",LOWER($F416&amp;"")="membership"),"",IF(LOWER($L416&amp;"")="yes",0,IF($K416&lt;&gt;"",$K416,IF($O416&lt;&gt;"",$O416,"")))))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IF(COUNTA($A416:$M416)=0,"",IF(OR(LOWER($F416&amp;"")="subscription",LOWER($F416&amp;"")="membership"),"Subscription",IF(OR(AND($H416&lt;&gt;"",$H416=0),LOWER($F416&amp;"")="free game",LOWER($F416&amp;"")="free",LOWER($F416&amp;"")="free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986"/>
      <x:c r="H417" s="455"/>
      <x:c r="I417" s="456"/>
      <x:c r="J417" s="456"/>
      <x:c r="K417" s="986"/>
      <x:c r="L417" s="454"/>
      <x:c r="M417" s="439"/>
      <x:c r="N417" s="987" t="str">
        <x:f>IF(COUNTA($A417:$M417)=0,"",IF(OR(LOWER($F417&amp;"")="subscription",LOWER($F417&amp;"")="membership"),"",IF($G417="","",IF(ISNUMBER(SEARCH("non",LOWER($E417&amp;""))),$G417*0.85,$G417))))</x:f>
      </x:c>
      <x:c r="O417" s="987" t="str">
        <x:f>IF(COUNTA($A417:$M417)=0,"",IF(OR(LOWER($F417&amp;"")="subscription",LOWER($F417&amp;"")="membership"),"",IF(OR($N417="",$I417="",$I417=0),"",IFERROR($N417/$I417,""))))</x:f>
      </x:c>
      <x:c r="P417" s="987" t="str">
        <x:f>IF(COUNTA($A417:$M417)=0,"",IF(OR(LOWER($F417&amp;"")="subscription",LOWER($F417&amp;"")="membership"),"",IF(LOWER($L417&amp;"")="yes",0,IF($K417&lt;&gt;"",$K417,IF($O417&lt;&gt;"",$O417,"")))))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IF(COUNTA($A417:$M417)=0,"",IF(OR(LOWER($F417&amp;"")="subscription",LOWER($F417&amp;"")="membership"),"Subscription",IF(OR(AND($H417&lt;&gt;"",$H417=0),LOWER($F417&amp;"")="free game",LOWER($F417&amp;"")="free",LOWER($F417&amp;"")="free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986"/>
      <x:c r="H418" s="455"/>
      <x:c r="I418" s="456"/>
      <x:c r="J418" s="456"/>
      <x:c r="K418" s="986"/>
      <x:c r="L418" s="454"/>
      <x:c r="M418" s="439"/>
      <x:c r="N418" s="987" t="str">
        <x:f>IF(COUNTA($A418:$M418)=0,"",IF(OR(LOWER($F418&amp;"")="subscription",LOWER($F418&amp;"")="membership"),"",IF($G418="","",IF(ISNUMBER(SEARCH("non",LOWER($E418&amp;""))),$G418*0.85,$G418))))</x:f>
      </x:c>
      <x:c r="O418" s="987" t="str">
        <x:f>IF(COUNTA($A418:$M418)=0,"",IF(OR(LOWER($F418&amp;"")="subscription",LOWER($F418&amp;"")="membership"),"",IF(OR($N418="",$I418="",$I418=0),"",IFERROR($N418/$I418,""))))</x:f>
      </x:c>
      <x:c r="P418" s="987" t="str">
        <x:f>IF(COUNTA($A418:$M418)=0,"",IF(OR(LOWER($F418&amp;"")="subscription",LOWER($F418&amp;"")="membership"),"",IF(LOWER($L418&amp;"")="yes",0,IF($K418&lt;&gt;"",$K418,IF($O418&lt;&gt;"",$O418,"")))))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IF(COUNTA($A418:$M418)=0,"",IF(OR(LOWER($F418&amp;"")="subscription",LOWER($F418&amp;"")="membership"),"Subscription",IF(OR(AND($H418&lt;&gt;"",$H418=0),LOWER($F418&amp;"")="free game",LOWER($F418&amp;"")="free",LOWER($F418&amp;"")="free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986"/>
      <x:c r="H419" s="455"/>
      <x:c r="I419" s="456"/>
      <x:c r="J419" s="456"/>
      <x:c r="K419" s="986"/>
      <x:c r="L419" s="454"/>
      <x:c r="M419" s="439"/>
      <x:c r="N419" s="987" t="str">
        <x:f>IF(COUNTA($A419:$M419)=0,"",IF(OR(LOWER($F419&amp;"")="subscription",LOWER($F419&amp;"")="membership"),"",IF($G419="","",IF(ISNUMBER(SEARCH("non",LOWER($E419&amp;""))),$G419*0.85,$G419))))</x:f>
      </x:c>
      <x:c r="O419" s="987" t="str">
        <x:f>IF(COUNTA($A419:$M419)=0,"",IF(OR(LOWER($F419&amp;"")="subscription",LOWER($F419&amp;"")="membership"),"",IF(OR($N419="",$I419="",$I419=0),"",IFERROR($N419/$I419,""))))</x:f>
      </x:c>
      <x:c r="P419" s="987" t="str">
        <x:f>IF(COUNTA($A419:$M419)=0,"",IF(OR(LOWER($F419&amp;"")="subscription",LOWER($F419&amp;"")="membership"),"",IF(LOWER($L419&amp;"")="yes",0,IF($K419&lt;&gt;"",$K419,IF($O419&lt;&gt;"",$O419,"")))))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IF(COUNTA($A419:$M419)=0,"",IF(OR(LOWER($F419&amp;"")="subscription",LOWER($F419&amp;"")="membership"),"Subscription",IF(OR(AND($H419&lt;&gt;"",$H419=0),LOWER($F419&amp;"")="free game",LOWER($F419&amp;"")="free",LOWER($F419&amp;"")="free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986"/>
      <x:c r="H420" s="455"/>
      <x:c r="I420" s="456"/>
      <x:c r="J420" s="456"/>
      <x:c r="K420" s="986"/>
      <x:c r="L420" s="454"/>
      <x:c r="M420" s="439"/>
      <x:c r="N420" s="987" t="str">
        <x:f>IF(COUNTA($A420:$M420)=0,"",IF(OR(LOWER($F420&amp;"")="subscription",LOWER($F420&amp;"")="membership"),"",IF($G420="","",IF(ISNUMBER(SEARCH("non",LOWER($E420&amp;""))),$G420*0.85,$G420))))</x:f>
      </x:c>
      <x:c r="O420" s="987" t="str">
        <x:f>IF(COUNTA($A420:$M420)=0,"",IF(OR(LOWER($F420&amp;"")="subscription",LOWER($F420&amp;"")="membership"),"",IF(OR($N420="",$I420="",$I420=0),"",IFERROR($N420/$I420,""))))</x:f>
      </x:c>
      <x:c r="P420" s="987" t="str">
        <x:f>IF(COUNTA($A420:$M420)=0,"",IF(OR(LOWER($F420&amp;"")="subscription",LOWER($F420&amp;"")="membership"),"",IF(LOWER($L420&amp;"")="yes",0,IF($K420&lt;&gt;"",$K420,IF($O420&lt;&gt;"",$O420,"")))))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IF(COUNTA($A420:$M420)=0,"",IF(OR(LOWER($F420&amp;"")="subscription",LOWER($F420&amp;"")="membership"),"Subscription",IF(OR(AND($H420&lt;&gt;"",$H420=0),LOWER($F420&amp;"")="free game",LOWER($F420&amp;"")="free",LOWER($F420&amp;"")="free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986"/>
      <x:c r="H421" s="455"/>
      <x:c r="I421" s="456"/>
      <x:c r="J421" s="456"/>
      <x:c r="K421" s="986"/>
      <x:c r="L421" s="454"/>
      <x:c r="M421" s="439"/>
      <x:c r="N421" s="987" t="str">
        <x:f>IF(COUNTA($A421:$M421)=0,"",IF(OR(LOWER($F421&amp;"")="subscription",LOWER($F421&amp;"")="membership"),"",IF($G421="","",IF(ISNUMBER(SEARCH("non",LOWER($E421&amp;""))),$G421*0.85,$G421))))</x:f>
      </x:c>
      <x:c r="O421" s="987" t="str">
        <x:f>IF(COUNTA($A421:$M421)=0,"",IF(OR(LOWER($F421&amp;"")="subscription",LOWER($F421&amp;"")="membership"),"",IF(OR($N421="",$I421="",$I421=0),"",IFERROR($N421/$I421,""))))</x:f>
      </x:c>
      <x:c r="P421" s="987" t="str">
        <x:f>IF(COUNTA($A421:$M421)=0,"",IF(OR(LOWER($F421&amp;"")="subscription",LOWER($F421&amp;"")="membership"),"",IF(LOWER($L421&amp;"")="yes",0,IF($K421&lt;&gt;"",$K421,IF($O421&lt;&gt;"",$O421,"")))))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IF(COUNTA($A421:$M421)=0,"",IF(OR(LOWER($F421&amp;"")="subscription",LOWER($F421&amp;"")="membership"),"Subscription",IF(OR(AND($H421&lt;&gt;"",$H421=0),LOWER($F421&amp;"")="free game",LOWER($F421&amp;"")="free",LOWER($F421&amp;"")="free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986"/>
      <x:c r="H422" s="455"/>
      <x:c r="I422" s="456"/>
      <x:c r="J422" s="456"/>
      <x:c r="K422" s="986"/>
      <x:c r="L422" s="454"/>
      <x:c r="M422" s="439"/>
      <x:c r="N422" s="987" t="str">
        <x:f>IF(COUNTA($A422:$M422)=0,"",IF(OR(LOWER($F422&amp;"")="subscription",LOWER($F422&amp;"")="membership"),"",IF($G422="","",IF(ISNUMBER(SEARCH("non",LOWER($E422&amp;""))),$G422*0.85,$G422))))</x:f>
      </x:c>
      <x:c r="O422" s="987" t="str">
        <x:f>IF(COUNTA($A422:$M422)=0,"",IF(OR(LOWER($F422&amp;"")="subscription",LOWER($F422&amp;"")="membership"),"",IF(OR($N422="",$I422="",$I422=0),"",IFERROR($N422/$I422,""))))</x:f>
      </x:c>
      <x:c r="P422" s="987" t="str">
        <x:f>IF(COUNTA($A422:$M422)=0,"",IF(OR(LOWER($F422&amp;"")="subscription",LOWER($F422&amp;"")="membership"),"",IF(LOWER($L422&amp;"")="yes",0,IF($K422&lt;&gt;"",$K422,IF($O422&lt;&gt;"",$O422,"")))))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IF(COUNTA($A422:$M422)=0,"",IF(OR(LOWER($F422&amp;"")="subscription",LOWER($F422&amp;"")="membership"),"Subscription",IF(OR(AND($H422&lt;&gt;"",$H422=0),LOWER($F422&amp;"")="free game",LOWER($F422&amp;"")="free",LOWER($F422&amp;"")="free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986"/>
      <x:c r="H423" s="455"/>
      <x:c r="I423" s="456"/>
      <x:c r="J423" s="456"/>
      <x:c r="K423" s="986"/>
      <x:c r="L423" s="454"/>
      <x:c r="M423" s="439"/>
      <x:c r="N423" s="987" t="str">
        <x:f>IF(COUNTA($A423:$M423)=0,"",IF(OR(LOWER($F423&amp;"")="subscription",LOWER($F423&amp;"")="membership"),"",IF($G423="","",IF(ISNUMBER(SEARCH("non",LOWER($E423&amp;""))),$G423*0.85,$G423))))</x:f>
      </x:c>
      <x:c r="O423" s="987" t="str">
        <x:f>IF(COUNTA($A423:$M423)=0,"",IF(OR(LOWER($F423&amp;"")="subscription",LOWER($F423&amp;"")="membership"),"",IF(OR($N423="",$I423="",$I423=0),"",IFERROR($N423/$I423,""))))</x:f>
      </x:c>
      <x:c r="P423" s="987" t="str">
        <x:f>IF(COUNTA($A423:$M423)=0,"",IF(OR(LOWER($F423&amp;"")="subscription",LOWER($F423&amp;"")="membership"),"",IF(LOWER($L423&amp;"")="yes",0,IF($K423&lt;&gt;"",$K423,IF($O423&lt;&gt;"",$O423,"")))))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IF(COUNTA($A423:$M423)=0,"",IF(OR(LOWER($F423&amp;"")="subscription",LOWER($F423&amp;"")="membership"),"Subscription",IF(OR(AND($H423&lt;&gt;"",$H423=0),LOWER($F423&amp;"")="free game",LOWER($F423&amp;"")="free",LOWER($F423&amp;"")="free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986"/>
      <x:c r="H424" s="455"/>
      <x:c r="I424" s="456"/>
      <x:c r="J424" s="456"/>
      <x:c r="K424" s="986"/>
      <x:c r="L424" s="454"/>
      <x:c r="M424" s="439"/>
      <x:c r="N424" s="987" t="str">
        <x:f>IF(COUNTA($A424:$M424)=0,"",IF(OR(LOWER($F424&amp;"")="subscription",LOWER($F424&amp;"")="membership"),"",IF($G424="","",IF(ISNUMBER(SEARCH("non",LOWER($E424&amp;""))),$G424*0.85,$G424))))</x:f>
      </x:c>
      <x:c r="O424" s="987" t="str">
        <x:f>IF(COUNTA($A424:$M424)=0,"",IF(OR(LOWER($F424&amp;"")="subscription",LOWER($F424&amp;"")="membership"),"",IF(OR($N424="",$I424="",$I424=0),"",IFERROR($N424/$I424,""))))</x:f>
      </x:c>
      <x:c r="P424" s="987" t="str">
        <x:f>IF(COUNTA($A424:$M424)=0,"",IF(OR(LOWER($F424&amp;"")="subscription",LOWER($F424&amp;"")="membership"),"",IF(LOWER($L424&amp;"")="yes",0,IF($K424&lt;&gt;"",$K424,IF($O424&lt;&gt;"",$O424,"")))))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IF(COUNTA($A424:$M424)=0,"",IF(OR(LOWER($F424&amp;"")="subscription",LOWER($F424&amp;"")="membership"),"Subscription",IF(OR(AND($H424&lt;&gt;"",$H424=0),LOWER($F424&amp;"")="free game",LOWER($F424&amp;"")="free",LOWER($F424&amp;"")="free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986"/>
      <x:c r="H425" s="455"/>
      <x:c r="I425" s="456"/>
      <x:c r="J425" s="456"/>
      <x:c r="K425" s="986"/>
      <x:c r="L425" s="454"/>
      <x:c r="M425" s="439"/>
      <x:c r="N425" s="987" t="str">
        <x:f>IF(COUNTA($A425:$M425)=0,"",IF(OR(LOWER($F425&amp;"")="subscription",LOWER($F425&amp;"")="membership"),"",IF($G425="","",IF(ISNUMBER(SEARCH("non",LOWER($E425&amp;""))),$G425*0.85,$G425))))</x:f>
      </x:c>
      <x:c r="O425" s="987" t="str">
        <x:f>IF(COUNTA($A425:$M425)=0,"",IF(OR(LOWER($F425&amp;"")="subscription",LOWER($F425&amp;"")="membership"),"",IF(OR($N425="",$I425="",$I425=0),"",IFERROR($N425/$I425,""))))</x:f>
      </x:c>
      <x:c r="P425" s="987" t="str">
        <x:f>IF(COUNTA($A425:$M425)=0,"",IF(OR(LOWER($F425&amp;"")="subscription",LOWER($F425&amp;"")="membership"),"",IF(LOWER($L425&amp;"")="yes",0,IF($K425&lt;&gt;"",$K425,IF($O425&lt;&gt;"",$O425,"")))))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IF(COUNTA($A425:$M425)=0,"",IF(OR(LOWER($F425&amp;"")="subscription",LOWER($F425&amp;"")="membership"),"Subscription",IF(OR(AND($H425&lt;&gt;"",$H425=0),LOWER($F425&amp;"")="free game",LOWER($F425&amp;"")="free",LOWER($F425&amp;"")="free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986"/>
      <x:c r="H426" s="455"/>
      <x:c r="I426" s="456"/>
      <x:c r="J426" s="456"/>
      <x:c r="K426" s="986"/>
      <x:c r="L426" s="454"/>
      <x:c r="M426" s="439"/>
      <x:c r="N426" s="987" t="str">
        <x:f>IF(COUNTA($A426:$M426)=0,"",IF(OR(LOWER($F426&amp;"")="subscription",LOWER($F426&amp;"")="membership"),"",IF($G426="","",IF(ISNUMBER(SEARCH("non",LOWER($E426&amp;""))),$G426*0.85,$G426))))</x:f>
      </x:c>
      <x:c r="O426" s="987" t="str">
        <x:f>IF(COUNTA($A426:$M426)=0,"",IF(OR(LOWER($F426&amp;"")="subscription",LOWER($F426&amp;"")="membership"),"",IF(OR($N426="",$I426="",$I426=0),"",IFERROR($N426/$I426,""))))</x:f>
      </x:c>
      <x:c r="P426" s="987" t="str">
        <x:f>IF(COUNTA($A426:$M426)=0,"",IF(OR(LOWER($F426&amp;"")="subscription",LOWER($F426&amp;"")="membership"),"",IF(LOWER($L426&amp;"")="yes",0,IF($K426&lt;&gt;"",$K426,IF($O426&lt;&gt;"",$O426,"")))))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IF(COUNTA($A426:$M426)=0,"",IF(OR(LOWER($F426&amp;"")="subscription",LOWER($F426&amp;"")="membership"),"Subscription",IF(OR(AND($H426&lt;&gt;"",$H426=0),LOWER($F426&amp;"")="free game",LOWER($F426&amp;"")="free",LOWER($F426&amp;"")="free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986"/>
      <x:c r="H427" s="455"/>
      <x:c r="I427" s="456"/>
      <x:c r="J427" s="456"/>
      <x:c r="K427" s="986"/>
      <x:c r="L427" s="454"/>
      <x:c r="M427" s="439"/>
      <x:c r="N427" s="987" t="str">
        <x:f>IF(COUNTA($A427:$M427)=0,"",IF(OR(LOWER($F427&amp;"")="subscription",LOWER($F427&amp;"")="membership"),"",IF($G427="","",IF(ISNUMBER(SEARCH("non",LOWER($E427&amp;""))),$G427*0.85,$G427))))</x:f>
      </x:c>
      <x:c r="O427" s="987" t="str">
        <x:f>IF(COUNTA($A427:$M427)=0,"",IF(OR(LOWER($F427&amp;"")="subscription",LOWER($F427&amp;"")="membership"),"",IF(OR($N427="",$I427="",$I427=0),"",IFERROR($N427/$I427,""))))</x:f>
      </x:c>
      <x:c r="P427" s="987" t="str">
        <x:f>IF(COUNTA($A427:$M427)=0,"",IF(OR(LOWER($F427&amp;"")="subscription",LOWER($F427&amp;"")="membership"),"",IF(LOWER($L427&amp;"")="yes",0,IF($K427&lt;&gt;"",$K427,IF($O427&lt;&gt;"",$O427,"")))))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IF(COUNTA($A427:$M427)=0,"",IF(OR(LOWER($F427&amp;"")="subscription",LOWER($F427&amp;"")="membership"),"Subscription",IF(OR(AND($H427&lt;&gt;"",$H427=0),LOWER($F427&amp;"")="free game",LOWER($F427&amp;"")="free",LOWER($F427&amp;"")="free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986"/>
      <x:c r="H428" s="455"/>
      <x:c r="I428" s="456"/>
      <x:c r="J428" s="456"/>
      <x:c r="K428" s="986"/>
      <x:c r="L428" s="454"/>
      <x:c r="M428" s="439"/>
      <x:c r="N428" s="987" t="str">
        <x:f>IF(COUNTA($A428:$M428)=0,"",IF(OR(LOWER($F428&amp;"")="subscription",LOWER($F428&amp;"")="membership"),"",IF($G428="","",IF(ISNUMBER(SEARCH("non",LOWER($E428&amp;""))),$G428*0.85,$G428))))</x:f>
      </x:c>
      <x:c r="O428" s="987" t="str">
        <x:f>IF(COUNTA($A428:$M428)=0,"",IF(OR(LOWER($F428&amp;"")="subscription",LOWER($F428&amp;"")="membership"),"",IF(OR($N428="",$I428="",$I428=0),"",IFERROR($N428/$I428,""))))</x:f>
      </x:c>
      <x:c r="P428" s="987" t="str">
        <x:f>IF(COUNTA($A428:$M428)=0,"",IF(OR(LOWER($F428&amp;"")="subscription",LOWER($F428&amp;"")="membership"),"",IF(LOWER($L428&amp;"")="yes",0,IF($K428&lt;&gt;"",$K428,IF($O428&lt;&gt;"",$O428,"")))))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IF(COUNTA($A428:$M428)=0,"",IF(OR(LOWER($F428&amp;"")="subscription",LOWER($F428&amp;"")="membership"),"Subscription",IF(OR(AND($H428&lt;&gt;"",$H428=0),LOWER($F428&amp;"")="free game",LOWER($F428&amp;"")="free",LOWER($F428&amp;"")="free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986"/>
      <x:c r="H429" s="455"/>
      <x:c r="I429" s="456"/>
      <x:c r="J429" s="456"/>
      <x:c r="K429" s="986"/>
      <x:c r="L429" s="454"/>
      <x:c r="M429" s="439"/>
      <x:c r="N429" s="987" t="str">
        <x:f>IF(COUNTA($A429:$M429)=0,"",IF(OR(LOWER($F429&amp;"")="subscription",LOWER($F429&amp;"")="membership"),"",IF($G429="","",IF(ISNUMBER(SEARCH("non",LOWER($E429&amp;""))),$G429*0.85,$G429))))</x:f>
      </x:c>
      <x:c r="O429" s="987" t="str">
        <x:f>IF(COUNTA($A429:$M429)=0,"",IF(OR(LOWER($F429&amp;"")="subscription",LOWER($F429&amp;"")="membership"),"",IF(OR($N429="",$I429="",$I429=0),"",IFERROR($N429/$I429,""))))</x:f>
      </x:c>
      <x:c r="P429" s="987" t="str">
        <x:f>IF(COUNTA($A429:$M429)=0,"",IF(OR(LOWER($F429&amp;"")="subscription",LOWER($F429&amp;"")="membership"),"",IF(LOWER($L429&amp;"")="yes",0,IF($K429&lt;&gt;"",$K429,IF($O429&lt;&gt;"",$O429,"")))))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IF(COUNTA($A429:$M429)=0,"",IF(OR(LOWER($F429&amp;"")="subscription",LOWER($F429&amp;"")="membership"),"Subscription",IF(OR(AND($H429&lt;&gt;"",$H429=0),LOWER($F429&amp;"")="free game",LOWER($F429&amp;"")="free",LOWER($F429&amp;"")="free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986"/>
      <x:c r="H430" s="455"/>
      <x:c r="I430" s="456"/>
      <x:c r="J430" s="456"/>
      <x:c r="K430" s="986"/>
      <x:c r="L430" s="454"/>
      <x:c r="M430" s="439"/>
      <x:c r="N430" s="987" t="str">
        <x:f>IF(COUNTA($A430:$M430)=0,"",IF(OR(LOWER($F430&amp;"")="subscription",LOWER($F430&amp;"")="membership"),"",IF($G430="","",IF(ISNUMBER(SEARCH("non",LOWER($E430&amp;""))),$G430*0.85,$G430))))</x:f>
      </x:c>
      <x:c r="O430" s="987" t="str">
        <x:f>IF(COUNTA($A430:$M430)=0,"",IF(OR(LOWER($F430&amp;"")="subscription",LOWER($F430&amp;"")="membership"),"",IF(OR($N430="",$I430="",$I430=0),"",IFERROR($N430/$I430,""))))</x:f>
      </x:c>
      <x:c r="P430" s="987" t="str">
        <x:f>IF(COUNTA($A430:$M430)=0,"",IF(OR(LOWER($F430&amp;"")="subscription",LOWER($F430&amp;"")="membership"),"",IF(LOWER($L430&amp;"")="yes",0,IF($K430&lt;&gt;"",$K430,IF($O430&lt;&gt;"",$O430,"")))))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IF(COUNTA($A430:$M430)=0,"",IF(OR(LOWER($F430&amp;"")="subscription",LOWER($F430&amp;"")="membership"),"Subscription",IF(OR(AND($H430&lt;&gt;"",$H430=0),LOWER($F430&amp;"")="free game",LOWER($F430&amp;"")="free",LOWER($F430&amp;"")="free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986"/>
      <x:c r="H431" s="455"/>
      <x:c r="I431" s="456"/>
      <x:c r="J431" s="456"/>
      <x:c r="K431" s="986"/>
      <x:c r="L431" s="454"/>
      <x:c r="M431" s="439"/>
      <x:c r="N431" s="987" t="str">
        <x:f>IF(COUNTA($A431:$M431)=0,"",IF(OR(LOWER($F431&amp;"")="subscription",LOWER($F431&amp;"")="membership"),"",IF($G431="","",IF(ISNUMBER(SEARCH("non",LOWER($E431&amp;""))),$G431*0.85,$G431))))</x:f>
      </x:c>
      <x:c r="O431" s="987" t="str">
        <x:f>IF(COUNTA($A431:$M431)=0,"",IF(OR(LOWER($F431&amp;"")="subscription",LOWER($F431&amp;"")="membership"),"",IF(OR($N431="",$I431="",$I431=0),"",IFERROR($N431/$I431,""))))</x:f>
      </x:c>
      <x:c r="P431" s="987" t="str">
        <x:f>IF(COUNTA($A431:$M431)=0,"",IF(OR(LOWER($F431&amp;"")="subscription",LOWER($F431&amp;"")="membership"),"",IF(LOWER($L431&amp;"")="yes",0,IF($K431&lt;&gt;"",$K431,IF($O431&lt;&gt;"",$O431,"")))))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IF(COUNTA($A431:$M431)=0,"",IF(OR(LOWER($F431&amp;"")="subscription",LOWER($F431&amp;"")="membership"),"Subscription",IF(OR(AND($H431&lt;&gt;"",$H431=0),LOWER($F431&amp;"")="free game",LOWER($F431&amp;"")="free",LOWER($F431&amp;"")="free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986"/>
      <x:c r="H432" s="455"/>
      <x:c r="I432" s="456"/>
      <x:c r="J432" s="456"/>
      <x:c r="K432" s="986"/>
      <x:c r="L432" s="454"/>
      <x:c r="M432" s="439"/>
      <x:c r="N432" s="987" t="str">
        <x:f>IF(COUNTA($A432:$M432)=0,"",IF(OR(LOWER($F432&amp;"")="subscription",LOWER($F432&amp;"")="membership"),"",IF($G432="","",IF(ISNUMBER(SEARCH("non",LOWER($E432&amp;""))),$G432*0.85,$G432))))</x:f>
      </x:c>
      <x:c r="O432" s="987" t="str">
        <x:f>IF(COUNTA($A432:$M432)=0,"",IF(OR(LOWER($F432&amp;"")="subscription",LOWER($F432&amp;"")="membership"),"",IF(OR($N432="",$I432="",$I432=0),"",IFERROR($N432/$I432,""))))</x:f>
      </x:c>
      <x:c r="P432" s="987" t="str">
        <x:f>IF(COUNTA($A432:$M432)=0,"",IF(OR(LOWER($F432&amp;"")="subscription",LOWER($F432&amp;"")="membership"),"",IF(LOWER($L432&amp;"")="yes",0,IF($K432&lt;&gt;"",$K432,IF($O432&lt;&gt;"",$O432,"")))))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IF(COUNTA($A432:$M432)=0,"",IF(OR(LOWER($F432&amp;"")="subscription",LOWER($F432&amp;"")="membership"),"Subscription",IF(OR(AND($H432&lt;&gt;"",$H432=0),LOWER($F432&amp;"")="free game",LOWER($F432&amp;"")="free",LOWER($F432&amp;"")="free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986"/>
      <x:c r="H433" s="455"/>
      <x:c r="I433" s="456"/>
      <x:c r="J433" s="456"/>
      <x:c r="K433" s="986"/>
      <x:c r="L433" s="454"/>
      <x:c r="M433" s="439"/>
      <x:c r="N433" s="987" t="str">
        <x:f>IF(COUNTA($A433:$M433)=0,"",IF(OR(LOWER($F433&amp;"")="subscription",LOWER($F433&amp;"")="membership"),"",IF($G433="","",IF(ISNUMBER(SEARCH("non",LOWER($E433&amp;""))),$G433*0.85,$G433))))</x:f>
      </x:c>
      <x:c r="O433" s="987" t="str">
        <x:f>IF(COUNTA($A433:$M433)=0,"",IF(OR(LOWER($F433&amp;"")="subscription",LOWER($F433&amp;"")="membership"),"",IF(OR($N433="",$I433="",$I433=0),"",IFERROR($N433/$I433,""))))</x:f>
      </x:c>
      <x:c r="P433" s="987" t="str">
        <x:f>IF(COUNTA($A433:$M433)=0,"",IF(OR(LOWER($F433&amp;"")="subscription",LOWER($F433&amp;"")="membership"),"",IF(LOWER($L433&amp;"")="yes",0,IF($K433&lt;&gt;"",$K433,IF($O433&lt;&gt;"",$O433,"")))))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IF(COUNTA($A433:$M433)=0,"",IF(OR(LOWER($F433&amp;"")="subscription",LOWER($F433&amp;"")="membership"),"Subscription",IF(OR(AND($H433&lt;&gt;"",$H433=0),LOWER($F433&amp;"")="free game",LOWER($F433&amp;"")="free",LOWER($F433&amp;"")="free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986"/>
      <x:c r="H434" s="455"/>
      <x:c r="I434" s="456"/>
      <x:c r="J434" s="456"/>
      <x:c r="K434" s="986"/>
      <x:c r="L434" s="454"/>
      <x:c r="M434" s="439"/>
      <x:c r="N434" s="987" t="str">
        <x:f>IF(COUNTA($A434:$M434)=0,"",IF(OR(LOWER($F434&amp;"")="subscription",LOWER($F434&amp;"")="membership"),"",IF($G434="","",IF(ISNUMBER(SEARCH("non",LOWER($E434&amp;""))),$G434*0.85,$G434))))</x:f>
      </x:c>
      <x:c r="O434" s="987" t="str">
        <x:f>IF(COUNTA($A434:$M434)=0,"",IF(OR(LOWER($F434&amp;"")="subscription",LOWER($F434&amp;"")="membership"),"",IF(OR($N434="",$I434="",$I434=0),"",IFERROR($N434/$I434,""))))</x:f>
      </x:c>
      <x:c r="P434" s="987" t="str">
        <x:f>IF(COUNTA($A434:$M434)=0,"",IF(OR(LOWER($F434&amp;"")="subscription",LOWER($F434&amp;"")="membership"),"",IF(LOWER($L434&amp;"")="yes",0,IF($K434&lt;&gt;"",$K434,IF($O434&lt;&gt;"",$O434,"")))))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IF(COUNTA($A434:$M434)=0,"",IF(OR(LOWER($F434&amp;"")="subscription",LOWER($F434&amp;"")="membership"),"Subscription",IF(OR(AND($H434&lt;&gt;"",$H434=0),LOWER($F434&amp;"")="free game",LOWER($F434&amp;"")="free",LOWER($F434&amp;"")="free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986"/>
      <x:c r="H435" s="455"/>
      <x:c r="I435" s="456"/>
      <x:c r="J435" s="456"/>
      <x:c r="K435" s="986"/>
      <x:c r="L435" s="454"/>
      <x:c r="M435" s="439"/>
      <x:c r="N435" s="987" t="str">
        <x:f>IF(COUNTA($A435:$M435)=0,"",IF(OR(LOWER($F435&amp;"")="subscription",LOWER($F435&amp;"")="membership"),"",IF($G435="","",IF(ISNUMBER(SEARCH("non",LOWER($E435&amp;""))),$G435*0.85,$G435))))</x:f>
      </x:c>
      <x:c r="O435" s="987" t="str">
        <x:f>IF(COUNTA($A435:$M435)=0,"",IF(OR(LOWER($F435&amp;"")="subscription",LOWER($F435&amp;"")="membership"),"",IF(OR($N435="",$I435="",$I435=0),"",IFERROR($N435/$I435,""))))</x:f>
      </x:c>
      <x:c r="P435" s="987" t="str">
        <x:f>IF(COUNTA($A435:$M435)=0,"",IF(OR(LOWER($F435&amp;"")="subscription",LOWER($F435&amp;"")="membership"),"",IF(LOWER($L435&amp;"")="yes",0,IF($K435&lt;&gt;"",$K435,IF($O435&lt;&gt;"",$O435,"")))))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IF(COUNTA($A435:$M435)=0,"",IF(OR(LOWER($F435&amp;"")="subscription",LOWER($F435&amp;"")="membership"),"Subscription",IF(OR(AND($H435&lt;&gt;"",$H435=0),LOWER($F435&amp;"")="free game",LOWER($F435&amp;"")="free",LOWER($F435&amp;"")="free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986"/>
      <x:c r="H436" s="455"/>
      <x:c r="I436" s="456"/>
      <x:c r="J436" s="456"/>
      <x:c r="K436" s="986"/>
      <x:c r="L436" s="454"/>
      <x:c r="M436" s="439"/>
      <x:c r="N436" s="987" t="str">
        <x:f>IF(COUNTA($A436:$M436)=0,"",IF(OR(LOWER($F436&amp;"")="subscription",LOWER($F436&amp;"")="membership"),"",IF($G436="","",IF(ISNUMBER(SEARCH("non",LOWER($E436&amp;""))),$G436*0.85,$G436))))</x:f>
      </x:c>
      <x:c r="O436" s="987" t="str">
        <x:f>IF(COUNTA($A436:$M436)=0,"",IF(OR(LOWER($F436&amp;"")="subscription",LOWER($F436&amp;"")="membership"),"",IF(OR($N436="",$I436="",$I436=0),"",IFERROR($N436/$I436,""))))</x:f>
      </x:c>
      <x:c r="P436" s="987" t="str">
        <x:f>IF(COUNTA($A436:$M436)=0,"",IF(OR(LOWER($F436&amp;"")="subscription",LOWER($F436&amp;"")="membership"),"",IF(LOWER($L436&amp;"")="yes",0,IF($K436&lt;&gt;"",$K436,IF($O436&lt;&gt;"",$O436,"")))))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IF(COUNTA($A436:$M436)=0,"",IF(OR(LOWER($F436&amp;"")="subscription",LOWER($F436&amp;"")="membership"),"Subscription",IF(OR(AND($H436&lt;&gt;"",$H436=0),LOWER($F436&amp;"")="free game",LOWER($F436&amp;"")="free",LOWER($F436&amp;"")="free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986"/>
      <x:c r="H437" s="455"/>
      <x:c r="I437" s="456"/>
      <x:c r="J437" s="456"/>
      <x:c r="K437" s="986"/>
      <x:c r="L437" s="454"/>
      <x:c r="M437" s="439"/>
      <x:c r="N437" s="987" t="str">
        <x:f>IF(COUNTA($A437:$M437)=0,"",IF(OR(LOWER($F437&amp;"")="subscription",LOWER($F437&amp;"")="membership"),"",IF($G437="","",IF(ISNUMBER(SEARCH("non",LOWER($E437&amp;""))),$G437*0.85,$G437))))</x:f>
      </x:c>
      <x:c r="O437" s="987" t="str">
        <x:f>IF(COUNTA($A437:$M437)=0,"",IF(OR(LOWER($F437&amp;"")="subscription",LOWER($F437&amp;"")="membership"),"",IF(OR($N437="",$I437="",$I437=0),"",IFERROR($N437/$I437,""))))</x:f>
      </x:c>
      <x:c r="P437" s="987" t="str">
        <x:f>IF(COUNTA($A437:$M437)=0,"",IF(OR(LOWER($F437&amp;"")="subscription",LOWER($F437&amp;"")="membership"),"",IF(LOWER($L437&amp;"")="yes",0,IF($K437&lt;&gt;"",$K437,IF($O437&lt;&gt;"",$O437,"")))))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IF(COUNTA($A437:$M437)=0,"",IF(OR(LOWER($F437&amp;"")="subscription",LOWER($F437&amp;"")="membership"),"Subscription",IF(OR(AND($H437&lt;&gt;"",$H437=0),LOWER($F437&amp;"")="free game",LOWER($F437&amp;"")="free",LOWER($F437&amp;"")="free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986"/>
      <x:c r="H438" s="455"/>
      <x:c r="I438" s="456"/>
      <x:c r="J438" s="456"/>
      <x:c r="K438" s="986"/>
      <x:c r="L438" s="454"/>
      <x:c r="M438" s="439"/>
      <x:c r="N438" s="987" t="str">
        <x:f>IF(COUNTA($A438:$M438)=0,"",IF(OR(LOWER($F438&amp;"")="subscription",LOWER($F438&amp;"")="membership"),"",IF($G438="","",IF(ISNUMBER(SEARCH("non",LOWER($E438&amp;""))),$G438*0.85,$G438))))</x:f>
      </x:c>
      <x:c r="O438" s="987" t="str">
        <x:f>IF(COUNTA($A438:$M438)=0,"",IF(OR(LOWER($F438&amp;"")="subscription",LOWER($F438&amp;"")="membership"),"",IF(OR($N438="",$I438="",$I438=0),"",IFERROR($N438/$I438,""))))</x:f>
      </x:c>
      <x:c r="P438" s="987" t="str">
        <x:f>IF(COUNTA($A438:$M438)=0,"",IF(OR(LOWER($F438&amp;"")="subscription",LOWER($F438&amp;"")="membership"),"",IF(LOWER($L438&amp;"")="yes",0,IF($K438&lt;&gt;"",$K438,IF($O438&lt;&gt;"",$O438,"")))))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IF(COUNTA($A438:$M438)=0,"",IF(OR(LOWER($F438&amp;"")="subscription",LOWER($F438&amp;"")="membership"),"Subscription",IF(OR(AND($H438&lt;&gt;"",$H438=0),LOWER($F438&amp;"")="free game",LOWER($F438&amp;"")="free",LOWER($F438&amp;"")="free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986"/>
      <x:c r="H439" s="455"/>
      <x:c r="I439" s="456"/>
      <x:c r="J439" s="456"/>
      <x:c r="K439" s="986"/>
      <x:c r="L439" s="454"/>
      <x:c r="M439" s="439"/>
      <x:c r="N439" s="987" t="str">
        <x:f>IF(COUNTA($A439:$M439)=0,"",IF(OR(LOWER($F439&amp;"")="subscription",LOWER($F439&amp;"")="membership"),"",IF($G439="","",IF(ISNUMBER(SEARCH("non",LOWER($E439&amp;""))),$G439*0.85,$G439))))</x:f>
      </x:c>
      <x:c r="O439" s="987" t="str">
        <x:f>IF(COUNTA($A439:$M439)=0,"",IF(OR(LOWER($F439&amp;"")="subscription",LOWER($F439&amp;"")="membership"),"",IF(OR($N439="",$I439="",$I439=0),"",IFERROR($N439/$I439,""))))</x:f>
      </x:c>
      <x:c r="P439" s="987" t="str">
        <x:f>IF(COUNTA($A439:$M439)=0,"",IF(OR(LOWER($F439&amp;"")="subscription",LOWER($F439&amp;"")="membership"),"",IF(LOWER($L439&amp;"")="yes",0,IF($K439&lt;&gt;"",$K439,IF($O439&lt;&gt;"",$O439,"")))))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IF(COUNTA($A439:$M439)=0,"",IF(OR(LOWER($F439&amp;"")="subscription",LOWER($F439&amp;"")="membership"),"Subscription",IF(OR(AND($H439&lt;&gt;"",$H439=0),LOWER($F439&amp;"")="free game",LOWER($F439&amp;"")="free",LOWER($F439&amp;"")="free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986"/>
      <x:c r="H440" s="455"/>
      <x:c r="I440" s="456"/>
      <x:c r="J440" s="456"/>
      <x:c r="K440" s="986"/>
      <x:c r="L440" s="454"/>
      <x:c r="M440" s="439"/>
      <x:c r="N440" s="987" t="str">
        <x:f>IF(COUNTA($A440:$M440)=0,"",IF(OR(LOWER($F440&amp;"")="subscription",LOWER($F440&amp;"")="membership"),"",IF($G440="","",IF(ISNUMBER(SEARCH("non",LOWER($E440&amp;""))),$G440*0.85,$G440))))</x:f>
      </x:c>
      <x:c r="O440" s="987" t="str">
        <x:f>IF(COUNTA($A440:$M440)=0,"",IF(OR(LOWER($F440&amp;"")="subscription",LOWER($F440&amp;"")="membership"),"",IF(OR($N440="",$I440="",$I440=0),"",IFERROR($N440/$I440,""))))</x:f>
      </x:c>
      <x:c r="P440" s="987" t="str">
        <x:f>IF(COUNTA($A440:$M440)=0,"",IF(OR(LOWER($F440&amp;"")="subscription",LOWER($F440&amp;"")="membership"),"",IF(LOWER($L440&amp;"")="yes",0,IF($K440&lt;&gt;"",$K440,IF($O440&lt;&gt;"",$O440,"")))))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IF(COUNTA($A440:$M440)=0,"",IF(OR(LOWER($F440&amp;"")="subscription",LOWER($F440&amp;"")="membership"),"Subscription",IF(OR(AND($H440&lt;&gt;"",$H440=0),LOWER($F440&amp;"")="free game",LOWER($F440&amp;"")="free",LOWER($F440&amp;"")="free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986"/>
      <x:c r="H441" s="455"/>
      <x:c r="I441" s="456"/>
      <x:c r="J441" s="456"/>
      <x:c r="K441" s="986"/>
      <x:c r="L441" s="454"/>
      <x:c r="M441" s="439"/>
      <x:c r="N441" s="987" t="str">
        <x:f>IF(COUNTA($A441:$M441)=0,"",IF(OR(LOWER($F441&amp;"")="subscription",LOWER($F441&amp;"")="membership"),"",IF($G441="","",IF(ISNUMBER(SEARCH("non",LOWER($E441&amp;""))),$G441*0.85,$G441))))</x:f>
      </x:c>
      <x:c r="O441" s="987" t="str">
        <x:f>IF(COUNTA($A441:$M441)=0,"",IF(OR(LOWER($F441&amp;"")="subscription",LOWER($F441&amp;"")="membership"),"",IF(OR($N441="",$I441="",$I441=0),"",IFERROR($N441/$I441,""))))</x:f>
      </x:c>
      <x:c r="P441" s="987" t="str">
        <x:f>IF(COUNTA($A441:$M441)=0,"",IF(OR(LOWER($F441&amp;"")="subscription",LOWER($F441&amp;"")="membership"),"",IF(LOWER($L441&amp;"")="yes",0,IF($K441&lt;&gt;"",$K441,IF($O441&lt;&gt;"",$O441,"")))))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IF(COUNTA($A441:$M441)=0,"",IF(OR(LOWER($F441&amp;"")="subscription",LOWER($F441&amp;"")="membership"),"Subscription",IF(OR(AND($H441&lt;&gt;"",$H441=0),LOWER($F441&amp;"")="free game",LOWER($F441&amp;"")="free",LOWER($F441&amp;"")="free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986"/>
      <x:c r="H442" s="455"/>
      <x:c r="I442" s="456"/>
      <x:c r="J442" s="456"/>
      <x:c r="K442" s="986"/>
      <x:c r="L442" s="454"/>
      <x:c r="M442" s="439"/>
      <x:c r="N442" s="987" t="str">
        <x:f>IF(COUNTA($A442:$M442)=0,"",IF(OR(LOWER($F442&amp;"")="subscription",LOWER($F442&amp;"")="membership"),"",IF($G442="","",IF(ISNUMBER(SEARCH("non",LOWER($E442&amp;""))),$G442*0.85,$G442))))</x:f>
      </x:c>
      <x:c r="O442" s="987" t="str">
        <x:f>IF(COUNTA($A442:$M442)=0,"",IF(OR(LOWER($F442&amp;"")="subscription",LOWER($F442&amp;"")="membership"),"",IF(OR($N442="",$I442="",$I442=0),"",IFERROR($N442/$I442,""))))</x:f>
      </x:c>
      <x:c r="P442" s="987" t="str">
        <x:f>IF(COUNTA($A442:$M442)=0,"",IF(OR(LOWER($F442&amp;"")="subscription",LOWER($F442&amp;"")="membership"),"",IF(LOWER($L442&amp;"")="yes",0,IF($K442&lt;&gt;"",$K442,IF($O442&lt;&gt;"",$O442,"")))))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IF(COUNTA($A442:$M442)=0,"",IF(OR(LOWER($F442&amp;"")="subscription",LOWER($F442&amp;"")="membership"),"Subscription",IF(OR(AND($H442&lt;&gt;"",$H442=0),LOWER($F442&amp;"")="free game",LOWER($F442&amp;"")="free",LOWER($F442&amp;"")="free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986"/>
      <x:c r="H443" s="455"/>
      <x:c r="I443" s="456"/>
      <x:c r="J443" s="456"/>
      <x:c r="K443" s="986"/>
      <x:c r="L443" s="454"/>
      <x:c r="M443" s="439"/>
      <x:c r="N443" s="987" t="str">
        <x:f>IF(COUNTA($A443:$M443)=0,"",IF(OR(LOWER($F443&amp;"")="subscription",LOWER($F443&amp;"")="membership"),"",IF($G443="","",IF(ISNUMBER(SEARCH("non",LOWER($E443&amp;""))),$G443*0.85,$G443))))</x:f>
      </x:c>
      <x:c r="O443" s="987" t="str">
        <x:f>IF(COUNTA($A443:$M443)=0,"",IF(OR(LOWER($F443&amp;"")="subscription",LOWER($F443&amp;"")="membership"),"",IF(OR($N443="",$I443="",$I443=0),"",IFERROR($N443/$I443,""))))</x:f>
      </x:c>
      <x:c r="P443" s="987" t="str">
        <x:f>IF(COUNTA($A443:$M443)=0,"",IF(OR(LOWER($F443&amp;"")="subscription",LOWER($F443&amp;"")="membership"),"",IF(LOWER($L443&amp;"")="yes",0,IF($K443&lt;&gt;"",$K443,IF($O443&lt;&gt;"",$O443,"")))))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IF(COUNTA($A443:$M443)=0,"",IF(OR(LOWER($F443&amp;"")="subscription",LOWER($F443&amp;"")="membership"),"Subscription",IF(OR(AND($H443&lt;&gt;"",$H443=0),LOWER($F443&amp;"")="free game",LOWER($F443&amp;"")="free",LOWER($F443&amp;"")="free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986"/>
      <x:c r="H444" s="455"/>
      <x:c r="I444" s="456"/>
      <x:c r="J444" s="456"/>
      <x:c r="K444" s="986"/>
      <x:c r="L444" s="454"/>
      <x:c r="M444" s="439"/>
      <x:c r="N444" s="987" t="str">
        <x:f>IF(COUNTA($A444:$M444)=0,"",IF(OR(LOWER($F444&amp;"")="subscription",LOWER($F444&amp;"")="membership"),"",IF($G444="","",IF(ISNUMBER(SEARCH("non",LOWER($E444&amp;""))),$G444*0.85,$G444))))</x:f>
      </x:c>
      <x:c r="O444" s="987" t="str">
        <x:f>IF(COUNTA($A444:$M444)=0,"",IF(OR(LOWER($F444&amp;"")="subscription",LOWER($F444&amp;"")="membership"),"",IF(OR($N444="",$I444="",$I444=0),"",IFERROR($N444/$I444,""))))</x:f>
      </x:c>
      <x:c r="P444" s="987" t="str">
        <x:f>IF(COUNTA($A444:$M444)=0,"",IF(OR(LOWER($F444&amp;"")="subscription",LOWER($F444&amp;"")="membership"),"",IF(LOWER($L444&amp;"")="yes",0,IF($K444&lt;&gt;"",$K444,IF($O444&lt;&gt;"",$O444,"")))))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IF(COUNTA($A444:$M444)=0,"",IF(OR(LOWER($F444&amp;"")="subscription",LOWER($F444&amp;"")="membership"),"Subscription",IF(OR(AND($H444&lt;&gt;"",$H444=0),LOWER($F444&amp;"")="free game",LOWER($F444&amp;"")="free",LOWER($F444&amp;"")="free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986"/>
      <x:c r="H445" s="455"/>
      <x:c r="I445" s="456"/>
      <x:c r="J445" s="456"/>
      <x:c r="K445" s="986"/>
      <x:c r="L445" s="454"/>
      <x:c r="M445" s="439"/>
      <x:c r="N445" s="987" t="str">
        <x:f>IF(COUNTA($A445:$M445)=0,"",IF(OR(LOWER($F445&amp;"")="subscription",LOWER($F445&amp;"")="membership"),"",IF($G445="","",IF(ISNUMBER(SEARCH("non",LOWER($E445&amp;""))),$G445*0.85,$G445))))</x:f>
      </x:c>
      <x:c r="O445" s="987" t="str">
        <x:f>IF(COUNTA($A445:$M445)=0,"",IF(OR(LOWER($F445&amp;"")="subscription",LOWER($F445&amp;"")="membership"),"",IF(OR($N445="",$I445="",$I445=0),"",IFERROR($N445/$I445,""))))</x:f>
      </x:c>
      <x:c r="P445" s="987" t="str">
        <x:f>IF(COUNTA($A445:$M445)=0,"",IF(OR(LOWER($F445&amp;"")="subscription",LOWER($F445&amp;"")="membership"),"",IF(LOWER($L445&amp;"")="yes",0,IF($K445&lt;&gt;"",$K445,IF($O445&lt;&gt;"",$O445,"")))))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IF(COUNTA($A445:$M445)=0,"",IF(OR(LOWER($F445&amp;"")="subscription",LOWER($F445&amp;"")="membership"),"Subscription",IF(OR(AND($H445&lt;&gt;"",$H445=0),LOWER($F445&amp;"")="free game",LOWER($F445&amp;"")="free",LOWER($F445&amp;"")="free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986"/>
      <x:c r="H446" s="455"/>
      <x:c r="I446" s="456"/>
      <x:c r="J446" s="456"/>
      <x:c r="K446" s="986"/>
      <x:c r="L446" s="454"/>
      <x:c r="M446" s="439"/>
      <x:c r="N446" s="987" t="str">
        <x:f>IF(COUNTA($A446:$M446)=0,"",IF(OR(LOWER($F446&amp;"")="subscription",LOWER($F446&amp;"")="membership"),"",IF($G446="","",IF(ISNUMBER(SEARCH("non",LOWER($E446&amp;""))),$G446*0.85,$G446))))</x:f>
      </x:c>
      <x:c r="O446" s="987" t="str">
        <x:f>IF(COUNTA($A446:$M446)=0,"",IF(OR(LOWER($F446&amp;"")="subscription",LOWER($F446&amp;"")="membership"),"",IF(OR($N446="",$I446="",$I446=0),"",IFERROR($N446/$I446,""))))</x:f>
      </x:c>
      <x:c r="P446" s="987" t="str">
        <x:f>IF(COUNTA($A446:$M446)=0,"",IF(OR(LOWER($F446&amp;"")="subscription",LOWER($F446&amp;"")="membership"),"",IF(LOWER($L446&amp;"")="yes",0,IF($K446&lt;&gt;"",$K446,IF($O446&lt;&gt;"",$O446,"")))))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IF(COUNTA($A446:$M446)=0,"",IF(OR(LOWER($F446&amp;"")="subscription",LOWER($F446&amp;"")="membership"),"Subscription",IF(OR(AND($H446&lt;&gt;"",$H446=0),LOWER($F446&amp;"")="free game",LOWER($F446&amp;"")="free",LOWER($F446&amp;"")="free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986"/>
      <x:c r="H447" s="455"/>
      <x:c r="I447" s="456"/>
      <x:c r="J447" s="456"/>
      <x:c r="K447" s="986"/>
      <x:c r="L447" s="454"/>
      <x:c r="M447" s="439"/>
      <x:c r="N447" s="987" t="str">
        <x:f>IF(COUNTA($A447:$M447)=0,"",IF(OR(LOWER($F447&amp;"")="subscription",LOWER($F447&amp;"")="membership"),"",IF($G447="","",IF(ISNUMBER(SEARCH("non",LOWER($E447&amp;""))),$G447*0.85,$G447))))</x:f>
      </x:c>
      <x:c r="O447" s="987" t="str">
        <x:f>IF(COUNTA($A447:$M447)=0,"",IF(OR(LOWER($F447&amp;"")="subscription",LOWER($F447&amp;"")="membership"),"",IF(OR($N447="",$I447="",$I447=0),"",IFERROR($N447/$I447,""))))</x:f>
      </x:c>
      <x:c r="P447" s="987" t="str">
        <x:f>IF(COUNTA($A447:$M447)=0,"",IF(OR(LOWER($F447&amp;"")="subscription",LOWER($F447&amp;"")="membership"),"",IF(LOWER($L447&amp;"")="yes",0,IF($K447&lt;&gt;"",$K447,IF($O447&lt;&gt;"",$O447,"")))))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IF(COUNTA($A447:$M447)=0,"",IF(OR(LOWER($F447&amp;"")="subscription",LOWER($F447&amp;"")="membership"),"Subscription",IF(OR(AND($H447&lt;&gt;"",$H447=0),LOWER($F447&amp;"")="free game",LOWER($F447&amp;"")="free",LOWER($F447&amp;"")="free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986"/>
      <x:c r="H448" s="455"/>
      <x:c r="I448" s="456"/>
      <x:c r="J448" s="456"/>
      <x:c r="K448" s="986"/>
      <x:c r="L448" s="454"/>
      <x:c r="M448" s="439"/>
      <x:c r="N448" s="987" t="str">
        <x:f>IF(COUNTA($A448:$M448)=0,"",IF(OR(LOWER($F448&amp;"")="subscription",LOWER($F448&amp;"")="membership"),"",IF($G448="","",IF(ISNUMBER(SEARCH("non",LOWER($E448&amp;""))),$G448*0.85,$G448))))</x:f>
      </x:c>
      <x:c r="O448" s="987" t="str">
        <x:f>IF(COUNTA($A448:$M448)=0,"",IF(OR(LOWER($F448&amp;"")="subscription",LOWER($F448&amp;"")="membership"),"",IF(OR($N448="",$I448="",$I448=0),"",IFERROR($N448/$I448,""))))</x:f>
      </x:c>
      <x:c r="P448" s="987" t="str">
        <x:f>IF(COUNTA($A448:$M448)=0,"",IF(OR(LOWER($F448&amp;"")="subscription",LOWER($F448&amp;"")="membership"),"",IF(LOWER($L448&amp;"")="yes",0,IF($K448&lt;&gt;"",$K448,IF($O448&lt;&gt;"",$O448,"")))))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IF(COUNTA($A448:$M448)=0,"",IF(OR(LOWER($F448&amp;"")="subscription",LOWER($F448&amp;"")="membership"),"Subscription",IF(OR(AND($H448&lt;&gt;"",$H448=0),LOWER($F448&amp;"")="free game",LOWER($F448&amp;"")="free",LOWER($F448&amp;"")="free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986"/>
      <x:c r="H449" s="455"/>
      <x:c r="I449" s="456"/>
      <x:c r="J449" s="456"/>
      <x:c r="K449" s="986"/>
      <x:c r="L449" s="454"/>
      <x:c r="M449" s="439"/>
      <x:c r="N449" s="987" t="str">
        <x:f>IF(COUNTA($A449:$M449)=0,"",IF(OR(LOWER($F449&amp;"")="subscription",LOWER($F449&amp;"")="membership"),"",IF($G449="","",IF(ISNUMBER(SEARCH("non",LOWER($E449&amp;""))),$G449*0.85,$G449))))</x:f>
      </x:c>
      <x:c r="O449" s="987" t="str">
        <x:f>IF(COUNTA($A449:$M449)=0,"",IF(OR(LOWER($F449&amp;"")="subscription",LOWER($F449&amp;"")="membership"),"",IF(OR($N449="",$I449="",$I449=0),"",IFERROR($N449/$I449,""))))</x:f>
      </x:c>
      <x:c r="P449" s="987" t="str">
        <x:f>IF(COUNTA($A449:$M449)=0,"",IF(OR(LOWER($F449&amp;"")="subscription",LOWER($F449&amp;"")="membership"),"",IF(LOWER($L449&amp;"")="yes",0,IF($K449&lt;&gt;"",$K449,IF($O449&lt;&gt;"",$O449,"")))))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IF(COUNTA($A449:$M449)=0,"",IF(OR(LOWER($F449&amp;"")="subscription",LOWER($F449&amp;"")="membership"),"Subscription",IF(OR(AND($H449&lt;&gt;"",$H449=0),LOWER($F449&amp;"")="free game",LOWER($F449&amp;"")="free",LOWER($F449&amp;"")="free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986"/>
      <x:c r="H450" s="455"/>
      <x:c r="I450" s="456"/>
      <x:c r="J450" s="456"/>
      <x:c r="K450" s="986"/>
      <x:c r="L450" s="454"/>
      <x:c r="M450" s="439"/>
      <x:c r="N450" s="987" t="str">
        <x:f>IF(COUNTA($A450:$M450)=0,"",IF(OR(LOWER($F450&amp;"")="subscription",LOWER($F450&amp;"")="membership"),"",IF($G450="","",IF(ISNUMBER(SEARCH("non",LOWER($E450&amp;""))),$G450*0.85,$G450))))</x:f>
      </x:c>
      <x:c r="O450" s="987" t="str">
        <x:f>IF(COUNTA($A450:$M450)=0,"",IF(OR(LOWER($F450&amp;"")="subscription",LOWER($F450&amp;"")="membership"),"",IF(OR($N450="",$I450="",$I450=0),"",IFERROR($N450/$I450,""))))</x:f>
      </x:c>
      <x:c r="P450" s="987" t="str">
        <x:f>IF(COUNTA($A450:$M450)=0,"",IF(OR(LOWER($F450&amp;"")="subscription",LOWER($F450&amp;"")="membership"),"",IF(LOWER($L450&amp;"")="yes",0,IF($K450&lt;&gt;"",$K450,IF($O450&lt;&gt;"",$O450,"")))))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IF(COUNTA($A450:$M450)=0,"",IF(OR(LOWER($F450&amp;"")="subscription",LOWER($F450&amp;"")="membership"),"Subscription",IF(OR(AND($H450&lt;&gt;"",$H450=0),LOWER($F450&amp;"")="free game",LOWER($F450&amp;"")="free",LOWER($F450&amp;"")="free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986"/>
      <x:c r="H451" s="455"/>
      <x:c r="I451" s="456"/>
      <x:c r="J451" s="456"/>
      <x:c r="K451" s="986"/>
      <x:c r="L451" s="454"/>
      <x:c r="M451" s="439"/>
      <x:c r="N451" s="987" t="str">
        <x:f>IF(COUNTA($A451:$M451)=0,"",IF(OR(LOWER($F451&amp;"")="subscription",LOWER($F451&amp;"")="membership"),"",IF($G451="","",IF(ISNUMBER(SEARCH("non",LOWER($E451&amp;""))),$G451*0.85,$G451))))</x:f>
      </x:c>
      <x:c r="O451" s="987" t="str">
        <x:f>IF(COUNTA($A451:$M451)=0,"",IF(OR(LOWER($F451&amp;"")="subscription",LOWER($F451&amp;"")="membership"),"",IF(OR($N451="",$I451="",$I451=0),"",IFERROR($N451/$I451,""))))</x:f>
      </x:c>
      <x:c r="P451" s="987" t="str">
        <x:f>IF(COUNTA($A451:$M451)=0,"",IF(OR(LOWER($F451&amp;"")="subscription",LOWER($F451&amp;"")="membership"),"",IF(LOWER($L451&amp;"")="yes",0,IF($K451&lt;&gt;"",$K451,IF($O451&lt;&gt;"",$O451,"")))))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IF(COUNTA($A451:$M451)=0,"",IF(OR(LOWER($F451&amp;"")="subscription",LOWER($F451&amp;"")="membership"),"Subscription",IF(OR(AND($H451&lt;&gt;"",$H451=0),LOWER($F451&amp;"")="free game",LOWER($F451&amp;"")="free",LOWER($F451&amp;"")="free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986"/>
      <x:c r="H452" s="455"/>
      <x:c r="I452" s="456"/>
      <x:c r="J452" s="456"/>
      <x:c r="K452" s="986"/>
      <x:c r="L452" s="454"/>
      <x:c r="M452" s="439"/>
      <x:c r="N452" s="987" t="str">
        <x:f>IF(COUNTA($A452:$M452)=0,"",IF(OR(LOWER($F452&amp;"")="subscription",LOWER($F452&amp;"")="membership"),"",IF($G452="","",IF(ISNUMBER(SEARCH("non",LOWER($E452&amp;""))),$G452*0.85,$G452))))</x:f>
      </x:c>
      <x:c r="O452" s="987" t="str">
        <x:f>IF(COUNTA($A452:$M452)=0,"",IF(OR(LOWER($F452&amp;"")="subscription",LOWER($F452&amp;"")="membership"),"",IF(OR($N452="",$I452="",$I452=0),"",IFERROR($N452/$I452,""))))</x:f>
      </x:c>
      <x:c r="P452" s="987" t="str">
        <x:f>IF(COUNTA($A452:$M452)=0,"",IF(OR(LOWER($F452&amp;"")="subscription",LOWER($F452&amp;"")="membership"),"",IF(LOWER($L452&amp;"")="yes",0,IF($K452&lt;&gt;"",$K452,IF($O452&lt;&gt;"",$O452,"")))))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IF(COUNTA($A452:$M452)=0,"",IF(OR(LOWER($F452&amp;"")="subscription",LOWER($F452&amp;"")="membership"),"Subscription",IF(OR(AND($H452&lt;&gt;"",$H452=0),LOWER($F452&amp;"")="free game",LOWER($F452&amp;"")="free",LOWER($F452&amp;"")="free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986"/>
      <x:c r="H453" s="455"/>
      <x:c r="I453" s="456"/>
      <x:c r="J453" s="456"/>
      <x:c r="K453" s="986"/>
      <x:c r="L453" s="454"/>
      <x:c r="M453" s="439"/>
      <x:c r="N453" s="987" t="str">
        <x:f>IF(COUNTA($A453:$M453)=0,"",IF(OR(LOWER($F453&amp;"")="subscription",LOWER($F453&amp;"")="membership"),"",IF($G453="","",IF(ISNUMBER(SEARCH("non",LOWER($E453&amp;""))),$G453*0.85,$G453))))</x:f>
      </x:c>
      <x:c r="O453" s="987" t="str">
        <x:f>IF(COUNTA($A453:$M453)=0,"",IF(OR(LOWER($F453&amp;"")="subscription",LOWER($F453&amp;"")="membership"),"",IF(OR($N453="",$I453="",$I453=0),"",IFERROR($N453/$I453,""))))</x:f>
      </x:c>
      <x:c r="P453" s="987" t="str">
        <x:f>IF(COUNTA($A453:$M453)=0,"",IF(OR(LOWER($F453&amp;"")="subscription",LOWER($F453&amp;"")="membership"),"",IF(LOWER($L453&amp;"")="yes",0,IF($K453&lt;&gt;"",$K453,IF($O453&lt;&gt;"",$O453,"")))))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IF(COUNTA($A453:$M453)=0,"",IF(OR(LOWER($F453&amp;"")="subscription",LOWER($F453&amp;"")="membership"),"Subscription",IF(OR(AND($H453&lt;&gt;"",$H453=0),LOWER($F453&amp;"")="free game",LOWER($F453&amp;"")="free",LOWER($F453&amp;"")="free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986"/>
      <x:c r="H454" s="455"/>
      <x:c r="I454" s="456"/>
      <x:c r="J454" s="456"/>
      <x:c r="K454" s="986"/>
      <x:c r="L454" s="454"/>
      <x:c r="M454" s="439"/>
      <x:c r="N454" s="987" t="str">
        <x:f>IF(COUNTA($A454:$M454)=0,"",IF(OR(LOWER($F454&amp;"")="subscription",LOWER($F454&amp;"")="membership"),"",IF($G454="","",IF(ISNUMBER(SEARCH("non",LOWER($E454&amp;""))),$G454*0.85,$G454))))</x:f>
      </x:c>
      <x:c r="O454" s="987" t="str">
        <x:f>IF(COUNTA($A454:$M454)=0,"",IF(OR(LOWER($F454&amp;"")="subscription",LOWER($F454&amp;"")="membership"),"",IF(OR($N454="",$I454="",$I454=0),"",IFERROR($N454/$I454,""))))</x:f>
      </x:c>
      <x:c r="P454" s="987" t="str">
        <x:f>IF(COUNTA($A454:$M454)=0,"",IF(OR(LOWER($F454&amp;"")="subscription",LOWER($F454&amp;"")="membership"),"",IF(LOWER($L454&amp;"")="yes",0,IF($K454&lt;&gt;"",$K454,IF($O454&lt;&gt;"",$O454,"")))))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IF(COUNTA($A454:$M454)=0,"",IF(OR(LOWER($F454&amp;"")="subscription",LOWER($F454&amp;"")="membership"),"Subscription",IF(OR(AND($H454&lt;&gt;"",$H454=0),LOWER($F454&amp;"")="free game",LOWER($F454&amp;"")="free",LOWER($F454&amp;"")="free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986"/>
      <x:c r="H455" s="455"/>
      <x:c r="I455" s="456"/>
      <x:c r="J455" s="456"/>
      <x:c r="K455" s="986"/>
      <x:c r="L455" s="454"/>
      <x:c r="M455" s="439"/>
      <x:c r="N455" s="987" t="str">
        <x:f>IF(COUNTA($A455:$M455)=0,"",IF(OR(LOWER($F455&amp;"")="subscription",LOWER($F455&amp;"")="membership"),"",IF($G455="","",IF(ISNUMBER(SEARCH("non",LOWER($E455&amp;""))),$G455*0.85,$G455))))</x:f>
      </x:c>
      <x:c r="O455" s="987" t="str">
        <x:f>IF(COUNTA($A455:$M455)=0,"",IF(OR(LOWER($F455&amp;"")="subscription",LOWER($F455&amp;"")="membership"),"",IF(OR($N455="",$I455="",$I455=0),"",IFERROR($N455/$I455,""))))</x:f>
      </x:c>
      <x:c r="P455" s="987" t="str">
        <x:f>IF(COUNTA($A455:$M455)=0,"",IF(OR(LOWER($F455&amp;"")="subscription",LOWER($F455&amp;"")="membership"),"",IF(LOWER($L455&amp;"")="yes",0,IF($K455&lt;&gt;"",$K455,IF($O455&lt;&gt;"",$O455,"")))))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IF(COUNTA($A455:$M455)=0,"",IF(OR(LOWER($F455&amp;"")="subscription",LOWER($F455&amp;"")="membership"),"Subscription",IF(OR(AND($H455&lt;&gt;"",$H455=0),LOWER($F455&amp;"")="free game",LOWER($F455&amp;"")="free",LOWER($F455&amp;"")="free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986"/>
      <x:c r="H456" s="455"/>
      <x:c r="I456" s="456"/>
      <x:c r="J456" s="456"/>
      <x:c r="K456" s="986"/>
      <x:c r="L456" s="454"/>
      <x:c r="M456" s="439"/>
      <x:c r="N456" s="987" t="str">
        <x:f>IF(COUNTA($A456:$M456)=0,"",IF(OR(LOWER($F456&amp;"")="subscription",LOWER($F456&amp;"")="membership"),"",IF($G456="","",IF(ISNUMBER(SEARCH("non",LOWER($E456&amp;""))),$G456*0.85,$G456))))</x:f>
      </x:c>
      <x:c r="O456" s="987" t="str">
        <x:f>IF(COUNTA($A456:$M456)=0,"",IF(OR(LOWER($F456&amp;"")="subscription",LOWER($F456&amp;"")="membership"),"",IF(OR($N456="",$I456="",$I456=0),"",IFERROR($N456/$I456,""))))</x:f>
      </x:c>
      <x:c r="P456" s="987" t="str">
        <x:f>IF(COUNTA($A456:$M456)=0,"",IF(OR(LOWER($F456&amp;"")="subscription",LOWER($F456&amp;"")="membership"),"",IF(LOWER($L456&amp;"")="yes",0,IF($K456&lt;&gt;"",$K456,IF($O456&lt;&gt;"",$O456,"")))))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IF(COUNTA($A456:$M456)=0,"",IF(OR(LOWER($F456&amp;"")="subscription",LOWER($F456&amp;"")="membership"),"Subscription",IF(OR(AND($H456&lt;&gt;"",$H456=0),LOWER($F456&amp;"")="free game",LOWER($F456&amp;"")="free",LOWER($F456&amp;"")="free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986"/>
      <x:c r="H457" s="455"/>
      <x:c r="I457" s="456"/>
      <x:c r="J457" s="456"/>
      <x:c r="K457" s="986"/>
      <x:c r="L457" s="454"/>
      <x:c r="M457" s="439"/>
      <x:c r="N457" s="987" t="str">
        <x:f>IF(COUNTA($A457:$M457)=0,"",IF(OR(LOWER($F457&amp;"")="subscription",LOWER($F457&amp;"")="membership"),"",IF($G457="","",IF(ISNUMBER(SEARCH("non",LOWER($E457&amp;""))),$G457*0.85,$G457))))</x:f>
      </x:c>
      <x:c r="O457" s="987" t="str">
        <x:f>IF(COUNTA($A457:$M457)=0,"",IF(OR(LOWER($F457&amp;"")="subscription",LOWER($F457&amp;"")="membership"),"",IF(OR($N457="",$I457="",$I457=0),"",IFERROR($N457/$I457,""))))</x:f>
      </x:c>
      <x:c r="P457" s="987" t="str">
        <x:f>IF(COUNTA($A457:$M457)=0,"",IF(OR(LOWER($F457&amp;"")="subscription",LOWER($F457&amp;"")="membership"),"",IF(LOWER($L457&amp;"")="yes",0,IF($K457&lt;&gt;"",$K457,IF($O457&lt;&gt;"",$O457,"")))))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IF(COUNTA($A457:$M457)=0,"",IF(OR(LOWER($F457&amp;"")="subscription",LOWER($F457&amp;"")="membership"),"Subscription",IF(OR(AND($H457&lt;&gt;"",$H457=0),LOWER($F457&amp;"")="free game",LOWER($F457&amp;"")="free",LOWER($F457&amp;"")="free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986"/>
      <x:c r="H458" s="455"/>
      <x:c r="I458" s="456"/>
      <x:c r="J458" s="456"/>
      <x:c r="K458" s="986"/>
      <x:c r="L458" s="454"/>
      <x:c r="M458" s="439"/>
      <x:c r="N458" s="987" t="str">
        <x:f>IF(COUNTA($A458:$M458)=0,"",IF(OR(LOWER($F458&amp;"")="subscription",LOWER($F458&amp;"")="membership"),"",IF($G458="","",IF(ISNUMBER(SEARCH("non",LOWER($E458&amp;""))),$G458*0.85,$G458))))</x:f>
      </x:c>
      <x:c r="O458" s="987" t="str">
        <x:f>IF(COUNTA($A458:$M458)=0,"",IF(OR(LOWER($F458&amp;"")="subscription",LOWER($F458&amp;"")="membership"),"",IF(OR($N458="",$I458="",$I458=0),"",IFERROR($N458/$I458,""))))</x:f>
      </x:c>
      <x:c r="P458" s="987" t="str">
        <x:f>IF(COUNTA($A458:$M458)=0,"",IF(OR(LOWER($F458&amp;"")="subscription",LOWER($F458&amp;"")="membership"),"",IF(LOWER($L458&amp;"")="yes",0,IF($K458&lt;&gt;"",$K458,IF($O458&lt;&gt;"",$O458,"")))))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IF(COUNTA($A458:$M458)=0,"",IF(OR(LOWER($F458&amp;"")="subscription",LOWER($F458&amp;"")="membership"),"Subscription",IF(OR(AND($H458&lt;&gt;"",$H458=0),LOWER($F458&amp;"")="free game",LOWER($F458&amp;"")="free",LOWER($F458&amp;"")="free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986"/>
      <x:c r="H459" s="455"/>
      <x:c r="I459" s="456"/>
      <x:c r="J459" s="456"/>
      <x:c r="K459" s="986"/>
      <x:c r="L459" s="454"/>
      <x:c r="M459" s="439"/>
      <x:c r="N459" s="987" t="str">
        <x:f>IF(COUNTA($A459:$M459)=0,"",IF(OR(LOWER($F459&amp;"")="subscription",LOWER($F459&amp;"")="membership"),"",IF($G459="","",IF(ISNUMBER(SEARCH("non",LOWER($E459&amp;""))),$G459*0.85,$G459))))</x:f>
      </x:c>
      <x:c r="O459" s="987" t="str">
        <x:f>IF(COUNTA($A459:$M459)=0,"",IF(OR(LOWER($F459&amp;"")="subscription",LOWER($F459&amp;"")="membership"),"",IF(OR($N459="",$I459="",$I459=0),"",IFERROR($N459/$I459,""))))</x:f>
      </x:c>
      <x:c r="P459" s="987" t="str">
        <x:f>IF(COUNTA($A459:$M459)=0,"",IF(OR(LOWER($F459&amp;"")="subscription",LOWER($F459&amp;"")="membership"),"",IF(LOWER($L459&amp;"")="yes",0,IF($K459&lt;&gt;"",$K459,IF($O459&lt;&gt;"",$O459,"")))))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IF(COUNTA($A459:$M459)=0,"",IF(OR(LOWER($F459&amp;"")="subscription",LOWER($F459&amp;"")="membership"),"Subscription",IF(OR(AND($H459&lt;&gt;"",$H459=0),LOWER($F459&amp;"")="free game",LOWER($F459&amp;"")="free",LOWER($F459&amp;"")="free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986"/>
      <x:c r="H460" s="455"/>
      <x:c r="I460" s="456"/>
      <x:c r="J460" s="456"/>
      <x:c r="K460" s="986"/>
      <x:c r="L460" s="454"/>
      <x:c r="M460" s="439"/>
      <x:c r="N460" s="987" t="str">
        <x:f>IF(COUNTA($A460:$M460)=0,"",IF(OR(LOWER($F460&amp;"")="subscription",LOWER($F460&amp;"")="membership"),"",IF($G460="","",IF(ISNUMBER(SEARCH("non",LOWER($E460&amp;""))),$G460*0.85,$G460))))</x:f>
      </x:c>
      <x:c r="O460" s="987" t="str">
        <x:f>IF(COUNTA($A460:$M460)=0,"",IF(OR(LOWER($F460&amp;"")="subscription",LOWER($F460&amp;"")="membership"),"",IF(OR($N460="",$I460="",$I460=0),"",IFERROR($N460/$I460,""))))</x:f>
      </x:c>
      <x:c r="P460" s="987" t="str">
        <x:f>IF(COUNTA($A460:$M460)=0,"",IF(OR(LOWER($F460&amp;"")="subscription",LOWER($F460&amp;"")="membership"),"",IF(LOWER($L460&amp;"")="yes",0,IF($K460&lt;&gt;"",$K460,IF($O460&lt;&gt;"",$O460,"")))))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IF(COUNTA($A460:$M460)=0,"",IF(OR(LOWER($F460&amp;"")="subscription",LOWER($F460&amp;"")="membership"),"Subscription",IF(OR(AND($H460&lt;&gt;"",$H460=0),LOWER($F460&amp;"")="free game",LOWER($F460&amp;"")="free",LOWER($F460&amp;"")="free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986"/>
      <x:c r="H461" s="455"/>
      <x:c r="I461" s="456"/>
      <x:c r="J461" s="456"/>
      <x:c r="K461" s="986"/>
      <x:c r="L461" s="454"/>
      <x:c r="M461" s="439"/>
      <x:c r="N461" s="987" t="str">
        <x:f>IF(COUNTA($A461:$M461)=0,"",IF(OR(LOWER($F461&amp;"")="subscription",LOWER($F461&amp;"")="membership"),"",IF($G461="","",IF(ISNUMBER(SEARCH("non",LOWER($E461&amp;""))),$G461*0.85,$G461))))</x:f>
      </x:c>
      <x:c r="O461" s="987" t="str">
        <x:f>IF(COUNTA($A461:$M461)=0,"",IF(OR(LOWER($F461&amp;"")="subscription",LOWER($F461&amp;"")="membership"),"",IF(OR($N461="",$I461="",$I461=0),"",IFERROR($N461/$I461,""))))</x:f>
      </x:c>
      <x:c r="P461" s="987" t="str">
        <x:f>IF(COUNTA($A461:$M461)=0,"",IF(OR(LOWER($F461&amp;"")="subscription",LOWER($F461&amp;"")="membership"),"",IF(LOWER($L461&amp;"")="yes",0,IF($K461&lt;&gt;"",$K461,IF($O461&lt;&gt;"",$O461,"")))))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IF(COUNTA($A461:$M461)=0,"",IF(OR(LOWER($F461&amp;"")="subscription",LOWER($F461&amp;"")="membership"),"Subscription",IF(OR(AND($H461&lt;&gt;"",$H461=0),LOWER($F461&amp;"")="free game",LOWER($F461&amp;"")="free",LOWER($F461&amp;"")="free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986"/>
      <x:c r="H462" s="455"/>
      <x:c r="I462" s="456"/>
      <x:c r="J462" s="456"/>
      <x:c r="K462" s="986"/>
      <x:c r="L462" s="454"/>
      <x:c r="M462" s="439"/>
      <x:c r="N462" s="987" t="str">
        <x:f>IF(COUNTA($A462:$M462)=0,"",IF(OR(LOWER($F462&amp;"")="subscription",LOWER($F462&amp;"")="membership"),"",IF($G462="","",IF(ISNUMBER(SEARCH("non",LOWER($E462&amp;""))),$G462*0.85,$G462))))</x:f>
      </x:c>
      <x:c r="O462" s="987" t="str">
        <x:f>IF(COUNTA($A462:$M462)=0,"",IF(OR(LOWER($F462&amp;"")="subscription",LOWER($F462&amp;"")="membership"),"",IF(OR($N462="",$I462="",$I462=0),"",IFERROR($N462/$I462,""))))</x:f>
      </x:c>
      <x:c r="P462" s="987" t="str">
        <x:f>IF(COUNTA($A462:$M462)=0,"",IF(OR(LOWER($F462&amp;"")="subscription",LOWER($F462&amp;"")="membership"),"",IF(LOWER($L462&amp;"")="yes",0,IF($K462&lt;&gt;"",$K462,IF($O462&lt;&gt;"",$O462,"")))))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IF(COUNTA($A462:$M462)=0,"",IF(OR(LOWER($F462&amp;"")="subscription",LOWER($F462&amp;"")="membership"),"Subscription",IF(OR(AND($H462&lt;&gt;"",$H462=0),LOWER($F462&amp;"")="free game",LOWER($F462&amp;"")="free",LOWER($F462&amp;"")="free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986"/>
      <x:c r="H463" s="455"/>
      <x:c r="I463" s="456"/>
      <x:c r="J463" s="456"/>
      <x:c r="K463" s="986"/>
      <x:c r="L463" s="454"/>
      <x:c r="M463" s="439"/>
      <x:c r="N463" s="987" t="str">
        <x:f>IF(COUNTA($A463:$M463)=0,"",IF(OR(LOWER($F463&amp;"")="subscription",LOWER($F463&amp;"")="membership"),"",IF($G463="","",IF(ISNUMBER(SEARCH("non",LOWER($E463&amp;""))),$G463*0.85,$G463))))</x:f>
      </x:c>
      <x:c r="O463" s="987" t="str">
        <x:f>IF(COUNTA($A463:$M463)=0,"",IF(OR(LOWER($F463&amp;"")="subscription",LOWER($F463&amp;"")="membership"),"",IF(OR($N463="",$I463="",$I463=0),"",IFERROR($N463/$I463,""))))</x:f>
      </x:c>
      <x:c r="P463" s="987" t="str">
        <x:f>IF(COUNTA($A463:$M463)=0,"",IF(OR(LOWER($F463&amp;"")="subscription",LOWER($F463&amp;"")="membership"),"",IF(LOWER($L463&amp;"")="yes",0,IF($K463&lt;&gt;"",$K463,IF($O463&lt;&gt;"",$O463,"")))))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IF(COUNTA($A463:$M463)=0,"",IF(OR(LOWER($F463&amp;"")="subscription",LOWER($F463&amp;"")="membership"),"Subscription",IF(OR(AND($H463&lt;&gt;"",$H463=0),LOWER($F463&amp;"")="free game",LOWER($F463&amp;"")="free",LOWER($F463&amp;"")="free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986"/>
      <x:c r="H464" s="455"/>
      <x:c r="I464" s="456"/>
      <x:c r="J464" s="456"/>
      <x:c r="K464" s="986"/>
      <x:c r="L464" s="454"/>
      <x:c r="M464" s="439"/>
      <x:c r="N464" s="987" t="str">
        <x:f>IF(COUNTA($A464:$M464)=0,"",IF(OR(LOWER($F464&amp;"")="subscription",LOWER($F464&amp;"")="membership"),"",IF($G464="","",IF(ISNUMBER(SEARCH("non",LOWER($E464&amp;""))),$G464*0.85,$G464))))</x:f>
      </x:c>
      <x:c r="O464" s="987" t="str">
        <x:f>IF(COUNTA($A464:$M464)=0,"",IF(OR(LOWER($F464&amp;"")="subscription",LOWER($F464&amp;"")="membership"),"",IF(OR($N464="",$I464="",$I464=0),"",IFERROR($N464/$I464,""))))</x:f>
      </x:c>
      <x:c r="P464" s="987" t="str">
        <x:f>IF(COUNTA($A464:$M464)=0,"",IF(OR(LOWER($F464&amp;"")="subscription",LOWER($F464&amp;"")="membership"),"",IF(LOWER($L464&amp;"")="yes",0,IF($K464&lt;&gt;"",$K464,IF($O464&lt;&gt;"",$O464,"")))))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IF(COUNTA($A464:$M464)=0,"",IF(OR(LOWER($F464&amp;"")="subscription",LOWER($F464&amp;"")="membership"),"Subscription",IF(OR(AND($H464&lt;&gt;"",$H464=0),LOWER($F464&amp;"")="free game",LOWER($F464&amp;"")="free",LOWER($F464&amp;"")="free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986"/>
      <x:c r="H465" s="455"/>
      <x:c r="I465" s="456"/>
      <x:c r="J465" s="456"/>
      <x:c r="K465" s="986"/>
      <x:c r="L465" s="454"/>
      <x:c r="M465" s="439"/>
      <x:c r="N465" s="987" t="str">
        <x:f>IF(COUNTA($A465:$M465)=0,"",IF(OR(LOWER($F465&amp;"")="subscription",LOWER($F465&amp;"")="membership"),"",IF($G465="","",IF(ISNUMBER(SEARCH("non",LOWER($E465&amp;""))),$G465*0.85,$G465))))</x:f>
      </x:c>
      <x:c r="O465" s="987" t="str">
        <x:f>IF(COUNTA($A465:$M465)=0,"",IF(OR(LOWER($F465&amp;"")="subscription",LOWER($F465&amp;"")="membership"),"",IF(OR($N465="",$I465="",$I465=0),"",IFERROR($N465/$I465,""))))</x:f>
      </x:c>
      <x:c r="P465" s="987" t="str">
        <x:f>IF(COUNTA($A465:$M465)=0,"",IF(OR(LOWER($F465&amp;"")="subscription",LOWER($F465&amp;"")="membership"),"",IF(LOWER($L465&amp;"")="yes",0,IF($K465&lt;&gt;"",$K465,IF($O465&lt;&gt;"",$O465,"")))))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IF(COUNTA($A465:$M465)=0,"",IF(OR(LOWER($F465&amp;"")="subscription",LOWER($F465&amp;"")="membership"),"Subscription",IF(OR(AND($H465&lt;&gt;"",$H465=0),LOWER($F465&amp;"")="free game",LOWER($F465&amp;"")="free",LOWER($F465&amp;"")="free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986"/>
      <x:c r="H466" s="455"/>
      <x:c r="I466" s="456"/>
      <x:c r="J466" s="456"/>
      <x:c r="K466" s="986"/>
      <x:c r="L466" s="454"/>
      <x:c r="M466" s="439"/>
      <x:c r="N466" s="987" t="str">
        <x:f>IF(COUNTA($A466:$M466)=0,"",IF(OR(LOWER($F466&amp;"")="subscription",LOWER($F466&amp;"")="membership"),"",IF($G466="","",IF(ISNUMBER(SEARCH("non",LOWER($E466&amp;""))),$G466*0.85,$G466))))</x:f>
      </x:c>
      <x:c r="O466" s="987" t="str">
        <x:f>IF(COUNTA($A466:$M466)=0,"",IF(OR(LOWER($F466&amp;"")="subscription",LOWER($F466&amp;"")="membership"),"",IF(OR($N466="",$I466="",$I466=0),"",IFERROR($N466/$I466,""))))</x:f>
      </x:c>
      <x:c r="P466" s="987" t="str">
        <x:f>IF(COUNTA($A466:$M466)=0,"",IF(OR(LOWER($F466&amp;"")="subscription",LOWER($F466&amp;"")="membership"),"",IF(LOWER($L466&amp;"")="yes",0,IF($K466&lt;&gt;"",$K466,IF($O466&lt;&gt;"",$O466,"")))))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IF(COUNTA($A466:$M466)=0,"",IF(OR(LOWER($F466&amp;"")="subscription",LOWER($F466&amp;"")="membership"),"Subscription",IF(OR(AND($H466&lt;&gt;"",$H466=0),LOWER($F466&amp;"")="free game",LOWER($F466&amp;"")="free",LOWER($F466&amp;"")="free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986"/>
      <x:c r="H467" s="455"/>
      <x:c r="I467" s="456"/>
      <x:c r="J467" s="456"/>
      <x:c r="K467" s="986"/>
      <x:c r="L467" s="454"/>
      <x:c r="M467" s="439"/>
      <x:c r="N467" s="987" t="str">
        <x:f>IF(COUNTA($A467:$M467)=0,"",IF(OR(LOWER($F467&amp;"")="subscription",LOWER($F467&amp;"")="membership"),"",IF($G467="","",IF(ISNUMBER(SEARCH("non",LOWER($E467&amp;""))),$G467*0.85,$G467))))</x:f>
      </x:c>
      <x:c r="O467" s="987" t="str">
        <x:f>IF(COUNTA($A467:$M467)=0,"",IF(OR(LOWER($F467&amp;"")="subscription",LOWER($F467&amp;"")="membership"),"",IF(OR($N467="",$I467="",$I467=0),"",IFERROR($N467/$I467,""))))</x:f>
      </x:c>
      <x:c r="P467" s="987" t="str">
        <x:f>IF(COUNTA($A467:$M467)=0,"",IF(OR(LOWER($F467&amp;"")="subscription",LOWER($F467&amp;"")="membership"),"",IF(LOWER($L467&amp;"")="yes",0,IF($K467&lt;&gt;"",$K467,IF($O467&lt;&gt;"",$O467,"")))))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IF(COUNTA($A467:$M467)=0,"",IF(OR(LOWER($F467&amp;"")="subscription",LOWER($F467&amp;"")="membership"),"Subscription",IF(OR(AND($H467&lt;&gt;"",$H467=0),LOWER($F467&amp;"")="free game",LOWER($F467&amp;"")="free",LOWER($F467&amp;"")="free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986"/>
      <x:c r="H468" s="455"/>
      <x:c r="I468" s="456"/>
      <x:c r="J468" s="456"/>
      <x:c r="K468" s="986"/>
      <x:c r="L468" s="454"/>
      <x:c r="M468" s="439"/>
      <x:c r="N468" s="987" t="str">
        <x:f>IF(COUNTA($A468:$M468)=0,"",IF(OR(LOWER($F468&amp;"")="subscription",LOWER($F468&amp;"")="membership"),"",IF($G468="","",IF(ISNUMBER(SEARCH("non",LOWER($E468&amp;""))),$G468*0.85,$G468))))</x:f>
      </x:c>
      <x:c r="O468" s="987" t="str">
        <x:f>IF(COUNTA($A468:$M468)=0,"",IF(OR(LOWER($F468&amp;"")="subscription",LOWER($F468&amp;"")="membership"),"",IF(OR($N468="",$I468="",$I468=0),"",IFERROR($N468/$I468,""))))</x:f>
      </x:c>
      <x:c r="P468" s="987" t="str">
        <x:f>IF(COUNTA($A468:$M468)=0,"",IF(OR(LOWER($F468&amp;"")="subscription",LOWER($F468&amp;"")="membership"),"",IF(LOWER($L468&amp;"")="yes",0,IF($K468&lt;&gt;"",$K468,IF($O468&lt;&gt;"",$O468,"")))))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IF(COUNTA($A468:$M468)=0,"",IF(OR(LOWER($F468&amp;"")="subscription",LOWER($F468&amp;"")="membership"),"Subscription",IF(OR(AND($H468&lt;&gt;"",$H468=0),LOWER($F468&amp;"")="free game",LOWER($F468&amp;"")="free",LOWER($F468&amp;"")="free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986"/>
      <x:c r="H469" s="455"/>
      <x:c r="I469" s="456"/>
      <x:c r="J469" s="456"/>
      <x:c r="K469" s="986"/>
      <x:c r="L469" s="454"/>
      <x:c r="M469" s="439"/>
      <x:c r="N469" s="987" t="str">
        <x:f>IF(COUNTA($A469:$M469)=0,"",IF(OR(LOWER($F469&amp;"")="subscription",LOWER($F469&amp;"")="membership"),"",IF($G469="","",IF(ISNUMBER(SEARCH("non",LOWER($E469&amp;""))),$G469*0.85,$G469))))</x:f>
      </x:c>
      <x:c r="O469" s="987" t="str">
        <x:f>IF(COUNTA($A469:$M469)=0,"",IF(OR(LOWER($F469&amp;"")="subscription",LOWER($F469&amp;"")="membership"),"",IF(OR($N469="",$I469="",$I469=0),"",IFERROR($N469/$I469,""))))</x:f>
      </x:c>
      <x:c r="P469" s="987" t="str">
        <x:f>IF(COUNTA($A469:$M469)=0,"",IF(OR(LOWER($F469&amp;"")="subscription",LOWER($F469&amp;"")="membership"),"",IF(LOWER($L469&amp;"")="yes",0,IF($K469&lt;&gt;"",$K469,IF($O469&lt;&gt;"",$O469,"")))))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IF(COUNTA($A469:$M469)=0,"",IF(OR(LOWER($F469&amp;"")="subscription",LOWER($F469&amp;"")="membership"),"Subscription",IF(OR(AND($H469&lt;&gt;"",$H469=0),LOWER($F469&amp;"")="free game",LOWER($F469&amp;"")="free",LOWER($F469&amp;"")="free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986"/>
      <x:c r="H470" s="455"/>
      <x:c r="I470" s="456"/>
      <x:c r="J470" s="456"/>
      <x:c r="K470" s="986"/>
      <x:c r="L470" s="454"/>
      <x:c r="M470" s="439"/>
      <x:c r="N470" s="987" t="str">
        <x:f>IF(COUNTA($A470:$M470)=0,"",IF(OR(LOWER($F470&amp;"")="subscription",LOWER($F470&amp;"")="membership"),"",IF($G470="","",IF(ISNUMBER(SEARCH("non",LOWER($E470&amp;""))),$G470*0.85,$G470))))</x:f>
      </x:c>
      <x:c r="O470" s="987" t="str">
        <x:f>IF(COUNTA($A470:$M470)=0,"",IF(OR(LOWER($F470&amp;"")="subscription",LOWER($F470&amp;"")="membership"),"",IF(OR($N470="",$I470="",$I470=0),"",IFERROR($N470/$I470,""))))</x:f>
      </x:c>
      <x:c r="P470" s="987" t="str">
        <x:f>IF(COUNTA($A470:$M470)=0,"",IF(OR(LOWER($F470&amp;"")="subscription",LOWER($F470&amp;"")="membership"),"",IF(LOWER($L470&amp;"")="yes",0,IF($K470&lt;&gt;"",$K470,IF($O470&lt;&gt;"",$O470,"")))))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IF(COUNTA($A470:$M470)=0,"",IF(OR(LOWER($F470&amp;"")="subscription",LOWER($F470&amp;"")="membership"),"Subscription",IF(OR(AND($H470&lt;&gt;"",$H470=0),LOWER($F470&amp;"")="free game",LOWER($F470&amp;"")="free",LOWER($F470&amp;"")="free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986"/>
      <x:c r="H471" s="455"/>
      <x:c r="I471" s="456"/>
      <x:c r="J471" s="456"/>
      <x:c r="K471" s="986"/>
      <x:c r="L471" s="454"/>
      <x:c r="M471" s="439"/>
      <x:c r="N471" s="987" t="str">
        <x:f>IF(COUNTA($A471:$M471)=0,"",IF(OR(LOWER($F471&amp;"")="subscription",LOWER($F471&amp;"")="membership"),"",IF($G471="","",IF(ISNUMBER(SEARCH("non",LOWER($E471&amp;""))),$G471*0.85,$G471))))</x:f>
      </x:c>
      <x:c r="O471" s="987" t="str">
        <x:f>IF(COUNTA($A471:$M471)=0,"",IF(OR(LOWER($F471&amp;"")="subscription",LOWER($F471&amp;"")="membership"),"",IF(OR($N471="",$I471="",$I471=0),"",IFERROR($N471/$I471,""))))</x:f>
      </x:c>
      <x:c r="P471" s="987" t="str">
        <x:f>IF(COUNTA($A471:$M471)=0,"",IF(OR(LOWER($F471&amp;"")="subscription",LOWER($F471&amp;"")="membership"),"",IF(LOWER($L471&amp;"")="yes",0,IF($K471&lt;&gt;"",$K471,IF($O471&lt;&gt;"",$O471,"")))))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IF(COUNTA($A471:$M471)=0,"",IF(OR(LOWER($F471&amp;"")="subscription",LOWER($F471&amp;"")="membership"),"Subscription",IF(OR(AND($H471&lt;&gt;"",$H471=0),LOWER($F471&amp;"")="free game",LOWER($F471&amp;"")="free",LOWER($F471&amp;"")="free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986"/>
      <x:c r="H472" s="455"/>
      <x:c r="I472" s="456"/>
      <x:c r="J472" s="456"/>
      <x:c r="K472" s="986"/>
      <x:c r="L472" s="454"/>
      <x:c r="M472" s="439"/>
      <x:c r="N472" s="987" t="str">
        <x:f>IF(COUNTA($A472:$M472)=0,"",IF(OR(LOWER($F472&amp;"")="subscription",LOWER($F472&amp;"")="membership"),"",IF($G472="","",IF(ISNUMBER(SEARCH("non",LOWER($E472&amp;""))),$G472*0.85,$G472))))</x:f>
      </x:c>
      <x:c r="O472" s="987" t="str">
        <x:f>IF(COUNTA($A472:$M472)=0,"",IF(OR(LOWER($F472&amp;"")="subscription",LOWER($F472&amp;"")="membership"),"",IF(OR($N472="",$I472="",$I472=0),"",IFERROR($N472/$I472,""))))</x:f>
      </x:c>
      <x:c r="P472" s="987" t="str">
        <x:f>IF(COUNTA($A472:$M472)=0,"",IF(OR(LOWER($F472&amp;"")="subscription",LOWER($F472&amp;"")="membership"),"",IF(LOWER($L472&amp;"")="yes",0,IF($K472&lt;&gt;"",$K472,IF($O472&lt;&gt;"",$O472,"")))))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IF(COUNTA($A472:$M472)=0,"",IF(OR(LOWER($F472&amp;"")="subscription",LOWER($F472&amp;"")="membership"),"Subscription",IF(OR(AND($H472&lt;&gt;"",$H472=0),LOWER($F472&amp;"")="free game",LOWER($F472&amp;"")="free",LOWER($F472&amp;"")="free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986"/>
      <x:c r="H473" s="455"/>
      <x:c r="I473" s="456"/>
      <x:c r="J473" s="456"/>
      <x:c r="K473" s="986"/>
      <x:c r="L473" s="454"/>
      <x:c r="M473" s="439"/>
      <x:c r="N473" s="987" t="str">
        <x:f>IF(COUNTA($A473:$M473)=0,"",IF(OR(LOWER($F473&amp;"")="subscription",LOWER($F473&amp;"")="membership"),"",IF($G473="","",IF(ISNUMBER(SEARCH("non",LOWER($E473&amp;""))),$G473*0.85,$G473))))</x:f>
      </x:c>
      <x:c r="O473" s="987" t="str">
        <x:f>IF(COUNTA($A473:$M473)=0,"",IF(OR(LOWER($F473&amp;"")="subscription",LOWER($F473&amp;"")="membership"),"",IF(OR($N473="",$I473="",$I473=0),"",IFERROR($N473/$I473,""))))</x:f>
      </x:c>
      <x:c r="P473" s="987" t="str">
        <x:f>IF(COUNTA($A473:$M473)=0,"",IF(OR(LOWER($F473&amp;"")="subscription",LOWER($F473&amp;"")="membership"),"",IF(LOWER($L473&amp;"")="yes",0,IF($K473&lt;&gt;"",$K473,IF($O473&lt;&gt;"",$O473,"")))))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IF(COUNTA($A473:$M473)=0,"",IF(OR(LOWER($F473&amp;"")="subscription",LOWER($F473&amp;"")="membership"),"Subscription",IF(OR(AND($H473&lt;&gt;"",$H473=0),LOWER($F473&amp;"")="free game",LOWER($F473&amp;"")="free",LOWER($F473&amp;"")="free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986"/>
      <x:c r="H474" s="455"/>
      <x:c r="I474" s="456"/>
      <x:c r="J474" s="456"/>
      <x:c r="K474" s="986"/>
      <x:c r="L474" s="454"/>
      <x:c r="M474" s="439"/>
      <x:c r="N474" s="987" t="str">
        <x:f>IF(COUNTA($A474:$M474)=0,"",IF(OR(LOWER($F474&amp;"")="subscription",LOWER($F474&amp;"")="membership"),"",IF($G474="","",IF(ISNUMBER(SEARCH("non",LOWER($E474&amp;""))),$G474*0.85,$G474))))</x:f>
      </x:c>
      <x:c r="O474" s="987" t="str">
        <x:f>IF(COUNTA($A474:$M474)=0,"",IF(OR(LOWER($F474&amp;"")="subscription",LOWER($F474&amp;"")="membership"),"",IF(OR($N474="",$I474="",$I474=0),"",IFERROR($N474/$I474,""))))</x:f>
      </x:c>
      <x:c r="P474" s="987" t="str">
        <x:f>IF(COUNTA($A474:$M474)=0,"",IF(OR(LOWER($F474&amp;"")="subscription",LOWER($F474&amp;"")="membership"),"",IF(LOWER($L474&amp;"")="yes",0,IF($K474&lt;&gt;"",$K474,IF($O474&lt;&gt;"",$O474,"")))))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IF(COUNTA($A474:$M474)=0,"",IF(OR(LOWER($F474&amp;"")="subscription",LOWER($F474&amp;"")="membership"),"Subscription",IF(OR(AND($H474&lt;&gt;"",$H474=0),LOWER($F474&amp;"")="free game",LOWER($F474&amp;"")="free",LOWER($F474&amp;"")="free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986"/>
      <x:c r="H475" s="455"/>
      <x:c r="I475" s="456"/>
      <x:c r="J475" s="456"/>
      <x:c r="K475" s="986"/>
      <x:c r="L475" s="454"/>
      <x:c r="M475" s="439"/>
      <x:c r="N475" s="987" t="str">
        <x:f>IF(COUNTA($A475:$M475)=0,"",IF(OR(LOWER($F475&amp;"")="subscription",LOWER($F475&amp;"")="membership"),"",IF($G475="","",IF(ISNUMBER(SEARCH("non",LOWER($E475&amp;""))),$G475*0.85,$G475))))</x:f>
      </x:c>
      <x:c r="O475" s="987" t="str">
        <x:f>IF(COUNTA($A475:$M475)=0,"",IF(OR(LOWER($F475&amp;"")="subscription",LOWER($F475&amp;"")="membership"),"",IF(OR($N475="",$I475="",$I475=0),"",IFERROR($N475/$I475,""))))</x:f>
      </x:c>
      <x:c r="P475" s="987" t="str">
        <x:f>IF(COUNTA($A475:$M475)=0,"",IF(OR(LOWER($F475&amp;"")="subscription",LOWER($F475&amp;"")="membership"),"",IF(LOWER($L475&amp;"")="yes",0,IF($K475&lt;&gt;"",$K475,IF($O475&lt;&gt;"",$O475,"")))))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IF(COUNTA($A475:$M475)=0,"",IF(OR(LOWER($F475&amp;"")="subscription",LOWER($F475&amp;"")="membership"),"Subscription",IF(OR(AND($H475&lt;&gt;"",$H475=0),LOWER($F475&amp;"")="free game",LOWER($F475&amp;"")="free",LOWER($F475&amp;"")="free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986"/>
      <x:c r="H476" s="455"/>
      <x:c r="I476" s="456"/>
      <x:c r="J476" s="456"/>
      <x:c r="K476" s="986"/>
      <x:c r="L476" s="454"/>
      <x:c r="M476" s="439"/>
      <x:c r="N476" s="987" t="str">
        <x:f>IF(COUNTA($A476:$M476)=0,"",IF(OR(LOWER($F476&amp;"")="subscription",LOWER($F476&amp;"")="membership"),"",IF($G476="","",IF(ISNUMBER(SEARCH("non",LOWER($E476&amp;""))),$G476*0.85,$G476))))</x:f>
      </x:c>
      <x:c r="O476" s="987" t="str">
        <x:f>IF(COUNTA($A476:$M476)=0,"",IF(OR(LOWER($F476&amp;"")="subscription",LOWER($F476&amp;"")="membership"),"",IF(OR($N476="",$I476="",$I476=0),"",IFERROR($N476/$I476,""))))</x:f>
      </x:c>
      <x:c r="P476" s="987" t="str">
        <x:f>IF(COUNTA($A476:$M476)=0,"",IF(OR(LOWER($F476&amp;"")="subscription",LOWER($F476&amp;"")="membership"),"",IF(LOWER($L476&amp;"")="yes",0,IF($K476&lt;&gt;"",$K476,IF($O476&lt;&gt;"",$O476,"")))))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IF(COUNTA($A476:$M476)=0,"",IF(OR(LOWER($F476&amp;"")="subscription",LOWER($F476&amp;"")="membership"),"Subscription",IF(OR(AND($H476&lt;&gt;"",$H476=0),LOWER($F476&amp;"")="free game",LOWER($F476&amp;"")="free",LOWER($F476&amp;"")="free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986"/>
      <x:c r="H477" s="455"/>
      <x:c r="I477" s="456"/>
      <x:c r="J477" s="456"/>
      <x:c r="K477" s="986"/>
      <x:c r="L477" s="454"/>
      <x:c r="M477" s="439"/>
      <x:c r="N477" s="987" t="str">
        <x:f>IF(COUNTA($A477:$M477)=0,"",IF(OR(LOWER($F477&amp;"")="subscription",LOWER($F477&amp;"")="membership"),"",IF($G477="","",IF(ISNUMBER(SEARCH("non",LOWER($E477&amp;""))),$G477*0.85,$G477))))</x:f>
      </x:c>
      <x:c r="O477" s="987" t="str">
        <x:f>IF(COUNTA($A477:$M477)=0,"",IF(OR(LOWER($F477&amp;"")="subscription",LOWER($F477&amp;"")="membership"),"",IF(OR($N477="",$I477="",$I477=0),"",IFERROR($N477/$I477,""))))</x:f>
      </x:c>
      <x:c r="P477" s="987" t="str">
        <x:f>IF(COUNTA($A477:$M477)=0,"",IF(OR(LOWER($F477&amp;"")="subscription",LOWER($F477&amp;"")="membership"),"",IF(LOWER($L477&amp;"")="yes",0,IF($K477&lt;&gt;"",$K477,IF($O477&lt;&gt;"",$O477,"")))))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IF(COUNTA($A477:$M477)=0,"",IF(OR(LOWER($F477&amp;"")="subscription",LOWER($F477&amp;"")="membership"),"Subscription",IF(OR(AND($H477&lt;&gt;"",$H477=0),LOWER($F477&amp;"")="free game",LOWER($F477&amp;"")="free",LOWER($F477&amp;"")="free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986"/>
      <x:c r="H478" s="455"/>
      <x:c r="I478" s="456"/>
      <x:c r="J478" s="456"/>
      <x:c r="K478" s="986"/>
      <x:c r="L478" s="454"/>
      <x:c r="M478" s="439"/>
      <x:c r="N478" s="987" t="str">
        <x:f>IF(COUNTA($A478:$M478)=0,"",IF(OR(LOWER($F478&amp;"")="subscription",LOWER($F478&amp;"")="membership"),"",IF($G478="","",IF(ISNUMBER(SEARCH("non",LOWER($E478&amp;""))),$G478*0.85,$G478))))</x:f>
      </x:c>
      <x:c r="O478" s="987" t="str">
        <x:f>IF(COUNTA($A478:$M478)=0,"",IF(OR(LOWER($F478&amp;"")="subscription",LOWER($F478&amp;"")="membership"),"",IF(OR($N478="",$I478="",$I478=0),"",IFERROR($N478/$I478,""))))</x:f>
      </x:c>
      <x:c r="P478" s="987" t="str">
        <x:f>IF(COUNTA($A478:$M478)=0,"",IF(OR(LOWER($F478&amp;"")="subscription",LOWER($F478&amp;"")="membership"),"",IF(LOWER($L478&amp;"")="yes",0,IF($K478&lt;&gt;"",$K478,IF($O478&lt;&gt;"",$O478,"")))))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IF(COUNTA($A478:$M478)=0,"",IF(OR(LOWER($F478&amp;"")="subscription",LOWER($F478&amp;"")="membership"),"Subscription",IF(OR(AND($H478&lt;&gt;"",$H478=0),LOWER($F478&amp;"")="free game",LOWER($F478&amp;"")="free",LOWER($F478&amp;"")="free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986"/>
      <x:c r="H479" s="455"/>
      <x:c r="I479" s="456"/>
      <x:c r="J479" s="456"/>
      <x:c r="K479" s="986"/>
      <x:c r="L479" s="454"/>
      <x:c r="M479" s="439"/>
      <x:c r="N479" s="987" t="str">
        <x:f>IF(COUNTA($A479:$M479)=0,"",IF(OR(LOWER($F479&amp;"")="subscription",LOWER($F479&amp;"")="membership"),"",IF($G479="","",IF(ISNUMBER(SEARCH("non",LOWER($E479&amp;""))),$G479*0.85,$G479))))</x:f>
      </x:c>
      <x:c r="O479" s="987" t="str">
        <x:f>IF(COUNTA($A479:$M479)=0,"",IF(OR(LOWER($F479&amp;"")="subscription",LOWER($F479&amp;"")="membership"),"",IF(OR($N479="",$I479="",$I479=0),"",IFERROR($N479/$I479,""))))</x:f>
      </x:c>
      <x:c r="P479" s="987" t="str">
        <x:f>IF(COUNTA($A479:$M479)=0,"",IF(OR(LOWER($F479&amp;"")="subscription",LOWER($F479&amp;"")="membership"),"",IF(LOWER($L479&amp;"")="yes",0,IF($K479&lt;&gt;"",$K479,IF($O479&lt;&gt;"",$O479,"")))))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IF(COUNTA($A479:$M479)=0,"",IF(OR(LOWER($F479&amp;"")="subscription",LOWER($F479&amp;"")="membership"),"Subscription",IF(OR(AND($H479&lt;&gt;"",$H479=0),LOWER($F479&amp;"")="free game",LOWER($F479&amp;"")="free",LOWER($F479&amp;"")="free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986"/>
      <x:c r="H480" s="455"/>
      <x:c r="I480" s="456"/>
      <x:c r="J480" s="456"/>
      <x:c r="K480" s="986"/>
      <x:c r="L480" s="454"/>
      <x:c r="M480" s="439"/>
      <x:c r="N480" s="987" t="str">
        <x:f>IF(COUNTA($A480:$M480)=0,"",IF(OR(LOWER($F480&amp;"")="subscription",LOWER($F480&amp;"")="membership"),"",IF($G480="","",IF(ISNUMBER(SEARCH("non",LOWER($E480&amp;""))),$G480*0.85,$G480))))</x:f>
      </x:c>
      <x:c r="O480" s="987" t="str">
        <x:f>IF(COUNTA($A480:$M480)=0,"",IF(OR(LOWER($F480&amp;"")="subscription",LOWER($F480&amp;"")="membership"),"",IF(OR($N480="",$I480="",$I480=0),"",IFERROR($N480/$I480,""))))</x:f>
      </x:c>
      <x:c r="P480" s="987" t="str">
        <x:f>IF(COUNTA($A480:$M480)=0,"",IF(OR(LOWER($F480&amp;"")="subscription",LOWER($F480&amp;"")="membership"),"",IF(LOWER($L480&amp;"")="yes",0,IF($K480&lt;&gt;"",$K480,IF($O480&lt;&gt;"",$O480,"")))))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IF(COUNTA($A480:$M480)=0,"",IF(OR(LOWER($F480&amp;"")="subscription",LOWER($F480&amp;"")="membership"),"Subscription",IF(OR(AND($H480&lt;&gt;"",$H480=0),LOWER($F480&amp;"")="free game",LOWER($F480&amp;"")="free",LOWER($F480&amp;"")="free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986"/>
      <x:c r="H481" s="455"/>
      <x:c r="I481" s="456"/>
      <x:c r="J481" s="456"/>
      <x:c r="K481" s="986"/>
      <x:c r="L481" s="454"/>
      <x:c r="M481" s="439"/>
      <x:c r="N481" s="987" t="str">
        <x:f>IF(COUNTA($A481:$M481)=0,"",IF(OR(LOWER($F481&amp;"")="subscription",LOWER($F481&amp;"")="membership"),"",IF($G481="","",IF(ISNUMBER(SEARCH("non",LOWER($E481&amp;""))),$G481*0.85,$G481))))</x:f>
      </x:c>
      <x:c r="O481" s="987" t="str">
        <x:f>IF(COUNTA($A481:$M481)=0,"",IF(OR(LOWER($F481&amp;"")="subscription",LOWER($F481&amp;"")="membership"),"",IF(OR($N481="",$I481="",$I481=0),"",IFERROR($N481/$I481,""))))</x:f>
      </x:c>
      <x:c r="P481" s="987" t="str">
        <x:f>IF(COUNTA($A481:$M481)=0,"",IF(OR(LOWER($F481&amp;"")="subscription",LOWER($F481&amp;"")="membership"),"",IF(LOWER($L481&amp;"")="yes",0,IF($K481&lt;&gt;"",$K481,IF($O481&lt;&gt;"",$O481,"")))))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IF(COUNTA($A481:$M481)=0,"",IF(OR(LOWER($F481&amp;"")="subscription",LOWER($F481&amp;"")="membership"),"Subscription",IF(OR(AND($H481&lt;&gt;"",$H481=0),LOWER($F481&amp;"")="free game",LOWER($F481&amp;"")="free",LOWER($F481&amp;"")="free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986"/>
      <x:c r="H482" s="455"/>
      <x:c r="I482" s="456"/>
      <x:c r="J482" s="456"/>
      <x:c r="K482" s="986"/>
      <x:c r="L482" s="454"/>
      <x:c r="M482" s="439"/>
      <x:c r="N482" s="987" t="str">
        <x:f>IF(COUNTA($A482:$M482)=0,"",IF(OR(LOWER($F482&amp;"")="subscription",LOWER($F482&amp;"")="membership"),"",IF($G482="","",IF(ISNUMBER(SEARCH("non",LOWER($E482&amp;""))),$G482*0.85,$G482))))</x:f>
      </x:c>
      <x:c r="O482" s="987" t="str">
        <x:f>IF(COUNTA($A482:$M482)=0,"",IF(OR(LOWER($F482&amp;"")="subscription",LOWER($F482&amp;"")="membership"),"",IF(OR($N482="",$I482="",$I482=0),"",IFERROR($N482/$I482,""))))</x:f>
      </x:c>
      <x:c r="P482" s="987" t="str">
        <x:f>IF(COUNTA($A482:$M482)=0,"",IF(OR(LOWER($F482&amp;"")="subscription",LOWER($F482&amp;"")="membership"),"",IF(LOWER($L482&amp;"")="yes",0,IF($K482&lt;&gt;"",$K482,IF($O482&lt;&gt;"",$O482,"")))))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IF(COUNTA($A482:$M482)=0,"",IF(OR(LOWER($F482&amp;"")="subscription",LOWER($F482&amp;"")="membership"),"Subscription",IF(OR(AND($H482&lt;&gt;"",$H482=0),LOWER($F482&amp;"")="free game",LOWER($F482&amp;"")="free",LOWER($F482&amp;"")="free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986"/>
      <x:c r="H483" s="455"/>
      <x:c r="I483" s="456"/>
      <x:c r="J483" s="456"/>
      <x:c r="K483" s="986"/>
      <x:c r="L483" s="454"/>
      <x:c r="M483" s="439"/>
      <x:c r="N483" s="987" t="str">
        <x:f>IF(COUNTA($A483:$M483)=0,"",IF(OR(LOWER($F483&amp;"")="subscription",LOWER($F483&amp;"")="membership"),"",IF($G483="","",IF(ISNUMBER(SEARCH("non",LOWER($E483&amp;""))),$G483*0.85,$G483))))</x:f>
      </x:c>
      <x:c r="O483" s="987" t="str">
        <x:f>IF(COUNTA($A483:$M483)=0,"",IF(OR(LOWER($F483&amp;"")="subscription",LOWER($F483&amp;"")="membership"),"",IF(OR($N483="",$I483="",$I483=0),"",IFERROR($N483/$I483,""))))</x:f>
      </x:c>
      <x:c r="P483" s="987" t="str">
        <x:f>IF(COUNTA($A483:$M483)=0,"",IF(OR(LOWER($F483&amp;"")="subscription",LOWER($F483&amp;"")="membership"),"",IF(LOWER($L483&amp;"")="yes",0,IF($K483&lt;&gt;"",$K483,IF($O483&lt;&gt;"",$O483,"")))))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IF(COUNTA($A483:$M483)=0,"",IF(OR(LOWER($F483&amp;"")="subscription",LOWER($F483&amp;"")="membership"),"Subscription",IF(OR(AND($H483&lt;&gt;"",$H483=0),LOWER($F483&amp;"")="free game",LOWER($F483&amp;"")="free",LOWER($F483&amp;"")="free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986"/>
      <x:c r="H484" s="455"/>
      <x:c r="I484" s="456"/>
      <x:c r="J484" s="456"/>
      <x:c r="K484" s="986"/>
      <x:c r="L484" s="454"/>
      <x:c r="M484" s="439"/>
      <x:c r="N484" s="987" t="str">
        <x:f>IF(COUNTA($A484:$M484)=0,"",IF(OR(LOWER($F484&amp;"")="subscription",LOWER($F484&amp;"")="membership"),"",IF($G484="","",IF(ISNUMBER(SEARCH("non",LOWER($E484&amp;""))),$G484*0.85,$G484))))</x:f>
      </x:c>
      <x:c r="O484" s="987" t="str">
        <x:f>IF(COUNTA($A484:$M484)=0,"",IF(OR(LOWER($F484&amp;"")="subscription",LOWER($F484&amp;"")="membership"),"",IF(OR($N484="",$I484="",$I484=0),"",IFERROR($N484/$I484,""))))</x:f>
      </x:c>
      <x:c r="P484" s="987" t="str">
        <x:f>IF(COUNTA($A484:$M484)=0,"",IF(OR(LOWER($F484&amp;"")="subscription",LOWER($F484&amp;"")="membership"),"",IF(LOWER($L484&amp;"")="yes",0,IF($K484&lt;&gt;"",$K484,IF($O484&lt;&gt;"",$O484,"")))))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IF(COUNTA($A484:$M484)=0,"",IF(OR(LOWER($F484&amp;"")="subscription",LOWER($F484&amp;"")="membership"),"Subscription",IF(OR(AND($H484&lt;&gt;"",$H484=0),LOWER($F484&amp;"")="free game",LOWER($F484&amp;"")="free",LOWER($F484&amp;"")="free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986"/>
      <x:c r="H485" s="455"/>
      <x:c r="I485" s="456"/>
      <x:c r="J485" s="456"/>
      <x:c r="K485" s="986"/>
      <x:c r="L485" s="454"/>
      <x:c r="M485" s="439"/>
      <x:c r="N485" s="987" t="str">
        <x:f>IF(COUNTA($A485:$M485)=0,"",IF(OR(LOWER($F485&amp;"")="subscription",LOWER($F485&amp;"")="membership"),"",IF($G485="","",IF(ISNUMBER(SEARCH("non",LOWER($E485&amp;""))),$G485*0.85,$G485))))</x:f>
      </x:c>
      <x:c r="O485" s="987" t="str">
        <x:f>IF(COUNTA($A485:$M485)=0,"",IF(OR(LOWER($F485&amp;"")="subscription",LOWER($F485&amp;"")="membership"),"",IF(OR($N485="",$I485="",$I485=0),"",IFERROR($N485/$I485,""))))</x:f>
      </x:c>
      <x:c r="P485" s="987" t="str">
        <x:f>IF(COUNTA($A485:$M485)=0,"",IF(OR(LOWER($F485&amp;"")="subscription",LOWER($F485&amp;"")="membership"),"",IF(LOWER($L485&amp;"")="yes",0,IF($K485&lt;&gt;"",$K485,IF($O485&lt;&gt;"",$O485,"")))))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IF(COUNTA($A485:$M485)=0,"",IF(OR(LOWER($F485&amp;"")="subscription",LOWER($F485&amp;"")="membership"),"Subscription",IF(OR(AND($H485&lt;&gt;"",$H485=0),LOWER($F485&amp;"")="free game",LOWER($F485&amp;"")="free",LOWER($F485&amp;"")="free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986"/>
      <x:c r="H486" s="455"/>
      <x:c r="I486" s="456"/>
      <x:c r="J486" s="456"/>
      <x:c r="K486" s="986"/>
      <x:c r="L486" s="454"/>
      <x:c r="M486" s="439"/>
      <x:c r="N486" s="987" t="str">
        <x:f>IF(COUNTA($A486:$M486)=0,"",IF(OR(LOWER($F486&amp;"")="subscription",LOWER($F486&amp;"")="membership"),"",IF($G486="","",IF(ISNUMBER(SEARCH("non",LOWER($E486&amp;""))),$G486*0.85,$G486))))</x:f>
      </x:c>
      <x:c r="O486" s="987" t="str">
        <x:f>IF(COUNTA($A486:$M486)=0,"",IF(OR(LOWER($F486&amp;"")="subscription",LOWER($F486&amp;"")="membership"),"",IF(OR($N486="",$I486="",$I486=0),"",IFERROR($N486/$I486,""))))</x:f>
      </x:c>
      <x:c r="P486" s="987" t="str">
        <x:f>IF(COUNTA($A486:$M486)=0,"",IF(OR(LOWER($F486&amp;"")="subscription",LOWER($F486&amp;"")="membership"),"",IF(LOWER($L486&amp;"")="yes",0,IF($K486&lt;&gt;"",$K486,IF($O486&lt;&gt;"",$O486,"")))))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IF(COUNTA($A486:$M486)=0,"",IF(OR(LOWER($F486&amp;"")="subscription",LOWER($F486&amp;"")="membership"),"Subscription",IF(OR(AND($H486&lt;&gt;"",$H486=0),LOWER($F486&amp;"")="free game",LOWER($F486&amp;"")="free",LOWER($F486&amp;"")="free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986"/>
      <x:c r="H487" s="455"/>
      <x:c r="I487" s="456"/>
      <x:c r="J487" s="456"/>
      <x:c r="K487" s="986"/>
      <x:c r="L487" s="454"/>
      <x:c r="M487" s="439"/>
      <x:c r="N487" s="987" t="str">
        <x:f>IF(COUNTA($A487:$M487)=0,"",IF(OR(LOWER($F487&amp;"")="subscription",LOWER($F487&amp;"")="membership"),"",IF($G487="","",IF(ISNUMBER(SEARCH("non",LOWER($E487&amp;""))),$G487*0.85,$G487))))</x:f>
      </x:c>
      <x:c r="O487" s="987" t="str">
        <x:f>IF(COUNTA($A487:$M487)=0,"",IF(OR(LOWER($F487&amp;"")="subscription",LOWER($F487&amp;"")="membership"),"",IF(OR($N487="",$I487="",$I487=0),"",IFERROR($N487/$I487,""))))</x:f>
      </x:c>
      <x:c r="P487" s="987" t="str">
        <x:f>IF(COUNTA($A487:$M487)=0,"",IF(OR(LOWER($F487&amp;"")="subscription",LOWER($F487&amp;"")="membership"),"",IF(LOWER($L487&amp;"")="yes",0,IF($K487&lt;&gt;"",$K487,IF($O487&lt;&gt;"",$O487,"")))))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IF(COUNTA($A487:$M487)=0,"",IF(OR(LOWER($F487&amp;"")="subscription",LOWER($F487&amp;"")="membership"),"Subscription",IF(OR(AND($H487&lt;&gt;"",$H487=0),LOWER($F487&amp;"")="free game",LOWER($F487&amp;"")="free",LOWER($F487&amp;"")="free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986"/>
      <x:c r="H488" s="455"/>
      <x:c r="I488" s="456"/>
      <x:c r="J488" s="456"/>
      <x:c r="K488" s="986"/>
      <x:c r="L488" s="454"/>
      <x:c r="M488" s="439"/>
      <x:c r="N488" s="987" t="str">
        <x:f>IF(COUNTA($A488:$M488)=0,"",IF(OR(LOWER($F488&amp;"")="subscription",LOWER($F488&amp;"")="membership"),"",IF($G488="","",IF(ISNUMBER(SEARCH("non",LOWER($E488&amp;""))),$G488*0.85,$G488))))</x:f>
      </x:c>
      <x:c r="O488" s="987" t="str">
        <x:f>IF(COUNTA($A488:$M488)=0,"",IF(OR(LOWER($F488&amp;"")="subscription",LOWER($F488&amp;"")="membership"),"",IF(OR($N488="",$I488="",$I488=0),"",IFERROR($N488/$I488,""))))</x:f>
      </x:c>
      <x:c r="P488" s="987" t="str">
        <x:f>IF(COUNTA($A488:$M488)=0,"",IF(OR(LOWER($F488&amp;"")="subscription",LOWER($F488&amp;"")="membership"),"",IF(LOWER($L488&amp;"")="yes",0,IF($K488&lt;&gt;"",$K488,IF($O488&lt;&gt;"",$O488,"")))))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IF(COUNTA($A488:$M488)=0,"",IF(OR(LOWER($F488&amp;"")="subscription",LOWER($F488&amp;"")="membership"),"Subscription",IF(OR(AND($H488&lt;&gt;"",$H488=0),LOWER($F488&amp;"")="free game",LOWER($F488&amp;"")="free",LOWER($F488&amp;"")="free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986"/>
      <x:c r="H489" s="455"/>
      <x:c r="I489" s="456"/>
      <x:c r="J489" s="456"/>
      <x:c r="K489" s="986"/>
      <x:c r="L489" s="454"/>
      <x:c r="M489" s="439"/>
      <x:c r="N489" s="987" t="str">
        <x:f>IF(COUNTA($A489:$M489)=0,"",IF(OR(LOWER($F489&amp;"")="subscription",LOWER($F489&amp;"")="membership"),"",IF($G489="","",IF(ISNUMBER(SEARCH("non",LOWER($E489&amp;""))),$G489*0.85,$G489))))</x:f>
      </x:c>
      <x:c r="O489" s="987" t="str">
        <x:f>IF(COUNTA($A489:$M489)=0,"",IF(OR(LOWER($F489&amp;"")="subscription",LOWER($F489&amp;"")="membership"),"",IF(OR($N489="",$I489="",$I489=0),"",IFERROR($N489/$I489,""))))</x:f>
      </x:c>
      <x:c r="P489" s="987" t="str">
        <x:f>IF(COUNTA($A489:$M489)=0,"",IF(OR(LOWER($F489&amp;"")="subscription",LOWER($F489&amp;"")="membership"),"",IF(LOWER($L489&amp;"")="yes",0,IF($K489&lt;&gt;"",$K489,IF($O489&lt;&gt;"",$O489,"")))))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IF(COUNTA($A489:$M489)=0,"",IF(OR(LOWER($F489&amp;"")="subscription",LOWER($F489&amp;"")="membership"),"Subscription",IF(OR(AND($H489&lt;&gt;"",$H489=0),LOWER($F489&amp;"")="free game",LOWER($F489&amp;"")="free",LOWER($F489&amp;"")="free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986"/>
      <x:c r="H490" s="455"/>
      <x:c r="I490" s="456"/>
      <x:c r="J490" s="456"/>
      <x:c r="K490" s="986"/>
      <x:c r="L490" s="454"/>
      <x:c r="M490" s="439"/>
      <x:c r="N490" s="987" t="str">
        <x:f>IF(COUNTA($A490:$M490)=0,"",IF(OR(LOWER($F490&amp;"")="subscription",LOWER($F490&amp;"")="membership"),"",IF($G490="","",IF(ISNUMBER(SEARCH("non",LOWER($E490&amp;""))),$G490*0.85,$G490))))</x:f>
      </x:c>
      <x:c r="O490" s="987" t="str">
        <x:f>IF(COUNTA($A490:$M490)=0,"",IF(OR(LOWER($F490&amp;"")="subscription",LOWER($F490&amp;"")="membership"),"",IF(OR($N490="",$I490="",$I490=0),"",IFERROR($N490/$I490,""))))</x:f>
      </x:c>
      <x:c r="P490" s="987" t="str">
        <x:f>IF(COUNTA($A490:$M490)=0,"",IF(OR(LOWER($F490&amp;"")="subscription",LOWER($F490&amp;"")="membership"),"",IF(LOWER($L490&amp;"")="yes",0,IF($K490&lt;&gt;"",$K490,IF($O490&lt;&gt;"",$O490,"")))))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IF(COUNTA($A490:$M490)=0,"",IF(OR(LOWER($F490&amp;"")="subscription",LOWER($F490&amp;"")="membership"),"Subscription",IF(OR(AND($H490&lt;&gt;"",$H490=0),LOWER($F490&amp;"")="free game",LOWER($F490&amp;"")="free",LOWER($F490&amp;"")="free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986"/>
      <x:c r="H491" s="455"/>
      <x:c r="I491" s="456"/>
      <x:c r="J491" s="456"/>
      <x:c r="K491" s="986"/>
      <x:c r="L491" s="454"/>
      <x:c r="M491" s="439"/>
      <x:c r="N491" s="987" t="str">
        <x:f>IF(COUNTA($A491:$M491)=0,"",IF(OR(LOWER($F491&amp;"")="subscription",LOWER($F491&amp;"")="membership"),"",IF($G491="","",IF(ISNUMBER(SEARCH("non",LOWER($E491&amp;""))),$G491*0.85,$G491))))</x:f>
      </x:c>
      <x:c r="O491" s="987" t="str">
        <x:f>IF(COUNTA($A491:$M491)=0,"",IF(OR(LOWER($F491&amp;"")="subscription",LOWER($F491&amp;"")="membership"),"",IF(OR($N491="",$I491="",$I491=0),"",IFERROR($N491/$I491,""))))</x:f>
      </x:c>
      <x:c r="P491" s="987" t="str">
        <x:f>IF(COUNTA($A491:$M491)=0,"",IF(OR(LOWER($F491&amp;"")="subscription",LOWER($F491&amp;"")="membership"),"",IF(LOWER($L491&amp;"")="yes",0,IF($K491&lt;&gt;"",$K491,IF($O491&lt;&gt;"",$O491,"")))))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IF(COUNTA($A491:$M491)=0,"",IF(OR(LOWER($F491&amp;"")="subscription",LOWER($F491&amp;"")="membership"),"Subscription",IF(OR(AND($H491&lt;&gt;"",$H491=0),LOWER($F491&amp;"")="free game",LOWER($F491&amp;"")="free",LOWER($F491&amp;"")="free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986"/>
      <x:c r="H492" s="455"/>
      <x:c r="I492" s="456"/>
      <x:c r="J492" s="456"/>
      <x:c r="K492" s="986"/>
      <x:c r="L492" s="454"/>
      <x:c r="M492" s="439"/>
      <x:c r="N492" s="987" t="str">
        <x:f>IF(COUNTA($A492:$M492)=0,"",IF(OR(LOWER($F492&amp;"")="subscription",LOWER($F492&amp;"")="membership"),"",IF($G492="","",IF(ISNUMBER(SEARCH("non",LOWER($E492&amp;""))),$G492*0.85,$G492))))</x:f>
      </x:c>
      <x:c r="O492" s="987" t="str">
        <x:f>IF(COUNTA($A492:$M492)=0,"",IF(OR(LOWER($F492&amp;"")="subscription",LOWER($F492&amp;"")="membership"),"",IF(OR($N492="",$I492="",$I492=0),"",IFERROR($N492/$I492,""))))</x:f>
      </x:c>
      <x:c r="P492" s="987" t="str">
        <x:f>IF(COUNTA($A492:$M492)=0,"",IF(OR(LOWER($F492&amp;"")="subscription",LOWER($F492&amp;"")="membership"),"",IF(LOWER($L492&amp;"")="yes",0,IF($K492&lt;&gt;"",$K492,IF($O492&lt;&gt;"",$O492,"")))))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IF(COUNTA($A492:$M492)=0,"",IF(OR(LOWER($F492&amp;"")="subscription",LOWER($F492&amp;"")="membership"),"Subscription",IF(OR(AND($H492&lt;&gt;"",$H492=0),LOWER($F492&amp;"")="free game",LOWER($F492&amp;"")="free",LOWER($F492&amp;"")="free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986"/>
      <x:c r="H493" s="455"/>
      <x:c r="I493" s="456"/>
      <x:c r="J493" s="456"/>
      <x:c r="K493" s="986"/>
      <x:c r="L493" s="454"/>
      <x:c r="M493" s="439"/>
      <x:c r="N493" s="987" t="str">
        <x:f>IF(COUNTA($A493:$M493)=0,"",IF(OR(LOWER($F493&amp;"")="subscription",LOWER($F493&amp;"")="membership"),"",IF($G493="","",IF(ISNUMBER(SEARCH("non",LOWER($E493&amp;""))),$G493*0.85,$G493))))</x:f>
      </x:c>
      <x:c r="O493" s="987" t="str">
        <x:f>IF(COUNTA($A493:$M493)=0,"",IF(OR(LOWER($F493&amp;"")="subscription",LOWER($F493&amp;"")="membership"),"",IF(OR($N493="",$I493="",$I493=0),"",IFERROR($N493/$I493,""))))</x:f>
      </x:c>
      <x:c r="P493" s="987" t="str">
        <x:f>IF(COUNTA($A493:$M493)=0,"",IF(OR(LOWER($F493&amp;"")="subscription",LOWER($F493&amp;"")="membership"),"",IF(LOWER($L493&amp;"")="yes",0,IF($K493&lt;&gt;"",$K493,IF($O493&lt;&gt;"",$O493,"")))))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IF(COUNTA($A493:$M493)=0,"",IF(OR(LOWER($F493&amp;"")="subscription",LOWER($F493&amp;"")="membership"),"Subscription",IF(OR(AND($H493&lt;&gt;"",$H493=0),LOWER($F493&amp;"")="free game",LOWER($F493&amp;"")="free",LOWER($F493&amp;"")="free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986"/>
      <x:c r="H494" s="455"/>
      <x:c r="I494" s="456"/>
      <x:c r="J494" s="456"/>
      <x:c r="K494" s="986"/>
      <x:c r="L494" s="454"/>
      <x:c r="M494" s="439"/>
      <x:c r="N494" s="987" t="str">
        <x:f>IF(COUNTA($A494:$M494)=0,"",IF(OR(LOWER($F494&amp;"")="subscription",LOWER($F494&amp;"")="membership"),"",IF($G494="","",IF(ISNUMBER(SEARCH("non",LOWER($E494&amp;""))),$G494*0.85,$G494))))</x:f>
      </x:c>
      <x:c r="O494" s="987" t="str">
        <x:f>IF(COUNTA($A494:$M494)=0,"",IF(OR(LOWER($F494&amp;"")="subscription",LOWER($F494&amp;"")="membership"),"",IF(OR($N494="",$I494="",$I494=0),"",IFERROR($N494/$I494,""))))</x:f>
      </x:c>
      <x:c r="P494" s="987" t="str">
        <x:f>IF(COUNTA($A494:$M494)=0,"",IF(OR(LOWER($F494&amp;"")="subscription",LOWER($F494&amp;"")="membership"),"",IF(LOWER($L494&amp;"")="yes",0,IF($K494&lt;&gt;"",$K494,IF($O494&lt;&gt;"",$O494,"")))))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IF(COUNTA($A494:$M494)=0,"",IF(OR(LOWER($F494&amp;"")="subscription",LOWER($F494&amp;"")="membership"),"Subscription",IF(OR(AND($H494&lt;&gt;"",$H494=0),LOWER($F494&amp;"")="free game",LOWER($F494&amp;"")="free",LOWER($F494&amp;"")="free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986"/>
      <x:c r="H495" s="455"/>
      <x:c r="I495" s="456"/>
      <x:c r="J495" s="456"/>
      <x:c r="K495" s="986"/>
      <x:c r="L495" s="454"/>
      <x:c r="M495" s="439"/>
      <x:c r="N495" s="987" t="str">
        <x:f>IF(COUNTA($A495:$M495)=0,"",IF(OR(LOWER($F495&amp;"")="subscription",LOWER($F495&amp;"")="membership"),"",IF($G495="","",IF(ISNUMBER(SEARCH("non",LOWER($E495&amp;""))),$G495*0.85,$G495))))</x:f>
      </x:c>
      <x:c r="O495" s="987" t="str">
        <x:f>IF(COUNTA($A495:$M495)=0,"",IF(OR(LOWER($F495&amp;"")="subscription",LOWER($F495&amp;"")="membership"),"",IF(OR($N495="",$I495="",$I495=0),"",IFERROR($N495/$I495,""))))</x:f>
      </x:c>
      <x:c r="P495" s="987" t="str">
        <x:f>IF(COUNTA($A495:$M495)=0,"",IF(OR(LOWER($F495&amp;"")="subscription",LOWER($F495&amp;"")="membership"),"",IF(LOWER($L495&amp;"")="yes",0,IF($K495&lt;&gt;"",$K495,IF($O495&lt;&gt;"",$O495,"")))))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IF(COUNTA($A495:$M495)=0,"",IF(OR(LOWER($F495&amp;"")="subscription",LOWER($F495&amp;"")="membership"),"Subscription",IF(OR(AND($H495&lt;&gt;"",$H495=0),LOWER($F495&amp;"")="free game",LOWER($F495&amp;"")="free",LOWER($F495&amp;"")="free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986"/>
      <x:c r="H496" s="455"/>
      <x:c r="I496" s="456"/>
      <x:c r="J496" s="456"/>
      <x:c r="K496" s="986"/>
      <x:c r="L496" s="454"/>
      <x:c r="M496" s="439"/>
      <x:c r="N496" s="987" t="str">
        <x:f>IF(COUNTA($A496:$M496)=0,"",IF(OR(LOWER($F496&amp;"")="subscription",LOWER($F496&amp;"")="membership"),"",IF($G496="","",IF(ISNUMBER(SEARCH("non",LOWER($E496&amp;""))),$G496*0.85,$G496))))</x:f>
      </x:c>
      <x:c r="O496" s="987" t="str">
        <x:f>IF(COUNTA($A496:$M496)=0,"",IF(OR(LOWER($F496&amp;"")="subscription",LOWER($F496&amp;"")="membership"),"",IF(OR($N496="",$I496="",$I496=0),"",IFERROR($N496/$I496,""))))</x:f>
      </x:c>
      <x:c r="P496" s="987" t="str">
        <x:f>IF(COUNTA($A496:$M496)=0,"",IF(OR(LOWER($F496&amp;"")="subscription",LOWER($F496&amp;"")="membership"),"",IF(LOWER($L496&amp;"")="yes",0,IF($K496&lt;&gt;"",$K496,IF($O496&lt;&gt;"",$O496,"")))))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IF(COUNTA($A496:$M496)=0,"",IF(OR(LOWER($F496&amp;"")="subscription",LOWER($F496&amp;"")="membership"),"Subscription",IF(OR(AND($H496&lt;&gt;"",$H496=0),LOWER($F496&amp;"")="free game",LOWER($F496&amp;"")="free",LOWER($F496&amp;"")="free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986"/>
      <x:c r="H497" s="455"/>
      <x:c r="I497" s="456"/>
      <x:c r="J497" s="456"/>
      <x:c r="K497" s="986"/>
      <x:c r="L497" s="454"/>
      <x:c r="M497" s="439"/>
      <x:c r="N497" s="987" t="str">
        <x:f>IF(COUNTA($A497:$M497)=0,"",IF(OR(LOWER($F497&amp;"")="subscription",LOWER($F497&amp;"")="membership"),"",IF($G497="","",IF(ISNUMBER(SEARCH("non",LOWER($E497&amp;""))),$G497*0.85,$G497))))</x:f>
      </x:c>
      <x:c r="O497" s="987" t="str">
        <x:f>IF(COUNTA($A497:$M497)=0,"",IF(OR(LOWER($F497&amp;"")="subscription",LOWER($F497&amp;"")="membership"),"",IF(OR($N497="",$I497="",$I497=0),"",IFERROR($N497/$I497,""))))</x:f>
      </x:c>
      <x:c r="P497" s="987" t="str">
        <x:f>IF(COUNTA($A497:$M497)=0,"",IF(OR(LOWER($F497&amp;"")="subscription",LOWER($F497&amp;"")="membership"),"",IF(LOWER($L497&amp;"")="yes",0,IF($K497&lt;&gt;"",$K497,IF($O497&lt;&gt;"",$O497,"")))))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IF(COUNTA($A497:$M497)=0,"",IF(OR(LOWER($F497&amp;"")="subscription",LOWER($F497&amp;"")="membership"),"Subscription",IF(OR(AND($H497&lt;&gt;"",$H497=0),LOWER($F497&amp;"")="free game",LOWER($F497&amp;"")="free",LOWER($F497&amp;"")="free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986"/>
      <x:c r="H498" s="455"/>
      <x:c r="I498" s="456"/>
      <x:c r="J498" s="456"/>
      <x:c r="K498" s="986"/>
      <x:c r="L498" s="454"/>
      <x:c r="M498" s="439"/>
      <x:c r="N498" s="987" t="str">
        <x:f>IF(COUNTA($A498:$M498)=0,"",IF(OR(LOWER($F498&amp;"")="subscription",LOWER($F498&amp;"")="membership"),"",IF($G498="","",IF(ISNUMBER(SEARCH("non",LOWER($E498&amp;""))),$G498*0.85,$G498))))</x:f>
      </x:c>
      <x:c r="O498" s="987" t="str">
        <x:f>IF(COUNTA($A498:$M498)=0,"",IF(OR(LOWER($F498&amp;"")="subscription",LOWER($F498&amp;"")="membership"),"",IF(OR($N498="",$I498="",$I498=0),"",IFERROR($N498/$I498,""))))</x:f>
      </x:c>
      <x:c r="P498" s="987" t="str">
        <x:f>IF(COUNTA($A498:$M498)=0,"",IF(OR(LOWER($F498&amp;"")="subscription",LOWER($F498&amp;"")="membership"),"",IF(LOWER($L498&amp;"")="yes",0,IF($K498&lt;&gt;"",$K498,IF($O498&lt;&gt;"",$O498,"")))))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IF(COUNTA($A498:$M498)=0,"",IF(OR(LOWER($F498&amp;"")="subscription",LOWER($F498&amp;"")="membership"),"Subscription",IF(OR(AND($H498&lt;&gt;"",$H498=0),LOWER($F498&amp;"")="free game",LOWER($F498&amp;"")="free",LOWER($F498&amp;"")="free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986"/>
      <x:c r="H499" s="455"/>
      <x:c r="I499" s="456"/>
      <x:c r="J499" s="456"/>
      <x:c r="K499" s="986"/>
      <x:c r="L499" s="454"/>
      <x:c r="M499" s="439"/>
      <x:c r="N499" s="987" t="str">
        <x:f>IF(COUNTA($A499:$M499)=0,"",IF(OR(LOWER($F499&amp;"")="subscription",LOWER($F499&amp;"")="membership"),"",IF($G499="","",IF(ISNUMBER(SEARCH("non",LOWER($E499&amp;""))),$G499*0.85,$G499))))</x:f>
      </x:c>
      <x:c r="O499" s="987" t="str">
        <x:f>IF(COUNTA($A499:$M499)=0,"",IF(OR(LOWER($F499&amp;"")="subscription",LOWER($F499&amp;"")="membership"),"",IF(OR($N499="",$I499="",$I499=0),"",IFERROR($N499/$I499,""))))</x:f>
      </x:c>
      <x:c r="P499" s="987" t="str">
        <x:f>IF(COUNTA($A499:$M499)=0,"",IF(OR(LOWER($F499&amp;"")="subscription",LOWER($F499&amp;"")="membership"),"",IF(LOWER($L499&amp;"")="yes",0,IF($K499&lt;&gt;"",$K499,IF($O499&lt;&gt;"",$O499,"")))))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IF(COUNTA($A499:$M499)=0,"",IF(OR(LOWER($F499&amp;"")="subscription",LOWER($F499&amp;"")="membership"),"Subscription",IF(OR(AND($H499&lt;&gt;"",$H499=0),LOWER($F499&amp;"")="free game",LOWER($F499&amp;"")="free",LOWER($F499&amp;"")="free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986"/>
      <x:c r="H500" s="455"/>
      <x:c r="I500" s="456"/>
      <x:c r="J500" s="456"/>
      <x:c r="K500" s="986"/>
      <x:c r="L500" s="454"/>
      <x:c r="M500" s="439"/>
      <x:c r="N500" s="987" t="str">
        <x:f>IF(COUNTA($A500:$M500)=0,"",IF(OR(LOWER($F500&amp;"")="subscription",LOWER($F500&amp;"")="membership"),"",IF($G500="","",IF(ISNUMBER(SEARCH("non",LOWER($E500&amp;""))),$G500*0.85,$G500))))</x:f>
      </x:c>
      <x:c r="O500" s="987" t="str">
        <x:f>IF(COUNTA($A500:$M500)=0,"",IF(OR(LOWER($F500&amp;"")="subscription",LOWER($F500&amp;"")="membership"),"",IF(OR($N500="",$I500="",$I500=0),"",IFERROR($N500/$I500,""))))</x:f>
      </x:c>
      <x:c r="P500" s="987" t="str">
        <x:f>IF(COUNTA($A500:$M500)=0,"",IF(OR(LOWER($F500&amp;"")="subscription",LOWER($F500&amp;"")="membership"),"",IF(LOWER($L500&amp;"")="yes",0,IF($K500&lt;&gt;"",$K500,IF($O500&lt;&gt;"",$O500,"")))))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IF(COUNTA($A500:$M500)=0,"",IF(OR(LOWER($F500&amp;"")="subscription",LOWER($F500&amp;"")="membership"),"Subscription",IF(OR(AND($H500&lt;&gt;"",$H500=0),LOWER($F500&amp;"")="free game",LOWER($F500&amp;"")="free",LOWER($F500&amp;"")="free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986"/>
      <x:c r="H501" s="455"/>
      <x:c r="I501" s="456"/>
      <x:c r="J501" s="456"/>
      <x:c r="K501" s="986"/>
      <x:c r="L501" s="454"/>
      <x:c r="M501" s="439"/>
      <x:c r="N501" s="988" t="str">
        <x:f>IF(COUNTA($A501:$M501)=0,"",IF(OR(LOWER($F501&amp;"")="subscription",LOWER($F501&amp;"")="membership"),"",IF($G501="","",IF(ISNUMBER(SEARCH("non",LOWER($E501&amp;""))),$G501*0.85,$G501))))</x:f>
      </x:c>
      <x:c r="O501" s="988" t="str">
        <x:f>IF(COUNTA($A501:$M501)=0,"",IF(OR(LOWER($F501&amp;"")="subscription",LOWER($F501&amp;"")="membership"),"",IF(OR($N501="",$I501="",$I501=0),"",IFERROR($N501/$I501,""))))</x:f>
      </x:c>
      <x:c r="P501" s="988" t="str">
        <x:f>IF(COUNTA($A501:$M501)=0,"",IF(OR(LOWER($F501&amp;"")="subscription",LOWER($F501&amp;"")="membership"),"",IF(LOWER($L501&amp;"")="yes",0,IF($K501&lt;&gt;"",$K501,IF($O501&lt;&gt;"",$O501,"")))))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IF(COUNTA($A501:$M501)=0,"",IF(OR(LOWER($F501&amp;"")="subscription",LOWER($F501&amp;"")="membership"),"Subscription",IF(OR(AND($H501&lt;&gt;"",$H501=0),LOWER($F501&amp;"")="free game",LOWER($F501&amp;"")="free",LOWER($F501&amp;"")="free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986"/>
      <x:c r="H502" s="455"/>
      <x:c r="I502" s="456"/>
      <x:c r="J502" s="456"/>
      <x:c r="K502" s="986"/>
      <x:c r="L502" s="454"/>
      <x:c r="M502" s="439"/>
      <x:c r="N502" s="988" t="str">
        <x:f>IF(COUNTA($A502:$M502)=0,"",IF(OR(LOWER($F502&amp;"")="subscription",LOWER($F502&amp;"")="membership"),"",IF($G502="","",IF(ISNUMBER(SEARCH("non",LOWER($E502&amp;""))),$G502*0.85,$G502))))</x:f>
      </x:c>
      <x:c r="O502" s="988" t="str">
        <x:f>IF(COUNTA($A502:$M502)=0,"",IF(OR(LOWER($F502&amp;"")="subscription",LOWER($F502&amp;"")="membership"),"",IF(OR($N502="",$I502="",$I502=0),"",IFERROR($N502/$I502,""))))</x:f>
      </x:c>
      <x:c r="P502" s="988" t="str">
        <x:f>IF(COUNTA($A502:$M502)=0,"",IF(OR(LOWER($F502&amp;"")="subscription",LOWER($F502&amp;"")="membership"),"",IF(LOWER($L502&amp;"")="yes",0,IF($K502&lt;&gt;"",$K502,IF($O502&lt;&gt;"",$O502,"")))))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IF(COUNTA($A502:$M502)=0,"",IF(OR(LOWER($F502&amp;"")="subscription",LOWER($F502&amp;"")="membership"),"Subscription",IF(OR(AND($H502&lt;&gt;"",$H502=0),LOWER($F502&amp;"")="free game",LOWER($F502&amp;"")="free",LOWER($F502&amp;"")="free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986"/>
      <x:c r="H503" s="455"/>
      <x:c r="I503" s="456"/>
      <x:c r="J503" s="456"/>
      <x:c r="K503" s="986"/>
      <x:c r="L503" s="454"/>
      <x:c r="M503" s="439"/>
      <x:c r="N503" s="988" t="str">
        <x:f>IF(COUNTA($A503:$M503)=0,"",IF(OR(LOWER($F503&amp;"")="subscription",LOWER($F503&amp;"")="membership"),"",IF($G503="","",IF(ISNUMBER(SEARCH("non",LOWER($E503&amp;""))),$G503*0.85,$G503))))</x:f>
      </x:c>
      <x:c r="O503" s="988" t="str">
        <x:f>IF(COUNTA($A503:$M503)=0,"",IF(OR(LOWER($F503&amp;"")="subscription",LOWER($F503&amp;"")="membership"),"",IF(OR($N503="",$I503="",$I503=0),"",IFERROR($N503/$I503,""))))</x:f>
      </x:c>
      <x:c r="P503" s="988" t="str">
        <x:f>IF(COUNTA($A503:$M503)=0,"",IF(OR(LOWER($F503&amp;"")="subscription",LOWER($F503&amp;"")="membership"),"",IF(LOWER($L503&amp;"")="yes",0,IF($K503&lt;&gt;"",$K503,IF($O503&lt;&gt;"",$O503,"")))))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IF(COUNTA($A503:$M503)=0,"",IF(OR(LOWER($F503&amp;"")="subscription",LOWER($F503&amp;"")="membership"),"Subscription",IF(OR(AND($H503&lt;&gt;"",$H503=0),LOWER($F503&amp;"")="free game",LOWER($F503&amp;"")="free",LOWER($F503&amp;"")="free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985"/>
      <x:c r="H504" s="451"/>
      <x:c r="I504" s="452"/>
      <x:c r="J504" s="452"/>
      <x:c r="K504" s="985"/>
      <x:c r="L504" s="450"/>
      <x:c r="M504" s="439"/>
      <x:c r="N504" s="988" t="str">
        <x:f>IF(COUNTA($A504:$M504)=0,"",IF(OR(LOWER($F504&amp;"")="subscription",LOWER($F504&amp;"")="membership"),"",IF($G504="","",IF(ISNUMBER(SEARCH("non",LOWER($E504&amp;""))),$G504*0.85,$G504))))</x:f>
      </x:c>
      <x:c r="O504" s="988" t="str">
        <x:f>IF(COUNTA($A504:$M504)=0,"",IF(OR(LOWER($F504&amp;"")="subscription",LOWER($F504&amp;"")="membership"),"",IF(OR($N504="",$I504="",$I504=0),"",IFERROR($N504/$I504,""))))</x:f>
      </x:c>
      <x:c r="P504" s="988" t="str">
        <x:f>IF(COUNTA($A504:$M504)=0,"",IF(OR(LOWER($F504&amp;"")="subscription",LOWER($F504&amp;"")="membership"),"",IF(LOWER($L504&amp;"")="yes",0,IF($K504&lt;&gt;"",$K504,IF($O504&lt;&gt;"",$O504,"")))))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IF(COUNTA($A504:$M504)=0,"",IF(OR(LOWER($F504&amp;"")="subscription",LOWER($F504&amp;"")="membership"),"Subscription",IF(OR(AND($H504&lt;&gt;"",$H504=0),LOWER($F504&amp;"")="free game",LOWER($F504&amp;"")="free",LOWER($F504&amp;"")="free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Z5:Z504">
    <x:cfRule type="expression" dxfId="35" priority="11">
      <x:formula>$U5="Profit"</x:formula>
    </x:cfRule>
    <x:cfRule type="expression" dxfId="36" priority="12">
      <x:formula>$U5="Draw"</x:formula>
    </x:cfRule>
    <x:cfRule type="expression" dxfId="37" priority="13">
      <x:formula>OR($U5="Free Game",$U5="Disqualified — Free Game")</x:formula>
    </x:cfRule>
    <x:cfRule type="expression" dxfId="38" priority="14">
      <x:formula>$U5="Subscription"</x:formula>
    </x:cfRule>
    <x:cfRule type="expression" dxfId="39" priority="1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sqref="F5:F504">
      <x:formula1>"Cash,Points,Hybrid,Free Game,Subscription"</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v246.3</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Records'!$U5="Subscription"),"",IFERROR(MAX($A$4:A4),0)+1)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Records'!$U6="Subscription"),"",IFERROR(MAX($A$4:A5),0)+1)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Records'!$U7="Subscription"),"",IFERROR(MAX($A$4:A6),0)+1)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Records'!$U8="Subscription"),"",IFERROR(MAX($A$4:A7),0)+1)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Records'!$U9="Subscription"),"",IFERROR(MAX($A$4:A8),0)+1)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Records'!$U10="Subscription"),"",IFERROR(MAX($A$4:A9),0)+1)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Records'!$U11="Subscription"),"",IFERROR(MAX($A$4:A10),0)+1)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Records'!$U12="Subscription"),"",IFERROR(MAX($A$4:A11),0)+1)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Records'!$U13="Subscription"),"",IFERROR(MAX($A$4:A12),0)+1)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Records'!$U14="Subscription"),"",IFERROR(MAX($A$4:A13),0)+1)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Records'!$U15="Subscription"),"",IFERROR(MAX($A$4:A14),0)+1)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Records'!$U16="Subscription"),"",IFERROR(MAX($A$4:A15),0)+1)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Records'!$U17="Subscription"),"",IFERROR(MAX($A$4:A16),0)+1)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Records'!$U18="Subscription"),"",IFERROR(MAX($A$4:A17),0)+1)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Records'!$U19="Subscription"),"",IFERROR(MAX($A$4:A18),0)+1)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Records'!$U20="Subscription"),"",IFERROR(MAX($A$4:A19),0)+1)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Records'!$U21="Subscription"),"",IFERROR(MAX($A$4:A20),0)+1)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Records'!$U22="Subscription"),"",IFERROR(MAX($A$4:A21),0)+1)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Records'!$U23="Subscription"),"",IFERROR(MAX($A$4:A22),0)+1)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Records'!$U24="Subscription"),"",IFERROR(MAX($A$4:A23),0)+1)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Records'!$U25="Subscription"),"",IFERROR(MAX($A$4:A24),0)+1)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Records'!$U26="Subscription"),"",IFERROR(MAX($A$4:A25),0)+1)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Records'!$U27="Subscription"),"",IFERROR(MAX($A$4:A26),0)+1)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Records'!$U28="Subscription"),"",IFERROR(MAX($A$4:A27),0)+1)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Records'!$U29="Subscription"),"",IFERROR(MAX($A$4:A28),0)+1)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Records'!$U30="Subscription"),"",IFERROR(MAX($A$4:A29),0)+1)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Records'!$U31="Subscription"),"",IFERROR(MAX($A$4:A30),0)+1)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Records'!$U32="Subscription"),"",IFERROR(MAX($A$4:A31),0)+1)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Records'!$U33="Subscription"),"",IFERROR(MAX($A$4:A32),0)+1)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Records'!$U34="Subscription"),"",IFERROR(MAX($A$4:A33),0)+1)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Records'!$U35="Subscription"),"",IFERROR(MAX($A$4:A34),0)+1)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Records'!$U36="Subscription"),"",IFERROR(MAX($A$4:A35),0)+1)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Records'!$U37="Subscription"),"",IFERROR(MAX($A$4:A36),0)+1)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Records'!$U38="Subscription"),"",IFERROR(MAX($A$4:A37),0)+1)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Records'!$U39="Subscription"),"",IFERROR(MAX($A$4:A38),0)+1)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Records'!$U40="Subscription"),"",IFERROR(MAX($A$4:A39),0)+1)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Records'!$U41="Subscription"),"",IFERROR(MAX($A$4:A40),0)+1)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Records'!$U42="Subscription"),"",IFERROR(MAX($A$4:A41),0)+1)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Records'!$U43="Subscription"),"",IFERROR(MAX($A$4:A42),0)+1)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Records'!$U44="Subscription"),"",IFERROR(MAX($A$4:A43),0)+1)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Records'!$U45="Subscription"),"",IFERROR(MAX($A$4:A44),0)+1)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Records'!$U46="Subscription"),"",IFERROR(MAX($A$4:A45),0)+1)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Records'!$U47="Subscription"),"",IFERROR(MAX($A$4:A46),0)+1)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Records'!$U48="Subscription"),"",IFERROR(MAX($A$4:A47),0)+1)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Records'!$U49="Subscription"),"",IFERROR(MAX($A$4:A48),0)+1)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Records'!$U50="Subscription"),"",IFERROR(MAX($A$4:A49),0)+1)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Records'!$U51="Subscription"),"",IFERROR(MAX($A$4:A50),0)+1)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Records'!$U52="Subscription"),"",IFERROR(MAX($A$4:A51),0)+1)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Records'!$U53="Subscription"),"",IFERROR(MAX($A$4:A52),0)+1)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Records'!$U54="Subscription"),"",IFERROR(MAX($A$4:A53),0)+1)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Records'!$U55="Subscription"),"",IFERROR(MAX($A$4:A54),0)+1)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Records'!$U56="Subscription"),"",IFERROR(MAX($A$4:A55),0)+1)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Records'!$U57="Subscription"),"",IFERROR(MAX($A$4:A56),0)+1)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Records'!$U58="Subscription"),"",IFERROR(MAX($A$4:A57),0)+1)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Records'!$U59="Subscription"),"",IFERROR(MAX($A$4:A58),0)+1)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Records'!$U60="Subscription"),"",IFERROR(MAX($A$4:A59),0)+1)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Records'!$U61="Subscription"),"",IFERROR(MAX($A$4:A60),0)+1)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Records'!$U62="Subscription"),"",IFERROR(MAX($A$4:A61),0)+1)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Records'!$U63="Subscription"),"",IFERROR(MAX($A$4:A62),0)+1)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Records'!$U64="Subscription"),"",IFERROR(MAX($A$4:A63),0)+1)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Records'!$U65="Subscription"),"",IFERROR(MAX($A$4:A64),0)+1)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Records'!$U66="Subscription"),"",IFERROR(MAX($A$4:A65),0)+1)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Records'!$U67="Subscription"),"",IFERROR(MAX($A$4:A66),0)+1)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Records'!$U68="Subscription"),"",IFERROR(MAX($A$4:A67),0)+1)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Records'!$U69="Subscription"),"",IFERROR(MAX($A$4:A68),0)+1)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Records'!$U70="Subscription"),"",IFERROR(MAX($A$4:A69),0)+1)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Records'!$U71="Subscription"),"",IFERROR(MAX($A$4:A70),0)+1)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Records'!$U72="Subscription"),"",IFERROR(MAX($A$4:A71),0)+1)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Records'!$U73="Subscription"),"",IFERROR(MAX($A$4:A72),0)+1)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Records'!$U74="Subscription"),"",IFERROR(MAX($A$4:A73),0)+1)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Records'!$U75="Subscription"),"",IFERROR(MAX($A$4:A74),0)+1)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Records'!$U76="Subscription"),"",IFERROR(MAX($A$4:A75),0)+1)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Records'!$U77="Subscription"),"",IFERROR(MAX($A$4:A76),0)+1)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Records'!$U78="Subscription"),"",IFERROR(MAX($A$4:A77),0)+1)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Records'!$U79="Subscription"),"",IFERROR(MAX($A$4:A78),0)+1)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Records'!$U80="Subscription"),"",IFERROR(MAX($A$4:A79),0)+1)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Records'!$U81="Subscription"),"",IFERROR(MAX($A$4:A80),0)+1)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Records'!$U82="Subscription"),"",IFERROR(MAX($A$4:A81),0)+1)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Records'!$U83="Subscription"),"",IFERROR(MAX($A$4:A82),0)+1)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Records'!$U84="Subscription"),"",IFERROR(MAX($A$4:A83),0)+1)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Records'!$U85="Subscription"),"",IFERROR(MAX($A$4:A84),0)+1)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Records'!$U86="Subscription"),"",IFERROR(MAX($A$4:A85),0)+1)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Records'!$U87="Subscription"),"",IFERROR(MAX($A$4:A86),0)+1)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Records'!$U88="Subscription"),"",IFERROR(MAX($A$4:A87),0)+1)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Records'!$U89="Subscription"),"",IFERROR(MAX($A$4:A88),0)+1)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Records'!$U90="Subscription"),"",IFERROR(MAX($A$4:A89),0)+1)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Records'!$U91="Subscription"),"",IFERROR(MAX($A$4:A90),0)+1)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Records'!$U92="Subscription"),"",IFERROR(MAX($A$4:A91),0)+1)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Records'!$U93="Subscription"),"",IFERROR(MAX($A$4:A92),0)+1)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Records'!$U94="Subscription"),"",IFERROR(MAX($A$4:A93),0)+1)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Records'!$U95="Subscription"),"",IFERROR(MAX($A$4:A94),0)+1)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Records'!$U96="Subscription"),"",IFERROR(MAX($A$4:A95),0)+1)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Records'!$U97="Subscription"),"",IFERROR(MAX($A$4:A96),0)+1)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Records'!$U98="Subscription"),"",IFERROR(MAX($A$4:A97),0)+1)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Records'!$U99="Subscription"),"",IFERROR(MAX($A$4:A98),0)+1)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Records'!$U100="Subscription"),"",IFERROR(MAX($A$4:A99),0)+1)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Records'!$U101="Subscription"),"",IFERROR(MAX($A$4:A100),0)+1)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Records'!$U102="Subscription"),"",IFERROR(MAX($A$4:A101),0)+1)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Records'!$U103="Subscription"),"",IFERROR(MAX($A$4:A102),0)+1)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Records'!$U104="Subscription"),"",IFERROR(MAX($A$4:A103),0)+1)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Records'!$U105="Subscription"),"",IFERROR(MAX($A$4:A104),0)+1)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Records'!$U106="Subscription"),"",IFERROR(MAX($A$4:A105),0)+1)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Records'!$U107="Subscription"),"",IFERROR(MAX($A$4:A106),0)+1)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Records'!$U108="Subscription"),"",IFERROR(MAX($A$4:A107),0)+1)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Records'!$U109="Subscription"),"",IFERROR(MAX($A$4:A108),0)+1)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Records'!$U110="Subscription"),"",IFERROR(MAX($A$4:A109),0)+1)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Records'!$U111="Subscription"),"",IFERROR(MAX($A$4:A110),0)+1)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Records'!$U112="Subscription"),"",IFERROR(MAX($A$4:A111),0)+1)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Records'!$U113="Subscription"),"",IFERROR(MAX($A$4:A112),0)+1)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Records'!$U114="Subscription"),"",IFERROR(MAX($A$4:A113),0)+1)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Records'!$U115="Subscription"),"",IFERROR(MAX($A$4:A114),0)+1)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Records'!$U116="Subscription"),"",IFERROR(MAX($A$4:A115),0)+1)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Records'!$U117="Subscription"),"",IFERROR(MAX($A$4:A116),0)+1)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Records'!$U118="Subscription"),"",IFERROR(MAX($A$4:A117),0)+1)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Records'!$U119="Subscription"),"",IFERROR(MAX($A$4:A118),0)+1)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Records'!$U120="Subscription"),"",IFERROR(MAX($A$4:A119),0)+1)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Records'!$U121="Subscription"),"",IFERROR(MAX($A$4:A120),0)+1)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Records'!$U122="Subscription"),"",IFERROR(MAX($A$4:A121),0)+1)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Records'!$U123="Subscription"),"",IFERROR(MAX($A$4:A122),0)+1)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Records'!$U124="Subscription"),"",IFERROR(MAX($A$4:A123),0)+1)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Records'!$U125="Subscription"),"",IFERROR(MAX($A$4:A124),0)+1)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Records'!$U126="Subscription"),"",IFERROR(MAX($A$4:A125),0)+1)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Records'!$U127="Subscription"),"",IFERROR(MAX($A$4:A126),0)+1)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Records'!$U128="Subscription"),"",IFERROR(MAX($A$4:A127),0)+1)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Records'!$U129="Subscription"),"",IFERROR(MAX($A$4:A128),0)+1)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Records'!$U130="Subscription"),"",IFERROR(MAX($A$4:A129),0)+1)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Records'!$U131="Subscription"),"",IFERROR(MAX($A$4:A130),0)+1)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Records'!$U132="Subscription"),"",IFERROR(MAX($A$4:A131),0)+1)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Records'!$U133="Subscription"),"",IFERROR(MAX($A$4:A132),0)+1)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Records'!$U134="Subscription"),"",IFERROR(MAX($A$4:A133),0)+1)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Records'!$U135="Subscription"),"",IFERROR(MAX($A$4:A134),0)+1)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Records'!$U136="Subscription"),"",IFERROR(MAX($A$4:A135),0)+1)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Records'!$U137="Subscription"),"",IFERROR(MAX($A$4:A136),0)+1)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Records'!$U138="Subscription"),"",IFERROR(MAX($A$4:A137),0)+1)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Records'!$U139="Subscription"),"",IFERROR(MAX($A$4:A138),0)+1)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Records'!$U140="Subscription"),"",IFERROR(MAX($A$4:A139),0)+1)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Records'!$U141="Subscription"),"",IFERROR(MAX($A$4:A140),0)+1)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Records'!$U142="Subscription"),"",IFERROR(MAX($A$4:A141),0)+1)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Records'!$U143="Subscription"),"",IFERROR(MAX($A$4:A142),0)+1)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Records'!$U144="Subscription"),"",IFERROR(MAX($A$4:A143),0)+1)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Records'!$U145="Subscription"),"",IFERROR(MAX($A$4:A144),0)+1)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Records'!$U146="Subscription"),"",IFERROR(MAX($A$4:A145),0)+1)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Records'!$U147="Subscription"),"",IFERROR(MAX($A$4:A146),0)+1)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Records'!$U148="Subscription"),"",IFERROR(MAX($A$4:A147),0)+1)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Records'!$U149="Subscription"),"",IFERROR(MAX($A$4:A148),0)+1)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Records'!$U150="Subscription"),"",IFERROR(MAX($A$4:A149),0)+1)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Records'!$U151="Subscription"),"",IFERROR(MAX($A$4:A150),0)+1)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Records'!$U152="Subscription"),"",IFERROR(MAX($A$4:A151),0)+1)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Records'!$U153="Subscription"),"",IFERROR(MAX($A$4:A152),0)+1)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Records'!$U154="Subscription"),"",IFERROR(MAX($A$4:A153),0)+1)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Records'!$U155="Subscription"),"",IFERROR(MAX($A$4:A154),0)+1)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Records'!$U156="Subscription"),"",IFERROR(MAX($A$4:A155),0)+1)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Records'!$U157="Subscription"),"",IFERROR(MAX($A$4:A156),0)+1)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Records'!$U158="Subscription"),"",IFERROR(MAX($A$4:A157),0)+1)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Records'!$U159="Subscription"),"",IFERROR(MAX($A$4:A158),0)+1)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Records'!$U160="Subscription"),"",IFERROR(MAX($A$4:A159),0)+1)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Records'!$U161="Subscription"),"",IFERROR(MAX($A$4:A160),0)+1)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Records'!$U162="Subscription"),"",IFERROR(MAX($A$4:A161),0)+1)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Records'!$U163="Subscription"),"",IFERROR(MAX($A$4:A162),0)+1)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Records'!$U164="Subscription"),"",IFERROR(MAX($A$4:A163),0)+1)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Records'!$U165="Subscription"),"",IFERROR(MAX($A$4:A164),0)+1)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Records'!$U166="Subscription"),"",IFERROR(MAX($A$4:A165),0)+1)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Records'!$U167="Subscription"),"",IFERROR(MAX($A$4:A166),0)+1)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Records'!$U168="Subscription"),"",IFERROR(MAX($A$4:A167),0)+1)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Records'!$U169="Subscription"),"",IFERROR(MAX($A$4:A168),0)+1)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Records'!$U170="Subscription"),"",IFERROR(MAX($A$4:A169),0)+1)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Records'!$U171="Subscription"),"",IFERROR(MAX($A$4:A170),0)+1)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Records'!$U172="Subscription"),"",IFERROR(MAX($A$4:A171),0)+1)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Records'!$U173="Subscription"),"",IFERROR(MAX($A$4:A172),0)+1)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Records'!$U174="Subscription"),"",IFERROR(MAX($A$4:A173),0)+1)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Records'!$U175="Subscription"),"",IFERROR(MAX($A$4:A174),0)+1)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Records'!$U176="Subscription"),"",IFERROR(MAX($A$4:A175),0)+1)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Records'!$U177="Subscription"),"",IFERROR(MAX($A$4:A176),0)+1)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Records'!$U178="Subscription"),"",IFERROR(MAX($A$4:A177),0)+1)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Records'!$U179="Subscription"),"",IFERROR(MAX($A$4:A178),0)+1)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Records'!$U180="Subscription"),"",IFERROR(MAX($A$4:A179),0)+1)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Records'!$U181="Subscription"),"",IFERROR(MAX($A$4:A180),0)+1)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Records'!$U182="Subscription"),"",IFERROR(MAX($A$4:A181),0)+1)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Records'!$U183="Subscription"),"",IFERROR(MAX($A$4:A182),0)+1)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Records'!$U184="Subscription"),"",IFERROR(MAX($A$4:A183),0)+1)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Records'!$U185="Subscription"),"",IFERROR(MAX($A$4:A184),0)+1)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Records'!$U186="Subscription"),"",IFERROR(MAX($A$4:A185),0)+1)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Records'!$U187="Subscription"),"",IFERROR(MAX($A$4:A186),0)+1)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Records'!$U188="Subscription"),"",IFERROR(MAX($A$4:A187),0)+1)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Records'!$U189="Subscription"),"",IFERROR(MAX($A$4:A188),0)+1)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Records'!$U190="Subscription"),"",IFERROR(MAX($A$4:A189),0)+1)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Records'!$U191="Subscription"),"",IFERROR(MAX($A$4:A190),0)+1)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Records'!$U192="Subscription"),"",IFERROR(MAX($A$4:A191),0)+1)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Records'!$U193="Subscription"),"",IFERROR(MAX($A$4:A192),0)+1)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Records'!$U194="Subscription"),"",IFERROR(MAX($A$4:A193),0)+1)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Records'!$U195="Subscription"),"",IFERROR(MAX($A$4:A194),0)+1)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Records'!$U196="Subscription"),"",IFERROR(MAX($A$4:A195),0)+1)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Records'!$U197="Subscription"),"",IFERROR(MAX($A$4:A196),0)+1)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Records'!$U198="Subscription"),"",IFERROR(MAX($A$4:A197),0)+1)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Records'!$U199="Subscription"),"",IFERROR(MAX($A$4:A198),0)+1)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Records'!$U200="Subscription"),"",IFERROR(MAX($A$4:A199),0)+1)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Records'!$U201="Subscription"),"",IFERROR(MAX($A$4:A200),0)+1)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Records'!$U202="Subscription"),"",IFERROR(MAX($A$4:A201),0)+1)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Records'!$U203="Subscription"),"",IFERROR(MAX($A$4:A202),0)+1)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Records'!$U204="Subscription"),"",IFERROR(MAX($A$4:A203),0)+1)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Records'!$U205="Subscription"),"",IFERROR(MAX($A$4:A204),0)+1)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Records'!$U206="Subscription"),"",IFERROR(MAX($A$4:A205),0)+1)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Records'!$U207="Subscription"),"",IFERROR(MAX($A$4:A206),0)+1)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Records'!$U208="Subscription"),"",IFERROR(MAX($A$4:A207),0)+1)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Records'!$U209="Subscription"),"",IFERROR(MAX($A$4:A208),0)+1)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Records'!$U210="Subscription"),"",IFERROR(MAX($A$4:A209),0)+1)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Records'!$U211="Subscription"),"",IFERROR(MAX($A$4:A210),0)+1)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Records'!$U212="Subscription"),"",IFERROR(MAX($A$4:A211),0)+1)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Records'!$U213="Subscription"),"",IFERROR(MAX($A$4:A212),0)+1)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Records'!$U214="Subscription"),"",IFERROR(MAX($A$4:A213),0)+1)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Records'!$U215="Subscription"),"",IFERROR(MAX($A$4:A214),0)+1)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Records'!$U216="Subscription"),"",IFERROR(MAX($A$4:A215),0)+1)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Records'!$U217="Subscription"),"",IFERROR(MAX($A$4:A216),0)+1)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Records'!$U218="Subscription"),"",IFERROR(MAX($A$4:A217),0)+1)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Records'!$U219="Subscription"),"",IFERROR(MAX($A$4:A218),0)+1)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Records'!$U220="Subscription"),"",IFERROR(MAX($A$4:A219),0)+1)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Records'!$U221="Subscription"),"",IFERROR(MAX($A$4:A220),0)+1)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Records'!$U222="Subscription"),"",IFERROR(MAX($A$4:A221),0)+1)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Records'!$U223="Subscription"),"",IFERROR(MAX($A$4:A222),0)+1)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Records'!$U224="Subscription"),"",IFERROR(MAX($A$4:A223),0)+1)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Records'!$U225="Subscription"),"",IFERROR(MAX($A$4:A224),0)+1)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Records'!$U226="Subscription"),"",IFERROR(MAX($A$4:A225),0)+1)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Records'!$U227="Subscription"),"",IFERROR(MAX($A$4:A226),0)+1)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Records'!$U228="Subscription"),"",IFERROR(MAX($A$4:A227),0)+1)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Records'!$U229="Subscription"),"",IFERROR(MAX($A$4:A228),0)+1)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Records'!$U230="Subscription"),"",IFERROR(MAX($A$4:A229),0)+1)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Records'!$U231="Subscription"),"",IFERROR(MAX($A$4:A230),0)+1)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Records'!$U232="Subscription"),"",IFERROR(MAX($A$4:A231),0)+1)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Records'!$U233="Subscription"),"",IFERROR(MAX($A$4:A232),0)+1)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Records'!$U234="Subscription"),"",IFERROR(MAX($A$4:A233),0)+1)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Records'!$U235="Subscription"),"",IFERROR(MAX($A$4:A234),0)+1)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Records'!$U236="Subscription"),"",IFERROR(MAX($A$4:A235),0)+1)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Records'!$U237="Subscription"),"",IFERROR(MAX($A$4:A236),0)+1)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Records'!$U238="Subscription"),"",IFERROR(MAX($A$4:A237),0)+1)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Records'!$U239="Subscription"),"",IFERROR(MAX($A$4:A238),0)+1)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Records'!$U240="Subscription"),"",IFERROR(MAX($A$4:A239),0)+1)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Records'!$U241="Subscription"),"",IFERROR(MAX($A$4:A240),0)+1)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Records'!$U242="Subscription"),"",IFERROR(MAX($A$4:A241),0)+1)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Records'!$U243="Subscription"),"",IFERROR(MAX($A$4:A242),0)+1)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Records'!$U244="Subscription"),"",IFERROR(MAX($A$4:A243),0)+1)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Records'!$U245="Subscription"),"",IFERROR(MAX($A$4:A244),0)+1)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Records'!$U246="Subscription"),"",IFERROR(MAX($A$4:A245),0)+1)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Records'!$U247="Subscription"),"",IFERROR(MAX($A$4:A246),0)+1)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Records'!$U248="Subscription"),"",IFERROR(MAX($A$4:A247),0)+1)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Records'!$U249="Subscription"),"",IFERROR(MAX($A$4:A248),0)+1)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Records'!$U250="Subscription"),"",IFERROR(MAX($A$4:A249),0)+1)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Records'!$U251="Subscription"),"",IFERROR(MAX($A$4:A250),0)+1)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Records'!$U252="Subscription"),"",IFERROR(MAX($A$4:A251),0)+1)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Records'!$U253="Subscription"),"",IFERROR(MAX($A$4:A252),0)+1)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Records'!$U254="Subscription"),"",IFERROR(MAX($A$4:A253),0)+1)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Records'!$U255="Subscription"),"",IFERROR(MAX($A$4:A254),0)+1)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Records'!$U256="Subscription"),"",IFERROR(MAX($A$4:A255),0)+1)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Records'!$U257="Subscription"),"",IFERROR(MAX($A$4:A256),0)+1)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Records'!$U258="Subscription"),"",IFERROR(MAX($A$4:A257),0)+1)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Records'!$U259="Subscription"),"",IFERROR(MAX($A$4:A258),0)+1)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Records'!$U260="Subscription"),"",IFERROR(MAX($A$4:A259),0)+1)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Records'!$U261="Subscription"),"",IFERROR(MAX($A$4:A260),0)+1)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Records'!$U262="Subscription"),"",IFERROR(MAX($A$4:A261),0)+1)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Records'!$U263="Subscription"),"",IFERROR(MAX($A$4:A262),0)+1)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Records'!$U264="Subscription"),"",IFERROR(MAX($A$4:A263),0)+1)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Records'!$U265="Subscription"),"",IFERROR(MAX($A$4:A264),0)+1)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Records'!$U266="Subscription"),"",IFERROR(MAX($A$4:A265),0)+1)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Records'!$U267="Subscription"),"",IFERROR(MAX($A$4:A266),0)+1)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Records'!$U268="Subscription"),"",IFERROR(MAX($A$4:A267),0)+1)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Records'!$U269="Subscription"),"",IFERROR(MAX($A$4:A268),0)+1)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Records'!$U270="Subscription"),"",IFERROR(MAX($A$4:A269),0)+1)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Records'!$U271="Subscription"),"",IFERROR(MAX($A$4:A270),0)+1)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Records'!$U272="Subscription"),"",IFERROR(MAX($A$4:A271),0)+1)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Records'!$U273="Subscription"),"",IFERROR(MAX($A$4:A272),0)+1)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Records'!$U274="Subscription"),"",IFERROR(MAX($A$4:A273),0)+1)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Records'!$U275="Subscription"),"",IFERROR(MAX($A$4:A274),0)+1)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Records'!$U276="Subscription"),"",IFERROR(MAX($A$4:A275),0)+1)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Records'!$U277="Subscription"),"",IFERROR(MAX($A$4:A276),0)+1)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Records'!$U278="Subscription"),"",IFERROR(MAX($A$4:A277),0)+1)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Records'!$U279="Subscription"),"",IFERROR(MAX($A$4:A278),0)+1)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Records'!$U280="Subscription"),"",IFERROR(MAX($A$4:A279),0)+1)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Records'!$U281="Subscription"),"",IFERROR(MAX($A$4:A280),0)+1)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Records'!$U282="Subscription"),"",IFERROR(MAX($A$4:A281),0)+1)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Records'!$U283="Subscription"),"",IFERROR(MAX($A$4:A282),0)+1)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Records'!$U284="Subscription"),"",IFERROR(MAX($A$4:A283),0)+1)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Records'!$U285="Subscription"),"",IFERROR(MAX($A$4:A284),0)+1)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Records'!$U286="Subscription"),"",IFERROR(MAX($A$4:A285),0)+1)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Records'!$U287="Subscription"),"",IFERROR(MAX($A$4:A286),0)+1)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Records'!$U288="Subscription"),"",IFERROR(MAX($A$4:A287),0)+1)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Records'!$U289="Subscription"),"",IFERROR(MAX($A$4:A288),0)+1)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Records'!$U290="Subscription"),"",IFERROR(MAX($A$4:A289),0)+1)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Records'!$U291="Subscription"),"",IFERROR(MAX($A$4:A290),0)+1)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Records'!$U292="Subscription"),"",IFERROR(MAX($A$4:A291),0)+1)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Records'!$U293="Subscription"),"",IFERROR(MAX($A$4:A292),0)+1)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Records'!$U294="Subscription"),"",IFERROR(MAX($A$4:A293),0)+1)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Records'!$U295="Subscription"),"",IFERROR(MAX($A$4:A294),0)+1)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Records'!$U296="Subscription"),"",IFERROR(MAX($A$4:A295),0)+1)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Records'!$U297="Subscription"),"",IFERROR(MAX($A$4:A296),0)+1)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Records'!$U298="Subscription"),"",IFERROR(MAX($A$4:A297),0)+1)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Records'!$U299="Subscription"),"",IFERROR(MAX($A$4:A298),0)+1)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Records'!$U300="Subscription"),"",IFERROR(MAX($A$4:A299),0)+1)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Records'!$U301="Subscription"),"",IFERROR(MAX($A$4:A300),0)+1)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Records'!$U302="Subscription"),"",IFERROR(MAX($A$4:A301),0)+1)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Records'!$U303="Subscription"),"",IFERROR(MAX($A$4:A302),0)+1)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Records'!$U304="Subscription"),"",IFERROR(MAX($A$4:A303),0)+1)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Records'!$U305="Subscription"),"",IFERROR(MAX($A$4:A304),0)+1)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Records'!$U306="Subscription"),"",IFERROR(MAX($A$4:A305),0)+1)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Records'!$U307="Subscription"),"",IFERROR(MAX($A$4:A306),0)+1)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Records'!$U308="Subscription"),"",IFERROR(MAX($A$4:A307),0)+1)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Records'!$U309="Subscription"),"",IFERROR(MAX($A$4:A308),0)+1)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Records'!$U310="Subscription"),"",IFERROR(MAX($A$4:A309),0)+1)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Records'!$U311="Subscription"),"",IFERROR(MAX($A$4:A310),0)+1)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Records'!$U312="Subscription"),"",IFERROR(MAX($A$4:A311),0)+1)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Records'!$U313="Subscription"),"",IFERROR(MAX($A$4:A312),0)+1)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Records'!$U314="Subscription"),"",IFERROR(MAX($A$4:A313),0)+1)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Records'!$U315="Subscription"),"",IFERROR(MAX($A$4:A314),0)+1)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Records'!$U316="Subscription"),"",IFERROR(MAX($A$4:A315),0)+1)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Records'!$U317="Subscription"),"",IFERROR(MAX($A$4:A316),0)+1)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Records'!$U318="Subscription"),"",IFERROR(MAX($A$4:A317),0)+1)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Records'!$U319="Subscription"),"",IFERROR(MAX($A$4:A318),0)+1)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Records'!$U320="Subscription"),"",IFERROR(MAX($A$4:A319),0)+1)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Records'!$U321="Subscription"),"",IFERROR(MAX($A$4:A320),0)+1)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Records'!$U322="Subscription"),"",IFERROR(MAX($A$4:A321),0)+1)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Records'!$U323="Subscription"),"",IFERROR(MAX($A$4:A322),0)+1)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Records'!$U324="Subscription"),"",IFERROR(MAX($A$4:A323),0)+1)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Records'!$U325="Subscription"),"",IFERROR(MAX($A$4:A324),0)+1)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Records'!$U326="Subscription"),"",IFERROR(MAX($A$4:A325),0)+1)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Records'!$U327="Subscription"),"",IFERROR(MAX($A$4:A326),0)+1)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Records'!$U328="Subscription"),"",IFERROR(MAX($A$4:A327),0)+1)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Records'!$U329="Subscription"),"",IFERROR(MAX($A$4:A328),0)+1)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Records'!$U330="Subscription"),"",IFERROR(MAX($A$4:A329),0)+1)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Records'!$U331="Subscription"),"",IFERROR(MAX($A$4:A330),0)+1)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Records'!$U332="Subscription"),"",IFERROR(MAX($A$4:A331),0)+1)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Records'!$U333="Subscription"),"",IFERROR(MAX($A$4:A332),0)+1)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Records'!$U334="Subscription"),"",IFERROR(MAX($A$4:A333),0)+1)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Records'!$U335="Subscription"),"",IFERROR(MAX($A$4:A334),0)+1)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Records'!$U336="Subscription"),"",IFERROR(MAX($A$4:A335),0)+1)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Records'!$U337="Subscription"),"",IFERROR(MAX($A$4:A336),0)+1)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Records'!$U338="Subscription"),"",IFERROR(MAX($A$4:A337),0)+1)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Records'!$U339="Subscription"),"",IFERROR(MAX($A$4:A338),0)+1)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Records'!$U340="Subscription"),"",IFERROR(MAX($A$4:A339),0)+1)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Records'!$U341="Subscription"),"",IFERROR(MAX($A$4:A340),0)+1)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Records'!$U342="Subscription"),"",IFERROR(MAX($A$4:A341),0)+1)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Records'!$U343="Subscription"),"",IFERROR(MAX($A$4:A342),0)+1)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Records'!$U344="Subscription"),"",IFERROR(MAX($A$4:A343),0)+1)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Records'!$U345="Subscription"),"",IFERROR(MAX($A$4:A344),0)+1)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Records'!$U346="Subscription"),"",IFERROR(MAX($A$4:A345),0)+1)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Records'!$U347="Subscription"),"",IFERROR(MAX($A$4:A346),0)+1)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Records'!$U348="Subscription"),"",IFERROR(MAX($A$4:A347),0)+1)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Records'!$U349="Subscription"),"",IFERROR(MAX($A$4:A348),0)+1)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Records'!$U350="Subscription"),"",IFERROR(MAX($A$4:A349),0)+1)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Records'!$U351="Subscription"),"",IFERROR(MAX($A$4:A350),0)+1)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Records'!$U352="Subscription"),"",IFERROR(MAX($A$4:A351),0)+1)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Records'!$U353="Subscription"),"",IFERROR(MAX($A$4:A352),0)+1)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Records'!$U354="Subscription"),"",IFERROR(MAX($A$4:A353),0)+1)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Records'!$U355="Subscription"),"",IFERROR(MAX($A$4:A354),0)+1)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Records'!$U356="Subscription"),"",IFERROR(MAX($A$4:A355),0)+1)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Records'!$U357="Subscription"),"",IFERROR(MAX($A$4:A356),0)+1)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Records'!$U358="Subscription"),"",IFERROR(MAX($A$4:A357),0)+1)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Records'!$U359="Subscription"),"",IFERROR(MAX($A$4:A358),0)+1)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Records'!$U360="Subscription"),"",IFERROR(MAX($A$4:A359),0)+1)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Records'!$U361="Subscription"),"",IFERROR(MAX($A$4:A360),0)+1)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Records'!$U362="Subscription"),"",IFERROR(MAX($A$4:A361),0)+1)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Records'!$U363="Subscription"),"",IFERROR(MAX($A$4:A362),0)+1)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Records'!$U364="Subscription"),"",IFERROR(MAX($A$4:A363),0)+1)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Records'!$U365="Subscription"),"",IFERROR(MAX($A$4:A364),0)+1)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Records'!$U366="Subscription"),"",IFERROR(MAX($A$4:A365),0)+1)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Records'!$U367="Subscription"),"",IFERROR(MAX($A$4:A366),0)+1)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Records'!$U368="Subscription"),"",IFERROR(MAX($A$4:A367),0)+1)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Records'!$U369="Subscription"),"",IFERROR(MAX($A$4:A368),0)+1)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Records'!$U370="Subscription"),"",IFERROR(MAX($A$4:A369),0)+1)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Records'!$U371="Subscription"),"",IFERROR(MAX($A$4:A370),0)+1)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Records'!$U372="Subscription"),"",IFERROR(MAX($A$4:A371),0)+1)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Records'!$U373="Subscription"),"",IFERROR(MAX($A$4:A372),0)+1)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Records'!$U374="Subscription"),"",IFERROR(MAX($A$4:A373),0)+1)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Records'!$U375="Subscription"),"",IFERROR(MAX($A$4:A374),0)+1)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Records'!$U376="Subscription"),"",IFERROR(MAX($A$4:A375),0)+1)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Records'!$U377="Subscription"),"",IFERROR(MAX($A$4:A376),0)+1)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Records'!$U378="Subscription"),"",IFERROR(MAX($A$4:A377),0)+1)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Records'!$U379="Subscription"),"",IFERROR(MAX($A$4:A378),0)+1)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Records'!$U380="Subscription"),"",IFERROR(MAX($A$4:A379),0)+1)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Records'!$U381="Subscription"),"",IFERROR(MAX($A$4:A380),0)+1)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Records'!$U382="Subscription"),"",IFERROR(MAX($A$4:A381),0)+1)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Records'!$U383="Subscription"),"",IFERROR(MAX($A$4:A382),0)+1)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Records'!$U384="Subscription"),"",IFERROR(MAX($A$4:A383),0)+1)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Records'!$U385="Subscription"),"",IFERROR(MAX($A$4:A384),0)+1)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Records'!$U386="Subscription"),"",IFERROR(MAX($A$4:A385),0)+1)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Records'!$U387="Subscription"),"",IFERROR(MAX($A$4:A386),0)+1)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Records'!$U388="Subscription"),"",IFERROR(MAX($A$4:A387),0)+1)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Records'!$U389="Subscription"),"",IFERROR(MAX($A$4:A388),0)+1)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Records'!$U390="Subscription"),"",IFERROR(MAX($A$4:A389),0)+1)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Records'!$U391="Subscription"),"",IFERROR(MAX($A$4:A390),0)+1)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Records'!$U392="Subscription"),"",IFERROR(MAX($A$4:A391),0)+1)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Records'!$U393="Subscription"),"",IFERROR(MAX($A$4:A392),0)+1)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Records'!$U394="Subscription"),"",IFERROR(MAX($A$4:A393),0)+1)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Records'!$U395="Subscription"),"",IFERROR(MAX($A$4:A394),0)+1)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Records'!$U396="Subscription"),"",IFERROR(MAX($A$4:A395),0)+1)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Records'!$U397="Subscription"),"",IFERROR(MAX($A$4:A396),0)+1)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Records'!$U398="Subscription"),"",IFERROR(MAX($A$4:A397),0)+1)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Records'!$U399="Subscription"),"",IFERROR(MAX($A$4:A398),0)+1)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Records'!$U400="Subscription"),"",IFERROR(MAX($A$4:A399),0)+1)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Records'!$U401="Subscription"),"",IFERROR(MAX($A$4:A400),0)+1)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Records'!$U402="Subscription"),"",IFERROR(MAX($A$4:A401),0)+1)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Records'!$U403="Subscription"),"",IFERROR(MAX($A$4:A402),0)+1)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Records'!$U404="Subscription"),"",IFERROR(MAX($A$4:A403),0)+1)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Records'!$U405="Subscription"),"",IFERROR(MAX($A$4:A404),0)+1)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Records'!$U406="Subscription"),"",IFERROR(MAX($A$4:A405),0)+1)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Records'!$U407="Subscription"),"",IFERROR(MAX($A$4:A406),0)+1)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Records'!$U408="Subscription"),"",IFERROR(MAX($A$4:A407),0)+1)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Records'!$U409="Subscription"),"",IFERROR(MAX($A$4:A408),0)+1)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Records'!$U410="Subscription"),"",IFERROR(MAX($A$4:A409),0)+1)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Records'!$U411="Subscription"),"",IFERROR(MAX($A$4:A410),0)+1)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Records'!$U412="Subscription"),"",IFERROR(MAX($A$4:A411),0)+1)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Records'!$U413="Subscription"),"",IFERROR(MAX($A$4:A412),0)+1)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Records'!$U414="Subscription"),"",IFERROR(MAX($A$4:A413),0)+1)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Records'!$U415="Subscription"),"",IFERROR(MAX($A$4:A414),0)+1)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Records'!$U416="Subscription"),"",IFERROR(MAX($A$4:A415),0)+1)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Records'!$U417="Subscription"),"",IFERROR(MAX($A$4:A416),0)+1)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Records'!$U418="Subscription"),"",IFERROR(MAX($A$4:A417),0)+1)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Records'!$U419="Subscription"),"",IFERROR(MAX($A$4:A418),0)+1)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Records'!$U420="Subscription"),"",IFERROR(MAX($A$4:A419),0)+1)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Records'!$U421="Subscription"),"",IFERROR(MAX($A$4:A420),0)+1)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Records'!$U422="Subscription"),"",IFERROR(MAX($A$4:A421),0)+1)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Records'!$U423="Subscription"),"",IFERROR(MAX($A$4:A422),0)+1)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Records'!$U424="Subscription"),"",IFERROR(MAX($A$4:A423),0)+1)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Records'!$U425="Subscription"),"",IFERROR(MAX($A$4:A424),0)+1)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Records'!$U426="Subscription"),"",IFERROR(MAX($A$4:A425),0)+1)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Records'!$U427="Subscription"),"",IFERROR(MAX($A$4:A426),0)+1)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Records'!$U428="Subscription"),"",IFERROR(MAX($A$4:A427),0)+1)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Records'!$U429="Subscription"),"",IFERROR(MAX($A$4:A428),0)+1)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Records'!$U430="Subscription"),"",IFERROR(MAX($A$4:A429),0)+1)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Records'!$U431="Subscription"),"",IFERROR(MAX($A$4:A430),0)+1)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Records'!$U432="Subscription"),"",IFERROR(MAX($A$4:A431),0)+1)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Records'!$U433="Subscription"),"",IFERROR(MAX($A$4:A432),0)+1)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Records'!$U434="Subscription"),"",IFERROR(MAX($A$4:A433),0)+1)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Records'!$U435="Subscription"),"",IFERROR(MAX($A$4:A434),0)+1)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Records'!$U436="Subscription"),"",IFERROR(MAX($A$4:A435),0)+1)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Records'!$U437="Subscription"),"",IFERROR(MAX($A$4:A436),0)+1)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Records'!$U438="Subscription"),"",IFERROR(MAX($A$4:A437),0)+1)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Records'!$U439="Subscription"),"",IFERROR(MAX($A$4:A438),0)+1)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Records'!$U440="Subscription"),"",IFERROR(MAX($A$4:A439),0)+1)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Records'!$U441="Subscription"),"",IFERROR(MAX($A$4:A440),0)+1)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Records'!$U442="Subscription"),"",IFERROR(MAX($A$4:A441),0)+1)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Records'!$U443="Subscription"),"",IFERROR(MAX($A$4:A442),0)+1)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Records'!$U444="Subscription"),"",IFERROR(MAX($A$4:A443),0)+1)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Records'!$U445="Subscription"),"",IFERROR(MAX($A$4:A444),0)+1)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Records'!$U446="Subscription"),"",IFERROR(MAX($A$4:A445),0)+1)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Records'!$U447="Subscription"),"",IFERROR(MAX($A$4:A446),0)+1)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Records'!$U448="Subscription"),"",IFERROR(MAX($A$4:A447),0)+1)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Records'!$U449="Subscription"),"",IFERROR(MAX($A$4:A448),0)+1)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Records'!$U450="Subscription"),"",IFERROR(MAX($A$4:A449),0)+1)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Records'!$U451="Subscription"),"",IFERROR(MAX($A$4:A450),0)+1)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Records'!$U452="Subscription"),"",IFERROR(MAX($A$4:A451),0)+1)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Records'!$U453="Subscription"),"",IFERROR(MAX($A$4:A452),0)+1)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Records'!$U454="Subscription"),"",IFERROR(MAX($A$4:A453),0)+1)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Records'!$U455="Subscription"),"",IFERROR(MAX($A$4:A454),0)+1)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Records'!$U456="Subscription"),"",IFERROR(MAX($A$4:A455),0)+1)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Records'!$U457="Subscription"),"",IFERROR(MAX($A$4:A456),0)+1)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Records'!$U458="Subscription"),"",IFERROR(MAX($A$4:A457),0)+1)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Records'!$U459="Subscription"),"",IFERROR(MAX($A$4:A458),0)+1)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Records'!$U460="Subscription"),"",IFERROR(MAX($A$4:A459),0)+1)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Records'!$U461="Subscription"),"",IFERROR(MAX($A$4:A460),0)+1)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Records'!$U462="Subscription"),"",IFERROR(MAX($A$4:A461),0)+1)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Records'!$U463="Subscription"),"",IFERROR(MAX($A$4:A462),0)+1)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Records'!$U464="Subscription"),"",IFERROR(MAX($A$4:A463),0)+1)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Records'!$U465="Subscription"),"",IFERROR(MAX($A$4:A464),0)+1)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Records'!$U466="Subscription"),"",IFERROR(MAX($A$4:A465),0)+1)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Records'!$U467="Subscription"),"",IFERROR(MAX($A$4:A466),0)+1)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Records'!$U468="Subscription"),"",IFERROR(MAX($A$4:A467),0)+1)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Records'!$U469="Subscription"),"",IFERROR(MAX($A$4:A468),0)+1)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Records'!$U470="Subscription"),"",IFERROR(MAX($A$4:A469),0)+1)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Records'!$U471="Subscription"),"",IFERROR(MAX($A$4:A470),0)+1)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Records'!$U472="Subscription"),"",IFERROR(MAX($A$4:A471),0)+1)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Records'!$U473="Subscription"),"",IFERROR(MAX($A$4:A472),0)+1)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Records'!$U474="Subscription"),"",IFERROR(MAX($A$4:A473),0)+1)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Records'!$U475="Subscription"),"",IFERROR(MAX($A$4:A474),0)+1)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Records'!$U476="Subscription"),"",IFERROR(MAX($A$4:A475),0)+1)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Records'!$U477="Subscription"),"",IFERROR(MAX($A$4:A476),0)+1)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Records'!$U478="Subscription"),"",IFERROR(MAX($A$4:A477),0)+1)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Records'!$U479="Subscription"),"",IFERROR(MAX($A$4:A478),0)+1)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Records'!$U480="Subscription"),"",IFERROR(MAX($A$4:A479),0)+1)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Records'!$U481="Subscription"),"",IFERROR(MAX($A$4:A480),0)+1)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Records'!$U482="Subscription"),"",IFERROR(MAX($A$4:A481),0)+1)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Records'!$U483="Subscription"),"",IFERROR(MAX($A$4:A482),0)+1)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Records'!$U484="Subscription"),"",IFERROR(MAX($A$4:A483),0)+1)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Records'!$U485="Subscription"),"",IFERROR(MAX($A$4:A484),0)+1)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Records'!$U486="Subscription"),"",IFERROR(MAX($A$4:A485),0)+1)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Records'!$U487="Subscription"),"",IFERROR(MAX($A$4:A486),0)+1)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Records'!$U488="Subscription"),"",IFERROR(MAX($A$4:A487),0)+1)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Records'!$U489="Subscription"),"",IFERROR(MAX($A$4:A488),0)+1)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Records'!$U490="Subscription"),"",IFERROR(MAX($A$4:A489),0)+1)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Records'!$U491="Subscription"),"",IFERROR(MAX($A$4:A490),0)+1)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Records'!$U492="Subscription"),"",IFERROR(MAX($A$4:A491),0)+1)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Records'!$U493="Subscription"),"",IFERROR(MAX($A$4:A492),0)+1)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Records'!$U494="Subscription"),"",IFERROR(MAX($A$4:A493),0)+1)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Records'!$U495="Subscription"),"",IFERROR(MAX($A$4:A494),0)+1)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Records'!$U496="Subscription"),"",IFERROR(MAX($A$4:A495),0)+1)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Records'!$U497="Subscription"),"",IFERROR(MAX($A$4:A496),0)+1)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Records'!$U498="Subscription"),"",IFERROR(MAX($A$4:A497),0)+1)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Records'!$U499="Subscription"),"",IFERROR(MAX($A$4:A498),0)+1)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Records'!$U500="Subscription"),"",IFERROR(MAX($A$4:A499),0)+1)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Records'!$U501="Subscription"),"",IFERROR(MAX($A$4:A500),0)+1)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Records'!$U502="Subscription"),"",IFERROR(MAX($A$4:A501),0)+1)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Records'!$U503="Subscription"),"",IFERROR(MAX($A$4:A502),0)+1)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Records'!$U504="Subscription"),"",IFERROR(MAX($A$4:A503),0)+1)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v246.3</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Free Games (separate credit)</x:v>
      </x:c>
      <x:c r="B9" s="914" t="n">
        <x:f>COUNTIF('Game Records'!$U$5:$U$504,"Free Game")+COUNTIF('Game Records'!$U$5:$U$504,"Disqualified — Free Game")</x:f>
        <x:v>0</x:v>
      </x:c>
      <x:c r="C9" s="913" t="str">
        <x:v>Separate</x:v>
      </x:c>
      <x:c r="D9" s="126" t="str">
        <x:v>Free Game Chips Earned</x:v>
      </x:c>
      <x:c r="E9" s="983" t="n">
        <x:f>SUMIFS('Game Records'!$P$5:$P$504,'Game Records'!$U$5:$U$504,"Free Game")</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v246.3</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COUNTIF('Game Records'!$U$5:$U$504,"Free Game")+COUNTIF('Game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COUNTIF('Game Records'!$U$5:$U$504,"Free Game")</x:f>
        <x:v>0</x:v>
      </x:c>
      <x:c r="C19" s="509" t="str">
        <x:v>Free Games completed without disqualification.</x:v>
      </x:c>
      <x:c r="D19" s="509"/>
      <x:c r="E19" s="509"/>
    </x:row>
    <x:row r="20" ht="39.599998474121094" hidden="0" customHeight="1">
      <x:c r="A20" s="509" t="str">
        <x:v>Disqualified Free Games</x:v>
      </x:c>
      <x:c r="B20" s="914" t="n">
        <x:f>COUNTIF('Game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IF(B18=0,0,(SUMIF('Game Records'!$U$5:$U$504,"Free Game",'Game Records'!$P$5:$P$504)+SUMIF('Game Records'!$U$5:$U$504,"Disqualified — Free Game",'Game Records'!$P$5:$P$504))/B18)</x:f>
        <x:v>0</x:v>
      </x:c>
      <x:c r="C22" s="509" t="str">
        <x:v>Average non-cash chips earned, including 0.00-chip disqualified Free Games.</x:v>
      </x:c>
      <x:c r="D22" s="509"/>
      <x:c r="E22" s="509"/>
    </x:row>
    <x:row r="23" ht="39.599998474121094" hidden="0" customHeight="1">
      <x:c r="A23" s="509" t="str">
        <x:v>Total Chips Earned</x:v>
      </x:c>
      <x:c r="B23" s="984" t="n">
        <x:f>SUMIF('Game Records'!$U$5:$U$504,"Free Game",'Game Records'!$P$5:$P$504)+SUMIF('Game Records'!$U$5:$U$504,"Disqualified — Free Game",'Game Records'!$P$5:$P$504)</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Records'!$U$5:$U$504,"Free Game",'Game Records'!$X$5:$X$504,"&gt;=0")+COUNTIFS('Game Records'!$U$5:$U$504,"Disqualified — Free Game",'Game Records'!$X$5:$X$504,"&gt;=0"))=0,0,(SUMIFS('Game Records'!$X$5:$X$504,'Game Records'!$U$5:$U$504,"Free Game")+SUMIFS('Game Records'!$X$5:$X$504,'Game Records'!$U$5:$U$504,"Disqualified — Free Game"))/(COUNTIFS('Game Records'!$U$5:$U$504,"Free Game",'Game Records'!$X$5:$X$504,"&gt;=0")+COUNTIFS('Game Records'!$U$5:$U$504,"Disqualified — Free Game",'Game Records'!$X$5:$X$504,"&gt;=0")))</x:f>
        <x:v>0</x:v>
      </x:c>
      <x:c r="C24" s="509" t="str">
        <x:v>Average eliminated-player count when player totals are available.</x:v>
      </x:c>
      <x:c r="D24" s="509"/>
      <x:c r="E24" s="509"/>
    </x:row>
    <x:row r="25" ht="26.399999618530273" hidden="0" customHeight="1">
      <x:c r="A25" s="509" t="str">
        <x:v>Average Elimination Rate</x:v>
      </x:c>
      <x:c r="B25" s="915" t="n">
        <x:f>IF((COUNTIFS('Game Records'!$U$5:$U$504,"Free Game",'Game Records'!$Y$5:$Y$504,"&gt;=0")+COUNTIFS('Game Records'!$U$5:$U$504,"Disqualified — Free Game",'Game Records'!$Y$5:$Y$504,"&gt;=0"))=0,0,(SUMIFS('Game Records'!$Y$5:$Y$504,'Game Records'!$U$5:$U$504,"Free Game")+SUMIFS('Game Records'!$Y$5:$Y$504,'Game Records'!$U$5:$U$504,"Disqualified — Free Game"))/(COUNTIFS('Game Records'!$U$5:$U$504,"Free Game",'Game Records'!$Y$5:$Y$504,"&gt;=0")+COUNTIFS('Game Records'!$U$5:$U$504,"Disqualified — Free Game",'Game Records'!$Y$5:$Y$504,"&gt;=0")))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v246.3</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